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worksheets/sheet26.xml" ContentType="application/vnd.openxmlformats-officedocument.spreadsheetml.worksheet+xml"/>
  <Override PartName="/xl/worksheets/sheet27.xml" ContentType="application/vnd.openxmlformats-officedocument.spreadsheetml.worksheet+xml"/>
  <Override PartName="/xl/worksheets/sheet28.xml" ContentType="application/vnd.openxmlformats-officedocument.spreadsheetml.worksheet+xml"/>
  <Override PartName="/xl/worksheets/sheet29.xml" ContentType="application/vnd.openxmlformats-officedocument.spreadsheetml.worksheet+xml"/>
  <Override PartName="/xl/worksheets/sheet30.xml" ContentType="application/vnd.openxmlformats-officedocument.spreadsheetml.worksheet+xml"/>
  <Override PartName="/xl/worksheets/sheet31.xml" ContentType="application/vnd.openxmlformats-officedocument.spreadsheetml.worksheet+xml"/>
  <Override PartName="/xl/worksheets/sheet32.xml" ContentType="application/vnd.openxmlformats-officedocument.spreadsheetml.worksheet+xml"/>
  <Override PartName="/xl/worksheets/sheet33.xml" ContentType="application/vnd.openxmlformats-officedocument.spreadsheetml.worksheet+xml"/>
  <Override PartName="/xl/worksheets/sheet34.xml" ContentType="application/vnd.openxmlformats-officedocument.spreadsheetml.worksheet+xml"/>
  <Override PartName="/xl/worksheets/sheet35.xml" ContentType="application/vnd.openxmlformats-officedocument.spreadsheetml.worksheet+xml"/>
  <Override PartName="/xl/worksheets/sheet36.xml" ContentType="application/vnd.openxmlformats-officedocument.spreadsheetml.worksheet+xml"/>
  <Override PartName="/xl/worksheets/sheet37.xml" ContentType="application/vnd.openxmlformats-officedocument.spreadsheetml.worksheet+xml"/>
  <Override PartName="/xl/worksheets/sheet38.xml" ContentType="application/vnd.openxmlformats-officedocument.spreadsheetml.worksheet+xml"/>
  <Override PartName="/xl/worksheets/sheet39.xml" ContentType="application/vnd.openxmlformats-officedocument.spreadsheetml.worksheet+xml"/>
  <Override PartName="/xl/worksheets/sheet40.xml" ContentType="application/vnd.openxmlformats-officedocument.spreadsheetml.worksheet+xml"/>
  <Override PartName="/xl/worksheets/sheet41.xml" ContentType="application/vnd.openxmlformats-officedocument.spreadsheetml.worksheet+xml"/>
  <Override PartName="/xl/worksheets/sheet42.xml" ContentType="application/vnd.openxmlformats-officedocument.spreadsheetml.worksheet+xml"/>
  <Override PartName="/xl/worksheets/sheet43.xml" ContentType="application/vnd.openxmlformats-officedocument.spreadsheetml.worksheet+xml"/>
  <Override PartName="/xl/worksheets/sheet44.xml" ContentType="application/vnd.openxmlformats-officedocument.spreadsheetml.worksheet+xml"/>
  <Override PartName="/xl/worksheets/sheet45.xml" ContentType="application/vnd.openxmlformats-officedocument.spreadsheetml.worksheet+xml"/>
  <Override PartName="/xl/worksheets/sheet46.xml" ContentType="application/vnd.openxmlformats-officedocument.spreadsheetml.worksheet+xml"/>
  <Override PartName="/xl/worksheets/sheet47.xml" ContentType="application/vnd.openxmlformats-officedocument.spreadsheetml.worksheet+xml"/>
  <Override PartName="/xl/worksheets/sheet48.xml" ContentType="application/vnd.openxmlformats-officedocument.spreadsheetml.worksheet+xml"/>
  <Override PartName="/xl/worksheets/sheet49.xml" ContentType="application/vnd.openxmlformats-officedocument.spreadsheetml.worksheet+xml"/>
  <Override PartName="/xl/worksheets/sheet50.xml" ContentType="application/vnd.openxmlformats-officedocument.spreadsheetml.worksheet+xml"/>
  <Override PartName="/xl/worksheets/sheet51.xml" ContentType="application/vnd.openxmlformats-officedocument.spreadsheetml.worksheet+xml"/>
  <Override PartName="/xl/worksheets/sheet52.xml" ContentType="application/vnd.openxmlformats-officedocument.spreadsheetml.worksheet+xml"/>
  <Override PartName="/xl/worksheets/sheet53.xml" ContentType="application/vnd.openxmlformats-officedocument.spreadsheetml.worksheet+xml"/>
  <Override PartName="/xl/worksheets/sheet54.xml" ContentType="application/vnd.openxmlformats-officedocument.spreadsheetml.worksheet+xml"/>
  <Override PartName="/xl/worksheets/sheet55.xml" ContentType="application/vnd.openxmlformats-officedocument.spreadsheetml.worksheet+xml"/>
  <Override PartName="/xl/worksheets/sheet56.xml" ContentType="application/vnd.openxmlformats-officedocument.spreadsheetml.worksheet+xml"/>
  <Override PartName="/xl/worksheets/sheet57.xml" ContentType="application/vnd.openxmlformats-officedocument.spreadsheetml.worksheet+xml"/>
  <Override PartName="/xl/worksheets/sheet58.xml" ContentType="application/vnd.openxmlformats-officedocument.spreadsheetml.worksheet+xml"/>
  <Override PartName="/xl/worksheets/sheet59.xml" ContentType="application/vnd.openxmlformats-officedocument.spreadsheetml.worksheet+xml"/>
  <Override PartName="/xl/worksheets/sheet60.xml" ContentType="application/vnd.openxmlformats-officedocument.spreadsheetml.worksheet+xml"/>
  <Override PartName="/xl/worksheets/sheet61.xml" ContentType="application/vnd.openxmlformats-officedocument.spreadsheetml.worksheet+xml"/>
  <Override PartName="/xl/worksheets/sheet62.xml" ContentType="application/vnd.openxmlformats-officedocument.spreadsheetml.worksheet+xml"/>
  <Override PartName="/xl/worksheets/sheet63.xml" ContentType="application/vnd.openxmlformats-officedocument.spreadsheetml.worksheet+xml"/>
  <Override PartName="/xl/worksheets/sheet64.xml" ContentType="application/vnd.openxmlformats-officedocument.spreadsheetml.worksheet+xml"/>
  <Override PartName="/xl/worksheets/sheet65.xml" ContentType="application/vnd.openxmlformats-officedocument.spreadsheetml.worksheet+xml"/>
  <Override PartName="/xl/worksheets/sheet66.xml" ContentType="application/vnd.openxmlformats-officedocument.spreadsheetml.worksheet+xml"/>
  <Override PartName="/xl/worksheets/sheet67.xml" ContentType="application/vnd.openxmlformats-officedocument.spreadsheetml.worksheet+xml"/>
  <Override PartName="/xl/worksheets/sheet68.xml" ContentType="application/vnd.openxmlformats-officedocument.spreadsheetml.worksheet+xml"/>
  <Override PartName="/xl/worksheets/sheet69.xml" ContentType="application/vnd.openxmlformats-officedocument.spreadsheetml.worksheet+xml"/>
  <Override PartName="/xl/worksheets/sheet70.xml" ContentType="application/vnd.openxmlformats-officedocument.spreadsheetml.worksheet+xml"/>
  <Override PartName="/xl/worksheets/sheet71.xml" ContentType="application/vnd.openxmlformats-officedocument.spreadsheetml.worksheet+xml"/>
  <Override PartName="/xl/worksheets/sheet72.xml" ContentType="application/vnd.openxmlformats-officedocument.spreadsheetml.worksheet+xml"/>
  <Override PartName="/xl/worksheets/sheet73.xml" ContentType="application/vnd.openxmlformats-officedocument.spreadsheetml.worksheet+xml"/>
  <Override PartName="/xl/worksheets/sheet74.xml" ContentType="application/vnd.openxmlformats-officedocument.spreadsheetml.worksheet+xml"/>
  <Override PartName="/xl/worksheets/sheet75.xml" ContentType="application/vnd.openxmlformats-officedocument.spreadsheetml.worksheet+xml"/>
  <Override PartName="/xl/worksheets/sheet76.xml" ContentType="application/vnd.openxmlformats-officedocument.spreadsheetml.worksheet+xml"/>
  <Override PartName="/xl/worksheets/sheet77.xml" ContentType="application/vnd.openxmlformats-officedocument.spreadsheetml.worksheet+xml"/>
  <Override PartName="/xl/worksheets/sheet78.xml" ContentType="application/vnd.openxmlformats-officedocument.spreadsheetml.worksheet+xml"/>
  <Override PartName="/xl/worksheets/sheet79.xml" ContentType="application/vnd.openxmlformats-officedocument.spreadsheetml.worksheet+xml"/>
  <Override PartName="/xl/worksheets/sheet80.xml" ContentType="application/vnd.openxmlformats-officedocument.spreadsheetml.worksheet+xml"/>
  <Override PartName="/xl/worksheets/sheet81.xml" ContentType="application/vnd.openxmlformats-officedocument.spreadsheetml.worksheet+xml"/>
  <Override PartName="/xl/worksheets/sheet82.xml" ContentType="application/vnd.openxmlformats-officedocument.spreadsheetml.worksheet+xml"/>
  <Override PartName="/xl/worksheets/sheet83.xml" ContentType="application/vnd.openxmlformats-officedocument.spreadsheetml.worksheet+xml"/>
  <Override PartName="/xl/worksheets/sheet84.xml" ContentType="application/vnd.openxmlformats-officedocument.spreadsheetml.worksheet+xml"/>
  <Override PartName="/xl/worksheets/sheet85.xml" ContentType="application/vnd.openxmlformats-officedocument.spreadsheetml.worksheet+xml"/>
  <Override PartName="/xl/worksheets/sheet86.xml" ContentType="application/vnd.openxmlformats-officedocument.spreadsheetml.worksheet+xml"/>
  <Override PartName="/xl/worksheets/sheet87.xml" ContentType="application/vnd.openxmlformats-officedocument.spreadsheetml.worksheet+xml"/>
  <Override PartName="/xl/worksheets/sheet88.xml" ContentType="application/vnd.openxmlformats-officedocument.spreadsheetml.worksheet+xml"/>
  <Override PartName="/xl/worksheets/sheet89.xml" ContentType="application/vnd.openxmlformats-officedocument.spreadsheetml.worksheet+xml"/>
  <Override PartName="/xl/worksheets/sheet90.xml" ContentType="application/vnd.openxmlformats-officedocument.spreadsheetml.worksheet+xml"/>
  <Override PartName="/xl/worksheets/sheet91.xml" ContentType="application/vnd.openxmlformats-officedocument.spreadsheetml.worksheet+xml"/>
  <Override PartName="/xl/worksheets/sheet92.xml" ContentType="application/vnd.openxmlformats-officedocument.spreadsheetml.worksheet+xml"/>
  <Override PartName="/xl/worksheets/sheet93.xml" ContentType="application/vnd.openxmlformats-officedocument.spreadsheetml.worksheet+xml"/>
  <Override PartName="/xl/worksheets/sheet94.xml" ContentType="application/vnd.openxmlformats-officedocument.spreadsheetml.worksheet+xml"/>
  <Override PartName="/xl/worksheets/sheet95.xml" ContentType="application/vnd.openxmlformats-officedocument.spreadsheetml.worksheet+xml"/>
  <Override PartName="/xl/worksheets/sheet96.xml" ContentType="application/vnd.openxmlformats-officedocument.spreadsheetml.worksheet+xml"/>
  <Override PartName="/xl/worksheets/sheet97.xml" ContentType="application/vnd.openxmlformats-officedocument.spreadsheetml.worksheet+xml"/>
  <Override PartName="/xl/worksheets/sheet98.xml" ContentType="application/vnd.openxmlformats-officedocument.spreadsheetml.worksheet+xml"/>
  <Override PartName="/xl/worksheets/sheet99.xml" ContentType="application/vnd.openxmlformats-officedocument.spreadsheetml.worksheet+xml"/>
  <Override PartName="/xl/externalLinks/externalLink1.xml" ContentType="application/vnd.openxmlformats-officedocument.spreadsheetml.externalLink+xml"/>
  <Override PartName="/xl/externalLinks/externalLink2.xml" ContentType="application/vnd.openxmlformats-officedocument.spreadsheetml.externalLink+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929"/>
  <workbookPr defaultThemeVersion="124226"/>
  <mc:AlternateContent xmlns:mc="http://schemas.openxmlformats.org/markup-compatibility/2006">
    <mc:Choice Requires="x15">
      <x15ac:absPath xmlns:x15ac="http://schemas.microsoft.com/office/spreadsheetml/2010/11/ac" url="C:\Users\OliviaAshmoore\Documents\Github Repos\eps-us\InputData\trans\BPoEFUbVT\"/>
    </mc:Choice>
  </mc:AlternateContent>
  <xr:revisionPtr revIDLastSave="0" documentId="13_ncr:1_{00E367A7-BE4D-413D-ACBA-C9B3966C5A1D}" xr6:coauthVersionLast="47" xr6:coauthVersionMax="47" xr10:uidLastSave="{00000000-0000-0000-0000-000000000000}"/>
  <bookViews>
    <workbookView xWindow="-98" yWindow="-98" windowWidth="21795" windowHeight="12975" firstSheet="17" activeTab="19" xr2:uid="{00000000-000D-0000-FFFF-FFFF00000000}"/>
  </bookViews>
  <sheets>
    <sheet name="About" sheetId="1" r:id="rId1"/>
    <sheet name="source data&gt;" sheetId="106" r:id="rId2"/>
    <sheet name="EIA-fuel-ethanol-motor-gasoline" sheetId="97" r:id="rId3"/>
    <sheet name="AEO Table 73" sheetId="103" r:id="rId4"/>
    <sheet name="ethanol content" sheetId="102" r:id="rId5"/>
    <sheet name="AEO 2023 Table 17" sheetId="98" r:id="rId6"/>
    <sheet name="AEO 2023 Table 36 Raw" sheetId="100" r:id="rId7"/>
    <sheet name="AEO 2023 Table 36 " sheetId="99" r:id="rId8"/>
    <sheet name="AEO 2025 Table 17" sheetId="104" r:id="rId9"/>
    <sheet name="AEO 2026 Table 17" sheetId="107" r:id="rId10"/>
    <sheet name="AEO 2025 Table 36" sheetId="105" r:id="rId11"/>
    <sheet name="AEO 2026 Table 36" sheetId="108" r:id="rId12"/>
    <sheet name="Biodiesel Fraction" sheetId="10" r:id="rId13"/>
    <sheet name="Plug-in Hybrid Elec Fraction" sheetId="11" r:id="rId14"/>
    <sheet name="Freight Ships" sheetId="101" r:id="rId15"/>
    <sheet name="LDVs-psgr" sheetId="17" r:id="rId16"/>
    <sheet name="BPoEFUbVT-LDVs-psgr-batelc" sheetId="2" r:id="rId17"/>
    <sheet name="BPoEFUbVT-LDVs-psgr-natgas" sheetId="3" r:id="rId18"/>
    <sheet name="BPoEFUbVT-LDVs-psgr-gasveh" sheetId="5" r:id="rId19"/>
    <sheet name="BPoEFUbVT-LDVs-psgr-dslveh" sheetId="6" r:id="rId20"/>
    <sheet name="BPoEFUbVT-LDVs-psgr-plghyb" sheetId="7" r:id="rId21"/>
    <sheet name="BPoEFUbVT-LDVs-psgr-LPG" sheetId="50" r:id="rId22"/>
    <sheet name="BPoEFUbVT-LDVs-psgr-hydgn" sheetId="51" r:id="rId23"/>
    <sheet name="LDVs-frgt" sheetId="18" r:id="rId24"/>
    <sheet name="BPoEFUbVT-LDVs-frgt-batelc" sheetId="12" r:id="rId25"/>
    <sheet name="BPoEFUbVT-LDVs-frgt-natgas" sheetId="13" r:id="rId26"/>
    <sheet name="BPoEFUbVT-LDVs-frgt-gasveh" sheetId="14" r:id="rId27"/>
    <sheet name="BPoEFUbVT-LDVs-frgt-dslveh" sheetId="15" r:id="rId28"/>
    <sheet name="BPoEFUbVT-LDVs-frgt-plghyb" sheetId="16" r:id="rId29"/>
    <sheet name="BPoEFUbVT-LDVs-frgt-LPG" sheetId="52" r:id="rId30"/>
    <sheet name="BPoEFUbVT-LDVs-frgt-hydgn" sheetId="53" r:id="rId31"/>
    <sheet name="HDVs-psgr" sheetId="24" r:id="rId32"/>
    <sheet name="BPoEFUbVT-HDVs-psgr-batelc" sheetId="19" r:id="rId33"/>
    <sheet name="BPoEFUbVT-HDVs-psgr-natgas" sheetId="20" r:id="rId34"/>
    <sheet name="BPoEFUbVT-HDVs-psgr-gasveh" sheetId="21" r:id="rId35"/>
    <sheet name="BPoEFUbVT-HDVs-psgr-dslveh" sheetId="22" r:id="rId36"/>
    <sheet name="BPoEFUbVT-HDVs-psgr-plghyb" sheetId="23" r:id="rId37"/>
    <sheet name="BPoEFUbVT-HDVs-psgr-LPG" sheetId="54" r:id="rId38"/>
    <sheet name="BPoEFUbVT-HDVs-psgr-hydgn" sheetId="55" r:id="rId39"/>
    <sheet name="HDVs-frgt" sheetId="25" r:id="rId40"/>
    <sheet name="BPoEFUbVT-HDVs-frgt-batelc" sheetId="26" r:id="rId41"/>
    <sheet name="BPoEFUbVT-HDVs-frgt-natgas" sheetId="27" r:id="rId42"/>
    <sheet name="BPoEFUbVT-HDVs-frgt-gasveh" sheetId="28" r:id="rId43"/>
    <sheet name="BPoEFUbVT-HDVs-frgt-dslveh" sheetId="29" r:id="rId44"/>
    <sheet name="BPoEFUbVT-HDVs-frgt-plghyb" sheetId="30" r:id="rId45"/>
    <sheet name="BPoEFUbVT-HDVs-frgt-LPG" sheetId="56" r:id="rId46"/>
    <sheet name="BPoEFUbVT-HDVs-frgt-hydgn" sheetId="57" r:id="rId47"/>
    <sheet name="aircraft-psgr" sheetId="31" r:id="rId48"/>
    <sheet name="BPoEFUbVT-aircraft-psgr-batelc" sheetId="62" r:id="rId49"/>
    <sheet name="BPoEFUbVT-aircraft-psgr-natgas" sheetId="65" r:id="rId50"/>
    <sheet name="BPoEFUbVT-aircraft-psgr-gasveh" sheetId="75" r:id="rId51"/>
    <sheet name="BPoEFUbVT-aircraft-psgr-dslveh" sheetId="63" r:id="rId52"/>
    <sheet name="BPoEFUbVT-aircraft-psgr-hydgn" sheetId="64" r:id="rId53"/>
    <sheet name="aircraft-frgt" sheetId="66" r:id="rId54"/>
    <sheet name="BPoEFUbVT-aircraft-frgt-batelc" sheetId="67" r:id="rId55"/>
    <sheet name="BPoEFUbVT-aircraft-frgt-natgas" sheetId="68" r:id="rId56"/>
    <sheet name="BPoEFUbVT-aircraft-frgt-gasveh" sheetId="76" r:id="rId57"/>
    <sheet name="BPoEFUbVT-aircraft-frgt-dslveh" sheetId="69" r:id="rId58"/>
    <sheet name="BPoEFUbVT-aircraft-frgt-hydgn" sheetId="70" r:id="rId59"/>
    <sheet name="rail-psgr" sheetId="71" r:id="rId60"/>
    <sheet name="BPoEFUbVT-rail-psgr-batelc" sheetId="77" r:id="rId61"/>
    <sheet name="BPoEFUbVT-rail-psgr-natgas" sheetId="78" r:id="rId62"/>
    <sheet name="BPoEFUbVT-rail-psgr-gasveh" sheetId="79" r:id="rId63"/>
    <sheet name="BPoEFUbVT-rail-psgr-dslveh" sheetId="80" r:id="rId64"/>
    <sheet name="BPoEFUbVT-rail-psgr-hydgn" sheetId="81" r:id="rId65"/>
    <sheet name="rail-frgt" sheetId="72" r:id="rId66"/>
    <sheet name="BPoEFUbVT-rail-frgt-batelc" sheetId="82" r:id="rId67"/>
    <sheet name="BPoEFUbVT-rail-frgt-natgas" sheetId="83" r:id="rId68"/>
    <sheet name="BPoEFUbVT-rail-frgt-gasveh" sheetId="84" r:id="rId69"/>
    <sheet name="BPoEFUbVT-rail-frgt-dslveh" sheetId="85" r:id="rId70"/>
    <sheet name="BPoEFUbVT-rail-frgt-hydgn" sheetId="86" r:id="rId71"/>
    <sheet name="ships-psgr" sheetId="73" r:id="rId72"/>
    <sheet name="BPoEFUbVT-ships-psgr-batelc" sheetId="87" r:id="rId73"/>
    <sheet name="BPoEFUbVT-ships-psgr-natgas" sheetId="88" r:id="rId74"/>
    <sheet name="BPoEFUbVT-ships-psgr-gasveh" sheetId="89" r:id="rId75"/>
    <sheet name="BPoEFUbVT-ships-psgr-dslveh" sheetId="90" r:id="rId76"/>
    <sheet name="BPoEFUbVT-ships-psgr-hydgn" sheetId="91" r:id="rId77"/>
    <sheet name="ships-frgt" sheetId="74" r:id="rId78"/>
    <sheet name="BPoEFUbVT-ships-frgt-batelc" sheetId="92" r:id="rId79"/>
    <sheet name="BPoEFUbVT-ships-frgt-natgas" sheetId="93" r:id="rId80"/>
    <sheet name="BPoEFUbVT-ships-frgt-gasveh" sheetId="94" r:id="rId81"/>
    <sheet name="BPoEFUbVT-ships-frgt-dslveh" sheetId="95" r:id="rId82"/>
    <sheet name="BPoEFUbVT-ships-frgt-hydgn" sheetId="96" r:id="rId83"/>
    <sheet name="mtrbks-psgr" sheetId="38" r:id="rId84"/>
    <sheet name="BPoEFUbVT-mtrbks-psgr-batelc" sheetId="39" r:id="rId85"/>
    <sheet name="BPoEFUbVT-mtrbks-psgr-natgas" sheetId="40" r:id="rId86"/>
    <sheet name="BPoEFUbVT-mtrbks-psgr-gasveh" sheetId="41" r:id="rId87"/>
    <sheet name="BPoEFUbVT-mtrbks-psgr-dslveh" sheetId="42" r:id="rId88"/>
    <sheet name="BPoEFUbVT-mtrbks-psgr-plghyb" sheetId="43" r:id="rId89"/>
    <sheet name="BPoEFUbVT-mtrbks-psgr-LPG" sheetId="60" r:id="rId90"/>
    <sheet name="BPoEFUbVT-mtrbks-psgr-hydgn" sheetId="61" r:id="rId91"/>
    <sheet name="mtrbks-frgt" sheetId="44" r:id="rId92"/>
    <sheet name="BPoEFUbVT-mtrbks-frgt-batelc" sheetId="45" r:id="rId93"/>
    <sheet name="BPoEFUbVT-mtrbks-frgt-natgas" sheetId="46" r:id="rId94"/>
    <sheet name="BPoEFUbVT-mtrbks-frgt-gasveh" sheetId="47" r:id="rId95"/>
    <sheet name="BPoEFUbVT-mtrbks-frgt-dslveh" sheetId="48" r:id="rId96"/>
    <sheet name="BPoEFUbVT-mtrbks-frgt-plghyb" sheetId="49" r:id="rId97"/>
    <sheet name="BPoEFUbVT-mtrbks-frgt-LPG" sheetId="58" r:id="rId98"/>
    <sheet name="BPoEFUbVT-mtrbks-frgt-hydgn" sheetId="59" r:id="rId99"/>
  </sheets>
  <externalReferences>
    <externalReference r:id="rId100"/>
    <externalReference r:id="rId101"/>
  </externalReferences>
  <definedNames>
    <definedName name="CH4_Ar4_to_AR5">#REF!</definedName>
    <definedName name="gal_per_barrel" localSheetId="3">[1]About!$A$75</definedName>
    <definedName name="gal_per_barrel">#REF!</definedName>
    <definedName name="HHV_Adjust">[2]About!$A$211</definedName>
    <definedName name="IQ_CH">110000</definedName>
    <definedName name="IQ_CQ">5000</definedName>
    <definedName name="IQ_CY">10000</definedName>
    <definedName name="IQ_DAILY">500000</definedName>
    <definedName name="IQ_FH">100000</definedName>
    <definedName name="IQ_FQ">500</definedName>
    <definedName name="IQ_FWD_CY" hidden="1">10001</definedName>
    <definedName name="IQ_FWD_CY1" hidden="1">10002</definedName>
    <definedName name="IQ_FWD_CY2" hidden="1">10003</definedName>
    <definedName name="IQ_FWD_FY" hidden="1">1001</definedName>
    <definedName name="IQ_FWD_FY1" hidden="1">1002</definedName>
    <definedName name="IQ_FWD_FY2" hidden="1">1003</definedName>
    <definedName name="IQ_FWD_Q" hidden="1">501</definedName>
    <definedName name="IQ_FWD_Q1" hidden="1">502</definedName>
    <definedName name="IQ_FWD_Q2" hidden="1">503</definedName>
    <definedName name="IQ_FY">1000</definedName>
    <definedName name="IQ_LATESTK" hidden="1">1000</definedName>
    <definedName name="IQ_LATESTQ" hidden="1">500</definedName>
    <definedName name="IQ_LTM">2000</definedName>
    <definedName name="IQ_LTMMONTH" hidden="1">120000</definedName>
    <definedName name="IQ_MONTH">15000</definedName>
    <definedName name="IQ_NTM">6000</definedName>
    <definedName name="IQ_TODAY" hidden="1">0</definedName>
    <definedName name="IQ_WEEK">50000</definedName>
    <definedName name="IQ_YTD">3000</definedName>
    <definedName name="IQ_YTDMONTH" hidden="1">130000</definedName>
    <definedName name="metricton_to_shortton">#REF!</definedName>
    <definedName name="million">#REF!</definedName>
    <definedName name="N2O_AR4_to_AR5">#REF!</definedName>
    <definedName name="quadrillion">[2]About!$A$227</definedName>
    <definedName name="shorttons_to_grams">[2]About!$A$226</definedName>
    <definedName name="trillion">[2]About!$A$228</definedName>
    <definedName name="use_lifecycle_biofuel_EIs">[2]About!$A$97</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calcFeatures>
    </ext>
  </extLst>
</workbook>
</file>

<file path=xl/calcChain.xml><?xml version="1.0" encoding="utf-8"?>
<calcChain xmlns="http://schemas.openxmlformats.org/spreadsheetml/2006/main">
  <c r="G7" i="10" l="1"/>
  <c r="H7" i="10"/>
  <c r="I7" i="10"/>
  <c r="J7" i="10"/>
  <c r="K7" i="10"/>
  <c r="L7" i="10"/>
  <c r="M7" i="10"/>
  <c r="N7" i="10"/>
  <c r="O7" i="10"/>
  <c r="P7" i="10"/>
  <c r="Q7" i="10"/>
  <c r="R7" i="10"/>
  <c r="S7" i="10"/>
  <c r="T7" i="10"/>
  <c r="U7" i="10"/>
  <c r="V7" i="10"/>
  <c r="W7" i="10"/>
  <c r="X7" i="10"/>
  <c r="Y7" i="10"/>
  <c r="Z7" i="10"/>
  <c r="AA7" i="10"/>
  <c r="AB7" i="10"/>
  <c r="AC7" i="10"/>
  <c r="AD7" i="10"/>
  <c r="AE7" i="10"/>
  <c r="G8" i="10"/>
  <c r="H8" i="10"/>
  <c r="I8" i="10"/>
  <c r="J8" i="10"/>
  <c r="K8" i="10"/>
  <c r="L8" i="10"/>
  <c r="M8" i="10"/>
  <c r="N8" i="10"/>
  <c r="O8" i="10"/>
  <c r="P8" i="10"/>
  <c r="Q8" i="10"/>
  <c r="R8" i="10"/>
  <c r="S8" i="10"/>
  <c r="T8" i="10"/>
  <c r="U8" i="10"/>
  <c r="V8" i="10"/>
  <c r="W8" i="10"/>
  <c r="X8" i="10"/>
  <c r="Y8" i="10"/>
  <c r="Z8" i="10"/>
  <c r="AA8" i="10"/>
  <c r="AB8" i="10"/>
  <c r="AC8" i="10"/>
  <c r="AD8" i="10"/>
  <c r="AE8" i="10"/>
  <c r="G9" i="10"/>
  <c r="H9" i="10"/>
  <c r="I9" i="10"/>
  <c r="J9" i="10"/>
  <c r="K9" i="10"/>
  <c r="L9" i="10"/>
  <c r="M9" i="10"/>
  <c r="N9" i="10"/>
  <c r="O9" i="10"/>
  <c r="P9" i="10"/>
  <c r="Q9" i="10"/>
  <c r="R9" i="10"/>
  <c r="S9" i="10"/>
  <c r="T9" i="10"/>
  <c r="U9" i="10"/>
  <c r="V9" i="10"/>
  <c r="W9" i="10"/>
  <c r="X9" i="10"/>
  <c r="Y9" i="10"/>
  <c r="Z9" i="10"/>
  <c r="AA9" i="10"/>
  <c r="AB9" i="10"/>
  <c r="AC9" i="10"/>
  <c r="AD9" i="10"/>
  <c r="AE9" i="10"/>
  <c r="G10" i="10"/>
  <c r="H10" i="10"/>
  <c r="I10" i="10"/>
  <c r="J10" i="10"/>
  <c r="K10" i="10"/>
  <c r="L10" i="10"/>
  <c r="M10" i="10"/>
  <c r="N10" i="10"/>
  <c r="O10" i="10"/>
  <c r="P10" i="10"/>
  <c r="Q10" i="10"/>
  <c r="R10" i="10"/>
  <c r="S10" i="10"/>
  <c r="T10" i="10"/>
  <c r="U10" i="10"/>
  <c r="V10" i="10"/>
  <c r="W10" i="10"/>
  <c r="X10" i="10"/>
  <c r="Y10" i="10"/>
  <c r="Z10" i="10"/>
  <c r="AA10" i="10"/>
  <c r="AB10" i="10"/>
  <c r="AC10" i="10"/>
  <c r="AD10" i="10"/>
  <c r="AE10" i="10"/>
  <c r="G11" i="10"/>
  <c r="H11" i="10"/>
  <c r="I11" i="10"/>
  <c r="J11" i="10"/>
  <c r="K11" i="10"/>
  <c r="L11" i="10"/>
  <c r="M11" i="10"/>
  <c r="N11" i="10"/>
  <c r="O11" i="10"/>
  <c r="P11" i="10"/>
  <c r="Q11" i="10"/>
  <c r="R11" i="10"/>
  <c r="S11" i="10"/>
  <c r="T11" i="10"/>
  <c r="U11" i="10"/>
  <c r="V11" i="10"/>
  <c r="W11" i="10"/>
  <c r="X11" i="10"/>
  <c r="Y11" i="10"/>
  <c r="Z11" i="10"/>
  <c r="AA11" i="10"/>
  <c r="AB11" i="10"/>
  <c r="AC11" i="10"/>
  <c r="AD11" i="10"/>
  <c r="AE11" i="10"/>
  <c r="G12" i="10"/>
  <c r="H12" i="10"/>
  <c r="I12" i="10"/>
  <c r="J12" i="10"/>
  <c r="K12" i="10"/>
  <c r="L12" i="10"/>
  <c r="M12" i="10"/>
  <c r="N12" i="10"/>
  <c r="O12" i="10"/>
  <c r="P12" i="10"/>
  <c r="Q12" i="10"/>
  <c r="R12" i="10"/>
  <c r="S12" i="10"/>
  <c r="T12" i="10"/>
  <c r="U12" i="10"/>
  <c r="V12" i="10"/>
  <c r="W12" i="10"/>
  <c r="X12" i="10"/>
  <c r="Y12" i="10"/>
  <c r="Z12" i="10"/>
  <c r="AA12" i="10"/>
  <c r="AB12" i="10"/>
  <c r="AC12" i="10"/>
  <c r="AD12" i="10"/>
  <c r="AE12" i="10"/>
  <c r="G13" i="10"/>
  <c r="H13" i="10"/>
  <c r="I13" i="10"/>
  <c r="J13" i="10"/>
  <c r="K13" i="10"/>
  <c r="L13" i="10"/>
  <c r="M13" i="10"/>
  <c r="N13" i="10"/>
  <c r="O13" i="10"/>
  <c r="P13" i="10"/>
  <c r="Q13" i="10"/>
  <c r="R13" i="10"/>
  <c r="S13" i="10"/>
  <c r="T13" i="10"/>
  <c r="U13" i="10"/>
  <c r="V13" i="10"/>
  <c r="W13" i="10"/>
  <c r="X13" i="10"/>
  <c r="Y13" i="10"/>
  <c r="Z13" i="10"/>
  <c r="AA13" i="10"/>
  <c r="AB13" i="10"/>
  <c r="AC13" i="10"/>
  <c r="AD13" i="10"/>
  <c r="AE13" i="10"/>
  <c r="G14" i="10"/>
  <c r="H14" i="10"/>
  <c r="I14" i="10"/>
  <c r="J14" i="10"/>
  <c r="K14" i="10"/>
  <c r="L14" i="10"/>
  <c r="M14" i="10"/>
  <c r="N14" i="10"/>
  <c r="O14" i="10"/>
  <c r="P14" i="10"/>
  <c r="Q14" i="10"/>
  <c r="R14" i="10"/>
  <c r="S14" i="10"/>
  <c r="T14" i="10"/>
  <c r="U14" i="10"/>
  <c r="V14" i="10"/>
  <c r="W14" i="10"/>
  <c r="X14" i="10"/>
  <c r="Y14" i="10"/>
  <c r="Z14" i="10"/>
  <c r="AA14" i="10"/>
  <c r="AB14" i="10"/>
  <c r="AC14" i="10"/>
  <c r="AD14" i="10"/>
  <c r="AE14" i="10"/>
  <c r="G15" i="10"/>
  <c r="H15" i="10"/>
  <c r="I15" i="10"/>
  <c r="J15" i="10"/>
  <c r="K15" i="10"/>
  <c r="L15" i="10"/>
  <c r="M15" i="10"/>
  <c r="N15" i="10"/>
  <c r="O15" i="10"/>
  <c r="P15" i="10"/>
  <c r="Q15" i="10"/>
  <c r="R15" i="10"/>
  <c r="S15" i="10"/>
  <c r="T15" i="10"/>
  <c r="U15" i="10"/>
  <c r="V15" i="10"/>
  <c r="W15" i="10"/>
  <c r="X15" i="10"/>
  <c r="Y15" i="10"/>
  <c r="Z15" i="10"/>
  <c r="AA15" i="10"/>
  <c r="AB15" i="10"/>
  <c r="AC15" i="10"/>
  <c r="AD15" i="10"/>
  <c r="AE15" i="10"/>
  <c r="F15" i="10"/>
  <c r="F14" i="10"/>
  <c r="F13" i="10"/>
  <c r="F12" i="10"/>
  <c r="F11" i="10"/>
  <c r="F10" i="10"/>
  <c r="F9" i="10"/>
  <c r="AB30" i="10"/>
  <c r="F8" i="10"/>
  <c r="F7" i="10"/>
  <c r="AE1" i="59"/>
  <c r="AD1" i="59"/>
  <c r="AC1" i="59"/>
  <c r="AB1" i="59"/>
  <c r="AA1" i="59"/>
  <c r="Z1" i="59"/>
  <c r="Y1" i="59"/>
  <c r="X1" i="59"/>
  <c r="W1" i="59"/>
  <c r="V1" i="59"/>
  <c r="U1" i="59"/>
  <c r="T1" i="59"/>
  <c r="S1" i="59"/>
  <c r="R1" i="59"/>
  <c r="Q1" i="59"/>
  <c r="P1" i="59"/>
  <c r="O1" i="59"/>
  <c r="N1" i="59"/>
  <c r="M1" i="59"/>
  <c r="L1" i="59"/>
  <c r="K1" i="59"/>
  <c r="J1" i="59"/>
  <c r="I1" i="59"/>
  <c r="H1" i="59"/>
  <c r="G1" i="59"/>
  <c r="F1" i="59"/>
  <c r="E1" i="59"/>
  <c r="D1" i="59"/>
  <c r="C1" i="59"/>
  <c r="B1" i="59"/>
  <c r="AE1" i="58"/>
  <c r="AD1" i="58"/>
  <c r="AC1" i="58"/>
  <c r="AB1" i="58"/>
  <c r="AA1" i="58"/>
  <c r="Z1" i="58"/>
  <c r="Y1" i="58"/>
  <c r="X1" i="58"/>
  <c r="W1" i="58"/>
  <c r="V1" i="58"/>
  <c r="U1" i="58"/>
  <c r="T1" i="58"/>
  <c r="S1" i="58"/>
  <c r="R1" i="58"/>
  <c r="Q1" i="58"/>
  <c r="P1" i="58"/>
  <c r="O1" i="58"/>
  <c r="N1" i="58"/>
  <c r="M1" i="58"/>
  <c r="L1" i="58"/>
  <c r="K1" i="58"/>
  <c r="J1" i="58"/>
  <c r="I1" i="58"/>
  <c r="H1" i="58"/>
  <c r="G1" i="58"/>
  <c r="F1" i="58"/>
  <c r="E1" i="58"/>
  <c r="D1" i="58"/>
  <c r="C1" i="58"/>
  <c r="B1" i="58"/>
  <c r="D15" i="10"/>
  <c r="E15" i="10"/>
  <c r="E14" i="10"/>
  <c r="E13" i="10"/>
  <c r="E12" i="10"/>
  <c r="E11" i="10"/>
  <c r="E10" i="10"/>
  <c r="E9" i="10"/>
  <c r="E8" i="10"/>
  <c r="E7" i="10"/>
  <c r="J3" i="102"/>
  <c r="J7" i="102"/>
  <c r="J8" i="102" s="1"/>
  <c r="J6" i="102"/>
  <c r="J5" i="102"/>
  <c r="S6" i="14"/>
  <c r="F9" i="103"/>
  <c r="C9" i="103"/>
  <c r="B6" i="28"/>
  <c r="V6" i="28" s="1"/>
  <c r="B6" i="21"/>
  <c r="L6" i="21" s="1"/>
  <c r="D6" i="16"/>
  <c r="I6" i="16"/>
  <c r="L6" i="16"/>
  <c r="M6" i="16"/>
  <c r="P6" i="16"/>
  <c r="Q6" i="16"/>
  <c r="T6" i="16"/>
  <c r="V6" i="16"/>
  <c r="W6" i="16"/>
  <c r="X6" i="16"/>
  <c r="Z6" i="16"/>
  <c r="B6" i="16"/>
  <c r="N6" i="16" s="1"/>
  <c r="C6" i="14"/>
  <c r="D6" i="14"/>
  <c r="E6" i="14"/>
  <c r="F6" i="14"/>
  <c r="G6" i="14"/>
  <c r="H6" i="14"/>
  <c r="I6" i="14"/>
  <c r="J6" i="14"/>
  <c r="K6" i="14"/>
  <c r="L6" i="14"/>
  <c r="M6" i="14"/>
  <c r="N6" i="14"/>
  <c r="O6" i="14"/>
  <c r="P6" i="14"/>
  <c r="Q6" i="14"/>
  <c r="R6" i="14"/>
  <c r="T6" i="14"/>
  <c r="U6" i="14"/>
  <c r="V6" i="14"/>
  <c r="W6" i="14"/>
  <c r="X6" i="14"/>
  <c r="Y6" i="14"/>
  <c r="Z6" i="14"/>
  <c r="AA6" i="14"/>
  <c r="AB6" i="14"/>
  <c r="AC6" i="14"/>
  <c r="AD6" i="14"/>
  <c r="AE6" i="14"/>
  <c r="B6" i="14"/>
  <c r="B6" i="5"/>
  <c r="K6" i="5" s="1"/>
  <c r="D30" i="10" l="1"/>
  <c r="C30" i="10"/>
  <c r="W6" i="5"/>
  <c r="U6" i="5"/>
  <c r="T6" i="5"/>
  <c r="Q6" i="5"/>
  <c r="K6" i="16"/>
  <c r="N6" i="5"/>
  <c r="J6" i="16"/>
  <c r="V6" i="5"/>
  <c r="J6" i="5"/>
  <c r="I6" i="5"/>
  <c r="H6" i="5"/>
  <c r="H6" i="21"/>
  <c r="E6" i="5"/>
  <c r="AC6" i="16"/>
  <c r="AB6" i="16"/>
  <c r="B6" i="7"/>
  <c r="E6" i="7" s="1"/>
  <c r="AA6" i="16"/>
  <c r="X6" i="5"/>
  <c r="Z6" i="5"/>
  <c r="Y6" i="5"/>
  <c r="G6" i="5"/>
  <c r="F6" i="5"/>
  <c r="Y6" i="16"/>
  <c r="AE6" i="21"/>
  <c r="E6" i="21"/>
  <c r="AC6" i="21"/>
  <c r="AA6" i="21"/>
  <c r="Z6" i="21"/>
  <c r="U6" i="28"/>
  <c r="Y6" i="21"/>
  <c r="T6" i="28"/>
  <c r="X6" i="21"/>
  <c r="S6" i="28"/>
  <c r="G6" i="21"/>
  <c r="F6" i="21"/>
  <c r="AD6" i="21"/>
  <c r="D6" i="21"/>
  <c r="AB6" i="21"/>
  <c r="AB6" i="28"/>
  <c r="W6" i="21"/>
  <c r="R6" i="28"/>
  <c r="V6" i="21"/>
  <c r="Q6" i="28"/>
  <c r="U6" i="21"/>
  <c r="P6" i="28"/>
  <c r="T6" i="21"/>
  <c r="O6" i="28"/>
  <c r="R6" i="21"/>
  <c r="N6" i="28"/>
  <c r="D6" i="5"/>
  <c r="O6" i="21"/>
  <c r="M6" i="28"/>
  <c r="AD6" i="5"/>
  <c r="H6" i="16"/>
  <c r="N6" i="21"/>
  <c r="H6" i="28"/>
  <c r="AC6" i="5"/>
  <c r="C6" i="16"/>
  <c r="G6" i="16"/>
  <c r="K6" i="21"/>
  <c r="AB6" i="5"/>
  <c r="AE6" i="16"/>
  <c r="F6" i="16"/>
  <c r="J6" i="21"/>
  <c r="AA6" i="5"/>
  <c r="AD6" i="16"/>
  <c r="E6" i="16"/>
  <c r="I6" i="21"/>
  <c r="C6" i="28"/>
  <c r="L6" i="28"/>
  <c r="AE6" i="28"/>
  <c r="K6" i="28"/>
  <c r="S6" i="5"/>
  <c r="AD6" i="28"/>
  <c r="J6" i="28"/>
  <c r="R6" i="5"/>
  <c r="U6" i="16"/>
  <c r="S6" i="21"/>
  <c r="AC6" i="28"/>
  <c r="I6" i="28"/>
  <c r="P6" i="5"/>
  <c r="S6" i="16"/>
  <c r="Q6" i="21"/>
  <c r="AA6" i="28"/>
  <c r="G6" i="28"/>
  <c r="O6" i="5"/>
  <c r="R6" i="16"/>
  <c r="P6" i="21"/>
  <c r="Z6" i="28"/>
  <c r="F6" i="28"/>
  <c r="Y6" i="28"/>
  <c r="X6" i="28"/>
  <c r="C6" i="5"/>
  <c r="W6" i="28"/>
  <c r="E6" i="28"/>
  <c r="M6" i="5"/>
  <c r="D6" i="28"/>
  <c r="L6" i="5"/>
  <c r="O6" i="16"/>
  <c r="M6" i="21"/>
  <c r="AE6" i="5"/>
  <c r="B4" i="16"/>
  <c r="C6" i="21"/>
  <c r="B9" i="95"/>
  <c r="B5" i="95"/>
  <c r="J4" i="101"/>
  <c r="J3" i="101"/>
  <c r="I4" i="101"/>
  <c r="I3" i="101"/>
  <c r="L6" i="7" l="1"/>
  <c r="Y6" i="7"/>
  <c r="C6" i="7"/>
  <c r="H6" i="7"/>
  <c r="AB6" i="7"/>
  <c r="D6" i="7"/>
  <c r="T6" i="7"/>
  <c r="U6" i="7"/>
  <c r="P6" i="7"/>
  <c r="Q6" i="7"/>
  <c r="R6" i="7"/>
  <c r="S6" i="7"/>
  <c r="I6" i="7"/>
  <c r="O6" i="7"/>
  <c r="AC6" i="7"/>
  <c r="M6" i="7"/>
  <c r="B4" i="7"/>
  <c r="N4" i="7" s="1"/>
  <c r="F6" i="7"/>
  <c r="G6" i="7"/>
  <c r="K6" i="7"/>
  <c r="N6" i="7"/>
  <c r="Z6" i="7"/>
  <c r="X6" i="7"/>
  <c r="AA6" i="7"/>
  <c r="V6" i="7"/>
  <c r="J6" i="7"/>
  <c r="AD6" i="7"/>
  <c r="AE6" i="7"/>
  <c r="W6" i="7"/>
  <c r="V4" i="16"/>
  <c r="W4" i="16"/>
  <c r="D4" i="16"/>
  <c r="E4" i="16"/>
  <c r="Y4" i="16"/>
  <c r="H4" i="16"/>
  <c r="AB4" i="16"/>
  <c r="X4" i="16"/>
  <c r="R4" i="16"/>
  <c r="F4" i="16"/>
  <c r="Z4" i="16"/>
  <c r="G4" i="16"/>
  <c r="AA4" i="16"/>
  <c r="P4" i="16"/>
  <c r="S4" i="16"/>
  <c r="U4" i="16"/>
  <c r="C4" i="16"/>
  <c r="I4" i="16"/>
  <c r="AC4" i="16"/>
  <c r="J4" i="16"/>
  <c r="AD4" i="16"/>
  <c r="K4" i="16"/>
  <c r="AE4" i="16"/>
  <c r="L4" i="16"/>
  <c r="M4" i="16"/>
  <c r="N4" i="16"/>
  <c r="O4" i="16"/>
  <c r="Q4" i="16"/>
  <c r="T4" i="16"/>
  <c r="L4" i="7"/>
  <c r="M4" i="7"/>
  <c r="V4" i="7"/>
  <c r="D4" i="7"/>
  <c r="AE4" i="7"/>
  <c r="D5" i="95"/>
  <c r="E5" i="95"/>
  <c r="F5" i="95" s="1"/>
  <c r="G5" i="95" s="1"/>
  <c r="H5" i="95" s="1"/>
  <c r="I5" i="95" s="1"/>
  <c r="J5" i="95" s="1"/>
  <c r="K5" i="95" s="1"/>
  <c r="L5" i="95" s="1"/>
  <c r="M5" i="95" s="1"/>
  <c r="N5" i="95" s="1"/>
  <c r="O5" i="95" s="1"/>
  <c r="P5" i="95" s="1"/>
  <c r="Q5" i="95" s="1"/>
  <c r="R5" i="95" s="1"/>
  <c r="S5" i="95" s="1"/>
  <c r="T5" i="95" s="1"/>
  <c r="U5" i="95" s="1"/>
  <c r="V5" i="95" s="1"/>
  <c r="W5" i="95" s="1"/>
  <c r="X5" i="95" s="1"/>
  <c r="Y5" i="95" s="1"/>
  <c r="Z5" i="95" s="1"/>
  <c r="AA5" i="95" s="1"/>
  <c r="AB5" i="95" s="1"/>
  <c r="AC5" i="95" s="1"/>
  <c r="AD5" i="95" s="1"/>
  <c r="AE5" i="95" s="1"/>
  <c r="C5" i="95"/>
  <c r="C9" i="95"/>
  <c r="D9" i="95" s="1"/>
  <c r="E9" i="95" s="1"/>
  <c r="F9" i="95" s="1"/>
  <c r="G9" i="95" s="1"/>
  <c r="H9" i="95" s="1"/>
  <c r="I9" i="95" s="1"/>
  <c r="J9" i="95" s="1"/>
  <c r="K9" i="95" s="1"/>
  <c r="L9" i="95" s="1"/>
  <c r="M9" i="95" s="1"/>
  <c r="N9" i="95" s="1"/>
  <c r="O9" i="95" s="1"/>
  <c r="P9" i="95" s="1"/>
  <c r="Q9" i="95" s="1"/>
  <c r="R9" i="95" s="1"/>
  <c r="S9" i="95" s="1"/>
  <c r="T9" i="95" s="1"/>
  <c r="U9" i="95" s="1"/>
  <c r="V9" i="95" s="1"/>
  <c r="W9" i="95" s="1"/>
  <c r="X9" i="95" s="1"/>
  <c r="Y9" i="95" s="1"/>
  <c r="Z9" i="95" s="1"/>
  <c r="AA9" i="95" s="1"/>
  <c r="AB9" i="95" s="1"/>
  <c r="AC9" i="95" s="1"/>
  <c r="AD9" i="95" s="1"/>
  <c r="AE9" i="95" s="1"/>
  <c r="AF116" i="99"/>
  <c r="AE116" i="99"/>
  <c r="AD116" i="99"/>
  <c r="AC116" i="99"/>
  <c r="AB116" i="99"/>
  <c r="AA116" i="99"/>
  <c r="Z116" i="99"/>
  <c r="Y116" i="99"/>
  <c r="X116" i="99"/>
  <c r="W116" i="99"/>
  <c r="V116" i="99"/>
  <c r="U116" i="99"/>
  <c r="T116" i="99"/>
  <c r="S116" i="99"/>
  <c r="R116" i="99"/>
  <c r="Q116" i="99"/>
  <c r="P116" i="99"/>
  <c r="O116" i="99"/>
  <c r="N116" i="99"/>
  <c r="M116" i="99"/>
  <c r="L116" i="99"/>
  <c r="K116" i="99"/>
  <c r="J116" i="99"/>
  <c r="I116" i="99"/>
  <c r="H116" i="99"/>
  <c r="G116" i="99"/>
  <c r="F116" i="99"/>
  <c r="E116" i="99"/>
  <c r="D116" i="99"/>
  <c r="AF114" i="99"/>
  <c r="AE114" i="99"/>
  <c r="AD114" i="99"/>
  <c r="AC114" i="99"/>
  <c r="AB114" i="99"/>
  <c r="AA114" i="99"/>
  <c r="Z114" i="99"/>
  <c r="Y114" i="99"/>
  <c r="X114" i="99"/>
  <c r="W114" i="99"/>
  <c r="V114" i="99"/>
  <c r="U114" i="99"/>
  <c r="T114" i="99"/>
  <c r="S114" i="99"/>
  <c r="R114" i="99"/>
  <c r="Q114" i="99"/>
  <c r="P114" i="99"/>
  <c r="O114" i="99"/>
  <c r="N114" i="99"/>
  <c r="M114" i="99"/>
  <c r="L114" i="99"/>
  <c r="K114" i="99"/>
  <c r="J114" i="99"/>
  <c r="I114" i="99"/>
  <c r="H114" i="99"/>
  <c r="G114" i="99"/>
  <c r="F114" i="99"/>
  <c r="E114" i="99"/>
  <c r="D114" i="99"/>
  <c r="AF113" i="99"/>
  <c r="AE113" i="99"/>
  <c r="AD113" i="99"/>
  <c r="AC113" i="99"/>
  <c r="AB113" i="99"/>
  <c r="AA113" i="99"/>
  <c r="Z113" i="99"/>
  <c r="Y113" i="99"/>
  <c r="X113" i="99"/>
  <c r="W113" i="99"/>
  <c r="V113" i="99"/>
  <c r="U113" i="99"/>
  <c r="T113" i="99"/>
  <c r="S113" i="99"/>
  <c r="R113" i="99"/>
  <c r="Q113" i="99"/>
  <c r="P113" i="99"/>
  <c r="O113" i="99"/>
  <c r="N113" i="99"/>
  <c r="M113" i="99"/>
  <c r="L113" i="99"/>
  <c r="K113" i="99"/>
  <c r="J113" i="99"/>
  <c r="I113" i="99"/>
  <c r="H113" i="99"/>
  <c r="G113" i="99"/>
  <c r="F113" i="99"/>
  <c r="E113" i="99"/>
  <c r="D113" i="99"/>
  <c r="AF111" i="99"/>
  <c r="AE111" i="99"/>
  <c r="AD111" i="99"/>
  <c r="AC111" i="99"/>
  <c r="AB111" i="99"/>
  <c r="AA111" i="99"/>
  <c r="Z111" i="99"/>
  <c r="Y111" i="99"/>
  <c r="X111" i="99"/>
  <c r="W111" i="99"/>
  <c r="V111" i="99"/>
  <c r="U111" i="99"/>
  <c r="T111" i="99"/>
  <c r="S111" i="99"/>
  <c r="R111" i="99"/>
  <c r="Q111" i="99"/>
  <c r="P111" i="99"/>
  <c r="O111" i="99"/>
  <c r="N111" i="99"/>
  <c r="M111" i="99"/>
  <c r="L111" i="99"/>
  <c r="K111" i="99"/>
  <c r="J111" i="99"/>
  <c r="I111" i="99"/>
  <c r="H111" i="99"/>
  <c r="G111" i="99"/>
  <c r="F111" i="99"/>
  <c r="E111" i="99"/>
  <c r="D111" i="99"/>
  <c r="AF110" i="99"/>
  <c r="AE110" i="99"/>
  <c r="AD110" i="99"/>
  <c r="AC110" i="99"/>
  <c r="AB110" i="99"/>
  <c r="AA110" i="99"/>
  <c r="Z110" i="99"/>
  <c r="Y110" i="99"/>
  <c r="X110" i="99"/>
  <c r="W110" i="99"/>
  <c r="V110" i="99"/>
  <c r="U110" i="99"/>
  <c r="T110" i="99"/>
  <c r="S110" i="99"/>
  <c r="R110" i="99"/>
  <c r="Q110" i="99"/>
  <c r="P110" i="99"/>
  <c r="O110" i="99"/>
  <c r="N110" i="99"/>
  <c r="M110" i="99"/>
  <c r="L110" i="99"/>
  <c r="K110" i="99"/>
  <c r="J110" i="99"/>
  <c r="I110" i="99"/>
  <c r="H110" i="99"/>
  <c r="G110" i="99"/>
  <c r="F110" i="99"/>
  <c r="E110" i="99"/>
  <c r="D110" i="99"/>
  <c r="AF109" i="99"/>
  <c r="AE109" i="99"/>
  <c r="AD109" i="99"/>
  <c r="AC109" i="99"/>
  <c r="AB109" i="99"/>
  <c r="AA109" i="99"/>
  <c r="Z109" i="99"/>
  <c r="Y109" i="99"/>
  <c r="X109" i="99"/>
  <c r="W109" i="99"/>
  <c r="V109" i="99"/>
  <c r="U109" i="99"/>
  <c r="T109" i="99"/>
  <c r="S109" i="99"/>
  <c r="R109" i="99"/>
  <c r="Q109" i="99"/>
  <c r="P109" i="99"/>
  <c r="O109" i="99"/>
  <c r="N109" i="99"/>
  <c r="M109" i="99"/>
  <c r="L109" i="99"/>
  <c r="K109" i="99"/>
  <c r="J109" i="99"/>
  <c r="I109" i="99"/>
  <c r="H109" i="99"/>
  <c r="G109" i="99"/>
  <c r="F109" i="99"/>
  <c r="E109" i="99"/>
  <c r="D109" i="99"/>
  <c r="AF107" i="99"/>
  <c r="AE107" i="99"/>
  <c r="AD107" i="99"/>
  <c r="AC107" i="99"/>
  <c r="AB107" i="99"/>
  <c r="AA107" i="99"/>
  <c r="Z107" i="99"/>
  <c r="Y107" i="99"/>
  <c r="X107" i="99"/>
  <c r="W107" i="99"/>
  <c r="V107" i="99"/>
  <c r="U107" i="99"/>
  <c r="T107" i="99"/>
  <c r="S107" i="99"/>
  <c r="R107" i="99"/>
  <c r="Q107" i="99"/>
  <c r="P107" i="99"/>
  <c r="O107" i="99"/>
  <c r="N107" i="99"/>
  <c r="M107" i="99"/>
  <c r="L107" i="99"/>
  <c r="K107" i="99"/>
  <c r="J107" i="99"/>
  <c r="I107" i="99"/>
  <c r="H107" i="99"/>
  <c r="G107" i="99"/>
  <c r="F107" i="99"/>
  <c r="E107" i="99"/>
  <c r="D107" i="99"/>
  <c r="AF106" i="99"/>
  <c r="AE106" i="99"/>
  <c r="AD106" i="99"/>
  <c r="AC106" i="99"/>
  <c r="AB106" i="99"/>
  <c r="AA106" i="99"/>
  <c r="Z106" i="99"/>
  <c r="Y106" i="99"/>
  <c r="X106" i="99"/>
  <c r="W106" i="99"/>
  <c r="V106" i="99"/>
  <c r="U106" i="99"/>
  <c r="T106" i="99"/>
  <c r="S106" i="99"/>
  <c r="R106" i="99"/>
  <c r="Q106" i="99"/>
  <c r="P106" i="99"/>
  <c r="O106" i="99"/>
  <c r="N106" i="99"/>
  <c r="M106" i="99"/>
  <c r="L106" i="99"/>
  <c r="K106" i="99"/>
  <c r="J106" i="99"/>
  <c r="I106" i="99"/>
  <c r="H106" i="99"/>
  <c r="G106" i="99"/>
  <c r="F106" i="99"/>
  <c r="E106" i="99"/>
  <c r="D106" i="99"/>
  <c r="AF105" i="99"/>
  <c r="AE105" i="99"/>
  <c r="AD105" i="99"/>
  <c r="AC105" i="99"/>
  <c r="AB105" i="99"/>
  <c r="AA105" i="99"/>
  <c r="Z105" i="99"/>
  <c r="Y105" i="99"/>
  <c r="X105" i="99"/>
  <c r="W105" i="99"/>
  <c r="V105" i="99"/>
  <c r="U105" i="99"/>
  <c r="T105" i="99"/>
  <c r="S105" i="99"/>
  <c r="R105" i="99"/>
  <c r="Q105" i="99"/>
  <c r="P105" i="99"/>
  <c r="O105" i="99"/>
  <c r="N105" i="99"/>
  <c r="M105" i="99"/>
  <c r="L105" i="99"/>
  <c r="K105" i="99"/>
  <c r="J105" i="99"/>
  <c r="I105" i="99"/>
  <c r="H105" i="99"/>
  <c r="G105" i="99"/>
  <c r="F105" i="99"/>
  <c r="E105" i="99"/>
  <c r="D105" i="99"/>
  <c r="AF104" i="99"/>
  <c r="AE104" i="99"/>
  <c r="AD104" i="99"/>
  <c r="AC104" i="99"/>
  <c r="AB104" i="99"/>
  <c r="AA104" i="99"/>
  <c r="Z104" i="99"/>
  <c r="Y104" i="99"/>
  <c r="X104" i="99"/>
  <c r="W104" i="99"/>
  <c r="V104" i="99"/>
  <c r="U104" i="99"/>
  <c r="T104" i="99"/>
  <c r="S104" i="99"/>
  <c r="R104" i="99"/>
  <c r="Q104" i="99"/>
  <c r="P104" i="99"/>
  <c r="O104" i="99"/>
  <c r="N104" i="99"/>
  <c r="M104" i="99"/>
  <c r="L104" i="99"/>
  <c r="K104" i="99"/>
  <c r="J104" i="99"/>
  <c r="I104" i="99"/>
  <c r="H104" i="99"/>
  <c r="G104" i="99"/>
  <c r="F104" i="99"/>
  <c r="E104" i="99"/>
  <c r="D104" i="99"/>
  <c r="AF103" i="99"/>
  <c r="AE103" i="99"/>
  <c r="AD103" i="99"/>
  <c r="AC103" i="99"/>
  <c r="AB103" i="99"/>
  <c r="AA103" i="99"/>
  <c r="Z103" i="99"/>
  <c r="Y103" i="99"/>
  <c r="X103" i="99"/>
  <c r="W103" i="99"/>
  <c r="V103" i="99"/>
  <c r="U103" i="99"/>
  <c r="T103" i="99"/>
  <c r="S103" i="99"/>
  <c r="R103" i="99"/>
  <c r="Q103" i="99"/>
  <c r="P103" i="99"/>
  <c r="O103" i="99"/>
  <c r="N103" i="99"/>
  <c r="M103" i="99"/>
  <c r="L103" i="99"/>
  <c r="K103" i="99"/>
  <c r="J103" i="99"/>
  <c r="I103" i="99"/>
  <c r="H103" i="99"/>
  <c r="G103" i="99"/>
  <c r="F103" i="99"/>
  <c r="E103" i="99"/>
  <c r="D103" i="99"/>
  <c r="AF102" i="99"/>
  <c r="AE102" i="99"/>
  <c r="AD102" i="99"/>
  <c r="AC102" i="99"/>
  <c r="AB102" i="99"/>
  <c r="AA102" i="99"/>
  <c r="Z102" i="99"/>
  <c r="Y102" i="99"/>
  <c r="X102" i="99"/>
  <c r="W102" i="99"/>
  <c r="V102" i="99"/>
  <c r="U102" i="99"/>
  <c r="T102" i="99"/>
  <c r="S102" i="99"/>
  <c r="R102" i="99"/>
  <c r="Q102" i="99"/>
  <c r="P102" i="99"/>
  <c r="O102" i="99"/>
  <c r="N102" i="99"/>
  <c r="M102" i="99"/>
  <c r="L102" i="99"/>
  <c r="K102" i="99"/>
  <c r="J102" i="99"/>
  <c r="I102" i="99"/>
  <c r="H102" i="99"/>
  <c r="G102" i="99"/>
  <c r="F102" i="99"/>
  <c r="E102" i="99"/>
  <c r="D102" i="99"/>
  <c r="AF101" i="99"/>
  <c r="AE101" i="99"/>
  <c r="AD101" i="99"/>
  <c r="AC101" i="99"/>
  <c r="AB101" i="99"/>
  <c r="AA101" i="99"/>
  <c r="Z101" i="99"/>
  <c r="Y101" i="99"/>
  <c r="X101" i="99"/>
  <c r="W101" i="99"/>
  <c r="V101" i="99"/>
  <c r="U101" i="99"/>
  <c r="T101" i="99"/>
  <c r="S101" i="99"/>
  <c r="R101" i="99"/>
  <c r="Q101" i="99"/>
  <c r="P101" i="99"/>
  <c r="O101" i="99"/>
  <c r="N101" i="99"/>
  <c r="M101" i="99"/>
  <c r="L101" i="99"/>
  <c r="K101" i="99"/>
  <c r="J101" i="99"/>
  <c r="I101" i="99"/>
  <c r="H101" i="99"/>
  <c r="G101" i="99"/>
  <c r="F101" i="99"/>
  <c r="E101" i="99"/>
  <c r="D101" i="99"/>
  <c r="AF100" i="99"/>
  <c r="AE100" i="99"/>
  <c r="AD100" i="99"/>
  <c r="AC100" i="99"/>
  <c r="AB100" i="99"/>
  <c r="AA100" i="99"/>
  <c r="Z100" i="99"/>
  <c r="Y100" i="99"/>
  <c r="X100" i="99"/>
  <c r="W100" i="99"/>
  <c r="V100" i="99"/>
  <c r="U100" i="99"/>
  <c r="T100" i="99"/>
  <c r="S100" i="99"/>
  <c r="R100" i="99"/>
  <c r="Q100" i="99"/>
  <c r="P100" i="99"/>
  <c r="O100" i="99"/>
  <c r="N100" i="99"/>
  <c r="M100" i="99"/>
  <c r="L100" i="99"/>
  <c r="K100" i="99"/>
  <c r="J100" i="99"/>
  <c r="I100" i="99"/>
  <c r="H100" i="99"/>
  <c r="G100" i="99"/>
  <c r="F100" i="99"/>
  <c r="E100" i="99"/>
  <c r="D100" i="99"/>
  <c r="AF99" i="99"/>
  <c r="AE99" i="99"/>
  <c r="AD99" i="99"/>
  <c r="AC99" i="99"/>
  <c r="AB99" i="99"/>
  <c r="AA99" i="99"/>
  <c r="Z99" i="99"/>
  <c r="Y99" i="99"/>
  <c r="X99" i="99"/>
  <c r="W99" i="99"/>
  <c r="V99" i="99"/>
  <c r="U99" i="99"/>
  <c r="T99" i="99"/>
  <c r="S99" i="99"/>
  <c r="R99" i="99"/>
  <c r="Q99" i="99"/>
  <c r="P99" i="99"/>
  <c r="O99" i="99"/>
  <c r="N99" i="99"/>
  <c r="M99" i="99"/>
  <c r="L99" i="99"/>
  <c r="K99" i="99"/>
  <c r="J99" i="99"/>
  <c r="I99" i="99"/>
  <c r="H99" i="99"/>
  <c r="G99" i="99"/>
  <c r="F99" i="99"/>
  <c r="E99" i="99"/>
  <c r="D99" i="99"/>
  <c r="AF98" i="99"/>
  <c r="AE98" i="99"/>
  <c r="AD98" i="99"/>
  <c r="AC98" i="99"/>
  <c r="AB98" i="99"/>
  <c r="AA98" i="99"/>
  <c r="Z98" i="99"/>
  <c r="Y98" i="99"/>
  <c r="X98" i="99"/>
  <c r="W98" i="99"/>
  <c r="V98" i="99"/>
  <c r="U98" i="99"/>
  <c r="T98" i="99"/>
  <c r="S98" i="99"/>
  <c r="R98" i="99"/>
  <c r="Q98" i="99"/>
  <c r="P98" i="99"/>
  <c r="O98" i="99"/>
  <c r="N98" i="99"/>
  <c r="M98" i="99"/>
  <c r="L98" i="99"/>
  <c r="K98" i="99"/>
  <c r="J98" i="99"/>
  <c r="I98" i="99"/>
  <c r="H98" i="99"/>
  <c r="G98" i="99"/>
  <c r="F98" i="99"/>
  <c r="E98" i="99"/>
  <c r="D98" i="99"/>
  <c r="AF97" i="99"/>
  <c r="AE97" i="99"/>
  <c r="AD97" i="99"/>
  <c r="AC97" i="99"/>
  <c r="AB97" i="99"/>
  <c r="AA97" i="99"/>
  <c r="Z97" i="99"/>
  <c r="Y97" i="99"/>
  <c r="X97" i="99"/>
  <c r="W97" i="99"/>
  <c r="V97" i="99"/>
  <c r="U97" i="99"/>
  <c r="T97" i="99"/>
  <c r="S97" i="99"/>
  <c r="R97" i="99"/>
  <c r="Q97" i="99"/>
  <c r="P97" i="99"/>
  <c r="O97" i="99"/>
  <c r="N97" i="99"/>
  <c r="M97" i="99"/>
  <c r="L97" i="99"/>
  <c r="K97" i="99"/>
  <c r="J97" i="99"/>
  <c r="I97" i="99"/>
  <c r="H97" i="99"/>
  <c r="G97" i="99"/>
  <c r="F97" i="99"/>
  <c r="E97" i="99"/>
  <c r="D97" i="99"/>
  <c r="AF96" i="99"/>
  <c r="AE96" i="99"/>
  <c r="AD96" i="99"/>
  <c r="AC96" i="99"/>
  <c r="AB96" i="99"/>
  <c r="AA96" i="99"/>
  <c r="Z96" i="99"/>
  <c r="Y96" i="99"/>
  <c r="X96" i="99"/>
  <c r="W96" i="99"/>
  <c r="V96" i="99"/>
  <c r="U96" i="99"/>
  <c r="T96" i="99"/>
  <c r="S96" i="99"/>
  <c r="R96" i="99"/>
  <c r="Q96" i="99"/>
  <c r="P96" i="99"/>
  <c r="O96" i="99"/>
  <c r="N96" i="99"/>
  <c r="M96" i="99"/>
  <c r="L96" i="99"/>
  <c r="K96" i="99"/>
  <c r="J96" i="99"/>
  <c r="I96" i="99"/>
  <c r="H96" i="99"/>
  <c r="G96" i="99"/>
  <c r="F96" i="99"/>
  <c r="E96" i="99"/>
  <c r="D96" i="99"/>
  <c r="AF95" i="99"/>
  <c r="AE95" i="99"/>
  <c r="AD95" i="99"/>
  <c r="AC95" i="99"/>
  <c r="AB95" i="99"/>
  <c r="AA95" i="99"/>
  <c r="Z95" i="99"/>
  <c r="Y95" i="99"/>
  <c r="X95" i="99"/>
  <c r="W95" i="99"/>
  <c r="V95" i="99"/>
  <c r="U95" i="99"/>
  <c r="T95" i="99"/>
  <c r="S95" i="99"/>
  <c r="R95" i="99"/>
  <c r="Q95" i="99"/>
  <c r="P95" i="99"/>
  <c r="O95" i="99"/>
  <c r="N95" i="99"/>
  <c r="M95" i="99"/>
  <c r="L95" i="99"/>
  <c r="K95" i="99"/>
  <c r="J95" i="99"/>
  <c r="I95" i="99"/>
  <c r="H95" i="99"/>
  <c r="G95" i="99"/>
  <c r="F95" i="99"/>
  <c r="E95" i="99"/>
  <c r="D95" i="99"/>
  <c r="AF94" i="99"/>
  <c r="AE94" i="99"/>
  <c r="AD94" i="99"/>
  <c r="AC94" i="99"/>
  <c r="AB94" i="99"/>
  <c r="AA94" i="99"/>
  <c r="Z94" i="99"/>
  <c r="Y94" i="99"/>
  <c r="X94" i="99"/>
  <c r="W94" i="99"/>
  <c r="V94" i="99"/>
  <c r="U94" i="99"/>
  <c r="T94" i="99"/>
  <c r="S94" i="99"/>
  <c r="R94" i="99"/>
  <c r="Q94" i="99"/>
  <c r="P94" i="99"/>
  <c r="O94" i="99"/>
  <c r="N94" i="99"/>
  <c r="M94" i="99"/>
  <c r="L94" i="99"/>
  <c r="K94" i="99"/>
  <c r="J94" i="99"/>
  <c r="I94" i="99"/>
  <c r="H94" i="99"/>
  <c r="G94" i="99"/>
  <c r="F94" i="99"/>
  <c r="E94" i="99"/>
  <c r="D94" i="99"/>
  <c r="AF93" i="99"/>
  <c r="AE93" i="99"/>
  <c r="AD93" i="99"/>
  <c r="AC93" i="99"/>
  <c r="AB93" i="99"/>
  <c r="AA93" i="99"/>
  <c r="Z93" i="99"/>
  <c r="Y93" i="99"/>
  <c r="X93" i="99"/>
  <c r="W93" i="99"/>
  <c r="V93" i="99"/>
  <c r="U93" i="99"/>
  <c r="T93" i="99"/>
  <c r="S93" i="99"/>
  <c r="R93" i="99"/>
  <c r="Q93" i="99"/>
  <c r="P93" i="99"/>
  <c r="O93" i="99"/>
  <c r="N93" i="99"/>
  <c r="M93" i="99"/>
  <c r="L93" i="99"/>
  <c r="K93" i="99"/>
  <c r="J93" i="99"/>
  <c r="I93" i="99"/>
  <c r="H93" i="99"/>
  <c r="G93" i="99"/>
  <c r="F93" i="99"/>
  <c r="E93" i="99"/>
  <c r="D93" i="99"/>
  <c r="AF92" i="99"/>
  <c r="AE92" i="99"/>
  <c r="AD92" i="99"/>
  <c r="AC92" i="99"/>
  <c r="AB92" i="99"/>
  <c r="AA92" i="99"/>
  <c r="Z92" i="99"/>
  <c r="Y92" i="99"/>
  <c r="X92" i="99"/>
  <c r="W92" i="99"/>
  <c r="V92" i="99"/>
  <c r="U92" i="99"/>
  <c r="T92" i="99"/>
  <c r="S92" i="99"/>
  <c r="R92" i="99"/>
  <c r="Q92" i="99"/>
  <c r="P92" i="99"/>
  <c r="O92" i="99"/>
  <c r="N92" i="99"/>
  <c r="M92" i="99"/>
  <c r="L92" i="99"/>
  <c r="K92" i="99"/>
  <c r="J92" i="99"/>
  <c r="I92" i="99"/>
  <c r="H92" i="99"/>
  <c r="G92" i="99"/>
  <c r="F92" i="99"/>
  <c r="E92" i="99"/>
  <c r="D92" i="99"/>
  <c r="AF91" i="99"/>
  <c r="AE91" i="99"/>
  <c r="AD91" i="99"/>
  <c r="AC91" i="99"/>
  <c r="AB91" i="99"/>
  <c r="AA91" i="99"/>
  <c r="Z91" i="99"/>
  <c r="Y91" i="99"/>
  <c r="X91" i="99"/>
  <c r="W91" i="99"/>
  <c r="V91" i="99"/>
  <c r="U91" i="99"/>
  <c r="T91" i="99"/>
  <c r="S91" i="99"/>
  <c r="R91" i="99"/>
  <c r="Q91" i="99"/>
  <c r="P91" i="99"/>
  <c r="O91" i="99"/>
  <c r="N91" i="99"/>
  <c r="M91" i="99"/>
  <c r="L91" i="99"/>
  <c r="K91" i="99"/>
  <c r="J91" i="99"/>
  <c r="I91" i="99"/>
  <c r="H91" i="99"/>
  <c r="G91" i="99"/>
  <c r="F91" i="99"/>
  <c r="E91" i="99"/>
  <c r="D91" i="99"/>
  <c r="AF90" i="99"/>
  <c r="AE90" i="99"/>
  <c r="AD90" i="99"/>
  <c r="AC90" i="99"/>
  <c r="AB90" i="99"/>
  <c r="AA90" i="99"/>
  <c r="Z90" i="99"/>
  <c r="Y90" i="99"/>
  <c r="X90" i="99"/>
  <c r="W90" i="99"/>
  <c r="V90" i="99"/>
  <c r="U90" i="99"/>
  <c r="T90" i="99"/>
  <c r="S90" i="99"/>
  <c r="R90" i="99"/>
  <c r="Q90" i="99"/>
  <c r="P90" i="99"/>
  <c r="O90" i="99"/>
  <c r="N90" i="99"/>
  <c r="M90" i="99"/>
  <c r="L90" i="99"/>
  <c r="K90" i="99"/>
  <c r="J90" i="99"/>
  <c r="I90" i="99"/>
  <c r="H90" i="99"/>
  <c r="G90" i="99"/>
  <c r="F90" i="99"/>
  <c r="E90" i="99"/>
  <c r="D90" i="99"/>
  <c r="AF89" i="99"/>
  <c r="AE89" i="99"/>
  <c r="AD89" i="99"/>
  <c r="AC89" i="99"/>
  <c r="AB89" i="99"/>
  <c r="AA89" i="99"/>
  <c r="Z89" i="99"/>
  <c r="Y89" i="99"/>
  <c r="X89" i="99"/>
  <c r="W89" i="99"/>
  <c r="V89" i="99"/>
  <c r="U89" i="99"/>
  <c r="T89" i="99"/>
  <c r="S89" i="99"/>
  <c r="R89" i="99"/>
  <c r="Q89" i="99"/>
  <c r="P89" i="99"/>
  <c r="O89" i="99"/>
  <c r="N89" i="99"/>
  <c r="M89" i="99"/>
  <c r="L89" i="99"/>
  <c r="K89" i="99"/>
  <c r="J89" i="99"/>
  <c r="I89" i="99"/>
  <c r="H89" i="99"/>
  <c r="G89" i="99"/>
  <c r="F89" i="99"/>
  <c r="E89" i="99"/>
  <c r="D89" i="99"/>
  <c r="AF88" i="99"/>
  <c r="AE88" i="99"/>
  <c r="AD88" i="99"/>
  <c r="AC88" i="99"/>
  <c r="AB88" i="99"/>
  <c r="AA88" i="99"/>
  <c r="Z88" i="99"/>
  <c r="Y88" i="99"/>
  <c r="X88" i="99"/>
  <c r="W88" i="99"/>
  <c r="V88" i="99"/>
  <c r="U88" i="99"/>
  <c r="T88" i="99"/>
  <c r="S88" i="99"/>
  <c r="R88" i="99"/>
  <c r="Q88" i="99"/>
  <c r="P88" i="99"/>
  <c r="O88" i="99"/>
  <c r="N88" i="99"/>
  <c r="M88" i="99"/>
  <c r="L88" i="99"/>
  <c r="K88" i="99"/>
  <c r="J88" i="99"/>
  <c r="I88" i="99"/>
  <c r="H88" i="99"/>
  <c r="G88" i="99"/>
  <c r="F88" i="99"/>
  <c r="E88" i="99"/>
  <c r="D88" i="99"/>
  <c r="AF87" i="99"/>
  <c r="AE87" i="99"/>
  <c r="AD87" i="99"/>
  <c r="AC87" i="99"/>
  <c r="AB87" i="99"/>
  <c r="AA87" i="99"/>
  <c r="Z87" i="99"/>
  <c r="Y87" i="99"/>
  <c r="X87" i="99"/>
  <c r="W87" i="99"/>
  <c r="V87" i="99"/>
  <c r="U87" i="99"/>
  <c r="T87" i="99"/>
  <c r="S87" i="99"/>
  <c r="R87" i="99"/>
  <c r="Q87" i="99"/>
  <c r="P87" i="99"/>
  <c r="O87" i="99"/>
  <c r="N87" i="99"/>
  <c r="M87" i="99"/>
  <c r="L87" i="99"/>
  <c r="K87" i="99"/>
  <c r="J87" i="99"/>
  <c r="I87" i="99"/>
  <c r="H87" i="99"/>
  <c r="G87" i="99"/>
  <c r="F87" i="99"/>
  <c r="E87" i="99"/>
  <c r="D87" i="99"/>
  <c r="AF86" i="99"/>
  <c r="AE86" i="99"/>
  <c r="AD86" i="99"/>
  <c r="AC86" i="99"/>
  <c r="AB86" i="99"/>
  <c r="AA86" i="99"/>
  <c r="Z86" i="99"/>
  <c r="Y86" i="99"/>
  <c r="X86" i="99"/>
  <c r="W86" i="99"/>
  <c r="V86" i="99"/>
  <c r="U86" i="99"/>
  <c r="T86" i="99"/>
  <c r="S86" i="99"/>
  <c r="R86" i="99"/>
  <c r="Q86" i="99"/>
  <c r="P86" i="99"/>
  <c r="O86" i="99"/>
  <c r="N86" i="99"/>
  <c r="M86" i="99"/>
  <c r="L86" i="99"/>
  <c r="K86" i="99"/>
  <c r="J86" i="99"/>
  <c r="I86" i="99"/>
  <c r="H86" i="99"/>
  <c r="G86" i="99"/>
  <c r="F86" i="99"/>
  <c r="E86" i="99"/>
  <c r="D86" i="99"/>
  <c r="AF85" i="99"/>
  <c r="AE85" i="99"/>
  <c r="AD85" i="99"/>
  <c r="AC85" i="99"/>
  <c r="AB85" i="99"/>
  <c r="AA85" i="99"/>
  <c r="Z85" i="99"/>
  <c r="Y85" i="99"/>
  <c r="X85" i="99"/>
  <c r="W85" i="99"/>
  <c r="V85" i="99"/>
  <c r="U85" i="99"/>
  <c r="T85" i="99"/>
  <c r="S85" i="99"/>
  <c r="R85" i="99"/>
  <c r="Q85" i="99"/>
  <c r="P85" i="99"/>
  <c r="O85" i="99"/>
  <c r="N85" i="99"/>
  <c r="M85" i="99"/>
  <c r="L85" i="99"/>
  <c r="K85" i="99"/>
  <c r="J85" i="99"/>
  <c r="I85" i="99"/>
  <c r="H85" i="99"/>
  <c r="G85" i="99"/>
  <c r="F85" i="99"/>
  <c r="E85" i="99"/>
  <c r="D85" i="99"/>
  <c r="AF84" i="99"/>
  <c r="AE84" i="99"/>
  <c r="AD84" i="99"/>
  <c r="AC84" i="99"/>
  <c r="AB84" i="99"/>
  <c r="AA84" i="99"/>
  <c r="Z84" i="99"/>
  <c r="Y84" i="99"/>
  <c r="X84" i="99"/>
  <c r="W84" i="99"/>
  <c r="V84" i="99"/>
  <c r="U84" i="99"/>
  <c r="T84" i="99"/>
  <c r="S84" i="99"/>
  <c r="R84" i="99"/>
  <c r="Q84" i="99"/>
  <c r="P84" i="99"/>
  <c r="O84" i="99"/>
  <c r="N84" i="99"/>
  <c r="M84" i="99"/>
  <c r="L84" i="99"/>
  <c r="K84" i="99"/>
  <c r="J84" i="99"/>
  <c r="I84" i="99"/>
  <c r="H84" i="99"/>
  <c r="G84" i="99"/>
  <c r="F84" i="99"/>
  <c r="E84" i="99"/>
  <c r="D84" i="99"/>
  <c r="AF83" i="99"/>
  <c r="AE83" i="99"/>
  <c r="AD83" i="99"/>
  <c r="AC83" i="99"/>
  <c r="AB83" i="99"/>
  <c r="AA83" i="99"/>
  <c r="Z83" i="99"/>
  <c r="Y83" i="99"/>
  <c r="X83" i="99"/>
  <c r="W83" i="99"/>
  <c r="V83" i="99"/>
  <c r="U83" i="99"/>
  <c r="T83" i="99"/>
  <c r="S83" i="99"/>
  <c r="R83" i="99"/>
  <c r="Q83" i="99"/>
  <c r="P83" i="99"/>
  <c r="O83" i="99"/>
  <c r="N83" i="99"/>
  <c r="M83" i="99"/>
  <c r="L83" i="99"/>
  <c r="K83" i="99"/>
  <c r="J83" i="99"/>
  <c r="I83" i="99"/>
  <c r="H83" i="99"/>
  <c r="G83" i="99"/>
  <c r="F83" i="99"/>
  <c r="E83" i="99"/>
  <c r="D83" i="99"/>
  <c r="AF82" i="99"/>
  <c r="AE82" i="99"/>
  <c r="AD82" i="99"/>
  <c r="AC82" i="99"/>
  <c r="AB82" i="99"/>
  <c r="AA82" i="99"/>
  <c r="Z82" i="99"/>
  <c r="Y82" i="99"/>
  <c r="X82" i="99"/>
  <c r="W82" i="99"/>
  <c r="V82" i="99"/>
  <c r="U82" i="99"/>
  <c r="T82" i="99"/>
  <c r="S82" i="99"/>
  <c r="R82" i="99"/>
  <c r="Q82" i="99"/>
  <c r="P82" i="99"/>
  <c r="O82" i="99"/>
  <c r="N82" i="99"/>
  <c r="M82" i="99"/>
  <c r="L82" i="99"/>
  <c r="K82" i="99"/>
  <c r="J82" i="99"/>
  <c r="I82" i="99"/>
  <c r="H82" i="99"/>
  <c r="G82" i="99"/>
  <c r="F82" i="99"/>
  <c r="E82" i="99"/>
  <c r="D82" i="99"/>
  <c r="AF81" i="99"/>
  <c r="AE81" i="99"/>
  <c r="AD81" i="99"/>
  <c r="AC81" i="99"/>
  <c r="AB81" i="99"/>
  <c r="AA81" i="99"/>
  <c r="Z81" i="99"/>
  <c r="Y81" i="99"/>
  <c r="X81" i="99"/>
  <c r="W81" i="99"/>
  <c r="V81" i="99"/>
  <c r="U81" i="99"/>
  <c r="T81" i="99"/>
  <c r="S81" i="99"/>
  <c r="R81" i="99"/>
  <c r="Q81" i="99"/>
  <c r="P81" i="99"/>
  <c r="O81" i="99"/>
  <c r="N81" i="99"/>
  <c r="M81" i="99"/>
  <c r="L81" i="99"/>
  <c r="K81" i="99"/>
  <c r="J81" i="99"/>
  <c r="I81" i="99"/>
  <c r="H81" i="99"/>
  <c r="G81" i="99"/>
  <c r="F81" i="99"/>
  <c r="E81" i="99"/>
  <c r="D81" i="99"/>
  <c r="AF80" i="99"/>
  <c r="AE80" i="99"/>
  <c r="AD80" i="99"/>
  <c r="AC80" i="99"/>
  <c r="AB80" i="99"/>
  <c r="AA80" i="99"/>
  <c r="Z80" i="99"/>
  <c r="Y80" i="99"/>
  <c r="X80" i="99"/>
  <c r="W80" i="99"/>
  <c r="V80" i="99"/>
  <c r="U80" i="99"/>
  <c r="T80" i="99"/>
  <c r="S80" i="99"/>
  <c r="R80" i="99"/>
  <c r="Q80" i="99"/>
  <c r="P80" i="99"/>
  <c r="O80" i="99"/>
  <c r="N80" i="99"/>
  <c r="M80" i="99"/>
  <c r="L80" i="99"/>
  <c r="K80" i="99"/>
  <c r="J80" i="99"/>
  <c r="I80" i="99"/>
  <c r="H80" i="99"/>
  <c r="G80" i="99"/>
  <c r="F80" i="99"/>
  <c r="E80" i="99"/>
  <c r="D80" i="99"/>
  <c r="AF79" i="99"/>
  <c r="AE79" i="99"/>
  <c r="AD79" i="99"/>
  <c r="AC79" i="99"/>
  <c r="AB79" i="99"/>
  <c r="AA79" i="99"/>
  <c r="Z79" i="99"/>
  <c r="Y79" i="99"/>
  <c r="X79" i="99"/>
  <c r="W79" i="99"/>
  <c r="V79" i="99"/>
  <c r="U79" i="99"/>
  <c r="T79" i="99"/>
  <c r="S79" i="99"/>
  <c r="R79" i="99"/>
  <c r="Q79" i="99"/>
  <c r="P79" i="99"/>
  <c r="O79" i="99"/>
  <c r="N79" i="99"/>
  <c r="M79" i="99"/>
  <c r="L79" i="99"/>
  <c r="K79" i="99"/>
  <c r="J79" i="99"/>
  <c r="I79" i="99"/>
  <c r="H79" i="99"/>
  <c r="G79" i="99"/>
  <c r="F79" i="99"/>
  <c r="E79" i="99"/>
  <c r="D79" i="99"/>
  <c r="AF78" i="99"/>
  <c r="AE78" i="99"/>
  <c r="AD78" i="99"/>
  <c r="AC78" i="99"/>
  <c r="AB78" i="99"/>
  <c r="AA78" i="99"/>
  <c r="Z78" i="99"/>
  <c r="Y78" i="99"/>
  <c r="X78" i="99"/>
  <c r="W78" i="99"/>
  <c r="V78" i="99"/>
  <c r="U78" i="99"/>
  <c r="T78" i="99"/>
  <c r="S78" i="99"/>
  <c r="R78" i="99"/>
  <c r="Q78" i="99"/>
  <c r="P78" i="99"/>
  <c r="O78" i="99"/>
  <c r="N78" i="99"/>
  <c r="M78" i="99"/>
  <c r="L78" i="99"/>
  <c r="K78" i="99"/>
  <c r="J78" i="99"/>
  <c r="I78" i="99"/>
  <c r="H78" i="99"/>
  <c r="G78" i="99"/>
  <c r="F78" i="99"/>
  <c r="E78" i="99"/>
  <c r="D78" i="99"/>
  <c r="AF77" i="99"/>
  <c r="AE77" i="99"/>
  <c r="AD77" i="99"/>
  <c r="AC77" i="99"/>
  <c r="AB77" i="99"/>
  <c r="AA77" i="99"/>
  <c r="Z77" i="99"/>
  <c r="Y77" i="99"/>
  <c r="X77" i="99"/>
  <c r="W77" i="99"/>
  <c r="V77" i="99"/>
  <c r="U77" i="99"/>
  <c r="T77" i="99"/>
  <c r="S77" i="99"/>
  <c r="R77" i="99"/>
  <c r="Q77" i="99"/>
  <c r="P77" i="99"/>
  <c r="O77" i="99"/>
  <c r="N77" i="99"/>
  <c r="M77" i="99"/>
  <c r="L77" i="99"/>
  <c r="K77" i="99"/>
  <c r="J77" i="99"/>
  <c r="I77" i="99"/>
  <c r="H77" i="99"/>
  <c r="G77" i="99"/>
  <c r="F77" i="99"/>
  <c r="E77" i="99"/>
  <c r="D77" i="99"/>
  <c r="AF76" i="99"/>
  <c r="AE76" i="99"/>
  <c r="AD76" i="99"/>
  <c r="AC76" i="99"/>
  <c r="AB76" i="99"/>
  <c r="AA76" i="99"/>
  <c r="Z76" i="99"/>
  <c r="Y76" i="99"/>
  <c r="X76" i="99"/>
  <c r="W76" i="99"/>
  <c r="V76" i="99"/>
  <c r="U76" i="99"/>
  <c r="T76" i="99"/>
  <c r="S76" i="99"/>
  <c r="R76" i="99"/>
  <c r="Q76" i="99"/>
  <c r="P76" i="99"/>
  <c r="O76" i="99"/>
  <c r="N76" i="99"/>
  <c r="M76" i="99"/>
  <c r="L76" i="99"/>
  <c r="K76" i="99"/>
  <c r="J76" i="99"/>
  <c r="I76" i="99"/>
  <c r="H76" i="99"/>
  <c r="G76" i="99"/>
  <c r="F76" i="99"/>
  <c r="E76" i="99"/>
  <c r="D76" i="99"/>
  <c r="AF75" i="99"/>
  <c r="AE75" i="99"/>
  <c r="AD75" i="99"/>
  <c r="AC75" i="99"/>
  <c r="AB75" i="99"/>
  <c r="AA75" i="99"/>
  <c r="Z75" i="99"/>
  <c r="Y75" i="99"/>
  <c r="X75" i="99"/>
  <c r="W75" i="99"/>
  <c r="V75" i="99"/>
  <c r="U75" i="99"/>
  <c r="T75" i="99"/>
  <c r="S75" i="99"/>
  <c r="R75" i="99"/>
  <c r="Q75" i="99"/>
  <c r="P75" i="99"/>
  <c r="O75" i="99"/>
  <c r="N75" i="99"/>
  <c r="M75" i="99"/>
  <c r="L75" i="99"/>
  <c r="K75" i="99"/>
  <c r="J75" i="99"/>
  <c r="I75" i="99"/>
  <c r="H75" i="99"/>
  <c r="G75" i="99"/>
  <c r="F75" i="99"/>
  <c r="E75" i="99"/>
  <c r="D75" i="99"/>
  <c r="AF74" i="99"/>
  <c r="AE74" i="99"/>
  <c r="AD74" i="99"/>
  <c r="AC74" i="99"/>
  <c r="AB74" i="99"/>
  <c r="AA74" i="99"/>
  <c r="Z74" i="99"/>
  <c r="Y74" i="99"/>
  <c r="X74" i="99"/>
  <c r="W74" i="99"/>
  <c r="V74" i="99"/>
  <c r="U74" i="99"/>
  <c r="T74" i="99"/>
  <c r="S74" i="99"/>
  <c r="R74" i="99"/>
  <c r="Q74" i="99"/>
  <c r="P74" i="99"/>
  <c r="O74" i="99"/>
  <c r="N74" i="99"/>
  <c r="M74" i="99"/>
  <c r="L74" i="99"/>
  <c r="K74" i="99"/>
  <c r="J74" i="99"/>
  <c r="I74" i="99"/>
  <c r="H74" i="99"/>
  <c r="G74" i="99"/>
  <c r="F74" i="99"/>
  <c r="E74" i="99"/>
  <c r="D74" i="99"/>
  <c r="AF73" i="99"/>
  <c r="AE73" i="99"/>
  <c r="AD73" i="99"/>
  <c r="AC73" i="99"/>
  <c r="AB73" i="99"/>
  <c r="AA73" i="99"/>
  <c r="Z73" i="99"/>
  <c r="Y73" i="99"/>
  <c r="X73" i="99"/>
  <c r="W73" i="99"/>
  <c r="V73" i="99"/>
  <c r="U73" i="99"/>
  <c r="T73" i="99"/>
  <c r="S73" i="99"/>
  <c r="R73" i="99"/>
  <c r="Q73" i="99"/>
  <c r="P73" i="99"/>
  <c r="O73" i="99"/>
  <c r="N73" i="99"/>
  <c r="M73" i="99"/>
  <c r="L73" i="99"/>
  <c r="K73" i="99"/>
  <c r="J73" i="99"/>
  <c r="I73" i="99"/>
  <c r="H73" i="99"/>
  <c r="G73" i="99"/>
  <c r="F73" i="99"/>
  <c r="E73" i="99"/>
  <c r="D73" i="99"/>
  <c r="AF72" i="99"/>
  <c r="AE72" i="99"/>
  <c r="AD72" i="99"/>
  <c r="AC72" i="99"/>
  <c r="AB72" i="99"/>
  <c r="AA72" i="99"/>
  <c r="Z72" i="99"/>
  <c r="Y72" i="99"/>
  <c r="X72" i="99"/>
  <c r="W72" i="99"/>
  <c r="V72" i="99"/>
  <c r="U72" i="99"/>
  <c r="T72" i="99"/>
  <c r="S72" i="99"/>
  <c r="R72" i="99"/>
  <c r="Q72" i="99"/>
  <c r="P72" i="99"/>
  <c r="O72" i="99"/>
  <c r="N72" i="99"/>
  <c r="M72" i="99"/>
  <c r="L72" i="99"/>
  <c r="K72" i="99"/>
  <c r="J72" i="99"/>
  <c r="I72" i="99"/>
  <c r="H72" i="99"/>
  <c r="G72" i="99"/>
  <c r="F72" i="99"/>
  <c r="E72" i="99"/>
  <c r="D72" i="99"/>
  <c r="AF71" i="99"/>
  <c r="AE71" i="99"/>
  <c r="AD71" i="99"/>
  <c r="AC71" i="99"/>
  <c r="AB71" i="99"/>
  <c r="AA71" i="99"/>
  <c r="Z71" i="99"/>
  <c r="Y71" i="99"/>
  <c r="X71" i="99"/>
  <c r="W71" i="99"/>
  <c r="V71" i="99"/>
  <c r="U71" i="99"/>
  <c r="T71" i="99"/>
  <c r="S71" i="99"/>
  <c r="R71" i="99"/>
  <c r="Q71" i="99"/>
  <c r="P71" i="99"/>
  <c r="O71" i="99"/>
  <c r="N71" i="99"/>
  <c r="M71" i="99"/>
  <c r="L71" i="99"/>
  <c r="K71" i="99"/>
  <c r="J71" i="99"/>
  <c r="I71" i="99"/>
  <c r="H71" i="99"/>
  <c r="G71" i="99"/>
  <c r="F71" i="99"/>
  <c r="E71" i="99"/>
  <c r="D71" i="99"/>
  <c r="AF70" i="99"/>
  <c r="AE70" i="99"/>
  <c r="AD70" i="99"/>
  <c r="AC70" i="99"/>
  <c r="AB70" i="99"/>
  <c r="AA70" i="99"/>
  <c r="Z70" i="99"/>
  <c r="Y70" i="99"/>
  <c r="X70" i="99"/>
  <c r="W70" i="99"/>
  <c r="V70" i="99"/>
  <c r="U70" i="99"/>
  <c r="T70" i="99"/>
  <c r="S70" i="99"/>
  <c r="R70" i="99"/>
  <c r="Q70" i="99"/>
  <c r="P70" i="99"/>
  <c r="O70" i="99"/>
  <c r="N70" i="99"/>
  <c r="M70" i="99"/>
  <c r="L70" i="99"/>
  <c r="K70" i="99"/>
  <c r="J70" i="99"/>
  <c r="I70" i="99"/>
  <c r="H70" i="99"/>
  <c r="G70" i="99"/>
  <c r="F70" i="99"/>
  <c r="E70" i="99"/>
  <c r="D70" i="99"/>
  <c r="AF68" i="99"/>
  <c r="AE68" i="99"/>
  <c r="AD68" i="99"/>
  <c r="AC68" i="99"/>
  <c r="AB68" i="99"/>
  <c r="AA68" i="99"/>
  <c r="Z68" i="99"/>
  <c r="Y68" i="99"/>
  <c r="X68" i="99"/>
  <c r="W68" i="99"/>
  <c r="V68" i="99"/>
  <c r="U68" i="99"/>
  <c r="T68" i="99"/>
  <c r="S68" i="99"/>
  <c r="R68" i="99"/>
  <c r="Q68" i="99"/>
  <c r="P68" i="99"/>
  <c r="O68" i="99"/>
  <c r="N68" i="99"/>
  <c r="M68" i="99"/>
  <c r="L68" i="99"/>
  <c r="K68" i="99"/>
  <c r="J68" i="99"/>
  <c r="I68" i="99"/>
  <c r="H68" i="99"/>
  <c r="G68" i="99"/>
  <c r="F68" i="99"/>
  <c r="E68" i="99"/>
  <c r="D68" i="99"/>
  <c r="AF67" i="99"/>
  <c r="AE67" i="99"/>
  <c r="AD67" i="99"/>
  <c r="AC67" i="99"/>
  <c r="AB67" i="99"/>
  <c r="AA67" i="99"/>
  <c r="Z67" i="99"/>
  <c r="Y67" i="99"/>
  <c r="X67" i="99"/>
  <c r="W67" i="99"/>
  <c r="V67" i="99"/>
  <c r="U67" i="99"/>
  <c r="T67" i="99"/>
  <c r="S67" i="99"/>
  <c r="R67" i="99"/>
  <c r="Q67" i="99"/>
  <c r="P67" i="99"/>
  <c r="O67" i="99"/>
  <c r="N67" i="99"/>
  <c r="M67" i="99"/>
  <c r="L67" i="99"/>
  <c r="K67" i="99"/>
  <c r="J67" i="99"/>
  <c r="I67" i="99"/>
  <c r="H67" i="99"/>
  <c r="G67" i="99"/>
  <c r="F67" i="99"/>
  <c r="E67" i="99"/>
  <c r="D67" i="99"/>
  <c r="AF66" i="99"/>
  <c r="AE66" i="99"/>
  <c r="AD66" i="99"/>
  <c r="AC66" i="99"/>
  <c r="AB66" i="99"/>
  <c r="AA66" i="99"/>
  <c r="Z66" i="99"/>
  <c r="Y66" i="99"/>
  <c r="X66" i="99"/>
  <c r="W66" i="99"/>
  <c r="V66" i="99"/>
  <c r="U66" i="99"/>
  <c r="T66" i="99"/>
  <c r="S66" i="99"/>
  <c r="R66" i="99"/>
  <c r="Q66" i="99"/>
  <c r="P66" i="99"/>
  <c r="O66" i="99"/>
  <c r="N66" i="99"/>
  <c r="M66" i="99"/>
  <c r="L66" i="99"/>
  <c r="K66" i="99"/>
  <c r="J66" i="99"/>
  <c r="I66" i="99"/>
  <c r="H66" i="99"/>
  <c r="G66" i="99"/>
  <c r="F66" i="99"/>
  <c r="E66" i="99"/>
  <c r="D66" i="99"/>
  <c r="AF65" i="99"/>
  <c r="AE65" i="99"/>
  <c r="AD65" i="99"/>
  <c r="AC65" i="99"/>
  <c r="AB65" i="99"/>
  <c r="AA65" i="99"/>
  <c r="Z65" i="99"/>
  <c r="Y65" i="99"/>
  <c r="X65" i="99"/>
  <c r="W65" i="99"/>
  <c r="V65" i="99"/>
  <c r="U65" i="99"/>
  <c r="T65" i="99"/>
  <c r="S65" i="99"/>
  <c r="R65" i="99"/>
  <c r="Q65" i="99"/>
  <c r="P65" i="99"/>
  <c r="O65" i="99"/>
  <c r="N65" i="99"/>
  <c r="M65" i="99"/>
  <c r="L65" i="99"/>
  <c r="K65" i="99"/>
  <c r="J65" i="99"/>
  <c r="I65" i="99"/>
  <c r="H65" i="99"/>
  <c r="G65" i="99"/>
  <c r="F65" i="99"/>
  <c r="E65" i="99"/>
  <c r="D65" i="99"/>
  <c r="AF63" i="99"/>
  <c r="AE63" i="99"/>
  <c r="AD63" i="99"/>
  <c r="AC63" i="99"/>
  <c r="AB63" i="99"/>
  <c r="AA63" i="99"/>
  <c r="Z63" i="99"/>
  <c r="Y63" i="99"/>
  <c r="X63" i="99"/>
  <c r="W63" i="99"/>
  <c r="V63" i="99"/>
  <c r="U63" i="99"/>
  <c r="T63" i="99"/>
  <c r="S63" i="99"/>
  <c r="R63" i="99"/>
  <c r="Q63" i="99"/>
  <c r="P63" i="99"/>
  <c r="O63" i="99"/>
  <c r="N63" i="99"/>
  <c r="M63" i="99"/>
  <c r="L63" i="99"/>
  <c r="K63" i="99"/>
  <c r="J63" i="99"/>
  <c r="I63" i="99"/>
  <c r="H63" i="99"/>
  <c r="G63" i="99"/>
  <c r="F63" i="99"/>
  <c r="E63" i="99"/>
  <c r="D63" i="99"/>
  <c r="AF62" i="99"/>
  <c r="AE62" i="99"/>
  <c r="AD62" i="99"/>
  <c r="AC62" i="99"/>
  <c r="AB62" i="99"/>
  <c r="AA62" i="99"/>
  <c r="Z62" i="99"/>
  <c r="Y62" i="99"/>
  <c r="X62" i="99"/>
  <c r="W62" i="99"/>
  <c r="V62" i="99"/>
  <c r="U62" i="99"/>
  <c r="T62" i="99"/>
  <c r="S62" i="99"/>
  <c r="R62" i="99"/>
  <c r="Q62" i="99"/>
  <c r="P62" i="99"/>
  <c r="O62" i="99"/>
  <c r="N62" i="99"/>
  <c r="M62" i="99"/>
  <c r="L62" i="99"/>
  <c r="K62" i="99"/>
  <c r="J62" i="99"/>
  <c r="I62" i="99"/>
  <c r="H62" i="99"/>
  <c r="G62" i="99"/>
  <c r="F62" i="99"/>
  <c r="E62" i="99"/>
  <c r="D62" i="99"/>
  <c r="AF61" i="99"/>
  <c r="AE61" i="99"/>
  <c r="AD61" i="99"/>
  <c r="AC61" i="99"/>
  <c r="AB61" i="99"/>
  <c r="AA61" i="99"/>
  <c r="Z61" i="99"/>
  <c r="Y61" i="99"/>
  <c r="X61" i="99"/>
  <c r="W61" i="99"/>
  <c r="V61" i="99"/>
  <c r="U61" i="99"/>
  <c r="T61" i="99"/>
  <c r="S61" i="99"/>
  <c r="R61" i="99"/>
  <c r="Q61" i="99"/>
  <c r="P61" i="99"/>
  <c r="O61" i="99"/>
  <c r="N61" i="99"/>
  <c r="M61" i="99"/>
  <c r="L61" i="99"/>
  <c r="K61" i="99"/>
  <c r="J61" i="99"/>
  <c r="I61" i="99"/>
  <c r="H61" i="99"/>
  <c r="G61" i="99"/>
  <c r="F61" i="99"/>
  <c r="E61" i="99"/>
  <c r="D61" i="99"/>
  <c r="AF59" i="99"/>
  <c r="AE59" i="99"/>
  <c r="AD59" i="99"/>
  <c r="AC59" i="99"/>
  <c r="AB59" i="99"/>
  <c r="AA59" i="99"/>
  <c r="Z59" i="99"/>
  <c r="Y59" i="99"/>
  <c r="X59" i="99"/>
  <c r="W59" i="99"/>
  <c r="V59" i="99"/>
  <c r="U59" i="99"/>
  <c r="T59" i="99"/>
  <c r="S59" i="99"/>
  <c r="R59" i="99"/>
  <c r="Q59" i="99"/>
  <c r="P59" i="99"/>
  <c r="O59" i="99"/>
  <c r="N59" i="99"/>
  <c r="M59" i="99"/>
  <c r="L59" i="99"/>
  <c r="K59" i="99"/>
  <c r="J59" i="99"/>
  <c r="I59" i="99"/>
  <c r="H59" i="99"/>
  <c r="G59" i="99"/>
  <c r="F59" i="99"/>
  <c r="E59" i="99"/>
  <c r="D59" i="99"/>
  <c r="AF58" i="99"/>
  <c r="AE58" i="99"/>
  <c r="AD58" i="99"/>
  <c r="AC58" i="99"/>
  <c r="AB58" i="99"/>
  <c r="AA58" i="99"/>
  <c r="Z58" i="99"/>
  <c r="Y58" i="99"/>
  <c r="X58" i="99"/>
  <c r="W58" i="99"/>
  <c r="V58" i="99"/>
  <c r="U58" i="99"/>
  <c r="T58" i="99"/>
  <c r="S58" i="99"/>
  <c r="R58" i="99"/>
  <c r="Q58" i="99"/>
  <c r="P58" i="99"/>
  <c r="O58" i="99"/>
  <c r="N58" i="99"/>
  <c r="M58" i="99"/>
  <c r="L58" i="99"/>
  <c r="K58" i="99"/>
  <c r="J58" i="99"/>
  <c r="I58" i="99"/>
  <c r="H58" i="99"/>
  <c r="G58" i="99"/>
  <c r="F58" i="99"/>
  <c r="E58" i="99"/>
  <c r="D58" i="99"/>
  <c r="AF57" i="99"/>
  <c r="AE57" i="99"/>
  <c r="AD57" i="99"/>
  <c r="AC57" i="99"/>
  <c r="AB57" i="99"/>
  <c r="AA57" i="99"/>
  <c r="Z57" i="99"/>
  <c r="Y57" i="99"/>
  <c r="X57" i="99"/>
  <c r="W57" i="99"/>
  <c r="V57" i="99"/>
  <c r="U57" i="99"/>
  <c r="T57" i="99"/>
  <c r="S57" i="99"/>
  <c r="R57" i="99"/>
  <c r="Q57" i="99"/>
  <c r="P57" i="99"/>
  <c r="O57" i="99"/>
  <c r="N57" i="99"/>
  <c r="M57" i="99"/>
  <c r="L57" i="99"/>
  <c r="K57" i="99"/>
  <c r="J57" i="99"/>
  <c r="I57" i="99"/>
  <c r="H57" i="99"/>
  <c r="G57" i="99"/>
  <c r="F57" i="99"/>
  <c r="E57" i="99"/>
  <c r="D57" i="99"/>
  <c r="AF56" i="99"/>
  <c r="AE56" i="99"/>
  <c r="AD56" i="99"/>
  <c r="AC56" i="99"/>
  <c r="AB56" i="99"/>
  <c r="AA56" i="99"/>
  <c r="Z56" i="99"/>
  <c r="Y56" i="99"/>
  <c r="X56" i="99"/>
  <c r="W56" i="99"/>
  <c r="V56" i="99"/>
  <c r="U56" i="99"/>
  <c r="T56" i="99"/>
  <c r="S56" i="99"/>
  <c r="R56" i="99"/>
  <c r="Q56" i="99"/>
  <c r="P56" i="99"/>
  <c r="O56" i="99"/>
  <c r="N56" i="99"/>
  <c r="M56" i="99"/>
  <c r="L56" i="99"/>
  <c r="K56" i="99"/>
  <c r="J56" i="99"/>
  <c r="I56" i="99"/>
  <c r="H56" i="99"/>
  <c r="G56" i="99"/>
  <c r="F56" i="99"/>
  <c r="E56" i="99"/>
  <c r="D56" i="99"/>
  <c r="AF55" i="99"/>
  <c r="AE55" i="99"/>
  <c r="AD55" i="99"/>
  <c r="AC55" i="99"/>
  <c r="AB55" i="99"/>
  <c r="AA55" i="99"/>
  <c r="Z55" i="99"/>
  <c r="Y55" i="99"/>
  <c r="X55" i="99"/>
  <c r="W55" i="99"/>
  <c r="V55" i="99"/>
  <c r="U55" i="99"/>
  <c r="T55" i="99"/>
  <c r="S55" i="99"/>
  <c r="R55" i="99"/>
  <c r="Q55" i="99"/>
  <c r="P55" i="99"/>
  <c r="O55" i="99"/>
  <c r="N55" i="99"/>
  <c r="M55" i="99"/>
  <c r="L55" i="99"/>
  <c r="K55" i="99"/>
  <c r="J55" i="99"/>
  <c r="I55" i="99"/>
  <c r="H55" i="99"/>
  <c r="G55" i="99"/>
  <c r="F55" i="99"/>
  <c r="E55" i="99"/>
  <c r="D55" i="99"/>
  <c r="AF53" i="99"/>
  <c r="AE53" i="99"/>
  <c r="AD53" i="99"/>
  <c r="AC53" i="99"/>
  <c r="AB53" i="99"/>
  <c r="AA53" i="99"/>
  <c r="Z53" i="99"/>
  <c r="Y53" i="99"/>
  <c r="X53" i="99"/>
  <c r="W53" i="99"/>
  <c r="V53" i="99"/>
  <c r="U53" i="99"/>
  <c r="T53" i="99"/>
  <c r="S53" i="99"/>
  <c r="R53" i="99"/>
  <c r="Q53" i="99"/>
  <c r="P53" i="99"/>
  <c r="O53" i="99"/>
  <c r="N53" i="99"/>
  <c r="M53" i="99"/>
  <c r="L53" i="99"/>
  <c r="K53" i="99"/>
  <c r="J53" i="99"/>
  <c r="I53" i="99"/>
  <c r="H53" i="99"/>
  <c r="G53" i="99"/>
  <c r="F53" i="99"/>
  <c r="E53" i="99"/>
  <c r="D53" i="99"/>
  <c r="AF52" i="99"/>
  <c r="AE52" i="99"/>
  <c r="AD52" i="99"/>
  <c r="AC52" i="99"/>
  <c r="AB52" i="99"/>
  <c r="AA52" i="99"/>
  <c r="Z52" i="99"/>
  <c r="Y52" i="99"/>
  <c r="X52" i="99"/>
  <c r="W52" i="99"/>
  <c r="V52" i="99"/>
  <c r="U52" i="99"/>
  <c r="T52" i="99"/>
  <c r="S52" i="99"/>
  <c r="R52" i="99"/>
  <c r="Q52" i="99"/>
  <c r="P52" i="99"/>
  <c r="O52" i="99"/>
  <c r="N52" i="99"/>
  <c r="M52" i="99"/>
  <c r="L52" i="99"/>
  <c r="K52" i="99"/>
  <c r="J52" i="99"/>
  <c r="I52" i="99"/>
  <c r="H52" i="99"/>
  <c r="G52" i="99"/>
  <c r="F52" i="99"/>
  <c r="E52" i="99"/>
  <c r="D52" i="99"/>
  <c r="AF51" i="99"/>
  <c r="AE51" i="99"/>
  <c r="AD51" i="99"/>
  <c r="AC51" i="99"/>
  <c r="AB51" i="99"/>
  <c r="AA51" i="99"/>
  <c r="Z51" i="99"/>
  <c r="Y51" i="99"/>
  <c r="X51" i="99"/>
  <c r="W51" i="99"/>
  <c r="V51" i="99"/>
  <c r="U51" i="99"/>
  <c r="T51" i="99"/>
  <c r="S51" i="99"/>
  <c r="R51" i="99"/>
  <c r="Q51" i="99"/>
  <c r="P51" i="99"/>
  <c r="O51" i="99"/>
  <c r="N51" i="99"/>
  <c r="M51" i="99"/>
  <c r="L51" i="99"/>
  <c r="K51" i="99"/>
  <c r="J51" i="99"/>
  <c r="I51" i="99"/>
  <c r="H51" i="99"/>
  <c r="G51" i="99"/>
  <c r="F51" i="99"/>
  <c r="E51" i="99"/>
  <c r="D51" i="99"/>
  <c r="AF50" i="99"/>
  <c r="AE50" i="99"/>
  <c r="AD50" i="99"/>
  <c r="AC50" i="99"/>
  <c r="AB50" i="99"/>
  <c r="AA50" i="99"/>
  <c r="Z50" i="99"/>
  <c r="Y50" i="99"/>
  <c r="X50" i="99"/>
  <c r="W50" i="99"/>
  <c r="V50" i="99"/>
  <c r="U50" i="99"/>
  <c r="T50" i="99"/>
  <c r="S50" i="99"/>
  <c r="R50" i="99"/>
  <c r="Q50" i="99"/>
  <c r="P50" i="99"/>
  <c r="O50" i="99"/>
  <c r="N50" i="99"/>
  <c r="M50" i="99"/>
  <c r="L50" i="99"/>
  <c r="K50" i="99"/>
  <c r="J50" i="99"/>
  <c r="I50" i="99"/>
  <c r="H50" i="99"/>
  <c r="G50" i="99"/>
  <c r="F50" i="99"/>
  <c r="E50" i="99"/>
  <c r="D50" i="99"/>
  <c r="AF49" i="99"/>
  <c r="AE49" i="99"/>
  <c r="AD49" i="99"/>
  <c r="AC49" i="99"/>
  <c r="AB49" i="99"/>
  <c r="AA49" i="99"/>
  <c r="Z49" i="99"/>
  <c r="Y49" i="99"/>
  <c r="X49" i="99"/>
  <c r="W49" i="99"/>
  <c r="V49" i="99"/>
  <c r="U49" i="99"/>
  <c r="T49" i="99"/>
  <c r="S49" i="99"/>
  <c r="R49" i="99"/>
  <c r="Q49" i="99"/>
  <c r="P49" i="99"/>
  <c r="O49" i="99"/>
  <c r="N49" i="99"/>
  <c r="M49" i="99"/>
  <c r="L49" i="99"/>
  <c r="K49" i="99"/>
  <c r="J49" i="99"/>
  <c r="I49" i="99"/>
  <c r="H49" i="99"/>
  <c r="G49" i="99"/>
  <c r="F49" i="99"/>
  <c r="E49" i="99"/>
  <c r="D49" i="99"/>
  <c r="AF47" i="99"/>
  <c r="AE47" i="99"/>
  <c r="AD47" i="99"/>
  <c r="AC47" i="99"/>
  <c r="AB47" i="99"/>
  <c r="AA47" i="99"/>
  <c r="Z47" i="99"/>
  <c r="Y47" i="99"/>
  <c r="X47" i="99"/>
  <c r="W47" i="99"/>
  <c r="V47" i="99"/>
  <c r="U47" i="99"/>
  <c r="T47" i="99"/>
  <c r="S47" i="99"/>
  <c r="R47" i="99"/>
  <c r="Q47" i="99"/>
  <c r="P47" i="99"/>
  <c r="O47" i="99"/>
  <c r="N47" i="99"/>
  <c r="M47" i="99"/>
  <c r="L47" i="99"/>
  <c r="K47" i="99"/>
  <c r="J47" i="99"/>
  <c r="I47" i="99"/>
  <c r="H47" i="99"/>
  <c r="G47" i="99"/>
  <c r="F47" i="99"/>
  <c r="E47" i="99"/>
  <c r="D47" i="99"/>
  <c r="AF46" i="99"/>
  <c r="AE46" i="99"/>
  <c r="AD46" i="99"/>
  <c r="AC46" i="99"/>
  <c r="AB46" i="99"/>
  <c r="AA46" i="99"/>
  <c r="Z46" i="99"/>
  <c r="Y46" i="99"/>
  <c r="X46" i="99"/>
  <c r="W46" i="99"/>
  <c r="V46" i="99"/>
  <c r="U46" i="99"/>
  <c r="T46" i="99"/>
  <c r="S46" i="99"/>
  <c r="R46" i="99"/>
  <c r="Q46" i="99"/>
  <c r="P46" i="99"/>
  <c r="O46" i="99"/>
  <c r="N46" i="99"/>
  <c r="M46" i="99"/>
  <c r="L46" i="99"/>
  <c r="K46" i="99"/>
  <c r="J46" i="99"/>
  <c r="I46" i="99"/>
  <c r="H46" i="99"/>
  <c r="G46" i="99"/>
  <c r="F46" i="99"/>
  <c r="E46" i="99"/>
  <c r="D46" i="99"/>
  <c r="AF45" i="99"/>
  <c r="AE45" i="99"/>
  <c r="AD45" i="99"/>
  <c r="AC45" i="99"/>
  <c r="AB45" i="99"/>
  <c r="AA45" i="99"/>
  <c r="Z45" i="99"/>
  <c r="Y45" i="99"/>
  <c r="X45" i="99"/>
  <c r="W45" i="99"/>
  <c r="V45" i="99"/>
  <c r="U45" i="99"/>
  <c r="T45" i="99"/>
  <c r="S45" i="99"/>
  <c r="R45" i="99"/>
  <c r="Q45" i="99"/>
  <c r="P45" i="99"/>
  <c r="O45" i="99"/>
  <c r="N45" i="99"/>
  <c r="M45" i="99"/>
  <c r="L45" i="99"/>
  <c r="K45" i="99"/>
  <c r="J45" i="99"/>
  <c r="I45" i="99"/>
  <c r="H45" i="99"/>
  <c r="G45" i="99"/>
  <c r="F45" i="99"/>
  <c r="E45" i="99"/>
  <c r="D45" i="99"/>
  <c r="AF44" i="99"/>
  <c r="AE44" i="99"/>
  <c r="AD44" i="99"/>
  <c r="AC44" i="99"/>
  <c r="AB44" i="99"/>
  <c r="AA44" i="99"/>
  <c r="Z44" i="99"/>
  <c r="Y44" i="99"/>
  <c r="X44" i="99"/>
  <c r="W44" i="99"/>
  <c r="V44" i="99"/>
  <c r="U44" i="99"/>
  <c r="T44" i="99"/>
  <c r="S44" i="99"/>
  <c r="R44" i="99"/>
  <c r="Q44" i="99"/>
  <c r="P44" i="99"/>
  <c r="O44" i="99"/>
  <c r="N44" i="99"/>
  <c r="M44" i="99"/>
  <c r="L44" i="99"/>
  <c r="K44" i="99"/>
  <c r="J44" i="99"/>
  <c r="I44" i="99"/>
  <c r="H44" i="99"/>
  <c r="G44" i="99"/>
  <c r="F44" i="99"/>
  <c r="E44" i="99"/>
  <c r="D44" i="99"/>
  <c r="AF43" i="99"/>
  <c r="AE43" i="99"/>
  <c r="AD43" i="99"/>
  <c r="AC43" i="99"/>
  <c r="AB43" i="99"/>
  <c r="AA43" i="99"/>
  <c r="Z43" i="99"/>
  <c r="Y43" i="99"/>
  <c r="X43" i="99"/>
  <c r="W43" i="99"/>
  <c r="V43" i="99"/>
  <c r="U43" i="99"/>
  <c r="T43" i="99"/>
  <c r="S43" i="99"/>
  <c r="R43" i="99"/>
  <c r="Q43" i="99"/>
  <c r="P43" i="99"/>
  <c r="O43" i="99"/>
  <c r="N43" i="99"/>
  <c r="M43" i="99"/>
  <c r="L43" i="99"/>
  <c r="K43" i="99"/>
  <c r="J43" i="99"/>
  <c r="I43" i="99"/>
  <c r="H43" i="99"/>
  <c r="G43" i="99"/>
  <c r="F43" i="99"/>
  <c r="E43" i="99"/>
  <c r="D43" i="99"/>
  <c r="AF40" i="99"/>
  <c r="AE40" i="99"/>
  <c r="AD40" i="99"/>
  <c r="AC40" i="99"/>
  <c r="AB40" i="99"/>
  <c r="AA40" i="99"/>
  <c r="Z40" i="99"/>
  <c r="Y40" i="99"/>
  <c r="X40" i="99"/>
  <c r="W40" i="99"/>
  <c r="V40" i="99"/>
  <c r="U40" i="99"/>
  <c r="T40" i="99"/>
  <c r="S40" i="99"/>
  <c r="R40" i="99"/>
  <c r="Q40" i="99"/>
  <c r="P40" i="99"/>
  <c r="O40" i="99"/>
  <c r="N40" i="99"/>
  <c r="M40" i="99"/>
  <c r="L40" i="99"/>
  <c r="K40" i="99"/>
  <c r="J40" i="99"/>
  <c r="I40" i="99"/>
  <c r="H40" i="99"/>
  <c r="G40" i="99"/>
  <c r="F40" i="99"/>
  <c r="E40" i="99"/>
  <c r="D40" i="99"/>
  <c r="AF39" i="99"/>
  <c r="AE39" i="99"/>
  <c r="AD39" i="99"/>
  <c r="AC39" i="99"/>
  <c r="AB39" i="99"/>
  <c r="AA39" i="99"/>
  <c r="Z39" i="99"/>
  <c r="Y39" i="99"/>
  <c r="X39" i="99"/>
  <c r="W39" i="99"/>
  <c r="V39" i="99"/>
  <c r="U39" i="99"/>
  <c r="T39" i="99"/>
  <c r="S39" i="99"/>
  <c r="R39" i="99"/>
  <c r="Q39" i="99"/>
  <c r="P39" i="99"/>
  <c r="O39" i="99"/>
  <c r="N39" i="99"/>
  <c r="M39" i="99"/>
  <c r="L39" i="99"/>
  <c r="K39" i="99"/>
  <c r="J39" i="99"/>
  <c r="I39" i="99"/>
  <c r="H39" i="99"/>
  <c r="G39" i="99"/>
  <c r="F39" i="99"/>
  <c r="E39" i="99"/>
  <c r="D39" i="99"/>
  <c r="AF38" i="99"/>
  <c r="AE38" i="99"/>
  <c r="AD38" i="99"/>
  <c r="AC38" i="99"/>
  <c r="AB38" i="99"/>
  <c r="AA38" i="99"/>
  <c r="Z38" i="99"/>
  <c r="Y38" i="99"/>
  <c r="X38" i="99"/>
  <c r="W38" i="99"/>
  <c r="V38" i="99"/>
  <c r="U38" i="99"/>
  <c r="T38" i="99"/>
  <c r="S38" i="99"/>
  <c r="R38" i="99"/>
  <c r="Q38" i="99"/>
  <c r="P38" i="99"/>
  <c r="O38" i="99"/>
  <c r="N38" i="99"/>
  <c r="M38" i="99"/>
  <c r="L38" i="99"/>
  <c r="K38" i="99"/>
  <c r="J38" i="99"/>
  <c r="I38" i="99"/>
  <c r="H38" i="99"/>
  <c r="G38" i="99"/>
  <c r="F38" i="99"/>
  <c r="E38" i="99"/>
  <c r="D38" i="99"/>
  <c r="AF37" i="99"/>
  <c r="AE37" i="99"/>
  <c r="AD37" i="99"/>
  <c r="AC37" i="99"/>
  <c r="AB37" i="99"/>
  <c r="AA37" i="99"/>
  <c r="Z37" i="99"/>
  <c r="Y37" i="99"/>
  <c r="X37" i="99"/>
  <c r="W37" i="99"/>
  <c r="V37" i="99"/>
  <c r="U37" i="99"/>
  <c r="T37" i="99"/>
  <c r="S37" i="99"/>
  <c r="R37" i="99"/>
  <c r="Q37" i="99"/>
  <c r="P37" i="99"/>
  <c r="O37" i="99"/>
  <c r="N37" i="99"/>
  <c r="M37" i="99"/>
  <c r="L37" i="99"/>
  <c r="K37" i="99"/>
  <c r="J37" i="99"/>
  <c r="I37" i="99"/>
  <c r="H37" i="99"/>
  <c r="G37" i="99"/>
  <c r="F37" i="99"/>
  <c r="E37" i="99"/>
  <c r="D37" i="99"/>
  <c r="AF36" i="99"/>
  <c r="AE36" i="99"/>
  <c r="AD36" i="99"/>
  <c r="AC36" i="99"/>
  <c r="AB36" i="99"/>
  <c r="AA36" i="99"/>
  <c r="Z36" i="99"/>
  <c r="Y36" i="99"/>
  <c r="X36" i="99"/>
  <c r="W36" i="99"/>
  <c r="V36" i="99"/>
  <c r="U36" i="99"/>
  <c r="T36" i="99"/>
  <c r="S36" i="99"/>
  <c r="R36" i="99"/>
  <c r="Q36" i="99"/>
  <c r="P36" i="99"/>
  <c r="O36" i="99"/>
  <c r="N36" i="99"/>
  <c r="M36" i="99"/>
  <c r="L36" i="99"/>
  <c r="K36" i="99"/>
  <c r="J36" i="99"/>
  <c r="I36" i="99"/>
  <c r="H36" i="99"/>
  <c r="G36" i="99"/>
  <c r="F36" i="99"/>
  <c r="E36" i="99"/>
  <c r="D36" i="99"/>
  <c r="AF35" i="99"/>
  <c r="AE35" i="99"/>
  <c r="AD35" i="99"/>
  <c r="AC35" i="99"/>
  <c r="AB35" i="99"/>
  <c r="AA35" i="99"/>
  <c r="Z35" i="99"/>
  <c r="Y35" i="99"/>
  <c r="X35" i="99"/>
  <c r="W35" i="99"/>
  <c r="V35" i="99"/>
  <c r="U35" i="99"/>
  <c r="T35" i="99"/>
  <c r="S35" i="99"/>
  <c r="R35" i="99"/>
  <c r="Q35" i="99"/>
  <c r="P35" i="99"/>
  <c r="O35" i="99"/>
  <c r="N35" i="99"/>
  <c r="M35" i="99"/>
  <c r="L35" i="99"/>
  <c r="K35" i="99"/>
  <c r="J35" i="99"/>
  <c r="I35" i="99"/>
  <c r="H35" i="99"/>
  <c r="G35" i="99"/>
  <c r="F35" i="99"/>
  <c r="E35" i="99"/>
  <c r="D35" i="99"/>
  <c r="AF34" i="99"/>
  <c r="AE34" i="99"/>
  <c r="AD34" i="99"/>
  <c r="AC34" i="99"/>
  <c r="AB34" i="99"/>
  <c r="AA34" i="99"/>
  <c r="Z34" i="99"/>
  <c r="Y34" i="99"/>
  <c r="X34" i="99"/>
  <c r="W34" i="99"/>
  <c r="V34" i="99"/>
  <c r="U34" i="99"/>
  <c r="T34" i="99"/>
  <c r="S34" i="99"/>
  <c r="R34" i="99"/>
  <c r="Q34" i="99"/>
  <c r="P34" i="99"/>
  <c r="O34" i="99"/>
  <c r="N34" i="99"/>
  <c r="M34" i="99"/>
  <c r="L34" i="99"/>
  <c r="K34" i="99"/>
  <c r="J34" i="99"/>
  <c r="I34" i="99"/>
  <c r="H34" i="99"/>
  <c r="G34" i="99"/>
  <c r="F34" i="99"/>
  <c r="E34" i="99"/>
  <c r="D34" i="99"/>
  <c r="AF33" i="99"/>
  <c r="AE33" i="99"/>
  <c r="AD33" i="99"/>
  <c r="AC33" i="99"/>
  <c r="AB33" i="99"/>
  <c r="AA33" i="99"/>
  <c r="Z33" i="99"/>
  <c r="Y33" i="99"/>
  <c r="X33" i="99"/>
  <c r="W33" i="99"/>
  <c r="V33" i="99"/>
  <c r="U33" i="99"/>
  <c r="T33" i="99"/>
  <c r="S33" i="99"/>
  <c r="R33" i="99"/>
  <c r="Q33" i="99"/>
  <c r="P33" i="99"/>
  <c r="O33" i="99"/>
  <c r="N33" i="99"/>
  <c r="M33" i="99"/>
  <c r="L33" i="99"/>
  <c r="K33" i="99"/>
  <c r="J33" i="99"/>
  <c r="I33" i="99"/>
  <c r="H33" i="99"/>
  <c r="G33" i="99"/>
  <c r="F33" i="99"/>
  <c r="E33" i="99"/>
  <c r="D33" i="99"/>
  <c r="AF31" i="99"/>
  <c r="AE31" i="99"/>
  <c r="AD31" i="99"/>
  <c r="AC31" i="99"/>
  <c r="AB31" i="99"/>
  <c r="AA31" i="99"/>
  <c r="Z31" i="99"/>
  <c r="Y31" i="99"/>
  <c r="X31" i="99"/>
  <c r="W31" i="99"/>
  <c r="V31" i="99"/>
  <c r="U31" i="99"/>
  <c r="T31" i="99"/>
  <c r="S31" i="99"/>
  <c r="R31" i="99"/>
  <c r="Q31" i="99"/>
  <c r="P31" i="99"/>
  <c r="O31" i="99"/>
  <c r="N31" i="99"/>
  <c r="M31" i="99"/>
  <c r="L31" i="99"/>
  <c r="K31" i="99"/>
  <c r="J31" i="99"/>
  <c r="I31" i="99"/>
  <c r="H31" i="99"/>
  <c r="G31" i="99"/>
  <c r="F31" i="99"/>
  <c r="E31" i="99"/>
  <c r="D31" i="99"/>
  <c r="AF30" i="99"/>
  <c r="AE30" i="99"/>
  <c r="AD30" i="99"/>
  <c r="AC30" i="99"/>
  <c r="AB30" i="99"/>
  <c r="AA30" i="99"/>
  <c r="Z30" i="99"/>
  <c r="Y30" i="99"/>
  <c r="X30" i="99"/>
  <c r="W30" i="99"/>
  <c r="V30" i="99"/>
  <c r="U30" i="99"/>
  <c r="T30" i="99"/>
  <c r="S30" i="99"/>
  <c r="R30" i="99"/>
  <c r="Q30" i="99"/>
  <c r="P30" i="99"/>
  <c r="O30" i="99"/>
  <c r="N30" i="99"/>
  <c r="M30" i="99"/>
  <c r="L30" i="99"/>
  <c r="K30" i="99"/>
  <c r="J30" i="99"/>
  <c r="I30" i="99"/>
  <c r="H30" i="99"/>
  <c r="G30" i="99"/>
  <c r="F30" i="99"/>
  <c r="E30" i="99"/>
  <c r="D30" i="99"/>
  <c r="AF29" i="99"/>
  <c r="AE29" i="99"/>
  <c r="AD29" i="99"/>
  <c r="AC29" i="99"/>
  <c r="AB29" i="99"/>
  <c r="AA29" i="99"/>
  <c r="Z29" i="99"/>
  <c r="Y29" i="99"/>
  <c r="X29" i="99"/>
  <c r="W29" i="99"/>
  <c r="V29" i="99"/>
  <c r="U29" i="99"/>
  <c r="T29" i="99"/>
  <c r="S29" i="99"/>
  <c r="R29" i="99"/>
  <c r="Q29" i="99"/>
  <c r="P29" i="99"/>
  <c r="O29" i="99"/>
  <c r="N29" i="99"/>
  <c r="M29" i="99"/>
  <c r="L29" i="99"/>
  <c r="K29" i="99"/>
  <c r="J29" i="99"/>
  <c r="I29" i="99"/>
  <c r="H29" i="99"/>
  <c r="G29" i="99"/>
  <c r="F29" i="99"/>
  <c r="E29" i="99"/>
  <c r="D29" i="99"/>
  <c r="AF28" i="99"/>
  <c r="AE28" i="99"/>
  <c r="AD28" i="99"/>
  <c r="AC28" i="99"/>
  <c r="AB28" i="99"/>
  <c r="AA28" i="99"/>
  <c r="Z28" i="99"/>
  <c r="Y28" i="99"/>
  <c r="X28" i="99"/>
  <c r="W28" i="99"/>
  <c r="V28" i="99"/>
  <c r="U28" i="99"/>
  <c r="T28" i="99"/>
  <c r="S28" i="99"/>
  <c r="R28" i="99"/>
  <c r="Q28" i="99"/>
  <c r="P28" i="99"/>
  <c r="O28" i="99"/>
  <c r="N28" i="99"/>
  <c r="M28" i="99"/>
  <c r="L28" i="99"/>
  <c r="K28" i="99"/>
  <c r="J28" i="99"/>
  <c r="I28" i="99"/>
  <c r="H28" i="99"/>
  <c r="G28" i="99"/>
  <c r="F28" i="99"/>
  <c r="E28" i="99"/>
  <c r="D28" i="99"/>
  <c r="AF27" i="99"/>
  <c r="AE27" i="99"/>
  <c r="AD27" i="99"/>
  <c r="AC27" i="99"/>
  <c r="AB27" i="99"/>
  <c r="AA27" i="99"/>
  <c r="Z27" i="99"/>
  <c r="Y27" i="99"/>
  <c r="X27" i="99"/>
  <c r="W27" i="99"/>
  <c r="V27" i="99"/>
  <c r="U27" i="99"/>
  <c r="T27" i="99"/>
  <c r="S27" i="99"/>
  <c r="R27" i="99"/>
  <c r="Q27" i="99"/>
  <c r="P27" i="99"/>
  <c r="O27" i="99"/>
  <c r="N27" i="99"/>
  <c r="M27" i="99"/>
  <c r="L27" i="99"/>
  <c r="K27" i="99"/>
  <c r="J27" i="99"/>
  <c r="I27" i="99"/>
  <c r="H27" i="99"/>
  <c r="G27" i="99"/>
  <c r="F27" i="99"/>
  <c r="E27" i="99"/>
  <c r="D27" i="99"/>
  <c r="AF26" i="99"/>
  <c r="AE26" i="99"/>
  <c r="AD26" i="99"/>
  <c r="AC26" i="99"/>
  <c r="AB26" i="99"/>
  <c r="AA26" i="99"/>
  <c r="Z26" i="99"/>
  <c r="Y26" i="99"/>
  <c r="X26" i="99"/>
  <c r="W26" i="99"/>
  <c r="V26" i="99"/>
  <c r="U26" i="99"/>
  <c r="T26" i="99"/>
  <c r="S26" i="99"/>
  <c r="R26" i="99"/>
  <c r="Q26" i="99"/>
  <c r="P26" i="99"/>
  <c r="O26" i="99"/>
  <c r="N26" i="99"/>
  <c r="M26" i="99"/>
  <c r="L26" i="99"/>
  <c r="K26" i="99"/>
  <c r="J26" i="99"/>
  <c r="I26" i="99"/>
  <c r="H26" i="99"/>
  <c r="G26" i="99"/>
  <c r="F26" i="99"/>
  <c r="E26" i="99"/>
  <c r="D26" i="99"/>
  <c r="AF25" i="99"/>
  <c r="AE25" i="99"/>
  <c r="AD25" i="99"/>
  <c r="AC25" i="99"/>
  <c r="AB25" i="99"/>
  <c r="AA25" i="99"/>
  <c r="Z25" i="99"/>
  <c r="Y25" i="99"/>
  <c r="X25" i="99"/>
  <c r="W25" i="99"/>
  <c r="V25" i="99"/>
  <c r="U25" i="99"/>
  <c r="T25" i="99"/>
  <c r="S25" i="99"/>
  <c r="R25" i="99"/>
  <c r="Q25" i="99"/>
  <c r="P25" i="99"/>
  <c r="O25" i="99"/>
  <c r="N25" i="99"/>
  <c r="M25" i="99"/>
  <c r="L25" i="99"/>
  <c r="K25" i="99"/>
  <c r="J25" i="99"/>
  <c r="I25" i="99"/>
  <c r="H25" i="99"/>
  <c r="G25" i="99"/>
  <c r="F25" i="99"/>
  <c r="E25" i="99"/>
  <c r="D25" i="99"/>
  <c r="AF24" i="99"/>
  <c r="AE24" i="99"/>
  <c r="AD24" i="99"/>
  <c r="AC24" i="99"/>
  <c r="AB24" i="99"/>
  <c r="AA24" i="99"/>
  <c r="Z24" i="99"/>
  <c r="Y24" i="99"/>
  <c r="X24" i="99"/>
  <c r="W24" i="99"/>
  <c r="V24" i="99"/>
  <c r="U24" i="99"/>
  <c r="T24" i="99"/>
  <c r="S24" i="99"/>
  <c r="R24" i="99"/>
  <c r="Q24" i="99"/>
  <c r="P24" i="99"/>
  <c r="O24" i="99"/>
  <c r="N24" i="99"/>
  <c r="M24" i="99"/>
  <c r="L24" i="99"/>
  <c r="K24" i="99"/>
  <c r="J24" i="99"/>
  <c r="I24" i="99"/>
  <c r="H24" i="99"/>
  <c r="G24" i="99"/>
  <c r="F24" i="99"/>
  <c r="E24" i="99"/>
  <c r="D24" i="99"/>
  <c r="AF22" i="99"/>
  <c r="AE22" i="99"/>
  <c r="AD22" i="99"/>
  <c r="AC22" i="99"/>
  <c r="AB22" i="99"/>
  <c r="AA22" i="99"/>
  <c r="Z22" i="99"/>
  <c r="Y22" i="99"/>
  <c r="X22" i="99"/>
  <c r="W22" i="99"/>
  <c r="V22" i="99"/>
  <c r="U22" i="99"/>
  <c r="T22" i="99"/>
  <c r="S22" i="99"/>
  <c r="R22" i="99"/>
  <c r="Q22" i="99"/>
  <c r="P22" i="99"/>
  <c r="O22" i="99"/>
  <c r="N22" i="99"/>
  <c r="M22" i="99"/>
  <c r="L22" i="99"/>
  <c r="K22" i="99"/>
  <c r="J22" i="99"/>
  <c r="I22" i="99"/>
  <c r="H22" i="99"/>
  <c r="G22" i="99"/>
  <c r="F22" i="99"/>
  <c r="E22" i="99"/>
  <c r="D22" i="99"/>
  <c r="AF21" i="99"/>
  <c r="AE21" i="99"/>
  <c r="AD21" i="99"/>
  <c r="AC21" i="99"/>
  <c r="AB21" i="99"/>
  <c r="AA21" i="99"/>
  <c r="Z21" i="99"/>
  <c r="Y21" i="99"/>
  <c r="X21" i="99"/>
  <c r="W21" i="99"/>
  <c r="V21" i="99"/>
  <c r="U21" i="99"/>
  <c r="T21" i="99"/>
  <c r="S21" i="99"/>
  <c r="R21" i="99"/>
  <c r="Q21" i="99"/>
  <c r="P21" i="99"/>
  <c r="O21" i="99"/>
  <c r="N21" i="99"/>
  <c r="M21" i="99"/>
  <c r="L21" i="99"/>
  <c r="K21" i="99"/>
  <c r="J21" i="99"/>
  <c r="I21" i="99"/>
  <c r="H21" i="99"/>
  <c r="G21" i="99"/>
  <c r="F21" i="99"/>
  <c r="E21" i="99"/>
  <c r="D21" i="99"/>
  <c r="AF20" i="99"/>
  <c r="AE20" i="99"/>
  <c r="AD20" i="99"/>
  <c r="AC20" i="99"/>
  <c r="AB20" i="99"/>
  <c r="AA20" i="99"/>
  <c r="Z20" i="99"/>
  <c r="Y20" i="99"/>
  <c r="X20" i="99"/>
  <c r="W20" i="99"/>
  <c r="V20" i="99"/>
  <c r="U20" i="99"/>
  <c r="T20" i="99"/>
  <c r="S20" i="99"/>
  <c r="R20" i="99"/>
  <c r="Q20" i="99"/>
  <c r="P20" i="99"/>
  <c r="O20" i="99"/>
  <c r="N20" i="99"/>
  <c r="M20" i="99"/>
  <c r="L20" i="99"/>
  <c r="K20" i="99"/>
  <c r="J20" i="99"/>
  <c r="I20" i="99"/>
  <c r="H20" i="99"/>
  <c r="G20" i="99"/>
  <c r="F20" i="99"/>
  <c r="E20" i="99"/>
  <c r="D20" i="99"/>
  <c r="AF19" i="99"/>
  <c r="AE19" i="99"/>
  <c r="AD19" i="99"/>
  <c r="AC19" i="99"/>
  <c r="AB19" i="99"/>
  <c r="AA19" i="99"/>
  <c r="Z19" i="99"/>
  <c r="Y19" i="99"/>
  <c r="X19" i="99"/>
  <c r="W19" i="99"/>
  <c r="V19" i="99"/>
  <c r="U19" i="99"/>
  <c r="T19" i="99"/>
  <c r="S19" i="99"/>
  <c r="R19" i="99"/>
  <c r="Q19" i="99"/>
  <c r="P19" i="99"/>
  <c r="O19" i="99"/>
  <c r="N19" i="99"/>
  <c r="M19" i="99"/>
  <c r="L19" i="99"/>
  <c r="K19" i="99"/>
  <c r="J19" i="99"/>
  <c r="I19" i="99"/>
  <c r="H19" i="99"/>
  <c r="G19" i="99"/>
  <c r="F19" i="99"/>
  <c r="E19" i="99"/>
  <c r="D19" i="99"/>
  <c r="AF18" i="99"/>
  <c r="AE18" i="99"/>
  <c r="AD18" i="99"/>
  <c r="AC18" i="99"/>
  <c r="AB18" i="99"/>
  <c r="AA18" i="99"/>
  <c r="Z18" i="99"/>
  <c r="Y18" i="99"/>
  <c r="X18" i="99"/>
  <c r="W18" i="99"/>
  <c r="V18" i="99"/>
  <c r="U18" i="99"/>
  <c r="T18" i="99"/>
  <c r="S18" i="99"/>
  <c r="R18" i="99"/>
  <c r="Q18" i="99"/>
  <c r="P18" i="99"/>
  <c r="O18" i="99"/>
  <c r="N18" i="99"/>
  <c r="M18" i="99"/>
  <c r="L18" i="99"/>
  <c r="K18" i="99"/>
  <c r="J18" i="99"/>
  <c r="I18" i="99"/>
  <c r="H18" i="99"/>
  <c r="G18" i="99"/>
  <c r="F18" i="99"/>
  <c r="E18" i="99"/>
  <c r="D18" i="99"/>
  <c r="AF17" i="99"/>
  <c r="AE17" i="99"/>
  <c r="AD17" i="99"/>
  <c r="AC17" i="99"/>
  <c r="AB17" i="99"/>
  <c r="AA17" i="99"/>
  <c r="Z17" i="99"/>
  <c r="Y17" i="99"/>
  <c r="X17" i="99"/>
  <c r="W17" i="99"/>
  <c r="V17" i="99"/>
  <c r="U17" i="99"/>
  <c r="T17" i="99"/>
  <c r="S17" i="99"/>
  <c r="R17" i="99"/>
  <c r="Q17" i="99"/>
  <c r="P17" i="99"/>
  <c r="O17" i="99"/>
  <c r="N17" i="99"/>
  <c r="M17" i="99"/>
  <c r="L17" i="99"/>
  <c r="K17" i="99"/>
  <c r="J17" i="99"/>
  <c r="I17" i="99"/>
  <c r="H17" i="99"/>
  <c r="G17" i="99"/>
  <c r="F17" i="99"/>
  <c r="E17" i="99"/>
  <c r="D17" i="99"/>
  <c r="AF16" i="99"/>
  <c r="AE16" i="99"/>
  <c r="AD16" i="99"/>
  <c r="AC16" i="99"/>
  <c r="AB16" i="99"/>
  <c r="AA16" i="99"/>
  <c r="Z16" i="99"/>
  <c r="Y16" i="99"/>
  <c r="X16" i="99"/>
  <c r="W16" i="99"/>
  <c r="V16" i="99"/>
  <c r="U16" i="99"/>
  <c r="T16" i="99"/>
  <c r="S16" i="99"/>
  <c r="R16" i="99"/>
  <c r="Q16" i="99"/>
  <c r="P16" i="99"/>
  <c r="O16" i="99"/>
  <c r="N16" i="99"/>
  <c r="M16" i="99"/>
  <c r="L16" i="99"/>
  <c r="K16" i="99"/>
  <c r="J16" i="99"/>
  <c r="I16" i="99"/>
  <c r="H16" i="99"/>
  <c r="G16" i="99"/>
  <c r="F16" i="99"/>
  <c r="E16" i="99"/>
  <c r="D16" i="99"/>
  <c r="AF15" i="99"/>
  <c r="AE15" i="99"/>
  <c r="AD15" i="99"/>
  <c r="AC15" i="99"/>
  <c r="AB15" i="99"/>
  <c r="AA15" i="99"/>
  <c r="Z15" i="99"/>
  <c r="Y15" i="99"/>
  <c r="X15" i="99"/>
  <c r="W15" i="99"/>
  <c r="V15" i="99"/>
  <c r="U15" i="99"/>
  <c r="T15" i="99"/>
  <c r="S15" i="99"/>
  <c r="R15" i="99"/>
  <c r="Q15" i="99"/>
  <c r="P15" i="99"/>
  <c r="O15" i="99"/>
  <c r="N15" i="99"/>
  <c r="M15" i="99"/>
  <c r="L15" i="99"/>
  <c r="K15" i="99"/>
  <c r="J15" i="99"/>
  <c r="I15" i="99"/>
  <c r="H15" i="99"/>
  <c r="G15" i="99"/>
  <c r="F15" i="99"/>
  <c r="E15" i="99"/>
  <c r="D15" i="99"/>
  <c r="C116" i="99"/>
  <c r="C114" i="99"/>
  <c r="C113" i="99"/>
  <c r="C110" i="99"/>
  <c r="C111" i="99"/>
  <c r="C109" i="99"/>
  <c r="C71" i="99"/>
  <c r="C72" i="99"/>
  <c r="C73" i="99"/>
  <c r="C74" i="99"/>
  <c r="C75" i="99"/>
  <c r="C76" i="99"/>
  <c r="C77" i="99"/>
  <c r="C78" i="99"/>
  <c r="C79" i="99"/>
  <c r="C80" i="99"/>
  <c r="C81" i="99"/>
  <c r="C82" i="99"/>
  <c r="C83" i="99"/>
  <c r="C84" i="99"/>
  <c r="C85" i="99"/>
  <c r="C86" i="99"/>
  <c r="C87" i="99"/>
  <c r="C88" i="99"/>
  <c r="C89" i="99"/>
  <c r="C90" i="99"/>
  <c r="C91" i="99"/>
  <c r="C92" i="99"/>
  <c r="C93" i="99"/>
  <c r="C94" i="99"/>
  <c r="C95" i="99"/>
  <c r="C96" i="99"/>
  <c r="C97" i="99"/>
  <c r="C98" i="99"/>
  <c r="C99" i="99"/>
  <c r="C100" i="99"/>
  <c r="C101" i="99"/>
  <c r="C102" i="99"/>
  <c r="C103" i="99"/>
  <c r="C104" i="99"/>
  <c r="C105" i="99"/>
  <c r="C106" i="99"/>
  <c r="C107" i="99"/>
  <c r="C70" i="99"/>
  <c r="C66" i="99"/>
  <c r="C67" i="99"/>
  <c r="C68" i="99"/>
  <c r="C65" i="99"/>
  <c r="C62" i="99"/>
  <c r="C63" i="99"/>
  <c r="C61" i="99"/>
  <c r="C56" i="99"/>
  <c r="C57" i="99"/>
  <c r="C58" i="99"/>
  <c r="C59" i="99"/>
  <c r="C55" i="99"/>
  <c r="C50" i="99"/>
  <c r="C51" i="99"/>
  <c r="C52" i="99"/>
  <c r="C53" i="99"/>
  <c r="C49" i="99"/>
  <c r="C44" i="99"/>
  <c r="C45" i="99"/>
  <c r="C46" i="99"/>
  <c r="C47" i="99"/>
  <c r="C43" i="99"/>
  <c r="C40" i="99"/>
  <c r="C34" i="99"/>
  <c r="C35" i="99"/>
  <c r="C36" i="99"/>
  <c r="C37" i="99"/>
  <c r="C38" i="99"/>
  <c r="C39" i="99"/>
  <c r="C33" i="99"/>
  <c r="C25" i="99"/>
  <c r="C26" i="99"/>
  <c r="C27" i="99"/>
  <c r="C28" i="99"/>
  <c r="C29" i="99"/>
  <c r="C30" i="99"/>
  <c r="C31" i="99"/>
  <c r="C24" i="99"/>
  <c r="C16" i="99"/>
  <c r="C17" i="99"/>
  <c r="C18" i="99"/>
  <c r="C19" i="99"/>
  <c r="C20" i="99"/>
  <c r="C21" i="99"/>
  <c r="C22" i="99"/>
  <c r="C15" i="99"/>
  <c r="AD4" i="7" l="1"/>
  <c r="U4" i="7"/>
  <c r="C4" i="7"/>
  <c r="S4" i="7"/>
  <c r="K4" i="7"/>
  <c r="Q4" i="7"/>
  <c r="P4" i="7"/>
  <c r="AC4" i="7"/>
  <c r="AB4" i="7"/>
  <c r="I4" i="7"/>
  <c r="X4" i="7"/>
  <c r="W4" i="7"/>
  <c r="G4" i="7"/>
  <c r="R4" i="7"/>
  <c r="T4" i="7"/>
  <c r="O4" i="7"/>
  <c r="E4" i="7"/>
  <c r="H4" i="7"/>
  <c r="AA4" i="7"/>
  <c r="J4" i="7"/>
  <c r="Y4" i="7"/>
  <c r="Z4" i="7"/>
  <c r="F4" i="7"/>
  <c r="AE6" i="41"/>
  <c r="AD6" i="41"/>
  <c r="AC6" i="41"/>
  <c r="AB6" i="41"/>
  <c r="AA6" i="41"/>
  <c r="AA4" i="41" s="1"/>
  <c r="Z6" i="41"/>
  <c r="Z4" i="41" s="1"/>
  <c r="Y6" i="41"/>
  <c r="Y4" i="41" s="1"/>
  <c r="X6" i="41"/>
  <c r="W6" i="41"/>
  <c r="V6" i="41"/>
  <c r="U6" i="41"/>
  <c r="T6" i="41"/>
  <c r="S6" i="41"/>
  <c r="S4" i="41" s="1"/>
  <c r="R6" i="41"/>
  <c r="R4" i="41" s="1"/>
  <c r="Q6" i="41"/>
  <c r="Q4" i="41" s="1"/>
  <c r="P6" i="41"/>
  <c r="O6" i="41"/>
  <c r="O4" i="41" s="1"/>
  <c r="N6" i="41"/>
  <c r="N4" i="41" s="1"/>
  <c r="M6" i="41"/>
  <c r="M4" i="41" s="1"/>
  <c r="L6" i="41"/>
  <c r="L4" i="41" s="1"/>
  <c r="K6" i="41"/>
  <c r="J6" i="41"/>
  <c r="J4" i="41" s="1"/>
  <c r="I6" i="41"/>
  <c r="I4" i="41" s="1"/>
  <c r="H6" i="41"/>
  <c r="H4" i="41" s="1"/>
  <c r="G6" i="41"/>
  <c r="F6" i="41"/>
  <c r="E6" i="41"/>
  <c r="D6" i="41"/>
  <c r="C6" i="41"/>
  <c r="B6" i="41"/>
  <c r="B4" i="41" s="1"/>
  <c r="AE4" i="41"/>
  <c r="AD4" i="41"/>
  <c r="AC4" i="41"/>
  <c r="AB4" i="41"/>
  <c r="X4" i="41"/>
  <c r="W4" i="41"/>
  <c r="V4" i="41"/>
  <c r="U4" i="41"/>
  <c r="T4" i="41"/>
  <c r="P4" i="41"/>
  <c r="K4" i="41"/>
  <c r="G4" i="41"/>
  <c r="F4" i="41"/>
  <c r="E4" i="41"/>
  <c r="D4" i="41"/>
  <c r="C4" i="41"/>
  <c r="AE4" i="28"/>
  <c r="AD4" i="28"/>
  <c r="AC4" i="28"/>
  <c r="AB4" i="28"/>
  <c r="AA4" i="28"/>
  <c r="Z4" i="28"/>
  <c r="Y4" i="28"/>
  <c r="X4" i="28"/>
  <c r="T4" i="28"/>
  <c r="O4" i="28"/>
  <c r="N4" i="28"/>
  <c r="J4" i="28"/>
  <c r="I4" i="28"/>
  <c r="H4" i="28"/>
  <c r="G4" i="28"/>
  <c r="F4" i="28"/>
  <c r="E4" i="28"/>
  <c r="D4" i="28"/>
  <c r="W4" i="28"/>
  <c r="V4" i="28"/>
  <c r="U4" i="28"/>
  <c r="S4" i="28"/>
  <c r="R4" i="28"/>
  <c r="Q4" i="28"/>
  <c r="P4" i="28"/>
  <c r="M4" i="28"/>
  <c r="L4" i="28"/>
  <c r="K4" i="28"/>
  <c r="C4" i="28"/>
  <c r="B4" i="28"/>
  <c r="B4" i="21"/>
  <c r="C4" i="21"/>
  <c r="D4" i="21"/>
  <c r="E4" i="21"/>
  <c r="F4" i="21"/>
  <c r="G4" i="21"/>
  <c r="H4" i="21"/>
  <c r="I4" i="21"/>
  <c r="J4" i="21"/>
  <c r="K4" i="21"/>
  <c r="L4" i="21"/>
  <c r="M4" i="21"/>
  <c r="N4" i="21"/>
  <c r="O4" i="21"/>
  <c r="P4" i="21"/>
  <c r="Q4" i="21"/>
  <c r="R4" i="21"/>
  <c r="S4" i="21"/>
  <c r="T4" i="21"/>
  <c r="U4" i="21"/>
  <c r="V4" i="21"/>
  <c r="W4" i="21"/>
  <c r="X4" i="21"/>
  <c r="Y4" i="21"/>
  <c r="Z4" i="21"/>
  <c r="AA4" i="21"/>
  <c r="AB4" i="21"/>
  <c r="AC4" i="21"/>
  <c r="AD4" i="21"/>
  <c r="AE4" i="21"/>
  <c r="C4" i="14"/>
  <c r="D4" i="14"/>
  <c r="E4" i="14"/>
  <c r="I4" i="14"/>
  <c r="J4" i="14"/>
  <c r="K4" i="14"/>
  <c r="L4" i="14"/>
  <c r="M4" i="14"/>
  <c r="Q4" i="14"/>
  <c r="R4" i="14"/>
  <c r="S4" i="14"/>
  <c r="T4" i="14"/>
  <c r="U4" i="14"/>
  <c r="V4" i="14"/>
  <c r="W4" i="14"/>
  <c r="X4" i="14"/>
  <c r="Y4" i="14"/>
  <c r="Z4" i="14"/>
  <c r="AA4" i="14"/>
  <c r="AB4" i="14"/>
  <c r="AC4" i="14"/>
  <c r="AD4" i="14"/>
  <c r="AE4" i="14"/>
  <c r="F4" i="14"/>
  <c r="G4" i="14"/>
  <c r="H4" i="14"/>
  <c r="N4" i="14"/>
  <c r="O4" i="14"/>
  <c r="P4" i="14"/>
  <c r="B4" i="14"/>
  <c r="G4" i="5"/>
  <c r="H4" i="5"/>
  <c r="P4" i="5"/>
  <c r="X4" i="5"/>
  <c r="AE4" i="5"/>
  <c r="B4" i="5"/>
  <c r="C4" i="5"/>
  <c r="D4" i="5"/>
  <c r="E4" i="5"/>
  <c r="F4" i="5"/>
  <c r="I4" i="5"/>
  <c r="J4" i="5"/>
  <c r="K4" i="5"/>
  <c r="L4" i="5"/>
  <c r="M4" i="5"/>
  <c r="N4" i="5"/>
  <c r="O4" i="5"/>
  <c r="Q4" i="5"/>
  <c r="R4" i="5"/>
  <c r="S4" i="5"/>
  <c r="T4" i="5"/>
  <c r="U4" i="5"/>
  <c r="V4" i="5"/>
  <c r="W4" i="5"/>
  <c r="Y4" i="5"/>
  <c r="Z4" i="5"/>
  <c r="AA4" i="5"/>
  <c r="AB4" i="5"/>
  <c r="AC4" i="5"/>
  <c r="AD4" i="5"/>
  <c r="B1" i="49" l="1"/>
  <c r="C1" i="49"/>
  <c r="D1" i="49"/>
  <c r="E1" i="49"/>
  <c r="F1" i="49"/>
  <c r="G1" i="49"/>
  <c r="H1" i="49"/>
  <c r="I1" i="49"/>
  <c r="J1" i="49"/>
  <c r="K1" i="49"/>
  <c r="L1" i="49"/>
  <c r="M1" i="49"/>
  <c r="N1" i="49"/>
  <c r="O1" i="49"/>
  <c r="P1" i="49"/>
  <c r="Q1" i="49"/>
  <c r="R1" i="49"/>
  <c r="S1" i="49"/>
  <c r="T1" i="49"/>
  <c r="U1" i="49"/>
  <c r="V1" i="49"/>
  <c r="W1" i="49"/>
  <c r="X1" i="49"/>
  <c r="Y1" i="49"/>
  <c r="Z1" i="49"/>
  <c r="AA1" i="49"/>
  <c r="AB1" i="49"/>
  <c r="AC1" i="49"/>
  <c r="AD1" i="49"/>
  <c r="C1" i="47"/>
  <c r="D1" i="47"/>
  <c r="E1" i="47"/>
  <c r="F1" i="47"/>
  <c r="G1" i="47"/>
  <c r="H1" i="47"/>
  <c r="I1" i="47"/>
  <c r="J1" i="47"/>
  <c r="K1" i="47"/>
  <c r="L1" i="47"/>
  <c r="M1" i="47"/>
  <c r="N1" i="47"/>
  <c r="O1" i="47"/>
  <c r="P1" i="47"/>
  <c r="Q1" i="47"/>
  <c r="R1" i="47"/>
  <c r="S1" i="47"/>
  <c r="T1" i="47"/>
  <c r="U1" i="47"/>
  <c r="V1" i="47"/>
  <c r="W1" i="47"/>
  <c r="X1" i="47"/>
  <c r="Y1" i="47"/>
  <c r="Z1" i="47"/>
  <c r="AA1" i="47"/>
  <c r="AB1" i="47"/>
  <c r="AC1" i="47"/>
  <c r="AD1" i="47"/>
  <c r="AE1" i="47"/>
  <c r="B1" i="47"/>
  <c r="Q29" i="10" l="1"/>
  <c r="O29" i="10"/>
  <c r="N29" i="10"/>
  <c r="G29" i="10"/>
  <c r="F29" i="10"/>
  <c r="W29" i="10"/>
  <c r="V29" i="10"/>
  <c r="D12" i="10"/>
  <c r="D7" i="10"/>
  <c r="D14" i="10"/>
  <c r="D8" i="10"/>
  <c r="D9" i="10"/>
  <c r="D13" i="10"/>
  <c r="D10" i="10"/>
  <c r="D11" i="10"/>
  <c r="U1" i="29"/>
  <c r="U1" i="15"/>
  <c r="U1" i="30"/>
  <c r="U1" i="22"/>
  <c r="U1" i="6"/>
  <c r="U1" i="23"/>
  <c r="U1" i="42"/>
  <c r="U1" i="48" s="1"/>
  <c r="Z1" i="29"/>
  <c r="Z1" i="6"/>
  <c r="Z1" i="42"/>
  <c r="Z1" i="48" s="1"/>
  <c r="Z1" i="15"/>
  <c r="Z1" i="23"/>
  <c r="Z1" i="30"/>
  <c r="Z1" i="22"/>
  <c r="D1" i="30"/>
  <c r="D1" i="22"/>
  <c r="D1" i="23"/>
  <c r="D1" i="29"/>
  <c r="D1" i="6"/>
  <c r="D1" i="42"/>
  <c r="D1" i="48" s="1"/>
  <c r="D1" i="15"/>
  <c r="J1" i="29"/>
  <c r="J1" i="6"/>
  <c r="J1" i="30"/>
  <c r="J1" i="22"/>
  <c r="J1" i="42"/>
  <c r="J1" i="48" s="1"/>
  <c r="J1" i="15"/>
  <c r="J1" i="23"/>
  <c r="AC1" i="6"/>
  <c r="AC1" i="30"/>
  <c r="AC1" i="22"/>
  <c r="AC1" i="29"/>
  <c r="AC1" i="15"/>
  <c r="AC1" i="42"/>
  <c r="AC1" i="48" s="1"/>
  <c r="AC1" i="23"/>
  <c r="E1" i="6"/>
  <c r="E1" i="30"/>
  <c r="E1" i="22"/>
  <c r="E1" i="23"/>
  <c r="E1" i="29"/>
  <c r="E1" i="42"/>
  <c r="E1" i="48" s="1"/>
  <c r="E1" i="15"/>
  <c r="AB1" i="30"/>
  <c r="AB1" i="22"/>
  <c r="AB1" i="23"/>
  <c r="AB1" i="29"/>
  <c r="AB1" i="6"/>
  <c r="AB1" i="42"/>
  <c r="AB1" i="48" s="1"/>
  <c r="AB1" i="15"/>
  <c r="L1" i="30"/>
  <c r="L1" i="22"/>
  <c r="L1" i="29"/>
  <c r="L1" i="6"/>
  <c r="L1" i="42"/>
  <c r="L1" i="48" s="1"/>
  <c r="L1" i="15"/>
  <c r="L1" i="23"/>
  <c r="AA1" i="29"/>
  <c r="AA1" i="6"/>
  <c r="AA1" i="15"/>
  <c r="AA1" i="42"/>
  <c r="AA1" i="48" s="1"/>
  <c r="AA1" i="23"/>
  <c r="AA1" i="30"/>
  <c r="AA1" i="22"/>
  <c r="K1" i="15"/>
  <c r="K1" i="23"/>
  <c r="K1" i="30"/>
  <c r="K1" i="29"/>
  <c r="K1" i="6"/>
  <c r="K1" i="42"/>
  <c r="K1" i="48" s="1"/>
  <c r="K1" i="22"/>
  <c r="AC29" i="10"/>
  <c r="E29" i="10"/>
  <c r="R1" i="29"/>
  <c r="R1" i="6"/>
  <c r="R1" i="30"/>
  <c r="R1" i="22"/>
  <c r="R1" i="42"/>
  <c r="R1" i="48" s="1"/>
  <c r="R1" i="15"/>
  <c r="R1" i="23"/>
  <c r="AB29" i="10"/>
  <c r="L29" i="10"/>
  <c r="Y1" i="23"/>
  <c r="Y1" i="42"/>
  <c r="Y1" i="48" s="1"/>
  <c r="Y1" i="15"/>
  <c r="Y1" i="29"/>
  <c r="Y1" i="30"/>
  <c r="Y1" i="22"/>
  <c r="Y1" i="6"/>
  <c r="I1" i="30"/>
  <c r="I1" i="22"/>
  <c r="I1" i="29"/>
  <c r="I1" i="42"/>
  <c r="I1" i="48" s="1"/>
  <c r="I1" i="15"/>
  <c r="I1" i="23"/>
  <c r="I1" i="6"/>
  <c r="AA29" i="10"/>
  <c r="K29" i="10"/>
  <c r="X1" i="42"/>
  <c r="X1" i="48" s="1"/>
  <c r="X1" i="15"/>
  <c r="X1" i="29"/>
  <c r="X1" i="23"/>
  <c r="X1" i="30"/>
  <c r="X1" i="22"/>
  <c r="X1" i="6"/>
  <c r="H1" i="42"/>
  <c r="H1" i="48" s="1"/>
  <c r="H1" i="15"/>
  <c r="H1" i="23"/>
  <c r="H1" i="29"/>
  <c r="H1" i="30"/>
  <c r="H1" i="22"/>
  <c r="H1" i="6"/>
  <c r="Z29" i="10"/>
  <c r="J29" i="10"/>
  <c r="W1" i="23"/>
  <c r="W1" i="30"/>
  <c r="W1" i="22"/>
  <c r="W1" i="29"/>
  <c r="W1" i="6"/>
  <c r="W1" i="42"/>
  <c r="W1" i="48" s="1"/>
  <c r="W1" i="15"/>
  <c r="O1" i="22"/>
  <c r="O1" i="29"/>
  <c r="O1" i="42"/>
  <c r="O1" i="48" s="1"/>
  <c r="O1" i="23"/>
  <c r="O1" i="6"/>
  <c r="O1" i="30"/>
  <c r="O1" i="15"/>
  <c r="G1" i="30"/>
  <c r="G1" i="6"/>
  <c r="G1" i="23"/>
  <c r="G1" i="22"/>
  <c r="G1" i="42"/>
  <c r="G1" i="48" s="1"/>
  <c r="G1" i="29"/>
  <c r="G1" i="15"/>
  <c r="Y29" i="10"/>
  <c r="I29" i="10"/>
  <c r="M1" i="23"/>
  <c r="M1" i="30"/>
  <c r="M1" i="22"/>
  <c r="M1" i="29"/>
  <c r="M1" i="15"/>
  <c r="M1" i="6"/>
  <c r="M1" i="42"/>
  <c r="M1" i="48" s="1"/>
  <c r="T1" i="30"/>
  <c r="T1" i="22"/>
  <c r="T1" i="23"/>
  <c r="T1" i="29"/>
  <c r="T1" i="6"/>
  <c r="T1" i="42"/>
  <c r="T1" i="48" s="1"/>
  <c r="T1" i="15"/>
  <c r="S1" i="29"/>
  <c r="S1" i="6"/>
  <c r="S1" i="15"/>
  <c r="S1" i="42"/>
  <c r="S1" i="48" s="1"/>
  <c r="S1" i="23"/>
  <c r="S1" i="30"/>
  <c r="S1" i="22"/>
  <c r="C1" i="29"/>
  <c r="C1" i="6"/>
  <c r="C1" i="42"/>
  <c r="C1" i="48" s="1"/>
  <c r="C1" i="15"/>
  <c r="C1" i="23"/>
  <c r="C1" i="30"/>
  <c r="C1" i="22"/>
  <c r="U29" i="10"/>
  <c r="M29" i="10"/>
  <c r="B1" i="29"/>
  <c r="B1" i="6"/>
  <c r="B1" i="42"/>
  <c r="B1" i="48" s="1"/>
  <c r="B1" i="15"/>
  <c r="B1" i="30"/>
  <c r="B1" i="22"/>
  <c r="B1" i="23"/>
  <c r="T29" i="10"/>
  <c r="D29" i="10"/>
  <c r="Q1" i="22"/>
  <c r="Q1" i="42"/>
  <c r="Q1" i="48" s="1"/>
  <c r="Q1" i="15"/>
  <c r="Q1" i="23"/>
  <c r="Q1" i="30"/>
  <c r="Q1" i="29"/>
  <c r="Q1" i="6"/>
  <c r="S29" i="10"/>
  <c r="C29" i="10"/>
  <c r="P1" i="42"/>
  <c r="P1" i="48" s="1"/>
  <c r="P1" i="15"/>
  <c r="P1" i="6"/>
  <c r="P1" i="23"/>
  <c r="P1" i="29"/>
  <c r="P1" i="30"/>
  <c r="P1" i="22"/>
  <c r="R29" i="10"/>
  <c r="B29" i="10"/>
  <c r="V1" i="23"/>
  <c r="V1" i="42"/>
  <c r="V1" i="48" s="1"/>
  <c r="V1" i="30"/>
  <c r="V1" i="22"/>
  <c r="V1" i="15"/>
  <c r="V1" i="29"/>
  <c r="V1" i="6"/>
  <c r="N1" i="23"/>
  <c r="N1" i="42"/>
  <c r="N1" i="48" s="1"/>
  <c r="N1" i="30"/>
  <c r="N1" i="22"/>
  <c r="N1" i="15"/>
  <c r="N1" i="29"/>
  <c r="N1" i="6"/>
  <c r="F1" i="23"/>
  <c r="F1" i="15"/>
  <c r="F1" i="30"/>
  <c r="F1" i="22"/>
  <c r="F1" i="29"/>
  <c r="F1" i="6"/>
  <c r="F1" i="42"/>
  <c r="F1" i="48" s="1"/>
  <c r="X29" i="10"/>
  <c r="P29" i="10"/>
  <c r="H29" i="10"/>
  <c r="E30" i="10" l="1"/>
  <c r="B3" i="49"/>
  <c r="C3" i="49"/>
  <c r="D3" i="49"/>
  <c r="E3" i="49"/>
  <c r="F3" i="49"/>
  <c r="G3" i="49"/>
  <c r="H3" i="49"/>
  <c r="I3" i="49"/>
  <c r="J3" i="49"/>
  <c r="K3" i="49"/>
  <c r="L3" i="49"/>
  <c r="M3" i="49"/>
  <c r="N3" i="49"/>
  <c r="O3" i="49"/>
  <c r="P3" i="49"/>
  <c r="Q3" i="49"/>
  <c r="R3" i="49"/>
  <c r="S3" i="49"/>
  <c r="T3" i="49"/>
  <c r="U3" i="49"/>
  <c r="V3" i="49"/>
  <c r="W3" i="49"/>
  <c r="X3" i="49"/>
  <c r="Y3" i="49"/>
  <c r="Z3" i="49"/>
  <c r="AA3" i="49"/>
  <c r="AB3" i="49"/>
  <c r="AC3" i="49"/>
  <c r="AD3" i="49"/>
  <c r="B5" i="49"/>
  <c r="C5" i="49"/>
  <c r="D5" i="49"/>
  <c r="E5" i="49"/>
  <c r="F5" i="49"/>
  <c r="G5" i="49"/>
  <c r="H5" i="49"/>
  <c r="I5" i="49"/>
  <c r="J5" i="49"/>
  <c r="K5" i="49"/>
  <c r="L5" i="49"/>
  <c r="M5" i="49"/>
  <c r="N5" i="49"/>
  <c r="O5" i="49"/>
  <c r="P5" i="49"/>
  <c r="Q5" i="49"/>
  <c r="R5" i="49"/>
  <c r="S5" i="49"/>
  <c r="T5" i="49"/>
  <c r="U5" i="49"/>
  <c r="V5" i="49"/>
  <c r="W5" i="49"/>
  <c r="X5" i="49"/>
  <c r="Y5" i="49"/>
  <c r="Z5" i="49"/>
  <c r="AA5" i="49"/>
  <c r="AB5" i="49"/>
  <c r="AC5" i="49"/>
  <c r="AD5" i="49"/>
  <c r="B7" i="49"/>
  <c r="C7" i="49"/>
  <c r="D7" i="49"/>
  <c r="E7" i="49"/>
  <c r="F7" i="49"/>
  <c r="G7" i="49"/>
  <c r="H7" i="49"/>
  <c r="I7" i="49"/>
  <c r="J7" i="49"/>
  <c r="K7" i="49"/>
  <c r="L7" i="49"/>
  <c r="M7" i="49"/>
  <c r="N7" i="49"/>
  <c r="O7" i="49"/>
  <c r="P7" i="49"/>
  <c r="Q7" i="49"/>
  <c r="R7" i="49"/>
  <c r="S7" i="49"/>
  <c r="T7" i="49"/>
  <c r="U7" i="49"/>
  <c r="V7" i="49"/>
  <c r="W7" i="49"/>
  <c r="X7" i="49"/>
  <c r="Y7" i="49"/>
  <c r="Z7" i="49"/>
  <c r="AA7" i="49"/>
  <c r="AB7" i="49"/>
  <c r="AC7" i="49"/>
  <c r="AD7" i="49"/>
  <c r="B8" i="49"/>
  <c r="C8" i="49"/>
  <c r="D8" i="49"/>
  <c r="E8" i="49"/>
  <c r="F8" i="49"/>
  <c r="G8" i="49"/>
  <c r="H8" i="49"/>
  <c r="I8" i="49"/>
  <c r="J8" i="49"/>
  <c r="K8" i="49"/>
  <c r="L8" i="49"/>
  <c r="M8" i="49"/>
  <c r="N8" i="49"/>
  <c r="O8" i="49"/>
  <c r="P8" i="49"/>
  <c r="Q8" i="49"/>
  <c r="R8" i="49"/>
  <c r="S8" i="49"/>
  <c r="T8" i="49"/>
  <c r="U8" i="49"/>
  <c r="V8" i="49"/>
  <c r="W8" i="49"/>
  <c r="X8" i="49"/>
  <c r="Y8" i="49"/>
  <c r="Z8" i="49"/>
  <c r="AA8" i="49"/>
  <c r="AB8" i="49"/>
  <c r="AC8" i="49"/>
  <c r="AD8" i="49"/>
  <c r="B2" i="48"/>
  <c r="C2" i="48"/>
  <c r="D2" i="48"/>
  <c r="E2" i="48"/>
  <c r="F2" i="48"/>
  <c r="G2" i="48"/>
  <c r="H2" i="48"/>
  <c r="I2" i="48"/>
  <c r="J2" i="48"/>
  <c r="K2" i="48"/>
  <c r="L2" i="48"/>
  <c r="M2" i="48"/>
  <c r="N2" i="48"/>
  <c r="O2" i="48"/>
  <c r="P2" i="48"/>
  <c r="Q2" i="48"/>
  <c r="R2" i="48"/>
  <c r="S2" i="48"/>
  <c r="T2" i="48"/>
  <c r="U2" i="48"/>
  <c r="V2" i="48"/>
  <c r="W2" i="48"/>
  <c r="X2" i="48"/>
  <c r="Y2" i="48"/>
  <c r="Z2" i="48"/>
  <c r="AA2" i="48"/>
  <c r="AB2" i="48"/>
  <c r="AC2" i="48"/>
  <c r="B3" i="48"/>
  <c r="C3" i="48"/>
  <c r="D3" i="48"/>
  <c r="E3" i="48"/>
  <c r="F3" i="48"/>
  <c r="G3" i="48"/>
  <c r="H3" i="48"/>
  <c r="I3" i="48"/>
  <c r="J3" i="48"/>
  <c r="K3" i="48"/>
  <c r="L3" i="48"/>
  <c r="M3" i="48"/>
  <c r="N3" i="48"/>
  <c r="O3" i="48"/>
  <c r="P3" i="48"/>
  <c r="Q3" i="48"/>
  <c r="R3" i="48"/>
  <c r="S3" i="48"/>
  <c r="T3" i="48"/>
  <c r="U3" i="48"/>
  <c r="V3" i="48"/>
  <c r="W3" i="48"/>
  <c r="X3" i="48"/>
  <c r="Y3" i="48"/>
  <c r="Z3" i="48"/>
  <c r="AA3" i="48"/>
  <c r="AB3" i="48"/>
  <c r="AC3" i="48"/>
  <c r="B4" i="48"/>
  <c r="C4" i="48"/>
  <c r="D4" i="48"/>
  <c r="E4" i="48"/>
  <c r="F4" i="48"/>
  <c r="G4" i="48"/>
  <c r="H4" i="48"/>
  <c r="I4" i="48"/>
  <c r="J4" i="48"/>
  <c r="K4" i="48"/>
  <c r="L4" i="48"/>
  <c r="M4" i="48"/>
  <c r="N4" i="48"/>
  <c r="O4" i="48"/>
  <c r="P4" i="48"/>
  <c r="Q4" i="48"/>
  <c r="R4" i="48"/>
  <c r="S4" i="48"/>
  <c r="T4" i="48"/>
  <c r="U4" i="48"/>
  <c r="V4" i="48"/>
  <c r="W4" i="48"/>
  <c r="X4" i="48"/>
  <c r="Y4" i="48"/>
  <c r="Z4" i="48"/>
  <c r="AA4" i="48"/>
  <c r="AB4" i="48"/>
  <c r="AC4" i="48"/>
  <c r="B6" i="48"/>
  <c r="C6" i="48"/>
  <c r="D6" i="48"/>
  <c r="E6" i="48"/>
  <c r="F6" i="48"/>
  <c r="G6" i="48"/>
  <c r="H6" i="48"/>
  <c r="I6" i="48"/>
  <c r="J6" i="48"/>
  <c r="K6" i="48"/>
  <c r="L6" i="48"/>
  <c r="M6" i="48"/>
  <c r="N6" i="48"/>
  <c r="O6" i="48"/>
  <c r="P6" i="48"/>
  <c r="Q6" i="48"/>
  <c r="R6" i="48"/>
  <c r="S6" i="48"/>
  <c r="T6" i="48"/>
  <c r="U6" i="48"/>
  <c r="V6" i="48"/>
  <c r="W6" i="48"/>
  <c r="X6" i="48"/>
  <c r="Y6" i="48"/>
  <c r="Z6" i="48"/>
  <c r="AA6" i="48"/>
  <c r="AB6" i="48"/>
  <c r="AC6" i="48"/>
  <c r="B8" i="48"/>
  <c r="C8" i="48"/>
  <c r="D8" i="48"/>
  <c r="E8" i="48"/>
  <c r="F8" i="48"/>
  <c r="G8" i="48"/>
  <c r="H8" i="48"/>
  <c r="I8" i="48"/>
  <c r="J8" i="48"/>
  <c r="K8" i="48"/>
  <c r="L8" i="48"/>
  <c r="M8" i="48"/>
  <c r="N8" i="48"/>
  <c r="O8" i="48"/>
  <c r="P8" i="48"/>
  <c r="Q8" i="48"/>
  <c r="R8" i="48"/>
  <c r="S8" i="48"/>
  <c r="T8" i="48"/>
  <c r="U8" i="48"/>
  <c r="V8" i="48"/>
  <c r="W8" i="48"/>
  <c r="X8" i="48"/>
  <c r="Y8" i="48"/>
  <c r="Z8" i="48"/>
  <c r="AA8" i="48"/>
  <c r="AB8" i="48"/>
  <c r="AC8" i="48"/>
  <c r="C2" i="47"/>
  <c r="D2" i="47"/>
  <c r="E2" i="47"/>
  <c r="F2" i="47"/>
  <c r="G2" i="47"/>
  <c r="H2" i="47"/>
  <c r="I2" i="47"/>
  <c r="J2" i="47"/>
  <c r="K2" i="47"/>
  <c r="L2" i="47"/>
  <c r="M2" i="47"/>
  <c r="N2" i="47"/>
  <c r="O2" i="47"/>
  <c r="P2" i="47"/>
  <c r="Q2" i="47"/>
  <c r="R2" i="47"/>
  <c r="S2" i="47"/>
  <c r="T2" i="47"/>
  <c r="U2" i="47"/>
  <c r="V2" i="47"/>
  <c r="W2" i="47"/>
  <c r="X2" i="47"/>
  <c r="Y2" i="47"/>
  <c r="Z2" i="47"/>
  <c r="AA2" i="47"/>
  <c r="AB2" i="47"/>
  <c r="AC2" i="47"/>
  <c r="AD2" i="47"/>
  <c r="AE2" i="47"/>
  <c r="C3" i="47"/>
  <c r="D3" i="47"/>
  <c r="E3" i="47"/>
  <c r="F3" i="47"/>
  <c r="G3" i="47"/>
  <c r="H3" i="47"/>
  <c r="I3" i="47"/>
  <c r="J3" i="47"/>
  <c r="K3" i="47"/>
  <c r="L3" i="47"/>
  <c r="M3" i="47"/>
  <c r="N3" i="47"/>
  <c r="O3" i="47"/>
  <c r="P3" i="47"/>
  <c r="Q3" i="47"/>
  <c r="R3" i="47"/>
  <c r="S3" i="47"/>
  <c r="T3" i="47"/>
  <c r="U3" i="47"/>
  <c r="V3" i="47"/>
  <c r="W3" i="47"/>
  <c r="X3" i="47"/>
  <c r="Y3" i="47"/>
  <c r="Z3" i="47"/>
  <c r="AA3" i="47"/>
  <c r="AB3" i="47"/>
  <c r="AC3" i="47"/>
  <c r="AD3" i="47"/>
  <c r="AE3" i="47"/>
  <c r="C5" i="47"/>
  <c r="D5" i="47"/>
  <c r="E5" i="47"/>
  <c r="F5" i="47"/>
  <c r="G5" i="47"/>
  <c r="H5" i="47"/>
  <c r="I5" i="47"/>
  <c r="J5" i="47"/>
  <c r="K5" i="47"/>
  <c r="L5" i="47"/>
  <c r="M5" i="47"/>
  <c r="N5" i="47"/>
  <c r="O5" i="47"/>
  <c r="P5" i="47"/>
  <c r="Q5" i="47"/>
  <c r="R5" i="47"/>
  <c r="S5" i="47"/>
  <c r="T5" i="47"/>
  <c r="U5" i="47"/>
  <c r="V5" i="47"/>
  <c r="W5" i="47"/>
  <c r="X5" i="47"/>
  <c r="Y5" i="47"/>
  <c r="Z5" i="47"/>
  <c r="AA5" i="47"/>
  <c r="AB5" i="47"/>
  <c r="AC5" i="47"/>
  <c r="AD5" i="47"/>
  <c r="AE5" i="47"/>
  <c r="C7" i="47"/>
  <c r="D7" i="47"/>
  <c r="E7" i="47"/>
  <c r="F7" i="47"/>
  <c r="G7" i="47"/>
  <c r="H7" i="47"/>
  <c r="I7" i="47"/>
  <c r="J7" i="47"/>
  <c r="K7" i="47"/>
  <c r="L7" i="47"/>
  <c r="M7" i="47"/>
  <c r="N7" i="47"/>
  <c r="O7" i="47"/>
  <c r="P7" i="47"/>
  <c r="Q7" i="47"/>
  <c r="R7" i="47"/>
  <c r="S7" i="47"/>
  <c r="T7" i="47"/>
  <c r="U7" i="47"/>
  <c r="V7" i="47"/>
  <c r="W7" i="47"/>
  <c r="X7" i="47"/>
  <c r="Y7" i="47"/>
  <c r="Z7" i="47"/>
  <c r="AA7" i="47"/>
  <c r="AB7" i="47"/>
  <c r="AC7" i="47"/>
  <c r="AD7" i="47"/>
  <c r="AE7" i="47"/>
  <c r="C8" i="47"/>
  <c r="D8" i="47"/>
  <c r="E8" i="47"/>
  <c r="F8" i="47"/>
  <c r="G8" i="47"/>
  <c r="H8" i="47"/>
  <c r="I8" i="47"/>
  <c r="J8" i="47"/>
  <c r="K8" i="47"/>
  <c r="L8" i="47"/>
  <c r="M8" i="47"/>
  <c r="N8" i="47"/>
  <c r="O8" i="47"/>
  <c r="P8" i="47"/>
  <c r="Q8" i="47"/>
  <c r="R8" i="47"/>
  <c r="S8" i="47"/>
  <c r="T8" i="47"/>
  <c r="U8" i="47"/>
  <c r="V8" i="47"/>
  <c r="W8" i="47"/>
  <c r="X8" i="47"/>
  <c r="Y8" i="47"/>
  <c r="Z8" i="47"/>
  <c r="AA8" i="47"/>
  <c r="AB8" i="47"/>
  <c r="AC8" i="47"/>
  <c r="AD8" i="47"/>
  <c r="AE8" i="47"/>
  <c r="B3" i="47"/>
  <c r="B5" i="47"/>
  <c r="B7" i="47"/>
  <c r="B8" i="47"/>
  <c r="B2" i="47"/>
  <c r="C2" i="43"/>
  <c r="D2" i="43"/>
  <c r="E2" i="43"/>
  <c r="F2" i="43"/>
  <c r="G2" i="43"/>
  <c r="H2" i="43"/>
  <c r="I2" i="43"/>
  <c r="J2" i="43"/>
  <c r="K2" i="43"/>
  <c r="L2" i="43"/>
  <c r="M2" i="43"/>
  <c r="N2" i="43"/>
  <c r="O2" i="43"/>
  <c r="P2" i="43"/>
  <c r="Q2" i="43"/>
  <c r="R2" i="43"/>
  <c r="S2" i="43"/>
  <c r="T2" i="43"/>
  <c r="U2" i="43"/>
  <c r="V2" i="43"/>
  <c r="W2" i="43"/>
  <c r="X2" i="43"/>
  <c r="Y2" i="43"/>
  <c r="Z2" i="43"/>
  <c r="AA2" i="43"/>
  <c r="AB2" i="43"/>
  <c r="AC2" i="43"/>
  <c r="AD2" i="43"/>
  <c r="B2" i="43"/>
  <c r="D4" i="47"/>
  <c r="E4" i="47"/>
  <c r="F4" i="47"/>
  <c r="G4" i="47"/>
  <c r="H4" i="47"/>
  <c r="I4" i="47"/>
  <c r="J4" i="47"/>
  <c r="K4" i="47"/>
  <c r="L4" i="47"/>
  <c r="M4" i="47"/>
  <c r="N4" i="47"/>
  <c r="O4" i="47"/>
  <c r="P4" i="47"/>
  <c r="Q4" i="47"/>
  <c r="R4" i="47"/>
  <c r="S4" i="47"/>
  <c r="T4" i="47"/>
  <c r="U4" i="47"/>
  <c r="V4" i="47"/>
  <c r="W4" i="47"/>
  <c r="X4" i="47"/>
  <c r="Y4" i="47"/>
  <c r="Z4" i="47"/>
  <c r="AA4" i="47"/>
  <c r="AB4" i="47"/>
  <c r="AC4" i="47"/>
  <c r="AD4" i="47"/>
  <c r="AE4" i="47"/>
  <c r="D6" i="47"/>
  <c r="E6" i="47"/>
  <c r="F6" i="47"/>
  <c r="G6" i="47"/>
  <c r="H6" i="47"/>
  <c r="I6" i="47"/>
  <c r="J6" i="47"/>
  <c r="K6" i="47"/>
  <c r="L6" i="47"/>
  <c r="M6" i="47"/>
  <c r="N6" i="47"/>
  <c r="O6" i="47"/>
  <c r="P6" i="47"/>
  <c r="Q6" i="47"/>
  <c r="R6" i="47"/>
  <c r="S6" i="47"/>
  <c r="T6" i="47"/>
  <c r="U6" i="47"/>
  <c r="V6" i="47"/>
  <c r="W6" i="47"/>
  <c r="X6" i="47"/>
  <c r="Y6" i="47"/>
  <c r="Z6" i="47"/>
  <c r="AA6" i="47"/>
  <c r="AB6" i="47"/>
  <c r="AC6" i="47"/>
  <c r="AD6" i="47"/>
  <c r="AE6" i="47"/>
  <c r="C4" i="47"/>
  <c r="C6" i="47"/>
  <c r="B6" i="47"/>
  <c r="B4" i="47"/>
  <c r="W2" i="49" l="1"/>
  <c r="W6" i="43"/>
  <c r="W4" i="43"/>
  <c r="F6" i="43"/>
  <c r="F4" i="43"/>
  <c r="F4" i="49" s="1"/>
  <c r="AC2" i="49"/>
  <c r="AC4" i="43"/>
  <c r="AC4" i="49" s="1"/>
  <c r="AC6" i="43"/>
  <c r="AC6" i="49" s="1"/>
  <c r="U2" i="49"/>
  <c r="U4" i="43"/>
  <c r="U4" i="49" s="1"/>
  <c r="U6" i="43"/>
  <c r="U6" i="49" s="1"/>
  <c r="M2" i="49"/>
  <c r="M4" i="43"/>
  <c r="M6" i="43"/>
  <c r="E2" i="49"/>
  <c r="E4" i="43"/>
  <c r="E4" i="49" s="1"/>
  <c r="E6" i="43"/>
  <c r="E6" i="49" s="1"/>
  <c r="AD6" i="43"/>
  <c r="AD4" i="43"/>
  <c r="AD4" i="49" s="1"/>
  <c r="AA2" i="49"/>
  <c r="AA4" i="43"/>
  <c r="AA6" i="43"/>
  <c r="AA6" i="49" s="1"/>
  <c r="S2" i="49"/>
  <c r="S4" i="43"/>
  <c r="S4" i="49" s="1"/>
  <c r="S6" i="43"/>
  <c r="S6" i="49" s="1"/>
  <c r="K2" i="49"/>
  <c r="K4" i="43"/>
  <c r="K6" i="43"/>
  <c r="K6" i="49" s="1"/>
  <c r="C2" i="49"/>
  <c r="C4" i="43"/>
  <c r="C4" i="49" s="1"/>
  <c r="C6" i="43"/>
  <c r="C6" i="49" s="1"/>
  <c r="O6" i="43"/>
  <c r="O6" i="49" s="1"/>
  <c r="O4" i="43"/>
  <c r="O4" i="49" s="1"/>
  <c r="V6" i="43"/>
  <c r="V4" i="43"/>
  <c r="V4" i="49" s="1"/>
  <c r="T2" i="49"/>
  <c r="T4" i="43"/>
  <c r="T4" i="49" s="1"/>
  <c r="T6" i="43"/>
  <c r="L2" i="49"/>
  <c r="L4" i="43"/>
  <c r="L4" i="49" s="1"/>
  <c r="L6" i="43"/>
  <c r="Z4" i="43"/>
  <c r="Z4" i="49" s="1"/>
  <c r="Z6" i="43"/>
  <c r="Z6" i="49" s="1"/>
  <c r="R4" i="43"/>
  <c r="R4" i="49" s="1"/>
  <c r="R6" i="43"/>
  <c r="R6" i="49" s="1"/>
  <c r="J4" i="43"/>
  <c r="J4" i="49" s="1"/>
  <c r="J6" i="43"/>
  <c r="J6" i="49" s="1"/>
  <c r="B2" i="49"/>
  <c r="B6" i="43"/>
  <c r="B6" i="49" s="1"/>
  <c r="B4" i="43"/>
  <c r="B4" i="49" s="1"/>
  <c r="Y2" i="49"/>
  <c r="Y6" i="43"/>
  <c r="Y4" i="43"/>
  <c r="Q6" i="43"/>
  <c r="Q6" i="49" s="1"/>
  <c r="Q4" i="43"/>
  <c r="Q4" i="49" s="1"/>
  <c r="I2" i="49"/>
  <c r="I6" i="43"/>
  <c r="I6" i="49" s="1"/>
  <c r="I4" i="43"/>
  <c r="I4" i="49" s="1"/>
  <c r="G6" i="43"/>
  <c r="G4" i="43"/>
  <c r="G4" i="49" s="1"/>
  <c r="N6" i="43"/>
  <c r="N6" i="49" s="1"/>
  <c r="N4" i="43"/>
  <c r="N4" i="49" s="1"/>
  <c r="AB2" i="49"/>
  <c r="AB4" i="43"/>
  <c r="AB4" i="49" s="1"/>
  <c r="AB6" i="43"/>
  <c r="AB6" i="49" s="1"/>
  <c r="D2" i="49"/>
  <c r="D4" i="43"/>
  <c r="D6" i="43"/>
  <c r="D6" i="49" s="1"/>
  <c r="X6" i="43"/>
  <c r="X6" i="49" s="1"/>
  <c r="X4" i="43"/>
  <c r="X4" i="49" s="1"/>
  <c r="P6" i="43"/>
  <c r="P6" i="49" s="1"/>
  <c r="P4" i="43"/>
  <c r="P4" i="49" s="1"/>
  <c r="H6" i="43"/>
  <c r="H6" i="49" s="1"/>
  <c r="H4" i="43"/>
  <c r="H4" i="49" s="1"/>
  <c r="Y6" i="49"/>
  <c r="W6" i="49"/>
  <c r="M4" i="49"/>
  <c r="L6" i="49"/>
  <c r="T6" i="49"/>
  <c r="AA4" i="49"/>
  <c r="D4" i="49"/>
  <c r="M6" i="49"/>
  <c r="K4" i="49"/>
  <c r="W4" i="49"/>
  <c r="V2" i="49"/>
  <c r="Q2" i="49"/>
  <c r="Y4" i="49"/>
  <c r="O2" i="49"/>
  <c r="N2" i="49"/>
  <c r="AD2" i="49"/>
  <c r="G2" i="49"/>
  <c r="F2" i="49"/>
  <c r="X2" i="49"/>
  <c r="P2" i="49"/>
  <c r="H2" i="49"/>
  <c r="G6" i="49"/>
  <c r="Z2" i="49"/>
  <c r="R2" i="49"/>
  <c r="J2" i="49"/>
  <c r="AD6" i="49"/>
  <c r="V6" i="49"/>
  <c r="F6" i="49"/>
  <c r="B2" i="23"/>
  <c r="C2" i="23"/>
  <c r="D2" i="23"/>
  <c r="E2" i="23"/>
  <c r="F2" i="23"/>
  <c r="G2" i="23"/>
  <c r="H2" i="23"/>
  <c r="I2" i="23"/>
  <c r="J2" i="23"/>
  <c r="K2" i="23"/>
  <c r="L2" i="23"/>
  <c r="M2" i="23"/>
  <c r="N2" i="23"/>
  <c r="O2" i="23"/>
  <c r="P2" i="23"/>
  <c r="Q2" i="23"/>
  <c r="R2" i="23"/>
  <c r="S2" i="23"/>
  <c r="T2" i="23"/>
  <c r="U2" i="23"/>
  <c r="V2" i="23"/>
  <c r="W2" i="23"/>
  <c r="X2" i="23"/>
  <c r="Y2" i="23"/>
  <c r="Z2" i="23"/>
  <c r="AA2" i="23"/>
  <c r="AB2" i="23"/>
  <c r="AC2" i="23"/>
  <c r="AC2" i="30"/>
  <c r="AB2" i="30"/>
  <c r="AA2" i="30"/>
  <c r="Z2" i="30"/>
  <c r="Y2" i="30"/>
  <c r="X2" i="30"/>
  <c r="W2" i="30"/>
  <c r="V2" i="30"/>
  <c r="U2" i="30"/>
  <c r="T2" i="30"/>
  <c r="S2" i="30"/>
  <c r="R2" i="30"/>
  <c r="Q2" i="30"/>
  <c r="P2" i="30"/>
  <c r="O2" i="30"/>
  <c r="N2" i="30"/>
  <c r="M2" i="30"/>
  <c r="L2" i="30"/>
  <c r="K2" i="30"/>
  <c r="J2" i="30"/>
  <c r="I2" i="30"/>
  <c r="H2" i="30"/>
  <c r="G2" i="30"/>
  <c r="F2" i="30"/>
  <c r="E2" i="30"/>
  <c r="D2" i="30"/>
  <c r="C2" i="30"/>
  <c r="B2" i="30"/>
  <c r="D2" i="16"/>
  <c r="E2" i="16"/>
  <c r="F2" i="16"/>
  <c r="G2" i="16"/>
  <c r="H2" i="16"/>
  <c r="I2" i="16"/>
  <c r="J2" i="16"/>
  <c r="K2" i="16"/>
  <c r="L2" i="16"/>
  <c r="M2" i="16"/>
  <c r="N2" i="16"/>
  <c r="O2" i="16"/>
  <c r="P2" i="16"/>
  <c r="Q2" i="16"/>
  <c r="R2" i="16"/>
  <c r="S2" i="16"/>
  <c r="T2" i="16"/>
  <c r="U2" i="16"/>
  <c r="V2" i="16"/>
  <c r="W2" i="16"/>
  <c r="X2" i="16"/>
  <c r="Y2" i="16"/>
  <c r="Z2" i="16"/>
  <c r="AA2" i="16"/>
  <c r="AB2" i="16"/>
  <c r="AC2" i="16"/>
  <c r="AD2" i="16"/>
  <c r="AE2" i="16"/>
  <c r="C2" i="16"/>
  <c r="B2" i="16"/>
  <c r="B2" i="7"/>
  <c r="C2" i="7"/>
  <c r="D2" i="7"/>
  <c r="E2" i="7"/>
  <c r="F2" i="7"/>
  <c r="G2" i="7"/>
  <c r="H2" i="7"/>
  <c r="I2" i="7"/>
  <c r="J2" i="7"/>
  <c r="K2" i="7"/>
  <c r="L2" i="7"/>
  <c r="M2" i="7"/>
  <c r="N2" i="7"/>
  <c r="O2" i="7"/>
  <c r="P2" i="7"/>
  <c r="Q2" i="7"/>
  <c r="R2" i="7"/>
  <c r="S2" i="7"/>
  <c r="T2" i="7"/>
  <c r="U2" i="7"/>
  <c r="V2" i="7"/>
  <c r="W2" i="7"/>
  <c r="X2" i="7"/>
  <c r="Y2" i="7"/>
  <c r="Z2" i="7"/>
  <c r="AA2" i="7"/>
  <c r="AB2" i="7"/>
  <c r="AC2" i="7"/>
  <c r="AD2" i="7"/>
  <c r="AE2" i="7"/>
  <c r="V30" i="10" l="1"/>
  <c r="V5" i="22" s="1"/>
  <c r="R30" i="10"/>
  <c r="R7" i="6" s="1"/>
  <c r="J30" i="10"/>
  <c r="J5" i="15" s="1"/>
  <c r="B30" i="10"/>
  <c r="B5" i="23" s="1"/>
  <c r="Z30" i="10"/>
  <c r="Z7" i="22" s="1"/>
  <c r="N30" i="10"/>
  <c r="N7" i="30" s="1"/>
  <c r="F30" i="10"/>
  <c r="F7" i="42" s="1"/>
  <c r="F7" i="48" s="1"/>
  <c r="AC30" i="10"/>
  <c r="AC5" i="15" s="1"/>
  <c r="Y30" i="10"/>
  <c r="Y7" i="22" s="1"/>
  <c r="U30" i="10"/>
  <c r="U7" i="22" s="1"/>
  <c r="Q30" i="10"/>
  <c r="Q7" i="6" s="1"/>
  <c r="M30" i="10"/>
  <c r="M7" i="42" s="1"/>
  <c r="M7" i="48" s="1"/>
  <c r="I30" i="10"/>
  <c r="I5" i="42" s="1"/>
  <c r="I5" i="48" s="1"/>
  <c r="E5" i="15"/>
  <c r="AA30" i="10"/>
  <c r="AA5" i="6" s="1"/>
  <c r="W30" i="10"/>
  <c r="W7" i="29" s="1"/>
  <c r="S30" i="10"/>
  <c r="S7" i="6" s="1"/>
  <c r="O30" i="10"/>
  <c r="O5" i="30" s="1"/>
  <c r="K30" i="10"/>
  <c r="K5" i="6" s="1"/>
  <c r="G30" i="10"/>
  <c r="G5" i="42" s="1"/>
  <c r="G5" i="48" s="1"/>
  <c r="C7" i="22"/>
  <c r="AB7" i="15"/>
  <c r="X30" i="10"/>
  <c r="X5" i="23" s="1"/>
  <c r="T30" i="10"/>
  <c r="T7" i="6" s="1"/>
  <c r="P30" i="10"/>
  <c r="P7" i="42" s="1"/>
  <c r="P7" i="48" s="1"/>
  <c r="L30" i="10"/>
  <c r="L7" i="15" s="1"/>
  <c r="H30" i="10"/>
  <c r="H7" i="15" s="1"/>
  <c r="D5" i="6"/>
  <c r="AC7" i="23" l="1"/>
  <c r="F7" i="22"/>
  <c r="F5" i="6"/>
  <c r="F5" i="15"/>
  <c r="Z5" i="42"/>
  <c r="Z5" i="48" s="1"/>
  <c r="F5" i="30"/>
  <c r="F7" i="23"/>
  <c r="F7" i="30"/>
  <c r="M7" i="29"/>
  <c r="M5" i="23"/>
  <c r="M5" i="29"/>
  <c r="M5" i="15"/>
  <c r="O7" i="15"/>
  <c r="O7" i="22"/>
  <c r="O7" i="29"/>
  <c r="O5" i="15"/>
  <c r="M5" i="6"/>
  <c r="Z7" i="15"/>
  <c r="Z5" i="22"/>
  <c r="Z5" i="23"/>
  <c r="Z5" i="15"/>
  <c r="Z7" i="29"/>
  <c r="Z5" i="29"/>
  <c r="P5" i="42"/>
  <c r="P5" i="48" s="1"/>
  <c r="O5" i="6"/>
  <c r="M7" i="22"/>
  <c r="O7" i="23"/>
  <c r="P5" i="15"/>
  <c r="G7" i="15"/>
  <c r="M5" i="30"/>
  <c r="Z5" i="6"/>
  <c r="O5" i="23"/>
  <c r="H7" i="22"/>
  <c r="H7" i="42"/>
  <c r="H7" i="48" s="1"/>
  <c r="G7" i="23"/>
  <c r="H7" i="23"/>
  <c r="R5" i="29"/>
  <c r="E7" i="15"/>
  <c r="P5" i="30"/>
  <c r="P5" i="22"/>
  <c r="P7" i="6"/>
  <c r="P5" i="6"/>
  <c r="X7" i="22"/>
  <c r="U5" i="29"/>
  <c r="Q7" i="30"/>
  <c r="X7" i="15"/>
  <c r="W5" i="6"/>
  <c r="S5" i="29"/>
  <c r="B5" i="15"/>
  <c r="S5" i="42"/>
  <c r="S5" i="48" s="1"/>
  <c r="T5" i="29"/>
  <c r="Q5" i="23"/>
  <c r="T5" i="42"/>
  <c r="T5" i="48" s="1"/>
  <c r="B7" i="23"/>
  <c r="S7" i="23"/>
  <c r="R7" i="29"/>
  <c r="Q7" i="29"/>
  <c r="T7" i="42"/>
  <c r="T7" i="48" s="1"/>
  <c r="R7" i="22"/>
  <c r="Q7" i="15"/>
  <c r="R7" i="23"/>
  <c r="Q7" i="23"/>
  <c r="Q5" i="42"/>
  <c r="Q5" i="48" s="1"/>
  <c r="S5" i="30"/>
  <c r="X7" i="29"/>
  <c r="B5" i="6"/>
  <c r="B7" i="30"/>
  <c r="H5" i="22"/>
  <c r="F5" i="29"/>
  <c r="B7" i="15"/>
  <c r="X5" i="15"/>
  <c r="H5" i="42"/>
  <c r="H5" i="48" s="1"/>
  <c r="X7" i="23"/>
  <c r="F5" i="42"/>
  <c r="F5" i="48" s="1"/>
  <c r="X5" i="42"/>
  <c r="X5" i="48" s="1"/>
  <c r="E5" i="42"/>
  <c r="E5" i="48" s="1"/>
  <c r="B7" i="42"/>
  <c r="B7" i="48" s="1"/>
  <c r="B5" i="22"/>
  <c r="X5" i="6"/>
  <c r="H5" i="15"/>
  <c r="B7" i="29"/>
  <c r="B5" i="42"/>
  <c r="B5" i="48" s="1"/>
  <c r="W5" i="29"/>
  <c r="U5" i="6"/>
  <c r="B5" i="30"/>
  <c r="B7" i="6"/>
  <c r="H5" i="23"/>
  <c r="F5" i="23"/>
  <c r="X5" i="22"/>
  <c r="G7" i="6"/>
  <c r="W5" i="15"/>
  <c r="G7" i="30"/>
  <c r="D5" i="22"/>
  <c r="T7" i="29"/>
  <c r="T5" i="6"/>
  <c r="S7" i="15"/>
  <c r="S7" i="29"/>
  <c r="T5" i="23"/>
  <c r="B5" i="29"/>
  <c r="V5" i="23"/>
  <c r="T7" i="23"/>
  <c r="F7" i="6"/>
  <c r="D7" i="6"/>
  <c r="X5" i="30"/>
  <c r="X7" i="6"/>
  <c r="E5" i="22"/>
  <c r="Q5" i="6"/>
  <c r="S5" i="23"/>
  <c r="H7" i="29"/>
  <c r="T5" i="15"/>
  <c r="T7" i="15"/>
  <c r="S5" i="22"/>
  <c r="S5" i="6"/>
  <c r="H5" i="29"/>
  <c r="S7" i="42"/>
  <c r="S7" i="48" s="1"/>
  <c r="V7" i="29"/>
  <c r="V5" i="6"/>
  <c r="H7" i="6"/>
  <c r="V7" i="22"/>
  <c r="F5" i="22"/>
  <c r="F7" i="15"/>
  <c r="X5" i="29"/>
  <c r="X7" i="42"/>
  <c r="X7" i="48" s="1"/>
  <c r="Q5" i="22"/>
  <c r="Q7" i="22"/>
  <c r="H5" i="30"/>
  <c r="H5" i="6"/>
  <c r="T7" i="30"/>
  <c r="C5" i="29"/>
  <c r="S7" i="22"/>
  <c r="U5" i="15"/>
  <c r="V7" i="23"/>
  <c r="D7" i="29"/>
  <c r="V7" i="42"/>
  <c r="V7" i="48" s="1"/>
  <c r="Q7" i="42"/>
  <c r="Q7" i="48" s="1"/>
  <c r="T5" i="30"/>
  <c r="F7" i="29"/>
  <c r="B7" i="22"/>
  <c r="Q5" i="30"/>
  <c r="X7" i="30"/>
  <c r="G5" i="30"/>
  <c r="Q5" i="29"/>
  <c r="Q5" i="15"/>
  <c r="H7" i="30"/>
  <c r="T7" i="22"/>
  <c r="C7" i="42"/>
  <c r="C7" i="48" s="1"/>
  <c r="S5" i="15"/>
  <c r="T5" i="22"/>
  <c r="S7" i="30"/>
  <c r="D5" i="29"/>
  <c r="D7" i="15"/>
  <c r="C7" i="30"/>
  <c r="C5" i="15"/>
  <c r="AC5" i="22"/>
  <c r="R5" i="15"/>
  <c r="D5" i="30"/>
  <c r="D7" i="42"/>
  <c r="D7" i="48" s="1"/>
  <c r="C7" i="15"/>
  <c r="C5" i="42"/>
  <c r="C5" i="48" s="1"/>
  <c r="AC7" i="29"/>
  <c r="D7" i="23"/>
  <c r="V5" i="29"/>
  <c r="D5" i="23"/>
  <c r="V5" i="15"/>
  <c r="D7" i="30"/>
  <c r="C5" i="30"/>
  <c r="C7" i="6"/>
  <c r="AC7" i="15"/>
  <c r="AC7" i="30"/>
  <c r="V5" i="42"/>
  <c r="V5" i="48" s="1"/>
  <c r="V7" i="30"/>
  <c r="D7" i="22"/>
  <c r="C5" i="23"/>
  <c r="C7" i="29"/>
  <c r="AC7" i="42"/>
  <c r="AC7" i="48" s="1"/>
  <c r="C7" i="23"/>
  <c r="V7" i="6"/>
  <c r="R7" i="30"/>
  <c r="D5" i="42"/>
  <c r="D5" i="48" s="1"/>
  <c r="C5" i="22"/>
  <c r="C5" i="6"/>
  <c r="AC5" i="42"/>
  <c r="AC5" i="48" s="1"/>
  <c r="V7" i="15"/>
  <c r="V5" i="30"/>
  <c r="R5" i="6"/>
  <c r="D5" i="15"/>
  <c r="Z7" i="23"/>
  <c r="Z5" i="30"/>
  <c r="R5" i="30"/>
  <c r="M7" i="30"/>
  <c r="Z7" i="30"/>
  <c r="R7" i="15"/>
  <c r="R5" i="42"/>
  <c r="R5" i="48" s="1"/>
  <c r="Z7" i="42"/>
  <c r="Z7" i="48" s="1"/>
  <c r="Z7" i="6"/>
  <c r="P5" i="23"/>
  <c r="P7" i="29"/>
  <c r="P7" i="15"/>
  <c r="O5" i="22"/>
  <c r="O5" i="42"/>
  <c r="O5" i="48" s="1"/>
  <c r="M5" i="22"/>
  <c r="M7" i="15"/>
  <c r="M5" i="42"/>
  <c r="M5" i="48" s="1"/>
  <c r="AC5" i="29"/>
  <c r="AC7" i="6"/>
  <c r="AC7" i="22"/>
  <c r="M7" i="23"/>
  <c r="AC5" i="30"/>
  <c r="R5" i="22"/>
  <c r="P7" i="23"/>
  <c r="O7" i="30"/>
  <c r="R5" i="23"/>
  <c r="R7" i="42"/>
  <c r="R7" i="48" s="1"/>
  <c r="P5" i="29"/>
  <c r="P7" i="30"/>
  <c r="P7" i="22"/>
  <c r="O7" i="42"/>
  <c r="O7" i="48" s="1"/>
  <c r="O5" i="29"/>
  <c r="O7" i="6"/>
  <c r="AA5" i="42"/>
  <c r="AA5" i="48" s="1"/>
  <c r="I5" i="29"/>
  <c r="M7" i="6"/>
  <c r="AC5" i="23"/>
  <c r="AC5" i="6"/>
  <c r="N5" i="15"/>
  <c r="K5" i="29"/>
  <c r="Y7" i="6"/>
  <c r="K5" i="42"/>
  <c r="K5" i="48" s="1"/>
  <c r="I7" i="42"/>
  <c r="I7" i="48" s="1"/>
  <c r="Y5" i="6"/>
  <c r="N7" i="23"/>
  <c r="J7" i="15"/>
  <c r="L5" i="15"/>
  <c r="AA7" i="30"/>
  <c r="Y5" i="15"/>
  <c r="N5" i="6"/>
  <c r="J7" i="30"/>
  <c r="J5" i="42"/>
  <c r="J5" i="48" s="1"/>
  <c r="AB7" i="42"/>
  <c r="AB7" i="48" s="1"/>
  <c r="K5" i="23"/>
  <c r="AA5" i="29"/>
  <c r="J5" i="22"/>
  <c r="N7" i="15"/>
  <c r="N5" i="42"/>
  <c r="N5" i="48" s="1"/>
  <c r="J5" i="29"/>
  <c r="K7" i="23"/>
  <c r="Y5" i="30"/>
  <c r="I5" i="30"/>
  <c r="J7" i="42"/>
  <c r="J7" i="48" s="1"/>
  <c r="J7" i="6"/>
  <c r="K5" i="30"/>
  <c r="L7" i="42"/>
  <c r="L7" i="48" s="1"/>
  <c r="K7" i="30"/>
  <c r="K7" i="15"/>
  <c r="K7" i="6"/>
  <c r="AA7" i="42"/>
  <c r="AA7" i="48" s="1"/>
  <c r="AA7" i="15"/>
  <c r="AA7" i="6"/>
  <c r="I5" i="22"/>
  <c r="I7" i="29"/>
  <c r="I7" i="22"/>
  <c r="Y5" i="23"/>
  <c r="Y7" i="15"/>
  <c r="Y5" i="42"/>
  <c r="Y5" i="48" s="1"/>
  <c r="J7" i="23"/>
  <c r="J5" i="30"/>
  <c r="L5" i="23"/>
  <c r="N5" i="30"/>
  <c r="N7" i="42"/>
  <c r="N7" i="48" s="1"/>
  <c r="N7" i="6"/>
  <c r="AA7" i="23"/>
  <c r="Y7" i="30"/>
  <c r="I7" i="30"/>
  <c r="J5" i="23"/>
  <c r="J7" i="22"/>
  <c r="I7" i="23"/>
  <c r="AB7" i="22"/>
  <c r="K7" i="42"/>
  <c r="K7" i="48" s="1"/>
  <c r="K7" i="22"/>
  <c r="K7" i="29"/>
  <c r="AA5" i="23"/>
  <c r="AA7" i="22"/>
  <c r="AA7" i="29"/>
  <c r="I5" i="23"/>
  <c r="I5" i="6"/>
  <c r="I5" i="15"/>
  <c r="Y7" i="29"/>
  <c r="Y7" i="23"/>
  <c r="Y7" i="42"/>
  <c r="Y7" i="48" s="1"/>
  <c r="N5" i="29"/>
  <c r="N7" i="29"/>
  <c r="N5" i="22"/>
  <c r="N5" i="23"/>
  <c r="N7" i="22"/>
  <c r="J5" i="6"/>
  <c r="J7" i="29"/>
  <c r="AA5" i="30"/>
  <c r="L5" i="30"/>
  <c r="AB7" i="29"/>
  <c r="K5" i="22"/>
  <c r="K5" i="15"/>
  <c r="AA5" i="22"/>
  <c r="AA5" i="15"/>
  <c r="I7" i="6"/>
  <c r="I7" i="15"/>
  <c r="Y5" i="22"/>
  <c r="Y5" i="29"/>
  <c r="W5" i="23"/>
  <c r="AB7" i="23"/>
  <c r="G5" i="22"/>
  <c r="G7" i="22"/>
  <c r="G7" i="29"/>
  <c r="W7" i="42"/>
  <c r="W7" i="48" s="1"/>
  <c r="W5" i="42"/>
  <c r="W5" i="48" s="1"/>
  <c r="E5" i="23"/>
  <c r="E7" i="6"/>
  <c r="E7" i="42"/>
  <c r="E7" i="48" s="1"/>
  <c r="W7" i="30"/>
  <c r="L5" i="29"/>
  <c r="L7" i="30"/>
  <c r="L7" i="6"/>
  <c r="AB5" i="22"/>
  <c r="AB5" i="42"/>
  <c r="AB5" i="48" s="1"/>
  <c r="AB7" i="6"/>
  <c r="U7" i="6"/>
  <c r="U7" i="15"/>
  <c r="U5" i="42"/>
  <c r="U5" i="48" s="1"/>
  <c r="AB5" i="23"/>
  <c r="U5" i="30"/>
  <c r="E5" i="30"/>
  <c r="U7" i="23"/>
  <c r="G5" i="29"/>
  <c r="G5" i="15"/>
  <c r="G5" i="6"/>
  <c r="W5" i="30"/>
  <c r="W7" i="15"/>
  <c r="W7" i="6"/>
  <c r="E7" i="23"/>
  <c r="E7" i="29"/>
  <c r="E7" i="22"/>
  <c r="L5" i="22"/>
  <c r="L7" i="22"/>
  <c r="L5" i="6"/>
  <c r="AB5" i="29"/>
  <c r="AB7" i="30"/>
  <c r="AB5" i="6"/>
  <c r="U5" i="22"/>
  <c r="U7" i="42"/>
  <c r="U7" i="48" s="1"/>
  <c r="G5" i="23"/>
  <c r="W7" i="23"/>
  <c r="U7" i="30"/>
  <c r="E7" i="30"/>
  <c r="L7" i="23"/>
  <c r="G7" i="42"/>
  <c r="G7" i="48" s="1"/>
  <c r="W5" i="22"/>
  <c r="W7" i="22"/>
  <c r="E5" i="29"/>
  <c r="E5" i="6"/>
  <c r="L7" i="29"/>
  <c r="L5" i="42"/>
  <c r="L5" i="48" s="1"/>
  <c r="AB5" i="30"/>
  <c r="AB5" i="15"/>
  <c r="U5" i="23"/>
  <c r="U7" i="29"/>
</calcChain>
</file>

<file path=xl/sharedStrings.xml><?xml version="1.0" encoding="utf-8"?>
<sst xmlns="http://schemas.openxmlformats.org/spreadsheetml/2006/main" count="3045" uniqueCount="1390">
  <si>
    <t>BPoEFUbVT BAU Perc of Each Fuel Used by Veh Technology</t>
  </si>
  <si>
    <t>Sources:</t>
  </si>
  <si>
    <t>Total Consumption</t>
  </si>
  <si>
    <t>Pipeline Fuel Natural Gas</t>
  </si>
  <si>
    <t>Lubricants</t>
  </si>
  <si>
    <t>Recreational Boats</t>
  </si>
  <si>
    <t>- -</t>
  </si>
  <si>
    <t>Rail Transportation</t>
  </si>
  <si>
    <t>Bus Transportation</t>
  </si>
  <si>
    <t>Military Use</t>
  </si>
  <si>
    <t>Air Transportation</t>
  </si>
  <si>
    <t>International Shipping</t>
  </si>
  <si>
    <t>Domestic Shipping</t>
  </si>
  <si>
    <t>Light-Duty Vehicle</t>
  </si>
  <si>
    <t>About</t>
  </si>
  <si>
    <t>electricity</t>
  </si>
  <si>
    <t>natural gas</t>
  </si>
  <si>
    <t>petroleum gasoline</t>
  </si>
  <si>
    <t>petroleum diesel</t>
  </si>
  <si>
    <t>biofuel gasoline</t>
  </si>
  <si>
    <t>jet fuel</t>
  </si>
  <si>
    <t>biofuel diesel</t>
  </si>
  <si>
    <t>Sources of Ethanol</t>
  </si>
  <si>
    <t>biodiesel fraction</t>
  </si>
  <si>
    <t>This fraction is the amount of biodiesel used in the entire Transportation sector</t>
  </si>
  <si>
    <t>trillion BTU</t>
  </si>
  <si>
    <t>Quantity</t>
  </si>
  <si>
    <t>Scope</t>
  </si>
  <si>
    <t>entire transportation sector</t>
  </si>
  <si>
    <t>passenger LDVs</t>
  </si>
  <si>
    <t>freight LDVs</t>
  </si>
  <si>
    <t>Petroleum diesel use</t>
  </si>
  <si>
    <t>Biodiesel use</t>
  </si>
  <si>
    <t>passenger HDVs</t>
  </si>
  <si>
    <t>freight HDVs</t>
  </si>
  <si>
    <t>passenger rail</t>
  </si>
  <si>
    <t>freight rail</t>
  </si>
  <si>
    <t>passenger ships</t>
  </si>
  <si>
    <t>freight ships</t>
  </si>
  <si>
    <t>Is Biodiesel Used For:</t>
  </si>
  <si>
    <t>Biodiesel Fraction for diesel-using vehicle types selected above:</t>
  </si>
  <si>
    <t>divided by the amount of petroleum diesel used for user-specified diesel-using</t>
  </si>
  <si>
    <t>vehicle types, plus the amount of biodiesel.  It is used for the approriate vehicle</t>
  </si>
  <si>
    <t>types on subsequent tabs.</t>
  </si>
  <si>
    <t>Plug-in hybrids can accept either electricity or combustible fuels.</t>
  </si>
  <si>
    <t>This sheet specifies the percentage of driving for which electricity is used.</t>
  </si>
  <si>
    <t>Electricity fraction</t>
  </si>
  <si>
    <t>most vehicles and fuels</t>
  </si>
  <si>
    <t>EIA</t>
  </si>
  <si>
    <t>fraction of electricity used by plug-in hybrids</t>
  </si>
  <si>
    <t>DoE Alternative Fuels Data Center</t>
  </si>
  <si>
    <t>year unspecified</t>
  </si>
  <si>
    <t>Hybrid and Plug-In Electric Vehicle Emissions Data Sources and Assumptions</t>
  </si>
  <si>
    <t>https://www.afdc.energy.gov/vehicles/electric_emissions_sources.html</t>
  </si>
  <si>
    <t>Second-to-last parameter in the table</t>
  </si>
  <si>
    <t>Our data source (DoE Alternative Fuels Data Center, as specified on the</t>
  </si>
  <si>
    <t>"About" tab) includes the following source information, indicating</t>
  </si>
  <si>
    <t>where they obtained their number:</t>
  </si>
  <si>
    <t>Estimate based on the current industry standard, SAE J2841 (available in http://avt.inel.gov/pdf/EVProj/EVProjectUtilityFactorVolt.pdf), assuming the PHEV all-electric range is 33 miles.</t>
  </si>
  <si>
    <t>For the U.S., we have the quantity of biodiesel used in the transportation sector, but</t>
  </si>
  <si>
    <t>not divided by vehicle type.  The "Biodiesel Fraction" tab includes calculations to</t>
  </si>
  <si>
    <t>apportion this by vehicle type and control levers that allow for certain vehicle types</t>
  </si>
  <si>
    <t>to be exempted from biodiesel use.</t>
  </si>
  <si>
    <t>We include sheets for all possible vehicle type / cargo type / vehicle technology</t>
  </si>
  <si>
    <t>combinations that the model supports, even though some combinations are not used</t>
  </si>
  <si>
    <t>in the U.S. dataset.  (For example, there are no freight motorbikes in the U.S. model.)</t>
  </si>
  <si>
    <t>combination.  (For example, some countries may wish to represent three-wheeled,</t>
  </si>
  <si>
    <t>This is to support adaptation to other countries that may wish to use that vehicle</t>
  </si>
  <si>
    <t>Another example: battery electric freight HDVs barely exist today, but the model</t>
  </si>
  <si>
    <t>includes a sheet for them, so it can support them in the future without changing</t>
  </si>
  <si>
    <t>the model structure.)</t>
  </si>
  <si>
    <t>motorized carts used for urban hauling and commerce as freight motorbikes.</t>
  </si>
  <si>
    <t>We assume that plug-in hybrid LDVs have gasoline engines and plug-in hybrid HDVs</t>
  </si>
  <si>
    <t>have diesel engines.  The share of electricity used by plug-in hybrids is from the DoE and</t>
  </si>
  <si>
    <t>is based on a study of passenger LDVs, though we use that value for all plug-in hybrid</t>
  </si>
  <si>
    <t>vehicle types here.</t>
  </si>
  <si>
    <t>No fuel breakdown for passenger motorbikes by technology is explicitly provided,</t>
  </si>
  <si>
    <t>so we follow passenger LDV breakdowns for each technology.</t>
  </si>
  <si>
    <t>As noted above, freight motorbikes are not used in the U.S. model, so sheets</t>
  </si>
  <si>
    <t>for them here contain zeroes.</t>
  </si>
  <si>
    <t>We are only concerned with commercial aircraft, not general aviation, so we</t>
  </si>
  <si>
    <t>disregard the small amount of aviation gasoline used.</t>
  </si>
  <si>
    <t>heavy or residual fuel oil</t>
  </si>
  <si>
    <t>LPG propane or butane</t>
  </si>
  <si>
    <t>hydrogen</t>
  </si>
  <si>
    <t>Percentage Fuel Use (dimensionless)</t>
  </si>
  <si>
    <t>Table 36.  Transportation Sector Energy Use by Fuel Type Within a Mode</t>
  </si>
  <si>
    <t>Source: U.S. Energy Information Administration</t>
  </si>
  <si>
    <t>full name</t>
  </si>
  <si>
    <t>Motor Gasoline excluding E85</t>
  </si>
  <si>
    <t>E85</t>
  </si>
  <si>
    <t>Distillate Fuel Oil (diesel)</t>
  </si>
  <si>
    <t>Compressed/Liquefied Natural Gas</t>
  </si>
  <si>
    <t>Propane</t>
  </si>
  <si>
    <t>Electricity</t>
  </si>
  <si>
    <t>Hydrogen</t>
  </si>
  <si>
    <t>Commercial Light Trucks</t>
  </si>
  <si>
    <t>Freight Trucks</t>
  </si>
  <si>
    <t>Motor Gasoline</t>
  </si>
  <si>
    <t>Freight Rail</t>
  </si>
  <si>
    <t>Residual Fuel Oil</t>
  </si>
  <si>
    <t>Compressed Natural Gas</t>
  </si>
  <si>
    <t>Liquefied Natural Gas</t>
  </si>
  <si>
    <t>Residual Oil</t>
  </si>
  <si>
    <t>Jet Fuel</t>
  </si>
  <si>
    <t>Aviation Gasoline</t>
  </si>
  <si>
    <t>Jet Fuel and Aviation Gasoline</t>
  </si>
  <si>
    <t>Distillates and Diesel</t>
  </si>
  <si>
    <t>Transit Bus</t>
  </si>
  <si>
    <t>Intercity Bus</t>
  </si>
  <si>
    <t>School Bus</t>
  </si>
  <si>
    <t>Intercity Rail</t>
  </si>
  <si>
    <t>Diesel</t>
  </si>
  <si>
    <t>Transit Rail</t>
  </si>
  <si>
    <t>Commuter Rail</t>
  </si>
  <si>
    <t>Gasoline</t>
  </si>
  <si>
    <t>api key</t>
  </si>
  <si>
    <t>units</t>
  </si>
  <si>
    <t>trillion Btu</t>
  </si>
  <si>
    <t>Table 17.  Renewable Energy Consumption by Sector and Source</t>
  </si>
  <si>
    <t>Marketed Renewable Energy</t>
  </si>
  <si>
    <t>Residential (wood)</t>
  </si>
  <si>
    <t>Commercial (biomass)</t>
  </si>
  <si>
    <t>Industrial</t>
  </si>
  <si>
    <t>Conventional Hydroelectric Power</t>
  </si>
  <si>
    <t>Municipal Waste</t>
  </si>
  <si>
    <t>Biomass</t>
  </si>
  <si>
    <t>Biofuels Heat and Coproducts</t>
  </si>
  <si>
    <t>Transportation</t>
  </si>
  <si>
    <t>Ethanol used in E85</t>
  </si>
  <si>
    <t>Ethanol used in Gasoline Blending</t>
  </si>
  <si>
    <t>Biodiesel used in Distillate Blending</t>
  </si>
  <si>
    <t>Biobutanol</t>
  </si>
  <si>
    <t>Liquids from Biomass</t>
  </si>
  <si>
    <t>Renewable Diesel and Gasoline</t>
  </si>
  <si>
    <t>Electric Power</t>
  </si>
  <si>
    <t>Geothermal</t>
  </si>
  <si>
    <t>Biogenic Municipal Waste</t>
  </si>
  <si>
    <t>Dedicated Plants</t>
  </si>
  <si>
    <t>Cofiring</t>
  </si>
  <si>
    <t>Solar Thermal</t>
  </si>
  <si>
    <t>Solar Photovoltaic</t>
  </si>
  <si>
    <t>Wind</t>
  </si>
  <si>
    <t>Total Marketed Renewable Energy</t>
  </si>
  <si>
    <t>From Corn and Other Starch</t>
  </si>
  <si>
    <t>From Cellulose</t>
  </si>
  <si>
    <t>Net Imports</t>
  </si>
  <si>
    <t>Total U.S. Supply of Ethanol</t>
  </si>
  <si>
    <t>Nonmarketed Renewable Energy</t>
  </si>
  <si>
    <t>Selected Consumption</t>
  </si>
  <si>
    <t>Residential</t>
  </si>
  <si>
    <t>Solar Hot Water Heating</t>
  </si>
  <si>
    <t>Commercial</t>
  </si>
  <si>
    <t>quads</t>
  </si>
  <si>
    <t>https://www.eia.gov/energyexplained//biofuels/charts/fuel-ethanol-motor-gasoline.csv</t>
  </si>
  <si>
    <t>Percent ethanol</t>
  </si>
  <si>
    <t>Monthly Energy Review, May 2020</t>
  </si>
  <si>
    <t>% of gasoline consumption</t>
  </si>
  <si>
    <t>consumption</t>
  </si>
  <si>
    <t>Source: U.S. Energy Information Administration, &lt;em&gt;Monthly Energy Review&lt;/em&gt; and &lt;em&gt;Petroleum Supply Monthly&lt;/em&gt;, May 2020</t>
  </si>
  <si>
    <t>Note: Motor gasoline is finished motor gasoline.</t>
  </si>
  <si>
    <t>fuel ethanol % of motor gasoline consumption</t>
  </si>
  <si>
    <t>fuel ethanol consumption - billion gallons</t>
  </si>
  <si>
    <t>U.S. fuel ethanol consumption and percent of total U.S. motor gasoline consumption, 1981-2019</t>
  </si>
  <si>
    <t>ref2022.d011222a</t>
  </si>
  <si>
    <t>Report</t>
  </si>
  <si>
    <t>Scenario</t>
  </si>
  <si>
    <t>Reference</t>
  </si>
  <si>
    <t>Datekey</t>
  </si>
  <si>
    <t>Release Date</t>
  </si>
  <si>
    <t>REM000</t>
  </si>
  <si>
    <t>17. Renewable Energy Consumption by Sector and Source</t>
  </si>
  <si>
    <t>Average</t>
  </si>
  <si>
    <t>(quadrillion Btu, unless otherwise noted)</t>
  </si>
  <si>
    <t>Annual</t>
  </si>
  <si>
    <t>Change</t>
  </si>
  <si>
    <t xml:space="preserve"> Sector and Source</t>
  </si>
  <si>
    <t>2021–2050</t>
  </si>
  <si>
    <t>Marketed Renewable Energy 1/</t>
  </si>
  <si>
    <t>REM000:ca_Residential(w</t>
  </si>
  <si>
    <t xml:space="preserve">  Residential (wood)</t>
  </si>
  <si>
    <t>REM000:da_Commercial(bi</t>
  </si>
  <si>
    <t xml:space="preserve">  Commercial (biomass)</t>
  </si>
  <si>
    <t>REM000:ea_Industrial</t>
  </si>
  <si>
    <t xml:space="preserve">  Industrial 2/</t>
  </si>
  <si>
    <t>REM000:ea_ConventionalH</t>
  </si>
  <si>
    <t xml:space="preserve">    Conventional Hydroelectric Power</t>
  </si>
  <si>
    <t>REM000:ea_MunicipalSoli</t>
  </si>
  <si>
    <t xml:space="preserve">    Municipal Waste 3/</t>
  </si>
  <si>
    <t>REM000:ea_Biomass</t>
  </si>
  <si>
    <t xml:space="preserve">    Biomass</t>
  </si>
  <si>
    <t>REM000:ea_BiomasHeat&amp;Co</t>
  </si>
  <si>
    <t xml:space="preserve">    Biofuels Heat and Coproducts</t>
  </si>
  <si>
    <t>REM000:fa_Transportatio</t>
  </si>
  <si>
    <t xml:space="preserve">  Transportation</t>
  </si>
  <si>
    <t>REM000:fa_Ethanolusedin</t>
  </si>
  <si>
    <t xml:space="preserve">    Ethanol used in E85 4/</t>
  </si>
  <si>
    <t>REM000:ga_Ethanolusedin</t>
  </si>
  <si>
    <t xml:space="preserve">    Ethanol used in Gasoline Blending</t>
  </si>
  <si>
    <t>REM000:ga_BioDieselBlen</t>
  </si>
  <si>
    <t xml:space="preserve">    Biodiesel used in Distillate Blending</t>
  </si>
  <si>
    <t>REM000:trans_biobute</t>
  </si>
  <si>
    <t xml:space="preserve">    Biobutanol</t>
  </si>
  <si>
    <t>--</t>
  </si>
  <si>
    <t>REM000:gb_LiquidfromBio</t>
  </si>
  <si>
    <t xml:space="preserve">    Liquids from Biomass</t>
  </si>
  <si>
    <t>REM000:gb_GreenLiquids</t>
  </si>
  <si>
    <t xml:space="preserve">    Renewable Diesel and Gasoline 5/</t>
  </si>
  <si>
    <t>REM000:ha_ElectricPower</t>
  </si>
  <si>
    <t xml:space="preserve">  Electric Power 6/</t>
  </si>
  <si>
    <t>REM000:ha_ConventionalH</t>
  </si>
  <si>
    <t>REM000:ha_Geothermal</t>
  </si>
  <si>
    <t xml:space="preserve">    Geothermal</t>
  </si>
  <si>
    <t>REM000:ha_MunicipalSoli</t>
  </si>
  <si>
    <t xml:space="preserve">    Biogenic Municipal Waste 7/</t>
  </si>
  <si>
    <t>REM000:ha_Biomass</t>
  </si>
  <si>
    <t>REM000:ha_DedicatedPlan</t>
  </si>
  <si>
    <t xml:space="preserve">      Dedicated Plants</t>
  </si>
  <si>
    <t>REM000:ha_Cofiring</t>
  </si>
  <si>
    <t xml:space="preserve">      Cofiring</t>
  </si>
  <si>
    <t>REM000:ha_SolarThermal</t>
  </si>
  <si>
    <t xml:space="preserve">    Solar Thermal</t>
  </si>
  <si>
    <t>REM000:ha_SolarPhotovol</t>
  </si>
  <si>
    <t>REM000:ha_Wind</t>
  </si>
  <si>
    <t xml:space="preserve">    Wind</t>
  </si>
  <si>
    <t>REM000:ia_TotalMarketed</t>
  </si>
  <si>
    <t xml:space="preserve">  Total Marketed Renewable Energy</t>
  </si>
  <si>
    <t>REM000:ja_FromCorn</t>
  </si>
  <si>
    <t xml:space="preserve">  From Corn and Other Starch</t>
  </si>
  <si>
    <t>REM000:ja_FromCellulose</t>
  </si>
  <si>
    <t xml:space="preserve">  From Cellulose</t>
  </si>
  <si>
    <t>REM000:ja_Imports</t>
  </si>
  <si>
    <t xml:space="preserve">  Net Imports</t>
  </si>
  <si>
    <t>REM000:ja_Total</t>
  </si>
  <si>
    <t xml:space="preserve">    Total U.S. Supply of Ethanol</t>
  </si>
  <si>
    <t xml:space="preserve">     Selected Consumption</t>
  </si>
  <si>
    <t>REM000:la_Residential</t>
  </si>
  <si>
    <t xml:space="preserve">  Residential</t>
  </si>
  <si>
    <t>REM000:la_SolarHotWater</t>
  </si>
  <si>
    <t xml:space="preserve">    Solar Hot Water Heating</t>
  </si>
  <si>
    <t>REM000:la_GeothermalHea</t>
  </si>
  <si>
    <t xml:space="preserve">    Geothermal Heat Pumps</t>
  </si>
  <si>
    <t>REM000:la_SolarPhotovol</t>
  </si>
  <si>
    <t>REM000:la_blowWindblow</t>
  </si>
  <si>
    <t>REM000:ma_Commercial</t>
  </si>
  <si>
    <t xml:space="preserve">  Commercial</t>
  </si>
  <si>
    <t>REM000:ma_SolarThermal</t>
  </si>
  <si>
    <t>REM000:ma_SolarPhotovol</t>
  </si>
  <si>
    <t>REM000:ma_blowWindblow</t>
  </si>
  <si>
    <t>1/ Includes nonelectric renewable energy groups for which the energy source is bought and sold in the marketplace, although</t>
  </si>
  <si>
    <t>all transactions may not necessarily be marketed, and renewable energy inputs for electricity entering the marketplace</t>
  </si>
  <si>
    <t>for all renewable fuels except hydroelectric, geothermal, solar, and wind.  Consumption at hydroelectric, geothermal, solar, and</t>
  </si>
  <si>
    <t>wind facilities is determined by using the average electric power sector net heat rate for fossil fuels.</t>
  </si>
  <si>
    <t>3/ Includes municipal waste, landfill gas, and municipal sewage sludge.  All municipal waste is included, although a</t>
  </si>
  <si>
    <t>portion of the municipal waste stream contains petroleum-derived plastics and other non-renewable sources.</t>
  </si>
  <si>
    <t>4/ Excludes motor gasoline component of E85.</t>
  </si>
  <si>
    <t>5/ Renewable feedstocks for the on-site production of diesel and gasoline.</t>
  </si>
  <si>
    <t>7/ Includes biogenic municipal waste, landfill gas, and municipal sewage sludge.  Incremental growth is assumed to be for</t>
  </si>
  <si>
    <t>landfill gas facilities.</t>
  </si>
  <si>
    <t>directly or indirectly as an input to marketed energy.  The U.S. Energy Information Administration does not</t>
  </si>
  <si>
    <t>estimate or project total consumption of nonmarketed renewable energy.</t>
  </si>
  <si>
    <t>- - = Not applicable.</t>
  </si>
  <si>
    <t>Btu = British thermal unit.</t>
  </si>
  <si>
    <t>Note:  Totals may not equal sum of components due to independent rounding.</t>
  </si>
  <si>
    <t>TEF000</t>
  </si>
  <si>
    <t>36. Transportation Sector Energy Use by Fuel Type Within Mode</t>
  </si>
  <si>
    <t>(trillion Btu)</t>
  </si>
  <si>
    <t xml:space="preserve"> Mode and Type</t>
  </si>
  <si>
    <t>TEF000:ba_Total</t>
  </si>
  <si>
    <t>TEF000:ba_MotorGasoline</t>
  </si>
  <si>
    <t xml:space="preserve">  Motor Gasoline excluding E85 1/</t>
  </si>
  <si>
    <t>TEF000:ba_Ethanol</t>
  </si>
  <si>
    <t xml:space="preserve">  E85 1/</t>
  </si>
  <si>
    <t>TEF000:ba_Distillate(di</t>
  </si>
  <si>
    <t xml:space="preserve">  Distillate Fuel Oil (diesel)</t>
  </si>
  <si>
    <t>TEF000:ba_CompressedNat</t>
  </si>
  <si>
    <t xml:space="preserve">  Compressed/Liquefied Natural Gas</t>
  </si>
  <si>
    <t>TEF000:ba_LiquefiedPetr</t>
  </si>
  <si>
    <t xml:space="preserve">  Propane</t>
  </si>
  <si>
    <t>TEF000:ba_Electricity</t>
  </si>
  <si>
    <t xml:space="preserve">  Electricity</t>
  </si>
  <si>
    <t>TEF000:ba_LiquidHydroge</t>
  </si>
  <si>
    <t xml:space="preserve">  Hydrogen</t>
  </si>
  <si>
    <t>TEF000:ca_CommercialLig</t>
  </si>
  <si>
    <t>Commercial Light Trucks 2/</t>
  </si>
  <si>
    <t>TEF000:clt_MotorGas</t>
  </si>
  <si>
    <t>TEF000:clt_e85</t>
  </si>
  <si>
    <t>TEF000:clt_Diesel</t>
  </si>
  <si>
    <t>TEF000:clt_propane</t>
  </si>
  <si>
    <t>TEF000:clt_natural_gas</t>
  </si>
  <si>
    <t>TEF000:clt_electricity</t>
  </si>
  <si>
    <t>TEF000:clt_hydrogen</t>
  </si>
  <si>
    <t>TEF000:da_Total</t>
  </si>
  <si>
    <t>Freight Trucks 3/</t>
  </si>
  <si>
    <t>TEF000:da_MotorGasoline</t>
  </si>
  <si>
    <t xml:space="preserve">  Motor Gasoline</t>
  </si>
  <si>
    <t>TEF000:da_Distillate(di</t>
  </si>
  <si>
    <t>TEF000:da_CompressedNat</t>
  </si>
  <si>
    <t>TEF000:da_LiquefiedPetr</t>
  </si>
  <si>
    <t>TEF000:ft_eeeeeeeeeee85</t>
  </si>
  <si>
    <t xml:space="preserve">  E85</t>
  </si>
  <si>
    <t>TEF000:ft_electricity</t>
  </si>
  <si>
    <t>TEF000:ft_hydrogen</t>
  </si>
  <si>
    <t>TEF000:ea_Total</t>
  </si>
  <si>
    <t>Freight Rail 4/</t>
  </si>
  <si>
    <t>TEF000:ea_Distillate(di</t>
  </si>
  <si>
    <t>TEF000:ea_ResidualOil</t>
  </si>
  <si>
    <t xml:space="preserve">  Residual Fuel Oil</t>
  </si>
  <si>
    <t>TEF000:ea_SeeEnGee</t>
  </si>
  <si>
    <t xml:space="preserve">  Compressed Natural Gas</t>
  </si>
  <si>
    <t>TEF000:ea_LiquidNG</t>
  </si>
  <si>
    <t xml:space="preserve">  Liquefied Natural Gas</t>
  </si>
  <si>
    <t>TEF000:fa_Total</t>
  </si>
  <si>
    <t>TEF000:fa_Distillate(di</t>
  </si>
  <si>
    <t>TEF000:fa_ResidualOil</t>
  </si>
  <si>
    <t xml:space="preserve">  Residual Oil</t>
  </si>
  <si>
    <t>TEF000:fa_MotorGasoline</t>
  </si>
  <si>
    <t>TEF000:fa_LiquidNG</t>
  </si>
  <si>
    <t>TEF000:ga_Total</t>
  </si>
  <si>
    <t>TEF000:ga_Distillate(di</t>
  </si>
  <si>
    <t>TEF000:ga_ResidualOil</t>
  </si>
  <si>
    <t>TEF000:ga_SeeEnGee</t>
  </si>
  <si>
    <t>TEF000:ga_LiquidNG</t>
  </si>
  <si>
    <t>TEF000:ha_Total</t>
  </si>
  <si>
    <t>TEF000:ha_JetFuel</t>
  </si>
  <si>
    <t xml:space="preserve">  Jet Fuel</t>
  </si>
  <si>
    <t>TEF000:ha_AviationGasol</t>
  </si>
  <si>
    <t xml:space="preserve">  Aviation Gasoline</t>
  </si>
  <si>
    <t>TEF000:ia_Total</t>
  </si>
  <si>
    <t>TEF000:ia_JetFuel</t>
  </si>
  <si>
    <t xml:space="preserve">  Jet Fuel and Aviation Gasoline</t>
  </si>
  <si>
    <t>TEF000:ia_ResidualFuel</t>
  </si>
  <si>
    <t>TEF000:ia_Distillate</t>
  </si>
  <si>
    <t xml:space="preserve">  Distillates and Diesel</t>
  </si>
  <si>
    <t>TEF000:ja_Total</t>
  </si>
  <si>
    <t>TEF000:bus_transit_tot</t>
  </si>
  <si>
    <t xml:space="preserve">  Transit Bus</t>
  </si>
  <si>
    <t>TEF000:ja_TransitBus(mo</t>
  </si>
  <si>
    <t xml:space="preserve">    Motor Gasoline</t>
  </si>
  <si>
    <t>TEF000:bus_transit_e85</t>
  </si>
  <si>
    <t xml:space="preserve">    E85</t>
  </si>
  <si>
    <t>TEF000:ja_TransitBus(di</t>
  </si>
  <si>
    <t xml:space="preserve">    Distillate Fuel Oil (diesel)</t>
  </si>
  <si>
    <t>TEF000:bus_transit_CNG</t>
  </si>
  <si>
    <t xml:space="preserve">    Compressed/Liquefied Natural Gas</t>
  </si>
  <si>
    <t>TEF000:bus_transit_LPG</t>
  </si>
  <si>
    <t xml:space="preserve">    Propane</t>
  </si>
  <si>
    <t>TEF000:bus_transit_elec</t>
  </si>
  <si>
    <t xml:space="preserve">    Electricity</t>
  </si>
  <si>
    <t>TEF000:bus_transit_hydr</t>
  </si>
  <si>
    <t xml:space="preserve">    Hydrogen</t>
  </si>
  <si>
    <t>TEF000:bus_inter_total</t>
  </si>
  <si>
    <t xml:space="preserve">  Intercity Bus</t>
  </si>
  <si>
    <t>TEF000:bus_inter_motor</t>
  </si>
  <si>
    <t>TEF000:bus_inter_e85</t>
  </si>
  <si>
    <t>TEF000:ja_IntercityBus(</t>
  </si>
  <si>
    <t>TEF000:bus_inter_CNG</t>
  </si>
  <si>
    <t>TEF000:bus_inter_LPG</t>
  </si>
  <si>
    <t>TEF000:bus_inter_elec</t>
  </si>
  <si>
    <t>TEF000:bus_inter_hydrog</t>
  </si>
  <si>
    <t>TEF000:bus_school_total</t>
  </si>
  <si>
    <t xml:space="preserve">  School Bus</t>
  </si>
  <si>
    <t>TEF000:ja_SchoolBus(mot</t>
  </si>
  <si>
    <t>TEF000:bus_school_e85</t>
  </si>
  <si>
    <t>TEF000:ja_SchoolBus(die</t>
  </si>
  <si>
    <t>TEF000:bus_school_CNG</t>
  </si>
  <si>
    <t>TEF000:bus_school_LPG</t>
  </si>
  <si>
    <t>TEF000:bus_school_elec</t>
  </si>
  <si>
    <t>TEF000:bus_school_hydro</t>
  </si>
  <si>
    <t>TEF000:ma_Total</t>
  </si>
  <si>
    <t>TEF000:ka_IntercityRail</t>
  </si>
  <si>
    <t xml:space="preserve">  Intercity Rail</t>
  </si>
  <si>
    <t>TEF000:ka_InterElect</t>
  </si>
  <si>
    <t>TEF000:la_InterDiesel</t>
  </si>
  <si>
    <t xml:space="preserve">    Diesel</t>
  </si>
  <si>
    <t>TEF000:la_InterCNG</t>
  </si>
  <si>
    <t xml:space="preserve">    Compressed Natural Gas</t>
  </si>
  <si>
    <t>TEF000:la_InterLNG</t>
  </si>
  <si>
    <t xml:space="preserve">    Liquefied Natural Gas</t>
  </si>
  <si>
    <t>TEF000:la_TransitRail</t>
  </si>
  <si>
    <t xml:space="preserve">  Transit Rail</t>
  </si>
  <si>
    <t>TEF000:la_TransitElect</t>
  </si>
  <si>
    <t>TEF000:ma_CommuterRail</t>
  </si>
  <si>
    <t xml:space="preserve">  Commuter Rail</t>
  </si>
  <si>
    <t>TEF000:ma_CommuteElect</t>
  </si>
  <si>
    <t>TEF000:ma_CommuteDiesel</t>
  </si>
  <si>
    <t>TEF000:ma_CommuteCNG</t>
  </si>
  <si>
    <t>TEF000:ma_CommuteLNG</t>
  </si>
  <si>
    <t>TEF000:na_RecreationBoa</t>
  </si>
  <si>
    <t>TEF000:na_RecreateGas</t>
  </si>
  <si>
    <t xml:space="preserve">  Gasoline</t>
  </si>
  <si>
    <t>TEF000:na_RecreateDies</t>
  </si>
  <si>
    <t>TEF000:na_Lubricants</t>
  </si>
  <si>
    <t>TEF000:na_PipelineFuelN</t>
  </si>
  <si>
    <t>TEF000:pa_TotalConsumpt</t>
  </si>
  <si>
    <t>1/ E85 refers to a blend of 85 % ethanol (renewable) and 15 % motor gasoline (nonrenewable).  To address cold starting issues,</t>
  </si>
  <si>
    <t>the percentage of ethanol varies seasonally.  The annual average ethanol content of 74 percent is used for these projections.</t>
  </si>
  <si>
    <t>2/ Commercial trucks from 8,501 to 10,000 pounds.</t>
  </si>
  <si>
    <t>3/ Does not include military distillate.  Does not include commercial buses.</t>
  </si>
  <si>
    <t>4/ Does not include passenger rail.</t>
  </si>
  <si>
    <t>Note:  Includes estimated consumption for petroleum and other liquids.  Totals may not equal sum of components due to independent rounding.</t>
  </si>
  <si>
    <t>Sources:  U.S. Energy Information Administration, AEO2022 National Energy Modeling System run ref2022.d011222a.</t>
  </si>
  <si>
    <t>ref2023.d020623a</t>
  </si>
  <si>
    <t>Annual Energy Outlook 2023</t>
  </si>
  <si>
    <t>ref2023</t>
  </si>
  <si>
    <t>d020623a</t>
  </si>
  <si>
    <t xml:space="preserve"> March 2023</t>
  </si>
  <si>
    <t>2022–2050</t>
  </si>
  <si>
    <t xml:space="preserve">    Solar Photovoltaic 8/</t>
  </si>
  <si>
    <t>Nonmarketed Renewable Energy 9/</t>
  </si>
  <si>
    <t>on the electric power grid.  Excludes electricity imports, which are in Table 2.  Actual heat rates used to determine fuel consumption</t>
  </si>
  <si>
    <t>2/ Includes combined-heat-and-power plants that have a non-regulatory status and small on-site generating systems.</t>
  </si>
  <si>
    <t>6/ Includes consumption of energy by electricity-only and combined-heat-and-power plants that have a regulatory status.</t>
  </si>
  <si>
    <t>8/ Does not include off-grid photovoltaics.</t>
  </si>
  <si>
    <t>9/ Includes selected renewable energy consumption data for which the energy is not bought or sold, either</t>
  </si>
  <si>
    <t>Data source: 2022:  U.S. Energy Information Administration (EIA), Short-Term Energy Outlook, November 2022 and EIA,</t>
  </si>
  <si>
    <t>AEO2023 National Energy Modeling System run ref2023.d020623a. Projections:  EIA, AEO2023 National Energy Modeling System run ref2023.d020623a.</t>
  </si>
  <si>
    <t>https://www.eia.gov/outlooks/aeo/data/browser/#/?id=46-AEO2023&amp;sourcekey=0</t>
  </si>
  <si>
    <t>Mon Apr 17 2023 13:56:35 GMT-0400 (Eastern Daylight Time)</t>
  </si>
  <si>
    <t>Growth (2022-2050)</t>
  </si>
  <si>
    <t>Transportation Energy Use: Light-Duty Vehicle: Total: Reference case</t>
  </si>
  <si>
    <t>AEO.2023.REF2023.CNSM_NA_TRN_LDTY_NA_NA_NA_TRLBTU.A</t>
  </si>
  <si>
    <t>Transportation Energy Use: Light-Duty Vehicle: Motor Gasoline: Reference case</t>
  </si>
  <si>
    <t>AEO.2023.REF2023.CNSM_NA_TRN_LDTY_MGS_NA_NA_TRLBTU.A</t>
  </si>
  <si>
    <t>Transportation Energy Use: Light-Duty Vehicle: Ethanol: Reference case</t>
  </si>
  <si>
    <t>AEO.2023.REF2023.CNSM_NA_TRN_LDTY_ETH_NA_NA_TRLBTU.A</t>
  </si>
  <si>
    <t>Transportation Energy Use: Light-Duty Vehicle: Distillate Fuel Oil: Reference case</t>
  </si>
  <si>
    <t>AEO.2023.REF2023.CNSM_NA_TRN_LDTY_DFO_NA_NA_TRLBTU.A</t>
  </si>
  <si>
    <t>Transportation Energy Use: Light-Duty Vehicle: Natural Gas: Reference case</t>
  </si>
  <si>
    <t>AEO.2023.REF2023.CNSM_NA_TRN_LDTY_NG_NA_NA_TRLBTU.A</t>
  </si>
  <si>
    <t>Transportation Energy Use: Light-Duty Vehicle: Propane: Reference case</t>
  </si>
  <si>
    <t>AEO.2023.REF2023.CNSM_NA_TRN_LDTY_PROP_NA_NA_TRLBTU.A</t>
  </si>
  <si>
    <t>Transportation Energy Use: Light-Duty Vehicle: Electricity: Reference case</t>
  </si>
  <si>
    <t>AEO.2023.REF2023.CNSM_NA_TRN_LDTY_ELC_NA_NA_TRLBTU.A</t>
  </si>
  <si>
    <t>Transportation Energy Use: Light-Duty Vehicle: Hydrogen: Reference case</t>
  </si>
  <si>
    <t>AEO.2023.REF2023.CNSM_NA_TRN_LDTY_HDG_NA_NA_TRLBTU.A</t>
  </si>
  <si>
    <t>Transportation Energy Use: Commercial Light Trucks: Total: Reference case</t>
  </si>
  <si>
    <t>AEO.2023.REF2023.CNSM_NA_TRN_CLTR_NA_NA_NA_TRLBTU.A</t>
  </si>
  <si>
    <t>Transportation Energy Use: Commercial Light Trucks: Motor Gasoline: Reference case</t>
  </si>
  <si>
    <t>AEO.2023.REF2023.CNSM_NA_TRN_CLTR_MGS_NA_NA_TRLBTU.A</t>
  </si>
  <si>
    <t>Transportation Energy Use: Commercial Light Trucks: E85: Reference case</t>
  </si>
  <si>
    <t>AEO.2023.REF2023.CNSM_NA_TRN_CLTR_E85_NA_NA_TRLBTU.A</t>
  </si>
  <si>
    <t>Transportation Energy Use: Commercial Light Trucks: Distillate Fuel Oil: Reference case</t>
  </si>
  <si>
    <t>AEO.2023.REF2023.CNSM_NA_TRN_CLTR_DFO_NA_NA_TRLBTU.A</t>
  </si>
  <si>
    <t>Transportation Energy Use: Commercial Light Trucks: Propane: Reference case</t>
  </si>
  <si>
    <t>AEO.2023.REF2023.CNSM_NA_TRN_CLTR_PROP_NA_NA_TRLBTU.A</t>
  </si>
  <si>
    <t>Transportation Energy Use: Commercial Light Trucks: Natural Gas: Reference case</t>
  </si>
  <si>
    <t>AEO.2023.REF2023.CNSM_NA_TRN_CLTR_NG_NA_NA_TRLBTU.A</t>
  </si>
  <si>
    <t>Transportation Energy Use: Commercial Light Trucks: Electricity: Reference case</t>
  </si>
  <si>
    <t>AEO.2023.REF2023.CNSM_NA_TRN_CLTR_ELC_NA_NA_TRLBTU.A</t>
  </si>
  <si>
    <t>Transportation Energy Use: Commercial Light Trucks: Hydrogen: Reference case</t>
  </si>
  <si>
    <t>AEO.2023.REF2023.CNSM_NA_TRN_CLTR_HDG_NA_NA_TRLBTU.A</t>
  </si>
  <si>
    <t>Transportation Energy Use: Freight Trucks: Total: Reference case</t>
  </si>
  <si>
    <t>AEO.2023.REF2023.CNSM_NA_TRN_FRTT_NA_NA_NA_TRLBTU.A</t>
  </si>
  <si>
    <t>Transportation Energy Use: Freight Trucks: Motor Gasoline: Reference case</t>
  </si>
  <si>
    <t>AEO.2023.REF2023.CNSM_NA_TRN_FRTT_MGS_NA_NA_TRLBTU.A</t>
  </si>
  <si>
    <t>Transportation Energy Use: Freight Trucks: Distillate Fuel Oil: Reference case</t>
  </si>
  <si>
    <t>AEO.2023.REF2023.CNSM_NA_TRN_FRTT_DFO_NA_NA_TRLBTU.A</t>
  </si>
  <si>
    <t>Transportation Energy Use: Freight Trucks: Natural Gas: Reference case</t>
  </si>
  <si>
    <t>AEO.2023.REF2023.CNSM_NA_TRN_FRTT_NG_NA_NA_TRLBTU.A</t>
  </si>
  <si>
    <t>Transportation Energy Use: Freight Trucks: Propane: Reference case</t>
  </si>
  <si>
    <t>AEO.2023.REF2023.CNSM_NA_TRN_FRTT_LPG_NA_NA_TRLBTU.A</t>
  </si>
  <si>
    <t>Transportation Energy Use: Freight Trucks: E85: Reference case</t>
  </si>
  <si>
    <t>AEO.2023.REF2023.CNSM_NA_TRN_FRTT_E85_NA_NA_TRLBTU.A</t>
  </si>
  <si>
    <t>Transportation Energy Use: Freight Trucks: Electricity: Reference case</t>
  </si>
  <si>
    <t>AEO.2023.REF2023.CNSM_NA_TRN_FRTT_ELC_NA_NA_TRLBTU.A</t>
  </si>
  <si>
    <t>Transportation Energy Use: Freight Trucks: Hydrogen: Reference case</t>
  </si>
  <si>
    <t>AEO.2023.REF2023.CNSM_NA_TRN_FRTT_HDG_NA_NA_TRLBTU.A</t>
  </si>
  <si>
    <t>Transportation Energy Use: Freight Rail: Total: Reference case</t>
  </si>
  <si>
    <t>AEO.2023.REF2023.CNSM_NA_TRN_FRAIL_NA_NA_NA_TRLBTU.A</t>
  </si>
  <si>
    <t>Transportation Energy Use: Freight Rail: Distillate Fuel Oil: Reference case</t>
  </si>
  <si>
    <t>AEO.2023.REF2023.CNSM_NA_TRN_FRAIL_DFO_NA_NA_TRLBTU.A</t>
  </si>
  <si>
    <t>Transportation Energy Use: Freight Rail: Residual Fuel Oil: Reference case</t>
  </si>
  <si>
    <t>AEO.2023.REF2023.CNSM_NA_TRN_FRAIL_RFO_NA_NA_TRLBTU.A</t>
  </si>
  <si>
    <t>Transportation Energy Use: Freight Rail: CNG: Reference case</t>
  </si>
  <si>
    <t>AEO.2023.REF2023.CNSM_NA_TRN_FRAIL_CNG_NA_NA_TRLBTU.A</t>
  </si>
  <si>
    <t>Transportation Energy Use: Freight Rail: LNG: Reference case</t>
  </si>
  <si>
    <t>AEO.2023.REF2023.CNSM_NA_TRN_FRAIL_LNG_NA_NA_TRLBTU.A</t>
  </si>
  <si>
    <t>Transportation Energy Use: Domestic Shipping: Total: Reference case</t>
  </si>
  <si>
    <t>AEO.2023.REF2023.CNSM_NA_TRN_DMT_NA_NA_NA_TRLBTU.A</t>
  </si>
  <si>
    <t>Transportation Energy Use: Domestic Shipping: Distillate Fuel Oil: Reference case</t>
  </si>
  <si>
    <t>AEO.2023.REF2023.CNSM_NA_TRN_DMT_DFO_NA_NA_TRLBTU.A</t>
  </si>
  <si>
    <t>Transportation Energy Use: Domestic Shipping: Residual Oil: Reference case</t>
  </si>
  <si>
    <t>AEO.2023.REF2023.CNSM_NA_TRN_DMT_RFO_NA_NA_TRLBTU.A</t>
  </si>
  <si>
    <t>Transportation Energy Use: Domestic Shipping: CNG: Reference case</t>
  </si>
  <si>
    <t>AEO.2023.REF2023.CNSM_NA_TRN_DMT_CNG_NA_NA_TRLBTU.A</t>
  </si>
  <si>
    <t>Transportation Energy Use: Domestic Shipping: LNG: Reference case</t>
  </si>
  <si>
    <t>AEO.2023.REF2023.CNSM_NA_TRN_DMT_LNG_NA_NA_TRLBTU.A</t>
  </si>
  <si>
    <t>Transportation Energy Use: International Shipping: Total: Reference case</t>
  </si>
  <si>
    <t>AEO.2023.REF2023.CNSM_NA_TRN_INTS_NA_NA_NA_TRLBTU.A</t>
  </si>
  <si>
    <t>Transportation Energy Use: International Shipping: Distillate Fuel Oil: Reference case</t>
  </si>
  <si>
    <t>AEO.2023.REF2023.CNSM_NA_TRN_INTS_DFO_NA_NA_TRLBTU.A</t>
  </si>
  <si>
    <t>Transportation Energy Use: International Shipping: Residual Oil: Reference case</t>
  </si>
  <si>
    <t>AEO.2023.REF2023.CNSM_NA_TRN_INTS_RFO_NA_NA_TRLBTU.A</t>
  </si>
  <si>
    <t>Transportation Energy Use: International Shipping: CNG: Reference case</t>
  </si>
  <si>
    <t>AEO.2023.REF2023.CNSM_NA_TRN_INTS_CNG_NA_NA_TRLBTU.A</t>
  </si>
  <si>
    <t>Transportation Energy Use: International Shipping: LNG: Reference case</t>
  </si>
  <si>
    <t>AEO.2023.REF2023.CNSM_NA_TRN_INTS_LNG_NA_NA_TRLBTU.A</t>
  </si>
  <si>
    <t>Transportation Energy Use: Air: Total: Reference case</t>
  </si>
  <si>
    <t>AEO.2023.REF2023.CNSM_NA_TRN_AIR_NA_NA_NA_TRLBTU.A</t>
  </si>
  <si>
    <t>Transportation Energy Use: Air: Jet Fuel: Reference case</t>
  </si>
  <si>
    <t>AEO.2023.REF2023.CNSM_NA_TRN_AIR_JFL_NA_NA_TRLBTU.A</t>
  </si>
  <si>
    <t>Transportation Energy Use: Air: Aviation Gasoline: Reference case</t>
  </si>
  <si>
    <t>AEO.2023.REF2023.CNSM_NA_TRN_AIR_AVGA_NA_NA_TRLBTU.A</t>
  </si>
  <si>
    <t>Transportation Energy Use: Military: Total: Reference case</t>
  </si>
  <si>
    <t>AEO.2023.REF2023.CNSM_NA_TRN_MILT_NA_NA_NA_TRLBTU.A</t>
  </si>
  <si>
    <t>Transportation Energy Use: Military: Jet Fuel: Reference case</t>
  </si>
  <si>
    <t>AEO.2023.REF2023.CNSM_NA_TRN_MILT_JFL_NA_NA_TRLBTU.A</t>
  </si>
  <si>
    <t>Transportation Energy Use: Military: Residual Fuel Oil: Reference case</t>
  </si>
  <si>
    <t>AEO.2023.REF2023.CNSM_NA_TRN_MILT_RFO_NA_NA_TRLBTU.A</t>
  </si>
  <si>
    <t>Transportation Energy Use: Military: Distillate Fuel Oil: Reference case</t>
  </si>
  <si>
    <t>AEO.2023.REF2023.CNSM_NA_TRN_MILT_DFO_NA_NA_TRLBTU.A</t>
  </si>
  <si>
    <t>Transportation Energy Use: Bus: Reference case</t>
  </si>
  <si>
    <t>AEO.2023.REF2023.CNSM_NA_TRN_BUS_NA_NA_NA_TRLBTU.A</t>
  </si>
  <si>
    <t>Transportation Energy Use: Bus: Transit Bus: Reference case</t>
  </si>
  <si>
    <t>AEO.2023.REF2023.CNSM_NA_TRN_TBUS_NA_NA_NA_TRLBTU.A</t>
  </si>
  <si>
    <t>Transportation Energy Use: Bus: Transit Bus: Motor Gasoline: Reference case</t>
  </si>
  <si>
    <t>AEO.2023.REF2023.CNSM_NA_TRN_TBUS_MGS_NA_NA_TRLBTU.A</t>
  </si>
  <si>
    <t>Transportation Energy Use: Bus: Transit Bus: E85: Reference case</t>
  </si>
  <si>
    <t>AEO.2023.REF2023.CNSM_NA_TRN_TBUS_E85_NA_NA_TRLBTU.A</t>
  </si>
  <si>
    <t>Transportation Energy Use: Bus: Transit Bus: Distillate Fuel Oil: Reference case</t>
  </si>
  <si>
    <t>AEO.2023.REF2023.CNSM_NA_TRN_TBUS_DFO_NA_NA_TRLBTU.A</t>
  </si>
  <si>
    <t>Transportation Energy Use: Bus: Transit Bus: Natural Gas: Reference case</t>
  </si>
  <si>
    <t>AEO.2023.REF2023.CNSM_NA_TRN_TBUS_NG_NA_NA_TRLBTU.A</t>
  </si>
  <si>
    <t>Transportation Energy Use: Bus: Transit Bus: Propane: Reference case</t>
  </si>
  <si>
    <t>AEO.2023.REF2023.CNSM_NA_TRN_TBUS_LPG_NA_NA_TRLBTU.A</t>
  </si>
  <si>
    <t>Transportation Energy Use: Bus: Transit Bus: Electricity: Reference case</t>
  </si>
  <si>
    <t>AEO.2023.REF2023.CNSM_NA_TRN_TBUS_ELC_NA_NA_TRLBTU.A</t>
  </si>
  <si>
    <t>Transportation Energy Use: Bus: Transit Bus: Hydrogen: Reference case</t>
  </si>
  <si>
    <t>AEO.2023.REF2023.CNSM_NA_TRN_TBUS_HDG_NA_NA_TRLBTU.A</t>
  </si>
  <si>
    <t>Transportation Energy Use: Bus: Intercity Bus: Reference case</t>
  </si>
  <si>
    <t>AEO.2023.REF2023.CNSM_NA_TRN_IBUS_NA_NA_NA_TRLBTU.A</t>
  </si>
  <si>
    <t>Transportation Energy Use: Bus: Intercity Bus: Motor Gasoline: Reference case</t>
  </si>
  <si>
    <t>AEO.2023.REF2023.CNSM_NA_TRN_IBUS_MGS_NA_NA_TRLBTU.A</t>
  </si>
  <si>
    <t>Transportation Energy Use: Bus: Intercity Bus: E85: Reference case</t>
  </si>
  <si>
    <t>AEO.2023.REF2023.CNSM_NA_TRN_IBUS_E85_NA_NA_TRLBTU.A</t>
  </si>
  <si>
    <t>Transportation Energy Use: Bus: Intercity Bus: Distillate Fuel Oil: Reference case</t>
  </si>
  <si>
    <t>AEO.2023.REF2023.CNSM_NA_TRN_IBUS_DFO_NA_NA_TRLBTU.A</t>
  </si>
  <si>
    <t>Transportation Energy Use: Bus: Intercity Bus: Natural Gas: Reference case</t>
  </si>
  <si>
    <t>AEO.2023.REF2023.CNSM_NA_TRN_IBUS_NG_NA_NA_TRLBTU.A</t>
  </si>
  <si>
    <t>Transportation Energy Use: Bus: Intercity Bus: Propane: Reference case</t>
  </si>
  <si>
    <t>AEO.2023.REF2023.CNSM_NA_TRN_IBUS_LPG_NA_NA_TRLBTU.A</t>
  </si>
  <si>
    <t>Transportation Energy Use: Bus: Intercity Bus: Electricity: Reference case</t>
  </si>
  <si>
    <t>AEO.2023.REF2023.CNSM_NA_TRN_IBUS_ELC_NA_NA_TRLBTU.A</t>
  </si>
  <si>
    <t>Transportation Energy Use: Bus: Intercity Bus: Hydrogen: Reference case</t>
  </si>
  <si>
    <t>AEO.2023.REF2023.CNSM_NA_TRN_IBUS_HDG_NA_NA_TRLBTU.A</t>
  </si>
  <si>
    <t>Transportation Energy Use: Bus: School Bus: Reference case</t>
  </si>
  <si>
    <t>AEO.2023.REF2023.CNSM_NA_TRN_LSRC_NA_NA_NA_TRLBTU.A</t>
  </si>
  <si>
    <t>Transportation Energy Use: Bus: School Bus: Motor Gasoline: Reference case</t>
  </si>
  <si>
    <t>AEO.2023.REF2023.CNSM_NA_TRN_LSRC_MGS_NA_NA_TRLBTU.A</t>
  </si>
  <si>
    <t>Transportation Energy Use: Bus: School Bus: E85: Reference case</t>
  </si>
  <si>
    <t>AEO.2023.REF2023.CNSM_NA_TRN_LSRC_E85_NA_NA_TRLBTU.A</t>
  </si>
  <si>
    <t>Transportation Energy Use: Bus: School Bus: Distillate Fuel Oil: Reference case</t>
  </si>
  <si>
    <t>AEO.2023.REF2023.CNSM_NA_TRN_LSRC_DFO_NA_NA_TRLBTU.A</t>
  </si>
  <si>
    <t>Transportation Energy Use: Bus: School Bus: Natural Gas: Reference case</t>
  </si>
  <si>
    <t>AEO.2023.REF2023.CNSM_NA_TRN_LSRC_NG_NA_NA_TRLBTU.A</t>
  </si>
  <si>
    <t>Transportation Energy Use: Bus: School Bus: Propane: Reference case</t>
  </si>
  <si>
    <t>AEO.2023.REF2023.CNSM_NA_TRN_LSRC_LPG_NA_NA_TRLBTU.A</t>
  </si>
  <si>
    <t>Transportation Energy Use: Bus: School Bus: Electricity: Reference case</t>
  </si>
  <si>
    <t>AEO.2023.REF2023.CNSM_NA_TRN_LSRC_ELC_NA_NA_TRLBTU.A</t>
  </si>
  <si>
    <t>Transportation Energy Use: Bus: School Bus: Hydrogen: Reference case</t>
  </si>
  <si>
    <t>AEO.2023.REF2023.CNSM_NA_TRN_LSRC_HDG_NA_NA_TRLBTU.A</t>
  </si>
  <si>
    <t>Transportation Energy Use: Rail: Reference case</t>
  </si>
  <si>
    <t>AEO.2023.REF2023.CNSM_NA_TRN_RAIL_NA_NA_NA_TRLBTU.A</t>
  </si>
  <si>
    <t>Transportation Energy Use: Rail: Intercity Rail: Reference case</t>
  </si>
  <si>
    <t>AEO.2023.REF2023.CNSM_NA_TRN_IRAIL_NA_NA_NA_TRLBTU.A</t>
  </si>
  <si>
    <t>Transportation Energy Use: Rail: Intercity Rail: Electricity: Reference case</t>
  </si>
  <si>
    <t>AEO.2023.REF2023.CNSM_NA_TRN_IRAIL_ELC_NA_NA_TRLBTU.A</t>
  </si>
  <si>
    <t>Transportation Energy Use: Rail: Intercity Rail: Diesel: Reference case</t>
  </si>
  <si>
    <t>AEO.2023.REF2023.CNSM_NA_TRN_IRAIL_DSL_NA_NA_TRLBTU.A</t>
  </si>
  <si>
    <t>Transportation Energy Use: Rail: Intercity Rail: CNG: Reference case</t>
  </si>
  <si>
    <t>AEO.2023.REF2023.CNSM_NA_TRN_IRAIL_CNG_NA_NA_TRLBTU.A</t>
  </si>
  <si>
    <t>Transportation Energy Use: Rail: Intercity Rail: LNG: Reference case</t>
  </si>
  <si>
    <t>AEO.2023.REF2023.CNSM_NA_TRN_IRAIL_LNG_NA_NA_TRLBTU.A</t>
  </si>
  <si>
    <t>Transportation Energy Use: Rail: Transit Rail: Reference case</t>
  </si>
  <si>
    <t>AEO.2023.REF2023.CNSM_NA_TRN_TRAIL_NA_NA_NA_TRLBTU.A</t>
  </si>
  <si>
    <t>Transportation Energy Use: Rail: Transit Rail: Electricity: Reference case</t>
  </si>
  <si>
    <t>AEO.2023.REF2023.CNSM_NA_TRN_TRAIL_ELC_NA_NA_TRLBTU.A</t>
  </si>
  <si>
    <t>Transportation Energy Use: Rail: Commuter Rail: Reference case</t>
  </si>
  <si>
    <t>AEO.2023.REF2023.CNSM_NA_TRN_CRAIL_NA_NA_NA_TRLBTU.A</t>
  </si>
  <si>
    <t>Transportation Energy Use: Rail: Commuter Rail: Electricity: Reference case</t>
  </si>
  <si>
    <t>AEO.2023.REF2023.CNSM_NA_TRN_CRAIL_ELC_NA_NA_TRLBTU.A</t>
  </si>
  <si>
    <t>Transportation Energy Use: Rail: Commuter Rail: Diesel: Reference case</t>
  </si>
  <si>
    <t>AEO.2023.REF2023.CNSM_NA_TRN_CRAIL_DSL_NA_NA_TRLBTU.A</t>
  </si>
  <si>
    <t>Transportation Energy Use: Rail: Commuter Rail: CNG: Reference case</t>
  </si>
  <si>
    <t>AEO.2023.REF2023.CNSM_NA_TRN_CRAIL_CNG_NA_NA_TRLBTU.A</t>
  </si>
  <si>
    <t>Transportation Energy Use: Rail: Commuter Rail: LNG: Reference case</t>
  </si>
  <si>
    <t>AEO.2023.REF2023.CNSM_NA_TRN_CRAIL_LNG_NA_NA_TRLBTU.A</t>
  </si>
  <si>
    <t>Transportation Energy Use: Recreation Boats: Reference case</t>
  </si>
  <si>
    <t>AEO.2023.REF2023.CNSM_NA_TRN_RCB_NA_NA_NA_TRLBTU.A</t>
  </si>
  <si>
    <t>Transportation Energy Use: Recreation Boats: Motor Gasoline: Reference case</t>
  </si>
  <si>
    <t>AEO.2023.REF2023.CNSM_NA_TRN_RCB_GSL_NA_NA_TRLBTU.A</t>
  </si>
  <si>
    <t>Transportation Energy Use: Recreation Boats: Distillate Fuel Oil: Reference case</t>
  </si>
  <si>
    <t>AEO.2023.REF2023.CNSM_NA_TRN_RCB_DFO_NA_NA_TRLBTU.A</t>
  </si>
  <si>
    <t>Transportation Energy Use: Lubricants: Reference case</t>
  </si>
  <si>
    <t>AEO.2023.REF2023.CNSM_NA_TRN_NA_LBC_NA_NA_TRLBTU.A</t>
  </si>
  <si>
    <t>Transportation Energy Use: Pipeline Fuel Natural Gas: Reference case</t>
  </si>
  <si>
    <t>AEO.2023.REF2023.CNSM_NA_TRN_PIPL_NG_NA_NA_TRLBTU.A</t>
  </si>
  <si>
    <t>Natural Gas Liquefaction for Export</t>
  </si>
  <si>
    <t>Transportation Energy Use: Natural Gas for Liquefaction: Reference case</t>
  </si>
  <si>
    <t>AEO.2023.REF2023.CNSM_NA_NMFG_LQFCT_DELE_NA_NA_TRLBTU.A</t>
  </si>
  <si>
    <t>Transportation Energy Use: Total Use: Reference case</t>
  </si>
  <si>
    <t>AEO.2023.REF2023.CNSM_NA_TRN_NA_NA_NA_NA_TRLBTU.A</t>
  </si>
  <si>
    <t>Table 3-13:  CO2 Emissions from Fossil Fuel Combustion in Transportation End-Use Sector (MMT CO2 Eq.)</t>
  </si>
  <si>
    <t>Fuel/Vehicle Type</t>
  </si>
  <si>
    <t>Gasolinea</t>
  </si>
  <si>
    <t>Passenger Cars</t>
  </si>
  <si>
    <t>Light-Duty Trucks</t>
  </si>
  <si>
    <t>Medium- and Heavy-Duty Trucksb</t>
  </si>
  <si>
    <t>Buses</t>
  </si>
  <si>
    <t>Motorcycles</t>
  </si>
  <si>
    <t>Recreational Boatsc</t>
  </si>
  <si>
    <t>Distillate Fuel Oil (Diesel)a</t>
  </si>
  <si>
    <t>Rail</t>
  </si>
  <si>
    <t>Ships and Non-Recreational Boatsd</t>
  </si>
  <si>
    <t>International Bunker Fuelse</t>
  </si>
  <si>
    <t>Commercial Aircraftf</t>
  </si>
  <si>
    <t>Military Aircraft</t>
  </si>
  <si>
    <t>General Aviation Aircraft</t>
  </si>
  <si>
    <t xml:space="preserve">International Bunker Fuels from Commercial Aviation </t>
  </si>
  <si>
    <t>Ships and Non-Recreational Boatse</t>
  </si>
  <si>
    <t>Natural Gas i</t>
  </si>
  <si>
    <t>Medium- and Heavy-Duty Trucks</t>
  </si>
  <si>
    <t>Pipelineg</t>
  </si>
  <si>
    <t>LPG i</t>
  </si>
  <si>
    <t>Electricityk</t>
  </si>
  <si>
    <t>Total e,j</t>
  </si>
  <si>
    <t>International Bunker Fuels</t>
  </si>
  <si>
    <t>Biofuels-Ethanolh</t>
  </si>
  <si>
    <t>Biofuels-Biodieselh</t>
  </si>
  <si>
    <t>+ Does not exceed 0.05 MMT CO2 Eq.</t>
  </si>
  <si>
    <t xml:space="preserve">a On-road fuel consumption data from FHWA Table MF-21 and MF-27 were used to determine total on-road use of motor gasoline and diesel fuel (FHWA 1996 through 2023). Ratios developed from MOVES3 output are used to apportion FHWA fuel consumption data to vehicle type and fuel type (see Annex 3.2 for information about the MOVES model). </t>
  </si>
  <si>
    <t>b Includes medium- and heavy-duty trucks over 8,500 lbs.</t>
  </si>
  <si>
    <t>c In 2014, EPA incorporated the NONROAD2008 model into the MOVES model framework. The current Inventory uses the Nonroad component of MOVES3 for years 1999 through 2021. See Annex 3.2 for information about the MOVES model.</t>
  </si>
  <si>
    <t>d Note that large year over year fluctuations in emission estimates partially reflect nature of data collection for these sources.</t>
  </si>
  <si>
    <t>e Official estimates exclude emissions from the combustion of both aviation and marine international bunker fuels; however, estimates of international bunker fuel-related emissions are presented for informational purposes.</t>
  </si>
  <si>
    <t xml:space="preserve">f Commercial aircraft, as modeled in FAA’s Aviation Environmental Design Tool (AEDT), consists of passenger aircraft, cargo, and other chartered flights. </t>
  </si>
  <si>
    <t>g Pipelines reflect CO2 emissions from natural gas-powered pipelines transporting natural gas.</t>
  </si>
  <si>
    <t>h Ethanol and biodiesel estimates are presented for informational purposes only. See Section 3.10 of this chapter and the estimates in Land Use, Land-Use Change, and Forestry (see Chapter 6), in line with IPCC methodological guidance and UNFCCC reporting obligations, for more information on ethanol and biodiesel.</t>
  </si>
  <si>
    <t>i Transportation sector natural gas and LPG consumption are based on data from EIA (2021b). Prior to the 1990 to 2015 Inventory, data from DOE TEDB were used to estimate each vehicle class’s share of the total natural gas and LPG consumption. Since TEDB does not include estimates for natural gas use by medium and heavy-duty trucks or LPG use by passenger cars, EIA Alternative Fuel Vehicle Data (Browning 2017) is now used to determine each vehicle class’s share of the total natural gas and LPG consumption. These changes were first incorporated in the 1990 to 2016 Inventory and apply to the 1990 to 2021 time period.</t>
  </si>
  <si>
    <t>j Includes emissions from rail electricity.</t>
  </si>
  <si>
    <t xml:space="preserve">k Electricity consumption by passenger cars, light-duty trucks (SUVs), and buses is based on plug-in electric vehicle sales and engine efficiency data, as outlined in Browning (2018a). In prior Inventory years, CO2 emissions from electric vehicle charging were allocated to the residential and commercial sectors. They are now allocated to the transportation sector. These changes apply to the 2010 through 2021 time period. </t>
  </si>
  <si>
    <t>Notes: This table does not include emissions from non-transportation mobile sources, such as agricultural equipment and construction/mining equipment; it also does not include emissions associated with electricity consumption by pipelines or lubricants used in transportation. In addition, this table does not include CO2 emissions from U.S. Territories, since these are covered in a separate chapter of the Inventory. Totals may not sum due to independent rounding.</t>
  </si>
  <si>
    <t>Diesel, shipping</t>
  </si>
  <si>
    <t>Residual fuel oil, shipping</t>
  </si>
  <si>
    <t>MMT</t>
  </si>
  <si>
    <t>BTU</t>
  </si>
  <si>
    <t>Pollutant Emissions Intensity (g pollutant/BTU)</t>
  </si>
  <si>
    <t>CO2</t>
  </si>
  <si>
    <t>VOC</t>
  </si>
  <si>
    <t>CO</t>
  </si>
  <si>
    <t>NOx</t>
  </si>
  <si>
    <t>PM10</t>
  </si>
  <si>
    <t>PM25</t>
  </si>
  <si>
    <t>SOx</t>
  </si>
  <si>
    <t>BC</t>
  </si>
  <si>
    <t>OC</t>
  </si>
  <si>
    <t>CH4</t>
  </si>
  <si>
    <t>N2O</t>
  </si>
  <si>
    <t>F gases</t>
  </si>
  <si>
    <t>https://www.eia.gov/environment/emissions/co2_vol_mass.php</t>
  </si>
  <si>
    <t>Carbon Dioxide Emissions Coefficients by Fuel</t>
  </si>
  <si>
    <r>
      <t>Pounds CO</t>
    </r>
    <r>
      <rPr>
        <b/>
        <vertAlign val="subscript"/>
        <sz val="9"/>
        <color rgb="FF333333"/>
        <rFont val="Inherit"/>
      </rPr>
      <t>2</t>
    </r>
  </si>
  <si>
    <r>
      <t>Kilograms CO</t>
    </r>
    <r>
      <rPr>
        <b/>
        <vertAlign val="subscript"/>
        <sz val="9"/>
        <color rgb="FF333333"/>
        <rFont val="Inherit"/>
      </rPr>
      <t>2</t>
    </r>
  </si>
  <si>
    <r>
      <t>Carbon Dioxide (CO</t>
    </r>
    <r>
      <rPr>
        <b/>
        <vertAlign val="subscript"/>
        <sz val="9"/>
        <color rgb="FF333333"/>
        <rFont val="Inherit"/>
      </rPr>
      <t>2</t>
    </r>
    <r>
      <rPr>
        <b/>
        <sz val="9"/>
        <color rgb="FF333333"/>
        <rFont val="Inherit"/>
      </rPr>
      <t>) Factors:</t>
    </r>
  </si>
  <si>
    <t>Per Unit of Volume or Mass</t>
  </si>
  <si>
    <t>Per Million Btu</t>
  </si>
  <si>
    <t>For homes and businesses</t>
  </si>
  <si>
    <t>12.68 gallon</t>
  </si>
  <si>
    <t>5.75 gallon</t>
  </si>
  <si>
    <t>Diesel and Home Heating Fuel (Distillate Fuel Oil)</t>
  </si>
  <si>
    <t>22.45 gallon</t>
  </si>
  <si>
    <t>10.19 gallon</t>
  </si>
  <si>
    <t>Kerosene</t>
  </si>
  <si>
    <t>21.78 gallon</t>
  </si>
  <si>
    <t>9.88 gallon</t>
  </si>
  <si>
    <t>Coal (All types)</t>
  </si>
  <si>
    <t>3,890.78 short ton</t>
  </si>
  <si>
    <t>1,764.83 short ton</t>
  </si>
  <si>
    <t>Natural Gas</t>
  </si>
  <si>
    <t>120.96 thousand cubic feet</t>
  </si>
  <si>
    <t>54.87 thousand cubic feet</t>
  </si>
  <si>
    <r>
      <t>Finished Motor Gasoline</t>
    </r>
    <r>
      <rPr>
        <vertAlign val="superscript"/>
        <sz val="9"/>
        <color rgb="FF333333"/>
        <rFont val="Inherit"/>
      </rPr>
      <t>a</t>
    </r>
  </si>
  <si>
    <t>17.86 gallon</t>
  </si>
  <si>
    <t>8.10 gallon</t>
  </si>
  <si>
    <t>19.37 gallon</t>
  </si>
  <si>
    <t>8.78 gallon</t>
  </si>
  <si>
    <t>Residual Heating Fuel (Businesses only)</t>
  </si>
  <si>
    <t>24.78 gallon</t>
  </si>
  <si>
    <t>11.24 gallon</t>
  </si>
  <si>
    <t>Other transportation fuels</t>
  </si>
  <si>
    <t>21.50 gallon</t>
  </si>
  <si>
    <t>9.75 gallon</t>
  </si>
  <si>
    <t>Aviation Gas</t>
  </si>
  <si>
    <t>18.32 gallon</t>
  </si>
  <si>
    <t>8.31 gallon</t>
  </si>
  <si>
    <t>Industrial fuels and others not listed above</t>
  </si>
  <si>
    <t>Petroleum coke</t>
  </si>
  <si>
    <t>32.88 gallon</t>
  </si>
  <si>
    <t>14.920 gallon</t>
  </si>
  <si>
    <t>Nonfuel uses</t>
  </si>
  <si>
    <t>Asphalt and Road Oil</t>
  </si>
  <si>
    <t>26.25 gallon</t>
  </si>
  <si>
    <t>11.91 gallon</t>
  </si>
  <si>
    <t>23.58 gallon</t>
  </si>
  <si>
    <t>10.70 gallon</t>
  </si>
  <si>
    <t>Naphthas for Petrochemical Feedstock Use</t>
  </si>
  <si>
    <t>18.74 gallon</t>
  </si>
  <si>
    <t>8.50 gallon</t>
  </si>
  <si>
    <t>Other Oils for Petrochemical Feedstock Use</t>
  </si>
  <si>
    <t>22.61 gallon</t>
  </si>
  <si>
    <t>10.26 gallon</t>
  </si>
  <si>
    <t>Special Naphthas (solvents)</t>
  </si>
  <si>
    <t>19.94 gallon</t>
  </si>
  <si>
    <t>9.04 gallon</t>
  </si>
  <si>
    <t>Waxes</t>
  </si>
  <si>
    <t>21.10 gallon</t>
  </si>
  <si>
    <t>9.57 gallon</t>
  </si>
  <si>
    <t>Coals by type</t>
  </si>
  <si>
    <t>Anthracite</t>
  </si>
  <si>
    <t>5,735.68 short ton</t>
  </si>
  <si>
    <t>2,601.67 short ton</t>
  </si>
  <si>
    <t>Bituminous</t>
  </si>
  <si>
    <t>4,783.52 short ton</t>
  </si>
  <si>
    <t>2,169.77 short ton</t>
  </si>
  <si>
    <t>Subbituminous</t>
  </si>
  <si>
    <t>3,745.22 short ton</t>
  </si>
  <si>
    <t>1,698.80 short ton</t>
  </si>
  <si>
    <t>Lignite</t>
  </si>
  <si>
    <t>2,809.83 short ton</t>
  </si>
  <si>
    <t>1,274.52 short ton</t>
  </si>
  <si>
    <t>Coke</t>
  </si>
  <si>
    <t>7,183.46 short ton</t>
  </si>
  <si>
    <t>3,258.37 short ton</t>
  </si>
  <si>
    <t>Other fuels</t>
  </si>
  <si>
    <t>Geothermal (steam)</t>
  </si>
  <si>
    <t>NA</t>
  </si>
  <si>
    <t>Geothermal (binary cycle)</t>
  </si>
  <si>
    <r>
      <t>Municipal solid waste</t>
    </r>
    <r>
      <rPr>
        <vertAlign val="superscript"/>
        <sz val="9"/>
        <color rgb="FF333333"/>
        <rFont val="Inherit"/>
      </rPr>
      <t>b,c</t>
    </r>
  </si>
  <si>
    <t>1,562.78 short ton</t>
  </si>
  <si>
    <t>708.87 short ton</t>
  </si>
  <si>
    <r>
      <t>Tire-derived fuel</t>
    </r>
    <r>
      <rPr>
        <vertAlign val="superscript"/>
        <sz val="9"/>
        <color rgb="FF333333"/>
        <rFont val="Inherit"/>
      </rPr>
      <t>b</t>
    </r>
  </si>
  <si>
    <t>5,306.87 short ton</t>
  </si>
  <si>
    <t>2,407.16 short ton</t>
  </si>
  <si>
    <r>
      <t>Waste oil</t>
    </r>
    <r>
      <rPr>
        <vertAlign val="superscript"/>
        <sz val="9"/>
        <color rgb="FF333333"/>
        <rFont val="Inherit"/>
      </rPr>
      <t>b</t>
    </r>
  </si>
  <si>
    <t>22.51 gallon</t>
  </si>
  <si>
    <t>10.21 gallon</t>
  </si>
  <si>
    <t>ref2019.d111618a</t>
  </si>
  <si>
    <t>Annual Energy Outlook 2019</t>
  </si>
  <si>
    <t>ref2019</t>
  </si>
  <si>
    <t>Reference case</t>
  </si>
  <si>
    <t>d111618a</t>
  </si>
  <si>
    <t xml:space="preserve"> January 2019</t>
  </si>
  <si>
    <t>CNV000</t>
  </si>
  <si>
    <t>73. Conversion Factors</t>
  </si>
  <si>
    <t>(from physical units to million Btu)</t>
  </si>
  <si>
    <t/>
  </si>
  <si>
    <t>2018-</t>
  </si>
  <si>
    <t>Petroleum and Other Liquids</t>
  </si>
  <si>
    <t>(million Btu per barrel)</t>
  </si>
  <si>
    <t>CNV000:aa_AsphaltandRoa</t>
  </si>
  <si>
    <t xml:space="preserve">  Asphalt and Road Oil</t>
  </si>
  <si>
    <t>CNV000:aa_AviationGasol</t>
  </si>
  <si>
    <t>CNV000:ea_Biodiesel</t>
  </si>
  <si>
    <t xml:space="preserve">  Biodiesel</t>
  </si>
  <si>
    <t>CNV000:aa_Distillate</t>
  </si>
  <si>
    <t xml:space="preserve">  Distillate Fuel Oil</t>
  </si>
  <si>
    <t>CNV000:aa_Residential</t>
  </si>
  <si>
    <t xml:space="preserve">    Residential</t>
  </si>
  <si>
    <t>CNV000:aa_Commercial</t>
  </si>
  <si>
    <t xml:space="preserve">    Commercial</t>
  </si>
  <si>
    <t>CNV000:aa_Transportatio</t>
  </si>
  <si>
    <t xml:space="preserve">    Transportation</t>
  </si>
  <si>
    <t>CNV000:aa_Industrial</t>
  </si>
  <si>
    <t xml:space="preserve">    Industrial</t>
  </si>
  <si>
    <t>CNV000:aa_ElectricPower</t>
  </si>
  <si>
    <t xml:space="preserve">    Electric Power</t>
  </si>
  <si>
    <t>CNV000:aa_TotalDistilla</t>
  </si>
  <si>
    <t xml:space="preserve">      Total Distillate</t>
  </si>
  <si>
    <t>CNV000:aa_DistLowSulf</t>
  </si>
  <si>
    <t xml:space="preserve">  Distillate Fuel Oil - Low Sulfur Diesel</t>
  </si>
  <si>
    <t>CNV000:aa_DistUltraLow</t>
  </si>
  <si>
    <t xml:space="preserve">  Distillate Fuel Oil - Ultra Low Sulfur Diesel</t>
  </si>
  <si>
    <t>CNV000:aa_Ethanol</t>
  </si>
  <si>
    <t xml:space="preserve">  Ethanol including denaturant</t>
  </si>
  <si>
    <t>CNV000:aa_E85</t>
  </si>
  <si>
    <t>CNV000:aa_JetFuel-Keros</t>
  </si>
  <si>
    <t xml:space="preserve">  Jet Fuel - Kerosene</t>
  </si>
  <si>
    <t>CNV000:aa_Lubricants</t>
  </si>
  <si>
    <t xml:space="preserve">  Lubricants</t>
  </si>
  <si>
    <t>CNV000:aa_MotorGasoline</t>
  </si>
  <si>
    <t xml:space="preserve">  Motor Gasoline Average</t>
  </si>
  <si>
    <t>CNV000:aa_TradMotorGas</t>
  </si>
  <si>
    <t xml:space="preserve">     Conventional Motor Gasoline</t>
  </si>
  <si>
    <t>CNV000:aa_ReforMotorGas</t>
  </si>
  <si>
    <t xml:space="preserve">     Reformulated Motor Gasoline</t>
  </si>
  <si>
    <t>CNV000:convert_cbob</t>
  </si>
  <si>
    <t xml:space="preserve">     Conventional before Blending</t>
  </si>
  <si>
    <t>CNV000:convert_rbob</t>
  </si>
  <si>
    <t xml:space="preserve">     Reformulated before Blending</t>
  </si>
  <si>
    <t>CNV000:aa_PentanesPlus</t>
  </si>
  <si>
    <t xml:space="preserve">  Natural Gasoline</t>
  </si>
  <si>
    <t>CNV000:aa_OtherPetroleu</t>
  </si>
  <si>
    <t xml:space="preserve">  Other Petroleum</t>
  </si>
  <si>
    <t>CNV000:aa_PetrochemFeed</t>
  </si>
  <si>
    <t xml:space="preserve">  Petrochemical Feedstocks</t>
  </si>
  <si>
    <t>CNV000:aa_PetroleumCoke</t>
  </si>
  <si>
    <t xml:space="preserve">  Petroleum Coke</t>
  </si>
  <si>
    <t>CNV000:aa_ResidualFuel</t>
  </si>
  <si>
    <t xml:space="preserve">  Residual Fuel</t>
  </si>
  <si>
    <t>CNV000:aa_StillGas</t>
  </si>
  <si>
    <t xml:space="preserve">  Still Gas</t>
  </si>
  <si>
    <t>CNV000:aa_UnfinishOilIm</t>
  </si>
  <si>
    <t xml:space="preserve">  Unfinished Oils</t>
  </si>
  <si>
    <t>CNV000:aa_TotalPetroleu</t>
  </si>
  <si>
    <t xml:space="preserve">  Total Petroleum Consumption</t>
  </si>
  <si>
    <t>CNV000:aa_Imports</t>
  </si>
  <si>
    <t xml:space="preserve">  Petroleum Product Imports</t>
  </si>
  <si>
    <t>CNV000:aa_Exports</t>
  </si>
  <si>
    <t xml:space="preserve">  Petroleum Product Exports</t>
  </si>
  <si>
    <t xml:space="preserve">  Crude Oil</t>
  </si>
  <si>
    <t>CNV000:aa_CrudeOilProdu</t>
  </si>
  <si>
    <t xml:space="preserve">    Production</t>
  </si>
  <si>
    <t>CNV000:aa_CrudeOilImpor</t>
  </si>
  <si>
    <t xml:space="preserve">    Imports</t>
  </si>
  <si>
    <t>CNV000:aa_CrudeOilExpor</t>
  </si>
  <si>
    <t xml:space="preserve">    Exports</t>
  </si>
  <si>
    <t>CNV000:aa_NaturalGasPla</t>
  </si>
  <si>
    <t xml:space="preserve">  Natural Gas Plant Liquids</t>
  </si>
  <si>
    <t>Natural Gas (thousand Btu per cubic foot)</t>
  </si>
  <si>
    <t>CNV000:ba_Consumption</t>
  </si>
  <si>
    <t xml:space="preserve">  Consumption</t>
  </si>
  <si>
    <t>CNV000:ba_Utility</t>
  </si>
  <si>
    <t xml:space="preserve">    Electric Power Sector 2/</t>
  </si>
  <si>
    <t>CNV000:ba_Nonutility</t>
  </si>
  <si>
    <t xml:space="preserve">    End-use Sector</t>
  </si>
  <si>
    <t>CNV000:ba_Production</t>
  </si>
  <si>
    <t xml:space="preserve">  Production</t>
  </si>
  <si>
    <t>CNV000:ba_Imports</t>
  </si>
  <si>
    <t xml:space="preserve">  Imports</t>
  </si>
  <si>
    <t>CNV000:ba_Exports</t>
  </si>
  <si>
    <t xml:space="preserve">  Exports</t>
  </si>
  <si>
    <t>CNV000:ba_CompressedNat</t>
  </si>
  <si>
    <t>Coal (million Btu per short ton)</t>
  </si>
  <si>
    <t>CNV000:ca_Production</t>
  </si>
  <si>
    <t>CNV000:ca_EastoftheMiss</t>
  </si>
  <si>
    <t xml:space="preserve">    East of the Mississippi</t>
  </si>
  <si>
    <t>CNV000:ca_WestoftheMiss</t>
  </si>
  <si>
    <t xml:space="preserve">    West of the Mississippi</t>
  </si>
  <si>
    <t>CNV000:ca_Consumption</t>
  </si>
  <si>
    <t>CNV000:ca_Residentialan</t>
  </si>
  <si>
    <t xml:space="preserve">    Commercial and Institutional</t>
  </si>
  <si>
    <t>CNV000:ca_Industrial</t>
  </si>
  <si>
    <t xml:space="preserve">    Industrial 3/</t>
  </si>
  <si>
    <t>CNV000:ca_Coking</t>
  </si>
  <si>
    <t xml:space="preserve">    Coking</t>
  </si>
  <si>
    <t>CNV000:ca_ElectricPower</t>
  </si>
  <si>
    <t xml:space="preserve">    Electric Power 2/</t>
  </si>
  <si>
    <t>CNV000:ca_Imports</t>
  </si>
  <si>
    <t>CNV000:ca_Exports</t>
  </si>
  <si>
    <t>CNV000:ca_CoaltoLiquids</t>
  </si>
  <si>
    <t xml:space="preserve">  Coal to Liquids</t>
  </si>
  <si>
    <t>CNV000:ca_WasteCoal</t>
  </si>
  <si>
    <t xml:space="preserve">  Waste Coal</t>
  </si>
  <si>
    <t>CNV000:da_Electricity</t>
  </si>
  <si>
    <t>Electricity (Btu per kilowatthour)</t>
  </si>
  <si>
    <t xml:space="preserve">   1/ Includes ethane, natural gasoline, and refinery olefins.</t>
  </si>
  <si>
    <t xml:space="preserve">   2/ Includes all electricity-only and combined heat and power plants that have a regulatory status.</t>
  </si>
  <si>
    <t xml:space="preserve">   3/ Includes combined heat and power plants that have a non-regulatory status, and small on-site generating systems.</t>
  </si>
  <si>
    <t xml:space="preserve">   - - = Not applicable.</t>
  </si>
  <si>
    <t xml:space="preserve">   Note:  Data for 2017 are model results and may differ from official EIA data reports.</t>
  </si>
  <si>
    <t xml:space="preserve">   Sources:  2017 based on:  U.S. Energy Information Administration (EIA), Monthly Energy Review, September 2018.</t>
  </si>
  <si>
    <t>2018:  EIA, Short-Term Energy Outlook, October 2018 and EIA, AEO2019 National Energy Modeling System run ref2019.d111618a.</t>
  </si>
  <si>
    <t>Projections:  EIA, AEO2019 National Energy Modeling System run ref2019.d111618a.</t>
  </si>
  <si>
    <t>BTU per barrel, finished gasoline</t>
  </si>
  <si>
    <t>BTU per barrel, motor gasoline before blending</t>
  </si>
  <si>
    <t>BTUs per barrel from motor gasoline</t>
  </si>
  <si>
    <t>Percentage of BTUs per barrel from motor gasoline</t>
  </si>
  <si>
    <t>Percentage of BTUs per barrel from ethanol</t>
  </si>
  <si>
    <t>AEO.2025.ALTTRNP.CNSM_NA_COMM_NA_WND_NA_NA_QBTU.A</t>
  </si>
  <si>
    <t>Renewable Energy: Nonmarketed Selected Use: Commercial: Wind: Alternative Transportation</t>
  </si>
  <si>
    <t>AEO.2025.ALTTRNP.CNSM_NA_COMM_NA_SLR_PHTVL_NA_QBTU.A</t>
  </si>
  <si>
    <t>Renewable Energy: Nonmarketed Selected Use: Commercial: Solar Photovoltaic: Alternative Transportation</t>
  </si>
  <si>
    <t>AEO.2025.ALTTRNP.CNSM_NA_COMM_NA_SLR_THERM_NA_QBTU.A</t>
  </si>
  <si>
    <t>Renewable Energy: Nonmarketed Selected Use: Commercial: Solar Thermal: Alternative Transportation</t>
  </si>
  <si>
    <t>AEO.2025.ALTTRNP.CNSM_NA_COMM_NA_NA_NA_NA_QBTU.A</t>
  </si>
  <si>
    <t>Renewable Energy: Nonmarketed Selected Use: Commercial: Alternative Transportation</t>
  </si>
  <si>
    <t>AEO.2025.ALTTRNP.CNSM_NA_RESD_NA_WND_NA_NA_QBTU.A</t>
  </si>
  <si>
    <t>Renewable Energy: Nonmarketed Selected Use: Residential: Wind: Alternative Transportation</t>
  </si>
  <si>
    <t>AEO.2025.ALTTRNP.CNSM_NA_RESD_NA_SLR_PHTVL_NA_QBTU.A</t>
  </si>
  <si>
    <t>Renewable Energy: Nonmarketed Selected Use: Residential: Solar Photovoltaic: Alternative Transportation</t>
  </si>
  <si>
    <t>AEO.2025.ALTTRNP.CNSM_NA_RESD_NA_SHW_NA_NA_QBTU.A</t>
  </si>
  <si>
    <t>Renewable Energy: Nonmarketed Selected Use: Residential: Solar Hot Water Heating: Alternative Transportation</t>
  </si>
  <si>
    <t>AEO.2025.ALTTRNP.CNSM_NA_RESD_NA_NA_NA_NA_QBTU.A</t>
  </si>
  <si>
    <t>Renewable Energy: Nonmarketed Selected Use: Residential: Alternative Transportation</t>
  </si>
  <si>
    <t>AEO.2025.ALTTRNP.SUP_NA_NA_NA_ETH_NA_NA_QBTU.A</t>
  </si>
  <si>
    <t>Renewable Energy: Total U.S. Supply of Ethanol: Alternative Transportation</t>
  </si>
  <si>
    <t>AEO.2025.ALTTRNP.SUP_NETIMP_NA_NA_ETH_NA_NA_QBTU.A</t>
  </si>
  <si>
    <t>Renewable Energy: Sources of Ethanol: Net Imports: Alternative Transportation</t>
  </si>
  <si>
    <t>AEO.2025.ALTTRNP.SUP_PRD_FCE_NA_ETH_NA_NA_QBTU.A</t>
  </si>
  <si>
    <t>Renewable Energy: Sources of Ethanol: From Cellulose: Alternative Transportation</t>
  </si>
  <si>
    <t>AEO.2025.ALTTRNP.SUP_PRD_FCO_NA_ETH_NA_NA_QBTU.A</t>
  </si>
  <si>
    <t>Renewable Energy: Sources of Ethanol: From Corn: Alternative Transportation</t>
  </si>
  <si>
    <t>AEO.2025.ALTTRNP.CNSM_NA_NA_NA_NA_NA_NA_QBTU.A</t>
  </si>
  <si>
    <t>Renewable Energy: Total Marketed Renewable Energy Use: Alternative Transportation</t>
  </si>
  <si>
    <t>AEO.2025.ALTTRNP.CNSM_NA_ELEP_NA_WND_NA_NA_QBTU.A</t>
  </si>
  <si>
    <t>Renewable Energy: Marketed Use: Electric Power: Wind: Alternative Transportation</t>
  </si>
  <si>
    <t>AEO.2025.ALTTRNP.CNSM_NA_ELEP_NA_SLR_PHTVL_NA_QBTU.A</t>
  </si>
  <si>
    <t>Renewable Energy: Marketed Use: Electric Power: Solar Photovoltaic: Alternative Transportation</t>
  </si>
  <si>
    <t>AEO.2025.ALTTRNP.CNSM_NA_ELEP_NA_SLR_THERM_NA_QBTU.A</t>
  </si>
  <si>
    <t>Renewable Energy: Marketed Use: Electric Power: Solar Thermal: Alternative Transportation</t>
  </si>
  <si>
    <t>AEO.2025.ALTTRNP.CNSM_NA_ELEP_NA_CFR_NA_NA_QBTU.A</t>
  </si>
  <si>
    <t>Renewable Energy: Marketed Use: Electric Power: Biomass: Cofiring: Alternative Transportation</t>
  </si>
  <si>
    <t>AEO.2025.ALTTRNP.CNSM_NA_ELEP_NA_DPE_NA_NA_QBTU.A</t>
  </si>
  <si>
    <t>Renewable Energy: Marketed Use: Electric Power: Biomass: Dedicated Plants: Alternative Transportation</t>
  </si>
  <si>
    <t>AEO.2025.ALTTRNP.CNSM_NA_ELEP_NA_BMS_NA_NA_QBTU.A</t>
  </si>
  <si>
    <t>Renewable Energy: Marketed Use: Electric Power: Biomass: Alternative Transportation</t>
  </si>
  <si>
    <t>AEO.2025.ALTTRNP.CNSM_NA_ELEP_NA_BGM_NA_NA_QBTU.A</t>
  </si>
  <si>
    <t>Renewable Energy: Marketed Use: Electric Power: Biogenic Municipal Waste: Alternative Transportation</t>
  </si>
  <si>
    <t>AEO.2025.ALTTRNP.CNSM_NA_ELEP_NA_GEOTHM_NA_NA_QBTU.A</t>
  </si>
  <si>
    <t>Renewable Energy: Marketed Use: Electric Power: Geothermal: Alternative Transportation</t>
  </si>
  <si>
    <t>AEO.2025.ALTTRNP.CNSM_NA_ELEP_NA_HYD_CNV_NA_QBTU.A</t>
  </si>
  <si>
    <t>Renewable Energy: Marketed Use: Electric Power: Hydropower: Alternative Transportation</t>
  </si>
  <si>
    <t>AEO.2025.ALTTRNP.CNSM_NA_ELEP_NA_NA_NA_NA_QBTU.A</t>
  </si>
  <si>
    <t>Renewable Energy: Marketed Use: Electric Power: Alternative Transportation</t>
  </si>
  <si>
    <t>AEO.2025.ALTTRNP.CNSM_NA_TRN_NA_GLQ_NA_NA_QBTU.A</t>
  </si>
  <si>
    <t>Renewable Energy: Marketed Use: Transportation: Green Liquids: Alternative Transportation</t>
  </si>
  <si>
    <t>AEO.2025.ALTTRNP.CNSM_NA_TRN_NA_LFB_NA_NA_QBTU.A</t>
  </si>
  <si>
    <t>Renewable Energy: Marketed Use: Transportation: Liquids from Biomass: Alternative Transportation</t>
  </si>
  <si>
    <t>AEO.2025.ALTTRNP.CNSM_NA_TRN_NA_BIOB_NA_NA_NA.A</t>
  </si>
  <si>
    <t>Renewable Energy: Marketed Use: Transportation: Biobutanol: Alternative Transportation</t>
  </si>
  <si>
    <t>AEO.2025.ALTTRNP.CNSM_NA_TRN_NA_BUD_NA_NA_QBTU.A</t>
  </si>
  <si>
    <t>Renewable Energy: Marketed Use: Transportation: Biodiesel used in Distillate Blending: Alternative Transportation</t>
  </si>
  <si>
    <t>AEO.2025.ALTTRNP.CNSM_NA_TRN_NA_EBL_NA_NA_QBTU.A</t>
  </si>
  <si>
    <t>Renewable Energy: Marketed Use: Transportation: Ethanol used in Gasoline Blending: Alternative Transportation</t>
  </si>
  <si>
    <t>AEO.2025.ALTTRNP.CNSM_NA_TRN_NA_ETE_NA_NA_QBTU.A</t>
  </si>
  <si>
    <t>Renewable Energy: Marketed Use: Transportation: Ethanol used in E85: Alternative Transportation</t>
  </si>
  <si>
    <t>AEO.2025.ALTTRNP.CNSM_NA_TRN_NA_NA_NA_NA_QBTU.A</t>
  </si>
  <si>
    <t>Renewable Energy: Marketed Use: Transportation: Alternative Transportation</t>
  </si>
  <si>
    <t>AEO.2025.ALTTRNP.CNSM_NA_IDAL_NA_BFH_NA_NA_QBTU.A</t>
  </si>
  <si>
    <t>Renewable Energy: Marketed Use: Industrial: Biofuels Heat and Coproducts: Alternative Transportation</t>
  </si>
  <si>
    <t>AEO.2025.ALTTRNP.CNSM_NA_IDAL_NA_BMS_NA_NA_QBTU.A</t>
  </si>
  <si>
    <t>Renewable Energy: Marketed Use: Industrial: Biomass: Alternative Transportation</t>
  </si>
  <si>
    <t>AEO.2025.ALTTRNP.CNSM_NA_IDAL_NA_MUNWST_NA_NA_QBTU.A</t>
  </si>
  <si>
    <t>Renewable Energy: Marketed Use: Industrial: Municipal Waste: Alternative Transportation</t>
  </si>
  <si>
    <t>AEO.2025.ALTTRNP.CNSM_NA_IDAL_NA_HYD_CNV_NA_QBTU.A</t>
  </si>
  <si>
    <t>Renewable Energy: Marketed Use: Industrial: Hydropower: Alternative Transportation</t>
  </si>
  <si>
    <t>AEO.2025.ALTTRNP.CNSM_NA_IDAL_NA_MRE_NA_NA_QBTU.A</t>
  </si>
  <si>
    <t>Renewable Energy: Marketed Use: Industrial: Alternative Transportation</t>
  </si>
  <si>
    <t>AEO.2025.ALTTRNP.CNSM_NA_COMM_NA_BMS_NA_NA_QBTU.A</t>
  </si>
  <si>
    <t>Renewable Energy: Marketed Use: Commercial: Biomass: Alternative Transportation</t>
  </si>
  <si>
    <t>AEO.2025.ALTTRNP.CNSM_NA_RESD_NA_BMS_NA_NA_QBTU.A</t>
  </si>
  <si>
    <t>Renewable Energy: Marketed Use: Residential: Wood: Alternative Transportation</t>
  </si>
  <si>
    <t>Growth (2024-2050)</t>
  </si>
  <si>
    <t>Fri Dec 05 2025 14:44:26 GMT-0800 (Pacific Standard Time)</t>
  </si>
  <si>
    <t>https://www.eia.gov/outlooks/aeo/data/browser/#/?id=24-AEO2025&amp;cases=alttrnp&amp;sourcekey=0</t>
  </si>
  <si>
    <t>AEO.2025.ALTTRNP.CNSM_NA_TRN_NA_NA_NA_NA_TRLBTU.A</t>
  </si>
  <si>
    <t>Transportation Energy Use: Total Use: Alternative Transportation</t>
  </si>
  <si>
    <t>AEO.2025.ALTTRNP.CNSM_NA_NMFG_LQFCT_DELE_NA_NA_TRLBTU.A</t>
  </si>
  <si>
    <t>Transportation Energy Use: Natural Gas for Liquefaction: Alternative Transportation</t>
  </si>
  <si>
    <t>AEO.2025.ALTTRNP.CNSM_NA_TRN_PIPL_NG_NA_NA_TRLBTU.A</t>
  </si>
  <si>
    <t>Transportation Energy Use: Pipeline Fuel Natural Gas: Alternative Transportation</t>
  </si>
  <si>
    <t>AEO.2025.ALTTRNP.CNSM_NA_TRN_NA_LBC_NA_NA_TRLBTU.A</t>
  </si>
  <si>
    <t>Transportation Energy Use: Lubricants: Alternative Transportation</t>
  </si>
  <si>
    <t>AEO.2025.ALTTRNP.CNSM_NA_TRN_RCB_DFO_NA_NA_TRLBTU.A</t>
  </si>
  <si>
    <t>Transportation Energy Use: Recreation Boats: Distillate Fuel Oil: Alternative Transportation</t>
  </si>
  <si>
    <t>AEO.2025.ALTTRNP.CNSM_NA_TRN_RCB_GSL_NA_NA_TRLBTU.A</t>
  </si>
  <si>
    <t>Transportation Energy Use: Recreation Boats: Motor Gasoline: Alternative Transportation</t>
  </si>
  <si>
    <t>AEO.2025.ALTTRNP.CNSM_NA_TRN_RCB_NA_NA_NA_TRLBTU.A</t>
  </si>
  <si>
    <t>Transportation Energy Use: Recreation Boats: Alternative Transportation</t>
  </si>
  <si>
    <t>AEO.2025.ALTTRNP.CNSM_NA_TRN_CRAIL_LNG_NA_NA_TRLBTU.A</t>
  </si>
  <si>
    <t>Transportation Energy Use: Rail: Commuter Rail: LNG: Alternative Transportation</t>
  </si>
  <si>
    <t>AEO.2025.ALTTRNP.CNSM_NA_TRN_CRAIL_CNG_NA_NA_TRLBTU.A</t>
  </si>
  <si>
    <t>Transportation Energy Use: Rail: Commuter Rail: CNG: Alternative Transportation</t>
  </si>
  <si>
    <t>AEO.2025.ALTTRNP.CNSM_NA_TRN_CRAIL_DSL_NA_NA_TRLBTU.A</t>
  </si>
  <si>
    <t>Transportation Energy Use: Rail: Commuter Rail: Diesel: Alternative Transportation</t>
  </si>
  <si>
    <t>AEO.2025.ALTTRNP.CNSM_NA_TRN_CRAIL_ELC_NA_NA_TRLBTU.A</t>
  </si>
  <si>
    <t>Transportation Energy Use: Rail: Commuter Rail: Electricity: Alternative Transportation</t>
  </si>
  <si>
    <t>AEO.2025.ALTTRNP.CNSM_NA_TRN_CRAIL_NA_NA_NA_TRLBTU.A</t>
  </si>
  <si>
    <t>Transportation Energy Use: Rail: Commuter Rail: Alternative Transportation</t>
  </si>
  <si>
    <t>AEO.2025.ALTTRNP.CNSM_NA_TRN_TRAIL_ELC_NA_NA_TRLBTU.A</t>
  </si>
  <si>
    <t>Transportation Energy Use: Rail: Transit Rail: Electricity: Alternative Transportation</t>
  </si>
  <si>
    <t>AEO.2025.ALTTRNP.CNSM_NA_TRN_TRAIL_NA_NA_NA_TRLBTU.A</t>
  </si>
  <si>
    <t>Transportation Energy Use: Rail: Transit Rail: Alternative Transportation</t>
  </si>
  <si>
    <t>AEO.2025.ALTTRNP.CNSM_NA_TRN_IRAIL_LNG_NA_NA_TRLBTU.A</t>
  </si>
  <si>
    <t>Transportation Energy Use: Rail: Intercity Rail: LNG: Alternative Transportation</t>
  </si>
  <si>
    <t>AEO.2025.ALTTRNP.CNSM_NA_TRN_IRAIL_CNG_NA_NA_TRLBTU.A</t>
  </si>
  <si>
    <t>Transportation Energy Use: Rail: Intercity Rail: CNG: Alternative Transportation</t>
  </si>
  <si>
    <t>AEO.2025.ALTTRNP.CNSM_NA_TRN_IRAIL_DSL_NA_NA_TRLBTU.A</t>
  </si>
  <si>
    <t>Transportation Energy Use: Rail: Intercity Rail: Diesel: Alternative Transportation</t>
  </si>
  <si>
    <t>AEO.2025.ALTTRNP.CNSM_NA_TRN_IRAIL_ELC_NA_NA_TRLBTU.A</t>
  </si>
  <si>
    <t>Transportation Energy Use: Rail: Intercity Rail: Electricity: Alternative Transportation</t>
  </si>
  <si>
    <t>AEO.2025.ALTTRNP.CNSM_NA_TRN_IRAIL_NA_NA_NA_TRLBTU.A</t>
  </si>
  <si>
    <t>Transportation Energy Use: Rail: Intercity Rail: Alternative Transportation</t>
  </si>
  <si>
    <t>AEO.2025.ALTTRNP.CNSM_NA_TRN_RAIL_NA_NA_NA_TRLBTU.A</t>
  </si>
  <si>
    <t>Transportation Energy Use: Rail: Alternative Transportation</t>
  </si>
  <si>
    <t>AEO.2025.ALTTRNP.CNSM_NA_TRN_LSRC_HDG_NA_NA_TRLBTU.A</t>
  </si>
  <si>
    <t>Transportation Energy Use: Bus: School Bus: Hydrogen: Alternative Transportation</t>
  </si>
  <si>
    <t>AEO.2025.ALTTRNP.CNSM_NA_TRN_LSRC_ELC_NA_NA_TRLBTU.A</t>
  </si>
  <si>
    <t>Transportation Energy Use: Bus: School Bus: Electricity: Alternative Transportation</t>
  </si>
  <si>
    <t>AEO.2025.ALTTRNP.CNSM_NA_TRN_LSRC_LPG_NA_NA_TRLBTU.A</t>
  </si>
  <si>
    <t>Transportation Energy Use: Bus: School Bus: Propane: Alternative Transportation</t>
  </si>
  <si>
    <t>AEO.2025.ALTTRNP.CNSM_NA_TRN_LSRC_NG_NA_NA_TRLBTU.A</t>
  </si>
  <si>
    <t>Transportation Energy Use: Bus: School Bus: Natural Gas: Alternative Transportation</t>
  </si>
  <si>
    <t>AEO.2025.ALTTRNP.CNSM_NA_TRN_LSRC_DFO_NA_NA_TRLBTU.A</t>
  </si>
  <si>
    <t>Transportation Energy Use: Bus: School Bus: Distillate Fuel Oil: Alternative Transportation</t>
  </si>
  <si>
    <t>AEO.2025.ALTTRNP.CNSM_NA_TRN_LSRC_E85_NA_NA_TRLBTU.A</t>
  </si>
  <si>
    <t>Transportation Energy Use: Bus: School Bus: E85: Alternative Transportation</t>
  </si>
  <si>
    <t>AEO.2025.ALTTRNP.CNSM_NA_TRN_LSRC_MGS_NA_NA_TRLBTU.A</t>
  </si>
  <si>
    <t>Transportation Energy Use: Bus: School Bus: Motor Gasoline: Alternative Transportation</t>
  </si>
  <si>
    <t>AEO.2025.ALTTRNP.CNSM_NA_TRN_LSRC_NA_NA_NA_TRLBTU.A</t>
  </si>
  <si>
    <t>Transportation Energy Use: Bus: School Bus: Alternative Transportation</t>
  </si>
  <si>
    <t>AEO.2025.ALTTRNP.CNSM_NA_TRN_IBUS_HDG_NA_NA_TRLBTU.A</t>
  </si>
  <si>
    <t>Transportation Energy Use: Bus: Intercity Bus: Hydrogen: Alternative Transportation</t>
  </si>
  <si>
    <t>AEO.2025.ALTTRNP.CNSM_NA_TRN_IBUS_ELC_NA_NA_TRLBTU.A</t>
  </si>
  <si>
    <t>Transportation Energy Use: Bus: Intercity Bus: Electricity: Alternative Transportation</t>
  </si>
  <si>
    <t>AEO.2025.ALTTRNP.CNSM_NA_TRN_IBUS_LPG_NA_NA_TRLBTU.A</t>
  </si>
  <si>
    <t>Transportation Energy Use: Bus: Intercity Bus: Propane: Alternative Transportation</t>
  </si>
  <si>
    <t>AEO.2025.ALTTRNP.CNSM_NA_TRN_IBUS_NG_NA_NA_TRLBTU.A</t>
  </si>
  <si>
    <t>Transportation Energy Use: Bus: Intercity Bus: Natural Gas: Alternative Transportation</t>
  </si>
  <si>
    <t>AEO.2025.ALTTRNP.CNSM_NA_TRN_IBUS_DFO_NA_NA_TRLBTU.A</t>
  </si>
  <si>
    <t>Transportation Energy Use: Bus: Intercity Bus: Distillate Fuel Oil: Alternative Transportation</t>
  </si>
  <si>
    <t>AEO.2025.ALTTRNP.CNSM_NA_TRN_IBUS_E85_NA_NA_TRLBTU.A</t>
  </si>
  <si>
    <t>Transportation Energy Use: Bus: Intercity Bus: E85: Alternative Transportation</t>
  </si>
  <si>
    <t>AEO.2025.ALTTRNP.CNSM_NA_TRN_IBUS_MGS_NA_NA_TRLBTU.A</t>
  </si>
  <si>
    <t>Transportation Energy Use: Bus: Intercity Bus: Motor Gasoline: Alternative Transportation</t>
  </si>
  <si>
    <t>AEO.2025.ALTTRNP.CNSM_NA_TRN_IBUS_NA_NA_NA_TRLBTU.A</t>
  </si>
  <si>
    <t>Transportation Energy Use: Bus: Intercity Bus: Alternative Transportation</t>
  </si>
  <si>
    <t>AEO.2025.ALTTRNP.CNSM_NA_TRN_TBUS_HDG_NA_NA_TRLBTU.A</t>
  </si>
  <si>
    <t>Transportation Energy Use: Bus: Transit Bus: Hydrogen: Alternative Transportation</t>
  </si>
  <si>
    <t>AEO.2025.ALTTRNP.CNSM_NA_TRN_TBUS_ELC_NA_NA_TRLBTU.A</t>
  </si>
  <si>
    <t>Transportation Energy Use: Bus: Transit Bus: Electricity: Alternative Transportation</t>
  </si>
  <si>
    <t>AEO.2025.ALTTRNP.CNSM_NA_TRN_TBUS_LPG_NA_NA_TRLBTU.A</t>
  </si>
  <si>
    <t>Transportation Energy Use: Bus: Transit Bus: Propane: Alternative Transportation</t>
  </si>
  <si>
    <t>AEO.2025.ALTTRNP.CNSM_NA_TRN_TBUS_NG_NA_NA_TRLBTU.A</t>
  </si>
  <si>
    <t>Transportation Energy Use: Bus: Transit Bus: Natural Gas: Alternative Transportation</t>
  </si>
  <si>
    <t>AEO.2025.ALTTRNP.CNSM_NA_TRN_TBUS_DFO_NA_NA_TRLBTU.A</t>
  </si>
  <si>
    <t>Transportation Energy Use: Bus: Transit Bus: Distillate Fuel Oil: Alternative Transportation</t>
  </si>
  <si>
    <t>AEO.2025.ALTTRNP.CNSM_NA_TRN_TBUS_E85_NA_NA_TRLBTU.A</t>
  </si>
  <si>
    <t>Transportation Energy Use: Bus: Transit Bus: E85: Alternative Transportation</t>
  </si>
  <si>
    <t>AEO.2025.ALTTRNP.CNSM_NA_TRN_TBUS_MGS_NA_NA_TRLBTU.A</t>
  </si>
  <si>
    <t>Transportation Energy Use: Bus: Transit Bus: Motor Gasoline: Alternative Transportation</t>
  </si>
  <si>
    <t>AEO.2025.ALTTRNP.CNSM_NA_TRN_TBUS_NA_NA_NA_TRLBTU.A</t>
  </si>
  <si>
    <t>Transportation Energy Use: Bus: Transit Bus: Alternative Transportation</t>
  </si>
  <si>
    <t>AEO.2025.ALTTRNP.CNSM_NA_TRN_BUS_NA_NA_NA_TRLBTU.A</t>
  </si>
  <si>
    <t>Transportation Energy Use: Bus: Alternative Transportation</t>
  </si>
  <si>
    <t>AEO.2025.ALTTRNP.CNSM_NA_TRN_MILT_DFO_NA_NA_TRLBTU.A</t>
  </si>
  <si>
    <t>Transportation Energy Use: Military: Distillate Fuel Oil: Alternative Transportation</t>
  </si>
  <si>
    <t>AEO.2025.ALTTRNP.CNSM_NA_TRN_MILT_RFO_NA_NA_TRLBTU.A</t>
  </si>
  <si>
    <t>Transportation Energy Use: Military: Residual Fuel Oil: Alternative Transportation</t>
  </si>
  <si>
    <t>AEO.2025.ALTTRNP.CNSM_NA_TRN_MILT_JFL_NA_NA_TRLBTU.A</t>
  </si>
  <si>
    <t>Transportation Energy Use: Military: Jet Fuel: Alternative Transportation</t>
  </si>
  <si>
    <t>AEO.2025.ALTTRNP.CNSM_NA_TRN_MILT_NA_NA_NA_TRLBTU.A</t>
  </si>
  <si>
    <t>Transportation Energy Use: Military: Total: Alternative Transportation</t>
  </si>
  <si>
    <t>AEO.2025.ALTTRNP.CNSM_NA_TRN_AIR_AVGA_NA_NA_TRLBTU.A</t>
  </si>
  <si>
    <t>Transportation Energy Use: Air: Aviation Gasoline: Alternative Transportation</t>
  </si>
  <si>
    <t>AEO.2025.ALTTRNP.CNSM_NA_TRN_AIR_JFL_NA_NA_TRLBTU.A</t>
  </si>
  <si>
    <t>Transportation Energy Use: Air: Jet Fuel: Alternative Transportation</t>
  </si>
  <si>
    <t>AEO.2025.ALTTRNP.CNSM_NA_TRN_AIR_NA_NA_NA_TRLBTU.A</t>
  </si>
  <si>
    <t>Transportation Energy Use: Air: Total: Alternative Transportation</t>
  </si>
  <si>
    <t>AEO.2025.ALTTRNP.CNSM_NA_TRN_INTS_LNG_NA_NA_TRLBTU.A</t>
  </si>
  <si>
    <t>Transportation Energy Use: International Shipping: LNG: Alternative Transportation</t>
  </si>
  <si>
    <t>AEO.2025.ALTTRNP.CNSM_NA_TRN_INTS_CNG_NA_NA_TRLBTU.A</t>
  </si>
  <si>
    <t>Transportation Energy Use: International Shipping: CNG: Alternative Transportation</t>
  </si>
  <si>
    <t>AEO.2025.ALTTRNP.CNSM_NA_TRN_INTS_RFO_NA_NA_TRLBTU.A</t>
  </si>
  <si>
    <t>Transportation Energy Use: International Shipping: Residual Oil: Alternative Transportation</t>
  </si>
  <si>
    <t>AEO.2025.ALTTRNP.CNSM_NA_TRN_INTS_DFO_NA_NA_TRLBTU.A</t>
  </si>
  <si>
    <t>Transportation Energy Use: International Shipping: Distillate Fuel Oil: Alternative Transportation</t>
  </si>
  <si>
    <t>AEO.2025.ALTTRNP.CNSM_NA_TRN_INTS_NA_NA_NA_TRLBTU.A</t>
  </si>
  <si>
    <t>Transportation Energy Use: International Shipping: Total: Alternative Transportation</t>
  </si>
  <si>
    <t>AEO.2025.ALTTRNP.CNSM_NA_TRN_DMT_LNG_NA_NA_TRLBTU.A</t>
  </si>
  <si>
    <t>Transportation Energy Use: Domestic Shipping: LNG: Alternative Transportation</t>
  </si>
  <si>
    <t>AEO.2025.ALTTRNP.CNSM_NA_TRN_DMT_CNG_NA_NA_TRLBTU.A</t>
  </si>
  <si>
    <t>Transportation Energy Use: Domestic Shipping: CNG: Alternative Transportation</t>
  </si>
  <si>
    <t>AEO.2025.ALTTRNP.CNSM_NA_TRN_DMT_RFO_NA_NA_TRLBTU.A</t>
  </si>
  <si>
    <t>Transportation Energy Use: Domestic Shipping: Residual Oil: Alternative Transportation</t>
  </si>
  <si>
    <t>AEO.2025.ALTTRNP.CNSM_NA_TRN_DMT_DFO_NA_NA_TRLBTU.A</t>
  </si>
  <si>
    <t>Transportation Energy Use: Domestic Shipping: Distillate Fuel Oil: Alternative Transportation</t>
  </si>
  <si>
    <t>AEO.2025.ALTTRNP.CNSM_NA_TRN_DMT_NA_NA_NA_TRLBTU.A</t>
  </si>
  <si>
    <t>Transportation Energy Use: Domestic Shipping: Total: Alternative Transportation</t>
  </si>
  <si>
    <t>AEO.2025.ALTTRNP.CNSM_NA_TRN_FRAIL_LNG_NA_NA_TRLBTU.A</t>
  </si>
  <si>
    <t>Transportation Energy Use: Freight Rail: LNG: Alternative Transportation</t>
  </si>
  <si>
    <t>AEO.2025.ALTTRNP.CNSM_NA_TRN_FRAIL_CNG_NA_NA_TRLBTU.A</t>
  </si>
  <si>
    <t>Transportation Energy Use: Freight Rail: CNG: Alternative Transportation</t>
  </si>
  <si>
    <t>AEO.2025.ALTTRNP.CNSM_NA_TRN_FRAIL_RFO_NA_NA_TRLBTU.A</t>
  </si>
  <si>
    <t>Transportation Energy Use: Freight Rail: Residual Fuel Oil: Alternative Transportation</t>
  </si>
  <si>
    <t>AEO.2025.ALTTRNP.CNSM_NA_TRN_FRAIL_DFO_NA_NA_TRLBTU.A</t>
  </si>
  <si>
    <t>Transportation Energy Use: Freight Rail: Distillate Fuel Oil: Alternative Transportation</t>
  </si>
  <si>
    <t>AEO.2025.ALTTRNP.CNSM_NA_TRN_FRAIL_NA_NA_NA_TRLBTU.A</t>
  </si>
  <si>
    <t>Transportation Energy Use: Freight Rail: Total: Alternative Transportation</t>
  </si>
  <si>
    <t>AEO.2025.ALTTRNP.CNSM_NA_TRN_FRTT_HDG_NA_NA_TRLBTU.A</t>
  </si>
  <si>
    <t>Transportation Energy Use: Freight Trucks: Hydrogen: Alternative Transportation</t>
  </si>
  <si>
    <t>AEO.2025.ALTTRNP.CNSM_NA_TRN_FRTT_ELC_NA_NA_TRLBTU.A</t>
  </si>
  <si>
    <t>Transportation Energy Use: Freight Trucks: Electricity: Alternative Transportation</t>
  </si>
  <si>
    <t>AEO.2025.ALTTRNP.CNSM_NA_TRN_FRTT_E85_NA_NA_TRLBTU.A</t>
  </si>
  <si>
    <t>Transportation Energy Use: Freight Trucks: E85: Alternative Transportation</t>
  </si>
  <si>
    <t>AEO.2025.ALTTRNP.CNSM_NA_TRN_FRTT_LPG_NA_NA_TRLBTU.A</t>
  </si>
  <si>
    <t>Transportation Energy Use: Freight Trucks: Propane: Alternative Transportation</t>
  </si>
  <si>
    <t>AEO.2025.ALTTRNP.CNSM_NA_TRN_FRTT_NG_NA_NA_TRLBTU.A</t>
  </si>
  <si>
    <t>Transportation Energy Use: Freight Trucks: Natural Gas: Alternative Transportation</t>
  </si>
  <si>
    <t>AEO.2025.ALTTRNP.CNSM_NA_TRN_FRTT_DFO_NA_NA_TRLBTU.A</t>
  </si>
  <si>
    <t>Transportation Energy Use: Freight Trucks: Distillate Fuel Oil: Alternative Transportation</t>
  </si>
  <si>
    <t>AEO.2025.ALTTRNP.CNSM_NA_TRN_FRTT_MGS_NA_NA_TRLBTU.A</t>
  </si>
  <si>
    <t>Transportation Energy Use: Freight Trucks: Motor Gasoline: Alternative Transportation</t>
  </si>
  <si>
    <t>AEO.2025.ALTTRNP.CNSM_NA_TRN_FRTT_NA_NA_NA_TRLBTU.A</t>
  </si>
  <si>
    <t>Transportation Energy Use: Freight Trucks: Total: Alternative Transportation</t>
  </si>
  <si>
    <t>AEO.2025.ALTTRNP.CNSM_NA_TRN_CLTR_HDG_NA_NA_TRLBTU.A</t>
  </si>
  <si>
    <t>Transportation Energy Use: Commercial Light Trucks: Hydrogen: Alternative Transportation</t>
  </si>
  <si>
    <t>AEO.2025.ALTTRNP.CNSM_NA_TRN_CLTR_ELC_NA_NA_TRLBTU.A</t>
  </si>
  <si>
    <t>Transportation Energy Use: Commercial Light Trucks: Electricity: Alternative Transportation</t>
  </si>
  <si>
    <t>AEO.2025.ALTTRNP.CNSM_NA_TRN_CLTR_NG_NA_NA_TRLBTU.A</t>
  </si>
  <si>
    <t>Transportation Energy Use: Commercial Light Trucks: Natural Gas: Alternative Transportation</t>
  </si>
  <si>
    <t>AEO.2025.ALTTRNP.CNSM_NA_TRN_CLTR_PROP_NA_NA_TRLBTU.A</t>
  </si>
  <si>
    <t>Transportation Energy Use: Commercial Light Trucks: Propane: Alternative Transportation</t>
  </si>
  <si>
    <t>AEO.2025.ALTTRNP.CNSM_NA_TRN_CLTR_DFO_NA_NA_TRLBTU.A</t>
  </si>
  <si>
    <t>Transportation Energy Use: Commercial Light Trucks: Distillate Fuel Oil: Alternative Transportation</t>
  </si>
  <si>
    <t>AEO.2025.ALTTRNP.CNSM_NA_TRN_CLTR_E85_NA_NA_TRLBTU.A</t>
  </si>
  <si>
    <t>Transportation Energy Use: Commercial Light Trucks: E85: Alternative Transportation</t>
  </si>
  <si>
    <t>AEO.2025.ALTTRNP.CNSM_NA_TRN_CLTR_MGS_NA_NA_TRLBTU.A</t>
  </si>
  <si>
    <t>Transportation Energy Use: Commercial Light Trucks: Motor Gasoline: Alternative Transportation</t>
  </si>
  <si>
    <t>AEO.2025.ALTTRNP.CNSM_NA_TRN_CLTR_NA_NA_NA_TRLBTU.A</t>
  </si>
  <si>
    <t>Transportation Energy Use: Commercial Light Trucks: Total: Alternative Transportation</t>
  </si>
  <si>
    <t>AEO.2025.ALTTRNP.CNSM_NA_TRN_LDTY_HDG_NA_NA_TRLBTU.A</t>
  </si>
  <si>
    <t>Transportation Energy Use: Light-Duty Vehicle: Hydrogen: Alternative Transportation</t>
  </si>
  <si>
    <t>AEO.2025.ALTTRNP.CNSM_NA_TRN_LDTY_ELC_NA_NA_TRLBTU.A</t>
  </si>
  <si>
    <t>Transportation Energy Use: Light-Duty Vehicle: Electricity: Alternative Transportation</t>
  </si>
  <si>
    <t>AEO.2025.ALTTRNP.CNSM_NA_TRN_LDTY_PROP_NA_NA_TRLBTU.A</t>
  </si>
  <si>
    <t>Transportation Energy Use: Light-Duty Vehicle: Propane: Alternative Transportation</t>
  </si>
  <si>
    <t>AEO.2025.ALTTRNP.CNSM_NA_TRN_LDTY_NG_NA_NA_TRLBTU.A</t>
  </si>
  <si>
    <t>Transportation Energy Use: Light-Duty Vehicle: Natural Gas: Alternative Transportation</t>
  </si>
  <si>
    <t>AEO.2025.ALTTRNP.CNSM_NA_TRN_LDTY_DFO_NA_NA_TRLBTU.A</t>
  </si>
  <si>
    <t>Transportation Energy Use: Light-Duty Vehicle: Distillate Fuel Oil: Alternative Transportation</t>
  </si>
  <si>
    <t>AEO.2025.ALTTRNP.CNSM_NA_TRN_LDTY_ETH_NA_NA_TRLBTU.A</t>
  </si>
  <si>
    <t>Transportation Energy Use: Light-Duty Vehicle: Ethanol: Alternative Transportation</t>
  </si>
  <si>
    <t>AEO.2025.ALTTRNP.CNSM_NA_TRN_LDTY_MGS_NA_NA_TRLBTU.A</t>
  </si>
  <si>
    <t>Transportation Energy Use: Light-Duty Vehicle: Motor Gasoline: Alternative Transportation</t>
  </si>
  <si>
    <t>AEO.2025.ALTTRNP.CNSM_NA_TRN_LDTY_NA_NA_NA_TRLBTU.A</t>
  </si>
  <si>
    <t>Transportation Energy Use: Light-Duty Vehicle: Total: Alternative Transportation</t>
  </si>
  <si>
    <t>Fri Dec 05 2025 14:49:10 GMT-0800 (Pacific Standard Time)</t>
  </si>
  <si>
    <t>https://www.eia.gov/outlooks/aeo/data/browser/#/?id=46-AEO2025&amp;cases=alttrnp&amp;sourcekey=0</t>
  </si>
  <si>
    <t>Table 36, Table 17</t>
  </si>
  <si>
    <t>U.S. Energy Information Administration</t>
  </si>
  <si>
    <t>https://www.eia.gov/outlooks/aeo/tables_side_xls.php</t>
  </si>
  <si>
    <t>https://www.eia.gov/outlooks/aeo/data/browser/#/?id=24-AEO2026&amp;cases=electrnp&amp;sourcekey=0</t>
  </si>
  <si>
    <t>Thu Apr 23 2026 14:59:47 GMT-0700 (Pacific Daylight Time)</t>
  </si>
  <si>
    <t>Growth (2025-2050)</t>
  </si>
  <si>
    <t>Renewable Energy: Marketed Use: Residential: Wood: Alternative Electricity and Transportation</t>
  </si>
  <si>
    <t>AEO.2026.ELECTRNP.CNSM_NA_RESD_NA_BMS_NA_NA_QBTU.A</t>
  </si>
  <si>
    <t>Renewable Energy: Marketed Use: Commercial: Biomass: Alternative Electricity and Transportation</t>
  </si>
  <si>
    <t>AEO.2026.ELECTRNP.CNSM_NA_COMM_NA_BMS_NA_NA_QBTU.A</t>
  </si>
  <si>
    <t>Renewable Energy: Marketed Use: Industrial: Alternative Electricity and Transportation</t>
  </si>
  <si>
    <t>AEO.2026.ELECTRNP.CNSM_NA_IDAL_NA_MRE_NA_NA_QBTU.A</t>
  </si>
  <si>
    <t>Renewable Energy: Marketed Use: Industrial: Hydropower: Alternative Electricity and Transportation</t>
  </si>
  <si>
    <t>AEO.2026.ELECTRNP.CNSM_NA_IDAL_NA_HYD_CNV_NA_QBTU.A</t>
  </si>
  <si>
    <t>Renewable Energy: Marketed Use: Industrial: Municipal Waste: Alternative Electricity and Transportation</t>
  </si>
  <si>
    <t>AEO.2026.ELECTRNP.CNSM_NA_IDAL_NA_MUNWST_NA_NA_QBTU.A</t>
  </si>
  <si>
    <t>Renewable Energy: Marketed Use: Industrial: Biomass: Alternative Electricity and Transportation</t>
  </si>
  <si>
    <t>AEO.2026.ELECTRNP.CNSM_NA_IDAL_NA_BMS_NA_NA_QBTU.A</t>
  </si>
  <si>
    <t>Renewable Energy: Marketed Use: Industrial: Biofuels Heat and Coproducts: Alternative Electricity and Transportation</t>
  </si>
  <si>
    <t>AEO.2026.ELECTRNP.CNSM_NA_IDAL_NA_BFH_NA_NA_QBTU.A</t>
  </si>
  <si>
    <t>Renewable Energy: Marketed Use: Transportation: Alternative Electricity and Transportation</t>
  </si>
  <si>
    <t>AEO.2026.ELECTRNP.CNSM_NA_TRN_NA_NA_NA_NA_QBTU.A</t>
  </si>
  <si>
    <t>Renewable Energy: Marketed Use: Transportation: Ethanol used in E85: Alternative Electricity and Transportation</t>
  </si>
  <si>
    <t>AEO.2026.ELECTRNP.CNSM_NA_TRN_NA_ETE_NA_NA_QBTU.A</t>
  </si>
  <si>
    <t>Renewable Energy: Marketed Use: Transportation: Ethanol used in Gasoline Blending: Alternative Electricity and Transportation</t>
  </si>
  <si>
    <t>AEO.2026.ELECTRNP.CNSM_NA_TRN_NA_EBL_NA_NA_QBTU.A</t>
  </si>
  <si>
    <t>Renewable Energy: Marketed Use: Transportation: Biodiesel used in Distillate Blending: Alternative Electricity and Transportation</t>
  </si>
  <si>
    <t>AEO.2026.ELECTRNP.CNSM_NA_TRN_NA_BUD_NA_NA_QBTU.A</t>
  </si>
  <si>
    <t>Renewable Energy: Marketed Use: Transportation: Biobutanol: Alternative Electricity and Transportation</t>
  </si>
  <si>
    <t>AEO.2026.ELECTRNP.CNSM_NA_TRN_NA_BIOB_NA_NA_NA.A</t>
  </si>
  <si>
    <t>Renewable Energy: Marketed Use: Transportation: Liquids from Biomass: Alternative Electricity and Transportation</t>
  </si>
  <si>
    <t>AEO.2026.ELECTRNP.CNSM_NA_TRN_NA_LFB_NA_NA_QBTU.A</t>
  </si>
  <si>
    <t>Renewable Energy: Marketed Use: Transportation: Green Liquids: Alternative Electricity and Transportation</t>
  </si>
  <si>
    <t>AEO.2026.ELECTRNP.CNSM_NA_TRN_NA_GLQ_NA_NA_QBTU.A</t>
  </si>
  <si>
    <t>Renewable Energy: Marketed Use: Electric Power: Alternative Electricity and Transportation</t>
  </si>
  <si>
    <t>AEO.2026.ELECTRNP.CNSM_NA_ELEP_NA_NA_NA_NA_QBTU.A</t>
  </si>
  <si>
    <t>Renewable Energy: Marketed Use: Electric Power: Hydropower: Alternative Electricity and Transportation</t>
  </si>
  <si>
    <t>AEO.2026.ELECTRNP.CNSM_NA_ELEP_NA_HYD_CNV_NA_QBTU.A</t>
  </si>
  <si>
    <t>Renewable Energy: Marketed Use: Electric Power: Geothermal: Alternative Electricity and Transportation</t>
  </si>
  <si>
    <t>AEO.2026.ELECTRNP.CNSM_NA_ELEP_NA_GEOTHM_NA_NA_QBTU.A</t>
  </si>
  <si>
    <t>Renewable Energy: Marketed Use: Electric Power: Biogenic Municipal Waste: Alternative Electricity and Transportation</t>
  </si>
  <si>
    <t>AEO.2026.ELECTRNP.CNSM_NA_ELEP_NA_BGM_NA_NA_QBTU.A</t>
  </si>
  <si>
    <t>Renewable Energy: Marketed Use: Electric Power: Biomass: Alternative Electricity and Transportation</t>
  </si>
  <si>
    <t>AEO.2026.ELECTRNP.CNSM_NA_ELEP_NA_BMS_NA_NA_QBTU.A</t>
  </si>
  <si>
    <t>Renewable Energy: Marketed Use: Electric Power: Solar Thermal: Alternative Electricity and Transportation</t>
  </si>
  <si>
    <t>AEO.2026.ELECTRNP.CNSM_NA_ELEP_NA_SLR_THERM_NA_QBTU.A</t>
  </si>
  <si>
    <t>Renewable Energy: Marketed Use: Electric Power: Solar Photovoltaic: Alternative Electricity and Transportation</t>
  </si>
  <si>
    <t>AEO.2026.ELECTRNP.CNSM_NA_ELEP_NA_SLR_PHTVL_NA_QBTU.A</t>
  </si>
  <si>
    <t>Renewable Energy: Marketed Use: Electric Power: Wind: Alternative Electricity and Transportation</t>
  </si>
  <si>
    <t>AEO.2026.ELECTRNP.CNSM_NA_ELEP_NA_WND_NA_NA_QBTU.A</t>
  </si>
  <si>
    <t>Renewable Energy: Total Marketed Renewable Energy Use: Alternative Electricity and Transportation</t>
  </si>
  <si>
    <t>AEO.2026.ELECTRNP.CNSM_NA_NA_NA_NA_NA_NA_QBTU.A</t>
  </si>
  <si>
    <t>Renewable Energy: Sources of Ethanol: From Corn: Alternative Electricity and Transportation</t>
  </si>
  <si>
    <t>AEO.2026.ELECTRNP.SUP_PRD_FCO_NA_ETH_NA_NA_QBTU.A</t>
  </si>
  <si>
    <t>Renewable Energy: Sources of Ethanol: From Cellulose: Alternative Electricity and Transportation</t>
  </si>
  <si>
    <t>AEO.2026.ELECTRNP.SUP_PRD_FCE_NA_ETH_NA_NA_QBTU.A</t>
  </si>
  <si>
    <t>Renewable Energy: Sources of Ethanol: Net Imports: Alternative Electricity and Transportation</t>
  </si>
  <si>
    <t>AEO.2026.ELECTRNP.SUP_NETIMP_NA_NA_ETH_NA_NA_QBTU.A</t>
  </si>
  <si>
    <t>Renewable Energy: Total U.S. Supply of Ethanol: Alternative Electricity and Transportation</t>
  </si>
  <si>
    <t>AEO.2026.ELECTRNP.SUP_NA_NA_NA_ETH_NA_NA_QBTU.A</t>
  </si>
  <si>
    <t>Renewable Energy: Nonmarketed Selected Use: Residential: Alternative Electricity and Transportation</t>
  </si>
  <si>
    <t>AEO.2026.ELECTRNP.CNSM_NA_RESD_NA_NA_NA_NA_QBTU.A</t>
  </si>
  <si>
    <t>Renewable Energy: Nonmarketed Selected Use: Residential: Solar Hot Water Heating: Alternative Electricity and Transportation</t>
  </si>
  <si>
    <t>AEO.2026.ELECTRNP.CNSM_NA_RESD_NA_SHW_NA_NA_QBTU.A</t>
  </si>
  <si>
    <t>Renewable Energy: Nonmarketed Selected Use: Residential: Solar Photovoltaic: Alternative Electricity and Transportation</t>
  </si>
  <si>
    <t>AEO.2026.ELECTRNP.CNSM_NA_RESD_NA_SLR_PHTVL_NA_QBTU.A</t>
  </si>
  <si>
    <t>Renewable Energy: Nonmarketed Selected Use: Residential: Wind: Alternative Electricity and Transportation</t>
  </si>
  <si>
    <t>AEO.2026.ELECTRNP.CNSM_NA_RESD_NA_WND_NA_NA_QBTU.A</t>
  </si>
  <si>
    <t>Renewable Energy: Nonmarketed Selected Use: Commercial: Alternative Electricity and Transportation</t>
  </si>
  <si>
    <t>AEO.2026.ELECTRNP.CNSM_NA_COMM_NA_NA_NA_NA_QBTU.A</t>
  </si>
  <si>
    <t>Renewable Energy: Nonmarketed Selected Use: Commercial: Solar Thermal: Alternative Electricity and Transportation</t>
  </si>
  <si>
    <t>AEO.2026.ELECTRNP.CNSM_NA_COMM_NA_SLR_THERM_NA_QBTU.A</t>
  </si>
  <si>
    <t>Renewable Energy: Nonmarketed Selected Use: Commercial: Solar Photovoltaic: Alternative Electricity and Transportation</t>
  </si>
  <si>
    <t>AEO.2026.ELECTRNP.CNSM_NA_COMM_NA_SLR_PHTVL_NA_QBTU.A</t>
  </si>
  <si>
    <t>Renewable Energy: Nonmarketed Selected Use: Commercial: Wind: Alternative Electricity and Transportation</t>
  </si>
  <si>
    <t>AEO.2026.ELECTRNP.CNSM_NA_COMM_NA_WND_NA_NA_QBTU.A</t>
  </si>
  <si>
    <t>https://www.eia.gov/outlooks/aeo/data/browser/#/?id=46-AEO2026&amp;cases=electrnp&amp;sourcekey=0</t>
  </si>
  <si>
    <t>Thu Apr 23 2026 15:03:23 GMT-0700 (Pacific Daylight Time)</t>
  </si>
  <si>
    <t>Transportation Energy Use: Light-Duty Vehicle: Total: Alternative Electricity and Transportation</t>
  </si>
  <si>
    <t>AEO.2026.ELECTRNP.CNSM_NA_TRN_LDTY_NA_NA_NA_TRLBTU.A</t>
  </si>
  <si>
    <t>Transportation Energy Use: Light-Duty Vehicle: Motor Gasoline: Alternative Electricity and Transportation</t>
  </si>
  <si>
    <t>AEO.2026.ELECTRNP.CNSM_NA_TRN_LDTY_MGS_NA_NA_TRLBTU.A</t>
  </si>
  <si>
    <t>Transportation Energy Use: Light-Duty Vehicle: Ethanol: Alternative Electricity and Transportation</t>
  </si>
  <si>
    <t>AEO.2026.ELECTRNP.CNSM_NA_TRN_LDTY_ETH_NA_NA_TRLBTU.A</t>
  </si>
  <si>
    <t>Transportation Energy Use: Light-Duty Vehicle: Distillate Fuel Oil: Alternative Electricity and Transportation</t>
  </si>
  <si>
    <t>AEO.2026.ELECTRNP.CNSM_NA_TRN_LDTY_DFO_NA_NA_TRLBTU.A</t>
  </si>
  <si>
    <t>Transportation Energy Use: Light-Duty Vehicle: Natural Gas: Alternative Electricity and Transportation</t>
  </si>
  <si>
    <t>AEO.2026.ELECTRNP.CNSM_NA_TRN_LDTY_NG_NA_NA_TRLBTU.A</t>
  </si>
  <si>
    <t>Transportation Energy Use: Light-Duty Vehicle: Propane: Alternative Electricity and Transportation</t>
  </si>
  <si>
    <t>AEO.2026.ELECTRNP.CNSM_NA_TRN_LDTY_PROP_NA_NA_TRLBTU.A</t>
  </si>
  <si>
    <t>Transportation Energy Use: Light-Duty Vehicle: Electricity: Alternative Electricity and Transportation</t>
  </si>
  <si>
    <t>AEO.2026.ELECTRNP.CNSM_NA_TRN_LDTY_ELC_NA_NA_TRLBTU.A</t>
  </si>
  <si>
    <t>Transportation Energy Use: Light-Duty Vehicle: Hydrogen: Alternative Electricity and Transportation</t>
  </si>
  <si>
    <t>AEO.2026.ELECTRNP.CNSM_NA_TRN_LDTY_HDG_NA_NA_TRLBTU.A</t>
  </si>
  <si>
    <t>Transportation Energy Use: Commercial Light Trucks: Total: Alternative Electricity and Transportation</t>
  </si>
  <si>
    <t>AEO.2026.ELECTRNP.CNSM_NA_TRN_CLTR_NA_NA_NA_TRLBTU.A</t>
  </si>
  <si>
    <t>Transportation Energy Use: Commercial Light Trucks: Motor Gasoline: Alternative Electricity and Transportation</t>
  </si>
  <si>
    <t>AEO.2026.ELECTRNP.CNSM_NA_TRN_CLTR_MGS_NA_NA_TRLBTU.A</t>
  </si>
  <si>
    <t>Transportation Energy Use: Commercial Light Trucks: E85: Alternative Electricity and Transportation</t>
  </si>
  <si>
    <t>AEO.2026.ELECTRNP.CNSM_NA_TRN_CLTR_E85_NA_NA_TRLBTU.A</t>
  </si>
  <si>
    <t>Transportation Energy Use: Commercial Light Trucks: Distillate Fuel Oil: Alternative Electricity and Transportation</t>
  </si>
  <si>
    <t>AEO.2026.ELECTRNP.CNSM_NA_TRN_CLTR_DFO_NA_NA_TRLBTU.A</t>
  </si>
  <si>
    <t>Transportation Energy Use: Commercial Light Trucks: Propane: Alternative Electricity and Transportation</t>
  </si>
  <si>
    <t>AEO.2026.ELECTRNP.CNSM_NA_TRN_CLTR_PROP_NA_NA_TRLBTU.A</t>
  </si>
  <si>
    <t>Transportation Energy Use: Commercial Light Trucks: Natural Gas: Alternative Electricity and Transportation</t>
  </si>
  <si>
    <t>AEO.2026.ELECTRNP.CNSM_NA_TRN_CLTR_NG_NA_NA_TRLBTU.A</t>
  </si>
  <si>
    <t>Transportation Energy Use: Commercial Light Trucks: Electricity: Alternative Electricity and Transportation</t>
  </si>
  <si>
    <t>AEO.2026.ELECTRNP.CNSM_NA_TRN_CLTR_ELC_NA_NA_TRLBTU.A</t>
  </si>
  <si>
    <t>Transportation Energy Use: Commercial Light Trucks: Hydrogen: Alternative Electricity and Transportation</t>
  </si>
  <si>
    <t>AEO.2026.ELECTRNP.CNSM_NA_TRN_CLTR_HDG_NA_NA_TRLBTU.A</t>
  </si>
  <si>
    <t>Transportation Energy Use: Freight Trucks: Total: Alternative Electricity and Transportation</t>
  </si>
  <si>
    <t>AEO.2026.ELECTRNP.CNSM_NA_TRN_FRTT_NA_NA_NA_TRLBTU.A</t>
  </si>
  <si>
    <t>Transportation Energy Use: Freight Trucks: Motor Gasoline: Alternative Electricity and Transportation</t>
  </si>
  <si>
    <t>AEO.2026.ELECTRNP.CNSM_NA_TRN_FRTT_MGS_NA_NA_TRLBTU.A</t>
  </si>
  <si>
    <t>Transportation Energy Use: Freight Trucks: Distillate Fuel Oil: Alternative Electricity and Transportation</t>
  </si>
  <si>
    <t>AEO.2026.ELECTRNP.CNSM_NA_TRN_FRTT_DFO_NA_NA_TRLBTU.A</t>
  </si>
  <si>
    <t>Transportation Energy Use: Freight Trucks: Natural Gas: Alternative Electricity and Transportation</t>
  </si>
  <si>
    <t>AEO.2026.ELECTRNP.CNSM_NA_TRN_FRTT_NG_NA_NA_TRLBTU.A</t>
  </si>
  <si>
    <t>Transportation Energy Use: Freight Trucks: Propane: Alternative Electricity and Transportation</t>
  </si>
  <si>
    <t>AEO.2026.ELECTRNP.CNSM_NA_TRN_FRTT_LPG_NA_NA_TRLBTU.A</t>
  </si>
  <si>
    <t>Transportation Energy Use: Freight Trucks: E85: Alternative Electricity and Transportation</t>
  </si>
  <si>
    <t>AEO.2026.ELECTRNP.CNSM_NA_TRN_FRTT_E85_NA_NA_TRLBTU.A</t>
  </si>
  <si>
    <t>Transportation Energy Use: Freight Trucks: Electricity: Alternative Electricity and Transportation</t>
  </si>
  <si>
    <t>AEO.2026.ELECTRNP.CNSM_NA_TRN_FRTT_ELC_NA_NA_TRLBTU.A</t>
  </si>
  <si>
    <t>Transportation Energy Use: Freight Trucks: Hydrogen: Alternative Electricity and Transportation</t>
  </si>
  <si>
    <t>AEO.2026.ELECTRNP.CNSM_NA_TRN_FRTT_HDG_NA_NA_TRLBTU.A</t>
  </si>
  <si>
    <t>Transportation Energy Use: Freight Rail: Total: Alternative Electricity and Transportation</t>
  </si>
  <si>
    <t>AEO.2026.ELECTRNP.CNSM_NA_TRN_FRAIL_NA_NA_NA_TRLBTU.A</t>
  </si>
  <si>
    <t>Transportation Energy Use: Freight Rail: Distillate Fuel Oil: Alternative Electricity and Transportation</t>
  </si>
  <si>
    <t>AEO.2026.ELECTRNP.CNSM_NA_TRN_FRAIL_DFO_NA_NA_TRLBTU.A</t>
  </si>
  <si>
    <t>Transportation Energy Use: Freight Rail: LNG: Alternative Electricity and Transportation</t>
  </si>
  <si>
    <t>AEO.2026.ELECTRNP.CNSM_NA_TRN_FRAIL_LNG_NA_NA_TRLBTU.A</t>
  </si>
  <si>
    <t>Transportation Energy Use: Domestic Shipping: Total: Alternative Electricity and Transportation</t>
  </si>
  <si>
    <t>AEO.2026.ELECTRNP.CNSM_NA_TRN_DMT_NA_NA_NA_TRLBTU.A</t>
  </si>
  <si>
    <t>Transportation Energy Use: Domestic Shipping: Distillate Fuel Oil: Alternative Electricity and Transportation</t>
  </si>
  <si>
    <t>AEO.2026.ELECTRNP.CNSM_NA_TRN_DMT_DFO_NA_NA_TRLBTU.A</t>
  </si>
  <si>
    <t>Transportation Energy Use: Domestic Shipping: Residual Oil: Alternative Electricity and Transportation</t>
  </si>
  <si>
    <t>AEO.2026.ELECTRNP.CNSM_NA_TRN_DMT_RFO_NA_NA_TRLBTU.A</t>
  </si>
  <si>
    <t>Transportation Energy Use: Domestic Shipping: CNG: Alternative Electricity and Transportation</t>
  </si>
  <si>
    <t>AEO.2026.ELECTRNP.CNSM_NA_TRN_DMT_CNG_NA_NA_TRLBTU.A</t>
  </si>
  <si>
    <t>Transportation Energy Use: Domestic Shipping: LNG: Alternative Electricity and Transportation</t>
  </si>
  <si>
    <t>AEO.2026.ELECTRNP.CNSM_NA_TRN_DMT_LNG_NA_NA_TRLBTU.A</t>
  </si>
  <si>
    <t>Transportation Energy Use: International Shipping: Total: Alternative Electricity and Transportation</t>
  </si>
  <si>
    <t>AEO.2026.ELECTRNP.CNSM_NA_TRN_INTS_NA_NA_NA_TRLBTU.A</t>
  </si>
  <si>
    <t>Transportation Energy Use: International Shipping: Distillate Fuel Oil: Alternative Electricity and Transportation</t>
  </si>
  <si>
    <t>AEO.2026.ELECTRNP.CNSM_NA_TRN_INTS_DFO_NA_NA_TRLBTU.A</t>
  </si>
  <si>
    <t>Transportation Energy Use: International Shipping: Residual Oil: Alternative Electricity and Transportation</t>
  </si>
  <si>
    <t>AEO.2026.ELECTRNP.CNSM_NA_TRN_INTS_RFO_NA_NA_TRLBTU.A</t>
  </si>
  <si>
    <t>Transportation Energy Use: International Shipping: CNG: Alternative Electricity and Transportation</t>
  </si>
  <si>
    <t>AEO.2026.ELECTRNP.CNSM_NA_TRN_INTS_CNG_NA_NA_TRLBTU.A</t>
  </si>
  <si>
    <t>Transportation Energy Use: International Shipping: LNG: Alternative Electricity and Transportation</t>
  </si>
  <si>
    <t>AEO.2026.ELECTRNP.CNSM_NA_TRN_INTS_LNG_NA_NA_TRLBTU.A</t>
  </si>
  <si>
    <t>Transportation Energy Use: Air: Total: Alternative Electricity and Transportation</t>
  </si>
  <si>
    <t>AEO.2026.ELECTRNP.CNSM_NA_TRN_AIR_NA_NA_NA_TRLBTU.A</t>
  </si>
  <si>
    <t>Transportation Energy Use: Air: Jet Fuel: Alternative Electricity and Transportation</t>
  </si>
  <si>
    <t>AEO.2026.ELECTRNP.CNSM_NA_TRN_AIR_JFL_NA_NA_TRLBTU.A</t>
  </si>
  <si>
    <t>Transportation Energy Use: Air: Aviation Gasoline: Alternative Electricity and Transportation</t>
  </si>
  <si>
    <t>AEO.2026.ELECTRNP.CNSM_NA_TRN_AIR_AVGA_NA_NA_TRLBTU.A</t>
  </si>
  <si>
    <t>Transportation Energy Use: Military: Total: Alternative Electricity and Transportation</t>
  </si>
  <si>
    <t>AEO.2026.ELECTRNP.CNSM_NA_TRN_MILT_NA_NA_NA_TRLBTU.A</t>
  </si>
  <si>
    <t>Transportation Energy Use: Military: Jet Fuel: Alternative Electricity and Transportation</t>
  </si>
  <si>
    <t>AEO.2026.ELECTRNP.CNSM_NA_TRN_MILT_JFL_NA_NA_TRLBTU.A</t>
  </si>
  <si>
    <t>Transportation Energy Use: Military: Residual Fuel Oil: Alternative Electricity and Transportation</t>
  </si>
  <si>
    <t>AEO.2026.ELECTRNP.CNSM_NA_TRN_MILT_RFO_NA_NA_TRLBTU.A</t>
  </si>
  <si>
    <t>Transportation Energy Use: Military: Distillate Fuel Oil: Alternative Electricity and Transportation</t>
  </si>
  <si>
    <t>AEO.2026.ELECTRNP.CNSM_NA_TRN_MILT_DFO_NA_NA_TRLBTU.A</t>
  </si>
  <si>
    <t>Transportation Energy Use: Bus: Alternative Electricity and Transportation</t>
  </si>
  <si>
    <t>AEO.2026.ELECTRNP.CNSM_NA_TRN_BUS_NA_NA_NA_TRLBTU.A</t>
  </si>
  <si>
    <t>Transportation Energy Use: Bus: Transit Bus: Alternative Electricity and Transportation</t>
  </si>
  <si>
    <t>AEO.2026.ELECTRNP.CNSM_NA_TRN_TBUS_NA_NA_NA_TRLBTU.A</t>
  </si>
  <si>
    <t>Transportation Energy Use: Bus: Transit Bus: Motor Gasoline: Alternative Electricity and Transportation</t>
  </si>
  <si>
    <t>AEO.2026.ELECTRNP.CNSM_NA_TRN_TBUS_MGS_NA_NA_TRLBTU.A</t>
  </si>
  <si>
    <t>Transportation Energy Use: Bus: Transit Bus: E85: Alternative Electricity and Transportation</t>
  </si>
  <si>
    <t>AEO.2026.ELECTRNP.CNSM_NA_TRN_TBUS_E85_NA_NA_TRLBTU.A</t>
  </si>
  <si>
    <t>Transportation Energy Use: Bus: Transit Bus: Distillate Fuel Oil: Alternative Electricity and Transportation</t>
  </si>
  <si>
    <t>AEO.2026.ELECTRNP.CNSM_NA_TRN_TBUS_DFO_NA_NA_TRLBTU.A</t>
  </si>
  <si>
    <t>Transportation Energy Use: Bus: Transit Bus: Natural Gas: Alternative Electricity and Transportation</t>
  </si>
  <si>
    <t>AEO.2026.ELECTRNP.CNSM_NA_TRN_TBUS_NG_NA_NA_TRLBTU.A</t>
  </si>
  <si>
    <t>Transportation Energy Use: Bus: Transit Bus: Propane: Alternative Electricity and Transportation</t>
  </si>
  <si>
    <t>AEO.2026.ELECTRNP.CNSM_NA_TRN_TBUS_LPG_NA_NA_TRLBTU.A</t>
  </si>
  <si>
    <t>Transportation Energy Use: Bus: Transit Bus: Electricity: Alternative Electricity and Transportation</t>
  </si>
  <si>
    <t>AEO.2026.ELECTRNP.CNSM_NA_TRN_TBUS_ELC_NA_NA_TRLBTU.A</t>
  </si>
  <si>
    <t>Transportation Energy Use: Bus: Transit Bus: Hydrogen: Alternative Electricity and Transportation</t>
  </si>
  <si>
    <t>AEO.2026.ELECTRNP.CNSM_NA_TRN_TBUS_HDG_NA_NA_TRLBTU.A</t>
  </si>
  <si>
    <t>Transportation Energy Use: Bus: Intercity Bus: Alternative Electricity and Transportation</t>
  </si>
  <si>
    <t>AEO.2026.ELECTRNP.CNSM_NA_TRN_IBUS_NA_NA_NA_TRLBTU.A</t>
  </si>
  <si>
    <t>Transportation Energy Use: Bus: Intercity Bus: Motor Gasoline: Alternative Electricity and Transportation</t>
  </si>
  <si>
    <t>AEO.2026.ELECTRNP.CNSM_NA_TRN_IBUS_MGS_NA_NA_TRLBTU.A</t>
  </si>
  <si>
    <t>Transportation Energy Use: Bus: Intercity Bus: E85: Alternative Electricity and Transportation</t>
  </si>
  <si>
    <t>AEO.2026.ELECTRNP.CNSM_NA_TRN_IBUS_E85_NA_NA_TRLBTU.A</t>
  </si>
  <si>
    <t>Transportation Energy Use: Bus: Intercity Bus: Distillate Fuel Oil: Alternative Electricity and Transportation</t>
  </si>
  <si>
    <t>AEO.2026.ELECTRNP.CNSM_NA_TRN_IBUS_DFO_NA_NA_TRLBTU.A</t>
  </si>
  <si>
    <t>Transportation Energy Use: Bus: Intercity Bus: Natural Gas: Alternative Electricity and Transportation</t>
  </si>
  <si>
    <t>AEO.2026.ELECTRNP.CNSM_NA_TRN_IBUS_NG_NA_NA_TRLBTU.A</t>
  </si>
  <si>
    <t>Transportation Energy Use: Bus: Intercity Bus: Propane: Alternative Electricity and Transportation</t>
  </si>
  <si>
    <t>AEO.2026.ELECTRNP.CNSM_NA_TRN_IBUS_LPG_NA_NA_TRLBTU.A</t>
  </si>
  <si>
    <t>Transportation Energy Use: Bus: Intercity Bus: Electricity: Alternative Electricity and Transportation</t>
  </si>
  <si>
    <t>AEO.2026.ELECTRNP.CNSM_NA_TRN_IBUS_ELC_NA_NA_TRLBTU.A</t>
  </si>
  <si>
    <t>Transportation Energy Use: Bus: Intercity Bus: Hydrogen: Alternative Electricity and Transportation</t>
  </si>
  <si>
    <t>AEO.2026.ELECTRNP.CNSM_NA_TRN_IBUS_HDG_NA_NA_TRLBTU.A</t>
  </si>
  <si>
    <t>Transportation Energy Use: Bus: School Bus: Alternative Electricity and Transportation</t>
  </si>
  <si>
    <t>AEO.2026.ELECTRNP.CNSM_NA_TRN_LSRC_NA_NA_NA_TRLBTU.A</t>
  </si>
  <si>
    <t>Transportation Energy Use: Bus: School Bus: Motor Gasoline: Alternative Electricity and Transportation</t>
  </si>
  <si>
    <t>AEO.2026.ELECTRNP.CNSM_NA_TRN_LSRC_MGS_NA_NA_TRLBTU.A</t>
  </si>
  <si>
    <t>Transportation Energy Use: Bus: School Bus: E85: Alternative Electricity and Transportation</t>
  </si>
  <si>
    <t>AEO.2026.ELECTRNP.CNSM_NA_TRN_LSRC_E85_NA_NA_TRLBTU.A</t>
  </si>
  <si>
    <t>Transportation Energy Use: Bus: School Bus: Distillate Fuel Oil: Alternative Electricity and Transportation</t>
  </si>
  <si>
    <t>AEO.2026.ELECTRNP.CNSM_NA_TRN_LSRC_DFO_NA_NA_TRLBTU.A</t>
  </si>
  <si>
    <t>Transportation Energy Use: Bus: School Bus: Natural Gas: Alternative Electricity and Transportation</t>
  </si>
  <si>
    <t>AEO.2026.ELECTRNP.CNSM_NA_TRN_LSRC_NG_NA_NA_TRLBTU.A</t>
  </si>
  <si>
    <t>Transportation Energy Use: Bus: School Bus: Propane: Alternative Electricity and Transportation</t>
  </si>
  <si>
    <t>AEO.2026.ELECTRNP.CNSM_NA_TRN_LSRC_LPG_NA_NA_TRLBTU.A</t>
  </si>
  <si>
    <t>Transportation Energy Use: Bus: School Bus: Electricity: Alternative Electricity and Transportation</t>
  </si>
  <si>
    <t>AEO.2026.ELECTRNP.CNSM_NA_TRN_LSRC_ELC_NA_NA_TRLBTU.A</t>
  </si>
  <si>
    <t>Transportation Energy Use: Bus: School Bus: Hydrogen: Alternative Electricity and Transportation</t>
  </si>
  <si>
    <t>AEO.2026.ELECTRNP.CNSM_NA_TRN_LSRC_HDG_NA_NA_TRLBTU.A</t>
  </si>
  <si>
    <t>Transportation Energy Use: Rail: Alternative Electricity and Transportation</t>
  </si>
  <si>
    <t>AEO.2026.ELECTRNP.CNSM_NA_TRN_RAIL_NA_NA_NA_TRLBTU.A</t>
  </si>
  <si>
    <t>Transportation Energy Use: Rail: Intercity Rail: Alternative Electricity and Transportation</t>
  </si>
  <si>
    <t>AEO.2026.ELECTRNP.CNSM_NA_TRN_IRAIL_NA_NA_NA_TRLBTU.A</t>
  </si>
  <si>
    <t>Transportation Energy Use: Rail: Intercity Rail: Electricity: Alternative Electricity and Transportation</t>
  </si>
  <si>
    <t>AEO.2026.ELECTRNP.CNSM_NA_TRN_IRAIL_ELC_NA_NA_TRLBTU.A</t>
  </si>
  <si>
    <t>Transportation Energy Use: Rail: Intercity Rail: Diesel: Alternative Electricity and Transportation</t>
  </si>
  <si>
    <t>AEO.2026.ELECTRNP.CNSM_NA_TRN_IRAIL_DSL_NA_NA_TRLBTU.A</t>
  </si>
  <si>
    <t>Transportation Energy Use: Rail: Transit Rail: Alternative Electricity and Transportation</t>
  </si>
  <si>
    <t>AEO.2026.ELECTRNP.CNSM_NA_TRN_TRAIL_NA_NA_NA_TRLBTU.A</t>
  </si>
  <si>
    <t>Transportation Energy Use: Rail: Transit Rail: Electricity: Alternative Electricity and Transportation</t>
  </si>
  <si>
    <t>AEO.2026.ELECTRNP.CNSM_NA_TRN_TRAIL_ELC_NA_NA_TRLBTU.A</t>
  </si>
  <si>
    <t>Transportation Energy Use: Rail: Commuter Rail: Alternative Electricity and Transportation</t>
  </si>
  <si>
    <t>AEO.2026.ELECTRNP.CNSM_NA_TRN_CRAIL_NA_NA_NA_TRLBTU.A</t>
  </si>
  <si>
    <t>Transportation Energy Use: Rail: Commuter Rail: Electricity: Alternative Electricity and Transportation</t>
  </si>
  <si>
    <t>AEO.2026.ELECTRNP.CNSM_NA_TRN_CRAIL_ELC_NA_NA_TRLBTU.A</t>
  </si>
  <si>
    <t>Transportation Energy Use: Rail: Commuter Rail: Diesel: Alternative Electricity and Transportation</t>
  </si>
  <si>
    <t>AEO.2026.ELECTRNP.CNSM_NA_TRN_CRAIL_DSL_NA_NA_TRLBTU.A</t>
  </si>
  <si>
    <t>Transportation Energy Use: Recreation Boats: Alternative Electricity and Transportation</t>
  </si>
  <si>
    <t>AEO.2026.ELECTRNP.CNSM_NA_TRN_RCB_NA_NA_NA_TRLBTU.A</t>
  </si>
  <si>
    <t>Transportation Energy Use: Recreation Boats: Motor Gasoline: Alternative Electricity and Transportation</t>
  </si>
  <si>
    <t>AEO.2026.ELECTRNP.CNSM_NA_TRN_RCB_GSL_NA_NA_TRLBTU.A</t>
  </si>
  <si>
    <t>Transportation Energy Use: Recreation Boats: Distillate Fuel Oil: Alternative Electricity and Transportation</t>
  </si>
  <si>
    <t>AEO.2026.ELECTRNP.CNSM_NA_TRN_RCB_DFO_NA_NA_TRLBTU.A</t>
  </si>
  <si>
    <t>Transportation Energy Use: Lubricants: Alternative Electricity and Transportation</t>
  </si>
  <si>
    <t>AEO.2026.ELECTRNP.CNSM_NA_TRN_NA_LBC_NA_NA_TRLBTU.A</t>
  </si>
  <si>
    <t>Transportation Energy Use: Pipeline Fuel Natural Gas: Alternative Electricity and Transportation</t>
  </si>
  <si>
    <t>AEO.2026.ELECTRNP.CNSM_NA_TRN_PIPL_NG_NA_NA_TRLBTU.A</t>
  </si>
  <si>
    <t>Transportation Energy Use: Natural Gas for Liquefaction: Alternative Electricity and Transportation</t>
  </si>
  <si>
    <t>AEO.2026.ELECTRNP.CNSM_NA_NMFG_LQFCT_DELE_NA_NA_TRLBTU.A</t>
  </si>
  <si>
    <t>Transportation Energy Use: Total Use: Alternative Electricity and Transportation</t>
  </si>
  <si>
    <t>AEO.2026.ELECTRNP.CNSM_NA_TRN_NA_NA_NA_NA_TRLBTU.A</t>
  </si>
  <si>
    <t>Annual Energy Outlook 2026</t>
  </si>
  <si>
    <t>Alternative Electricity and Transportation</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</si>
</sst>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4">
    <numFmt numFmtId="43" formatCode="_(* #,##0.00_);_(* \(#,##0.00\);_(* &quot;-&quot;??_);_(@_)"/>
    <numFmt numFmtId="164" formatCode="0.0000"/>
    <numFmt numFmtId="165" formatCode="0.0%"/>
    <numFmt numFmtId="166" formatCode="#,##0.000"/>
  </numFmts>
  <fonts count="21">
    <font>
      <sz val="11"/>
      <color theme="1"/>
      <name val="Calibri"/>
      <family val="2"/>
      <scheme val="minor"/>
    </font>
    <font>
      <b/>
      <sz val="11"/>
      <color theme="1"/>
      <name val="Calibri"/>
      <family val="2"/>
      <scheme val="minor"/>
    </font>
    <font>
      <sz val="9"/>
      <color indexed="8"/>
      <name val="Calibri"/>
      <family val="2"/>
    </font>
    <font>
      <b/>
      <sz val="9"/>
      <color indexed="8"/>
      <name val="Calibri"/>
      <family val="2"/>
    </font>
    <font>
      <b/>
      <sz val="12"/>
      <color indexed="30"/>
      <name val="Calibri"/>
      <family val="2"/>
    </font>
    <font>
      <i/>
      <sz val="11"/>
      <color theme="1"/>
      <name val="Calibri"/>
      <family val="2"/>
      <scheme val="minor"/>
    </font>
    <font>
      <u/>
      <sz val="11"/>
      <color theme="10"/>
      <name val="Calibri"/>
      <family val="2"/>
      <scheme val="minor"/>
    </font>
    <font>
      <sz val="11"/>
      <color theme="1"/>
      <name val="Calibri"/>
      <family val="2"/>
      <scheme val="minor"/>
    </font>
    <font>
      <sz val="10"/>
      <color indexed="8"/>
      <name val="Arial"/>
      <family val="2"/>
    </font>
    <font>
      <sz val="8"/>
      <name val="Arial"/>
      <family val="2"/>
    </font>
    <font>
      <b/>
      <sz val="9"/>
      <name val="Calibri"/>
      <family val="2"/>
    </font>
    <font>
      <sz val="9"/>
      <name val="Calibri"/>
      <family val="2"/>
    </font>
    <font>
      <sz val="9"/>
      <name val="Calibri"/>
      <family val="2"/>
    </font>
    <font>
      <sz val="10"/>
      <name val="Calibri"/>
      <family val="2"/>
    </font>
    <font>
      <b/>
      <sz val="12"/>
      <name val="Calibri"/>
      <family val="2"/>
    </font>
    <font>
      <sz val="10"/>
      <name val="Calibri"/>
      <family val="2"/>
    </font>
    <font>
      <sz val="9"/>
      <name val="Calibri"/>
      <family val="2"/>
    </font>
    <font>
      <b/>
      <sz val="9"/>
      <color rgb="FF333333"/>
      <name val="Inherit"/>
    </font>
    <font>
      <b/>
      <vertAlign val="subscript"/>
      <sz val="9"/>
      <color rgb="FF333333"/>
      <name val="Inherit"/>
    </font>
    <font>
      <sz val="9"/>
      <color rgb="FF333333"/>
      <name val="Inherit"/>
    </font>
    <font>
      <vertAlign val="superscript"/>
      <sz val="9"/>
      <color rgb="FF333333"/>
      <name val="Inherit"/>
    </font>
  </fonts>
  <fills count="9">
    <fill>
      <patternFill patternType="none"/>
    </fill>
    <fill>
      <patternFill patternType="gray125"/>
    </fill>
    <fill>
      <patternFill patternType="solid">
        <fgColor rgb="FFFFFF00"/>
        <bgColor indexed="64"/>
      </patternFill>
    </fill>
    <fill>
      <patternFill patternType="solid">
        <fgColor theme="0" tint="-0.249977111117893"/>
        <bgColor indexed="64"/>
      </patternFill>
    </fill>
    <fill>
      <patternFill patternType="solid">
        <fgColor rgb="FFFFFFFF"/>
        <bgColor indexed="64"/>
      </patternFill>
    </fill>
    <fill>
      <patternFill patternType="solid">
        <fgColor theme="0" tint="-0.14999847407452621"/>
        <bgColor indexed="64"/>
      </patternFill>
    </fill>
    <fill>
      <patternFill patternType="solid">
        <fgColor theme="0" tint="-4.9989318521683403E-2"/>
        <bgColor indexed="64"/>
      </patternFill>
    </fill>
    <fill>
      <patternFill patternType="solid">
        <fgColor theme="2" tint="-9.9978637043366805E-2"/>
        <bgColor indexed="64"/>
      </patternFill>
    </fill>
    <fill>
      <patternFill patternType="solid">
        <fgColor theme="2" tint="-0.249977111117893"/>
        <bgColor indexed="64"/>
      </patternFill>
    </fill>
  </fills>
  <borders count="9">
    <border>
      <left/>
      <right/>
      <top/>
      <bottom/>
      <diagonal/>
    </border>
    <border>
      <left/>
      <right/>
      <top style="medium">
        <color rgb="FF0096D7"/>
      </top>
      <bottom/>
      <diagonal/>
    </border>
    <border>
      <left/>
      <right/>
      <top/>
      <bottom style="thin">
        <color rgb="FFBFBFBF"/>
      </bottom>
      <diagonal/>
    </border>
    <border>
      <left/>
      <right/>
      <top/>
      <bottom style="dashed">
        <color rgb="FFBFBFBF"/>
      </bottom>
      <diagonal/>
    </border>
    <border>
      <left/>
      <right/>
      <top/>
      <bottom style="thick">
        <color rgb="FF0096D7"/>
      </bottom>
      <diagonal/>
    </border>
    <border>
      <left/>
      <right/>
      <top/>
      <bottom style="thick">
        <color rgb="FF189BD7"/>
      </bottom>
      <diagonal/>
    </border>
    <border>
      <left/>
      <right/>
      <top/>
      <bottom style="mediumDashed">
        <color rgb="FFCCCCCC"/>
      </bottom>
      <diagonal/>
    </border>
    <border>
      <left/>
      <right/>
      <top style="thick">
        <color rgb="FF189BD7"/>
      </top>
      <bottom style="medium">
        <color rgb="FFCCCCCC"/>
      </bottom>
      <diagonal/>
    </border>
    <border>
      <left/>
      <right/>
      <top style="mediumDashed">
        <color rgb="FFCCCCCC"/>
      </top>
      <bottom style="medium">
        <color rgb="FFCCCCCC"/>
      </bottom>
      <diagonal/>
    </border>
  </borders>
  <cellStyleXfs count="39">
    <xf numFmtId="0" fontId="0" fillId="0" borderId="0"/>
    <xf numFmtId="0" fontId="2" fillId="0" borderId="0"/>
    <xf numFmtId="0" fontId="2" fillId="0" borderId="1" applyNumberFormat="0" applyProtection="0">
      <alignment wrapText="1"/>
    </xf>
    <xf numFmtId="0" fontId="3" fillId="0" borderId="2" applyNumberFormat="0" applyProtection="0">
      <alignment wrapText="1"/>
    </xf>
    <xf numFmtId="0" fontId="2" fillId="0" borderId="3" applyNumberFormat="0" applyFont="0" applyProtection="0">
      <alignment wrapText="1"/>
    </xf>
    <xf numFmtId="0" fontId="3" fillId="0" borderId="4" applyNumberFormat="0" applyProtection="0">
      <alignment wrapText="1"/>
    </xf>
    <xf numFmtId="0" fontId="2" fillId="0" borderId="0" applyNumberFormat="0" applyFill="0" applyBorder="0" applyAlignment="0" applyProtection="0"/>
    <xf numFmtId="0" fontId="4" fillId="0" borderId="0" applyNumberFormat="0" applyProtection="0">
      <alignment horizontal="left"/>
    </xf>
    <xf numFmtId="0" fontId="6" fillId="0" borderId="0" applyNumberFormat="0" applyFill="0" applyBorder="0" applyAlignment="0" applyProtection="0"/>
    <xf numFmtId="43" fontId="7" fillId="0" borderId="0" applyFont="0" applyFill="0" applyBorder="0" applyAlignment="0" applyProtection="0"/>
    <xf numFmtId="9" fontId="7" fillId="0" borderId="0" applyFont="0" applyFill="0" applyBorder="0" applyAlignment="0" applyProtection="0"/>
    <xf numFmtId="0" fontId="2" fillId="0" borderId="3">
      <alignment wrapText="1"/>
    </xf>
    <xf numFmtId="0" fontId="2" fillId="0" borderId="0"/>
    <xf numFmtId="0" fontId="2" fillId="0" borderId="1">
      <alignment wrapText="1"/>
    </xf>
    <xf numFmtId="0" fontId="3" fillId="0" borderId="4">
      <alignment wrapText="1"/>
    </xf>
    <xf numFmtId="0" fontId="3" fillId="0" borderId="2">
      <alignment wrapText="1"/>
    </xf>
    <xf numFmtId="0" fontId="4" fillId="0" borderId="0">
      <alignment horizontal="left"/>
    </xf>
    <xf numFmtId="0" fontId="7" fillId="0" borderId="0"/>
    <xf numFmtId="0" fontId="2" fillId="0" borderId="0"/>
    <xf numFmtId="0" fontId="2" fillId="0" borderId="3">
      <alignment wrapText="1"/>
    </xf>
    <xf numFmtId="0" fontId="2" fillId="0" borderId="0"/>
    <xf numFmtId="0" fontId="2" fillId="0" borderId="1">
      <alignment wrapText="1"/>
    </xf>
    <xf numFmtId="0" fontId="3" fillId="0" borderId="4">
      <alignment wrapText="1"/>
    </xf>
    <xf numFmtId="0" fontId="3" fillId="0" borderId="2">
      <alignment wrapText="1"/>
    </xf>
    <xf numFmtId="0" fontId="4" fillId="0" borderId="0">
      <alignment horizontal="left"/>
    </xf>
    <xf numFmtId="0" fontId="7" fillId="0" borderId="0"/>
    <xf numFmtId="0" fontId="2" fillId="0" borderId="3">
      <alignment wrapText="1"/>
    </xf>
    <xf numFmtId="0" fontId="2" fillId="0" borderId="0"/>
    <xf numFmtId="0" fontId="2" fillId="0" borderId="1">
      <alignment wrapText="1"/>
    </xf>
    <xf numFmtId="0" fontId="3" fillId="0" borderId="4">
      <alignment wrapText="1"/>
    </xf>
    <xf numFmtId="0" fontId="3" fillId="0" borderId="2">
      <alignment wrapText="1"/>
    </xf>
    <xf numFmtId="0" fontId="4" fillId="0" borderId="0">
      <alignment horizontal="left"/>
    </xf>
    <xf numFmtId="0" fontId="2" fillId="0" borderId="0"/>
    <xf numFmtId="0" fontId="2" fillId="0" borderId="0" applyNumberFormat="0" applyFill="0" applyBorder="0" applyAlignment="0" applyProtection="0"/>
    <xf numFmtId="0" fontId="3" fillId="0" borderId="4" applyNumberFormat="0" applyProtection="0">
      <alignment wrapText="1"/>
    </xf>
    <xf numFmtId="0" fontId="4" fillId="0" borderId="0" applyNumberFormat="0" applyProtection="0">
      <alignment horizontal="left"/>
    </xf>
    <xf numFmtId="0" fontId="3" fillId="0" borderId="2" applyNumberFormat="0" applyProtection="0">
      <alignment wrapText="1"/>
    </xf>
    <xf numFmtId="0" fontId="2" fillId="0" borderId="3" applyNumberFormat="0" applyFont="0" applyProtection="0">
      <alignment wrapText="1"/>
    </xf>
    <xf numFmtId="0" fontId="2" fillId="0" borderId="1" applyNumberFormat="0" applyProtection="0">
      <alignment wrapText="1"/>
    </xf>
  </cellStyleXfs>
  <cellXfs count="115">
    <xf numFmtId="0" fontId="0" fillId="0" borderId="0" xfId="0"/>
    <xf numFmtId="0" fontId="1" fillId="0" borderId="0" xfId="0" applyFont="1"/>
    <xf numFmtId="164" fontId="0" fillId="0" borderId="0" xfId="0" applyNumberFormat="1"/>
    <xf numFmtId="3" fontId="0" fillId="0" borderId="0" xfId="0" applyNumberFormat="1"/>
    <xf numFmtId="1" fontId="0" fillId="0" borderId="0" xfId="0" applyNumberFormat="1"/>
    <xf numFmtId="0" fontId="1" fillId="2" borderId="0" xfId="0" applyFont="1" applyFill="1"/>
    <xf numFmtId="0" fontId="1" fillId="3" borderId="0" xfId="0" applyFont="1" applyFill="1"/>
    <xf numFmtId="0" fontId="0" fillId="3" borderId="0" xfId="0" applyFill="1"/>
    <xf numFmtId="0" fontId="0" fillId="0" borderId="0" xfId="0" applyAlignment="1">
      <alignment horizontal="left"/>
    </xf>
    <xf numFmtId="0" fontId="5" fillId="0" borderId="0" xfId="0" applyFont="1"/>
    <xf numFmtId="0" fontId="1" fillId="0" borderId="0" xfId="0" applyFont="1" applyAlignment="1">
      <alignment wrapText="1"/>
    </xf>
    <xf numFmtId="0" fontId="6" fillId="0" borderId="0" xfId="8"/>
    <xf numFmtId="10" fontId="0" fillId="0" borderId="0" xfId="0" applyNumberFormat="1"/>
    <xf numFmtId="43" fontId="0" fillId="0" borderId="0" xfId="9" applyFont="1"/>
    <xf numFmtId="0" fontId="0" fillId="0" borderId="0" xfId="9" applyNumberFormat="1" applyFont="1"/>
    <xf numFmtId="0" fontId="2" fillId="0" borderId="0" xfId="6"/>
    <xf numFmtId="0" fontId="3" fillId="0" borderId="4" xfId="5">
      <alignment wrapText="1"/>
    </xf>
    <xf numFmtId="0" fontId="8" fillId="0" borderId="0" xfId="0" applyFont="1"/>
    <xf numFmtId="0" fontId="9" fillId="0" borderId="0" xfId="0" applyFont="1"/>
    <xf numFmtId="0" fontId="4" fillId="0" borderId="0" xfId="7">
      <alignment horizontal="left"/>
    </xf>
    <xf numFmtId="0" fontId="3" fillId="0" borderId="2" xfId="3">
      <alignment wrapText="1"/>
    </xf>
    <xf numFmtId="0" fontId="0" fillId="0" borderId="3" xfId="4" applyFont="1">
      <alignment wrapText="1"/>
    </xf>
    <xf numFmtId="0" fontId="12" fillId="0" borderId="0" xfId="0" applyFont="1"/>
    <xf numFmtId="0" fontId="13" fillId="0" borderId="0" xfId="0" applyFont="1"/>
    <xf numFmtId="3" fontId="3" fillId="0" borderId="2" xfId="3" applyNumberFormat="1" applyAlignment="1">
      <alignment horizontal="right" wrapText="1"/>
    </xf>
    <xf numFmtId="3" fontId="0" fillId="0" borderId="3" xfId="4" applyNumberFormat="1" applyFont="1" applyAlignment="1">
      <alignment horizontal="right" wrapText="1"/>
    </xf>
    <xf numFmtId="0" fontId="3" fillId="0" borderId="0" xfId="3" applyBorder="1">
      <alignment wrapText="1"/>
    </xf>
    <xf numFmtId="3" fontId="3" fillId="0" borderId="0" xfId="3" applyNumberFormat="1" applyBorder="1" applyAlignment="1">
      <alignment horizontal="right" wrapText="1"/>
    </xf>
    <xf numFmtId="0" fontId="11" fillId="0" borderId="0" xfId="2" applyFont="1" applyBorder="1">
      <alignment wrapText="1"/>
    </xf>
    <xf numFmtId="165" fontId="3" fillId="0" borderId="2" xfId="10" applyNumberFormat="1" applyFont="1" applyBorder="1" applyAlignment="1">
      <alignment horizontal="right" wrapText="1"/>
    </xf>
    <xf numFmtId="0" fontId="2" fillId="0" borderId="1" xfId="1" applyBorder="1"/>
    <xf numFmtId="0" fontId="2" fillId="0" borderId="0" xfId="1"/>
    <xf numFmtId="0" fontId="2" fillId="0" borderId="0" xfId="12"/>
    <xf numFmtId="0" fontId="3" fillId="0" borderId="4" xfId="14">
      <alignment wrapText="1"/>
    </xf>
    <xf numFmtId="0" fontId="9" fillId="0" borderId="0" xfId="1" applyFont="1"/>
    <xf numFmtId="0" fontId="11" fillId="0" borderId="0" xfId="1" applyFont="1"/>
    <xf numFmtId="0" fontId="8" fillId="0" borderId="0" xfId="1" applyFont="1"/>
    <xf numFmtId="0" fontId="14" fillId="0" borderId="0" xfId="16" applyFont="1">
      <alignment horizontal="left"/>
    </xf>
    <xf numFmtId="0" fontId="10" fillId="0" borderId="0" xfId="1" applyFont="1" applyAlignment="1">
      <alignment horizontal="right"/>
    </xf>
    <xf numFmtId="0" fontId="11" fillId="0" borderId="0" xfId="12" applyFont="1"/>
    <xf numFmtId="0" fontId="11" fillId="0" borderId="0" xfId="1" applyFont="1" applyAlignment="1">
      <alignment horizontal="left"/>
    </xf>
    <xf numFmtId="0" fontId="10" fillId="0" borderId="4" xfId="14" applyFont="1">
      <alignment wrapText="1"/>
    </xf>
    <xf numFmtId="0" fontId="10" fillId="0" borderId="4" xfId="14" applyFont="1" applyAlignment="1">
      <alignment horizontal="right"/>
    </xf>
    <xf numFmtId="0" fontId="10" fillId="0" borderId="2" xfId="15" applyFont="1">
      <alignment wrapText="1"/>
    </xf>
    <xf numFmtId="0" fontId="11" fillId="0" borderId="3" xfId="11" applyFont="1">
      <alignment wrapText="1"/>
    </xf>
    <xf numFmtId="4" fontId="11" fillId="0" borderId="3" xfId="11" applyNumberFormat="1" applyFont="1" applyAlignment="1">
      <alignment horizontal="right" wrapText="1"/>
    </xf>
    <xf numFmtId="165" fontId="11" fillId="0" borderId="3" xfId="11" applyNumberFormat="1" applyFont="1" applyAlignment="1">
      <alignment horizontal="right" wrapText="1"/>
    </xf>
    <xf numFmtId="4" fontId="10" fillId="0" borderId="2" xfId="15" applyNumberFormat="1" applyFont="1" applyAlignment="1">
      <alignment horizontal="right" wrapText="1"/>
    </xf>
    <xf numFmtId="165" fontId="10" fillId="0" borderId="2" xfId="15" applyNumberFormat="1" applyFont="1" applyAlignment="1">
      <alignment horizontal="right" wrapText="1"/>
    </xf>
    <xf numFmtId="0" fontId="15" fillId="0" borderId="0" xfId="1" applyFont="1"/>
    <xf numFmtId="165" fontId="0" fillId="0" borderId="0" xfId="10" applyNumberFormat="1" applyFont="1"/>
    <xf numFmtId="165" fontId="10" fillId="0" borderId="0" xfId="10" applyNumberFormat="1" applyFont="1" applyAlignment="1">
      <alignment horizontal="right"/>
    </xf>
    <xf numFmtId="165" fontId="10" fillId="0" borderId="4" xfId="10" applyNumberFormat="1" applyFont="1" applyBorder="1" applyAlignment="1">
      <alignment horizontal="right"/>
    </xf>
    <xf numFmtId="165" fontId="0" fillId="0" borderId="3" xfId="10" applyNumberFormat="1" applyFont="1" applyBorder="1" applyAlignment="1">
      <alignment horizontal="right" wrapText="1"/>
    </xf>
    <xf numFmtId="165" fontId="3" fillId="0" borderId="0" xfId="10" applyNumberFormat="1" applyFont="1" applyBorder="1" applyAlignment="1">
      <alignment horizontal="right" wrapText="1"/>
    </xf>
    <xf numFmtId="4" fontId="0" fillId="0" borderId="0" xfId="0" applyNumberFormat="1"/>
    <xf numFmtId="0" fontId="17" fillId="4" borderId="0" xfId="0" applyFont="1" applyFill="1" applyAlignment="1">
      <alignment horizontal="left" wrapText="1" indent="1"/>
    </xf>
    <xf numFmtId="0" fontId="17" fillId="4" borderId="0" xfId="0" applyFont="1" applyFill="1" applyAlignment="1">
      <alignment horizontal="right" wrapText="1" indent="1"/>
    </xf>
    <xf numFmtId="0" fontId="17" fillId="4" borderId="5" xfId="0" applyFont="1" applyFill="1" applyBorder="1" applyAlignment="1">
      <alignment horizontal="left" wrapText="1" indent="1"/>
    </xf>
    <xf numFmtId="0" fontId="17" fillId="4" borderId="5" xfId="0" applyFont="1" applyFill="1" applyBorder="1" applyAlignment="1">
      <alignment horizontal="right" wrapText="1" indent="1"/>
    </xf>
    <xf numFmtId="0" fontId="19" fillId="4" borderId="6" xfId="0" applyFont="1" applyFill="1" applyBorder="1" applyAlignment="1">
      <alignment horizontal="left" vertical="top" wrapText="1" indent="1"/>
    </xf>
    <xf numFmtId="0" fontId="19" fillId="4" borderId="6" xfId="0" applyFont="1" applyFill="1" applyBorder="1" applyAlignment="1">
      <alignment horizontal="right" vertical="top" wrapText="1" indent="1"/>
    </xf>
    <xf numFmtId="0" fontId="19" fillId="4" borderId="0" xfId="0" applyFont="1" applyFill="1" applyAlignment="1">
      <alignment horizontal="left" vertical="top" wrapText="1" indent="1"/>
    </xf>
    <xf numFmtId="0" fontId="19" fillId="4" borderId="0" xfId="0" applyFont="1" applyFill="1" applyAlignment="1">
      <alignment horizontal="right" vertical="top" wrapText="1" indent="1"/>
    </xf>
    <xf numFmtId="0" fontId="0" fillId="0" borderId="0" xfId="0" applyAlignment="1">
      <alignment wrapText="1"/>
    </xf>
    <xf numFmtId="0" fontId="2" fillId="0" borderId="0" xfId="32"/>
    <xf numFmtId="0" fontId="2" fillId="0" borderId="0" xfId="33"/>
    <xf numFmtId="0" fontId="3" fillId="0" borderId="4" xfId="34">
      <alignment wrapText="1"/>
    </xf>
    <xf numFmtId="0" fontId="8" fillId="0" borderId="0" xfId="32" applyFont="1"/>
    <xf numFmtId="0" fontId="9" fillId="0" borderId="0" xfId="32" applyFont="1"/>
    <xf numFmtId="0" fontId="4" fillId="0" borderId="0" xfId="35">
      <alignment horizontal="left"/>
    </xf>
    <xf numFmtId="0" fontId="2" fillId="0" borderId="0" xfId="32" applyAlignment="1">
      <alignment horizontal="left"/>
    </xf>
    <xf numFmtId="0" fontId="3" fillId="0" borderId="2" xfId="36">
      <alignment wrapText="1"/>
    </xf>
    <xf numFmtId="0" fontId="0" fillId="0" borderId="3" xfId="37" applyFont="1">
      <alignment wrapText="1"/>
    </xf>
    <xf numFmtId="166" fontId="0" fillId="0" borderId="3" xfId="37" applyNumberFormat="1" applyFont="1" applyAlignment="1">
      <alignment horizontal="right" wrapText="1"/>
    </xf>
    <xf numFmtId="165" fontId="0" fillId="0" borderId="3" xfId="37" applyNumberFormat="1" applyFont="1" applyAlignment="1">
      <alignment horizontal="right" wrapText="1"/>
    </xf>
    <xf numFmtId="0" fontId="2" fillId="0" borderId="2" xfId="36" applyFont="1">
      <alignment wrapText="1"/>
    </xf>
    <xf numFmtId="4" fontId="0" fillId="0" borderId="3" xfId="37" applyNumberFormat="1" applyFont="1" applyAlignment="1">
      <alignment horizontal="right" wrapText="1"/>
    </xf>
    <xf numFmtId="3" fontId="3" fillId="0" borderId="2" xfId="36" applyNumberFormat="1" applyAlignment="1">
      <alignment horizontal="right" wrapText="1"/>
    </xf>
    <xf numFmtId="165" fontId="3" fillId="0" borderId="2" xfId="36" applyNumberFormat="1" applyAlignment="1">
      <alignment horizontal="right" wrapText="1"/>
    </xf>
    <xf numFmtId="0" fontId="11" fillId="0" borderId="0" xfId="32" applyFont="1"/>
    <xf numFmtId="1" fontId="0" fillId="5" borderId="0" xfId="0" applyNumberFormat="1" applyFill="1"/>
    <xf numFmtId="3" fontId="0" fillId="5" borderId="0" xfId="0" applyNumberFormat="1" applyFill="1"/>
    <xf numFmtId="0" fontId="0" fillId="5" borderId="0" xfId="0" applyFill="1"/>
    <xf numFmtId="10" fontId="0" fillId="5" borderId="0" xfId="0" applyNumberFormat="1" applyFill="1"/>
    <xf numFmtId="0" fontId="9" fillId="5" borderId="0" xfId="0" applyFont="1" applyFill="1"/>
    <xf numFmtId="0" fontId="0" fillId="5" borderId="3" xfId="4" applyFont="1" applyFill="1">
      <alignment wrapText="1"/>
    </xf>
    <xf numFmtId="3" fontId="3" fillId="5" borderId="2" xfId="3" applyNumberFormat="1" applyFill="1" applyAlignment="1">
      <alignment horizontal="right" wrapText="1"/>
    </xf>
    <xf numFmtId="165" fontId="3" fillId="5" borderId="2" xfId="10" applyNumberFormat="1" applyFont="1" applyFill="1" applyBorder="1" applyAlignment="1">
      <alignment horizontal="right" wrapText="1"/>
    </xf>
    <xf numFmtId="0" fontId="9" fillId="3" borderId="0" xfId="0" applyFont="1" applyFill="1"/>
    <xf numFmtId="0" fontId="0" fillId="3" borderId="3" xfId="4" applyFont="1" applyFill="1">
      <alignment wrapText="1"/>
    </xf>
    <xf numFmtId="3" fontId="3" fillId="3" borderId="2" xfId="3" applyNumberFormat="1" applyFill="1" applyAlignment="1">
      <alignment horizontal="right" wrapText="1"/>
    </xf>
    <xf numFmtId="165" fontId="3" fillId="3" borderId="2" xfId="10" applyNumberFormat="1" applyFont="1" applyFill="1" applyBorder="1" applyAlignment="1">
      <alignment horizontal="right" wrapText="1"/>
    </xf>
    <xf numFmtId="3" fontId="0" fillId="6" borderId="0" xfId="0" applyNumberFormat="1" applyFill="1"/>
    <xf numFmtId="0" fontId="9" fillId="7" borderId="0" xfId="0" applyFont="1" applyFill="1"/>
    <xf numFmtId="0" fontId="0" fillId="7" borderId="3" xfId="4" applyFont="1" applyFill="1">
      <alignment wrapText="1"/>
    </xf>
    <xf numFmtId="3" fontId="3" fillId="7" borderId="2" xfId="3" applyNumberFormat="1" applyFill="1" applyAlignment="1">
      <alignment horizontal="right" wrapText="1"/>
    </xf>
    <xf numFmtId="165" fontId="3" fillId="7" borderId="2" xfId="10" applyNumberFormat="1" applyFont="1" applyFill="1" applyBorder="1" applyAlignment="1">
      <alignment horizontal="right" wrapText="1"/>
    </xf>
    <xf numFmtId="0" fontId="0" fillId="7" borderId="0" xfId="0" applyFill="1"/>
    <xf numFmtId="0" fontId="9" fillId="8" borderId="0" xfId="0" applyFont="1" applyFill="1"/>
    <xf numFmtId="0" fontId="0" fillId="8" borderId="3" xfId="4" applyFont="1" applyFill="1">
      <alignment wrapText="1"/>
    </xf>
    <xf numFmtId="3" fontId="3" fillId="8" borderId="2" xfId="3" applyNumberFormat="1" applyFill="1" applyAlignment="1">
      <alignment horizontal="right" wrapText="1"/>
    </xf>
    <xf numFmtId="165" fontId="3" fillId="8" borderId="2" xfId="10" applyNumberFormat="1" applyFont="1" applyFill="1" applyBorder="1" applyAlignment="1">
      <alignment horizontal="right" wrapText="1"/>
    </xf>
    <xf numFmtId="0" fontId="0" fillId="8" borderId="0" xfId="0" applyFill="1"/>
    <xf numFmtId="10" fontId="1" fillId="0" borderId="0" xfId="0" applyNumberFormat="1" applyFont="1"/>
    <xf numFmtId="0" fontId="2" fillId="0" borderId="1" xfId="38">
      <alignment wrapText="1"/>
    </xf>
    <xf numFmtId="0" fontId="17" fillId="4" borderId="8" xfId="0" applyFont="1" applyFill="1" applyBorder="1" applyAlignment="1">
      <alignment horizontal="left" vertical="top" wrapText="1" indent="1"/>
    </xf>
    <xf numFmtId="0" fontId="0" fillId="4" borderId="0" xfId="0" applyFill="1" applyAlignment="1">
      <alignment horizontal="left" vertical="center"/>
    </xf>
    <xf numFmtId="0" fontId="0" fillId="0" borderId="0" xfId="0"/>
    <xf numFmtId="0" fontId="17" fillId="4" borderId="7" xfId="0" applyFont="1" applyFill="1" applyBorder="1" applyAlignment="1">
      <alignment horizontal="left" vertical="top" wrapText="1" indent="1"/>
    </xf>
    <xf numFmtId="0" fontId="2" fillId="0" borderId="0" xfId="1"/>
    <xf numFmtId="0" fontId="16" fillId="0" borderId="1" xfId="13" applyFont="1">
      <alignment wrapText="1"/>
    </xf>
    <xf numFmtId="0" fontId="2" fillId="0" borderId="1" xfId="1" applyBorder="1"/>
    <xf numFmtId="0" fontId="11" fillId="0" borderId="1" xfId="2" applyFont="1">
      <alignment wrapText="1"/>
    </xf>
    <xf numFmtId="0" fontId="0" fillId="0" borderId="1" xfId="0" applyBorder="1"/>
  </cellXfs>
  <cellStyles count="39">
    <cellStyle name="Body: normal cell" xfId="4" xr:uid="{00000000-0005-0000-0000-000000000000}"/>
    <cellStyle name="Body: normal cell 2" xfId="26" xr:uid="{18BAE46B-2E2B-4189-9E60-EEC8494BA028}"/>
    <cellStyle name="Body: normal cell 2 2" xfId="37" xr:uid="{E48511A9-5004-4761-A184-4BA133A6B171}"/>
    <cellStyle name="Body: normal cell 3" xfId="19" xr:uid="{46606A30-9DB6-4D96-9D39-18DB8C25C045}"/>
    <cellStyle name="Body: normal cell 4" xfId="11" xr:uid="{23D7D41B-0FA5-4B15-8ACE-D94C027772C4}"/>
    <cellStyle name="Comma" xfId="9" builtinId="3"/>
    <cellStyle name="Font: Calibri, 9pt regular" xfId="6" xr:uid="{00000000-0005-0000-0000-000001000000}"/>
    <cellStyle name="Font: Calibri, 9pt regular 2" xfId="27" xr:uid="{97A6AFB7-D07D-4277-A8A5-6AA031407B07}"/>
    <cellStyle name="Font: Calibri, 9pt regular 2 2" xfId="33" xr:uid="{5561B678-9686-4A47-AEE2-1829BF5ECE31}"/>
    <cellStyle name="Font: Calibri, 9pt regular 3" xfId="20" xr:uid="{0009694E-C95B-4F43-83D7-2529DBC1B2D2}"/>
    <cellStyle name="Font: Calibri, 9pt regular 4" xfId="12" xr:uid="{4997676D-DE0F-4BF4-98C6-34E7B74441C2}"/>
    <cellStyle name="Footnotes: top row" xfId="2" xr:uid="{00000000-0005-0000-0000-000002000000}"/>
    <cellStyle name="Footnotes: top row 2" xfId="28" xr:uid="{97AB559D-7086-41BA-8641-AC105062AF6A}"/>
    <cellStyle name="Footnotes: top row 2 2" xfId="38" xr:uid="{C3371204-9A8D-4B4A-BA62-E4D61B8E4A1B}"/>
    <cellStyle name="Footnotes: top row 3" xfId="21" xr:uid="{D97984EB-4776-4DB2-9C83-81983F1B6E98}"/>
    <cellStyle name="Footnotes: top row 4" xfId="13" xr:uid="{F3BA1A2C-AD77-4812-ACFA-6C7A7B962945}"/>
    <cellStyle name="Header: bottom row" xfId="5" xr:uid="{00000000-0005-0000-0000-000003000000}"/>
    <cellStyle name="Header: bottom row 2" xfId="29" xr:uid="{1D7C7530-C012-4975-BABC-640C7522786E}"/>
    <cellStyle name="Header: bottom row 2 2" xfId="34" xr:uid="{EE51D15B-9F82-49A2-81BE-D31E93F8B471}"/>
    <cellStyle name="Header: bottom row 3" xfId="22" xr:uid="{D4A074B3-C733-4663-AFD1-0229ED226851}"/>
    <cellStyle name="Header: bottom row 4" xfId="14" xr:uid="{040BC27B-CB03-4FDE-8B80-4B13E048F2D8}"/>
    <cellStyle name="Hyperlink" xfId="8" builtinId="8"/>
    <cellStyle name="Normal" xfId="0" builtinId="0"/>
    <cellStyle name="Normal 2" xfId="1" xr:uid="{00000000-0005-0000-0000-000006000000}"/>
    <cellStyle name="Normal 2 2" xfId="32" xr:uid="{D37C3C14-D3D6-4B29-9C94-248856D422D9}"/>
    <cellStyle name="Normal 3" xfId="25" xr:uid="{F75C00A9-4AB0-4B9A-85F1-1BA242EDAF83}"/>
    <cellStyle name="Normal 4" xfId="18" xr:uid="{D654EA3C-A2C4-4D73-9768-00B5086DE48E}"/>
    <cellStyle name="Normal 5" xfId="17" xr:uid="{0C79D543-A7BB-495E-ADE9-28C4F0835F44}"/>
    <cellStyle name="Parent row" xfId="3" xr:uid="{00000000-0005-0000-0000-000007000000}"/>
    <cellStyle name="Parent row 2" xfId="30" xr:uid="{1C336998-EB49-46ED-B880-BDD7385C1A9F}"/>
    <cellStyle name="Parent row 2 2" xfId="36" xr:uid="{AA374C1E-2BB8-454B-80C6-04A1D450E1B7}"/>
    <cellStyle name="Parent row 3" xfId="23" xr:uid="{E39AA093-46A1-425E-9FAB-5E5D22915C9B}"/>
    <cellStyle name="Parent row 4" xfId="15" xr:uid="{766EEC84-3128-426E-8720-CF77BEFFA340}"/>
    <cellStyle name="Percent" xfId="10" builtinId="5"/>
    <cellStyle name="Table title" xfId="7" xr:uid="{00000000-0005-0000-0000-000008000000}"/>
    <cellStyle name="Table title 2" xfId="31" xr:uid="{75C5CFB8-5852-4F3E-A011-ECC9372E7F45}"/>
    <cellStyle name="Table title 2 2" xfId="35" xr:uid="{962E06AF-4F44-47A7-9325-885E8C2C52F4}"/>
    <cellStyle name="Table title 3" xfId="24" xr:uid="{D3D003D1-845D-4DC8-878D-F5771072DB44}"/>
    <cellStyle name="Table title 4" xfId="16" xr:uid="{09C4790A-A5AC-4A4C-A2DC-60844BB56B28}"/>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26" Type="http://schemas.openxmlformats.org/officeDocument/2006/relationships/worksheet" Target="worksheets/sheet26.xml"/><Relationship Id="rId21" Type="http://schemas.openxmlformats.org/officeDocument/2006/relationships/worksheet" Target="worksheets/sheet21.xml"/><Relationship Id="rId42" Type="http://schemas.openxmlformats.org/officeDocument/2006/relationships/worksheet" Target="worksheets/sheet42.xml"/><Relationship Id="rId47" Type="http://schemas.openxmlformats.org/officeDocument/2006/relationships/worksheet" Target="worksheets/sheet47.xml"/><Relationship Id="rId63" Type="http://schemas.openxmlformats.org/officeDocument/2006/relationships/worksheet" Target="worksheets/sheet63.xml"/><Relationship Id="rId68" Type="http://schemas.openxmlformats.org/officeDocument/2006/relationships/worksheet" Target="worksheets/sheet68.xml"/><Relationship Id="rId84" Type="http://schemas.openxmlformats.org/officeDocument/2006/relationships/worksheet" Target="worksheets/sheet84.xml"/><Relationship Id="rId89" Type="http://schemas.openxmlformats.org/officeDocument/2006/relationships/worksheet" Target="worksheets/sheet89.xml"/><Relationship Id="rId16" Type="http://schemas.openxmlformats.org/officeDocument/2006/relationships/worksheet" Target="worksheets/sheet16.xml"/><Relationship Id="rId11" Type="http://schemas.openxmlformats.org/officeDocument/2006/relationships/worksheet" Target="worksheets/sheet11.xml"/><Relationship Id="rId32" Type="http://schemas.openxmlformats.org/officeDocument/2006/relationships/worksheet" Target="worksheets/sheet32.xml"/><Relationship Id="rId37" Type="http://schemas.openxmlformats.org/officeDocument/2006/relationships/worksheet" Target="worksheets/sheet37.xml"/><Relationship Id="rId53" Type="http://schemas.openxmlformats.org/officeDocument/2006/relationships/worksheet" Target="worksheets/sheet53.xml"/><Relationship Id="rId58" Type="http://schemas.openxmlformats.org/officeDocument/2006/relationships/worksheet" Target="worksheets/sheet58.xml"/><Relationship Id="rId74" Type="http://schemas.openxmlformats.org/officeDocument/2006/relationships/worksheet" Target="worksheets/sheet74.xml"/><Relationship Id="rId79" Type="http://schemas.openxmlformats.org/officeDocument/2006/relationships/worksheet" Target="worksheets/sheet79.xml"/><Relationship Id="rId102" Type="http://schemas.openxmlformats.org/officeDocument/2006/relationships/theme" Target="theme/theme1.xml"/><Relationship Id="rId5" Type="http://schemas.openxmlformats.org/officeDocument/2006/relationships/worksheet" Target="worksheets/sheet5.xml"/><Relationship Id="rId90" Type="http://schemas.openxmlformats.org/officeDocument/2006/relationships/worksheet" Target="worksheets/sheet90.xml"/><Relationship Id="rId95" Type="http://schemas.openxmlformats.org/officeDocument/2006/relationships/worksheet" Target="worksheets/sheet95.xml"/><Relationship Id="rId22" Type="http://schemas.openxmlformats.org/officeDocument/2006/relationships/worksheet" Target="worksheets/sheet22.xml"/><Relationship Id="rId27" Type="http://schemas.openxmlformats.org/officeDocument/2006/relationships/worksheet" Target="worksheets/sheet27.xml"/><Relationship Id="rId43" Type="http://schemas.openxmlformats.org/officeDocument/2006/relationships/worksheet" Target="worksheets/sheet43.xml"/><Relationship Id="rId48" Type="http://schemas.openxmlformats.org/officeDocument/2006/relationships/worksheet" Target="worksheets/sheet48.xml"/><Relationship Id="rId64" Type="http://schemas.openxmlformats.org/officeDocument/2006/relationships/worksheet" Target="worksheets/sheet64.xml"/><Relationship Id="rId69" Type="http://schemas.openxmlformats.org/officeDocument/2006/relationships/worksheet" Target="worksheets/sheet69.xml"/><Relationship Id="rId80" Type="http://schemas.openxmlformats.org/officeDocument/2006/relationships/worksheet" Target="worksheets/sheet80.xml"/><Relationship Id="rId85" Type="http://schemas.openxmlformats.org/officeDocument/2006/relationships/worksheet" Target="worksheets/sheet85.xml"/><Relationship Id="rId12" Type="http://schemas.openxmlformats.org/officeDocument/2006/relationships/worksheet" Target="worksheets/sheet12.xml"/><Relationship Id="rId17" Type="http://schemas.openxmlformats.org/officeDocument/2006/relationships/worksheet" Target="worksheets/sheet17.xml"/><Relationship Id="rId33" Type="http://schemas.openxmlformats.org/officeDocument/2006/relationships/worksheet" Target="worksheets/sheet33.xml"/><Relationship Id="rId38" Type="http://schemas.openxmlformats.org/officeDocument/2006/relationships/worksheet" Target="worksheets/sheet38.xml"/><Relationship Id="rId59" Type="http://schemas.openxmlformats.org/officeDocument/2006/relationships/worksheet" Target="worksheets/sheet59.xml"/><Relationship Id="rId103" Type="http://schemas.openxmlformats.org/officeDocument/2006/relationships/styles" Target="styles.xml"/><Relationship Id="rId20" Type="http://schemas.openxmlformats.org/officeDocument/2006/relationships/worksheet" Target="worksheets/sheet20.xml"/><Relationship Id="rId41" Type="http://schemas.openxmlformats.org/officeDocument/2006/relationships/worksheet" Target="worksheets/sheet41.xml"/><Relationship Id="rId54" Type="http://schemas.openxmlformats.org/officeDocument/2006/relationships/worksheet" Target="worksheets/sheet54.xml"/><Relationship Id="rId62" Type="http://schemas.openxmlformats.org/officeDocument/2006/relationships/worksheet" Target="worksheets/sheet62.xml"/><Relationship Id="rId70" Type="http://schemas.openxmlformats.org/officeDocument/2006/relationships/worksheet" Target="worksheets/sheet70.xml"/><Relationship Id="rId75" Type="http://schemas.openxmlformats.org/officeDocument/2006/relationships/worksheet" Target="worksheets/sheet75.xml"/><Relationship Id="rId83" Type="http://schemas.openxmlformats.org/officeDocument/2006/relationships/worksheet" Target="worksheets/sheet83.xml"/><Relationship Id="rId88" Type="http://schemas.openxmlformats.org/officeDocument/2006/relationships/worksheet" Target="worksheets/sheet88.xml"/><Relationship Id="rId91" Type="http://schemas.openxmlformats.org/officeDocument/2006/relationships/worksheet" Target="worksheets/sheet91.xml"/><Relationship Id="rId96" Type="http://schemas.openxmlformats.org/officeDocument/2006/relationships/worksheet" Target="worksheets/sheet96.xml"/><Relationship Id="rId1" Type="http://schemas.openxmlformats.org/officeDocument/2006/relationships/worksheet" Target="worksheets/sheet1.xml"/><Relationship Id="rId6" Type="http://schemas.openxmlformats.org/officeDocument/2006/relationships/worksheet" Target="worksheets/sheet6.xml"/><Relationship Id="rId15" Type="http://schemas.openxmlformats.org/officeDocument/2006/relationships/worksheet" Target="worksheets/sheet15.xml"/><Relationship Id="rId23" Type="http://schemas.openxmlformats.org/officeDocument/2006/relationships/worksheet" Target="worksheets/sheet23.xml"/><Relationship Id="rId28" Type="http://schemas.openxmlformats.org/officeDocument/2006/relationships/worksheet" Target="worksheets/sheet28.xml"/><Relationship Id="rId36" Type="http://schemas.openxmlformats.org/officeDocument/2006/relationships/worksheet" Target="worksheets/sheet36.xml"/><Relationship Id="rId49" Type="http://schemas.openxmlformats.org/officeDocument/2006/relationships/worksheet" Target="worksheets/sheet49.xml"/><Relationship Id="rId57" Type="http://schemas.openxmlformats.org/officeDocument/2006/relationships/worksheet" Target="worksheets/sheet57.xml"/><Relationship Id="rId10" Type="http://schemas.openxmlformats.org/officeDocument/2006/relationships/worksheet" Target="worksheets/sheet10.xml"/><Relationship Id="rId31" Type="http://schemas.openxmlformats.org/officeDocument/2006/relationships/worksheet" Target="worksheets/sheet31.xml"/><Relationship Id="rId44" Type="http://schemas.openxmlformats.org/officeDocument/2006/relationships/worksheet" Target="worksheets/sheet44.xml"/><Relationship Id="rId52" Type="http://schemas.openxmlformats.org/officeDocument/2006/relationships/worksheet" Target="worksheets/sheet52.xml"/><Relationship Id="rId60" Type="http://schemas.openxmlformats.org/officeDocument/2006/relationships/worksheet" Target="worksheets/sheet60.xml"/><Relationship Id="rId65" Type="http://schemas.openxmlformats.org/officeDocument/2006/relationships/worksheet" Target="worksheets/sheet65.xml"/><Relationship Id="rId73" Type="http://schemas.openxmlformats.org/officeDocument/2006/relationships/worksheet" Target="worksheets/sheet73.xml"/><Relationship Id="rId78" Type="http://schemas.openxmlformats.org/officeDocument/2006/relationships/worksheet" Target="worksheets/sheet78.xml"/><Relationship Id="rId81" Type="http://schemas.openxmlformats.org/officeDocument/2006/relationships/worksheet" Target="worksheets/sheet81.xml"/><Relationship Id="rId86" Type="http://schemas.openxmlformats.org/officeDocument/2006/relationships/worksheet" Target="worksheets/sheet86.xml"/><Relationship Id="rId94" Type="http://schemas.openxmlformats.org/officeDocument/2006/relationships/worksheet" Target="worksheets/sheet94.xml"/><Relationship Id="rId99" Type="http://schemas.openxmlformats.org/officeDocument/2006/relationships/worksheet" Target="worksheets/sheet99.xml"/><Relationship Id="rId101" Type="http://schemas.openxmlformats.org/officeDocument/2006/relationships/externalLink" Target="externalLinks/externalLink2.xml"/><Relationship Id="rId4" Type="http://schemas.openxmlformats.org/officeDocument/2006/relationships/worksheet" Target="worksheets/sheet4.xml"/><Relationship Id="rId9" Type="http://schemas.openxmlformats.org/officeDocument/2006/relationships/worksheet" Target="worksheets/sheet9.xml"/><Relationship Id="rId13" Type="http://schemas.openxmlformats.org/officeDocument/2006/relationships/worksheet" Target="worksheets/sheet13.xml"/><Relationship Id="rId18" Type="http://schemas.openxmlformats.org/officeDocument/2006/relationships/worksheet" Target="worksheets/sheet18.xml"/><Relationship Id="rId39" Type="http://schemas.openxmlformats.org/officeDocument/2006/relationships/worksheet" Target="worksheets/sheet39.xml"/><Relationship Id="rId34" Type="http://schemas.openxmlformats.org/officeDocument/2006/relationships/worksheet" Target="worksheets/sheet34.xml"/><Relationship Id="rId50" Type="http://schemas.openxmlformats.org/officeDocument/2006/relationships/worksheet" Target="worksheets/sheet50.xml"/><Relationship Id="rId55" Type="http://schemas.openxmlformats.org/officeDocument/2006/relationships/worksheet" Target="worksheets/sheet55.xml"/><Relationship Id="rId76" Type="http://schemas.openxmlformats.org/officeDocument/2006/relationships/worksheet" Target="worksheets/sheet76.xml"/><Relationship Id="rId97" Type="http://schemas.openxmlformats.org/officeDocument/2006/relationships/worksheet" Target="worksheets/sheet97.xml"/><Relationship Id="rId104" Type="http://schemas.openxmlformats.org/officeDocument/2006/relationships/sharedStrings" Target="sharedStrings.xml"/><Relationship Id="rId7" Type="http://schemas.openxmlformats.org/officeDocument/2006/relationships/worksheet" Target="worksheets/sheet7.xml"/><Relationship Id="rId71" Type="http://schemas.openxmlformats.org/officeDocument/2006/relationships/worksheet" Target="worksheets/sheet71.xml"/><Relationship Id="rId92" Type="http://schemas.openxmlformats.org/officeDocument/2006/relationships/worksheet" Target="worksheets/sheet92.xml"/><Relationship Id="rId2" Type="http://schemas.openxmlformats.org/officeDocument/2006/relationships/worksheet" Target="worksheets/sheet2.xml"/><Relationship Id="rId29" Type="http://schemas.openxmlformats.org/officeDocument/2006/relationships/worksheet" Target="worksheets/sheet29.xml"/><Relationship Id="rId24" Type="http://schemas.openxmlformats.org/officeDocument/2006/relationships/worksheet" Target="worksheets/sheet24.xml"/><Relationship Id="rId40" Type="http://schemas.openxmlformats.org/officeDocument/2006/relationships/worksheet" Target="worksheets/sheet40.xml"/><Relationship Id="rId45" Type="http://schemas.openxmlformats.org/officeDocument/2006/relationships/worksheet" Target="worksheets/sheet45.xml"/><Relationship Id="rId66" Type="http://schemas.openxmlformats.org/officeDocument/2006/relationships/worksheet" Target="worksheets/sheet66.xml"/><Relationship Id="rId87" Type="http://schemas.openxmlformats.org/officeDocument/2006/relationships/worksheet" Target="worksheets/sheet87.xml"/><Relationship Id="rId61" Type="http://schemas.openxmlformats.org/officeDocument/2006/relationships/worksheet" Target="worksheets/sheet61.xml"/><Relationship Id="rId82" Type="http://schemas.openxmlformats.org/officeDocument/2006/relationships/worksheet" Target="worksheets/sheet82.xml"/><Relationship Id="rId19" Type="http://schemas.openxmlformats.org/officeDocument/2006/relationships/worksheet" Target="worksheets/sheet19.xml"/><Relationship Id="rId14" Type="http://schemas.openxmlformats.org/officeDocument/2006/relationships/worksheet" Target="worksheets/sheet14.xml"/><Relationship Id="rId30" Type="http://schemas.openxmlformats.org/officeDocument/2006/relationships/worksheet" Target="worksheets/sheet30.xml"/><Relationship Id="rId35" Type="http://schemas.openxmlformats.org/officeDocument/2006/relationships/worksheet" Target="worksheets/sheet35.xml"/><Relationship Id="rId56" Type="http://schemas.openxmlformats.org/officeDocument/2006/relationships/worksheet" Target="worksheets/sheet56.xml"/><Relationship Id="rId77" Type="http://schemas.openxmlformats.org/officeDocument/2006/relationships/worksheet" Target="worksheets/sheet77.xml"/><Relationship Id="rId100" Type="http://schemas.openxmlformats.org/officeDocument/2006/relationships/externalLink" Target="externalLinks/externalLink1.xml"/><Relationship Id="rId105" Type="http://schemas.openxmlformats.org/officeDocument/2006/relationships/calcChain" Target="calcChain.xml"/><Relationship Id="rId8" Type="http://schemas.openxmlformats.org/officeDocument/2006/relationships/worksheet" Target="worksheets/sheet8.xml"/><Relationship Id="rId51" Type="http://schemas.openxmlformats.org/officeDocument/2006/relationships/worksheet" Target="worksheets/sheet51.xml"/><Relationship Id="rId72" Type="http://schemas.openxmlformats.org/officeDocument/2006/relationships/worksheet" Target="worksheets/sheet72.xml"/><Relationship Id="rId93" Type="http://schemas.openxmlformats.org/officeDocument/2006/relationships/worksheet" Target="worksheets/sheet93.xml"/><Relationship Id="rId98" Type="http://schemas.openxmlformats.org/officeDocument/2006/relationships/worksheet" Target="worksheets/sheet98.xml"/><Relationship Id="rId3" Type="http://schemas.openxmlformats.org/officeDocument/2006/relationships/worksheet" Target="worksheets/sheet3.xml"/><Relationship Id="rId25" Type="http://schemas.openxmlformats.org/officeDocument/2006/relationships/worksheet" Target="worksheets/sheet25.xml"/><Relationship Id="rId46" Type="http://schemas.openxmlformats.org/officeDocument/2006/relationships/worksheet" Target="worksheets/sheet46.xml"/><Relationship Id="rId67" Type="http://schemas.openxmlformats.org/officeDocument/2006/relationships/worksheet" Target="worksheets/sheet67.xml"/></Relationships>
</file>

<file path=xl/externalLinks/_rels/externalLink1.xml.rels><?xml version="1.0" encoding="UTF-8" standalone="yes"?>
<Relationships xmlns="http://schemas.openxmlformats.org/package/2006/relationships"><Relationship Id="rId3" Type="http://schemas.openxmlformats.org/officeDocument/2006/relationships/externalLinkPath" Target="../../../../../../../MeganMahajan/Documents/eps-us/InputData/web-app/BCF/BTU%20Conversion%20Factors.xlsx" TargetMode="External"/><Relationship Id="rId2" Type="http://schemas.openxmlformats.org/officeDocument/2006/relationships/externalLinkPath" Target="file:///C:\Users\MeganMahajan\Documents\eps-us\InputData\web-app\BCF\BTU%20Conversion%20Factors.xlsx" TargetMode="External"/><Relationship Id="rId1" Type="http://schemas.openxmlformats.org/officeDocument/2006/relationships/externalLinkPath" Target="/Users/MeganMahajan/Documents/eps-us/InputData/web-app/BCF/BTU%20Conversion%20Factors.xlsx" TargetMode="External"/></Relationships>
</file>

<file path=xl/externalLinks/_rels/externalLink2.xml.rels><?xml version="1.0" encoding="UTF-8" standalone="yes"?>
<Relationships xmlns="http://schemas.openxmlformats.org/package/2006/relationships"><Relationship Id="rId3" Type="http://schemas.openxmlformats.org/officeDocument/2006/relationships/externalLinkPath" Target="../../../../../../../MeganMahajan/Documents/eps-us/InputData/fuels/PEI/Pollutant%20Emissions%20Intensities.xlsx" TargetMode="External"/><Relationship Id="rId2" Type="http://schemas.openxmlformats.org/officeDocument/2006/relationships/externalLinkPath" Target="file:///C:\Users\MeganMahajan\Documents\eps-us\InputData\fuels\PEI\Pollutant%20Emissions%20Intensities.xlsx" TargetMode="External"/><Relationship Id="rId1" Type="http://schemas.openxmlformats.org/officeDocument/2006/relationships/externalLinkPath" Target="/Users/MeganMahajan/Documents/eps-us/InputData/fuels/PEI/Pollutant%20Emissions%20Intensities.xlsx" TargetMode="External"/></Relationships>
</file>

<file path=xl/externalLinks/externalLink1.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xxl21:alternateUrls>
      <xxl21:absoluteUrl r:id="rId2"/>
      <xxl21:relativeUrl r:id="rId3"/>
    </xxl21:alternateUrls>
    <sheetNames>
      <sheetName val="About"/>
      <sheetName val="AEO Table 73"/>
      <sheetName val="GREET1 Fuel_Specs"/>
      <sheetName val="BCF-BpLFOU"/>
      <sheetName val="BCF-BpSFOU"/>
      <sheetName val="BCF-VFEUCF"/>
      <sheetName val="BCF-BpEIEOU"/>
      <sheetName val="BCF-BpMMTH"/>
    </sheetNames>
    <sheetDataSet>
      <sheetData sheetId="0">
        <row r="75">
          <cell r="A75">
            <v>42</v>
          </cell>
        </row>
      </sheetData>
      <sheetData sheetId="1" refreshError="1"/>
      <sheetData sheetId="2" refreshError="1"/>
      <sheetData sheetId="3" refreshError="1"/>
      <sheetData sheetId="4" refreshError="1"/>
      <sheetData sheetId="5" refreshError="1"/>
      <sheetData sheetId="6" refreshError="1"/>
      <sheetData sheetId="7" refreshError="1"/>
    </sheetDataSet>
  </externalBook>
</externalLink>
</file>

<file path=xl/externalLinks/externalLink2.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xxl21:alternateUrls>
      <xxl21:absoluteUrl r:id="rId2"/>
      <xxl21:relativeUrl r:id="rId3"/>
    </xxl21:alternateUrls>
    <sheetNames>
      <sheetName val="About"/>
      <sheetName val="Key to Data Locs"/>
      <sheetName val="GREET1 Results"/>
      <sheetName val="emissions by plant type"/>
      <sheetName val="GREET1 EF"/>
      <sheetName val="GREET1 Electric"/>
      <sheetName val="GREET1 JetFuel_WTWa"/>
      <sheetName val="GREET1 Fuel_Specs"/>
      <sheetName val="EF Hub"/>
      <sheetName val="Fuel Heat Contents"/>
      <sheetName val="eGrid Plant"/>
      <sheetName val="EIA-fuel-ethanol-motor-gasoline"/>
      <sheetName val="Biodiesel Fraction"/>
      <sheetName val="Hard Coal and Lignite"/>
      <sheetName val="EPA_data"/>
      <sheetName val="Crosswalk sectors"/>
      <sheetName val="Crosswalk parts"/>
      <sheetName val="aeo 58"/>
      <sheetName val="aeo 11"/>
      <sheetName val="aeo 17"/>
      <sheetName val="aeo 35"/>
      <sheetName val="aeo 34"/>
      <sheetName val="aeo 33"/>
      <sheetName val="aeo 32"/>
      <sheetName val="aeo 31"/>
      <sheetName val="aeo 30"/>
      <sheetName val="aeo 29"/>
      <sheetName val="AEO 28"/>
      <sheetName val="aeo 27"/>
      <sheetName val="AEO 26"/>
      <sheetName val="aeo 25"/>
      <sheetName val="AEO 72"/>
      <sheetName val="AEO Table 73"/>
      <sheetName val="AEO 37"/>
      <sheetName val="AEO 4"/>
      <sheetName val="AEO 5"/>
      <sheetName val="AEO 2"/>
      <sheetName val="EPA Data_by prim poll"/>
      <sheetName val="AEO 6"/>
      <sheetName val="Mining Breakdown"/>
      <sheetName val="2017 AEO BIFUBC"/>
      <sheetName val="CHECK"/>
      <sheetName val="particulates"/>
      <sheetName val="energy"/>
      <sheetName val="calcs"/>
      <sheetName val="EPS output_emissions"/>
      <sheetName val="EPS output_transp"/>
      <sheetName val="EPS output_build"/>
      <sheetName val="EPS output_ind"/>
      <sheetName val="PEI-TFPEI-LDVs"/>
      <sheetName val="PEI-TFPEI-HDVs"/>
      <sheetName val="PEI-TFPEI-aircraft"/>
      <sheetName val="PEI-TFPEI-rail"/>
      <sheetName val="PEI-TFPEI-ships"/>
      <sheetName val="PEI-TFPEI-motorbikes"/>
      <sheetName val="PEI-EFPEI"/>
      <sheetName val="PEI-BFPEI"/>
      <sheetName val="PEI-IFPEI"/>
    </sheetNames>
    <sheetDataSet>
      <sheetData sheetId="0">
        <row r="97">
          <cell r="A97" t="b">
            <v>1</v>
          </cell>
        </row>
        <row r="211">
          <cell r="A211" t="b">
            <v>1</v>
          </cell>
        </row>
        <row r="226">
          <cell r="A226">
            <v>907185</v>
          </cell>
        </row>
        <row r="227">
          <cell r="A227">
            <v>1000000000000000</v>
          </cell>
        </row>
        <row r="228">
          <cell r="A228">
            <v>1000000000000</v>
          </cell>
        </row>
      </sheetData>
      <sheetData sheetId="1"/>
      <sheetData sheetId="2"/>
      <sheetData sheetId="3"/>
      <sheetData sheetId="4"/>
      <sheetData sheetId="5"/>
      <sheetData sheetId="6"/>
      <sheetData sheetId="7"/>
      <sheetData sheetId="8"/>
      <sheetData sheetId="9"/>
      <sheetData sheetId="10"/>
      <sheetData sheetId="11"/>
      <sheetData sheetId="12"/>
      <sheetData sheetId="13"/>
      <sheetData sheetId="14"/>
      <sheetData sheetId="15"/>
      <sheetData sheetId="16"/>
      <sheetData sheetId="17"/>
      <sheetData sheetId="18"/>
      <sheetData sheetId="19"/>
      <sheetData sheetId="20"/>
      <sheetData sheetId="21"/>
      <sheetData sheetId="22"/>
      <sheetData sheetId="23"/>
      <sheetData sheetId="24"/>
      <sheetData sheetId="25"/>
      <sheetData sheetId="26"/>
      <sheetData sheetId="27"/>
      <sheetData sheetId="28"/>
      <sheetData sheetId="29"/>
      <sheetData sheetId="30"/>
      <sheetData sheetId="31"/>
      <sheetData sheetId="32"/>
      <sheetData sheetId="33"/>
      <sheetData sheetId="34"/>
      <sheetData sheetId="35"/>
      <sheetData sheetId="36"/>
      <sheetData sheetId="37"/>
      <sheetData sheetId="38"/>
      <sheetData sheetId="39"/>
      <sheetData sheetId="40"/>
      <sheetData sheetId="41"/>
      <sheetData sheetId="42"/>
      <sheetData sheetId="43"/>
      <sheetData sheetId="44"/>
      <sheetData sheetId="45"/>
      <sheetData sheetId="46"/>
      <sheetData sheetId="47"/>
      <sheetData sheetId="48"/>
      <sheetData sheetId="49"/>
      <sheetData sheetId="50"/>
      <sheetData sheetId="51"/>
      <sheetData sheetId="52"/>
      <sheetData sheetId="53"/>
      <sheetData sheetId="54"/>
      <sheetData sheetId="55"/>
      <sheetData sheetId="56"/>
      <sheetData sheetId="57"/>
    </sheetDataSet>
  </externalBook>
</externalLink>
</file>

<file path=xl/theme/theme1.xml><?xml version="1.0" encoding="utf-8"?>
<a:theme xmlns:a="http://schemas.openxmlformats.org/drawingml/2006/main" name="Office Theme 2007 - 2010">
  <a:themeElements>
    <a:clrScheme name="Office 2007 - 2010">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2007 - 2010">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2007 - 2010">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xml version="1.0" encoding="UTF-8" standalone="yes"?>
<Relationships xmlns="http://schemas.openxmlformats.org/package/2006/relationships"><Relationship Id="rId2" Type="http://schemas.openxmlformats.org/officeDocument/2006/relationships/printerSettings" Target="../printerSettings/printerSettings1.bin"/><Relationship Id="rId1" Type="http://schemas.openxmlformats.org/officeDocument/2006/relationships/hyperlink" Target="https://www.eia.gov/energyexplained/biofuels/charts/fuel-ethanol-motor-gasoline.csv" TargetMode="External"/></Relationships>
</file>

<file path=xl/worksheets/_rels/sheet4.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17.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B52"/>
  <sheetViews>
    <sheetView workbookViewId="0">
      <selection activeCell="B7" sqref="B7"/>
    </sheetView>
  </sheetViews>
  <sheetFormatPr defaultRowHeight="14.25"/>
  <cols>
    <col min="2" max="2" width="69.265625" customWidth="1"/>
  </cols>
  <sheetData>
    <row r="1" spans="1:2">
      <c r="A1" s="1" t="s">
        <v>0</v>
      </c>
    </row>
    <row r="3" spans="1:2">
      <c r="A3" s="1" t="s">
        <v>1</v>
      </c>
      <c r="B3" s="6" t="s">
        <v>47</v>
      </c>
    </row>
    <row r="4" spans="1:2">
      <c r="B4" t="s">
        <v>1141</v>
      </c>
    </row>
    <row r="5" spans="1:2">
      <c r="B5" s="8">
        <v>2026</v>
      </c>
    </row>
    <row r="6" spans="1:2">
      <c r="B6" t="s">
        <v>1388</v>
      </c>
    </row>
    <row r="7" spans="1:2">
      <c r="B7" t="s">
        <v>1389</v>
      </c>
    </row>
    <row r="8" spans="1:2">
      <c r="B8" t="s">
        <v>1142</v>
      </c>
    </row>
    <row r="9" spans="1:2">
      <c r="B9" t="s">
        <v>1140</v>
      </c>
    </row>
    <row r="11" spans="1:2">
      <c r="B11" s="6" t="s">
        <v>49</v>
      </c>
    </row>
    <row r="12" spans="1:2">
      <c r="B12" t="s">
        <v>50</v>
      </c>
    </row>
    <row r="13" spans="1:2">
      <c r="B13" t="s">
        <v>51</v>
      </c>
    </row>
    <row r="14" spans="1:2">
      <c r="B14" t="s">
        <v>52</v>
      </c>
    </row>
    <row r="15" spans="1:2">
      <c r="B15" t="s">
        <v>53</v>
      </c>
    </row>
    <row r="16" spans="1:2">
      <c r="B16" t="s">
        <v>54</v>
      </c>
    </row>
    <row r="18" spans="1:2">
      <c r="B18" s="6" t="s">
        <v>155</v>
      </c>
    </row>
    <row r="19" spans="1:2">
      <c r="B19" t="s">
        <v>48</v>
      </c>
    </row>
    <row r="20" spans="1:2">
      <c r="B20" s="8">
        <v>2020</v>
      </c>
    </row>
    <row r="21" spans="1:2">
      <c r="B21" t="s">
        <v>156</v>
      </c>
    </row>
    <row r="22" spans="1:2">
      <c r="B22" s="11" t="s">
        <v>154</v>
      </c>
    </row>
    <row r="25" spans="1:2">
      <c r="A25" s="1" t="s">
        <v>14</v>
      </c>
    </row>
    <row r="26" spans="1:2">
      <c r="A26" t="s">
        <v>63</v>
      </c>
    </row>
    <row r="27" spans="1:2">
      <c r="A27" t="s">
        <v>64</v>
      </c>
    </row>
    <row r="28" spans="1:2">
      <c r="A28" t="s">
        <v>65</v>
      </c>
    </row>
    <row r="29" spans="1:2">
      <c r="A29" t="s">
        <v>67</v>
      </c>
    </row>
    <row r="30" spans="1:2">
      <c r="A30" t="s">
        <v>66</v>
      </c>
    </row>
    <row r="31" spans="1:2">
      <c r="A31" t="s">
        <v>71</v>
      </c>
    </row>
    <row r="32" spans="1:2">
      <c r="A32" t="s">
        <v>68</v>
      </c>
    </row>
    <row r="33" spans="1:1">
      <c r="A33" t="s">
        <v>69</v>
      </c>
    </row>
    <row r="34" spans="1:1">
      <c r="A34" t="s">
        <v>70</v>
      </c>
    </row>
    <row r="36" spans="1:1">
      <c r="A36" t="s">
        <v>59</v>
      </c>
    </row>
    <row r="37" spans="1:1">
      <c r="A37" t="s">
        <v>60</v>
      </c>
    </row>
    <row r="38" spans="1:1">
      <c r="A38" t="s">
        <v>61</v>
      </c>
    </row>
    <row r="39" spans="1:1">
      <c r="A39" t="s">
        <v>62</v>
      </c>
    </row>
    <row r="41" spans="1:1">
      <c r="A41" t="s">
        <v>72</v>
      </c>
    </row>
    <row r="42" spans="1:1">
      <c r="A42" t="s">
        <v>73</v>
      </c>
    </row>
    <row r="43" spans="1:1">
      <c r="A43" t="s">
        <v>74</v>
      </c>
    </row>
    <row r="44" spans="1:1">
      <c r="A44" t="s">
        <v>75</v>
      </c>
    </row>
    <row r="46" spans="1:1">
      <c r="A46" t="s">
        <v>80</v>
      </c>
    </row>
    <row r="47" spans="1:1">
      <c r="A47" t="s">
        <v>81</v>
      </c>
    </row>
    <row r="49" spans="1:1">
      <c r="A49" t="s">
        <v>76</v>
      </c>
    </row>
    <row r="50" spans="1:1">
      <c r="A50" t="s">
        <v>77</v>
      </c>
    </row>
    <row r="51" spans="1:1">
      <c r="A51" t="s">
        <v>78</v>
      </c>
    </row>
    <row r="52" spans="1:1">
      <c r="A52" t="s">
        <v>79</v>
      </c>
    </row>
  </sheetData>
  <hyperlinks>
    <hyperlink ref="B22" r:id="rId1" xr:uid="{5ACB08CE-1368-42D3-9F3D-A40FED497426}"/>
  </hyperlinks>
  <pageMargins left="0.7" right="0.7" top="0.75" bottom="0.75" header="0.3" footer="0.3"/>
  <pageSetup orientation="portrait" r:id="rId2"/>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C3CFEE0-A2D8-457C-BB2B-99EB52DD15D5}">
  <sheetPr>
    <tabColor theme="0" tint="-0.34998626667073579"/>
  </sheetPr>
  <dimension ref="A1"/>
  <sheetViews>
    <sheetView workbookViewId="0"/>
  </sheetViews>
  <sheetFormatPr defaultRowHeight="14.25"/>
  <sheetData/>
  <pageMargins left="0.7" right="0.7" top="0.75" bottom="0.75" header="0.3" footer="0.3"/>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12A68CB-69FB-4B2C-9DE3-151B8305E68F}">
  <dimension ref="A1:C47"/>
  <sheetViews>
    <sheetView topLeftCell="A19" workbookViewId="0">
      <selection activeCell="C27" sqref="C27"/>
    </sheetView>
  </sheetViews>
  <sheetFormatPr defaultRowHeight="14.25"/>
  <sheetData>
    <row r="1" spans="1:3">
      <c r="A1" t="s">
        <v>163</v>
      </c>
    </row>
    <row r="2" spans="1:3">
      <c r="A2" t="s">
        <v>162</v>
      </c>
    </row>
    <row r="3" spans="1:3">
      <c r="A3" t="s">
        <v>161</v>
      </c>
    </row>
    <row r="4" spans="1:3">
      <c r="A4" t="s">
        <v>160</v>
      </c>
    </row>
    <row r="5" spans="1:3">
      <c r="A5" t="s">
        <v>159</v>
      </c>
    </row>
    <row r="7" spans="1:3">
      <c r="B7" t="s">
        <v>158</v>
      </c>
      <c r="C7" t="s">
        <v>157</v>
      </c>
    </row>
    <row r="8" spans="1:3">
      <c r="A8">
        <v>1981</v>
      </c>
      <c r="B8">
        <v>8.3000000000000004E-2</v>
      </c>
      <c r="C8">
        <v>0.08</v>
      </c>
    </row>
    <row r="9" spans="1:3">
      <c r="A9">
        <v>1982</v>
      </c>
      <c r="B9">
        <v>0.22600000000000001</v>
      </c>
      <c r="C9">
        <v>0.22</v>
      </c>
    </row>
    <row r="10" spans="1:3">
      <c r="A10">
        <v>1983</v>
      </c>
      <c r="B10">
        <v>0.41499999999999998</v>
      </c>
      <c r="C10">
        <v>0.41</v>
      </c>
    </row>
    <row r="11" spans="1:3">
      <c r="A11">
        <v>1984</v>
      </c>
      <c r="B11">
        <v>0.51</v>
      </c>
      <c r="C11">
        <v>0.5</v>
      </c>
    </row>
    <row r="12" spans="1:3">
      <c r="A12">
        <v>1985</v>
      </c>
      <c r="B12">
        <v>0.61699999999999999</v>
      </c>
      <c r="C12">
        <v>0.59</v>
      </c>
    </row>
    <row r="13" spans="1:3">
      <c r="A13">
        <v>1986</v>
      </c>
      <c r="B13">
        <v>0.71199999999999997</v>
      </c>
      <c r="C13">
        <v>0.66</v>
      </c>
    </row>
    <row r="14" spans="1:3">
      <c r="A14">
        <v>1987</v>
      </c>
      <c r="B14">
        <v>0.81899999999999995</v>
      </c>
      <c r="C14">
        <v>0.74</v>
      </c>
    </row>
    <row r="15" spans="1:3">
      <c r="A15">
        <v>1988</v>
      </c>
      <c r="B15">
        <v>0.83099999999999996</v>
      </c>
      <c r="C15">
        <v>0.74</v>
      </c>
    </row>
    <row r="16" spans="1:3">
      <c r="A16">
        <v>1989</v>
      </c>
      <c r="B16">
        <v>0.84299999999999997</v>
      </c>
      <c r="C16">
        <v>0.75</v>
      </c>
    </row>
    <row r="17" spans="1:3">
      <c r="A17">
        <v>1990</v>
      </c>
      <c r="B17">
        <v>0.748</v>
      </c>
      <c r="C17">
        <v>0.67</v>
      </c>
    </row>
    <row r="18" spans="1:3">
      <c r="A18">
        <v>1991</v>
      </c>
      <c r="B18">
        <v>0.86599999999999999</v>
      </c>
      <c r="C18">
        <v>0.79</v>
      </c>
    </row>
    <row r="19" spans="1:3">
      <c r="A19">
        <v>1992</v>
      </c>
      <c r="B19">
        <v>0.98499999999999999</v>
      </c>
      <c r="C19">
        <v>0.88</v>
      </c>
    </row>
    <row r="20" spans="1:3">
      <c r="A20">
        <v>1993</v>
      </c>
      <c r="B20">
        <v>1.151</v>
      </c>
      <c r="C20">
        <v>1</v>
      </c>
    </row>
    <row r="21" spans="1:3">
      <c r="A21">
        <v>1994</v>
      </c>
      <c r="B21">
        <v>1.2889999999999999</v>
      </c>
      <c r="C21">
        <v>1.1100000000000001</v>
      </c>
    </row>
    <row r="22" spans="1:3">
      <c r="A22">
        <v>1995</v>
      </c>
      <c r="B22">
        <v>1.383</v>
      </c>
      <c r="C22">
        <v>1.1599999999999999</v>
      </c>
    </row>
    <row r="23" spans="1:3">
      <c r="A23">
        <v>1996</v>
      </c>
      <c r="B23">
        <v>0.99199999999999999</v>
      </c>
      <c r="C23">
        <v>0.82</v>
      </c>
    </row>
    <row r="24" spans="1:3">
      <c r="A24">
        <v>1997</v>
      </c>
      <c r="B24">
        <v>1.256</v>
      </c>
      <c r="C24">
        <v>1.02</v>
      </c>
    </row>
    <row r="25" spans="1:3">
      <c r="A25">
        <v>1998</v>
      </c>
      <c r="B25">
        <v>1.3879999999999999</v>
      </c>
      <c r="C25">
        <v>1.1000000000000001</v>
      </c>
    </row>
    <row r="26" spans="1:3">
      <c r="A26">
        <v>1999</v>
      </c>
      <c r="B26">
        <v>1.4430000000000001</v>
      </c>
      <c r="C26">
        <v>1.1200000000000001</v>
      </c>
    </row>
    <row r="27" spans="1:3">
      <c r="A27">
        <v>2000</v>
      </c>
      <c r="B27">
        <v>1.653</v>
      </c>
      <c r="C27">
        <v>1.27</v>
      </c>
    </row>
    <row r="28" spans="1:3">
      <c r="A28">
        <v>2001</v>
      </c>
      <c r="B28">
        <v>1.7410000000000001</v>
      </c>
      <c r="C28">
        <v>1.32</v>
      </c>
    </row>
    <row r="29" spans="1:3">
      <c r="A29">
        <v>2002</v>
      </c>
      <c r="B29">
        <v>2.073</v>
      </c>
      <c r="C29">
        <v>1.53</v>
      </c>
    </row>
    <row r="30" spans="1:3">
      <c r="A30">
        <v>2003</v>
      </c>
      <c r="B30">
        <v>2.8260000000000001</v>
      </c>
      <c r="C30">
        <v>2.06</v>
      </c>
    </row>
    <row r="31" spans="1:3">
      <c r="A31">
        <v>2004</v>
      </c>
      <c r="B31">
        <v>3.552</v>
      </c>
      <c r="C31">
        <v>2.54</v>
      </c>
    </row>
    <row r="32" spans="1:3">
      <c r="A32">
        <v>2005</v>
      </c>
      <c r="B32">
        <v>4.0590000000000002</v>
      </c>
      <c r="C32">
        <v>2.89</v>
      </c>
    </row>
    <row r="33" spans="1:3">
      <c r="A33">
        <v>2006</v>
      </c>
      <c r="B33">
        <v>5.4809999999999999</v>
      </c>
      <c r="C33">
        <v>3.86</v>
      </c>
    </row>
    <row r="34" spans="1:3">
      <c r="A34">
        <v>2007</v>
      </c>
      <c r="B34">
        <v>6.8860000000000001</v>
      </c>
      <c r="C34">
        <v>4.84</v>
      </c>
    </row>
    <row r="35" spans="1:3">
      <c r="A35">
        <v>2008</v>
      </c>
      <c r="B35">
        <v>9.6829999999999998</v>
      </c>
      <c r="C35">
        <v>7.01</v>
      </c>
    </row>
    <row r="36" spans="1:3">
      <c r="A36">
        <v>2009</v>
      </c>
      <c r="B36">
        <v>11.037000000000001</v>
      </c>
      <c r="C36">
        <v>8</v>
      </c>
    </row>
    <row r="37" spans="1:3">
      <c r="A37">
        <v>2010</v>
      </c>
      <c r="B37">
        <v>12.859</v>
      </c>
      <c r="C37">
        <v>9.33</v>
      </c>
    </row>
    <row r="38" spans="1:3">
      <c r="A38">
        <v>2011</v>
      </c>
      <c r="B38">
        <v>12.893000000000001</v>
      </c>
      <c r="C38">
        <v>9.61</v>
      </c>
    </row>
    <row r="39" spans="1:3">
      <c r="A39">
        <v>2012</v>
      </c>
      <c r="B39">
        <v>12.882</v>
      </c>
      <c r="C39">
        <v>9.65</v>
      </c>
    </row>
    <row r="40" spans="1:3">
      <c r="A40">
        <v>2013</v>
      </c>
      <c r="B40">
        <v>13.215999999999999</v>
      </c>
      <c r="C40">
        <v>9.75</v>
      </c>
    </row>
    <row r="41" spans="1:3">
      <c r="A41">
        <v>2014</v>
      </c>
      <c r="B41">
        <v>13.444000000000001</v>
      </c>
      <c r="C41">
        <v>9.83</v>
      </c>
    </row>
    <row r="42" spans="1:3">
      <c r="A42">
        <v>2015</v>
      </c>
      <c r="B42">
        <v>13.946999999999999</v>
      </c>
      <c r="C42">
        <v>9.91</v>
      </c>
    </row>
    <row r="43" spans="1:3">
      <c r="A43">
        <v>2016</v>
      </c>
      <c r="B43">
        <v>14.356</v>
      </c>
      <c r="C43">
        <v>10.02</v>
      </c>
    </row>
    <row r="44" spans="1:3">
      <c r="A44">
        <v>2017</v>
      </c>
      <c r="B44">
        <v>14.484999999999999</v>
      </c>
      <c r="C44">
        <v>10.130000000000001</v>
      </c>
    </row>
    <row r="45" spans="1:3">
      <c r="A45">
        <v>2018</v>
      </c>
      <c r="B45">
        <v>14.42</v>
      </c>
      <c r="C45">
        <v>10.08</v>
      </c>
    </row>
    <row r="46" spans="1:3">
      <c r="A46">
        <v>2019</v>
      </c>
      <c r="B46">
        <v>14.552</v>
      </c>
      <c r="C46">
        <v>10.199999999999999</v>
      </c>
    </row>
    <row r="47" spans="1:3">
      <c r="A47">
        <v>2020</v>
      </c>
      <c r="B47">
        <v>12.629</v>
      </c>
      <c r="C47">
        <v>10.23</v>
      </c>
    </row>
  </sheetData>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808C062-3883-434F-815E-8476D49D4D30}">
  <dimension ref="A1:AK85"/>
  <sheetViews>
    <sheetView workbookViewId="0">
      <pane xSplit="2" ySplit="1" topLeftCell="C2" activePane="bottomRight" state="frozen"/>
      <selection activeCell="C32" sqref="C32"/>
      <selection pane="topRight" activeCell="C32" sqref="C32"/>
      <selection pane="bottomLeft" activeCell="C32" sqref="C32"/>
      <selection pane="bottomRight" activeCell="F10" sqref="F10"/>
    </sheetView>
  </sheetViews>
  <sheetFormatPr defaultColWidth="9.1328125" defaultRowHeight="15" customHeight="1"/>
  <cols>
    <col min="1" max="1" width="20.86328125" style="65" hidden="1" customWidth="1"/>
    <col min="2" max="2" width="45.73046875" style="65" customWidth="1"/>
    <col min="3" max="16384" width="9.1328125" style="65"/>
  </cols>
  <sheetData>
    <row r="1" spans="1:37" ht="15" customHeight="1" thickBot="1">
      <c r="B1" s="66" t="s">
        <v>747</v>
      </c>
      <c r="C1" s="67">
        <v>2017</v>
      </c>
      <c r="D1" s="67">
        <v>2018</v>
      </c>
      <c r="E1" s="67">
        <v>2019</v>
      </c>
      <c r="F1" s="67">
        <v>2020</v>
      </c>
      <c r="G1" s="67">
        <v>2021</v>
      </c>
      <c r="H1" s="67">
        <v>2022</v>
      </c>
      <c r="I1" s="67">
        <v>2023</v>
      </c>
      <c r="J1" s="67">
        <v>2024</v>
      </c>
      <c r="K1" s="67">
        <v>2025</v>
      </c>
      <c r="L1" s="67">
        <v>2026</v>
      </c>
      <c r="M1" s="67">
        <v>2027</v>
      </c>
      <c r="N1" s="67">
        <v>2028</v>
      </c>
      <c r="O1" s="67">
        <v>2029</v>
      </c>
      <c r="P1" s="67">
        <v>2030</v>
      </c>
      <c r="Q1" s="67">
        <v>2031</v>
      </c>
      <c r="R1" s="67">
        <v>2032</v>
      </c>
      <c r="S1" s="67">
        <v>2033</v>
      </c>
      <c r="T1" s="67">
        <v>2034</v>
      </c>
      <c r="U1" s="67">
        <v>2035</v>
      </c>
      <c r="V1" s="67">
        <v>2036</v>
      </c>
      <c r="W1" s="67">
        <v>2037</v>
      </c>
      <c r="X1" s="67">
        <v>2038</v>
      </c>
      <c r="Y1" s="67">
        <v>2039</v>
      </c>
      <c r="Z1" s="67">
        <v>2040</v>
      </c>
      <c r="AA1" s="67">
        <v>2041</v>
      </c>
      <c r="AB1" s="67">
        <v>2042</v>
      </c>
      <c r="AC1" s="67">
        <v>2043</v>
      </c>
      <c r="AD1" s="67">
        <v>2044</v>
      </c>
      <c r="AE1" s="67">
        <v>2045</v>
      </c>
      <c r="AF1" s="67">
        <v>2046</v>
      </c>
      <c r="AG1" s="67">
        <v>2047</v>
      </c>
      <c r="AH1" s="67">
        <v>2048</v>
      </c>
      <c r="AI1" s="67">
        <v>2049</v>
      </c>
      <c r="AJ1" s="67">
        <v>2050</v>
      </c>
    </row>
    <row r="2" spans="1:37" ht="15" customHeight="1" thickTop="1"/>
    <row r="3" spans="1:37" ht="15" customHeight="1">
      <c r="C3" s="68" t="s">
        <v>165</v>
      </c>
      <c r="D3" s="68" t="s">
        <v>748</v>
      </c>
      <c r="E3" s="68"/>
      <c r="F3" s="68"/>
      <c r="G3" s="68"/>
    </row>
    <row r="4" spans="1:37" ht="15" customHeight="1">
      <c r="C4" s="68" t="s">
        <v>166</v>
      </c>
      <c r="D4" s="68" t="s">
        <v>749</v>
      </c>
      <c r="E4" s="68"/>
      <c r="F4" s="68"/>
      <c r="G4" s="68" t="s">
        <v>750</v>
      </c>
    </row>
    <row r="5" spans="1:37" ht="15" customHeight="1">
      <c r="C5" s="68" t="s">
        <v>168</v>
      </c>
      <c r="D5" s="68" t="s">
        <v>751</v>
      </c>
      <c r="E5" s="68"/>
      <c r="F5" s="68"/>
      <c r="G5" s="68"/>
    </row>
    <row r="6" spans="1:37" ht="15" customHeight="1">
      <c r="C6" s="68" t="s">
        <v>169</v>
      </c>
      <c r="D6" s="68"/>
      <c r="E6" s="68" t="s">
        <v>752</v>
      </c>
      <c r="F6" s="68"/>
      <c r="G6" s="68"/>
    </row>
    <row r="9" spans="1:37" ht="15" customHeight="1">
      <c r="C9" s="65">
        <f>C32/C35</f>
        <v>0.9682826275113553</v>
      </c>
      <c r="F9" s="65">
        <f>(C33-((1-0.102)*C35))/0.102</f>
        <v>3.5983878431372611</v>
      </c>
    </row>
    <row r="10" spans="1:37" ht="15" customHeight="1">
      <c r="A10" s="69" t="s">
        <v>753</v>
      </c>
      <c r="B10" s="70" t="s">
        <v>754</v>
      </c>
    </row>
    <row r="11" spans="1:37" ht="15" customHeight="1">
      <c r="B11" s="66" t="s">
        <v>755</v>
      </c>
    </row>
    <row r="12" spans="1:37" ht="15" customHeight="1">
      <c r="B12" s="66" t="s">
        <v>756</v>
      </c>
      <c r="C12" s="71" t="s">
        <v>756</v>
      </c>
      <c r="D12" s="71" t="s">
        <v>756</v>
      </c>
      <c r="E12" s="71" t="s">
        <v>756</v>
      </c>
      <c r="F12" s="71" t="s">
        <v>756</v>
      </c>
      <c r="G12" s="71" t="s">
        <v>756</v>
      </c>
      <c r="H12" s="71" t="s">
        <v>756</v>
      </c>
      <c r="I12" s="71" t="s">
        <v>756</v>
      </c>
      <c r="J12" s="71" t="s">
        <v>756</v>
      </c>
      <c r="K12" s="71" t="s">
        <v>756</v>
      </c>
      <c r="L12" s="71" t="s">
        <v>756</v>
      </c>
      <c r="M12" s="71" t="s">
        <v>756</v>
      </c>
      <c r="N12" s="71" t="s">
        <v>756</v>
      </c>
      <c r="O12" s="71" t="s">
        <v>756</v>
      </c>
      <c r="P12" s="71" t="s">
        <v>756</v>
      </c>
      <c r="Q12" s="71" t="s">
        <v>756</v>
      </c>
      <c r="R12" s="71" t="s">
        <v>756</v>
      </c>
      <c r="S12" s="71" t="s">
        <v>756</v>
      </c>
      <c r="T12" s="71" t="s">
        <v>756</v>
      </c>
      <c r="U12" s="71" t="s">
        <v>756</v>
      </c>
      <c r="V12" s="71" t="s">
        <v>756</v>
      </c>
      <c r="W12" s="71" t="s">
        <v>756</v>
      </c>
      <c r="X12" s="71" t="s">
        <v>756</v>
      </c>
      <c r="Y12" s="71" t="s">
        <v>756</v>
      </c>
      <c r="Z12" s="71" t="s">
        <v>756</v>
      </c>
      <c r="AA12" s="71" t="s">
        <v>756</v>
      </c>
      <c r="AB12" s="71" t="s">
        <v>756</v>
      </c>
      <c r="AC12" s="71" t="s">
        <v>756</v>
      </c>
      <c r="AD12" s="71" t="s">
        <v>756</v>
      </c>
      <c r="AE12" s="71" t="s">
        <v>756</v>
      </c>
      <c r="AF12" s="71" t="s">
        <v>756</v>
      </c>
      <c r="AG12" s="71" t="s">
        <v>756</v>
      </c>
      <c r="AH12" s="71" t="s">
        <v>756</v>
      </c>
      <c r="AI12" s="71" t="s">
        <v>756</v>
      </c>
      <c r="AJ12" s="71" t="s">
        <v>756</v>
      </c>
      <c r="AK12" s="71" t="s">
        <v>757</v>
      </c>
    </row>
    <row r="13" spans="1:37" ht="15" customHeight="1" thickBot="1">
      <c r="B13" s="67" t="s">
        <v>756</v>
      </c>
      <c r="C13" s="67">
        <v>2017</v>
      </c>
      <c r="D13" s="67">
        <v>2018</v>
      </c>
      <c r="E13" s="67">
        <v>2019</v>
      </c>
      <c r="F13" s="67">
        <v>2020</v>
      </c>
      <c r="G13" s="67">
        <v>2021</v>
      </c>
      <c r="H13" s="67">
        <v>2022</v>
      </c>
      <c r="I13" s="67">
        <v>2023</v>
      </c>
      <c r="J13" s="67">
        <v>2024</v>
      </c>
      <c r="K13" s="67">
        <v>2025</v>
      </c>
      <c r="L13" s="67">
        <v>2026</v>
      </c>
      <c r="M13" s="67">
        <v>2027</v>
      </c>
      <c r="N13" s="67">
        <v>2028</v>
      </c>
      <c r="O13" s="67">
        <v>2029</v>
      </c>
      <c r="P13" s="67">
        <v>2030</v>
      </c>
      <c r="Q13" s="67">
        <v>2031</v>
      </c>
      <c r="R13" s="67">
        <v>2032</v>
      </c>
      <c r="S13" s="67">
        <v>2033</v>
      </c>
      <c r="T13" s="67">
        <v>2034</v>
      </c>
      <c r="U13" s="67">
        <v>2035</v>
      </c>
      <c r="V13" s="67">
        <v>2036</v>
      </c>
      <c r="W13" s="67">
        <v>2037</v>
      </c>
      <c r="X13" s="67">
        <v>2038</v>
      </c>
      <c r="Y13" s="67">
        <v>2039</v>
      </c>
      <c r="Z13" s="67">
        <v>2040</v>
      </c>
      <c r="AA13" s="67">
        <v>2041</v>
      </c>
      <c r="AB13" s="67">
        <v>2042</v>
      </c>
      <c r="AC13" s="67">
        <v>2043</v>
      </c>
      <c r="AD13" s="67">
        <v>2044</v>
      </c>
      <c r="AE13" s="67">
        <v>2045</v>
      </c>
      <c r="AF13" s="67">
        <v>2046</v>
      </c>
      <c r="AG13" s="67">
        <v>2047</v>
      </c>
      <c r="AH13" s="67">
        <v>2048</v>
      </c>
      <c r="AI13" s="67">
        <v>2049</v>
      </c>
      <c r="AJ13" s="67">
        <v>2050</v>
      </c>
      <c r="AK13" s="67">
        <v>2050</v>
      </c>
    </row>
    <row r="14" spans="1:37" ht="15" customHeight="1" thickTop="1">
      <c r="B14" s="72" t="s">
        <v>758</v>
      </c>
    </row>
    <row r="15" spans="1:37" ht="15" customHeight="1">
      <c r="B15" s="72" t="s">
        <v>759</v>
      </c>
    </row>
    <row r="16" spans="1:37" ht="15" customHeight="1">
      <c r="A16" s="69" t="s">
        <v>760</v>
      </c>
      <c r="B16" s="73" t="s">
        <v>761</v>
      </c>
      <c r="C16" s="74">
        <v>6.6360000000000001</v>
      </c>
      <c r="D16" s="74">
        <v>6.6360000000000001</v>
      </c>
      <c r="E16" s="74">
        <v>6.6360000000000001</v>
      </c>
      <c r="F16" s="74">
        <v>6.6360000000000001</v>
      </c>
      <c r="G16" s="74">
        <v>6.6360000000000001</v>
      </c>
      <c r="H16" s="74">
        <v>6.6360000000000001</v>
      </c>
      <c r="I16" s="74">
        <v>6.6360000000000001</v>
      </c>
      <c r="J16" s="74">
        <v>6.6360000000000001</v>
      </c>
      <c r="K16" s="74">
        <v>6.6360000000000001</v>
      </c>
      <c r="L16" s="74">
        <v>6.6360000000000001</v>
      </c>
      <c r="M16" s="74">
        <v>6.6360000000000001</v>
      </c>
      <c r="N16" s="74">
        <v>6.6360000000000001</v>
      </c>
      <c r="O16" s="74">
        <v>6.6360000000000001</v>
      </c>
      <c r="P16" s="74">
        <v>6.6360000000000001</v>
      </c>
      <c r="Q16" s="74">
        <v>6.6360000000000001</v>
      </c>
      <c r="R16" s="74">
        <v>6.6360000000000001</v>
      </c>
      <c r="S16" s="74">
        <v>6.6360000000000001</v>
      </c>
      <c r="T16" s="74">
        <v>6.6360000000000001</v>
      </c>
      <c r="U16" s="74">
        <v>6.6360000000000001</v>
      </c>
      <c r="V16" s="74">
        <v>6.6360000000000001</v>
      </c>
      <c r="W16" s="74">
        <v>6.6360000000000001</v>
      </c>
      <c r="X16" s="74">
        <v>6.6360000000000001</v>
      </c>
      <c r="Y16" s="74">
        <v>6.6360000000000001</v>
      </c>
      <c r="Z16" s="74">
        <v>6.6360000000000001</v>
      </c>
      <c r="AA16" s="74">
        <v>6.6360000000000001</v>
      </c>
      <c r="AB16" s="74">
        <v>6.6360000000000001</v>
      </c>
      <c r="AC16" s="74">
        <v>6.6360000000000001</v>
      </c>
      <c r="AD16" s="74">
        <v>6.6360000000000001</v>
      </c>
      <c r="AE16" s="74">
        <v>6.6360000000000001</v>
      </c>
      <c r="AF16" s="74">
        <v>6.6360000000000001</v>
      </c>
      <c r="AG16" s="74">
        <v>6.6360000000000001</v>
      </c>
      <c r="AH16" s="74">
        <v>6.6360000000000001</v>
      </c>
      <c r="AI16" s="74">
        <v>6.6360000000000001</v>
      </c>
      <c r="AJ16" s="74">
        <v>6.6360000000000001</v>
      </c>
      <c r="AK16" s="75">
        <v>0</v>
      </c>
    </row>
    <row r="17" spans="1:37" ht="15" customHeight="1">
      <c r="A17" s="69" t="s">
        <v>762</v>
      </c>
      <c r="B17" s="73" t="s">
        <v>327</v>
      </c>
      <c r="C17" s="74">
        <v>5.048</v>
      </c>
      <c r="D17" s="74">
        <v>5.048</v>
      </c>
      <c r="E17" s="74">
        <v>5.048</v>
      </c>
      <c r="F17" s="74">
        <v>5.048</v>
      </c>
      <c r="G17" s="74">
        <v>5.048</v>
      </c>
      <c r="H17" s="74">
        <v>5.048</v>
      </c>
      <c r="I17" s="74">
        <v>5.048</v>
      </c>
      <c r="J17" s="74">
        <v>5.048</v>
      </c>
      <c r="K17" s="74">
        <v>5.048</v>
      </c>
      <c r="L17" s="74">
        <v>5.048</v>
      </c>
      <c r="M17" s="74">
        <v>5.048</v>
      </c>
      <c r="N17" s="74">
        <v>5.048</v>
      </c>
      <c r="O17" s="74">
        <v>5.048</v>
      </c>
      <c r="P17" s="74">
        <v>5.048</v>
      </c>
      <c r="Q17" s="74">
        <v>5.048</v>
      </c>
      <c r="R17" s="74">
        <v>5.048</v>
      </c>
      <c r="S17" s="74">
        <v>5.048</v>
      </c>
      <c r="T17" s="74">
        <v>5.048</v>
      </c>
      <c r="U17" s="74">
        <v>5.048</v>
      </c>
      <c r="V17" s="74">
        <v>5.048</v>
      </c>
      <c r="W17" s="74">
        <v>5.048</v>
      </c>
      <c r="X17" s="74">
        <v>5.048</v>
      </c>
      <c r="Y17" s="74">
        <v>5.048</v>
      </c>
      <c r="Z17" s="74">
        <v>5.048</v>
      </c>
      <c r="AA17" s="74">
        <v>5.048</v>
      </c>
      <c r="AB17" s="74">
        <v>5.048</v>
      </c>
      <c r="AC17" s="74">
        <v>5.048</v>
      </c>
      <c r="AD17" s="74">
        <v>5.048</v>
      </c>
      <c r="AE17" s="74">
        <v>5.048</v>
      </c>
      <c r="AF17" s="74">
        <v>5.048</v>
      </c>
      <c r="AG17" s="74">
        <v>5.048</v>
      </c>
      <c r="AH17" s="74">
        <v>5.048</v>
      </c>
      <c r="AI17" s="74">
        <v>5.048</v>
      </c>
      <c r="AJ17" s="74">
        <v>5.048</v>
      </c>
      <c r="AK17" s="75">
        <v>0</v>
      </c>
    </row>
    <row r="18" spans="1:37" ht="15" customHeight="1">
      <c r="A18" s="69" t="s">
        <v>763</v>
      </c>
      <c r="B18" s="73" t="s">
        <v>764</v>
      </c>
      <c r="C18" s="74">
        <v>5.359</v>
      </c>
      <c r="D18" s="74">
        <v>5.359</v>
      </c>
      <c r="E18" s="74">
        <v>5.359</v>
      </c>
      <c r="F18" s="74">
        <v>5.359</v>
      </c>
      <c r="G18" s="74">
        <v>5.359</v>
      </c>
      <c r="H18" s="74">
        <v>5.359</v>
      </c>
      <c r="I18" s="74">
        <v>5.359</v>
      </c>
      <c r="J18" s="74">
        <v>5.359</v>
      </c>
      <c r="K18" s="74">
        <v>5.359</v>
      </c>
      <c r="L18" s="74">
        <v>5.359</v>
      </c>
      <c r="M18" s="74">
        <v>5.359</v>
      </c>
      <c r="N18" s="74">
        <v>5.359</v>
      </c>
      <c r="O18" s="74">
        <v>5.359</v>
      </c>
      <c r="P18" s="74">
        <v>5.359</v>
      </c>
      <c r="Q18" s="74">
        <v>5.359</v>
      </c>
      <c r="R18" s="74">
        <v>5.359</v>
      </c>
      <c r="S18" s="74">
        <v>5.359</v>
      </c>
      <c r="T18" s="74">
        <v>5.359</v>
      </c>
      <c r="U18" s="74">
        <v>5.359</v>
      </c>
      <c r="V18" s="74">
        <v>5.359</v>
      </c>
      <c r="W18" s="74">
        <v>5.359</v>
      </c>
      <c r="X18" s="74">
        <v>5.359</v>
      </c>
      <c r="Y18" s="74">
        <v>5.359</v>
      </c>
      <c r="Z18" s="74">
        <v>5.359</v>
      </c>
      <c r="AA18" s="74">
        <v>5.359</v>
      </c>
      <c r="AB18" s="74">
        <v>5.359</v>
      </c>
      <c r="AC18" s="74">
        <v>5.359</v>
      </c>
      <c r="AD18" s="74">
        <v>5.359</v>
      </c>
      <c r="AE18" s="74">
        <v>5.359</v>
      </c>
      <c r="AF18" s="74">
        <v>5.359</v>
      </c>
      <c r="AG18" s="74">
        <v>5.359</v>
      </c>
      <c r="AH18" s="74">
        <v>5.359</v>
      </c>
      <c r="AI18" s="74">
        <v>5.359</v>
      </c>
      <c r="AJ18" s="74">
        <v>5.359</v>
      </c>
      <c r="AK18" s="75">
        <v>0</v>
      </c>
    </row>
    <row r="19" spans="1:37" ht="15" customHeight="1">
      <c r="A19" s="69" t="s">
        <v>765</v>
      </c>
      <c r="B19" s="73" t="s">
        <v>766</v>
      </c>
      <c r="C19" s="74">
        <v>5.8250000000000002</v>
      </c>
      <c r="D19" s="74">
        <v>5.8250000000000002</v>
      </c>
      <c r="E19" s="74">
        <v>5.8250000000000002</v>
      </c>
      <c r="F19" s="74">
        <v>5.8250000000000002</v>
      </c>
      <c r="G19" s="74">
        <v>5.8250000000000002</v>
      </c>
      <c r="H19" s="74">
        <v>5.8250000000000002</v>
      </c>
      <c r="I19" s="74">
        <v>5.8250000000000002</v>
      </c>
      <c r="J19" s="74">
        <v>5.8250000000000002</v>
      </c>
      <c r="K19" s="74">
        <v>5.8250000000000002</v>
      </c>
      <c r="L19" s="74">
        <v>5.8250000000000002</v>
      </c>
      <c r="M19" s="74">
        <v>5.8250000000000002</v>
      </c>
      <c r="N19" s="74">
        <v>5.8250000000000002</v>
      </c>
      <c r="O19" s="74">
        <v>5.8250000000000002</v>
      </c>
      <c r="P19" s="74">
        <v>5.8250000000000002</v>
      </c>
      <c r="Q19" s="74">
        <v>5.8250000000000002</v>
      </c>
      <c r="R19" s="74">
        <v>5.8250000000000002</v>
      </c>
      <c r="S19" s="74">
        <v>5.8250000000000002</v>
      </c>
      <c r="T19" s="74">
        <v>5.8250000000000002</v>
      </c>
      <c r="U19" s="74">
        <v>5.8250000000000002</v>
      </c>
      <c r="V19" s="74">
        <v>5.8250000000000002</v>
      </c>
      <c r="W19" s="74">
        <v>5.8250000000000002</v>
      </c>
      <c r="X19" s="74">
        <v>5.8250000000000002</v>
      </c>
      <c r="Y19" s="74">
        <v>5.8250000000000002</v>
      </c>
      <c r="Z19" s="74">
        <v>5.8250000000000002</v>
      </c>
      <c r="AA19" s="74">
        <v>5.8250000000000002</v>
      </c>
      <c r="AB19" s="74">
        <v>5.8250000000000002</v>
      </c>
      <c r="AC19" s="74">
        <v>5.8250000000000002</v>
      </c>
      <c r="AD19" s="74">
        <v>5.8250000000000002</v>
      </c>
      <c r="AE19" s="74">
        <v>5.8250000000000002</v>
      </c>
      <c r="AF19" s="74">
        <v>5.8250000000000002</v>
      </c>
      <c r="AG19" s="74">
        <v>5.8250000000000002</v>
      </c>
      <c r="AH19" s="74">
        <v>5.8250000000000002</v>
      </c>
      <c r="AI19" s="74">
        <v>5.8250000000000002</v>
      </c>
      <c r="AJ19" s="74">
        <v>5.8250000000000002</v>
      </c>
      <c r="AK19" s="75">
        <v>0</v>
      </c>
    </row>
    <row r="20" spans="1:37" ht="15" customHeight="1">
      <c r="A20" s="69" t="s">
        <v>767</v>
      </c>
      <c r="B20" s="73" t="s">
        <v>768</v>
      </c>
      <c r="C20" s="74">
        <v>5.7746510000000004</v>
      </c>
      <c r="D20" s="74">
        <v>5.7738240000000003</v>
      </c>
      <c r="E20" s="74">
        <v>5.7736289999999997</v>
      </c>
      <c r="F20" s="74">
        <v>5.7729280000000003</v>
      </c>
      <c r="G20" s="74">
        <v>5.7731190000000003</v>
      </c>
      <c r="H20" s="74">
        <v>5.7737270000000001</v>
      </c>
      <c r="I20" s="74">
        <v>5.7724289999999998</v>
      </c>
      <c r="J20" s="74">
        <v>5.773784</v>
      </c>
      <c r="K20" s="74">
        <v>5.7726059999999997</v>
      </c>
      <c r="L20" s="74">
        <v>5.7733230000000004</v>
      </c>
      <c r="M20" s="74">
        <v>5.7745470000000001</v>
      </c>
      <c r="N20" s="74">
        <v>5.7747440000000001</v>
      </c>
      <c r="O20" s="74">
        <v>5.7735219999999998</v>
      </c>
      <c r="P20" s="74">
        <v>5.7736159999999996</v>
      </c>
      <c r="Q20" s="74">
        <v>5.7735810000000001</v>
      </c>
      <c r="R20" s="74">
        <v>5.7734930000000002</v>
      </c>
      <c r="S20" s="74">
        <v>5.7744850000000003</v>
      </c>
      <c r="T20" s="74">
        <v>5.7733730000000003</v>
      </c>
      <c r="U20" s="74">
        <v>5.7733169999999996</v>
      </c>
      <c r="V20" s="74">
        <v>5.7729939999999997</v>
      </c>
      <c r="W20" s="74">
        <v>5.7732359999999998</v>
      </c>
      <c r="X20" s="74">
        <v>5.7731630000000003</v>
      </c>
      <c r="Y20" s="74">
        <v>5.7730449999999998</v>
      </c>
      <c r="Z20" s="74">
        <v>5.773002</v>
      </c>
      <c r="AA20" s="74">
        <v>5.7729929999999996</v>
      </c>
      <c r="AB20" s="74">
        <v>5.7727380000000004</v>
      </c>
      <c r="AC20" s="74">
        <v>5.772945</v>
      </c>
      <c r="AD20" s="74">
        <v>5.7726160000000002</v>
      </c>
      <c r="AE20" s="74">
        <v>5.7726569999999997</v>
      </c>
      <c r="AF20" s="74">
        <v>5.7725039999999996</v>
      </c>
      <c r="AG20" s="74">
        <v>5.7722730000000002</v>
      </c>
      <c r="AH20" s="74">
        <v>5.7721470000000004</v>
      </c>
      <c r="AI20" s="74">
        <v>5.7719480000000001</v>
      </c>
      <c r="AJ20" s="74">
        <v>5.7717749999999999</v>
      </c>
      <c r="AK20" s="75">
        <v>-1.1E-5</v>
      </c>
    </row>
    <row r="21" spans="1:37" ht="15" customHeight="1">
      <c r="A21" s="69" t="s">
        <v>769</v>
      </c>
      <c r="B21" s="73" t="s">
        <v>770</v>
      </c>
      <c r="C21" s="74">
        <v>5.7746510000000004</v>
      </c>
      <c r="D21" s="74">
        <v>5.7738240000000003</v>
      </c>
      <c r="E21" s="74">
        <v>5.7736289999999997</v>
      </c>
      <c r="F21" s="74">
        <v>5.7729280000000003</v>
      </c>
      <c r="G21" s="74">
        <v>5.7731190000000003</v>
      </c>
      <c r="H21" s="74">
        <v>5.7737270000000001</v>
      </c>
      <c r="I21" s="74">
        <v>5.7724289999999998</v>
      </c>
      <c r="J21" s="74">
        <v>5.773784</v>
      </c>
      <c r="K21" s="74">
        <v>5.7726059999999997</v>
      </c>
      <c r="L21" s="74">
        <v>5.7733230000000004</v>
      </c>
      <c r="M21" s="74">
        <v>5.7745470000000001</v>
      </c>
      <c r="N21" s="74">
        <v>5.7747440000000001</v>
      </c>
      <c r="O21" s="74">
        <v>5.7735219999999998</v>
      </c>
      <c r="P21" s="74">
        <v>5.7736159999999996</v>
      </c>
      <c r="Q21" s="74">
        <v>5.7735810000000001</v>
      </c>
      <c r="R21" s="74">
        <v>5.7734930000000002</v>
      </c>
      <c r="S21" s="74">
        <v>5.7744850000000003</v>
      </c>
      <c r="T21" s="74">
        <v>5.7733730000000003</v>
      </c>
      <c r="U21" s="74">
        <v>5.7733169999999996</v>
      </c>
      <c r="V21" s="74">
        <v>5.7729939999999997</v>
      </c>
      <c r="W21" s="74">
        <v>5.7732359999999998</v>
      </c>
      <c r="X21" s="74">
        <v>5.7731630000000003</v>
      </c>
      <c r="Y21" s="74">
        <v>5.7730449999999998</v>
      </c>
      <c r="Z21" s="74">
        <v>5.773002</v>
      </c>
      <c r="AA21" s="74">
        <v>5.7729929999999996</v>
      </c>
      <c r="AB21" s="74">
        <v>5.7727380000000004</v>
      </c>
      <c r="AC21" s="74">
        <v>5.772945</v>
      </c>
      <c r="AD21" s="74">
        <v>5.7726160000000002</v>
      </c>
      <c r="AE21" s="74">
        <v>5.7726569999999997</v>
      </c>
      <c r="AF21" s="74">
        <v>5.7725039999999996</v>
      </c>
      <c r="AG21" s="74">
        <v>5.7722730000000002</v>
      </c>
      <c r="AH21" s="74">
        <v>5.7721470000000004</v>
      </c>
      <c r="AI21" s="74">
        <v>5.7719480000000001</v>
      </c>
      <c r="AJ21" s="74">
        <v>5.7717749999999999</v>
      </c>
      <c r="AK21" s="75">
        <v>-1.1E-5</v>
      </c>
    </row>
    <row r="22" spans="1:37" ht="15" customHeight="1">
      <c r="A22" s="69" t="s">
        <v>771</v>
      </c>
      <c r="B22" s="73" t="s">
        <v>772</v>
      </c>
      <c r="C22" s="74">
        <v>5.7746510000000004</v>
      </c>
      <c r="D22" s="74">
        <v>5.7738240000000003</v>
      </c>
      <c r="E22" s="74">
        <v>5.7736289999999997</v>
      </c>
      <c r="F22" s="74">
        <v>5.7729280000000003</v>
      </c>
      <c r="G22" s="74">
        <v>5.7731190000000003</v>
      </c>
      <c r="H22" s="74">
        <v>5.7737270000000001</v>
      </c>
      <c r="I22" s="74">
        <v>5.7724289999999998</v>
      </c>
      <c r="J22" s="74">
        <v>5.773784</v>
      </c>
      <c r="K22" s="74">
        <v>5.7726059999999997</v>
      </c>
      <c r="L22" s="74">
        <v>5.7733230000000004</v>
      </c>
      <c r="M22" s="74">
        <v>5.7745470000000001</v>
      </c>
      <c r="N22" s="74">
        <v>5.7747440000000001</v>
      </c>
      <c r="O22" s="74">
        <v>5.7735219999999998</v>
      </c>
      <c r="P22" s="74">
        <v>5.7736159999999996</v>
      </c>
      <c r="Q22" s="74">
        <v>5.7735810000000001</v>
      </c>
      <c r="R22" s="74">
        <v>5.7734930000000002</v>
      </c>
      <c r="S22" s="74">
        <v>5.7744850000000003</v>
      </c>
      <c r="T22" s="74">
        <v>5.7733730000000003</v>
      </c>
      <c r="U22" s="74">
        <v>5.7733169999999996</v>
      </c>
      <c r="V22" s="74">
        <v>5.7729939999999997</v>
      </c>
      <c r="W22" s="74">
        <v>5.7732359999999998</v>
      </c>
      <c r="X22" s="74">
        <v>5.7731630000000003</v>
      </c>
      <c r="Y22" s="74">
        <v>5.7730449999999998</v>
      </c>
      <c r="Z22" s="74">
        <v>5.773002</v>
      </c>
      <c r="AA22" s="74">
        <v>5.7729929999999996</v>
      </c>
      <c r="AB22" s="74">
        <v>5.7727380000000004</v>
      </c>
      <c r="AC22" s="74">
        <v>5.772945</v>
      </c>
      <c r="AD22" s="74">
        <v>5.7726160000000002</v>
      </c>
      <c r="AE22" s="74">
        <v>5.7726569999999997</v>
      </c>
      <c r="AF22" s="74">
        <v>5.7725039999999996</v>
      </c>
      <c r="AG22" s="74">
        <v>5.7722730000000002</v>
      </c>
      <c r="AH22" s="74">
        <v>5.7721470000000004</v>
      </c>
      <c r="AI22" s="74">
        <v>5.7719480000000001</v>
      </c>
      <c r="AJ22" s="74">
        <v>5.7717749999999999</v>
      </c>
      <c r="AK22" s="75">
        <v>-1.1E-5</v>
      </c>
    </row>
    <row r="23" spans="1:37" ht="15" customHeight="1">
      <c r="A23" s="69" t="s">
        <v>773</v>
      </c>
      <c r="B23" s="73" t="s">
        <v>774</v>
      </c>
      <c r="C23" s="74">
        <v>5.7746510000000004</v>
      </c>
      <c r="D23" s="74">
        <v>5.7738240000000003</v>
      </c>
      <c r="E23" s="74">
        <v>5.7736289999999997</v>
      </c>
      <c r="F23" s="74">
        <v>5.7729280000000003</v>
      </c>
      <c r="G23" s="74">
        <v>5.7731190000000003</v>
      </c>
      <c r="H23" s="74">
        <v>5.7737270000000001</v>
      </c>
      <c r="I23" s="74">
        <v>5.7724289999999998</v>
      </c>
      <c r="J23" s="74">
        <v>5.773784</v>
      </c>
      <c r="K23" s="74">
        <v>5.7726059999999997</v>
      </c>
      <c r="L23" s="74">
        <v>5.7733230000000004</v>
      </c>
      <c r="M23" s="74">
        <v>5.7745470000000001</v>
      </c>
      <c r="N23" s="74">
        <v>5.7747440000000001</v>
      </c>
      <c r="O23" s="74">
        <v>5.7735219999999998</v>
      </c>
      <c r="P23" s="74">
        <v>5.7736159999999996</v>
      </c>
      <c r="Q23" s="74">
        <v>5.7735810000000001</v>
      </c>
      <c r="R23" s="74">
        <v>5.7734930000000002</v>
      </c>
      <c r="S23" s="74">
        <v>5.7744850000000003</v>
      </c>
      <c r="T23" s="74">
        <v>5.7733730000000003</v>
      </c>
      <c r="U23" s="74">
        <v>5.7733169999999996</v>
      </c>
      <c r="V23" s="74">
        <v>5.7729939999999997</v>
      </c>
      <c r="W23" s="74">
        <v>5.7732359999999998</v>
      </c>
      <c r="X23" s="74">
        <v>5.7731630000000003</v>
      </c>
      <c r="Y23" s="74">
        <v>5.7730449999999998</v>
      </c>
      <c r="Z23" s="74">
        <v>5.773002</v>
      </c>
      <c r="AA23" s="74">
        <v>5.7729929999999996</v>
      </c>
      <c r="AB23" s="74">
        <v>5.7727380000000004</v>
      </c>
      <c r="AC23" s="74">
        <v>5.772945</v>
      </c>
      <c r="AD23" s="74">
        <v>5.7726160000000002</v>
      </c>
      <c r="AE23" s="74">
        <v>5.7726569999999997</v>
      </c>
      <c r="AF23" s="74">
        <v>5.7725039999999996</v>
      </c>
      <c r="AG23" s="74">
        <v>5.7722730000000002</v>
      </c>
      <c r="AH23" s="74">
        <v>5.7721470000000004</v>
      </c>
      <c r="AI23" s="74">
        <v>5.7719480000000001</v>
      </c>
      <c r="AJ23" s="74">
        <v>5.7717749999999999</v>
      </c>
      <c r="AK23" s="75">
        <v>-1.1E-5</v>
      </c>
    </row>
    <row r="24" spans="1:37" ht="15" customHeight="1">
      <c r="A24" s="69" t="s">
        <v>775</v>
      </c>
      <c r="B24" s="73" t="s">
        <v>776</v>
      </c>
      <c r="C24" s="74">
        <v>5.7746510000000004</v>
      </c>
      <c r="D24" s="74">
        <v>5.7738240000000003</v>
      </c>
      <c r="E24" s="74">
        <v>5.7736289999999997</v>
      </c>
      <c r="F24" s="74">
        <v>5.7729280000000003</v>
      </c>
      <c r="G24" s="74">
        <v>5.7731190000000003</v>
      </c>
      <c r="H24" s="74">
        <v>5.7737270000000001</v>
      </c>
      <c r="I24" s="74">
        <v>5.7724289999999998</v>
      </c>
      <c r="J24" s="74">
        <v>5.773784</v>
      </c>
      <c r="K24" s="74">
        <v>5.7726059999999997</v>
      </c>
      <c r="L24" s="74">
        <v>5.7733230000000004</v>
      </c>
      <c r="M24" s="74">
        <v>5.7745470000000001</v>
      </c>
      <c r="N24" s="74">
        <v>5.7747440000000001</v>
      </c>
      <c r="O24" s="74">
        <v>5.7735219999999998</v>
      </c>
      <c r="P24" s="74">
        <v>5.7736159999999996</v>
      </c>
      <c r="Q24" s="74">
        <v>5.7735810000000001</v>
      </c>
      <c r="R24" s="74">
        <v>5.7734930000000002</v>
      </c>
      <c r="S24" s="74">
        <v>5.7744850000000003</v>
      </c>
      <c r="T24" s="74">
        <v>5.7733730000000003</v>
      </c>
      <c r="U24" s="74">
        <v>5.7733169999999996</v>
      </c>
      <c r="V24" s="74">
        <v>5.7729939999999997</v>
      </c>
      <c r="W24" s="74">
        <v>5.7732359999999998</v>
      </c>
      <c r="X24" s="74">
        <v>5.7731630000000003</v>
      </c>
      <c r="Y24" s="74">
        <v>5.7730449999999998</v>
      </c>
      <c r="Z24" s="74">
        <v>5.773002</v>
      </c>
      <c r="AA24" s="74">
        <v>5.7729929999999996</v>
      </c>
      <c r="AB24" s="74">
        <v>5.7727380000000004</v>
      </c>
      <c r="AC24" s="74">
        <v>5.772945</v>
      </c>
      <c r="AD24" s="74">
        <v>5.7726160000000002</v>
      </c>
      <c r="AE24" s="74">
        <v>5.7726569999999997</v>
      </c>
      <c r="AF24" s="74">
        <v>5.7725039999999996</v>
      </c>
      <c r="AG24" s="74">
        <v>5.7722730000000002</v>
      </c>
      <c r="AH24" s="74">
        <v>5.7721470000000004</v>
      </c>
      <c r="AI24" s="74">
        <v>5.7719480000000001</v>
      </c>
      <c r="AJ24" s="74">
        <v>5.7717749999999999</v>
      </c>
      <c r="AK24" s="75">
        <v>-1.1E-5</v>
      </c>
    </row>
    <row r="25" spans="1:37" ht="15" customHeight="1">
      <c r="A25" s="69" t="s">
        <v>777</v>
      </c>
      <c r="B25" s="73" t="s">
        <v>778</v>
      </c>
      <c r="C25" s="74">
        <v>5.7746510000000004</v>
      </c>
      <c r="D25" s="74">
        <v>5.7738240000000003</v>
      </c>
      <c r="E25" s="74">
        <v>5.7736280000000004</v>
      </c>
      <c r="F25" s="74">
        <v>5.7729270000000001</v>
      </c>
      <c r="G25" s="74">
        <v>5.7731190000000003</v>
      </c>
      <c r="H25" s="74">
        <v>5.7737270000000001</v>
      </c>
      <c r="I25" s="74">
        <v>5.7724289999999998</v>
      </c>
      <c r="J25" s="74">
        <v>5.773784</v>
      </c>
      <c r="K25" s="74">
        <v>5.7726059999999997</v>
      </c>
      <c r="L25" s="74">
        <v>5.7733220000000003</v>
      </c>
      <c r="M25" s="74">
        <v>5.7745480000000002</v>
      </c>
      <c r="N25" s="74">
        <v>5.7747440000000001</v>
      </c>
      <c r="O25" s="74">
        <v>5.7735219999999998</v>
      </c>
      <c r="P25" s="74">
        <v>5.7736159999999996</v>
      </c>
      <c r="Q25" s="74">
        <v>5.7735799999999999</v>
      </c>
      <c r="R25" s="74">
        <v>5.7734930000000002</v>
      </c>
      <c r="S25" s="74">
        <v>5.7744850000000003</v>
      </c>
      <c r="T25" s="74">
        <v>5.7733730000000003</v>
      </c>
      <c r="U25" s="74">
        <v>5.7733169999999996</v>
      </c>
      <c r="V25" s="74">
        <v>5.7729939999999997</v>
      </c>
      <c r="W25" s="74">
        <v>5.7732359999999998</v>
      </c>
      <c r="X25" s="74">
        <v>5.7731620000000001</v>
      </c>
      <c r="Y25" s="74">
        <v>5.7730439999999996</v>
      </c>
      <c r="Z25" s="74">
        <v>5.773002</v>
      </c>
      <c r="AA25" s="74">
        <v>5.7729929999999996</v>
      </c>
      <c r="AB25" s="74">
        <v>5.7727380000000004</v>
      </c>
      <c r="AC25" s="74">
        <v>5.772945</v>
      </c>
      <c r="AD25" s="74">
        <v>5.7726170000000003</v>
      </c>
      <c r="AE25" s="74">
        <v>5.7726559999999996</v>
      </c>
      <c r="AF25" s="74">
        <v>5.7725039999999996</v>
      </c>
      <c r="AG25" s="74">
        <v>5.7722740000000003</v>
      </c>
      <c r="AH25" s="74">
        <v>5.7721470000000004</v>
      </c>
      <c r="AI25" s="74">
        <v>5.7719480000000001</v>
      </c>
      <c r="AJ25" s="74">
        <v>5.7717749999999999</v>
      </c>
      <c r="AK25" s="75">
        <v>-1.1E-5</v>
      </c>
    </row>
    <row r="26" spans="1:37" ht="15" customHeight="1">
      <c r="A26" s="69" t="s">
        <v>779</v>
      </c>
      <c r="B26" s="73" t="s">
        <v>780</v>
      </c>
      <c r="C26" s="74">
        <v>5.8170000000000002</v>
      </c>
      <c r="D26" s="74">
        <v>5.8170000000000002</v>
      </c>
      <c r="E26" s="74">
        <v>5.8170000000000002</v>
      </c>
      <c r="F26" s="74">
        <v>5.8170000000000002</v>
      </c>
      <c r="G26" s="74">
        <v>5.8170000000000002</v>
      </c>
      <c r="H26" s="74">
        <v>5.8170000000000002</v>
      </c>
      <c r="I26" s="74">
        <v>5.8170000000000002</v>
      </c>
      <c r="J26" s="74">
        <v>5.8170000000000002</v>
      </c>
      <c r="K26" s="74">
        <v>5.8170000000000002</v>
      </c>
      <c r="L26" s="74">
        <v>5.8170000000000002</v>
      </c>
      <c r="M26" s="74">
        <v>5.8170000000000002</v>
      </c>
      <c r="N26" s="74">
        <v>5.8170000000000002</v>
      </c>
      <c r="O26" s="74">
        <v>5.8170000000000002</v>
      </c>
      <c r="P26" s="74">
        <v>5.8170000000000002</v>
      </c>
      <c r="Q26" s="74">
        <v>5.8170000000000002</v>
      </c>
      <c r="R26" s="74">
        <v>5.8170000000000002</v>
      </c>
      <c r="S26" s="74">
        <v>5.8170000000000002</v>
      </c>
      <c r="T26" s="74">
        <v>5.8170000000000002</v>
      </c>
      <c r="U26" s="74">
        <v>5.8170000000000002</v>
      </c>
      <c r="V26" s="74">
        <v>5.8170000000000002</v>
      </c>
      <c r="W26" s="74">
        <v>5.8170000000000002</v>
      </c>
      <c r="X26" s="74">
        <v>5.8170000000000002</v>
      </c>
      <c r="Y26" s="74">
        <v>5.8170000000000002</v>
      </c>
      <c r="Z26" s="74">
        <v>5.8170000000000002</v>
      </c>
      <c r="AA26" s="74">
        <v>5.8170000000000002</v>
      </c>
      <c r="AB26" s="74">
        <v>5.8170000000000002</v>
      </c>
      <c r="AC26" s="74">
        <v>5.8170000000000002</v>
      </c>
      <c r="AD26" s="74">
        <v>5.8170000000000002</v>
      </c>
      <c r="AE26" s="74">
        <v>5.8170000000000002</v>
      </c>
      <c r="AF26" s="74">
        <v>5.8170000000000002</v>
      </c>
      <c r="AG26" s="74">
        <v>5.8170000000000002</v>
      </c>
      <c r="AH26" s="74">
        <v>5.8170000000000002</v>
      </c>
      <c r="AI26" s="74">
        <v>5.8170000000000002</v>
      </c>
      <c r="AJ26" s="74">
        <v>5.8170000000000002</v>
      </c>
      <c r="AK26" s="75">
        <v>0</v>
      </c>
    </row>
    <row r="27" spans="1:37" ht="15" customHeight="1">
      <c r="A27" s="69" t="s">
        <v>781</v>
      </c>
      <c r="B27" s="73" t="s">
        <v>782</v>
      </c>
      <c r="C27" s="74">
        <v>5.77</v>
      </c>
      <c r="D27" s="74">
        <v>5.77</v>
      </c>
      <c r="E27" s="74">
        <v>5.77</v>
      </c>
      <c r="F27" s="74">
        <v>5.77</v>
      </c>
      <c r="G27" s="74">
        <v>5.77</v>
      </c>
      <c r="H27" s="74">
        <v>5.77</v>
      </c>
      <c r="I27" s="74">
        <v>5.77</v>
      </c>
      <c r="J27" s="74">
        <v>5.77</v>
      </c>
      <c r="K27" s="74">
        <v>5.77</v>
      </c>
      <c r="L27" s="74">
        <v>5.77</v>
      </c>
      <c r="M27" s="74">
        <v>5.77</v>
      </c>
      <c r="N27" s="74">
        <v>5.77</v>
      </c>
      <c r="O27" s="74">
        <v>5.77</v>
      </c>
      <c r="P27" s="74">
        <v>5.77</v>
      </c>
      <c r="Q27" s="74">
        <v>5.77</v>
      </c>
      <c r="R27" s="74">
        <v>5.77</v>
      </c>
      <c r="S27" s="74">
        <v>5.77</v>
      </c>
      <c r="T27" s="74">
        <v>5.77</v>
      </c>
      <c r="U27" s="74">
        <v>5.77</v>
      </c>
      <c r="V27" s="74">
        <v>5.77</v>
      </c>
      <c r="W27" s="74">
        <v>5.77</v>
      </c>
      <c r="X27" s="74">
        <v>5.77</v>
      </c>
      <c r="Y27" s="74">
        <v>5.77</v>
      </c>
      <c r="Z27" s="74">
        <v>5.77</v>
      </c>
      <c r="AA27" s="74">
        <v>5.77</v>
      </c>
      <c r="AB27" s="74">
        <v>5.77</v>
      </c>
      <c r="AC27" s="74">
        <v>5.77</v>
      </c>
      <c r="AD27" s="74">
        <v>5.77</v>
      </c>
      <c r="AE27" s="74">
        <v>5.77</v>
      </c>
      <c r="AF27" s="74">
        <v>5.77</v>
      </c>
      <c r="AG27" s="74">
        <v>5.77</v>
      </c>
      <c r="AH27" s="74">
        <v>5.77</v>
      </c>
      <c r="AI27" s="74">
        <v>5.77</v>
      </c>
      <c r="AJ27" s="74">
        <v>5.77</v>
      </c>
      <c r="AK27" s="75">
        <v>0</v>
      </c>
    </row>
    <row r="28" spans="1:37" ht="15" customHeight="1">
      <c r="A28" s="69" t="s">
        <v>783</v>
      </c>
      <c r="B28" s="73" t="s">
        <v>784</v>
      </c>
      <c r="C28" s="74">
        <v>3.556</v>
      </c>
      <c r="D28" s="74">
        <v>3.556</v>
      </c>
      <c r="E28" s="74">
        <v>3.556</v>
      </c>
      <c r="F28" s="74">
        <v>3.556</v>
      </c>
      <c r="G28" s="74">
        <v>3.556</v>
      </c>
      <c r="H28" s="74">
        <v>3.556</v>
      </c>
      <c r="I28" s="74">
        <v>3.556</v>
      </c>
      <c r="J28" s="74">
        <v>3.556</v>
      </c>
      <c r="K28" s="74">
        <v>3.556</v>
      </c>
      <c r="L28" s="74">
        <v>3.556</v>
      </c>
      <c r="M28" s="74">
        <v>3.556</v>
      </c>
      <c r="N28" s="74">
        <v>3.556</v>
      </c>
      <c r="O28" s="74">
        <v>3.556</v>
      </c>
      <c r="P28" s="74">
        <v>3.556</v>
      </c>
      <c r="Q28" s="74">
        <v>3.556</v>
      </c>
      <c r="R28" s="74">
        <v>3.556</v>
      </c>
      <c r="S28" s="74">
        <v>3.556</v>
      </c>
      <c r="T28" s="74">
        <v>3.556</v>
      </c>
      <c r="U28" s="74">
        <v>3.556</v>
      </c>
      <c r="V28" s="74">
        <v>3.556</v>
      </c>
      <c r="W28" s="74">
        <v>3.556</v>
      </c>
      <c r="X28" s="74">
        <v>3.556</v>
      </c>
      <c r="Y28" s="74">
        <v>3.556</v>
      </c>
      <c r="Z28" s="74">
        <v>3.556</v>
      </c>
      <c r="AA28" s="74">
        <v>3.556</v>
      </c>
      <c r="AB28" s="74">
        <v>3.556</v>
      </c>
      <c r="AC28" s="74">
        <v>3.556</v>
      </c>
      <c r="AD28" s="74">
        <v>3.556</v>
      </c>
      <c r="AE28" s="74">
        <v>3.556</v>
      </c>
      <c r="AF28" s="74">
        <v>3.556</v>
      </c>
      <c r="AG28" s="74">
        <v>3.556</v>
      </c>
      <c r="AH28" s="74">
        <v>3.556</v>
      </c>
      <c r="AI28" s="74">
        <v>3.556</v>
      </c>
      <c r="AJ28" s="74">
        <v>3.556</v>
      </c>
      <c r="AK28" s="75">
        <v>0</v>
      </c>
    </row>
    <row r="29" spans="1:37" ht="15" customHeight="1">
      <c r="A29" s="69" t="s">
        <v>785</v>
      </c>
      <c r="B29" s="73" t="s">
        <v>300</v>
      </c>
      <c r="C29" s="74">
        <v>3.99722</v>
      </c>
      <c r="D29" s="74">
        <v>3.989233</v>
      </c>
      <c r="E29" s="74">
        <v>3.989233</v>
      </c>
      <c r="F29" s="74">
        <v>3.989233</v>
      </c>
      <c r="G29" s="74">
        <v>3.989233</v>
      </c>
      <c r="H29" s="74">
        <v>3.989233</v>
      </c>
      <c r="I29" s="74">
        <v>3.989233</v>
      </c>
      <c r="J29" s="74">
        <v>3.989233</v>
      </c>
      <c r="K29" s="74">
        <v>3.989233</v>
      </c>
      <c r="L29" s="74">
        <v>3.989233</v>
      </c>
      <c r="M29" s="74">
        <v>3.989233</v>
      </c>
      <c r="N29" s="74">
        <v>3.989233</v>
      </c>
      <c r="O29" s="74">
        <v>3.989233</v>
      </c>
      <c r="P29" s="74">
        <v>3.989233</v>
      </c>
      <c r="Q29" s="74">
        <v>3.989233</v>
      </c>
      <c r="R29" s="74">
        <v>3.989233</v>
      </c>
      <c r="S29" s="74">
        <v>3.989233</v>
      </c>
      <c r="T29" s="74">
        <v>3.989233</v>
      </c>
      <c r="U29" s="74">
        <v>3.989233</v>
      </c>
      <c r="V29" s="74">
        <v>3.989233</v>
      </c>
      <c r="W29" s="74">
        <v>3.989233</v>
      </c>
      <c r="X29" s="74">
        <v>3.989233</v>
      </c>
      <c r="Y29" s="74">
        <v>3.989233</v>
      </c>
      <c r="Z29" s="74">
        <v>3.989233</v>
      </c>
      <c r="AA29" s="74">
        <v>3.989233</v>
      </c>
      <c r="AB29" s="74">
        <v>3.989233</v>
      </c>
      <c r="AC29" s="74">
        <v>3.989233</v>
      </c>
      <c r="AD29" s="74">
        <v>3.989233</v>
      </c>
      <c r="AE29" s="74">
        <v>3.989233</v>
      </c>
      <c r="AF29" s="74">
        <v>3.989233</v>
      </c>
      <c r="AG29" s="74">
        <v>3.989233</v>
      </c>
      <c r="AH29" s="74">
        <v>3.989233</v>
      </c>
      <c r="AI29" s="74">
        <v>3.989233</v>
      </c>
      <c r="AJ29" s="74">
        <v>3.989233</v>
      </c>
      <c r="AK29" s="75">
        <v>0</v>
      </c>
    </row>
    <row r="30" spans="1:37" ht="15" customHeight="1">
      <c r="A30" s="69" t="s">
        <v>786</v>
      </c>
      <c r="B30" s="73" t="s">
        <v>787</v>
      </c>
      <c r="C30" s="74">
        <v>5.67</v>
      </c>
      <c r="D30" s="74">
        <v>5.67</v>
      </c>
      <c r="E30" s="74">
        <v>5.67</v>
      </c>
      <c r="F30" s="74">
        <v>5.67</v>
      </c>
      <c r="G30" s="74">
        <v>5.67</v>
      </c>
      <c r="H30" s="74">
        <v>5.67</v>
      </c>
      <c r="I30" s="74">
        <v>5.67</v>
      </c>
      <c r="J30" s="74">
        <v>5.67</v>
      </c>
      <c r="K30" s="74">
        <v>5.67</v>
      </c>
      <c r="L30" s="74">
        <v>5.67</v>
      </c>
      <c r="M30" s="74">
        <v>5.67</v>
      </c>
      <c r="N30" s="74">
        <v>5.67</v>
      </c>
      <c r="O30" s="74">
        <v>5.67</v>
      </c>
      <c r="P30" s="74">
        <v>5.67</v>
      </c>
      <c r="Q30" s="74">
        <v>5.67</v>
      </c>
      <c r="R30" s="74">
        <v>5.67</v>
      </c>
      <c r="S30" s="74">
        <v>5.67</v>
      </c>
      <c r="T30" s="74">
        <v>5.67</v>
      </c>
      <c r="U30" s="74">
        <v>5.67</v>
      </c>
      <c r="V30" s="74">
        <v>5.67</v>
      </c>
      <c r="W30" s="74">
        <v>5.67</v>
      </c>
      <c r="X30" s="74">
        <v>5.67</v>
      </c>
      <c r="Y30" s="74">
        <v>5.67</v>
      </c>
      <c r="Z30" s="74">
        <v>5.67</v>
      </c>
      <c r="AA30" s="74">
        <v>5.67</v>
      </c>
      <c r="AB30" s="74">
        <v>5.67</v>
      </c>
      <c r="AC30" s="74">
        <v>5.67</v>
      </c>
      <c r="AD30" s="74">
        <v>5.67</v>
      </c>
      <c r="AE30" s="74">
        <v>5.67</v>
      </c>
      <c r="AF30" s="74">
        <v>5.67</v>
      </c>
      <c r="AG30" s="74">
        <v>5.67</v>
      </c>
      <c r="AH30" s="74">
        <v>5.67</v>
      </c>
      <c r="AI30" s="74">
        <v>5.67</v>
      </c>
      <c r="AJ30" s="74">
        <v>5.67</v>
      </c>
      <c r="AK30" s="75">
        <v>0</v>
      </c>
    </row>
    <row r="31" spans="1:37" ht="15" customHeight="1">
      <c r="A31" s="69" t="s">
        <v>788</v>
      </c>
      <c r="B31" s="73" t="s">
        <v>789</v>
      </c>
      <c r="C31" s="74">
        <v>6.0650000000000004</v>
      </c>
      <c r="D31" s="74">
        <v>6.0650000000000004</v>
      </c>
      <c r="E31" s="74">
        <v>6.0650000000000004</v>
      </c>
      <c r="F31" s="74">
        <v>6.0650000000000004</v>
      </c>
      <c r="G31" s="74">
        <v>6.0650000000000004</v>
      </c>
      <c r="H31" s="74">
        <v>6.0650000000000004</v>
      </c>
      <c r="I31" s="74">
        <v>6.0650000000000004</v>
      </c>
      <c r="J31" s="74">
        <v>6.0650000000000004</v>
      </c>
      <c r="K31" s="74">
        <v>6.0650000000000004</v>
      </c>
      <c r="L31" s="74">
        <v>6.0650000000000004</v>
      </c>
      <c r="M31" s="74">
        <v>6.0650000000000004</v>
      </c>
      <c r="N31" s="74">
        <v>6.0650000000000004</v>
      </c>
      <c r="O31" s="74">
        <v>6.0650000000000004</v>
      </c>
      <c r="P31" s="74">
        <v>6.0650000000000004</v>
      </c>
      <c r="Q31" s="74">
        <v>6.0650000000000004</v>
      </c>
      <c r="R31" s="74">
        <v>6.0650000000000004</v>
      </c>
      <c r="S31" s="74">
        <v>6.0650000000000004</v>
      </c>
      <c r="T31" s="74">
        <v>6.0650000000000004</v>
      </c>
      <c r="U31" s="74">
        <v>6.0650000000000004</v>
      </c>
      <c r="V31" s="74">
        <v>6.0650000000000004</v>
      </c>
      <c r="W31" s="74">
        <v>6.0650000000000004</v>
      </c>
      <c r="X31" s="74">
        <v>6.0650000000000004</v>
      </c>
      <c r="Y31" s="74">
        <v>6.0650000000000004</v>
      </c>
      <c r="Z31" s="74">
        <v>6.0650000000000004</v>
      </c>
      <c r="AA31" s="74">
        <v>6.0650000000000004</v>
      </c>
      <c r="AB31" s="74">
        <v>6.0650000000000004</v>
      </c>
      <c r="AC31" s="74">
        <v>6.0650000000000004</v>
      </c>
      <c r="AD31" s="74">
        <v>6.0650000000000004</v>
      </c>
      <c r="AE31" s="74">
        <v>6.0650000000000004</v>
      </c>
      <c r="AF31" s="74">
        <v>6.0650000000000004</v>
      </c>
      <c r="AG31" s="74">
        <v>6.0650000000000004</v>
      </c>
      <c r="AH31" s="74">
        <v>6.0650000000000004</v>
      </c>
      <c r="AI31" s="74">
        <v>6.0650000000000004</v>
      </c>
      <c r="AJ31" s="74">
        <v>6.0650000000000004</v>
      </c>
      <c r="AK31" s="75">
        <v>0</v>
      </c>
    </row>
    <row r="32" spans="1:37" ht="15" customHeight="1">
      <c r="A32" s="69" t="s">
        <v>790</v>
      </c>
      <c r="B32" s="73" t="s">
        <v>791</v>
      </c>
      <c r="C32" s="74">
        <v>5.0566430000000002</v>
      </c>
      <c r="D32" s="74">
        <v>5.0552599999999996</v>
      </c>
      <c r="E32" s="74">
        <v>5.0559250000000002</v>
      </c>
      <c r="F32" s="74">
        <v>5.0562699999999996</v>
      </c>
      <c r="G32" s="74">
        <v>5.0553610000000004</v>
      </c>
      <c r="H32" s="74">
        <v>5.0533359999999998</v>
      </c>
      <c r="I32" s="74">
        <v>5.0508160000000002</v>
      </c>
      <c r="J32" s="74">
        <v>5.0500020000000001</v>
      </c>
      <c r="K32" s="74">
        <v>5.0494789999999998</v>
      </c>
      <c r="L32" s="74">
        <v>5.049067</v>
      </c>
      <c r="M32" s="74">
        <v>5.0486199999999997</v>
      </c>
      <c r="N32" s="74">
        <v>5.0481860000000003</v>
      </c>
      <c r="O32" s="74">
        <v>5.047752</v>
      </c>
      <c r="P32" s="74">
        <v>5.0478269999999998</v>
      </c>
      <c r="Q32" s="74">
        <v>5.0471120000000003</v>
      </c>
      <c r="R32" s="74">
        <v>5.0467120000000003</v>
      </c>
      <c r="S32" s="74">
        <v>5.0464640000000003</v>
      </c>
      <c r="T32" s="74">
        <v>5.0458769999999999</v>
      </c>
      <c r="U32" s="74">
        <v>5.0451860000000002</v>
      </c>
      <c r="V32" s="74">
        <v>5.0444300000000002</v>
      </c>
      <c r="W32" s="74">
        <v>5.0435809999999996</v>
      </c>
      <c r="X32" s="74">
        <v>5.0427549999999997</v>
      </c>
      <c r="Y32" s="74">
        <v>5.0416879999999997</v>
      </c>
      <c r="Z32" s="74">
        <v>5.0404980000000004</v>
      </c>
      <c r="AA32" s="74">
        <v>5.0391599999999999</v>
      </c>
      <c r="AB32" s="74">
        <v>5.0378670000000003</v>
      </c>
      <c r="AC32" s="74">
        <v>5.0362239999999998</v>
      </c>
      <c r="AD32" s="74">
        <v>5.0346019999999996</v>
      </c>
      <c r="AE32" s="74">
        <v>5.0328730000000004</v>
      </c>
      <c r="AF32" s="74">
        <v>5.030945</v>
      </c>
      <c r="AG32" s="74">
        <v>5.0285479999999998</v>
      </c>
      <c r="AH32" s="74">
        <v>5.0259179999999999</v>
      </c>
      <c r="AI32" s="74">
        <v>5.0230379999999997</v>
      </c>
      <c r="AJ32" s="74">
        <v>5.0230360000000003</v>
      </c>
      <c r="AK32" s="75">
        <v>-2.0000000000000001E-4</v>
      </c>
    </row>
    <row r="33" spans="1:37" ht="15" customHeight="1">
      <c r="A33" s="69" t="s">
        <v>792</v>
      </c>
      <c r="B33" s="73" t="s">
        <v>793</v>
      </c>
      <c r="C33" s="74">
        <v>5.0566430000000002</v>
      </c>
      <c r="D33" s="74">
        <v>5.0551199999999996</v>
      </c>
      <c r="E33" s="74">
        <v>5.0557509999999999</v>
      </c>
      <c r="F33" s="74">
        <v>5.0561759999999998</v>
      </c>
      <c r="G33" s="74">
        <v>5.0552270000000004</v>
      </c>
      <c r="H33" s="74">
        <v>5.0532529999999998</v>
      </c>
      <c r="I33" s="74">
        <v>5.0502339999999997</v>
      </c>
      <c r="J33" s="74">
        <v>5.0493699999999997</v>
      </c>
      <c r="K33" s="74">
        <v>5.0488210000000002</v>
      </c>
      <c r="L33" s="74">
        <v>5.0483820000000001</v>
      </c>
      <c r="M33" s="74">
        <v>5.0479039999999999</v>
      </c>
      <c r="N33" s="74">
        <v>5.0474410000000001</v>
      </c>
      <c r="O33" s="74">
        <v>5.046983</v>
      </c>
      <c r="P33" s="74">
        <v>5.0470750000000004</v>
      </c>
      <c r="Q33" s="74">
        <v>5.0462990000000003</v>
      </c>
      <c r="R33" s="74">
        <v>5.0458439999999998</v>
      </c>
      <c r="S33" s="74">
        <v>5.0455509999999997</v>
      </c>
      <c r="T33" s="74">
        <v>5.044918</v>
      </c>
      <c r="U33" s="74">
        <v>5.0441839999999996</v>
      </c>
      <c r="V33" s="74">
        <v>5.0433690000000002</v>
      </c>
      <c r="W33" s="74">
        <v>5.0424530000000001</v>
      </c>
      <c r="X33" s="74">
        <v>5.041563</v>
      </c>
      <c r="Y33" s="74">
        <v>5.0404109999999998</v>
      </c>
      <c r="Z33" s="74">
        <v>5.0391269999999997</v>
      </c>
      <c r="AA33" s="74">
        <v>5.0376839999999996</v>
      </c>
      <c r="AB33" s="74">
        <v>5.0362900000000002</v>
      </c>
      <c r="AC33" s="74">
        <v>5.0345170000000001</v>
      </c>
      <c r="AD33" s="74">
        <v>5.0328030000000004</v>
      </c>
      <c r="AE33" s="74">
        <v>5.0309910000000002</v>
      </c>
      <c r="AF33" s="74">
        <v>5.0289089999999996</v>
      </c>
      <c r="AG33" s="74">
        <v>5.0263140000000002</v>
      </c>
      <c r="AH33" s="74">
        <v>5.0234719999999999</v>
      </c>
      <c r="AI33" s="74">
        <v>5.020365</v>
      </c>
      <c r="AJ33" s="74">
        <v>5.0203639999999998</v>
      </c>
      <c r="AK33" s="75">
        <v>-2.1599999999999999E-4</v>
      </c>
    </row>
    <row r="34" spans="1:37" ht="15" customHeight="1">
      <c r="A34" s="69" t="s">
        <v>794</v>
      </c>
      <c r="B34" s="73" t="s">
        <v>795</v>
      </c>
      <c r="C34" s="74">
        <v>5.0566430000000002</v>
      </c>
      <c r="D34" s="74">
        <v>5.0550290000000002</v>
      </c>
      <c r="E34" s="74">
        <v>5.0560859999999996</v>
      </c>
      <c r="F34" s="74">
        <v>5.0563630000000002</v>
      </c>
      <c r="G34" s="74">
        <v>5.0551620000000002</v>
      </c>
      <c r="H34" s="74">
        <v>5.0521120000000002</v>
      </c>
      <c r="I34" s="74">
        <v>5.0499099999999997</v>
      </c>
      <c r="J34" s="74">
        <v>5.0489660000000001</v>
      </c>
      <c r="K34" s="74">
        <v>5.0484030000000004</v>
      </c>
      <c r="L34" s="74">
        <v>5.0479479999999999</v>
      </c>
      <c r="M34" s="74">
        <v>5.0474509999999997</v>
      </c>
      <c r="N34" s="74">
        <v>5.04697</v>
      </c>
      <c r="O34" s="74">
        <v>5.0464979999999997</v>
      </c>
      <c r="P34" s="74">
        <v>5.046602</v>
      </c>
      <c r="Q34" s="74">
        <v>5.0458410000000002</v>
      </c>
      <c r="R34" s="74">
        <v>5.0454929999999996</v>
      </c>
      <c r="S34" s="74">
        <v>5.0453320000000001</v>
      </c>
      <c r="T34" s="74">
        <v>5.0447139999999999</v>
      </c>
      <c r="U34" s="74">
        <v>5.0439569999999998</v>
      </c>
      <c r="V34" s="74">
        <v>5.0431090000000003</v>
      </c>
      <c r="W34" s="74">
        <v>5.0421550000000002</v>
      </c>
      <c r="X34" s="74">
        <v>5.041226</v>
      </c>
      <c r="Y34" s="74">
        <v>5.0400229999999997</v>
      </c>
      <c r="Z34" s="74">
        <v>5.0386810000000004</v>
      </c>
      <c r="AA34" s="74">
        <v>5.0371740000000003</v>
      </c>
      <c r="AB34" s="74">
        <v>5.035717</v>
      </c>
      <c r="AC34" s="74">
        <v>5.0338620000000001</v>
      </c>
      <c r="AD34" s="74">
        <v>5.0319269999999996</v>
      </c>
      <c r="AE34" s="74">
        <v>5.029827</v>
      </c>
      <c r="AF34" s="74">
        <v>5.0276490000000003</v>
      </c>
      <c r="AG34" s="74">
        <v>5.0249329999999999</v>
      </c>
      <c r="AH34" s="74">
        <v>5.0219589999999998</v>
      </c>
      <c r="AI34" s="74">
        <v>5.018713</v>
      </c>
      <c r="AJ34" s="74">
        <v>5.018713</v>
      </c>
      <c r="AK34" s="75">
        <v>-2.2499999999999999E-4</v>
      </c>
    </row>
    <row r="35" spans="1:37" ht="15" customHeight="1">
      <c r="A35" s="69" t="s">
        <v>796</v>
      </c>
      <c r="B35" s="73" t="s">
        <v>797</v>
      </c>
      <c r="C35" s="74">
        <v>5.2222799999999996</v>
      </c>
      <c r="D35" s="74">
        <v>5.2222799999999996</v>
      </c>
      <c r="E35" s="74">
        <v>5.2222799999999996</v>
      </c>
      <c r="F35" s="74">
        <v>5.2222799999999996</v>
      </c>
      <c r="G35" s="74">
        <v>5.2222799999999996</v>
      </c>
      <c r="H35" s="74">
        <v>5.2222799999999996</v>
      </c>
      <c r="I35" s="74">
        <v>5.2222799999999996</v>
      </c>
      <c r="J35" s="74">
        <v>5.2222799999999996</v>
      </c>
      <c r="K35" s="74">
        <v>5.2222799999999996</v>
      </c>
      <c r="L35" s="74">
        <v>5.2222799999999996</v>
      </c>
      <c r="M35" s="74">
        <v>5.2222799999999996</v>
      </c>
      <c r="N35" s="74">
        <v>5.2222799999999996</v>
      </c>
      <c r="O35" s="74">
        <v>5.2222799999999996</v>
      </c>
      <c r="P35" s="74">
        <v>5.2222799999999996</v>
      </c>
      <c r="Q35" s="74">
        <v>5.2222799999999996</v>
      </c>
      <c r="R35" s="74">
        <v>5.2222799999999996</v>
      </c>
      <c r="S35" s="74">
        <v>5.2222799999999996</v>
      </c>
      <c r="T35" s="74">
        <v>5.2222799999999996</v>
      </c>
      <c r="U35" s="74">
        <v>5.2222799999999996</v>
      </c>
      <c r="V35" s="74">
        <v>5.2222799999999996</v>
      </c>
      <c r="W35" s="74">
        <v>5.2222799999999996</v>
      </c>
      <c r="X35" s="74">
        <v>5.2222799999999996</v>
      </c>
      <c r="Y35" s="74">
        <v>5.2222799999999996</v>
      </c>
      <c r="Z35" s="74">
        <v>5.2222799999999996</v>
      </c>
      <c r="AA35" s="74">
        <v>5.2222799999999996</v>
      </c>
      <c r="AB35" s="74">
        <v>5.2222799999999996</v>
      </c>
      <c r="AC35" s="74">
        <v>5.2222799999999996</v>
      </c>
      <c r="AD35" s="74">
        <v>5.2222799999999996</v>
      </c>
      <c r="AE35" s="74">
        <v>5.2222799999999996</v>
      </c>
      <c r="AF35" s="74">
        <v>5.2222799999999996</v>
      </c>
      <c r="AG35" s="74">
        <v>5.2222799999999996</v>
      </c>
      <c r="AH35" s="74">
        <v>5.2222799999999996</v>
      </c>
      <c r="AI35" s="74">
        <v>5.2222799999999996</v>
      </c>
      <c r="AJ35" s="74">
        <v>5.2222799999999996</v>
      </c>
      <c r="AK35" s="75">
        <v>0</v>
      </c>
    </row>
    <row r="36" spans="1:37" ht="15" customHeight="1">
      <c r="A36" s="69" t="s">
        <v>798</v>
      </c>
      <c r="B36" s="73" t="s">
        <v>799</v>
      </c>
      <c r="C36" s="74">
        <v>5.2222799999999996</v>
      </c>
      <c r="D36" s="74">
        <v>5.2222799999999996</v>
      </c>
      <c r="E36" s="74">
        <v>5.2222799999999996</v>
      </c>
      <c r="F36" s="74">
        <v>5.2222799999999996</v>
      </c>
      <c r="G36" s="74">
        <v>5.2222799999999996</v>
      </c>
      <c r="H36" s="74">
        <v>5.2222799999999996</v>
      </c>
      <c r="I36" s="74">
        <v>5.2222799999999996</v>
      </c>
      <c r="J36" s="74">
        <v>5.2222799999999996</v>
      </c>
      <c r="K36" s="74">
        <v>5.2222799999999996</v>
      </c>
      <c r="L36" s="74">
        <v>5.2222799999999996</v>
      </c>
      <c r="M36" s="74">
        <v>5.2222799999999996</v>
      </c>
      <c r="N36" s="74">
        <v>5.2222799999999996</v>
      </c>
      <c r="O36" s="74">
        <v>5.2222799999999996</v>
      </c>
      <c r="P36" s="74">
        <v>5.2222799999999996</v>
      </c>
      <c r="Q36" s="74">
        <v>5.2222799999999996</v>
      </c>
      <c r="R36" s="74">
        <v>5.2222799999999996</v>
      </c>
      <c r="S36" s="74">
        <v>5.2222799999999996</v>
      </c>
      <c r="T36" s="74">
        <v>5.2222799999999996</v>
      </c>
      <c r="U36" s="74">
        <v>5.2222799999999996</v>
      </c>
      <c r="V36" s="74">
        <v>5.2222799999999996</v>
      </c>
      <c r="W36" s="74">
        <v>5.2222799999999996</v>
      </c>
      <c r="X36" s="74">
        <v>5.2222799999999996</v>
      </c>
      <c r="Y36" s="74">
        <v>5.2222799999999996</v>
      </c>
      <c r="Z36" s="74">
        <v>5.2222799999999996</v>
      </c>
      <c r="AA36" s="74">
        <v>5.2222799999999996</v>
      </c>
      <c r="AB36" s="74">
        <v>5.2222799999999996</v>
      </c>
      <c r="AC36" s="74">
        <v>5.2222799999999996</v>
      </c>
      <c r="AD36" s="74">
        <v>5.2222799999999996</v>
      </c>
      <c r="AE36" s="74">
        <v>5.2222799999999996</v>
      </c>
      <c r="AF36" s="74">
        <v>5.2222799999999996</v>
      </c>
      <c r="AG36" s="74">
        <v>5.2222799999999996</v>
      </c>
      <c r="AH36" s="74">
        <v>5.2222799999999996</v>
      </c>
      <c r="AI36" s="74">
        <v>5.2222799999999996</v>
      </c>
      <c r="AJ36" s="74">
        <v>5.2222799999999996</v>
      </c>
      <c r="AK36" s="75">
        <v>0</v>
      </c>
    </row>
    <row r="37" spans="1:37" ht="15" customHeight="1">
      <c r="A37" s="69" t="s">
        <v>800</v>
      </c>
      <c r="B37" s="73" t="s">
        <v>801</v>
      </c>
      <c r="C37" s="74">
        <v>4.62</v>
      </c>
      <c r="D37" s="74">
        <v>4.62</v>
      </c>
      <c r="E37" s="74">
        <v>4.62</v>
      </c>
      <c r="F37" s="74">
        <v>4.62</v>
      </c>
      <c r="G37" s="74">
        <v>4.62</v>
      </c>
      <c r="H37" s="74">
        <v>4.62</v>
      </c>
      <c r="I37" s="74">
        <v>4.62</v>
      </c>
      <c r="J37" s="74">
        <v>4.62</v>
      </c>
      <c r="K37" s="74">
        <v>4.62</v>
      </c>
      <c r="L37" s="74">
        <v>4.62</v>
      </c>
      <c r="M37" s="74">
        <v>4.62</v>
      </c>
      <c r="N37" s="74">
        <v>4.62</v>
      </c>
      <c r="O37" s="74">
        <v>4.62</v>
      </c>
      <c r="P37" s="74">
        <v>4.62</v>
      </c>
      <c r="Q37" s="74">
        <v>4.62</v>
      </c>
      <c r="R37" s="74">
        <v>4.62</v>
      </c>
      <c r="S37" s="74">
        <v>4.62</v>
      </c>
      <c r="T37" s="74">
        <v>4.62</v>
      </c>
      <c r="U37" s="74">
        <v>4.62</v>
      </c>
      <c r="V37" s="74">
        <v>4.62</v>
      </c>
      <c r="W37" s="74">
        <v>4.62</v>
      </c>
      <c r="X37" s="74">
        <v>4.62</v>
      </c>
      <c r="Y37" s="74">
        <v>4.62</v>
      </c>
      <c r="Z37" s="74">
        <v>4.62</v>
      </c>
      <c r="AA37" s="74">
        <v>4.62</v>
      </c>
      <c r="AB37" s="74">
        <v>4.62</v>
      </c>
      <c r="AC37" s="74">
        <v>4.62</v>
      </c>
      <c r="AD37" s="74">
        <v>4.62</v>
      </c>
      <c r="AE37" s="74">
        <v>4.62</v>
      </c>
      <c r="AF37" s="74">
        <v>4.62</v>
      </c>
      <c r="AG37" s="74">
        <v>4.62</v>
      </c>
      <c r="AH37" s="74">
        <v>4.62</v>
      </c>
      <c r="AI37" s="74">
        <v>4.62</v>
      </c>
      <c r="AJ37" s="74">
        <v>4.62</v>
      </c>
      <c r="AK37" s="75">
        <v>0</v>
      </c>
    </row>
    <row r="38" spans="1:37" ht="15" customHeight="1">
      <c r="A38" s="69" t="s">
        <v>802</v>
      </c>
      <c r="B38" s="73" t="s">
        <v>803</v>
      </c>
      <c r="C38" s="74">
        <v>5.8</v>
      </c>
      <c r="D38" s="74">
        <v>5.8</v>
      </c>
      <c r="E38" s="74">
        <v>5.8</v>
      </c>
      <c r="F38" s="74">
        <v>5.8</v>
      </c>
      <c r="G38" s="74">
        <v>5.8</v>
      </c>
      <c r="H38" s="74">
        <v>5.8</v>
      </c>
      <c r="I38" s="74">
        <v>5.8</v>
      </c>
      <c r="J38" s="74">
        <v>5.8</v>
      </c>
      <c r="K38" s="74">
        <v>5.8</v>
      </c>
      <c r="L38" s="74">
        <v>5.8</v>
      </c>
      <c r="M38" s="74">
        <v>5.8</v>
      </c>
      <c r="N38" s="74">
        <v>5.8</v>
      </c>
      <c r="O38" s="74">
        <v>5.8</v>
      </c>
      <c r="P38" s="74">
        <v>5.8</v>
      </c>
      <c r="Q38" s="74">
        <v>5.8</v>
      </c>
      <c r="R38" s="74">
        <v>5.8</v>
      </c>
      <c r="S38" s="74">
        <v>5.8</v>
      </c>
      <c r="T38" s="74">
        <v>5.8</v>
      </c>
      <c r="U38" s="74">
        <v>5.8</v>
      </c>
      <c r="V38" s="74">
        <v>5.8</v>
      </c>
      <c r="W38" s="74">
        <v>5.8</v>
      </c>
      <c r="X38" s="74">
        <v>5.8</v>
      </c>
      <c r="Y38" s="74">
        <v>5.8</v>
      </c>
      <c r="Z38" s="74">
        <v>5.8</v>
      </c>
      <c r="AA38" s="74">
        <v>5.8</v>
      </c>
      <c r="AB38" s="74">
        <v>5.8</v>
      </c>
      <c r="AC38" s="74">
        <v>5.8</v>
      </c>
      <c r="AD38" s="74">
        <v>5.8</v>
      </c>
      <c r="AE38" s="74">
        <v>5.8</v>
      </c>
      <c r="AF38" s="74">
        <v>5.8</v>
      </c>
      <c r="AG38" s="74">
        <v>5.8</v>
      </c>
      <c r="AH38" s="74">
        <v>5.8</v>
      </c>
      <c r="AI38" s="74">
        <v>5.8</v>
      </c>
      <c r="AJ38" s="74">
        <v>5.8</v>
      </c>
      <c r="AK38" s="75">
        <v>0</v>
      </c>
    </row>
    <row r="39" spans="1:37" ht="15" customHeight="1">
      <c r="A39" s="69" t="s">
        <v>804</v>
      </c>
      <c r="B39" s="73" t="s">
        <v>805</v>
      </c>
      <c r="C39" s="74">
        <v>5.4510759999999996</v>
      </c>
      <c r="D39" s="74">
        <v>5.4510759999999996</v>
      </c>
      <c r="E39" s="74">
        <v>5.4510759999999996</v>
      </c>
      <c r="F39" s="74">
        <v>5.4510759999999996</v>
      </c>
      <c r="G39" s="74">
        <v>5.4510759999999996</v>
      </c>
      <c r="H39" s="74">
        <v>5.4510759999999996</v>
      </c>
      <c r="I39" s="74">
        <v>5.4510759999999996</v>
      </c>
      <c r="J39" s="74">
        <v>5.4510759999999996</v>
      </c>
      <c r="K39" s="74">
        <v>5.4510759999999996</v>
      </c>
      <c r="L39" s="74">
        <v>5.4510759999999996</v>
      </c>
      <c r="M39" s="74">
        <v>5.4510759999999996</v>
      </c>
      <c r="N39" s="74">
        <v>5.4510759999999996</v>
      </c>
      <c r="O39" s="74">
        <v>5.4510759999999996</v>
      </c>
      <c r="P39" s="74">
        <v>5.4510759999999996</v>
      </c>
      <c r="Q39" s="74">
        <v>5.4510759999999996</v>
      </c>
      <c r="R39" s="74">
        <v>5.4510759999999996</v>
      </c>
      <c r="S39" s="74">
        <v>5.4510759999999996</v>
      </c>
      <c r="T39" s="74">
        <v>5.4510759999999996</v>
      </c>
      <c r="U39" s="74">
        <v>5.4510759999999996</v>
      </c>
      <c r="V39" s="74">
        <v>5.4510759999999996</v>
      </c>
      <c r="W39" s="74">
        <v>5.4510759999999996</v>
      </c>
      <c r="X39" s="74">
        <v>5.4510759999999996</v>
      </c>
      <c r="Y39" s="74">
        <v>5.4510759999999996</v>
      </c>
      <c r="Z39" s="74">
        <v>5.4510759999999996</v>
      </c>
      <c r="AA39" s="74">
        <v>5.4510759999999996</v>
      </c>
      <c r="AB39" s="74">
        <v>5.4510759999999996</v>
      </c>
      <c r="AC39" s="74">
        <v>5.4510759999999996</v>
      </c>
      <c r="AD39" s="74">
        <v>5.4510759999999996</v>
      </c>
      <c r="AE39" s="74">
        <v>5.4510759999999996</v>
      </c>
      <c r="AF39" s="74">
        <v>5.4510759999999996</v>
      </c>
      <c r="AG39" s="74">
        <v>5.4510759999999996</v>
      </c>
      <c r="AH39" s="74">
        <v>5.4510759999999996</v>
      </c>
      <c r="AI39" s="74">
        <v>5.4510759999999996</v>
      </c>
      <c r="AJ39" s="74">
        <v>5.4510759999999996</v>
      </c>
      <c r="AK39" s="75">
        <v>0</v>
      </c>
    </row>
    <row r="40" spans="1:37" ht="15" customHeight="1">
      <c r="A40" s="69" t="s">
        <v>806</v>
      </c>
      <c r="B40" s="73" t="s">
        <v>807</v>
      </c>
      <c r="C40" s="74">
        <v>6.2869999999999999</v>
      </c>
      <c r="D40" s="74">
        <v>6.2869999999999999</v>
      </c>
      <c r="E40" s="74">
        <v>6.2869999999999999</v>
      </c>
      <c r="F40" s="74">
        <v>6.2869999999999999</v>
      </c>
      <c r="G40" s="74">
        <v>6.2869999999999999</v>
      </c>
      <c r="H40" s="74">
        <v>6.2869999999999999</v>
      </c>
      <c r="I40" s="74">
        <v>6.2869999999999999</v>
      </c>
      <c r="J40" s="74">
        <v>6.2869999999999999</v>
      </c>
      <c r="K40" s="74">
        <v>6.2869999999999999</v>
      </c>
      <c r="L40" s="74">
        <v>6.2869999999999999</v>
      </c>
      <c r="M40" s="74">
        <v>6.2869999999999999</v>
      </c>
      <c r="N40" s="74">
        <v>6.2869999999999999</v>
      </c>
      <c r="O40" s="74">
        <v>6.2869999999999999</v>
      </c>
      <c r="P40" s="74">
        <v>6.2869999999999999</v>
      </c>
      <c r="Q40" s="74">
        <v>6.2869999999999999</v>
      </c>
      <c r="R40" s="74">
        <v>6.2869999999999999</v>
      </c>
      <c r="S40" s="74">
        <v>6.2869999999999999</v>
      </c>
      <c r="T40" s="74">
        <v>6.2869999999999999</v>
      </c>
      <c r="U40" s="74">
        <v>6.2869999999999999</v>
      </c>
      <c r="V40" s="74">
        <v>6.2869999999999999</v>
      </c>
      <c r="W40" s="74">
        <v>6.2869999999999999</v>
      </c>
      <c r="X40" s="74">
        <v>6.2869999999999999</v>
      </c>
      <c r="Y40" s="74">
        <v>6.2869999999999999</v>
      </c>
      <c r="Z40" s="74">
        <v>6.2869999999999999</v>
      </c>
      <c r="AA40" s="74">
        <v>6.2869999999999999</v>
      </c>
      <c r="AB40" s="74">
        <v>6.2869999999999999</v>
      </c>
      <c r="AC40" s="74">
        <v>6.2869999999999999</v>
      </c>
      <c r="AD40" s="74">
        <v>6.2869999999999999</v>
      </c>
      <c r="AE40" s="74">
        <v>6.2869999999999999</v>
      </c>
      <c r="AF40" s="74">
        <v>6.2869999999999999</v>
      </c>
      <c r="AG40" s="74">
        <v>6.2869999999999999</v>
      </c>
      <c r="AH40" s="74">
        <v>6.2869999999999999</v>
      </c>
      <c r="AI40" s="74">
        <v>6.2869999999999999</v>
      </c>
      <c r="AJ40" s="74">
        <v>6.2869999999999999</v>
      </c>
      <c r="AK40" s="75">
        <v>0</v>
      </c>
    </row>
    <row r="41" spans="1:37" ht="15" customHeight="1">
      <c r="A41" s="69" t="s">
        <v>808</v>
      </c>
      <c r="B41" s="73" t="s">
        <v>809</v>
      </c>
      <c r="C41" s="74">
        <v>6.2869999999999999</v>
      </c>
      <c r="D41" s="74">
        <v>6.2869999999999999</v>
      </c>
      <c r="E41" s="74">
        <v>6.2869999999999999</v>
      </c>
      <c r="F41" s="74">
        <v>6.2869999999999999</v>
      </c>
      <c r="G41" s="74">
        <v>6.2869999999999999</v>
      </c>
      <c r="H41" s="74">
        <v>6.2869999999999999</v>
      </c>
      <c r="I41" s="74">
        <v>6.2869999999999999</v>
      </c>
      <c r="J41" s="74">
        <v>6.2869999999999999</v>
      </c>
      <c r="K41" s="74">
        <v>6.2869999999999999</v>
      </c>
      <c r="L41" s="74">
        <v>6.2869999999999999</v>
      </c>
      <c r="M41" s="74">
        <v>6.2869999999999999</v>
      </c>
      <c r="N41" s="74">
        <v>6.2869999999999999</v>
      </c>
      <c r="O41" s="74">
        <v>6.2869999999999999</v>
      </c>
      <c r="P41" s="74">
        <v>6.2869999999999999</v>
      </c>
      <c r="Q41" s="74">
        <v>6.2869999999999999</v>
      </c>
      <c r="R41" s="74">
        <v>6.2869999999999999</v>
      </c>
      <c r="S41" s="74">
        <v>6.2869999999999999</v>
      </c>
      <c r="T41" s="74">
        <v>6.2869999999999999</v>
      </c>
      <c r="U41" s="74">
        <v>6.2869999999999999</v>
      </c>
      <c r="V41" s="74">
        <v>6.2869999999999999</v>
      </c>
      <c r="W41" s="74">
        <v>6.2869999999999999</v>
      </c>
      <c r="X41" s="74">
        <v>6.2869999999999999</v>
      </c>
      <c r="Y41" s="74">
        <v>6.2869999999999999</v>
      </c>
      <c r="Z41" s="74">
        <v>6.2869999999999999</v>
      </c>
      <c r="AA41" s="74">
        <v>6.2869999999999999</v>
      </c>
      <c r="AB41" s="74">
        <v>6.2869999999999999</v>
      </c>
      <c r="AC41" s="74">
        <v>6.2869999999999999</v>
      </c>
      <c r="AD41" s="74">
        <v>6.2869999999999999</v>
      </c>
      <c r="AE41" s="74">
        <v>6.2869999999999999</v>
      </c>
      <c r="AF41" s="74">
        <v>6.2869999999999999</v>
      </c>
      <c r="AG41" s="74">
        <v>6.2869999999999999</v>
      </c>
      <c r="AH41" s="74">
        <v>6.2869999999999999</v>
      </c>
      <c r="AI41" s="74">
        <v>6.2869999999999999</v>
      </c>
      <c r="AJ41" s="74">
        <v>6.2869999999999999</v>
      </c>
      <c r="AK41" s="75">
        <v>0</v>
      </c>
    </row>
    <row r="42" spans="1:37" ht="15" customHeight="1">
      <c r="A42" s="69" t="s">
        <v>810</v>
      </c>
      <c r="B42" s="73" t="s">
        <v>811</v>
      </c>
      <c r="C42" s="74">
        <v>6.2869999999999999</v>
      </c>
      <c r="D42" s="74">
        <v>6.2869999999999999</v>
      </c>
      <c r="E42" s="74">
        <v>6.2869999999999999</v>
      </c>
      <c r="F42" s="74">
        <v>6.2869999999999999</v>
      </c>
      <c r="G42" s="74">
        <v>6.2869999999999999</v>
      </c>
      <c r="H42" s="74">
        <v>6.2869999999999999</v>
      </c>
      <c r="I42" s="74">
        <v>6.2869999999999999</v>
      </c>
      <c r="J42" s="74">
        <v>6.2869999999999999</v>
      </c>
      <c r="K42" s="74">
        <v>6.2869999999999999</v>
      </c>
      <c r="L42" s="74">
        <v>6.2869999999999999</v>
      </c>
      <c r="M42" s="74">
        <v>6.2869999999999999</v>
      </c>
      <c r="N42" s="74">
        <v>6.2869999999999999</v>
      </c>
      <c r="O42" s="74">
        <v>6.2869999999999999</v>
      </c>
      <c r="P42" s="74">
        <v>6.2869999999999999</v>
      </c>
      <c r="Q42" s="74">
        <v>6.2869999999999999</v>
      </c>
      <c r="R42" s="74">
        <v>6.2869999999999999</v>
      </c>
      <c r="S42" s="74">
        <v>6.2869999999999999</v>
      </c>
      <c r="T42" s="74">
        <v>6.2869999999999999</v>
      </c>
      <c r="U42" s="74">
        <v>6.2869999999999999</v>
      </c>
      <c r="V42" s="74">
        <v>6.2869999999999999</v>
      </c>
      <c r="W42" s="74">
        <v>6.2869999999999999</v>
      </c>
      <c r="X42" s="74">
        <v>6.2869999999999999</v>
      </c>
      <c r="Y42" s="74">
        <v>6.2869999999999999</v>
      </c>
      <c r="Z42" s="74">
        <v>6.2869999999999999</v>
      </c>
      <c r="AA42" s="74">
        <v>6.2869999999999999</v>
      </c>
      <c r="AB42" s="74">
        <v>6.2869999999999999</v>
      </c>
      <c r="AC42" s="74">
        <v>6.2869999999999999</v>
      </c>
      <c r="AD42" s="74">
        <v>6.2869999999999999</v>
      </c>
      <c r="AE42" s="74">
        <v>6.2869999999999999</v>
      </c>
      <c r="AF42" s="74">
        <v>6.2869999999999999</v>
      </c>
      <c r="AG42" s="74">
        <v>6.2869999999999999</v>
      </c>
      <c r="AH42" s="74">
        <v>6.2869999999999999</v>
      </c>
      <c r="AI42" s="74">
        <v>6.2869999999999999</v>
      </c>
      <c r="AJ42" s="74">
        <v>6.2869999999999999</v>
      </c>
      <c r="AK42" s="75">
        <v>0</v>
      </c>
    </row>
    <row r="43" spans="1:37" ht="15" customHeight="1">
      <c r="A43" s="69" t="s">
        <v>812</v>
      </c>
      <c r="B43" s="73" t="s">
        <v>813</v>
      </c>
      <c r="C43" s="74">
        <v>6.1473459999999998</v>
      </c>
      <c r="D43" s="74">
        <v>6.1452260000000001</v>
      </c>
      <c r="E43" s="74">
        <v>6.1456169999999997</v>
      </c>
      <c r="F43" s="74">
        <v>6.192609</v>
      </c>
      <c r="G43" s="74">
        <v>6.1871369999999999</v>
      </c>
      <c r="H43" s="74">
        <v>6.1839120000000003</v>
      </c>
      <c r="I43" s="74">
        <v>6.177295</v>
      </c>
      <c r="J43" s="74">
        <v>6.1706190000000003</v>
      </c>
      <c r="K43" s="74">
        <v>6.1645000000000003</v>
      </c>
      <c r="L43" s="74">
        <v>6.1563090000000003</v>
      </c>
      <c r="M43" s="74">
        <v>6.1576269999999997</v>
      </c>
      <c r="N43" s="74">
        <v>6.157673</v>
      </c>
      <c r="O43" s="74">
        <v>6.1597790000000003</v>
      </c>
      <c r="P43" s="74">
        <v>6.159592</v>
      </c>
      <c r="Q43" s="74">
        <v>6.1617009999999999</v>
      </c>
      <c r="R43" s="74">
        <v>6.162801</v>
      </c>
      <c r="S43" s="74">
        <v>6.1631689999999999</v>
      </c>
      <c r="T43" s="74">
        <v>6.1640280000000001</v>
      </c>
      <c r="U43" s="74">
        <v>6.1661429999999999</v>
      </c>
      <c r="V43" s="74">
        <v>6.1675360000000001</v>
      </c>
      <c r="W43" s="74">
        <v>6.1674319999999998</v>
      </c>
      <c r="X43" s="74">
        <v>6.1685819999999998</v>
      </c>
      <c r="Y43" s="74">
        <v>6.1709719999999999</v>
      </c>
      <c r="Z43" s="74">
        <v>6.171176</v>
      </c>
      <c r="AA43" s="74">
        <v>6.1722760000000001</v>
      </c>
      <c r="AB43" s="74">
        <v>6.1744009999999996</v>
      </c>
      <c r="AC43" s="74">
        <v>6.175586</v>
      </c>
      <c r="AD43" s="74">
        <v>6.1767789999999998</v>
      </c>
      <c r="AE43" s="74">
        <v>6.1779799999999998</v>
      </c>
      <c r="AF43" s="74">
        <v>6.179189</v>
      </c>
      <c r="AG43" s="74">
        <v>6.1804069999999998</v>
      </c>
      <c r="AH43" s="74">
        <v>6.1816329999999997</v>
      </c>
      <c r="AI43" s="74">
        <v>6.182868</v>
      </c>
      <c r="AJ43" s="74">
        <v>6.1841100000000004</v>
      </c>
      <c r="AK43" s="75">
        <v>1.9699999999999999E-4</v>
      </c>
    </row>
    <row r="44" spans="1:37" ht="15" customHeight="1">
      <c r="A44" s="69" t="s">
        <v>814</v>
      </c>
      <c r="B44" s="73" t="s">
        <v>815</v>
      </c>
      <c r="C44" s="74">
        <v>5.1759979999999999</v>
      </c>
      <c r="D44" s="74">
        <v>5.1493409999999997</v>
      </c>
      <c r="E44" s="74">
        <v>5.1485440000000002</v>
      </c>
      <c r="F44" s="74">
        <v>5.1351180000000003</v>
      </c>
      <c r="G44" s="74">
        <v>5.1214979999999999</v>
      </c>
      <c r="H44" s="74">
        <v>5.1131700000000002</v>
      </c>
      <c r="I44" s="74">
        <v>5.1068749999999996</v>
      </c>
      <c r="J44" s="74">
        <v>5.1001250000000002</v>
      </c>
      <c r="K44" s="74">
        <v>5.0954069999999998</v>
      </c>
      <c r="L44" s="74">
        <v>5.0923059999999998</v>
      </c>
      <c r="M44" s="74">
        <v>5.0851800000000003</v>
      </c>
      <c r="N44" s="74">
        <v>5.0822000000000003</v>
      </c>
      <c r="O44" s="74">
        <v>5.0765289999999998</v>
      </c>
      <c r="P44" s="74">
        <v>5.0746789999999997</v>
      </c>
      <c r="Q44" s="74">
        <v>5.072298</v>
      </c>
      <c r="R44" s="74">
        <v>5.0691280000000001</v>
      </c>
      <c r="S44" s="74">
        <v>5.0666989999999998</v>
      </c>
      <c r="T44" s="74">
        <v>5.0689719999999996</v>
      </c>
      <c r="U44" s="74">
        <v>5.067164</v>
      </c>
      <c r="V44" s="74">
        <v>5.064692</v>
      </c>
      <c r="W44" s="74">
        <v>5.0671790000000003</v>
      </c>
      <c r="X44" s="74">
        <v>5.0644499999999999</v>
      </c>
      <c r="Y44" s="74">
        <v>5.0636330000000003</v>
      </c>
      <c r="Z44" s="74">
        <v>5.0643700000000003</v>
      </c>
      <c r="AA44" s="74">
        <v>5.0640780000000003</v>
      </c>
      <c r="AB44" s="74">
        <v>5.0626110000000004</v>
      </c>
      <c r="AC44" s="74">
        <v>5.0658269999999996</v>
      </c>
      <c r="AD44" s="74">
        <v>5.0664360000000004</v>
      </c>
      <c r="AE44" s="74">
        <v>5.0678429999999999</v>
      </c>
      <c r="AF44" s="74">
        <v>5.0690910000000002</v>
      </c>
      <c r="AG44" s="74">
        <v>5.0703579999999997</v>
      </c>
      <c r="AH44" s="74">
        <v>5.0693210000000004</v>
      </c>
      <c r="AI44" s="74">
        <v>5.0696510000000004</v>
      </c>
      <c r="AJ44" s="74">
        <v>5.0702829999999999</v>
      </c>
      <c r="AK44" s="75">
        <v>-4.8299999999999998E-4</v>
      </c>
    </row>
    <row r="45" spans="1:37" ht="15" customHeight="1">
      <c r="A45" s="69" t="s">
        <v>816</v>
      </c>
      <c r="B45" s="73" t="s">
        <v>817</v>
      </c>
      <c r="C45" s="74">
        <v>5.5967529999999996</v>
      </c>
      <c r="D45" s="74">
        <v>5.6771430000000001</v>
      </c>
      <c r="E45" s="74">
        <v>5.6840089999999996</v>
      </c>
      <c r="F45" s="74">
        <v>5.7170959999999997</v>
      </c>
      <c r="G45" s="74">
        <v>5.6661299999999999</v>
      </c>
      <c r="H45" s="74">
        <v>5.6535770000000003</v>
      </c>
      <c r="I45" s="74">
        <v>5.6441179999999997</v>
      </c>
      <c r="J45" s="74">
        <v>5.6398200000000003</v>
      </c>
      <c r="K45" s="74">
        <v>5.6309760000000004</v>
      </c>
      <c r="L45" s="74">
        <v>5.6472470000000001</v>
      </c>
      <c r="M45" s="74">
        <v>5.6488060000000004</v>
      </c>
      <c r="N45" s="74">
        <v>5.6772070000000001</v>
      </c>
      <c r="O45" s="74">
        <v>5.6554729999999998</v>
      </c>
      <c r="P45" s="74">
        <v>5.6398169999999999</v>
      </c>
      <c r="Q45" s="74">
        <v>5.655303</v>
      </c>
      <c r="R45" s="74">
        <v>5.6159470000000002</v>
      </c>
      <c r="S45" s="74">
        <v>5.5804359999999997</v>
      </c>
      <c r="T45" s="74">
        <v>5.601731</v>
      </c>
      <c r="U45" s="74">
        <v>5.5999040000000004</v>
      </c>
      <c r="V45" s="74">
        <v>5.5448909999999998</v>
      </c>
      <c r="W45" s="74">
        <v>5.5638050000000003</v>
      </c>
      <c r="X45" s="74">
        <v>5.5047459999999999</v>
      </c>
      <c r="Y45" s="74">
        <v>5.4706440000000001</v>
      </c>
      <c r="Z45" s="74">
        <v>5.4392110000000002</v>
      </c>
      <c r="AA45" s="74">
        <v>5.4146479999999997</v>
      </c>
      <c r="AB45" s="74">
        <v>5.3607440000000004</v>
      </c>
      <c r="AC45" s="74">
        <v>5.3546440000000004</v>
      </c>
      <c r="AD45" s="74">
        <v>5.3370649999999999</v>
      </c>
      <c r="AE45" s="74">
        <v>5.3099679999999996</v>
      </c>
      <c r="AF45" s="74">
        <v>5.2794489999999996</v>
      </c>
      <c r="AG45" s="74">
        <v>5.249695</v>
      </c>
      <c r="AH45" s="74">
        <v>5.2043689999999998</v>
      </c>
      <c r="AI45" s="74">
        <v>5.1639299999999997</v>
      </c>
      <c r="AJ45" s="74">
        <v>5.1378079999999997</v>
      </c>
      <c r="AK45" s="75">
        <v>-3.1150000000000001E-3</v>
      </c>
    </row>
    <row r="46" spans="1:37" ht="15" customHeight="1">
      <c r="A46" s="69" t="s">
        <v>818</v>
      </c>
      <c r="B46" s="73" t="s">
        <v>819</v>
      </c>
      <c r="C46" s="74">
        <v>5.1509999999999998</v>
      </c>
      <c r="D46" s="74">
        <v>5.2744179999999998</v>
      </c>
      <c r="E46" s="74">
        <v>5.2506209999999998</v>
      </c>
      <c r="F46" s="74">
        <v>5.2757480000000001</v>
      </c>
      <c r="G46" s="74">
        <v>5.2430519999999996</v>
      </c>
      <c r="H46" s="74">
        <v>5.2341490000000004</v>
      </c>
      <c r="I46" s="74">
        <v>5.2313539999999996</v>
      </c>
      <c r="J46" s="74">
        <v>5.2458450000000001</v>
      </c>
      <c r="K46" s="74">
        <v>5.2317590000000003</v>
      </c>
      <c r="L46" s="74">
        <v>5.1954609999999999</v>
      </c>
      <c r="M46" s="74">
        <v>5.1871260000000001</v>
      </c>
      <c r="N46" s="74">
        <v>5.1891119999999997</v>
      </c>
      <c r="O46" s="74">
        <v>5.1797279999999999</v>
      </c>
      <c r="P46" s="74">
        <v>5.1827779999999999</v>
      </c>
      <c r="Q46" s="74">
        <v>5.1716069999999998</v>
      </c>
      <c r="R46" s="74">
        <v>5.1720730000000001</v>
      </c>
      <c r="S46" s="74">
        <v>5.1663009999999998</v>
      </c>
      <c r="T46" s="74">
        <v>5.1594030000000002</v>
      </c>
      <c r="U46" s="74">
        <v>5.1539609999999998</v>
      </c>
      <c r="V46" s="74">
        <v>5.1569050000000001</v>
      </c>
      <c r="W46" s="74">
        <v>5.1471669999999996</v>
      </c>
      <c r="X46" s="74">
        <v>5.1453899999999999</v>
      </c>
      <c r="Y46" s="74">
        <v>5.1359450000000004</v>
      </c>
      <c r="Z46" s="74">
        <v>5.1392990000000003</v>
      </c>
      <c r="AA46" s="74">
        <v>5.1376179999999998</v>
      </c>
      <c r="AB46" s="74">
        <v>5.1223150000000004</v>
      </c>
      <c r="AC46" s="74">
        <v>5.131875</v>
      </c>
      <c r="AD46" s="74">
        <v>5.1306099999999999</v>
      </c>
      <c r="AE46" s="74">
        <v>5.1394690000000001</v>
      </c>
      <c r="AF46" s="74">
        <v>5.1280320000000001</v>
      </c>
      <c r="AG46" s="74">
        <v>5.124009</v>
      </c>
      <c r="AH46" s="74">
        <v>5.1212489999999997</v>
      </c>
      <c r="AI46" s="74">
        <v>5.1119820000000002</v>
      </c>
      <c r="AJ46" s="74">
        <v>5.1060999999999996</v>
      </c>
      <c r="AK46" s="75">
        <v>-1.013E-3</v>
      </c>
    </row>
    <row r="47" spans="1:37" ht="15" customHeight="1">
      <c r="B47" s="76" t="s">
        <v>820</v>
      </c>
    </row>
    <row r="48" spans="1:37" ht="15" customHeight="1">
      <c r="A48" s="69" t="s">
        <v>821</v>
      </c>
      <c r="B48" s="73" t="s">
        <v>822</v>
      </c>
      <c r="C48" s="74">
        <v>5.7229999999999999</v>
      </c>
      <c r="D48" s="74">
        <v>5.7199359999999997</v>
      </c>
      <c r="E48" s="74">
        <v>5.7093740000000004</v>
      </c>
      <c r="F48" s="74">
        <v>5.7020210000000002</v>
      </c>
      <c r="G48" s="74">
        <v>5.6990360000000004</v>
      </c>
      <c r="H48" s="74">
        <v>5.7029030000000001</v>
      </c>
      <c r="I48" s="74">
        <v>5.7014690000000003</v>
      </c>
      <c r="J48" s="74">
        <v>5.697845</v>
      </c>
      <c r="K48" s="74">
        <v>5.6965690000000002</v>
      </c>
      <c r="L48" s="74">
        <v>5.6955710000000002</v>
      </c>
      <c r="M48" s="74">
        <v>5.6916909999999996</v>
      </c>
      <c r="N48" s="74">
        <v>5.6895829999999998</v>
      </c>
      <c r="O48" s="74">
        <v>5.6873170000000002</v>
      </c>
      <c r="P48" s="74">
        <v>5.6864030000000003</v>
      </c>
      <c r="Q48" s="74">
        <v>5.6859310000000001</v>
      </c>
      <c r="R48" s="74">
        <v>5.6860549999999996</v>
      </c>
      <c r="S48" s="74">
        <v>5.6862589999999997</v>
      </c>
      <c r="T48" s="74">
        <v>5.6853819999999997</v>
      </c>
      <c r="U48" s="74">
        <v>5.6852140000000002</v>
      </c>
      <c r="V48" s="74">
        <v>5.6858959999999996</v>
      </c>
      <c r="W48" s="74">
        <v>5.6868850000000002</v>
      </c>
      <c r="X48" s="74">
        <v>5.6879220000000004</v>
      </c>
      <c r="Y48" s="74">
        <v>5.6901700000000002</v>
      </c>
      <c r="Z48" s="74">
        <v>5.6909640000000001</v>
      </c>
      <c r="AA48" s="74">
        <v>5.6894390000000001</v>
      </c>
      <c r="AB48" s="74">
        <v>5.6887540000000003</v>
      </c>
      <c r="AC48" s="74">
        <v>5.6864689999999998</v>
      </c>
      <c r="AD48" s="74">
        <v>5.6844440000000001</v>
      </c>
      <c r="AE48" s="74">
        <v>5.683516</v>
      </c>
      <c r="AF48" s="74">
        <v>5.6828880000000002</v>
      </c>
      <c r="AG48" s="74">
        <v>5.6813929999999999</v>
      </c>
      <c r="AH48" s="74">
        <v>5.6792740000000004</v>
      </c>
      <c r="AI48" s="74">
        <v>5.678185</v>
      </c>
      <c r="AJ48" s="74">
        <v>5.676202</v>
      </c>
      <c r="AK48" s="75">
        <v>-2.4000000000000001E-4</v>
      </c>
    </row>
    <row r="49" spans="1:37" ht="15" customHeight="1">
      <c r="A49" s="69" t="s">
        <v>823</v>
      </c>
      <c r="B49" s="73" t="s">
        <v>824</v>
      </c>
      <c r="C49" s="74">
        <v>6.05</v>
      </c>
      <c r="D49" s="74">
        <v>6.1347209999999999</v>
      </c>
      <c r="E49" s="74">
        <v>6.1184380000000003</v>
      </c>
      <c r="F49" s="74">
        <v>6.1172810000000002</v>
      </c>
      <c r="G49" s="74">
        <v>6.117947</v>
      </c>
      <c r="H49" s="74">
        <v>6.1025400000000003</v>
      </c>
      <c r="I49" s="74">
        <v>6.1033739999999996</v>
      </c>
      <c r="J49" s="74">
        <v>6.1071629999999999</v>
      </c>
      <c r="K49" s="74">
        <v>6.1065849999999999</v>
      </c>
      <c r="L49" s="74">
        <v>6.1245560000000001</v>
      </c>
      <c r="M49" s="74">
        <v>6.090179</v>
      </c>
      <c r="N49" s="74">
        <v>6.1186819999999997</v>
      </c>
      <c r="O49" s="74">
        <v>6.0805309999999997</v>
      </c>
      <c r="P49" s="74">
        <v>6.1038079999999999</v>
      </c>
      <c r="Q49" s="74">
        <v>6.1135659999999996</v>
      </c>
      <c r="R49" s="74">
        <v>6.1076240000000004</v>
      </c>
      <c r="S49" s="74">
        <v>6.0846780000000003</v>
      </c>
      <c r="T49" s="74">
        <v>6.1340570000000003</v>
      </c>
      <c r="U49" s="74">
        <v>6.1319419999999996</v>
      </c>
      <c r="V49" s="74">
        <v>6.0897600000000001</v>
      </c>
      <c r="W49" s="74">
        <v>6.1385750000000003</v>
      </c>
      <c r="X49" s="74">
        <v>6.1383919999999996</v>
      </c>
      <c r="Y49" s="74">
        <v>6.1363960000000004</v>
      </c>
      <c r="Z49" s="74">
        <v>6.1379999999999999</v>
      </c>
      <c r="AA49" s="74">
        <v>6.1413979999999997</v>
      </c>
      <c r="AB49" s="74">
        <v>6.1053959999999998</v>
      </c>
      <c r="AC49" s="74">
        <v>6.1190619999999996</v>
      </c>
      <c r="AD49" s="74">
        <v>6.1323290000000004</v>
      </c>
      <c r="AE49" s="74">
        <v>6.1402510000000001</v>
      </c>
      <c r="AF49" s="74">
        <v>6.1441309999999998</v>
      </c>
      <c r="AG49" s="74">
        <v>6.1417869999999999</v>
      </c>
      <c r="AH49" s="74">
        <v>6.1391349999999996</v>
      </c>
      <c r="AI49" s="74">
        <v>6.1375440000000001</v>
      </c>
      <c r="AJ49" s="74">
        <v>6.1341609999999998</v>
      </c>
      <c r="AK49" s="75">
        <v>-3.0000000000000001E-6</v>
      </c>
    </row>
    <row r="50" spans="1:37" ht="15" customHeight="1">
      <c r="A50" s="69" t="s">
        <v>825</v>
      </c>
      <c r="B50" s="73" t="s">
        <v>826</v>
      </c>
      <c r="C50" s="74">
        <v>5.7380000000000004</v>
      </c>
      <c r="D50" s="74">
        <v>5.5547700000000004</v>
      </c>
      <c r="E50" s="74">
        <v>5.5572369999999998</v>
      </c>
      <c r="F50" s="74">
        <v>5.5581670000000001</v>
      </c>
      <c r="G50" s="74">
        <v>5.5659510000000001</v>
      </c>
      <c r="H50" s="74">
        <v>5.562354</v>
      </c>
      <c r="I50" s="74">
        <v>5.5637150000000002</v>
      </c>
      <c r="J50" s="74">
        <v>5.562271</v>
      </c>
      <c r="K50" s="74">
        <v>5.5667879999999998</v>
      </c>
      <c r="L50" s="74">
        <v>5.565995</v>
      </c>
      <c r="M50" s="74">
        <v>5.5575130000000001</v>
      </c>
      <c r="N50" s="74">
        <v>5.5605130000000003</v>
      </c>
      <c r="O50" s="74">
        <v>5.5607730000000002</v>
      </c>
      <c r="P50" s="74">
        <v>5.5617470000000004</v>
      </c>
      <c r="Q50" s="74">
        <v>5.5626410000000002</v>
      </c>
      <c r="R50" s="74">
        <v>5.562265</v>
      </c>
      <c r="S50" s="74">
        <v>5.569706</v>
      </c>
      <c r="T50" s="74">
        <v>5.5947889999999996</v>
      </c>
      <c r="U50" s="74">
        <v>5.5964090000000004</v>
      </c>
      <c r="V50" s="74">
        <v>5.6038379999999997</v>
      </c>
      <c r="W50" s="74">
        <v>5.6030389999999999</v>
      </c>
      <c r="X50" s="74">
        <v>5.6124460000000003</v>
      </c>
      <c r="Y50" s="74">
        <v>5.6163569999999998</v>
      </c>
      <c r="Z50" s="74">
        <v>5.6223010000000002</v>
      </c>
      <c r="AA50" s="74">
        <v>5.6172779999999998</v>
      </c>
      <c r="AB50" s="74">
        <v>5.6117030000000003</v>
      </c>
      <c r="AC50" s="74">
        <v>5.5987220000000004</v>
      </c>
      <c r="AD50" s="74">
        <v>5.5860859999999999</v>
      </c>
      <c r="AE50" s="74">
        <v>5.5761089999999998</v>
      </c>
      <c r="AF50" s="74">
        <v>5.5612719999999998</v>
      </c>
      <c r="AG50" s="74">
        <v>5.5591340000000002</v>
      </c>
      <c r="AH50" s="74">
        <v>5.5583109999999998</v>
      </c>
      <c r="AI50" s="74">
        <v>5.5584769999999999</v>
      </c>
      <c r="AJ50" s="74">
        <v>5.5588160000000002</v>
      </c>
      <c r="AK50" s="75">
        <v>2.3E-5</v>
      </c>
    </row>
    <row r="51" spans="1:37" ht="15" customHeight="1">
      <c r="A51" s="69" t="s">
        <v>827</v>
      </c>
      <c r="B51" s="73" t="s">
        <v>828</v>
      </c>
      <c r="C51" s="74">
        <v>3.6994319999999998</v>
      </c>
      <c r="D51" s="74">
        <v>3.6803349999999999</v>
      </c>
      <c r="E51" s="74">
        <v>3.6751779999999998</v>
      </c>
      <c r="F51" s="74">
        <v>3.6722600000000001</v>
      </c>
      <c r="G51" s="74">
        <v>3.661632</v>
      </c>
      <c r="H51" s="74">
        <v>3.661705</v>
      </c>
      <c r="I51" s="74">
        <v>3.6604510000000001</v>
      </c>
      <c r="J51" s="74">
        <v>3.65821</v>
      </c>
      <c r="K51" s="74">
        <v>3.6569090000000002</v>
      </c>
      <c r="L51" s="74">
        <v>3.6559050000000002</v>
      </c>
      <c r="M51" s="74">
        <v>3.655815</v>
      </c>
      <c r="N51" s="74">
        <v>3.6549260000000001</v>
      </c>
      <c r="O51" s="74">
        <v>3.6537899999999999</v>
      </c>
      <c r="P51" s="74">
        <v>3.6542750000000002</v>
      </c>
      <c r="Q51" s="74">
        <v>3.6541939999999999</v>
      </c>
      <c r="R51" s="74">
        <v>3.6551800000000001</v>
      </c>
      <c r="S51" s="74">
        <v>3.6552220000000002</v>
      </c>
      <c r="T51" s="74">
        <v>3.6557840000000001</v>
      </c>
      <c r="U51" s="74">
        <v>3.6554319999999998</v>
      </c>
      <c r="V51" s="74">
        <v>3.6563289999999999</v>
      </c>
      <c r="W51" s="74">
        <v>3.656425</v>
      </c>
      <c r="X51" s="74">
        <v>3.6584599999999998</v>
      </c>
      <c r="Y51" s="74">
        <v>3.659478</v>
      </c>
      <c r="Z51" s="74">
        <v>3.6604260000000002</v>
      </c>
      <c r="AA51" s="74">
        <v>3.6596030000000002</v>
      </c>
      <c r="AB51" s="74">
        <v>3.6590319999999998</v>
      </c>
      <c r="AC51" s="74">
        <v>3.657537</v>
      </c>
      <c r="AD51" s="74">
        <v>3.655983</v>
      </c>
      <c r="AE51" s="74">
        <v>3.6549179999999999</v>
      </c>
      <c r="AF51" s="74">
        <v>3.6535739999999999</v>
      </c>
      <c r="AG51" s="74">
        <v>3.651659</v>
      </c>
      <c r="AH51" s="74">
        <v>3.6501269999999999</v>
      </c>
      <c r="AI51" s="74">
        <v>3.6490499999999999</v>
      </c>
      <c r="AJ51" s="74">
        <v>3.6478000000000002</v>
      </c>
      <c r="AK51" s="75">
        <v>-2.7700000000000001E-4</v>
      </c>
    </row>
    <row r="53" spans="1:37" ht="15" customHeight="1">
      <c r="B53" s="72" t="s">
        <v>829</v>
      </c>
    </row>
    <row r="54" spans="1:37" ht="15" customHeight="1">
      <c r="A54" s="69" t="s">
        <v>830</v>
      </c>
      <c r="B54" s="73" t="s">
        <v>831</v>
      </c>
      <c r="C54" s="74">
        <v>1.0369999999999999</v>
      </c>
      <c r="D54" s="74">
        <v>1.0369999999999999</v>
      </c>
      <c r="E54" s="74">
        <v>1.0369999999999999</v>
      </c>
      <c r="F54" s="74">
        <v>1.0369999999999999</v>
      </c>
      <c r="G54" s="74">
        <v>1.0369999999999999</v>
      </c>
      <c r="H54" s="74">
        <v>1.0369999999999999</v>
      </c>
      <c r="I54" s="74">
        <v>1.0369999999999999</v>
      </c>
      <c r="J54" s="74">
        <v>1.0369999999999999</v>
      </c>
      <c r="K54" s="74">
        <v>1.0369999999999999</v>
      </c>
      <c r="L54" s="74">
        <v>1.0369999999999999</v>
      </c>
      <c r="M54" s="74">
        <v>1.0369999999999999</v>
      </c>
      <c r="N54" s="74">
        <v>1.0369999999999999</v>
      </c>
      <c r="O54" s="74">
        <v>1.0369999999999999</v>
      </c>
      <c r="P54" s="74">
        <v>1.0369999999999999</v>
      </c>
      <c r="Q54" s="74">
        <v>1.0369999999999999</v>
      </c>
      <c r="R54" s="74">
        <v>1.0369999999999999</v>
      </c>
      <c r="S54" s="74">
        <v>1.0369999999999999</v>
      </c>
      <c r="T54" s="74">
        <v>1.0369999999999999</v>
      </c>
      <c r="U54" s="74">
        <v>1.0369999999999999</v>
      </c>
      <c r="V54" s="74">
        <v>1.0369999999999999</v>
      </c>
      <c r="W54" s="74">
        <v>1.0369999999999999</v>
      </c>
      <c r="X54" s="74">
        <v>1.0369999999999999</v>
      </c>
      <c r="Y54" s="74">
        <v>1.0369999999999999</v>
      </c>
      <c r="Z54" s="74">
        <v>1.0369999999999999</v>
      </c>
      <c r="AA54" s="74">
        <v>1.0369999999999999</v>
      </c>
      <c r="AB54" s="74">
        <v>1.0369999999999999</v>
      </c>
      <c r="AC54" s="74">
        <v>1.0369999999999999</v>
      </c>
      <c r="AD54" s="74">
        <v>1.0369999999999999</v>
      </c>
      <c r="AE54" s="74">
        <v>1.0369999999999999</v>
      </c>
      <c r="AF54" s="74">
        <v>1.0369999999999999</v>
      </c>
      <c r="AG54" s="74">
        <v>1.0369999999999999</v>
      </c>
      <c r="AH54" s="74">
        <v>1.0369999999999999</v>
      </c>
      <c r="AI54" s="74">
        <v>1.0369999999999999</v>
      </c>
      <c r="AJ54" s="74">
        <v>1.0369999999999999</v>
      </c>
      <c r="AK54" s="75">
        <v>0</v>
      </c>
    </row>
    <row r="55" spans="1:37" ht="15" customHeight="1">
      <c r="A55" s="69" t="s">
        <v>832</v>
      </c>
      <c r="B55" s="73" t="s">
        <v>833</v>
      </c>
      <c r="C55" s="74">
        <v>1.0329999999999999</v>
      </c>
      <c r="D55" s="74">
        <v>1.0329999999999999</v>
      </c>
      <c r="E55" s="74">
        <v>1.0329999999999999</v>
      </c>
      <c r="F55" s="74">
        <v>1.0329999999999999</v>
      </c>
      <c r="G55" s="74">
        <v>1.0329999999999999</v>
      </c>
      <c r="H55" s="74">
        <v>1.0329999999999999</v>
      </c>
      <c r="I55" s="74">
        <v>1.0329999999999999</v>
      </c>
      <c r="J55" s="74">
        <v>1.0329999999999999</v>
      </c>
      <c r="K55" s="74">
        <v>1.0329999999999999</v>
      </c>
      <c r="L55" s="74">
        <v>1.0329999999999999</v>
      </c>
      <c r="M55" s="74">
        <v>1.0329999999999999</v>
      </c>
      <c r="N55" s="74">
        <v>1.0329999999999999</v>
      </c>
      <c r="O55" s="74">
        <v>1.0329999999999999</v>
      </c>
      <c r="P55" s="74">
        <v>1.0329999999999999</v>
      </c>
      <c r="Q55" s="74">
        <v>1.0329999999999999</v>
      </c>
      <c r="R55" s="74">
        <v>1.0329999999999999</v>
      </c>
      <c r="S55" s="74">
        <v>1.0329999999999999</v>
      </c>
      <c r="T55" s="74">
        <v>1.0329999999999999</v>
      </c>
      <c r="U55" s="74">
        <v>1.0329999999999999</v>
      </c>
      <c r="V55" s="74">
        <v>1.0329999999999999</v>
      </c>
      <c r="W55" s="74">
        <v>1.0329999999999999</v>
      </c>
      <c r="X55" s="74">
        <v>1.0329999999999999</v>
      </c>
      <c r="Y55" s="74">
        <v>1.0329999999999999</v>
      </c>
      <c r="Z55" s="74">
        <v>1.0329999999999999</v>
      </c>
      <c r="AA55" s="74">
        <v>1.0329999999999999</v>
      </c>
      <c r="AB55" s="74">
        <v>1.0329999999999999</v>
      </c>
      <c r="AC55" s="74">
        <v>1.0329999999999999</v>
      </c>
      <c r="AD55" s="74">
        <v>1.0329999999999999</v>
      </c>
      <c r="AE55" s="74">
        <v>1.0329999999999999</v>
      </c>
      <c r="AF55" s="74">
        <v>1.0329999999999999</v>
      </c>
      <c r="AG55" s="74">
        <v>1.0329999999999999</v>
      </c>
      <c r="AH55" s="74">
        <v>1.0329999999999999</v>
      </c>
      <c r="AI55" s="74">
        <v>1.0329999999999999</v>
      </c>
      <c r="AJ55" s="74">
        <v>1.0329999999999999</v>
      </c>
      <c r="AK55" s="75">
        <v>0</v>
      </c>
    </row>
    <row r="56" spans="1:37" ht="15" customHeight="1">
      <c r="A56" s="69" t="s">
        <v>834</v>
      </c>
      <c r="B56" s="73" t="s">
        <v>835</v>
      </c>
      <c r="C56" s="74">
        <v>1.0389999999999999</v>
      </c>
      <c r="D56" s="74">
        <v>1.0389999999999999</v>
      </c>
      <c r="E56" s="74">
        <v>1.0389999999999999</v>
      </c>
      <c r="F56" s="74">
        <v>1.0389999999999999</v>
      </c>
      <c r="G56" s="74">
        <v>1.0389999999999999</v>
      </c>
      <c r="H56" s="74">
        <v>1.0389999999999999</v>
      </c>
      <c r="I56" s="74">
        <v>1.0389999999999999</v>
      </c>
      <c r="J56" s="74">
        <v>1.0389999999999999</v>
      </c>
      <c r="K56" s="74">
        <v>1.0389999999999999</v>
      </c>
      <c r="L56" s="74">
        <v>1.0389999999999999</v>
      </c>
      <c r="M56" s="74">
        <v>1.0389999999999999</v>
      </c>
      <c r="N56" s="74">
        <v>1.0389999999999999</v>
      </c>
      <c r="O56" s="74">
        <v>1.0389999999999999</v>
      </c>
      <c r="P56" s="74">
        <v>1.0389999999999999</v>
      </c>
      <c r="Q56" s="74">
        <v>1.0389999999999999</v>
      </c>
      <c r="R56" s="74">
        <v>1.0389999999999999</v>
      </c>
      <c r="S56" s="74">
        <v>1.0389999999999999</v>
      </c>
      <c r="T56" s="74">
        <v>1.0389999999999999</v>
      </c>
      <c r="U56" s="74">
        <v>1.0389999999999999</v>
      </c>
      <c r="V56" s="74">
        <v>1.0389999999999999</v>
      </c>
      <c r="W56" s="74">
        <v>1.0389999999999999</v>
      </c>
      <c r="X56" s="74">
        <v>1.0389999999999999</v>
      </c>
      <c r="Y56" s="74">
        <v>1.0389999999999999</v>
      </c>
      <c r="Z56" s="74">
        <v>1.0389999999999999</v>
      </c>
      <c r="AA56" s="74">
        <v>1.0389999999999999</v>
      </c>
      <c r="AB56" s="74">
        <v>1.0389999999999999</v>
      </c>
      <c r="AC56" s="74">
        <v>1.0389999999999999</v>
      </c>
      <c r="AD56" s="74">
        <v>1.0389999999999999</v>
      </c>
      <c r="AE56" s="74">
        <v>1.0389999999999999</v>
      </c>
      <c r="AF56" s="74">
        <v>1.0389999999999999</v>
      </c>
      <c r="AG56" s="74">
        <v>1.0389999999999999</v>
      </c>
      <c r="AH56" s="74">
        <v>1.0389999999999999</v>
      </c>
      <c r="AI56" s="74">
        <v>1.0389999999999999</v>
      </c>
      <c r="AJ56" s="74">
        <v>1.0389999999999999</v>
      </c>
      <c r="AK56" s="75">
        <v>0</v>
      </c>
    </row>
    <row r="57" spans="1:37" ht="15" customHeight="1">
      <c r="A57" s="69" t="s">
        <v>836</v>
      </c>
      <c r="B57" s="73" t="s">
        <v>837</v>
      </c>
      <c r="C57" s="74">
        <v>1.0369999999999999</v>
      </c>
      <c r="D57" s="74">
        <v>1.0369999999999999</v>
      </c>
      <c r="E57" s="74">
        <v>1.0369999999999999</v>
      </c>
      <c r="F57" s="74">
        <v>1.0369999999999999</v>
      </c>
      <c r="G57" s="74">
        <v>1.0369999999999999</v>
      </c>
      <c r="H57" s="74">
        <v>1.0369999999999999</v>
      </c>
      <c r="I57" s="74">
        <v>1.0369999999999999</v>
      </c>
      <c r="J57" s="74">
        <v>1.0369999999999999</v>
      </c>
      <c r="K57" s="74">
        <v>1.0369999999999999</v>
      </c>
      <c r="L57" s="74">
        <v>1.0369999999999999</v>
      </c>
      <c r="M57" s="74">
        <v>1.0369999999999999</v>
      </c>
      <c r="N57" s="74">
        <v>1.0369999999999999</v>
      </c>
      <c r="O57" s="74">
        <v>1.0369999999999999</v>
      </c>
      <c r="P57" s="74">
        <v>1.0369999999999999</v>
      </c>
      <c r="Q57" s="74">
        <v>1.0369999999999999</v>
      </c>
      <c r="R57" s="74">
        <v>1.0369999999999999</v>
      </c>
      <c r="S57" s="74">
        <v>1.0369999999999999</v>
      </c>
      <c r="T57" s="74">
        <v>1.0369999999999999</v>
      </c>
      <c r="U57" s="74">
        <v>1.0369999999999999</v>
      </c>
      <c r="V57" s="74">
        <v>1.0369999999999999</v>
      </c>
      <c r="W57" s="74">
        <v>1.0369999999999999</v>
      </c>
      <c r="X57" s="74">
        <v>1.0369999999999999</v>
      </c>
      <c r="Y57" s="74">
        <v>1.0369999999999999</v>
      </c>
      <c r="Z57" s="74">
        <v>1.0369999999999999</v>
      </c>
      <c r="AA57" s="74">
        <v>1.0369999999999999</v>
      </c>
      <c r="AB57" s="74">
        <v>1.0369999999999999</v>
      </c>
      <c r="AC57" s="74">
        <v>1.0369999999999999</v>
      </c>
      <c r="AD57" s="74">
        <v>1.0369999999999999</v>
      </c>
      <c r="AE57" s="74">
        <v>1.0369999999999999</v>
      </c>
      <c r="AF57" s="74">
        <v>1.0369999999999999</v>
      </c>
      <c r="AG57" s="74">
        <v>1.0369999999999999</v>
      </c>
      <c r="AH57" s="74">
        <v>1.0369999999999999</v>
      </c>
      <c r="AI57" s="74">
        <v>1.0369999999999999</v>
      </c>
      <c r="AJ57" s="74">
        <v>1.0369999999999999</v>
      </c>
      <c r="AK57" s="75">
        <v>0</v>
      </c>
    </row>
    <row r="58" spans="1:37" ht="15" customHeight="1">
      <c r="A58" s="69" t="s">
        <v>838</v>
      </c>
      <c r="B58" s="73" t="s">
        <v>839</v>
      </c>
      <c r="C58" s="74">
        <v>1.0249999999999999</v>
      </c>
      <c r="D58" s="74">
        <v>1.0249999999999999</v>
      </c>
      <c r="E58" s="74">
        <v>1.0249999999999999</v>
      </c>
      <c r="F58" s="74">
        <v>1.0249999999999999</v>
      </c>
      <c r="G58" s="74">
        <v>1.0249999999999999</v>
      </c>
      <c r="H58" s="74">
        <v>1.0249999999999999</v>
      </c>
      <c r="I58" s="74">
        <v>1.0249999999999999</v>
      </c>
      <c r="J58" s="74">
        <v>1.0249999999999999</v>
      </c>
      <c r="K58" s="74">
        <v>1.0249999999999999</v>
      </c>
      <c r="L58" s="74">
        <v>1.0249999999999999</v>
      </c>
      <c r="M58" s="74">
        <v>1.0249999999999999</v>
      </c>
      <c r="N58" s="74">
        <v>1.0249999999999999</v>
      </c>
      <c r="O58" s="74">
        <v>1.0249999999999999</v>
      </c>
      <c r="P58" s="74">
        <v>1.0249999999999999</v>
      </c>
      <c r="Q58" s="74">
        <v>1.0249999999999999</v>
      </c>
      <c r="R58" s="74">
        <v>1.0249999999999999</v>
      </c>
      <c r="S58" s="74">
        <v>1.0249999999999999</v>
      </c>
      <c r="T58" s="74">
        <v>1.0249999999999999</v>
      </c>
      <c r="U58" s="74">
        <v>1.0249999999999999</v>
      </c>
      <c r="V58" s="74">
        <v>1.0249999999999999</v>
      </c>
      <c r="W58" s="74">
        <v>1.0249999999999999</v>
      </c>
      <c r="X58" s="74">
        <v>1.0249999999999999</v>
      </c>
      <c r="Y58" s="74">
        <v>1.0249999999999999</v>
      </c>
      <c r="Z58" s="74">
        <v>1.0249999999999999</v>
      </c>
      <c r="AA58" s="74">
        <v>1.0249999999999999</v>
      </c>
      <c r="AB58" s="74">
        <v>1.0249999999999999</v>
      </c>
      <c r="AC58" s="74">
        <v>1.0249999999999999</v>
      </c>
      <c r="AD58" s="74">
        <v>1.0249999999999999</v>
      </c>
      <c r="AE58" s="74">
        <v>1.0249999999999999</v>
      </c>
      <c r="AF58" s="74">
        <v>1.0249999999999999</v>
      </c>
      <c r="AG58" s="74">
        <v>1.0249999999999999</v>
      </c>
      <c r="AH58" s="74">
        <v>1.0249999999999999</v>
      </c>
      <c r="AI58" s="74">
        <v>1.0249999999999999</v>
      </c>
      <c r="AJ58" s="74">
        <v>1.0249999999999999</v>
      </c>
      <c r="AK58" s="75">
        <v>0</v>
      </c>
    </row>
    <row r="59" spans="1:37" ht="15" customHeight="1">
      <c r="A59" s="69" t="s">
        <v>840</v>
      </c>
      <c r="B59" s="73" t="s">
        <v>841</v>
      </c>
      <c r="C59" s="74">
        <v>1.0089999999999999</v>
      </c>
      <c r="D59" s="74">
        <v>1.0089999999999999</v>
      </c>
      <c r="E59" s="74">
        <v>1.0089999999999999</v>
      </c>
      <c r="F59" s="74">
        <v>1.0089999999999999</v>
      </c>
      <c r="G59" s="74">
        <v>1.0089999999999999</v>
      </c>
      <c r="H59" s="74">
        <v>1.0089999999999999</v>
      </c>
      <c r="I59" s="74">
        <v>1.0089999999999999</v>
      </c>
      <c r="J59" s="74">
        <v>1.0089999999999999</v>
      </c>
      <c r="K59" s="74">
        <v>1.0089999999999999</v>
      </c>
      <c r="L59" s="74">
        <v>1.0089999999999999</v>
      </c>
      <c r="M59" s="74">
        <v>1.0089999999999999</v>
      </c>
      <c r="N59" s="74">
        <v>1.0089999999999999</v>
      </c>
      <c r="O59" s="74">
        <v>1.0089999999999999</v>
      </c>
      <c r="P59" s="74">
        <v>1.0089999999999999</v>
      </c>
      <c r="Q59" s="74">
        <v>1.0089999999999999</v>
      </c>
      <c r="R59" s="74">
        <v>1.0089999999999999</v>
      </c>
      <c r="S59" s="74">
        <v>1.0089999999999999</v>
      </c>
      <c r="T59" s="74">
        <v>1.0089999999999999</v>
      </c>
      <c r="U59" s="74">
        <v>1.0089999999999999</v>
      </c>
      <c r="V59" s="74">
        <v>1.0089999999999999</v>
      </c>
      <c r="W59" s="74">
        <v>1.0089999999999999</v>
      </c>
      <c r="X59" s="74">
        <v>1.0089999999999999</v>
      </c>
      <c r="Y59" s="74">
        <v>1.0089999999999999</v>
      </c>
      <c r="Z59" s="74">
        <v>1.0089999999999999</v>
      </c>
      <c r="AA59" s="74">
        <v>1.0089999999999999</v>
      </c>
      <c r="AB59" s="74">
        <v>1.0089999999999999</v>
      </c>
      <c r="AC59" s="74">
        <v>1.0089999999999999</v>
      </c>
      <c r="AD59" s="74">
        <v>1.0089999999999999</v>
      </c>
      <c r="AE59" s="74">
        <v>1.0089999999999999</v>
      </c>
      <c r="AF59" s="74">
        <v>1.0089999999999999</v>
      </c>
      <c r="AG59" s="74">
        <v>1.0089999999999999</v>
      </c>
      <c r="AH59" s="74">
        <v>1.0089999999999999</v>
      </c>
      <c r="AI59" s="74">
        <v>1.0089999999999999</v>
      </c>
      <c r="AJ59" s="74">
        <v>1.0089999999999999</v>
      </c>
      <c r="AK59" s="75">
        <v>0</v>
      </c>
    </row>
    <row r="60" spans="1:37" ht="15" customHeight="1">
      <c r="A60" s="69" t="s">
        <v>842</v>
      </c>
      <c r="B60" s="73" t="s">
        <v>276</v>
      </c>
      <c r="C60" s="74">
        <v>0.96</v>
      </c>
      <c r="D60" s="74">
        <v>0.96</v>
      </c>
      <c r="E60" s="74">
        <v>0.96</v>
      </c>
      <c r="F60" s="74">
        <v>0.96</v>
      </c>
      <c r="G60" s="74">
        <v>0.96</v>
      </c>
      <c r="H60" s="74">
        <v>0.96</v>
      </c>
      <c r="I60" s="74">
        <v>0.96</v>
      </c>
      <c r="J60" s="74">
        <v>0.96</v>
      </c>
      <c r="K60" s="74">
        <v>0.96</v>
      </c>
      <c r="L60" s="74">
        <v>0.96</v>
      </c>
      <c r="M60" s="74">
        <v>0.96</v>
      </c>
      <c r="N60" s="74">
        <v>0.96</v>
      </c>
      <c r="O60" s="74">
        <v>0.96</v>
      </c>
      <c r="P60" s="74">
        <v>0.96</v>
      </c>
      <c r="Q60" s="74">
        <v>0.96</v>
      </c>
      <c r="R60" s="74">
        <v>0.96</v>
      </c>
      <c r="S60" s="74">
        <v>0.96</v>
      </c>
      <c r="T60" s="74">
        <v>0.96</v>
      </c>
      <c r="U60" s="74">
        <v>0.96</v>
      </c>
      <c r="V60" s="74">
        <v>0.96</v>
      </c>
      <c r="W60" s="74">
        <v>0.96</v>
      </c>
      <c r="X60" s="74">
        <v>0.96</v>
      </c>
      <c r="Y60" s="74">
        <v>0.96</v>
      </c>
      <c r="Z60" s="74">
        <v>0.96</v>
      </c>
      <c r="AA60" s="74">
        <v>0.96</v>
      </c>
      <c r="AB60" s="74">
        <v>0.96</v>
      </c>
      <c r="AC60" s="74">
        <v>0.96</v>
      </c>
      <c r="AD60" s="74">
        <v>0.96</v>
      </c>
      <c r="AE60" s="74">
        <v>0.96</v>
      </c>
      <c r="AF60" s="74">
        <v>0.96</v>
      </c>
      <c r="AG60" s="74">
        <v>0.96</v>
      </c>
      <c r="AH60" s="74">
        <v>0.96</v>
      </c>
      <c r="AI60" s="74">
        <v>0.96</v>
      </c>
      <c r="AJ60" s="74">
        <v>0.96</v>
      </c>
      <c r="AK60" s="75">
        <v>0</v>
      </c>
    </row>
    <row r="62" spans="1:37" ht="15" customHeight="1">
      <c r="B62" s="72" t="s">
        <v>843</v>
      </c>
    </row>
    <row r="63" spans="1:37" ht="15" customHeight="1">
      <c r="A63" s="69" t="s">
        <v>844</v>
      </c>
      <c r="B63" s="73" t="s">
        <v>837</v>
      </c>
      <c r="C63" s="77">
        <v>20.537140000000001</v>
      </c>
      <c r="D63" s="77">
        <v>20.439444999999999</v>
      </c>
      <c r="E63" s="77">
        <v>20.349045</v>
      </c>
      <c r="F63" s="77">
        <v>20.466270000000002</v>
      </c>
      <c r="G63" s="77">
        <v>20.363602</v>
      </c>
      <c r="H63" s="77">
        <v>20.554328999999999</v>
      </c>
      <c r="I63" s="77">
        <v>20.653105</v>
      </c>
      <c r="J63" s="77">
        <v>20.626196</v>
      </c>
      <c r="K63" s="77">
        <v>20.621486999999998</v>
      </c>
      <c r="L63" s="77">
        <v>20.64123</v>
      </c>
      <c r="M63" s="77">
        <v>20.627844</v>
      </c>
      <c r="N63" s="77">
        <v>20.536940000000001</v>
      </c>
      <c r="O63" s="77">
        <v>20.501505000000002</v>
      </c>
      <c r="P63" s="77">
        <v>20.413281999999999</v>
      </c>
      <c r="Q63" s="77">
        <v>20.399070999999999</v>
      </c>
      <c r="R63" s="77">
        <v>20.458255999999999</v>
      </c>
      <c r="S63" s="77">
        <v>20.429285</v>
      </c>
      <c r="T63" s="77">
        <v>20.364529000000001</v>
      </c>
      <c r="U63" s="77">
        <v>20.373262</v>
      </c>
      <c r="V63" s="77">
        <v>20.367173999999999</v>
      </c>
      <c r="W63" s="77">
        <v>20.397617</v>
      </c>
      <c r="X63" s="77">
        <v>20.405455</v>
      </c>
      <c r="Y63" s="77">
        <v>20.39472</v>
      </c>
      <c r="Z63" s="77">
        <v>20.372592999999998</v>
      </c>
      <c r="AA63" s="77">
        <v>20.382771999999999</v>
      </c>
      <c r="AB63" s="77">
        <v>20.366734000000001</v>
      </c>
      <c r="AC63" s="77">
        <v>20.354519</v>
      </c>
      <c r="AD63" s="77">
        <v>20.355229999999999</v>
      </c>
      <c r="AE63" s="77">
        <v>20.386980000000001</v>
      </c>
      <c r="AF63" s="77">
        <v>20.356945</v>
      </c>
      <c r="AG63" s="77">
        <v>20.336355000000001</v>
      </c>
      <c r="AH63" s="77">
        <v>20.357395</v>
      </c>
      <c r="AI63" s="77">
        <v>20.34404</v>
      </c>
      <c r="AJ63" s="77">
        <v>20.347266999999999</v>
      </c>
      <c r="AK63" s="75">
        <v>-1.4100000000000001E-4</v>
      </c>
    </row>
    <row r="64" spans="1:37" ht="15" customHeight="1">
      <c r="A64" s="69" t="s">
        <v>845</v>
      </c>
      <c r="B64" s="73" t="s">
        <v>846</v>
      </c>
      <c r="C64" s="77">
        <v>25.416302000000002</v>
      </c>
      <c r="D64" s="77">
        <v>25.057079000000002</v>
      </c>
      <c r="E64" s="77">
        <v>25.074783</v>
      </c>
      <c r="F64" s="77">
        <v>25.042176999999999</v>
      </c>
      <c r="G64" s="77">
        <v>24.938278</v>
      </c>
      <c r="H64" s="77">
        <v>24.964016000000001</v>
      </c>
      <c r="I64" s="77">
        <v>24.911818</v>
      </c>
      <c r="J64" s="77">
        <v>24.91433</v>
      </c>
      <c r="K64" s="77">
        <v>24.898243000000001</v>
      </c>
      <c r="L64" s="77">
        <v>24.920572</v>
      </c>
      <c r="M64" s="77">
        <v>24.903048999999999</v>
      </c>
      <c r="N64" s="77">
        <v>24.81945</v>
      </c>
      <c r="O64" s="77">
        <v>24.850802999999999</v>
      </c>
      <c r="P64" s="77">
        <v>24.769541</v>
      </c>
      <c r="Q64" s="77">
        <v>24.735579000000001</v>
      </c>
      <c r="R64" s="77">
        <v>24.729203999999999</v>
      </c>
      <c r="S64" s="77">
        <v>24.688946000000001</v>
      </c>
      <c r="T64" s="77">
        <v>24.612100999999999</v>
      </c>
      <c r="U64" s="77">
        <v>24.600828</v>
      </c>
      <c r="V64" s="77">
        <v>24.592124999999999</v>
      </c>
      <c r="W64" s="77">
        <v>24.569109000000001</v>
      </c>
      <c r="X64" s="77">
        <v>24.53866</v>
      </c>
      <c r="Y64" s="77">
        <v>24.501373000000001</v>
      </c>
      <c r="Z64" s="77">
        <v>24.474423999999999</v>
      </c>
      <c r="AA64" s="77">
        <v>24.491461000000001</v>
      </c>
      <c r="AB64" s="77">
        <v>24.462054999999999</v>
      </c>
      <c r="AC64" s="77">
        <v>24.426752</v>
      </c>
      <c r="AD64" s="77">
        <v>24.399635</v>
      </c>
      <c r="AE64" s="77">
        <v>24.407730000000001</v>
      </c>
      <c r="AF64" s="77">
        <v>24.328617000000001</v>
      </c>
      <c r="AG64" s="77">
        <v>24.285736</v>
      </c>
      <c r="AH64" s="77">
        <v>24.280874000000001</v>
      </c>
      <c r="AI64" s="77">
        <v>24.244130999999999</v>
      </c>
      <c r="AJ64" s="77">
        <v>24.256340000000002</v>
      </c>
      <c r="AK64" s="75">
        <v>-1.0139999999999999E-3</v>
      </c>
    </row>
    <row r="65" spans="1:37" ht="15" customHeight="1">
      <c r="A65" s="69" t="s">
        <v>847</v>
      </c>
      <c r="B65" s="73" t="s">
        <v>848</v>
      </c>
      <c r="C65" s="77">
        <v>17.234355999999998</v>
      </c>
      <c r="D65" s="77">
        <v>17.205303000000001</v>
      </c>
      <c r="E65" s="77">
        <v>17.117476</v>
      </c>
      <c r="F65" s="77">
        <v>17.06934</v>
      </c>
      <c r="G65" s="77">
        <v>16.988295000000001</v>
      </c>
      <c r="H65" s="77">
        <v>17.022928</v>
      </c>
      <c r="I65" s="77">
        <v>17.071612999999999</v>
      </c>
      <c r="J65" s="77">
        <v>17.059359000000001</v>
      </c>
      <c r="K65" s="77">
        <v>17.037023999999999</v>
      </c>
      <c r="L65" s="77">
        <v>17.056746</v>
      </c>
      <c r="M65" s="77">
        <v>17.031739999999999</v>
      </c>
      <c r="N65" s="77">
        <v>16.978151</v>
      </c>
      <c r="O65" s="77">
        <v>16.968306999999999</v>
      </c>
      <c r="P65" s="77">
        <v>16.998640000000002</v>
      </c>
      <c r="Q65" s="77">
        <v>16.972049999999999</v>
      </c>
      <c r="R65" s="77">
        <v>17.002645000000001</v>
      </c>
      <c r="S65" s="77">
        <v>17.003274999999999</v>
      </c>
      <c r="T65" s="77">
        <v>17.003226999999999</v>
      </c>
      <c r="U65" s="77">
        <v>17.012267999999999</v>
      </c>
      <c r="V65" s="77">
        <v>17.012785000000001</v>
      </c>
      <c r="W65" s="77">
        <v>17.036083000000001</v>
      </c>
      <c r="X65" s="77">
        <v>17.044588000000001</v>
      </c>
      <c r="Y65" s="77">
        <v>17.050751000000002</v>
      </c>
      <c r="Z65" s="77">
        <v>17.064136999999999</v>
      </c>
      <c r="AA65" s="77">
        <v>17.081581</v>
      </c>
      <c r="AB65" s="77">
        <v>17.08465</v>
      </c>
      <c r="AC65" s="77">
        <v>17.087126000000001</v>
      </c>
      <c r="AD65" s="77">
        <v>17.088546999999998</v>
      </c>
      <c r="AE65" s="77">
        <v>17.086746000000002</v>
      </c>
      <c r="AF65" s="77">
        <v>17.085443000000001</v>
      </c>
      <c r="AG65" s="77">
        <v>17.080282</v>
      </c>
      <c r="AH65" s="77">
        <v>17.077895999999999</v>
      </c>
      <c r="AI65" s="77">
        <v>17.084911000000002</v>
      </c>
      <c r="AJ65" s="77">
        <v>17.086425999999999</v>
      </c>
      <c r="AK65" s="75">
        <v>-2.1699999999999999E-4</v>
      </c>
    </row>
    <row r="66" spans="1:37" ht="15" customHeight="1">
      <c r="A66" s="69" t="s">
        <v>849</v>
      </c>
      <c r="B66" s="73" t="s">
        <v>831</v>
      </c>
      <c r="C66" s="77">
        <v>19.437477000000001</v>
      </c>
      <c r="D66" s="77">
        <v>19.706896</v>
      </c>
      <c r="E66" s="77">
        <v>19.588093000000001</v>
      </c>
      <c r="F66" s="77">
        <v>19.676338000000001</v>
      </c>
      <c r="G66" s="77">
        <v>19.593861</v>
      </c>
      <c r="H66" s="77">
        <v>19.763271</v>
      </c>
      <c r="I66" s="77">
        <v>19.874037000000001</v>
      </c>
      <c r="J66" s="77">
        <v>19.832982999999999</v>
      </c>
      <c r="K66" s="77">
        <v>19.854051999999999</v>
      </c>
      <c r="L66" s="77">
        <v>19.849159</v>
      </c>
      <c r="M66" s="77">
        <v>19.841605999999999</v>
      </c>
      <c r="N66" s="77">
        <v>19.838450999999999</v>
      </c>
      <c r="O66" s="77">
        <v>19.782232</v>
      </c>
      <c r="P66" s="77">
        <v>19.750865999999998</v>
      </c>
      <c r="Q66" s="77">
        <v>19.757529999999999</v>
      </c>
      <c r="R66" s="77">
        <v>19.792145000000001</v>
      </c>
      <c r="S66" s="77">
        <v>19.787579999999998</v>
      </c>
      <c r="T66" s="77">
        <v>19.792100999999999</v>
      </c>
      <c r="U66" s="77">
        <v>19.801369000000001</v>
      </c>
      <c r="V66" s="77">
        <v>19.790552000000002</v>
      </c>
      <c r="W66" s="77">
        <v>19.813770000000002</v>
      </c>
      <c r="X66" s="77">
        <v>19.823812</v>
      </c>
      <c r="Y66" s="77">
        <v>19.819962</v>
      </c>
      <c r="Z66" s="77">
        <v>19.817592999999999</v>
      </c>
      <c r="AA66" s="77">
        <v>19.814734000000001</v>
      </c>
      <c r="AB66" s="77">
        <v>19.808729</v>
      </c>
      <c r="AC66" s="77">
        <v>19.816939999999999</v>
      </c>
      <c r="AD66" s="77">
        <v>19.822158999999999</v>
      </c>
      <c r="AE66" s="77">
        <v>19.832388000000002</v>
      </c>
      <c r="AF66" s="77">
        <v>19.856539000000001</v>
      </c>
      <c r="AG66" s="77">
        <v>19.880623</v>
      </c>
      <c r="AH66" s="77">
        <v>19.899242000000001</v>
      </c>
      <c r="AI66" s="77">
        <v>19.884989000000001</v>
      </c>
      <c r="AJ66" s="77">
        <v>19.887484000000001</v>
      </c>
      <c r="AK66" s="75">
        <v>2.8499999999999999E-4</v>
      </c>
    </row>
    <row r="67" spans="1:37" ht="15" customHeight="1">
      <c r="A67" s="69" t="s">
        <v>850</v>
      </c>
      <c r="B67" s="73" t="s">
        <v>851</v>
      </c>
      <c r="C67" s="77">
        <v>20.319486999999999</v>
      </c>
      <c r="D67" s="77">
        <v>19.866795</v>
      </c>
      <c r="E67" s="77">
        <v>19.877953000000002</v>
      </c>
      <c r="F67" s="77">
        <v>19.862864999999999</v>
      </c>
      <c r="G67" s="77">
        <v>19.866108000000001</v>
      </c>
      <c r="H67" s="77">
        <v>19.864163999999999</v>
      </c>
      <c r="I67" s="77">
        <v>19.86232</v>
      </c>
      <c r="J67" s="77">
        <v>19.858194000000001</v>
      </c>
      <c r="K67" s="77">
        <v>19.854407999999999</v>
      </c>
      <c r="L67" s="77">
        <v>19.851212</v>
      </c>
      <c r="M67" s="77">
        <v>19.848103999999999</v>
      </c>
      <c r="N67" s="77">
        <v>19.846712</v>
      </c>
      <c r="O67" s="77">
        <v>19.844584000000001</v>
      </c>
      <c r="P67" s="77">
        <v>19.843212000000001</v>
      </c>
      <c r="Q67" s="77">
        <v>19.839586000000001</v>
      </c>
      <c r="R67" s="77">
        <v>19.837956999999999</v>
      </c>
      <c r="S67" s="77">
        <v>19.837420999999999</v>
      </c>
      <c r="T67" s="77">
        <v>19.835992999999998</v>
      </c>
      <c r="U67" s="77">
        <v>19.833931</v>
      </c>
      <c r="V67" s="77">
        <v>19.832113</v>
      </c>
      <c r="W67" s="77">
        <v>19.829879999999999</v>
      </c>
      <c r="X67" s="77">
        <v>19.827466999999999</v>
      </c>
      <c r="Y67" s="77">
        <v>19.826221</v>
      </c>
      <c r="Z67" s="77">
        <v>19.825344000000001</v>
      </c>
      <c r="AA67" s="77">
        <v>19.824635000000001</v>
      </c>
      <c r="AB67" s="77">
        <v>19.824231999999999</v>
      </c>
      <c r="AC67" s="77">
        <v>19.824038999999999</v>
      </c>
      <c r="AD67" s="77">
        <v>19.823008999999999</v>
      </c>
      <c r="AE67" s="77">
        <v>19.821570999999999</v>
      </c>
      <c r="AF67" s="77">
        <v>19.888694999999998</v>
      </c>
      <c r="AG67" s="77">
        <v>19.887025999999999</v>
      </c>
      <c r="AH67" s="77">
        <v>19.885117999999999</v>
      </c>
      <c r="AI67" s="77">
        <v>19.883326</v>
      </c>
      <c r="AJ67" s="77">
        <v>19.881367000000001</v>
      </c>
      <c r="AK67" s="75">
        <v>2.3E-5</v>
      </c>
    </row>
    <row r="68" spans="1:37" ht="15" customHeight="1">
      <c r="A68" s="69" t="s">
        <v>852</v>
      </c>
      <c r="B68" s="73" t="s">
        <v>853</v>
      </c>
      <c r="C68" s="77">
        <v>20.775822000000002</v>
      </c>
      <c r="D68" s="77">
        <v>20.838132999999999</v>
      </c>
      <c r="E68" s="77">
        <v>20.733785999999998</v>
      </c>
      <c r="F68" s="77">
        <v>20.902740000000001</v>
      </c>
      <c r="G68" s="77">
        <v>20.866161000000002</v>
      </c>
      <c r="H68" s="77">
        <v>20.867376</v>
      </c>
      <c r="I68" s="77">
        <v>20.866620999999999</v>
      </c>
      <c r="J68" s="77">
        <v>20.916288000000002</v>
      </c>
      <c r="K68" s="77">
        <v>20.915384</v>
      </c>
      <c r="L68" s="77">
        <v>20.913564999999998</v>
      </c>
      <c r="M68" s="77">
        <v>20.910665999999999</v>
      </c>
      <c r="N68" s="77">
        <v>20.907888</v>
      </c>
      <c r="O68" s="77">
        <v>20.903262999999999</v>
      </c>
      <c r="P68" s="77">
        <v>20.898401</v>
      </c>
      <c r="Q68" s="77">
        <v>20.889793000000001</v>
      </c>
      <c r="R68" s="77">
        <v>20.836566999999999</v>
      </c>
      <c r="S68" s="77">
        <v>20.829412000000001</v>
      </c>
      <c r="T68" s="77">
        <v>20.823454000000002</v>
      </c>
      <c r="U68" s="77">
        <v>20.814209000000002</v>
      </c>
      <c r="V68" s="77">
        <v>20.812381999999999</v>
      </c>
      <c r="W68" s="77">
        <v>20.811678000000001</v>
      </c>
      <c r="X68" s="77">
        <v>20.809002</v>
      </c>
      <c r="Y68" s="77">
        <v>20.807103999999999</v>
      </c>
      <c r="Z68" s="77">
        <v>20.806034</v>
      </c>
      <c r="AA68" s="77">
        <v>20.806111999999999</v>
      </c>
      <c r="AB68" s="77">
        <v>20.804993</v>
      </c>
      <c r="AC68" s="77">
        <v>20.804296000000001</v>
      </c>
      <c r="AD68" s="77">
        <v>20.804532999999999</v>
      </c>
      <c r="AE68" s="77">
        <v>20.804535000000001</v>
      </c>
      <c r="AF68" s="77">
        <v>20.801072999999999</v>
      </c>
      <c r="AG68" s="77">
        <v>20.800825</v>
      </c>
      <c r="AH68" s="77">
        <v>20.800813999999999</v>
      </c>
      <c r="AI68" s="77">
        <v>20.801849000000001</v>
      </c>
      <c r="AJ68" s="77">
        <v>20.801618999999999</v>
      </c>
      <c r="AK68" s="75">
        <v>-5.5000000000000002E-5</v>
      </c>
    </row>
    <row r="69" spans="1:37" ht="15" customHeight="1">
      <c r="A69" s="69" t="s">
        <v>854</v>
      </c>
      <c r="B69" s="73" t="s">
        <v>855</v>
      </c>
      <c r="C69" s="77">
        <v>28.674879000000001</v>
      </c>
      <c r="D69" s="77">
        <v>28.554435999999999</v>
      </c>
      <c r="E69" s="77">
        <v>28.562546000000001</v>
      </c>
      <c r="F69" s="77">
        <v>28.504807</v>
      </c>
      <c r="G69" s="77">
        <v>28.443207000000001</v>
      </c>
      <c r="H69" s="77">
        <v>28.442011000000001</v>
      </c>
      <c r="I69" s="77">
        <v>28.435804000000001</v>
      </c>
      <c r="J69" s="77">
        <v>28.436997999999999</v>
      </c>
      <c r="K69" s="77">
        <v>28.439364999999999</v>
      </c>
      <c r="L69" s="77">
        <v>28.441151000000001</v>
      </c>
      <c r="M69" s="77">
        <v>28.441541999999998</v>
      </c>
      <c r="N69" s="77">
        <v>28.444378</v>
      </c>
      <c r="O69" s="77">
        <v>28.445307</v>
      </c>
      <c r="P69" s="77">
        <v>28.448008000000002</v>
      </c>
      <c r="Q69" s="77">
        <v>28.451091999999999</v>
      </c>
      <c r="R69" s="77">
        <v>28.453724000000001</v>
      </c>
      <c r="S69" s="77">
        <v>28.456078999999999</v>
      </c>
      <c r="T69" s="77">
        <v>28.459067999999998</v>
      </c>
      <c r="U69" s="77">
        <v>28.461366999999999</v>
      </c>
      <c r="V69" s="77">
        <v>28.462769000000002</v>
      </c>
      <c r="W69" s="77">
        <v>28.465333999999999</v>
      </c>
      <c r="X69" s="77">
        <v>28.467545999999999</v>
      </c>
      <c r="Y69" s="77">
        <v>28.468142</v>
      </c>
      <c r="Z69" s="77">
        <v>28.467697000000001</v>
      </c>
      <c r="AA69" s="77">
        <v>28.468544000000001</v>
      </c>
      <c r="AB69" s="77">
        <v>28.468433000000001</v>
      </c>
      <c r="AC69" s="77">
        <v>28.468116999999999</v>
      </c>
      <c r="AD69" s="77">
        <v>28.467950999999999</v>
      </c>
      <c r="AE69" s="77">
        <v>28.468955999999999</v>
      </c>
      <c r="AF69" s="77">
        <v>28.468081999999999</v>
      </c>
      <c r="AG69" s="77">
        <v>28.468615</v>
      </c>
      <c r="AH69" s="77">
        <v>28.468512</v>
      </c>
      <c r="AI69" s="77">
        <v>28.468487</v>
      </c>
      <c r="AJ69" s="77">
        <v>28.468031</v>
      </c>
      <c r="AK69" s="75">
        <v>-9.5000000000000005E-5</v>
      </c>
    </row>
    <row r="70" spans="1:37" ht="15" customHeight="1">
      <c r="A70" s="69" t="s">
        <v>856</v>
      </c>
      <c r="B70" s="73" t="s">
        <v>857</v>
      </c>
      <c r="C70" s="77">
        <v>18.994087</v>
      </c>
      <c r="D70" s="77">
        <v>19.243162000000002</v>
      </c>
      <c r="E70" s="77">
        <v>19.070353000000001</v>
      </c>
      <c r="F70" s="77">
        <v>19.169922</v>
      </c>
      <c r="G70" s="77">
        <v>19.089600000000001</v>
      </c>
      <c r="H70" s="77">
        <v>19.276790999999999</v>
      </c>
      <c r="I70" s="77">
        <v>19.411289</v>
      </c>
      <c r="J70" s="77">
        <v>19.366067999999999</v>
      </c>
      <c r="K70" s="77">
        <v>19.385352999999999</v>
      </c>
      <c r="L70" s="77">
        <v>19.372706999999998</v>
      </c>
      <c r="M70" s="77">
        <v>19.360990999999999</v>
      </c>
      <c r="N70" s="77">
        <v>19.352909</v>
      </c>
      <c r="O70" s="77">
        <v>19.300653000000001</v>
      </c>
      <c r="P70" s="77">
        <v>19.265913000000001</v>
      </c>
      <c r="Q70" s="77">
        <v>19.264596999999998</v>
      </c>
      <c r="R70" s="77">
        <v>19.290289000000001</v>
      </c>
      <c r="S70" s="77">
        <v>19.284327000000001</v>
      </c>
      <c r="T70" s="77">
        <v>19.280676</v>
      </c>
      <c r="U70" s="77">
        <v>19.290565000000001</v>
      </c>
      <c r="V70" s="77">
        <v>19.277930999999999</v>
      </c>
      <c r="W70" s="77">
        <v>19.296233999999998</v>
      </c>
      <c r="X70" s="77">
        <v>19.305914000000001</v>
      </c>
      <c r="Y70" s="77">
        <v>19.302322</v>
      </c>
      <c r="Z70" s="77">
        <v>19.303664999999999</v>
      </c>
      <c r="AA70" s="77">
        <v>19.298279000000001</v>
      </c>
      <c r="AB70" s="77">
        <v>19.294079</v>
      </c>
      <c r="AC70" s="77">
        <v>19.303532000000001</v>
      </c>
      <c r="AD70" s="77">
        <v>19.313279999999999</v>
      </c>
      <c r="AE70" s="77">
        <v>19.326996000000001</v>
      </c>
      <c r="AF70" s="77">
        <v>19.356915000000001</v>
      </c>
      <c r="AG70" s="77">
        <v>19.385812999999999</v>
      </c>
      <c r="AH70" s="77">
        <v>19.410371999999999</v>
      </c>
      <c r="AI70" s="77">
        <v>19.396623999999999</v>
      </c>
      <c r="AJ70" s="77">
        <v>19.402521</v>
      </c>
      <c r="AK70" s="75">
        <v>2.5799999999999998E-4</v>
      </c>
    </row>
    <row r="71" spans="1:37" ht="15" customHeight="1">
      <c r="A71" s="69" t="s">
        <v>858</v>
      </c>
      <c r="B71" s="73" t="s">
        <v>839</v>
      </c>
      <c r="C71" s="77">
        <v>22.116496999999999</v>
      </c>
      <c r="D71" s="77">
        <v>23.789541</v>
      </c>
      <c r="E71" s="77">
        <v>23.796752999999999</v>
      </c>
      <c r="F71" s="77">
        <v>23.826194999999998</v>
      </c>
      <c r="G71" s="77">
        <v>23.907088999999999</v>
      </c>
      <c r="H71" s="77">
        <v>23.930762999999999</v>
      </c>
      <c r="I71" s="77">
        <v>23.957257999999999</v>
      </c>
      <c r="J71" s="77">
        <v>23.986702000000001</v>
      </c>
      <c r="K71" s="77">
        <v>24.019024000000002</v>
      </c>
      <c r="L71" s="77">
        <v>24.054967999999999</v>
      </c>
      <c r="M71" s="77">
        <v>24.094473000000001</v>
      </c>
      <c r="N71" s="77">
        <v>24.137136000000002</v>
      </c>
      <c r="O71" s="77">
        <v>24.18609</v>
      </c>
      <c r="P71" s="77">
        <v>24.239874</v>
      </c>
      <c r="Q71" s="77">
        <v>24.258429</v>
      </c>
      <c r="R71" s="77">
        <v>24.257082</v>
      </c>
      <c r="S71" s="77">
        <v>24.255732999999999</v>
      </c>
      <c r="T71" s="77">
        <v>24.254387000000001</v>
      </c>
      <c r="U71" s="77">
        <v>24.253038</v>
      </c>
      <c r="V71" s="77">
        <v>24.25169</v>
      </c>
      <c r="W71" s="77">
        <v>24.250340999999999</v>
      </c>
      <c r="X71" s="77">
        <v>24.248991</v>
      </c>
      <c r="Y71" s="77">
        <v>24.247643</v>
      </c>
      <c r="Z71" s="77">
        <v>24.246292</v>
      </c>
      <c r="AA71" s="77">
        <v>24.244942000000002</v>
      </c>
      <c r="AB71" s="77">
        <v>24.243590999999999</v>
      </c>
      <c r="AC71" s="77">
        <v>24.242241</v>
      </c>
      <c r="AD71" s="77">
        <v>24.240888999999999</v>
      </c>
      <c r="AE71" s="77">
        <v>24.239538</v>
      </c>
      <c r="AF71" s="77">
        <v>24.238185999999999</v>
      </c>
      <c r="AG71" s="77">
        <v>24.236834000000002</v>
      </c>
      <c r="AH71" s="77">
        <v>24.235481</v>
      </c>
      <c r="AI71" s="77">
        <v>24.234128999999999</v>
      </c>
      <c r="AJ71" s="77">
        <v>24.232776999999999</v>
      </c>
      <c r="AK71" s="75">
        <v>5.7700000000000004E-4</v>
      </c>
    </row>
    <row r="72" spans="1:37" ht="15" customHeight="1">
      <c r="A72" s="69" t="s">
        <v>859</v>
      </c>
      <c r="B72" s="73" t="s">
        <v>841</v>
      </c>
      <c r="C72" s="77">
        <v>26.218889000000001</v>
      </c>
      <c r="D72" s="77">
        <v>25.447502</v>
      </c>
      <c r="E72" s="77">
        <v>25.630147999999998</v>
      </c>
      <c r="F72" s="77">
        <v>25.765919</v>
      </c>
      <c r="G72" s="77">
        <v>26.388355000000001</v>
      </c>
      <c r="H72" s="77">
        <v>26.396355</v>
      </c>
      <c r="I72" s="77">
        <v>26.389751</v>
      </c>
      <c r="J72" s="77">
        <v>26.391817</v>
      </c>
      <c r="K72" s="77">
        <v>26.385069000000001</v>
      </c>
      <c r="L72" s="77">
        <v>26.391817</v>
      </c>
      <c r="M72" s="77">
        <v>26.385069000000001</v>
      </c>
      <c r="N72" s="77">
        <v>26.175567999999998</v>
      </c>
      <c r="O72" s="77">
        <v>26.169689000000002</v>
      </c>
      <c r="P72" s="77">
        <v>25.926773000000001</v>
      </c>
      <c r="Q72" s="77">
        <v>25.745951000000002</v>
      </c>
      <c r="R72" s="77">
        <v>25.671246</v>
      </c>
      <c r="S72" s="77">
        <v>25.497976000000001</v>
      </c>
      <c r="T72" s="77">
        <v>25.343997999999999</v>
      </c>
      <c r="U72" s="77">
        <v>25.256226000000002</v>
      </c>
      <c r="V72" s="77">
        <v>25.173838</v>
      </c>
      <c r="W72" s="77">
        <v>25.175093</v>
      </c>
      <c r="X72" s="77">
        <v>25.077670999999999</v>
      </c>
      <c r="Y72" s="77">
        <v>24.968132000000001</v>
      </c>
      <c r="Z72" s="77">
        <v>24.865974000000001</v>
      </c>
      <c r="AA72" s="77">
        <v>24.881556</v>
      </c>
      <c r="AB72" s="77">
        <v>24.859068000000001</v>
      </c>
      <c r="AC72" s="77">
        <v>24.773596000000001</v>
      </c>
      <c r="AD72" s="77">
        <v>24.759015999999999</v>
      </c>
      <c r="AE72" s="77">
        <v>24.856954999999999</v>
      </c>
      <c r="AF72" s="77">
        <v>24.625306999999999</v>
      </c>
      <c r="AG72" s="77">
        <v>24.423266999999999</v>
      </c>
      <c r="AH72" s="77">
        <v>24.423266999999999</v>
      </c>
      <c r="AI72" s="77">
        <v>24.423266999999999</v>
      </c>
      <c r="AJ72" s="77">
        <v>24.423266999999999</v>
      </c>
      <c r="AK72" s="75">
        <v>-1.2830000000000001E-3</v>
      </c>
    </row>
    <row r="73" spans="1:37" ht="15" customHeight="1">
      <c r="A73" s="69" t="s">
        <v>860</v>
      </c>
      <c r="B73" s="73" t="s">
        <v>861</v>
      </c>
      <c r="C73" s="77">
        <v>0</v>
      </c>
      <c r="D73" s="77">
        <v>0</v>
      </c>
      <c r="E73" s="77">
        <v>0</v>
      </c>
      <c r="F73" s="77">
        <v>0</v>
      </c>
      <c r="G73" s="77">
        <v>0</v>
      </c>
      <c r="H73" s="77">
        <v>0</v>
      </c>
      <c r="I73" s="77">
        <v>0</v>
      </c>
      <c r="J73" s="77">
        <v>0</v>
      </c>
      <c r="K73" s="77">
        <v>0</v>
      </c>
      <c r="L73" s="77">
        <v>0</v>
      </c>
      <c r="M73" s="77">
        <v>0</v>
      </c>
      <c r="N73" s="77">
        <v>0</v>
      </c>
      <c r="O73" s="77">
        <v>0</v>
      </c>
      <c r="P73" s="77">
        <v>0</v>
      </c>
      <c r="Q73" s="77">
        <v>0</v>
      </c>
      <c r="R73" s="77">
        <v>0</v>
      </c>
      <c r="S73" s="77">
        <v>0</v>
      </c>
      <c r="T73" s="77">
        <v>0</v>
      </c>
      <c r="U73" s="77">
        <v>0</v>
      </c>
      <c r="V73" s="77">
        <v>0</v>
      </c>
      <c r="W73" s="77">
        <v>0</v>
      </c>
      <c r="X73" s="77">
        <v>0</v>
      </c>
      <c r="Y73" s="77">
        <v>0</v>
      </c>
      <c r="Z73" s="77">
        <v>0</v>
      </c>
      <c r="AA73" s="77">
        <v>0</v>
      </c>
      <c r="AB73" s="77">
        <v>0</v>
      </c>
      <c r="AC73" s="77">
        <v>0</v>
      </c>
      <c r="AD73" s="77">
        <v>0</v>
      </c>
      <c r="AE73" s="77">
        <v>0</v>
      </c>
      <c r="AF73" s="77">
        <v>0</v>
      </c>
      <c r="AG73" s="77">
        <v>0</v>
      </c>
      <c r="AH73" s="77">
        <v>0</v>
      </c>
      <c r="AI73" s="77">
        <v>0</v>
      </c>
      <c r="AJ73" s="77">
        <v>0</v>
      </c>
      <c r="AK73" s="75" t="s">
        <v>6</v>
      </c>
    </row>
    <row r="74" spans="1:37" ht="15" customHeight="1">
      <c r="A74" s="69" t="s">
        <v>862</v>
      </c>
      <c r="B74" s="73" t="s">
        <v>863</v>
      </c>
      <c r="C74" s="77">
        <v>12.941471999999999</v>
      </c>
      <c r="D74" s="77">
        <v>11.314271</v>
      </c>
      <c r="E74" s="77">
        <v>11.31427</v>
      </c>
      <c r="F74" s="77">
        <v>11.31427</v>
      </c>
      <c r="G74" s="77">
        <v>11.31427</v>
      </c>
      <c r="H74" s="77">
        <v>11.31427</v>
      </c>
      <c r="I74" s="77">
        <v>11.31427</v>
      </c>
      <c r="J74" s="77">
        <v>11.31427</v>
      </c>
      <c r="K74" s="77">
        <v>11.314271</v>
      </c>
      <c r="L74" s="77">
        <v>11.314271</v>
      </c>
      <c r="M74" s="77">
        <v>11.31427</v>
      </c>
      <c r="N74" s="77">
        <v>11.31427</v>
      </c>
      <c r="O74" s="77">
        <v>11.31427</v>
      </c>
      <c r="P74" s="77">
        <v>11.314271</v>
      </c>
      <c r="Q74" s="77">
        <v>11.314271</v>
      </c>
      <c r="R74" s="77">
        <v>11.31427</v>
      </c>
      <c r="S74" s="77">
        <v>11.31427</v>
      </c>
      <c r="T74" s="77">
        <v>11.31427</v>
      </c>
      <c r="U74" s="77">
        <v>11.314271</v>
      </c>
      <c r="V74" s="77">
        <v>11.31427</v>
      </c>
      <c r="W74" s="77">
        <v>11.31427</v>
      </c>
      <c r="X74" s="77">
        <v>11.314271</v>
      </c>
      <c r="Y74" s="77">
        <v>11.314271</v>
      </c>
      <c r="Z74" s="77">
        <v>11.31427</v>
      </c>
      <c r="AA74" s="77">
        <v>11.314271</v>
      </c>
      <c r="AB74" s="77">
        <v>11.314271</v>
      </c>
      <c r="AC74" s="77">
        <v>11.31427</v>
      </c>
      <c r="AD74" s="77">
        <v>11.314271</v>
      </c>
      <c r="AE74" s="77">
        <v>11.31427</v>
      </c>
      <c r="AF74" s="77">
        <v>11.31427</v>
      </c>
      <c r="AG74" s="77">
        <v>11.31427</v>
      </c>
      <c r="AH74" s="77">
        <v>11.314271</v>
      </c>
      <c r="AI74" s="77">
        <v>11.314271</v>
      </c>
      <c r="AJ74" s="77">
        <v>11.314271</v>
      </c>
      <c r="AK74" s="75">
        <v>0</v>
      </c>
    </row>
    <row r="76" spans="1:37" ht="15" customHeight="1">
      <c r="A76" s="69" t="s">
        <v>864</v>
      </c>
      <c r="B76" s="72" t="s">
        <v>865</v>
      </c>
      <c r="C76" s="78">
        <v>3412</v>
      </c>
      <c r="D76" s="78">
        <v>3412</v>
      </c>
      <c r="E76" s="78">
        <v>3412</v>
      </c>
      <c r="F76" s="78">
        <v>3412</v>
      </c>
      <c r="G76" s="78">
        <v>3412</v>
      </c>
      <c r="H76" s="78">
        <v>3412</v>
      </c>
      <c r="I76" s="78">
        <v>3412</v>
      </c>
      <c r="J76" s="78">
        <v>3412</v>
      </c>
      <c r="K76" s="78">
        <v>3412</v>
      </c>
      <c r="L76" s="78">
        <v>3412</v>
      </c>
      <c r="M76" s="78">
        <v>3412</v>
      </c>
      <c r="N76" s="78">
        <v>3412</v>
      </c>
      <c r="O76" s="78">
        <v>3412</v>
      </c>
      <c r="P76" s="78">
        <v>3412</v>
      </c>
      <c r="Q76" s="78">
        <v>3412</v>
      </c>
      <c r="R76" s="78">
        <v>3412</v>
      </c>
      <c r="S76" s="78">
        <v>3412</v>
      </c>
      <c r="T76" s="78">
        <v>3412</v>
      </c>
      <c r="U76" s="78">
        <v>3412</v>
      </c>
      <c r="V76" s="78">
        <v>3412</v>
      </c>
      <c r="W76" s="78">
        <v>3412</v>
      </c>
      <c r="X76" s="78">
        <v>3412</v>
      </c>
      <c r="Y76" s="78">
        <v>3412</v>
      </c>
      <c r="Z76" s="78">
        <v>3412</v>
      </c>
      <c r="AA76" s="78">
        <v>3412</v>
      </c>
      <c r="AB76" s="78">
        <v>3412</v>
      </c>
      <c r="AC76" s="78">
        <v>3412</v>
      </c>
      <c r="AD76" s="78">
        <v>3412</v>
      </c>
      <c r="AE76" s="78">
        <v>3412</v>
      </c>
      <c r="AF76" s="78">
        <v>3412</v>
      </c>
      <c r="AG76" s="78">
        <v>3412</v>
      </c>
      <c r="AH76" s="78">
        <v>3412</v>
      </c>
      <c r="AI76" s="78">
        <v>3412</v>
      </c>
      <c r="AJ76" s="78">
        <v>3412</v>
      </c>
      <c r="AK76" s="79">
        <v>0</v>
      </c>
    </row>
    <row r="77" spans="1:37" ht="15" customHeight="1" thickBot="1"/>
    <row r="78" spans="1:37" ht="15" customHeight="1">
      <c r="B78" s="105" t="s">
        <v>866</v>
      </c>
      <c r="C78" s="105"/>
      <c r="D78" s="105"/>
      <c r="E78" s="105"/>
      <c r="F78" s="105"/>
      <c r="G78" s="105"/>
      <c r="H78" s="105"/>
      <c r="I78" s="105"/>
      <c r="J78" s="105"/>
      <c r="K78" s="105"/>
      <c r="L78" s="105"/>
      <c r="M78" s="105"/>
      <c r="N78" s="105"/>
      <c r="O78" s="105"/>
      <c r="P78" s="105"/>
      <c r="Q78" s="105"/>
      <c r="R78" s="105"/>
      <c r="S78" s="105"/>
      <c r="T78" s="105"/>
      <c r="U78" s="105"/>
      <c r="V78" s="105"/>
      <c r="W78" s="105"/>
      <c r="X78" s="105"/>
      <c r="Y78" s="105"/>
      <c r="Z78" s="105"/>
      <c r="AA78" s="105"/>
      <c r="AB78" s="105"/>
      <c r="AC78" s="105"/>
      <c r="AD78" s="105"/>
      <c r="AE78" s="105"/>
      <c r="AF78" s="105"/>
      <c r="AG78" s="105"/>
      <c r="AH78" s="105"/>
      <c r="AI78" s="105"/>
      <c r="AJ78" s="105"/>
      <c r="AK78" s="105"/>
    </row>
    <row r="79" spans="1:37" ht="15" customHeight="1">
      <c r="B79" s="80" t="s">
        <v>867</v>
      </c>
    </row>
    <row r="80" spans="1:37" ht="15" customHeight="1">
      <c r="B80" s="80" t="s">
        <v>868</v>
      </c>
    </row>
    <row r="81" spans="2:2" ht="15" customHeight="1">
      <c r="B81" s="80" t="s">
        <v>869</v>
      </c>
    </row>
    <row r="82" spans="2:2" ht="15" customHeight="1">
      <c r="B82" s="80" t="s">
        <v>870</v>
      </c>
    </row>
    <row r="83" spans="2:2" ht="15" customHeight="1">
      <c r="B83" s="80" t="s">
        <v>871</v>
      </c>
    </row>
    <row r="84" spans="2:2" ht="15" customHeight="1">
      <c r="B84" s="80" t="s">
        <v>872</v>
      </c>
    </row>
    <row r="85" spans="2:2" ht="15" customHeight="1">
      <c r="B85" s="80" t="s">
        <v>873</v>
      </c>
    </row>
  </sheetData>
  <mergeCells count="1">
    <mergeCell ref="B78:AK78"/>
  </mergeCells>
  <pageMargins left="0.75" right="0.75" top="1" bottom="1" header="0.5" footer="0.5"/>
  <pageSetup orientation="portrait" r:id="rId1"/>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45C85BD-6846-4063-AF0D-C2B56CAE1707}">
  <dimension ref="A1:J38"/>
  <sheetViews>
    <sheetView workbookViewId="0">
      <selection activeCell="J8" sqref="J8"/>
    </sheetView>
  </sheetViews>
  <sheetFormatPr defaultRowHeight="14.25"/>
  <cols>
    <col min="9" max="9" width="28.73046875" customWidth="1"/>
  </cols>
  <sheetData>
    <row r="1" spans="1:10">
      <c r="A1" t="s">
        <v>660</v>
      </c>
    </row>
    <row r="3" spans="1:10" ht="28.5">
      <c r="A3" s="107" t="s">
        <v>661</v>
      </c>
      <c r="B3" s="108"/>
      <c r="C3" s="108"/>
      <c r="D3" s="108"/>
      <c r="E3" s="108"/>
      <c r="I3" s="64" t="s">
        <v>878</v>
      </c>
      <c r="J3">
        <f>1-J8</f>
        <v>7.2894654417960836E-2</v>
      </c>
    </row>
    <row r="4" spans="1:10" ht="24.75">
      <c r="A4" s="56"/>
      <c r="B4" s="57" t="s">
        <v>662</v>
      </c>
      <c r="C4" s="57" t="s">
        <v>663</v>
      </c>
      <c r="D4" s="57" t="s">
        <v>662</v>
      </c>
      <c r="E4" s="57" t="s">
        <v>663</v>
      </c>
      <c r="I4" s="64"/>
    </row>
    <row r="5" spans="1:10" ht="49.15" thickBot="1">
      <c r="A5" s="58" t="s">
        <v>664</v>
      </c>
      <c r="B5" s="59" t="s">
        <v>665</v>
      </c>
      <c r="C5" s="59" t="s">
        <v>665</v>
      </c>
      <c r="D5" s="59" t="s">
        <v>666</v>
      </c>
      <c r="E5" s="59" t="s">
        <v>666</v>
      </c>
      <c r="I5" s="64" t="s">
        <v>874</v>
      </c>
      <c r="J5">
        <f>'AEO Table 73'!C32</f>
        <v>5.0566430000000002</v>
      </c>
    </row>
    <row r="6" spans="1:10" ht="29.25" thickTop="1" thickBot="1">
      <c r="A6" s="109" t="s">
        <v>667</v>
      </c>
      <c r="B6" s="109"/>
      <c r="C6" s="109"/>
      <c r="D6" s="109"/>
      <c r="E6" s="109"/>
      <c r="I6" s="64" t="s">
        <v>875</v>
      </c>
      <c r="J6">
        <f>'AEO Table 73'!C35</f>
        <v>5.2222799999999996</v>
      </c>
    </row>
    <row r="7" spans="1:10" ht="28.9" thickBot="1">
      <c r="A7" s="60" t="s">
        <v>93</v>
      </c>
      <c r="B7" s="61" t="s">
        <v>668</v>
      </c>
      <c r="C7" s="61" t="s">
        <v>669</v>
      </c>
      <c r="D7" s="61">
        <v>138.63</v>
      </c>
      <c r="E7" s="61">
        <v>62.88</v>
      </c>
      <c r="I7" s="64" t="s">
        <v>876</v>
      </c>
      <c r="J7">
        <f>J6*(1-'EIA-fuel-ethanol-motor-gasoline'!C47/100)</f>
        <v>4.6880407559999995</v>
      </c>
    </row>
    <row r="8" spans="1:10" ht="81.75" thickBot="1">
      <c r="A8" s="60" t="s">
        <v>670</v>
      </c>
      <c r="B8" s="61" t="s">
        <v>671</v>
      </c>
      <c r="C8" s="61" t="s">
        <v>672</v>
      </c>
      <c r="D8" s="61">
        <v>163.44999999999999</v>
      </c>
      <c r="E8" s="61">
        <v>74.14</v>
      </c>
      <c r="I8" s="64" t="s">
        <v>877</v>
      </c>
      <c r="J8">
        <f>J7/J5</f>
        <v>0.92710534558203916</v>
      </c>
    </row>
    <row r="9" spans="1:10" ht="23.65" thickBot="1">
      <c r="A9" s="60" t="s">
        <v>673</v>
      </c>
      <c r="B9" s="61" t="s">
        <v>674</v>
      </c>
      <c r="C9" s="61" t="s">
        <v>675</v>
      </c>
      <c r="D9" s="61">
        <v>161.35</v>
      </c>
      <c r="E9" s="61">
        <v>73.19</v>
      </c>
      <c r="I9" s="64"/>
    </row>
    <row r="10" spans="1:10" ht="23.65" thickBot="1">
      <c r="A10" s="60" t="s">
        <v>676</v>
      </c>
      <c r="B10" s="61" t="s">
        <v>677</v>
      </c>
      <c r="C10" s="61" t="s">
        <v>678</v>
      </c>
      <c r="D10" s="61">
        <v>211.47</v>
      </c>
      <c r="E10" s="61">
        <v>95.92</v>
      </c>
    </row>
    <row r="11" spans="1:10" ht="35.25" thickBot="1">
      <c r="A11" s="60" t="s">
        <v>679</v>
      </c>
      <c r="B11" s="61" t="s">
        <v>680</v>
      </c>
      <c r="C11" s="61" t="s">
        <v>681</v>
      </c>
      <c r="D11" s="61">
        <v>116.65</v>
      </c>
      <c r="E11" s="61">
        <v>52.91</v>
      </c>
    </row>
    <row r="12" spans="1:10" ht="37.5" thickBot="1">
      <c r="A12" s="60" t="s">
        <v>682</v>
      </c>
      <c r="B12" s="61" t="s">
        <v>683</v>
      </c>
      <c r="C12" s="61" t="s">
        <v>684</v>
      </c>
      <c r="D12" s="61">
        <v>148.57</v>
      </c>
      <c r="E12" s="61">
        <v>67.39</v>
      </c>
    </row>
    <row r="13" spans="1:10" ht="23.65" thickBot="1">
      <c r="A13" s="60" t="s">
        <v>98</v>
      </c>
      <c r="B13" s="61" t="s">
        <v>685</v>
      </c>
      <c r="C13" s="61" t="s">
        <v>686</v>
      </c>
      <c r="D13" s="61">
        <v>155.77000000000001</v>
      </c>
      <c r="E13" s="61">
        <v>70.66</v>
      </c>
    </row>
    <row r="14" spans="1:10" ht="58.5" thickBot="1">
      <c r="A14" s="60" t="s">
        <v>687</v>
      </c>
      <c r="B14" s="61" t="s">
        <v>688</v>
      </c>
      <c r="C14" s="61" t="s">
        <v>689</v>
      </c>
      <c r="D14" s="61">
        <v>165.55</v>
      </c>
      <c r="E14" s="61">
        <v>75.09</v>
      </c>
    </row>
    <row r="15" spans="1:10" ht="14.65" thickBot="1">
      <c r="A15" s="106" t="s">
        <v>690</v>
      </c>
      <c r="B15" s="106"/>
      <c r="C15" s="106"/>
      <c r="D15" s="106"/>
      <c r="E15" s="106"/>
    </row>
    <row r="16" spans="1:10" ht="23.65" thickBot="1">
      <c r="A16" s="60" t="s">
        <v>104</v>
      </c>
      <c r="B16" s="61" t="s">
        <v>691</v>
      </c>
      <c r="C16" s="61" t="s">
        <v>692</v>
      </c>
      <c r="D16" s="61">
        <v>159.25</v>
      </c>
      <c r="E16" s="61">
        <v>72.23</v>
      </c>
    </row>
    <row r="17" spans="1:5" ht="23.65" thickBot="1">
      <c r="A17" s="60" t="s">
        <v>693</v>
      </c>
      <c r="B17" s="61" t="s">
        <v>694</v>
      </c>
      <c r="C17" s="61" t="s">
        <v>695</v>
      </c>
      <c r="D17" s="61">
        <v>152.46</v>
      </c>
      <c r="E17" s="61">
        <v>69.150000000000006</v>
      </c>
    </row>
    <row r="18" spans="1:5" ht="14.65" thickBot="1">
      <c r="A18" s="106" t="s">
        <v>696</v>
      </c>
      <c r="B18" s="106"/>
      <c r="C18" s="106"/>
      <c r="D18" s="106"/>
      <c r="E18" s="106"/>
    </row>
    <row r="19" spans="1:5" ht="23.65" thickBot="1">
      <c r="A19" s="60" t="s">
        <v>697</v>
      </c>
      <c r="B19" s="61" t="s">
        <v>698</v>
      </c>
      <c r="C19" s="61" t="s">
        <v>699</v>
      </c>
      <c r="D19" s="61">
        <v>225.13</v>
      </c>
      <c r="E19" s="61">
        <v>102.12</v>
      </c>
    </row>
    <row r="20" spans="1:5" ht="14.65" thickBot="1">
      <c r="A20" s="106" t="s">
        <v>700</v>
      </c>
      <c r="B20" s="106"/>
      <c r="C20" s="106"/>
      <c r="D20" s="106"/>
      <c r="E20" s="106"/>
    </row>
    <row r="21" spans="1:5" ht="35.25" thickBot="1">
      <c r="A21" s="60" t="s">
        <v>701</v>
      </c>
      <c r="B21" s="61" t="s">
        <v>702</v>
      </c>
      <c r="C21" s="61" t="s">
        <v>703</v>
      </c>
      <c r="D21" s="61">
        <v>166.12</v>
      </c>
      <c r="E21" s="61">
        <v>75.349999999999994</v>
      </c>
    </row>
    <row r="22" spans="1:5" ht="23.65" thickBot="1">
      <c r="A22" s="60" t="s">
        <v>4</v>
      </c>
      <c r="B22" s="61" t="s">
        <v>704</v>
      </c>
      <c r="C22" s="61" t="s">
        <v>705</v>
      </c>
      <c r="D22" s="61">
        <v>163.29</v>
      </c>
      <c r="E22" s="61">
        <v>74.069999999999993</v>
      </c>
    </row>
    <row r="23" spans="1:5" ht="70.150000000000006" thickBot="1">
      <c r="A23" s="60" t="s">
        <v>706</v>
      </c>
      <c r="B23" s="61" t="s">
        <v>707</v>
      </c>
      <c r="C23" s="61" t="s">
        <v>708</v>
      </c>
      <c r="D23" s="61">
        <v>149.94999999999999</v>
      </c>
      <c r="E23" s="61">
        <v>68.02</v>
      </c>
    </row>
    <row r="24" spans="1:5" ht="70.150000000000006" thickBot="1">
      <c r="A24" s="60" t="s">
        <v>709</v>
      </c>
      <c r="B24" s="61" t="s">
        <v>710</v>
      </c>
      <c r="C24" s="61" t="s">
        <v>711</v>
      </c>
      <c r="D24" s="61">
        <v>163.05000000000001</v>
      </c>
      <c r="E24" s="61">
        <v>73.959999999999994</v>
      </c>
    </row>
    <row r="25" spans="1:5" ht="35.25" thickBot="1">
      <c r="A25" s="60" t="s">
        <v>712</v>
      </c>
      <c r="B25" s="61" t="s">
        <v>713</v>
      </c>
      <c r="C25" s="61" t="s">
        <v>714</v>
      </c>
      <c r="D25" s="61">
        <v>159.57</v>
      </c>
      <c r="E25" s="61">
        <v>72.38</v>
      </c>
    </row>
    <row r="26" spans="1:5" ht="23.65" thickBot="1">
      <c r="A26" s="60" t="s">
        <v>715</v>
      </c>
      <c r="B26" s="61" t="s">
        <v>716</v>
      </c>
      <c r="C26" s="61" t="s">
        <v>717</v>
      </c>
      <c r="D26" s="61">
        <v>160.06</v>
      </c>
      <c r="E26" s="61">
        <v>72.599999999999994</v>
      </c>
    </row>
    <row r="27" spans="1:5" ht="14.65" thickBot="1">
      <c r="A27" s="106" t="s">
        <v>718</v>
      </c>
      <c r="B27" s="106"/>
      <c r="C27" s="106"/>
      <c r="D27" s="106"/>
      <c r="E27" s="106"/>
    </row>
    <row r="28" spans="1:5" ht="23.65" thickBot="1">
      <c r="A28" s="60" t="s">
        <v>719</v>
      </c>
      <c r="B28" s="61" t="s">
        <v>720</v>
      </c>
      <c r="C28" s="61" t="s">
        <v>721</v>
      </c>
      <c r="D28" s="61">
        <v>228.6</v>
      </c>
      <c r="E28" s="61">
        <v>103.69</v>
      </c>
    </row>
    <row r="29" spans="1:5" ht="23.65" thickBot="1">
      <c r="A29" s="60" t="s">
        <v>722</v>
      </c>
      <c r="B29" s="61" t="s">
        <v>723</v>
      </c>
      <c r="C29" s="61" t="s">
        <v>724</v>
      </c>
      <c r="D29" s="61">
        <v>205.57</v>
      </c>
      <c r="E29" s="61">
        <v>93.24</v>
      </c>
    </row>
    <row r="30" spans="1:5" ht="23.65" thickBot="1">
      <c r="A30" s="60" t="s">
        <v>725</v>
      </c>
      <c r="B30" s="61" t="s">
        <v>726</v>
      </c>
      <c r="C30" s="61" t="s">
        <v>727</v>
      </c>
      <c r="D30" s="61">
        <v>214.13</v>
      </c>
      <c r="E30" s="61">
        <v>97.13</v>
      </c>
    </row>
    <row r="31" spans="1:5" ht="23.65" thickBot="1">
      <c r="A31" s="60" t="s">
        <v>728</v>
      </c>
      <c r="B31" s="61" t="s">
        <v>729</v>
      </c>
      <c r="C31" s="61" t="s">
        <v>730</v>
      </c>
      <c r="D31" s="61">
        <v>216.64</v>
      </c>
      <c r="E31" s="61">
        <v>98.27</v>
      </c>
    </row>
    <row r="32" spans="1:5" ht="23.65" thickBot="1">
      <c r="A32" s="60" t="s">
        <v>731</v>
      </c>
      <c r="B32" s="61" t="s">
        <v>732</v>
      </c>
      <c r="C32" s="61" t="s">
        <v>733</v>
      </c>
      <c r="D32" s="61">
        <v>250.59</v>
      </c>
      <c r="E32" s="61">
        <v>113.67</v>
      </c>
    </row>
    <row r="33" spans="1:5" ht="14.65" thickBot="1">
      <c r="A33" s="106" t="s">
        <v>734</v>
      </c>
      <c r="B33" s="106"/>
      <c r="C33" s="106"/>
      <c r="D33" s="106"/>
      <c r="E33" s="106"/>
    </row>
    <row r="34" spans="1:5" ht="35.25" thickBot="1">
      <c r="A34" s="60" t="s">
        <v>735</v>
      </c>
      <c r="B34" s="61" t="s">
        <v>736</v>
      </c>
      <c r="C34" s="61" t="s">
        <v>736</v>
      </c>
      <c r="D34" s="61">
        <v>26.03</v>
      </c>
      <c r="E34" s="61">
        <v>11.81</v>
      </c>
    </row>
    <row r="35" spans="1:5" ht="46.9" thickBot="1">
      <c r="A35" s="60" t="s">
        <v>737</v>
      </c>
      <c r="B35" s="61" t="s">
        <v>736</v>
      </c>
      <c r="C35" s="61" t="s">
        <v>736</v>
      </c>
      <c r="D35" s="61">
        <v>0</v>
      </c>
      <c r="E35" s="61">
        <v>0</v>
      </c>
    </row>
    <row r="36" spans="1:5" ht="37.5" thickBot="1">
      <c r="A36" s="60" t="s">
        <v>738</v>
      </c>
      <c r="B36" s="61" t="s">
        <v>739</v>
      </c>
      <c r="C36" s="61" t="s">
        <v>740</v>
      </c>
      <c r="D36" s="61">
        <v>109.98</v>
      </c>
      <c r="E36" s="61">
        <v>49.89</v>
      </c>
    </row>
    <row r="37" spans="1:5" ht="37.5" thickBot="1">
      <c r="A37" s="60" t="s">
        <v>741</v>
      </c>
      <c r="B37" s="61" t="s">
        <v>742</v>
      </c>
      <c r="C37" s="61" t="s">
        <v>743</v>
      </c>
      <c r="D37" s="61">
        <v>189.53</v>
      </c>
      <c r="E37" s="61">
        <v>85.97</v>
      </c>
    </row>
    <row r="38" spans="1:5" ht="25.5">
      <c r="A38" s="62" t="s">
        <v>744</v>
      </c>
      <c r="B38" s="63" t="s">
        <v>745</v>
      </c>
      <c r="C38" s="63" t="s">
        <v>746</v>
      </c>
      <c r="D38" s="63">
        <v>163.13999999999999</v>
      </c>
      <c r="E38" s="63">
        <v>74</v>
      </c>
    </row>
  </sheetData>
  <mergeCells count="7">
    <mergeCell ref="A33:E33"/>
    <mergeCell ref="A3:E3"/>
    <mergeCell ref="A6:E6"/>
    <mergeCell ref="A15:E15"/>
    <mergeCell ref="A18:E18"/>
    <mergeCell ref="A20:E20"/>
    <mergeCell ref="A27:E27"/>
  </mergeCells>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FBC157-5C71-4688-AD1A-890BF044EAA2}">
  <dimension ref="A1:AH2841"/>
  <sheetViews>
    <sheetView topLeftCell="B13" workbookViewId="0">
      <selection activeCell="B31" sqref="B31"/>
    </sheetView>
  </sheetViews>
  <sheetFormatPr defaultRowHeight="14.25"/>
  <cols>
    <col min="1" max="1" width="21.3984375" hidden="1" customWidth="1"/>
    <col min="2" max="2" width="46.73046875" customWidth="1"/>
  </cols>
  <sheetData>
    <row r="1" spans="1:33" ht="15" customHeight="1" thickBot="1">
      <c r="A1" s="31"/>
      <c r="B1" s="32" t="s">
        <v>402</v>
      </c>
      <c r="C1" s="33">
        <v>2022</v>
      </c>
      <c r="D1" s="33">
        <v>2023</v>
      </c>
      <c r="E1" s="33">
        <v>2024</v>
      </c>
      <c r="F1" s="33">
        <v>2025</v>
      </c>
      <c r="G1" s="33">
        <v>2026</v>
      </c>
      <c r="H1" s="33">
        <v>2027</v>
      </c>
      <c r="I1" s="33">
        <v>2028</v>
      </c>
      <c r="J1" s="33">
        <v>2029</v>
      </c>
      <c r="K1" s="33">
        <v>2030</v>
      </c>
      <c r="L1" s="33">
        <v>2031</v>
      </c>
      <c r="M1" s="33">
        <v>2032</v>
      </c>
      <c r="N1" s="33">
        <v>2033</v>
      </c>
      <c r="O1" s="33">
        <v>2034</v>
      </c>
      <c r="P1" s="33">
        <v>2035</v>
      </c>
      <c r="Q1" s="33">
        <v>2036</v>
      </c>
      <c r="R1" s="33">
        <v>2037</v>
      </c>
      <c r="S1" s="33">
        <v>2038</v>
      </c>
      <c r="T1" s="33">
        <v>2039</v>
      </c>
      <c r="U1" s="33">
        <v>2040</v>
      </c>
      <c r="V1" s="33">
        <v>2041</v>
      </c>
      <c r="W1" s="33">
        <v>2042</v>
      </c>
      <c r="X1" s="33">
        <v>2043</v>
      </c>
      <c r="Y1" s="33">
        <v>2044</v>
      </c>
      <c r="Z1" s="33">
        <v>2045</v>
      </c>
      <c r="AA1" s="33">
        <v>2046</v>
      </c>
      <c r="AB1" s="33">
        <v>2047</v>
      </c>
      <c r="AC1" s="33">
        <v>2048</v>
      </c>
      <c r="AD1" s="33">
        <v>2049</v>
      </c>
      <c r="AE1" s="33">
        <v>2050</v>
      </c>
      <c r="AF1" s="31"/>
      <c r="AG1" s="31"/>
    </row>
    <row r="2" spans="1:33" ht="15" customHeight="1" thickTop="1">
      <c r="A2" s="31"/>
      <c r="B2" s="31"/>
      <c r="C2" s="31"/>
      <c r="D2" s="31"/>
      <c r="E2" s="31"/>
      <c r="F2" s="31"/>
      <c r="G2" s="31"/>
      <c r="H2" s="31"/>
      <c r="I2" s="31"/>
      <c r="J2" s="31"/>
      <c r="K2" s="31"/>
      <c r="L2" s="31"/>
      <c r="M2" s="31"/>
      <c r="N2" s="31"/>
      <c r="O2" s="31"/>
      <c r="P2" s="31"/>
      <c r="Q2" s="31"/>
      <c r="R2" s="31"/>
      <c r="S2" s="31"/>
      <c r="T2" s="31"/>
      <c r="U2" s="31"/>
      <c r="V2" s="31"/>
      <c r="W2" s="31"/>
      <c r="X2" s="31"/>
      <c r="Y2" s="31"/>
      <c r="Z2" s="31"/>
      <c r="AA2" s="31"/>
      <c r="AB2" s="31"/>
      <c r="AC2" s="31"/>
      <c r="AD2" s="31"/>
      <c r="AE2" s="31"/>
      <c r="AF2" s="31"/>
      <c r="AG2" s="31"/>
    </row>
    <row r="3" spans="1:33" ht="15" customHeight="1">
      <c r="A3" s="31"/>
      <c r="B3" s="31"/>
      <c r="C3" s="49" t="s">
        <v>165</v>
      </c>
      <c r="D3" s="49" t="s">
        <v>403</v>
      </c>
      <c r="E3" s="36"/>
      <c r="F3" s="36"/>
      <c r="G3" s="36"/>
      <c r="H3" s="31"/>
      <c r="I3" s="31"/>
      <c r="J3" s="31"/>
      <c r="K3" s="31"/>
      <c r="L3" s="31"/>
      <c r="M3" s="31"/>
      <c r="N3" s="31"/>
      <c r="O3" s="31"/>
      <c r="P3" s="31"/>
      <c r="Q3" s="31"/>
      <c r="R3" s="31"/>
      <c r="S3" s="31"/>
      <c r="T3" s="31"/>
      <c r="U3" s="31"/>
      <c r="V3" s="31"/>
      <c r="W3" s="31"/>
      <c r="X3" s="31"/>
      <c r="Y3" s="31"/>
      <c r="Z3" s="31"/>
      <c r="AA3" s="31"/>
      <c r="AB3" s="31"/>
      <c r="AC3" s="31"/>
      <c r="AD3" s="31"/>
      <c r="AE3" s="31"/>
      <c r="AF3" s="31"/>
      <c r="AG3" s="31"/>
    </row>
    <row r="4" spans="1:33" ht="15" customHeight="1">
      <c r="A4" s="31"/>
      <c r="B4" s="31"/>
      <c r="C4" s="49" t="s">
        <v>166</v>
      </c>
      <c r="D4" s="49" t="s">
        <v>404</v>
      </c>
      <c r="E4" s="36"/>
      <c r="F4" s="36"/>
      <c r="G4" s="49" t="s">
        <v>167</v>
      </c>
      <c r="H4" s="31"/>
      <c r="I4" s="31"/>
      <c r="J4" s="31"/>
      <c r="K4" s="31"/>
      <c r="L4" s="31"/>
      <c r="M4" s="31"/>
      <c r="N4" s="31"/>
      <c r="O4" s="31"/>
      <c r="P4" s="31"/>
      <c r="Q4" s="31"/>
      <c r="R4" s="31"/>
      <c r="S4" s="31"/>
      <c r="T4" s="31"/>
      <c r="U4" s="31"/>
      <c r="V4" s="31"/>
      <c r="W4" s="31"/>
      <c r="X4" s="31"/>
      <c r="Y4" s="31"/>
      <c r="Z4" s="31"/>
      <c r="AA4" s="31"/>
      <c r="AB4" s="31"/>
      <c r="AC4" s="31"/>
      <c r="AD4" s="31"/>
      <c r="AE4" s="31"/>
      <c r="AF4" s="31"/>
      <c r="AG4" s="31"/>
    </row>
    <row r="5" spans="1:33" ht="15" customHeight="1">
      <c r="A5" s="31"/>
      <c r="B5" s="31"/>
      <c r="C5" s="49" t="s">
        <v>168</v>
      </c>
      <c r="D5" s="49" t="s">
        <v>405</v>
      </c>
      <c r="E5" s="36"/>
      <c r="F5" s="36"/>
      <c r="G5" s="36"/>
      <c r="H5" s="31"/>
      <c r="I5" s="31"/>
      <c r="J5" s="31"/>
      <c r="K5" s="31"/>
      <c r="L5" s="31"/>
      <c r="M5" s="31"/>
      <c r="N5" s="31"/>
      <c r="O5" s="31"/>
      <c r="P5" s="31"/>
      <c r="Q5" s="31"/>
      <c r="R5" s="31"/>
      <c r="S5" s="31"/>
      <c r="T5" s="31"/>
      <c r="U5" s="31"/>
      <c r="V5" s="31"/>
      <c r="W5" s="31"/>
      <c r="X5" s="31"/>
      <c r="Y5" s="31"/>
      <c r="Z5" s="31"/>
      <c r="AA5" s="31"/>
      <c r="AB5" s="31"/>
      <c r="AC5" s="31"/>
      <c r="AD5" s="31"/>
      <c r="AE5" s="31"/>
      <c r="AF5" s="31"/>
      <c r="AG5" s="31"/>
    </row>
    <row r="6" spans="1:33" ht="15" customHeight="1">
      <c r="A6" s="31"/>
      <c r="B6" s="31"/>
      <c r="C6" s="49" t="s">
        <v>169</v>
      </c>
      <c r="D6" s="36"/>
      <c r="E6" s="49" t="s">
        <v>406</v>
      </c>
      <c r="F6" s="36"/>
      <c r="G6" s="36"/>
      <c r="H6" s="31"/>
      <c r="I6" s="31"/>
      <c r="J6" s="31"/>
      <c r="K6" s="31"/>
      <c r="L6" s="31"/>
      <c r="M6" s="31"/>
      <c r="N6" s="31"/>
      <c r="O6" s="31"/>
      <c r="P6" s="31"/>
      <c r="Q6" s="31"/>
      <c r="R6" s="31"/>
      <c r="S6" s="31"/>
      <c r="T6" s="31"/>
      <c r="U6" s="31"/>
      <c r="V6" s="31"/>
      <c r="W6" s="31"/>
      <c r="X6" s="31"/>
      <c r="Y6" s="31"/>
      <c r="Z6" s="31"/>
      <c r="AA6" s="31"/>
      <c r="AB6" s="31"/>
      <c r="AC6" s="31"/>
      <c r="AD6" s="31"/>
      <c r="AE6" s="31"/>
      <c r="AF6" s="31"/>
      <c r="AG6" s="31"/>
    </row>
    <row r="7" spans="1:33">
      <c r="A7" s="31"/>
      <c r="B7" s="31"/>
      <c r="C7" s="31"/>
      <c r="D7" s="31"/>
      <c r="E7" s="31"/>
      <c r="F7" s="31"/>
      <c r="G7" s="31"/>
      <c r="H7" s="31"/>
      <c r="I7" s="31"/>
      <c r="J7" s="31"/>
      <c r="K7" s="31"/>
      <c r="L7" s="31"/>
      <c r="M7" s="31"/>
      <c r="N7" s="31"/>
      <c r="O7" s="31"/>
      <c r="P7" s="31"/>
      <c r="Q7" s="31"/>
      <c r="R7" s="31"/>
      <c r="S7" s="31"/>
      <c r="T7" s="31"/>
      <c r="U7" s="31"/>
      <c r="V7" s="31"/>
      <c r="W7" s="31"/>
      <c r="X7" s="31"/>
      <c r="Y7" s="31"/>
      <c r="Z7" s="31"/>
      <c r="AA7" s="31"/>
      <c r="AB7" s="31"/>
      <c r="AC7" s="31"/>
      <c r="AD7" s="31"/>
      <c r="AE7" s="31"/>
      <c r="AF7" s="31"/>
      <c r="AG7" s="31"/>
    </row>
    <row r="8" spans="1:33">
      <c r="A8" s="31"/>
      <c r="B8" s="31"/>
      <c r="C8" s="31"/>
      <c r="D8" s="31"/>
      <c r="E8" s="31"/>
      <c r="F8" s="31"/>
      <c r="G8" s="31"/>
      <c r="H8" s="31"/>
      <c r="I8" s="31"/>
      <c r="J8" s="31"/>
      <c r="K8" s="31"/>
      <c r="L8" s="31"/>
      <c r="M8" s="31"/>
      <c r="N8" s="31"/>
      <c r="O8" s="31"/>
      <c r="P8" s="31"/>
      <c r="Q8" s="31"/>
      <c r="R8" s="31"/>
      <c r="S8" s="31"/>
      <c r="T8" s="31"/>
      <c r="U8" s="31"/>
      <c r="V8" s="31"/>
      <c r="W8" s="31"/>
      <c r="X8" s="31"/>
      <c r="Y8" s="31"/>
      <c r="Z8" s="31"/>
      <c r="AA8" s="31"/>
      <c r="AB8" s="31"/>
      <c r="AC8" s="31"/>
      <c r="AD8" s="31"/>
      <c r="AE8" s="31"/>
      <c r="AF8" s="31"/>
      <c r="AG8" s="31"/>
    </row>
    <row r="9" spans="1:33">
      <c r="A9" s="31"/>
      <c r="B9" s="35"/>
      <c r="C9" s="35"/>
      <c r="D9" s="35"/>
      <c r="E9" s="35"/>
      <c r="F9" s="35"/>
      <c r="G9" s="35"/>
      <c r="H9" s="35"/>
      <c r="I9" s="35"/>
      <c r="J9" s="35"/>
      <c r="K9" s="35"/>
      <c r="L9" s="35"/>
      <c r="M9" s="35"/>
      <c r="N9" s="35"/>
      <c r="O9" s="35"/>
      <c r="P9" s="35"/>
      <c r="Q9" s="35"/>
      <c r="R9" s="35"/>
      <c r="S9" s="35"/>
      <c r="T9" s="35"/>
      <c r="U9" s="35"/>
      <c r="V9" s="35"/>
      <c r="W9" s="35"/>
      <c r="X9" s="35"/>
      <c r="Y9" s="35"/>
      <c r="Z9" s="35"/>
      <c r="AA9" s="35"/>
      <c r="AB9" s="35"/>
      <c r="AC9" s="35"/>
      <c r="AD9" s="35"/>
      <c r="AE9" s="35"/>
      <c r="AF9" s="35"/>
      <c r="AG9" s="35"/>
    </row>
    <row r="10" spans="1:33" ht="15" customHeight="1">
      <c r="A10" s="34" t="s">
        <v>170</v>
      </c>
      <c r="B10" s="37" t="s">
        <v>171</v>
      </c>
      <c r="C10" s="35"/>
      <c r="D10" s="35"/>
      <c r="E10" s="35"/>
      <c r="F10" s="35"/>
      <c r="G10" s="35"/>
      <c r="H10" s="35"/>
      <c r="I10" s="35"/>
      <c r="J10" s="35"/>
      <c r="K10" s="35"/>
      <c r="L10" s="35"/>
      <c r="M10" s="35"/>
      <c r="N10" s="35"/>
      <c r="O10" s="35"/>
      <c r="P10" s="35"/>
      <c r="Q10" s="35"/>
      <c r="R10" s="35"/>
      <c r="S10" s="35"/>
      <c r="T10" s="35"/>
      <c r="U10" s="35"/>
      <c r="V10" s="35"/>
      <c r="W10" s="35"/>
      <c r="X10" s="35"/>
      <c r="Y10" s="35"/>
      <c r="Z10" s="35"/>
      <c r="AA10" s="35"/>
      <c r="AB10" s="35"/>
      <c r="AC10" s="35"/>
      <c r="AD10" s="35"/>
      <c r="AE10" s="35"/>
      <c r="AF10" s="38" t="s">
        <v>172</v>
      </c>
      <c r="AG10" s="35"/>
    </row>
    <row r="11" spans="1:33" ht="15" customHeight="1">
      <c r="A11" s="31"/>
      <c r="B11" s="39" t="s">
        <v>173</v>
      </c>
      <c r="C11" s="35"/>
      <c r="D11" s="35"/>
      <c r="E11" s="35"/>
      <c r="F11" s="35"/>
      <c r="G11" s="35"/>
      <c r="H11" s="35"/>
      <c r="I11" s="35"/>
      <c r="J11" s="35"/>
      <c r="K11" s="35"/>
      <c r="L11" s="35"/>
      <c r="M11" s="35"/>
      <c r="N11" s="35"/>
      <c r="O11" s="35"/>
      <c r="P11" s="35"/>
      <c r="Q11" s="35"/>
      <c r="R11" s="35"/>
      <c r="S11" s="35"/>
      <c r="T11" s="35"/>
      <c r="U11" s="35"/>
      <c r="V11" s="35"/>
      <c r="W11" s="35"/>
      <c r="X11" s="35"/>
      <c r="Y11" s="35"/>
      <c r="Z11" s="35"/>
      <c r="AA11" s="35"/>
      <c r="AB11" s="35"/>
      <c r="AC11" s="35"/>
      <c r="AD11" s="35"/>
      <c r="AE11" s="35"/>
      <c r="AF11" s="38" t="s">
        <v>174</v>
      </c>
      <c r="AG11" s="35"/>
    </row>
    <row r="12" spans="1:33" ht="15" customHeight="1">
      <c r="A12" s="31"/>
      <c r="B12" s="39"/>
      <c r="C12" s="40"/>
      <c r="D12" s="40"/>
      <c r="E12" s="40"/>
      <c r="F12" s="40"/>
      <c r="G12" s="40"/>
      <c r="H12" s="40"/>
      <c r="I12" s="40"/>
      <c r="J12" s="40"/>
      <c r="K12" s="40"/>
      <c r="L12" s="40"/>
      <c r="M12" s="40"/>
      <c r="N12" s="40"/>
      <c r="O12" s="40"/>
      <c r="P12" s="40"/>
      <c r="Q12" s="40"/>
      <c r="R12" s="40"/>
      <c r="S12" s="40"/>
      <c r="T12" s="40"/>
      <c r="U12" s="40"/>
      <c r="V12" s="40"/>
      <c r="W12" s="40"/>
      <c r="X12" s="40"/>
      <c r="Y12" s="40"/>
      <c r="Z12" s="40"/>
      <c r="AA12" s="40"/>
      <c r="AB12" s="40"/>
      <c r="AC12" s="40"/>
      <c r="AD12" s="40"/>
      <c r="AE12" s="40"/>
      <c r="AF12" s="38" t="s">
        <v>175</v>
      </c>
      <c r="AG12" s="35"/>
    </row>
    <row r="13" spans="1:33" ht="15" customHeight="1" thickBot="1">
      <c r="A13" s="31"/>
      <c r="B13" s="41" t="s">
        <v>176</v>
      </c>
      <c r="C13" s="41">
        <v>2022</v>
      </c>
      <c r="D13" s="41">
        <v>2023</v>
      </c>
      <c r="E13" s="41">
        <v>2024</v>
      </c>
      <c r="F13" s="41">
        <v>2025</v>
      </c>
      <c r="G13" s="41">
        <v>2026</v>
      </c>
      <c r="H13" s="41">
        <v>2027</v>
      </c>
      <c r="I13" s="41">
        <v>2028</v>
      </c>
      <c r="J13" s="41">
        <v>2029</v>
      </c>
      <c r="K13" s="41">
        <v>2030</v>
      </c>
      <c r="L13" s="41">
        <v>2031</v>
      </c>
      <c r="M13" s="41">
        <v>2032</v>
      </c>
      <c r="N13" s="41">
        <v>2033</v>
      </c>
      <c r="O13" s="41">
        <v>2034</v>
      </c>
      <c r="P13" s="41">
        <v>2035</v>
      </c>
      <c r="Q13" s="41">
        <v>2036</v>
      </c>
      <c r="R13" s="41">
        <v>2037</v>
      </c>
      <c r="S13" s="41">
        <v>2038</v>
      </c>
      <c r="T13" s="41">
        <v>2039</v>
      </c>
      <c r="U13" s="41">
        <v>2040</v>
      </c>
      <c r="V13" s="41">
        <v>2041</v>
      </c>
      <c r="W13" s="41">
        <v>2042</v>
      </c>
      <c r="X13" s="41">
        <v>2043</v>
      </c>
      <c r="Y13" s="41">
        <v>2044</v>
      </c>
      <c r="Z13" s="41">
        <v>2045</v>
      </c>
      <c r="AA13" s="41">
        <v>2046</v>
      </c>
      <c r="AB13" s="41">
        <v>2047</v>
      </c>
      <c r="AC13" s="41">
        <v>2048</v>
      </c>
      <c r="AD13" s="41">
        <v>2049</v>
      </c>
      <c r="AE13" s="41">
        <v>2050</v>
      </c>
      <c r="AF13" s="42" t="s">
        <v>407</v>
      </c>
      <c r="AG13" s="35"/>
    </row>
    <row r="14" spans="1:33" ht="15" customHeight="1" thickTop="1">
      <c r="A14" s="31"/>
      <c r="B14" s="35"/>
      <c r="C14" s="35"/>
      <c r="D14" s="35"/>
      <c r="E14" s="35"/>
      <c r="F14" s="35"/>
      <c r="G14" s="35"/>
      <c r="H14" s="35"/>
      <c r="I14" s="35"/>
      <c r="J14" s="35"/>
      <c r="K14" s="35"/>
      <c r="L14" s="35"/>
      <c r="M14" s="35"/>
      <c r="N14" s="35"/>
      <c r="O14" s="35"/>
      <c r="P14" s="35"/>
      <c r="Q14" s="35"/>
      <c r="R14" s="35"/>
      <c r="S14" s="35"/>
      <c r="T14" s="35"/>
      <c r="U14" s="35"/>
      <c r="V14" s="35"/>
      <c r="W14" s="35"/>
      <c r="X14" s="35"/>
      <c r="Y14" s="35"/>
      <c r="Z14" s="35"/>
      <c r="AA14" s="35"/>
      <c r="AB14" s="35"/>
      <c r="AC14" s="35"/>
      <c r="AD14" s="35"/>
      <c r="AE14" s="35"/>
      <c r="AF14" s="35"/>
      <c r="AG14" s="35"/>
    </row>
    <row r="15" spans="1:33" ht="15" customHeight="1">
      <c r="A15" s="31"/>
      <c r="B15" s="43" t="s">
        <v>178</v>
      </c>
      <c r="C15" s="35"/>
      <c r="D15" s="35"/>
      <c r="E15" s="35"/>
      <c r="F15" s="35"/>
      <c r="G15" s="35"/>
      <c r="H15" s="35"/>
      <c r="I15" s="35"/>
      <c r="J15" s="35"/>
      <c r="K15" s="35"/>
      <c r="L15" s="35"/>
      <c r="M15" s="35"/>
      <c r="N15" s="35"/>
      <c r="O15" s="35"/>
      <c r="P15" s="35"/>
      <c r="Q15" s="35"/>
      <c r="R15" s="35"/>
      <c r="S15" s="35"/>
      <c r="T15" s="35"/>
      <c r="U15" s="35"/>
      <c r="V15" s="35"/>
      <c r="W15" s="35"/>
      <c r="X15" s="35"/>
      <c r="Y15" s="35"/>
      <c r="Z15" s="35"/>
      <c r="AA15" s="35"/>
      <c r="AB15" s="35"/>
      <c r="AC15" s="35"/>
      <c r="AD15" s="35"/>
      <c r="AE15" s="35"/>
      <c r="AF15" s="35"/>
      <c r="AG15" s="35"/>
    </row>
    <row r="16" spans="1:33" ht="15" customHeight="1">
      <c r="A16" s="31"/>
      <c r="B16" s="35"/>
      <c r="C16" s="35"/>
      <c r="D16" s="35"/>
      <c r="E16" s="35"/>
      <c r="F16" s="35"/>
      <c r="G16" s="35"/>
      <c r="H16" s="35"/>
      <c r="I16" s="35"/>
      <c r="J16" s="35"/>
      <c r="K16" s="35"/>
      <c r="L16" s="35"/>
      <c r="M16" s="35"/>
      <c r="N16" s="35"/>
      <c r="O16" s="35"/>
      <c r="P16" s="35"/>
      <c r="Q16" s="35"/>
      <c r="R16" s="35"/>
      <c r="S16" s="35"/>
      <c r="T16" s="35"/>
      <c r="U16" s="35"/>
      <c r="V16" s="35"/>
      <c r="W16" s="35"/>
      <c r="X16" s="35"/>
      <c r="Y16" s="35"/>
      <c r="Z16" s="35"/>
      <c r="AA16" s="35"/>
      <c r="AB16" s="35"/>
      <c r="AC16" s="35"/>
      <c r="AD16" s="35"/>
      <c r="AE16" s="35"/>
      <c r="AF16" s="35"/>
      <c r="AG16" s="35"/>
    </row>
    <row r="17" spans="1:33" ht="15" customHeight="1">
      <c r="A17" s="34" t="s">
        <v>179</v>
      </c>
      <c r="B17" s="43" t="s">
        <v>180</v>
      </c>
      <c r="C17" s="47">
        <v>0.53893199999999997</v>
      </c>
      <c r="D17" s="47">
        <v>0.57440999999999998</v>
      </c>
      <c r="E17" s="47">
        <v>0.51306799999999997</v>
      </c>
      <c r="F17" s="47">
        <v>0.48986400000000002</v>
      </c>
      <c r="G17" s="47">
        <v>0.47216399999999997</v>
      </c>
      <c r="H17" s="47">
        <v>0.45763999999999999</v>
      </c>
      <c r="I17" s="47">
        <v>0.44519999999999998</v>
      </c>
      <c r="J17" s="47">
        <v>0.435137</v>
      </c>
      <c r="K17" s="47">
        <v>0.42601699999999998</v>
      </c>
      <c r="L17" s="47">
        <v>0.41791</v>
      </c>
      <c r="M17" s="47">
        <v>0.409804</v>
      </c>
      <c r="N17" s="47">
        <v>0.40263100000000002</v>
      </c>
      <c r="O17" s="47">
        <v>0.39503899999999997</v>
      </c>
      <c r="P17" s="47">
        <v>0.38751400000000003</v>
      </c>
      <c r="Q17" s="47">
        <v>0.37993500000000002</v>
      </c>
      <c r="R17" s="47">
        <v>0.37285699999999999</v>
      </c>
      <c r="S17" s="47">
        <v>0.36608299999999999</v>
      </c>
      <c r="T17" s="47">
        <v>0.35957499999999998</v>
      </c>
      <c r="U17" s="47">
        <v>0.35324100000000003</v>
      </c>
      <c r="V17" s="47">
        <v>0.34762199999999999</v>
      </c>
      <c r="W17" s="47">
        <v>0.34207100000000001</v>
      </c>
      <c r="X17" s="47">
        <v>0.33705400000000002</v>
      </c>
      <c r="Y17" s="47">
        <v>0.332011</v>
      </c>
      <c r="Z17" s="47">
        <v>0.327538</v>
      </c>
      <c r="AA17" s="47">
        <v>0.32387199999999999</v>
      </c>
      <c r="AB17" s="47">
        <v>0.32008300000000001</v>
      </c>
      <c r="AC17" s="47">
        <v>0.31608900000000001</v>
      </c>
      <c r="AD17" s="47">
        <v>0.31211100000000003</v>
      </c>
      <c r="AE17" s="47">
        <v>0.30802400000000002</v>
      </c>
      <c r="AF17" s="48">
        <v>-1.9781E-2</v>
      </c>
      <c r="AG17" s="35"/>
    </row>
    <row r="18" spans="1:33" ht="15" customHeight="1">
      <c r="A18" s="31"/>
      <c r="B18" s="35"/>
      <c r="C18" s="35"/>
      <c r="D18" s="35"/>
      <c r="E18" s="35"/>
      <c r="F18" s="35"/>
      <c r="G18" s="35"/>
      <c r="H18" s="35"/>
      <c r="I18" s="35"/>
      <c r="J18" s="35"/>
      <c r="K18" s="35"/>
      <c r="L18" s="35"/>
      <c r="M18" s="35"/>
      <c r="N18" s="35"/>
      <c r="O18" s="35"/>
      <c r="P18" s="35"/>
      <c r="Q18" s="35"/>
      <c r="R18" s="35"/>
      <c r="S18" s="35"/>
      <c r="T18" s="35"/>
      <c r="U18" s="35"/>
      <c r="V18" s="35"/>
      <c r="W18" s="35"/>
      <c r="X18" s="35"/>
      <c r="Y18" s="35"/>
      <c r="Z18" s="35"/>
      <c r="AA18" s="35"/>
      <c r="AB18" s="35"/>
      <c r="AC18" s="35"/>
      <c r="AD18" s="35"/>
      <c r="AE18" s="35"/>
      <c r="AF18" s="35"/>
      <c r="AG18" s="35"/>
    </row>
    <row r="19" spans="1:33" ht="15" customHeight="1">
      <c r="A19" s="34" t="s">
        <v>181</v>
      </c>
      <c r="B19" s="43" t="s">
        <v>182</v>
      </c>
      <c r="C19" s="47">
        <v>0.120805</v>
      </c>
      <c r="D19" s="47">
        <v>0.120805</v>
      </c>
      <c r="E19" s="47">
        <v>0.120805</v>
      </c>
      <c r="F19" s="47">
        <v>0.120805</v>
      </c>
      <c r="G19" s="47">
        <v>0.120805</v>
      </c>
      <c r="H19" s="47">
        <v>0.120805</v>
      </c>
      <c r="I19" s="47">
        <v>0.120805</v>
      </c>
      <c r="J19" s="47">
        <v>0.120805</v>
      </c>
      <c r="K19" s="47">
        <v>0.120805</v>
      </c>
      <c r="L19" s="47">
        <v>0.120805</v>
      </c>
      <c r="M19" s="47">
        <v>0.120805</v>
      </c>
      <c r="N19" s="47">
        <v>0.120805</v>
      </c>
      <c r="O19" s="47">
        <v>0.120805</v>
      </c>
      <c r="P19" s="47">
        <v>0.120805</v>
      </c>
      <c r="Q19" s="47">
        <v>0.120805</v>
      </c>
      <c r="R19" s="47">
        <v>0.120805</v>
      </c>
      <c r="S19" s="47">
        <v>0.120805</v>
      </c>
      <c r="T19" s="47">
        <v>0.120805</v>
      </c>
      <c r="U19" s="47">
        <v>0.120805</v>
      </c>
      <c r="V19" s="47">
        <v>0.120805</v>
      </c>
      <c r="W19" s="47">
        <v>0.120805</v>
      </c>
      <c r="X19" s="47">
        <v>0.120805</v>
      </c>
      <c r="Y19" s="47">
        <v>0.120805</v>
      </c>
      <c r="Z19" s="47">
        <v>0.120805</v>
      </c>
      <c r="AA19" s="47">
        <v>0.120805</v>
      </c>
      <c r="AB19" s="47">
        <v>0.120805</v>
      </c>
      <c r="AC19" s="47">
        <v>0.120805</v>
      </c>
      <c r="AD19" s="47">
        <v>0.120805</v>
      </c>
      <c r="AE19" s="47">
        <v>0.120805</v>
      </c>
      <c r="AF19" s="48">
        <v>0</v>
      </c>
      <c r="AG19" s="35"/>
    </row>
    <row r="20" spans="1:33" ht="15" customHeight="1">
      <c r="A20" s="31"/>
      <c r="B20" s="35"/>
      <c r="C20" s="35"/>
      <c r="D20" s="35"/>
      <c r="E20" s="35"/>
      <c r="F20" s="35"/>
      <c r="G20" s="35"/>
      <c r="H20" s="35"/>
      <c r="I20" s="35"/>
      <c r="J20" s="35"/>
      <c r="K20" s="35"/>
      <c r="L20" s="35"/>
      <c r="M20" s="35"/>
      <c r="N20" s="35"/>
      <c r="O20" s="35"/>
      <c r="P20" s="35"/>
      <c r="Q20" s="35"/>
      <c r="R20" s="35"/>
      <c r="S20" s="35"/>
      <c r="T20" s="35"/>
      <c r="U20" s="35"/>
      <c r="V20" s="35"/>
      <c r="W20" s="35"/>
      <c r="X20" s="35"/>
      <c r="Y20" s="35"/>
      <c r="Z20" s="35"/>
      <c r="AA20" s="35"/>
      <c r="AB20" s="35"/>
      <c r="AC20" s="35"/>
      <c r="AD20" s="35"/>
      <c r="AE20" s="35"/>
      <c r="AF20" s="35"/>
      <c r="AG20" s="35"/>
    </row>
    <row r="21" spans="1:33" ht="15" customHeight="1">
      <c r="A21" s="34" t="s">
        <v>183</v>
      </c>
      <c r="B21" s="43" t="s">
        <v>184</v>
      </c>
      <c r="C21" s="47">
        <v>2.4188489999999998</v>
      </c>
      <c r="D21" s="47">
        <v>2.5582929999999999</v>
      </c>
      <c r="E21" s="47">
        <v>2.454399</v>
      </c>
      <c r="F21" s="47">
        <v>2.4587829999999999</v>
      </c>
      <c r="G21" s="47">
        <v>2.4619360000000001</v>
      </c>
      <c r="H21" s="47">
        <v>2.4690829999999999</v>
      </c>
      <c r="I21" s="47">
        <v>2.4846270000000001</v>
      </c>
      <c r="J21" s="47">
        <v>2.4918010000000002</v>
      </c>
      <c r="K21" s="47">
        <v>2.4948260000000002</v>
      </c>
      <c r="L21" s="47">
        <v>2.5005679999999999</v>
      </c>
      <c r="M21" s="47">
        <v>2.5099770000000001</v>
      </c>
      <c r="N21" s="47">
        <v>2.5213960000000002</v>
      </c>
      <c r="O21" s="47">
        <v>2.5349650000000001</v>
      </c>
      <c r="P21" s="47">
        <v>2.553261</v>
      </c>
      <c r="Q21" s="47">
        <v>2.557693</v>
      </c>
      <c r="R21" s="47">
        <v>2.5674959999999998</v>
      </c>
      <c r="S21" s="47">
        <v>2.576616</v>
      </c>
      <c r="T21" s="47">
        <v>2.5888149999999999</v>
      </c>
      <c r="U21" s="47">
        <v>2.604867</v>
      </c>
      <c r="V21" s="47">
        <v>2.6301209999999999</v>
      </c>
      <c r="W21" s="47">
        <v>2.6482429999999999</v>
      </c>
      <c r="X21" s="47">
        <v>2.6648510000000001</v>
      </c>
      <c r="Y21" s="47">
        <v>2.6717409999999999</v>
      </c>
      <c r="Z21" s="47">
        <v>2.681419</v>
      </c>
      <c r="AA21" s="47">
        <v>2.6979250000000001</v>
      </c>
      <c r="AB21" s="47">
        <v>2.720405</v>
      </c>
      <c r="AC21" s="47">
        <v>2.747052</v>
      </c>
      <c r="AD21" s="47">
        <v>2.763744</v>
      </c>
      <c r="AE21" s="47">
        <v>2.7854899999999998</v>
      </c>
      <c r="AF21" s="48">
        <v>5.0530000000000002E-3</v>
      </c>
      <c r="AG21" s="35"/>
    </row>
    <row r="22" spans="1:33" ht="15" customHeight="1">
      <c r="A22" s="34" t="s">
        <v>185</v>
      </c>
      <c r="B22" s="44" t="s">
        <v>186</v>
      </c>
      <c r="C22" s="45">
        <v>1.0773E-2</v>
      </c>
      <c r="D22" s="45">
        <v>1.0913000000000001E-2</v>
      </c>
      <c r="E22" s="45">
        <v>1.0874999999999999E-2</v>
      </c>
      <c r="F22" s="45">
        <v>1.0836999999999999E-2</v>
      </c>
      <c r="G22" s="45">
        <v>1.0801E-2</v>
      </c>
      <c r="H22" s="45">
        <v>1.0767000000000001E-2</v>
      </c>
      <c r="I22" s="45">
        <v>1.0736000000000001E-2</v>
      </c>
      <c r="J22" s="45">
        <v>1.0707E-2</v>
      </c>
      <c r="K22" s="45">
        <v>1.0682000000000001E-2</v>
      </c>
      <c r="L22" s="45">
        <v>1.0661E-2</v>
      </c>
      <c r="M22" s="45">
        <v>1.0644000000000001E-2</v>
      </c>
      <c r="N22" s="45">
        <v>1.0632000000000001E-2</v>
      </c>
      <c r="O22" s="45">
        <v>1.0624E-2</v>
      </c>
      <c r="P22" s="45">
        <v>1.0621999999999999E-2</v>
      </c>
      <c r="Q22" s="45">
        <v>1.0621999999999999E-2</v>
      </c>
      <c r="R22" s="45">
        <v>1.0621999999999999E-2</v>
      </c>
      <c r="S22" s="45">
        <v>1.0621999999999999E-2</v>
      </c>
      <c r="T22" s="45">
        <v>1.0621999999999999E-2</v>
      </c>
      <c r="U22" s="45">
        <v>1.0621999999999999E-2</v>
      </c>
      <c r="V22" s="45">
        <v>1.0621999999999999E-2</v>
      </c>
      <c r="W22" s="45">
        <v>1.0621999999999999E-2</v>
      </c>
      <c r="X22" s="45">
        <v>1.0621999999999999E-2</v>
      </c>
      <c r="Y22" s="45">
        <v>1.0621999999999999E-2</v>
      </c>
      <c r="Z22" s="45">
        <v>1.0621999999999999E-2</v>
      </c>
      <c r="AA22" s="45">
        <v>1.0621999999999999E-2</v>
      </c>
      <c r="AB22" s="45">
        <v>1.0621999999999999E-2</v>
      </c>
      <c r="AC22" s="45">
        <v>1.0621999999999999E-2</v>
      </c>
      <c r="AD22" s="45">
        <v>1.0621999999999999E-2</v>
      </c>
      <c r="AE22" s="45">
        <v>1.0621999999999999E-2</v>
      </c>
      <c r="AF22" s="46">
        <v>-5.04E-4</v>
      </c>
      <c r="AG22" s="35"/>
    </row>
    <row r="23" spans="1:33" ht="15" customHeight="1">
      <c r="A23" s="34" t="s">
        <v>187</v>
      </c>
      <c r="B23" s="44" t="s">
        <v>188</v>
      </c>
      <c r="C23" s="45">
        <v>0.161768</v>
      </c>
      <c r="D23" s="45">
        <v>0.15997600000000001</v>
      </c>
      <c r="E23" s="45">
        <v>0.16036500000000001</v>
      </c>
      <c r="F23" s="45">
        <v>0.16234000000000001</v>
      </c>
      <c r="G23" s="45">
        <v>0.164713</v>
      </c>
      <c r="H23" s="45">
        <v>0.16667599999999999</v>
      </c>
      <c r="I23" s="45">
        <v>0.16775599999999999</v>
      </c>
      <c r="J23" s="45">
        <v>0.167014</v>
      </c>
      <c r="K23" s="45">
        <v>0.16627400000000001</v>
      </c>
      <c r="L23" s="45">
        <v>0.165657</v>
      </c>
      <c r="M23" s="45">
        <v>0.16491500000000001</v>
      </c>
      <c r="N23" s="45">
        <v>0.16405700000000001</v>
      </c>
      <c r="O23" s="45">
        <v>0.16317799999999999</v>
      </c>
      <c r="P23" s="45">
        <v>0.16239500000000001</v>
      </c>
      <c r="Q23" s="45">
        <v>0.161408</v>
      </c>
      <c r="R23" s="45">
        <v>0.16053000000000001</v>
      </c>
      <c r="S23" s="45">
        <v>0.15972800000000001</v>
      </c>
      <c r="T23" s="45">
        <v>0.15995599999999999</v>
      </c>
      <c r="U23" s="45">
        <v>0.160357</v>
      </c>
      <c r="V23" s="45">
        <v>0.160718</v>
      </c>
      <c r="W23" s="45">
        <v>0.160969</v>
      </c>
      <c r="X23" s="45">
        <v>0.16102900000000001</v>
      </c>
      <c r="Y23" s="45">
        <v>0.16096299999999999</v>
      </c>
      <c r="Z23" s="45">
        <v>0.16125500000000001</v>
      </c>
      <c r="AA23" s="45">
        <v>0.161468</v>
      </c>
      <c r="AB23" s="45">
        <v>0.16167300000000001</v>
      </c>
      <c r="AC23" s="45">
        <v>0.16187099999999999</v>
      </c>
      <c r="AD23" s="45">
        <v>0.162026</v>
      </c>
      <c r="AE23" s="45">
        <v>0.162219</v>
      </c>
      <c r="AF23" s="46">
        <v>9.8999999999999994E-5</v>
      </c>
      <c r="AG23" s="35"/>
    </row>
    <row r="24" spans="1:33" ht="15" customHeight="1">
      <c r="A24" s="34" t="s">
        <v>189</v>
      </c>
      <c r="B24" s="44" t="s">
        <v>190</v>
      </c>
      <c r="C24" s="45">
        <v>1.3282320000000001</v>
      </c>
      <c r="D24" s="45">
        <v>1.4028259999999999</v>
      </c>
      <c r="E24" s="45">
        <v>1.37287</v>
      </c>
      <c r="F24" s="45">
        <v>1.379027</v>
      </c>
      <c r="G24" s="45">
        <v>1.3815900000000001</v>
      </c>
      <c r="H24" s="45">
        <v>1.3878950000000001</v>
      </c>
      <c r="I24" s="45">
        <v>1.3993370000000001</v>
      </c>
      <c r="J24" s="45">
        <v>1.41076</v>
      </c>
      <c r="K24" s="45">
        <v>1.4189320000000001</v>
      </c>
      <c r="L24" s="45">
        <v>1.429157</v>
      </c>
      <c r="M24" s="45">
        <v>1.443031</v>
      </c>
      <c r="N24" s="45">
        <v>1.4565079999999999</v>
      </c>
      <c r="O24" s="45">
        <v>1.4709570000000001</v>
      </c>
      <c r="P24" s="45">
        <v>1.482958</v>
      </c>
      <c r="Q24" s="45">
        <v>1.48898</v>
      </c>
      <c r="R24" s="45">
        <v>1.4987729999999999</v>
      </c>
      <c r="S24" s="45">
        <v>1.5069980000000001</v>
      </c>
      <c r="T24" s="45">
        <v>1.516537</v>
      </c>
      <c r="U24" s="45">
        <v>1.528081</v>
      </c>
      <c r="V24" s="45">
        <v>1.540243</v>
      </c>
      <c r="W24" s="45">
        <v>1.5521320000000001</v>
      </c>
      <c r="X24" s="45">
        <v>1.5620019999999999</v>
      </c>
      <c r="Y24" s="45">
        <v>1.568192</v>
      </c>
      <c r="Z24" s="45">
        <v>1.5709299999999999</v>
      </c>
      <c r="AA24" s="45">
        <v>1.577018</v>
      </c>
      <c r="AB24" s="45">
        <v>1.5876319999999999</v>
      </c>
      <c r="AC24" s="45">
        <v>1.5930029999999999</v>
      </c>
      <c r="AD24" s="45">
        <v>1.600503</v>
      </c>
      <c r="AE24" s="45">
        <v>1.6157809999999999</v>
      </c>
      <c r="AF24" s="46">
        <v>7.0229999999999997E-3</v>
      </c>
      <c r="AG24" s="35"/>
    </row>
    <row r="25" spans="1:33" ht="15" customHeight="1">
      <c r="A25" s="34" t="s">
        <v>191</v>
      </c>
      <c r="B25" s="44" t="s">
        <v>192</v>
      </c>
      <c r="C25" s="45">
        <v>0.918076</v>
      </c>
      <c r="D25" s="45">
        <v>0.98457799999999995</v>
      </c>
      <c r="E25" s="45">
        <v>0.91028900000000001</v>
      </c>
      <c r="F25" s="45">
        <v>0.90657900000000002</v>
      </c>
      <c r="G25" s="45">
        <v>0.90483100000000005</v>
      </c>
      <c r="H25" s="45">
        <v>0.90374500000000002</v>
      </c>
      <c r="I25" s="45">
        <v>0.90679799999999999</v>
      </c>
      <c r="J25" s="45">
        <v>0.90332000000000001</v>
      </c>
      <c r="K25" s="45">
        <v>0.89893800000000001</v>
      </c>
      <c r="L25" s="45">
        <v>0.89509300000000003</v>
      </c>
      <c r="M25" s="45">
        <v>0.89138700000000004</v>
      </c>
      <c r="N25" s="45">
        <v>0.89019999999999999</v>
      </c>
      <c r="O25" s="45">
        <v>0.89020600000000005</v>
      </c>
      <c r="P25" s="45">
        <v>0.89728600000000003</v>
      </c>
      <c r="Q25" s="45">
        <v>0.89668300000000001</v>
      </c>
      <c r="R25" s="45">
        <v>0.89757100000000001</v>
      </c>
      <c r="S25" s="45">
        <v>0.89926799999999996</v>
      </c>
      <c r="T25" s="45">
        <v>0.90170099999999997</v>
      </c>
      <c r="U25" s="45">
        <v>0.90580700000000003</v>
      </c>
      <c r="V25" s="45">
        <v>0.91853799999999997</v>
      </c>
      <c r="W25" s="45">
        <v>0.92452100000000004</v>
      </c>
      <c r="X25" s="45">
        <v>0.93119799999999997</v>
      </c>
      <c r="Y25" s="45">
        <v>0.93196400000000001</v>
      </c>
      <c r="Z25" s="45">
        <v>0.93861300000000003</v>
      </c>
      <c r="AA25" s="45">
        <v>0.94881700000000002</v>
      </c>
      <c r="AB25" s="45">
        <v>0.96047800000000005</v>
      </c>
      <c r="AC25" s="45">
        <v>0.98155700000000001</v>
      </c>
      <c r="AD25" s="45">
        <v>0.99059399999999997</v>
      </c>
      <c r="AE25" s="45">
        <v>0.99686799999999998</v>
      </c>
      <c r="AF25" s="46">
        <v>2.9450000000000001E-3</v>
      </c>
      <c r="AG25" s="35"/>
    </row>
    <row r="26" spans="1:33" ht="15" customHeight="1">
      <c r="A26" s="31"/>
      <c r="B26" s="35"/>
      <c r="C26" s="35"/>
      <c r="D26" s="35"/>
      <c r="E26" s="35"/>
      <c r="F26" s="35"/>
      <c r="G26" s="35"/>
      <c r="H26" s="35"/>
      <c r="I26" s="35"/>
      <c r="J26" s="35"/>
      <c r="K26" s="35"/>
      <c r="L26" s="35"/>
      <c r="M26" s="35"/>
      <c r="N26" s="35"/>
      <c r="O26" s="35"/>
      <c r="P26" s="35"/>
      <c r="Q26" s="35"/>
      <c r="R26" s="35"/>
      <c r="S26" s="35"/>
      <c r="T26" s="35"/>
      <c r="U26" s="35"/>
      <c r="V26" s="35"/>
      <c r="W26" s="35"/>
      <c r="X26" s="35"/>
      <c r="Y26" s="35"/>
      <c r="Z26" s="35"/>
      <c r="AA26" s="35"/>
      <c r="AB26" s="35"/>
      <c r="AC26" s="35"/>
      <c r="AD26" s="35"/>
      <c r="AE26" s="35"/>
      <c r="AF26" s="35"/>
      <c r="AG26" s="35"/>
    </row>
    <row r="27" spans="1:33" ht="15" customHeight="1">
      <c r="A27" s="34" t="s">
        <v>193</v>
      </c>
      <c r="B27" s="43" t="s">
        <v>194</v>
      </c>
      <c r="C27" s="47">
        <v>1.6439569999999999</v>
      </c>
      <c r="D27" s="47">
        <v>1.68746</v>
      </c>
      <c r="E27" s="47">
        <v>1.7501439999999999</v>
      </c>
      <c r="F27" s="47">
        <v>1.713519</v>
      </c>
      <c r="G27" s="47">
        <v>1.7038390000000001</v>
      </c>
      <c r="H27" s="47">
        <v>1.7015279999999999</v>
      </c>
      <c r="I27" s="47">
        <v>1.5876999999999999</v>
      </c>
      <c r="J27" s="47">
        <v>1.5869660000000001</v>
      </c>
      <c r="K27" s="47">
        <v>1.586138</v>
      </c>
      <c r="L27" s="47">
        <v>1.585172</v>
      </c>
      <c r="M27" s="47">
        <v>1.583934</v>
      </c>
      <c r="N27" s="47">
        <v>1.582892</v>
      </c>
      <c r="O27" s="47">
        <v>1.5815950000000001</v>
      </c>
      <c r="P27" s="47">
        <v>1.5800190000000001</v>
      </c>
      <c r="Q27" s="47">
        <v>1.5786439999999999</v>
      </c>
      <c r="R27" s="47">
        <v>1.5772600000000001</v>
      </c>
      <c r="S27" s="47">
        <v>1.5758639999999999</v>
      </c>
      <c r="T27" s="47">
        <v>1.574471</v>
      </c>
      <c r="U27" s="47">
        <v>1.5730500000000001</v>
      </c>
      <c r="V27" s="47">
        <v>1.5713459999999999</v>
      </c>
      <c r="W27" s="47">
        <v>1.569874</v>
      </c>
      <c r="X27" s="47">
        <v>1.568397</v>
      </c>
      <c r="Y27" s="47">
        <v>1.567132</v>
      </c>
      <c r="Z27" s="47">
        <v>1.5656760000000001</v>
      </c>
      <c r="AA27" s="47">
        <v>1.579699</v>
      </c>
      <c r="AB27" s="47">
        <v>1.603261</v>
      </c>
      <c r="AC27" s="47">
        <v>1.648387</v>
      </c>
      <c r="AD27" s="47">
        <v>1.6785369999999999</v>
      </c>
      <c r="AE27" s="47">
        <v>1.6990639999999999</v>
      </c>
      <c r="AF27" s="48">
        <v>1.178E-3</v>
      </c>
      <c r="AG27" s="35"/>
    </row>
    <row r="28" spans="1:33" ht="15" customHeight="1">
      <c r="A28" s="34" t="s">
        <v>195</v>
      </c>
      <c r="B28" s="44" t="s">
        <v>196</v>
      </c>
      <c r="C28" s="45">
        <v>2.2315999999999999E-2</v>
      </c>
      <c r="D28" s="45">
        <v>2.2565000000000002E-2</v>
      </c>
      <c r="E28" s="45">
        <v>2.1181999999999999E-2</v>
      </c>
      <c r="F28" s="45">
        <v>2.1097999999999999E-2</v>
      </c>
      <c r="G28" s="45">
        <v>2.0573000000000001E-2</v>
      </c>
      <c r="H28" s="45">
        <v>2.0001999999999999E-2</v>
      </c>
      <c r="I28" s="45">
        <v>1.9309E-2</v>
      </c>
      <c r="J28" s="45">
        <v>1.8533000000000001E-2</v>
      </c>
      <c r="K28" s="45">
        <v>1.7717E-2</v>
      </c>
      <c r="L28" s="45">
        <v>1.6916E-2</v>
      </c>
      <c r="M28" s="45">
        <v>1.6133000000000002E-2</v>
      </c>
      <c r="N28" s="45">
        <v>1.5434E-2</v>
      </c>
      <c r="O28" s="45">
        <v>1.4803E-2</v>
      </c>
      <c r="P28" s="45">
        <v>1.4241E-2</v>
      </c>
      <c r="Q28" s="45">
        <v>1.3707E-2</v>
      </c>
      <c r="R28" s="45">
        <v>1.3317000000000001E-2</v>
      </c>
      <c r="S28" s="45">
        <v>1.3025999999999999E-2</v>
      </c>
      <c r="T28" s="45">
        <v>1.2829E-2</v>
      </c>
      <c r="U28" s="45">
        <v>1.2723999999999999E-2</v>
      </c>
      <c r="V28" s="45">
        <v>1.2669E-2</v>
      </c>
      <c r="W28" s="45">
        <v>1.2661E-2</v>
      </c>
      <c r="X28" s="45">
        <v>1.2716E-2</v>
      </c>
      <c r="Y28" s="45">
        <v>1.278E-2</v>
      </c>
      <c r="Z28" s="45">
        <v>1.2874999999999999E-2</v>
      </c>
      <c r="AA28" s="45">
        <v>1.2959999999999999E-2</v>
      </c>
      <c r="AB28" s="45">
        <v>1.3117E-2</v>
      </c>
      <c r="AC28" s="45">
        <v>1.3259E-2</v>
      </c>
      <c r="AD28" s="45">
        <v>1.3443E-2</v>
      </c>
      <c r="AE28" s="45">
        <v>1.3617000000000001E-2</v>
      </c>
      <c r="AF28" s="46">
        <v>-1.7486999999999999E-2</v>
      </c>
      <c r="AG28" s="35"/>
    </row>
    <row r="29" spans="1:33" ht="15" customHeight="1">
      <c r="A29" s="34" t="s">
        <v>197</v>
      </c>
      <c r="B29" s="44" t="s">
        <v>198</v>
      </c>
      <c r="C29" s="45">
        <v>1.1250899999999999</v>
      </c>
      <c r="D29" s="45">
        <v>1.1227320000000001</v>
      </c>
      <c r="E29" s="45">
        <v>1.151931</v>
      </c>
      <c r="F29" s="45">
        <v>1.142379</v>
      </c>
      <c r="G29" s="45">
        <v>1.1358649999999999</v>
      </c>
      <c r="H29" s="45">
        <v>1.130649</v>
      </c>
      <c r="I29" s="45">
        <v>1.123475</v>
      </c>
      <c r="J29" s="45">
        <v>1.1144639999999999</v>
      </c>
      <c r="K29" s="45">
        <v>1.1039049999999999</v>
      </c>
      <c r="L29" s="45">
        <v>1.0942369999999999</v>
      </c>
      <c r="M29" s="45">
        <v>1.0849629999999999</v>
      </c>
      <c r="N29" s="45">
        <v>1.0787599999999999</v>
      </c>
      <c r="O29" s="45">
        <v>1.074166</v>
      </c>
      <c r="P29" s="45">
        <v>1.069304</v>
      </c>
      <c r="Q29" s="45">
        <v>1.0632410000000001</v>
      </c>
      <c r="R29" s="45">
        <v>1.058996</v>
      </c>
      <c r="S29" s="45">
        <v>1.055871</v>
      </c>
      <c r="T29" s="45">
        <v>1.053339</v>
      </c>
      <c r="U29" s="45">
        <v>1.052924</v>
      </c>
      <c r="V29" s="45">
        <v>1.0528120000000001</v>
      </c>
      <c r="W29" s="45">
        <v>1.0543610000000001</v>
      </c>
      <c r="X29" s="45">
        <v>1.0568690000000001</v>
      </c>
      <c r="Y29" s="45">
        <v>1.061329</v>
      </c>
      <c r="Z29" s="45">
        <v>1.0672790000000001</v>
      </c>
      <c r="AA29" s="45">
        <v>1.0752429999999999</v>
      </c>
      <c r="AB29" s="45">
        <v>1.0849629999999999</v>
      </c>
      <c r="AC29" s="45">
        <v>1.0952660000000001</v>
      </c>
      <c r="AD29" s="45">
        <v>1.1068389999999999</v>
      </c>
      <c r="AE29" s="45">
        <v>1.1205430000000001</v>
      </c>
      <c r="AF29" s="46">
        <v>-1.45E-4</v>
      </c>
      <c r="AG29" s="35"/>
    </row>
    <row r="30" spans="1:33" ht="15" customHeight="1">
      <c r="A30" s="34" t="s">
        <v>199</v>
      </c>
      <c r="B30" s="44" t="s">
        <v>200</v>
      </c>
      <c r="C30" s="45">
        <v>0.20156299999999999</v>
      </c>
      <c r="D30" s="45">
        <v>0.18984000000000001</v>
      </c>
      <c r="E30" s="45">
        <v>0.21911900000000001</v>
      </c>
      <c r="F30" s="45">
        <v>0.20335</v>
      </c>
      <c r="G30" s="45">
        <v>0.20000399999999999</v>
      </c>
      <c r="H30" s="45">
        <v>0.20306099999999999</v>
      </c>
      <c r="I30" s="45">
        <v>0.154942</v>
      </c>
      <c r="J30" s="45">
        <v>0.16417999999999999</v>
      </c>
      <c r="K30" s="45">
        <v>0.17285600000000001</v>
      </c>
      <c r="L30" s="45">
        <v>0.177873</v>
      </c>
      <c r="M30" s="45">
        <v>0.17663200000000001</v>
      </c>
      <c r="N30" s="45">
        <v>0.17979600000000001</v>
      </c>
      <c r="O30" s="45">
        <v>0.17705699999999999</v>
      </c>
      <c r="P30" s="45">
        <v>0.173708</v>
      </c>
      <c r="Q30" s="45">
        <v>0.17022999999999999</v>
      </c>
      <c r="R30" s="45">
        <v>0.16662299999999999</v>
      </c>
      <c r="S30" s="45">
        <v>0.162883</v>
      </c>
      <c r="T30" s="45">
        <v>0.15951899999999999</v>
      </c>
      <c r="U30" s="45">
        <v>0.15550600000000001</v>
      </c>
      <c r="V30" s="45">
        <v>0.15135299999999999</v>
      </c>
      <c r="W30" s="45">
        <v>0.14705599999999999</v>
      </c>
      <c r="X30" s="45">
        <v>0.14261399999999999</v>
      </c>
      <c r="Y30" s="45">
        <v>0.138021</v>
      </c>
      <c r="Z30" s="45">
        <v>0.13327700000000001</v>
      </c>
      <c r="AA30" s="45">
        <v>0.12837699999999999</v>
      </c>
      <c r="AB30" s="45">
        <v>0.123319</v>
      </c>
      <c r="AC30" s="45">
        <v>0.118099</v>
      </c>
      <c r="AD30" s="45">
        <v>0.112828</v>
      </c>
      <c r="AE30" s="45">
        <v>0.107556</v>
      </c>
      <c r="AF30" s="46">
        <v>-2.2182E-2</v>
      </c>
      <c r="AG30" s="35"/>
    </row>
    <row r="31" spans="1:33">
      <c r="A31" s="34" t="s">
        <v>201</v>
      </c>
      <c r="B31" s="44" t="s">
        <v>202</v>
      </c>
      <c r="C31" s="45">
        <v>0</v>
      </c>
      <c r="D31" s="45">
        <v>0</v>
      </c>
      <c r="E31" s="45">
        <v>0</v>
      </c>
      <c r="F31" s="45">
        <v>0</v>
      </c>
      <c r="G31" s="45">
        <v>0</v>
      </c>
      <c r="H31" s="45">
        <v>0</v>
      </c>
      <c r="I31" s="45">
        <v>0</v>
      </c>
      <c r="J31" s="45">
        <v>0</v>
      </c>
      <c r="K31" s="45">
        <v>0</v>
      </c>
      <c r="L31" s="45">
        <v>0</v>
      </c>
      <c r="M31" s="45">
        <v>0</v>
      </c>
      <c r="N31" s="45">
        <v>0</v>
      </c>
      <c r="O31" s="45">
        <v>0</v>
      </c>
      <c r="P31" s="45">
        <v>0</v>
      </c>
      <c r="Q31" s="45">
        <v>0</v>
      </c>
      <c r="R31" s="45">
        <v>0</v>
      </c>
      <c r="S31" s="45">
        <v>0</v>
      </c>
      <c r="T31" s="45">
        <v>0</v>
      </c>
      <c r="U31" s="45">
        <v>0</v>
      </c>
      <c r="V31" s="45">
        <v>0</v>
      </c>
      <c r="W31" s="45">
        <v>0</v>
      </c>
      <c r="X31" s="45">
        <v>0</v>
      </c>
      <c r="Y31" s="45">
        <v>0</v>
      </c>
      <c r="Z31" s="45">
        <v>0</v>
      </c>
      <c r="AA31" s="45">
        <v>0</v>
      </c>
      <c r="AB31" s="45">
        <v>0</v>
      </c>
      <c r="AC31" s="45">
        <v>0</v>
      </c>
      <c r="AD31" s="45">
        <v>0</v>
      </c>
      <c r="AE31" s="45">
        <v>0</v>
      </c>
      <c r="AF31" s="46" t="s">
        <v>203</v>
      </c>
      <c r="AG31" s="35"/>
    </row>
    <row r="32" spans="1:33">
      <c r="A32" s="34" t="s">
        <v>204</v>
      </c>
      <c r="B32" s="44" t="s">
        <v>205</v>
      </c>
      <c r="C32" s="45">
        <v>1.026E-3</v>
      </c>
      <c r="D32" s="45">
        <v>1.1540000000000001E-3</v>
      </c>
      <c r="E32" s="45">
        <v>1.1590000000000001E-3</v>
      </c>
      <c r="F32" s="45">
        <v>1.1590000000000001E-3</v>
      </c>
      <c r="G32" s="45">
        <v>1.2229999999999999E-3</v>
      </c>
      <c r="H32" s="45">
        <v>1.1590000000000001E-3</v>
      </c>
      <c r="I32" s="45">
        <v>1.2229999999999999E-3</v>
      </c>
      <c r="J32" s="45">
        <v>2.2499999999999998E-3</v>
      </c>
      <c r="K32" s="45">
        <v>1.67E-3</v>
      </c>
      <c r="L32" s="45">
        <v>1.853E-3</v>
      </c>
      <c r="M32" s="45">
        <v>1.884E-3</v>
      </c>
      <c r="N32" s="45">
        <v>2.2499999999999998E-3</v>
      </c>
      <c r="O32" s="45">
        <v>2.2499999999999998E-3</v>
      </c>
      <c r="P32" s="45">
        <v>2.2499999999999998E-3</v>
      </c>
      <c r="Q32" s="45">
        <v>2.2499999999999998E-3</v>
      </c>
      <c r="R32" s="45">
        <v>2.2499999999999998E-3</v>
      </c>
      <c r="S32" s="45">
        <v>2.2499999999999998E-3</v>
      </c>
      <c r="T32" s="45">
        <v>2.2499999999999998E-3</v>
      </c>
      <c r="U32" s="45">
        <v>2.2499999999999998E-3</v>
      </c>
      <c r="V32" s="45">
        <v>2.6819999999999999E-3</v>
      </c>
      <c r="W32" s="45">
        <v>2.2499999999999998E-3</v>
      </c>
      <c r="X32" s="45">
        <v>2.2499999999999998E-3</v>
      </c>
      <c r="Y32" s="45">
        <v>1.9919999999999998E-3</v>
      </c>
      <c r="Z32" s="45">
        <v>1.2229999999999999E-3</v>
      </c>
      <c r="AA32" s="45">
        <v>2.1849999999999999E-3</v>
      </c>
      <c r="AB32" s="45">
        <v>2.1849999999999999E-3</v>
      </c>
      <c r="AC32" s="45">
        <v>2.1849999999999999E-3</v>
      </c>
      <c r="AD32" s="45">
        <v>2.225E-3</v>
      </c>
      <c r="AE32" s="45">
        <v>1.882E-3</v>
      </c>
      <c r="AF32" s="46">
        <v>2.1892000000000002E-2</v>
      </c>
      <c r="AG32" s="35"/>
    </row>
    <row r="33" spans="1:33">
      <c r="A33" s="34" t="s">
        <v>206</v>
      </c>
      <c r="B33" s="44" t="s">
        <v>207</v>
      </c>
      <c r="C33" s="45">
        <v>0.293962</v>
      </c>
      <c r="D33" s="45">
        <v>0.35116999999999998</v>
      </c>
      <c r="E33" s="45">
        <v>0.35675299999999999</v>
      </c>
      <c r="F33" s="45">
        <v>0.34553299999999998</v>
      </c>
      <c r="G33" s="45">
        <v>0.34617300000000001</v>
      </c>
      <c r="H33" s="45">
        <v>0.34665600000000002</v>
      </c>
      <c r="I33" s="45">
        <v>0.28875099999999998</v>
      </c>
      <c r="J33" s="45">
        <v>0.28753899999999999</v>
      </c>
      <c r="K33" s="45">
        <v>0.28999000000000003</v>
      </c>
      <c r="L33" s="45">
        <v>0.29429300000000003</v>
      </c>
      <c r="M33" s="45">
        <v>0.30432100000000001</v>
      </c>
      <c r="N33" s="45">
        <v>0.30665300000000001</v>
      </c>
      <c r="O33" s="45">
        <v>0.31331799999999999</v>
      </c>
      <c r="P33" s="45">
        <v>0.32051800000000003</v>
      </c>
      <c r="Q33" s="45">
        <v>0.32921600000000001</v>
      </c>
      <c r="R33" s="45">
        <v>0.33607500000000001</v>
      </c>
      <c r="S33" s="45">
        <v>0.34183400000000003</v>
      </c>
      <c r="T33" s="45">
        <v>0.34653499999999998</v>
      </c>
      <c r="U33" s="45">
        <v>0.34964499999999998</v>
      </c>
      <c r="V33" s="45">
        <v>0.351831</v>
      </c>
      <c r="W33" s="45">
        <v>0.35354600000000003</v>
      </c>
      <c r="X33" s="45">
        <v>0.35394799999999998</v>
      </c>
      <c r="Y33" s="45">
        <v>0.35300900000000002</v>
      </c>
      <c r="Z33" s="45">
        <v>0.351022</v>
      </c>
      <c r="AA33" s="45">
        <v>0.360933</v>
      </c>
      <c r="AB33" s="45">
        <v>0.37967699999999999</v>
      </c>
      <c r="AC33" s="45">
        <v>0.41957800000000001</v>
      </c>
      <c r="AD33" s="45">
        <v>0.44320199999999998</v>
      </c>
      <c r="AE33" s="45">
        <v>0.45546599999999998</v>
      </c>
      <c r="AF33" s="46">
        <v>1.5761000000000001E-2</v>
      </c>
      <c r="AG33" s="35"/>
    </row>
    <row r="34" spans="1:33">
      <c r="A34" s="31"/>
      <c r="B34" s="35"/>
      <c r="C34" s="35"/>
      <c r="D34" s="35"/>
      <c r="E34" s="35"/>
      <c r="F34" s="35"/>
      <c r="G34" s="35"/>
      <c r="H34" s="35"/>
      <c r="I34" s="35"/>
      <c r="J34" s="35"/>
      <c r="K34" s="35"/>
      <c r="L34" s="35"/>
      <c r="M34" s="35"/>
      <c r="N34" s="35"/>
      <c r="O34" s="35"/>
      <c r="P34" s="35"/>
      <c r="Q34" s="35"/>
      <c r="R34" s="35"/>
      <c r="S34" s="35"/>
      <c r="T34" s="35"/>
      <c r="U34" s="35"/>
      <c r="V34" s="35"/>
      <c r="W34" s="35"/>
      <c r="X34" s="35"/>
      <c r="Y34" s="35"/>
      <c r="Z34" s="35"/>
      <c r="AA34" s="35"/>
      <c r="AB34" s="35"/>
      <c r="AC34" s="35"/>
      <c r="AD34" s="35"/>
      <c r="AE34" s="35"/>
      <c r="AF34" s="35"/>
      <c r="AG34" s="35"/>
    </row>
    <row r="35" spans="1:33">
      <c r="A35" s="34" t="s">
        <v>208</v>
      </c>
      <c r="B35" s="43" t="s">
        <v>209</v>
      </c>
      <c r="C35" s="47">
        <v>8.0840899999999998</v>
      </c>
      <c r="D35" s="47">
        <v>8.6055949999999992</v>
      </c>
      <c r="E35" s="47">
        <v>9.2536000000000005</v>
      </c>
      <c r="F35" s="47">
        <v>10.769812</v>
      </c>
      <c r="G35" s="47">
        <v>12.489632</v>
      </c>
      <c r="H35" s="47">
        <v>14.207677</v>
      </c>
      <c r="I35" s="47">
        <v>15.657</v>
      </c>
      <c r="J35" s="47">
        <v>16.679596</v>
      </c>
      <c r="K35" s="47">
        <v>17.569942000000001</v>
      </c>
      <c r="L35" s="47">
        <v>18.211523</v>
      </c>
      <c r="M35" s="47">
        <v>18.849072</v>
      </c>
      <c r="N35" s="47">
        <v>19.601134999999999</v>
      </c>
      <c r="O35" s="47">
        <v>20.207751999999999</v>
      </c>
      <c r="P35" s="47">
        <v>20.684017000000001</v>
      </c>
      <c r="Q35" s="47">
        <v>21.174015000000001</v>
      </c>
      <c r="R35" s="47">
        <v>21.527521</v>
      </c>
      <c r="S35" s="47">
        <v>21.819600999999999</v>
      </c>
      <c r="T35" s="47">
        <v>21.990220999999998</v>
      </c>
      <c r="U35" s="47">
        <v>22.281153</v>
      </c>
      <c r="V35" s="47">
        <v>22.423573999999999</v>
      </c>
      <c r="W35" s="47">
        <v>22.664766</v>
      </c>
      <c r="X35" s="47">
        <v>22.940054</v>
      </c>
      <c r="Y35" s="47">
        <v>23.344435000000001</v>
      </c>
      <c r="Z35" s="47">
        <v>23.717884000000002</v>
      </c>
      <c r="AA35" s="47">
        <v>24.147013000000001</v>
      </c>
      <c r="AB35" s="47">
        <v>24.507113</v>
      </c>
      <c r="AC35" s="47">
        <v>24.872579999999999</v>
      </c>
      <c r="AD35" s="47">
        <v>25.165534999999998</v>
      </c>
      <c r="AE35" s="47">
        <v>25.597913999999999</v>
      </c>
      <c r="AF35" s="48">
        <v>4.2023999999999999E-2</v>
      </c>
      <c r="AG35" s="35"/>
    </row>
    <row r="36" spans="1:33">
      <c r="A36" s="34" t="s">
        <v>210</v>
      </c>
      <c r="B36" s="44" t="s">
        <v>186</v>
      </c>
      <c r="C36" s="45">
        <v>2.4426809999999999</v>
      </c>
      <c r="D36" s="45">
        <v>2.4475500000000001</v>
      </c>
      <c r="E36" s="45">
        <v>2.491689</v>
      </c>
      <c r="F36" s="45">
        <v>2.5778460000000001</v>
      </c>
      <c r="G36" s="45">
        <v>2.5689220000000001</v>
      </c>
      <c r="H36" s="45">
        <v>2.5460590000000001</v>
      </c>
      <c r="I36" s="45">
        <v>2.5046460000000002</v>
      </c>
      <c r="J36" s="45">
        <v>2.4754890000000001</v>
      </c>
      <c r="K36" s="45">
        <v>2.4467430000000001</v>
      </c>
      <c r="L36" s="45">
        <v>2.425799</v>
      </c>
      <c r="M36" s="45">
        <v>2.409033</v>
      </c>
      <c r="N36" s="45">
        <v>2.4117489999999999</v>
      </c>
      <c r="O36" s="45">
        <v>2.4157820000000001</v>
      </c>
      <c r="P36" s="45">
        <v>2.4193760000000002</v>
      </c>
      <c r="Q36" s="45">
        <v>2.424693</v>
      </c>
      <c r="R36" s="45">
        <v>2.41289</v>
      </c>
      <c r="S36" s="45">
        <v>2.3995289999999998</v>
      </c>
      <c r="T36" s="45">
        <v>2.3755860000000002</v>
      </c>
      <c r="U36" s="45">
        <v>2.3708</v>
      </c>
      <c r="V36" s="45">
        <v>2.3555199999999998</v>
      </c>
      <c r="W36" s="45">
        <v>2.3587880000000001</v>
      </c>
      <c r="X36" s="45">
        <v>2.3520150000000002</v>
      </c>
      <c r="Y36" s="45">
        <v>2.3469769999999999</v>
      </c>
      <c r="Z36" s="45">
        <v>2.343842</v>
      </c>
      <c r="AA36" s="45">
        <v>2.3326199999999999</v>
      </c>
      <c r="AB36" s="45">
        <v>2.325793</v>
      </c>
      <c r="AC36" s="45">
        <v>2.3234539999999999</v>
      </c>
      <c r="AD36" s="45">
        <v>2.3103210000000001</v>
      </c>
      <c r="AE36" s="45">
        <v>2.298403</v>
      </c>
      <c r="AF36" s="46">
        <v>-2.1719999999999999E-3</v>
      </c>
      <c r="AG36" s="35"/>
    </row>
    <row r="37" spans="1:33">
      <c r="A37" s="34" t="s">
        <v>211</v>
      </c>
      <c r="B37" s="44" t="s">
        <v>212</v>
      </c>
      <c r="C37" s="45">
        <v>0.138575</v>
      </c>
      <c r="D37" s="45">
        <v>0.13413900000000001</v>
      </c>
      <c r="E37" s="45">
        <v>0.13885600000000001</v>
      </c>
      <c r="F37" s="45">
        <v>0.14611099999999999</v>
      </c>
      <c r="G37" s="45">
        <v>0.15206600000000001</v>
      </c>
      <c r="H37" s="45">
        <v>0.156023</v>
      </c>
      <c r="I37" s="45">
        <v>0.159828</v>
      </c>
      <c r="J37" s="45">
        <v>0.16723299999999999</v>
      </c>
      <c r="K37" s="45">
        <v>0.174095</v>
      </c>
      <c r="L37" s="45">
        <v>0.17849300000000001</v>
      </c>
      <c r="M37" s="45">
        <v>0.184554</v>
      </c>
      <c r="N37" s="45">
        <v>0.187499</v>
      </c>
      <c r="O37" s="45">
        <v>0.19506599999999999</v>
      </c>
      <c r="P37" s="45">
        <v>0.201046</v>
      </c>
      <c r="Q37" s="45">
        <v>0.21044099999999999</v>
      </c>
      <c r="R37" s="45">
        <v>0.21734200000000001</v>
      </c>
      <c r="S37" s="45">
        <v>0.223436</v>
      </c>
      <c r="T37" s="45">
        <v>0.22589999999999999</v>
      </c>
      <c r="U37" s="45">
        <v>0.22914699999999999</v>
      </c>
      <c r="V37" s="45">
        <v>0.23424600000000001</v>
      </c>
      <c r="W37" s="45">
        <v>0.240622</v>
      </c>
      <c r="X37" s="45">
        <v>0.24477199999999999</v>
      </c>
      <c r="Y37" s="45">
        <v>0.249637</v>
      </c>
      <c r="Z37" s="45">
        <v>0.25794</v>
      </c>
      <c r="AA37" s="45">
        <v>0.26946700000000001</v>
      </c>
      <c r="AB37" s="45">
        <v>0.28115000000000001</v>
      </c>
      <c r="AC37" s="45">
        <v>0.28858800000000001</v>
      </c>
      <c r="AD37" s="45">
        <v>0.29608600000000002</v>
      </c>
      <c r="AE37" s="45">
        <v>0.302234</v>
      </c>
      <c r="AF37" s="46">
        <v>2.8240999999999999E-2</v>
      </c>
      <c r="AG37" s="35"/>
    </row>
    <row r="38" spans="1:33">
      <c r="A38" s="34" t="s">
        <v>213</v>
      </c>
      <c r="B38" s="44" t="s">
        <v>214</v>
      </c>
      <c r="C38" s="45">
        <v>0.22191</v>
      </c>
      <c r="D38" s="45">
        <v>0.22822400000000001</v>
      </c>
      <c r="E38" s="45">
        <v>0.23389199999999999</v>
      </c>
      <c r="F38" s="45">
        <v>0.23910899999999999</v>
      </c>
      <c r="G38" s="45">
        <v>0.244032</v>
      </c>
      <c r="H38" s="45">
        <v>0.25166899999999998</v>
      </c>
      <c r="I38" s="45">
        <v>0.25515500000000002</v>
      </c>
      <c r="J38" s="45">
        <v>0.26226699999999997</v>
      </c>
      <c r="K38" s="45">
        <v>0.27031699999999997</v>
      </c>
      <c r="L38" s="45">
        <v>0.27827200000000002</v>
      </c>
      <c r="M38" s="45">
        <v>0.28557900000000003</v>
      </c>
      <c r="N38" s="45">
        <v>0.29682999999999998</v>
      </c>
      <c r="O38" s="45">
        <v>0.30375600000000003</v>
      </c>
      <c r="P38" s="45">
        <v>0.31219200000000003</v>
      </c>
      <c r="Q38" s="45">
        <v>0.32144499999999998</v>
      </c>
      <c r="R38" s="45">
        <v>0.330951</v>
      </c>
      <c r="S38" s="45">
        <v>0.34223100000000001</v>
      </c>
      <c r="T38" s="45">
        <v>0.35276000000000002</v>
      </c>
      <c r="U38" s="45">
        <v>0.36073</v>
      </c>
      <c r="V38" s="45">
        <v>0.36913899999999999</v>
      </c>
      <c r="W38" s="45">
        <v>0.37791400000000003</v>
      </c>
      <c r="X38" s="45">
        <v>0.38653799999999999</v>
      </c>
      <c r="Y38" s="45">
        <v>0.39555499999999999</v>
      </c>
      <c r="Z38" s="45">
        <v>0.40465499999999999</v>
      </c>
      <c r="AA38" s="45">
        <v>0.41011900000000001</v>
      </c>
      <c r="AB38" s="45">
        <v>0.41692600000000002</v>
      </c>
      <c r="AC38" s="45">
        <v>0.42285099999999998</v>
      </c>
      <c r="AD38" s="45">
        <v>0.42875000000000002</v>
      </c>
      <c r="AE38" s="45">
        <v>0.43554999999999999</v>
      </c>
      <c r="AF38" s="46">
        <v>2.4375999999999998E-2</v>
      </c>
      <c r="AG38" s="35"/>
    </row>
    <row r="39" spans="1:33">
      <c r="A39" s="34" t="s">
        <v>215</v>
      </c>
      <c r="B39" s="44" t="s">
        <v>190</v>
      </c>
      <c r="C39" s="45">
        <v>0.18033099999999999</v>
      </c>
      <c r="D39" s="45">
        <v>0.19247300000000001</v>
      </c>
      <c r="E39" s="45">
        <v>0.180116</v>
      </c>
      <c r="F39" s="45">
        <v>0.181063</v>
      </c>
      <c r="G39" s="45">
        <v>0.17774899999999999</v>
      </c>
      <c r="H39" s="45">
        <v>0.17513100000000001</v>
      </c>
      <c r="I39" s="45">
        <v>0.16562299999999999</v>
      </c>
      <c r="J39" s="45">
        <v>0.16134599999999999</v>
      </c>
      <c r="K39" s="45">
        <v>0.161241</v>
      </c>
      <c r="L39" s="45">
        <v>0.162494</v>
      </c>
      <c r="M39" s="45">
        <v>0.162658</v>
      </c>
      <c r="N39" s="45">
        <v>0.16386800000000001</v>
      </c>
      <c r="O39" s="45">
        <v>0.163854</v>
      </c>
      <c r="P39" s="45">
        <v>0.16414899999999999</v>
      </c>
      <c r="Q39" s="45">
        <v>0.16386200000000001</v>
      </c>
      <c r="R39" s="45">
        <v>0.16453699999999999</v>
      </c>
      <c r="S39" s="45">
        <v>0.16523299999999999</v>
      </c>
      <c r="T39" s="45">
        <v>0.16527900000000001</v>
      </c>
      <c r="U39" s="45">
        <v>0.16547999999999999</v>
      </c>
      <c r="V39" s="45">
        <v>0.165659</v>
      </c>
      <c r="W39" s="45">
        <v>0.16476299999999999</v>
      </c>
      <c r="X39" s="45">
        <v>0.16476499999999999</v>
      </c>
      <c r="Y39" s="45">
        <v>0.164578</v>
      </c>
      <c r="Z39" s="45">
        <v>0.16470000000000001</v>
      </c>
      <c r="AA39" s="45">
        <v>0.170629</v>
      </c>
      <c r="AB39" s="45">
        <v>0.17097200000000001</v>
      </c>
      <c r="AC39" s="45">
        <v>0.17146400000000001</v>
      </c>
      <c r="AD39" s="45">
        <v>0.176981</v>
      </c>
      <c r="AE39" s="45">
        <v>0.17775199999999999</v>
      </c>
      <c r="AF39" s="46">
        <v>-5.1400000000000003E-4</v>
      </c>
      <c r="AG39" s="35"/>
    </row>
    <row r="40" spans="1:33">
      <c r="A40" s="34" t="s">
        <v>216</v>
      </c>
      <c r="B40" s="44" t="s">
        <v>217</v>
      </c>
      <c r="C40" s="45">
        <v>0.146924</v>
      </c>
      <c r="D40" s="45">
        <v>0.157217</v>
      </c>
      <c r="E40" s="45">
        <v>0.148088</v>
      </c>
      <c r="F40" s="45">
        <v>0.14910599999999999</v>
      </c>
      <c r="G40" s="45">
        <v>0.14580699999999999</v>
      </c>
      <c r="H40" s="45">
        <v>0.14333799999999999</v>
      </c>
      <c r="I40" s="45">
        <v>0.13547999999999999</v>
      </c>
      <c r="J40" s="45">
        <v>0.131939</v>
      </c>
      <c r="K40" s="45">
        <v>0.13194900000000001</v>
      </c>
      <c r="L40" s="45">
        <v>0.133298</v>
      </c>
      <c r="M40" s="45">
        <v>0.133607</v>
      </c>
      <c r="N40" s="45">
        <v>0.13406899999999999</v>
      </c>
      <c r="O40" s="45">
        <v>0.13417799999999999</v>
      </c>
      <c r="P40" s="45">
        <v>0.13406799999999999</v>
      </c>
      <c r="Q40" s="45">
        <v>0.13386600000000001</v>
      </c>
      <c r="R40" s="45">
        <v>0.13447400000000001</v>
      </c>
      <c r="S40" s="45">
        <v>0.13528299999999999</v>
      </c>
      <c r="T40" s="45">
        <v>0.135296</v>
      </c>
      <c r="U40" s="45">
        <v>0.13552</v>
      </c>
      <c r="V40" s="45">
        <v>0.13550300000000001</v>
      </c>
      <c r="W40" s="45">
        <v>0.134629</v>
      </c>
      <c r="X40" s="45">
        <v>0.1346</v>
      </c>
      <c r="Y40" s="45">
        <v>0.134432</v>
      </c>
      <c r="Z40" s="45">
        <v>0.13452700000000001</v>
      </c>
      <c r="AA40" s="45">
        <v>0.140319</v>
      </c>
      <c r="AB40" s="45">
        <v>0.14061399999999999</v>
      </c>
      <c r="AC40" s="45">
        <v>0.14099</v>
      </c>
      <c r="AD40" s="45">
        <v>0.146394</v>
      </c>
      <c r="AE40" s="45">
        <v>0.14705699999999999</v>
      </c>
      <c r="AF40" s="46">
        <v>3.1999999999999999E-5</v>
      </c>
      <c r="AG40" s="35"/>
    </row>
    <row r="41" spans="1:33">
      <c r="A41" s="34" t="s">
        <v>218</v>
      </c>
      <c r="B41" s="44" t="s">
        <v>219</v>
      </c>
      <c r="C41" s="45">
        <v>3.3406999999999999E-2</v>
      </c>
      <c r="D41" s="45">
        <v>3.5255000000000002E-2</v>
      </c>
      <c r="E41" s="45">
        <v>3.2028000000000001E-2</v>
      </c>
      <c r="F41" s="45">
        <v>3.1956999999999999E-2</v>
      </c>
      <c r="G41" s="45">
        <v>3.1941999999999998E-2</v>
      </c>
      <c r="H41" s="45">
        <v>3.1793000000000002E-2</v>
      </c>
      <c r="I41" s="45">
        <v>3.0144000000000001E-2</v>
      </c>
      <c r="J41" s="45">
        <v>2.9406999999999999E-2</v>
      </c>
      <c r="K41" s="45">
        <v>2.9291999999999999E-2</v>
      </c>
      <c r="L41" s="45">
        <v>2.9196E-2</v>
      </c>
      <c r="M41" s="45">
        <v>2.9051E-2</v>
      </c>
      <c r="N41" s="45">
        <v>2.9798999999999999E-2</v>
      </c>
      <c r="O41" s="45">
        <v>2.9675E-2</v>
      </c>
      <c r="P41" s="45">
        <v>3.0081E-2</v>
      </c>
      <c r="Q41" s="45">
        <v>2.9995000000000001E-2</v>
      </c>
      <c r="R41" s="45">
        <v>3.0062999999999999E-2</v>
      </c>
      <c r="S41" s="45">
        <v>2.9950999999999998E-2</v>
      </c>
      <c r="T41" s="45">
        <v>2.9982999999999999E-2</v>
      </c>
      <c r="U41" s="45">
        <v>2.9960000000000001E-2</v>
      </c>
      <c r="V41" s="45">
        <v>3.0157E-2</v>
      </c>
      <c r="W41" s="45">
        <v>3.0133E-2</v>
      </c>
      <c r="X41" s="45">
        <v>3.0165000000000001E-2</v>
      </c>
      <c r="Y41" s="45">
        <v>3.0145999999999999E-2</v>
      </c>
      <c r="Z41" s="45">
        <v>3.0172999999999998E-2</v>
      </c>
      <c r="AA41" s="45">
        <v>3.031E-2</v>
      </c>
      <c r="AB41" s="45">
        <v>3.0358E-2</v>
      </c>
      <c r="AC41" s="45">
        <v>3.0474000000000001E-2</v>
      </c>
      <c r="AD41" s="45">
        <v>3.0587E-2</v>
      </c>
      <c r="AE41" s="45">
        <v>3.0695E-2</v>
      </c>
      <c r="AF41" s="46">
        <v>-3.019E-3</v>
      </c>
      <c r="AG41" s="35"/>
    </row>
    <row r="42" spans="1:33">
      <c r="A42" s="34" t="s">
        <v>220</v>
      </c>
      <c r="B42" s="44" t="s">
        <v>221</v>
      </c>
      <c r="C42" s="45">
        <v>2.6096999999999999E-2</v>
      </c>
      <c r="D42" s="45">
        <v>2.6141999999999999E-2</v>
      </c>
      <c r="E42" s="45">
        <v>2.5590000000000002E-2</v>
      </c>
      <c r="F42" s="45">
        <v>2.5611999999999999E-2</v>
      </c>
      <c r="G42" s="45">
        <v>2.5363E-2</v>
      </c>
      <c r="H42" s="45">
        <v>2.5058E-2</v>
      </c>
      <c r="I42" s="45">
        <v>2.4745E-2</v>
      </c>
      <c r="J42" s="45">
        <v>2.4274E-2</v>
      </c>
      <c r="K42" s="45">
        <v>2.4035999999999998E-2</v>
      </c>
      <c r="L42" s="45">
        <v>2.384E-2</v>
      </c>
      <c r="M42" s="45">
        <v>2.2006999999999999E-2</v>
      </c>
      <c r="N42" s="45">
        <v>2.1625999999999999E-2</v>
      </c>
      <c r="O42" s="45">
        <v>2.0728E-2</v>
      </c>
      <c r="P42" s="45">
        <v>2.0643999999999999E-2</v>
      </c>
      <c r="Q42" s="45">
        <v>1.9789000000000001E-2</v>
      </c>
      <c r="R42" s="45">
        <v>1.9886000000000001E-2</v>
      </c>
      <c r="S42" s="45">
        <v>2.0183E-2</v>
      </c>
      <c r="T42" s="45">
        <v>2.0372999999999999E-2</v>
      </c>
      <c r="U42" s="45">
        <v>1.9944E-2</v>
      </c>
      <c r="V42" s="45">
        <v>1.9694E-2</v>
      </c>
      <c r="W42" s="45">
        <v>1.9015000000000001E-2</v>
      </c>
      <c r="X42" s="45">
        <v>1.8082000000000001E-2</v>
      </c>
      <c r="Y42" s="45">
        <v>1.7749000000000001E-2</v>
      </c>
      <c r="Z42" s="45">
        <v>1.7330000000000002E-2</v>
      </c>
      <c r="AA42" s="45">
        <v>1.7052000000000001E-2</v>
      </c>
      <c r="AB42" s="45">
        <v>1.6774000000000001E-2</v>
      </c>
      <c r="AC42" s="45">
        <v>1.6618999999999998E-2</v>
      </c>
      <c r="AD42" s="45">
        <v>1.6455000000000001E-2</v>
      </c>
      <c r="AE42" s="45">
        <v>1.6648E-2</v>
      </c>
      <c r="AF42" s="46">
        <v>-1.5925999999999999E-2</v>
      </c>
      <c r="AG42" s="35"/>
    </row>
    <row r="43" spans="1:33">
      <c r="A43" s="34" t="s">
        <v>222</v>
      </c>
      <c r="B43" s="44" t="s">
        <v>408</v>
      </c>
      <c r="C43" s="45">
        <v>1.1771119999999999</v>
      </c>
      <c r="D43" s="45">
        <v>1.5201910000000001</v>
      </c>
      <c r="E43" s="45">
        <v>2.1368870000000002</v>
      </c>
      <c r="F43" s="45">
        <v>3.17957</v>
      </c>
      <c r="G43" s="45">
        <v>4.3258409999999996</v>
      </c>
      <c r="H43" s="45">
        <v>5.3526850000000001</v>
      </c>
      <c r="I43" s="45">
        <v>5.9587370000000002</v>
      </c>
      <c r="J43" s="45">
        <v>6.2759790000000004</v>
      </c>
      <c r="K43" s="45">
        <v>6.4780049999999996</v>
      </c>
      <c r="L43" s="45">
        <v>6.8251410000000003</v>
      </c>
      <c r="M43" s="45">
        <v>7.3162960000000004</v>
      </c>
      <c r="N43" s="45">
        <v>7.6675360000000001</v>
      </c>
      <c r="O43" s="45">
        <v>7.9986519999999999</v>
      </c>
      <c r="P43" s="45">
        <v>8.1919170000000001</v>
      </c>
      <c r="Q43" s="45">
        <v>8.5402360000000002</v>
      </c>
      <c r="R43" s="45">
        <v>8.8807010000000002</v>
      </c>
      <c r="S43" s="45">
        <v>9.2025190000000006</v>
      </c>
      <c r="T43" s="45">
        <v>9.3771719999999998</v>
      </c>
      <c r="U43" s="45">
        <v>9.6797719999999998</v>
      </c>
      <c r="V43" s="45">
        <v>9.8126370000000005</v>
      </c>
      <c r="W43" s="45">
        <v>10.017440000000001</v>
      </c>
      <c r="X43" s="45">
        <v>10.248034000000001</v>
      </c>
      <c r="Y43" s="45">
        <v>10.580895</v>
      </c>
      <c r="Z43" s="45">
        <v>10.882163</v>
      </c>
      <c r="AA43" s="45">
        <v>11.308514000000001</v>
      </c>
      <c r="AB43" s="45">
        <v>11.581096000000001</v>
      </c>
      <c r="AC43" s="45">
        <v>11.847967000000001</v>
      </c>
      <c r="AD43" s="45">
        <v>12.144064999999999</v>
      </c>
      <c r="AE43" s="45">
        <v>12.509926</v>
      </c>
      <c r="AF43" s="46">
        <v>8.8074E-2</v>
      </c>
      <c r="AG43" s="35"/>
    </row>
    <row r="44" spans="1:33">
      <c r="A44" s="34" t="s">
        <v>223</v>
      </c>
      <c r="B44" s="44" t="s">
        <v>224</v>
      </c>
      <c r="C44" s="45">
        <v>3.8973849999999999</v>
      </c>
      <c r="D44" s="45">
        <v>4.0568759999999999</v>
      </c>
      <c r="E44" s="45">
        <v>4.0465689999999999</v>
      </c>
      <c r="F44" s="45">
        <v>4.4204990000000004</v>
      </c>
      <c r="G44" s="45">
        <v>4.9956579999999997</v>
      </c>
      <c r="H44" s="45">
        <v>5.7010519999999998</v>
      </c>
      <c r="I44" s="45">
        <v>6.588266</v>
      </c>
      <c r="J44" s="45">
        <v>7.313008</v>
      </c>
      <c r="K44" s="45">
        <v>8.0155049999999992</v>
      </c>
      <c r="L44" s="45">
        <v>8.317482</v>
      </c>
      <c r="M44" s="45">
        <v>8.4689440000000005</v>
      </c>
      <c r="N44" s="45">
        <v>8.8520240000000001</v>
      </c>
      <c r="O44" s="45">
        <v>9.1099150000000009</v>
      </c>
      <c r="P44" s="45">
        <v>9.3746930000000006</v>
      </c>
      <c r="Q44" s="45">
        <v>9.4935489999999998</v>
      </c>
      <c r="R44" s="45">
        <v>9.5012129999999999</v>
      </c>
      <c r="S44" s="45">
        <v>9.4664699999999993</v>
      </c>
      <c r="T44" s="45">
        <v>9.4731489999999994</v>
      </c>
      <c r="U44" s="45">
        <v>9.4552800000000001</v>
      </c>
      <c r="V44" s="45">
        <v>9.4666809999999995</v>
      </c>
      <c r="W44" s="45">
        <v>9.4862249999999992</v>
      </c>
      <c r="X44" s="45">
        <v>9.5258459999999996</v>
      </c>
      <c r="Y44" s="45">
        <v>9.5890430000000002</v>
      </c>
      <c r="Z44" s="45">
        <v>9.6472519999999999</v>
      </c>
      <c r="AA44" s="45">
        <v>9.6386099999999999</v>
      </c>
      <c r="AB44" s="45">
        <v>9.7144030000000008</v>
      </c>
      <c r="AC44" s="45">
        <v>9.8016349999999992</v>
      </c>
      <c r="AD44" s="45">
        <v>9.792878</v>
      </c>
      <c r="AE44" s="45">
        <v>9.8574029999999997</v>
      </c>
      <c r="AF44" s="46">
        <v>3.3695000000000003E-2</v>
      </c>
      <c r="AG44" s="35"/>
    </row>
    <row r="45" spans="1:33">
      <c r="A45" s="31"/>
      <c r="B45" s="35"/>
      <c r="C45" s="35"/>
      <c r="D45" s="35"/>
      <c r="E45" s="35"/>
      <c r="F45" s="35"/>
      <c r="G45" s="35"/>
      <c r="H45" s="35"/>
      <c r="I45" s="35"/>
      <c r="J45" s="35"/>
      <c r="K45" s="35"/>
      <c r="L45" s="35"/>
      <c r="M45" s="35"/>
      <c r="N45" s="35"/>
      <c r="O45" s="35"/>
      <c r="P45" s="35"/>
      <c r="Q45" s="35"/>
      <c r="R45" s="35"/>
      <c r="S45" s="35"/>
      <c r="T45" s="35"/>
      <c r="U45" s="35"/>
      <c r="V45" s="35"/>
      <c r="W45" s="35"/>
      <c r="X45" s="35"/>
      <c r="Y45" s="35"/>
      <c r="Z45" s="35"/>
      <c r="AA45" s="35"/>
      <c r="AB45" s="35"/>
      <c r="AC45" s="35"/>
      <c r="AD45" s="35"/>
      <c r="AE45" s="35"/>
      <c r="AF45" s="35"/>
      <c r="AG45" s="35"/>
    </row>
    <row r="46" spans="1:33">
      <c r="A46" s="34" t="s">
        <v>225</v>
      </c>
      <c r="B46" s="43" t="s">
        <v>226</v>
      </c>
      <c r="C46" s="47">
        <v>12.806632</v>
      </c>
      <c r="D46" s="47">
        <v>13.546563000000001</v>
      </c>
      <c r="E46" s="47">
        <v>14.092015</v>
      </c>
      <c r="F46" s="47">
        <v>15.552782000000001</v>
      </c>
      <c r="G46" s="47">
        <v>17.248374999999999</v>
      </c>
      <c r="H46" s="47">
        <v>18.956731999999999</v>
      </c>
      <c r="I46" s="47">
        <v>20.29533</v>
      </c>
      <c r="J46" s="47">
        <v>21.314304</v>
      </c>
      <c r="K46" s="47">
        <v>22.197727</v>
      </c>
      <c r="L46" s="47">
        <v>22.835978000000001</v>
      </c>
      <c r="M46" s="47">
        <v>23.473590999999999</v>
      </c>
      <c r="N46" s="47">
        <v>24.228859</v>
      </c>
      <c r="O46" s="47">
        <v>24.840157000000001</v>
      </c>
      <c r="P46" s="47">
        <v>25.325614999999999</v>
      </c>
      <c r="Q46" s="47">
        <v>25.811091999999999</v>
      </c>
      <c r="R46" s="47">
        <v>26.165939000000002</v>
      </c>
      <c r="S46" s="47">
        <v>26.458969</v>
      </c>
      <c r="T46" s="47">
        <v>26.633887999999999</v>
      </c>
      <c r="U46" s="47">
        <v>26.933115000000001</v>
      </c>
      <c r="V46" s="47">
        <v>27.093468000000001</v>
      </c>
      <c r="W46" s="47">
        <v>27.345759999999999</v>
      </c>
      <c r="X46" s="47">
        <v>27.631160999999999</v>
      </c>
      <c r="Y46" s="47">
        <v>28.036123</v>
      </c>
      <c r="Z46" s="47">
        <v>28.413322000000001</v>
      </c>
      <c r="AA46" s="47">
        <v>28.869313999999999</v>
      </c>
      <c r="AB46" s="47">
        <v>29.271667000000001</v>
      </c>
      <c r="AC46" s="47">
        <v>29.704913999999999</v>
      </c>
      <c r="AD46" s="47">
        <v>30.040731000000001</v>
      </c>
      <c r="AE46" s="47">
        <v>30.511296999999999</v>
      </c>
      <c r="AF46" s="48">
        <v>3.1489999999999997E-2</v>
      </c>
      <c r="AG46" s="35"/>
    </row>
    <row r="47" spans="1:33">
      <c r="A47" s="31"/>
      <c r="B47" s="35"/>
      <c r="C47" s="35"/>
      <c r="D47" s="35"/>
      <c r="E47" s="35"/>
      <c r="F47" s="35"/>
      <c r="G47" s="35"/>
      <c r="H47" s="35"/>
      <c r="I47" s="35"/>
      <c r="J47" s="35"/>
      <c r="K47" s="35"/>
      <c r="L47" s="35"/>
      <c r="M47" s="35"/>
      <c r="N47" s="35"/>
      <c r="O47" s="35"/>
      <c r="P47" s="35"/>
      <c r="Q47" s="35"/>
      <c r="R47" s="35"/>
      <c r="S47" s="35"/>
      <c r="T47" s="35"/>
      <c r="U47" s="35"/>
      <c r="V47" s="35"/>
      <c r="W47" s="35"/>
      <c r="X47" s="35"/>
      <c r="Y47" s="35"/>
      <c r="Z47" s="35"/>
      <c r="AA47" s="35"/>
      <c r="AB47" s="35"/>
      <c r="AC47" s="35"/>
      <c r="AD47" s="35"/>
      <c r="AE47" s="35"/>
      <c r="AF47" s="35"/>
      <c r="AG47" s="35"/>
    </row>
    <row r="48" spans="1:33">
      <c r="A48" s="31"/>
      <c r="B48" s="43" t="s">
        <v>22</v>
      </c>
      <c r="C48" s="35"/>
      <c r="D48" s="35"/>
      <c r="E48" s="35"/>
      <c r="F48" s="35"/>
      <c r="G48" s="35"/>
      <c r="H48" s="35"/>
      <c r="I48" s="35"/>
      <c r="J48" s="35"/>
      <c r="K48" s="35"/>
      <c r="L48" s="35"/>
      <c r="M48" s="35"/>
      <c r="N48" s="35"/>
      <c r="O48" s="35"/>
      <c r="P48" s="35"/>
      <c r="Q48" s="35"/>
      <c r="R48" s="35"/>
      <c r="S48" s="35"/>
      <c r="T48" s="35"/>
      <c r="U48" s="35"/>
      <c r="V48" s="35"/>
      <c r="W48" s="35"/>
      <c r="X48" s="35"/>
      <c r="Y48" s="35"/>
      <c r="Z48" s="35"/>
      <c r="AA48" s="35"/>
      <c r="AB48" s="35"/>
      <c r="AC48" s="35"/>
      <c r="AD48" s="35"/>
      <c r="AE48" s="35"/>
      <c r="AF48" s="35"/>
      <c r="AG48" s="35"/>
    </row>
    <row r="49" spans="1:33">
      <c r="A49" s="34" t="s">
        <v>227</v>
      </c>
      <c r="B49" s="44" t="s">
        <v>228</v>
      </c>
      <c r="C49" s="45">
        <v>1.2631540000000001</v>
      </c>
      <c r="D49" s="45">
        <v>1.2392799999999999</v>
      </c>
      <c r="E49" s="45">
        <v>1.3242309999999999</v>
      </c>
      <c r="F49" s="45">
        <v>1.3184070000000001</v>
      </c>
      <c r="G49" s="45">
        <v>1.315272</v>
      </c>
      <c r="H49" s="45">
        <v>1.3134950000000001</v>
      </c>
      <c r="I49" s="45">
        <v>1.317761</v>
      </c>
      <c r="J49" s="45">
        <v>1.3133840000000001</v>
      </c>
      <c r="K49" s="45">
        <v>1.305957</v>
      </c>
      <c r="L49" s="45">
        <v>1.3003089999999999</v>
      </c>
      <c r="M49" s="45">
        <v>1.2950349999999999</v>
      </c>
      <c r="N49" s="45">
        <v>1.293353</v>
      </c>
      <c r="O49" s="45">
        <v>1.293118</v>
      </c>
      <c r="P49" s="45">
        <v>1.302341</v>
      </c>
      <c r="Q49" s="45">
        <v>1.3012250000000001</v>
      </c>
      <c r="R49" s="45">
        <v>1.302217</v>
      </c>
      <c r="S49" s="45">
        <v>1.3045629999999999</v>
      </c>
      <c r="T49" s="45">
        <v>1.307725</v>
      </c>
      <c r="U49" s="45">
        <v>1.313264</v>
      </c>
      <c r="V49" s="45">
        <v>1.330781</v>
      </c>
      <c r="W49" s="45">
        <v>1.33853</v>
      </c>
      <c r="X49" s="45">
        <v>1.347896</v>
      </c>
      <c r="Y49" s="45">
        <v>1.3498380000000001</v>
      </c>
      <c r="Z49" s="45">
        <v>1.3595170000000001</v>
      </c>
      <c r="AA49" s="45">
        <v>1.375432</v>
      </c>
      <c r="AB49" s="45">
        <v>1.3925050000000001</v>
      </c>
      <c r="AC49" s="45">
        <v>1.4234519999999999</v>
      </c>
      <c r="AD49" s="45">
        <v>1.43737</v>
      </c>
      <c r="AE49" s="45">
        <v>1.4473229999999999</v>
      </c>
      <c r="AF49" s="46">
        <v>4.8729999999999997E-3</v>
      </c>
      <c r="AG49" s="35"/>
    </row>
    <row r="50" spans="1:33" ht="15" customHeight="1">
      <c r="A50" s="34" t="s">
        <v>229</v>
      </c>
      <c r="B50" s="44" t="s">
        <v>230</v>
      </c>
      <c r="C50" s="45">
        <v>1.4549999999999999E-3</v>
      </c>
      <c r="D50" s="45">
        <v>1.397E-3</v>
      </c>
      <c r="E50" s="45">
        <v>1.4679999999999999E-3</v>
      </c>
      <c r="F50" s="45">
        <v>1.4679999999999999E-3</v>
      </c>
      <c r="G50" s="45">
        <v>1.4679999999999999E-3</v>
      </c>
      <c r="H50" s="45">
        <v>1.4679999999999999E-3</v>
      </c>
      <c r="I50" s="45">
        <v>1.4679999999999999E-3</v>
      </c>
      <c r="J50" s="45">
        <v>4.6299999999999998E-4</v>
      </c>
      <c r="K50" s="45">
        <v>1.031E-3</v>
      </c>
      <c r="L50" s="45">
        <v>8.5099999999999998E-4</v>
      </c>
      <c r="M50" s="45">
        <v>8.1999999999999998E-4</v>
      </c>
      <c r="N50" s="45">
        <v>4.6299999999999998E-4</v>
      </c>
      <c r="O50" s="45">
        <v>4.6299999999999998E-4</v>
      </c>
      <c r="P50" s="45">
        <v>4.6299999999999998E-4</v>
      </c>
      <c r="Q50" s="45">
        <v>4.6299999999999998E-4</v>
      </c>
      <c r="R50" s="45">
        <v>4.6299999999999998E-4</v>
      </c>
      <c r="S50" s="45">
        <v>4.6299999999999998E-4</v>
      </c>
      <c r="T50" s="45">
        <v>4.6299999999999998E-4</v>
      </c>
      <c r="U50" s="45">
        <v>4.6299999999999998E-4</v>
      </c>
      <c r="V50" s="45">
        <v>3.8999999999999999E-5</v>
      </c>
      <c r="W50" s="45">
        <v>4.6299999999999998E-4</v>
      </c>
      <c r="X50" s="45">
        <v>4.6299999999999998E-4</v>
      </c>
      <c r="Y50" s="45">
        <v>7.1500000000000003E-4</v>
      </c>
      <c r="Z50" s="45">
        <v>1.4679999999999999E-3</v>
      </c>
      <c r="AA50" s="45">
        <v>4.6299999999999998E-4</v>
      </c>
      <c r="AB50" s="45">
        <v>4.6299999999999998E-4</v>
      </c>
      <c r="AC50" s="45">
        <v>4.6299999999999998E-4</v>
      </c>
      <c r="AD50" s="45">
        <v>4.2400000000000001E-4</v>
      </c>
      <c r="AE50" s="45">
        <v>8.2299999999999995E-4</v>
      </c>
      <c r="AF50" s="46">
        <v>-2.0153999999999998E-2</v>
      </c>
      <c r="AG50" s="35"/>
    </row>
    <row r="51" spans="1:33" ht="15" customHeight="1">
      <c r="A51" s="34" t="s">
        <v>231</v>
      </c>
      <c r="B51" s="44" t="s">
        <v>232</v>
      </c>
      <c r="C51" s="45">
        <v>-0.117203</v>
      </c>
      <c r="D51" s="45">
        <v>-9.5380000000000006E-2</v>
      </c>
      <c r="E51" s="45">
        <v>-0.152586</v>
      </c>
      <c r="F51" s="45">
        <v>-0.15639900000000001</v>
      </c>
      <c r="G51" s="45">
        <v>-0.160302</v>
      </c>
      <c r="H51" s="45">
        <v>-0.16431100000000001</v>
      </c>
      <c r="I51" s="45">
        <v>-0.17644499999999999</v>
      </c>
      <c r="J51" s="45">
        <v>-0.18085000000000001</v>
      </c>
      <c r="K51" s="45">
        <v>-0.185365</v>
      </c>
      <c r="L51" s="45">
        <v>-0.19000700000000001</v>
      </c>
      <c r="M51" s="45">
        <v>-0.19475899999999999</v>
      </c>
      <c r="N51" s="45">
        <v>-0.19962199999999999</v>
      </c>
      <c r="O51" s="45">
        <v>-0.20461099999999999</v>
      </c>
      <c r="P51" s="45">
        <v>-0.21925900000000001</v>
      </c>
      <c r="Q51" s="45">
        <v>-0.22473899999999999</v>
      </c>
      <c r="R51" s="45">
        <v>-0.23036699999999999</v>
      </c>
      <c r="S51" s="45">
        <v>-0.236128</v>
      </c>
      <c r="T51" s="45">
        <v>-0.24202000000000001</v>
      </c>
      <c r="U51" s="45">
        <v>-0.24807799999999999</v>
      </c>
      <c r="V51" s="45">
        <v>-0.26534000000000002</v>
      </c>
      <c r="W51" s="45">
        <v>-0.27197100000000002</v>
      </c>
      <c r="X51" s="45">
        <v>-0.27877400000000002</v>
      </c>
      <c r="Y51" s="45">
        <v>-0.27644299999999999</v>
      </c>
      <c r="Z51" s="45">
        <v>-0.280831</v>
      </c>
      <c r="AA51" s="45">
        <v>-0.28769099999999997</v>
      </c>
      <c r="AB51" s="45">
        <v>-0.29488700000000001</v>
      </c>
      <c r="AC51" s="45">
        <v>-0.31539</v>
      </c>
      <c r="AD51" s="45">
        <v>-0.31751099999999999</v>
      </c>
      <c r="AE51" s="45">
        <v>-0.31398500000000001</v>
      </c>
      <c r="AF51" s="46">
        <v>3.5820999999999999E-2</v>
      </c>
      <c r="AG51" s="35"/>
    </row>
    <row r="52" spans="1:33" ht="15" customHeight="1">
      <c r="A52" s="34" t="s">
        <v>233</v>
      </c>
      <c r="B52" s="43" t="s">
        <v>234</v>
      </c>
      <c r="C52" s="47">
        <v>1.1474059999999999</v>
      </c>
      <c r="D52" s="47">
        <v>1.145297</v>
      </c>
      <c r="E52" s="47">
        <v>1.1731119999999999</v>
      </c>
      <c r="F52" s="47">
        <v>1.163476</v>
      </c>
      <c r="G52" s="47">
        <v>1.1564380000000001</v>
      </c>
      <c r="H52" s="47">
        <v>1.150652</v>
      </c>
      <c r="I52" s="47">
        <v>1.142784</v>
      </c>
      <c r="J52" s="47">
        <v>1.132997</v>
      </c>
      <c r="K52" s="47">
        <v>1.1216219999999999</v>
      </c>
      <c r="L52" s="47">
        <v>1.1111530000000001</v>
      </c>
      <c r="M52" s="47">
        <v>1.1010960000000001</v>
      </c>
      <c r="N52" s="47">
        <v>1.0941940000000001</v>
      </c>
      <c r="O52" s="47">
        <v>1.0889690000000001</v>
      </c>
      <c r="P52" s="47">
        <v>1.083545</v>
      </c>
      <c r="Q52" s="47">
        <v>1.076948</v>
      </c>
      <c r="R52" s="47">
        <v>1.0723130000000001</v>
      </c>
      <c r="S52" s="47">
        <v>1.068897</v>
      </c>
      <c r="T52" s="47">
        <v>1.066168</v>
      </c>
      <c r="U52" s="47">
        <v>1.0656490000000001</v>
      </c>
      <c r="V52" s="47">
        <v>1.0654809999999999</v>
      </c>
      <c r="W52" s="47">
        <v>1.0670219999999999</v>
      </c>
      <c r="X52" s="47">
        <v>1.069585</v>
      </c>
      <c r="Y52" s="47">
        <v>1.074109</v>
      </c>
      <c r="Z52" s="47">
        <v>1.0801540000000001</v>
      </c>
      <c r="AA52" s="47">
        <v>1.088203</v>
      </c>
      <c r="AB52" s="47">
        <v>1.0980799999999999</v>
      </c>
      <c r="AC52" s="47">
        <v>1.108525</v>
      </c>
      <c r="AD52" s="47">
        <v>1.120282</v>
      </c>
      <c r="AE52" s="47">
        <v>1.134161</v>
      </c>
      <c r="AF52" s="48">
        <v>-4.15E-4</v>
      </c>
      <c r="AG52" s="35"/>
    </row>
    <row r="53" spans="1:33" ht="15" customHeight="1">
      <c r="A53" s="31"/>
      <c r="B53" s="35"/>
      <c r="C53" s="35"/>
      <c r="D53" s="35"/>
      <c r="E53" s="35"/>
      <c r="F53" s="35"/>
      <c r="G53" s="35"/>
      <c r="H53" s="35"/>
      <c r="I53" s="35"/>
      <c r="J53" s="35"/>
      <c r="K53" s="35"/>
      <c r="L53" s="35"/>
      <c r="M53" s="35"/>
      <c r="N53" s="35"/>
      <c r="O53" s="35"/>
      <c r="P53" s="35"/>
      <c r="Q53" s="35"/>
      <c r="R53" s="35"/>
      <c r="S53" s="35"/>
      <c r="T53" s="35"/>
      <c r="U53" s="35"/>
      <c r="V53" s="35"/>
      <c r="W53" s="35"/>
      <c r="X53" s="35"/>
      <c r="Y53" s="35"/>
      <c r="Z53" s="35"/>
      <c r="AA53" s="35"/>
      <c r="AB53" s="35"/>
      <c r="AC53" s="35"/>
      <c r="AD53" s="35"/>
      <c r="AE53" s="35"/>
      <c r="AF53" s="35"/>
      <c r="AG53" s="35"/>
    </row>
    <row r="54" spans="1:33" ht="15" customHeight="1">
      <c r="A54" s="31"/>
      <c r="B54" s="35"/>
      <c r="C54" s="35"/>
      <c r="D54" s="35"/>
      <c r="E54" s="35"/>
      <c r="F54" s="35"/>
      <c r="G54" s="35"/>
      <c r="H54" s="35"/>
      <c r="I54" s="35"/>
      <c r="J54" s="35"/>
      <c r="K54" s="35"/>
      <c r="L54" s="35"/>
      <c r="M54" s="35"/>
      <c r="N54" s="35"/>
      <c r="O54" s="35"/>
      <c r="P54" s="35"/>
      <c r="Q54" s="35"/>
      <c r="R54" s="35"/>
      <c r="S54" s="35"/>
      <c r="T54" s="35"/>
      <c r="U54" s="35"/>
      <c r="V54" s="35"/>
      <c r="W54" s="35"/>
      <c r="X54" s="35"/>
      <c r="Y54" s="35"/>
      <c r="Z54" s="35"/>
      <c r="AA54" s="35"/>
      <c r="AB54" s="35"/>
      <c r="AC54" s="35"/>
      <c r="AD54" s="35"/>
      <c r="AE54" s="35"/>
      <c r="AF54" s="35"/>
      <c r="AG54" s="35"/>
    </row>
    <row r="55" spans="1:33" ht="15" customHeight="1">
      <c r="A55" s="31"/>
      <c r="B55" s="43" t="s">
        <v>409</v>
      </c>
      <c r="C55" s="35"/>
      <c r="D55" s="35"/>
      <c r="E55" s="35"/>
      <c r="F55" s="35"/>
      <c r="G55" s="35"/>
      <c r="H55" s="35"/>
      <c r="I55" s="35"/>
      <c r="J55" s="35"/>
      <c r="K55" s="35"/>
      <c r="L55" s="35"/>
      <c r="M55" s="35"/>
      <c r="N55" s="35"/>
      <c r="O55" s="35"/>
      <c r="P55" s="35"/>
      <c r="Q55" s="35"/>
      <c r="R55" s="35"/>
      <c r="S55" s="35"/>
      <c r="T55" s="35"/>
      <c r="U55" s="35"/>
      <c r="V55" s="35"/>
      <c r="W55" s="35"/>
      <c r="X55" s="35"/>
      <c r="Y55" s="35"/>
      <c r="Z55" s="35"/>
      <c r="AA55" s="35"/>
      <c r="AB55" s="35"/>
      <c r="AC55" s="35"/>
      <c r="AD55" s="35"/>
      <c r="AE55" s="35"/>
      <c r="AF55" s="35"/>
      <c r="AG55" s="35"/>
    </row>
    <row r="56" spans="1:33" ht="15" customHeight="1">
      <c r="A56" s="31"/>
      <c r="B56" s="43" t="s">
        <v>235</v>
      </c>
      <c r="C56" s="35"/>
      <c r="D56" s="35"/>
      <c r="E56" s="35"/>
      <c r="F56" s="35"/>
      <c r="G56" s="35"/>
      <c r="H56" s="35"/>
      <c r="I56" s="35"/>
      <c r="J56" s="35"/>
      <c r="K56" s="35"/>
      <c r="L56" s="35"/>
      <c r="M56" s="35"/>
      <c r="N56" s="35"/>
      <c r="O56" s="35"/>
      <c r="P56" s="35"/>
      <c r="Q56" s="35"/>
      <c r="R56" s="35"/>
      <c r="S56" s="35"/>
      <c r="T56" s="35"/>
      <c r="U56" s="35"/>
      <c r="V56" s="35"/>
      <c r="W56" s="35"/>
      <c r="X56" s="35"/>
      <c r="Y56" s="35"/>
      <c r="Z56" s="35"/>
      <c r="AA56" s="35"/>
      <c r="AB56" s="35"/>
      <c r="AC56" s="35"/>
      <c r="AD56" s="35"/>
      <c r="AE56" s="35"/>
      <c r="AF56" s="35"/>
      <c r="AG56" s="35"/>
    </row>
    <row r="57" spans="1:33" ht="15" customHeight="1">
      <c r="A57" s="31"/>
      <c r="B57" s="35"/>
      <c r="C57" s="35"/>
      <c r="D57" s="35"/>
      <c r="E57" s="35"/>
      <c r="F57" s="35"/>
      <c r="G57" s="35"/>
      <c r="H57" s="35"/>
      <c r="I57" s="35"/>
      <c r="J57" s="35"/>
      <c r="K57" s="35"/>
      <c r="L57" s="35"/>
      <c r="M57" s="35"/>
      <c r="N57" s="35"/>
      <c r="O57" s="35"/>
      <c r="P57" s="35"/>
      <c r="Q57" s="35"/>
      <c r="R57" s="35"/>
      <c r="S57" s="35"/>
      <c r="T57" s="35"/>
      <c r="U57" s="35"/>
      <c r="V57" s="35"/>
      <c r="W57" s="35"/>
      <c r="X57" s="35"/>
      <c r="Y57" s="35"/>
      <c r="Z57" s="35"/>
      <c r="AA57" s="35"/>
      <c r="AB57" s="35"/>
      <c r="AC57" s="35"/>
      <c r="AD57" s="35"/>
      <c r="AE57" s="35"/>
      <c r="AF57" s="35"/>
      <c r="AG57" s="35"/>
    </row>
    <row r="58" spans="1:33" ht="15" customHeight="1">
      <c r="A58" s="34" t="s">
        <v>236</v>
      </c>
      <c r="B58" s="43" t="s">
        <v>237</v>
      </c>
      <c r="C58" s="47">
        <v>0.39321899999999999</v>
      </c>
      <c r="D58" s="47">
        <v>0.43436599999999997</v>
      </c>
      <c r="E58" s="47">
        <v>0.48979299999999998</v>
      </c>
      <c r="F58" s="47">
        <v>0.53656400000000004</v>
      </c>
      <c r="G58" s="47">
        <v>0.58183300000000004</v>
      </c>
      <c r="H58" s="47">
        <v>0.62953099999999995</v>
      </c>
      <c r="I58" s="47">
        <v>0.67619799999999997</v>
      </c>
      <c r="J58" s="47">
        <v>0.72582400000000002</v>
      </c>
      <c r="K58" s="47">
        <v>0.77975099999999997</v>
      </c>
      <c r="L58" s="47">
        <v>0.83652899999999997</v>
      </c>
      <c r="M58" s="47">
        <v>0.89567300000000005</v>
      </c>
      <c r="N58" s="47">
        <v>0.95067500000000005</v>
      </c>
      <c r="O58" s="47">
        <v>1.0090749999999999</v>
      </c>
      <c r="P58" s="47">
        <v>1.056513</v>
      </c>
      <c r="Q58" s="47">
        <v>1.1031200000000001</v>
      </c>
      <c r="R58" s="47">
        <v>1.148593</v>
      </c>
      <c r="S58" s="47">
        <v>1.1967890000000001</v>
      </c>
      <c r="T58" s="47">
        <v>1.2516590000000001</v>
      </c>
      <c r="U58" s="47">
        <v>1.307328</v>
      </c>
      <c r="V58" s="47">
        <v>1.3734329999999999</v>
      </c>
      <c r="W58" s="47">
        <v>1.438137</v>
      </c>
      <c r="X58" s="47">
        <v>1.508013</v>
      </c>
      <c r="Y58" s="47">
        <v>1.5831900000000001</v>
      </c>
      <c r="Z58" s="47">
        <v>1.662218</v>
      </c>
      <c r="AA58" s="47">
        <v>1.7387349999999999</v>
      </c>
      <c r="AB58" s="47">
        <v>1.8198840000000001</v>
      </c>
      <c r="AC58" s="47">
        <v>1.9015150000000001</v>
      </c>
      <c r="AD58" s="47">
        <v>1.990029</v>
      </c>
      <c r="AE58" s="47">
        <v>2.072695</v>
      </c>
      <c r="AF58" s="48">
        <v>6.1163000000000002E-2</v>
      </c>
      <c r="AG58" s="35"/>
    </row>
    <row r="59" spans="1:33" ht="15" customHeight="1">
      <c r="A59" s="34" t="s">
        <v>238</v>
      </c>
      <c r="B59" s="44" t="s">
        <v>239</v>
      </c>
      <c r="C59" s="45">
        <v>5.7070999999999997E-2</v>
      </c>
      <c r="D59" s="45">
        <v>6.5246999999999999E-2</v>
      </c>
      <c r="E59" s="45">
        <v>7.4490000000000001E-2</v>
      </c>
      <c r="F59" s="45">
        <v>8.2332000000000002E-2</v>
      </c>
      <c r="G59" s="45">
        <v>8.9647000000000004E-2</v>
      </c>
      <c r="H59" s="45">
        <v>9.6698999999999993E-2</v>
      </c>
      <c r="I59" s="45">
        <v>0.103424</v>
      </c>
      <c r="J59" s="45">
        <v>0.110056</v>
      </c>
      <c r="K59" s="45">
        <v>0.11708300000000001</v>
      </c>
      <c r="L59" s="45">
        <v>0.1244</v>
      </c>
      <c r="M59" s="45">
        <v>0.13175400000000001</v>
      </c>
      <c r="N59" s="45">
        <v>0.136737</v>
      </c>
      <c r="O59" s="45">
        <v>0.13999400000000001</v>
      </c>
      <c r="P59" s="45">
        <v>0.13961699999999999</v>
      </c>
      <c r="Q59" s="45">
        <v>0.13946500000000001</v>
      </c>
      <c r="R59" s="45">
        <v>0.13922100000000001</v>
      </c>
      <c r="S59" s="45">
        <v>0.13922000000000001</v>
      </c>
      <c r="T59" s="45">
        <v>0.139213</v>
      </c>
      <c r="U59" s="45">
        <v>0.139127</v>
      </c>
      <c r="V59" s="45">
        <v>0.139539</v>
      </c>
      <c r="W59" s="45">
        <v>0.13955999999999999</v>
      </c>
      <c r="X59" s="45">
        <v>0.13979800000000001</v>
      </c>
      <c r="Y59" s="45">
        <v>0.139983</v>
      </c>
      <c r="Z59" s="45">
        <v>0.14035800000000001</v>
      </c>
      <c r="AA59" s="45">
        <v>0.140489</v>
      </c>
      <c r="AB59" s="45">
        <v>0.140678</v>
      </c>
      <c r="AC59" s="45">
        <v>0.140518</v>
      </c>
      <c r="AD59" s="45">
        <v>0.14077500000000001</v>
      </c>
      <c r="AE59" s="45">
        <v>0.140678</v>
      </c>
      <c r="AF59" s="46">
        <v>3.2745000000000003E-2</v>
      </c>
      <c r="AG59" s="35"/>
    </row>
    <row r="60" spans="1:33" ht="15" customHeight="1">
      <c r="A60" s="34" t="s">
        <v>240</v>
      </c>
      <c r="B60" s="44" t="s">
        <v>241</v>
      </c>
      <c r="C60" s="45">
        <v>1.4845000000000001E-2</v>
      </c>
      <c r="D60" s="45">
        <v>1.5337E-2</v>
      </c>
      <c r="E60" s="45">
        <v>1.7392999999999999E-2</v>
      </c>
      <c r="F60" s="45">
        <v>1.9101E-2</v>
      </c>
      <c r="G60" s="45">
        <v>2.0705000000000001E-2</v>
      </c>
      <c r="H60" s="45">
        <v>2.2252999999999998E-2</v>
      </c>
      <c r="I60" s="45">
        <v>2.3747000000000001E-2</v>
      </c>
      <c r="J60" s="45">
        <v>2.5304E-2</v>
      </c>
      <c r="K60" s="45">
        <v>2.6698E-2</v>
      </c>
      <c r="L60" s="45">
        <v>2.8160000000000001E-2</v>
      </c>
      <c r="M60" s="45">
        <v>2.9547E-2</v>
      </c>
      <c r="N60" s="45">
        <v>3.0886E-2</v>
      </c>
      <c r="O60" s="45">
        <v>3.2044999999999997E-2</v>
      </c>
      <c r="P60" s="45">
        <v>3.2747999999999999E-2</v>
      </c>
      <c r="Q60" s="45">
        <v>3.3270000000000001E-2</v>
      </c>
      <c r="R60" s="45">
        <v>3.3674000000000003E-2</v>
      </c>
      <c r="S60" s="45">
        <v>3.3866E-2</v>
      </c>
      <c r="T60" s="45">
        <v>3.424E-2</v>
      </c>
      <c r="U60" s="45">
        <v>3.4597999999999997E-2</v>
      </c>
      <c r="V60" s="45">
        <v>3.5140999999999999E-2</v>
      </c>
      <c r="W60" s="45">
        <v>3.5660999999999998E-2</v>
      </c>
      <c r="X60" s="45">
        <v>3.6152999999999998E-2</v>
      </c>
      <c r="Y60" s="45">
        <v>3.6614000000000001E-2</v>
      </c>
      <c r="Z60" s="45">
        <v>3.7157999999999997E-2</v>
      </c>
      <c r="AA60" s="45">
        <v>3.7769999999999998E-2</v>
      </c>
      <c r="AB60" s="45">
        <v>3.8505999999999999E-2</v>
      </c>
      <c r="AC60" s="45">
        <v>3.9142999999999997E-2</v>
      </c>
      <c r="AD60" s="45">
        <v>3.9898999999999997E-2</v>
      </c>
      <c r="AE60" s="45">
        <v>4.0578000000000003E-2</v>
      </c>
      <c r="AF60" s="46">
        <v>3.6565E-2</v>
      </c>
      <c r="AG60" s="35"/>
    </row>
    <row r="61" spans="1:33" ht="15" customHeight="1">
      <c r="A61" s="34" t="s">
        <v>242</v>
      </c>
      <c r="B61" s="44" t="s">
        <v>408</v>
      </c>
      <c r="C61" s="45">
        <v>0.32074200000000003</v>
      </c>
      <c r="D61" s="45">
        <v>0.35317799999999999</v>
      </c>
      <c r="E61" s="45">
        <v>0.39725199999999999</v>
      </c>
      <c r="F61" s="45">
        <v>0.43442599999999998</v>
      </c>
      <c r="G61" s="45">
        <v>0.47073300000000001</v>
      </c>
      <c r="H61" s="45">
        <v>0.50977799999999995</v>
      </c>
      <c r="I61" s="45">
        <v>0.54817300000000002</v>
      </c>
      <c r="J61" s="45">
        <v>0.58955800000000003</v>
      </c>
      <c r="K61" s="45">
        <v>0.63500900000000005</v>
      </c>
      <c r="L61" s="45">
        <v>0.682952</v>
      </c>
      <c r="M61" s="45">
        <v>0.73329999999999995</v>
      </c>
      <c r="N61" s="45">
        <v>0.78193000000000001</v>
      </c>
      <c r="O61" s="45">
        <v>0.83591400000000005</v>
      </c>
      <c r="P61" s="45">
        <v>0.88302199999999997</v>
      </c>
      <c r="Q61" s="45">
        <v>0.92925899999999995</v>
      </c>
      <c r="R61" s="45">
        <v>0.97457099999999997</v>
      </c>
      <c r="S61" s="45">
        <v>1.022575</v>
      </c>
      <c r="T61" s="45">
        <v>1.0770759999999999</v>
      </c>
      <c r="U61" s="45">
        <v>1.132468</v>
      </c>
      <c r="V61" s="45">
        <v>1.1976089999999999</v>
      </c>
      <c r="W61" s="45">
        <v>1.2617700000000001</v>
      </c>
      <c r="X61" s="45">
        <v>1.3309089999999999</v>
      </c>
      <c r="Y61" s="45">
        <v>1.4054310000000001</v>
      </c>
      <c r="Z61" s="45">
        <v>1.4835309999999999</v>
      </c>
      <c r="AA61" s="45">
        <v>1.559299</v>
      </c>
      <c r="AB61" s="45">
        <v>1.639516</v>
      </c>
      <c r="AC61" s="45">
        <v>1.7206680000000001</v>
      </c>
      <c r="AD61" s="45">
        <v>1.8081609999999999</v>
      </c>
      <c r="AE61" s="45">
        <v>1.890247</v>
      </c>
      <c r="AF61" s="46">
        <v>6.5401000000000001E-2</v>
      </c>
      <c r="AG61" s="35"/>
    </row>
    <row r="62" spans="1:33" ht="15" customHeight="1">
      <c r="A62" s="34" t="s">
        <v>243</v>
      </c>
      <c r="B62" s="44" t="s">
        <v>224</v>
      </c>
      <c r="C62" s="45">
        <v>5.6099999999999998E-4</v>
      </c>
      <c r="D62" s="45">
        <v>6.0300000000000002E-4</v>
      </c>
      <c r="E62" s="45">
        <v>6.5899999999999997E-4</v>
      </c>
      <c r="F62" s="45">
        <v>7.0500000000000001E-4</v>
      </c>
      <c r="G62" s="45">
        <v>7.4799999999999997E-4</v>
      </c>
      <c r="H62" s="45">
        <v>8.0099999999999995E-4</v>
      </c>
      <c r="I62" s="45">
        <v>8.5400000000000005E-4</v>
      </c>
      <c r="J62" s="45">
        <v>9.0700000000000004E-4</v>
      </c>
      <c r="K62" s="45">
        <v>9.6000000000000002E-4</v>
      </c>
      <c r="L62" s="45">
        <v>1.0169999999999999E-3</v>
      </c>
      <c r="M62" s="45">
        <v>1.072E-3</v>
      </c>
      <c r="N62" s="45">
        <v>1.122E-3</v>
      </c>
      <c r="O62" s="45">
        <v>1.122E-3</v>
      </c>
      <c r="P62" s="45">
        <v>1.127E-3</v>
      </c>
      <c r="Q62" s="45">
        <v>1.126E-3</v>
      </c>
      <c r="R62" s="45">
        <v>1.1280000000000001E-3</v>
      </c>
      <c r="S62" s="45">
        <v>1.1280000000000001E-3</v>
      </c>
      <c r="T62" s="45">
        <v>1.1299999999999999E-3</v>
      </c>
      <c r="U62" s="45">
        <v>1.1349999999999999E-3</v>
      </c>
      <c r="V62" s="45">
        <v>1.1440000000000001E-3</v>
      </c>
      <c r="W62" s="45">
        <v>1.1460000000000001E-3</v>
      </c>
      <c r="X62" s="45">
        <v>1.1540000000000001E-3</v>
      </c>
      <c r="Y62" s="45">
        <v>1.1620000000000001E-3</v>
      </c>
      <c r="Z62" s="45">
        <v>1.17E-3</v>
      </c>
      <c r="AA62" s="45">
        <v>1.1770000000000001E-3</v>
      </c>
      <c r="AB62" s="45">
        <v>1.183E-3</v>
      </c>
      <c r="AC62" s="45">
        <v>1.1869999999999999E-3</v>
      </c>
      <c r="AD62" s="45">
        <v>1.194E-3</v>
      </c>
      <c r="AE62" s="45">
        <v>1.1919999999999999E-3</v>
      </c>
      <c r="AF62" s="46">
        <v>2.7265000000000001E-2</v>
      </c>
      <c r="AG62" s="35"/>
    </row>
    <row r="63" spans="1:33" ht="15" customHeight="1">
      <c r="A63" s="31"/>
      <c r="B63" s="35"/>
      <c r="C63" s="35"/>
      <c r="D63" s="35"/>
      <c r="E63" s="35"/>
      <c r="F63" s="35"/>
      <c r="G63" s="35"/>
      <c r="H63" s="35"/>
      <c r="I63" s="35"/>
      <c r="J63" s="35"/>
      <c r="K63" s="35"/>
      <c r="L63" s="35"/>
      <c r="M63" s="35"/>
      <c r="N63" s="35"/>
      <c r="O63" s="35"/>
      <c r="P63" s="35"/>
      <c r="Q63" s="35"/>
      <c r="R63" s="35"/>
      <c r="S63" s="35"/>
      <c r="T63" s="35"/>
      <c r="U63" s="35"/>
      <c r="V63" s="35"/>
      <c r="W63" s="35"/>
      <c r="X63" s="35"/>
      <c r="Y63" s="35"/>
      <c r="Z63" s="35"/>
      <c r="AA63" s="35"/>
      <c r="AB63" s="35"/>
      <c r="AC63" s="35"/>
      <c r="AD63" s="35"/>
      <c r="AE63" s="35"/>
      <c r="AF63" s="35"/>
      <c r="AG63" s="35"/>
    </row>
    <row r="64" spans="1:33" ht="15" customHeight="1">
      <c r="A64" s="34" t="s">
        <v>244</v>
      </c>
      <c r="B64" s="43" t="s">
        <v>245</v>
      </c>
      <c r="C64" s="47">
        <v>0.34251599999999999</v>
      </c>
      <c r="D64" s="47">
        <v>0.388984</v>
      </c>
      <c r="E64" s="47">
        <v>0.43183100000000002</v>
      </c>
      <c r="F64" s="47">
        <v>0.46165899999999999</v>
      </c>
      <c r="G64" s="47">
        <v>0.47733100000000001</v>
      </c>
      <c r="H64" s="47">
        <v>0.49774299999999999</v>
      </c>
      <c r="I64" s="47">
        <v>0.51458599999999999</v>
      </c>
      <c r="J64" s="47">
        <v>0.54301699999999997</v>
      </c>
      <c r="K64" s="47">
        <v>0.56312700000000004</v>
      </c>
      <c r="L64" s="47">
        <v>0.584484</v>
      </c>
      <c r="M64" s="47">
        <v>0.60242899999999999</v>
      </c>
      <c r="N64" s="47">
        <v>0.628135</v>
      </c>
      <c r="O64" s="47">
        <v>0.65619300000000003</v>
      </c>
      <c r="P64" s="47">
        <v>0.67456300000000002</v>
      </c>
      <c r="Q64" s="47">
        <v>0.70348900000000003</v>
      </c>
      <c r="R64" s="47">
        <v>0.71980699999999997</v>
      </c>
      <c r="S64" s="47">
        <v>0.74051999999999996</v>
      </c>
      <c r="T64" s="47">
        <v>0.76336199999999999</v>
      </c>
      <c r="U64" s="47">
        <v>0.78221499999999999</v>
      </c>
      <c r="V64" s="47">
        <v>0.80208500000000005</v>
      </c>
      <c r="W64" s="47">
        <v>0.81651499999999999</v>
      </c>
      <c r="X64" s="47">
        <v>0.829349</v>
      </c>
      <c r="Y64" s="47">
        <v>0.84207200000000004</v>
      </c>
      <c r="Z64" s="47">
        <v>0.85361600000000004</v>
      </c>
      <c r="AA64" s="47">
        <v>0.87365199999999998</v>
      </c>
      <c r="AB64" s="47">
        <v>0.88150099999999998</v>
      </c>
      <c r="AC64" s="47">
        <v>0.89169900000000002</v>
      </c>
      <c r="AD64" s="47">
        <v>0.89882799999999996</v>
      </c>
      <c r="AE64" s="47">
        <v>0.89905100000000004</v>
      </c>
      <c r="AF64" s="48">
        <v>3.5066E-2</v>
      </c>
      <c r="AG64" s="35"/>
    </row>
    <row r="65" spans="1:34" ht="15" customHeight="1">
      <c r="A65" s="34" t="s">
        <v>246</v>
      </c>
      <c r="B65" s="44" t="s">
        <v>221</v>
      </c>
      <c r="C65" s="45">
        <v>7.3909000000000002E-2</v>
      </c>
      <c r="D65" s="45">
        <v>7.4150999999999995E-2</v>
      </c>
      <c r="E65" s="45">
        <v>7.5856999999999994E-2</v>
      </c>
      <c r="F65" s="45">
        <v>7.6402999999999999E-2</v>
      </c>
      <c r="G65" s="45">
        <v>7.6691999999999996E-2</v>
      </c>
      <c r="H65" s="45">
        <v>7.6408000000000004E-2</v>
      </c>
      <c r="I65" s="45">
        <v>7.5979000000000005E-2</v>
      </c>
      <c r="J65" s="45">
        <v>7.5915999999999997E-2</v>
      </c>
      <c r="K65" s="45">
        <v>7.5720999999999997E-2</v>
      </c>
      <c r="L65" s="45">
        <v>7.5837000000000002E-2</v>
      </c>
      <c r="M65" s="45">
        <v>7.5840000000000005E-2</v>
      </c>
      <c r="N65" s="45">
        <v>7.5718999999999995E-2</v>
      </c>
      <c r="O65" s="45">
        <v>7.5756000000000004E-2</v>
      </c>
      <c r="P65" s="45">
        <v>7.5952000000000006E-2</v>
      </c>
      <c r="Q65" s="45">
        <v>7.5837000000000002E-2</v>
      </c>
      <c r="R65" s="45">
        <v>7.5588000000000002E-2</v>
      </c>
      <c r="S65" s="45">
        <v>7.4880000000000002E-2</v>
      </c>
      <c r="T65" s="45">
        <v>7.4638999999999997E-2</v>
      </c>
      <c r="U65" s="45">
        <v>7.4340000000000003E-2</v>
      </c>
      <c r="V65" s="45">
        <v>7.4428999999999995E-2</v>
      </c>
      <c r="W65" s="45">
        <v>7.4297000000000002E-2</v>
      </c>
      <c r="X65" s="45">
        <v>7.4152999999999997E-2</v>
      </c>
      <c r="Y65" s="45">
        <v>7.4107000000000006E-2</v>
      </c>
      <c r="Z65" s="45">
        <v>7.4011999999999994E-2</v>
      </c>
      <c r="AA65" s="45">
        <v>7.3801000000000005E-2</v>
      </c>
      <c r="AB65" s="45">
        <v>7.3764999999999997E-2</v>
      </c>
      <c r="AC65" s="45">
        <v>7.3537000000000005E-2</v>
      </c>
      <c r="AD65" s="45">
        <v>7.3493000000000003E-2</v>
      </c>
      <c r="AE65" s="45">
        <v>7.3126999999999998E-2</v>
      </c>
      <c r="AF65" s="46">
        <v>-3.8000000000000002E-4</v>
      </c>
      <c r="AG65" s="35"/>
      <c r="AH65" s="31"/>
    </row>
    <row r="66" spans="1:34">
      <c r="A66" s="34" t="s">
        <v>247</v>
      </c>
      <c r="B66" s="44" t="s">
        <v>408</v>
      </c>
      <c r="C66" s="45">
        <v>0.26181500000000002</v>
      </c>
      <c r="D66" s="45">
        <v>0.30804399999999998</v>
      </c>
      <c r="E66" s="45">
        <v>0.34912500000000002</v>
      </c>
      <c r="F66" s="45">
        <v>0.37846299999999999</v>
      </c>
      <c r="G66" s="45">
        <v>0.39390900000000001</v>
      </c>
      <c r="H66" s="45">
        <v>0.41461999999999999</v>
      </c>
      <c r="I66" s="45">
        <v>0.43187599999999998</v>
      </c>
      <c r="J66" s="45">
        <v>0.46030500000000002</v>
      </c>
      <c r="K66" s="45">
        <v>0.480624</v>
      </c>
      <c r="L66" s="45">
        <v>0.50182800000000005</v>
      </c>
      <c r="M66" s="45">
        <v>0.51975400000000005</v>
      </c>
      <c r="N66" s="45">
        <v>0.54557999999999995</v>
      </c>
      <c r="O66" s="45">
        <v>0.57357999999999998</v>
      </c>
      <c r="P66" s="45">
        <v>0.59170900000000004</v>
      </c>
      <c r="Q66" s="45">
        <v>0.62073800000000001</v>
      </c>
      <c r="R66" s="45">
        <v>0.63733600000000001</v>
      </c>
      <c r="S66" s="45">
        <v>0.65883999999999998</v>
      </c>
      <c r="T66" s="45">
        <v>0.68191400000000002</v>
      </c>
      <c r="U66" s="45">
        <v>0.70109399999999999</v>
      </c>
      <c r="V66" s="45">
        <v>0.72085200000000005</v>
      </c>
      <c r="W66" s="45">
        <v>0.73541500000000004</v>
      </c>
      <c r="X66" s="45">
        <v>0.74840499999999999</v>
      </c>
      <c r="Y66" s="45">
        <v>0.76118200000000003</v>
      </c>
      <c r="Z66" s="45">
        <v>0.77283400000000002</v>
      </c>
      <c r="AA66" s="45">
        <v>0.79308599999999996</v>
      </c>
      <c r="AB66" s="45">
        <v>0.80096900000000004</v>
      </c>
      <c r="AC66" s="45">
        <v>0.81140100000000004</v>
      </c>
      <c r="AD66" s="45">
        <v>0.818581</v>
      </c>
      <c r="AE66" s="45">
        <v>0.81918100000000005</v>
      </c>
      <c r="AF66" s="46">
        <v>4.1578999999999998E-2</v>
      </c>
      <c r="AG66" s="35"/>
      <c r="AH66" s="31"/>
    </row>
    <row r="67" spans="1:34" ht="15" customHeight="1">
      <c r="A67" s="34" t="s">
        <v>248</v>
      </c>
      <c r="B67" s="44" t="s">
        <v>224</v>
      </c>
      <c r="C67" s="45">
        <v>6.7920000000000003E-3</v>
      </c>
      <c r="D67" s="45">
        <v>6.7889999999999999E-3</v>
      </c>
      <c r="E67" s="45">
        <v>6.8490000000000001E-3</v>
      </c>
      <c r="F67" s="45">
        <v>6.7939999999999997E-3</v>
      </c>
      <c r="G67" s="45">
        <v>6.7299999999999999E-3</v>
      </c>
      <c r="H67" s="45">
        <v>6.7140000000000003E-3</v>
      </c>
      <c r="I67" s="45">
        <v>6.7320000000000001E-3</v>
      </c>
      <c r="J67" s="45">
        <v>6.796E-3</v>
      </c>
      <c r="K67" s="45">
        <v>6.7819999999999998E-3</v>
      </c>
      <c r="L67" s="45">
        <v>6.8199999999999997E-3</v>
      </c>
      <c r="M67" s="45">
        <v>6.8349999999999999E-3</v>
      </c>
      <c r="N67" s="45">
        <v>6.8360000000000001E-3</v>
      </c>
      <c r="O67" s="45">
        <v>6.8570000000000002E-3</v>
      </c>
      <c r="P67" s="45">
        <v>6.9030000000000003E-3</v>
      </c>
      <c r="Q67" s="45">
        <v>6.914E-3</v>
      </c>
      <c r="R67" s="45">
        <v>6.8830000000000002E-3</v>
      </c>
      <c r="S67" s="45">
        <v>6.7999999999999996E-3</v>
      </c>
      <c r="T67" s="45">
        <v>6.8079999999999998E-3</v>
      </c>
      <c r="U67" s="45">
        <v>6.7809999999999997E-3</v>
      </c>
      <c r="V67" s="45">
        <v>6.8040000000000002E-3</v>
      </c>
      <c r="W67" s="45">
        <v>6.803E-3</v>
      </c>
      <c r="X67" s="45">
        <v>6.7920000000000003E-3</v>
      </c>
      <c r="Y67" s="45">
        <v>6.783E-3</v>
      </c>
      <c r="Z67" s="45">
        <v>6.7689999999999998E-3</v>
      </c>
      <c r="AA67" s="45">
        <v>6.7650000000000002E-3</v>
      </c>
      <c r="AB67" s="45">
        <v>6.7669999999999996E-3</v>
      </c>
      <c r="AC67" s="45">
        <v>6.7600000000000004E-3</v>
      </c>
      <c r="AD67" s="45">
        <v>6.7539999999999996E-3</v>
      </c>
      <c r="AE67" s="45">
        <v>6.7429999999999999E-3</v>
      </c>
      <c r="AF67" s="46">
        <v>-2.5700000000000001E-4</v>
      </c>
      <c r="AG67" s="35"/>
      <c r="AH67" s="31"/>
    </row>
    <row r="68" spans="1:34" ht="15" customHeight="1" thickBot="1">
      <c r="A68" s="31"/>
      <c r="B68" s="35"/>
      <c r="C68" s="35"/>
      <c r="D68" s="35"/>
      <c r="E68" s="35"/>
      <c r="F68" s="35"/>
      <c r="G68" s="35"/>
      <c r="H68" s="35"/>
      <c r="I68" s="35"/>
      <c r="J68" s="35"/>
      <c r="K68" s="35"/>
      <c r="L68" s="35"/>
      <c r="M68" s="35"/>
      <c r="N68" s="35"/>
      <c r="O68" s="35"/>
      <c r="P68" s="35"/>
      <c r="Q68" s="35"/>
      <c r="R68" s="35"/>
      <c r="S68" s="35"/>
      <c r="T68" s="35"/>
      <c r="U68" s="35"/>
      <c r="V68" s="35"/>
      <c r="W68" s="35"/>
      <c r="X68" s="35"/>
      <c r="Y68" s="35"/>
      <c r="Z68" s="35"/>
      <c r="AA68" s="35"/>
      <c r="AB68" s="35"/>
      <c r="AC68" s="35"/>
      <c r="AD68" s="35"/>
      <c r="AE68" s="35"/>
      <c r="AF68" s="35"/>
      <c r="AG68" s="35"/>
      <c r="AH68" s="31"/>
    </row>
    <row r="69" spans="1:34" ht="15" customHeight="1">
      <c r="A69" s="31"/>
      <c r="B69" s="111" t="s">
        <v>249</v>
      </c>
      <c r="C69" s="112"/>
      <c r="D69" s="112"/>
      <c r="E69" s="112"/>
      <c r="F69" s="112"/>
      <c r="G69" s="112"/>
      <c r="H69" s="112"/>
      <c r="I69" s="112"/>
      <c r="J69" s="112"/>
      <c r="K69" s="112"/>
      <c r="L69" s="112"/>
      <c r="M69" s="112"/>
      <c r="N69" s="112"/>
      <c r="O69" s="112"/>
      <c r="P69" s="112"/>
      <c r="Q69" s="112"/>
      <c r="R69" s="112"/>
      <c r="S69" s="112"/>
      <c r="T69" s="112"/>
      <c r="U69" s="112"/>
      <c r="V69" s="112"/>
      <c r="W69" s="112"/>
      <c r="X69" s="112"/>
      <c r="Y69" s="112"/>
      <c r="Z69" s="112"/>
      <c r="AA69" s="112"/>
      <c r="AB69" s="112"/>
      <c r="AC69" s="112"/>
      <c r="AD69" s="112"/>
      <c r="AE69" s="112"/>
      <c r="AF69" s="112"/>
      <c r="AG69" s="112"/>
      <c r="AH69" s="30"/>
    </row>
    <row r="70" spans="1:34" ht="15" customHeight="1">
      <c r="A70" s="31"/>
      <c r="B70" s="35" t="s">
        <v>250</v>
      </c>
      <c r="C70" s="35"/>
      <c r="D70" s="35"/>
      <c r="E70" s="35"/>
      <c r="F70" s="35"/>
      <c r="G70" s="35"/>
      <c r="H70" s="35"/>
      <c r="I70" s="35"/>
      <c r="J70" s="35"/>
      <c r="K70" s="35"/>
      <c r="L70" s="35"/>
      <c r="M70" s="35"/>
      <c r="N70" s="35"/>
      <c r="O70" s="35"/>
      <c r="P70" s="35"/>
      <c r="Q70" s="35"/>
      <c r="R70" s="35"/>
      <c r="S70" s="35"/>
      <c r="T70" s="35"/>
      <c r="U70" s="35"/>
      <c r="V70" s="35"/>
      <c r="W70" s="35"/>
      <c r="X70" s="35"/>
      <c r="Y70" s="35"/>
      <c r="Z70" s="35"/>
      <c r="AA70" s="35"/>
      <c r="AB70" s="35"/>
      <c r="AC70" s="35"/>
      <c r="AD70" s="35"/>
      <c r="AE70" s="35"/>
      <c r="AF70" s="35"/>
      <c r="AG70" s="35"/>
      <c r="AH70" s="31"/>
    </row>
    <row r="71" spans="1:34" ht="15" customHeight="1">
      <c r="A71" s="31"/>
      <c r="B71" s="35" t="s">
        <v>410</v>
      </c>
      <c r="C71" s="35"/>
      <c r="D71" s="35"/>
      <c r="E71" s="35"/>
      <c r="F71" s="35"/>
      <c r="G71" s="35"/>
      <c r="H71" s="35"/>
      <c r="I71" s="35"/>
      <c r="J71" s="35"/>
      <c r="K71" s="35"/>
      <c r="L71" s="35"/>
      <c r="M71" s="35"/>
      <c r="N71" s="35"/>
      <c r="O71" s="35"/>
      <c r="P71" s="35"/>
      <c r="Q71" s="35"/>
      <c r="R71" s="35"/>
      <c r="S71" s="35"/>
      <c r="T71" s="35"/>
      <c r="U71" s="35"/>
      <c r="V71" s="35"/>
      <c r="W71" s="35"/>
      <c r="X71" s="35"/>
      <c r="Y71" s="35"/>
      <c r="Z71" s="35"/>
      <c r="AA71" s="35"/>
      <c r="AB71" s="35"/>
      <c r="AC71" s="35"/>
      <c r="AD71" s="35"/>
      <c r="AE71" s="35"/>
      <c r="AF71" s="35"/>
      <c r="AG71" s="35"/>
      <c r="AH71" s="31"/>
    </row>
    <row r="72" spans="1:34" ht="15" customHeight="1">
      <c r="A72" s="31"/>
      <c r="B72" s="35" t="s">
        <v>251</v>
      </c>
      <c r="C72" s="35"/>
      <c r="D72" s="35"/>
      <c r="E72" s="35"/>
      <c r="F72" s="35"/>
      <c r="G72" s="35"/>
      <c r="H72" s="35"/>
      <c r="I72" s="35"/>
      <c r="J72" s="35"/>
      <c r="K72" s="35"/>
      <c r="L72" s="35"/>
      <c r="M72" s="35"/>
      <c r="N72" s="35"/>
      <c r="O72" s="35"/>
      <c r="P72" s="35"/>
      <c r="Q72" s="35"/>
      <c r="R72" s="35"/>
      <c r="S72" s="35"/>
      <c r="T72" s="35"/>
      <c r="U72" s="35"/>
      <c r="V72" s="35"/>
      <c r="W72" s="35"/>
      <c r="X72" s="35"/>
      <c r="Y72" s="35"/>
      <c r="Z72" s="35"/>
      <c r="AA72" s="35"/>
      <c r="AB72" s="35"/>
      <c r="AC72" s="35"/>
      <c r="AD72" s="35"/>
      <c r="AE72" s="35"/>
      <c r="AF72" s="35"/>
      <c r="AG72" s="35"/>
      <c r="AH72" s="31"/>
    </row>
    <row r="73" spans="1:34">
      <c r="A73" s="31"/>
      <c r="B73" s="35" t="s">
        <v>252</v>
      </c>
      <c r="C73" s="35"/>
      <c r="D73" s="35"/>
      <c r="E73" s="35"/>
      <c r="F73" s="35"/>
      <c r="G73" s="35"/>
      <c r="H73" s="35"/>
      <c r="I73" s="35"/>
      <c r="J73" s="35"/>
      <c r="K73" s="35"/>
      <c r="L73" s="35"/>
      <c r="M73" s="35"/>
      <c r="N73" s="35"/>
      <c r="O73" s="35"/>
      <c r="P73" s="35"/>
      <c r="Q73" s="35"/>
      <c r="R73" s="35"/>
      <c r="S73" s="35"/>
      <c r="T73" s="35"/>
      <c r="U73" s="35"/>
      <c r="V73" s="35"/>
      <c r="W73" s="35"/>
      <c r="X73" s="35"/>
      <c r="Y73" s="35"/>
      <c r="Z73" s="35"/>
      <c r="AA73" s="35"/>
      <c r="AB73" s="35"/>
      <c r="AC73" s="35"/>
      <c r="AD73" s="35"/>
      <c r="AE73" s="35"/>
      <c r="AF73" s="35"/>
      <c r="AG73" s="35"/>
      <c r="AH73" s="31"/>
    </row>
    <row r="74" spans="1:34" ht="15" customHeight="1">
      <c r="A74" s="31"/>
      <c r="B74" s="35" t="s">
        <v>411</v>
      </c>
      <c r="C74" s="35"/>
      <c r="D74" s="35"/>
      <c r="E74" s="35"/>
      <c r="F74" s="35"/>
      <c r="G74" s="35"/>
      <c r="H74" s="35"/>
      <c r="I74" s="35"/>
      <c r="J74" s="35"/>
      <c r="K74" s="35"/>
      <c r="L74" s="35"/>
      <c r="M74" s="35"/>
      <c r="N74" s="35"/>
      <c r="O74" s="35"/>
      <c r="P74" s="35"/>
      <c r="Q74" s="35"/>
      <c r="R74" s="35"/>
      <c r="S74" s="35"/>
      <c r="T74" s="35"/>
      <c r="U74" s="35"/>
      <c r="V74" s="35"/>
      <c r="W74" s="35"/>
      <c r="X74" s="35"/>
      <c r="Y74" s="35"/>
      <c r="Z74" s="35"/>
      <c r="AA74" s="35"/>
      <c r="AB74" s="35"/>
      <c r="AC74" s="35"/>
      <c r="AD74" s="35"/>
      <c r="AE74" s="35"/>
      <c r="AF74" s="35"/>
      <c r="AG74" s="35"/>
      <c r="AH74" s="31"/>
    </row>
    <row r="75" spans="1:34" ht="15" customHeight="1">
      <c r="A75" s="31"/>
      <c r="B75" s="35" t="s">
        <v>253</v>
      </c>
      <c r="C75" s="35"/>
      <c r="D75" s="35"/>
      <c r="E75" s="35"/>
      <c r="F75" s="35"/>
      <c r="G75" s="35"/>
      <c r="H75" s="35"/>
      <c r="I75" s="35"/>
      <c r="J75" s="35"/>
      <c r="K75" s="35"/>
      <c r="L75" s="35"/>
      <c r="M75" s="35"/>
      <c r="N75" s="35"/>
      <c r="O75" s="35"/>
      <c r="P75" s="35"/>
      <c r="Q75" s="35"/>
      <c r="R75" s="35"/>
      <c r="S75" s="35"/>
      <c r="T75" s="35"/>
      <c r="U75" s="35"/>
      <c r="V75" s="35"/>
      <c r="W75" s="35"/>
      <c r="X75" s="35"/>
      <c r="Y75" s="35"/>
      <c r="Z75" s="35"/>
      <c r="AA75" s="35"/>
      <c r="AB75" s="35"/>
      <c r="AC75" s="35"/>
      <c r="AD75" s="35"/>
      <c r="AE75" s="35"/>
      <c r="AF75" s="35"/>
      <c r="AG75" s="35"/>
      <c r="AH75" s="31"/>
    </row>
    <row r="76" spans="1:34" ht="15" customHeight="1">
      <c r="A76" s="31"/>
      <c r="B76" s="35" t="s">
        <v>254</v>
      </c>
      <c r="C76" s="35"/>
      <c r="D76" s="35"/>
      <c r="E76" s="35"/>
      <c r="F76" s="35"/>
      <c r="G76" s="35"/>
      <c r="H76" s="35"/>
      <c r="I76" s="35"/>
      <c r="J76" s="35"/>
      <c r="K76" s="35"/>
      <c r="L76" s="35"/>
      <c r="M76" s="35"/>
      <c r="N76" s="35"/>
      <c r="O76" s="35"/>
      <c r="P76" s="35"/>
      <c r="Q76" s="35"/>
      <c r="R76" s="35"/>
      <c r="S76" s="35"/>
      <c r="T76" s="35"/>
      <c r="U76" s="35"/>
      <c r="V76" s="35"/>
      <c r="W76" s="35"/>
      <c r="X76" s="35"/>
      <c r="Y76" s="35"/>
      <c r="Z76" s="35"/>
      <c r="AA76" s="35"/>
      <c r="AB76" s="35"/>
      <c r="AC76" s="35"/>
      <c r="AD76" s="35"/>
      <c r="AE76" s="35"/>
      <c r="AF76" s="35"/>
      <c r="AG76" s="35"/>
      <c r="AH76" s="31"/>
    </row>
    <row r="77" spans="1:34" ht="15" customHeight="1">
      <c r="A77" s="31"/>
      <c r="B77" s="35" t="s">
        <v>255</v>
      </c>
      <c r="C77" s="35"/>
      <c r="D77" s="35"/>
      <c r="E77" s="35"/>
      <c r="F77" s="35"/>
      <c r="G77" s="35"/>
      <c r="H77" s="35"/>
      <c r="I77" s="35"/>
      <c r="J77" s="35"/>
      <c r="K77" s="35"/>
      <c r="L77" s="35"/>
      <c r="M77" s="35"/>
      <c r="N77" s="35"/>
      <c r="O77" s="35"/>
      <c r="P77" s="35"/>
      <c r="Q77" s="35"/>
      <c r="R77" s="35"/>
      <c r="S77" s="35"/>
      <c r="T77" s="35"/>
      <c r="U77" s="35"/>
      <c r="V77" s="35"/>
      <c r="W77" s="35"/>
      <c r="X77" s="35"/>
      <c r="Y77" s="35"/>
      <c r="Z77" s="35"/>
      <c r="AA77" s="35"/>
      <c r="AB77" s="35"/>
      <c r="AC77" s="35"/>
      <c r="AD77" s="35"/>
      <c r="AE77" s="35"/>
      <c r="AF77" s="35"/>
      <c r="AG77" s="35"/>
      <c r="AH77" s="31"/>
    </row>
    <row r="78" spans="1:34" ht="15" customHeight="1">
      <c r="A78" s="31"/>
      <c r="B78" s="35" t="s">
        <v>256</v>
      </c>
      <c r="C78" s="35"/>
      <c r="D78" s="35"/>
      <c r="E78" s="35"/>
      <c r="F78" s="35"/>
      <c r="G78" s="35"/>
      <c r="H78" s="35"/>
      <c r="I78" s="35"/>
      <c r="J78" s="35"/>
      <c r="K78" s="35"/>
      <c r="L78" s="35"/>
      <c r="M78" s="35"/>
      <c r="N78" s="35"/>
      <c r="O78" s="35"/>
      <c r="P78" s="35"/>
      <c r="Q78" s="35"/>
      <c r="R78" s="35"/>
      <c r="S78" s="35"/>
      <c r="T78" s="35"/>
      <c r="U78" s="35"/>
      <c r="V78" s="35"/>
      <c r="W78" s="35"/>
      <c r="X78" s="35"/>
      <c r="Y78" s="35"/>
      <c r="Z78" s="35"/>
      <c r="AA78" s="35"/>
      <c r="AB78" s="35"/>
      <c r="AC78" s="35"/>
      <c r="AD78" s="35"/>
      <c r="AE78" s="35"/>
      <c r="AF78" s="35"/>
      <c r="AG78" s="35"/>
      <c r="AH78" s="31"/>
    </row>
    <row r="79" spans="1:34">
      <c r="A79" s="31"/>
      <c r="B79" s="35" t="s">
        <v>412</v>
      </c>
      <c r="C79" s="35"/>
      <c r="D79" s="35"/>
      <c r="E79" s="35"/>
      <c r="F79" s="35"/>
      <c r="G79" s="35"/>
      <c r="H79" s="35"/>
      <c r="I79" s="35"/>
      <c r="J79" s="35"/>
      <c r="K79" s="35"/>
      <c r="L79" s="35"/>
      <c r="M79" s="35"/>
      <c r="N79" s="35"/>
      <c r="O79" s="35"/>
      <c r="P79" s="35"/>
      <c r="Q79" s="35"/>
      <c r="R79" s="35"/>
      <c r="S79" s="35"/>
      <c r="T79" s="35"/>
      <c r="U79" s="35"/>
      <c r="V79" s="35"/>
      <c r="W79" s="35"/>
      <c r="X79" s="35"/>
      <c r="Y79" s="35"/>
      <c r="Z79" s="35"/>
      <c r="AA79" s="35"/>
      <c r="AB79" s="35"/>
      <c r="AC79" s="35"/>
      <c r="AD79" s="35"/>
      <c r="AE79" s="35"/>
      <c r="AF79" s="35"/>
      <c r="AG79" s="35"/>
      <c r="AH79" s="31"/>
    </row>
    <row r="80" spans="1:34" ht="15" customHeight="1">
      <c r="A80" s="31"/>
      <c r="B80" s="35" t="s">
        <v>257</v>
      </c>
      <c r="C80" s="35"/>
      <c r="D80" s="35"/>
      <c r="E80" s="35"/>
      <c r="F80" s="35"/>
      <c r="G80" s="35"/>
      <c r="H80" s="35"/>
      <c r="I80" s="35"/>
      <c r="J80" s="35"/>
      <c r="K80" s="35"/>
      <c r="L80" s="35"/>
      <c r="M80" s="35"/>
      <c r="N80" s="35"/>
      <c r="O80" s="35"/>
      <c r="P80" s="35"/>
      <c r="Q80" s="35"/>
      <c r="R80" s="35"/>
      <c r="S80" s="35"/>
      <c r="T80" s="35"/>
      <c r="U80" s="35"/>
      <c r="V80" s="35"/>
      <c r="W80" s="35"/>
      <c r="X80" s="35"/>
      <c r="Y80" s="35"/>
      <c r="Z80" s="35"/>
      <c r="AA80" s="35"/>
      <c r="AB80" s="35"/>
      <c r="AC80" s="35"/>
      <c r="AD80" s="35"/>
      <c r="AE80" s="35"/>
      <c r="AF80" s="35"/>
      <c r="AG80" s="35"/>
      <c r="AH80" s="31"/>
    </row>
    <row r="81" spans="2:33">
      <c r="B81" s="35" t="s">
        <v>258</v>
      </c>
      <c r="C81" s="35"/>
      <c r="D81" s="35"/>
      <c r="E81" s="35"/>
      <c r="F81" s="35"/>
      <c r="G81" s="35"/>
      <c r="H81" s="35"/>
      <c r="I81" s="35"/>
      <c r="J81" s="35"/>
      <c r="K81" s="35"/>
      <c r="L81" s="35"/>
      <c r="M81" s="35"/>
      <c r="N81" s="35"/>
      <c r="O81" s="35"/>
      <c r="P81" s="35"/>
      <c r="Q81" s="35"/>
      <c r="R81" s="35"/>
      <c r="S81" s="35"/>
      <c r="T81" s="35"/>
      <c r="U81" s="35"/>
      <c r="V81" s="35"/>
      <c r="W81" s="35"/>
      <c r="X81" s="35"/>
      <c r="Y81" s="35"/>
      <c r="Z81" s="35"/>
      <c r="AA81" s="35"/>
      <c r="AB81" s="35"/>
      <c r="AC81" s="35"/>
      <c r="AD81" s="35"/>
      <c r="AE81" s="35"/>
      <c r="AF81" s="35"/>
      <c r="AG81" s="35"/>
    </row>
    <row r="82" spans="2:33" ht="15" customHeight="1">
      <c r="B82" s="35" t="s">
        <v>413</v>
      </c>
      <c r="C82" s="35"/>
      <c r="D82" s="35"/>
      <c r="E82" s="35"/>
      <c r="F82" s="35"/>
      <c r="G82" s="35"/>
      <c r="H82" s="35"/>
      <c r="I82" s="35"/>
      <c r="J82" s="35"/>
      <c r="K82" s="35"/>
      <c r="L82" s="35"/>
      <c r="M82" s="35"/>
      <c r="N82" s="35"/>
      <c r="O82" s="35"/>
      <c r="P82" s="35"/>
      <c r="Q82" s="35"/>
      <c r="R82" s="35"/>
      <c r="S82" s="35"/>
      <c r="T82" s="35"/>
      <c r="U82" s="35"/>
      <c r="V82" s="35"/>
      <c r="W82" s="35"/>
      <c r="X82" s="35"/>
      <c r="Y82" s="35"/>
      <c r="Z82" s="35"/>
      <c r="AA82" s="35"/>
      <c r="AB82" s="35"/>
      <c r="AC82" s="35"/>
      <c r="AD82" s="35"/>
      <c r="AE82" s="35"/>
      <c r="AF82" s="35"/>
      <c r="AG82" s="35"/>
    </row>
    <row r="83" spans="2:33" ht="15" customHeight="1">
      <c r="B83" s="35" t="s">
        <v>414</v>
      </c>
      <c r="C83" s="35"/>
      <c r="D83" s="35"/>
      <c r="E83" s="35"/>
      <c r="F83" s="35"/>
      <c r="G83" s="35"/>
      <c r="H83" s="35"/>
      <c r="I83" s="35"/>
      <c r="J83" s="35"/>
      <c r="K83" s="35"/>
      <c r="L83" s="35"/>
      <c r="M83" s="35"/>
      <c r="N83" s="35"/>
      <c r="O83" s="35"/>
      <c r="P83" s="35"/>
      <c r="Q83" s="35"/>
      <c r="R83" s="35"/>
      <c r="S83" s="35"/>
      <c r="T83" s="35"/>
      <c r="U83" s="35"/>
      <c r="V83" s="35"/>
      <c r="W83" s="35"/>
      <c r="X83" s="35"/>
      <c r="Y83" s="35"/>
      <c r="Z83" s="35"/>
      <c r="AA83" s="35"/>
      <c r="AB83" s="35"/>
      <c r="AC83" s="35"/>
      <c r="AD83" s="35"/>
      <c r="AE83" s="35"/>
      <c r="AF83" s="35"/>
      <c r="AG83" s="35"/>
    </row>
    <row r="84" spans="2:33" ht="15" customHeight="1">
      <c r="B84" s="35" t="s">
        <v>259</v>
      </c>
      <c r="C84" s="35"/>
      <c r="D84" s="35"/>
      <c r="E84" s="35"/>
      <c r="F84" s="35"/>
      <c r="G84" s="35"/>
      <c r="H84" s="35"/>
      <c r="I84" s="35"/>
      <c r="J84" s="35"/>
      <c r="K84" s="35"/>
      <c r="L84" s="35"/>
      <c r="M84" s="35"/>
      <c r="N84" s="35"/>
      <c r="O84" s="35"/>
      <c r="P84" s="35"/>
      <c r="Q84" s="35"/>
      <c r="R84" s="35"/>
      <c r="S84" s="35"/>
      <c r="T84" s="35"/>
      <c r="U84" s="35"/>
      <c r="V84" s="35"/>
      <c r="W84" s="35"/>
      <c r="X84" s="35"/>
      <c r="Y84" s="35"/>
      <c r="Z84" s="35"/>
      <c r="AA84" s="35"/>
      <c r="AB84" s="35"/>
      <c r="AC84" s="35"/>
      <c r="AD84" s="35"/>
      <c r="AE84" s="35"/>
      <c r="AF84" s="35"/>
      <c r="AG84" s="35"/>
    </row>
    <row r="85" spans="2:33" ht="15" customHeight="1">
      <c r="B85" s="35" t="s">
        <v>260</v>
      </c>
      <c r="C85" s="35"/>
      <c r="D85" s="35"/>
      <c r="E85" s="35"/>
      <c r="F85" s="35"/>
      <c r="G85" s="35"/>
      <c r="H85" s="35"/>
      <c r="I85" s="35"/>
      <c r="J85" s="35"/>
      <c r="K85" s="35"/>
      <c r="L85" s="35"/>
      <c r="M85" s="35"/>
      <c r="N85" s="35"/>
      <c r="O85" s="35"/>
      <c r="P85" s="35"/>
      <c r="Q85" s="35"/>
      <c r="R85" s="35"/>
      <c r="S85" s="35"/>
      <c r="T85" s="35"/>
      <c r="U85" s="35"/>
      <c r="V85" s="35"/>
      <c r="W85" s="35"/>
      <c r="X85" s="35"/>
      <c r="Y85" s="35"/>
      <c r="Z85" s="35"/>
      <c r="AA85" s="35"/>
      <c r="AB85" s="35"/>
      <c r="AC85" s="35"/>
      <c r="AD85" s="35"/>
      <c r="AE85" s="35"/>
      <c r="AF85" s="35"/>
      <c r="AG85" s="35"/>
    </row>
    <row r="86" spans="2:33" ht="15" customHeight="1">
      <c r="B86" s="35" t="s">
        <v>261</v>
      </c>
      <c r="C86" s="35"/>
      <c r="D86" s="35"/>
      <c r="E86" s="35"/>
      <c r="F86" s="35"/>
      <c r="G86" s="35"/>
      <c r="H86" s="35"/>
      <c r="I86" s="35"/>
      <c r="J86" s="35"/>
      <c r="K86" s="35"/>
      <c r="L86" s="35"/>
      <c r="M86" s="35"/>
      <c r="N86" s="35"/>
      <c r="O86" s="35"/>
      <c r="P86" s="35"/>
      <c r="Q86" s="35"/>
      <c r="R86" s="35"/>
      <c r="S86" s="35"/>
      <c r="T86" s="35"/>
      <c r="U86" s="35"/>
      <c r="V86" s="35"/>
      <c r="W86" s="35"/>
      <c r="X86" s="35"/>
      <c r="Y86" s="35"/>
      <c r="Z86" s="35"/>
      <c r="AA86" s="35"/>
      <c r="AB86" s="35"/>
      <c r="AC86" s="35"/>
      <c r="AD86" s="35"/>
      <c r="AE86" s="35"/>
      <c r="AF86" s="35"/>
      <c r="AG86" s="35"/>
    </row>
    <row r="87" spans="2:33" ht="15" customHeight="1">
      <c r="B87" s="35" t="s">
        <v>262</v>
      </c>
      <c r="C87" s="35"/>
      <c r="D87" s="35"/>
      <c r="E87" s="35"/>
      <c r="F87" s="35"/>
      <c r="G87" s="35"/>
      <c r="H87" s="35"/>
      <c r="I87" s="35"/>
      <c r="J87" s="35"/>
      <c r="K87" s="35"/>
      <c r="L87" s="35"/>
      <c r="M87" s="35"/>
      <c r="N87" s="35"/>
      <c r="O87" s="35"/>
      <c r="P87" s="35"/>
      <c r="Q87" s="35"/>
      <c r="R87" s="35"/>
      <c r="S87" s="35"/>
      <c r="T87" s="35"/>
      <c r="U87" s="35"/>
      <c r="V87" s="35"/>
      <c r="W87" s="35"/>
      <c r="X87" s="35"/>
      <c r="Y87" s="35"/>
      <c r="Z87" s="35"/>
      <c r="AA87" s="35"/>
      <c r="AB87" s="35"/>
      <c r="AC87" s="35"/>
      <c r="AD87" s="35"/>
      <c r="AE87" s="35"/>
      <c r="AF87" s="35"/>
      <c r="AG87" s="35"/>
    </row>
    <row r="88" spans="2:33" ht="15" customHeight="1">
      <c r="B88" s="35" t="s">
        <v>263</v>
      </c>
      <c r="C88" s="35"/>
      <c r="D88" s="35"/>
      <c r="E88" s="35"/>
      <c r="F88" s="35"/>
      <c r="G88" s="35"/>
      <c r="H88" s="35"/>
      <c r="I88" s="35"/>
      <c r="J88" s="35"/>
      <c r="K88" s="35"/>
      <c r="L88" s="35"/>
      <c r="M88" s="35"/>
      <c r="N88" s="35"/>
      <c r="O88" s="35"/>
      <c r="P88" s="35"/>
      <c r="Q88" s="35"/>
      <c r="R88" s="35"/>
      <c r="S88" s="35"/>
      <c r="T88" s="35"/>
      <c r="U88" s="35"/>
      <c r="V88" s="35"/>
      <c r="W88" s="35"/>
      <c r="X88" s="35"/>
      <c r="Y88" s="35"/>
      <c r="Z88" s="35"/>
      <c r="AA88" s="35"/>
      <c r="AB88" s="35"/>
      <c r="AC88" s="35"/>
      <c r="AD88" s="35"/>
      <c r="AE88" s="35"/>
      <c r="AF88" s="35"/>
      <c r="AG88" s="35"/>
    </row>
    <row r="89" spans="2:33" ht="15" customHeight="1">
      <c r="B89" s="35" t="s">
        <v>415</v>
      </c>
      <c r="C89" s="35"/>
      <c r="D89" s="35"/>
      <c r="E89" s="35"/>
      <c r="F89" s="35"/>
      <c r="G89" s="35"/>
      <c r="H89" s="35"/>
      <c r="I89" s="35"/>
      <c r="J89" s="35"/>
      <c r="K89" s="35"/>
      <c r="L89" s="35"/>
      <c r="M89" s="35"/>
      <c r="N89" s="35"/>
      <c r="O89" s="35"/>
      <c r="P89" s="35"/>
      <c r="Q89" s="35"/>
      <c r="R89" s="35"/>
      <c r="S89" s="35"/>
      <c r="T89" s="35"/>
      <c r="U89" s="35"/>
      <c r="V89" s="35"/>
      <c r="W89" s="35"/>
      <c r="X89" s="35"/>
      <c r="Y89" s="35"/>
      <c r="Z89" s="35"/>
      <c r="AA89" s="35"/>
      <c r="AB89" s="35"/>
      <c r="AC89" s="35"/>
      <c r="AD89" s="35"/>
      <c r="AE89" s="35"/>
      <c r="AF89" s="35"/>
      <c r="AG89" s="35"/>
    </row>
    <row r="90" spans="2:33" ht="15" customHeight="1">
      <c r="B90" s="35" t="s">
        <v>416</v>
      </c>
      <c r="C90" s="35"/>
      <c r="D90" s="35"/>
      <c r="E90" s="35"/>
      <c r="F90" s="35"/>
      <c r="G90" s="35"/>
      <c r="H90" s="35"/>
      <c r="I90" s="35"/>
      <c r="J90" s="35"/>
      <c r="K90" s="35"/>
      <c r="L90" s="35"/>
      <c r="M90" s="35"/>
      <c r="N90" s="35"/>
      <c r="O90" s="35"/>
      <c r="P90" s="35"/>
      <c r="Q90" s="35"/>
      <c r="R90" s="35"/>
      <c r="S90" s="35"/>
      <c r="T90" s="35"/>
      <c r="U90" s="35"/>
      <c r="V90" s="35"/>
      <c r="W90" s="35"/>
      <c r="X90" s="35"/>
      <c r="Y90" s="35"/>
      <c r="Z90" s="35"/>
      <c r="AA90" s="35"/>
      <c r="AB90" s="35"/>
      <c r="AC90" s="35"/>
      <c r="AD90" s="35"/>
      <c r="AE90" s="35"/>
      <c r="AF90" s="35"/>
      <c r="AG90" s="35"/>
    </row>
    <row r="91" spans="2:33" ht="15" customHeight="1">
      <c r="B91" s="35"/>
      <c r="C91" s="35"/>
      <c r="D91" s="35"/>
      <c r="E91" s="35"/>
      <c r="F91" s="35"/>
      <c r="G91" s="35"/>
      <c r="H91" s="35"/>
      <c r="I91" s="35"/>
      <c r="J91" s="35"/>
      <c r="K91" s="35"/>
      <c r="L91" s="35"/>
      <c r="M91" s="35"/>
      <c r="N91" s="35"/>
      <c r="O91" s="35"/>
      <c r="P91" s="35"/>
      <c r="Q91" s="35"/>
      <c r="R91" s="35"/>
      <c r="S91" s="35"/>
      <c r="T91" s="35"/>
      <c r="U91" s="35"/>
      <c r="V91" s="35"/>
      <c r="W91" s="35"/>
      <c r="X91" s="35"/>
      <c r="Y91" s="35"/>
      <c r="Z91" s="35"/>
      <c r="AA91" s="35"/>
      <c r="AB91" s="35"/>
      <c r="AC91" s="35"/>
      <c r="AD91" s="35"/>
      <c r="AE91" s="35"/>
      <c r="AF91" s="35"/>
      <c r="AG91" s="35"/>
    </row>
    <row r="92" spans="2:33">
      <c r="B92" s="35"/>
      <c r="C92" s="35"/>
      <c r="D92" s="35"/>
      <c r="E92" s="35"/>
      <c r="F92" s="35"/>
      <c r="G92" s="35"/>
      <c r="H92" s="35"/>
      <c r="I92" s="35"/>
      <c r="J92" s="35"/>
      <c r="K92" s="35"/>
      <c r="L92" s="35"/>
      <c r="M92" s="35"/>
      <c r="N92" s="35"/>
      <c r="O92" s="35"/>
      <c r="P92" s="35"/>
      <c r="Q92" s="35"/>
      <c r="R92" s="35"/>
      <c r="S92" s="35"/>
      <c r="T92" s="35"/>
      <c r="U92" s="35"/>
      <c r="V92" s="35"/>
      <c r="W92" s="35"/>
      <c r="X92" s="35"/>
      <c r="Y92" s="35"/>
      <c r="Z92" s="35"/>
      <c r="AA92" s="35"/>
      <c r="AB92" s="35"/>
      <c r="AC92" s="35"/>
      <c r="AD92" s="35"/>
      <c r="AE92" s="35"/>
      <c r="AF92" s="35"/>
      <c r="AG92" s="35"/>
    </row>
    <row r="93" spans="2:33" ht="15" customHeight="1">
      <c r="B93" s="35"/>
      <c r="C93" s="35"/>
      <c r="D93" s="35"/>
      <c r="E93" s="35"/>
      <c r="F93" s="35"/>
      <c r="G93" s="35"/>
      <c r="H93" s="35"/>
      <c r="I93" s="35"/>
      <c r="J93" s="35"/>
      <c r="K93" s="35"/>
      <c r="L93" s="35"/>
      <c r="M93" s="35"/>
      <c r="N93" s="35"/>
      <c r="O93" s="35"/>
      <c r="P93" s="35"/>
      <c r="Q93" s="35"/>
      <c r="R93" s="35"/>
      <c r="S93" s="35"/>
      <c r="T93" s="35"/>
      <c r="U93" s="35"/>
      <c r="V93" s="35"/>
      <c r="W93" s="35"/>
      <c r="X93" s="35"/>
      <c r="Y93" s="35"/>
      <c r="Z93" s="35"/>
      <c r="AA93" s="35"/>
      <c r="AB93" s="35"/>
      <c r="AC93" s="35"/>
      <c r="AD93" s="35"/>
      <c r="AE93" s="35"/>
      <c r="AF93" s="35"/>
      <c r="AG93" s="35"/>
    </row>
    <row r="94" spans="2:33" ht="15" customHeight="1">
      <c r="B94" s="35"/>
      <c r="C94" s="35"/>
      <c r="D94" s="35"/>
      <c r="E94" s="35"/>
      <c r="F94" s="35"/>
      <c r="G94" s="35"/>
      <c r="H94" s="35"/>
      <c r="I94" s="35"/>
      <c r="J94" s="35"/>
      <c r="K94" s="35"/>
      <c r="L94" s="35"/>
      <c r="M94" s="35"/>
      <c r="N94" s="35"/>
      <c r="O94" s="35"/>
      <c r="P94" s="35"/>
      <c r="Q94" s="35"/>
      <c r="R94" s="35"/>
      <c r="S94" s="35"/>
      <c r="T94" s="35"/>
      <c r="U94" s="35"/>
      <c r="V94" s="35"/>
      <c r="W94" s="35"/>
      <c r="X94" s="35"/>
      <c r="Y94" s="35"/>
      <c r="Z94" s="35"/>
      <c r="AA94" s="35"/>
      <c r="AB94" s="35"/>
      <c r="AC94" s="35"/>
      <c r="AD94" s="35"/>
      <c r="AE94" s="35"/>
      <c r="AF94" s="35"/>
      <c r="AG94" s="35"/>
    </row>
    <row r="95" spans="2:33" ht="15" customHeight="1">
      <c r="B95" s="35"/>
      <c r="C95" s="35"/>
      <c r="D95" s="35"/>
      <c r="E95" s="35"/>
      <c r="F95" s="35"/>
      <c r="G95" s="35"/>
      <c r="H95" s="35"/>
      <c r="I95" s="35"/>
      <c r="J95" s="35"/>
      <c r="K95" s="35"/>
      <c r="L95" s="35"/>
      <c r="M95" s="35"/>
      <c r="N95" s="35"/>
      <c r="O95" s="35"/>
      <c r="P95" s="35"/>
      <c r="Q95" s="35"/>
      <c r="R95" s="35"/>
      <c r="S95" s="35"/>
      <c r="T95" s="35"/>
      <c r="U95" s="35"/>
      <c r="V95" s="35"/>
      <c r="W95" s="35"/>
      <c r="X95" s="35"/>
      <c r="Y95" s="35"/>
      <c r="Z95" s="35"/>
      <c r="AA95" s="35"/>
      <c r="AB95" s="35"/>
      <c r="AC95" s="35"/>
      <c r="AD95" s="35"/>
      <c r="AE95" s="35"/>
      <c r="AF95" s="35"/>
      <c r="AG95" s="35"/>
    </row>
    <row r="96" spans="2:33" ht="15" customHeight="1">
      <c r="B96" s="35"/>
      <c r="C96" s="35"/>
      <c r="D96" s="35"/>
      <c r="E96" s="35"/>
      <c r="F96" s="35"/>
      <c r="G96" s="35"/>
      <c r="H96" s="35"/>
      <c r="I96" s="35"/>
      <c r="J96" s="35"/>
      <c r="K96" s="35"/>
      <c r="L96" s="35"/>
      <c r="M96" s="35"/>
      <c r="N96" s="35"/>
      <c r="O96" s="35"/>
      <c r="P96" s="35"/>
      <c r="Q96" s="35"/>
      <c r="R96" s="35"/>
      <c r="S96" s="35"/>
      <c r="T96" s="35"/>
      <c r="U96" s="35"/>
      <c r="V96" s="35"/>
      <c r="W96" s="35"/>
      <c r="X96" s="35"/>
      <c r="Y96" s="35"/>
      <c r="Z96" s="35"/>
      <c r="AA96" s="35"/>
      <c r="AB96" s="35"/>
      <c r="AC96" s="35"/>
      <c r="AD96" s="35"/>
      <c r="AE96" s="35"/>
      <c r="AF96" s="35"/>
      <c r="AG96" s="35"/>
    </row>
    <row r="97" spans="2:33" ht="15" customHeight="1">
      <c r="B97" s="35"/>
      <c r="C97" s="35"/>
      <c r="D97" s="35"/>
      <c r="E97" s="35"/>
      <c r="F97" s="35"/>
      <c r="G97" s="35"/>
      <c r="H97" s="35"/>
      <c r="I97" s="35"/>
      <c r="J97" s="35"/>
      <c r="K97" s="35"/>
      <c r="L97" s="35"/>
      <c r="M97" s="35"/>
      <c r="N97" s="35"/>
      <c r="O97" s="35"/>
      <c r="P97" s="35"/>
      <c r="Q97" s="35"/>
      <c r="R97" s="35"/>
      <c r="S97" s="35"/>
      <c r="T97" s="35"/>
      <c r="U97" s="35"/>
      <c r="V97" s="35"/>
      <c r="W97" s="35"/>
      <c r="X97" s="35"/>
      <c r="Y97" s="35"/>
      <c r="Z97" s="35"/>
      <c r="AA97" s="35"/>
      <c r="AB97" s="35"/>
      <c r="AC97" s="35"/>
      <c r="AD97" s="35"/>
      <c r="AE97" s="35"/>
      <c r="AF97" s="35"/>
      <c r="AG97" s="35"/>
    </row>
    <row r="98" spans="2:33" ht="15" customHeight="1">
      <c r="B98" s="35"/>
      <c r="C98" s="35"/>
      <c r="D98" s="35"/>
      <c r="E98" s="35"/>
      <c r="F98" s="35"/>
      <c r="G98" s="35"/>
      <c r="H98" s="35"/>
      <c r="I98" s="35"/>
      <c r="J98" s="35"/>
      <c r="K98" s="35"/>
      <c r="L98" s="35"/>
      <c r="M98" s="35"/>
      <c r="N98" s="35"/>
      <c r="O98" s="35"/>
      <c r="P98" s="35"/>
      <c r="Q98" s="35"/>
      <c r="R98" s="35"/>
      <c r="S98" s="35"/>
      <c r="T98" s="35"/>
      <c r="U98" s="35"/>
      <c r="V98" s="35"/>
      <c r="W98" s="35"/>
      <c r="X98" s="35"/>
      <c r="Y98" s="35"/>
      <c r="Z98" s="35"/>
      <c r="AA98" s="35"/>
      <c r="AB98" s="35"/>
      <c r="AC98" s="35"/>
      <c r="AD98" s="35"/>
      <c r="AE98" s="35"/>
      <c r="AF98" s="35"/>
      <c r="AG98" s="35"/>
    </row>
    <row r="99" spans="2:33" ht="15" customHeight="1">
      <c r="B99" s="35"/>
      <c r="C99" s="35"/>
      <c r="D99" s="35"/>
      <c r="E99" s="35"/>
      <c r="F99" s="35"/>
      <c r="G99" s="35"/>
      <c r="H99" s="35"/>
      <c r="I99" s="35"/>
      <c r="J99" s="35"/>
      <c r="K99" s="35"/>
      <c r="L99" s="35"/>
      <c r="M99" s="35"/>
      <c r="N99" s="35"/>
      <c r="O99" s="35"/>
      <c r="P99" s="35"/>
      <c r="Q99" s="35"/>
      <c r="R99" s="35"/>
      <c r="S99" s="35"/>
      <c r="T99" s="35"/>
      <c r="U99" s="35"/>
      <c r="V99" s="35"/>
      <c r="W99" s="35"/>
      <c r="X99" s="35"/>
      <c r="Y99" s="35"/>
      <c r="Z99" s="35"/>
      <c r="AA99" s="35"/>
      <c r="AB99" s="35"/>
      <c r="AC99" s="35"/>
      <c r="AD99" s="35"/>
      <c r="AE99" s="35"/>
      <c r="AF99" s="35"/>
      <c r="AG99" s="35"/>
    </row>
    <row r="100" spans="2:33" ht="15" customHeight="1">
      <c r="B100" s="35"/>
      <c r="C100" s="35"/>
      <c r="D100" s="35"/>
      <c r="E100" s="35"/>
      <c r="F100" s="35"/>
      <c r="G100" s="35"/>
      <c r="H100" s="35"/>
      <c r="I100" s="35"/>
      <c r="J100" s="35"/>
      <c r="K100" s="35"/>
      <c r="L100" s="35"/>
      <c r="M100" s="35"/>
      <c r="N100" s="35"/>
      <c r="O100" s="35"/>
      <c r="P100" s="35"/>
      <c r="Q100" s="35"/>
      <c r="R100" s="35"/>
      <c r="S100" s="35"/>
      <c r="T100" s="35"/>
      <c r="U100" s="35"/>
      <c r="V100" s="35"/>
      <c r="W100" s="35"/>
      <c r="X100" s="35"/>
      <c r="Y100" s="35"/>
      <c r="Z100" s="35"/>
      <c r="AA100" s="35"/>
      <c r="AB100" s="35"/>
      <c r="AC100" s="35"/>
      <c r="AD100" s="35"/>
      <c r="AE100" s="35"/>
      <c r="AF100" s="35"/>
      <c r="AG100" s="35"/>
    </row>
    <row r="101" spans="2:33">
      <c r="B101" s="35"/>
      <c r="C101" s="35"/>
      <c r="D101" s="35"/>
      <c r="E101" s="35"/>
      <c r="F101" s="35"/>
      <c r="G101" s="35"/>
      <c r="H101" s="35"/>
      <c r="I101" s="35"/>
      <c r="J101" s="35"/>
      <c r="K101" s="35"/>
      <c r="L101" s="35"/>
      <c r="M101" s="35"/>
      <c r="N101" s="35"/>
      <c r="O101" s="35"/>
      <c r="P101" s="35"/>
      <c r="Q101" s="35"/>
      <c r="R101" s="35"/>
      <c r="S101" s="35"/>
      <c r="T101" s="35"/>
      <c r="U101" s="35"/>
      <c r="V101" s="35"/>
      <c r="W101" s="35"/>
      <c r="X101" s="35"/>
      <c r="Y101" s="35"/>
      <c r="Z101" s="35"/>
      <c r="AA101" s="35"/>
      <c r="AB101" s="35"/>
      <c r="AC101" s="35"/>
      <c r="AD101" s="35"/>
      <c r="AE101" s="35"/>
      <c r="AF101" s="35"/>
      <c r="AG101" s="35"/>
    </row>
    <row r="102" spans="2:33">
      <c r="B102" s="35"/>
      <c r="C102" s="35"/>
      <c r="D102" s="35"/>
      <c r="E102" s="35"/>
      <c r="F102" s="35"/>
      <c r="G102" s="35"/>
      <c r="H102" s="35"/>
      <c r="I102" s="35"/>
      <c r="J102" s="35"/>
      <c r="K102" s="35"/>
      <c r="L102" s="35"/>
      <c r="M102" s="35"/>
      <c r="N102" s="35"/>
      <c r="O102" s="35"/>
      <c r="P102" s="35"/>
      <c r="Q102" s="35"/>
      <c r="R102" s="35"/>
      <c r="S102" s="35"/>
      <c r="T102" s="35"/>
      <c r="U102" s="35"/>
      <c r="V102" s="35"/>
      <c r="W102" s="35"/>
      <c r="X102" s="35"/>
      <c r="Y102" s="35"/>
      <c r="Z102" s="35"/>
      <c r="AA102" s="35"/>
      <c r="AB102" s="35"/>
      <c r="AC102" s="35"/>
      <c r="AD102" s="35"/>
      <c r="AE102" s="35"/>
      <c r="AF102" s="35"/>
      <c r="AG102" s="35"/>
    </row>
    <row r="103" spans="2:33" ht="15" customHeight="1">
      <c r="B103" s="35"/>
      <c r="C103" s="35"/>
      <c r="D103" s="35"/>
      <c r="E103" s="35"/>
      <c r="F103" s="35"/>
      <c r="G103" s="35"/>
      <c r="H103" s="35"/>
      <c r="I103" s="35"/>
      <c r="J103" s="35"/>
      <c r="K103" s="35"/>
      <c r="L103" s="35"/>
      <c r="M103" s="35"/>
      <c r="N103" s="35"/>
      <c r="O103" s="35"/>
      <c r="P103" s="35"/>
      <c r="Q103" s="35"/>
      <c r="R103" s="35"/>
      <c r="S103" s="35"/>
      <c r="T103" s="35"/>
      <c r="U103" s="35"/>
      <c r="V103" s="35"/>
      <c r="W103" s="35"/>
      <c r="X103" s="35"/>
      <c r="Y103" s="35"/>
      <c r="Z103" s="35"/>
      <c r="AA103" s="35"/>
      <c r="AB103" s="35"/>
      <c r="AC103" s="35"/>
      <c r="AD103" s="35"/>
      <c r="AE103" s="35"/>
      <c r="AF103" s="35"/>
      <c r="AG103" s="35"/>
    </row>
    <row r="104" spans="2:33" ht="15" customHeight="1">
      <c r="B104" s="35"/>
      <c r="C104" s="35"/>
      <c r="D104" s="35"/>
      <c r="E104" s="35"/>
      <c r="F104" s="35"/>
      <c r="G104" s="35"/>
      <c r="H104" s="35"/>
      <c r="I104" s="35"/>
      <c r="J104" s="35"/>
      <c r="K104" s="35"/>
      <c r="L104" s="35"/>
      <c r="M104" s="35"/>
      <c r="N104" s="35"/>
      <c r="O104" s="35"/>
      <c r="P104" s="35"/>
      <c r="Q104" s="35"/>
      <c r="R104" s="35"/>
      <c r="S104" s="35"/>
      <c r="T104" s="35"/>
      <c r="U104" s="35"/>
      <c r="V104" s="35"/>
      <c r="W104" s="35"/>
      <c r="X104" s="35"/>
      <c r="Y104" s="35"/>
      <c r="Z104" s="35"/>
      <c r="AA104" s="35"/>
      <c r="AB104" s="35"/>
      <c r="AC104" s="35"/>
      <c r="AD104" s="35"/>
      <c r="AE104" s="35"/>
      <c r="AF104" s="35"/>
      <c r="AG104" s="35"/>
    </row>
    <row r="105" spans="2:33" ht="15" customHeight="1">
      <c r="B105" s="35"/>
      <c r="C105" s="35"/>
      <c r="D105" s="35"/>
      <c r="E105" s="35"/>
      <c r="F105" s="35"/>
      <c r="G105" s="35"/>
      <c r="H105" s="35"/>
      <c r="I105" s="35"/>
      <c r="J105" s="35"/>
      <c r="K105" s="35"/>
      <c r="L105" s="35"/>
      <c r="M105" s="35"/>
      <c r="N105" s="35"/>
      <c r="O105" s="35"/>
      <c r="P105" s="35"/>
      <c r="Q105" s="35"/>
      <c r="R105" s="35"/>
      <c r="S105" s="35"/>
      <c r="T105" s="35"/>
      <c r="U105" s="35"/>
      <c r="V105" s="35"/>
      <c r="W105" s="35"/>
      <c r="X105" s="35"/>
      <c r="Y105" s="35"/>
      <c r="Z105" s="35"/>
      <c r="AA105" s="35"/>
      <c r="AB105" s="35"/>
      <c r="AC105" s="35"/>
      <c r="AD105" s="35"/>
      <c r="AE105" s="35"/>
      <c r="AF105" s="35"/>
      <c r="AG105" s="35"/>
    </row>
    <row r="106" spans="2:33" ht="15" customHeight="1">
      <c r="B106" s="35"/>
      <c r="C106" s="35"/>
      <c r="D106" s="35"/>
      <c r="E106" s="35"/>
      <c r="F106" s="35"/>
      <c r="G106" s="35"/>
      <c r="H106" s="35"/>
      <c r="I106" s="35"/>
      <c r="J106" s="35"/>
      <c r="K106" s="35"/>
      <c r="L106" s="35"/>
      <c r="M106" s="35"/>
      <c r="N106" s="35"/>
      <c r="O106" s="35"/>
      <c r="P106" s="35"/>
      <c r="Q106" s="35"/>
      <c r="R106" s="35"/>
      <c r="S106" s="35"/>
      <c r="T106" s="35"/>
      <c r="U106" s="35"/>
      <c r="V106" s="35"/>
      <c r="W106" s="35"/>
      <c r="X106" s="35"/>
      <c r="Y106" s="35"/>
      <c r="Z106" s="35"/>
      <c r="AA106" s="35"/>
      <c r="AB106" s="35"/>
      <c r="AC106" s="35"/>
      <c r="AD106" s="35"/>
      <c r="AE106" s="35"/>
      <c r="AF106" s="35"/>
      <c r="AG106" s="35"/>
    </row>
    <row r="107" spans="2:33" ht="15" customHeight="1">
      <c r="B107" s="35"/>
      <c r="C107" s="35"/>
      <c r="D107" s="35"/>
      <c r="E107" s="35"/>
      <c r="F107" s="35"/>
      <c r="G107" s="35"/>
      <c r="H107" s="35"/>
      <c r="I107" s="35"/>
      <c r="J107" s="35"/>
      <c r="K107" s="35"/>
      <c r="L107" s="35"/>
      <c r="M107" s="35"/>
      <c r="N107" s="35"/>
      <c r="O107" s="35"/>
      <c r="P107" s="35"/>
      <c r="Q107" s="35"/>
      <c r="R107" s="35"/>
      <c r="S107" s="35"/>
      <c r="T107" s="35"/>
      <c r="U107" s="35"/>
      <c r="V107" s="35"/>
      <c r="W107" s="35"/>
      <c r="X107" s="35"/>
      <c r="Y107" s="35"/>
      <c r="Z107" s="35"/>
      <c r="AA107" s="35"/>
      <c r="AB107" s="35"/>
      <c r="AC107" s="35"/>
      <c r="AD107" s="35"/>
      <c r="AE107" s="35"/>
      <c r="AF107" s="35"/>
      <c r="AG107" s="35"/>
    </row>
    <row r="108" spans="2:33" ht="15" customHeight="1">
      <c r="B108" s="35"/>
      <c r="C108" s="35"/>
      <c r="D108" s="35"/>
      <c r="E108" s="35"/>
      <c r="F108" s="35"/>
      <c r="G108" s="35"/>
      <c r="H108" s="35"/>
      <c r="I108" s="35"/>
      <c r="J108" s="35"/>
      <c r="K108" s="35"/>
      <c r="L108" s="35"/>
      <c r="M108" s="35"/>
      <c r="N108" s="35"/>
      <c r="O108" s="35"/>
      <c r="P108" s="35"/>
      <c r="Q108" s="35"/>
      <c r="R108" s="35"/>
      <c r="S108" s="35"/>
      <c r="T108" s="35"/>
      <c r="U108" s="35"/>
      <c r="V108" s="35"/>
      <c r="W108" s="35"/>
      <c r="X108" s="35"/>
      <c r="Y108" s="35"/>
      <c r="Z108" s="35"/>
      <c r="AA108" s="35"/>
      <c r="AB108" s="35"/>
      <c r="AC108" s="35"/>
      <c r="AD108" s="35"/>
      <c r="AE108" s="35"/>
      <c r="AF108" s="35"/>
      <c r="AG108" s="35"/>
    </row>
    <row r="109" spans="2:33" ht="15" customHeight="1">
      <c r="B109" s="35"/>
      <c r="C109" s="35"/>
      <c r="D109" s="35"/>
      <c r="E109" s="35"/>
      <c r="F109" s="35"/>
      <c r="G109" s="35"/>
      <c r="H109" s="35"/>
      <c r="I109" s="35"/>
      <c r="J109" s="35"/>
      <c r="K109" s="35"/>
      <c r="L109" s="35"/>
      <c r="M109" s="35"/>
      <c r="N109" s="35"/>
      <c r="O109" s="35"/>
      <c r="P109" s="35"/>
      <c r="Q109" s="35"/>
      <c r="R109" s="35"/>
      <c r="S109" s="35"/>
      <c r="T109" s="35"/>
      <c r="U109" s="35"/>
      <c r="V109" s="35"/>
      <c r="W109" s="35"/>
      <c r="X109" s="35"/>
      <c r="Y109" s="35"/>
      <c r="Z109" s="35"/>
      <c r="AA109" s="35"/>
      <c r="AB109" s="35"/>
      <c r="AC109" s="35"/>
      <c r="AD109" s="35"/>
      <c r="AE109" s="35"/>
      <c r="AF109" s="35"/>
      <c r="AG109" s="35"/>
    </row>
    <row r="110" spans="2:33" ht="15" customHeight="1"/>
    <row r="111" spans="2:33" ht="15" customHeight="1">
      <c r="B111" s="31"/>
      <c r="C111" s="31"/>
      <c r="D111" s="31"/>
      <c r="E111" s="31"/>
      <c r="F111" s="31"/>
      <c r="G111" s="31"/>
      <c r="H111" s="31"/>
      <c r="I111" s="31"/>
      <c r="J111" s="31"/>
      <c r="K111" s="31"/>
      <c r="L111" s="31"/>
      <c r="M111" s="31"/>
      <c r="N111" s="31"/>
      <c r="O111" s="31"/>
      <c r="P111" s="31"/>
      <c r="Q111" s="31"/>
      <c r="R111" s="31"/>
      <c r="S111" s="31"/>
      <c r="T111" s="31"/>
      <c r="U111" s="31"/>
      <c r="V111" s="31"/>
      <c r="W111" s="31"/>
      <c r="X111" s="31"/>
      <c r="Y111" s="31"/>
      <c r="Z111" s="31"/>
      <c r="AA111" s="31"/>
      <c r="AB111" s="31"/>
      <c r="AC111" s="31"/>
      <c r="AD111" s="31"/>
      <c r="AE111" s="31"/>
      <c r="AF111" s="31"/>
      <c r="AG111" s="31"/>
    </row>
    <row r="112" spans="2:33" ht="15" customHeight="1">
      <c r="B112" s="110"/>
      <c r="C112" s="110"/>
      <c r="D112" s="110"/>
      <c r="E112" s="110"/>
      <c r="F112" s="110"/>
      <c r="G112" s="110"/>
      <c r="H112" s="110"/>
      <c r="I112" s="110"/>
      <c r="J112" s="110"/>
      <c r="K112" s="110"/>
      <c r="L112" s="110"/>
      <c r="M112" s="110"/>
      <c r="N112" s="110"/>
      <c r="O112" s="110"/>
      <c r="P112" s="110"/>
      <c r="Q112" s="110"/>
      <c r="R112" s="110"/>
      <c r="S112" s="110"/>
      <c r="T112" s="110"/>
      <c r="U112" s="110"/>
      <c r="V112" s="110"/>
      <c r="W112" s="110"/>
      <c r="X112" s="110"/>
      <c r="Y112" s="110"/>
      <c r="Z112" s="110"/>
      <c r="AA112" s="110"/>
      <c r="AB112" s="110"/>
      <c r="AC112" s="110"/>
      <c r="AD112" s="110"/>
      <c r="AE112" s="110"/>
      <c r="AF112" s="110"/>
      <c r="AG112" s="31"/>
    </row>
    <row r="113" ht="15" customHeight="1"/>
    <row r="114" ht="15" customHeight="1"/>
    <row r="115" ht="15" customHeight="1"/>
    <row r="116" ht="15" customHeight="1"/>
    <row r="117" ht="15" customHeight="1"/>
    <row r="118" ht="15" customHeight="1"/>
    <row r="119" ht="15" customHeight="1"/>
    <row r="120" ht="15" customHeight="1"/>
    <row r="121" ht="15" customHeight="1"/>
    <row r="122" ht="15" customHeight="1"/>
    <row r="123" ht="15" customHeight="1"/>
    <row r="124" ht="15" customHeight="1"/>
    <row r="125" ht="15" customHeight="1"/>
    <row r="126" ht="15" customHeight="1"/>
    <row r="127" ht="15" customHeight="1"/>
    <row r="128" ht="15" customHeight="1"/>
    <row r="129" ht="15" customHeight="1"/>
    <row r="130" ht="15" customHeight="1"/>
    <row r="131" ht="15" customHeight="1"/>
    <row r="132" ht="15" customHeight="1"/>
    <row r="133" ht="15" customHeight="1"/>
    <row r="134" ht="15" customHeight="1"/>
    <row r="135" ht="15" customHeight="1"/>
    <row r="136" ht="15" customHeight="1"/>
    <row r="137" ht="15" customHeight="1"/>
    <row r="138" ht="15" customHeight="1"/>
    <row r="139" ht="15" customHeight="1"/>
    <row r="140" ht="15" customHeight="1"/>
    <row r="150" ht="15" customHeight="1"/>
    <row r="151" ht="15" customHeight="1"/>
    <row r="152" ht="15" customHeight="1"/>
    <row r="153" ht="15" customHeight="1"/>
    <row r="154" ht="15" customHeight="1"/>
    <row r="155" ht="15" customHeight="1"/>
    <row r="156" ht="15" customHeight="1"/>
    <row r="157" ht="15" customHeight="1"/>
    <row r="158" ht="15" customHeight="1"/>
    <row r="159" ht="15" customHeight="1"/>
    <row r="160" ht="15" customHeight="1"/>
    <row r="161" ht="15" customHeight="1"/>
    <row r="162" ht="15" customHeight="1"/>
    <row r="163" ht="15" customHeight="1"/>
    <row r="164" ht="15" customHeight="1"/>
    <row r="166" ht="15" customHeight="1"/>
    <row r="167" ht="15" customHeight="1"/>
    <row r="168" ht="15" customHeight="1"/>
    <row r="169" ht="15" customHeight="1"/>
    <row r="170" ht="15" customHeight="1"/>
    <row r="171" ht="15" customHeight="1"/>
    <row r="172" ht="15" customHeight="1"/>
    <row r="173" ht="15" customHeight="1"/>
    <row r="174" ht="15" customHeight="1"/>
    <row r="175" ht="15" customHeight="1"/>
    <row r="176" ht="15" customHeight="1"/>
    <row r="177" ht="15" customHeight="1"/>
    <row r="178" ht="15" customHeight="1"/>
    <row r="179" ht="15" customHeight="1"/>
    <row r="181" ht="15" customHeight="1"/>
    <row r="182" ht="15" customHeight="1"/>
    <row r="183" ht="15" customHeight="1"/>
    <row r="184" ht="15" customHeight="1"/>
    <row r="185" ht="15" customHeight="1"/>
    <row r="186" ht="15" customHeight="1"/>
    <row r="187" ht="15" customHeight="1"/>
    <row r="188" ht="15" customHeight="1"/>
    <row r="189" ht="15" customHeight="1"/>
    <row r="190" ht="15" customHeight="1"/>
    <row r="191" ht="15" customHeight="1"/>
    <row r="192" ht="15" customHeight="1"/>
    <row r="193" ht="15" customHeight="1"/>
    <row r="194" ht="15" customHeight="1"/>
    <row r="195" ht="15" customHeight="1"/>
    <row r="196" ht="15" customHeight="1"/>
    <row r="197" ht="15" customHeight="1"/>
    <row r="198" ht="15" customHeight="1"/>
    <row r="199" ht="15" customHeight="1"/>
    <row r="200" ht="15" customHeight="1"/>
    <row r="201" ht="15" customHeight="1"/>
    <row r="202" ht="15" customHeight="1"/>
    <row r="203" ht="15" customHeight="1"/>
    <row r="204" ht="15" customHeight="1"/>
    <row r="207" ht="15" customHeight="1"/>
    <row r="208" ht="15" customHeight="1"/>
    <row r="209" ht="15" customHeight="1"/>
    <row r="210" ht="15" customHeight="1"/>
    <row r="211" ht="15" customHeight="1"/>
    <row r="212" ht="15" customHeight="1"/>
    <row r="213" ht="15" customHeight="1"/>
    <row r="214" ht="15" customHeight="1"/>
    <row r="215" ht="15" customHeight="1"/>
    <row r="216" ht="15" customHeight="1"/>
    <row r="217" ht="15" customHeight="1"/>
    <row r="218" ht="15" customHeight="1"/>
    <row r="219" ht="15" customHeight="1"/>
    <row r="220" ht="15" customHeight="1"/>
    <row r="221" ht="15" customHeight="1"/>
    <row r="222" ht="15" customHeight="1"/>
    <row r="224" ht="15" customHeight="1"/>
    <row r="225" ht="15" customHeight="1"/>
    <row r="227" ht="15" customHeight="1"/>
    <row r="228" ht="15" customHeight="1"/>
    <row r="229" ht="15" customHeight="1"/>
    <row r="230" ht="15" customHeight="1"/>
    <row r="231" ht="15" customHeight="1"/>
    <row r="232" ht="15" customHeight="1"/>
    <row r="233" ht="15" customHeight="1"/>
    <row r="234" ht="15" customHeight="1"/>
    <row r="235" ht="15" customHeight="1"/>
    <row r="236" ht="15" customHeight="1"/>
    <row r="237" ht="15" customHeight="1"/>
    <row r="238" ht="15" customHeight="1"/>
    <row r="239" ht="15" customHeight="1"/>
    <row r="240" ht="15" customHeight="1"/>
    <row r="241" ht="15" customHeight="1"/>
    <row r="242" ht="15" customHeight="1"/>
    <row r="243" ht="15" customHeight="1"/>
    <row r="244" ht="15" customHeight="1"/>
    <row r="245" ht="15" customHeight="1"/>
    <row r="246" ht="15" customHeight="1"/>
    <row r="247" ht="15" customHeight="1"/>
    <row r="248" ht="15" customHeight="1"/>
    <row r="249" ht="15" customHeight="1"/>
    <row r="250" ht="15" customHeight="1"/>
    <row r="251" ht="15" customHeight="1"/>
    <row r="252" ht="15" customHeight="1"/>
    <row r="253" ht="15" customHeight="1"/>
    <row r="254" ht="15" customHeight="1"/>
    <row r="255" ht="15" customHeight="1"/>
    <row r="258" ht="15" customHeight="1"/>
    <row r="259" ht="15" customHeight="1"/>
    <row r="260" ht="15" customHeight="1"/>
    <row r="261" ht="15" customHeight="1"/>
    <row r="262" ht="15" customHeight="1"/>
    <row r="263" ht="15" customHeight="1"/>
    <row r="264" ht="15" customHeight="1"/>
    <row r="265" ht="15" customHeight="1"/>
    <row r="266" ht="15" customHeight="1"/>
    <row r="267" ht="15" customHeight="1"/>
    <row r="268" ht="15" customHeight="1"/>
    <row r="270" ht="15" customHeight="1"/>
    <row r="271" ht="15" customHeight="1"/>
    <row r="272" ht="15" customHeight="1"/>
    <row r="273" ht="15" customHeight="1"/>
    <row r="274" ht="15" customHeight="1"/>
    <row r="275" ht="15" customHeight="1"/>
    <row r="276" ht="15" customHeight="1"/>
    <row r="277" ht="15" customHeight="1"/>
    <row r="278" ht="15" customHeight="1"/>
    <row r="279" ht="15" customHeight="1"/>
    <row r="280" ht="15" customHeight="1"/>
    <row r="281" ht="15" customHeight="1"/>
    <row r="282" ht="15" customHeight="1"/>
    <row r="283" ht="15" customHeight="1"/>
    <row r="284" ht="15" customHeight="1"/>
    <row r="285" ht="15" customHeight="1"/>
    <row r="286" ht="15" customHeight="1"/>
    <row r="287" ht="15" customHeight="1"/>
    <row r="288" ht="15" customHeight="1"/>
    <row r="289" ht="15" customHeight="1"/>
    <row r="290" ht="15" customHeight="1"/>
    <row r="291" ht="15" customHeight="1"/>
    <row r="292" ht="15" customHeight="1"/>
    <row r="293" ht="15" customHeight="1"/>
    <row r="294" ht="15" customHeight="1"/>
    <row r="295" ht="15" customHeight="1"/>
    <row r="296" ht="15" customHeight="1"/>
    <row r="297" ht="15" customHeight="1"/>
    <row r="298" ht="15" customHeight="1"/>
    <row r="300" ht="15" customHeight="1"/>
    <row r="301" ht="15" customHeight="1"/>
    <row r="302" ht="15" customHeight="1"/>
    <row r="303" ht="15" customHeight="1"/>
    <row r="304" ht="15" customHeight="1"/>
    <row r="305" spans="2:32" ht="15" customHeight="1"/>
    <row r="306" spans="2:32" ht="15" customHeight="1"/>
    <row r="307" spans="2:32" ht="15" customHeight="1">
      <c r="B307" s="31"/>
      <c r="C307" s="31"/>
      <c r="D307" s="31"/>
      <c r="E307" s="31"/>
      <c r="F307" s="31"/>
      <c r="G307" s="31"/>
      <c r="H307" s="31"/>
      <c r="I307" s="31"/>
      <c r="J307" s="31"/>
      <c r="K307" s="31"/>
      <c r="L307" s="31"/>
      <c r="M307" s="31"/>
      <c r="N307" s="31"/>
      <c r="O307" s="31"/>
      <c r="P307" s="31"/>
      <c r="Q307" s="31"/>
      <c r="R307" s="31"/>
      <c r="S307" s="31"/>
      <c r="T307" s="31"/>
      <c r="U307" s="31"/>
      <c r="V307" s="31"/>
      <c r="W307" s="31"/>
      <c r="X307" s="31"/>
      <c r="Y307" s="31"/>
      <c r="Z307" s="31"/>
      <c r="AA307" s="31"/>
      <c r="AB307" s="31"/>
      <c r="AC307" s="31"/>
      <c r="AD307" s="31"/>
      <c r="AE307" s="31"/>
      <c r="AF307" s="31"/>
    </row>
    <row r="308" spans="2:32" ht="15" customHeight="1">
      <c r="B308" s="110"/>
      <c r="C308" s="110"/>
      <c r="D308" s="110"/>
      <c r="E308" s="110"/>
      <c r="F308" s="110"/>
      <c r="G308" s="110"/>
      <c r="H308" s="110"/>
      <c r="I308" s="110"/>
      <c r="J308" s="110"/>
      <c r="K308" s="110"/>
      <c r="L308" s="110"/>
      <c r="M308" s="110"/>
      <c r="N308" s="110"/>
      <c r="O308" s="110"/>
      <c r="P308" s="110"/>
      <c r="Q308" s="110"/>
      <c r="R308" s="110"/>
      <c r="S308" s="110"/>
      <c r="T308" s="110"/>
      <c r="U308" s="110"/>
      <c r="V308" s="110"/>
      <c r="W308" s="110"/>
      <c r="X308" s="110"/>
      <c r="Y308" s="110"/>
      <c r="Z308" s="110"/>
      <c r="AA308" s="110"/>
      <c r="AB308" s="110"/>
      <c r="AC308" s="110"/>
      <c r="AD308" s="110"/>
      <c r="AE308" s="110"/>
      <c r="AF308" s="110"/>
    </row>
    <row r="309" spans="2:32" ht="15" customHeight="1"/>
    <row r="310" spans="2:32" ht="15" customHeight="1"/>
    <row r="311" spans="2:32" ht="15" customHeight="1"/>
    <row r="312" spans="2:32" ht="15" customHeight="1"/>
    <row r="313" spans="2:32" ht="15" customHeight="1"/>
    <row r="314" spans="2:32" ht="15" customHeight="1"/>
    <row r="315" spans="2:32" ht="15" customHeight="1"/>
    <row r="316" spans="2:32" ht="15" customHeight="1"/>
    <row r="317" spans="2:32" ht="15" customHeight="1"/>
    <row r="318" spans="2:32" ht="15" customHeight="1"/>
    <row r="319" spans="2:32" ht="15" customHeight="1"/>
    <row r="320" spans="2:32" ht="15" customHeight="1"/>
    <row r="321" ht="15" customHeight="1"/>
    <row r="322" ht="15" customHeight="1"/>
    <row r="323" ht="15" customHeight="1"/>
    <row r="324" ht="15" customHeight="1"/>
    <row r="325" ht="15" customHeight="1"/>
    <row r="326" ht="15" customHeight="1"/>
    <row r="327" ht="15" customHeight="1"/>
    <row r="328" ht="15" customHeight="1"/>
    <row r="329" ht="15" customHeight="1"/>
    <row r="330" ht="15" customHeight="1"/>
    <row r="331" ht="15" customHeight="1"/>
    <row r="332" ht="15" customHeight="1"/>
    <row r="333" ht="15" customHeight="1"/>
    <row r="334" ht="15" customHeight="1"/>
    <row r="335" ht="15" customHeight="1"/>
    <row r="336" ht="15" customHeight="1"/>
    <row r="337" ht="15" customHeight="1"/>
    <row r="338" ht="15" customHeight="1"/>
    <row r="339" ht="15" customHeight="1"/>
    <row r="340" ht="15" customHeight="1"/>
    <row r="341" ht="15" customHeight="1"/>
    <row r="342" ht="15" customHeight="1"/>
    <row r="343" ht="15" customHeight="1"/>
    <row r="344" ht="15" customHeight="1"/>
    <row r="345" ht="15" customHeight="1"/>
    <row r="375" ht="15" customHeight="1"/>
    <row r="376" ht="15" customHeight="1"/>
    <row r="377" ht="15" customHeight="1"/>
    <row r="378" ht="15" customHeight="1"/>
    <row r="379" ht="15" customHeight="1"/>
    <row r="380" ht="15" customHeight="1"/>
    <row r="381" ht="15" customHeight="1"/>
    <row r="382" ht="15" customHeight="1"/>
    <row r="383" ht="15" customHeight="1"/>
    <row r="384" ht="15" customHeight="1"/>
    <row r="386" ht="15" customHeight="1"/>
    <row r="387" ht="15" customHeight="1"/>
    <row r="388" ht="15" customHeight="1"/>
    <row r="389" ht="15" customHeight="1"/>
    <row r="390" ht="15" customHeight="1"/>
    <row r="391" ht="15" customHeight="1"/>
    <row r="393" ht="15" customHeight="1"/>
    <row r="394" ht="15" customHeight="1"/>
    <row r="395" ht="15" customHeight="1"/>
    <row r="396" ht="15" customHeight="1"/>
    <row r="397" ht="15" customHeight="1"/>
    <row r="398" ht="15" customHeight="1"/>
    <row r="399" ht="15" customHeight="1"/>
    <row r="400" ht="15" customHeight="1"/>
    <row r="401" ht="15" customHeight="1"/>
    <row r="403" ht="15" customHeight="1"/>
    <row r="404" ht="15" customHeight="1"/>
    <row r="405" ht="15" customHeight="1"/>
    <row r="406" ht="15" customHeight="1"/>
    <row r="407" ht="15" customHeight="1"/>
    <row r="408" ht="15" customHeight="1"/>
    <row r="409" ht="15" customHeight="1"/>
    <row r="410" ht="15" customHeight="1"/>
    <row r="411" ht="15" customHeight="1"/>
    <row r="413" ht="15" customHeight="1"/>
    <row r="414" ht="15" customHeight="1"/>
    <row r="415" ht="15" customHeight="1"/>
    <row r="416" ht="15" customHeight="1"/>
    <row r="417" ht="15" customHeight="1"/>
    <row r="418" ht="15" customHeight="1"/>
    <row r="421" ht="15" customHeight="1"/>
    <row r="422" ht="15" customHeight="1"/>
    <row r="423" ht="15" customHeight="1"/>
    <row r="424" ht="15" customHeight="1"/>
    <row r="425" ht="15" customHeight="1"/>
    <row r="426" ht="15" customHeight="1"/>
    <row r="427" ht="15" customHeight="1"/>
    <row r="428" ht="15" customHeight="1"/>
    <row r="429" ht="15" customHeight="1"/>
    <row r="430" ht="15" customHeight="1"/>
    <row r="431" ht="15" customHeight="1"/>
    <row r="432" ht="15" customHeight="1"/>
    <row r="434" ht="15" customHeight="1"/>
    <row r="435" ht="15" customHeight="1"/>
    <row r="436" ht="15" customHeight="1"/>
    <row r="437" ht="15" customHeight="1"/>
    <row r="438" ht="15" customHeight="1"/>
    <row r="439" ht="15" customHeight="1"/>
    <row r="440" ht="15" customHeight="1"/>
    <row r="441" ht="15" customHeight="1"/>
    <row r="442" ht="15" customHeight="1"/>
    <row r="445" ht="15" customHeight="1"/>
    <row r="446" ht="15" customHeight="1"/>
    <row r="447" ht="15" customHeight="1"/>
    <row r="448" ht="15" customHeight="1"/>
    <row r="449" ht="15" customHeight="1"/>
    <row r="450" ht="15" customHeight="1"/>
    <row r="452" ht="15" customHeight="1"/>
    <row r="453" ht="15" customHeight="1"/>
    <row r="454" ht="15" customHeight="1"/>
    <row r="455" ht="15" customHeight="1"/>
    <row r="456" ht="15" customHeight="1"/>
    <row r="457" ht="15" customHeight="1"/>
    <row r="459" ht="15" customHeight="1"/>
    <row r="460" ht="15" customHeight="1"/>
    <row r="461" ht="15" customHeight="1"/>
    <row r="462" ht="15" customHeight="1"/>
    <row r="463" ht="15" customHeight="1"/>
    <row r="464" ht="15" customHeight="1"/>
    <row r="465" ht="15" customHeight="1"/>
    <row r="466" ht="15" customHeight="1"/>
    <row r="467" ht="15" customHeight="1"/>
    <row r="470" ht="15" customHeight="1"/>
    <row r="471" ht="15" customHeight="1"/>
    <row r="472" ht="15" customHeight="1"/>
    <row r="473" ht="15" customHeight="1"/>
    <row r="474" ht="15" customHeight="1"/>
    <row r="475" ht="15" customHeight="1"/>
    <row r="476" ht="15" customHeight="1"/>
    <row r="477" ht="15" customHeight="1"/>
    <row r="478" ht="15" customHeight="1"/>
    <row r="480" ht="15" customHeight="1"/>
    <row r="481" ht="15" customHeight="1"/>
    <row r="482" ht="15" customHeight="1"/>
    <row r="483" ht="15" customHeight="1"/>
    <row r="484" ht="15" customHeight="1"/>
    <row r="485" ht="15" customHeight="1"/>
    <row r="487" ht="15" customHeight="1"/>
    <row r="488" ht="15" customHeight="1"/>
    <row r="489" ht="15" customHeight="1"/>
    <row r="490" ht="15" customHeight="1"/>
    <row r="491" ht="15" customHeight="1"/>
    <row r="492" ht="15" customHeight="1"/>
    <row r="493" ht="15" customHeight="1"/>
    <row r="494" ht="15" customHeight="1"/>
    <row r="495" ht="15" customHeight="1"/>
    <row r="496" ht="15" customHeight="1"/>
    <row r="497" spans="2:32" ht="15" customHeight="1"/>
    <row r="498" spans="2:32" ht="15" customHeight="1"/>
    <row r="499" spans="2:32">
      <c r="B499" s="31"/>
      <c r="C499" s="31"/>
      <c r="D499" s="31"/>
      <c r="E499" s="31"/>
      <c r="F499" s="31"/>
      <c r="G499" s="31"/>
      <c r="H499" s="31"/>
      <c r="I499" s="31"/>
      <c r="J499" s="31"/>
      <c r="K499" s="31"/>
      <c r="L499" s="31"/>
      <c r="M499" s="31"/>
      <c r="N499" s="31"/>
      <c r="O499" s="31"/>
      <c r="P499" s="31"/>
      <c r="Q499" s="31"/>
      <c r="R499" s="31"/>
      <c r="S499" s="31"/>
      <c r="T499" s="31"/>
      <c r="U499" s="31"/>
      <c r="V499" s="31"/>
      <c r="W499" s="31"/>
      <c r="X499" s="31"/>
      <c r="Y499" s="31"/>
      <c r="Z499" s="31"/>
      <c r="AA499" s="31"/>
      <c r="AB499" s="31"/>
      <c r="AC499" s="31"/>
      <c r="AD499" s="31"/>
      <c r="AE499" s="31"/>
      <c r="AF499" s="31"/>
    </row>
    <row r="500" spans="2:32" ht="15" customHeight="1"/>
    <row r="501" spans="2:32" ht="15" customHeight="1"/>
    <row r="502" spans="2:32" ht="15" customHeight="1"/>
    <row r="503" spans="2:32" ht="15" customHeight="1"/>
    <row r="504" spans="2:32" ht="15" customHeight="1"/>
    <row r="505" spans="2:32" ht="15" customHeight="1"/>
    <row r="506" spans="2:32" ht="15" customHeight="1"/>
    <row r="507" spans="2:32" ht="15" customHeight="1"/>
    <row r="508" spans="2:32" ht="15" customHeight="1"/>
    <row r="509" spans="2:32">
      <c r="B509" s="31"/>
      <c r="C509" s="31"/>
      <c r="D509" s="31"/>
      <c r="E509" s="31"/>
      <c r="F509" s="31"/>
      <c r="G509" s="31"/>
      <c r="H509" s="31"/>
      <c r="I509" s="31"/>
      <c r="J509" s="31"/>
      <c r="K509" s="31"/>
      <c r="L509" s="31"/>
      <c r="M509" s="31"/>
      <c r="N509" s="31"/>
      <c r="O509" s="31"/>
      <c r="P509" s="31"/>
      <c r="Q509" s="31"/>
      <c r="R509" s="31"/>
      <c r="S509" s="31"/>
      <c r="T509" s="31"/>
      <c r="U509" s="31"/>
      <c r="V509" s="31"/>
      <c r="W509" s="31"/>
      <c r="X509" s="31"/>
      <c r="Y509" s="31"/>
      <c r="Z509" s="31"/>
      <c r="AA509" s="31"/>
      <c r="AB509" s="31"/>
      <c r="AC509" s="31"/>
      <c r="AD509" s="31"/>
      <c r="AE509" s="31"/>
      <c r="AF509" s="31"/>
    </row>
    <row r="510" spans="2:32" ht="15" customHeight="1">
      <c r="B510" s="31"/>
      <c r="C510" s="31"/>
      <c r="D510" s="31"/>
      <c r="E510" s="31"/>
      <c r="F510" s="31"/>
      <c r="G510" s="31"/>
      <c r="H510" s="31"/>
      <c r="I510" s="31"/>
      <c r="J510" s="31"/>
      <c r="K510" s="31"/>
      <c r="L510" s="31"/>
      <c r="M510" s="31"/>
      <c r="N510" s="31"/>
      <c r="O510" s="31"/>
      <c r="P510" s="31"/>
      <c r="Q510" s="31"/>
      <c r="R510" s="31"/>
      <c r="S510" s="31"/>
      <c r="T510" s="31"/>
      <c r="U510" s="31"/>
      <c r="V510" s="31"/>
      <c r="W510" s="31"/>
      <c r="X510" s="31"/>
      <c r="Y510" s="31"/>
      <c r="Z510" s="31"/>
      <c r="AA510" s="31"/>
      <c r="AB510" s="31"/>
      <c r="AC510" s="31"/>
      <c r="AD510" s="31"/>
      <c r="AE510" s="31"/>
      <c r="AF510" s="31"/>
    </row>
    <row r="511" spans="2:32" ht="15" customHeight="1">
      <c r="B511" s="110"/>
      <c r="C511" s="110"/>
      <c r="D511" s="110"/>
      <c r="E511" s="110"/>
      <c r="F511" s="110"/>
      <c r="G511" s="110"/>
      <c r="H511" s="110"/>
      <c r="I511" s="110"/>
      <c r="J511" s="110"/>
      <c r="K511" s="110"/>
      <c r="L511" s="110"/>
      <c r="M511" s="110"/>
      <c r="N511" s="110"/>
      <c r="O511" s="110"/>
      <c r="P511" s="110"/>
      <c r="Q511" s="110"/>
      <c r="R511" s="110"/>
      <c r="S511" s="110"/>
      <c r="T511" s="110"/>
      <c r="U511" s="110"/>
      <c r="V511" s="110"/>
      <c r="W511" s="110"/>
      <c r="X511" s="110"/>
      <c r="Y511" s="110"/>
      <c r="Z511" s="110"/>
      <c r="AA511" s="110"/>
      <c r="AB511" s="110"/>
      <c r="AC511" s="110"/>
      <c r="AD511" s="110"/>
      <c r="AE511" s="110"/>
      <c r="AF511" s="110"/>
    </row>
    <row r="512" spans="2:32" ht="15" customHeight="1"/>
    <row r="513" ht="15" customHeight="1"/>
    <row r="514" ht="15" customHeight="1"/>
    <row r="515" ht="15" customHeight="1"/>
    <row r="516" ht="15" customHeight="1"/>
    <row r="517" ht="15" customHeight="1"/>
    <row r="518" ht="15" customHeight="1"/>
    <row r="519" ht="15" customHeight="1"/>
    <row r="520" ht="15" customHeight="1"/>
    <row r="521" ht="15" customHeight="1"/>
    <row r="522" ht="15" customHeight="1"/>
    <row r="523" ht="15" customHeight="1"/>
    <row r="524" ht="15" customHeight="1"/>
    <row r="525" ht="15" customHeight="1"/>
    <row r="575" ht="15" customHeight="1"/>
    <row r="576" ht="15" customHeight="1"/>
    <row r="577" ht="15" customHeight="1"/>
    <row r="578" ht="15" customHeight="1"/>
    <row r="579" ht="15" customHeight="1"/>
    <row r="580" ht="15" customHeight="1"/>
    <row r="581" ht="15" customHeight="1"/>
    <row r="582" ht="15" customHeight="1"/>
    <row r="583" ht="15" customHeight="1"/>
    <row r="584" ht="15" customHeight="1"/>
    <row r="585" ht="15" customHeight="1"/>
    <row r="587" ht="15" customHeight="1"/>
    <row r="589" ht="15" customHeight="1"/>
    <row r="590" ht="15" customHeight="1"/>
    <row r="591" ht="15" customHeight="1"/>
    <row r="592" ht="15" customHeight="1"/>
    <row r="593" ht="15" customHeight="1"/>
    <row r="594" ht="15" customHeight="1"/>
    <row r="595" ht="15" customHeight="1"/>
    <row r="597" ht="15" customHeight="1"/>
    <row r="598" ht="15" customHeight="1"/>
    <row r="599" ht="15" customHeight="1"/>
    <row r="600" ht="15" customHeight="1"/>
    <row r="601" ht="15" customHeight="1"/>
    <row r="602" ht="15" customHeight="1"/>
    <row r="603" ht="15" customHeight="1"/>
    <row r="604" ht="15" customHeight="1"/>
    <row r="605" ht="15" customHeight="1"/>
    <row r="606" ht="15" customHeight="1"/>
    <row r="607" ht="15" customHeight="1"/>
    <row r="608" ht="15" customHeight="1"/>
    <row r="609" ht="15" customHeight="1"/>
    <row r="610" ht="15" customHeight="1"/>
    <row r="611" ht="15" customHeight="1"/>
    <row r="612" ht="15" customHeight="1"/>
    <row r="613" ht="15" customHeight="1"/>
    <row r="614" ht="15" customHeight="1"/>
    <row r="615" ht="15" customHeight="1"/>
    <row r="617" ht="15" customHeight="1"/>
    <row r="618" ht="15" customHeight="1"/>
    <row r="619" ht="15" customHeight="1"/>
    <row r="620" ht="15" customHeight="1"/>
    <row r="621" ht="15" customHeight="1"/>
    <row r="622" ht="15" customHeight="1"/>
    <row r="623" ht="15" customHeight="1"/>
    <row r="624" ht="15" customHeight="1"/>
    <row r="626" ht="15" customHeight="1"/>
    <row r="627" ht="15" customHeight="1"/>
    <row r="628" ht="15" customHeight="1"/>
    <row r="629" ht="15" customHeight="1"/>
    <row r="630" ht="15" customHeight="1"/>
    <row r="632" ht="15" customHeight="1"/>
    <row r="633" ht="15" customHeight="1"/>
    <row r="634" ht="15" customHeight="1"/>
    <row r="635" ht="15" customHeight="1"/>
    <row r="636" ht="15" customHeight="1"/>
    <row r="637" ht="15" customHeight="1"/>
    <row r="639" ht="15" customHeight="1"/>
    <row r="641" ht="15" customHeight="1"/>
    <row r="642" ht="15" customHeight="1"/>
    <row r="643" ht="15" customHeight="1"/>
    <row r="644" ht="15" customHeight="1"/>
    <row r="645" ht="15" customHeight="1"/>
    <row r="646" ht="15" customHeight="1"/>
    <row r="647" ht="15" customHeight="1"/>
    <row r="648" ht="15" customHeight="1"/>
    <row r="649" ht="15" customHeight="1"/>
    <row r="650" ht="15" customHeight="1"/>
    <row r="651" ht="15" customHeight="1"/>
    <row r="652" ht="15" customHeight="1"/>
    <row r="653" ht="15" customHeight="1"/>
    <row r="654" ht="15" customHeight="1"/>
    <row r="655" ht="15" customHeight="1"/>
    <row r="656" ht="15" customHeight="1"/>
    <row r="657" ht="15" customHeight="1"/>
    <row r="658" ht="15" customHeight="1"/>
    <row r="660" ht="15" customHeight="1"/>
    <row r="662" ht="15" customHeight="1"/>
    <row r="663" ht="15" customHeight="1"/>
    <row r="664" ht="15" customHeight="1"/>
    <row r="665" ht="15" customHeight="1"/>
    <row r="666" ht="15" customHeight="1"/>
    <row r="667" ht="15" customHeight="1"/>
    <row r="668" ht="15" customHeight="1"/>
    <row r="669" ht="15" customHeight="1"/>
    <row r="670" ht="15" customHeight="1"/>
    <row r="671" ht="15" customHeight="1"/>
    <row r="672" ht="15" customHeight="1"/>
    <row r="673" ht="15" customHeight="1"/>
    <row r="674" ht="15" customHeight="1"/>
    <row r="675" ht="15" customHeight="1"/>
    <row r="676" ht="15" customHeight="1"/>
    <row r="677" ht="15" customHeight="1"/>
    <row r="678" ht="15" customHeight="1"/>
    <row r="679" ht="15" customHeight="1"/>
    <row r="681" ht="15" customHeight="1"/>
    <row r="682" ht="15" customHeight="1"/>
    <row r="683" ht="15" customHeight="1"/>
    <row r="684" ht="15" customHeight="1"/>
    <row r="685" ht="15" customHeight="1"/>
    <row r="686" ht="15" customHeight="1"/>
    <row r="688" ht="15" customHeight="1"/>
    <row r="689" ht="15" customHeight="1"/>
    <row r="690" ht="15" customHeight="1"/>
    <row r="691" ht="15" customHeight="1"/>
    <row r="692" ht="15" customHeight="1"/>
    <row r="693" ht="15" customHeight="1"/>
    <row r="694" ht="15" customHeight="1"/>
    <row r="695" ht="15" customHeight="1"/>
    <row r="696" ht="15" customHeight="1"/>
    <row r="697" ht="15" customHeight="1"/>
    <row r="698" ht="15" customHeight="1"/>
    <row r="700" ht="15" customHeight="1"/>
    <row r="701" ht="15" customHeight="1"/>
    <row r="702" ht="15" customHeight="1"/>
    <row r="703" ht="15" customHeight="1"/>
    <row r="704" ht="15" customHeight="1"/>
    <row r="705" spans="2:32" ht="15" customHeight="1"/>
    <row r="706" spans="2:32" ht="15" customHeight="1"/>
    <row r="707" spans="2:32" ht="15" customHeight="1"/>
    <row r="708" spans="2:32" ht="15" customHeight="1"/>
    <row r="709" spans="2:32" ht="15" customHeight="1"/>
    <row r="710" spans="2:32" ht="15" customHeight="1"/>
    <row r="711" spans="2:32" ht="15" customHeight="1">
      <c r="B711" s="31"/>
      <c r="C711" s="31"/>
      <c r="D711" s="31"/>
      <c r="E711" s="31"/>
      <c r="F711" s="31"/>
      <c r="G711" s="31"/>
      <c r="H711" s="31"/>
      <c r="I711" s="31"/>
      <c r="J711" s="31"/>
      <c r="K711" s="31"/>
      <c r="L711" s="31"/>
      <c r="M711" s="31"/>
      <c r="N711" s="31"/>
      <c r="O711" s="31"/>
      <c r="P711" s="31"/>
      <c r="Q711" s="31"/>
      <c r="R711" s="31"/>
      <c r="S711" s="31"/>
      <c r="T711" s="31"/>
      <c r="U711" s="31"/>
      <c r="V711" s="31"/>
      <c r="W711" s="31"/>
      <c r="X711" s="31"/>
      <c r="Y711" s="31"/>
      <c r="Z711" s="31"/>
      <c r="AA711" s="31"/>
      <c r="AB711" s="31"/>
      <c r="AC711" s="31"/>
      <c r="AD711" s="31"/>
      <c r="AE711" s="31"/>
      <c r="AF711" s="31"/>
    </row>
    <row r="712" spans="2:32" ht="15" customHeight="1">
      <c r="B712" s="110"/>
      <c r="C712" s="110"/>
      <c r="D712" s="110"/>
      <c r="E712" s="110"/>
      <c r="F712" s="110"/>
      <c r="G712" s="110"/>
      <c r="H712" s="110"/>
      <c r="I712" s="110"/>
      <c r="J712" s="110"/>
      <c r="K712" s="110"/>
      <c r="L712" s="110"/>
      <c r="M712" s="110"/>
      <c r="N712" s="110"/>
      <c r="O712" s="110"/>
      <c r="P712" s="110"/>
      <c r="Q712" s="110"/>
      <c r="R712" s="110"/>
      <c r="S712" s="110"/>
      <c r="T712" s="110"/>
      <c r="U712" s="110"/>
      <c r="V712" s="110"/>
      <c r="W712" s="110"/>
      <c r="X712" s="110"/>
      <c r="Y712" s="110"/>
      <c r="Z712" s="110"/>
      <c r="AA712" s="110"/>
      <c r="AB712" s="110"/>
      <c r="AC712" s="110"/>
      <c r="AD712" s="110"/>
      <c r="AE712" s="110"/>
      <c r="AF712" s="110"/>
    </row>
    <row r="713" spans="2:32" ht="15" customHeight="1"/>
    <row r="714" spans="2:32" ht="15" customHeight="1"/>
    <row r="715" spans="2:32" ht="15" customHeight="1"/>
    <row r="716" spans="2:32" ht="15" customHeight="1"/>
    <row r="717" spans="2:32" ht="15" customHeight="1"/>
    <row r="718" spans="2:32" ht="15" customHeight="1"/>
    <row r="719" spans="2:32" ht="15" customHeight="1"/>
    <row r="720" spans="2:32" ht="15" customHeight="1"/>
    <row r="721" ht="15" customHeight="1"/>
    <row r="722" ht="15" customHeight="1"/>
    <row r="723" ht="15" customHeight="1"/>
    <row r="724" ht="15" customHeight="1"/>
    <row r="725" ht="15" customHeight="1"/>
    <row r="726" ht="15" customHeight="1"/>
    <row r="727" ht="15" customHeight="1"/>
    <row r="728" ht="15" customHeight="1"/>
    <row r="729" ht="15" customHeight="1"/>
    <row r="730" ht="15" customHeight="1"/>
    <row r="731" ht="15" customHeight="1"/>
    <row r="732" ht="15" customHeight="1"/>
    <row r="775" ht="15" customHeight="1"/>
    <row r="776" ht="15" customHeight="1"/>
    <row r="777" ht="15" customHeight="1"/>
    <row r="778" ht="15" customHeight="1"/>
    <row r="779" ht="15" customHeight="1"/>
    <row r="780" ht="15" customHeight="1"/>
    <row r="782" ht="15" customHeight="1"/>
    <row r="783" ht="15" customHeight="1"/>
    <row r="784" ht="15" customHeight="1"/>
    <row r="785" ht="15" customHeight="1"/>
    <row r="787" ht="15" customHeight="1"/>
    <row r="788" ht="15" customHeight="1"/>
    <row r="789" ht="15" customHeight="1"/>
    <row r="790" ht="15" customHeight="1"/>
    <row r="792" ht="15" customHeight="1"/>
    <row r="793" ht="15" customHeight="1"/>
    <row r="794" ht="15" customHeight="1"/>
    <row r="795" ht="15" customHeight="1"/>
    <row r="796" ht="15" customHeight="1"/>
    <row r="797" ht="15" customHeight="1"/>
    <row r="798" ht="15" customHeight="1"/>
    <row r="799" ht="15" customHeight="1"/>
    <row r="800" ht="15" customHeight="1"/>
    <row r="801" ht="15" customHeight="1"/>
    <row r="802" ht="15" customHeight="1"/>
    <row r="803" ht="15" customHeight="1"/>
    <row r="804" ht="15" customHeight="1"/>
    <row r="805" ht="15" customHeight="1"/>
    <row r="806" ht="15" customHeight="1"/>
    <row r="808" ht="15" customHeight="1"/>
    <row r="809" ht="15" customHeight="1"/>
    <row r="810" ht="15" customHeight="1"/>
    <row r="811" ht="15" customHeight="1"/>
    <row r="812" ht="15" customHeight="1"/>
    <row r="813" ht="15" customHeight="1"/>
    <row r="814" ht="15" customHeight="1"/>
    <row r="816" ht="15" customHeight="1"/>
    <row r="817" ht="15" customHeight="1"/>
    <row r="818" ht="15" customHeight="1"/>
    <row r="819" ht="15" customHeight="1"/>
    <row r="820" ht="15" customHeight="1"/>
    <row r="822" ht="15" customHeight="1"/>
    <row r="823" ht="15" customHeight="1"/>
    <row r="825" ht="15" customHeight="1"/>
    <row r="826" ht="15" customHeight="1"/>
    <row r="827" ht="15" customHeight="1"/>
    <row r="828" ht="15" customHeight="1"/>
    <row r="829" ht="15" customHeight="1"/>
    <row r="830" ht="15" customHeight="1"/>
    <row r="831" ht="15" customHeight="1"/>
    <row r="832" ht="15" customHeight="1"/>
    <row r="833" ht="15" customHeight="1"/>
    <row r="834" ht="15" customHeight="1"/>
    <row r="835" ht="15" customHeight="1"/>
    <row r="836" ht="15" customHeight="1"/>
    <row r="837" ht="15" customHeight="1"/>
    <row r="838" ht="15" customHeight="1"/>
    <row r="840" ht="15" customHeight="1"/>
    <row r="842" ht="15" customHeight="1"/>
    <row r="843" ht="15" customHeight="1"/>
    <row r="844" ht="15" customHeight="1"/>
    <row r="845" ht="15" customHeight="1"/>
    <row r="846" ht="15" customHeight="1"/>
    <row r="847" ht="15" customHeight="1"/>
    <row r="848" ht="15" customHeight="1"/>
    <row r="849" ht="15" customHeight="1"/>
    <row r="850" ht="15" customHeight="1"/>
    <row r="851" ht="15" customHeight="1"/>
    <row r="852" ht="15" customHeight="1"/>
    <row r="853" ht="15" customHeight="1"/>
    <row r="854" ht="15" customHeight="1"/>
    <row r="855" ht="15" customHeight="1"/>
    <row r="857" ht="15" customHeight="1"/>
    <row r="858" ht="15" customHeight="1"/>
    <row r="859" ht="15" customHeight="1"/>
    <row r="860" ht="15" customHeight="1"/>
    <row r="861" ht="15" customHeight="1"/>
    <row r="863" ht="15" customHeight="1"/>
    <row r="864" ht="15" customHeight="1"/>
    <row r="865" ht="15" customHeight="1"/>
    <row r="866" ht="15" customHeight="1"/>
    <row r="867" ht="15" customHeight="1"/>
    <row r="868" ht="15" customHeight="1"/>
    <row r="869" ht="15" customHeight="1"/>
    <row r="870" ht="15" customHeight="1"/>
    <row r="871" ht="15" customHeight="1"/>
    <row r="872" ht="15" customHeight="1"/>
    <row r="873" ht="15" customHeight="1"/>
    <row r="875" ht="15" customHeight="1"/>
    <row r="876" ht="15" customHeight="1"/>
    <row r="877" ht="15" customHeight="1"/>
    <row r="878" ht="15" customHeight="1"/>
    <row r="879" ht="15" customHeight="1"/>
    <row r="880" ht="15" customHeight="1"/>
    <row r="881" spans="2:32" ht="15" customHeight="1"/>
    <row r="882" spans="2:32" ht="15" customHeight="1"/>
    <row r="883" spans="2:32" ht="15" customHeight="1"/>
    <row r="884" spans="2:32" ht="15" customHeight="1"/>
    <row r="885" spans="2:32" ht="15" customHeight="1"/>
    <row r="886" spans="2:32" ht="15" customHeight="1">
      <c r="B886" s="31"/>
      <c r="C886" s="31"/>
      <c r="D886" s="31"/>
      <c r="E886" s="31"/>
      <c r="F886" s="31"/>
      <c r="G886" s="31"/>
      <c r="H886" s="31"/>
      <c r="I886" s="31"/>
      <c r="J886" s="31"/>
      <c r="K886" s="31"/>
      <c r="L886" s="31"/>
      <c r="M886" s="31"/>
      <c r="N886" s="31"/>
      <c r="O886" s="31"/>
      <c r="P886" s="31"/>
      <c r="Q886" s="31"/>
      <c r="R886" s="31"/>
      <c r="S886" s="31"/>
      <c r="T886" s="31"/>
      <c r="U886" s="31"/>
      <c r="V886" s="31"/>
      <c r="W886" s="31"/>
      <c r="X886" s="31"/>
      <c r="Y886" s="31"/>
      <c r="Z886" s="31"/>
      <c r="AA886" s="31"/>
      <c r="AB886" s="31"/>
      <c r="AC886" s="31"/>
      <c r="AD886" s="31"/>
      <c r="AE886" s="31"/>
      <c r="AF886" s="31"/>
    </row>
    <row r="887" spans="2:32" ht="15" customHeight="1">
      <c r="B887" s="110"/>
      <c r="C887" s="110"/>
      <c r="D887" s="110"/>
      <c r="E887" s="110"/>
      <c r="F887" s="110"/>
      <c r="G887" s="110"/>
      <c r="H887" s="110"/>
      <c r="I887" s="110"/>
      <c r="J887" s="110"/>
      <c r="K887" s="110"/>
      <c r="L887" s="110"/>
      <c r="M887" s="110"/>
      <c r="N887" s="110"/>
      <c r="O887" s="110"/>
      <c r="P887" s="110"/>
      <c r="Q887" s="110"/>
      <c r="R887" s="110"/>
      <c r="S887" s="110"/>
      <c r="T887" s="110"/>
      <c r="U887" s="110"/>
      <c r="V887" s="110"/>
      <c r="W887" s="110"/>
      <c r="X887" s="110"/>
      <c r="Y887" s="110"/>
      <c r="Z887" s="110"/>
      <c r="AA887" s="110"/>
      <c r="AB887" s="110"/>
      <c r="AC887" s="110"/>
      <c r="AD887" s="110"/>
      <c r="AE887" s="110"/>
      <c r="AF887" s="110"/>
    </row>
    <row r="888" spans="2:32" ht="15" customHeight="1"/>
    <row r="889" spans="2:32" ht="15" customHeight="1"/>
    <row r="890" spans="2:32" ht="15" customHeight="1"/>
    <row r="891" spans="2:32" ht="15" customHeight="1"/>
    <row r="892" spans="2:32" ht="15" customHeight="1"/>
    <row r="893" spans="2:32" ht="15" customHeight="1"/>
    <row r="894" spans="2:32" ht="15" customHeight="1"/>
    <row r="895" spans="2:32" ht="15" customHeight="1"/>
    <row r="896" spans="2:32" ht="15" customHeight="1"/>
    <row r="897" ht="15" customHeight="1"/>
    <row r="898" ht="15" customHeight="1"/>
    <row r="899" ht="15" customHeight="1"/>
    <row r="900" ht="15" customHeight="1"/>
    <row r="901" ht="15" customHeight="1"/>
    <row r="902" ht="15" customHeight="1"/>
    <row r="903" ht="15" customHeight="1"/>
    <row r="904" ht="15" customHeight="1"/>
    <row r="905" ht="15" customHeight="1"/>
    <row r="950" ht="15" customHeight="1"/>
    <row r="951" ht="15" customHeight="1"/>
    <row r="952" ht="15" customHeight="1"/>
    <row r="953" ht="15" customHeight="1"/>
    <row r="954" ht="15" customHeight="1"/>
    <row r="955" ht="15" customHeight="1"/>
    <row r="956" ht="15" customHeight="1"/>
    <row r="957" ht="15" customHeight="1"/>
    <row r="958" ht="15" customHeight="1"/>
    <row r="959" ht="15" customHeight="1"/>
    <row r="961" ht="15" customHeight="1"/>
    <row r="962" ht="15" customHeight="1"/>
    <row r="963" ht="15" customHeight="1"/>
    <row r="964" ht="15" customHeight="1"/>
    <row r="965" ht="15" customHeight="1"/>
    <row r="966" ht="15" customHeight="1"/>
    <row r="967" ht="15" customHeight="1"/>
    <row r="968" ht="15" customHeight="1"/>
    <row r="969" ht="15" customHeight="1"/>
    <row r="970" ht="15" customHeight="1"/>
    <row r="971" ht="15" customHeight="1"/>
    <row r="972" ht="15" customHeight="1"/>
    <row r="973" ht="15" customHeight="1"/>
    <row r="974" ht="15" customHeight="1"/>
    <row r="975" ht="15" customHeight="1"/>
    <row r="976" ht="15" customHeight="1"/>
    <row r="977" ht="15" customHeight="1"/>
    <row r="978" ht="15" customHeight="1"/>
    <row r="979" ht="15" customHeight="1"/>
    <row r="980" ht="15" customHeight="1"/>
    <row r="981" ht="15" customHeight="1"/>
    <row r="982" ht="15" customHeight="1"/>
    <row r="983" ht="15" customHeight="1"/>
    <row r="984" ht="15" customHeight="1"/>
    <row r="985" ht="15" customHeight="1"/>
    <row r="988" ht="15" customHeight="1"/>
    <row r="989" ht="15" customHeight="1"/>
    <row r="990" ht="15" customHeight="1"/>
    <row r="991" ht="15" customHeight="1"/>
    <row r="992" ht="15" customHeight="1"/>
    <row r="993" ht="15" customHeight="1"/>
    <row r="994" ht="15" customHeight="1"/>
    <row r="995" ht="15" customHeight="1"/>
    <row r="996" ht="15" customHeight="1"/>
    <row r="997" ht="15" customHeight="1"/>
    <row r="998" ht="15" customHeight="1"/>
    <row r="999" ht="15" customHeight="1"/>
    <row r="1000" ht="15" customHeight="1"/>
    <row r="1001" ht="15" customHeight="1"/>
    <row r="1002" ht="15" customHeight="1"/>
    <row r="1003" ht="15" customHeight="1"/>
    <row r="1004" ht="15" customHeight="1"/>
    <row r="1005" ht="15" customHeight="1"/>
    <row r="1006" ht="15" customHeight="1"/>
    <row r="1007" ht="15" customHeight="1"/>
    <row r="1008" ht="15" customHeight="1"/>
    <row r="1009" ht="15" customHeight="1"/>
    <row r="1010" ht="15" customHeight="1"/>
    <row r="1011" ht="15" customHeight="1"/>
    <row r="1012" ht="15" customHeight="1"/>
    <row r="1013" ht="15" customHeight="1"/>
    <row r="1016" ht="15" customHeight="1"/>
    <row r="1017" ht="15" customHeight="1"/>
    <row r="1018" ht="15" customHeight="1"/>
    <row r="1019" ht="15" customHeight="1"/>
    <row r="1020" ht="15" customHeight="1"/>
    <row r="1021" ht="15" customHeight="1"/>
    <row r="1022" ht="15" customHeight="1"/>
    <row r="1023" ht="15" customHeight="1"/>
    <row r="1024" ht="15" customHeight="1"/>
    <row r="1025" ht="15" customHeight="1"/>
    <row r="1026" ht="15" customHeight="1"/>
    <row r="1027" ht="15" customHeight="1"/>
    <row r="1028" ht="15" customHeight="1"/>
    <row r="1029" ht="15" customHeight="1"/>
    <row r="1030" ht="15" customHeight="1"/>
    <row r="1031" ht="15" customHeight="1"/>
    <row r="1032" ht="15" customHeight="1"/>
    <row r="1033" ht="15" customHeight="1"/>
    <row r="1034" ht="15" customHeight="1"/>
    <row r="1035" ht="15" customHeight="1"/>
    <row r="1037" ht="15" customHeight="1"/>
    <row r="1038" ht="15" customHeight="1"/>
    <row r="1039" ht="15" customHeight="1"/>
    <row r="1040" ht="15" customHeight="1"/>
    <row r="1041" ht="15" customHeight="1"/>
    <row r="1042" ht="15" customHeight="1"/>
    <row r="1043" ht="15" customHeight="1"/>
    <row r="1044" ht="15" customHeight="1"/>
    <row r="1045" ht="15" customHeight="1"/>
    <row r="1046" ht="15" customHeight="1"/>
    <row r="1047" ht="15" customHeight="1"/>
    <row r="1048" ht="15" customHeight="1"/>
    <row r="1049" ht="15" customHeight="1"/>
    <row r="1050" ht="15" customHeight="1"/>
    <row r="1051" ht="15" customHeight="1"/>
    <row r="1052" ht="15" customHeight="1"/>
    <row r="1053" ht="15" customHeight="1"/>
    <row r="1054" ht="15" customHeight="1"/>
    <row r="1055" ht="15" customHeight="1"/>
    <row r="1056" ht="15" customHeight="1"/>
    <row r="1057" ht="15" customHeight="1"/>
    <row r="1058" ht="15" customHeight="1"/>
    <row r="1059" ht="15" customHeight="1"/>
    <row r="1060" ht="15" customHeight="1"/>
    <row r="1061" ht="15" customHeight="1"/>
    <row r="1062" ht="15" customHeight="1"/>
    <row r="1063" ht="15" customHeight="1"/>
    <row r="1064" ht="15" customHeight="1"/>
    <row r="1066" ht="15" customHeight="1"/>
    <row r="1067" ht="15" customHeight="1"/>
    <row r="1068" ht="15" customHeight="1"/>
    <row r="1069" ht="15" customHeight="1"/>
    <row r="1070" ht="15" customHeight="1"/>
    <row r="1071" ht="15" customHeight="1"/>
    <row r="1072" ht="15" customHeight="1"/>
    <row r="1073" ht="15" customHeight="1"/>
    <row r="1074" ht="15" customHeight="1"/>
    <row r="1075" ht="15" customHeight="1"/>
    <row r="1076" ht="15" customHeight="1"/>
    <row r="1077" ht="15" customHeight="1"/>
    <row r="1078" ht="15" customHeight="1"/>
    <row r="1079" ht="15" customHeight="1"/>
    <row r="1080" ht="15" customHeight="1"/>
    <row r="1081" ht="15" customHeight="1"/>
    <row r="1082" ht="15" customHeight="1"/>
    <row r="1083" ht="15" customHeight="1"/>
    <row r="1084" ht="15" customHeight="1"/>
    <row r="1085" ht="15" customHeight="1"/>
    <row r="1086" ht="15" customHeight="1"/>
    <row r="1087" ht="15" customHeight="1"/>
    <row r="1088" ht="15" customHeight="1"/>
    <row r="1089" spans="2:32" ht="15" customHeight="1"/>
    <row r="1090" spans="2:32" ht="15" customHeight="1"/>
    <row r="1091" spans="2:32" ht="15" customHeight="1"/>
    <row r="1092" spans="2:32" ht="15" customHeight="1"/>
    <row r="1093" spans="2:32" ht="15" customHeight="1"/>
    <row r="1094" spans="2:32" ht="15" customHeight="1"/>
    <row r="1096" spans="2:32" ht="15" customHeight="1">
      <c r="B1096" s="31"/>
      <c r="C1096" s="31"/>
      <c r="D1096" s="31"/>
      <c r="E1096" s="31"/>
      <c r="F1096" s="31"/>
      <c r="G1096" s="31"/>
      <c r="H1096" s="31"/>
      <c r="I1096" s="31"/>
      <c r="J1096" s="31"/>
      <c r="K1096" s="31"/>
      <c r="L1096" s="31"/>
      <c r="M1096" s="31"/>
      <c r="N1096" s="31"/>
      <c r="O1096" s="31"/>
      <c r="P1096" s="31"/>
      <c r="Q1096" s="31"/>
      <c r="R1096" s="31"/>
      <c r="S1096" s="31"/>
      <c r="T1096" s="31"/>
      <c r="U1096" s="31"/>
      <c r="V1096" s="31"/>
      <c r="W1096" s="31"/>
      <c r="X1096" s="31"/>
      <c r="Y1096" s="31"/>
      <c r="Z1096" s="31"/>
      <c r="AA1096" s="31"/>
      <c r="AB1096" s="31"/>
      <c r="AC1096" s="31"/>
      <c r="AD1096" s="31"/>
      <c r="AE1096" s="31"/>
      <c r="AF1096" s="31"/>
    </row>
    <row r="1097" spans="2:32" ht="15" customHeight="1"/>
    <row r="1098" spans="2:32" ht="15" customHeight="1"/>
    <row r="1099" spans="2:32" ht="15" customHeight="1"/>
    <row r="1100" spans="2:32" ht="15" customHeight="1">
      <c r="B1100" s="31"/>
      <c r="C1100" s="31"/>
      <c r="D1100" s="31"/>
      <c r="E1100" s="31"/>
      <c r="F1100" s="31"/>
      <c r="G1100" s="31"/>
      <c r="H1100" s="31"/>
      <c r="I1100" s="31"/>
      <c r="J1100" s="31"/>
      <c r="K1100" s="31"/>
      <c r="L1100" s="31"/>
      <c r="M1100" s="31"/>
      <c r="N1100" s="31"/>
      <c r="O1100" s="31"/>
      <c r="P1100" s="31"/>
      <c r="Q1100" s="31"/>
      <c r="R1100" s="31"/>
      <c r="S1100" s="31"/>
      <c r="T1100" s="31"/>
      <c r="U1100" s="31"/>
      <c r="V1100" s="31"/>
      <c r="W1100" s="31"/>
      <c r="X1100" s="31"/>
      <c r="Y1100" s="31"/>
      <c r="Z1100" s="31"/>
      <c r="AA1100" s="31"/>
      <c r="AB1100" s="31"/>
      <c r="AC1100" s="31"/>
      <c r="AD1100" s="31"/>
      <c r="AE1100" s="31"/>
      <c r="AF1100" s="31"/>
    </row>
    <row r="1101" spans="2:32" ht="15" customHeight="1">
      <c r="B1101" s="110"/>
      <c r="C1101" s="110"/>
      <c r="D1101" s="110"/>
      <c r="E1101" s="110"/>
      <c r="F1101" s="110"/>
      <c r="G1101" s="110"/>
      <c r="H1101" s="110"/>
      <c r="I1101" s="110"/>
      <c r="J1101" s="110"/>
      <c r="K1101" s="110"/>
      <c r="L1101" s="110"/>
      <c r="M1101" s="110"/>
      <c r="N1101" s="110"/>
      <c r="O1101" s="110"/>
      <c r="P1101" s="110"/>
      <c r="Q1101" s="110"/>
      <c r="R1101" s="110"/>
      <c r="S1101" s="110"/>
      <c r="T1101" s="110"/>
      <c r="U1101" s="110"/>
      <c r="V1101" s="110"/>
      <c r="W1101" s="110"/>
      <c r="X1101" s="110"/>
      <c r="Y1101" s="110"/>
      <c r="Z1101" s="110"/>
      <c r="AA1101" s="110"/>
      <c r="AB1101" s="110"/>
      <c r="AC1101" s="110"/>
      <c r="AD1101" s="110"/>
      <c r="AE1101" s="110"/>
      <c r="AF1101" s="110"/>
    </row>
    <row r="1102" spans="2:32" ht="15" customHeight="1"/>
    <row r="1103" spans="2:32" ht="15" customHeight="1"/>
    <row r="1104" spans="2:32" ht="15" customHeight="1"/>
    <row r="1105" ht="15" customHeight="1"/>
    <row r="1106" ht="15" customHeight="1"/>
    <row r="1107" ht="15" customHeight="1"/>
    <row r="1108" ht="15" customHeight="1"/>
    <row r="1109" ht="15" customHeight="1"/>
    <row r="1110" ht="15" customHeight="1"/>
    <row r="1111" ht="15" customHeight="1"/>
    <row r="1150" ht="15" customHeight="1"/>
    <row r="1151" ht="15" customHeight="1"/>
    <row r="1152" ht="15" customHeight="1"/>
    <row r="1153" ht="15" customHeight="1"/>
    <row r="1154" ht="15" customHeight="1"/>
    <row r="1155" ht="15" customHeight="1"/>
    <row r="1156" ht="15" customHeight="1"/>
    <row r="1157" ht="15" customHeight="1"/>
    <row r="1158" ht="15" customHeight="1"/>
    <row r="1159" ht="15" customHeight="1"/>
    <row r="1160" ht="15" customHeight="1"/>
    <row r="1161" ht="15" customHeight="1"/>
    <row r="1162" ht="15" customHeight="1"/>
    <row r="1163" ht="15" customHeight="1"/>
    <row r="1164" ht="15" customHeight="1"/>
    <row r="1165" ht="15" customHeight="1"/>
    <row r="1166" ht="15" customHeight="1"/>
    <row r="1167" ht="15" customHeight="1"/>
    <row r="1168" ht="15" customHeight="1"/>
    <row r="1170" ht="15" customHeight="1"/>
    <row r="1171" ht="15" customHeight="1"/>
    <row r="1172" ht="15" customHeight="1"/>
    <row r="1173" ht="15" customHeight="1"/>
    <row r="1174" ht="15" customHeight="1"/>
    <row r="1175" ht="15" customHeight="1"/>
    <row r="1176" ht="15" customHeight="1"/>
    <row r="1177" ht="15" customHeight="1"/>
    <row r="1178" ht="15" customHeight="1"/>
    <row r="1179" ht="15" customHeight="1"/>
    <row r="1180" ht="15" customHeight="1"/>
    <row r="1181" ht="15" customHeight="1"/>
    <row r="1182" ht="15" customHeight="1"/>
    <row r="1183" ht="15" customHeight="1"/>
    <row r="1184" ht="15" customHeight="1"/>
    <row r="1185" ht="15" customHeight="1"/>
    <row r="1186" ht="15" customHeight="1"/>
    <row r="1187" ht="15" customHeight="1"/>
    <row r="1188" ht="15" customHeight="1"/>
    <row r="1189" ht="15" customHeight="1"/>
    <row r="1190" ht="15" customHeight="1"/>
    <row r="1191" ht="15" customHeight="1"/>
    <row r="1192" ht="15" customHeight="1"/>
    <row r="1194" ht="15" customHeight="1"/>
    <row r="1195" ht="15" customHeight="1"/>
    <row r="1196" ht="15" customHeight="1"/>
    <row r="1197" ht="15" customHeight="1"/>
    <row r="1198" ht="15" customHeight="1"/>
    <row r="1199" ht="15" customHeight="1"/>
    <row r="1200" ht="15" customHeight="1"/>
    <row r="1201" ht="15" customHeight="1"/>
    <row r="1202" ht="15" customHeight="1"/>
    <row r="1203" ht="15" customHeight="1"/>
    <row r="1204" ht="15" customHeight="1"/>
    <row r="1205" ht="15" customHeight="1"/>
    <row r="1206" ht="15" customHeight="1"/>
    <row r="1207" ht="15" customHeight="1"/>
    <row r="1208" ht="15" customHeight="1"/>
    <row r="1209" ht="15" customHeight="1"/>
    <row r="1211" ht="15" customHeight="1"/>
    <row r="1212" ht="15" customHeight="1"/>
    <row r="1213" ht="15" customHeight="1"/>
    <row r="1214" ht="15" customHeight="1"/>
    <row r="1215" ht="15" customHeight="1"/>
    <row r="1216" ht="15" customHeight="1"/>
    <row r="1217" spans="2:32" ht="15" customHeight="1"/>
    <row r="1218" spans="2:32" ht="15" customHeight="1"/>
    <row r="1219" spans="2:32" ht="15" customHeight="1"/>
    <row r="1220" spans="2:32" ht="15" customHeight="1"/>
    <row r="1221" spans="2:32" ht="15" customHeight="1"/>
    <row r="1222" spans="2:32" ht="15" customHeight="1"/>
    <row r="1223" spans="2:32" ht="15" customHeight="1"/>
    <row r="1224" spans="2:32" ht="15" customHeight="1"/>
    <row r="1225" spans="2:32" ht="15" customHeight="1"/>
    <row r="1226" spans="2:32" ht="15" customHeight="1"/>
    <row r="1227" spans="2:32" ht="15" customHeight="1"/>
    <row r="1228" spans="2:32" ht="15" customHeight="1">
      <c r="B1228" s="31"/>
      <c r="C1228" s="31"/>
      <c r="D1228" s="31"/>
      <c r="E1228" s="31"/>
      <c r="F1228" s="31"/>
      <c r="G1228" s="31"/>
      <c r="H1228" s="31"/>
      <c r="I1228" s="31"/>
      <c r="J1228" s="31"/>
      <c r="K1228" s="31"/>
      <c r="L1228" s="31"/>
      <c r="M1228" s="31"/>
      <c r="N1228" s="31"/>
      <c r="O1228" s="31"/>
      <c r="P1228" s="31"/>
      <c r="Q1228" s="31"/>
      <c r="R1228" s="31"/>
      <c r="S1228" s="31"/>
      <c r="T1228" s="31"/>
      <c r="U1228" s="31"/>
      <c r="V1228" s="31"/>
      <c r="W1228" s="31"/>
      <c r="X1228" s="31"/>
      <c r="Y1228" s="31"/>
      <c r="Z1228" s="31"/>
      <c r="AA1228" s="31"/>
      <c r="AB1228" s="31"/>
      <c r="AC1228" s="31"/>
      <c r="AD1228" s="31"/>
      <c r="AE1228" s="31"/>
      <c r="AF1228" s="31"/>
    </row>
    <row r="1229" spans="2:32" ht="15" customHeight="1">
      <c r="B1229" s="110"/>
      <c r="C1229" s="110"/>
      <c r="D1229" s="110"/>
      <c r="E1229" s="110"/>
      <c r="F1229" s="110"/>
      <c r="G1229" s="110"/>
      <c r="H1229" s="110"/>
      <c r="I1229" s="110"/>
      <c r="J1229" s="110"/>
      <c r="K1229" s="110"/>
      <c r="L1229" s="110"/>
      <c r="M1229" s="110"/>
      <c r="N1229" s="110"/>
      <c r="O1229" s="110"/>
      <c r="P1229" s="110"/>
      <c r="Q1229" s="110"/>
      <c r="R1229" s="110"/>
      <c r="S1229" s="110"/>
      <c r="T1229" s="110"/>
      <c r="U1229" s="110"/>
      <c r="V1229" s="110"/>
      <c r="W1229" s="110"/>
      <c r="X1229" s="110"/>
      <c r="Y1229" s="110"/>
      <c r="Z1229" s="110"/>
      <c r="AA1229" s="110"/>
      <c r="AB1229" s="110"/>
      <c r="AC1229" s="110"/>
      <c r="AD1229" s="110"/>
      <c r="AE1229" s="110"/>
      <c r="AF1229" s="110"/>
    </row>
    <row r="1230" spans="2:32" ht="15" customHeight="1"/>
    <row r="1231" spans="2:32" ht="15" customHeight="1"/>
    <row r="1232" spans="2:32" ht="15" customHeight="1"/>
    <row r="1233" ht="15" customHeight="1"/>
    <row r="1234" ht="15" customHeight="1"/>
    <row r="1235" ht="15" customHeight="1"/>
    <row r="1236" ht="15" customHeight="1"/>
    <row r="1237" ht="15" customHeight="1"/>
    <row r="1300" ht="15" customHeight="1"/>
    <row r="1301" ht="15" customHeight="1"/>
    <row r="1302" ht="15" customHeight="1"/>
    <row r="1303" ht="15" customHeight="1"/>
    <row r="1304" ht="15" customHeight="1"/>
    <row r="1305" ht="15" customHeight="1"/>
    <row r="1307" ht="15" customHeight="1"/>
    <row r="1308" ht="15" customHeight="1"/>
    <row r="1309" ht="15" customHeight="1"/>
    <row r="1310" ht="15" customHeight="1"/>
    <row r="1311" ht="15" customHeight="1"/>
    <row r="1312" ht="15" customHeight="1"/>
    <row r="1313" ht="15" customHeight="1"/>
    <row r="1314" ht="15" customHeight="1"/>
    <row r="1315" ht="15" customHeight="1"/>
    <row r="1316" ht="15" customHeight="1"/>
    <row r="1317" ht="15" customHeight="1"/>
    <row r="1318" ht="15" customHeight="1"/>
    <row r="1319" ht="15" customHeight="1"/>
    <row r="1320" ht="15" customHeight="1"/>
    <row r="1321" ht="15" customHeight="1"/>
    <row r="1322" ht="15" customHeight="1"/>
    <row r="1323" ht="15" customHeight="1"/>
    <row r="1324" ht="15" customHeight="1"/>
    <row r="1325" ht="15" customHeight="1"/>
    <row r="1327" ht="15" customHeight="1"/>
    <row r="1329" ht="15" customHeight="1"/>
    <row r="1330" ht="15" customHeight="1"/>
    <row r="1331" ht="15" customHeight="1"/>
    <row r="1332" ht="15" customHeight="1"/>
    <row r="1333" ht="15" customHeight="1"/>
    <row r="1334" ht="15" customHeight="1"/>
    <row r="1335" ht="15" customHeight="1"/>
    <row r="1336" ht="15" customHeight="1"/>
    <row r="1337" ht="15" customHeight="1"/>
    <row r="1338" ht="15" customHeight="1"/>
    <row r="1340" ht="15" customHeight="1"/>
    <row r="1341" ht="15" customHeight="1"/>
    <row r="1342" ht="15" customHeight="1"/>
    <row r="1343" ht="15" customHeight="1"/>
    <row r="1344" ht="15" customHeight="1"/>
    <row r="1345" ht="15" customHeight="1"/>
    <row r="1346" ht="15" customHeight="1"/>
    <row r="1347" ht="15" customHeight="1"/>
    <row r="1348" ht="15" customHeight="1"/>
    <row r="1350" ht="15" customHeight="1"/>
    <row r="1352" ht="15" customHeight="1"/>
    <row r="1353" ht="15" customHeight="1"/>
    <row r="1354" ht="15" customHeight="1"/>
    <row r="1355" ht="15" customHeight="1"/>
    <row r="1356" ht="15" customHeight="1"/>
    <row r="1357" ht="15" customHeight="1"/>
    <row r="1358" ht="15" customHeight="1"/>
    <row r="1359" ht="15" customHeight="1"/>
    <row r="1361" ht="15" customHeight="1"/>
    <row r="1362" ht="15" customHeight="1"/>
    <row r="1363" ht="15" customHeight="1"/>
    <row r="1364" ht="15" customHeight="1"/>
    <row r="1365" ht="15" customHeight="1"/>
    <row r="1366" ht="15" customHeight="1"/>
    <row r="1367" ht="15" customHeight="1"/>
    <row r="1368" ht="15" customHeight="1"/>
    <row r="1369" ht="15" customHeight="1"/>
    <row r="1370" ht="15" customHeight="1"/>
    <row r="1371" ht="15" customHeight="1"/>
    <row r="1372" ht="15" customHeight="1"/>
    <row r="1373" ht="15" customHeight="1"/>
    <row r="1375" ht="15" customHeight="1"/>
    <row r="1376" ht="15" customHeight="1"/>
    <row r="1377" spans="2:32" ht="15" customHeight="1"/>
    <row r="1378" spans="2:32" ht="15" customHeight="1"/>
    <row r="1379" spans="2:32" ht="15" customHeight="1"/>
    <row r="1380" spans="2:32" ht="15" customHeight="1"/>
    <row r="1381" spans="2:32" ht="15" customHeight="1"/>
    <row r="1382" spans="2:32" ht="15" customHeight="1"/>
    <row r="1383" spans="2:32" ht="15" customHeight="1"/>
    <row r="1384" spans="2:32">
      <c r="B1384" s="31"/>
      <c r="C1384" s="31"/>
      <c r="D1384" s="31"/>
      <c r="E1384" s="31"/>
      <c r="F1384" s="31"/>
      <c r="G1384" s="31"/>
      <c r="H1384" s="31"/>
      <c r="I1384" s="31"/>
      <c r="J1384" s="31"/>
      <c r="K1384" s="31"/>
      <c r="L1384" s="31"/>
      <c r="M1384" s="31"/>
      <c r="N1384" s="31"/>
      <c r="O1384" s="31"/>
      <c r="P1384" s="31"/>
      <c r="Q1384" s="31"/>
      <c r="R1384" s="31"/>
      <c r="S1384" s="31"/>
      <c r="T1384" s="31"/>
      <c r="U1384" s="31"/>
      <c r="V1384" s="31"/>
      <c r="W1384" s="31"/>
      <c r="X1384" s="31"/>
      <c r="Y1384" s="31"/>
      <c r="Z1384" s="31"/>
      <c r="AA1384" s="31"/>
      <c r="AB1384" s="31"/>
      <c r="AC1384" s="31"/>
      <c r="AD1384" s="31"/>
      <c r="AE1384" s="31"/>
      <c r="AF1384" s="31"/>
    </row>
    <row r="1385" spans="2:32" ht="15" customHeight="1"/>
    <row r="1386" spans="2:32" ht="15" customHeight="1"/>
    <row r="1387" spans="2:32" ht="15" customHeight="1"/>
    <row r="1388" spans="2:32" ht="15" customHeight="1"/>
    <row r="1389" spans="2:32" ht="15" customHeight="1">
      <c r="B1389" s="31"/>
      <c r="C1389" s="31"/>
      <c r="D1389" s="31"/>
      <c r="E1389" s="31"/>
      <c r="F1389" s="31"/>
      <c r="G1389" s="31"/>
      <c r="H1389" s="31"/>
      <c r="I1389" s="31"/>
      <c r="J1389" s="31"/>
      <c r="K1389" s="31"/>
      <c r="L1389" s="31"/>
      <c r="M1389" s="31"/>
      <c r="N1389" s="31"/>
      <c r="O1389" s="31"/>
      <c r="P1389" s="31"/>
      <c r="Q1389" s="31"/>
      <c r="R1389" s="31"/>
      <c r="S1389" s="31"/>
      <c r="T1389" s="31"/>
      <c r="U1389" s="31"/>
      <c r="V1389" s="31"/>
      <c r="W1389" s="31"/>
      <c r="X1389" s="31"/>
      <c r="Y1389" s="31"/>
      <c r="Z1389" s="31"/>
      <c r="AA1389" s="31"/>
      <c r="AB1389" s="31"/>
      <c r="AC1389" s="31"/>
      <c r="AD1389" s="31"/>
      <c r="AE1389" s="31"/>
      <c r="AF1389" s="31"/>
    </row>
    <row r="1390" spans="2:32" ht="15" customHeight="1">
      <c r="B1390" s="110"/>
      <c r="C1390" s="110"/>
      <c r="D1390" s="110"/>
      <c r="E1390" s="110"/>
      <c r="F1390" s="110"/>
      <c r="G1390" s="110"/>
      <c r="H1390" s="110"/>
      <c r="I1390" s="110"/>
      <c r="J1390" s="110"/>
      <c r="K1390" s="110"/>
      <c r="L1390" s="110"/>
      <c r="M1390" s="110"/>
      <c r="N1390" s="110"/>
      <c r="O1390" s="110"/>
      <c r="P1390" s="110"/>
      <c r="Q1390" s="110"/>
      <c r="R1390" s="110"/>
      <c r="S1390" s="110"/>
      <c r="T1390" s="110"/>
      <c r="U1390" s="110"/>
      <c r="V1390" s="110"/>
      <c r="W1390" s="110"/>
      <c r="X1390" s="110"/>
      <c r="Y1390" s="110"/>
      <c r="Z1390" s="110"/>
      <c r="AA1390" s="110"/>
      <c r="AB1390" s="110"/>
      <c r="AC1390" s="110"/>
      <c r="AD1390" s="110"/>
      <c r="AE1390" s="110"/>
      <c r="AF1390" s="110"/>
    </row>
    <row r="1391" spans="2:32" ht="15" customHeight="1"/>
    <row r="1392" spans="2:32" ht="15" customHeight="1"/>
    <row r="1393" ht="15" customHeight="1"/>
    <row r="1394" ht="15" customHeight="1"/>
    <row r="1395" ht="15" customHeight="1"/>
    <row r="1396" ht="15" customHeight="1"/>
    <row r="1397" ht="15" customHeight="1"/>
    <row r="1398" ht="15" customHeight="1"/>
    <row r="1399" ht="15" customHeight="1"/>
    <row r="1400" ht="15" customHeight="1"/>
    <row r="1401" ht="15" customHeight="1"/>
    <row r="1402" ht="15" customHeight="1"/>
    <row r="1403" ht="15" customHeight="1"/>
    <row r="1404" ht="15" customHeight="1"/>
    <row r="1405" ht="15" customHeight="1"/>
    <row r="1406" ht="15" customHeight="1"/>
    <row r="1407" ht="15" customHeight="1"/>
    <row r="1408" ht="15" customHeight="1"/>
    <row r="1409" ht="15" customHeight="1"/>
    <row r="1410" ht="15" customHeight="1"/>
    <row r="1425" ht="15" customHeight="1"/>
    <row r="1426" ht="15" customHeight="1"/>
    <row r="1427" ht="15" customHeight="1"/>
    <row r="1428" ht="15" customHeight="1"/>
    <row r="1429" ht="15" customHeight="1"/>
    <row r="1430" ht="15" customHeight="1"/>
    <row r="1431" ht="15" customHeight="1"/>
    <row r="1432" ht="15" customHeight="1"/>
    <row r="1433" ht="15" customHeight="1"/>
    <row r="1434" ht="15" customHeight="1"/>
    <row r="1435" ht="15" customHeight="1"/>
    <row r="1436" ht="15" customHeight="1"/>
    <row r="1437" ht="15" customHeight="1"/>
    <row r="1438" ht="15" customHeight="1"/>
    <row r="1439" ht="15" customHeight="1"/>
    <row r="1440" ht="15" customHeight="1"/>
    <row r="1441" ht="15" customHeight="1"/>
    <row r="1442" ht="15" customHeight="1"/>
    <row r="1443" ht="15" customHeight="1"/>
    <row r="1444" ht="15" customHeight="1"/>
    <row r="1445" ht="15" customHeight="1"/>
    <row r="1446" ht="15" customHeight="1"/>
    <row r="1447" ht="15" customHeight="1"/>
    <row r="1448" ht="15" customHeight="1"/>
    <row r="1449" ht="15" customHeight="1"/>
    <row r="1451" ht="15" customHeight="1"/>
    <row r="1452" ht="15" customHeight="1"/>
    <row r="1453" ht="15" customHeight="1"/>
    <row r="1454" ht="15" customHeight="1"/>
    <row r="1455" ht="15" customHeight="1"/>
    <row r="1456" ht="15" customHeight="1"/>
    <row r="1457" ht="15" customHeight="1"/>
    <row r="1458" ht="15" customHeight="1"/>
    <row r="1459" ht="15" customHeight="1"/>
    <row r="1460" ht="15" customHeight="1"/>
    <row r="1461" ht="15" customHeight="1"/>
    <row r="1462" ht="15" customHeight="1"/>
    <row r="1463" ht="15" customHeight="1"/>
    <row r="1464" ht="15" customHeight="1"/>
    <row r="1465" ht="15" customHeight="1"/>
    <row r="1466" ht="15" customHeight="1"/>
    <row r="1467" ht="15" customHeight="1"/>
    <row r="1468" ht="15" customHeight="1"/>
    <row r="1469" ht="15" customHeight="1"/>
    <row r="1470" ht="15" customHeight="1"/>
    <row r="1471" ht="15" customHeight="1"/>
    <row r="1472" ht="15" customHeight="1"/>
    <row r="1473" ht="15" customHeight="1"/>
    <row r="1474" ht="15" customHeight="1"/>
    <row r="1475" ht="15" customHeight="1"/>
    <row r="1477" ht="15" customHeight="1"/>
    <row r="1478" ht="15" customHeight="1"/>
    <row r="1479" ht="15" customHeight="1"/>
    <row r="1480" ht="15" customHeight="1"/>
    <row r="1481" ht="15" customHeight="1"/>
    <row r="1482" ht="15" customHeight="1"/>
    <row r="1483" ht="15" customHeight="1"/>
    <row r="1484" ht="15" customHeight="1"/>
    <row r="1485" ht="15" customHeight="1"/>
    <row r="1486" ht="15" customHeight="1"/>
    <row r="1487" ht="15" customHeight="1"/>
    <row r="1489" spans="2:32" ht="15" customHeight="1"/>
    <row r="1490" spans="2:32">
      <c r="B1490" s="31"/>
      <c r="C1490" s="31"/>
      <c r="D1490" s="31"/>
      <c r="E1490" s="31"/>
      <c r="F1490" s="31"/>
      <c r="G1490" s="31"/>
      <c r="H1490" s="31"/>
      <c r="I1490" s="31"/>
      <c r="J1490" s="31"/>
      <c r="K1490" s="31"/>
      <c r="L1490" s="31"/>
      <c r="M1490" s="31"/>
      <c r="N1490" s="31"/>
      <c r="O1490" s="31"/>
      <c r="P1490" s="31"/>
      <c r="Q1490" s="31"/>
      <c r="R1490" s="31"/>
      <c r="S1490" s="31"/>
      <c r="T1490" s="31"/>
      <c r="U1490" s="31"/>
      <c r="V1490" s="31"/>
      <c r="W1490" s="31"/>
      <c r="X1490" s="31"/>
      <c r="Y1490" s="31"/>
      <c r="Z1490" s="31"/>
      <c r="AA1490" s="31"/>
      <c r="AB1490" s="31"/>
      <c r="AC1490" s="31"/>
      <c r="AD1490" s="31"/>
      <c r="AE1490" s="31"/>
      <c r="AF1490" s="31"/>
    </row>
    <row r="1491" spans="2:32" ht="15" customHeight="1"/>
    <row r="1492" spans="2:32" ht="15" customHeight="1"/>
    <row r="1493" spans="2:32" ht="15" customHeight="1"/>
    <row r="1494" spans="2:32" ht="15" customHeight="1"/>
    <row r="1495" spans="2:32" ht="15" customHeight="1"/>
    <row r="1496" spans="2:32" ht="15" customHeight="1"/>
    <row r="1497" spans="2:32" ht="15" customHeight="1"/>
    <row r="1498" spans="2:32" ht="15" customHeight="1"/>
    <row r="1499" spans="2:32">
      <c r="B1499" s="31"/>
      <c r="C1499" s="31"/>
      <c r="D1499" s="31"/>
      <c r="E1499" s="31"/>
      <c r="F1499" s="31"/>
      <c r="G1499" s="31"/>
      <c r="H1499" s="31"/>
      <c r="I1499" s="31"/>
      <c r="J1499" s="31"/>
      <c r="K1499" s="31"/>
      <c r="L1499" s="31"/>
      <c r="M1499" s="31"/>
      <c r="N1499" s="31"/>
      <c r="O1499" s="31"/>
      <c r="P1499" s="31"/>
      <c r="Q1499" s="31"/>
      <c r="R1499" s="31"/>
      <c r="S1499" s="31"/>
      <c r="T1499" s="31"/>
      <c r="U1499" s="31"/>
      <c r="V1499" s="31"/>
      <c r="W1499" s="31"/>
      <c r="X1499" s="31"/>
      <c r="Y1499" s="31"/>
      <c r="Z1499" s="31"/>
      <c r="AA1499" s="31"/>
      <c r="AB1499" s="31"/>
      <c r="AC1499" s="31"/>
      <c r="AD1499" s="31"/>
      <c r="AE1499" s="31"/>
      <c r="AF1499" s="31"/>
    </row>
    <row r="1500" spans="2:32" ht="15" customHeight="1"/>
    <row r="1501" spans="2:32" ht="15" customHeight="1">
      <c r="B1501" s="31"/>
      <c r="C1501" s="31"/>
      <c r="D1501" s="31"/>
      <c r="E1501" s="31"/>
      <c r="F1501" s="31"/>
      <c r="G1501" s="31"/>
      <c r="H1501" s="31"/>
      <c r="I1501" s="31"/>
      <c r="J1501" s="31"/>
      <c r="K1501" s="31"/>
      <c r="L1501" s="31"/>
      <c r="M1501" s="31"/>
      <c r="N1501" s="31"/>
      <c r="O1501" s="31"/>
      <c r="P1501" s="31"/>
      <c r="Q1501" s="31"/>
      <c r="R1501" s="31"/>
      <c r="S1501" s="31"/>
      <c r="T1501" s="31"/>
      <c r="U1501" s="31"/>
      <c r="V1501" s="31"/>
      <c r="W1501" s="31"/>
      <c r="X1501" s="31"/>
      <c r="Y1501" s="31"/>
      <c r="Z1501" s="31"/>
      <c r="AA1501" s="31"/>
      <c r="AB1501" s="31"/>
      <c r="AC1501" s="31"/>
      <c r="AD1501" s="31"/>
      <c r="AE1501" s="31"/>
      <c r="AF1501" s="31"/>
    </row>
    <row r="1502" spans="2:32" ht="15" customHeight="1">
      <c r="B1502" s="110"/>
      <c r="C1502" s="110"/>
      <c r="D1502" s="110"/>
      <c r="E1502" s="110"/>
      <c r="F1502" s="110"/>
      <c r="G1502" s="110"/>
      <c r="H1502" s="110"/>
      <c r="I1502" s="110"/>
      <c r="J1502" s="110"/>
      <c r="K1502" s="110"/>
      <c r="L1502" s="110"/>
      <c r="M1502" s="110"/>
      <c r="N1502" s="110"/>
      <c r="O1502" s="110"/>
      <c r="P1502" s="110"/>
      <c r="Q1502" s="110"/>
      <c r="R1502" s="110"/>
      <c r="S1502" s="110"/>
      <c r="T1502" s="110"/>
      <c r="U1502" s="110"/>
      <c r="V1502" s="110"/>
      <c r="W1502" s="110"/>
      <c r="X1502" s="110"/>
      <c r="Y1502" s="110"/>
      <c r="Z1502" s="110"/>
      <c r="AA1502" s="110"/>
      <c r="AB1502" s="110"/>
      <c r="AC1502" s="110"/>
      <c r="AD1502" s="110"/>
      <c r="AE1502" s="110"/>
      <c r="AF1502" s="110"/>
    </row>
    <row r="1503" spans="2:32" ht="15" customHeight="1"/>
    <row r="1504" spans="2:32" ht="15" customHeight="1"/>
    <row r="1505" ht="15" customHeight="1"/>
    <row r="1506" ht="15" customHeight="1"/>
    <row r="1507" ht="15" customHeight="1"/>
    <row r="1508" ht="15" customHeight="1"/>
    <row r="1509" ht="15" customHeight="1"/>
    <row r="1510" ht="15" customHeight="1"/>
    <row r="1511" ht="15" customHeight="1"/>
    <row r="1512" ht="15" customHeight="1"/>
    <row r="1513" ht="15" customHeight="1"/>
    <row r="1514" ht="15" customHeight="1"/>
    <row r="1515" ht="15" customHeight="1"/>
    <row r="1516" ht="15" customHeight="1"/>
    <row r="1517" ht="15" customHeight="1"/>
    <row r="1518" ht="15" customHeight="1"/>
    <row r="1519" ht="15" customHeight="1"/>
    <row r="1520" ht="15" customHeight="1"/>
    <row r="1521" ht="15" customHeight="1"/>
    <row r="1522" ht="15" customHeight="1"/>
    <row r="1523" ht="15" customHeight="1"/>
    <row r="1524" ht="15" customHeight="1"/>
    <row r="1525" ht="15" customHeight="1"/>
    <row r="1526" ht="15" customHeight="1"/>
    <row r="1575" ht="15" customHeight="1"/>
    <row r="1576" ht="15" customHeight="1"/>
    <row r="1577" ht="15" customHeight="1"/>
    <row r="1578" ht="15" customHeight="1"/>
    <row r="1579" ht="15" customHeight="1"/>
    <row r="1580" ht="15" customHeight="1"/>
    <row r="1582" ht="15" customHeight="1"/>
    <row r="1583" ht="15" customHeight="1"/>
    <row r="1584" ht="15" customHeight="1"/>
    <row r="1585" ht="15" customHeight="1"/>
    <row r="1587" ht="15" customHeight="1"/>
    <row r="1588" ht="15" customHeight="1"/>
    <row r="1589" ht="15" customHeight="1"/>
    <row r="1590" ht="15" customHeight="1"/>
    <row r="1592" ht="15" customHeight="1"/>
    <row r="1594" ht="15" customHeight="1"/>
    <row r="1595" ht="15" customHeight="1"/>
    <row r="1596" ht="15" customHeight="1"/>
    <row r="1597" ht="15" customHeight="1"/>
    <row r="1599" ht="15" customHeight="1"/>
    <row r="1600" ht="15" customHeight="1"/>
    <row r="1601" spans="2:32" ht="15" customHeight="1"/>
    <row r="1602" spans="2:32" ht="15" customHeight="1"/>
    <row r="1603" spans="2:32" ht="15" customHeight="1">
      <c r="B1603" s="31"/>
      <c r="C1603" s="31"/>
      <c r="D1603" s="31"/>
      <c r="E1603" s="31"/>
      <c r="F1603" s="31"/>
      <c r="G1603" s="31"/>
      <c r="H1603" s="31"/>
      <c r="I1603" s="31"/>
      <c r="J1603" s="31"/>
      <c r="K1603" s="31"/>
      <c r="L1603" s="31"/>
      <c r="M1603" s="31"/>
      <c r="N1603" s="31"/>
      <c r="O1603" s="31"/>
      <c r="P1603" s="31"/>
      <c r="Q1603" s="31"/>
      <c r="R1603" s="31"/>
      <c r="S1603" s="31"/>
      <c r="T1603" s="31"/>
      <c r="U1603" s="31"/>
      <c r="V1603" s="31"/>
      <c r="W1603" s="31"/>
      <c r="X1603" s="31"/>
      <c r="Y1603" s="31"/>
      <c r="Z1603" s="31"/>
      <c r="AA1603" s="31"/>
      <c r="AB1603" s="31"/>
      <c r="AC1603" s="31"/>
      <c r="AD1603" s="31"/>
      <c r="AE1603" s="31"/>
      <c r="AF1603" s="31"/>
    </row>
    <row r="1604" spans="2:32" ht="15" customHeight="1">
      <c r="B1604" s="110"/>
      <c r="C1604" s="110"/>
      <c r="D1604" s="110"/>
      <c r="E1604" s="110"/>
      <c r="F1604" s="110"/>
      <c r="G1604" s="110"/>
      <c r="H1604" s="110"/>
      <c r="I1604" s="110"/>
      <c r="J1604" s="110"/>
      <c r="K1604" s="110"/>
      <c r="L1604" s="110"/>
      <c r="M1604" s="110"/>
      <c r="N1604" s="110"/>
      <c r="O1604" s="110"/>
      <c r="P1604" s="110"/>
      <c r="Q1604" s="110"/>
      <c r="R1604" s="110"/>
      <c r="S1604" s="110"/>
      <c r="T1604" s="110"/>
      <c r="U1604" s="110"/>
      <c r="V1604" s="110"/>
      <c r="W1604" s="110"/>
      <c r="X1604" s="110"/>
      <c r="Y1604" s="110"/>
      <c r="Z1604" s="110"/>
      <c r="AA1604" s="110"/>
      <c r="AB1604" s="110"/>
      <c r="AC1604" s="110"/>
      <c r="AD1604" s="110"/>
      <c r="AE1604" s="110"/>
      <c r="AF1604" s="110"/>
    </row>
    <row r="1605" spans="2:32" ht="15" customHeight="1"/>
    <row r="1606" spans="2:32" ht="15" customHeight="1"/>
    <row r="1607" spans="2:32" ht="15" customHeight="1"/>
    <row r="1608" spans="2:32" ht="15" customHeight="1"/>
    <row r="1609" spans="2:32" ht="15" customHeight="1"/>
    <row r="1610" spans="2:32" ht="15" customHeight="1"/>
    <row r="1612" spans="2:32">
      <c r="B1612" s="31"/>
      <c r="C1612" s="31"/>
      <c r="D1612" s="31"/>
      <c r="E1612" s="31"/>
      <c r="F1612" s="31"/>
      <c r="G1612" s="31"/>
      <c r="H1612" s="31"/>
      <c r="I1612" s="31"/>
      <c r="J1612" s="31"/>
      <c r="K1612" s="31"/>
      <c r="L1612" s="31"/>
      <c r="M1612" s="31"/>
      <c r="N1612" s="31"/>
      <c r="O1612" s="31"/>
      <c r="P1612" s="31"/>
      <c r="Q1612" s="31"/>
      <c r="R1612" s="31"/>
      <c r="S1612" s="31"/>
      <c r="T1612" s="31"/>
      <c r="U1612" s="31"/>
      <c r="V1612" s="31"/>
      <c r="W1612" s="31"/>
      <c r="X1612" s="31"/>
      <c r="Y1612" s="31"/>
      <c r="Z1612" s="31"/>
      <c r="AA1612" s="31"/>
      <c r="AB1612" s="31"/>
      <c r="AC1612" s="31"/>
      <c r="AD1612" s="31"/>
      <c r="AE1612" s="31"/>
      <c r="AF1612" s="31"/>
    </row>
    <row r="1613" spans="2:32">
      <c r="B1613" s="31"/>
      <c r="C1613" s="31"/>
      <c r="D1613" s="31"/>
      <c r="E1613" s="31"/>
      <c r="F1613" s="31"/>
      <c r="G1613" s="31"/>
      <c r="H1613" s="31"/>
      <c r="I1613" s="31"/>
      <c r="J1613" s="31"/>
      <c r="K1613" s="31"/>
      <c r="L1613" s="31"/>
      <c r="M1613" s="31"/>
      <c r="N1613" s="31"/>
      <c r="O1613" s="31"/>
      <c r="P1613" s="31"/>
      <c r="Q1613" s="31"/>
      <c r="R1613" s="31"/>
      <c r="S1613" s="31"/>
      <c r="T1613" s="31"/>
      <c r="U1613" s="31"/>
      <c r="V1613" s="31"/>
      <c r="W1613" s="31"/>
      <c r="X1613" s="31"/>
      <c r="Y1613" s="31"/>
      <c r="Z1613" s="31"/>
      <c r="AA1613" s="31"/>
      <c r="AB1613" s="31"/>
      <c r="AC1613" s="31"/>
      <c r="AD1613" s="31"/>
      <c r="AE1613" s="31"/>
      <c r="AF1613" s="31"/>
    </row>
    <row r="1614" spans="2:32">
      <c r="B1614" s="31"/>
      <c r="C1614" s="31"/>
      <c r="D1614" s="31"/>
      <c r="E1614" s="31"/>
      <c r="F1614" s="31"/>
      <c r="G1614" s="31"/>
      <c r="H1614" s="31"/>
      <c r="I1614" s="31"/>
      <c r="J1614" s="31"/>
      <c r="K1614" s="31"/>
      <c r="L1614" s="31"/>
      <c r="M1614" s="31"/>
      <c r="N1614" s="31"/>
      <c r="O1614" s="31"/>
      <c r="P1614" s="31"/>
      <c r="Q1614" s="31"/>
      <c r="R1614" s="31"/>
      <c r="S1614" s="31"/>
      <c r="T1614" s="31"/>
      <c r="U1614" s="31"/>
      <c r="V1614" s="31"/>
      <c r="W1614" s="31"/>
      <c r="X1614" s="31"/>
      <c r="Y1614" s="31"/>
      <c r="Z1614" s="31"/>
      <c r="AA1614" s="31"/>
      <c r="AB1614" s="31"/>
      <c r="AC1614" s="31"/>
      <c r="AD1614" s="31"/>
      <c r="AE1614" s="31"/>
      <c r="AF1614" s="31"/>
    </row>
    <row r="1615" spans="2:32">
      <c r="B1615" s="31"/>
      <c r="C1615" s="31"/>
      <c r="D1615" s="31"/>
      <c r="E1615" s="31"/>
      <c r="F1615" s="31"/>
      <c r="G1615" s="31"/>
      <c r="H1615" s="31"/>
      <c r="I1615" s="31"/>
      <c r="J1615" s="31"/>
      <c r="K1615" s="31"/>
      <c r="L1615" s="31"/>
      <c r="M1615" s="31"/>
      <c r="N1615" s="31"/>
      <c r="O1615" s="31"/>
      <c r="P1615" s="31"/>
      <c r="Q1615" s="31"/>
      <c r="R1615" s="31"/>
      <c r="S1615" s="31"/>
      <c r="T1615" s="31"/>
      <c r="U1615" s="31"/>
      <c r="V1615" s="31"/>
      <c r="W1615" s="31"/>
      <c r="X1615" s="31"/>
      <c r="Y1615" s="31"/>
      <c r="Z1615" s="31"/>
      <c r="AA1615" s="31"/>
      <c r="AB1615" s="31"/>
      <c r="AC1615" s="31"/>
      <c r="AD1615" s="31"/>
      <c r="AE1615" s="31"/>
      <c r="AF1615" s="31"/>
    </row>
    <row r="1616" spans="2:32">
      <c r="B1616" s="31"/>
      <c r="C1616" s="31"/>
      <c r="D1616" s="31"/>
      <c r="E1616" s="31"/>
      <c r="F1616" s="31"/>
      <c r="G1616" s="31"/>
      <c r="H1616" s="31"/>
      <c r="I1616" s="31"/>
      <c r="J1616" s="31"/>
      <c r="K1616" s="31"/>
      <c r="L1616" s="31"/>
      <c r="M1616" s="31"/>
      <c r="N1616" s="31"/>
      <c r="O1616" s="31"/>
      <c r="P1616" s="31"/>
      <c r="Q1616" s="31"/>
      <c r="R1616" s="31"/>
      <c r="S1616" s="31"/>
      <c r="T1616" s="31"/>
      <c r="U1616" s="31"/>
      <c r="V1616" s="31"/>
      <c r="W1616" s="31"/>
      <c r="X1616" s="31"/>
      <c r="Y1616" s="31"/>
      <c r="Z1616" s="31"/>
      <c r="AA1616" s="31"/>
      <c r="AB1616" s="31"/>
      <c r="AC1616" s="31"/>
      <c r="AD1616" s="31"/>
      <c r="AE1616" s="31"/>
      <c r="AF1616" s="31"/>
    </row>
    <row r="1625" ht="15" customHeight="1"/>
    <row r="1626" ht="15" customHeight="1"/>
    <row r="1627" ht="15" customHeight="1"/>
    <row r="1628" ht="15" customHeight="1"/>
    <row r="1629" ht="15" customHeight="1"/>
    <row r="1630" ht="15" customHeight="1"/>
    <row r="1631" ht="15" customHeight="1"/>
    <row r="1632" ht="15" customHeight="1"/>
    <row r="1633" ht="15" customHeight="1"/>
    <row r="1634" ht="15" customHeight="1"/>
    <row r="1635" ht="15" customHeight="1"/>
    <row r="1636" ht="15" customHeight="1"/>
    <row r="1637" ht="15" customHeight="1"/>
    <row r="1638" ht="15" customHeight="1"/>
    <row r="1640" ht="15" customHeight="1"/>
    <row r="1641" ht="15" customHeight="1"/>
    <row r="1642" ht="15" customHeight="1"/>
    <row r="1643" ht="15" customHeight="1"/>
    <row r="1644" ht="15" customHeight="1"/>
    <row r="1645" ht="15" customHeight="1"/>
    <row r="1646" ht="15" customHeight="1"/>
    <row r="1647" ht="15" customHeight="1"/>
    <row r="1648" ht="15" customHeight="1"/>
    <row r="1649" ht="15" customHeight="1"/>
    <row r="1650" ht="15" customHeight="1"/>
    <row r="1651" ht="15" customHeight="1"/>
    <row r="1652" ht="15" customHeight="1"/>
    <row r="1653" ht="15" customHeight="1"/>
    <row r="1654" ht="15" customHeight="1"/>
    <row r="1655" ht="15" customHeight="1"/>
    <row r="1656" ht="15" customHeight="1"/>
    <row r="1657" ht="15" customHeight="1"/>
    <row r="1658" ht="15" customHeight="1"/>
    <row r="1659" ht="15" customHeight="1"/>
    <row r="1660" ht="15" customHeight="1"/>
    <row r="1661" ht="15" customHeight="1"/>
    <row r="1662" ht="15" customHeight="1"/>
    <row r="1663" ht="15" customHeight="1"/>
    <row r="1665" ht="15" customHeight="1"/>
    <row r="1668" ht="15" customHeight="1"/>
    <row r="1669" ht="15" customHeight="1"/>
    <row r="1670" ht="15" customHeight="1"/>
    <row r="1671" ht="15" customHeight="1"/>
    <row r="1672" ht="15" customHeight="1"/>
    <row r="1673" ht="15" customHeight="1"/>
    <row r="1674" ht="15" customHeight="1"/>
    <row r="1675" ht="15" customHeight="1"/>
    <row r="1676" ht="15" customHeight="1"/>
    <row r="1677" ht="15" customHeight="1"/>
    <row r="1678" ht="15" customHeight="1"/>
    <row r="1679" ht="15" customHeight="1"/>
    <row r="1680" ht="15" customHeight="1"/>
    <row r="1681" ht="15" customHeight="1"/>
    <row r="1682" ht="15" customHeight="1"/>
    <row r="1683" ht="15" customHeight="1"/>
    <row r="1684" ht="15" customHeight="1"/>
    <row r="1686" ht="15" customHeight="1"/>
    <row r="1688" ht="15" customHeight="1"/>
    <row r="1689" ht="15" customHeight="1"/>
    <row r="1690" ht="15" customHeight="1"/>
    <row r="1691" ht="15" customHeight="1"/>
    <row r="1692" ht="15" customHeight="1"/>
    <row r="1693" ht="15" customHeight="1"/>
    <row r="1694" ht="15" customHeight="1"/>
    <row r="1695" ht="15" customHeight="1"/>
    <row r="1697" spans="2:32" ht="15" customHeight="1">
      <c r="B1697" s="31"/>
      <c r="C1697" s="31"/>
      <c r="D1697" s="31"/>
      <c r="E1697" s="31"/>
      <c r="F1697" s="31"/>
      <c r="G1697" s="31"/>
      <c r="H1697" s="31"/>
      <c r="I1697" s="31"/>
      <c r="J1697" s="31"/>
      <c r="K1697" s="31"/>
      <c r="L1697" s="31"/>
      <c r="M1697" s="31"/>
      <c r="N1697" s="31"/>
      <c r="O1697" s="31"/>
      <c r="P1697" s="31"/>
      <c r="Q1697" s="31"/>
      <c r="R1697" s="31"/>
      <c r="S1697" s="31"/>
      <c r="T1697" s="31"/>
      <c r="U1697" s="31"/>
      <c r="V1697" s="31"/>
      <c r="W1697" s="31"/>
      <c r="X1697" s="31"/>
      <c r="Y1697" s="31"/>
      <c r="Z1697" s="31"/>
      <c r="AA1697" s="31"/>
      <c r="AB1697" s="31"/>
      <c r="AC1697" s="31"/>
      <c r="AD1697" s="31"/>
      <c r="AE1697" s="31"/>
      <c r="AF1697" s="31"/>
    </row>
    <row r="1698" spans="2:32" ht="15" customHeight="1">
      <c r="B1698" s="31"/>
      <c r="C1698" s="31"/>
      <c r="D1698" s="31"/>
      <c r="E1698" s="31"/>
      <c r="F1698" s="31"/>
      <c r="G1698" s="31"/>
      <c r="H1698" s="31"/>
      <c r="I1698" s="31"/>
      <c r="J1698" s="31"/>
      <c r="K1698" s="31"/>
      <c r="L1698" s="31"/>
      <c r="M1698" s="31"/>
      <c r="N1698" s="31"/>
      <c r="O1698" s="31"/>
      <c r="P1698" s="31"/>
      <c r="Q1698" s="31"/>
      <c r="R1698" s="31"/>
      <c r="S1698" s="31"/>
      <c r="T1698" s="31"/>
      <c r="U1698" s="31"/>
      <c r="V1698" s="31"/>
      <c r="W1698" s="31"/>
      <c r="X1698" s="31"/>
      <c r="Y1698" s="31"/>
      <c r="Z1698" s="31"/>
      <c r="AA1698" s="31"/>
      <c r="AB1698" s="31"/>
      <c r="AC1698" s="31"/>
      <c r="AD1698" s="31"/>
      <c r="AE1698" s="31"/>
      <c r="AF1698" s="31"/>
    </row>
    <row r="1699" spans="2:32" ht="15" customHeight="1">
      <c r="B1699" s="110"/>
      <c r="C1699" s="110"/>
      <c r="D1699" s="110"/>
      <c r="E1699" s="110"/>
      <c r="F1699" s="110"/>
      <c r="G1699" s="110"/>
      <c r="H1699" s="110"/>
      <c r="I1699" s="110"/>
      <c r="J1699" s="110"/>
      <c r="K1699" s="110"/>
      <c r="L1699" s="110"/>
      <c r="M1699" s="110"/>
      <c r="N1699" s="110"/>
      <c r="O1699" s="110"/>
      <c r="P1699" s="110"/>
      <c r="Q1699" s="110"/>
      <c r="R1699" s="110"/>
      <c r="S1699" s="110"/>
      <c r="T1699" s="110"/>
      <c r="U1699" s="110"/>
      <c r="V1699" s="110"/>
      <c r="W1699" s="110"/>
      <c r="X1699" s="110"/>
      <c r="Y1699" s="110"/>
      <c r="Z1699" s="110"/>
      <c r="AA1699" s="110"/>
      <c r="AB1699" s="110"/>
      <c r="AC1699" s="110"/>
      <c r="AD1699" s="110"/>
      <c r="AE1699" s="110"/>
      <c r="AF1699" s="110"/>
    </row>
    <row r="1700" spans="2:32" ht="15" customHeight="1"/>
    <row r="1701" spans="2:32" ht="15" customHeight="1"/>
    <row r="1702" spans="2:32" ht="15" customHeight="1"/>
    <row r="1703" spans="2:32" ht="15" customHeight="1"/>
    <row r="1704" spans="2:32" ht="15" customHeight="1"/>
    <row r="1705" spans="2:32" ht="15" customHeight="1"/>
    <row r="1706" spans="2:32" ht="15" customHeight="1"/>
    <row r="1707" spans="2:32" ht="15" customHeight="1"/>
    <row r="1708" spans="2:32" ht="15" customHeight="1"/>
    <row r="1709" spans="2:32" ht="15" customHeight="1"/>
    <row r="1710" spans="2:32" ht="15" customHeight="1"/>
    <row r="1711" spans="2:32" ht="15" customHeight="1"/>
    <row r="1712" spans="2:32" ht="15" customHeight="1"/>
    <row r="1713" ht="15" customHeight="1"/>
    <row r="1714" ht="15" customHeight="1"/>
    <row r="1715" ht="15" customHeight="1"/>
    <row r="1716" ht="15" customHeight="1"/>
    <row r="1717" ht="15" customHeight="1"/>
    <row r="1718" ht="15" customHeight="1"/>
    <row r="1719" ht="15" customHeight="1"/>
    <row r="1720" ht="15" customHeight="1"/>
    <row r="1721" ht="15" customHeight="1"/>
    <row r="1722" ht="15" customHeight="1"/>
    <row r="1723" ht="15" customHeight="1"/>
    <row r="1724" ht="15" customHeight="1"/>
    <row r="1725" ht="15" customHeight="1"/>
    <row r="1726" ht="15" customHeight="1"/>
    <row r="1850" ht="15" customHeight="1"/>
    <row r="1851" ht="15" customHeight="1"/>
    <row r="1852" ht="15" customHeight="1"/>
    <row r="1853" ht="15" customHeight="1"/>
    <row r="1854" ht="15" customHeight="1"/>
    <row r="1855" ht="15" customHeight="1"/>
    <row r="1856" ht="15" customHeight="1"/>
    <row r="1857" ht="15" customHeight="1"/>
    <row r="1858" ht="15" customHeight="1"/>
    <row r="1859" ht="15" customHeight="1"/>
    <row r="1861" ht="15" customHeight="1"/>
    <row r="1863" ht="15" customHeight="1"/>
    <row r="1864" ht="15" customHeight="1"/>
    <row r="1865" ht="15" customHeight="1"/>
    <row r="1867" ht="15" customHeight="1"/>
    <row r="1868" ht="15" customHeight="1"/>
    <row r="1869" ht="15" customHeight="1"/>
    <row r="1870" ht="15" customHeight="1"/>
    <row r="1872" ht="15" customHeight="1"/>
    <row r="1873" ht="15" customHeight="1"/>
    <row r="1874" ht="15" customHeight="1"/>
    <row r="1875" ht="15" customHeight="1"/>
    <row r="1876" ht="15" customHeight="1"/>
    <row r="1878" ht="15" customHeight="1"/>
    <row r="1879" ht="15" customHeight="1"/>
    <row r="1880" ht="15" customHeight="1"/>
    <row r="1881" ht="15" customHeight="1"/>
    <row r="1882" ht="15" customHeight="1"/>
    <row r="1883" ht="15" customHeight="1"/>
    <row r="1884" ht="15" customHeight="1"/>
    <row r="1885" ht="15" customHeight="1"/>
    <row r="1886" ht="15" customHeight="1"/>
    <row r="1888" ht="15" customHeight="1"/>
    <row r="1889" ht="15" customHeight="1"/>
    <row r="1890" ht="15" customHeight="1"/>
    <row r="1891" ht="15" customHeight="1"/>
    <row r="1893" ht="15" customHeight="1"/>
    <row r="1894" ht="15" customHeight="1"/>
    <row r="1895" ht="15" customHeight="1"/>
    <row r="1896" ht="15" customHeight="1"/>
    <row r="1897" ht="15" customHeight="1"/>
    <row r="1898" ht="15" customHeight="1"/>
    <row r="1899" ht="15" customHeight="1"/>
    <row r="1900" ht="15" customHeight="1"/>
    <row r="1903" ht="15" customHeight="1"/>
    <row r="1904" ht="15" customHeight="1"/>
    <row r="1905" ht="15" customHeight="1"/>
    <row r="1906" ht="15" customHeight="1"/>
    <row r="1907" ht="15" customHeight="1"/>
    <row r="1909" ht="15" customHeight="1"/>
    <row r="1910" ht="15" customHeight="1"/>
    <row r="1911" ht="15" customHeight="1"/>
    <row r="1912" ht="15" customHeight="1"/>
    <row r="1913" ht="15" customHeight="1"/>
    <row r="1915" ht="15" customHeight="1"/>
    <row r="1916" ht="15" customHeight="1"/>
    <row r="1917" ht="15" customHeight="1"/>
    <row r="1919" ht="15" customHeight="1"/>
    <row r="1920" ht="15" customHeight="1"/>
    <row r="1921" ht="15" customHeight="1"/>
    <row r="1922" ht="15" customHeight="1"/>
    <row r="1924" ht="15" customHeight="1"/>
    <row r="1925" ht="15" customHeight="1"/>
    <row r="1926" ht="15" customHeight="1"/>
    <row r="1927" ht="15" customHeight="1"/>
    <row r="1928" ht="15" customHeight="1"/>
    <row r="1929" ht="15" customHeight="1"/>
    <row r="1930" ht="15" customHeight="1"/>
    <row r="1931" ht="15" customHeight="1"/>
    <row r="1933" ht="15" customHeight="1"/>
    <row r="1934" ht="15" customHeight="1"/>
    <row r="1935" ht="15" customHeight="1"/>
    <row r="1937" spans="2:32" ht="15" customHeight="1"/>
    <row r="1938" spans="2:32" ht="15" customHeight="1"/>
    <row r="1939" spans="2:32" ht="15" customHeight="1"/>
    <row r="1940" spans="2:32" ht="15" customHeight="1"/>
    <row r="1941" spans="2:32" ht="15" customHeight="1"/>
    <row r="1942" spans="2:32" ht="15" customHeight="1"/>
    <row r="1943" spans="2:32" ht="15" customHeight="1"/>
    <row r="1944" spans="2:32" ht="15" customHeight="1">
      <c r="B1944" s="31"/>
      <c r="C1944" s="31"/>
      <c r="D1944" s="31"/>
      <c r="E1944" s="31"/>
      <c r="F1944" s="31"/>
      <c r="G1944" s="31"/>
      <c r="H1944" s="31"/>
      <c r="I1944" s="31"/>
      <c r="J1944" s="31"/>
      <c r="K1944" s="31"/>
      <c r="L1944" s="31"/>
      <c r="M1944" s="31"/>
      <c r="N1944" s="31"/>
      <c r="O1944" s="31"/>
      <c r="P1944" s="31"/>
      <c r="Q1944" s="31"/>
      <c r="R1944" s="31"/>
      <c r="S1944" s="31"/>
      <c r="T1944" s="31"/>
      <c r="U1944" s="31"/>
      <c r="V1944" s="31"/>
      <c r="W1944" s="31"/>
      <c r="X1944" s="31"/>
      <c r="Y1944" s="31"/>
      <c r="Z1944" s="31"/>
      <c r="AA1944" s="31"/>
      <c r="AB1944" s="31"/>
      <c r="AC1944" s="31"/>
      <c r="AD1944" s="31"/>
      <c r="AE1944" s="31"/>
      <c r="AF1944" s="31"/>
    </row>
    <row r="1945" spans="2:32" ht="15" customHeight="1">
      <c r="B1945" s="110"/>
      <c r="C1945" s="110"/>
      <c r="D1945" s="110"/>
      <c r="E1945" s="110"/>
      <c r="F1945" s="110"/>
      <c r="G1945" s="110"/>
      <c r="H1945" s="110"/>
      <c r="I1945" s="110"/>
      <c r="J1945" s="110"/>
      <c r="K1945" s="110"/>
      <c r="L1945" s="110"/>
      <c r="M1945" s="110"/>
      <c r="N1945" s="110"/>
      <c r="O1945" s="110"/>
      <c r="P1945" s="110"/>
      <c r="Q1945" s="110"/>
      <c r="R1945" s="110"/>
      <c r="S1945" s="110"/>
      <c r="T1945" s="110"/>
      <c r="U1945" s="110"/>
      <c r="V1945" s="110"/>
      <c r="W1945" s="110"/>
      <c r="X1945" s="110"/>
      <c r="Y1945" s="110"/>
      <c r="Z1945" s="110"/>
      <c r="AA1945" s="110"/>
      <c r="AB1945" s="110"/>
      <c r="AC1945" s="110"/>
      <c r="AD1945" s="110"/>
      <c r="AE1945" s="110"/>
      <c r="AF1945" s="110"/>
    </row>
    <row r="1946" spans="2:32" ht="15" customHeight="1"/>
    <row r="1947" spans="2:32" ht="15" customHeight="1"/>
    <row r="1948" spans="2:32" ht="15" customHeight="1"/>
    <row r="1949" spans="2:32" ht="15" customHeight="1"/>
    <row r="1950" spans="2:32" ht="15" customHeight="1"/>
    <row r="1951" spans="2:32" ht="15" customHeight="1"/>
    <row r="1952" spans="2:32" ht="15" customHeight="1"/>
    <row r="1953" ht="15" customHeight="1"/>
    <row r="1954" ht="15" customHeight="1"/>
    <row r="1955" ht="15" customHeight="1"/>
    <row r="1975" ht="15" customHeight="1"/>
    <row r="1976" ht="15" customHeight="1"/>
    <row r="1977" ht="15" customHeight="1"/>
    <row r="1978" ht="15" customHeight="1"/>
    <row r="1979" ht="15" customHeight="1"/>
    <row r="1980" ht="15" customHeight="1"/>
    <row r="1981" ht="15" customHeight="1"/>
    <row r="1982" ht="15" customHeight="1"/>
    <row r="1984" ht="15" customHeight="1"/>
    <row r="1985" ht="15" customHeight="1"/>
    <row r="1986" ht="15" customHeight="1"/>
    <row r="1988" ht="15" customHeight="1"/>
    <row r="1990" ht="15" customHeight="1"/>
    <row r="1991" ht="15" customHeight="1"/>
    <row r="1992" ht="15" customHeight="1"/>
    <row r="1993" ht="15" customHeight="1"/>
    <row r="1994" ht="15" customHeight="1"/>
    <row r="1995" ht="15" customHeight="1"/>
    <row r="1996" ht="15" customHeight="1"/>
    <row r="1997" ht="15" customHeight="1"/>
    <row r="1998" ht="15" customHeight="1"/>
    <row r="1999" ht="15" customHeight="1"/>
    <row r="2000" ht="15" customHeight="1"/>
    <row r="2001" ht="15" customHeight="1"/>
    <row r="2002" ht="15" customHeight="1"/>
    <row r="2004" ht="15" customHeight="1"/>
    <row r="2006" ht="15" customHeight="1"/>
    <row r="2008" ht="15" customHeight="1"/>
    <row r="2009" ht="15" customHeight="1"/>
    <row r="2011" ht="15" customHeight="1"/>
    <row r="2012" ht="15" customHeight="1"/>
    <row r="2013" ht="15" customHeight="1"/>
    <row r="2014" ht="15" customHeight="1"/>
    <row r="2015" ht="15" customHeight="1"/>
    <row r="2016" ht="15" customHeight="1"/>
    <row r="2017" spans="2:32" ht="15" customHeight="1"/>
    <row r="2018" spans="2:32" ht="15" customHeight="1"/>
    <row r="2019" spans="2:32" ht="15" customHeight="1"/>
    <row r="2020" spans="2:32" ht="15" customHeight="1"/>
    <row r="2021" spans="2:32">
      <c r="B2021" s="31"/>
      <c r="C2021" s="31"/>
      <c r="D2021" s="31"/>
      <c r="E2021" s="31"/>
      <c r="F2021" s="31"/>
      <c r="G2021" s="31"/>
      <c r="H2021" s="31"/>
      <c r="I2021" s="31"/>
      <c r="J2021" s="31"/>
      <c r="K2021" s="31"/>
      <c r="L2021" s="31"/>
      <c r="M2021" s="31"/>
      <c r="N2021" s="31"/>
      <c r="O2021" s="31"/>
      <c r="P2021" s="31"/>
      <c r="Q2021" s="31"/>
      <c r="R2021" s="31"/>
      <c r="S2021" s="31"/>
      <c r="T2021" s="31"/>
      <c r="U2021" s="31"/>
      <c r="V2021" s="31"/>
      <c r="W2021" s="31"/>
      <c r="X2021" s="31"/>
      <c r="Y2021" s="31"/>
      <c r="Z2021" s="31"/>
      <c r="AA2021" s="31"/>
      <c r="AB2021" s="31"/>
      <c r="AC2021" s="31"/>
      <c r="AD2021" s="31"/>
      <c r="AE2021" s="31"/>
      <c r="AF2021" s="31"/>
    </row>
    <row r="2022" spans="2:32" ht="15" customHeight="1"/>
    <row r="2023" spans="2:32" ht="15" customHeight="1"/>
    <row r="2024" spans="2:32" ht="15" customHeight="1"/>
    <row r="2025" spans="2:32" ht="15" customHeight="1"/>
    <row r="2026" spans="2:32" ht="15" customHeight="1"/>
    <row r="2027" spans="2:32" ht="15" customHeight="1"/>
    <row r="2028" spans="2:32" ht="15" customHeight="1"/>
    <row r="2029" spans="2:32" ht="15" customHeight="1"/>
    <row r="2030" spans="2:32" ht="15" customHeight="1">
      <c r="B2030" s="31"/>
      <c r="C2030" s="31"/>
      <c r="D2030" s="31"/>
      <c r="E2030" s="31"/>
      <c r="F2030" s="31"/>
      <c r="G2030" s="31"/>
      <c r="H2030" s="31"/>
      <c r="I2030" s="31"/>
      <c r="J2030" s="31"/>
      <c r="K2030" s="31"/>
      <c r="L2030" s="31"/>
      <c r="M2030" s="31"/>
      <c r="N2030" s="31"/>
      <c r="O2030" s="31"/>
      <c r="P2030" s="31"/>
      <c r="Q2030" s="31"/>
      <c r="R2030" s="31"/>
      <c r="S2030" s="31"/>
      <c r="T2030" s="31"/>
      <c r="U2030" s="31"/>
      <c r="V2030" s="31"/>
      <c r="W2030" s="31"/>
      <c r="X2030" s="31"/>
      <c r="Y2030" s="31"/>
      <c r="Z2030" s="31"/>
      <c r="AA2030" s="31"/>
      <c r="AB2030" s="31"/>
      <c r="AC2030" s="31"/>
      <c r="AD2030" s="31"/>
      <c r="AE2030" s="31"/>
      <c r="AF2030" s="31"/>
    </row>
    <row r="2031" spans="2:32" ht="15" customHeight="1">
      <c r="B2031" s="110"/>
      <c r="C2031" s="110"/>
      <c r="D2031" s="110"/>
      <c r="E2031" s="110"/>
      <c r="F2031" s="110"/>
      <c r="G2031" s="110"/>
      <c r="H2031" s="110"/>
      <c r="I2031" s="110"/>
      <c r="J2031" s="110"/>
      <c r="K2031" s="110"/>
      <c r="L2031" s="110"/>
      <c r="M2031" s="110"/>
      <c r="N2031" s="110"/>
      <c r="O2031" s="110"/>
      <c r="P2031" s="110"/>
      <c r="Q2031" s="110"/>
      <c r="R2031" s="110"/>
      <c r="S2031" s="110"/>
      <c r="T2031" s="110"/>
      <c r="U2031" s="110"/>
      <c r="V2031" s="110"/>
      <c r="W2031" s="110"/>
      <c r="X2031" s="110"/>
      <c r="Y2031" s="110"/>
      <c r="Z2031" s="110"/>
      <c r="AA2031" s="110"/>
      <c r="AB2031" s="110"/>
      <c r="AC2031" s="110"/>
      <c r="AD2031" s="110"/>
      <c r="AE2031" s="110"/>
      <c r="AF2031" s="110"/>
    </row>
    <row r="2032" spans="2:32" ht="15" customHeight="1"/>
    <row r="2033" ht="15" customHeight="1"/>
    <row r="2034" ht="15" customHeight="1"/>
    <row r="2035" ht="15" customHeight="1"/>
    <row r="2036" ht="15" customHeight="1"/>
    <row r="2037" ht="15" customHeight="1"/>
    <row r="2038" ht="15" customHeight="1"/>
    <row r="2039" ht="15" customHeight="1"/>
    <row r="2040" ht="15" customHeight="1"/>
    <row r="2041" ht="15" customHeight="1"/>
    <row r="2042" ht="15" customHeight="1"/>
    <row r="2043" ht="15" customHeight="1"/>
    <row r="2044" ht="15" customHeight="1"/>
    <row r="2045" ht="15" customHeight="1"/>
    <row r="2046" ht="15" customHeight="1"/>
    <row r="2047" ht="15" customHeight="1"/>
    <row r="2048" ht="15" customHeight="1"/>
    <row r="2049" ht="15" customHeight="1"/>
    <row r="2050" ht="15" customHeight="1"/>
    <row r="2051" ht="15" customHeight="1"/>
    <row r="2052" ht="15" customHeight="1"/>
    <row r="2053" ht="15" customHeight="1"/>
    <row r="2100" ht="15" customHeight="1"/>
    <row r="2101" ht="15" customHeight="1"/>
    <row r="2102" ht="15" customHeight="1"/>
    <row r="2103" ht="15" customHeight="1"/>
    <row r="2104" ht="15" customHeight="1"/>
    <row r="2105" ht="15" customHeight="1"/>
    <row r="2107" ht="15" customHeight="1"/>
    <row r="2108" ht="15" customHeight="1"/>
    <row r="2110" ht="15" customHeight="1"/>
    <row r="2111" ht="15" customHeight="1"/>
    <row r="2112" ht="15" customHeight="1"/>
    <row r="2113" ht="15" customHeight="1"/>
    <row r="2114" ht="15" customHeight="1"/>
    <row r="2115" ht="15" customHeight="1"/>
    <row r="2116" ht="15" customHeight="1"/>
    <row r="2117" ht="15" customHeight="1"/>
    <row r="2118" ht="15" customHeight="1"/>
    <row r="2119" ht="15" customHeight="1"/>
    <row r="2120" ht="15" customHeight="1"/>
    <row r="2121" ht="15" customHeight="1"/>
    <row r="2122" ht="15" customHeight="1"/>
    <row r="2124" ht="15" customHeight="1"/>
    <row r="2125" ht="15" customHeight="1"/>
    <row r="2126" ht="15" customHeight="1"/>
    <row r="2127" ht="15" customHeight="1"/>
    <row r="2128" ht="15" customHeight="1"/>
    <row r="2129" ht="15" customHeight="1"/>
    <row r="2131" ht="15" customHeight="1"/>
    <row r="2133" ht="15" customHeight="1"/>
    <row r="2134" ht="15" customHeight="1"/>
    <row r="2136" ht="15" customHeight="1"/>
    <row r="2137" ht="15" customHeight="1"/>
    <row r="2138" ht="15" customHeight="1"/>
    <row r="2139" ht="15" customHeight="1"/>
    <row r="2140" ht="15" customHeight="1"/>
    <row r="2141" ht="15" customHeight="1"/>
    <row r="2142" ht="15" customHeight="1"/>
    <row r="2143" ht="15" customHeight="1"/>
    <row r="2144" ht="15" customHeight="1"/>
    <row r="2145" spans="2:32" ht="15" customHeight="1"/>
    <row r="2146" spans="2:32" ht="15" customHeight="1"/>
    <row r="2147" spans="2:32">
      <c r="B2147" s="31"/>
      <c r="C2147" s="31"/>
      <c r="D2147" s="31"/>
      <c r="E2147" s="31"/>
      <c r="F2147" s="31"/>
      <c r="G2147" s="31"/>
      <c r="H2147" s="31"/>
      <c r="I2147" s="31"/>
      <c r="J2147" s="31"/>
      <c r="K2147" s="31"/>
      <c r="L2147" s="31"/>
      <c r="M2147" s="31"/>
      <c r="N2147" s="31"/>
      <c r="O2147" s="31"/>
      <c r="P2147" s="31"/>
      <c r="Q2147" s="31"/>
      <c r="R2147" s="31"/>
      <c r="S2147" s="31"/>
      <c r="T2147" s="31"/>
      <c r="U2147" s="31"/>
      <c r="V2147" s="31"/>
      <c r="W2147" s="31"/>
      <c r="X2147" s="31"/>
      <c r="Y2147" s="31"/>
      <c r="Z2147" s="31"/>
      <c r="AA2147" s="31"/>
      <c r="AB2147" s="31"/>
      <c r="AC2147" s="31"/>
      <c r="AD2147" s="31"/>
      <c r="AE2147" s="31"/>
      <c r="AF2147" s="31"/>
    </row>
    <row r="2148" spans="2:32" ht="15" customHeight="1"/>
    <row r="2149" spans="2:32">
      <c r="B2149" s="31"/>
      <c r="C2149" s="31"/>
      <c r="D2149" s="31"/>
      <c r="E2149" s="31"/>
      <c r="F2149" s="31"/>
      <c r="G2149" s="31"/>
      <c r="H2149" s="31"/>
      <c r="I2149" s="31"/>
      <c r="J2149" s="31"/>
      <c r="K2149" s="31"/>
      <c r="L2149" s="31"/>
      <c r="M2149" s="31"/>
      <c r="N2149" s="31"/>
      <c r="O2149" s="31"/>
      <c r="P2149" s="31"/>
      <c r="Q2149" s="31"/>
      <c r="R2149" s="31"/>
      <c r="S2149" s="31"/>
      <c r="T2149" s="31"/>
      <c r="U2149" s="31"/>
      <c r="V2149" s="31"/>
      <c r="W2149" s="31"/>
      <c r="X2149" s="31"/>
      <c r="Y2149" s="31"/>
      <c r="Z2149" s="31"/>
      <c r="AA2149" s="31"/>
      <c r="AB2149" s="31"/>
      <c r="AC2149" s="31"/>
      <c r="AD2149" s="31"/>
      <c r="AE2149" s="31"/>
      <c r="AF2149" s="31"/>
    </row>
    <row r="2150" spans="2:32">
      <c r="B2150" s="31"/>
      <c r="C2150" s="31"/>
      <c r="D2150" s="31"/>
      <c r="E2150" s="31"/>
      <c r="F2150" s="31"/>
      <c r="G2150" s="31"/>
      <c r="H2150" s="31"/>
      <c r="I2150" s="31"/>
      <c r="J2150" s="31"/>
      <c r="K2150" s="31"/>
      <c r="L2150" s="31"/>
      <c r="M2150" s="31"/>
      <c r="N2150" s="31"/>
      <c r="O2150" s="31"/>
      <c r="P2150" s="31"/>
      <c r="Q2150" s="31"/>
      <c r="R2150" s="31"/>
      <c r="S2150" s="31"/>
      <c r="T2150" s="31"/>
      <c r="U2150" s="31"/>
      <c r="V2150" s="31"/>
      <c r="W2150" s="31"/>
      <c r="X2150" s="31"/>
      <c r="Y2150" s="31"/>
      <c r="Z2150" s="31"/>
      <c r="AA2150" s="31"/>
      <c r="AB2150" s="31"/>
      <c r="AC2150" s="31"/>
      <c r="AD2150" s="31"/>
      <c r="AE2150" s="31"/>
      <c r="AF2150" s="31"/>
    </row>
    <row r="2151" spans="2:32" ht="15" customHeight="1"/>
    <row r="2152" spans="2:32" ht="15" customHeight="1">
      <c r="B2152" s="31"/>
      <c r="C2152" s="31"/>
      <c r="D2152" s="31"/>
      <c r="E2152" s="31"/>
      <c r="F2152" s="31"/>
      <c r="G2152" s="31"/>
      <c r="H2152" s="31"/>
      <c r="I2152" s="31"/>
      <c r="J2152" s="31"/>
      <c r="K2152" s="31"/>
      <c r="L2152" s="31"/>
      <c r="M2152" s="31"/>
      <c r="N2152" s="31"/>
      <c r="O2152" s="31"/>
      <c r="P2152" s="31"/>
      <c r="Q2152" s="31"/>
      <c r="R2152" s="31"/>
      <c r="S2152" s="31"/>
      <c r="T2152" s="31"/>
      <c r="U2152" s="31"/>
      <c r="V2152" s="31"/>
      <c r="W2152" s="31"/>
      <c r="X2152" s="31"/>
      <c r="Y2152" s="31"/>
      <c r="Z2152" s="31"/>
      <c r="AA2152" s="31"/>
      <c r="AB2152" s="31"/>
      <c r="AC2152" s="31"/>
      <c r="AD2152" s="31"/>
      <c r="AE2152" s="31"/>
      <c r="AF2152" s="31"/>
    </row>
    <row r="2153" spans="2:32" ht="15" customHeight="1">
      <c r="B2153" s="110"/>
      <c r="C2153" s="110"/>
      <c r="D2153" s="110"/>
      <c r="E2153" s="110"/>
      <c r="F2153" s="110"/>
      <c r="G2153" s="110"/>
      <c r="H2153" s="110"/>
      <c r="I2153" s="110"/>
      <c r="J2153" s="110"/>
      <c r="K2153" s="110"/>
      <c r="L2153" s="110"/>
      <c r="M2153" s="110"/>
      <c r="N2153" s="110"/>
      <c r="O2153" s="110"/>
      <c r="P2153" s="110"/>
      <c r="Q2153" s="110"/>
      <c r="R2153" s="110"/>
      <c r="S2153" s="110"/>
      <c r="T2153" s="110"/>
      <c r="U2153" s="110"/>
      <c r="V2153" s="110"/>
      <c r="W2153" s="110"/>
      <c r="X2153" s="110"/>
      <c r="Y2153" s="110"/>
      <c r="Z2153" s="110"/>
      <c r="AA2153" s="110"/>
      <c r="AB2153" s="110"/>
      <c r="AC2153" s="110"/>
      <c r="AD2153" s="110"/>
      <c r="AE2153" s="110"/>
      <c r="AF2153" s="110"/>
    </row>
    <row r="2154" spans="2:32" ht="15" customHeight="1"/>
    <row r="2155" spans="2:32" ht="15" customHeight="1"/>
    <row r="2156" spans="2:32" ht="15" customHeight="1"/>
    <row r="2157" spans="2:32" ht="15" customHeight="1"/>
    <row r="2158" spans="2:32" ht="15" customHeight="1"/>
    <row r="2159" spans="2:32" ht="15" customHeight="1"/>
    <row r="2160" spans="2:32" ht="15" customHeight="1"/>
    <row r="2161" ht="15" customHeight="1"/>
    <row r="2162" ht="15" customHeight="1"/>
    <row r="2250" ht="15" customHeight="1"/>
    <row r="2251" ht="15" customHeight="1"/>
    <row r="2252" ht="15" customHeight="1"/>
    <row r="2253" ht="15" customHeight="1"/>
    <row r="2254" ht="15" customHeight="1"/>
    <row r="2255" ht="15" customHeight="1"/>
    <row r="2256" ht="15" customHeight="1"/>
    <row r="2257" ht="15" customHeight="1"/>
    <row r="2258" ht="15" customHeight="1"/>
    <row r="2260" ht="15" customHeight="1"/>
    <row r="2261" ht="15" customHeight="1"/>
    <row r="2262" ht="15" customHeight="1"/>
    <row r="2264" ht="15" customHeight="1"/>
    <row r="2266" ht="15" customHeight="1"/>
    <row r="2267" ht="15" customHeight="1"/>
    <row r="2268" ht="15" customHeight="1"/>
    <row r="2269" ht="15" customHeight="1"/>
    <row r="2271" ht="15" customHeight="1"/>
    <row r="2273" ht="15" customHeight="1"/>
    <row r="2274" ht="15" customHeight="1"/>
    <row r="2275" ht="15" customHeight="1"/>
    <row r="2276" ht="15" customHeight="1"/>
    <row r="2277" ht="15" customHeight="1"/>
    <row r="2278" ht="15" customHeight="1"/>
    <row r="2279" ht="15" customHeight="1"/>
    <row r="2280" ht="15" customHeight="1"/>
    <row r="2282" ht="15" customHeight="1"/>
    <row r="2284" ht="15" customHeight="1"/>
    <row r="2285" ht="15" customHeight="1"/>
    <row r="2286" ht="15" customHeight="1"/>
    <row r="2288" ht="15" customHeight="1"/>
    <row r="2289" ht="15" customHeight="1"/>
    <row r="2290" ht="15" customHeight="1"/>
    <row r="2291" ht="15" customHeight="1"/>
    <row r="2292" ht="15" customHeight="1"/>
    <row r="2293" ht="15" customHeight="1"/>
    <row r="2294" ht="15" customHeight="1"/>
    <row r="2295" ht="15" customHeight="1"/>
    <row r="2296" ht="15" customHeight="1"/>
    <row r="2297" ht="15" customHeight="1"/>
    <row r="2298" ht="15" customHeight="1"/>
    <row r="2301" ht="15" customHeight="1"/>
    <row r="2302" ht="15" customHeight="1"/>
    <row r="2303" ht="15" customHeight="1"/>
    <row r="2305" spans="2:32" ht="15" customHeight="1"/>
    <row r="2306" spans="2:32" ht="15" customHeight="1"/>
    <row r="2307" spans="2:32" ht="15" customHeight="1"/>
    <row r="2308" spans="2:32" ht="15" customHeight="1"/>
    <row r="2309" spans="2:32" ht="15" customHeight="1"/>
    <row r="2310" spans="2:32" ht="15" customHeight="1"/>
    <row r="2311" spans="2:32" ht="15" customHeight="1"/>
    <row r="2312" spans="2:32" ht="15" customHeight="1"/>
    <row r="2313" spans="2:32" ht="15" customHeight="1"/>
    <row r="2314" spans="2:32" ht="15" customHeight="1"/>
    <row r="2315" spans="2:32" ht="15" customHeight="1"/>
    <row r="2316" spans="2:32" ht="15" customHeight="1">
      <c r="B2316" s="31"/>
      <c r="C2316" s="31"/>
      <c r="D2316" s="31"/>
      <c r="E2316" s="31"/>
      <c r="F2316" s="31"/>
      <c r="G2316" s="31"/>
      <c r="H2316" s="31"/>
      <c r="I2316" s="31"/>
      <c r="J2316" s="31"/>
      <c r="K2316" s="31"/>
      <c r="L2316" s="31"/>
      <c r="M2316" s="31"/>
      <c r="N2316" s="31"/>
      <c r="O2316" s="31"/>
      <c r="P2316" s="31"/>
      <c r="Q2316" s="31"/>
      <c r="R2316" s="31"/>
      <c r="S2316" s="31"/>
      <c r="T2316" s="31"/>
      <c r="U2316" s="31"/>
      <c r="V2316" s="31"/>
      <c r="W2316" s="31"/>
      <c r="X2316" s="31"/>
      <c r="Y2316" s="31"/>
      <c r="Z2316" s="31"/>
      <c r="AA2316" s="31"/>
      <c r="AB2316" s="31"/>
      <c r="AC2316" s="31"/>
      <c r="AD2316" s="31"/>
      <c r="AE2316" s="31"/>
      <c r="AF2316" s="31"/>
    </row>
    <row r="2317" spans="2:32" ht="15" customHeight="1">
      <c r="B2317" s="110"/>
      <c r="C2317" s="110"/>
      <c r="D2317" s="110"/>
      <c r="E2317" s="110"/>
      <c r="F2317" s="110"/>
      <c r="G2317" s="110"/>
      <c r="H2317" s="110"/>
      <c r="I2317" s="110"/>
      <c r="J2317" s="110"/>
      <c r="K2317" s="110"/>
      <c r="L2317" s="110"/>
      <c r="M2317" s="110"/>
      <c r="N2317" s="110"/>
      <c r="O2317" s="110"/>
      <c r="P2317" s="110"/>
      <c r="Q2317" s="110"/>
      <c r="R2317" s="110"/>
      <c r="S2317" s="110"/>
      <c r="T2317" s="110"/>
      <c r="U2317" s="110"/>
      <c r="V2317" s="110"/>
      <c r="W2317" s="110"/>
      <c r="X2317" s="110"/>
      <c r="Y2317" s="110"/>
      <c r="Z2317" s="110"/>
      <c r="AA2317" s="110"/>
      <c r="AB2317" s="110"/>
      <c r="AC2317" s="110"/>
      <c r="AD2317" s="110"/>
      <c r="AE2317" s="110"/>
      <c r="AF2317" s="110"/>
    </row>
    <row r="2318" spans="2:32" ht="15" customHeight="1"/>
    <row r="2319" spans="2:32" ht="15" customHeight="1"/>
    <row r="2320" spans="2:32" ht="15" customHeight="1"/>
    <row r="2321" ht="15" customHeight="1"/>
    <row r="2322" ht="15" customHeight="1"/>
    <row r="2323" ht="15" customHeight="1"/>
    <row r="2324" ht="15" customHeight="1"/>
    <row r="2325" ht="15" customHeight="1"/>
    <row r="2326" ht="15" customHeight="1"/>
    <row r="2327" ht="15" customHeight="1"/>
    <row r="2328" ht="15" customHeight="1"/>
    <row r="2329" ht="15" customHeight="1"/>
    <row r="2330" ht="15" customHeight="1"/>
    <row r="2331" ht="15" customHeight="1"/>
    <row r="2332" ht="15" customHeight="1"/>
    <row r="2333" ht="15" customHeight="1"/>
    <row r="2334" ht="15" customHeight="1"/>
    <row r="2350" ht="15" customHeight="1"/>
    <row r="2351" ht="15" customHeight="1"/>
    <row r="2352" ht="15" customHeight="1"/>
    <row r="2353" ht="15" customHeight="1"/>
    <row r="2354" ht="15" customHeight="1"/>
    <row r="2355" ht="15" customHeight="1"/>
    <row r="2356" ht="15" customHeight="1"/>
    <row r="2357" ht="15" customHeight="1"/>
    <row r="2358" ht="15" customHeight="1"/>
    <row r="2359" ht="15" customHeight="1"/>
    <row r="2360" ht="15" customHeight="1"/>
    <row r="2361" ht="15" customHeight="1"/>
    <row r="2362" ht="15" customHeight="1"/>
    <row r="2363" ht="15" customHeight="1"/>
    <row r="2364" ht="15" customHeight="1"/>
    <row r="2365" ht="15" customHeight="1"/>
    <row r="2367" ht="15" customHeight="1"/>
    <row r="2368" ht="15" customHeight="1"/>
    <row r="2369" ht="15" customHeight="1"/>
    <row r="2370" ht="15" customHeight="1"/>
    <row r="2371" ht="15" customHeight="1"/>
    <row r="2372" ht="15" customHeight="1"/>
    <row r="2373" ht="15" customHeight="1"/>
    <row r="2374" ht="15" customHeight="1"/>
    <row r="2375" ht="15" customHeight="1"/>
    <row r="2376" ht="15" customHeight="1"/>
    <row r="2377" ht="15" customHeight="1"/>
    <row r="2378" ht="15" customHeight="1"/>
    <row r="2380" ht="15" customHeight="1"/>
    <row r="2381" ht="15" customHeight="1"/>
    <row r="2382" ht="15" customHeight="1"/>
    <row r="2383" ht="15" customHeight="1"/>
    <row r="2384" ht="15" customHeight="1"/>
    <row r="2385" ht="15" customHeight="1"/>
    <row r="2386" ht="15" customHeight="1"/>
    <row r="2387" ht="15" customHeight="1"/>
    <row r="2388" ht="15" customHeight="1"/>
    <row r="2390" ht="15" customHeight="1"/>
    <row r="2391" ht="15" customHeight="1"/>
    <row r="2392" ht="15" customHeight="1"/>
    <row r="2393" ht="15" customHeight="1"/>
    <row r="2394" ht="15" customHeight="1"/>
    <row r="2395" ht="15" customHeight="1"/>
    <row r="2396" ht="15" customHeight="1"/>
    <row r="2397" ht="15" customHeight="1"/>
    <row r="2400" ht="15" customHeight="1"/>
    <row r="2401" ht="15" customHeight="1"/>
    <row r="2402" ht="15" customHeight="1"/>
    <row r="2403" ht="15" customHeight="1"/>
    <row r="2404" ht="15" customHeight="1"/>
    <row r="2405" ht="15" customHeight="1"/>
    <row r="2406" ht="15" customHeight="1"/>
    <row r="2407" ht="15" customHeight="1"/>
    <row r="2408" ht="15" customHeight="1"/>
    <row r="2410" ht="15" customHeight="1"/>
    <row r="2411" ht="15" customHeight="1"/>
    <row r="2412" ht="15" customHeight="1"/>
    <row r="2413" ht="15" customHeight="1"/>
    <row r="2414" ht="15" customHeight="1"/>
    <row r="2415" ht="15" customHeight="1"/>
    <row r="2416" ht="15" customHeight="1"/>
    <row r="2417" spans="2:32" ht="15" customHeight="1"/>
    <row r="2418" spans="2:32" ht="15" customHeight="1">
      <c r="B2418" s="31"/>
      <c r="C2418" s="31"/>
      <c r="D2418" s="31"/>
      <c r="E2418" s="31"/>
      <c r="F2418" s="31"/>
      <c r="G2418" s="31"/>
      <c r="H2418" s="31"/>
      <c r="I2418" s="31"/>
      <c r="J2418" s="31"/>
      <c r="K2418" s="31"/>
      <c r="L2418" s="31"/>
      <c r="M2418" s="31"/>
      <c r="N2418" s="31"/>
      <c r="O2418" s="31"/>
      <c r="P2418" s="31"/>
      <c r="Q2418" s="31"/>
      <c r="R2418" s="31"/>
      <c r="S2418" s="31"/>
      <c r="T2418" s="31"/>
      <c r="U2418" s="31"/>
      <c r="V2418" s="31"/>
      <c r="W2418" s="31"/>
      <c r="X2418" s="31"/>
      <c r="Y2418" s="31"/>
      <c r="Z2418" s="31"/>
      <c r="AA2418" s="31"/>
      <c r="AB2418" s="31"/>
      <c r="AC2418" s="31"/>
      <c r="AD2418" s="31"/>
      <c r="AE2418" s="31"/>
      <c r="AF2418" s="31"/>
    </row>
    <row r="2419" spans="2:32" ht="15" customHeight="1">
      <c r="B2419" s="110"/>
      <c r="C2419" s="110"/>
      <c r="D2419" s="110"/>
      <c r="E2419" s="110"/>
      <c r="F2419" s="110"/>
      <c r="G2419" s="110"/>
      <c r="H2419" s="110"/>
      <c r="I2419" s="110"/>
      <c r="J2419" s="110"/>
      <c r="K2419" s="110"/>
      <c r="L2419" s="110"/>
      <c r="M2419" s="110"/>
      <c r="N2419" s="110"/>
      <c r="O2419" s="110"/>
      <c r="P2419" s="110"/>
      <c r="Q2419" s="110"/>
      <c r="R2419" s="110"/>
      <c r="S2419" s="110"/>
      <c r="T2419" s="110"/>
      <c r="U2419" s="110"/>
      <c r="V2419" s="110"/>
      <c r="W2419" s="110"/>
      <c r="X2419" s="110"/>
      <c r="Y2419" s="110"/>
      <c r="Z2419" s="110"/>
      <c r="AA2419" s="110"/>
      <c r="AB2419" s="110"/>
      <c r="AC2419" s="110"/>
      <c r="AD2419" s="110"/>
      <c r="AE2419" s="110"/>
      <c r="AF2419" s="110"/>
    </row>
    <row r="2420" spans="2:32" ht="15" customHeight="1"/>
    <row r="2421" spans="2:32" ht="15" customHeight="1"/>
    <row r="2422" spans="2:32" ht="15" customHeight="1"/>
    <row r="2423" spans="2:32" ht="15" customHeight="1"/>
    <row r="2424" spans="2:32" ht="15" customHeight="1"/>
    <row r="2425" spans="2:32" ht="15" customHeight="1"/>
    <row r="2426" spans="2:32" ht="15" customHeight="1"/>
    <row r="2427" spans="2:32" ht="15" customHeight="1"/>
    <row r="2428" spans="2:32" ht="15" customHeight="1"/>
    <row r="2429" spans="2:32" ht="15" customHeight="1"/>
    <row r="2430" spans="2:32" ht="15" customHeight="1"/>
    <row r="2431" spans="2:32" ht="15" customHeight="1"/>
    <row r="2432" spans="2:32" ht="15" customHeight="1"/>
    <row r="2433" ht="15" customHeight="1"/>
    <row r="2434" ht="15" customHeight="1"/>
    <row r="2435" ht="15" customHeight="1"/>
    <row r="2436" ht="15" customHeight="1"/>
    <row r="2437" ht="15" customHeight="1"/>
    <row r="2450" ht="15" customHeight="1"/>
    <row r="2451" ht="15" customHeight="1"/>
    <row r="2452" ht="15" customHeight="1"/>
    <row r="2453" ht="15" customHeight="1"/>
    <row r="2454" ht="15" customHeight="1"/>
    <row r="2455" ht="15" customHeight="1"/>
    <row r="2457" ht="15" customHeight="1"/>
    <row r="2459" ht="15" customHeight="1"/>
    <row r="2461" ht="15" customHeight="1"/>
    <row r="2462" ht="15" customHeight="1"/>
    <row r="2463" ht="15" customHeight="1"/>
    <row r="2464" ht="15" customHeight="1"/>
    <row r="2465" ht="15" customHeight="1"/>
    <row r="2467" ht="15" customHeight="1"/>
    <row r="2468" ht="15" customHeight="1"/>
    <row r="2469" ht="15" customHeight="1"/>
    <row r="2470" ht="15" customHeight="1"/>
    <row r="2471" ht="15" customHeight="1"/>
    <row r="2472" ht="15" customHeight="1"/>
    <row r="2473" ht="15" customHeight="1"/>
    <row r="2475" ht="15" customHeight="1"/>
    <row r="2476" ht="15" customHeight="1"/>
    <row r="2477" ht="15" customHeight="1"/>
    <row r="2478" ht="15" customHeight="1"/>
    <row r="2479" ht="15" customHeight="1"/>
    <row r="2480" ht="15" customHeight="1"/>
    <row r="2481" ht="15" customHeight="1"/>
    <row r="2482" ht="15" customHeight="1"/>
    <row r="2483" ht="15" customHeight="1"/>
    <row r="2484" ht="15" customHeight="1"/>
    <row r="2486" ht="15" customHeight="1"/>
    <row r="2488" ht="15" customHeight="1"/>
    <row r="2489" ht="15" customHeight="1"/>
    <row r="2490" ht="15" customHeight="1"/>
    <row r="2491" ht="15" customHeight="1"/>
    <row r="2492" ht="15" customHeight="1"/>
    <row r="2495" ht="15" customHeight="1"/>
    <row r="2496" ht="15" customHeight="1"/>
    <row r="2497" spans="2:32">
      <c r="B2497" s="31"/>
      <c r="C2497" s="31"/>
      <c r="D2497" s="31"/>
      <c r="E2497" s="31"/>
      <c r="F2497" s="31"/>
      <c r="G2497" s="31"/>
      <c r="H2497" s="31"/>
      <c r="I2497" s="31"/>
      <c r="J2497" s="31"/>
      <c r="K2497" s="31"/>
      <c r="L2497" s="31"/>
      <c r="M2497" s="31"/>
      <c r="N2497" s="31"/>
      <c r="O2497" s="31"/>
      <c r="P2497" s="31"/>
      <c r="Q2497" s="31"/>
      <c r="R2497" s="31"/>
      <c r="S2497" s="31"/>
      <c r="T2497" s="31"/>
      <c r="U2497" s="31"/>
      <c r="V2497" s="31"/>
      <c r="W2497" s="31"/>
      <c r="X2497" s="31"/>
      <c r="Y2497" s="31"/>
      <c r="Z2497" s="31"/>
      <c r="AA2497" s="31"/>
      <c r="AB2497" s="31"/>
      <c r="AC2497" s="31"/>
      <c r="AD2497" s="31"/>
      <c r="AE2497" s="31"/>
      <c r="AF2497" s="31"/>
    </row>
    <row r="2498" spans="2:32" ht="15" customHeight="1"/>
    <row r="2499" spans="2:32" ht="15" customHeight="1"/>
    <row r="2500" spans="2:32" ht="15" customHeight="1"/>
    <row r="2501" spans="2:32" ht="15" customHeight="1"/>
    <row r="2502" spans="2:32" ht="15" customHeight="1"/>
    <row r="2503" spans="2:32">
      <c r="B2503" s="31"/>
      <c r="C2503" s="31"/>
      <c r="D2503" s="31"/>
      <c r="E2503" s="31"/>
      <c r="F2503" s="31"/>
      <c r="G2503" s="31"/>
      <c r="H2503" s="31"/>
      <c r="I2503" s="31"/>
      <c r="J2503" s="31"/>
      <c r="K2503" s="31"/>
      <c r="L2503" s="31"/>
      <c r="M2503" s="31"/>
      <c r="N2503" s="31"/>
      <c r="O2503" s="31"/>
      <c r="P2503" s="31"/>
      <c r="Q2503" s="31"/>
      <c r="R2503" s="31"/>
      <c r="S2503" s="31"/>
      <c r="T2503" s="31"/>
      <c r="U2503" s="31"/>
      <c r="V2503" s="31"/>
      <c r="W2503" s="31"/>
      <c r="X2503" s="31"/>
      <c r="Y2503" s="31"/>
      <c r="Z2503" s="31"/>
      <c r="AA2503" s="31"/>
      <c r="AB2503" s="31"/>
      <c r="AC2503" s="31"/>
      <c r="AD2503" s="31"/>
      <c r="AE2503" s="31"/>
      <c r="AF2503" s="31"/>
    </row>
    <row r="2504" spans="2:32" ht="15" customHeight="1"/>
    <row r="2505" spans="2:32" ht="15" customHeight="1"/>
    <row r="2506" spans="2:32" ht="15" customHeight="1"/>
    <row r="2507" spans="2:32" ht="15" customHeight="1"/>
    <row r="2508" spans="2:32" ht="15" customHeight="1">
      <c r="B2508" s="31"/>
      <c r="C2508" s="31"/>
      <c r="D2508" s="31"/>
      <c r="E2508" s="31"/>
      <c r="F2508" s="31"/>
      <c r="G2508" s="31"/>
      <c r="H2508" s="31"/>
      <c r="I2508" s="31"/>
      <c r="J2508" s="31"/>
      <c r="K2508" s="31"/>
      <c r="L2508" s="31"/>
      <c r="M2508" s="31"/>
      <c r="N2508" s="31"/>
      <c r="O2508" s="31"/>
      <c r="P2508" s="31"/>
      <c r="Q2508" s="31"/>
      <c r="R2508" s="31"/>
      <c r="S2508" s="31"/>
      <c r="T2508" s="31"/>
      <c r="U2508" s="31"/>
      <c r="V2508" s="31"/>
      <c r="W2508" s="31"/>
      <c r="X2508" s="31"/>
      <c r="Y2508" s="31"/>
      <c r="Z2508" s="31"/>
      <c r="AA2508" s="31"/>
      <c r="AB2508" s="31"/>
      <c r="AC2508" s="31"/>
      <c r="AD2508" s="31"/>
      <c r="AE2508" s="31"/>
      <c r="AF2508" s="31"/>
    </row>
    <row r="2509" spans="2:32" ht="15" customHeight="1">
      <c r="B2509" s="110"/>
      <c r="C2509" s="110"/>
      <c r="D2509" s="110"/>
      <c r="E2509" s="110"/>
      <c r="F2509" s="110"/>
      <c r="G2509" s="110"/>
      <c r="H2509" s="110"/>
      <c r="I2509" s="110"/>
      <c r="J2509" s="110"/>
      <c r="K2509" s="110"/>
      <c r="L2509" s="110"/>
      <c r="M2509" s="110"/>
      <c r="N2509" s="110"/>
      <c r="O2509" s="110"/>
      <c r="P2509" s="110"/>
      <c r="Q2509" s="110"/>
      <c r="R2509" s="110"/>
      <c r="S2509" s="110"/>
      <c r="T2509" s="110"/>
      <c r="U2509" s="110"/>
      <c r="V2509" s="110"/>
      <c r="W2509" s="110"/>
      <c r="X2509" s="110"/>
      <c r="Y2509" s="110"/>
      <c r="Z2509" s="110"/>
      <c r="AA2509" s="110"/>
      <c r="AB2509" s="110"/>
      <c r="AC2509" s="110"/>
      <c r="AD2509" s="110"/>
      <c r="AE2509" s="110"/>
      <c r="AF2509" s="110"/>
    </row>
    <row r="2510" spans="2:32" ht="15" customHeight="1"/>
    <row r="2511" spans="2:32" ht="15" customHeight="1"/>
    <row r="2512" spans="2:32" ht="15" customHeight="1"/>
    <row r="2513" ht="15" customHeight="1"/>
    <row r="2514" ht="15" customHeight="1"/>
    <row r="2515" ht="15" customHeight="1"/>
    <row r="2516" ht="15" customHeight="1"/>
    <row r="2517" ht="15" customHeight="1"/>
    <row r="2518" ht="15" customHeight="1"/>
    <row r="2519" ht="15" customHeight="1"/>
    <row r="2520" ht="15" customHeight="1"/>
    <row r="2521" ht="15" customHeight="1"/>
    <row r="2522" ht="15" customHeight="1"/>
    <row r="2523" ht="15" customHeight="1"/>
    <row r="2524" ht="15" customHeight="1"/>
    <row r="2525" ht="15" customHeight="1"/>
    <row r="2526" ht="15" customHeight="1"/>
    <row r="2527" ht="15" customHeight="1"/>
    <row r="2528" ht="15" customHeight="1"/>
    <row r="2529" ht="15" customHeight="1"/>
    <row r="2550" ht="15" customHeight="1"/>
    <row r="2551" ht="15" customHeight="1"/>
    <row r="2552" ht="15" customHeight="1"/>
    <row r="2553" ht="15" customHeight="1"/>
    <row r="2554" ht="15" customHeight="1"/>
    <row r="2555" ht="15" customHeight="1"/>
    <row r="2556" ht="15" customHeight="1"/>
    <row r="2557" ht="15" customHeight="1"/>
    <row r="2558" ht="15" customHeight="1"/>
    <row r="2559" ht="15" customHeight="1"/>
    <row r="2561" ht="15" customHeight="1"/>
    <row r="2562" ht="15" customHeight="1"/>
    <row r="2563" ht="15" customHeight="1"/>
    <row r="2564" ht="15" customHeight="1"/>
    <row r="2565" ht="15" customHeight="1"/>
    <row r="2566" ht="15" customHeight="1"/>
    <row r="2568" ht="15" customHeight="1"/>
    <row r="2569" ht="15" customHeight="1"/>
    <row r="2570" ht="15" customHeight="1"/>
    <row r="2571" ht="15" customHeight="1"/>
    <row r="2572" ht="15" customHeight="1"/>
    <row r="2573" ht="15" customHeight="1"/>
    <row r="2575" ht="15" customHeight="1"/>
    <row r="2576" ht="15" customHeight="1"/>
    <row r="2577" ht="15" customHeight="1"/>
    <row r="2578" ht="15" customHeight="1"/>
    <row r="2579" ht="15" customHeight="1"/>
    <row r="2581" ht="15" customHeight="1"/>
    <row r="2582" ht="15" customHeight="1"/>
    <row r="2583" ht="15" customHeight="1"/>
    <row r="2584" ht="15" customHeight="1"/>
    <row r="2585" ht="15" customHeight="1"/>
    <row r="2586" ht="15" customHeight="1"/>
    <row r="2588" ht="15" customHeight="1"/>
    <row r="2589" ht="15" customHeight="1"/>
    <row r="2590" ht="15" customHeight="1"/>
    <row r="2591" ht="15" customHeight="1"/>
    <row r="2592" ht="15" customHeight="1"/>
    <row r="2593" spans="2:32" ht="15" customHeight="1"/>
    <row r="2594" spans="2:32">
      <c r="B2594" s="31"/>
      <c r="C2594" s="31"/>
      <c r="D2594" s="31"/>
      <c r="E2594" s="31"/>
      <c r="F2594" s="31"/>
      <c r="G2594" s="31"/>
      <c r="H2594" s="31"/>
      <c r="I2594" s="31"/>
      <c r="J2594" s="31"/>
      <c r="K2594" s="31"/>
      <c r="L2594" s="31"/>
      <c r="M2594" s="31"/>
      <c r="N2594" s="31"/>
      <c r="O2594" s="31"/>
      <c r="P2594" s="31"/>
      <c r="Q2594" s="31"/>
      <c r="R2594" s="31"/>
      <c r="S2594" s="31"/>
      <c r="T2594" s="31"/>
      <c r="U2594" s="31"/>
      <c r="V2594" s="31"/>
      <c r="W2594" s="31"/>
      <c r="X2594" s="31"/>
      <c r="Y2594" s="31"/>
      <c r="Z2594" s="31"/>
      <c r="AA2594" s="31"/>
      <c r="AB2594" s="31"/>
      <c r="AC2594" s="31"/>
      <c r="AD2594" s="31"/>
      <c r="AE2594" s="31"/>
      <c r="AF2594" s="31"/>
    </row>
    <row r="2595" spans="2:32" ht="15" customHeight="1"/>
    <row r="2596" spans="2:32" ht="15" customHeight="1"/>
    <row r="2597" spans="2:32" ht="15" customHeight="1">
      <c r="B2597" s="31"/>
      <c r="C2597" s="31"/>
      <c r="D2597" s="31"/>
      <c r="E2597" s="31"/>
      <c r="F2597" s="31"/>
      <c r="G2597" s="31"/>
      <c r="H2597" s="31"/>
      <c r="I2597" s="31"/>
      <c r="J2597" s="31"/>
      <c r="K2597" s="31"/>
      <c r="L2597" s="31"/>
      <c r="M2597" s="31"/>
      <c r="N2597" s="31"/>
      <c r="O2597" s="31"/>
      <c r="P2597" s="31"/>
      <c r="Q2597" s="31"/>
      <c r="R2597" s="31"/>
      <c r="S2597" s="31"/>
      <c r="T2597" s="31"/>
      <c r="U2597" s="31"/>
      <c r="V2597" s="31"/>
      <c r="W2597" s="31"/>
      <c r="X2597" s="31"/>
      <c r="Y2597" s="31"/>
      <c r="Z2597" s="31"/>
      <c r="AA2597" s="31"/>
      <c r="AB2597" s="31"/>
      <c r="AC2597" s="31"/>
      <c r="AD2597" s="31"/>
      <c r="AE2597" s="31"/>
      <c r="AF2597" s="31"/>
    </row>
    <row r="2598" spans="2:32" ht="15" customHeight="1">
      <c r="B2598" s="110"/>
      <c r="C2598" s="110"/>
      <c r="D2598" s="110"/>
      <c r="E2598" s="110"/>
      <c r="F2598" s="110"/>
      <c r="G2598" s="110"/>
      <c r="H2598" s="110"/>
      <c r="I2598" s="110"/>
      <c r="J2598" s="110"/>
      <c r="K2598" s="110"/>
      <c r="L2598" s="110"/>
      <c r="M2598" s="110"/>
      <c r="N2598" s="110"/>
      <c r="O2598" s="110"/>
      <c r="P2598" s="110"/>
      <c r="Q2598" s="110"/>
      <c r="R2598" s="110"/>
      <c r="S2598" s="110"/>
      <c r="T2598" s="110"/>
      <c r="U2598" s="110"/>
      <c r="V2598" s="110"/>
      <c r="W2598" s="110"/>
      <c r="X2598" s="110"/>
      <c r="Y2598" s="110"/>
      <c r="Z2598" s="110"/>
      <c r="AA2598" s="110"/>
      <c r="AB2598" s="110"/>
      <c r="AC2598" s="110"/>
      <c r="AD2598" s="110"/>
      <c r="AE2598" s="110"/>
      <c r="AF2598" s="110"/>
    </row>
    <row r="2599" spans="2:32" ht="15" customHeight="1"/>
    <row r="2600" spans="2:32" ht="15" customHeight="1"/>
    <row r="2601" spans="2:32" ht="15" customHeight="1"/>
    <row r="2602" spans="2:32" ht="15" customHeight="1"/>
    <row r="2603" spans="2:32" ht="15" customHeight="1"/>
    <row r="2604" spans="2:32" ht="15" customHeight="1"/>
    <row r="2605" spans="2:32" ht="15" customHeight="1"/>
    <row r="2606" spans="2:32" ht="15" customHeight="1"/>
    <row r="2607" spans="2:32" ht="15" customHeight="1"/>
    <row r="2608" spans="2:32" ht="15" customHeight="1"/>
    <row r="2609" ht="15" customHeight="1"/>
    <row r="2610" ht="15" customHeight="1"/>
    <row r="2611" ht="15" customHeight="1"/>
    <row r="2612" ht="15" customHeight="1"/>
    <row r="2613" ht="15" customHeight="1"/>
    <row r="2614" ht="15" customHeight="1"/>
    <row r="2615" ht="15" customHeight="1"/>
    <row r="2625" ht="15" customHeight="1"/>
    <row r="2626" ht="15" customHeight="1"/>
    <row r="2627" ht="15" customHeight="1"/>
    <row r="2628" ht="15" customHeight="1"/>
    <row r="2629" ht="15" customHeight="1"/>
    <row r="2630" ht="15" customHeight="1"/>
    <row r="2631" ht="15" customHeight="1"/>
    <row r="2632" ht="15" customHeight="1"/>
    <row r="2633" ht="15" customHeight="1"/>
    <row r="2634" ht="15" customHeight="1"/>
    <row r="2635" ht="15" customHeight="1"/>
    <row r="2636" ht="15" customHeight="1"/>
    <row r="2637" ht="15" customHeight="1"/>
    <row r="2638" ht="15" customHeight="1"/>
    <row r="2639" ht="15" customHeight="1"/>
    <row r="2640" ht="15" customHeight="1"/>
    <row r="2641" ht="15" customHeight="1"/>
    <row r="2642" ht="15" customHeight="1"/>
    <row r="2643" ht="15" customHeight="1"/>
    <row r="2644" ht="15" customHeight="1"/>
    <row r="2645" ht="15" customHeight="1"/>
    <row r="2646" ht="15" customHeight="1"/>
    <row r="2648" ht="15" customHeight="1"/>
    <row r="2649" ht="15" customHeight="1"/>
    <row r="2650" ht="15" customHeight="1"/>
    <row r="2651" ht="15" customHeight="1"/>
    <row r="2652" ht="15" customHeight="1"/>
    <row r="2653" ht="15" customHeight="1"/>
    <row r="2654" ht="15" customHeight="1"/>
    <row r="2655" ht="15" customHeight="1"/>
    <row r="2656" ht="15" customHeight="1"/>
    <row r="2657" ht="15" customHeight="1"/>
    <row r="2658" ht="15" customHeight="1"/>
    <row r="2659" ht="15" customHeight="1"/>
    <row r="2662" ht="15" customHeight="1"/>
    <row r="2663" ht="15" customHeight="1"/>
    <row r="2664" ht="15" customHeight="1"/>
    <row r="2665" ht="15" customHeight="1"/>
    <row r="2666" ht="15" customHeight="1"/>
    <row r="2667" ht="15" customHeight="1"/>
    <row r="2668" ht="15" customHeight="1"/>
    <row r="2669" ht="15" customHeight="1"/>
    <row r="2670" ht="15" customHeight="1"/>
    <row r="2671" ht="15" customHeight="1"/>
    <row r="2672" ht="15" customHeight="1"/>
    <row r="2673" ht="15" customHeight="1"/>
    <row r="2674" ht="15" customHeight="1"/>
    <row r="2675" ht="15" customHeight="1"/>
    <row r="2676" ht="15" customHeight="1"/>
    <row r="2677" ht="15" customHeight="1"/>
    <row r="2678" ht="15" customHeight="1"/>
    <row r="2679" ht="15" customHeight="1"/>
    <row r="2680" ht="15" customHeight="1"/>
    <row r="2681" ht="15" customHeight="1"/>
    <row r="2682" ht="15" customHeight="1"/>
    <row r="2683" ht="15" customHeight="1"/>
    <row r="2684" ht="15" customHeight="1"/>
    <row r="2685" ht="15" customHeight="1"/>
    <row r="2686" ht="15" customHeight="1"/>
    <row r="2687" ht="15" customHeight="1"/>
    <row r="2689" ht="15" customHeight="1"/>
    <row r="2690" ht="15" customHeight="1"/>
    <row r="2691" ht="15" customHeight="1"/>
    <row r="2692" ht="15" customHeight="1"/>
    <row r="2693" ht="15" customHeight="1"/>
    <row r="2694" ht="15" customHeight="1"/>
    <row r="2695" ht="15" customHeight="1"/>
    <row r="2696" ht="15" customHeight="1"/>
    <row r="2697" ht="15" customHeight="1"/>
    <row r="2698" ht="15" customHeight="1"/>
    <row r="2699" ht="15" customHeight="1"/>
    <row r="2700" ht="15" customHeight="1"/>
    <row r="2701" ht="15" customHeight="1"/>
    <row r="2702" ht="15" customHeight="1"/>
    <row r="2703" ht="15" customHeight="1"/>
    <row r="2704" ht="15" customHeight="1"/>
    <row r="2705" spans="2:32">
      <c r="B2705" s="31"/>
      <c r="C2705" s="31"/>
      <c r="D2705" s="31"/>
      <c r="E2705" s="31"/>
      <c r="F2705" s="31"/>
      <c r="G2705" s="31"/>
      <c r="H2705" s="31"/>
      <c r="I2705" s="31"/>
      <c r="J2705" s="31"/>
      <c r="K2705" s="31"/>
      <c r="L2705" s="31"/>
      <c r="M2705" s="31"/>
      <c r="N2705" s="31"/>
      <c r="O2705" s="31"/>
      <c r="P2705" s="31"/>
      <c r="Q2705" s="31"/>
      <c r="R2705" s="31"/>
      <c r="S2705" s="31"/>
      <c r="T2705" s="31"/>
      <c r="U2705" s="31"/>
      <c r="V2705" s="31"/>
      <c r="W2705" s="31"/>
      <c r="X2705" s="31"/>
      <c r="Y2705" s="31"/>
      <c r="Z2705" s="31"/>
      <c r="AA2705" s="31"/>
      <c r="AB2705" s="31"/>
      <c r="AC2705" s="31"/>
      <c r="AD2705" s="31"/>
      <c r="AE2705" s="31"/>
      <c r="AF2705" s="31"/>
    </row>
    <row r="2706" spans="2:32">
      <c r="B2706" s="31"/>
      <c r="C2706" s="31"/>
      <c r="D2706" s="31"/>
      <c r="E2706" s="31"/>
      <c r="F2706" s="31"/>
      <c r="G2706" s="31"/>
      <c r="H2706" s="31"/>
      <c r="I2706" s="31"/>
      <c r="J2706" s="31"/>
      <c r="K2706" s="31"/>
      <c r="L2706" s="31"/>
      <c r="M2706" s="31"/>
      <c r="N2706" s="31"/>
      <c r="O2706" s="31"/>
      <c r="P2706" s="31"/>
      <c r="Q2706" s="31"/>
      <c r="R2706" s="31"/>
      <c r="S2706" s="31"/>
      <c r="T2706" s="31"/>
      <c r="U2706" s="31"/>
      <c r="V2706" s="31"/>
      <c r="W2706" s="31"/>
      <c r="X2706" s="31"/>
      <c r="Y2706" s="31"/>
      <c r="Z2706" s="31"/>
      <c r="AA2706" s="31"/>
      <c r="AB2706" s="31"/>
      <c r="AC2706" s="31"/>
      <c r="AD2706" s="31"/>
      <c r="AE2706" s="31"/>
      <c r="AF2706" s="31"/>
    </row>
    <row r="2707" spans="2:32" ht="15" customHeight="1"/>
    <row r="2708" spans="2:32" ht="15" customHeight="1"/>
    <row r="2709" spans="2:32" ht="15" customHeight="1"/>
    <row r="2710" spans="2:32" ht="15" customHeight="1"/>
    <row r="2711" spans="2:32" ht="15" customHeight="1"/>
    <row r="2712" spans="2:32" ht="15" customHeight="1"/>
    <row r="2713" spans="2:32" ht="15" customHeight="1"/>
    <row r="2714" spans="2:32" ht="15" customHeight="1"/>
    <row r="2715" spans="2:32" ht="15" customHeight="1"/>
    <row r="2716" spans="2:32" ht="15" customHeight="1"/>
    <row r="2717" spans="2:32" ht="15" customHeight="1"/>
    <row r="2718" spans="2:32" ht="15" customHeight="1">
      <c r="B2718" s="31"/>
      <c r="C2718" s="31"/>
      <c r="D2718" s="31"/>
      <c r="E2718" s="31"/>
      <c r="F2718" s="31"/>
      <c r="G2718" s="31"/>
      <c r="H2718" s="31"/>
      <c r="I2718" s="31"/>
      <c r="J2718" s="31"/>
      <c r="K2718" s="31"/>
      <c r="L2718" s="31"/>
      <c r="M2718" s="31"/>
      <c r="N2718" s="31"/>
      <c r="O2718" s="31"/>
      <c r="P2718" s="31"/>
      <c r="Q2718" s="31"/>
      <c r="R2718" s="31"/>
      <c r="S2718" s="31"/>
      <c r="T2718" s="31"/>
      <c r="U2718" s="31"/>
      <c r="V2718" s="31"/>
      <c r="W2718" s="31"/>
      <c r="X2718" s="31"/>
      <c r="Y2718" s="31"/>
      <c r="Z2718" s="31"/>
      <c r="AA2718" s="31"/>
      <c r="AB2718" s="31"/>
      <c r="AC2718" s="31"/>
      <c r="AD2718" s="31"/>
      <c r="AE2718" s="31"/>
      <c r="AF2718" s="31"/>
    </row>
    <row r="2719" spans="2:32" ht="15" customHeight="1">
      <c r="B2719" s="110"/>
      <c r="C2719" s="110"/>
      <c r="D2719" s="110"/>
      <c r="E2719" s="110"/>
      <c r="F2719" s="110"/>
      <c r="G2719" s="110"/>
      <c r="H2719" s="110"/>
      <c r="I2719" s="110"/>
      <c r="J2719" s="110"/>
      <c r="K2719" s="110"/>
      <c r="L2719" s="110"/>
      <c r="M2719" s="110"/>
      <c r="N2719" s="110"/>
      <c r="O2719" s="110"/>
      <c r="P2719" s="110"/>
      <c r="Q2719" s="110"/>
      <c r="R2719" s="110"/>
      <c r="S2719" s="110"/>
      <c r="T2719" s="110"/>
      <c r="U2719" s="110"/>
      <c r="V2719" s="110"/>
      <c r="W2719" s="110"/>
      <c r="X2719" s="110"/>
      <c r="Y2719" s="110"/>
      <c r="Z2719" s="110"/>
      <c r="AA2719" s="110"/>
      <c r="AB2719" s="110"/>
      <c r="AC2719" s="110"/>
      <c r="AD2719" s="110"/>
      <c r="AE2719" s="110"/>
      <c r="AF2719" s="110"/>
    </row>
    <row r="2720" spans="2:32" ht="15" customHeight="1"/>
    <row r="2721" ht="15" customHeight="1"/>
    <row r="2722" ht="15" customHeight="1"/>
    <row r="2723" ht="15" customHeight="1"/>
    <row r="2724" ht="15" customHeight="1"/>
    <row r="2725" ht="15" customHeight="1"/>
    <row r="2726" ht="15" customHeight="1"/>
    <row r="2727" ht="15" customHeight="1"/>
    <row r="2728" ht="15" customHeight="1"/>
    <row r="2729" ht="15" customHeight="1"/>
    <row r="2730" ht="15" customHeight="1"/>
    <row r="2731" ht="15" customHeight="1"/>
    <row r="2732" ht="15" customHeight="1"/>
    <row r="2733" ht="15" customHeight="1"/>
    <row r="2734" ht="15" customHeight="1"/>
    <row r="2735" ht="15" customHeight="1"/>
    <row r="2736" ht="15" customHeight="1"/>
    <row r="2737" ht="15" customHeight="1"/>
    <row r="2738" ht="15" customHeight="1"/>
    <row r="2739" ht="15" customHeight="1"/>
    <row r="2740" ht="15" customHeight="1"/>
    <row r="2741" ht="15" customHeight="1"/>
    <row r="2742" ht="15" customHeight="1"/>
    <row r="2743" ht="15" customHeight="1"/>
    <row r="2775" ht="15" customHeight="1"/>
    <row r="2776" ht="15" customHeight="1"/>
    <row r="2777" ht="15" customHeight="1"/>
    <row r="2778" ht="15" customHeight="1"/>
    <row r="2779" ht="15" customHeight="1"/>
    <row r="2780" ht="15" customHeight="1"/>
    <row r="2781" ht="15" customHeight="1"/>
    <row r="2782" ht="15" customHeight="1"/>
    <row r="2783" ht="15" customHeight="1"/>
    <row r="2784" ht="15" customHeight="1"/>
    <row r="2785" ht="15" customHeight="1"/>
    <row r="2786" ht="15" customHeight="1"/>
    <row r="2788" ht="15" customHeight="1"/>
    <row r="2789" ht="15" customHeight="1"/>
    <row r="2790" ht="15" customHeight="1"/>
    <row r="2791" ht="15" customHeight="1"/>
    <row r="2793" ht="15" customHeight="1"/>
    <row r="2794" ht="15" customHeight="1"/>
    <row r="2795" ht="15" customHeight="1"/>
    <row r="2796" ht="15" customHeight="1"/>
    <row r="2797" ht="15" customHeight="1"/>
    <row r="2798" ht="15" customHeight="1"/>
    <row r="2799" ht="15" customHeight="1"/>
    <row r="2800" ht="15" customHeight="1"/>
    <row r="2801" ht="15" customHeight="1"/>
    <row r="2802" ht="15" customHeight="1"/>
    <row r="2804" ht="15" customHeight="1"/>
    <row r="2805" ht="15" customHeight="1"/>
    <row r="2806" ht="15" customHeight="1"/>
    <row r="2807" ht="15" customHeight="1"/>
    <row r="2809" ht="15" customHeight="1"/>
    <row r="2810" ht="15" customHeight="1"/>
    <row r="2811" ht="15" customHeight="1"/>
    <row r="2812" ht="15" customHeight="1"/>
    <row r="2813" ht="15" customHeight="1"/>
    <row r="2814" ht="15" customHeight="1"/>
    <row r="2815" ht="15" customHeight="1"/>
    <row r="2816" ht="15" customHeight="1"/>
    <row r="2818" ht="15" customHeight="1"/>
    <row r="2819" ht="15" customHeight="1"/>
    <row r="2820" ht="15" customHeight="1"/>
    <row r="2821" ht="15" customHeight="1"/>
    <row r="2822" ht="15" customHeight="1"/>
    <row r="2823" ht="15" customHeight="1"/>
    <row r="2825" ht="15" customHeight="1"/>
    <row r="2826" ht="15" customHeight="1"/>
    <row r="2827" ht="15" customHeight="1"/>
    <row r="2828" ht="15" customHeight="1"/>
    <row r="2831" ht="15" customHeight="1"/>
    <row r="2832" ht="15" customHeight="1"/>
    <row r="2833" spans="2:32" ht="15" customHeight="1"/>
    <row r="2834" spans="2:32" ht="15" customHeight="1"/>
    <row r="2835" spans="2:32" ht="15" customHeight="1"/>
    <row r="2836" spans="2:32" ht="15" customHeight="1">
      <c r="B2836" s="31"/>
      <c r="C2836" s="31"/>
      <c r="D2836" s="31"/>
      <c r="E2836" s="31"/>
      <c r="F2836" s="31"/>
      <c r="G2836" s="31"/>
      <c r="H2836" s="31"/>
      <c r="I2836" s="31"/>
      <c r="J2836" s="31"/>
      <c r="K2836" s="31"/>
      <c r="L2836" s="31"/>
      <c r="M2836" s="31"/>
      <c r="N2836" s="31"/>
      <c r="O2836" s="31"/>
      <c r="P2836" s="31"/>
      <c r="Q2836" s="31"/>
      <c r="R2836" s="31"/>
      <c r="S2836" s="31"/>
      <c r="T2836" s="31"/>
      <c r="U2836" s="31"/>
      <c r="V2836" s="31"/>
      <c r="W2836" s="31"/>
      <c r="X2836" s="31"/>
      <c r="Y2836" s="31"/>
      <c r="Z2836" s="31"/>
      <c r="AA2836" s="31"/>
      <c r="AB2836" s="31"/>
      <c r="AC2836" s="31"/>
      <c r="AD2836" s="31"/>
      <c r="AE2836" s="31"/>
      <c r="AF2836" s="31"/>
    </row>
    <row r="2837" spans="2:32" ht="15" customHeight="1">
      <c r="B2837" s="110"/>
      <c r="C2837" s="110"/>
      <c r="D2837" s="110"/>
      <c r="E2837" s="110"/>
      <c r="F2837" s="110"/>
      <c r="G2837" s="110"/>
      <c r="H2837" s="110"/>
      <c r="I2837" s="110"/>
      <c r="J2837" s="110"/>
      <c r="K2837" s="110"/>
      <c r="L2837" s="110"/>
      <c r="M2837" s="110"/>
      <c r="N2837" s="110"/>
      <c r="O2837" s="110"/>
      <c r="P2837" s="110"/>
      <c r="Q2837" s="110"/>
      <c r="R2837" s="110"/>
      <c r="S2837" s="110"/>
      <c r="T2837" s="110"/>
      <c r="U2837" s="110"/>
      <c r="V2837" s="110"/>
      <c r="W2837" s="110"/>
      <c r="X2837" s="110"/>
      <c r="Y2837" s="110"/>
      <c r="Z2837" s="110"/>
      <c r="AA2837" s="110"/>
      <c r="AB2837" s="110"/>
      <c r="AC2837" s="110"/>
      <c r="AD2837" s="110"/>
      <c r="AE2837" s="110"/>
      <c r="AF2837" s="110"/>
    </row>
    <row r="2838" spans="2:32" ht="15" customHeight="1"/>
    <row r="2839" spans="2:32" ht="15" customHeight="1"/>
    <row r="2840" spans="2:32" ht="15" customHeight="1"/>
    <row r="2841" spans="2:32" ht="15" customHeight="1"/>
  </sheetData>
  <mergeCells count="21">
    <mergeCell ref="B1699:AF1699"/>
    <mergeCell ref="B69:AG69"/>
    <mergeCell ref="B2719:AF2719"/>
    <mergeCell ref="B2837:AF2837"/>
    <mergeCell ref="B2031:AF2031"/>
    <mergeCell ref="B2153:AF2153"/>
    <mergeCell ref="B2317:AF2317"/>
    <mergeCell ref="B2419:AF2419"/>
    <mergeCell ref="B2509:AF2509"/>
    <mergeCell ref="B2598:AF2598"/>
    <mergeCell ref="B1945:AF1945"/>
    <mergeCell ref="B112:AF112"/>
    <mergeCell ref="B308:AF308"/>
    <mergeCell ref="B511:AF511"/>
    <mergeCell ref="B712:AF712"/>
    <mergeCell ref="B887:AF887"/>
    <mergeCell ref="B1101:AF1101"/>
    <mergeCell ref="B1229:AF1229"/>
    <mergeCell ref="B1390:AF1390"/>
    <mergeCell ref="B1502:AF1502"/>
    <mergeCell ref="B1604:AF1604"/>
  </mergeCells>
  <pageMargins left="0.7" right="0.7" top="0.75" bottom="0.75" header="0.3" footer="0.3"/>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8990584-3B8E-442A-A651-1BB3BD061418}">
  <dimension ref="A1:AI96"/>
  <sheetViews>
    <sheetView workbookViewId="0">
      <selection activeCell="I15" sqref="I15"/>
    </sheetView>
  </sheetViews>
  <sheetFormatPr defaultRowHeight="14.25"/>
  <sheetData>
    <row r="1" spans="1:35">
      <c r="A1" t="s">
        <v>86</v>
      </c>
    </row>
    <row r="2" spans="1:35">
      <c r="A2" t="s">
        <v>417</v>
      </c>
    </row>
    <row r="3" spans="1:35">
      <c r="A3" t="s">
        <v>418</v>
      </c>
    </row>
    <row r="4" spans="1:35">
      <c r="A4" t="s">
        <v>87</v>
      </c>
    </row>
    <row r="5" spans="1:35">
      <c r="B5" t="s">
        <v>88</v>
      </c>
      <c r="C5" t="s">
        <v>116</v>
      </c>
      <c r="D5" t="s">
        <v>117</v>
      </c>
      <c r="E5">
        <v>2021</v>
      </c>
      <c r="F5">
        <v>2022</v>
      </c>
      <c r="G5">
        <v>2023</v>
      </c>
      <c r="H5">
        <v>2024</v>
      </c>
      <c r="I5">
        <v>2025</v>
      </c>
      <c r="J5">
        <v>2026</v>
      </c>
      <c r="K5">
        <v>2027</v>
      </c>
      <c r="L5">
        <v>2028</v>
      </c>
      <c r="M5">
        <v>2029</v>
      </c>
      <c r="N5">
        <v>2030</v>
      </c>
      <c r="O5">
        <v>2031</v>
      </c>
      <c r="P5">
        <v>2032</v>
      </c>
      <c r="Q5">
        <v>2033</v>
      </c>
      <c r="R5">
        <v>2034</v>
      </c>
      <c r="S5">
        <v>2035</v>
      </c>
      <c r="T5">
        <v>2036</v>
      </c>
      <c r="U5">
        <v>2037</v>
      </c>
      <c r="V5">
        <v>2038</v>
      </c>
      <c r="W5">
        <v>2039</v>
      </c>
      <c r="X5">
        <v>2040</v>
      </c>
      <c r="Y5">
        <v>2041</v>
      </c>
      <c r="Z5">
        <v>2042</v>
      </c>
      <c r="AA5">
        <v>2043</v>
      </c>
      <c r="AB5">
        <v>2044</v>
      </c>
      <c r="AC5">
        <v>2045</v>
      </c>
      <c r="AD5">
        <v>2046</v>
      </c>
      <c r="AE5">
        <v>2047</v>
      </c>
      <c r="AF5">
        <v>2048</v>
      </c>
      <c r="AG5">
        <v>2049</v>
      </c>
      <c r="AH5">
        <v>2050</v>
      </c>
      <c r="AI5" t="s">
        <v>419</v>
      </c>
    </row>
    <row r="6" spans="1:35">
      <c r="A6" t="s">
        <v>13</v>
      </c>
      <c r="B6" t="s">
        <v>420</v>
      </c>
      <c r="C6" t="s">
        <v>421</v>
      </c>
      <c r="D6" t="s">
        <v>118</v>
      </c>
      <c r="F6">
        <v>14541.972656</v>
      </c>
      <c r="G6">
        <v>14586.113281</v>
      </c>
      <c r="H6">
        <v>14429.691406</v>
      </c>
      <c r="I6">
        <v>14201.924805000001</v>
      </c>
      <c r="J6">
        <v>14016.908203000001</v>
      </c>
      <c r="K6">
        <v>13860.761719</v>
      </c>
      <c r="L6">
        <v>13679.085938</v>
      </c>
      <c r="M6">
        <v>13473.831055000001</v>
      </c>
      <c r="N6">
        <v>13253.083008</v>
      </c>
      <c r="O6">
        <v>13044.084961</v>
      </c>
      <c r="P6">
        <v>12836.977539</v>
      </c>
      <c r="Q6">
        <v>12674.038086</v>
      </c>
      <c r="R6">
        <v>12534.655273</v>
      </c>
      <c r="S6">
        <v>12394.663086</v>
      </c>
      <c r="T6">
        <v>12251.546875</v>
      </c>
      <c r="U6">
        <v>12130.821289</v>
      </c>
      <c r="V6">
        <v>12028.415039</v>
      </c>
      <c r="W6">
        <v>11933.921875</v>
      </c>
      <c r="X6">
        <v>11864.000977</v>
      </c>
      <c r="Y6">
        <v>11805.395508</v>
      </c>
      <c r="Z6">
        <v>11762.741211</v>
      </c>
      <c r="AA6">
        <v>11733.643555000001</v>
      </c>
      <c r="AB6">
        <v>11725.385742</v>
      </c>
      <c r="AC6">
        <v>11735.774414</v>
      </c>
      <c r="AD6">
        <v>11770.762694999999</v>
      </c>
      <c r="AE6">
        <v>11824.348633</v>
      </c>
      <c r="AF6">
        <v>11889.714844</v>
      </c>
      <c r="AG6">
        <v>11962.909180000001</v>
      </c>
      <c r="AH6">
        <v>12054.454102</v>
      </c>
      <c r="AI6" s="12">
        <v>-7.0000000000000001E-3</v>
      </c>
    </row>
    <row r="7" spans="1:35">
      <c r="A7" t="s">
        <v>89</v>
      </c>
      <c r="B7" t="s">
        <v>422</v>
      </c>
      <c r="C7" t="s">
        <v>423</v>
      </c>
      <c r="D7" t="s">
        <v>118</v>
      </c>
      <c r="F7">
        <v>14415.272461</v>
      </c>
      <c r="G7">
        <v>14443.935546999999</v>
      </c>
      <c r="H7">
        <v>14272.423828000001</v>
      </c>
      <c r="I7">
        <v>14024.321289</v>
      </c>
      <c r="J7">
        <v>13815.495117</v>
      </c>
      <c r="K7">
        <v>13632.25</v>
      </c>
      <c r="L7">
        <v>13419.692383</v>
      </c>
      <c r="M7">
        <v>13179.959961</v>
      </c>
      <c r="N7">
        <v>12922.150390999999</v>
      </c>
      <c r="O7">
        <v>12678.574219</v>
      </c>
      <c r="P7">
        <v>12437.037109000001</v>
      </c>
      <c r="Q7">
        <v>12238.958984000001</v>
      </c>
      <c r="R7">
        <v>12063.409180000001</v>
      </c>
      <c r="S7">
        <v>11887.983398</v>
      </c>
      <c r="T7">
        <v>11710.702148</v>
      </c>
      <c r="U7">
        <v>11556.080078000001</v>
      </c>
      <c r="V7">
        <v>11421.212890999999</v>
      </c>
      <c r="W7">
        <v>11295.928711</v>
      </c>
      <c r="X7">
        <v>11196.765625</v>
      </c>
      <c r="Y7">
        <v>11110.766602</v>
      </c>
      <c r="Z7">
        <v>11042.224609000001</v>
      </c>
      <c r="AA7">
        <v>10988.434569999999</v>
      </c>
      <c r="AB7">
        <v>10958.347656</v>
      </c>
      <c r="AC7">
        <v>10949.109375</v>
      </c>
      <c r="AD7">
        <v>10963.973633</v>
      </c>
      <c r="AE7">
        <v>10998.306640999999</v>
      </c>
      <c r="AF7">
        <v>11045.133789</v>
      </c>
      <c r="AG7">
        <v>11100.259765999999</v>
      </c>
      <c r="AH7">
        <v>11174.059569999999</v>
      </c>
      <c r="AI7" s="12">
        <v>-8.9999999999999993E-3</v>
      </c>
    </row>
    <row r="8" spans="1:35">
      <c r="A8" t="s">
        <v>90</v>
      </c>
      <c r="B8" t="s">
        <v>424</v>
      </c>
      <c r="C8" t="s">
        <v>425</v>
      </c>
      <c r="D8" t="s">
        <v>118</v>
      </c>
      <c r="F8">
        <v>31.110834000000001</v>
      </c>
      <c r="G8">
        <v>31.640059999999998</v>
      </c>
      <c r="H8">
        <v>29.552766999999999</v>
      </c>
      <c r="I8">
        <v>29.441513</v>
      </c>
      <c r="J8">
        <v>28.728484999999999</v>
      </c>
      <c r="K8">
        <v>27.952176999999999</v>
      </c>
      <c r="L8">
        <v>27.018059000000001</v>
      </c>
      <c r="M8">
        <v>25.972712999999999</v>
      </c>
      <c r="N8">
        <v>24.873795000000001</v>
      </c>
      <c r="O8">
        <v>23.800640000000001</v>
      </c>
      <c r="P8">
        <v>22.75461</v>
      </c>
      <c r="Q8">
        <v>21.823027</v>
      </c>
      <c r="R8">
        <v>20.987984000000001</v>
      </c>
      <c r="S8">
        <v>20.244168999999999</v>
      </c>
      <c r="T8">
        <v>19.537762000000001</v>
      </c>
      <c r="U8">
        <v>19.024712000000001</v>
      </c>
      <c r="V8">
        <v>18.648620999999999</v>
      </c>
      <c r="W8">
        <v>18.398510000000002</v>
      </c>
      <c r="X8">
        <v>18.275644</v>
      </c>
      <c r="Y8">
        <v>18.222812999999999</v>
      </c>
      <c r="Z8">
        <v>18.236134</v>
      </c>
      <c r="AA8">
        <v>18.340064999999999</v>
      </c>
      <c r="AB8">
        <v>18.452594999999999</v>
      </c>
      <c r="AC8">
        <v>18.609615000000002</v>
      </c>
      <c r="AD8">
        <v>18.756809000000001</v>
      </c>
      <c r="AE8">
        <v>19.004078</v>
      </c>
      <c r="AF8">
        <v>19.229309000000001</v>
      </c>
      <c r="AG8">
        <v>19.515996999999999</v>
      </c>
      <c r="AH8">
        <v>19.788425</v>
      </c>
      <c r="AI8" s="12">
        <v>-1.6E-2</v>
      </c>
    </row>
    <row r="9" spans="1:35">
      <c r="A9" t="s">
        <v>91</v>
      </c>
      <c r="B9" t="s">
        <v>426</v>
      </c>
      <c r="C9" t="s">
        <v>427</v>
      </c>
      <c r="D9" t="s">
        <v>118</v>
      </c>
      <c r="F9">
        <v>61.460402999999999</v>
      </c>
      <c r="G9">
        <v>64.699020000000004</v>
      </c>
      <c r="H9">
        <v>67.503647000000001</v>
      </c>
      <c r="I9">
        <v>70.684073999999995</v>
      </c>
      <c r="J9">
        <v>74.503555000000006</v>
      </c>
      <c r="K9">
        <v>77.632530000000003</v>
      </c>
      <c r="L9">
        <v>81.324982000000006</v>
      </c>
      <c r="M9">
        <v>84.520767000000006</v>
      </c>
      <c r="N9">
        <v>86.959732000000002</v>
      </c>
      <c r="O9">
        <v>89.758049</v>
      </c>
      <c r="P9">
        <v>91.490157999999994</v>
      </c>
      <c r="Q9">
        <v>93.247542999999993</v>
      </c>
      <c r="R9">
        <v>95.158996999999999</v>
      </c>
      <c r="S9">
        <v>96.641707999999994</v>
      </c>
      <c r="T9">
        <v>98.053237999999993</v>
      </c>
      <c r="U9">
        <v>99.864699999999999</v>
      </c>
      <c r="V9">
        <v>101.36190000000001</v>
      </c>
      <c r="W9">
        <v>102.785622</v>
      </c>
      <c r="X9">
        <v>104.47521999999999</v>
      </c>
      <c r="Y9">
        <v>105.749611</v>
      </c>
      <c r="Z9">
        <v>107.324608</v>
      </c>
      <c r="AA9">
        <v>109.779274</v>
      </c>
      <c r="AB9">
        <v>110.920013</v>
      </c>
      <c r="AC9">
        <v>111.97983600000001</v>
      </c>
      <c r="AD9">
        <v>113.441277</v>
      </c>
      <c r="AE9">
        <v>115.037064</v>
      </c>
      <c r="AF9">
        <v>116.75106</v>
      </c>
      <c r="AG9">
        <v>118.593468</v>
      </c>
      <c r="AH9">
        <v>120.69574</v>
      </c>
      <c r="AI9" s="12">
        <v>2.4E-2</v>
      </c>
    </row>
    <row r="10" spans="1:35">
      <c r="A10" t="s">
        <v>92</v>
      </c>
      <c r="B10" t="s">
        <v>428</v>
      </c>
      <c r="C10" t="s">
        <v>429</v>
      </c>
      <c r="D10" t="s">
        <v>118</v>
      </c>
      <c r="F10">
        <v>0.71288799999999997</v>
      </c>
      <c r="G10">
        <v>0.67766800000000005</v>
      </c>
      <c r="H10">
        <v>0.53775200000000001</v>
      </c>
      <c r="I10">
        <v>0.51500500000000005</v>
      </c>
      <c r="J10">
        <v>0.507019</v>
      </c>
      <c r="K10">
        <v>0.49244300000000002</v>
      </c>
      <c r="L10">
        <v>0.48183900000000002</v>
      </c>
      <c r="M10">
        <v>0.470472</v>
      </c>
      <c r="N10">
        <v>0.44594200000000001</v>
      </c>
      <c r="O10">
        <v>0.44344499999999998</v>
      </c>
      <c r="P10">
        <v>0.43788300000000002</v>
      </c>
      <c r="Q10">
        <v>0.43343399999999999</v>
      </c>
      <c r="R10">
        <v>0.43173299999999998</v>
      </c>
      <c r="S10">
        <v>0.43049900000000002</v>
      </c>
      <c r="T10">
        <v>0.42709599999999998</v>
      </c>
      <c r="U10">
        <v>0.42463099999999998</v>
      </c>
      <c r="V10">
        <v>0.42622700000000002</v>
      </c>
      <c r="W10">
        <v>0.37802400000000003</v>
      </c>
      <c r="X10">
        <v>0.33532600000000001</v>
      </c>
      <c r="Y10">
        <v>0.34005299999999999</v>
      </c>
      <c r="Z10">
        <v>0.343781</v>
      </c>
      <c r="AA10">
        <v>0.34665600000000002</v>
      </c>
      <c r="AB10">
        <v>0.34931299999999998</v>
      </c>
      <c r="AC10">
        <v>0.35186400000000001</v>
      </c>
      <c r="AD10">
        <v>0.35644799999999999</v>
      </c>
      <c r="AE10">
        <v>0.36170999999999998</v>
      </c>
      <c r="AF10">
        <v>0.367786</v>
      </c>
      <c r="AG10">
        <v>0.37404300000000001</v>
      </c>
      <c r="AH10">
        <v>0.38108199999999998</v>
      </c>
      <c r="AI10" s="12">
        <v>-2.1999999999999999E-2</v>
      </c>
    </row>
    <row r="11" spans="1:35">
      <c r="A11" t="s">
        <v>93</v>
      </c>
      <c r="B11" t="s">
        <v>430</v>
      </c>
      <c r="C11" t="s">
        <v>431</v>
      </c>
      <c r="D11" t="s">
        <v>118</v>
      </c>
      <c r="F11">
        <v>0.79738799999999999</v>
      </c>
      <c r="G11">
        <v>0.735487</v>
      </c>
      <c r="H11">
        <v>0.54745600000000005</v>
      </c>
      <c r="I11">
        <v>0.54066800000000004</v>
      </c>
      <c r="J11">
        <v>0.54419300000000004</v>
      </c>
      <c r="K11">
        <v>0.56128199999999995</v>
      </c>
      <c r="L11">
        <v>0.31209199999999998</v>
      </c>
      <c r="M11">
        <v>0.33013999999999999</v>
      </c>
      <c r="N11">
        <v>0.384077</v>
      </c>
      <c r="O11">
        <v>0.43762600000000001</v>
      </c>
      <c r="P11">
        <v>0.48971900000000002</v>
      </c>
      <c r="Q11">
        <v>0.54025400000000001</v>
      </c>
      <c r="R11">
        <v>0.59017699999999995</v>
      </c>
      <c r="S11">
        <v>0.63807599999999998</v>
      </c>
      <c r="T11">
        <v>0.68416399999999999</v>
      </c>
      <c r="U11">
        <v>0.72875999999999996</v>
      </c>
      <c r="V11">
        <v>0.77158599999999999</v>
      </c>
      <c r="W11">
        <v>0.81298700000000002</v>
      </c>
      <c r="X11">
        <v>0.85285</v>
      </c>
      <c r="Y11">
        <v>0.89180899999999996</v>
      </c>
      <c r="Z11">
        <v>0.93071300000000001</v>
      </c>
      <c r="AA11">
        <v>0.96862199999999998</v>
      </c>
      <c r="AB11">
        <v>1.007558</v>
      </c>
      <c r="AC11">
        <v>1.0480309999999999</v>
      </c>
      <c r="AD11">
        <v>1.0965309999999999</v>
      </c>
      <c r="AE11">
        <v>1.1502429999999999</v>
      </c>
      <c r="AF11">
        <v>1.2091620000000001</v>
      </c>
      <c r="AG11">
        <v>1.2718959999999999</v>
      </c>
      <c r="AH11">
        <v>1.341161</v>
      </c>
      <c r="AI11" s="12">
        <v>1.9E-2</v>
      </c>
    </row>
    <row r="12" spans="1:35">
      <c r="A12" t="s">
        <v>94</v>
      </c>
      <c r="B12" t="s">
        <v>432</v>
      </c>
      <c r="C12" t="s">
        <v>433</v>
      </c>
      <c r="D12" t="s">
        <v>118</v>
      </c>
      <c r="F12">
        <v>32.193668000000002</v>
      </c>
      <c r="G12">
        <v>43.907116000000002</v>
      </c>
      <c r="H12">
        <v>58.529483999999997</v>
      </c>
      <c r="I12">
        <v>75.757942</v>
      </c>
      <c r="J12">
        <v>96.391159000000002</v>
      </c>
      <c r="K12">
        <v>121.066132</v>
      </c>
      <c r="L12">
        <v>149.37681599999999</v>
      </c>
      <c r="M12">
        <v>181.62849399999999</v>
      </c>
      <c r="N12">
        <v>217.248322</v>
      </c>
      <c r="O12">
        <v>249.97737100000001</v>
      </c>
      <c r="P12">
        <v>283.60272200000003</v>
      </c>
      <c r="Q12">
        <v>317.79742399999998</v>
      </c>
      <c r="R12">
        <v>352.768036</v>
      </c>
      <c r="S12">
        <v>387.34478799999999</v>
      </c>
      <c r="T12">
        <v>420.69439699999998</v>
      </c>
      <c r="U12">
        <v>453.186218</v>
      </c>
      <c r="V12">
        <v>484.42330900000002</v>
      </c>
      <c r="W12">
        <v>513.99560499999995</v>
      </c>
      <c r="X12">
        <v>541.63085899999999</v>
      </c>
      <c r="Y12">
        <v>567.72460899999999</v>
      </c>
      <c r="Z12">
        <v>591.95019500000001</v>
      </c>
      <c r="AA12">
        <v>614.02081299999998</v>
      </c>
      <c r="AB12">
        <v>634.53887899999995</v>
      </c>
      <c r="AC12">
        <v>652.89733899999999</v>
      </c>
      <c r="AD12">
        <v>671.348206</v>
      </c>
      <c r="AE12">
        <v>688.68969700000002</v>
      </c>
      <c r="AF12">
        <v>705.21575900000005</v>
      </c>
      <c r="AG12">
        <v>721.08111599999995</v>
      </c>
      <c r="AH12">
        <v>736.37286400000005</v>
      </c>
      <c r="AI12" s="12">
        <v>0.11799999999999999</v>
      </c>
    </row>
    <row r="13" spans="1:35">
      <c r="A13" t="s">
        <v>95</v>
      </c>
      <c r="B13" t="s">
        <v>434</v>
      </c>
      <c r="C13" t="s">
        <v>435</v>
      </c>
      <c r="D13" t="s">
        <v>118</v>
      </c>
      <c r="F13">
        <v>0.42613899999999999</v>
      </c>
      <c r="G13">
        <v>0.51818299999999995</v>
      </c>
      <c r="H13">
        <v>0.59576700000000005</v>
      </c>
      <c r="I13">
        <v>0.66511799999999999</v>
      </c>
      <c r="J13">
        <v>0.73787199999999997</v>
      </c>
      <c r="K13">
        <v>0.80678000000000005</v>
      </c>
      <c r="L13">
        <v>0.87969799999999998</v>
      </c>
      <c r="M13">
        <v>0.94835800000000003</v>
      </c>
      <c r="N13">
        <v>1.0205519999999999</v>
      </c>
      <c r="O13">
        <v>1.0934459999999999</v>
      </c>
      <c r="P13">
        <v>1.1656569999999999</v>
      </c>
      <c r="Q13">
        <v>1.2371049999999999</v>
      </c>
      <c r="R13">
        <v>1.3096950000000001</v>
      </c>
      <c r="S13">
        <v>1.3809180000000001</v>
      </c>
      <c r="T13">
        <v>1.4474880000000001</v>
      </c>
      <c r="U13">
        <v>1.512508</v>
      </c>
      <c r="V13">
        <v>1.570883</v>
      </c>
      <c r="W13">
        <v>1.623062</v>
      </c>
      <c r="X13">
        <v>1.665691</v>
      </c>
      <c r="Y13">
        <v>1.699897</v>
      </c>
      <c r="Z13">
        <v>1.7316929999999999</v>
      </c>
      <c r="AA13">
        <v>1.7536229999999999</v>
      </c>
      <c r="AB13">
        <v>1.769871</v>
      </c>
      <c r="AC13">
        <v>1.7791170000000001</v>
      </c>
      <c r="AD13">
        <v>1.7894969999999999</v>
      </c>
      <c r="AE13">
        <v>1.800149</v>
      </c>
      <c r="AF13">
        <v>1.8077129999999999</v>
      </c>
      <c r="AG13">
        <v>1.8132870000000001</v>
      </c>
      <c r="AH13">
        <v>1.8167770000000001</v>
      </c>
      <c r="AI13" s="12">
        <v>5.2999999999999999E-2</v>
      </c>
    </row>
    <row r="14" spans="1:35">
      <c r="A14" t="s">
        <v>96</v>
      </c>
      <c r="B14" t="s">
        <v>436</v>
      </c>
      <c r="C14" t="s">
        <v>437</v>
      </c>
      <c r="D14" t="s">
        <v>118</v>
      </c>
      <c r="F14">
        <v>951.50280799999996</v>
      </c>
      <c r="G14">
        <v>942.55828899999995</v>
      </c>
      <c r="H14">
        <v>925.34039299999995</v>
      </c>
      <c r="I14">
        <v>912.45153800000003</v>
      </c>
      <c r="J14">
        <v>903.11096199999997</v>
      </c>
      <c r="K14">
        <v>894.80664100000001</v>
      </c>
      <c r="L14">
        <v>888.38452099999995</v>
      </c>
      <c r="M14">
        <v>882.99560499999995</v>
      </c>
      <c r="N14">
        <v>877.03247099999999</v>
      </c>
      <c r="O14">
        <v>872.79089399999998</v>
      </c>
      <c r="P14">
        <v>871.79064900000003</v>
      </c>
      <c r="Q14">
        <v>871.86755400000004</v>
      </c>
      <c r="R14">
        <v>873.03363000000002</v>
      </c>
      <c r="S14">
        <v>875.073486</v>
      </c>
      <c r="T14">
        <v>877.49945100000002</v>
      </c>
      <c r="U14">
        <v>881.02331500000003</v>
      </c>
      <c r="V14">
        <v>885.54095500000005</v>
      </c>
      <c r="W14">
        <v>889.79608199999996</v>
      </c>
      <c r="X14">
        <v>896.14636199999995</v>
      </c>
      <c r="Y14">
        <v>903.92437700000005</v>
      </c>
      <c r="Z14">
        <v>911.92645300000004</v>
      </c>
      <c r="AA14">
        <v>919.04620399999999</v>
      </c>
      <c r="AB14">
        <v>925.47399900000005</v>
      </c>
      <c r="AC14">
        <v>932.77233899999999</v>
      </c>
      <c r="AD14">
        <v>941.28070100000002</v>
      </c>
      <c r="AE14">
        <v>951.49883999999997</v>
      </c>
      <c r="AF14">
        <v>960.51415999999995</v>
      </c>
      <c r="AG14">
        <v>969.57879600000001</v>
      </c>
      <c r="AH14">
        <v>981.59570299999996</v>
      </c>
      <c r="AI14" s="12">
        <v>1E-3</v>
      </c>
    </row>
    <row r="15" spans="1:35">
      <c r="A15" t="s">
        <v>89</v>
      </c>
      <c r="B15" t="s">
        <v>438</v>
      </c>
      <c r="C15" t="s">
        <v>439</v>
      </c>
      <c r="D15" t="s">
        <v>118</v>
      </c>
      <c r="F15">
        <v>657.76745600000004</v>
      </c>
      <c r="G15">
        <v>651.25982699999997</v>
      </c>
      <c r="H15">
        <v>640.80761700000005</v>
      </c>
      <c r="I15">
        <v>634.44543499999997</v>
      </c>
      <c r="J15">
        <v>630.82428000000004</v>
      </c>
      <c r="K15">
        <v>624.78125</v>
      </c>
      <c r="L15">
        <v>620.947632</v>
      </c>
      <c r="M15">
        <v>618.08074999999997</v>
      </c>
      <c r="N15">
        <v>615.03594999999996</v>
      </c>
      <c r="O15">
        <v>613.48315400000001</v>
      </c>
      <c r="P15">
        <v>614.07128899999998</v>
      </c>
      <c r="Q15">
        <v>615.42193599999996</v>
      </c>
      <c r="R15">
        <v>617.641479</v>
      </c>
      <c r="S15">
        <v>620.38317900000004</v>
      </c>
      <c r="T15">
        <v>623.32220500000005</v>
      </c>
      <c r="U15">
        <v>627.02630599999998</v>
      </c>
      <c r="V15">
        <v>631.23345900000004</v>
      </c>
      <c r="W15">
        <v>635.20404099999996</v>
      </c>
      <c r="X15">
        <v>640.80859399999997</v>
      </c>
      <c r="Y15">
        <v>646.77948000000004</v>
      </c>
      <c r="Z15">
        <v>653.38256799999999</v>
      </c>
      <c r="AA15">
        <v>659.03369099999998</v>
      </c>
      <c r="AB15">
        <v>663.90283199999999</v>
      </c>
      <c r="AC15">
        <v>669.03552200000001</v>
      </c>
      <c r="AD15">
        <v>675.10998500000005</v>
      </c>
      <c r="AE15">
        <v>682.46606399999996</v>
      </c>
      <c r="AF15">
        <v>688.97082499999999</v>
      </c>
      <c r="AG15">
        <v>695.63995399999999</v>
      </c>
      <c r="AH15">
        <v>704.23315400000001</v>
      </c>
      <c r="AI15" s="12">
        <v>2E-3</v>
      </c>
    </row>
    <row r="16" spans="1:35">
      <c r="A16" t="s">
        <v>90</v>
      </c>
      <c r="B16" t="s">
        <v>440</v>
      </c>
      <c r="C16" t="s">
        <v>441</v>
      </c>
      <c r="D16" t="s">
        <v>118</v>
      </c>
      <c r="F16">
        <v>3.5136699999999998</v>
      </c>
      <c r="G16">
        <v>3.389497</v>
      </c>
      <c r="H16">
        <v>2.991625</v>
      </c>
      <c r="I16">
        <v>2.9037060000000001</v>
      </c>
      <c r="J16">
        <v>2.7676799999999999</v>
      </c>
      <c r="K16">
        <v>2.7080980000000001</v>
      </c>
      <c r="L16">
        <v>2.6648450000000001</v>
      </c>
      <c r="M16">
        <v>2.6710020000000001</v>
      </c>
      <c r="N16">
        <v>2.68058</v>
      </c>
      <c r="O16">
        <v>2.705457</v>
      </c>
      <c r="P16">
        <v>2.745193</v>
      </c>
      <c r="Q16">
        <v>2.803118</v>
      </c>
      <c r="R16">
        <v>2.8754189999999999</v>
      </c>
      <c r="S16">
        <v>2.972388</v>
      </c>
      <c r="T16">
        <v>3.075218</v>
      </c>
      <c r="U16">
        <v>3.2065070000000002</v>
      </c>
      <c r="V16">
        <v>3.3501609999999999</v>
      </c>
      <c r="W16">
        <v>3.5010400000000002</v>
      </c>
      <c r="X16">
        <v>3.6667809999999998</v>
      </c>
      <c r="Y16">
        <v>3.843432</v>
      </c>
      <c r="Z16">
        <v>4.0169430000000004</v>
      </c>
      <c r="AA16">
        <v>4.194909</v>
      </c>
      <c r="AB16">
        <v>4.3540520000000003</v>
      </c>
      <c r="AC16">
        <v>4.5155190000000003</v>
      </c>
      <c r="AD16">
        <v>4.6677289999999996</v>
      </c>
      <c r="AE16">
        <v>4.8359430000000003</v>
      </c>
      <c r="AF16">
        <v>4.9793599999999998</v>
      </c>
      <c r="AG16">
        <v>5.1316860000000002</v>
      </c>
      <c r="AH16">
        <v>5.2824540000000004</v>
      </c>
      <c r="AI16" s="12">
        <v>1.4999999999999999E-2</v>
      </c>
    </row>
    <row r="17" spans="1:35">
      <c r="A17" t="s">
        <v>91</v>
      </c>
      <c r="B17" t="s">
        <v>442</v>
      </c>
      <c r="C17" t="s">
        <v>443</v>
      </c>
      <c r="D17" t="s">
        <v>118</v>
      </c>
      <c r="F17">
        <v>289.12039199999998</v>
      </c>
      <c r="G17">
        <v>286.82144199999999</v>
      </c>
      <c r="H17">
        <v>280.46920799999998</v>
      </c>
      <c r="I17">
        <v>274.07836900000001</v>
      </c>
      <c r="J17">
        <v>268.54092400000002</v>
      </c>
      <c r="K17">
        <v>266.37576300000001</v>
      </c>
      <c r="L17">
        <v>263.84298699999999</v>
      </c>
      <c r="M17">
        <v>261.31542999999999</v>
      </c>
      <c r="N17">
        <v>258.401184</v>
      </c>
      <c r="O17">
        <v>255.69387800000001</v>
      </c>
      <c r="P17">
        <v>254.05813599999999</v>
      </c>
      <c r="Q17">
        <v>252.705139</v>
      </c>
      <c r="R17">
        <v>251.542633</v>
      </c>
      <c r="S17">
        <v>250.69047499999999</v>
      </c>
      <c r="T17">
        <v>250.00555399999999</v>
      </c>
      <c r="U17">
        <v>249.60524000000001</v>
      </c>
      <c r="V17">
        <v>249.66021699999999</v>
      </c>
      <c r="W17">
        <v>249.65734900000001</v>
      </c>
      <c r="X17">
        <v>250.07077000000001</v>
      </c>
      <c r="Y17">
        <v>251.505585</v>
      </c>
      <c r="Z17">
        <v>252.50730899999999</v>
      </c>
      <c r="AA17">
        <v>253.54638700000001</v>
      </c>
      <c r="AB17">
        <v>254.66670199999999</v>
      </c>
      <c r="AC17">
        <v>256.36206099999998</v>
      </c>
      <c r="AD17">
        <v>258.30450400000001</v>
      </c>
      <c r="AE17">
        <v>260.63464399999998</v>
      </c>
      <c r="AF17">
        <v>262.62152099999997</v>
      </c>
      <c r="AG17">
        <v>264.464203</v>
      </c>
      <c r="AH17">
        <v>267.307861</v>
      </c>
      <c r="AI17" s="12">
        <v>-3.0000000000000001E-3</v>
      </c>
    </row>
    <row r="18" spans="1:35">
      <c r="A18" t="s">
        <v>93</v>
      </c>
      <c r="B18" t="s">
        <v>444</v>
      </c>
      <c r="C18" t="s">
        <v>445</v>
      </c>
      <c r="D18" t="s">
        <v>118</v>
      </c>
      <c r="F18">
        <v>1.1919999999999999E-3</v>
      </c>
      <c r="G18">
        <v>5.9367000000000003E-2</v>
      </c>
      <c r="H18">
        <v>0.11705</v>
      </c>
      <c r="I18">
        <v>0.17241300000000001</v>
      </c>
      <c r="J18">
        <v>0.22949800000000001</v>
      </c>
      <c r="K18">
        <v>0.28361900000000001</v>
      </c>
      <c r="L18">
        <v>0.33646300000000001</v>
      </c>
      <c r="M18">
        <v>0.39336500000000002</v>
      </c>
      <c r="N18">
        <v>0.43659700000000001</v>
      </c>
      <c r="O18">
        <v>0.48442800000000003</v>
      </c>
      <c r="P18">
        <v>0.53945200000000004</v>
      </c>
      <c r="Q18">
        <v>0.60183900000000001</v>
      </c>
      <c r="R18">
        <v>0.67321399999999998</v>
      </c>
      <c r="S18">
        <v>0.75634199999999996</v>
      </c>
      <c r="T18">
        <v>0.853271</v>
      </c>
      <c r="U18">
        <v>0.96770199999999995</v>
      </c>
      <c r="V18">
        <v>1.1022019999999999</v>
      </c>
      <c r="W18">
        <v>1.257558</v>
      </c>
      <c r="X18">
        <v>1.4395659999999999</v>
      </c>
      <c r="Y18">
        <v>1.649748</v>
      </c>
      <c r="Z18">
        <v>1.8861079999999999</v>
      </c>
      <c r="AA18">
        <v>2.1497600000000001</v>
      </c>
      <c r="AB18">
        <v>2.4400059999999999</v>
      </c>
      <c r="AC18">
        <v>2.7592599999999998</v>
      </c>
      <c r="AD18">
        <v>3.1105109999999998</v>
      </c>
      <c r="AE18">
        <v>3.4898639999999999</v>
      </c>
      <c r="AF18">
        <v>3.885303</v>
      </c>
      <c r="AG18">
        <v>4.2978630000000004</v>
      </c>
      <c r="AH18">
        <v>4.7380370000000003</v>
      </c>
      <c r="AI18" s="12">
        <v>0.34399999999999997</v>
      </c>
    </row>
    <row r="19" spans="1:35">
      <c r="A19" t="s">
        <v>92</v>
      </c>
      <c r="B19" t="s">
        <v>446</v>
      </c>
      <c r="C19" t="s">
        <v>447</v>
      </c>
      <c r="D19" t="s">
        <v>118</v>
      </c>
      <c r="F19">
        <v>1.100109</v>
      </c>
      <c r="G19">
        <v>1.0280959999999999</v>
      </c>
      <c r="H19">
        <v>0.95485699999999996</v>
      </c>
      <c r="I19">
        <v>0.85162800000000005</v>
      </c>
      <c r="J19">
        <v>0.74851699999999999</v>
      </c>
      <c r="K19">
        <v>0.657968</v>
      </c>
      <c r="L19">
        <v>0.59255500000000005</v>
      </c>
      <c r="M19">
        <v>0.53501100000000001</v>
      </c>
      <c r="N19">
        <v>0.478159</v>
      </c>
      <c r="O19">
        <v>0.42399300000000001</v>
      </c>
      <c r="P19">
        <v>0.376664</v>
      </c>
      <c r="Q19">
        <v>0.33548499999999998</v>
      </c>
      <c r="R19">
        <v>0.30089100000000002</v>
      </c>
      <c r="S19">
        <v>0.27107300000000001</v>
      </c>
      <c r="T19">
        <v>0.243198</v>
      </c>
      <c r="U19">
        <v>0.217586</v>
      </c>
      <c r="V19">
        <v>0.19492699999999999</v>
      </c>
      <c r="W19">
        <v>0.17607900000000001</v>
      </c>
      <c r="X19">
        <v>0.160581</v>
      </c>
      <c r="Y19">
        <v>0.14618200000000001</v>
      </c>
      <c r="Z19">
        <v>0.133464</v>
      </c>
      <c r="AA19">
        <v>0.121475</v>
      </c>
      <c r="AB19">
        <v>0.110383</v>
      </c>
      <c r="AC19">
        <v>9.9973999999999993E-2</v>
      </c>
      <c r="AD19">
        <v>8.7946999999999997E-2</v>
      </c>
      <c r="AE19">
        <v>7.2319999999999995E-2</v>
      </c>
      <c r="AF19">
        <v>5.7146000000000002E-2</v>
      </c>
      <c r="AG19">
        <v>4.5075999999999998E-2</v>
      </c>
      <c r="AH19">
        <v>3.4169999999999999E-2</v>
      </c>
      <c r="AI19" s="12">
        <v>-0.11700000000000001</v>
      </c>
    </row>
    <row r="20" spans="1:35">
      <c r="A20" t="s">
        <v>94</v>
      </c>
      <c r="B20" t="s">
        <v>448</v>
      </c>
      <c r="C20" t="s">
        <v>449</v>
      </c>
      <c r="D20" t="s">
        <v>118</v>
      </c>
      <c r="F20">
        <v>0</v>
      </c>
      <c r="G20">
        <v>0</v>
      </c>
      <c r="H20">
        <v>0</v>
      </c>
      <c r="I20">
        <v>0</v>
      </c>
      <c r="J20">
        <v>0</v>
      </c>
      <c r="K20">
        <v>0</v>
      </c>
      <c r="L20">
        <v>0</v>
      </c>
      <c r="M20">
        <v>0</v>
      </c>
      <c r="N20">
        <v>0</v>
      </c>
      <c r="O20">
        <v>0</v>
      </c>
      <c r="P20">
        <v>0</v>
      </c>
      <c r="Q20">
        <v>0</v>
      </c>
      <c r="R20">
        <v>0</v>
      </c>
      <c r="S20">
        <v>0</v>
      </c>
      <c r="T20">
        <v>0</v>
      </c>
      <c r="U20">
        <v>0</v>
      </c>
      <c r="V20">
        <v>0</v>
      </c>
      <c r="W20">
        <v>0</v>
      </c>
      <c r="X20">
        <v>0</v>
      </c>
      <c r="Y20">
        <v>0</v>
      </c>
      <c r="Z20">
        <v>0</v>
      </c>
      <c r="AA20">
        <v>0</v>
      </c>
      <c r="AB20">
        <v>0</v>
      </c>
      <c r="AC20">
        <v>0</v>
      </c>
      <c r="AD20">
        <v>0</v>
      </c>
      <c r="AE20">
        <v>0</v>
      </c>
      <c r="AF20">
        <v>0</v>
      </c>
      <c r="AG20">
        <v>0</v>
      </c>
      <c r="AH20">
        <v>0</v>
      </c>
      <c r="AI20" t="s">
        <v>6</v>
      </c>
    </row>
    <row r="21" spans="1:35">
      <c r="A21" t="s">
        <v>95</v>
      </c>
      <c r="B21" t="s">
        <v>450</v>
      </c>
      <c r="C21" t="s">
        <v>451</v>
      </c>
      <c r="D21" t="s">
        <v>118</v>
      </c>
      <c r="F21">
        <v>0</v>
      </c>
      <c r="G21">
        <v>0</v>
      </c>
      <c r="H21">
        <v>0</v>
      </c>
      <c r="I21">
        <v>0</v>
      </c>
      <c r="J21">
        <v>0</v>
      </c>
      <c r="K21">
        <v>0</v>
      </c>
      <c r="L21">
        <v>0</v>
      </c>
      <c r="M21">
        <v>0</v>
      </c>
      <c r="N21">
        <v>0</v>
      </c>
      <c r="O21">
        <v>0</v>
      </c>
      <c r="P21">
        <v>0</v>
      </c>
      <c r="Q21">
        <v>0</v>
      </c>
      <c r="R21">
        <v>0</v>
      </c>
      <c r="S21">
        <v>0</v>
      </c>
      <c r="T21">
        <v>0</v>
      </c>
      <c r="U21">
        <v>0</v>
      </c>
      <c r="V21">
        <v>0</v>
      </c>
      <c r="W21">
        <v>0</v>
      </c>
      <c r="X21">
        <v>0</v>
      </c>
      <c r="Y21">
        <v>0</v>
      </c>
      <c r="Z21">
        <v>0</v>
      </c>
      <c r="AA21">
        <v>0</v>
      </c>
      <c r="AB21">
        <v>0</v>
      </c>
      <c r="AC21">
        <v>0</v>
      </c>
      <c r="AD21">
        <v>0</v>
      </c>
      <c r="AE21">
        <v>0</v>
      </c>
      <c r="AF21">
        <v>0</v>
      </c>
      <c r="AG21">
        <v>0</v>
      </c>
      <c r="AH21">
        <v>0</v>
      </c>
      <c r="AI21" t="s">
        <v>6</v>
      </c>
    </row>
    <row r="22" spans="1:35">
      <c r="A22" t="s">
        <v>97</v>
      </c>
      <c r="B22" t="s">
        <v>452</v>
      </c>
      <c r="C22" t="s">
        <v>453</v>
      </c>
      <c r="D22" t="s">
        <v>118</v>
      </c>
      <c r="F22">
        <v>5922.7910160000001</v>
      </c>
      <c r="G22">
        <v>5816.7055659999996</v>
      </c>
      <c r="H22">
        <v>5728.0952150000003</v>
      </c>
      <c r="I22">
        <v>5673.0986329999996</v>
      </c>
      <c r="J22">
        <v>5638.8964839999999</v>
      </c>
      <c r="K22">
        <v>5591.7084960000002</v>
      </c>
      <c r="L22">
        <v>5543.7119140000004</v>
      </c>
      <c r="M22">
        <v>5483.6694340000004</v>
      </c>
      <c r="N22">
        <v>5422.388672</v>
      </c>
      <c r="O22">
        <v>5371.3027339999999</v>
      </c>
      <c r="P22">
        <v>5340.158203</v>
      </c>
      <c r="Q22">
        <v>5306.5048829999996</v>
      </c>
      <c r="R22">
        <v>5278.7797849999997</v>
      </c>
      <c r="S22">
        <v>5261.2470700000003</v>
      </c>
      <c r="T22">
        <v>5242.9990230000003</v>
      </c>
      <c r="U22">
        <v>5237.6972660000001</v>
      </c>
      <c r="V22">
        <v>5236.3618159999996</v>
      </c>
      <c r="W22">
        <v>5238.3041990000002</v>
      </c>
      <c r="X22">
        <v>5247.9145509999998</v>
      </c>
      <c r="Y22">
        <v>5263.2084960000002</v>
      </c>
      <c r="Z22">
        <v>5281.4541019999997</v>
      </c>
      <c r="AA22">
        <v>5299.6816410000001</v>
      </c>
      <c r="AB22">
        <v>5316.7680659999996</v>
      </c>
      <c r="AC22">
        <v>5331.7001950000003</v>
      </c>
      <c r="AD22">
        <v>5353.1992190000001</v>
      </c>
      <c r="AE22">
        <v>5376.3164059999999</v>
      </c>
      <c r="AF22">
        <v>5393.3178710000002</v>
      </c>
      <c r="AG22">
        <v>5413.4169920000004</v>
      </c>
      <c r="AH22">
        <v>5450.0122069999998</v>
      </c>
      <c r="AI22" s="12">
        <v>-3.0000000000000001E-3</v>
      </c>
    </row>
    <row r="23" spans="1:35">
      <c r="A23" t="s">
        <v>98</v>
      </c>
      <c r="B23" t="s">
        <v>454</v>
      </c>
      <c r="C23" t="s">
        <v>455</v>
      </c>
      <c r="D23" t="s">
        <v>118</v>
      </c>
      <c r="F23">
        <v>616.20519999999999</v>
      </c>
      <c r="G23">
        <v>611.60089100000005</v>
      </c>
      <c r="H23">
        <v>610.37268100000006</v>
      </c>
      <c r="I23">
        <v>612.19366500000001</v>
      </c>
      <c r="J23">
        <v>616.92590299999995</v>
      </c>
      <c r="K23">
        <v>620.02862500000003</v>
      </c>
      <c r="L23">
        <v>623.435608</v>
      </c>
      <c r="M23">
        <v>626.11090100000001</v>
      </c>
      <c r="N23">
        <v>629.31872599999997</v>
      </c>
      <c r="O23">
        <v>633.79577600000005</v>
      </c>
      <c r="P23">
        <v>641.25616500000001</v>
      </c>
      <c r="Q23">
        <v>647.76110800000004</v>
      </c>
      <c r="R23">
        <v>654.28460700000005</v>
      </c>
      <c r="S23">
        <v>661.13012700000002</v>
      </c>
      <c r="T23">
        <v>667.05139199999996</v>
      </c>
      <c r="U23">
        <v>674.55737299999998</v>
      </c>
      <c r="V23">
        <v>681.19171100000005</v>
      </c>
      <c r="W23">
        <v>688.82940699999995</v>
      </c>
      <c r="X23">
        <v>697.06719999999996</v>
      </c>
      <c r="Y23">
        <v>706.54357900000002</v>
      </c>
      <c r="Z23">
        <v>715.970642</v>
      </c>
      <c r="AA23">
        <v>725.08044400000006</v>
      </c>
      <c r="AB23">
        <v>734.180969</v>
      </c>
      <c r="AC23">
        <v>743.18780500000003</v>
      </c>
      <c r="AD23">
        <v>753.50970500000005</v>
      </c>
      <c r="AE23">
        <v>764.21655299999998</v>
      </c>
      <c r="AF23">
        <v>774.01879899999994</v>
      </c>
      <c r="AG23">
        <v>784.56542999999999</v>
      </c>
      <c r="AH23">
        <v>797.65808100000004</v>
      </c>
      <c r="AI23" s="12">
        <v>8.9999999999999993E-3</v>
      </c>
    </row>
    <row r="24" spans="1:35">
      <c r="A24" t="s">
        <v>91</v>
      </c>
      <c r="B24" t="s">
        <v>456</v>
      </c>
      <c r="C24" t="s">
        <v>457</v>
      </c>
      <c r="D24" t="s">
        <v>118</v>
      </c>
      <c r="F24">
        <v>5252.3305659999996</v>
      </c>
      <c r="G24">
        <v>5150.2441410000001</v>
      </c>
      <c r="H24">
        <v>5062.3154299999997</v>
      </c>
      <c r="I24">
        <v>5004.9750979999999</v>
      </c>
      <c r="J24">
        <v>4965.6987300000001</v>
      </c>
      <c r="K24">
        <v>4915.5693359999996</v>
      </c>
      <c r="L24">
        <v>4864.6591799999997</v>
      </c>
      <c r="M24">
        <v>4802.8212890000004</v>
      </c>
      <c r="N24">
        <v>4739.4140619999998</v>
      </c>
      <c r="O24">
        <v>4684.7788090000004</v>
      </c>
      <c r="P24">
        <v>4646.6831050000001</v>
      </c>
      <c r="Q24">
        <v>4606.6586909999996</v>
      </c>
      <c r="R24">
        <v>4572.0830079999996</v>
      </c>
      <c r="S24">
        <v>4546.9648440000001</v>
      </c>
      <c r="T24">
        <v>4521.8164059999999</v>
      </c>
      <c r="U24">
        <v>4507.6464839999999</v>
      </c>
      <c r="V24">
        <v>4498.0512699999999</v>
      </c>
      <c r="W24">
        <v>4490.4604490000002</v>
      </c>
      <c r="X24">
        <v>4489.5615230000003</v>
      </c>
      <c r="Y24">
        <v>4492.7368159999996</v>
      </c>
      <c r="Z24">
        <v>4498.6596680000002</v>
      </c>
      <c r="AA24">
        <v>4504.6669920000004</v>
      </c>
      <c r="AB24">
        <v>4509.3803710000002</v>
      </c>
      <c r="AC24">
        <v>4511.908203</v>
      </c>
      <c r="AD24">
        <v>4519.439453</v>
      </c>
      <c r="AE24">
        <v>4527.9907229999999</v>
      </c>
      <c r="AF24">
        <v>4531.3125</v>
      </c>
      <c r="AG24">
        <v>4536.8085940000001</v>
      </c>
      <c r="AH24">
        <v>4555.8002930000002</v>
      </c>
      <c r="AI24" s="12">
        <v>-5.0000000000000001E-3</v>
      </c>
    </row>
    <row r="25" spans="1:35">
      <c r="A25" t="s">
        <v>92</v>
      </c>
      <c r="B25" t="s">
        <v>458</v>
      </c>
      <c r="C25" t="s">
        <v>459</v>
      </c>
      <c r="D25" t="s">
        <v>118</v>
      </c>
      <c r="F25">
        <v>51.344929</v>
      </c>
      <c r="G25">
        <v>51.773192999999999</v>
      </c>
      <c r="H25">
        <v>51.965775000000001</v>
      </c>
      <c r="I25">
        <v>52.061793999999999</v>
      </c>
      <c r="J25">
        <v>52.003608999999997</v>
      </c>
      <c r="K25">
        <v>51.453991000000002</v>
      </c>
      <c r="L25">
        <v>50.587242000000003</v>
      </c>
      <c r="M25">
        <v>49.357909999999997</v>
      </c>
      <c r="N25">
        <v>47.935226</v>
      </c>
      <c r="O25">
        <v>46.656028999999997</v>
      </c>
      <c r="P25">
        <v>45.774757000000001</v>
      </c>
      <c r="Q25">
        <v>45.265822999999997</v>
      </c>
      <c r="R25">
        <v>45.213749</v>
      </c>
      <c r="S25">
        <v>45.570152</v>
      </c>
      <c r="T25">
        <v>46.181812000000001</v>
      </c>
      <c r="U25">
        <v>47.148071000000002</v>
      </c>
      <c r="V25">
        <v>48.373516000000002</v>
      </c>
      <c r="W25">
        <v>49.850357000000002</v>
      </c>
      <c r="X25">
        <v>51.657871</v>
      </c>
      <c r="Y25">
        <v>53.784999999999997</v>
      </c>
      <c r="Z25">
        <v>56.128627999999999</v>
      </c>
      <c r="AA25">
        <v>58.653038000000002</v>
      </c>
      <c r="AB25">
        <v>61.322830000000003</v>
      </c>
      <c r="AC25">
        <v>64.089225999999996</v>
      </c>
      <c r="AD25">
        <v>67.060805999999999</v>
      </c>
      <c r="AE25">
        <v>70.195708999999994</v>
      </c>
      <c r="AF25">
        <v>73.347763</v>
      </c>
      <c r="AG25">
        <v>76.647514000000001</v>
      </c>
      <c r="AH25">
        <v>80.336478999999997</v>
      </c>
      <c r="AI25" s="12">
        <v>1.6E-2</v>
      </c>
    </row>
    <row r="26" spans="1:35">
      <c r="A26" t="s">
        <v>93</v>
      </c>
      <c r="B26" t="s">
        <v>460</v>
      </c>
      <c r="C26" t="s">
        <v>461</v>
      </c>
      <c r="D26" t="s">
        <v>118</v>
      </c>
      <c r="F26">
        <v>1.2452650000000001</v>
      </c>
      <c r="G26">
        <v>1.3861779999999999</v>
      </c>
      <c r="H26">
        <v>1.5248809999999999</v>
      </c>
      <c r="I26">
        <v>1.6560079999999999</v>
      </c>
      <c r="J26">
        <v>1.7862659999999999</v>
      </c>
      <c r="K26">
        <v>1.903707</v>
      </c>
      <c r="L26">
        <v>2.0105780000000002</v>
      </c>
      <c r="M26">
        <v>2.0996890000000001</v>
      </c>
      <c r="N26">
        <v>2.1804990000000002</v>
      </c>
      <c r="O26">
        <v>2.2604649999999999</v>
      </c>
      <c r="P26">
        <v>2.3478089999999998</v>
      </c>
      <c r="Q26">
        <v>2.4404729999999999</v>
      </c>
      <c r="R26">
        <v>2.5412210000000002</v>
      </c>
      <c r="S26">
        <v>2.6449829999999999</v>
      </c>
      <c r="T26">
        <v>2.752405</v>
      </c>
      <c r="U26">
        <v>2.87385</v>
      </c>
      <c r="V26">
        <v>3.004591</v>
      </c>
      <c r="W26">
        <v>3.1495850000000001</v>
      </c>
      <c r="X26">
        <v>3.3139080000000001</v>
      </c>
      <c r="Y26">
        <v>3.5006020000000002</v>
      </c>
      <c r="Z26">
        <v>3.7020719999999998</v>
      </c>
      <c r="AA26">
        <v>3.9170069999999999</v>
      </c>
      <c r="AB26">
        <v>4.1414160000000004</v>
      </c>
      <c r="AC26">
        <v>4.3768849999999997</v>
      </c>
      <c r="AD26">
        <v>4.632447</v>
      </c>
      <c r="AE26">
        <v>4.9017460000000002</v>
      </c>
      <c r="AF26">
        <v>5.1746309999999998</v>
      </c>
      <c r="AG26">
        <v>5.4474770000000001</v>
      </c>
      <c r="AH26">
        <v>5.7450359999999998</v>
      </c>
      <c r="AI26" s="12">
        <v>5.6000000000000001E-2</v>
      </c>
    </row>
    <row r="27" spans="1:35">
      <c r="A27" t="s">
        <v>90</v>
      </c>
      <c r="B27" t="s">
        <v>462</v>
      </c>
      <c r="C27" t="s">
        <v>463</v>
      </c>
      <c r="D27" t="s">
        <v>118</v>
      </c>
      <c r="F27">
        <v>1.575329</v>
      </c>
      <c r="G27">
        <v>1.59209</v>
      </c>
      <c r="H27">
        <v>1.542675</v>
      </c>
      <c r="I27">
        <v>1.6006830000000001</v>
      </c>
      <c r="J27">
        <v>1.6393420000000001</v>
      </c>
      <c r="K27">
        <v>1.678971</v>
      </c>
      <c r="L27">
        <v>1.7193179999999999</v>
      </c>
      <c r="M27">
        <v>1.762707</v>
      </c>
      <c r="N27">
        <v>1.813895</v>
      </c>
      <c r="O27">
        <v>1.879181</v>
      </c>
      <c r="P27">
        <v>1.9543600000000001</v>
      </c>
      <c r="Q27">
        <v>2.0339360000000002</v>
      </c>
      <c r="R27">
        <v>2.113308</v>
      </c>
      <c r="S27">
        <v>2.196958</v>
      </c>
      <c r="T27">
        <v>2.2686670000000002</v>
      </c>
      <c r="U27">
        <v>2.3534449999999998</v>
      </c>
      <c r="V27">
        <v>2.433783</v>
      </c>
      <c r="W27">
        <v>2.5157970000000001</v>
      </c>
      <c r="X27">
        <v>2.6119849999999998</v>
      </c>
      <c r="Y27">
        <v>2.7199399999999998</v>
      </c>
      <c r="Z27">
        <v>2.8330769999999998</v>
      </c>
      <c r="AA27">
        <v>2.961128</v>
      </c>
      <c r="AB27">
        <v>3.087059</v>
      </c>
      <c r="AC27">
        <v>3.2187969999999999</v>
      </c>
      <c r="AD27">
        <v>3.346063</v>
      </c>
      <c r="AE27">
        <v>3.488648</v>
      </c>
      <c r="AF27">
        <v>3.6174729999999999</v>
      </c>
      <c r="AG27">
        <v>3.75576</v>
      </c>
      <c r="AH27">
        <v>3.8951479999999998</v>
      </c>
      <c r="AI27" s="12">
        <v>3.3000000000000002E-2</v>
      </c>
    </row>
    <row r="28" spans="1:35">
      <c r="A28" t="s">
        <v>94</v>
      </c>
      <c r="B28" t="s">
        <v>464</v>
      </c>
      <c r="C28" t="s">
        <v>465</v>
      </c>
      <c r="D28" t="s">
        <v>118</v>
      </c>
      <c r="F28">
        <v>9.0132000000000004E-2</v>
      </c>
      <c r="G28">
        <v>0.10914600000000001</v>
      </c>
      <c r="H28">
        <v>0.14400499999999999</v>
      </c>
      <c r="I28">
        <v>0.16340499999999999</v>
      </c>
      <c r="J28">
        <v>0.180895</v>
      </c>
      <c r="K28">
        <v>0.19575699999999999</v>
      </c>
      <c r="L28">
        <v>0.20827399999999999</v>
      </c>
      <c r="M28">
        <v>0.21801599999999999</v>
      </c>
      <c r="N28">
        <v>0.225574</v>
      </c>
      <c r="O28">
        <v>0.231714</v>
      </c>
      <c r="P28">
        <v>0.23694499999999999</v>
      </c>
      <c r="Q28">
        <v>0.240285</v>
      </c>
      <c r="R28">
        <v>0.24247299999999999</v>
      </c>
      <c r="S28">
        <v>0.244232</v>
      </c>
      <c r="T28">
        <v>0.245169</v>
      </c>
      <c r="U28">
        <v>0.24673500000000001</v>
      </c>
      <c r="V28">
        <v>0.24945500000000001</v>
      </c>
      <c r="W28">
        <v>0.25267000000000001</v>
      </c>
      <c r="X28">
        <v>0.25714399999999998</v>
      </c>
      <c r="Y28">
        <v>0.26399899999999998</v>
      </c>
      <c r="Z28">
        <v>0.27311400000000002</v>
      </c>
      <c r="AA28">
        <v>0.28285100000000002</v>
      </c>
      <c r="AB28">
        <v>0.293846</v>
      </c>
      <c r="AC28">
        <v>0.30659700000000001</v>
      </c>
      <c r="AD28">
        <v>0.32178200000000001</v>
      </c>
      <c r="AE28">
        <v>0.33802500000000002</v>
      </c>
      <c r="AF28">
        <v>0.35486499999999999</v>
      </c>
      <c r="AG28">
        <v>0.37290400000000001</v>
      </c>
      <c r="AH28">
        <v>0.39289000000000002</v>
      </c>
      <c r="AI28" s="12">
        <v>5.3999999999999999E-2</v>
      </c>
    </row>
    <row r="29" spans="1:35">
      <c r="A29" t="s">
        <v>95</v>
      </c>
      <c r="B29" t="s">
        <v>466</v>
      </c>
      <c r="C29" t="s">
        <v>467</v>
      </c>
      <c r="D29" t="s">
        <v>118</v>
      </c>
      <c r="F29">
        <v>0</v>
      </c>
      <c r="G29">
        <v>0</v>
      </c>
      <c r="H29">
        <v>0.22972699999999999</v>
      </c>
      <c r="I29">
        <v>0.44725199999999998</v>
      </c>
      <c r="J29">
        <v>0.66231200000000001</v>
      </c>
      <c r="K29">
        <v>0.87751500000000004</v>
      </c>
      <c r="L29">
        <v>1.0912500000000001</v>
      </c>
      <c r="M29">
        <v>1.2990360000000001</v>
      </c>
      <c r="N29">
        <v>1.5006790000000001</v>
      </c>
      <c r="O29">
        <v>1.7007650000000001</v>
      </c>
      <c r="P29">
        <v>1.904776</v>
      </c>
      <c r="Q29">
        <v>2.1047159999999998</v>
      </c>
      <c r="R29">
        <v>2.3014619999999999</v>
      </c>
      <c r="S29">
        <v>2.4959410000000002</v>
      </c>
      <c r="T29">
        <v>2.6833969999999998</v>
      </c>
      <c r="U29">
        <v>2.8711519999999999</v>
      </c>
      <c r="V29">
        <v>3.0575350000000001</v>
      </c>
      <c r="W29">
        <v>3.245911</v>
      </c>
      <c r="X29">
        <v>3.4448439999999998</v>
      </c>
      <c r="Y29">
        <v>3.6585719999999999</v>
      </c>
      <c r="Z29">
        <v>3.886771</v>
      </c>
      <c r="AA29">
        <v>4.1203969999999996</v>
      </c>
      <c r="AB29">
        <v>4.3612700000000002</v>
      </c>
      <c r="AC29">
        <v>4.6121660000000002</v>
      </c>
      <c r="AD29">
        <v>4.8889959999999997</v>
      </c>
      <c r="AE29">
        <v>5.184831</v>
      </c>
      <c r="AF29">
        <v>5.4921150000000001</v>
      </c>
      <c r="AG29">
        <v>5.8197830000000002</v>
      </c>
      <c r="AH29">
        <v>6.1840799999999998</v>
      </c>
      <c r="AI29" t="s">
        <v>6</v>
      </c>
    </row>
    <row r="30" spans="1:35">
      <c r="A30" t="s">
        <v>99</v>
      </c>
      <c r="B30" t="s">
        <v>468</v>
      </c>
      <c r="C30" t="s">
        <v>469</v>
      </c>
      <c r="D30" t="s">
        <v>118</v>
      </c>
      <c r="F30">
        <v>481.38171399999999</v>
      </c>
      <c r="G30">
        <v>474.82238799999999</v>
      </c>
      <c r="H30">
        <v>494.12914999999998</v>
      </c>
      <c r="I30">
        <v>482.20422400000001</v>
      </c>
      <c r="J30">
        <v>461.88034099999999</v>
      </c>
      <c r="K30">
        <v>446.09524499999998</v>
      </c>
      <c r="L30">
        <v>439.745361</v>
      </c>
      <c r="M30">
        <v>444.52569599999998</v>
      </c>
      <c r="N30">
        <v>441.89193699999998</v>
      </c>
      <c r="O30">
        <v>443.42330900000002</v>
      </c>
      <c r="P30">
        <v>447.43722500000001</v>
      </c>
      <c r="Q30">
        <v>450.64798000000002</v>
      </c>
      <c r="R30">
        <v>452.66558800000001</v>
      </c>
      <c r="S30">
        <v>455.51504499999999</v>
      </c>
      <c r="T30">
        <v>455.89370700000001</v>
      </c>
      <c r="U30">
        <v>456.86227400000001</v>
      </c>
      <c r="V30">
        <v>458.27462800000001</v>
      </c>
      <c r="W30">
        <v>457.60876500000001</v>
      </c>
      <c r="X30">
        <v>458.12835699999999</v>
      </c>
      <c r="Y30">
        <v>461.673248</v>
      </c>
      <c r="Z30">
        <v>464.588348</v>
      </c>
      <c r="AA30">
        <v>464.93649299999998</v>
      </c>
      <c r="AB30">
        <v>464.922821</v>
      </c>
      <c r="AC30">
        <v>464.770691</v>
      </c>
      <c r="AD30">
        <v>465.76678500000003</v>
      </c>
      <c r="AE30">
        <v>468.15533399999998</v>
      </c>
      <c r="AF30">
        <v>471.33984400000003</v>
      </c>
      <c r="AG30">
        <v>472.59906000000001</v>
      </c>
      <c r="AH30">
        <v>475.72866800000003</v>
      </c>
      <c r="AI30" s="12">
        <v>0</v>
      </c>
    </row>
    <row r="31" spans="1:35">
      <c r="A31" t="s">
        <v>91</v>
      </c>
      <c r="B31" t="s">
        <v>470</v>
      </c>
      <c r="C31" t="s">
        <v>471</v>
      </c>
      <c r="D31" t="s">
        <v>118</v>
      </c>
      <c r="F31">
        <v>480.86654700000003</v>
      </c>
      <c r="G31">
        <v>473.79251099999999</v>
      </c>
      <c r="H31">
        <v>492.51501500000001</v>
      </c>
      <c r="I31">
        <v>480.10034200000001</v>
      </c>
      <c r="J31">
        <v>459.17535400000003</v>
      </c>
      <c r="K31">
        <v>442.59573399999999</v>
      </c>
      <c r="L31">
        <v>435.204926</v>
      </c>
      <c r="M31">
        <v>438.61608899999999</v>
      </c>
      <c r="N31">
        <v>434.49127199999998</v>
      </c>
      <c r="O31">
        <v>434.25302099999999</v>
      </c>
      <c r="P31">
        <v>435.99301100000002</v>
      </c>
      <c r="Q31">
        <v>436.48690800000003</v>
      </c>
      <c r="R31">
        <v>435.37204000000003</v>
      </c>
      <c r="S31">
        <v>434.60772700000001</v>
      </c>
      <c r="T31">
        <v>431.05429099999998</v>
      </c>
      <c r="U31">
        <v>427.65039100000001</v>
      </c>
      <c r="V31">
        <v>424.25372299999998</v>
      </c>
      <c r="W31">
        <v>418.55365</v>
      </c>
      <c r="X31">
        <v>413.58151199999998</v>
      </c>
      <c r="Y31">
        <v>410.946777</v>
      </c>
      <c r="Z31">
        <v>407.33846999999997</v>
      </c>
      <c r="AA31">
        <v>401.121399</v>
      </c>
      <c r="AB31">
        <v>394.29074100000003</v>
      </c>
      <c r="AC31">
        <v>387.06680299999999</v>
      </c>
      <c r="AD31">
        <v>380.52633700000001</v>
      </c>
      <c r="AE31">
        <v>373.70101899999997</v>
      </c>
      <c r="AF31">
        <v>367.609375</v>
      </c>
      <c r="AG31">
        <v>360.13336199999998</v>
      </c>
      <c r="AH31">
        <v>354.19946299999998</v>
      </c>
      <c r="AI31" s="12">
        <v>-1.0999999999999999E-2</v>
      </c>
    </row>
    <row r="32" spans="1:35">
      <c r="A32" t="s">
        <v>100</v>
      </c>
      <c r="B32" t="s">
        <v>472</v>
      </c>
      <c r="C32" t="s">
        <v>473</v>
      </c>
      <c r="D32" t="s">
        <v>118</v>
      </c>
      <c r="F32">
        <v>0</v>
      </c>
      <c r="G32">
        <v>0</v>
      </c>
      <c r="H32">
        <v>0</v>
      </c>
      <c r="I32">
        <v>0</v>
      </c>
      <c r="J32">
        <v>0</v>
      </c>
      <c r="K32">
        <v>0</v>
      </c>
      <c r="L32">
        <v>0</v>
      </c>
      <c r="M32">
        <v>0</v>
      </c>
      <c r="N32">
        <v>0</v>
      </c>
      <c r="O32">
        <v>0</v>
      </c>
      <c r="P32">
        <v>0</v>
      </c>
      <c r="Q32">
        <v>0</v>
      </c>
      <c r="R32">
        <v>0</v>
      </c>
      <c r="S32">
        <v>0</v>
      </c>
      <c r="T32">
        <v>0</v>
      </c>
      <c r="U32">
        <v>0</v>
      </c>
      <c r="V32">
        <v>0</v>
      </c>
      <c r="W32">
        <v>0</v>
      </c>
      <c r="X32">
        <v>0</v>
      </c>
      <c r="Y32">
        <v>0</v>
      </c>
      <c r="Z32">
        <v>0</v>
      </c>
      <c r="AA32">
        <v>0</v>
      </c>
      <c r="AB32">
        <v>0</v>
      </c>
      <c r="AC32">
        <v>0</v>
      </c>
      <c r="AD32">
        <v>0</v>
      </c>
      <c r="AE32">
        <v>0</v>
      </c>
      <c r="AF32">
        <v>0</v>
      </c>
      <c r="AG32">
        <v>0</v>
      </c>
      <c r="AH32">
        <v>0</v>
      </c>
      <c r="AI32" t="s">
        <v>6</v>
      </c>
    </row>
    <row r="33" spans="1:35">
      <c r="A33" t="s">
        <v>101</v>
      </c>
      <c r="B33" t="s">
        <v>474</v>
      </c>
      <c r="C33" t="s">
        <v>475</v>
      </c>
      <c r="D33" t="s">
        <v>118</v>
      </c>
      <c r="F33">
        <v>0</v>
      </c>
      <c r="G33">
        <v>0</v>
      </c>
      <c r="H33">
        <v>0</v>
      </c>
      <c r="I33">
        <v>0</v>
      </c>
      <c r="J33">
        <v>0</v>
      </c>
      <c r="K33">
        <v>0</v>
      </c>
      <c r="L33">
        <v>0</v>
      </c>
      <c r="M33">
        <v>0</v>
      </c>
      <c r="N33">
        <v>0</v>
      </c>
      <c r="O33">
        <v>0</v>
      </c>
      <c r="P33">
        <v>0</v>
      </c>
      <c r="Q33">
        <v>0</v>
      </c>
      <c r="R33">
        <v>0</v>
      </c>
      <c r="S33">
        <v>0</v>
      </c>
      <c r="T33">
        <v>0</v>
      </c>
      <c r="U33">
        <v>0</v>
      </c>
      <c r="V33">
        <v>0</v>
      </c>
      <c r="W33">
        <v>0</v>
      </c>
      <c r="X33">
        <v>0</v>
      </c>
      <c r="Y33">
        <v>0</v>
      </c>
      <c r="Z33">
        <v>0</v>
      </c>
      <c r="AA33">
        <v>0</v>
      </c>
      <c r="AB33">
        <v>0</v>
      </c>
      <c r="AC33">
        <v>0</v>
      </c>
      <c r="AD33">
        <v>0</v>
      </c>
      <c r="AE33">
        <v>0</v>
      </c>
      <c r="AF33">
        <v>0</v>
      </c>
      <c r="AG33">
        <v>0</v>
      </c>
      <c r="AH33">
        <v>0</v>
      </c>
      <c r="AI33" t="s">
        <v>6</v>
      </c>
    </row>
    <row r="34" spans="1:35">
      <c r="A34" t="s">
        <v>102</v>
      </c>
      <c r="B34" t="s">
        <v>476</v>
      </c>
      <c r="C34" t="s">
        <v>477</v>
      </c>
      <c r="D34" t="s">
        <v>118</v>
      </c>
      <c r="F34">
        <v>0.51516300000000004</v>
      </c>
      <c r="G34">
        <v>1.02989</v>
      </c>
      <c r="H34">
        <v>1.6141289999999999</v>
      </c>
      <c r="I34">
        <v>2.1038670000000002</v>
      </c>
      <c r="J34">
        <v>2.7049910000000001</v>
      </c>
      <c r="K34">
        <v>3.499511</v>
      </c>
      <c r="L34">
        <v>4.5404369999999998</v>
      </c>
      <c r="M34">
        <v>5.9096029999999997</v>
      </c>
      <c r="N34">
        <v>7.4006509999999999</v>
      </c>
      <c r="O34">
        <v>9.1702840000000005</v>
      </c>
      <c r="P34">
        <v>11.444215</v>
      </c>
      <c r="Q34">
        <v>14.161068</v>
      </c>
      <c r="R34">
        <v>17.293554</v>
      </c>
      <c r="S34">
        <v>20.907318</v>
      </c>
      <c r="T34">
        <v>24.839417000000001</v>
      </c>
      <c r="U34">
        <v>29.211893</v>
      </c>
      <c r="V34">
        <v>34.020896999999998</v>
      </c>
      <c r="W34">
        <v>39.055110999999997</v>
      </c>
      <c r="X34">
        <v>44.546832999999999</v>
      </c>
      <c r="Y34">
        <v>50.726470999999997</v>
      </c>
      <c r="Z34">
        <v>57.249889000000003</v>
      </c>
      <c r="AA34">
        <v>63.815086000000001</v>
      </c>
      <c r="AB34">
        <v>70.632087999999996</v>
      </c>
      <c r="AC34">
        <v>77.703888000000006</v>
      </c>
      <c r="AD34">
        <v>85.240448000000001</v>
      </c>
      <c r="AE34">
        <v>94.454329999999999</v>
      </c>
      <c r="AF34">
        <v>103.730484</v>
      </c>
      <c r="AG34">
        <v>112.465706</v>
      </c>
      <c r="AH34">
        <v>121.52919799999999</v>
      </c>
      <c r="AI34" s="12">
        <v>0.215</v>
      </c>
    </row>
    <row r="35" spans="1:35">
      <c r="A35" t="s">
        <v>12</v>
      </c>
      <c r="B35" t="s">
        <v>478</v>
      </c>
      <c r="C35" t="s">
        <v>479</v>
      </c>
      <c r="D35" t="s">
        <v>118</v>
      </c>
      <c r="F35">
        <v>98.239020999999994</v>
      </c>
      <c r="G35">
        <v>98.920753000000005</v>
      </c>
      <c r="H35">
        <v>98.114661999999996</v>
      </c>
      <c r="I35">
        <v>97.346069</v>
      </c>
      <c r="J35">
        <v>96.685867000000002</v>
      </c>
      <c r="K35">
        <v>95.823470999999998</v>
      </c>
      <c r="L35">
        <v>94.964698999999996</v>
      </c>
      <c r="M35">
        <v>93.890502999999995</v>
      </c>
      <c r="N35">
        <v>92.919189000000003</v>
      </c>
      <c r="O35">
        <v>92.029815999999997</v>
      </c>
      <c r="P35">
        <v>91.401107999999994</v>
      </c>
      <c r="Q35">
        <v>90.674225000000007</v>
      </c>
      <c r="R35">
        <v>89.934028999999995</v>
      </c>
      <c r="S35">
        <v>89.168869000000001</v>
      </c>
      <c r="T35">
        <v>88.333008000000007</v>
      </c>
      <c r="U35">
        <v>87.614966999999993</v>
      </c>
      <c r="V35">
        <v>86.833350999999993</v>
      </c>
      <c r="W35">
        <v>86.156693000000004</v>
      </c>
      <c r="X35">
        <v>85.473595000000003</v>
      </c>
      <c r="Y35">
        <v>84.846123000000006</v>
      </c>
      <c r="Z35">
        <v>84.273765999999995</v>
      </c>
      <c r="AA35">
        <v>83.705399</v>
      </c>
      <c r="AB35">
        <v>83.103454999999997</v>
      </c>
      <c r="AC35">
        <v>82.418205</v>
      </c>
      <c r="AD35">
        <v>81.856209000000007</v>
      </c>
      <c r="AE35">
        <v>81.249022999999994</v>
      </c>
      <c r="AF35">
        <v>80.573120000000003</v>
      </c>
      <c r="AG35">
        <v>79.990395000000007</v>
      </c>
      <c r="AH35">
        <v>79.592849999999999</v>
      </c>
      <c r="AI35" s="12">
        <v>-7.0000000000000001E-3</v>
      </c>
    </row>
    <row r="36" spans="1:35">
      <c r="A36" t="s">
        <v>91</v>
      </c>
      <c r="B36" t="s">
        <v>480</v>
      </c>
      <c r="C36" t="s">
        <v>481</v>
      </c>
      <c r="D36" t="s">
        <v>118</v>
      </c>
      <c r="F36">
        <v>95.724982999999995</v>
      </c>
      <c r="G36">
        <v>96.410872999999995</v>
      </c>
      <c r="H36">
        <v>95.648369000000002</v>
      </c>
      <c r="I36">
        <v>94.922400999999994</v>
      </c>
      <c r="J36">
        <v>94.299674999999993</v>
      </c>
      <c r="K36">
        <v>93.480141000000003</v>
      </c>
      <c r="L36">
        <v>92.663535999999993</v>
      </c>
      <c r="M36">
        <v>91.636002000000005</v>
      </c>
      <c r="N36">
        <v>90.709732000000002</v>
      </c>
      <c r="O36">
        <v>89.864052000000001</v>
      </c>
      <c r="P36">
        <v>89.271820000000005</v>
      </c>
      <c r="Q36">
        <v>88.583907999999994</v>
      </c>
      <c r="R36">
        <v>87.881882000000004</v>
      </c>
      <c r="S36">
        <v>87.154610000000005</v>
      </c>
      <c r="T36">
        <v>86.355025999999995</v>
      </c>
      <c r="U36">
        <v>85.672011999999995</v>
      </c>
      <c r="V36">
        <v>84.929305999999997</v>
      </c>
      <c r="W36">
        <v>84.290549999999996</v>
      </c>
      <c r="X36">
        <v>83.598647999999997</v>
      </c>
      <c r="Y36">
        <v>82.885955999999993</v>
      </c>
      <c r="Z36">
        <v>82.221778999999998</v>
      </c>
      <c r="AA36">
        <v>81.555756000000002</v>
      </c>
      <c r="AB36">
        <v>80.850998000000004</v>
      </c>
      <c r="AC36">
        <v>80.058989999999994</v>
      </c>
      <c r="AD36">
        <v>79.380050999999995</v>
      </c>
      <c r="AE36">
        <v>78.650115999999997</v>
      </c>
      <c r="AF36">
        <v>77.846335999999994</v>
      </c>
      <c r="AG36">
        <v>77.124741</v>
      </c>
      <c r="AH36">
        <v>76.572761999999997</v>
      </c>
      <c r="AI36" s="12">
        <v>-8.0000000000000002E-3</v>
      </c>
    </row>
    <row r="37" spans="1:35">
      <c r="A37" t="s">
        <v>103</v>
      </c>
      <c r="B37" t="s">
        <v>482</v>
      </c>
      <c r="C37" t="s">
        <v>483</v>
      </c>
      <c r="D37" t="s">
        <v>118</v>
      </c>
      <c r="F37">
        <v>1.875904</v>
      </c>
      <c r="G37">
        <v>1.8078829999999999</v>
      </c>
      <c r="H37">
        <v>1.7136819999999999</v>
      </c>
      <c r="I37">
        <v>1.621937</v>
      </c>
      <c r="J37">
        <v>1.5413140000000001</v>
      </c>
      <c r="K37">
        <v>1.455168</v>
      </c>
      <c r="L37">
        <v>1.371278</v>
      </c>
      <c r="M37">
        <v>1.2863249999999999</v>
      </c>
      <c r="N37">
        <v>1.1999850000000001</v>
      </c>
      <c r="O37">
        <v>1.1125510000000001</v>
      </c>
      <c r="P37">
        <v>1.0315639999999999</v>
      </c>
      <c r="Q37">
        <v>0.94839600000000002</v>
      </c>
      <c r="R37">
        <v>0.86860599999999999</v>
      </c>
      <c r="S37">
        <v>0.79182399999999997</v>
      </c>
      <c r="T37">
        <v>0.72530600000000001</v>
      </c>
      <c r="U37">
        <v>0.65481</v>
      </c>
      <c r="V37">
        <v>0.57531900000000002</v>
      </c>
      <c r="W37">
        <v>0.49192999999999998</v>
      </c>
      <c r="X37">
        <v>0.417902</v>
      </c>
      <c r="Y37">
        <v>0.41475499999999998</v>
      </c>
      <c r="Z37">
        <v>0.41187499999999999</v>
      </c>
      <c r="AA37">
        <v>0.40901599999999999</v>
      </c>
      <c r="AB37">
        <v>0.40599000000000002</v>
      </c>
      <c r="AC37">
        <v>0.40254800000000002</v>
      </c>
      <c r="AD37">
        <v>0.39974100000000001</v>
      </c>
      <c r="AE37">
        <v>0.396733</v>
      </c>
      <c r="AF37">
        <v>0.39335599999999998</v>
      </c>
      <c r="AG37">
        <v>0.39045299999999999</v>
      </c>
      <c r="AH37">
        <v>0.38850499999999999</v>
      </c>
      <c r="AI37" s="12">
        <v>-5.5E-2</v>
      </c>
    </row>
    <row r="38" spans="1:35">
      <c r="A38" t="s">
        <v>101</v>
      </c>
      <c r="B38" t="s">
        <v>484</v>
      </c>
      <c r="C38" t="s">
        <v>485</v>
      </c>
      <c r="D38" t="s">
        <v>118</v>
      </c>
      <c r="F38">
        <v>0</v>
      </c>
      <c r="G38">
        <v>0</v>
      </c>
      <c r="H38">
        <v>0</v>
      </c>
      <c r="I38">
        <v>0</v>
      </c>
      <c r="J38">
        <v>0</v>
      </c>
      <c r="K38">
        <v>0</v>
      </c>
      <c r="L38">
        <v>0</v>
      </c>
      <c r="M38">
        <v>0</v>
      </c>
      <c r="N38">
        <v>0</v>
      </c>
      <c r="O38">
        <v>0</v>
      </c>
      <c r="P38">
        <v>0</v>
      </c>
      <c r="Q38">
        <v>0</v>
      </c>
      <c r="R38">
        <v>0</v>
      </c>
      <c r="S38">
        <v>0</v>
      </c>
      <c r="T38">
        <v>0</v>
      </c>
      <c r="U38">
        <v>0</v>
      </c>
      <c r="V38">
        <v>0</v>
      </c>
      <c r="W38">
        <v>0</v>
      </c>
      <c r="X38">
        <v>0</v>
      </c>
      <c r="Y38">
        <v>0</v>
      </c>
      <c r="Z38">
        <v>0</v>
      </c>
      <c r="AA38">
        <v>0</v>
      </c>
      <c r="AB38">
        <v>0</v>
      </c>
      <c r="AC38">
        <v>0</v>
      </c>
      <c r="AD38">
        <v>0</v>
      </c>
      <c r="AE38">
        <v>0</v>
      </c>
      <c r="AF38">
        <v>0</v>
      </c>
      <c r="AG38">
        <v>0</v>
      </c>
      <c r="AH38">
        <v>0</v>
      </c>
      <c r="AI38" t="s">
        <v>6</v>
      </c>
    </row>
    <row r="39" spans="1:35">
      <c r="A39" t="s">
        <v>102</v>
      </c>
      <c r="B39" t="s">
        <v>486</v>
      </c>
      <c r="C39" t="s">
        <v>487</v>
      </c>
      <c r="D39" t="s">
        <v>118</v>
      </c>
      <c r="F39">
        <v>0.638131</v>
      </c>
      <c r="G39">
        <v>0.70199999999999996</v>
      </c>
      <c r="H39">
        <v>0.75260700000000003</v>
      </c>
      <c r="I39">
        <v>0.80172500000000002</v>
      </c>
      <c r="J39">
        <v>0.84487999999999996</v>
      </c>
      <c r="K39">
        <v>0.88815699999999997</v>
      </c>
      <c r="L39">
        <v>0.92988400000000004</v>
      </c>
      <c r="M39">
        <v>0.96818099999999996</v>
      </c>
      <c r="N39">
        <v>1.009477</v>
      </c>
      <c r="O39">
        <v>1.053212</v>
      </c>
      <c r="P39">
        <v>1.0977250000000001</v>
      </c>
      <c r="Q39">
        <v>1.1419189999999999</v>
      </c>
      <c r="R39">
        <v>1.183538</v>
      </c>
      <c r="S39">
        <v>1.2224330000000001</v>
      </c>
      <c r="T39">
        <v>1.252678</v>
      </c>
      <c r="U39">
        <v>1.2881480000000001</v>
      </c>
      <c r="V39">
        <v>1.3287279999999999</v>
      </c>
      <c r="W39">
        <v>1.374214</v>
      </c>
      <c r="X39">
        <v>1.4570460000000001</v>
      </c>
      <c r="Y39">
        <v>1.54541</v>
      </c>
      <c r="Z39">
        <v>1.640115</v>
      </c>
      <c r="AA39">
        <v>1.7406269999999999</v>
      </c>
      <c r="AB39">
        <v>1.8464670000000001</v>
      </c>
      <c r="AC39">
        <v>1.956663</v>
      </c>
      <c r="AD39">
        <v>2.0764179999999999</v>
      </c>
      <c r="AE39">
        <v>2.2021730000000002</v>
      </c>
      <c r="AF39">
        <v>2.3334239999999999</v>
      </c>
      <c r="AG39">
        <v>2.4752070000000002</v>
      </c>
      <c r="AH39">
        <v>2.6315870000000001</v>
      </c>
      <c r="AI39" s="12">
        <v>5.1999999999999998E-2</v>
      </c>
    </row>
    <row r="40" spans="1:35">
      <c r="A40" t="s">
        <v>11</v>
      </c>
      <c r="B40" t="s">
        <v>488</v>
      </c>
      <c r="C40" t="s">
        <v>489</v>
      </c>
      <c r="D40" t="s">
        <v>118</v>
      </c>
      <c r="F40">
        <v>935.02770999999996</v>
      </c>
      <c r="G40">
        <v>881.83038299999998</v>
      </c>
      <c r="H40">
        <v>877.72729500000003</v>
      </c>
      <c r="I40">
        <v>878.60412599999995</v>
      </c>
      <c r="J40">
        <v>871.25030500000003</v>
      </c>
      <c r="K40">
        <v>868.44872999999995</v>
      </c>
      <c r="L40">
        <v>862.68933100000004</v>
      </c>
      <c r="M40">
        <v>859.14196800000002</v>
      </c>
      <c r="N40">
        <v>856.63439900000003</v>
      </c>
      <c r="O40">
        <v>857.13647500000002</v>
      </c>
      <c r="P40">
        <v>857.43701199999998</v>
      </c>
      <c r="Q40">
        <v>858.00024399999995</v>
      </c>
      <c r="R40">
        <v>857.76019299999996</v>
      </c>
      <c r="S40">
        <v>858.217896</v>
      </c>
      <c r="T40">
        <v>857.54724099999999</v>
      </c>
      <c r="U40">
        <v>857.61346400000002</v>
      </c>
      <c r="V40">
        <v>857.63464399999998</v>
      </c>
      <c r="W40">
        <v>857.34979199999998</v>
      </c>
      <c r="X40">
        <v>857.24542199999996</v>
      </c>
      <c r="Y40">
        <v>857.30096400000002</v>
      </c>
      <c r="Z40">
        <v>857.82971199999997</v>
      </c>
      <c r="AA40">
        <v>857.81982400000004</v>
      </c>
      <c r="AB40">
        <v>858.04791299999999</v>
      </c>
      <c r="AC40">
        <v>858.06762700000002</v>
      </c>
      <c r="AD40">
        <v>860.63342299999999</v>
      </c>
      <c r="AE40">
        <v>860.92425500000002</v>
      </c>
      <c r="AF40">
        <v>859.83441200000004</v>
      </c>
      <c r="AG40">
        <v>859.12170400000002</v>
      </c>
      <c r="AH40">
        <v>858.094604</v>
      </c>
      <c r="AI40" s="12">
        <v>-3.0000000000000001E-3</v>
      </c>
    </row>
    <row r="41" spans="1:35">
      <c r="A41" t="s">
        <v>91</v>
      </c>
      <c r="B41" t="s">
        <v>490</v>
      </c>
      <c r="C41" t="s">
        <v>491</v>
      </c>
      <c r="D41" t="s">
        <v>118</v>
      </c>
      <c r="F41">
        <v>222.93867499999999</v>
      </c>
      <c r="G41">
        <v>318.21374500000002</v>
      </c>
      <c r="H41">
        <v>318.50683600000002</v>
      </c>
      <c r="I41">
        <v>321.42748999999998</v>
      </c>
      <c r="J41">
        <v>326.40893599999998</v>
      </c>
      <c r="K41">
        <v>331.75039700000002</v>
      </c>
      <c r="L41">
        <v>339.13262900000001</v>
      </c>
      <c r="M41">
        <v>343.65380900000002</v>
      </c>
      <c r="N41">
        <v>348.44000199999999</v>
      </c>
      <c r="O41">
        <v>348.61184700000001</v>
      </c>
      <c r="P41">
        <v>349.93618800000002</v>
      </c>
      <c r="Q41">
        <v>351.71850599999999</v>
      </c>
      <c r="R41">
        <v>354.40063500000002</v>
      </c>
      <c r="S41">
        <v>355.17700200000002</v>
      </c>
      <c r="T41">
        <v>356.67022700000001</v>
      </c>
      <c r="U41">
        <v>356.87670900000001</v>
      </c>
      <c r="V41">
        <v>358.82894900000002</v>
      </c>
      <c r="W41">
        <v>358.93920900000001</v>
      </c>
      <c r="X41">
        <v>360.572205</v>
      </c>
      <c r="Y41">
        <v>361.26196299999998</v>
      </c>
      <c r="Z41">
        <v>361.28478999999999</v>
      </c>
      <c r="AA41">
        <v>360.64623999999998</v>
      </c>
      <c r="AB41">
        <v>360.38775600000002</v>
      </c>
      <c r="AC41">
        <v>360.05560300000002</v>
      </c>
      <c r="AD41">
        <v>358.46176100000002</v>
      </c>
      <c r="AE41">
        <v>357.26376299999998</v>
      </c>
      <c r="AF41">
        <v>357.07412699999998</v>
      </c>
      <c r="AG41">
        <v>355.22808800000001</v>
      </c>
      <c r="AH41">
        <v>354.51147500000002</v>
      </c>
      <c r="AI41" s="12">
        <v>1.7000000000000001E-2</v>
      </c>
    </row>
    <row r="42" spans="1:35">
      <c r="A42" t="s">
        <v>103</v>
      </c>
      <c r="B42" t="s">
        <v>492</v>
      </c>
      <c r="C42" t="s">
        <v>493</v>
      </c>
      <c r="D42" t="s">
        <v>118</v>
      </c>
      <c r="F42">
        <v>685.66516100000001</v>
      </c>
      <c r="G42">
        <v>532.149719</v>
      </c>
      <c r="H42">
        <v>519.35320999999999</v>
      </c>
      <c r="I42">
        <v>520.34844999999996</v>
      </c>
      <c r="J42">
        <v>497.46441700000003</v>
      </c>
      <c r="K42">
        <v>487.75363199999998</v>
      </c>
      <c r="L42">
        <v>469.75631700000002</v>
      </c>
      <c r="M42">
        <v>458.26986699999998</v>
      </c>
      <c r="N42">
        <v>449.82733200000001</v>
      </c>
      <c r="O42">
        <v>449.95632899999998</v>
      </c>
      <c r="P42">
        <v>449.27517699999999</v>
      </c>
      <c r="Q42">
        <v>449.44375600000001</v>
      </c>
      <c r="R42">
        <v>447.34497099999999</v>
      </c>
      <c r="S42">
        <v>447.23684700000001</v>
      </c>
      <c r="T42">
        <v>444.02316300000001</v>
      </c>
      <c r="U42">
        <v>442.96899400000001</v>
      </c>
      <c r="V42">
        <v>441.815674</v>
      </c>
      <c r="W42">
        <v>439.63165300000003</v>
      </c>
      <c r="X42">
        <v>437.97662400000002</v>
      </c>
      <c r="Y42">
        <v>436.76757800000001</v>
      </c>
      <c r="Z42">
        <v>436.80938700000002</v>
      </c>
      <c r="AA42">
        <v>435.24386600000003</v>
      </c>
      <c r="AB42">
        <v>434.29315200000002</v>
      </c>
      <c r="AC42">
        <v>432.733093</v>
      </c>
      <c r="AD42">
        <v>438.45755000000003</v>
      </c>
      <c r="AE42">
        <v>437.70047</v>
      </c>
      <c r="AF42">
        <v>432.92089800000002</v>
      </c>
      <c r="AG42">
        <v>429.24749800000001</v>
      </c>
      <c r="AH42">
        <v>424.56079099999999</v>
      </c>
      <c r="AI42" s="12">
        <v>-1.7000000000000001E-2</v>
      </c>
    </row>
    <row r="43" spans="1:35">
      <c r="A43" t="s">
        <v>101</v>
      </c>
      <c r="B43" t="s">
        <v>494</v>
      </c>
      <c r="C43" t="s">
        <v>495</v>
      </c>
      <c r="D43" t="s">
        <v>118</v>
      </c>
      <c r="F43">
        <v>0</v>
      </c>
      <c r="G43">
        <v>0</v>
      </c>
      <c r="H43">
        <v>0</v>
      </c>
      <c r="I43">
        <v>0</v>
      </c>
      <c r="J43">
        <v>0</v>
      </c>
      <c r="K43">
        <v>0</v>
      </c>
      <c r="L43">
        <v>0</v>
      </c>
      <c r="M43">
        <v>0</v>
      </c>
      <c r="N43">
        <v>0</v>
      </c>
      <c r="O43">
        <v>0</v>
      </c>
      <c r="P43">
        <v>0</v>
      </c>
      <c r="Q43">
        <v>0</v>
      </c>
      <c r="R43">
        <v>0</v>
      </c>
      <c r="S43">
        <v>0</v>
      </c>
      <c r="T43">
        <v>0</v>
      </c>
      <c r="U43">
        <v>0</v>
      </c>
      <c r="V43">
        <v>0</v>
      </c>
      <c r="W43">
        <v>0</v>
      </c>
      <c r="X43">
        <v>0</v>
      </c>
      <c r="Y43">
        <v>0</v>
      </c>
      <c r="Z43">
        <v>0</v>
      </c>
      <c r="AA43">
        <v>0</v>
      </c>
      <c r="AB43">
        <v>0</v>
      </c>
      <c r="AC43">
        <v>0</v>
      </c>
      <c r="AD43">
        <v>0</v>
      </c>
      <c r="AE43">
        <v>0</v>
      </c>
      <c r="AF43">
        <v>0</v>
      </c>
      <c r="AG43">
        <v>0</v>
      </c>
      <c r="AH43">
        <v>0</v>
      </c>
      <c r="AI43" t="s">
        <v>6</v>
      </c>
    </row>
    <row r="44" spans="1:35">
      <c r="A44" t="s">
        <v>102</v>
      </c>
      <c r="B44" t="s">
        <v>496</v>
      </c>
      <c r="C44" t="s">
        <v>497</v>
      </c>
      <c r="D44" t="s">
        <v>118</v>
      </c>
      <c r="F44">
        <v>26.423862</v>
      </c>
      <c r="G44">
        <v>31.466925</v>
      </c>
      <c r="H44">
        <v>39.867241</v>
      </c>
      <c r="I44">
        <v>36.828189999999999</v>
      </c>
      <c r="J44">
        <v>47.376953</v>
      </c>
      <c r="K44">
        <v>48.944679000000001</v>
      </c>
      <c r="L44">
        <v>53.800423000000002</v>
      </c>
      <c r="M44">
        <v>57.218277</v>
      </c>
      <c r="N44">
        <v>58.367088000000003</v>
      </c>
      <c r="O44">
        <v>58.568268000000003</v>
      </c>
      <c r="P44">
        <v>58.225639000000001</v>
      </c>
      <c r="Q44">
        <v>56.838042999999999</v>
      </c>
      <c r="R44">
        <v>56.014595</v>
      </c>
      <c r="S44">
        <v>55.804080999999996</v>
      </c>
      <c r="T44">
        <v>56.853912000000001</v>
      </c>
      <c r="U44">
        <v>57.767783999999999</v>
      </c>
      <c r="V44">
        <v>56.989986000000002</v>
      </c>
      <c r="W44">
        <v>58.778945999999998</v>
      </c>
      <c r="X44">
        <v>58.696617000000003</v>
      </c>
      <c r="Y44">
        <v>59.2714</v>
      </c>
      <c r="Z44">
        <v>59.735518999999996</v>
      </c>
      <c r="AA44">
        <v>61.929656999999999</v>
      </c>
      <c r="AB44">
        <v>63.367027</v>
      </c>
      <c r="AC44">
        <v>65.278946000000005</v>
      </c>
      <c r="AD44">
        <v>63.714081</v>
      </c>
      <c r="AE44">
        <v>65.960021999999995</v>
      </c>
      <c r="AF44">
        <v>69.839432000000002</v>
      </c>
      <c r="AG44">
        <v>74.646148999999994</v>
      </c>
      <c r="AH44">
        <v>79.022368999999998</v>
      </c>
      <c r="AI44" s="12">
        <v>0.04</v>
      </c>
    </row>
    <row r="45" spans="1:35">
      <c r="A45" t="s">
        <v>10</v>
      </c>
      <c r="B45" t="s">
        <v>498</v>
      </c>
      <c r="C45" t="s">
        <v>499</v>
      </c>
      <c r="D45" t="s">
        <v>118</v>
      </c>
      <c r="F45">
        <v>2802.8073730000001</v>
      </c>
      <c r="G45">
        <v>3008.1679690000001</v>
      </c>
      <c r="H45">
        <v>3051.2026369999999</v>
      </c>
      <c r="I45">
        <v>3057.110596</v>
      </c>
      <c r="J45">
        <v>3095.898193</v>
      </c>
      <c r="K45">
        <v>3134.226807</v>
      </c>
      <c r="L45">
        <v>3164.5515140000002</v>
      </c>
      <c r="M45">
        <v>3187.108154</v>
      </c>
      <c r="N45">
        <v>3202.938232</v>
      </c>
      <c r="O45">
        <v>3218.7827149999998</v>
      </c>
      <c r="P45">
        <v>3243.936279</v>
      </c>
      <c r="Q45">
        <v>3270.4479980000001</v>
      </c>
      <c r="R45">
        <v>3294.4030760000001</v>
      </c>
      <c r="S45">
        <v>3322.9240719999998</v>
      </c>
      <c r="T45">
        <v>3359.8247070000002</v>
      </c>
      <c r="U45">
        <v>3403.8945309999999</v>
      </c>
      <c r="V45">
        <v>3450.171875</v>
      </c>
      <c r="W45">
        <v>3498.4882809999999</v>
      </c>
      <c r="X45">
        <v>3554.6437989999999</v>
      </c>
      <c r="Y45">
        <v>3608.4033199999999</v>
      </c>
      <c r="Z45">
        <v>3663.0974120000001</v>
      </c>
      <c r="AA45">
        <v>3718.6245119999999</v>
      </c>
      <c r="AB45">
        <v>3774.0097660000001</v>
      </c>
      <c r="AC45">
        <v>3827.9187010000001</v>
      </c>
      <c r="AD45">
        <v>3880.4333499999998</v>
      </c>
      <c r="AE45">
        <v>3936.7380370000001</v>
      </c>
      <c r="AF45">
        <v>3993.6040039999998</v>
      </c>
      <c r="AG45">
        <v>4049.650635</v>
      </c>
      <c r="AH45">
        <v>4112.1577150000003</v>
      </c>
      <c r="AI45" s="12">
        <v>1.4E-2</v>
      </c>
    </row>
    <row r="46" spans="1:35">
      <c r="A46" t="s">
        <v>104</v>
      </c>
      <c r="B46" t="s">
        <v>500</v>
      </c>
      <c r="C46" t="s">
        <v>501</v>
      </c>
      <c r="D46" t="s">
        <v>118</v>
      </c>
      <c r="F46">
        <v>2780.3857419999999</v>
      </c>
      <c r="G46">
        <v>2985.7573240000002</v>
      </c>
      <c r="H46">
        <v>3028.8010250000002</v>
      </c>
      <c r="I46">
        <v>3034.7165530000002</v>
      </c>
      <c r="J46">
        <v>3073.5104980000001</v>
      </c>
      <c r="K46">
        <v>3111.8442380000001</v>
      </c>
      <c r="L46">
        <v>3142.173096</v>
      </c>
      <c r="M46">
        <v>3164.733154</v>
      </c>
      <c r="N46">
        <v>3180.5661620000001</v>
      </c>
      <c r="O46">
        <v>3196.413086</v>
      </c>
      <c r="P46">
        <v>3221.5686040000001</v>
      </c>
      <c r="Q46">
        <v>3248.0820309999999</v>
      </c>
      <c r="R46">
        <v>3272.0385740000002</v>
      </c>
      <c r="S46">
        <v>3300.560547</v>
      </c>
      <c r="T46">
        <v>3337.4621579999998</v>
      </c>
      <c r="U46">
        <v>3381.5327149999998</v>
      </c>
      <c r="V46">
        <v>3427.8107909999999</v>
      </c>
      <c r="W46">
        <v>3476.1276859999998</v>
      </c>
      <c r="X46">
        <v>3532.2836910000001</v>
      </c>
      <c r="Y46">
        <v>3586.0437010000001</v>
      </c>
      <c r="Z46">
        <v>3640.7380370000001</v>
      </c>
      <c r="AA46">
        <v>3696.2653810000002</v>
      </c>
      <c r="AB46">
        <v>3751.6508789999998</v>
      </c>
      <c r="AC46">
        <v>3805.5598140000002</v>
      </c>
      <c r="AD46">
        <v>3858.0747070000002</v>
      </c>
      <c r="AE46">
        <v>3914.3793949999999</v>
      </c>
      <c r="AF46">
        <v>3971.2456050000001</v>
      </c>
      <c r="AG46">
        <v>4027.2922359999998</v>
      </c>
      <c r="AH46">
        <v>4089.7993160000001</v>
      </c>
      <c r="AI46" s="12">
        <v>1.4E-2</v>
      </c>
    </row>
    <row r="47" spans="1:35">
      <c r="A47" t="s">
        <v>105</v>
      </c>
      <c r="B47" t="s">
        <v>502</v>
      </c>
      <c r="C47" t="s">
        <v>503</v>
      </c>
      <c r="D47" t="s">
        <v>118</v>
      </c>
      <c r="F47">
        <v>22.421617999999999</v>
      </c>
      <c r="G47">
        <v>22.410634999999999</v>
      </c>
      <c r="H47">
        <v>22.401547999999998</v>
      </c>
      <c r="I47">
        <v>22.394031999999999</v>
      </c>
      <c r="J47">
        <v>22.387812</v>
      </c>
      <c r="K47">
        <v>22.382666</v>
      </c>
      <c r="L47">
        <v>22.378406999999999</v>
      </c>
      <c r="M47">
        <v>22.374884000000002</v>
      </c>
      <c r="N47">
        <v>22.371969</v>
      </c>
      <c r="O47">
        <v>22.369558000000001</v>
      </c>
      <c r="P47">
        <v>22.367563000000001</v>
      </c>
      <c r="Q47">
        <v>22.365911000000001</v>
      </c>
      <c r="R47">
        <v>22.364546000000001</v>
      </c>
      <c r="S47">
        <v>22.363416999999998</v>
      </c>
      <c r="T47">
        <v>22.362480000000001</v>
      </c>
      <c r="U47">
        <v>22.361708</v>
      </c>
      <c r="V47">
        <v>22.361066999999998</v>
      </c>
      <c r="W47">
        <v>22.360537999999998</v>
      </c>
      <c r="X47">
        <v>22.360099999999999</v>
      </c>
      <c r="Y47">
        <v>22.359736999999999</v>
      </c>
      <c r="Z47">
        <v>22.359438000000001</v>
      </c>
      <c r="AA47">
        <v>22.359190000000002</v>
      </c>
      <c r="AB47">
        <v>22.358984</v>
      </c>
      <c r="AC47">
        <v>22.358813999999999</v>
      </c>
      <c r="AD47">
        <v>22.358673</v>
      </c>
      <c r="AE47">
        <v>22.358557000000001</v>
      </c>
      <c r="AF47">
        <v>22.358460999999998</v>
      </c>
      <c r="AG47">
        <v>22.358381000000001</v>
      </c>
      <c r="AH47">
        <v>22.358315000000001</v>
      </c>
      <c r="AI47" s="12">
        <v>0</v>
      </c>
    </row>
    <row r="48" spans="1:35">
      <c r="A48" t="s">
        <v>9</v>
      </c>
      <c r="B48" t="s">
        <v>504</v>
      </c>
      <c r="C48" t="s">
        <v>505</v>
      </c>
      <c r="D48" t="s">
        <v>118</v>
      </c>
      <c r="F48">
        <v>430.83187900000001</v>
      </c>
      <c r="G48">
        <v>433.13122600000003</v>
      </c>
      <c r="H48">
        <v>433.96752900000001</v>
      </c>
      <c r="I48">
        <v>434.62820399999998</v>
      </c>
      <c r="J48">
        <v>435.16168199999998</v>
      </c>
      <c r="K48">
        <v>435.947113</v>
      </c>
      <c r="L48">
        <v>436.50567599999999</v>
      </c>
      <c r="M48">
        <v>436.95120200000002</v>
      </c>
      <c r="N48">
        <v>437.33203099999997</v>
      </c>
      <c r="O48">
        <v>437.57638500000002</v>
      </c>
      <c r="P48">
        <v>437.74392699999999</v>
      </c>
      <c r="Q48">
        <v>437.826752</v>
      </c>
      <c r="R48">
        <v>437.85824600000001</v>
      </c>
      <c r="S48">
        <v>437.879456</v>
      </c>
      <c r="T48">
        <v>438.00381499999997</v>
      </c>
      <c r="U48">
        <v>438.20288099999999</v>
      </c>
      <c r="V48">
        <v>438.41198700000001</v>
      </c>
      <c r="W48">
        <v>438.63055400000002</v>
      </c>
      <c r="X48">
        <v>438.85791</v>
      </c>
      <c r="Y48">
        <v>439.09307899999999</v>
      </c>
      <c r="Z48">
        <v>439.33535799999999</v>
      </c>
      <c r="AA48">
        <v>439.584137</v>
      </c>
      <c r="AB48">
        <v>439.83880599999998</v>
      </c>
      <c r="AC48">
        <v>440.09887700000002</v>
      </c>
      <c r="AD48">
        <v>440.36389200000002</v>
      </c>
      <c r="AE48">
        <v>440.63324</v>
      </c>
      <c r="AF48">
        <v>440.906677</v>
      </c>
      <c r="AG48">
        <v>441.18383799999998</v>
      </c>
      <c r="AH48">
        <v>441.46450800000002</v>
      </c>
      <c r="AI48" s="12">
        <v>1E-3</v>
      </c>
    </row>
    <row r="49" spans="1:35">
      <c r="A49" t="s">
        <v>106</v>
      </c>
      <c r="B49" t="s">
        <v>506</v>
      </c>
      <c r="C49" t="s">
        <v>507</v>
      </c>
      <c r="D49" t="s">
        <v>118</v>
      </c>
      <c r="F49">
        <v>334.448914</v>
      </c>
      <c r="G49">
        <v>336.233856</v>
      </c>
      <c r="H49">
        <v>336.88305700000001</v>
      </c>
      <c r="I49">
        <v>337.39593500000001</v>
      </c>
      <c r="J49">
        <v>337.81005900000002</v>
      </c>
      <c r="K49">
        <v>338.41980000000001</v>
      </c>
      <c r="L49">
        <v>338.85339399999998</v>
      </c>
      <c r="M49">
        <v>339.19924900000001</v>
      </c>
      <c r="N49">
        <v>339.49490400000002</v>
      </c>
      <c r="O49">
        <v>339.68457000000001</v>
      </c>
      <c r="P49">
        <v>339.81463600000001</v>
      </c>
      <c r="Q49">
        <v>339.87893700000001</v>
      </c>
      <c r="R49">
        <v>339.90338100000002</v>
      </c>
      <c r="S49">
        <v>339.91986100000003</v>
      </c>
      <c r="T49">
        <v>340.01638800000001</v>
      </c>
      <c r="U49">
        <v>340.170929</v>
      </c>
      <c r="V49">
        <v>340.33325200000002</v>
      </c>
      <c r="W49">
        <v>340.50292999999999</v>
      </c>
      <c r="X49">
        <v>340.67941300000001</v>
      </c>
      <c r="Y49">
        <v>340.86196899999999</v>
      </c>
      <c r="Z49">
        <v>341.050049</v>
      </c>
      <c r="AA49">
        <v>341.24316399999998</v>
      </c>
      <c r="AB49">
        <v>341.44085699999999</v>
      </c>
      <c r="AC49">
        <v>341.64276100000001</v>
      </c>
      <c r="AD49">
        <v>341.84848</v>
      </c>
      <c r="AE49">
        <v>342.05758700000001</v>
      </c>
      <c r="AF49">
        <v>342.269836</v>
      </c>
      <c r="AG49">
        <v>342.48501599999997</v>
      </c>
      <c r="AH49">
        <v>342.70288099999999</v>
      </c>
      <c r="AI49" s="12">
        <v>1E-3</v>
      </c>
    </row>
    <row r="50" spans="1:35">
      <c r="A50" t="s">
        <v>100</v>
      </c>
      <c r="B50" t="s">
        <v>508</v>
      </c>
      <c r="C50" t="s">
        <v>509</v>
      </c>
      <c r="D50" t="s">
        <v>118</v>
      </c>
      <c r="F50">
        <v>0</v>
      </c>
      <c r="G50">
        <v>0</v>
      </c>
      <c r="H50">
        <v>0</v>
      </c>
      <c r="I50">
        <v>0</v>
      </c>
      <c r="J50">
        <v>0</v>
      </c>
      <c r="K50">
        <v>0</v>
      </c>
      <c r="L50">
        <v>0</v>
      </c>
      <c r="M50">
        <v>0</v>
      </c>
      <c r="N50">
        <v>0</v>
      </c>
      <c r="O50">
        <v>0</v>
      </c>
      <c r="P50">
        <v>0</v>
      </c>
      <c r="Q50">
        <v>0</v>
      </c>
      <c r="R50">
        <v>0</v>
      </c>
      <c r="S50">
        <v>0</v>
      </c>
      <c r="T50">
        <v>0</v>
      </c>
      <c r="U50">
        <v>0</v>
      </c>
      <c r="V50">
        <v>0</v>
      </c>
      <c r="W50">
        <v>0</v>
      </c>
      <c r="X50">
        <v>0</v>
      </c>
      <c r="Y50">
        <v>0</v>
      </c>
      <c r="Z50">
        <v>0</v>
      </c>
      <c r="AA50">
        <v>0</v>
      </c>
      <c r="AB50">
        <v>0</v>
      </c>
      <c r="AC50">
        <v>0</v>
      </c>
      <c r="AD50">
        <v>0</v>
      </c>
      <c r="AE50">
        <v>0</v>
      </c>
      <c r="AF50">
        <v>0</v>
      </c>
      <c r="AG50">
        <v>0</v>
      </c>
      <c r="AH50">
        <v>0</v>
      </c>
      <c r="AI50" t="s">
        <v>6</v>
      </c>
    </row>
    <row r="51" spans="1:35">
      <c r="A51" t="s">
        <v>107</v>
      </c>
      <c r="B51" t="s">
        <v>510</v>
      </c>
      <c r="C51" t="s">
        <v>511</v>
      </c>
      <c r="D51" t="s">
        <v>118</v>
      </c>
      <c r="F51">
        <v>96.382973000000007</v>
      </c>
      <c r="G51">
        <v>96.897368999999998</v>
      </c>
      <c r="H51">
        <v>97.084457</v>
      </c>
      <c r="I51">
        <v>97.232269000000002</v>
      </c>
      <c r="J51">
        <v>97.351607999999999</v>
      </c>
      <c r="K51">
        <v>97.527321000000001</v>
      </c>
      <c r="L51">
        <v>97.652275000000003</v>
      </c>
      <c r="M51">
        <v>97.751960999999994</v>
      </c>
      <c r="N51">
        <v>97.837142999999998</v>
      </c>
      <c r="O51">
        <v>97.891814999999994</v>
      </c>
      <c r="P51">
        <v>97.929291000000006</v>
      </c>
      <c r="Q51">
        <v>97.947815000000006</v>
      </c>
      <c r="R51">
        <v>97.954857000000004</v>
      </c>
      <c r="S51">
        <v>97.959594999999993</v>
      </c>
      <c r="T51">
        <v>97.987419000000003</v>
      </c>
      <c r="U51">
        <v>98.031966999999995</v>
      </c>
      <c r="V51">
        <v>98.078743000000003</v>
      </c>
      <c r="W51">
        <v>98.12764</v>
      </c>
      <c r="X51">
        <v>98.178512999999995</v>
      </c>
      <c r="Y51">
        <v>98.231116999999998</v>
      </c>
      <c r="Z51">
        <v>98.285308999999998</v>
      </c>
      <c r="AA51">
        <v>98.340964999999997</v>
      </c>
      <c r="AB51">
        <v>98.397942</v>
      </c>
      <c r="AC51">
        <v>98.456130999999999</v>
      </c>
      <c r="AD51">
        <v>98.515411</v>
      </c>
      <c r="AE51">
        <v>98.575667999999993</v>
      </c>
      <c r="AF51">
        <v>98.636825999999999</v>
      </c>
      <c r="AG51">
        <v>98.698836999999997</v>
      </c>
      <c r="AH51">
        <v>98.761627000000004</v>
      </c>
      <c r="AI51" s="12">
        <v>1E-3</v>
      </c>
    </row>
    <row r="52" spans="1:35">
      <c r="A52" t="s">
        <v>8</v>
      </c>
      <c r="B52" t="s">
        <v>512</v>
      </c>
      <c r="C52" t="s">
        <v>513</v>
      </c>
      <c r="D52" t="s">
        <v>118</v>
      </c>
      <c r="F52">
        <v>210.97721899999999</v>
      </c>
      <c r="G52">
        <v>220.80746500000001</v>
      </c>
      <c r="H52">
        <v>225.15119899999999</v>
      </c>
      <c r="I52">
        <v>225.93090799999999</v>
      </c>
      <c r="J52">
        <v>226.441757</v>
      </c>
      <c r="K52">
        <v>226.74642900000001</v>
      </c>
      <c r="L52">
        <v>226.787048</v>
      </c>
      <c r="M52">
        <v>226.390717</v>
      </c>
      <c r="N52">
        <v>225.62441999999999</v>
      </c>
      <c r="O52">
        <v>224.46057099999999</v>
      </c>
      <c r="P52">
        <v>223.250336</v>
      </c>
      <c r="Q52">
        <v>223.04595900000001</v>
      </c>
      <c r="R52">
        <v>222.35723899999999</v>
      </c>
      <c r="S52">
        <v>221.455566</v>
      </c>
      <c r="T52">
        <v>220.40602100000001</v>
      </c>
      <c r="U52">
        <v>218.77555799999999</v>
      </c>
      <c r="V52">
        <v>217.16113300000001</v>
      </c>
      <c r="W52">
        <v>215.39122</v>
      </c>
      <c r="X52">
        <v>213.471802</v>
      </c>
      <c r="Y52">
        <v>211.40820299999999</v>
      </c>
      <c r="Z52">
        <v>209.23976099999999</v>
      </c>
      <c r="AA52">
        <v>206.76431299999999</v>
      </c>
      <c r="AB52">
        <v>204.38597100000001</v>
      </c>
      <c r="AC52">
        <v>201.858643</v>
      </c>
      <c r="AD52">
        <v>199.42544599999999</v>
      </c>
      <c r="AE52">
        <v>196.48846399999999</v>
      </c>
      <c r="AF52">
        <v>193.40808100000001</v>
      </c>
      <c r="AG52">
        <v>189.779068</v>
      </c>
      <c r="AH52">
        <v>186.44667100000001</v>
      </c>
      <c r="AI52" s="12">
        <v>-4.0000000000000001E-3</v>
      </c>
    </row>
    <row r="53" spans="1:35">
      <c r="A53" t="s">
        <v>108</v>
      </c>
      <c r="B53" t="s">
        <v>514</v>
      </c>
      <c r="C53" t="s">
        <v>515</v>
      </c>
      <c r="D53" t="s">
        <v>118</v>
      </c>
      <c r="F53">
        <v>92.212233999999995</v>
      </c>
      <c r="G53">
        <v>95.837829999999997</v>
      </c>
      <c r="H53">
        <v>98.320953000000003</v>
      </c>
      <c r="I53">
        <v>98.870079000000004</v>
      </c>
      <c r="J53">
        <v>99.844643000000005</v>
      </c>
      <c r="K53">
        <v>100.614418</v>
      </c>
      <c r="L53">
        <v>101.247078</v>
      </c>
      <c r="M53">
        <v>101.616623</v>
      </c>
      <c r="N53">
        <v>101.724174</v>
      </c>
      <c r="O53">
        <v>101.53801</v>
      </c>
      <c r="P53">
        <v>101.311256</v>
      </c>
      <c r="Q53">
        <v>100.97640199999999</v>
      </c>
      <c r="R53">
        <v>100.756874</v>
      </c>
      <c r="S53">
        <v>100.295074</v>
      </c>
      <c r="T53">
        <v>99.678466999999998</v>
      </c>
      <c r="U53">
        <v>98.421806000000004</v>
      </c>
      <c r="V53">
        <v>97.683716000000004</v>
      </c>
      <c r="W53">
        <v>96.918678</v>
      </c>
      <c r="X53">
        <v>96.071006999999994</v>
      </c>
      <c r="Y53">
        <v>95.130722000000006</v>
      </c>
      <c r="Z53">
        <v>94.233086</v>
      </c>
      <c r="AA53">
        <v>93.123824999999997</v>
      </c>
      <c r="AB53">
        <v>92.204300000000003</v>
      </c>
      <c r="AC53">
        <v>91.250327999999996</v>
      </c>
      <c r="AD53">
        <v>90.658730000000006</v>
      </c>
      <c r="AE53">
        <v>89.694473000000002</v>
      </c>
      <c r="AF53">
        <v>88.826485000000005</v>
      </c>
      <c r="AG53">
        <v>87.819648999999998</v>
      </c>
      <c r="AH53">
        <v>86.904647999999995</v>
      </c>
      <c r="AI53" s="12">
        <v>-2E-3</v>
      </c>
    </row>
    <row r="54" spans="1:35">
      <c r="A54" t="s">
        <v>98</v>
      </c>
      <c r="B54" t="s">
        <v>516</v>
      </c>
      <c r="C54" t="s">
        <v>517</v>
      </c>
      <c r="D54" t="s">
        <v>118</v>
      </c>
      <c r="F54">
        <v>12.007432</v>
      </c>
      <c r="G54">
        <v>12.465114</v>
      </c>
      <c r="H54">
        <v>12.775763</v>
      </c>
      <c r="I54">
        <v>12.835153999999999</v>
      </c>
      <c r="J54">
        <v>12.958027</v>
      </c>
      <c r="K54">
        <v>13.056922</v>
      </c>
      <c r="L54">
        <v>13.141268999999999</v>
      </c>
      <c r="M54">
        <v>13.190033</v>
      </c>
      <c r="N54">
        <v>13.202685000000001</v>
      </c>
      <c r="O54">
        <v>13.177554000000001</v>
      </c>
      <c r="P54">
        <v>13.150479000000001</v>
      </c>
      <c r="Q54">
        <v>13.109432999999999</v>
      </c>
      <c r="R54">
        <v>13.083599</v>
      </c>
      <c r="S54">
        <v>13.026247</v>
      </c>
      <c r="T54">
        <v>12.949903000000001</v>
      </c>
      <c r="U54">
        <v>12.790073</v>
      </c>
      <c r="V54">
        <v>12.696982999999999</v>
      </c>
      <c r="W54">
        <v>12.600635</v>
      </c>
      <c r="X54">
        <v>12.493633000000001</v>
      </c>
      <c r="Y54">
        <v>12.374180000000001</v>
      </c>
      <c r="Z54">
        <v>12.260481</v>
      </c>
      <c r="AA54">
        <v>12.119045</v>
      </c>
      <c r="AB54">
        <v>12.002355</v>
      </c>
      <c r="AC54">
        <v>11.880788000000001</v>
      </c>
      <c r="AD54">
        <v>11.808579999999999</v>
      </c>
      <c r="AE54">
        <v>11.685587</v>
      </c>
      <c r="AF54">
        <v>11.575792</v>
      </c>
      <c r="AG54">
        <v>11.447132</v>
      </c>
      <c r="AH54">
        <v>11.331303999999999</v>
      </c>
      <c r="AI54" s="12">
        <v>-2E-3</v>
      </c>
    </row>
    <row r="55" spans="1:35">
      <c r="A55" t="s">
        <v>90</v>
      </c>
      <c r="B55" t="s">
        <v>518</v>
      </c>
      <c r="C55" t="s">
        <v>519</v>
      </c>
      <c r="D55" t="s">
        <v>118</v>
      </c>
      <c r="F55">
        <v>7.4320000000000002E-3</v>
      </c>
      <c r="G55">
        <v>7.7629999999999999E-3</v>
      </c>
      <c r="H55">
        <v>7.9489999999999995E-3</v>
      </c>
      <c r="I55">
        <v>8.0289999999999997E-3</v>
      </c>
      <c r="J55">
        <v>8.1410000000000007E-3</v>
      </c>
      <c r="K55">
        <v>8.2100000000000003E-3</v>
      </c>
      <c r="L55">
        <v>8.2570000000000005E-3</v>
      </c>
      <c r="M55">
        <v>8.2789999999999999E-3</v>
      </c>
      <c r="N55">
        <v>8.2830000000000004E-3</v>
      </c>
      <c r="O55">
        <v>8.2609999999999992E-3</v>
      </c>
      <c r="P55">
        <v>8.2290000000000002E-3</v>
      </c>
      <c r="Q55">
        <v>8.1890000000000001E-3</v>
      </c>
      <c r="R55">
        <v>8.1569999999999993E-3</v>
      </c>
      <c r="S55">
        <v>8.1069999999999996E-3</v>
      </c>
      <c r="T55">
        <v>8.0420000000000005E-3</v>
      </c>
      <c r="U55">
        <v>7.9609999999999993E-3</v>
      </c>
      <c r="V55">
        <v>7.8829999999999994E-3</v>
      </c>
      <c r="W55">
        <v>7.803E-3</v>
      </c>
      <c r="X55">
        <v>7.7130000000000002E-3</v>
      </c>
      <c r="Y55">
        <v>7.6150000000000002E-3</v>
      </c>
      <c r="Z55">
        <v>7.5209999999999999E-3</v>
      </c>
      <c r="AA55">
        <v>7.3980000000000001E-3</v>
      </c>
      <c r="AB55">
        <v>7.3070000000000001E-3</v>
      </c>
      <c r="AC55">
        <v>7.2150000000000001E-3</v>
      </c>
      <c r="AD55">
        <v>7.143E-3</v>
      </c>
      <c r="AE55">
        <v>7.0499999999999998E-3</v>
      </c>
      <c r="AF55">
        <v>6.9610000000000002E-3</v>
      </c>
      <c r="AG55">
        <v>6.8640000000000003E-3</v>
      </c>
      <c r="AH55">
        <v>6.7689999999999998E-3</v>
      </c>
      <c r="AI55" s="12">
        <v>-3.0000000000000001E-3</v>
      </c>
    </row>
    <row r="56" spans="1:35">
      <c r="A56" t="s">
        <v>91</v>
      </c>
      <c r="B56" t="s">
        <v>520</v>
      </c>
      <c r="C56" t="s">
        <v>521</v>
      </c>
      <c r="D56" t="s">
        <v>118</v>
      </c>
      <c r="F56">
        <v>52.012611</v>
      </c>
      <c r="G56">
        <v>54.015754999999999</v>
      </c>
      <c r="H56">
        <v>55.245651000000002</v>
      </c>
      <c r="I56">
        <v>55.522506999999997</v>
      </c>
      <c r="J56">
        <v>56.047764000000001</v>
      </c>
      <c r="K56">
        <v>56.442497000000003</v>
      </c>
      <c r="L56">
        <v>56.754584999999999</v>
      </c>
      <c r="M56">
        <v>56.903236</v>
      </c>
      <c r="N56">
        <v>56.888607</v>
      </c>
      <c r="O56">
        <v>56.712851999999998</v>
      </c>
      <c r="P56">
        <v>56.517417999999999</v>
      </c>
      <c r="Q56">
        <v>56.260185</v>
      </c>
      <c r="R56">
        <v>56.054282999999998</v>
      </c>
      <c r="S56">
        <v>55.704571000000001</v>
      </c>
      <c r="T56">
        <v>55.261519999999997</v>
      </c>
      <c r="U56">
        <v>54.562843000000001</v>
      </c>
      <c r="V56">
        <v>54.018444000000002</v>
      </c>
      <c r="W56">
        <v>53.439864999999998</v>
      </c>
      <c r="X56">
        <v>52.799095000000001</v>
      </c>
      <c r="Y56">
        <v>52.084651999999998</v>
      </c>
      <c r="Z56">
        <v>51.363410999999999</v>
      </c>
      <c r="AA56">
        <v>50.487484000000002</v>
      </c>
      <c r="AB56">
        <v>49.676124999999999</v>
      </c>
      <c r="AC56">
        <v>48.788139000000001</v>
      </c>
      <c r="AD56">
        <v>48.012000999999998</v>
      </c>
      <c r="AE56">
        <v>46.925766000000003</v>
      </c>
      <c r="AF56">
        <v>45.703896</v>
      </c>
      <c r="AG56">
        <v>44.05574</v>
      </c>
      <c r="AH56">
        <v>42.693801999999998</v>
      </c>
      <c r="AI56" s="12">
        <v>-7.0000000000000001E-3</v>
      </c>
    </row>
    <row r="57" spans="1:35">
      <c r="A57" t="s">
        <v>92</v>
      </c>
      <c r="B57" t="s">
        <v>522</v>
      </c>
      <c r="C57" t="s">
        <v>523</v>
      </c>
      <c r="D57" t="s">
        <v>118</v>
      </c>
      <c r="F57">
        <v>26.102913000000001</v>
      </c>
      <c r="G57">
        <v>27.152719000000001</v>
      </c>
      <c r="H57">
        <v>27.997173</v>
      </c>
      <c r="I57">
        <v>28.156234999999999</v>
      </c>
      <c r="J57">
        <v>28.412040999999999</v>
      </c>
      <c r="K57">
        <v>28.617826000000001</v>
      </c>
      <c r="L57">
        <v>28.781718999999999</v>
      </c>
      <c r="M57">
        <v>28.881858999999999</v>
      </c>
      <c r="N57">
        <v>28.919270999999998</v>
      </c>
      <c r="O57">
        <v>28.863105999999998</v>
      </c>
      <c r="P57">
        <v>28.782406000000002</v>
      </c>
      <c r="Q57">
        <v>28.664639000000001</v>
      </c>
      <c r="R57">
        <v>28.58287</v>
      </c>
      <c r="S57">
        <v>28.431080000000001</v>
      </c>
      <c r="T57">
        <v>28.230478000000002</v>
      </c>
      <c r="U57">
        <v>27.752499</v>
      </c>
      <c r="V57">
        <v>27.526546</v>
      </c>
      <c r="W57">
        <v>27.295058999999998</v>
      </c>
      <c r="X57">
        <v>27.037399000000001</v>
      </c>
      <c r="Y57">
        <v>26.753869999999999</v>
      </c>
      <c r="Z57">
        <v>26.484290999999999</v>
      </c>
      <c r="AA57">
        <v>26.160323999999999</v>
      </c>
      <c r="AB57">
        <v>25.885159999999999</v>
      </c>
      <c r="AC57">
        <v>25.601519</v>
      </c>
      <c r="AD57">
        <v>25.421154000000001</v>
      </c>
      <c r="AE57">
        <v>25.134627999999999</v>
      </c>
      <c r="AF57">
        <v>24.876854000000002</v>
      </c>
      <c r="AG57">
        <v>24.580860000000001</v>
      </c>
      <c r="AH57">
        <v>24.309217</v>
      </c>
      <c r="AI57" s="12">
        <v>-3.0000000000000001E-3</v>
      </c>
    </row>
    <row r="58" spans="1:35">
      <c r="A58" t="s">
        <v>93</v>
      </c>
      <c r="B58" t="s">
        <v>524</v>
      </c>
      <c r="C58" t="s">
        <v>525</v>
      </c>
      <c r="D58" t="s">
        <v>118</v>
      </c>
      <c r="F58">
        <v>1.4757659999999999</v>
      </c>
      <c r="G58">
        <v>1.5326839999999999</v>
      </c>
      <c r="H58">
        <v>1.572022</v>
      </c>
      <c r="I58">
        <v>1.5786210000000001</v>
      </c>
      <c r="J58">
        <v>1.5959749999999999</v>
      </c>
      <c r="K58">
        <v>1.6095010000000001</v>
      </c>
      <c r="L58">
        <v>1.6204449999999999</v>
      </c>
      <c r="M58">
        <v>1.6276649999999999</v>
      </c>
      <c r="N58">
        <v>1.6309739999999999</v>
      </c>
      <c r="O58">
        <v>1.629221</v>
      </c>
      <c r="P58">
        <v>1.6268180000000001</v>
      </c>
      <c r="Q58">
        <v>1.622336</v>
      </c>
      <c r="R58">
        <v>1.6196390000000001</v>
      </c>
      <c r="S58">
        <v>1.613038</v>
      </c>
      <c r="T58">
        <v>1.6045199999999999</v>
      </c>
      <c r="U58">
        <v>1.5851</v>
      </c>
      <c r="V58">
        <v>1.57385</v>
      </c>
      <c r="W58">
        <v>1.56229</v>
      </c>
      <c r="X58">
        <v>1.549139</v>
      </c>
      <c r="Y58">
        <v>1.5342830000000001</v>
      </c>
      <c r="Z58">
        <v>1.520311</v>
      </c>
      <c r="AA58">
        <v>1.501987</v>
      </c>
      <c r="AB58">
        <v>1.4879849999999999</v>
      </c>
      <c r="AC58">
        <v>1.4732160000000001</v>
      </c>
      <c r="AD58">
        <v>1.4655290000000001</v>
      </c>
      <c r="AE58">
        <v>1.450458</v>
      </c>
      <c r="AF58">
        <v>1.437376</v>
      </c>
      <c r="AG58">
        <v>1.4216249999999999</v>
      </c>
      <c r="AH58">
        <v>1.4077189999999999</v>
      </c>
      <c r="AI58" s="12">
        <v>-2E-3</v>
      </c>
    </row>
    <row r="59" spans="1:35">
      <c r="A59" t="s">
        <v>94</v>
      </c>
      <c r="B59" t="s">
        <v>526</v>
      </c>
      <c r="C59" t="s">
        <v>527</v>
      </c>
      <c r="D59" t="s">
        <v>118</v>
      </c>
      <c r="F59">
        <v>0.58296300000000001</v>
      </c>
      <c r="G59">
        <v>0.63977200000000001</v>
      </c>
      <c r="H59">
        <v>0.69745900000000005</v>
      </c>
      <c r="I59">
        <v>0.74443499999999996</v>
      </c>
      <c r="J59">
        <v>0.79736899999999999</v>
      </c>
      <c r="K59">
        <v>0.85397599999999996</v>
      </c>
      <c r="L59">
        <v>0.91521699999999995</v>
      </c>
      <c r="M59">
        <v>0.97990200000000005</v>
      </c>
      <c r="N59">
        <v>1.0486899999999999</v>
      </c>
      <c r="O59">
        <v>1.1214440000000001</v>
      </c>
      <c r="P59">
        <v>1.2004459999999999</v>
      </c>
      <c r="Q59">
        <v>1.2863150000000001</v>
      </c>
      <c r="R59">
        <v>1.3831500000000001</v>
      </c>
      <c r="S59">
        <v>1.48702</v>
      </c>
      <c r="T59">
        <v>1.599227</v>
      </c>
      <c r="U59">
        <v>1.699166</v>
      </c>
      <c r="V59">
        <v>1.8360780000000001</v>
      </c>
      <c r="W59">
        <v>1.989325</v>
      </c>
      <c r="X59">
        <v>2.1605850000000002</v>
      </c>
      <c r="Y59">
        <v>2.3529599999999999</v>
      </c>
      <c r="Z59">
        <v>2.5741770000000002</v>
      </c>
      <c r="AA59">
        <v>2.8250199999999999</v>
      </c>
      <c r="AB59">
        <v>3.1230699999999998</v>
      </c>
      <c r="AC59">
        <v>3.4774289999999999</v>
      </c>
      <c r="AD59">
        <v>3.922498</v>
      </c>
      <c r="AE59">
        <v>4.4694479999999999</v>
      </c>
      <c r="AF59">
        <v>5.2043210000000002</v>
      </c>
      <c r="AG59">
        <v>6.2864370000000003</v>
      </c>
      <c r="AH59">
        <v>7.1351089999999999</v>
      </c>
      <c r="AI59" s="12">
        <v>9.4E-2</v>
      </c>
    </row>
    <row r="60" spans="1:35">
      <c r="A60" t="s">
        <v>95</v>
      </c>
      <c r="B60" t="s">
        <v>528</v>
      </c>
      <c r="C60" t="s">
        <v>529</v>
      </c>
      <c r="D60" t="s">
        <v>118</v>
      </c>
      <c r="F60">
        <v>2.3116999999999999E-2</v>
      </c>
      <c r="G60">
        <v>2.4035000000000001E-2</v>
      </c>
      <c r="H60">
        <v>2.4938999999999999E-2</v>
      </c>
      <c r="I60">
        <v>2.5099E-2</v>
      </c>
      <c r="J60">
        <v>2.5319000000000001E-2</v>
      </c>
      <c r="K60">
        <v>2.5482000000000001E-2</v>
      </c>
      <c r="L60">
        <v>2.5596000000000001E-2</v>
      </c>
      <c r="M60">
        <v>2.5651E-2</v>
      </c>
      <c r="N60">
        <v>2.5658E-2</v>
      </c>
      <c r="O60">
        <v>2.5572999999999999E-2</v>
      </c>
      <c r="P60">
        <v>2.5453E-2</v>
      </c>
      <c r="Q60">
        <v>2.5301000000000001E-2</v>
      </c>
      <c r="R60">
        <v>2.5183000000000001E-2</v>
      </c>
      <c r="S60">
        <v>2.5003000000000001E-2</v>
      </c>
      <c r="T60">
        <v>2.4774000000000001E-2</v>
      </c>
      <c r="U60">
        <v>2.4169E-2</v>
      </c>
      <c r="V60">
        <v>2.3938999999999998E-2</v>
      </c>
      <c r="W60">
        <v>2.3702000000000001E-2</v>
      </c>
      <c r="X60">
        <v>2.3444E-2</v>
      </c>
      <c r="Y60">
        <v>2.3163E-2</v>
      </c>
      <c r="Z60">
        <v>2.2893E-2</v>
      </c>
      <c r="AA60">
        <v>2.2575000000000001E-2</v>
      </c>
      <c r="AB60">
        <v>2.2303E-2</v>
      </c>
      <c r="AC60">
        <v>2.2027000000000001E-2</v>
      </c>
      <c r="AD60">
        <v>2.1822999999999999E-2</v>
      </c>
      <c r="AE60">
        <v>2.1545000000000002E-2</v>
      </c>
      <c r="AF60">
        <v>2.1284000000000001E-2</v>
      </c>
      <c r="AG60">
        <v>2.0996999999999998E-2</v>
      </c>
      <c r="AH60">
        <v>2.0722999999999998E-2</v>
      </c>
      <c r="AI60" s="12">
        <v>-4.0000000000000001E-3</v>
      </c>
    </row>
    <row r="61" spans="1:35">
      <c r="A61" t="s">
        <v>109</v>
      </c>
      <c r="B61" t="s">
        <v>530</v>
      </c>
      <c r="C61" t="s">
        <v>531</v>
      </c>
      <c r="D61" t="s">
        <v>118</v>
      </c>
      <c r="F61">
        <v>26.118862</v>
      </c>
      <c r="G61">
        <v>28.024412000000002</v>
      </c>
      <c r="H61">
        <v>29.477226000000002</v>
      </c>
      <c r="I61">
        <v>30.571621</v>
      </c>
      <c r="J61">
        <v>31.3964</v>
      </c>
      <c r="K61">
        <v>32.010112999999997</v>
      </c>
      <c r="L61">
        <v>32.464531000000001</v>
      </c>
      <c r="M61">
        <v>32.799759000000002</v>
      </c>
      <c r="N61">
        <v>33.046233999999998</v>
      </c>
      <c r="O61">
        <v>33.226050999999998</v>
      </c>
      <c r="P61">
        <v>33.352477999999998</v>
      </c>
      <c r="Q61">
        <v>33.43018</v>
      </c>
      <c r="R61">
        <v>33.466476</v>
      </c>
      <c r="S61">
        <v>33.469250000000002</v>
      </c>
      <c r="T61">
        <v>33.445160000000001</v>
      </c>
      <c r="U61">
        <v>33.397396000000001</v>
      </c>
      <c r="V61">
        <v>33.349758000000001</v>
      </c>
      <c r="W61">
        <v>33.294384000000001</v>
      </c>
      <c r="X61">
        <v>33.234276000000001</v>
      </c>
      <c r="Y61">
        <v>33.167285999999997</v>
      </c>
      <c r="Z61">
        <v>33.096901000000003</v>
      </c>
      <c r="AA61">
        <v>33.025081999999998</v>
      </c>
      <c r="AB61">
        <v>32.951076999999998</v>
      </c>
      <c r="AC61">
        <v>32.875145000000003</v>
      </c>
      <c r="AD61">
        <v>32.799278000000001</v>
      </c>
      <c r="AE61">
        <v>32.723492</v>
      </c>
      <c r="AF61">
        <v>32.646706000000002</v>
      </c>
      <c r="AG61">
        <v>32.569450000000003</v>
      </c>
      <c r="AH61">
        <v>32.494362000000002</v>
      </c>
      <c r="AI61" s="12">
        <v>8.0000000000000002E-3</v>
      </c>
    </row>
    <row r="62" spans="1:35">
      <c r="A62" t="s">
        <v>98</v>
      </c>
      <c r="B62" t="s">
        <v>532</v>
      </c>
      <c r="C62" t="s">
        <v>533</v>
      </c>
      <c r="D62" t="s">
        <v>118</v>
      </c>
      <c r="F62">
        <v>0</v>
      </c>
      <c r="G62">
        <v>0</v>
      </c>
      <c r="H62">
        <v>0</v>
      </c>
      <c r="I62">
        <v>0</v>
      </c>
      <c r="J62">
        <v>0</v>
      </c>
      <c r="K62">
        <v>0</v>
      </c>
      <c r="L62">
        <v>0</v>
      </c>
      <c r="M62">
        <v>0</v>
      </c>
      <c r="N62">
        <v>0</v>
      </c>
      <c r="O62">
        <v>0</v>
      </c>
      <c r="P62">
        <v>0</v>
      </c>
      <c r="Q62">
        <v>0</v>
      </c>
      <c r="R62">
        <v>0</v>
      </c>
      <c r="S62">
        <v>0</v>
      </c>
      <c r="T62">
        <v>0</v>
      </c>
      <c r="U62">
        <v>0</v>
      </c>
      <c r="V62">
        <v>0</v>
      </c>
      <c r="W62">
        <v>0</v>
      </c>
      <c r="X62">
        <v>0</v>
      </c>
      <c r="Y62">
        <v>0</v>
      </c>
      <c r="Z62">
        <v>0</v>
      </c>
      <c r="AA62">
        <v>0</v>
      </c>
      <c r="AB62">
        <v>0</v>
      </c>
      <c r="AC62">
        <v>0</v>
      </c>
      <c r="AD62">
        <v>0</v>
      </c>
      <c r="AE62">
        <v>0</v>
      </c>
      <c r="AF62">
        <v>0</v>
      </c>
      <c r="AG62">
        <v>0</v>
      </c>
      <c r="AH62">
        <v>0</v>
      </c>
      <c r="AI62" t="s">
        <v>6</v>
      </c>
    </row>
    <row r="63" spans="1:35">
      <c r="A63" t="s">
        <v>90</v>
      </c>
      <c r="B63" t="s">
        <v>534</v>
      </c>
      <c r="C63" t="s">
        <v>535</v>
      </c>
      <c r="D63" t="s">
        <v>118</v>
      </c>
      <c r="F63">
        <v>0</v>
      </c>
      <c r="G63">
        <v>0</v>
      </c>
      <c r="H63">
        <v>0</v>
      </c>
      <c r="I63">
        <v>0</v>
      </c>
      <c r="J63">
        <v>0</v>
      </c>
      <c r="K63">
        <v>0</v>
      </c>
      <c r="L63">
        <v>0</v>
      </c>
      <c r="M63">
        <v>0</v>
      </c>
      <c r="N63">
        <v>0</v>
      </c>
      <c r="O63">
        <v>0</v>
      </c>
      <c r="P63">
        <v>0</v>
      </c>
      <c r="Q63">
        <v>0</v>
      </c>
      <c r="R63">
        <v>0</v>
      </c>
      <c r="S63">
        <v>0</v>
      </c>
      <c r="T63">
        <v>0</v>
      </c>
      <c r="U63">
        <v>0</v>
      </c>
      <c r="V63">
        <v>0</v>
      </c>
      <c r="W63">
        <v>0</v>
      </c>
      <c r="X63">
        <v>0</v>
      </c>
      <c r="Y63">
        <v>0</v>
      </c>
      <c r="Z63">
        <v>0</v>
      </c>
      <c r="AA63">
        <v>0</v>
      </c>
      <c r="AB63">
        <v>0</v>
      </c>
      <c r="AC63">
        <v>0</v>
      </c>
      <c r="AD63">
        <v>0</v>
      </c>
      <c r="AE63">
        <v>0</v>
      </c>
      <c r="AF63">
        <v>0</v>
      </c>
      <c r="AG63">
        <v>0</v>
      </c>
      <c r="AH63">
        <v>0</v>
      </c>
      <c r="AI63" t="s">
        <v>6</v>
      </c>
    </row>
    <row r="64" spans="1:35">
      <c r="A64" t="s">
        <v>91</v>
      </c>
      <c r="B64" t="s">
        <v>536</v>
      </c>
      <c r="C64" t="s">
        <v>537</v>
      </c>
      <c r="D64" t="s">
        <v>118</v>
      </c>
      <c r="F64">
        <v>26.118862</v>
      </c>
      <c r="G64">
        <v>28.024412000000002</v>
      </c>
      <c r="H64">
        <v>29.477226000000002</v>
      </c>
      <c r="I64">
        <v>30.571621</v>
      </c>
      <c r="J64">
        <v>31.3964</v>
      </c>
      <c r="K64">
        <v>32.010112999999997</v>
      </c>
      <c r="L64">
        <v>32.464531000000001</v>
      </c>
      <c r="M64">
        <v>32.799759000000002</v>
      </c>
      <c r="N64">
        <v>33.046233999999998</v>
      </c>
      <c r="O64">
        <v>33.226050999999998</v>
      </c>
      <c r="P64">
        <v>33.352477999999998</v>
      </c>
      <c r="Q64">
        <v>33.43018</v>
      </c>
      <c r="R64">
        <v>33.466476</v>
      </c>
      <c r="S64">
        <v>33.469250000000002</v>
      </c>
      <c r="T64">
        <v>33.445160000000001</v>
      </c>
      <c r="U64">
        <v>33.397396000000001</v>
      </c>
      <c r="V64">
        <v>33.349758000000001</v>
      </c>
      <c r="W64">
        <v>33.294384000000001</v>
      </c>
      <c r="X64">
        <v>33.234276000000001</v>
      </c>
      <c r="Y64">
        <v>33.167285999999997</v>
      </c>
      <c r="Z64">
        <v>33.096901000000003</v>
      </c>
      <c r="AA64">
        <v>33.025081999999998</v>
      </c>
      <c r="AB64">
        <v>32.951076999999998</v>
      </c>
      <c r="AC64">
        <v>32.875145000000003</v>
      </c>
      <c r="AD64">
        <v>32.799278000000001</v>
      </c>
      <c r="AE64">
        <v>32.723492</v>
      </c>
      <c r="AF64">
        <v>32.646706000000002</v>
      </c>
      <c r="AG64">
        <v>32.569450000000003</v>
      </c>
      <c r="AH64">
        <v>32.494362000000002</v>
      </c>
      <c r="AI64" s="12">
        <v>8.0000000000000002E-3</v>
      </c>
    </row>
    <row r="65" spans="1:35">
      <c r="A65" t="s">
        <v>92</v>
      </c>
      <c r="B65" t="s">
        <v>538</v>
      </c>
      <c r="C65" t="s">
        <v>539</v>
      </c>
      <c r="D65" t="s">
        <v>118</v>
      </c>
      <c r="F65">
        <v>0</v>
      </c>
      <c r="G65">
        <v>0</v>
      </c>
      <c r="H65">
        <v>0</v>
      </c>
      <c r="I65">
        <v>0</v>
      </c>
      <c r="J65">
        <v>0</v>
      </c>
      <c r="K65">
        <v>0</v>
      </c>
      <c r="L65">
        <v>0</v>
      </c>
      <c r="M65">
        <v>0</v>
      </c>
      <c r="N65">
        <v>0</v>
      </c>
      <c r="O65">
        <v>0</v>
      </c>
      <c r="P65">
        <v>0</v>
      </c>
      <c r="Q65">
        <v>0</v>
      </c>
      <c r="R65">
        <v>0</v>
      </c>
      <c r="S65">
        <v>0</v>
      </c>
      <c r="T65">
        <v>0</v>
      </c>
      <c r="U65">
        <v>0</v>
      </c>
      <c r="V65">
        <v>0</v>
      </c>
      <c r="W65">
        <v>0</v>
      </c>
      <c r="X65">
        <v>0</v>
      </c>
      <c r="Y65">
        <v>0</v>
      </c>
      <c r="Z65">
        <v>0</v>
      </c>
      <c r="AA65">
        <v>0</v>
      </c>
      <c r="AB65">
        <v>0</v>
      </c>
      <c r="AC65">
        <v>0</v>
      </c>
      <c r="AD65">
        <v>0</v>
      </c>
      <c r="AE65">
        <v>0</v>
      </c>
      <c r="AF65">
        <v>0</v>
      </c>
      <c r="AG65">
        <v>0</v>
      </c>
      <c r="AH65">
        <v>0</v>
      </c>
      <c r="AI65" t="s">
        <v>6</v>
      </c>
    </row>
    <row r="66" spans="1:35">
      <c r="A66" t="s">
        <v>93</v>
      </c>
      <c r="B66" t="s">
        <v>540</v>
      </c>
      <c r="C66" t="s">
        <v>541</v>
      </c>
      <c r="D66" t="s">
        <v>118</v>
      </c>
      <c r="F66">
        <v>0</v>
      </c>
      <c r="G66">
        <v>0</v>
      </c>
      <c r="H66">
        <v>0</v>
      </c>
      <c r="I66">
        <v>0</v>
      </c>
      <c r="J66">
        <v>0</v>
      </c>
      <c r="K66">
        <v>0</v>
      </c>
      <c r="L66">
        <v>0</v>
      </c>
      <c r="M66">
        <v>0</v>
      </c>
      <c r="N66">
        <v>0</v>
      </c>
      <c r="O66">
        <v>0</v>
      </c>
      <c r="P66">
        <v>0</v>
      </c>
      <c r="Q66">
        <v>0</v>
      </c>
      <c r="R66">
        <v>0</v>
      </c>
      <c r="S66">
        <v>0</v>
      </c>
      <c r="T66">
        <v>0</v>
      </c>
      <c r="U66">
        <v>0</v>
      </c>
      <c r="V66">
        <v>0</v>
      </c>
      <c r="W66">
        <v>0</v>
      </c>
      <c r="X66">
        <v>0</v>
      </c>
      <c r="Y66">
        <v>0</v>
      </c>
      <c r="Z66">
        <v>0</v>
      </c>
      <c r="AA66">
        <v>0</v>
      </c>
      <c r="AB66">
        <v>0</v>
      </c>
      <c r="AC66">
        <v>0</v>
      </c>
      <c r="AD66">
        <v>0</v>
      </c>
      <c r="AE66">
        <v>0</v>
      </c>
      <c r="AF66">
        <v>0</v>
      </c>
      <c r="AG66">
        <v>0</v>
      </c>
      <c r="AH66">
        <v>0</v>
      </c>
      <c r="AI66" t="s">
        <v>6</v>
      </c>
    </row>
    <row r="67" spans="1:35">
      <c r="A67" t="s">
        <v>94</v>
      </c>
      <c r="B67" t="s">
        <v>542</v>
      </c>
      <c r="C67" t="s">
        <v>543</v>
      </c>
      <c r="D67" t="s">
        <v>118</v>
      </c>
      <c r="F67">
        <v>0</v>
      </c>
      <c r="G67">
        <v>0</v>
      </c>
      <c r="H67">
        <v>0</v>
      </c>
      <c r="I67">
        <v>0</v>
      </c>
      <c r="J67">
        <v>0</v>
      </c>
      <c r="K67">
        <v>0</v>
      </c>
      <c r="L67">
        <v>0</v>
      </c>
      <c r="M67">
        <v>0</v>
      </c>
      <c r="N67">
        <v>0</v>
      </c>
      <c r="O67">
        <v>0</v>
      </c>
      <c r="P67">
        <v>0</v>
      </c>
      <c r="Q67">
        <v>0</v>
      </c>
      <c r="R67">
        <v>0</v>
      </c>
      <c r="S67">
        <v>0</v>
      </c>
      <c r="T67">
        <v>0</v>
      </c>
      <c r="U67">
        <v>0</v>
      </c>
      <c r="V67">
        <v>0</v>
      </c>
      <c r="W67">
        <v>0</v>
      </c>
      <c r="X67">
        <v>0</v>
      </c>
      <c r="Y67">
        <v>0</v>
      </c>
      <c r="Z67">
        <v>0</v>
      </c>
      <c r="AA67">
        <v>0</v>
      </c>
      <c r="AB67">
        <v>0</v>
      </c>
      <c r="AC67">
        <v>0</v>
      </c>
      <c r="AD67">
        <v>0</v>
      </c>
      <c r="AE67">
        <v>0</v>
      </c>
      <c r="AF67">
        <v>0</v>
      </c>
      <c r="AG67">
        <v>0</v>
      </c>
      <c r="AH67">
        <v>0</v>
      </c>
      <c r="AI67" t="s">
        <v>6</v>
      </c>
    </row>
    <row r="68" spans="1:35">
      <c r="A68" t="s">
        <v>95</v>
      </c>
      <c r="B68" t="s">
        <v>544</v>
      </c>
      <c r="C68" t="s">
        <v>545</v>
      </c>
      <c r="D68" t="s">
        <v>118</v>
      </c>
      <c r="F68">
        <v>0</v>
      </c>
      <c r="G68">
        <v>0</v>
      </c>
      <c r="H68">
        <v>0</v>
      </c>
      <c r="I68">
        <v>0</v>
      </c>
      <c r="J68">
        <v>0</v>
      </c>
      <c r="K68">
        <v>0</v>
      </c>
      <c r="L68">
        <v>0</v>
      </c>
      <c r="M68">
        <v>0</v>
      </c>
      <c r="N68">
        <v>0</v>
      </c>
      <c r="O68">
        <v>0</v>
      </c>
      <c r="P68">
        <v>0</v>
      </c>
      <c r="Q68">
        <v>0</v>
      </c>
      <c r="R68">
        <v>0</v>
      </c>
      <c r="S68">
        <v>0</v>
      </c>
      <c r="T68">
        <v>0</v>
      </c>
      <c r="U68">
        <v>0</v>
      </c>
      <c r="V68">
        <v>0</v>
      </c>
      <c r="W68">
        <v>0</v>
      </c>
      <c r="X68">
        <v>0</v>
      </c>
      <c r="Y68">
        <v>0</v>
      </c>
      <c r="Z68">
        <v>0</v>
      </c>
      <c r="AA68">
        <v>0</v>
      </c>
      <c r="AB68">
        <v>0</v>
      </c>
      <c r="AC68">
        <v>0</v>
      </c>
      <c r="AD68">
        <v>0</v>
      </c>
      <c r="AE68">
        <v>0</v>
      </c>
      <c r="AF68">
        <v>0</v>
      </c>
      <c r="AG68">
        <v>0</v>
      </c>
      <c r="AH68">
        <v>0</v>
      </c>
      <c r="AI68" t="s">
        <v>6</v>
      </c>
    </row>
    <row r="69" spans="1:35">
      <c r="A69" t="s">
        <v>110</v>
      </c>
      <c r="B69" t="s">
        <v>546</v>
      </c>
      <c r="C69" t="s">
        <v>547</v>
      </c>
      <c r="D69" t="s">
        <v>118</v>
      </c>
      <c r="F69">
        <v>93.831894000000005</v>
      </c>
      <c r="G69">
        <v>98.450194999999994</v>
      </c>
      <c r="H69">
        <v>99.158546000000001</v>
      </c>
      <c r="I69">
        <v>98.571014000000005</v>
      </c>
      <c r="J69">
        <v>97.556511</v>
      </c>
      <c r="K69">
        <v>96.613395999999995</v>
      </c>
      <c r="L69">
        <v>95.691032000000007</v>
      </c>
      <c r="M69">
        <v>94.739861000000005</v>
      </c>
      <c r="N69">
        <v>93.777550000000005</v>
      </c>
      <c r="O69">
        <v>92.791618</v>
      </c>
      <c r="P69">
        <v>91.866196000000002</v>
      </c>
      <c r="Q69">
        <v>91.598052999999993</v>
      </c>
      <c r="R69">
        <v>91.112289000000004</v>
      </c>
      <c r="S69">
        <v>90.708870000000005</v>
      </c>
      <c r="T69">
        <v>90.372649999999993</v>
      </c>
      <c r="U69">
        <v>90.121039999999994</v>
      </c>
      <c r="V69">
        <v>89.542336000000006</v>
      </c>
      <c r="W69">
        <v>88.885452000000001</v>
      </c>
      <c r="X69">
        <v>88.194603000000001</v>
      </c>
      <c r="Y69">
        <v>87.485648999999995</v>
      </c>
      <c r="Z69">
        <v>86.702445999999995</v>
      </c>
      <c r="AA69">
        <v>85.868294000000006</v>
      </c>
      <c r="AB69">
        <v>84.998230000000007</v>
      </c>
      <c r="AC69">
        <v>84.089134000000001</v>
      </c>
      <c r="AD69">
        <v>83.076744000000005</v>
      </c>
      <c r="AE69">
        <v>82.045021000000006</v>
      </c>
      <c r="AF69">
        <v>80.986785999999995</v>
      </c>
      <c r="AG69">
        <v>79.893326000000002</v>
      </c>
      <c r="AH69">
        <v>78.783607000000003</v>
      </c>
      <c r="AI69" s="12">
        <v>-6.0000000000000001E-3</v>
      </c>
    </row>
    <row r="70" spans="1:35">
      <c r="A70" t="s">
        <v>98</v>
      </c>
      <c r="B70" t="s">
        <v>548</v>
      </c>
      <c r="C70" t="s">
        <v>549</v>
      </c>
      <c r="D70" t="s">
        <v>118</v>
      </c>
      <c r="F70">
        <v>9.4941010000000006</v>
      </c>
      <c r="G70">
        <v>9.9847319999999993</v>
      </c>
      <c r="H70">
        <v>10.080206</v>
      </c>
      <c r="I70">
        <v>10.044081</v>
      </c>
      <c r="J70">
        <v>9.9641859999999998</v>
      </c>
      <c r="K70">
        <v>9.8772070000000003</v>
      </c>
      <c r="L70">
        <v>9.7906929999999992</v>
      </c>
      <c r="M70">
        <v>9.7035470000000004</v>
      </c>
      <c r="N70">
        <v>9.6156869999999994</v>
      </c>
      <c r="O70">
        <v>9.5264279999999992</v>
      </c>
      <c r="P70">
        <v>9.4439309999999992</v>
      </c>
      <c r="Q70">
        <v>9.3760180000000002</v>
      </c>
      <c r="R70">
        <v>9.3193699999999993</v>
      </c>
      <c r="S70">
        <v>9.2722660000000001</v>
      </c>
      <c r="T70">
        <v>9.2344460000000002</v>
      </c>
      <c r="U70">
        <v>9.2065929999999998</v>
      </c>
      <c r="V70">
        <v>9.1597399999999993</v>
      </c>
      <c r="W70">
        <v>9.1076730000000001</v>
      </c>
      <c r="X70">
        <v>9.0532129999999995</v>
      </c>
      <c r="Y70">
        <v>8.9974880000000006</v>
      </c>
      <c r="Z70">
        <v>8.9384180000000004</v>
      </c>
      <c r="AA70">
        <v>8.8755819999999996</v>
      </c>
      <c r="AB70">
        <v>8.8098559999999999</v>
      </c>
      <c r="AC70">
        <v>8.7419480000000007</v>
      </c>
      <c r="AD70">
        <v>8.6711120000000008</v>
      </c>
      <c r="AE70">
        <v>8.599361</v>
      </c>
      <c r="AF70">
        <v>8.5273749999999993</v>
      </c>
      <c r="AG70">
        <v>8.4545519999999996</v>
      </c>
      <c r="AH70">
        <v>8.3815580000000001</v>
      </c>
      <c r="AI70" s="12">
        <v>-4.0000000000000001E-3</v>
      </c>
    </row>
    <row r="71" spans="1:35">
      <c r="A71" t="s">
        <v>90</v>
      </c>
      <c r="B71" t="s">
        <v>550</v>
      </c>
      <c r="C71" t="s">
        <v>551</v>
      </c>
      <c r="D71" t="s">
        <v>118</v>
      </c>
      <c r="F71">
        <v>0</v>
      </c>
      <c r="G71">
        <v>0</v>
      </c>
      <c r="H71">
        <v>0</v>
      </c>
      <c r="I71">
        <v>0</v>
      </c>
      <c r="J71">
        <v>0</v>
      </c>
      <c r="K71">
        <v>0</v>
      </c>
      <c r="L71">
        <v>0</v>
      </c>
      <c r="M71">
        <v>0</v>
      </c>
      <c r="N71">
        <v>0</v>
      </c>
      <c r="O71">
        <v>0</v>
      </c>
      <c r="P71">
        <v>0</v>
      </c>
      <c r="Q71">
        <v>0</v>
      </c>
      <c r="R71">
        <v>0</v>
      </c>
      <c r="S71">
        <v>0</v>
      </c>
      <c r="T71">
        <v>0</v>
      </c>
      <c r="U71">
        <v>0</v>
      </c>
      <c r="V71">
        <v>0</v>
      </c>
      <c r="W71">
        <v>0</v>
      </c>
      <c r="X71">
        <v>0</v>
      </c>
      <c r="Y71">
        <v>0</v>
      </c>
      <c r="Z71">
        <v>0</v>
      </c>
      <c r="AA71">
        <v>0</v>
      </c>
      <c r="AB71">
        <v>0</v>
      </c>
      <c r="AC71">
        <v>0</v>
      </c>
      <c r="AD71">
        <v>0</v>
      </c>
      <c r="AE71">
        <v>0</v>
      </c>
      <c r="AF71">
        <v>0</v>
      </c>
      <c r="AG71">
        <v>0</v>
      </c>
      <c r="AH71">
        <v>0</v>
      </c>
      <c r="AI71" t="s">
        <v>6</v>
      </c>
    </row>
    <row r="72" spans="1:35">
      <c r="A72" t="s">
        <v>91</v>
      </c>
      <c r="B72" t="s">
        <v>552</v>
      </c>
      <c r="C72" t="s">
        <v>553</v>
      </c>
      <c r="D72" t="s">
        <v>118</v>
      </c>
      <c r="F72">
        <v>75.219893999999996</v>
      </c>
      <c r="G72">
        <v>78.605819999999994</v>
      </c>
      <c r="H72">
        <v>78.857498000000007</v>
      </c>
      <c r="I72">
        <v>78.076453999999998</v>
      </c>
      <c r="J72">
        <v>76.964111000000003</v>
      </c>
      <c r="K72">
        <v>76.079750000000004</v>
      </c>
      <c r="L72">
        <v>75.233322000000001</v>
      </c>
      <c r="M72">
        <v>74.338866999999993</v>
      </c>
      <c r="N72">
        <v>73.430572999999995</v>
      </c>
      <c r="O72">
        <v>72.491912999999997</v>
      </c>
      <c r="P72">
        <v>71.594031999999999</v>
      </c>
      <c r="Q72">
        <v>71.837708000000006</v>
      </c>
      <c r="R72">
        <v>71.512496999999996</v>
      </c>
      <c r="S72">
        <v>71.239052000000001</v>
      </c>
      <c r="T72">
        <v>70.989593999999997</v>
      </c>
      <c r="U72">
        <v>70.790924000000004</v>
      </c>
      <c r="V72">
        <v>70.163764999999998</v>
      </c>
      <c r="W72">
        <v>69.442642000000006</v>
      </c>
      <c r="X72">
        <v>68.681884999999994</v>
      </c>
      <c r="Y72">
        <v>67.900276000000005</v>
      </c>
      <c r="Z72">
        <v>67.010056000000006</v>
      </c>
      <c r="AA72">
        <v>66.063095000000004</v>
      </c>
      <c r="AB72">
        <v>65.078491</v>
      </c>
      <c r="AC72">
        <v>64.041968999999995</v>
      </c>
      <c r="AD72">
        <v>62.83419</v>
      </c>
      <c r="AE72">
        <v>61.602939999999997</v>
      </c>
      <c r="AF72">
        <v>60.321541000000003</v>
      </c>
      <c r="AG72">
        <v>58.979691000000003</v>
      </c>
      <c r="AH72">
        <v>57.607379999999999</v>
      </c>
      <c r="AI72" s="12">
        <v>-8.9999999999999993E-3</v>
      </c>
    </row>
    <row r="73" spans="1:35">
      <c r="A73" t="s">
        <v>92</v>
      </c>
      <c r="B73" t="s">
        <v>554</v>
      </c>
      <c r="C73" t="s">
        <v>555</v>
      </c>
      <c r="D73" t="s">
        <v>118</v>
      </c>
      <c r="F73">
        <v>0.92408599999999996</v>
      </c>
      <c r="G73">
        <v>1.0108280000000001</v>
      </c>
      <c r="H73">
        <v>1.0536110000000001</v>
      </c>
      <c r="I73">
        <v>1.083197</v>
      </c>
      <c r="J73">
        <v>1.1043369999999999</v>
      </c>
      <c r="K73">
        <v>1.1235299999999999</v>
      </c>
      <c r="L73">
        <v>1.1408499999999999</v>
      </c>
      <c r="M73">
        <v>1.1560729999999999</v>
      </c>
      <c r="N73">
        <v>1.171249</v>
      </c>
      <c r="O73">
        <v>1.185954</v>
      </c>
      <c r="P73">
        <v>1.2014899999999999</v>
      </c>
      <c r="Q73">
        <v>1.2187190000000001</v>
      </c>
      <c r="R73">
        <v>1.237236</v>
      </c>
      <c r="S73">
        <v>1.256583</v>
      </c>
      <c r="T73">
        <v>1.277304</v>
      </c>
      <c r="U73">
        <v>1.299385</v>
      </c>
      <c r="V73">
        <v>1.318905</v>
      </c>
      <c r="W73">
        <v>1.3373429999999999</v>
      </c>
      <c r="X73">
        <v>1.355548</v>
      </c>
      <c r="Y73">
        <v>1.373292</v>
      </c>
      <c r="Z73">
        <v>1.390433</v>
      </c>
      <c r="AA73">
        <v>1.4067000000000001</v>
      </c>
      <c r="AB73">
        <v>1.4226700000000001</v>
      </c>
      <c r="AC73">
        <v>1.4381809999999999</v>
      </c>
      <c r="AD73">
        <v>1.4527399999999999</v>
      </c>
      <c r="AE73">
        <v>1.4629570000000001</v>
      </c>
      <c r="AF73">
        <v>1.4730529999999999</v>
      </c>
      <c r="AG73">
        <v>1.482996</v>
      </c>
      <c r="AH73">
        <v>1.4928939999999999</v>
      </c>
      <c r="AI73" s="12">
        <v>1.7000000000000001E-2</v>
      </c>
    </row>
    <row r="74" spans="1:35">
      <c r="A74" t="s">
        <v>93</v>
      </c>
      <c r="B74" t="s">
        <v>556</v>
      </c>
      <c r="C74" t="s">
        <v>557</v>
      </c>
      <c r="D74" t="s">
        <v>118</v>
      </c>
      <c r="F74">
        <v>7.6215450000000002</v>
      </c>
      <c r="G74">
        <v>8.0154069999999997</v>
      </c>
      <c r="H74">
        <v>8.0920509999999997</v>
      </c>
      <c r="I74">
        <v>8.0630500000000005</v>
      </c>
      <c r="J74">
        <v>7.9989129999999999</v>
      </c>
      <c r="K74">
        <v>7.9290890000000003</v>
      </c>
      <c r="L74">
        <v>7.8596399999999997</v>
      </c>
      <c r="M74">
        <v>7.7896799999999997</v>
      </c>
      <c r="N74">
        <v>7.71915</v>
      </c>
      <c r="O74">
        <v>7.6474950000000002</v>
      </c>
      <c r="P74">
        <v>7.5812689999999998</v>
      </c>
      <c r="Q74">
        <v>7.5267520000000001</v>
      </c>
      <c r="R74">
        <v>7.4812770000000004</v>
      </c>
      <c r="S74">
        <v>7.4434630000000004</v>
      </c>
      <c r="T74">
        <v>7.4131020000000003</v>
      </c>
      <c r="U74">
        <v>7.3907420000000004</v>
      </c>
      <c r="V74">
        <v>7.3531319999999996</v>
      </c>
      <c r="W74">
        <v>7.3113330000000003</v>
      </c>
      <c r="X74">
        <v>7.2676160000000003</v>
      </c>
      <c r="Y74">
        <v>7.22288</v>
      </c>
      <c r="Z74">
        <v>7.1754610000000003</v>
      </c>
      <c r="AA74">
        <v>7.125019</v>
      </c>
      <c r="AB74">
        <v>7.0722560000000003</v>
      </c>
      <c r="AC74">
        <v>7.017741</v>
      </c>
      <c r="AD74">
        <v>6.960877</v>
      </c>
      <c r="AE74">
        <v>6.9032780000000002</v>
      </c>
      <c r="AF74">
        <v>6.8454899999999999</v>
      </c>
      <c r="AG74">
        <v>6.7870299999999997</v>
      </c>
      <c r="AH74">
        <v>6.7284329999999999</v>
      </c>
      <c r="AI74" s="12">
        <v>-4.0000000000000001E-3</v>
      </c>
    </row>
    <row r="75" spans="1:35">
      <c r="A75" t="s">
        <v>94</v>
      </c>
      <c r="B75" t="s">
        <v>558</v>
      </c>
      <c r="C75" t="s">
        <v>559</v>
      </c>
      <c r="D75" t="s">
        <v>118</v>
      </c>
      <c r="F75">
        <v>0.57226500000000002</v>
      </c>
      <c r="G75">
        <v>0.83341600000000005</v>
      </c>
      <c r="H75">
        <v>1.075178</v>
      </c>
      <c r="I75">
        <v>1.30423</v>
      </c>
      <c r="J75">
        <v>1.524958</v>
      </c>
      <c r="K75">
        <v>1.603828</v>
      </c>
      <c r="L75">
        <v>1.6665300000000001</v>
      </c>
      <c r="M75">
        <v>1.7516910000000001</v>
      </c>
      <c r="N75">
        <v>1.8409</v>
      </c>
      <c r="O75">
        <v>1.9398230000000001</v>
      </c>
      <c r="P75">
        <v>2.045474</v>
      </c>
      <c r="Q75">
        <v>1.638865</v>
      </c>
      <c r="R75">
        <v>1.561909</v>
      </c>
      <c r="S75">
        <v>1.4974970000000001</v>
      </c>
      <c r="T75">
        <v>1.458207</v>
      </c>
      <c r="U75">
        <v>1.4334020000000001</v>
      </c>
      <c r="V75">
        <v>1.546791</v>
      </c>
      <c r="W75">
        <v>1.686464</v>
      </c>
      <c r="X75">
        <v>1.8363419999999999</v>
      </c>
      <c r="Y75">
        <v>1.9917119999999999</v>
      </c>
      <c r="Z75">
        <v>2.1880760000000001</v>
      </c>
      <c r="AA75">
        <v>2.3979050000000002</v>
      </c>
      <c r="AB75">
        <v>2.6149490000000002</v>
      </c>
      <c r="AC75">
        <v>2.8492980000000001</v>
      </c>
      <c r="AD75">
        <v>3.1578240000000002</v>
      </c>
      <c r="AE75">
        <v>3.4764889999999999</v>
      </c>
      <c r="AF75">
        <v>3.8193260000000002</v>
      </c>
      <c r="AG75">
        <v>4.1890539999999996</v>
      </c>
      <c r="AH75">
        <v>4.5733420000000002</v>
      </c>
      <c r="AI75" s="12">
        <v>7.6999999999999999E-2</v>
      </c>
    </row>
    <row r="76" spans="1:35">
      <c r="A76" t="s">
        <v>95</v>
      </c>
      <c r="B76" t="s">
        <v>560</v>
      </c>
      <c r="C76" t="s">
        <v>561</v>
      </c>
      <c r="D76" t="s">
        <v>118</v>
      </c>
      <c r="F76">
        <v>0</v>
      </c>
      <c r="G76">
        <v>0</v>
      </c>
      <c r="H76">
        <v>0</v>
      </c>
      <c r="I76">
        <v>0</v>
      </c>
      <c r="J76">
        <v>0</v>
      </c>
      <c r="K76">
        <v>0</v>
      </c>
      <c r="L76">
        <v>0</v>
      </c>
      <c r="M76">
        <v>0</v>
      </c>
      <c r="N76">
        <v>0</v>
      </c>
      <c r="O76">
        <v>0</v>
      </c>
      <c r="P76">
        <v>0</v>
      </c>
      <c r="Q76">
        <v>0</v>
      </c>
      <c r="R76">
        <v>0</v>
      </c>
      <c r="S76">
        <v>0</v>
      </c>
      <c r="T76">
        <v>0</v>
      </c>
      <c r="U76">
        <v>0</v>
      </c>
      <c r="V76">
        <v>0</v>
      </c>
      <c r="W76">
        <v>0</v>
      </c>
      <c r="X76">
        <v>0</v>
      </c>
      <c r="Y76">
        <v>0</v>
      </c>
      <c r="Z76">
        <v>0</v>
      </c>
      <c r="AA76">
        <v>0</v>
      </c>
      <c r="AB76">
        <v>0</v>
      </c>
      <c r="AC76">
        <v>0</v>
      </c>
      <c r="AD76">
        <v>0</v>
      </c>
      <c r="AE76">
        <v>0</v>
      </c>
      <c r="AF76">
        <v>0</v>
      </c>
      <c r="AG76">
        <v>0</v>
      </c>
      <c r="AH76">
        <v>0</v>
      </c>
      <c r="AI76" t="s">
        <v>6</v>
      </c>
    </row>
    <row r="77" spans="1:35">
      <c r="A77" t="s">
        <v>7</v>
      </c>
      <c r="B77" t="s">
        <v>562</v>
      </c>
      <c r="C77" t="s">
        <v>563</v>
      </c>
      <c r="D77" t="s">
        <v>118</v>
      </c>
      <c r="F77">
        <v>43.913421999999997</v>
      </c>
      <c r="G77">
        <v>45.563988000000002</v>
      </c>
      <c r="H77">
        <v>46.540951</v>
      </c>
      <c r="I77">
        <v>47.205399</v>
      </c>
      <c r="J77">
        <v>47.900013000000001</v>
      </c>
      <c r="K77">
        <v>48.570526000000001</v>
      </c>
      <c r="L77">
        <v>49.132919000000001</v>
      </c>
      <c r="M77">
        <v>49.707282999999997</v>
      </c>
      <c r="N77">
        <v>50.150032000000003</v>
      </c>
      <c r="O77">
        <v>50.598678999999997</v>
      </c>
      <c r="P77">
        <v>51.139499999999998</v>
      </c>
      <c r="Q77">
        <v>51.726661999999997</v>
      </c>
      <c r="R77">
        <v>52.369225</v>
      </c>
      <c r="S77">
        <v>52.923794000000001</v>
      </c>
      <c r="T77">
        <v>53.456974000000002</v>
      </c>
      <c r="U77">
        <v>53.972693999999997</v>
      </c>
      <c r="V77">
        <v>54.509743</v>
      </c>
      <c r="W77">
        <v>55.033695000000002</v>
      </c>
      <c r="X77">
        <v>55.626582999999997</v>
      </c>
      <c r="Y77">
        <v>56.181145000000001</v>
      </c>
      <c r="Z77">
        <v>56.753779999999999</v>
      </c>
      <c r="AA77">
        <v>57.257598999999999</v>
      </c>
      <c r="AB77">
        <v>57.815627999999997</v>
      </c>
      <c r="AC77">
        <v>58.366591999999997</v>
      </c>
      <c r="AD77">
        <v>59.116034999999997</v>
      </c>
      <c r="AE77">
        <v>59.751427</v>
      </c>
      <c r="AF77">
        <v>60.444682999999998</v>
      </c>
      <c r="AG77">
        <v>61.080703999999997</v>
      </c>
      <c r="AH77">
        <v>61.848125000000003</v>
      </c>
      <c r="AI77" s="12">
        <v>1.2E-2</v>
      </c>
    </row>
    <row r="78" spans="1:35">
      <c r="A78" t="s">
        <v>111</v>
      </c>
      <c r="B78" t="s">
        <v>564</v>
      </c>
      <c r="C78" t="s">
        <v>565</v>
      </c>
      <c r="D78" t="s">
        <v>118</v>
      </c>
      <c r="F78">
        <v>7.5946369999999996</v>
      </c>
      <c r="G78">
        <v>8.2708110000000001</v>
      </c>
      <c r="H78">
        <v>8.8117520000000003</v>
      </c>
      <c r="I78">
        <v>9.2425239999999995</v>
      </c>
      <c r="J78">
        <v>9.5890699999999995</v>
      </c>
      <c r="K78">
        <v>9.8712160000000004</v>
      </c>
      <c r="L78">
        <v>10.105147000000001</v>
      </c>
      <c r="M78">
        <v>10.303372</v>
      </c>
      <c r="N78">
        <v>10.475068</v>
      </c>
      <c r="O78">
        <v>10.626023999999999</v>
      </c>
      <c r="P78">
        <v>10.758953999999999</v>
      </c>
      <c r="Q78">
        <v>10.875567999999999</v>
      </c>
      <c r="R78">
        <v>10.979032999999999</v>
      </c>
      <c r="S78">
        <v>11.071654000000001</v>
      </c>
      <c r="T78">
        <v>11.154877000000001</v>
      </c>
      <c r="U78">
        <v>11.229654999999999</v>
      </c>
      <c r="V78">
        <v>11.304667</v>
      </c>
      <c r="W78">
        <v>11.377219</v>
      </c>
      <c r="X78">
        <v>11.447278000000001</v>
      </c>
      <c r="Y78">
        <v>11.515231999999999</v>
      </c>
      <c r="Z78">
        <v>11.582255999999999</v>
      </c>
      <c r="AA78">
        <v>11.648866999999999</v>
      </c>
      <c r="AB78">
        <v>11.715138</v>
      </c>
      <c r="AC78">
        <v>11.781057000000001</v>
      </c>
      <c r="AD78">
        <v>11.847011999999999</v>
      </c>
      <c r="AE78">
        <v>11.912785</v>
      </c>
      <c r="AF78">
        <v>11.978335</v>
      </c>
      <c r="AG78">
        <v>12.043905000000001</v>
      </c>
      <c r="AH78">
        <v>12.109465</v>
      </c>
      <c r="AI78" s="12">
        <v>1.7000000000000001E-2</v>
      </c>
    </row>
    <row r="79" spans="1:35">
      <c r="A79" t="s">
        <v>94</v>
      </c>
      <c r="B79" t="s">
        <v>566</v>
      </c>
      <c r="C79" t="s">
        <v>567</v>
      </c>
      <c r="D79" t="s">
        <v>118</v>
      </c>
      <c r="F79">
        <v>0.923149</v>
      </c>
      <c r="G79">
        <v>1.0053399999999999</v>
      </c>
      <c r="H79">
        <v>1.0710919999999999</v>
      </c>
      <c r="I79">
        <v>1.123454</v>
      </c>
      <c r="J79">
        <v>1.165578</v>
      </c>
      <c r="K79">
        <v>1.199873</v>
      </c>
      <c r="L79">
        <v>1.228308</v>
      </c>
      <c r="M79">
        <v>1.2524029999999999</v>
      </c>
      <c r="N79">
        <v>1.2732730000000001</v>
      </c>
      <c r="O79">
        <v>1.291622</v>
      </c>
      <c r="P79">
        <v>1.3077799999999999</v>
      </c>
      <c r="Q79">
        <v>1.321955</v>
      </c>
      <c r="R79">
        <v>1.3345309999999999</v>
      </c>
      <c r="S79">
        <v>1.34579</v>
      </c>
      <c r="T79">
        <v>1.3559060000000001</v>
      </c>
      <c r="U79">
        <v>1.364995</v>
      </c>
      <c r="V79">
        <v>1.3741129999999999</v>
      </c>
      <c r="W79">
        <v>1.3829320000000001</v>
      </c>
      <c r="X79">
        <v>1.391448</v>
      </c>
      <c r="Y79">
        <v>1.399708</v>
      </c>
      <c r="Z79">
        <v>1.4078550000000001</v>
      </c>
      <c r="AA79">
        <v>1.4159520000000001</v>
      </c>
      <c r="AB79">
        <v>1.4240060000000001</v>
      </c>
      <c r="AC79">
        <v>1.4320189999999999</v>
      </c>
      <c r="AD79">
        <v>1.440037</v>
      </c>
      <c r="AE79">
        <v>1.4480310000000001</v>
      </c>
      <c r="AF79">
        <v>1.455999</v>
      </c>
      <c r="AG79">
        <v>1.4639690000000001</v>
      </c>
      <c r="AH79">
        <v>1.471938</v>
      </c>
      <c r="AI79" s="12">
        <v>1.7000000000000001E-2</v>
      </c>
    </row>
    <row r="80" spans="1:35">
      <c r="A80" t="s">
        <v>112</v>
      </c>
      <c r="B80" t="s">
        <v>568</v>
      </c>
      <c r="C80" t="s">
        <v>569</v>
      </c>
      <c r="D80" t="s">
        <v>118</v>
      </c>
      <c r="F80">
        <v>6.6714880000000001</v>
      </c>
      <c r="G80">
        <v>7.2654709999999998</v>
      </c>
      <c r="H80">
        <v>7.7406600000000001</v>
      </c>
      <c r="I80">
        <v>8.1190700000000007</v>
      </c>
      <c r="J80">
        <v>8.4234919999999995</v>
      </c>
      <c r="K80">
        <v>8.6713430000000002</v>
      </c>
      <c r="L80">
        <v>8.8768399999999996</v>
      </c>
      <c r="M80">
        <v>9.0509690000000003</v>
      </c>
      <c r="N80">
        <v>9.2017959999999999</v>
      </c>
      <c r="O80">
        <v>9.3344020000000008</v>
      </c>
      <c r="P80">
        <v>9.451174</v>
      </c>
      <c r="Q80">
        <v>9.5536139999999996</v>
      </c>
      <c r="R80">
        <v>9.6445030000000003</v>
      </c>
      <c r="S80">
        <v>9.7258639999999996</v>
      </c>
      <c r="T80">
        <v>9.7989709999999999</v>
      </c>
      <c r="U80">
        <v>9.8646600000000007</v>
      </c>
      <c r="V80">
        <v>9.9305540000000008</v>
      </c>
      <c r="W80">
        <v>9.9942869999999999</v>
      </c>
      <c r="X80">
        <v>10.05583</v>
      </c>
      <c r="Y80">
        <v>10.115524000000001</v>
      </c>
      <c r="Z80">
        <v>10.174401</v>
      </c>
      <c r="AA80">
        <v>10.232915</v>
      </c>
      <c r="AB80">
        <v>10.291131999999999</v>
      </c>
      <c r="AC80">
        <v>10.349038</v>
      </c>
      <c r="AD80">
        <v>10.406974999999999</v>
      </c>
      <c r="AE80">
        <v>10.464753</v>
      </c>
      <c r="AF80">
        <v>10.522335999999999</v>
      </c>
      <c r="AG80">
        <v>10.579936</v>
      </c>
      <c r="AH80">
        <v>10.637527</v>
      </c>
      <c r="AI80" s="12">
        <v>1.7000000000000001E-2</v>
      </c>
    </row>
    <row r="81" spans="1:35">
      <c r="A81" t="s">
        <v>101</v>
      </c>
      <c r="B81" t="s">
        <v>570</v>
      </c>
      <c r="C81" t="s">
        <v>571</v>
      </c>
      <c r="D81" t="s">
        <v>118</v>
      </c>
      <c r="F81">
        <v>0</v>
      </c>
      <c r="G81">
        <v>0</v>
      </c>
      <c r="H81">
        <v>0</v>
      </c>
      <c r="I81">
        <v>0</v>
      </c>
      <c r="J81">
        <v>0</v>
      </c>
      <c r="K81">
        <v>0</v>
      </c>
      <c r="L81">
        <v>0</v>
      </c>
      <c r="M81">
        <v>0</v>
      </c>
      <c r="N81">
        <v>0</v>
      </c>
      <c r="O81">
        <v>0</v>
      </c>
      <c r="P81">
        <v>0</v>
      </c>
      <c r="Q81">
        <v>0</v>
      </c>
      <c r="R81">
        <v>0</v>
      </c>
      <c r="S81">
        <v>0</v>
      </c>
      <c r="T81">
        <v>0</v>
      </c>
      <c r="U81">
        <v>0</v>
      </c>
      <c r="V81">
        <v>0</v>
      </c>
      <c r="W81">
        <v>0</v>
      </c>
      <c r="X81">
        <v>0</v>
      </c>
      <c r="Y81">
        <v>0</v>
      </c>
      <c r="Z81">
        <v>0</v>
      </c>
      <c r="AA81">
        <v>0</v>
      </c>
      <c r="AB81">
        <v>0</v>
      </c>
      <c r="AC81">
        <v>0</v>
      </c>
      <c r="AD81">
        <v>0</v>
      </c>
      <c r="AE81">
        <v>0</v>
      </c>
      <c r="AF81">
        <v>0</v>
      </c>
      <c r="AG81">
        <v>0</v>
      </c>
      <c r="AH81">
        <v>0</v>
      </c>
      <c r="AI81" t="s">
        <v>6</v>
      </c>
    </row>
    <row r="82" spans="1:35">
      <c r="A82" t="s">
        <v>102</v>
      </c>
      <c r="B82" t="s">
        <v>572</v>
      </c>
      <c r="C82" t="s">
        <v>573</v>
      </c>
      <c r="D82" t="s">
        <v>118</v>
      </c>
      <c r="F82">
        <v>0</v>
      </c>
      <c r="G82">
        <v>0</v>
      </c>
      <c r="H82">
        <v>0</v>
      </c>
      <c r="I82">
        <v>0</v>
      </c>
      <c r="J82">
        <v>0</v>
      </c>
      <c r="K82">
        <v>0</v>
      </c>
      <c r="L82">
        <v>0</v>
      </c>
      <c r="M82">
        <v>0</v>
      </c>
      <c r="N82">
        <v>0</v>
      </c>
      <c r="O82">
        <v>0</v>
      </c>
      <c r="P82">
        <v>0</v>
      </c>
      <c r="Q82">
        <v>0</v>
      </c>
      <c r="R82">
        <v>0</v>
      </c>
      <c r="S82">
        <v>0</v>
      </c>
      <c r="T82">
        <v>0</v>
      </c>
      <c r="U82">
        <v>0</v>
      </c>
      <c r="V82">
        <v>0</v>
      </c>
      <c r="W82">
        <v>0</v>
      </c>
      <c r="X82">
        <v>0</v>
      </c>
      <c r="Y82">
        <v>0</v>
      </c>
      <c r="Z82">
        <v>0</v>
      </c>
      <c r="AA82">
        <v>0</v>
      </c>
      <c r="AB82">
        <v>0</v>
      </c>
      <c r="AC82">
        <v>0</v>
      </c>
      <c r="AD82">
        <v>0</v>
      </c>
      <c r="AE82">
        <v>0</v>
      </c>
      <c r="AF82">
        <v>0</v>
      </c>
      <c r="AG82">
        <v>0</v>
      </c>
      <c r="AH82">
        <v>0</v>
      </c>
      <c r="AI82" t="s">
        <v>6</v>
      </c>
    </row>
    <row r="83" spans="1:35">
      <c r="A83" t="s">
        <v>113</v>
      </c>
      <c r="B83" t="s">
        <v>574</v>
      </c>
      <c r="C83" t="s">
        <v>575</v>
      </c>
      <c r="D83" t="s">
        <v>118</v>
      </c>
      <c r="F83">
        <v>17.032639</v>
      </c>
      <c r="G83">
        <v>17.333525000000002</v>
      </c>
      <c r="H83">
        <v>17.471111000000001</v>
      </c>
      <c r="I83">
        <v>17.514868</v>
      </c>
      <c r="J83">
        <v>17.667708999999999</v>
      </c>
      <c r="K83">
        <v>17.921016999999999</v>
      </c>
      <c r="L83">
        <v>18.139037999999999</v>
      </c>
      <c r="M83">
        <v>18.293453</v>
      </c>
      <c r="N83">
        <v>18.389309000000001</v>
      </c>
      <c r="O83">
        <v>18.446940999999999</v>
      </c>
      <c r="P83">
        <v>18.571213</v>
      </c>
      <c r="Q83">
        <v>18.730657999999998</v>
      </c>
      <c r="R83">
        <v>18.930088000000001</v>
      </c>
      <c r="S83">
        <v>19.092124999999999</v>
      </c>
      <c r="T83">
        <v>19.259436000000001</v>
      </c>
      <c r="U83">
        <v>19.415512</v>
      </c>
      <c r="V83">
        <v>19.584526</v>
      </c>
      <c r="W83">
        <v>19.751868999999999</v>
      </c>
      <c r="X83">
        <v>19.950641999999998</v>
      </c>
      <c r="Y83">
        <v>20.133372999999999</v>
      </c>
      <c r="Z83">
        <v>20.325230000000001</v>
      </c>
      <c r="AA83">
        <v>20.481424000000001</v>
      </c>
      <c r="AB83">
        <v>20.667052999999999</v>
      </c>
      <c r="AC83">
        <v>20.844881000000001</v>
      </c>
      <c r="AD83">
        <v>21.123301999999999</v>
      </c>
      <c r="AE83">
        <v>21.333514999999998</v>
      </c>
      <c r="AF83">
        <v>21.575635999999999</v>
      </c>
      <c r="AG83">
        <v>21.790666999999999</v>
      </c>
      <c r="AH83">
        <v>22.070596999999999</v>
      </c>
      <c r="AI83" s="12">
        <v>8.9999999999999993E-3</v>
      </c>
    </row>
    <row r="84" spans="1:35">
      <c r="A84" t="s">
        <v>94</v>
      </c>
      <c r="B84" t="s">
        <v>576</v>
      </c>
      <c r="C84" t="s">
        <v>577</v>
      </c>
      <c r="D84" t="s">
        <v>118</v>
      </c>
      <c r="F84">
        <v>17.032639</v>
      </c>
      <c r="G84">
        <v>17.333525000000002</v>
      </c>
      <c r="H84">
        <v>17.471111000000001</v>
      </c>
      <c r="I84">
        <v>17.514868</v>
      </c>
      <c r="J84">
        <v>17.667708999999999</v>
      </c>
      <c r="K84">
        <v>17.921016999999999</v>
      </c>
      <c r="L84">
        <v>18.139037999999999</v>
      </c>
      <c r="M84">
        <v>18.293453</v>
      </c>
      <c r="N84">
        <v>18.389309000000001</v>
      </c>
      <c r="O84">
        <v>18.446940999999999</v>
      </c>
      <c r="P84">
        <v>18.571213</v>
      </c>
      <c r="Q84">
        <v>18.730657999999998</v>
      </c>
      <c r="R84">
        <v>18.930088000000001</v>
      </c>
      <c r="S84">
        <v>19.092124999999999</v>
      </c>
      <c r="T84">
        <v>19.259436000000001</v>
      </c>
      <c r="U84">
        <v>19.415512</v>
      </c>
      <c r="V84">
        <v>19.584526</v>
      </c>
      <c r="W84">
        <v>19.751868999999999</v>
      </c>
      <c r="X84">
        <v>19.950641999999998</v>
      </c>
      <c r="Y84">
        <v>20.133372999999999</v>
      </c>
      <c r="Z84">
        <v>20.325230000000001</v>
      </c>
      <c r="AA84">
        <v>20.481424000000001</v>
      </c>
      <c r="AB84">
        <v>20.667052999999999</v>
      </c>
      <c r="AC84">
        <v>20.844881000000001</v>
      </c>
      <c r="AD84">
        <v>21.123301999999999</v>
      </c>
      <c r="AE84">
        <v>21.333514999999998</v>
      </c>
      <c r="AF84">
        <v>21.575635999999999</v>
      </c>
      <c r="AG84">
        <v>21.790666999999999</v>
      </c>
      <c r="AH84">
        <v>22.070596999999999</v>
      </c>
      <c r="AI84" s="12">
        <v>8.9999999999999993E-3</v>
      </c>
    </row>
    <row r="85" spans="1:35">
      <c r="A85" t="s">
        <v>114</v>
      </c>
      <c r="B85" t="s">
        <v>578</v>
      </c>
      <c r="C85" t="s">
        <v>579</v>
      </c>
      <c r="D85" t="s">
        <v>118</v>
      </c>
      <c r="F85">
        <v>19.286148000000001</v>
      </c>
      <c r="G85">
        <v>19.959654</v>
      </c>
      <c r="H85">
        <v>20.258087</v>
      </c>
      <c r="I85">
        <v>20.448008000000002</v>
      </c>
      <c r="J85">
        <v>20.643234</v>
      </c>
      <c r="K85">
        <v>20.778293999999999</v>
      </c>
      <c r="L85">
        <v>20.888736999999999</v>
      </c>
      <c r="M85">
        <v>21.11046</v>
      </c>
      <c r="N85">
        <v>21.285655999999999</v>
      </c>
      <c r="O85">
        <v>21.525711000000001</v>
      </c>
      <c r="P85">
        <v>21.809334</v>
      </c>
      <c r="Q85">
        <v>22.120438</v>
      </c>
      <c r="R85">
        <v>22.460100000000001</v>
      </c>
      <c r="S85">
        <v>22.760014000000002</v>
      </c>
      <c r="T85">
        <v>23.042663999999998</v>
      </c>
      <c r="U85">
        <v>23.327525999999999</v>
      </c>
      <c r="V85">
        <v>23.620547999999999</v>
      </c>
      <c r="W85">
        <v>23.904606000000001</v>
      </c>
      <c r="X85">
        <v>24.228663999999998</v>
      </c>
      <c r="Y85">
        <v>24.532539</v>
      </c>
      <c r="Z85">
        <v>24.846294</v>
      </c>
      <c r="AA85">
        <v>25.127307999999999</v>
      </c>
      <c r="AB85">
        <v>25.433437000000001</v>
      </c>
      <c r="AC85">
        <v>25.740656000000001</v>
      </c>
      <c r="AD85">
        <v>26.145723</v>
      </c>
      <c r="AE85">
        <v>26.505127000000002</v>
      </c>
      <c r="AF85">
        <v>26.890711</v>
      </c>
      <c r="AG85">
        <v>27.246131999999999</v>
      </c>
      <c r="AH85">
        <v>27.668061999999999</v>
      </c>
      <c r="AI85" s="12">
        <v>1.2999999999999999E-2</v>
      </c>
    </row>
    <row r="86" spans="1:35">
      <c r="A86" t="s">
        <v>94</v>
      </c>
      <c r="B86" t="s">
        <v>580</v>
      </c>
      <c r="C86" t="s">
        <v>581</v>
      </c>
      <c r="D86" t="s">
        <v>118</v>
      </c>
      <c r="F86">
        <v>6.9668039999999998</v>
      </c>
      <c r="G86">
        <v>7.2055709999999999</v>
      </c>
      <c r="H86">
        <v>7.3069870000000003</v>
      </c>
      <c r="I86">
        <v>7.3605080000000003</v>
      </c>
      <c r="J86">
        <v>7.3962209999999997</v>
      </c>
      <c r="K86">
        <v>7.4034529999999998</v>
      </c>
      <c r="L86">
        <v>7.4034849999999999</v>
      </c>
      <c r="M86">
        <v>7.4601230000000003</v>
      </c>
      <c r="N86">
        <v>7.5075329999999996</v>
      </c>
      <c r="O86">
        <v>7.6063049999999999</v>
      </c>
      <c r="P86">
        <v>7.7227600000000001</v>
      </c>
      <c r="Q86">
        <v>7.8505010000000004</v>
      </c>
      <c r="R86">
        <v>7.987139</v>
      </c>
      <c r="S86">
        <v>8.1068239999999996</v>
      </c>
      <c r="T86">
        <v>8.2209280000000007</v>
      </c>
      <c r="U86">
        <v>8.3371739999999992</v>
      </c>
      <c r="V86">
        <v>8.4559110000000004</v>
      </c>
      <c r="W86">
        <v>8.5701509999999992</v>
      </c>
      <c r="X86">
        <v>8.700564</v>
      </c>
      <c r="Y86">
        <v>8.8238339999999997</v>
      </c>
      <c r="Z86">
        <v>8.9493679999999998</v>
      </c>
      <c r="AA86">
        <v>9.0625599999999995</v>
      </c>
      <c r="AB86">
        <v>9.1843959999999996</v>
      </c>
      <c r="AC86">
        <v>9.3055529999999997</v>
      </c>
      <c r="AD86">
        <v>9.4632129999999997</v>
      </c>
      <c r="AE86">
        <v>9.6034579999999998</v>
      </c>
      <c r="AF86">
        <v>9.7528290000000002</v>
      </c>
      <c r="AG86">
        <v>9.890326</v>
      </c>
      <c r="AH86">
        <v>10.053587</v>
      </c>
      <c r="AI86" s="12">
        <v>1.2999999999999999E-2</v>
      </c>
    </row>
    <row r="87" spans="1:35">
      <c r="A87" t="s">
        <v>112</v>
      </c>
      <c r="B87" t="s">
        <v>582</v>
      </c>
      <c r="C87" t="s">
        <v>583</v>
      </c>
      <c r="D87" t="s">
        <v>118</v>
      </c>
      <c r="F87">
        <v>12.319345</v>
      </c>
      <c r="G87">
        <v>12.754084000000001</v>
      </c>
      <c r="H87">
        <v>12.951098999999999</v>
      </c>
      <c r="I87">
        <v>13.0875</v>
      </c>
      <c r="J87">
        <v>13.247013000000001</v>
      </c>
      <c r="K87">
        <v>13.374840000000001</v>
      </c>
      <c r="L87">
        <v>13.485250000000001</v>
      </c>
      <c r="M87">
        <v>13.650337</v>
      </c>
      <c r="N87">
        <v>13.778123000000001</v>
      </c>
      <c r="O87">
        <v>13.919407</v>
      </c>
      <c r="P87">
        <v>14.086574000000001</v>
      </c>
      <c r="Q87">
        <v>14.269936</v>
      </c>
      <c r="R87">
        <v>14.47296</v>
      </c>
      <c r="S87">
        <v>14.65319</v>
      </c>
      <c r="T87">
        <v>14.821736</v>
      </c>
      <c r="U87">
        <v>14.990353000000001</v>
      </c>
      <c r="V87">
        <v>15.164637000000001</v>
      </c>
      <c r="W87">
        <v>15.334455</v>
      </c>
      <c r="X87">
        <v>15.528098999999999</v>
      </c>
      <c r="Y87">
        <v>15.708705999999999</v>
      </c>
      <c r="Z87">
        <v>15.896927</v>
      </c>
      <c r="AA87">
        <v>16.064747000000001</v>
      </c>
      <c r="AB87">
        <v>16.249043</v>
      </c>
      <c r="AC87">
        <v>16.435102000000001</v>
      </c>
      <c r="AD87">
        <v>16.682510000000001</v>
      </c>
      <c r="AE87">
        <v>16.901668999999998</v>
      </c>
      <c r="AF87">
        <v>17.137882000000001</v>
      </c>
      <c r="AG87">
        <v>17.355803999999999</v>
      </c>
      <c r="AH87">
        <v>17.614474999999999</v>
      </c>
      <c r="AI87" s="12">
        <v>1.2999999999999999E-2</v>
      </c>
    </row>
    <row r="88" spans="1:35">
      <c r="A88" t="s">
        <v>101</v>
      </c>
      <c r="B88" t="s">
        <v>584</v>
      </c>
      <c r="C88" t="s">
        <v>585</v>
      </c>
      <c r="D88" t="s">
        <v>118</v>
      </c>
      <c r="F88">
        <v>0</v>
      </c>
      <c r="G88">
        <v>0</v>
      </c>
      <c r="H88">
        <v>0</v>
      </c>
      <c r="I88">
        <v>0</v>
      </c>
      <c r="J88">
        <v>0</v>
      </c>
      <c r="K88">
        <v>0</v>
      </c>
      <c r="L88">
        <v>0</v>
      </c>
      <c r="M88">
        <v>0</v>
      </c>
      <c r="N88">
        <v>0</v>
      </c>
      <c r="O88">
        <v>0</v>
      </c>
      <c r="P88">
        <v>0</v>
      </c>
      <c r="Q88">
        <v>0</v>
      </c>
      <c r="R88">
        <v>0</v>
      </c>
      <c r="S88">
        <v>0</v>
      </c>
      <c r="T88">
        <v>0</v>
      </c>
      <c r="U88">
        <v>0</v>
      </c>
      <c r="V88">
        <v>0</v>
      </c>
      <c r="W88">
        <v>0</v>
      </c>
      <c r="X88">
        <v>0</v>
      </c>
      <c r="Y88">
        <v>0</v>
      </c>
      <c r="Z88">
        <v>0</v>
      </c>
      <c r="AA88">
        <v>0</v>
      </c>
      <c r="AB88">
        <v>0</v>
      </c>
      <c r="AC88">
        <v>0</v>
      </c>
      <c r="AD88">
        <v>0</v>
      </c>
      <c r="AE88">
        <v>0</v>
      </c>
      <c r="AF88">
        <v>0</v>
      </c>
      <c r="AG88">
        <v>0</v>
      </c>
      <c r="AH88">
        <v>0</v>
      </c>
      <c r="AI88" t="s">
        <v>6</v>
      </c>
    </row>
    <row r="89" spans="1:35">
      <c r="A89" t="s">
        <v>102</v>
      </c>
      <c r="B89" t="s">
        <v>586</v>
      </c>
      <c r="C89" t="s">
        <v>587</v>
      </c>
      <c r="D89" t="s">
        <v>118</v>
      </c>
      <c r="F89">
        <v>0</v>
      </c>
      <c r="G89">
        <v>0</v>
      </c>
      <c r="H89">
        <v>0</v>
      </c>
      <c r="I89">
        <v>0</v>
      </c>
      <c r="J89">
        <v>0</v>
      </c>
      <c r="K89">
        <v>0</v>
      </c>
      <c r="L89">
        <v>0</v>
      </c>
      <c r="M89">
        <v>0</v>
      </c>
      <c r="N89">
        <v>0</v>
      </c>
      <c r="O89">
        <v>0</v>
      </c>
      <c r="P89">
        <v>0</v>
      </c>
      <c r="Q89">
        <v>0</v>
      </c>
      <c r="R89">
        <v>0</v>
      </c>
      <c r="S89">
        <v>0</v>
      </c>
      <c r="T89">
        <v>0</v>
      </c>
      <c r="U89">
        <v>0</v>
      </c>
      <c r="V89">
        <v>0</v>
      </c>
      <c r="W89">
        <v>0</v>
      </c>
      <c r="X89">
        <v>0</v>
      </c>
      <c r="Y89">
        <v>0</v>
      </c>
      <c r="Z89">
        <v>0</v>
      </c>
      <c r="AA89">
        <v>0</v>
      </c>
      <c r="AB89">
        <v>0</v>
      </c>
      <c r="AC89">
        <v>0</v>
      </c>
      <c r="AD89">
        <v>0</v>
      </c>
      <c r="AE89">
        <v>0</v>
      </c>
      <c r="AF89">
        <v>0</v>
      </c>
      <c r="AG89">
        <v>0</v>
      </c>
      <c r="AH89">
        <v>0</v>
      </c>
      <c r="AI89" t="s">
        <v>6</v>
      </c>
    </row>
    <row r="90" spans="1:35">
      <c r="A90" t="s">
        <v>5</v>
      </c>
      <c r="B90" t="s">
        <v>588</v>
      </c>
      <c r="C90" t="s">
        <v>589</v>
      </c>
      <c r="D90" t="s">
        <v>118</v>
      </c>
      <c r="F90">
        <v>202.83663899999999</v>
      </c>
      <c r="G90">
        <v>199.16296399999999</v>
      </c>
      <c r="H90">
        <v>195.80548099999999</v>
      </c>
      <c r="I90">
        <v>193.737213</v>
      </c>
      <c r="J90">
        <v>192.813141</v>
      </c>
      <c r="K90">
        <v>191.8974</v>
      </c>
      <c r="L90">
        <v>190.73350500000001</v>
      </c>
      <c r="M90">
        <v>189.210464</v>
      </c>
      <c r="N90">
        <v>187.40353400000001</v>
      </c>
      <c r="O90">
        <v>185.676941</v>
      </c>
      <c r="P90">
        <v>184.46688800000001</v>
      </c>
      <c r="Q90">
        <v>183.61003099999999</v>
      </c>
      <c r="R90">
        <v>182.77757299999999</v>
      </c>
      <c r="S90">
        <v>181.99818400000001</v>
      </c>
      <c r="T90">
        <v>181.450287</v>
      </c>
      <c r="U90">
        <v>181.105515</v>
      </c>
      <c r="V90">
        <v>180.74588</v>
      </c>
      <c r="W90">
        <v>180.38298</v>
      </c>
      <c r="X90">
        <v>180.29542499999999</v>
      </c>
      <c r="Y90">
        <v>180.16119399999999</v>
      </c>
      <c r="Z90">
        <v>179.988022</v>
      </c>
      <c r="AA90">
        <v>179.81350699999999</v>
      </c>
      <c r="AB90">
        <v>179.55651900000001</v>
      </c>
      <c r="AC90">
        <v>179.24385100000001</v>
      </c>
      <c r="AD90">
        <v>178.94970699999999</v>
      </c>
      <c r="AE90">
        <v>178.72766100000001</v>
      </c>
      <c r="AF90">
        <v>178.49087499999999</v>
      </c>
      <c r="AG90">
        <v>178.228363</v>
      </c>
      <c r="AH90">
        <v>178.15554800000001</v>
      </c>
      <c r="AI90" s="12">
        <v>-5.0000000000000001E-3</v>
      </c>
    </row>
    <row r="91" spans="1:35">
      <c r="A91" t="s">
        <v>115</v>
      </c>
      <c r="B91" t="s">
        <v>590</v>
      </c>
      <c r="C91" t="s">
        <v>591</v>
      </c>
      <c r="D91" t="s">
        <v>118</v>
      </c>
      <c r="F91">
        <v>163.608734</v>
      </c>
      <c r="G91">
        <v>160.38700900000001</v>
      </c>
      <c r="H91">
        <v>157.42775</v>
      </c>
      <c r="I91">
        <v>155.51083399999999</v>
      </c>
      <c r="J91">
        <v>154.51499899999999</v>
      </c>
      <c r="K91">
        <v>153.52697800000001</v>
      </c>
      <c r="L91">
        <v>152.34193400000001</v>
      </c>
      <c r="M91">
        <v>150.872345</v>
      </c>
      <c r="N91">
        <v>149.17961099999999</v>
      </c>
      <c r="O91">
        <v>147.55435199999999</v>
      </c>
      <c r="P91">
        <v>146.34231600000001</v>
      </c>
      <c r="Q91">
        <v>145.41207900000001</v>
      </c>
      <c r="R91">
        <v>144.50224299999999</v>
      </c>
      <c r="S91">
        <v>143.63537600000001</v>
      </c>
      <c r="T91">
        <v>142.95182800000001</v>
      </c>
      <c r="U91">
        <v>142.42834500000001</v>
      </c>
      <c r="V91">
        <v>141.89295999999999</v>
      </c>
      <c r="W91">
        <v>141.35481300000001</v>
      </c>
      <c r="X91">
        <v>141.03187600000001</v>
      </c>
      <c r="Y91">
        <v>140.67157</v>
      </c>
      <c r="Z91">
        <v>140.28007500000001</v>
      </c>
      <c r="AA91">
        <v>139.886841</v>
      </c>
      <c r="AB91">
        <v>139.42889400000001</v>
      </c>
      <c r="AC91">
        <v>138.927322</v>
      </c>
      <c r="AD91">
        <v>138.439819</v>
      </c>
      <c r="AE91">
        <v>138.00765999999999</v>
      </c>
      <c r="AF91">
        <v>137.56359900000001</v>
      </c>
      <c r="AG91">
        <v>137.09927400000001</v>
      </c>
      <c r="AH91">
        <v>136.780182</v>
      </c>
      <c r="AI91" s="12">
        <v>-6.0000000000000001E-3</v>
      </c>
    </row>
    <row r="92" spans="1:35">
      <c r="A92" t="s">
        <v>91</v>
      </c>
      <c r="B92" t="s">
        <v>592</v>
      </c>
      <c r="C92" t="s">
        <v>593</v>
      </c>
      <c r="D92" t="s">
        <v>118</v>
      </c>
      <c r="F92">
        <v>39.227898000000003</v>
      </c>
      <c r="G92">
        <v>38.775948</v>
      </c>
      <c r="H92">
        <v>38.377730999999997</v>
      </c>
      <c r="I92">
        <v>38.226379000000001</v>
      </c>
      <c r="J92">
        <v>38.298149000000002</v>
      </c>
      <c r="K92">
        <v>38.370418999999998</v>
      </c>
      <c r="L92">
        <v>38.391570999999999</v>
      </c>
      <c r="M92">
        <v>38.338120000000004</v>
      </c>
      <c r="N92">
        <v>38.223914999999998</v>
      </c>
      <c r="O92">
        <v>38.122588999999998</v>
      </c>
      <c r="P92">
        <v>38.124577000000002</v>
      </c>
      <c r="Q92">
        <v>38.197955999999998</v>
      </c>
      <c r="R92">
        <v>38.275326</v>
      </c>
      <c r="S92">
        <v>38.362803999999997</v>
      </c>
      <c r="T92">
        <v>38.498458999999997</v>
      </c>
      <c r="U92">
        <v>38.677174000000001</v>
      </c>
      <c r="V92">
        <v>38.852927999999999</v>
      </c>
      <c r="W92">
        <v>39.028163999999997</v>
      </c>
      <c r="X92">
        <v>39.263545999999998</v>
      </c>
      <c r="Y92">
        <v>39.489632</v>
      </c>
      <c r="Z92">
        <v>39.707951000000001</v>
      </c>
      <c r="AA92">
        <v>39.926662</v>
      </c>
      <c r="AB92">
        <v>40.127631999999998</v>
      </c>
      <c r="AC92">
        <v>40.316527999999998</v>
      </c>
      <c r="AD92">
        <v>40.509892000000001</v>
      </c>
      <c r="AE92">
        <v>40.720008999999997</v>
      </c>
      <c r="AF92">
        <v>40.927284</v>
      </c>
      <c r="AG92">
        <v>41.129097000000002</v>
      </c>
      <c r="AH92">
        <v>41.375362000000003</v>
      </c>
      <c r="AI92" s="12">
        <v>2E-3</v>
      </c>
    </row>
    <row r="93" spans="1:35">
      <c r="A93" t="s">
        <v>4</v>
      </c>
      <c r="B93" t="s">
        <v>594</v>
      </c>
      <c r="C93" t="s">
        <v>595</v>
      </c>
      <c r="D93" t="s">
        <v>118</v>
      </c>
      <c r="F93">
        <v>125.945221</v>
      </c>
      <c r="G93">
        <v>125.92506400000001</v>
      </c>
      <c r="H93">
        <v>126.01237500000001</v>
      </c>
      <c r="I93">
        <v>126.049858</v>
      </c>
      <c r="J93">
        <v>126.11367</v>
      </c>
      <c r="K93">
        <v>125.98440600000001</v>
      </c>
      <c r="L93">
        <v>125.852997</v>
      </c>
      <c r="M93">
        <v>125.755234</v>
      </c>
      <c r="N93">
        <v>125.652069</v>
      </c>
      <c r="O93">
        <v>125.54579200000001</v>
      </c>
      <c r="P93">
        <v>125.439178</v>
      </c>
      <c r="Q93">
        <v>125.330147</v>
      </c>
      <c r="R93">
        <v>125.250381</v>
      </c>
      <c r="S93">
        <v>125.225021</v>
      </c>
      <c r="T93">
        <v>125.255257</v>
      </c>
      <c r="U93">
        <v>125.318207</v>
      </c>
      <c r="V93">
        <v>125.411896</v>
      </c>
      <c r="W93">
        <v>125.52668799999999</v>
      </c>
      <c r="X93">
        <v>125.666534</v>
      </c>
      <c r="Y93">
        <v>125.797371</v>
      </c>
      <c r="Z93">
        <v>125.925034</v>
      </c>
      <c r="AA93">
        <v>126.04557</v>
      </c>
      <c r="AB93">
        <v>126.16628300000001</v>
      </c>
      <c r="AC93">
        <v>126.32028200000001</v>
      </c>
      <c r="AD93">
        <v>126.49239300000001</v>
      </c>
      <c r="AE93">
        <v>126.66081200000001</v>
      </c>
      <c r="AF93">
        <v>126.811455</v>
      </c>
      <c r="AG93">
        <v>126.974289</v>
      </c>
      <c r="AH93">
        <v>127.158676</v>
      </c>
      <c r="AI93" s="12">
        <v>0</v>
      </c>
    </row>
    <row r="94" spans="1:35">
      <c r="A94" t="s">
        <v>3</v>
      </c>
      <c r="B94" t="s">
        <v>596</v>
      </c>
      <c r="C94" t="s">
        <v>597</v>
      </c>
      <c r="D94" t="s">
        <v>118</v>
      </c>
      <c r="F94">
        <v>905.73223900000005</v>
      </c>
      <c r="G94">
        <v>820.54260299999999</v>
      </c>
      <c r="H94">
        <v>760.982483</v>
      </c>
      <c r="I94">
        <v>726.75244099999998</v>
      </c>
      <c r="J94">
        <v>695.850098</v>
      </c>
      <c r="K94">
        <v>653.98541299999999</v>
      </c>
      <c r="L94">
        <v>613.92791699999998</v>
      </c>
      <c r="M94">
        <v>612.03295900000001</v>
      </c>
      <c r="N94">
        <v>610.31640600000003</v>
      </c>
      <c r="O94">
        <v>611.89654499999995</v>
      </c>
      <c r="P94">
        <v>617.76355000000001</v>
      </c>
      <c r="Q94">
        <v>626.28515600000003</v>
      </c>
      <c r="R94">
        <v>630.76672399999995</v>
      </c>
      <c r="S94">
        <v>633.47729500000003</v>
      </c>
      <c r="T94">
        <v>634.00311299999998</v>
      </c>
      <c r="U94">
        <v>632.96820100000002</v>
      </c>
      <c r="V94">
        <v>637.83142099999998</v>
      </c>
      <c r="W94">
        <v>636.66796899999997</v>
      </c>
      <c r="X94">
        <v>645.807007</v>
      </c>
      <c r="Y94">
        <v>652.42675799999995</v>
      </c>
      <c r="Z94">
        <v>658.166382</v>
      </c>
      <c r="AA94">
        <v>660.99408000000005</v>
      </c>
      <c r="AB94">
        <v>665.09454300000004</v>
      </c>
      <c r="AC94">
        <v>669.20263699999998</v>
      </c>
      <c r="AD94">
        <v>674.53369099999998</v>
      </c>
      <c r="AE94">
        <v>682.13464399999998</v>
      </c>
      <c r="AF94">
        <v>689.49054000000001</v>
      </c>
      <c r="AG94">
        <v>691.88214100000005</v>
      </c>
      <c r="AH94">
        <v>696.77728300000001</v>
      </c>
      <c r="AI94" s="12">
        <v>-8.9999999999999993E-3</v>
      </c>
    </row>
    <row r="95" spans="1:35">
      <c r="A95" t="s">
        <v>598</v>
      </c>
      <c r="B95" t="s">
        <v>599</v>
      </c>
      <c r="C95" t="s">
        <v>600</v>
      </c>
      <c r="D95" t="s">
        <v>118</v>
      </c>
      <c r="F95">
        <v>332.52310199999999</v>
      </c>
      <c r="G95">
        <v>377.97052000000002</v>
      </c>
      <c r="H95">
        <v>384.00460800000002</v>
      </c>
      <c r="I95">
        <v>408.78292800000003</v>
      </c>
      <c r="J95">
        <v>446.260651</v>
      </c>
      <c r="K95">
        <v>477.17263800000001</v>
      </c>
      <c r="L95">
        <v>503.61007699999999</v>
      </c>
      <c r="M95">
        <v>527.57086200000003</v>
      </c>
      <c r="N95">
        <v>577.96905500000003</v>
      </c>
      <c r="O95">
        <v>628.36724900000002</v>
      </c>
      <c r="P95">
        <v>680.00372300000004</v>
      </c>
      <c r="Q95">
        <v>729.163635</v>
      </c>
      <c r="R95">
        <v>771.16210899999999</v>
      </c>
      <c r="S95">
        <v>796.36120600000004</v>
      </c>
      <c r="T95">
        <v>814.39892599999996</v>
      </c>
      <c r="U95">
        <v>829.96002199999998</v>
      </c>
      <c r="V95">
        <v>838.35974099999999</v>
      </c>
      <c r="W95">
        <v>838.35974099999999</v>
      </c>
      <c r="X95">
        <v>839.59802200000001</v>
      </c>
      <c r="Y95">
        <v>838.35974099999999</v>
      </c>
      <c r="Z95">
        <v>838.35974099999999</v>
      </c>
      <c r="AA95">
        <v>838.35974099999999</v>
      </c>
      <c r="AB95">
        <v>839.59802200000001</v>
      </c>
      <c r="AC95">
        <v>838.35974099999999</v>
      </c>
      <c r="AD95">
        <v>838.35974099999999</v>
      </c>
      <c r="AE95">
        <v>838.35974099999999</v>
      </c>
      <c r="AF95">
        <v>839.59802200000001</v>
      </c>
      <c r="AG95">
        <v>838.35974099999999</v>
      </c>
      <c r="AH95">
        <v>838.35974099999999</v>
      </c>
      <c r="AI95" s="12">
        <v>3.4000000000000002E-2</v>
      </c>
    </row>
    <row r="96" spans="1:35">
      <c r="A96" t="s">
        <v>2</v>
      </c>
      <c r="B96" t="s">
        <v>601</v>
      </c>
      <c r="C96" t="s">
        <v>602</v>
      </c>
      <c r="D96" t="s">
        <v>118</v>
      </c>
      <c r="F96">
        <v>27986.478515999999</v>
      </c>
      <c r="G96">
        <v>28032.220702999999</v>
      </c>
      <c r="H96">
        <v>27776.765625</v>
      </c>
      <c r="I96">
        <v>27465.828125</v>
      </c>
      <c r="J96">
        <v>27255.169922000001</v>
      </c>
      <c r="K96">
        <v>27052.175781000002</v>
      </c>
      <c r="L96">
        <v>26819.683593999998</v>
      </c>
      <c r="M96">
        <v>26592.78125</v>
      </c>
      <c r="N96">
        <v>26361.335938</v>
      </c>
      <c r="O96">
        <v>26163.675781000002</v>
      </c>
      <c r="P96">
        <v>26008.943359000001</v>
      </c>
      <c r="Q96">
        <v>25899.167968999998</v>
      </c>
      <c r="R96">
        <v>25803.771484000001</v>
      </c>
      <c r="S96">
        <v>25706.130859000001</v>
      </c>
      <c r="T96">
        <v>25600.619140999999</v>
      </c>
      <c r="U96">
        <v>25535.832031000002</v>
      </c>
      <c r="V96">
        <v>25495.666015999999</v>
      </c>
      <c r="W96">
        <v>25451.617188</v>
      </c>
      <c r="X96">
        <v>25462.876952999999</v>
      </c>
      <c r="Y96">
        <v>25488.181640999999</v>
      </c>
      <c r="Z96">
        <v>25533.677734000001</v>
      </c>
      <c r="AA96">
        <v>25586.275390999999</v>
      </c>
      <c r="AB96">
        <v>25660.166015999999</v>
      </c>
      <c r="AC96">
        <v>25746.871093999998</v>
      </c>
      <c r="AD96">
        <v>25871.171875</v>
      </c>
      <c r="AE96">
        <v>26021.988281000002</v>
      </c>
      <c r="AF96">
        <v>26178.046875</v>
      </c>
      <c r="AG96">
        <v>26334.755859000001</v>
      </c>
      <c r="AH96">
        <v>26541.847656000002</v>
      </c>
      <c r="AI96" s="12">
        <v>-2E-3</v>
      </c>
    </row>
  </sheetData>
  <pageMargins left="0.7" right="0.7" top="0.75" bottom="0.75" header="0.3" footer="0.3"/>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E1803A5-43D9-4141-A6C9-E1F182AFBC75}">
  <dimension ref="A1:AF4402"/>
  <sheetViews>
    <sheetView topLeftCell="B56" workbookViewId="0">
      <selection activeCell="B90" sqref="A90:XFD90"/>
    </sheetView>
  </sheetViews>
  <sheetFormatPr defaultRowHeight="14.25"/>
  <cols>
    <col min="1" max="1" width="21.3984375" hidden="1" customWidth="1"/>
    <col min="2" max="2" width="46.73046875" customWidth="1"/>
    <col min="32" max="32" width="8.73046875" style="50"/>
  </cols>
  <sheetData>
    <row r="1" spans="1:32" ht="15" customHeight="1">
      <c r="B1" s="15" t="s">
        <v>164</v>
      </c>
    </row>
    <row r="2" spans="1:32" ht="15" customHeight="1"/>
    <row r="3" spans="1:32" ht="15" customHeight="1">
      <c r="C3" s="23" t="s">
        <v>165</v>
      </c>
      <c r="D3" s="23"/>
      <c r="E3" s="17"/>
      <c r="F3" s="17"/>
      <c r="G3" s="17"/>
    </row>
    <row r="4" spans="1:32" ht="15" customHeight="1">
      <c r="C4" s="23" t="s">
        <v>166</v>
      </c>
      <c r="D4" s="23"/>
      <c r="E4" s="17"/>
      <c r="F4" s="17"/>
      <c r="G4" s="23" t="s">
        <v>167</v>
      </c>
    </row>
    <row r="5" spans="1:32" ht="15" customHeight="1">
      <c r="C5" s="23" t="s">
        <v>168</v>
      </c>
      <c r="D5" s="23"/>
      <c r="E5" s="17"/>
      <c r="F5" s="17"/>
      <c r="G5" s="17"/>
    </row>
    <row r="6" spans="1:32" ht="15" customHeight="1">
      <c r="C6" s="23" t="s">
        <v>169</v>
      </c>
      <c r="D6" s="17"/>
      <c r="E6" s="23"/>
      <c r="F6" s="17"/>
      <c r="G6" s="17"/>
    </row>
    <row r="7" spans="1:32" ht="12" customHeight="1"/>
    <row r="8" spans="1:32" ht="12" customHeight="1"/>
    <row r="9" spans="1:32" ht="12" customHeight="1"/>
    <row r="10" spans="1:32" ht="15" customHeight="1">
      <c r="A10" s="18" t="s">
        <v>264</v>
      </c>
      <c r="B10" s="19" t="s">
        <v>265</v>
      </c>
      <c r="AF10" s="51" t="s">
        <v>172</v>
      </c>
    </row>
    <row r="11" spans="1:32" ht="15" customHeight="1">
      <c r="B11" s="15" t="s">
        <v>266</v>
      </c>
      <c r="AF11" s="51" t="s">
        <v>174</v>
      </c>
    </row>
    <row r="12" spans="1:32" ht="15" customHeight="1">
      <c r="B12" s="15"/>
      <c r="C12" s="8"/>
      <c r="D12" s="8"/>
      <c r="E12" s="8"/>
      <c r="F12" s="8"/>
      <c r="G12" s="8"/>
      <c r="H12" s="8"/>
      <c r="I12" s="8"/>
      <c r="J12" s="8"/>
      <c r="K12" s="8"/>
      <c r="L12" s="8"/>
      <c r="M12" s="8"/>
      <c r="N12" s="8"/>
      <c r="O12" s="8"/>
      <c r="P12" s="8"/>
      <c r="Q12" s="8"/>
      <c r="R12" s="8"/>
      <c r="S12" s="8"/>
      <c r="T12" s="8"/>
      <c r="U12" s="8"/>
      <c r="V12" s="8"/>
      <c r="W12" s="8"/>
      <c r="X12" s="8"/>
      <c r="Y12" s="8"/>
      <c r="Z12" s="8"/>
      <c r="AA12" s="8"/>
      <c r="AB12" s="8"/>
      <c r="AC12" s="8"/>
      <c r="AD12" s="8"/>
      <c r="AE12" s="8"/>
      <c r="AF12" s="51" t="s">
        <v>175</v>
      </c>
    </row>
    <row r="13" spans="1:32" ht="15" customHeight="1" thickBot="1">
      <c r="B13" s="16" t="s">
        <v>267</v>
      </c>
      <c r="C13" s="16">
        <v>2022</v>
      </c>
      <c r="D13" s="16">
        <v>2023</v>
      </c>
      <c r="E13" s="16">
        <v>2024</v>
      </c>
      <c r="F13" s="16">
        <v>2025</v>
      </c>
      <c r="G13" s="16">
        <v>2026</v>
      </c>
      <c r="H13" s="16">
        <v>2027</v>
      </c>
      <c r="I13" s="16">
        <v>2028</v>
      </c>
      <c r="J13" s="16">
        <v>2029</v>
      </c>
      <c r="K13" s="16">
        <v>2030</v>
      </c>
      <c r="L13" s="16">
        <v>2031</v>
      </c>
      <c r="M13" s="16">
        <v>2032</v>
      </c>
      <c r="N13" s="16">
        <v>2033</v>
      </c>
      <c r="O13" s="16">
        <v>2034</v>
      </c>
      <c r="P13" s="16">
        <v>2035</v>
      </c>
      <c r="Q13" s="16">
        <v>2036</v>
      </c>
      <c r="R13" s="16">
        <v>2037</v>
      </c>
      <c r="S13" s="16">
        <v>2038</v>
      </c>
      <c r="T13" s="16">
        <v>2039</v>
      </c>
      <c r="U13" s="16">
        <v>2040</v>
      </c>
      <c r="V13" s="16">
        <v>2041</v>
      </c>
      <c r="W13" s="16">
        <v>2042</v>
      </c>
      <c r="X13" s="16">
        <v>2043</v>
      </c>
      <c r="Y13" s="16">
        <v>2044</v>
      </c>
      <c r="Z13" s="16">
        <v>2045</v>
      </c>
      <c r="AA13" s="16">
        <v>2046</v>
      </c>
      <c r="AB13" s="16">
        <v>2047</v>
      </c>
      <c r="AC13" s="16">
        <v>2048</v>
      </c>
      <c r="AD13" s="16">
        <v>2049</v>
      </c>
      <c r="AE13" s="16">
        <v>2050</v>
      </c>
      <c r="AF13" s="52" t="s">
        <v>177</v>
      </c>
    </row>
    <row r="14" spans="1:32" ht="15" customHeight="1" thickTop="1"/>
    <row r="15" spans="1:32" ht="15" customHeight="1">
      <c r="A15" s="18" t="s">
        <v>268</v>
      </c>
      <c r="B15" s="20" t="s">
        <v>13</v>
      </c>
      <c r="C15" s="24">
        <f>'AEO 2023 Table 36 Raw'!F6</f>
        <v>14541.972656</v>
      </c>
      <c r="D15" s="24">
        <f>'AEO 2023 Table 36 Raw'!G6</f>
        <v>14586.113281</v>
      </c>
      <c r="E15" s="24">
        <f>'AEO 2023 Table 36 Raw'!H6</f>
        <v>14429.691406</v>
      </c>
      <c r="F15" s="24">
        <f>'AEO 2023 Table 36 Raw'!I6</f>
        <v>14201.924805000001</v>
      </c>
      <c r="G15" s="24">
        <f>'AEO 2023 Table 36 Raw'!J6</f>
        <v>14016.908203000001</v>
      </c>
      <c r="H15" s="24">
        <f>'AEO 2023 Table 36 Raw'!K6</f>
        <v>13860.761719</v>
      </c>
      <c r="I15" s="24">
        <f>'AEO 2023 Table 36 Raw'!L6</f>
        <v>13679.085938</v>
      </c>
      <c r="J15" s="24">
        <f>'AEO 2023 Table 36 Raw'!M6</f>
        <v>13473.831055000001</v>
      </c>
      <c r="K15" s="24">
        <f>'AEO 2023 Table 36 Raw'!N6</f>
        <v>13253.083008</v>
      </c>
      <c r="L15" s="24">
        <f>'AEO 2023 Table 36 Raw'!O6</f>
        <v>13044.084961</v>
      </c>
      <c r="M15" s="24">
        <f>'AEO 2023 Table 36 Raw'!P6</f>
        <v>12836.977539</v>
      </c>
      <c r="N15" s="24">
        <f>'AEO 2023 Table 36 Raw'!Q6</f>
        <v>12674.038086</v>
      </c>
      <c r="O15" s="24">
        <f>'AEO 2023 Table 36 Raw'!R6</f>
        <v>12534.655273</v>
      </c>
      <c r="P15" s="24">
        <f>'AEO 2023 Table 36 Raw'!S6</f>
        <v>12394.663086</v>
      </c>
      <c r="Q15" s="24">
        <f>'AEO 2023 Table 36 Raw'!T6</f>
        <v>12251.546875</v>
      </c>
      <c r="R15" s="24">
        <f>'AEO 2023 Table 36 Raw'!U6</f>
        <v>12130.821289</v>
      </c>
      <c r="S15" s="24">
        <f>'AEO 2023 Table 36 Raw'!V6</f>
        <v>12028.415039</v>
      </c>
      <c r="T15" s="24">
        <f>'AEO 2023 Table 36 Raw'!W6</f>
        <v>11933.921875</v>
      </c>
      <c r="U15" s="24">
        <f>'AEO 2023 Table 36 Raw'!X6</f>
        <v>11864.000977</v>
      </c>
      <c r="V15" s="24">
        <f>'AEO 2023 Table 36 Raw'!Y6</f>
        <v>11805.395508</v>
      </c>
      <c r="W15" s="24">
        <f>'AEO 2023 Table 36 Raw'!Z6</f>
        <v>11762.741211</v>
      </c>
      <c r="X15" s="24">
        <f>'AEO 2023 Table 36 Raw'!AA6</f>
        <v>11733.643555000001</v>
      </c>
      <c r="Y15" s="24">
        <f>'AEO 2023 Table 36 Raw'!AB6</f>
        <v>11725.385742</v>
      </c>
      <c r="Z15" s="24">
        <f>'AEO 2023 Table 36 Raw'!AC6</f>
        <v>11735.774414</v>
      </c>
      <c r="AA15" s="24">
        <f>'AEO 2023 Table 36 Raw'!AD6</f>
        <v>11770.762694999999</v>
      </c>
      <c r="AB15" s="24">
        <f>'AEO 2023 Table 36 Raw'!AE6</f>
        <v>11824.348633</v>
      </c>
      <c r="AC15" s="24">
        <f>'AEO 2023 Table 36 Raw'!AF6</f>
        <v>11889.714844</v>
      </c>
      <c r="AD15" s="24">
        <f>'AEO 2023 Table 36 Raw'!AG6</f>
        <v>11962.909180000001</v>
      </c>
      <c r="AE15" s="24">
        <f>'AEO 2023 Table 36 Raw'!AH6</f>
        <v>12054.454102</v>
      </c>
      <c r="AF15" s="29">
        <f>'AEO 2023 Table 36 Raw'!AI6</f>
        <v>-7.0000000000000001E-3</v>
      </c>
    </row>
    <row r="16" spans="1:32" ht="15" customHeight="1">
      <c r="A16" s="18" t="s">
        <v>269</v>
      </c>
      <c r="B16" s="21" t="s">
        <v>270</v>
      </c>
      <c r="C16" s="24">
        <f>'AEO 2023 Table 36 Raw'!F7</f>
        <v>14415.272461</v>
      </c>
      <c r="D16" s="24">
        <f>'AEO 2023 Table 36 Raw'!G7</f>
        <v>14443.935546999999</v>
      </c>
      <c r="E16" s="24">
        <f>'AEO 2023 Table 36 Raw'!H7</f>
        <v>14272.423828000001</v>
      </c>
      <c r="F16" s="24">
        <f>'AEO 2023 Table 36 Raw'!I7</f>
        <v>14024.321289</v>
      </c>
      <c r="G16" s="24">
        <f>'AEO 2023 Table 36 Raw'!J7</f>
        <v>13815.495117</v>
      </c>
      <c r="H16" s="24">
        <f>'AEO 2023 Table 36 Raw'!K7</f>
        <v>13632.25</v>
      </c>
      <c r="I16" s="24">
        <f>'AEO 2023 Table 36 Raw'!L7</f>
        <v>13419.692383</v>
      </c>
      <c r="J16" s="24">
        <f>'AEO 2023 Table 36 Raw'!M7</f>
        <v>13179.959961</v>
      </c>
      <c r="K16" s="24">
        <f>'AEO 2023 Table 36 Raw'!N7</f>
        <v>12922.150390999999</v>
      </c>
      <c r="L16" s="24">
        <f>'AEO 2023 Table 36 Raw'!O7</f>
        <v>12678.574219</v>
      </c>
      <c r="M16" s="24">
        <f>'AEO 2023 Table 36 Raw'!P7</f>
        <v>12437.037109000001</v>
      </c>
      <c r="N16" s="24">
        <f>'AEO 2023 Table 36 Raw'!Q7</f>
        <v>12238.958984000001</v>
      </c>
      <c r="O16" s="24">
        <f>'AEO 2023 Table 36 Raw'!R7</f>
        <v>12063.409180000001</v>
      </c>
      <c r="P16" s="24">
        <f>'AEO 2023 Table 36 Raw'!S7</f>
        <v>11887.983398</v>
      </c>
      <c r="Q16" s="24">
        <f>'AEO 2023 Table 36 Raw'!T7</f>
        <v>11710.702148</v>
      </c>
      <c r="R16" s="24">
        <f>'AEO 2023 Table 36 Raw'!U7</f>
        <v>11556.080078000001</v>
      </c>
      <c r="S16" s="24">
        <f>'AEO 2023 Table 36 Raw'!V7</f>
        <v>11421.212890999999</v>
      </c>
      <c r="T16" s="24">
        <f>'AEO 2023 Table 36 Raw'!W7</f>
        <v>11295.928711</v>
      </c>
      <c r="U16" s="24">
        <f>'AEO 2023 Table 36 Raw'!X7</f>
        <v>11196.765625</v>
      </c>
      <c r="V16" s="24">
        <f>'AEO 2023 Table 36 Raw'!Y7</f>
        <v>11110.766602</v>
      </c>
      <c r="W16" s="24">
        <f>'AEO 2023 Table 36 Raw'!Z7</f>
        <v>11042.224609000001</v>
      </c>
      <c r="X16" s="24">
        <f>'AEO 2023 Table 36 Raw'!AA7</f>
        <v>10988.434569999999</v>
      </c>
      <c r="Y16" s="24">
        <f>'AEO 2023 Table 36 Raw'!AB7</f>
        <v>10958.347656</v>
      </c>
      <c r="Z16" s="24">
        <f>'AEO 2023 Table 36 Raw'!AC7</f>
        <v>10949.109375</v>
      </c>
      <c r="AA16" s="24">
        <f>'AEO 2023 Table 36 Raw'!AD7</f>
        <v>10963.973633</v>
      </c>
      <c r="AB16" s="24">
        <f>'AEO 2023 Table 36 Raw'!AE7</f>
        <v>10998.306640999999</v>
      </c>
      <c r="AC16" s="24">
        <f>'AEO 2023 Table 36 Raw'!AF7</f>
        <v>11045.133789</v>
      </c>
      <c r="AD16" s="24">
        <f>'AEO 2023 Table 36 Raw'!AG7</f>
        <v>11100.259765999999</v>
      </c>
      <c r="AE16" s="24">
        <f>'AEO 2023 Table 36 Raw'!AH7</f>
        <v>11174.059569999999</v>
      </c>
      <c r="AF16" s="29">
        <f>'AEO 2023 Table 36 Raw'!AI7</f>
        <v>-8.9999999999999993E-3</v>
      </c>
    </row>
    <row r="17" spans="1:32" ht="15" customHeight="1">
      <c r="A17" s="18" t="s">
        <v>271</v>
      </c>
      <c r="B17" s="21" t="s">
        <v>272</v>
      </c>
      <c r="C17" s="24">
        <f>'AEO 2023 Table 36 Raw'!F8</f>
        <v>31.110834000000001</v>
      </c>
      <c r="D17" s="24">
        <f>'AEO 2023 Table 36 Raw'!G8</f>
        <v>31.640059999999998</v>
      </c>
      <c r="E17" s="24">
        <f>'AEO 2023 Table 36 Raw'!H8</f>
        <v>29.552766999999999</v>
      </c>
      <c r="F17" s="24">
        <f>'AEO 2023 Table 36 Raw'!I8</f>
        <v>29.441513</v>
      </c>
      <c r="G17" s="24">
        <f>'AEO 2023 Table 36 Raw'!J8</f>
        <v>28.728484999999999</v>
      </c>
      <c r="H17" s="24">
        <f>'AEO 2023 Table 36 Raw'!K8</f>
        <v>27.952176999999999</v>
      </c>
      <c r="I17" s="24">
        <f>'AEO 2023 Table 36 Raw'!L8</f>
        <v>27.018059000000001</v>
      </c>
      <c r="J17" s="24">
        <f>'AEO 2023 Table 36 Raw'!M8</f>
        <v>25.972712999999999</v>
      </c>
      <c r="K17" s="24">
        <f>'AEO 2023 Table 36 Raw'!N8</f>
        <v>24.873795000000001</v>
      </c>
      <c r="L17" s="24">
        <f>'AEO 2023 Table 36 Raw'!O8</f>
        <v>23.800640000000001</v>
      </c>
      <c r="M17" s="24">
        <f>'AEO 2023 Table 36 Raw'!P8</f>
        <v>22.75461</v>
      </c>
      <c r="N17" s="24">
        <f>'AEO 2023 Table 36 Raw'!Q8</f>
        <v>21.823027</v>
      </c>
      <c r="O17" s="24">
        <f>'AEO 2023 Table 36 Raw'!R8</f>
        <v>20.987984000000001</v>
      </c>
      <c r="P17" s="24">
        <f>'AEO 2023 Table 36 Raw'!S8</f>
        <v>20.244168999999999</v>
      </c>
      <c r="Q17" s="24">
        <f>'AEO 2023 Table 36 Raw'!T8</f>
        <v>19.537762000000001</v>
      </c>
      <c r="R17" s="24">
        <f>'AEO 2023 Table 36 Raw'!U8</f>
        <v>19.024712000000001</v>
      </c>
      <c r="S17" s="24">
        <f>'AEO 2023 Table 36 Raw'!V8</f>
        <v>18.648620999999999</v>
      </c>
      <c r="T17" s="24">
        <f>'AEO 2023 Table 36 Raw'!W8</f>
        <v>18.398510000000002</v>
      </c>
      <c r="U17" s="24">
        <f>'AEO 2023 Table 36 Raw'!X8</f>
        <v>18.275644</v>
      </c>
      <c r="V17" s="24">
        <f>'AEO 2023 Table 36 Raw'!Y8</f>
        <v>18.222812999999999</v>
      </c>
      <c r="W17" s="24">
        <f>'AEO 2023 Table 36 Raw'!Z8</f>
        <v>18.236134</v>
      </c>
      <c r="X17" s="24">
        <f>'AEO 2023 Table 36 Raw'!AA8</f>
        <v>18.340064999999999</v>
      </c>
      <c r="Y17" s="24">
        <f>'AEO 2023 Table 36 Raw'!AB8</f>
        <v>18.452594999999999</v>
      </c>
      <c r="Z17" s="24">
        <f>'AEO 2023 Table 36 Raw'!AC8</f>
        <v>18.609615000000002</v>
      </c>
      <c r="AA17" s="24">
        <f>'AEO 2023 Table 36 Raw'!AD8</f>
        <v>18.756809000000001</v>
      </c>
      <c r="AB17" s="24">
        <f>'AEO 2023 Table 36 Raw'!AE8</f>
        <v>19.004078</v>
      </c>
      <c r="AC17" s="24">
        <f>'AEO 2023 Table 36 Raw'!AF8</f>
        <v>19.229309000000001</v>
      </c>
      <c r="AD17" s="24">
        <f>'AEO 2023 Table 36 Raw'!AG8</f>
        <v>19.515996999999999</v>
      </c>
      <c r="AE17" s="24">
        <f>'AEO 2023 Table 36 Raw'!AH8</f>
        <v>19.788425</v>
      </c>
      <c r="AF17" s="29">
        <f>'AEO 2023 Table 36 Raw'!AI8</f>
        <v>-1.6E-2</v>
      </c>
    </row>
    <row r="18" spans="1:32" ht="15" customHeight="1">
      <c r="A18" s="18" t="s">
        <v>273</v>
      </c>
      <c r="B18" s="21" t="s">
        <v>274</v>
      </c>
      <c r="C18" s="24">
        <f>'AEO 2023 Table 36 Raw'!F9</f>
        <v>61.460402999999999</v>
      </c>
      <c r="D18" s="24">
        <f>'AEO 2023 Table 36 Raw'!G9</f>
        <v>64.699020000000004</v>
      </c>
      <c r="E18" s="24">
        <f>'AEO 2023 Table 36 Raw'!H9</f>
        <v>67.503647000000001</v>
      </c>
      <c r="F18" s="24">
        <f>'AEO 2023 Table 36 Raw'!I9</f>
        <v>70.684073999999995</v>
      </c>
      <c r="G18" s="24">
        <f>'AEO 2023 Table 36 Raw'!J9</f>
        <v>74.503555000000006</v>
      </c>
      <c r="H18" s="24">
        <f>'AEO 2023 Table 36 Raw'!K9</f>
        <v>77.632530000000003</v>
      </c>
      <c r="I18" s="24">
        <f>'AEO 2023 Table 36 Raw'!L9</f>
        <v>81.324982000000006</v>
      </c>
      <c r="J18" s="24">
        <f>'AEO 2023 Table 36 Raw'!M9</f>
        <v>84.520767000000006</v>
      </c>
      <c r="K18" s="24">
        <f>'AEO 2023 Table 36 Raw'!N9</f>
        <v>86.959732000000002</v>
      </c>
      <c r="L18" s="24">
        <f>'AEO 2023 Table 36 Raw'!O9</f>
        <v>89.758049</v>
      </c>
      <c r="M18" s="24">
        <f>'AEO 2023 Table 36 Raw'!P9</f>
        <v>91.490157999999994</v>
      </c>
      <c r="N18" s="24">
        <f>'AEO 2023 Table 36 Raw'!Q9</f>
        <v>93.247542999999993</v>
      </c>
      <c r="O18" s="24">
        <f>'AEO 2023 Table 36 Raw'!R9</f>
        <v>95.158996999999999</v>
      </c>
      <c r="P18" s="24">
        <f>'AEO 2023 Table 36 Raw'!S9</f>
        <v>96.641707999999994</v>
      </c>
      <c r="Q18" s="24">
        <f>'AEO 2023 Table 36 Raw'!T9</f>
        <v>98.053237999999993</v>
      </c>
      <c r="R18" s="24">
        <f>'AEO 2023 Table 36 Raw'!U9</f>
        <v>99.864699999999999</v>
      </c>
      <c r="S18" s="24">
        <f>'AEO 2023 Table 36 Raw'!V9</f>
        <v>101.36190000000001</v>
      </c>
      <c r="T18" s="24">
        <f>'AEO 2023 Table 36 Raw'!W9</f>
        <v>102.785622</v>
      </c>
      <c r="U18" s="24">
        <f>'AEO 2023 Table 36 Raw'!X9</f>
        <v>104.47521999999999</v>
      </c>
      <c r="V18" s="24">
        <f>'AEO 2023 Table 36 Raw'!Y9</f>
        <v>105.749611</v>
      </c>
      <c r="W18" s="24">
        <f>'AEO 2023 Table 36 Raw'!Z9</f>
        <v>107.324608</v>
      </c>
      <c r="X18" s="24">
        <f>'AEO 2023 Table 36 Raw'!AA9</f>
        <v>109.779274</v>
      </c>
      <c r="Y18" s="24">
        <f>'AEO 2023 Table 36 Raw'!AB9</f>
        <v>110.920013</v>
      </c>
      <c r="Z18" s="24">
        <f>'AEO 2023 Table 36 Raw'!AC9</f>
        <v>111.97983600000001</v>
      </c>
      <c r="AA18" s="24">
        <f>'AEO 2023 Table 36 Raw'!AD9</f>
        <v>113.441277</v>
      </c>
      <c r="AB18" s="24">
        <f>'AEO 2023 Table 36 Raw'!AE9</f>
        <v>115.037064</v>
      </c>
      <c r="AC18" s="24">
        <f>'AEO 2023 Table 36 Raw'!AF9</f>
        <v>116.75106</v>
      </c>
      <c r="AD18" s="24">
        <f>'AEO 2023 Table 36 Raw'!AG9</f>
        <v>118.593468</v>
      </c>
      <c r="AE18" s="24">
        <f>'AEO 2023 Table 36 Raw'!AH9</f>
        <v>120.69574</v>
      </c>
      <c r="AF18" s="29">
        <f>'AEO 2023 Table 36 Raw'!AI9</f>
        <v>2.4E-2</v>
      </c>
    </row>
    <row r="19" spans="1:32" ht="15" customHeight="1">
      <c r="A19" s="18" t="s">
        <v>275</v>
      </c>
      <c r="B19" s="21" t="s">
        <v>276</v>
      </c>
      <c r="C19" s="24">
        <f>'AEO 2023 Table 36 Raw'!F10</f>
        <v>0.71288799999999997</v>
      </c>
      <c r="D19" s="24">
        <f>'AEO 2023 Table 36 Raw'!G10</f>
        <v>0.67766800000000005</v>
      </c>
      <c r="E19" s="24">
        <f>'AEO 2023 Table 36 Raw'!H10</f>
        <v>0.53775200000000001</v>
      </c>
      <c r="F19" s="24">
        <f>'AEO 2023 Table 36 Raw'!I10</f>
        <v>0.51500500000000005</v>
      </c>
      <c r="G19" s="24">
        <f>'AEO 2023 Table 36 Raw'!J10</f>
        <v>0.507019</v>
      </c>
      <c r="H19" s="24">
        <f>'AEO 2023 Table 36 Raw'!K10</f>
        <v>0.49244300000000002</v>
      </c>
      <c r="I19" s="24">
        <f>'AEO 2023 Table 36 Raw'!L10</f>
        <v>0.48183900000000002</v>
      </c>
      <c r="J19" s="24">
        <f>'AEO 2023 Table 36 Raw'!M10</f>
        <v>0.470472</v>
      </c>
      <c r="K19" s="24">
        <f>'AEO 2023 Table 36 Raw'!N10</f>
        <v>0.44594200000000001</v>
      </c>
      <c r="L19" s="24">
        <f>'AEO 2023 Table 36 Raw'!O10</f>
        <v>0.44344499999999998</v>
      </c>
      <c r="M19" s="24">
        <f>'AEO 2023 Table 36 Raw'!P10</f>
        <v>0.43788300000000002</v>
      </c>
      <c r="N19" s="24">
        <f>'AEO 2023 Table 36 Raw'!Q10</f>
        <v>0.43343399999999999</v>
      </c>
      <c r="O19" s="24">
        <f>'AEO 2023 Table 36 Raw'!R10</f>
        <v>0.43173299999999998</v>
      </c>
      <c r="P19" s="24">
        <f>'AEO 2023 Table 36 Raw'!S10</f>
        <v>0.43049900000000002</v>
      </c>
      <c r="Q19" s="24">
        <f>'AEO 2023 Table 36 Raw'!T10</f>
        <v>0.42709599999999998</v>
      </c>
      <c r="R19" s="24">
        <f>'AEO 2023 Table 36 Raw'!U10</f>
        <v>0.42463099999999998</v>
      </c>
      <c r="S19" s="24">
        <f>'AEO 2023 Table 36 Raw'!V10</f>
        <v>0.42622700000000002</v>
      </c>
      <c r="T19" s="24">
        <f>'AEO 2023 Table 36 Raw'!W10</f>
        <v>0.37802400000000003</v>
      </c>
      <c r="U19" s="24">
        <f>'AEO 2023 Table 36 Raw'!X10</f>
        <v>0.33532600000000001</v>
      </c>
      <c r="V19" s="24">
        <f>'AEO 2023 Table 36 Raw'!Y10</f>
        <v>0.34005299999999999</v>
      </c>
      <c r="W19" s="24">
        <f>'AEO 2023 Table 36 Raw'!Z10</f>
        <v>0.343781</v>
      </c>
      <c r="X19" s="24">
        <f>'AEO 2023 Table 36 Raw'!AA10</f>
        <v>0.34665600000000002</v>
      </c>
      <c r="Y19" s="24">
        <f>'AEO 2023 Table 36 Raw'!AB10</f>
        <v>0.34931299999999998</v>
      </c>
      <c r="Z19" s="24">
        <f>'AEO 2023 Table 36 Raw'!AC10</f>
        <v>0.35186400000000001</v>
      </c>
      <c r="AA19" s="24">
        <f>'AEO 2023 Table 36 Raw'!AD10</f>
        <v>0.35644799999999999</v>
      </c>
      <c r="AB19" s="24">
        <f>'AEO 2023 Table 36 Raw'!AE10</f>
        <v>0.36170999999999998</v>
      </c>
      <c r="AC19" s="24">
        <f>'AEO 2023 Table 36 Raw'!AF10</f>
        <v>0.367786</v>
      </c>
      <c r="AD19" s="24">
        <f>'AEO 2023 Table 36 Raw'!AG10</f>
        <v>0.37404300000000001</v>
      </c>
      <c r="AE19" s="24">
        <f>'AEO 2023 Table 36 Raw'!AH10</f>
        <v>0.38108199999999998</v>
      </c>
      <c r="AF19" s="29">
        <f>'AEO 2023 Table 36 Raw'!AI10</f>
        <v>-2.1999999999999999E-2</v>
      </c>
    </row>
    <row r="20" spans="1:32" ht="15" customHeight="1">
      <c r="A20" s="18" t="s">
        <v>277</v>
      </c>
      <c r="B20" s="21" t="s">
        <v>278</v>
      </c>
      <c r="C20" s="24">
        <f>'AEO 2023 Table 36 Raw'!F11</f>
        <v>0.79738799999999999</v>
      </c>
      <c r="D20" s="24">
        <f>'AEO 2023 Table 36 Raw'!G11</f>
        <v>0.735487</v>
      </c>
      <c r="E20" s="24">
        <f>'AEO 2023 Table 36 Raw'!H11</f>
        <v>0.54745600000000005</v>
      </c>
      <c r="F20" s="24">
        <f>'AEO 2023 Table 36 Raw'!I11</f>
        <v>0.54066800000000004</v>
      </c>
      <c r="G20" s="24">
        <f>'AEO 2023 Table 36 Raw'!J11</f>
        <v>0.54419300000000004</v>
      </c>
      <c r="H20" s="24">
        <f>'AEO 2023 Table 36 Raw'!K11</f>
        <v>0.56128199999999995</v>
      </c>
      <c r="I20" s="24">
        <f>'AEO 2023 Table 36 Raw'!L11</f>
        <v>0.31209199999999998</v>
      </c>
      <c r="J20" s="24">
        <f>'AEO 2023 Table 36 Raw'!M11</f>
        <v>0.33013999999999999</v>
      </c>
      <c r="K20" s="24">
        <f>'AEO 2023 Table 36 Raw'!N11</f>
        <v>0.384077</v>
      </c>
      <c r="L20" s="24">
        <f>'AEO 2023 Table 36 Raw'!O11</f>
        <v>0.43762600000000001</v>
      </c>
      <c r="M20" s="24">
        <f>'AEO 2023 Table 36 Raw'!P11</f>
        <v>0.48971900000000002</v>
      </c>
      <c r="N20" s="24">
        <f>'AEO 2023 Table 36 Raw'!Q11</f>
        <v>0.54025400000000001</v>
      </c>
      <c r="O20" s="24">
        <f>'AEO 2023 Table 36 Raw'!R11</f>
        <v>0.59017699999999995</v>
      </c>
      <c r="P20" s="24">
        <f>'AEO 2023 Table 36 Raw'!S11</f>
        <v>0.63807599999999998</v>
      </c>
      <c r="Q20" s="24">
        <f>'AEO 2023 Table 36 Raw'!T11</f>
        <v>0.68416399999999999</v>
      </c>
      <c r="R20" s="24">
        <f>'AEO 2023 Table 36 Raw'!U11</f>
        <v>0.72875999999999996</v>
      </c>
      <c r="S20" s="24">
        <f>'AEO 2023 Table 36 Raw'!V11</f>
        <v>0.77158599999999999</v>
      </c>
      <c r="T20" s="24">
        <f>'AEO 2023 Table 36 Raw'!W11</f>
        <v>0.81298700000000002</v>
      </c>
      <c r="U20" s="24">
        <f>'AEO 2023 Table 36 Raw'!X11</f>
        <v>0.85285</v>
      </c>
      <c r="V20" s="24">
        <f>'AEO 2023 Table 36 Raw'!Y11</f>
        <v>0.89180899999999996</v>
      </c>
      <c r="W20" s="24">
        <f>'AEO 2023 Table 36 Raw'!Z11</f>
        <v>0.93071300000000001</v>
      </c>
      <c r="X20" s="24">
        <f>'AEO 2023 Table 36 Raw'!AA11</f>
        <v>0.96862199999999998</v>
      </c>
      <c r="Y20" s="24">
        <f>'AEO 2023 Table 36 Raw'!AB11</f>
        <v>1.007558</v>
      </c>
      <c r="Z20" s="24">
        <f>'AEO 2023 Table 36 Raw'!AC11</f>
        <v>1.0480309999999999</v>
      </c>
      <c r="AA20" s="24">
        <f>'AEO 2023 Table 36 Raw'!AD11</f>
        <v>1.0965309999999999</v>
      </c>
      <c r="AB20" s="24">
        <f>'AEO 2023 Table 36 Raw'!AE11</f>
        <v>1.1502429999999999</v>
      </c>
      <c r="AC20" s="24">
        <f>'AEO 2023 Table 36 Raw'!AF11</f>
        <v>1.2091620000000001</v>
      </c>
      <c r="AD20" s="24">
        <f>'AEO 2023 Table 36 Raw'!AG11</f>
        <v>1.2718959999999999</v>
      </c>
      <c r="AE20" s="24">
        <f>'AEO 2023 Table 36 Raw'!AH11</f>
        <v>1.341161</v>
      </c>
      <c r="AF20" s="29">
        <f>'AEO 2023 Table 36 Raw'!AI11</f>
        <v>1.9E-2</v>
      </c>
    </row>
    <row r="21" spans="1:32" ht="15" customHeight="1">
      <c r="A21" s="18" t="s">
        <v>279</v>
      </c>
      <c r="B21" s="21" t="s">
        <v>280</v>
      </c>
      <c r="C21" s="24">
        <f>'AEO 2023 Table 36 Raw'!F12</f>
        <v>32.193668000000002</v>
      </c>
      <c r="D21" s="24">
        <f>'AEO 2023 Table 36 Raw'!G12</f>
        <v>43.907116000000002</v>
      </c>
      <c r="E21" s="24">
        <f>'AEO 2023 Table 36 Raw'!H12</f>
        <v>58.529483999999997</v>
      </c>
      <c r="F21" s="24">
        <f>'AEO 2023 Table 36 Raw'!I12</f>
        <v>75.757942</v>
      </c>
      <c r="G21" s="24">
        <f>'AEO 2023 Table 36 Raw'!J12</f>
        <v>96.391159000000002</v>
      </c>
      <c r="H21" s="24">
        <f>'AEO 2023 Table 36 Raw'!K12</f>
        <v>121.066132</v>
      </c>
      <c r="I21" s="24">
        <f>'AEO 2023 Table 36 Raw'!L12</f>
        <v>149.37681599999999</v>
      </c>
      <c r="J21" s="24">
        <f>'AEO 2023 Table 36 Raw'!M12</f>
        <v>181.62849399999999</v>
      </c>
      <c r="K21" s="24">
        <f>'AEO 2023 Table 36 Raw'!N12</f>
        <v>217.248322</v>
      </c>
      <c r="L21" s="24">
        <f>'AEO 2023 Table 36 Raw'!O12</f>
        <v>249.97737100000001</v>
      </c>
      <c r="M21" s="24">
        <f>'AEO 2023 Table 36 Raw'!P12</f>
        <v>283.60272200000003</v>
      </c>
      <c r="N21" s="24">
        <f>'AEO 2023 Table 36 Raw'!Q12</f>
        <v>317.79742399999998</v>
      </c>
      <c r="O21" s="24">
        <f>'AEO 2023 Table 36 Raw'!R12</f>
        <v>352.768036</v>
      </c>
      <c r="P21" s="24">
        <f>'AEO 2023 Table 36 Raw'!S12</f>
        <v>387.34478799999999</v>
      </c>
      <c r="Q21" s="24">
        <f>'AEO 2023 Table 36 Raw'!T12</f>
        <v>420.69439699999998</v>
      </c>
      <c r="R21" s="24">
        <f>'AEO 2023 Table 36 Raw'!U12</f>
        <v>453.186218</v>
      </c>
      <c r="S21" s="24">
        <f>'AEO 2023 Table 36 Raw'!V12</f>
        <v>484.42330900000002</v>
      </c>
      <c r="T21" s="24">
        <f>'AEO 2023 Table 36 Raw'!W12</f>
        <v>513.99560499999995</v>
      </c>
      <c r="U21" s="24">
        <f>'AEO 2023 Table 36 Raw'!X12</f>
        <v>541.63085899999999</v>
      </c>
      <c r="V21" s="24">
        <f>'AEO 2023 Table 36 Raw'!Y12</f>
        <v>567.72460899999999</v>
      </c>
      <c r="W21" s="24">
        <f>'AEO 2023 Table 36 Raw'!Z12</f>
        <v>591.95019500000001</v>
      </c>
      <c r="X21" s="24">
        <f>'AEO 2023 Table 36 Raw'!AA12</f>
        <v>614.02081299999998</v>
      </c>
      <c r="Y21" s="24">
        <f>'AEO 2023 Table 36 Raw'!AB12</f>
        <v>634.53887899999995</v>
      </c>
      <c r="Z21" s="24">
        <f>'AEO 2023 Table 36 Raw'!AC12</f>
        <v>652.89733899999999</v>
      </c>
      <c r="AA21" s="24">
        <f>'AEO 2023 Table 36 Raw'!AD12</f>
        <v>671.348206</v>
      </c>
      <c r="AB21" s="24">
        <f>'AEO 2023 Table 36 Raw'!AE12</f>
        <v>688.68969700000002</v>
      </c>
      <c r="AC21" s="24">
        <f>'AEO 2023 Table 36 Raw'!AF12</f>
        <v>705.21575900000005</v>
      </c>
      <c r="AD21" s="24">
        <f>'AEO 2023 Table 36 Raw'!AG12</f>
        <v>721.08111599999995</v>
      </c>
      <c r="AE21" s="24">
        <f>'AEO 2023 Table 36 Raw'!AH12</f>
        <v>736.37286400000005</v>
      </c>
      <c r="AF21" s="29">
        <f>'AEO 2023 Table 36 Raw'!AI12</f>
        <v>0.11799999999999999</v>
      </c>
    </row>
    <row r="22" spans="1:32" ht="15" customHeight="1">
      <c r="A22" s="18" t="s">
        <v>281</v>
      </c>
      <c r="B22" s="21" t="s">
        <v>282</v>
      </c>
      <c r="C22" s="24">
        <f>'AEO 2023 Table 36 Raw'!F13</f>
        <v>0.42613899999999999</v>
      </c>
      <c r="D22" s="24">
        <f>'AEO 2023 Table 36 Raw'!G13</f>
        <v>0.51818299999999995</v>
      </c>
      <c r="E22" s="24">
        <f>'AEO 2023 Table 36 Raw'!H13</f>
        <v>0.59576700000000005</v>
      </c>
      <c r="F22" s="24">
        <f>'AEO 2023 Table 36 Raw'!I13</f>
        <v>0.66511799999999999</v>
      </c>
      <c r="G22" s="24">
        <f>'AEO 2023 Table 36 Raw'!J13</f>
        <v>0.73787199999999997</v>
      </c>
      <c r="H22" s="24">
        <f>'AEO 2023 Table 36 Raw'!K13</f>
        <v>0.80678000000000005</v>
      </c>
      <c r="I22" s="24">
        <f>'AEO 2023 Table 36 Raw'!L13</f>
        <v>0.87969799999999998</v>
      </c>
      <c r="J22" s="24">
        <f>'AEO 2023 Table 36 Raw'!M13</f>
        <v>0.94835800000000003</v>
      </c>
      <c r="K22" s="24">
        <f>'AEO 2023 Table 36 Raw'!N13</f>
        <v>1.0205519999999999</v>
      </c>
      <c r="L22" s="24">
        <f>'AEO 2023 Table 36 Raw'!O13</f>
        <v>1.0934459999999999</v>
      </c>
      <c r="M22" s="24">
        <f>'AEO 2023 Table 36 Raw'!P13</f>
        <v>1.1656569999999999</v>
      </c>
      <c r="N22" s="24">
        <f>'AEO 2023 Table 36 Raw'!Q13</f>
        <v>1.2371049999999999</v>
      </c>
      <c r="O22" s="24">
        <f>'AEO 2023 Table 36 Raw'!R13</f>
        <v>1.3096950000000001</v>
      </c>
      <c r="P22" s="24">
        <f>'AEO 2023 Table 36 Raw'!S13</f>
        <v>1.3809180000000001</v>
      </c>
      <c r="Q22" s="24">
        <f>'AEO 2023 Table 36 Raw'!T13</f>
        <v>1.4474880000000001</v>
      </c>
      <c r="R22" s="24">
        <f>'AEO 2023 Table 36 Raw'!U13</f>
        <v>1.512508</v>
      </c>
      <c r="S22" s="24">
        <f>'AEO 2023 Table 36 Raw'!V13</f>
        <v>1.570883</v>
      </c>
      <c r="T22" s="24">
        <f>'AEO 2023 Table 36 Raw'!W13</f>
        <v>1.623062</v>
      </c>
      <c r="U22" s="24">
        <f>'AEO 2023 Table 36 Raw'!X13</f>
        <v>1.665691</v>
      </c>
      <c r="V22" s="24">
        <f>'AEO 2023 Table 36 Raw'!Y13</f>
        <v>1.699897</v>
      </c>
      <c r="W22" s="24">
        <f>'AEO 2023 Table 36 Raw'!Z13</f>
        <v>1.7316929999999999</v>
      </c>
      <c r="X22" s="24">
        <f>'AEO 2023 Table 36 Raw'!AA13</f>
        <v>1.7536229999999999</v>
      </c>
      <c r="Y22" s="24">
        <f>'AEO 2023 Table 36 Raw'!AB13</f>
        <v>1.769871</v>
      </c>
      <c r="Z22" s="24">
        <f>'AEO 2023 Table 36 Raw'!AC13</f>
        <v>1.7791170000000001</v>
      </c>
      <c r="AA22" s="24">
        <f>'AEO 2023 Table 36 Raw'!AD13</f>
        <v>1.7894969999999999</v>
      </c>
      <c r="AB22" s="24">
        <f>'AEO 2023 Table 36 Raw'!AE13</f>
        <v>1.800149</v>
      </c>
      <c r="AC22" s="24">
        <f>'AEO 2023 Table 36 Raw'!AF13</f>
        <v>1.8077129999999999</v>
      </c>
      <c r="AD22" s="24">
        <f>'AEO 2023 Table 36 Raw'!AG13</f>
        <v>1.8132870000000001</v>
      </c>
      <c r="AE22" s="24">
        <f>'AEO 2023 Table 36 Raw'!AH13</f>
        <v>1.8167770000000001</v>
      </c>
      <c r="AF22" s="29">
        <f>'AEO 2023 Table 36 Raw'!AI13</f>
        <v>5.2999999999999999E-2</v>
      </c>
    </row>
    <row r="23" spans="1:32" ht="12" customHeight="1">
      <c r="C23" s="24"/>
      <c r="D23" s="24"/>
      <c r="E23" s="24"/>
      <c r="F23" s="24"/>
      <c r="G23" s="24"/>
      <c r="H23" s="24"/>
      <c r="I23" s="24"/>
      <c r="J23" s="24"/>
      <c r="K23" s="24"/>
      <c r="L23" s="24"/>
      <c r="M23" s="24"/>
      <c r="N23" s="24"/>
      <c r="O23" s="24"/>
      <c r="P23" s="24"/>
      <c r="Q23" s="24"/>
      <c r="R23" s="24"/>
      <c r="S23" s="24"/>
      <c r="T23" s="24"/>
      <c r="U23" s="24"/>
      <c r="V23" s="24"/>
      <c r="W23" s="24"/>
      <c r="X23" s="24"/>
      <c r="Y23" s="24"/>
      <c r="Z23" s="24"/>
      <c r="AA23" s="24"/>
      <c r="AB23" s="24"/>
      <c r="AC23" s="24"/>
      <c r="AD23" s="24"/>
      <c r="AE23" s="24"/>
      <c r="AF23" s="29"/>
    </row>
    <row r="24" spans="1:32" ht="15" customHeight="1">
      <c r="A24" s="18" t="s">
        <v>283</v>
      </c>
      <c r="B24" s="20" t="s">
        <v>284</v>
      </c>
      <c r="C24" s="24">
        <f>'AEO 2023 Table 36 Raw'!F14</f>
        <v>951.50280799999996</v>
      </c>
      <c r="D24" s="24">
        <f>'AEO 2023 Table 36 Raw'!G14</f>
        <v>942.55828899999995</v>
      </c>
      <c r="E24" s="24">
        <f>'AEO 2023 Table 36 Raw'!H14</f>
        <v>925.34039299999995</v>
      </c>
      <c r="F24" s="24">
        <f>'AEO 2023 Table 36 Raw'!I14</f>
        <v>912.45153800000003</v>
      </c>
      <c r="G24" s="24">
        <f>'AEO 2023 Table 36 Raw'!J14</f>
        <v>903.11096199999997</v>
      </c>
      <c r="H24" s="24">
        <f>'AEO 2023 Table 36 Raw'!K14</f>
        <v>894.80664100000001</v>
      </c>
      <c r="I24" s="24">
        <f>'AEO 2023 Table 36 Raw'!L14</f>
        <v>888.38452099999995</v>
      </c>
      <c r="J24" s="24">
        <f>'AEO 2023 Table 36 Raw'!M14</f>
        <v>882.99560499999995</v>
      </c>
      <c r="K24" s="24">
        <f>'AEO 2023 Table 36 Raw'!N14</f>
        <v>877.03247099999999</v>
      </c>
      <c r="L24" s="24">
        <f>'AEO 2023 Table 36 Raw'!O14</f>
        <v>872.79089399999998</v>
      </c>
      <c r="M24" s="24">
        <f>'AEO 2023 Table 36 Raw'!P14</f>
        <v>871.79064900000003</v>
      </c>
      <c r="N24" s="24">
        <f>'AEO 2023 Table 36 Raw'!Q14</f>
        <v>871.86755400000004</v>
      </c>
      <c r="O24" s="24">
        <f>'AEO 2023 Table 36 Raw'!R14</f>
        <v>873.03363000000002</v>
      </c>
      <c r="P24" s="24">
        <f>'AEO 2023 Table 36 Raw'!S14</f>
        <v>875.073486</v>
      </c>
      <c r="Q24" s="24">
        <f>'AEO 2023 Table 36 Raw'!T14</f>
        <v>877.49945100000002</v>
      </c>
      <c r="R24" s="24">
        <f>'AEO 2023 Table 36 Raw'!U14</f>
        <v>881.02331500000003</v>
      </c>
      <c r="S24" s="24">
        <f>'AEO 2023 Table 36 Raw'!V14</f>
        <v>885.54095500000005</v>
      </c>
      <c r="T24" s="24">
        <f>'AEO 2023 Table 36 Raw'!W14</f>
        <v>889.79608199999996</v>
      </c>
      <c r="U24" s="24">
        <f>'AEO 2023 Table 36 Raw'!X14</f>
        <v>896.14636199999995</v>
      </c>
      <c r="V24" s="24">
        <f>'AEO 2023 Table 36 Raw'!Y14</f>
        <v>903.92437700000005</v>
      </c>
      <c r="W24" s="24">
        <f>'AEO 2023 Table 36 Raw'!Z14</f>
        <v>911.92645300000004</v>
      </c>
      <c r="X24" s="24">
        <f>'AEO 2023 Table 36 Raw'!AA14</f>
        <v>919.04620399999999</v>
      </c>
      <c r="Y24" s="24">
        <f>'AEO 2023 Table 36 Raw'!AB14</f>
        <v>925.47399900000005</v>
      </c>
      <c r="Z24" s="24">
        <f>'AEO 2023 Table 36 Raw'!AC14</f>
        <v>932.77233899999999</v>
      </c>
      <c r="AA24" s="24">
        <f>'AEO 2023 Table 36 Raw'!AD14</f>
        <v>941.28070100000002</v>
      </c>
      <c r="AB24" s="24">
        <f>'AEO 2023 Table 36 Raw'!AE14</f>
        <v>951.49883999999997</v>
      </c>
      <c r="AC24" s="24">
        <f>'AEO 2023 Table 36 Raw'!AF14</f>
        <v>960.51415999999995</v>
      </c>
      <c r="AD24" s="24">
        <f>'AEO 2023 Table 36 Raw'!AG14</f>
        <v>969.57879600000001</v>
      </c>
      <c r="AE24" s="24">
        <f>'AEO 2023 Table 36 Raw'!AH14</f>
        <v>981.59570299999996</v>
      </c>
      <c r="AF24" s="29">
        <f>'AEO 2023 Table 36 Raw'!AI14</f>
        <v>1E-3</v>
      </c>
    </row>
    <row r="25" spans="1:32" ht="15" customHeight="1">
      <c r="A25" s="18" t="s">
        <v>285</v>
      </c>
      <c r="B25" s="21" t="s">
        <v>270</v>
      </c>
      <c r="C25" s="24">
        <f>'AEO 2023 Table 36 Raw'!F15</f>
        <v>657.76745600000004</v>
      </c>
      <c r="D25" s="24">
        <f>'AEO 2023 Table 36 Raw'!G15</f>
        <v>651.25982699999997</v>
      </c>
      <c r="E25" s="24">
        <f>'AEO 2023 Table 36 Raw'!H15</f>
        <v>640.80761700000005</v>
      </c>
      <c r="F25" s="24">
        <f>'AEO 2023 Table 36 Raw'!I15</f>
        <v>634.44543499999997</v>
      </c>
      <c r="G25" s="24">
        <f>'AEO 2023 Table 36 Raw'!J15</f>
        <v>630.82428000000004</v>
      </c>
      <c r="H25" s="24">
        <f>'AEO 2023 Table 36 Raw'!K15</f>
        <v>624.78125</v>
      </c>
      <c r="I25" s="24">
        <f>'AEO 2023 Table 36 Raw'!L15</f>
        <v>620.947632</v>
      </c>
      <c r="J25" s="24">
        <f>'AEO 2023 Table 36 Raw'!M15</f>
        <v>618.08074999999997</v>
      </c>
      <c r="K25" s="24">
        <f>'AEO 2023 Table 36 Raw'!N15</f>
        <v>615.03594999999996</v>
      </c>
      <c r="L25" s="24">
        <f>'AEO 2023 Table 36 Raw'!O15</f>
        <v>613.48315400000001</v>
      </c>
      <c r="M25" s="24">
        <f>'AEO 2023 Table 36 Raw'!P15</f>
        <v>614.07128899999998</v>
      </c>
      <c r="N25" s="24">
        <f>'AEO 2023 Table 36 Raw'!Q15</f>
        <v>615.42193599999996</v>
      </c>
      <c r="O25" s="24">
        <f>'AEO 2023 Table 36 Raw'!R15</f>
        <v>617.641479</v>
      </c>
      <c r="P25" s="24">
        <f>'AEO 2023 Table 36 Raw'!S15</f>
        <v>620.38317900000004</v>
      </c>
      <c r="Q25" s="24">
        <f>'AEO 2023 Table 36 Raw'!T15</f>
        <v>623.32220500000005</v>
      </c>
      <c r="R25" s="24">
        <f>'AEO 2023 Table 36 Raw'!U15</f>
        <v>627.02630599999998</v>
      </c>
      <c r="S25" s="24">
        <f>'AEO 2023 Table 36 Raw'!V15</f>
        <v>631.23345900000004</v>
      </c>
      <c r="T25" s="24">
        <f>'AEO 2023 Table 36 Raw'!W15</f>
        <v>635.20404099999996</v>
      </c>
      <c r="U25" s="24">
        <f>'AEO 2023 Table 36 Raw'!X15</f>
        <v>640.80859399999997</v>
      </c>
      <c r="V25" s="24">
        <f>'AEO 2023 Table 36 Raw'!Y15</f>
        <v>646.77948000000004</v>
      </c>
      <c r="W25" s="24">
        <f>'AEO 2023 Table 36 Raw'!Z15</f>
        <v>653.38256799999999</v>
      </c>
      <c r="X25" s="24">
        <f>'AEO 2023 Table 36 Raw'!AA15</f>
        <v>659.03369099999998</v>
      </c>
      <c r="Y25" s="24">
        <f>'AEO 2023 Table 36 Raw'!AB15</f>
        <v>663.90283199999999</v>
      </c>
      <c r="Z25" s="24">
        <f>'AEO 2023 Table 36 Raw'!AC15</f>
        <v>669.03552200000001</v>
      </c>
      <c r="AA25" s="24">
        <f>'AEO 2023 Table 36 Raw'!AD15</f>
        <v>675.10998500000005</v>
      </c>
      <c r="AB25" s="24">
        <f>'AEO 2023 Table 36 Raw'!AE15</f>
        <v>682.46606399999996</v>
      </c>
      <c r="AC25" s="24">
        <f>'AEO 2023 Table 36 Raw'!AF15</f>
        <v>688.97082499999999</v>
      </c>
      <c r="AD25" s="24">
        <f>'AEO 2023 Table 36 Raw'!AG15</f>
        <v>695.63995399999999</v>
      </c>
      <c r="AE25" s="24">
        <f>'AEO 2023 Table 36 Raw'!AH15</f>
        <v>704.23315400000001</v>
      </c>
      <c r="AF25" s="29">
        <f>'AEO 2023 Table 36 Raw'!AI15</f>
        <v>2E-3</v>
      </c>
    </row>
    <row r="26" spans="1:32" ht="15" customHeight="1">
      <c r="A26" s="18" t="s">
        <v>286</v>
      </c>
      <c r="B26" s="21" t="s">
        <v>272</v>
      </c>
      <c r="C26" s="24">
        <f>'AEO 2023 Table 36 Raw'!F16</f>
        <v>3.5136699999999998</v>
      </c>
      <c r="D26" s="24">
        <f>'AEO 2023 Table 36 Raw'!G16</f>
        <v>3.389497</v>
      </c>
      <c r="E26" s="24">
        <f>'AEO 2023 Table 36 Raw'!H16</f>
        <v>2.991625</v>
      </c>
      <c r="F26" s="24">
        <f>'AEO 2023 Table 36 Raw'!I16</f>
        <v>2.9037060000000001</v>
      </c>
      <c r="G26" s="24">
        <f>'AEO 2023 Table 36 Raw'!J16</f>
        <v>2.7676799999999999</v>
      </c>
      <c r="H26" s="24">
        <f>'AEO 2023 Table 36 Raw'!K16</f>
        <v>2.7080980000000001</v>
      </c>
      <c r="I26" s="24">
        <f>'AEO 2023 Table 36 Raw'!L16</f>
        <v>2.6648450000000001</v>
      </c>
      <c r="J26" s="24">
        <f>'AEO 2023 Table 36 Raw'!M16</f>
        <v>2.6710020000000001</v>
      </c>
      <c r="K26" s="24">
        <f>'AEO 2023 Table 36 Raw'!N16</f>
        <v>2.68058</v>
      </c>
      <c r="L26" s="24">
        <f>'AEO 2023 Table 36 Raw'!O16</f>
        <v>2.705457</v>
      </c>
      <c r="M26" s="24">
        <f>'AEO 2023 Table 36 Raw'!P16</f>
        <v>2.745193</v>
      </c>
      <c r="N26" s="24">
        <f>'AEO 2023 Table 36 Raw'!Q16</f>
        <v>2.803118</v>
      </c>
      <c r="O26" s="24">
        <f>'AEO 2023 Table 36 Raw'!R16</f>
        <v>2.8754189999999999</v>
      </c>
      <c r="P26" s="24">
        <f>'AEO 2023 Table 36 Raw'!S16</f>
        <v>2.972388</v>
      </c>
      <c r="Q26" s="24">
        <f>'AEO 2023 Table 36 Raw'!T16</f>
        <v>3.075218</v>
      </c>
      <c r="R26" s="24">
        <f>'AEO 2023 Table 36 Raw'!U16</f>
        <v>3.2065070000000002</v>
      </c>
      <c r="S26" s="24">
        <f>'AEO 2023 Table 36 Raw'!V16</f>
        <v>3.3501609999999999</v>
      </c>
      <c r="T26" s="24">
        <f>'AEO 2023 Table 36 Raw'!W16</f>
        <v>3.5010400000000002</v>
      </c>
      <c r="U26" s="24">
        <f>'AEO 2023 Table 36 Raw'!X16</f>
        <v>3.6667809999999998</v>
      </c>
      <c r="V26" s="24">
        <f>'AEO 2023 Table 36 Raw'!Y16</f>
        <v>3.843432</v>
      </c>
      <c r="W26" s="24">
        <f>'AEO 2023 Table 36 Raw'!Z16</f>
        <v>4.0169430000000004</v>
      </c>
      <c r="X26" s="24">
        <f>'AEO 2023 Table 36 Raw'!AA16</f>
        <v>4.194909</v>
      </c>
      <c r="Y26" s="24">
        <f>'AEO 2023 Table 36 Raw'!AB16</f>
        <v>4.3540520000000003</v>
      </c>
      <c r="Z26" s="24">
        <f>'AEO 2023 Table 36 Raw'!AC16</f>
        <v>4.5155190000000003</v>
      </c>
      <c r="AA26" s="24">
        <f>'AEO 2023 Table 36 Raw'!AD16</f>
        <v>4.6677289999999996</v>
      </c>
      <c r="AB26" s="24">
        <f>'AEO 2023 Table 36 Raw'!AE16</f>
        <v>4.8359430000000003</v>
      </c>
      <c r="AC26" s="24">
        <f>'AEO 2023 Table 36 Raw'!AF16</f>
        <v>4.9793599999999998</v>
      </c>
      <c r="AD26" s="24">
        <f>'AEO 2023 Table 36 Raw'!AG16</f>
        <v>5.1316860000000002</v>
      </c>
      <c r="AE26" s="24">
        <f>'AEO 2023 Table 36 Raw'!AH16</f>
        <v>5.2824540000000004</v>
      </c>
      <c r="AF26" s="29">
        <f>'AEO 2023 Table 36 Raw'!AI16</f>
        <v>1.4999999999999999E-2</v>
      </c>
    </row>
    <row r="27" spans="1:32" ht="15" customHeight="1">
      <c r="A27" s="18" t="s">
        <v>287</v>
      </c>
      <c r="B27" s="21" t="s">
        <v>274</v>
      </c>
      <c r="C27" s="24">
        <f>'AEO 2023 Table 36 Raw'!F17</f>
        <v>289.12039199999998</v>
      </c>
      <c r="D27" s="24">
        <f>'AEO 2023 Table 36 Raw'!G17</f>
        <v>286.82144199999999</v>
      </c>
      <c r="E27" s="24">
        <f>'AEO 2023 Table 36 Raw'!H17</f>
        <v>280.46920799999998</v>
      </c>
      <c r="F27" s="24">
        <f>'AEO 2023 Table 36 Raw'!I17</f>
        <v>274.07836900000001</v>
      </c>
      <c r="G27" s="24">
        <f>'AEO 2023 Table 36 Raw'!J17</f>
        <v>268.54092400000002</v>
      </c>
      <c r="H27" s="24">
        <f>'AEO 2023 Table 36 Raw'!K17</f>
        <v>266.37576300000001</v>
      </c>
      <c r="I27" s="24">
        <f>'AEO 2023 Table 36 Raw'!L17</f>
        <v>263.84298699999999</v>
      </c>
      <c r="J27" s="24">
        <f>'AEO 2023 Table 36 Raw'!M17</f>
        <v>261.31542999999999</v>
      </c>
      <c r="K27" s="24">
        <f>'AEO 2023 Table 36 Raw'!N17</f>
        <v>258.401184</v>
      </c>
      <c r="L27" s="24">
        <f>'AEO 2023 Table 36 Raw'!O17</f>
        <v>255.69387800000001</v>
      </c>
      <c r="M27" s="24">
        <f>'AEO 2023 Table 36 Raw'!P17</f>
        <v>254.05813599999999</v>
      </c>
      <c r="N27" s="24">
        <f>'AEO 2023 Table 36 Raw'!Q17</f>
        <v>252.705139</v>
      </c>
      <c r="O27" s="24">
        <f>'AEO 2023 Table 36 Raw'!R17</f>
        <v>251.542633</v>
      </c>
      <c r="P27" s="24">
        <f>'AEO 2023 Table 36 Raw'!S17</f>
        <v>250.69047499999999</v>
      </c>
      <c r="Q27" s="24">
        <f>'AEO 2023 Table 36 Raw'!T17</f>
        <v>250.00555399999999</v>
      </c>
      <c r="R27" s="24">
        <f>'AEO 2023 Table 36 Raw'!U17</f>
        <v>249.60524000000001</v>
      </c>
      <c r="S27" s="24">
        <f>'AEO 2023 Table 36 Raw'!V17</f>
        <v>249.66021699999999</v>
      </c>
      <c r="T27" s="24">
        <f>'AEO 2023 Table 36 Raw'!W17</f>
        <v>249.65734900000001</v>
      </c>
      <c r="U27" s="24">
        <f>'AEO 2023 Table 36 Raw'!X17</f>
        <v>250.07077000000001</v>
      </c>
      <c r="V27" s="24">
        <f>'AEO 2023 Table 36 Raw'!Y17</f>
        <v>251.505585</v>
      </c>
      <c r="W27" s="24">
        <f>'AEO 2023 Table 36 Raw'!Z17</f>
        <v>252.50730899999999</v>
      </c>
      <c r="X27" s="24">
        <f>'AEO 2023 Table 36 Raw'!AA17</f>
        <v>253.54638700000001</v>
      </c>
      <c r="Y27" s="24">
        <f>'AEO 2023 Table 36 Raw'!AB17</f>
        <v>254.66670199999999</v>
      </c>
      <c r="Z27" s="24">
        <f>'AEO 2023 Table 36 Raw'!AC17</f>
        <v>256.36206099999998</v>
      </c>
      <c r="AA27" s="24">
        <f>'AEO 2023 Table 36 Raw'!AD17</f>
        <v>258.30450400000001</v>
      </c>
      <c r="AB27" s="24">
        <f>'AEO 2023 Table 36 Raw'!AE17</f>
        <v>260.63464399999998</v>
      </c>
      <c r="AC27" s="24">
        <f>'AEO 2023 Table 36 Raw'!AF17</f>
        <v>262.62152099999997</v>
      </c>
      <c r="AD27" s="24">
        <f>'AEO 2023 Table 36 Raw'!AG17</f>
        <v>264.464203</v>
      </c>
      <c r="AE27" s="24">
        <f>'AEO 2023 Table 36 Raw'!AH17</f>
        <v>267.307861</v>
      </c>
      <c r="AF27" s="29">
        <f>'AEO 2023 Table 36 Raw'!AI17</f>
        <v>-3.0000000000000001E-3</v>
      </c>
    </row>
    <row r="28" spans="1:32" ht="15" customHeight="1">
      <c r="A28" s="18" t="s">
        <v>288</v>
      </c>
      <c r="B28" s="21" t="s">
        <v>278</v>
      </c>
      <c r="C28" s="24">
        <f>'AEO 2023 Table 36 Raw'!F18</f>
        <v>1.1919999999999999E-3</v>
      </c>
      <c r="D28" s="24">
        <f>'AEO 2023 Table 36 Raw'!G18</f>
        <v>5.9367000000000003E-2</v>
      </c>
      <c r="E28" s="24">
        <f>'AEO 2023 Table 36 Raw'!H18</f>
        <v>0.11705</v>
      </c>
      <c r="F28" s="24">
        <f>'AEO 2023 Table 36 Raw'!I18</f>
        <v>0.17241300000000001</v>
      </c>
      <c r="G28" s="24">
        <f>'AEO 2023 Table 36 Raw'!J18</f>
        <v>0.22949800000000001</v>
      </c>
      <c r="H28" s="24">
        <f>'AEO 2023 Table 36 Raw'!K18</f>
        <v>0.28361900000000001</v>
      </c>
      <c r="I28" s="24">
        <f>'AEO 2023 Table 36 Raw'!L18</f>
        <v>0.33646300000000001</v>
      </c>
      <c r="J28" s="24">
        <f>'AEO 2023 Table 36 Raw'!M18</f>
        <v>0.39336500000000002</v>
      </c>
      <c r="K28" s="24">
        <f>'AEO 2023 Table 36 Raw'!N18</f>
        <v>0.43659700000000001</v>
      </c>
      <c r="L28" s="24">
        <f>'AEO 2023 Table 36 Raw'!O18</f>
        <v>0.48442800000000003</v>
      </c>
      <c r="M28" s="24">
        <f>'AEO 2023 Table 36 Raw'!P18</f>
        <v>0.53945200000000004</v>
      </c>
      <c r="N28" s="24">
        <f>'AEO 2023 Table 36 Raw'!Q18</f>
        <v>0.60183900000000001</v>
      </c>
      <c r="O28" s="24">
        <f>'AEO 2023 Table 36 Raw'!R18</f>
        <v>0.67321399999999998</v>
      </c>
      <c r="P28" s="24">
        <f>'AEO 2023 Table 36 Raw'!S18</f>
        <v>0.75634199999999996</v>
      </c>
      <c r="Q28" s="24">
        <f>'AEO 2023 Table 36 Raw'!T18</f>
        <v>0.853271</v>
      </c>
      <c r="R28" s="24">
        <f>'AEO 2023 Table 36 Raw'!U18</f>
        <v>0.96770199999999995</v>
      </c>
      <c r="S28" s="24">
        <f>'AEO 2023 Table 36 Raw'!V18</f>
        <v>1.1022019999999999</v>
      </c>
      <c r="T28" s="24">
        <f>'AEO 2023 Table 36 Raw'!W18</f>
        <v>1.257558</v>
      </c>
      <c r="U28" s="24">
        <f>'AEO 2023 Table 36 Raw'!X18</f>
        <v>1.4395659999999999</v>
      </c>
      <c r="V28" s="24">
        <f>'AEO 2023 Table 36 Raw'!Y18</f>
        <v>1.649748</v>
      </c>
      <c r="W28" s="24">
        <f>'AEO 2023 Table 36 Raw'!Z18</f>
        <v>1.8861079999999999</v>
      </c>
      <c r="X28" s="24">
        <f>'AEO 2023 Table 36 Raw'!AA18</f>
        <v>2.1497600000000001</v>
      </c>
      <c r="Y28" s="24">
        <f>'AEO 2023 Table 36 Raw'!AB18</f>
        <v>2.4400059999999999</v>
      </c>
      <c r="Z28" s="24">
        <f>'AEO 2023 Table 36 Raw'!AC18</f>
        <v>2.7592599999999998</v>
      </c>
      <c r="AA28" s="24">
        <f>'AEO 2023 Table 36 Raw'!AD18</f>
        <v>3.1105109999999998</v>
      </c>
      <c r="AB28" s="24">
        <f>'AEO 2023 Table 36 Raw'!AE18</f>
        <v>3.4898639999999999</v>
      </c>
      <c r="AC28" s="24">
        <f>'AEO 2023 Table 36 Raw'!AF18</f>
        <v>3.885303</v>
      </c>
      <c r="AD28" s="24">
        <f>'AEO 2023 Table 36 Raw'!AG18</f>
        <v>4.2978630000000004</v>
      </c>
      <c r="AE28" s="24">
        <f>'AEO 2023 Table 36 Raw'!AH18</f>
        <v>4.7380370000000003</v>
      </c>
      <c r="AF28" s="29">
        <f>'AEO 2023 Table 36 Raw'!AI18</f>
        <v>0.34399999999999997</v>
      </c>
    </row>
    <row r="29" spans="1:32" ht="15" customHeight="1">
      <c r="A29" s="18" t="s">
        <v>289</v>
      </c>
      <c r="B29" s="21" t="s">
        <v>276</v>
      </c>
      <c r="C29" s="24">
        <f>'AEO 2023 Table 36 Raw'!F19</f>
        <v>1.100109</v>
      </c>
      <c r="D29" s="24">
        <f>'AEO 2023 Table 36 Raw'!G19</f>
        <v>1.0280959999999999</v>
      </c>
      <c r="E29" s="24">
        <f>'AEO 2023 Table 36 Raw'!H19</f>
        <v>0.95485699999999996</v>
      </c>
      <c r="F29" s="24">
        <f>'AEO 2023 Table 36 Raw'!I19</f>
        <v>0.85162800000000005</v>
      </c>
      <c r="G29" s="24">
        <f>'AEO 2023 Table 36 Raw'!J19</f>
        <v>0.74851699999999999</v>
      </c>
      <c r="H29" s="24">
        <f>'AEO 2023 Table 36 Raw'!K19</f>
        <v>0.657968</v>
      </c>
      <c r="I29" s="24">
        <f>'AEO 2023 Table 36 Raw'!L19</f>
        <v>0.59255500000000005</v>
      </c>
      <c r="J29" s="24">
        <f>'AEO 2023 Table 36 Raw'!M19</f>
        <v>0.53501100000000001</v>
      </c>
      <c r="K29" s="24">
        <f>'AEO 2023 Table 36 Raw'!N19</f>
        <v>0.478159</v>
      </c>
      <c r="L29" s="24">
        <f>'AEO 2023 Table 36 Raw'!O19</f>
        <v>0.42399300000000001</v>
      </c>
      <c r="M29" s="24">
        <f>'AEO 2023 Table 36 Raw'!P19</f>
        <v>0.376664</v>
      </c>
      <c r="N29" s="24">
        <f>'AEO 2023 Table 36 Raw'!Q19</f>
        <v>0.33548499999999998</v>
      </c>
      <c r="O29" s="24">
        <f>'AEO 2023 Table 36 Raw'!R19</f>
        <v>0.30089100000000002</v>
      </c>
      <c r="P29" s="24">
        <f>'AEO 2023 Table 36 Raw'!S19</f>
        <v>0.27107300000000001</v>
      </c>
      <c r="Q29" s="24">
        <f>'AEO 2023 Table 36 Raw'!T19</f>
        <v>0.243198</v>
      </c>
      <c r="R29" s="24">
        <f>'AEO 2023 Table 36 Raw'!U19</f>
        <v>0.217586</v>
      </c>
      <c r="S29" s="24">
        <f>'AEO 2023 Table 36 Raw'!V19</f>
        <v>0.19492699999999999</v>
      </c>
      <c r="T29" s="24">
        <f>'AEO 2023 Table 36 Raw'!W19</f>
        <v>0.17607900000000001</v>
      </c>
      <c r="U29" s="24">
        <f>'AEO 2023 Table 36 Raw'!X19</f>
        <v>0.160581</v>
      </c>
      <c r="V29" s="24">
        <f>'AEO 2023 Table 36 Raw'!Y19</f>
        <v>0.14618200000000001</v>
      </c>
      <c r="W29" s="24">
        <f>'AEO 2023 Table 36 Raw'!Z19</f>
        <v>0.133464</v>
      </c>
      <c r="X29" s="24">
        <f>'AEO 2023 Table 36 Raw'!AA19</f>
        <v>0.121475</v>
      </c>
      <c r="Y29" s="24">
        <f>'AEO 2023 Table 36 Raw'!AB19</f>
        <v>0.110383</v>
      </c>
      <c r="Z29" s="24">
        <f>'AEO 2023 Table 36 Raw'!AC19</f>
        <v>9.9973999999999993E-2</v>
      </c>
      <c r="AA29" s="24">
        <f>'AEO 2023 Table 36 Raw'!AD19</f>
        <v>8.7946999999999997E-2</v>
      </c>
      <c r="AB29" s="24">
        <f>'AEO 2023 Table 36 Raw'!AE19</f>
        <v>7.2319999999999995E-2</v>
      </c>
      <c r="AC29" s="24">
        <f>'AEO 2023 Table 36 Raw'!AF19</f>
        <v>5.7146000000000002E-2</v>
      </c>
      <c r="AD29" s="24">
        <f>'AEO 2023 Table 36 Raw'!AG19</f>
        <v>4.5075999999999998E-2</v>
      </c>
      <c r="AE29" s="24">
        <f>'AEO 2023 Table 36 Raw'!AH19</f>
        <v>3.4169999999999999E-2</v>
      </c>
      <c r="AF29" s="29">
        <f>'AEO 2023 Table 36 Raw'!AI19</f>
        <v>-0.11700000000000001</v>
      </c>
    </row>
    <row r="30" spans="1:32" ht="15" customHeight="1">
      <c r="A30" s="18" t="s">
        <v>290</v>
      </c>
      <c r="B30" s="21" t="s">
        <v>280</v>
      </c>
      <c r="C30" s="24">
        <f>'AEO 2023 Table 36 Raw'!F20</f>
        <v>0</v>
      </c>
      <c r="D30" s="24">
        <f>'AEO 2023 Table 36 Raw'!G20</f>
        <v>0</v>
      </c>
      <c r="E30" s="24">
        <f>'AEO 2023 Table 36 Raw'!H20</f>
        <v>0</v>
      </c>
      <c r="F30" s="24">
        <f>'AEO 2023 Table 36 Raw'!I20</f>
        <v>0</v>
      </c>
      <c r="G30" s="24">
        <f>'AEO 2023 Table 36 Raw'!J20</f>
        <v>0</v>
      </c>
      <c r="H30" s="24">
        <f>'AEO 2023 Table 36 Raw'!K20</f>
        <v>0</v>
      </c>
      <c r="I30" s="24">
        <f>'AEO 2023 Table 36 Raw'!L20</f>
        <v>0</v>
      </c>
      <c r="J30" s="24">
        <f>'AEO 2023 Table 36 Raw'!M20</f>
        <v>0</v>
      </c>
      <c r="K30" s="24">
        <f>'AEO 2023 Table 36 Raw'!N20</f>
        <v>0</v>
      </c>
      <c r="L30" s="24">
        <f>'AEO 2023 Table 36 Raw'!O20</f>
        <v>0</v>
      </c>
      <c r="M30" s="24">
        <f>'AEO 2023 Table 36 Raw'!P20</f>
        <v>0</v>
      </c>
      <c r="N30" s="24">
        <f>'AEO 2023 Table 36 Raw'!Q20</f>
        <v>0</v>
      </c>
      <c r="O30" s="24">
        <f>'AEO 2023 Table 36 Raw'!R20</f>
        <v>0</v>
      </c>
      <c r="P30" s="24">
        <f>'AEO 2023 Table 36 Raw'!S20</f>
        <v>0</v>
      </c>
      <c r="Q30" s="24">
        <f>'AEO 2023 Table 36 Raw'!T20</f>
        <v>0</v>
      </c>
      <c r="R30" s="24">
        <f>'AEO 2023 Table 36 Raw'!U20</f>
        <v>0</v>
      </c>
      <c r="S30" s="24">
        <f>'AEO 2023 Table 36 Raw'!V20</f>
        <v>0</v>
      </c>
      <c r="T30" s="24">
        <f>'AEO 2023 Table 36 Raw'!W20</f>
        <v>0</v>
      </c>
      <c r="U30" s="24">
        <f>'AEO 2023 Table 36 Raw'!X20</f>
        <v>0</v>
      </c>
      <c r="V30" s="24">
        <f>'AEO 2023 Table 36 Raw'!Y20</f>
        <v>0</v>
      </c>
      <c r="W30" s="24">
        <f>'AEO 2023 Table 36 Raw'!Z20</f>
        <v>0</v>
      </c>
      <c r="X30" s="24">
        <f>'AEO 2023 Table 36 Raw'!AA20</f>
        <v>0</v>
      </c>
      <c r="Y30" s="24">
        <f>'AEO 2023 Table 36 Raw'!AB20</f>
        <v>0</v>
      </c>
      <c r="Z30" s="24">
        <f>'AEO 2023 Table 36 Raw'!AC20</f>
        <v>0</v>
      </c>
      <c r="AA30" s="24">
        <f>'AEO 2023 Table 36 Raw'!AD20</f>
        <v>0</v>
      </c>
      <c r="AB30" s="24">
        <f>'AEO 2023 Table 36 Raw'!AE20</f>
        <v>0</v>
      </c>
      <c r="AC30" s="24">
        <f>'AEO 2023 Table 36 Raw'!AF20</f>
        <v>0</v>
      </c>
      <c r="AD30" s="24">
        <f>'AEO 2023 Table 36 Raw'!AG20</f>
        <v>0</v>
      </c>
      <c r="AE30" s="24">
        <f>'AEO 2023 Table 36 Raw'!AH20</f>
        <v>0</v>
      </c>
      <c r="AF30" s="29" t="str">
        <f>'AEO 2023 Table 36 Raw'!AI20</f>
        <v>- -</v>
      </c>
    </row>
    <row r="31" spans="1:32" ht="15" customHeight="1">
      <c r="A31" s="18" t="s">
        <v>291</v>
      </c>
      <c r="B31" s="21" t="s">
        <v>282</v>
      </c>
      <c r="C31" s="24">
        <f>'AEO 2023 Table 36 Raw'!F21</f>
        <v>0</v>
      </c>
      <c r="D31" s="24">
        <f>'AEO 2023 Table 36 Raw'!G21</f>
        <v>0</v>
      </c>
      <c r="E31" s="24">
        <f>'AEO 2023 Table 36 Raw'!H21</f>
        <v>0</v>
      </c>
      <c r="F31" s="24">
        <f>'AEO 2023 Table 36 Raw'!I21</f>
        <v>0</v>
      </c>
      <c r="G31" s="24">
        <f>'AEO 2023 Table 36 Raw'!J21</f>
        <v>0</v>
      </c>
      <c r="H31" s="24">
        <f>'AEO 2023 Table 36 Raw'!K21</f>
        <v>0</v>
      </c>
      <c r="I31" s="24">
        <f>'AEO 2023 Table 36 Raw'!L21</f>
        <v>0</v>
      </c>
      <c r="J31" s="24">
        <f>'AEO 2023 Table 36 Raw'!M21</f>
        <v>0</v>
      </c>
      <c r="K31" s="24">
        <f>'AEO 2023 Table 36 Raw'!N21</f>
        <v>0</v>
      </c>
      <c r="L31" s="24">
        <f>'AEO 2023 Table 36 Raw'!O21</f>
        <v>0</v>
      </c>
      <c r="M31" s="24">
        <f>'AEO 2023 Table 36 Raw'!P21</f>
        <v>0</v>
      </c>
      <c r="N31" s="24">
        <f>'AEO 2023 Table 36 Raw'!Q21</f>
        <v>0</v>
      </c>
      <c r="O31" s="24">
        <f>'AEO 2023 Table 36 Raw'!R21</f>
        <v>0</v>
      </c>
      <c r="P31" s="24">
        <f>'AEO 2023 Table 36 Raw'!S21</f>
        <v>0</v>
      </c>
      <c r="Q31" s="24">
        <f>'AEO 2023 Table 36 Raw'!T21</f>
        <v>0</v>
      </c>
      <c r="R31" s="24">
        <f>'AEO 2023 Table 36 Raw'!U21</f>
        <v>0</v>
      </c>
      <c r="S31" s="24">
        <f>'AEO 2023 Table 36 Raw'!V21</f>
        <v>0</v>
      </c>
      <c r="T31" s="24">
        <f>'AEO 2023 Table 36 Raw'!W21</f>
        <v>0</v>
      </c>
      <c r="U31" s="24">
        <f>'AEO 2023 Table 36 Raw'!X21</f>
        <v>0</v>
      </c>
      <c r="V31" s="24">
        <f>'AEO 2023 Table 36 Raw'!Y21</f>
        <v>0</v>
      </c>
      <c r="W31" s="24">
        <f>'AEO 2023 Table 36 Raw'!Z21</f>
        <v>0</v>
      </c>
      <c r="X31" s="24">
        <f>'AEO 2023 Table 36 Raw'!AA21</f>
        <v>0</v>
      </c>
      <c r="Y31" s="24">
        <f>'AEO 2023 Table 36 Raw'!AB21</f>
        <v>0</v>
      </c>
      <c r="Z31" s="24">
        <f>'AEO 2023 Table 36 Raw'!AC21</f>
        <v>0</v>
      </c>
      <c r="AA31" s="24">
        <f>'AEO 2023 Table 36 Raw'!AD21</f>
        <v>0</v>
      </c>
      <c r="AB31" s="24">
        <f>'AEO 2023 Table 36 Raw'!AE21</f>
        <v>0</v>
      </c>
      <c r="AC31" s="24">
        <f>'AEO 2023 Table 36 Raw'!AF21</f>
        <v>0</v>
      </c>
      <c r="AD31" s="24">
        <f>'AEO 2023 Table 36 Raw'!AG21</f>
        <v>0</v>
      </c>
      <c r="AE31" s="24">
        <f>'AEO 2023 Table 36 Raw'!AH21</f>
        <v>0</v>
      </c>
      <c r="AF31" s="29" t="str">
        <f>'AEO 2023 Table 36 Raw'!AI21</f>
        <v>- -</v>
      </c>
    </row>
    <row r="32" spans="1:32" ht="12" customHeight="1">
      <c r="C32" s="24"/>
      <c r="D32" s="24"/>
      <c r="E32" s="24"/>
      <c r="F32" s="24"/>
      <c r="G32" s="24"/>
      <c r="H32" s="24"/>
      <c r="I32" s="24"/>
      <c r="J32" s="24"/>
      <c r="K32" s="24"/>
      <c r="L32" s="24"/>
      <c r="M32" s="24"/>
      <c r="N32" s="24"/>
      <c r="O32" s="24"/>
      <c r="P32" s="24"/>
      <c r="Q32" s="24"/>
      <c r="R32" s="24"/>
      <c r="S32" s="24"/>
      <c r="T32" s="24"/>
      <c r="U32" s="24"/>
      <c r="V32" s="24"/>
      <c r="W32" s="24"/>
      <c r="X32" s="24"/>
      <c r="Y32" s="24"/>
      <c r="Z32" s="24"/>
      <c r="AA32" s="24"/>
      <c r="AB32" s="24"/>
      <c r="AC32" s="24"/>
      <c r="AD32" s="24"/>
      <c r="AE32" s="24"/>
      <c r="AF32" s="29"/>
    </row>
    <row r="33" spans="1:32" ht="15" customHeight="1">
      <c r="A33" s="18" t="s">
        <v>292</v>
      </c>
      <c r="B33" s="20" t="s">
        <v>293</v>
      </c>
      <c r="C33" s="24">
        <f>'AEO 2023 Table 36 Raw'!F22</f>
        <v>5922.7910160000001</v>
      </c>
      <c r="D33" s="24">
        <f>'AEO 2023 Table 36 Raw'!G22</f>
        <v>5816.7055659999996</v>
      </c>
      <c r="E33" s="24">
        <f>'AEO 2023 Table 36 Raw'!H22</f>
        <v>5728.0952150000003</v>
      </c>
      <c r="F33" s="24">
        <f>'AEO 2023 Table 36 Raw'!I22</f>
        <v>5673.0986329999996</v>
      </c>
      <c r="G33" s="24">
        <f>'AEO 2023 Table 36 Raw'!J22</f>
        <v>5638.8964839999999</v>
      </c>
      <c r="H33" s="24">
        <f>'AEO 2023 Table 36 Raw'!K22</f>
        <v>5591.7084960000002</v>
      </c>
      <c r="I33" s="24">
        <f>'AEO 2023 Table 36 Raw'!L22</f>
        <v>5543.7119140000004</v>
      </c>
      <c r="J33" s="24">
        <f>'AEO 2023 Table 36 Raw'!M22</f>
        <v>5483.6694340000004</v>
      </c>
      <c r="K33" s="24">
        <f>'AEO 2023 Table 36 Raw'!N22</f>
        <v>5422.388672</v>
      </c>
      <c r="L33" s="24">
        <f>'AEO 2023 Table 36 Raw'!O22</f>
        <v>5371.3027339999999</v>
      </c>
      <c r="M33" s="24">
        <f>'AEO 2023 Table 36 Raw'!P22</f>
        <v>5340.158203</v>
      </c>
      <c r="N33" s="24">
        <f>'AEO 2023 Table 36 Raw'!Q22</f>
        <v>5306.5048829999996</v>
      </c>
      <c r="O33" s="24">
        <f>'AEO 2023 Table 36 Raw'!R22</f>
        <v>5278.7797849999997</v>
      </c>
      <c r="P33" s="24">
        <f>'AEO 2023 Table 36 Raw'!S22</f>
        <v>5261.2470700000003</v>
      </c>
      <c r="Q33" s="24">
        <f>'AEO 2023 Table 36 Raw'!T22</f>
        <v>5242.9990230000003</v>
      </c>
      <c r="R33" s="24">
        <f>'AEO 2023 Table 36 Raw'!U22</f>
        <v>5237.6972660000001</v>
      </c>
      <c r="S33" s="24">
        <f>'AEO 2023 Table 36 Raw'!V22</f>
        <v>5236.3618159999996</v>
      </c>
      <c r="T33" s="24">
        <f>'AEO 2023 Table 36 Raw'!W22</f>
        <v>5238.3041990000002</v>
      </c>
      <c r="U33" s="24">
        <f>'AEO 2023 Table 36 Raw'!X22</f>
        <v>5247.9145509999998</v>
      </c>
      <c r="V33" s="24">
        <f>'AEO 2023 Table 36 Raw'!Y22</f>
        <v>5263.2084960000002</v>
      </c>
      <c r="W33" s="24">
        <f>'AEO 2023 Table 36 Raw'!Z22</f>
        <v>5281.4541019999997</v>
      </c>
      <c r="X33" s="24">
        <f>'AEO 2023 Table 36 Raw'!AA22</f>
        <v>5299.6816410000001</v>
      </c>
      <c r="Y33" s="24">
        <f>'AEO 2023 Table 36 Raw'!AB22</f>
        <v>5316.7680659999996</v>
      </c>
      <c r="Z33" s="24">
        <f>'AEO 2023 Table 36 Raw'!AC22</f>
        <v>5331.7001950000003</v>
      </c>
      <c r="AA33" s="24">
        <f>'AEO 2023 Table 36 Raw'!AD22</f>
        <v>5353.1992190000001</v>
      </c>
      <c r="AB33" s="24">
        <f>'AEO 2023 Table 36 Raw'!AE22</f>
        <v>5376.3164059999999</v>
      </c>
      <c r="AC33" s="24">
        <f>'AEO 2023 Table 36 Raw'!AF22</f>
        <v>5393.3178710000002</v>
      </c>
      <c r="AD33" s="24">
        <f>'AEO 2023 Table 36 Raw'!AG22</f>
        <v>5413.4169920000004</v>
      </c>
      <c r="AE33" s="24">
        <f>'AEO 2023 Table 36 Raw'!AH22</f>
        <v>5450.0122069999998</v>
      </c>
      <c r="AF33" s="29">
        <f>'AEO 2023 Table 36 Raw'!AI22</f>
        <v>-3.0000000000000001E-3</v>
      </c>
    </row>
    <row r="34" spans="1:32" ht="15" customHeight="1">
      <c r="A34" s="18" t="s">
        <v>294</v>
      </c>
      <c r="B34" s="21" t="s">
        <v>295</v>
      </c>
      <c r="C34" s="24">
        <f>'AEO 2023 Table 36 Raw'!F23</f>
        <v>616.20519999999999</v>
      </c>
      <c r="D34" s="24">
        <f>'AEO 2023 Table 36 Raw'!G23</f>
        <v>611.60089100000005</v>
      </c>
      <c r="E34" s="24">
        <f>'AEO 2023 Table 36 Raw'!H23</f>
        <v>610.37268100000006</v>
      </c>
      <c r="F34" s="24">
        <f>'AEO 2023 Table 36 Raw'!I23</f>
        <v>612.19366500000001</v>
      </c>
      <c r="G34" s="24">
        <f>'AEO 2023 Table 36 Raw'!J23</f>
        <v>616.92590299999995</v>
      </c>
      <c r="H34" s="24">
        <f>'AEO 2023 Table 36 Raw'!K23</f>
        <v>620.02862500000003</v>
      </c>
      <c r="I34" s="24">
        <f>'AEO 2023 Table 36 Raw'!L23</f>
        <v>623.435608</v>
      </c>
      <c r="J34" s="24">
        <f>'AEO 2023 Table 36 Raw'!M23</f>
        <v>626.11090100000001</v>
      </c>
      <c r="K34" s="24">
        <f>'AEO 2023 Table 36 Raw'!N23</f>
        <v>629.31872599999997</v>
      </c>
      <c r="L34" s="24">
        <f>'AEO 2023 Table 36 Raw'!O23</f>
        <v>633.79577600000005</v>
      </c>
      <c r="M34" s="24">
        <f>'AEO 2023 Table 36 Raw'!P23</f>
        <v>641.25616500000001</v>
      </c>
      <c r="N34" s="24">
        <f>'AEO 2023 Table 36 Raw'!Q23</f>
        <v>647.76110800000004</v>
      </c>
      <c r="O34" s="24">
        <f>'AEO 2023 Table 36 Raw'!R23</f>
        <v>654.28460700000005</v>
      </c>
      <c r="P34" s="24">
        <f>'AEO 2023 Table 36 Raw'!S23</f>
        <v>661.13012700000002</v>
      </c>
      <c r="Q34" s="24">
        <f>'AEO 2023 Table 36 Raw'!T23</f>
        <v>667.05139199999996</v>
      </c>
      <c r="R34" s="24">
        <f>'AEO 2023 Table 36 Raw'!U23</f>
        <v>674.55737299999998</v>
      </c>
      <c r="S34" s="24">
        <f>'AEO 2023 Table 36 Raw'!V23</f>
        <v>681.19171100000005</v>
      </c>
      <c r="T34" s="24">
        <f>'AEO 2023 Table 36 Raw'!W23</f>
        <v>688.82940699999995</v>
      </c>
      <c r="U34" s="24">
        <f>'AEO 2023 Table 36 Raw'!X23</f>
        <v>697.06719999999996</v>
      </c>
      <c r="V34" s="24">
        <f>'AEO 2023 Table 36 Raw'!Y23</f>
        <v>706.54357900000002</v>
      </c>
      <c r="W34" s="24">
        <f>'AEO 2023 Table 36 Raw'!Z23</f>
        <v>715.970642</v>
      </c>
      <c r="X34" s="24">
        <f>'AEO 2023 Table 36 Raw'!AA23</f>
        <v>725.08044400000006</v>
      </c>
      <c r="Y34" s="24">
        <f>'AEO 2023 Table 36 Raw'!AB23</f>
        <v>734.180969</v>
      </c>
      <c r="Z34" s="24">
        <f>'AEO 2023 Table 36 Raw'!AC23</f>
        <v>743.18780500000003</v>
      </c>
      <c r="AA34" s="24">
        <f>'AEO 2023 Table 36 Raw'!AD23</f>
        <v>753.50970500000005</v>
      </c>
      <c r="AB34" s="24">
        <f>'AEO 2023 Table 36 Raw'!AE23</f>
        <v>764.21655299999998</v>
      </c>
      <c r="AC34" s="24">
        <f>'AEO 2023 Table 36 Raw'!AF23</f>
        <v>774.01879899999994</v>
      </c>
      <c r="AD34" s="24">
        <f>'AEO 2023 Table 36 Raw'!AG23</f>
        <v>784.56542999999999</v>
      </c>
      <c r="AE34" s="24">
        <f>'AEO 2023 Table 36 Raw'!AH23</f>
        <v>797.65808100000004</v>
      </c>
      <c r="AF34" s="29">
        <f>'AEO 2023 Table 36 Raw'!AI23</f>
        <v>8.9999999999999993E-3</v>
      </c>
    </row>
    <row r="35" spans="1:32" ht="15" customHeight="1">
      <c r="A35" s="18" t="s">
        <v>296</v>
      </c>
      <c r="B35" s="21" t="s">
        <v>274</v>
      </c>
      <c r="C35" s="24">
        <f>'AEO 2023 Table 36 Raw'!F24</f>
        <v>5252.3305659999996</v>
      </c>
      <c r="D35" s="24">
        <f>'AEO 2023 Table 36 Raw'!G24</f>
        <v>5150.2441410000001</v>
      </c>
      <c r="E35" s="24">
        <f>'AEO 2023 Table 36 Raw'!H24</f>
        <v>5062.3154299999997</v>
      </c>
      <c r="F35" s="24">
        <f>'AEO 2023 Table 36 Raw'!I24</f>
        <v>5004.9750979999999</v>
      </c>
      <c r="G35" s="24">
        <f>'AEO 2023 Table 36 Raw'!J24</f>
        <v>4965.6987300000001</v>
      </c>
      <c r="H35" s="24">
        <f>'AEO 2023 Table 36 Raw'!K24</f>
        <v>4915.5693359999996</v>
      </c>
      <c r="I35" s="24">
        <f>'AEO 2023 Table 36 Raw'!L24</f>
        <v>4864.6591799999997</v>
      </c>
      <c r="J35" s="24">
        <f>'AEO 2023 Table 36 Raw'!M24</f>
        <v>4802.8212890000004</v>
      </c>
      <c r="K35" s="24">
        <f>'AEO 2023 Table 36 Raw'!N24</f>
        <v>4739.4140619999998</v>
      </c>
      <c r="L35" s="24">
        <f>'AEO 2023 Table 36 Raw'!O24</f>
        <v>4684.7788090000004</v>
      </c>
      <c r="M35" s="24">
        <f>'AEO 2023 Table 36 Raw'!P24</f>
        <v>4646.6831050000001</v>
      </c>
      <c r="N35" s="24">
        <f>'AEO 2023 Table 36 Raw'!Q24</f>
        <v>4606.6586909999996</v>
      </c>
      <c r="O35" s="24">
        <f>'AEO 2023 Table 36 Raw'!R24</f>
        <v>4572.0830079999996</v>
      </c>
      <c r="P35" s="24">
        <f>'AEO 2023 Table 36 Raw'!S24</f>
        <v>4546.9648440000001</v>
      </c>
      <c r="Q35" s="24">
        <f>'AEO 2023 Table 36 Raw'!T24</f>
        <v>4521.8164059999999</v>
      </c>
      <c r="R35" s="24">
        <f>'AEO 2023 Table 36 Raw'!U24</f>
        <v>4507.6464839999999</v>
      </c>
      <c r="S35" s="24">
        <f>'AEO 2023 Table 36 Raw'!V24</f>
        <v>4498.0512699999999</v>
      </c>
      <c r="T35" s="24">
        <f>'AEO 2023 Table 36 Raw'!W24</f>
        <v>4490.4604490000002</v>
      </c>
      <c r="U35" s="24">
        <f>'AEO 2023 Table 36 Raw'!X24</f>
        <v>4489.5615230000003</v>
      </c>
      <c r="V35" s="24">
        <f>'AEO 2023 Table 36 Raw'!Y24</f>
        <v>4492.7368159999996</v>
      </c>
      <c r="W35" s="24">
        <f>'AEO 2023 Table 36 Raw'!Z24</f>
        <v>4498.6596680000002</v>
      </c>
      <c r="X35" s="24">
        <f>'AEO 2023 Table 36 Raw'!AA24</f>
        <v>4504.6669920000004</v>
      </c>
      <c r="Y35" s="24">
        <f>'AEO 2023 Table 36 Raw'!AB24</f>
        <v>4509.3803710000002</v>
      </c>
      <c r="Z35" s="24">
        <f>'AEO 2023 Table 36 Raw'!AC24</f>
        <v>4511.908203</v>
      </c>
      <c r="AA35" s="24">
        <f>'AEO 2023 Table 36 Raw'!AD24</f>
        <v>4519.439453</v>
      </c>
      <c r="AB35" s="24">
        <f>'AEO 2023 Table 36 Raw'!AE24</f>
        <v>4527.9907229999999</v>
      </c>
      <c r="AC35" s="24">
        <f>'AEO 2023 Table 36 Raw'!AF24</f>
        <v>4531.3125</v>
      </c>
      <c r="AD35" s="24">
        <f>'AEO 2023 Table 36 Raw'!AG24</f>
        <v>4536.8085940000001</v>
      </c>
      <c r="AE35" s="24">
        <f>'AEO 2023 Table 36 Raw'!AH24</f>
        <v>4555.8002930000002</v>
      </c>
      <c r="AF35" s="29">
        <f>'AEO 2023 Table 36 Raw'!AI24</f>
        <v>-5.0000000000000001E-3</v>
      </c>
    </row>
    <row r="36" spans="1:32" ht="15" customHeight="1">
      <c r="A36" s="18" t="s">
        <v>297</v>
      </c>
      <c r="B36" s="21" t="s">
        <v>276</v>
      </c>
      <c r="C36" s="24">
        <f>'AEO 2023 Table 36 Raw'!F25</f>
        <v>51.344929</v>
      </c>
      <c r="D36" s="24">
        <f>'AEO 2023 Table 36 Raw'!G25</f>
        <v>51.773192999999999</v>
      </c>
      <c r="E36" s="24">
        <f>'AEO 2023 Table 36 Raw'!H25</f>
        <v>51.965775000000001</v>
      </c>
      <c r="F36" s="24">
        <f>'AEO 2023 Table 36 Raw'!I25</f>
        <v>52.061793999999999</v>
      </c>
      <c r="G36" s="24">
        <f>'AEO 2023 Table 36 Raw'!J25</f>
        <v>52.003608999999997</v>
      </c>
      <c r="H36" s="24">
        <f>'AEO 2023 Table 36 Raw'!K25</f>
        <v>51.453991000000002</v>
      </c>
      <c r="I36" s="24">
        <f>'AEO 2023 Table 36 Raw'!L25</f>
        <v>50.587242000000003</v>
      </c>
      <c r="J36" s="24">
        <f>'AEO 2023 Table 36 Raw'!M25</f>
        <v>49.357909999999997</v>
      </c>
      <c r="K36" s="24">
        <f>'AEO 2023 Table 36 Raw'!N25</f>
        <v>47.935226</v>
      </c>
      <c r="L36" s="24">
        <f>'AEO 2023 Table 36 Raw'!O25</f>
        <v>46.656028999999997</v>
      </c>
      <c r="M36" s="24">
        <f>'AEO 2023 Table 36 Raw'!P25</f>
        <v>45.774757000000001</v>
      </c>
      <c r="N36" s="24">
        <f>'AEO 2023 Table 36 Raw'!Q25</f>
        <v>45.265822999999997</v>
      </c>
      <c r="O36" s="24">
        <f>'AEO 2023 Table 36 Raw'!R25</f>
        <v>45.213749</v>
      </c>
      <c r="P36" s="24">
        <f>'AEO 2023 Table 36 Raw'!S25</f>
        <v>45.570152</v>
      </c>
      <c r="Q36" s="24">
        <f>'AEO 2023 Table 36 Raw'!T25</f>
        <v>46.181812000000001</v>
      </c>
      <c r="R36" s="24">
        <f>'AEO 2023 Table 36 Raw'!U25</f>
        <v>47.148071000000002</v>
      </c>
      <c r="S36" s="24">
        <f>'AEO 2023 Table 36 Raw'!V25</f>
        <v>48.373516000000002</v>
      </c>
      <c r="T36" s="24">
        <f>'AEO 2023 Table 36 Raw'!W25</f>
        <v>49.850357000000002</v>
      </c>
      <c r="U36" s="24">
        <f>'AEO 2023 Table 36 Raw'!X25</f>
        <v>51.657871</v>
      </c>
      <c r="V36" s="24">
        <f>'AEO 2023 Table 36 Raw'!Y25</f>
        <v>53.784999999999997</v>
      </c>
      <c r="W36" s="24">
        <f>'AEO 2023 Table 36 Raw'!Z25</f>
        <v>56.128627999999999</v>
      </c>
      <c r="X36" s="24">
        <f>'AEO 2023 Table 36 Raw'!AA25</f>
        <v>58.653038000000002</v>
      </c>
      <c r="Y36" s="24">
        <f>'AEO 2023 Table 36 Raw'!AB25</f>
        <v>61.322830000000003</v>
      </c>
      <c r="Z36" s="24">
        <f>'AEO 2023 Table 36 Raw'!AC25</f>
        <v>64.089225999999996</v>
      </c>
      <c r="AA36" s="24">
        <f>'AEO 2023 Table 36 Raw'!AD25</f>
        <v>67.060805999999999</v>
      </c>
      <c r="AB36" s="24">
        <f>'AEO 2023 Table 36 Raw'!AE25</f>
        <v>70.195708999999994</v>
      </c>
      <c r="AC36" s="24">
        <f>'AEO 2023 Table 36 Raw'!AF25</f>
        <v>73.347763</v>
      </c>
      <c r="AD36" s="24">
        <f>'AEO 2023 Table 36 Raw'!AG25</f>
        <v>76.647514000000001</v>
      </c>
      <c r="AE36" s="24">
        <f>'AEO 2023 Table 36 Raw'!AH25</f>
        <v>80.336478999999997</v>
      </c>
      <c r="AF36" s="29">
        <f>'AEO 2023 Table 36 Raw'!AI25</f>
        <v>1.6E-2</v>
      </c>
    </row>
    <row r="37" spans="1:32" ht="15" customHeight="1">
      <c r="A37" s="18" t="s">
        <v>298</v>
      </c>
      <c r="B37" s="21" t="s">
        <v>278</v>
      </c>
      <c r="C37" s="24">
        <f>'AEO 2023 Table 36 Raw'!F26</f>
        <v>1.2452650000000001</v>
      </c>
      <c r="D37" s="24">
        <f>'AEO 2023 Table 36 Raw'!G26</f>
        <v>1.3861779999999999</v>
      </c>
      <c r="E37" s="24">
        <f>'AEO 2023 Table 36 Raw'!H26</f>
        <v>1.5248809999999999</v>
      </c>
      <c r="F37" s="24">
        <f>'AEO 2023 Table 36 Raw'!I26</f>
        <v>1.6560079999999999</v>
      </c>
      <c r="G37" s="24">
        <f>'AEO 2023 Table 36 Raw'!J26</f>
        <v>1.7862659999999999</v>
      </c>
      <c r="H37" s="24">
        <f>'AEO 2023 Table 36 Raw'!K26</f>
        <v>1.903707</v>
      </c>
      <c r="I37" s="24">
        <f>'AEO 2023 Table 36 Raw'!L26</f>
        <v>2.0105780000000002</v>
      </c>
      <c r="J37" s="24">
        <f>'AEO 2023 Table 36 Raw'!M26</f>
        <v>2.0996890000000001</v>
      </c>
      <c r="K37" s="24">
        <f>'AEO 2023 Table 36 Raw'!N26</f>
        <v>2.1804990000000002</v>
      </c>
      <c r="L37" s="24">
        <f>'AEO 2023 Table 36 Raw'!O26</f>
        <v>2.2604649999999999</v>
      </c>
      <c r="M37" s="24">
        <f>'AEO 2023 Table 36 Raw'!P26</f>
        <v>2.3478089999999998</v>
      </c>
      <c r="N37" s="24">
        <f>'AEO 2023 Table 36 Raw'!Q26</f>
        <v>2.4404729999999999</v>
      </c>
      <c r="O37" s="24">
        <f>'AEO 2023 Table 36 Raw'!R26</f>
        <v>2.5412210000000002</v>
      </c>
      <c r="P37" s="24">
        <f>'AEO 2023 Table 36 Raw'!S26</f>
        <v>2.6449829999999999</v>
      </c>
      <c r="Q37" s="24">
        <f>'AEO 2023 Table 36 Raw'!T26</f>
        <v>2.752405</v>
      </c>
      <c r="R37" s="24">
        <f>'AEO 2023 Table 36 Raw'!U26</f>
        <v>2.87385</v>
      </c>
      <c r="S37" s="24">
        <f>'AEO 2023 Table 36 Raw'!V26</f>
        <v>3.004591</v>
      </c>
      <c r="T37" s="24">
        <f>'AEO 2023 Table 36 Raw'!W26</f>
        <v>3.1495850000000001</v>
      </c>
      <c r="U37" s="24">
        <f>'AEO 2023 Table 36 Raw'!X26</f>
        <v>3.3139080000000001</v>
      </c>
      <c r="V37" s="24">
        <f>'AEO 2023 Table 36 Raw'!Y26</f>
        <v>3.5006020000000002</v>
      </c>
      <c r="W37" s="24">
        <f>'AEO 2023 Table 36 Raw'!Z26</f>
        <v>3.7020719999999998</v>
      </c>
      <c r="X37" s="24">
        <f>'AEO 2023 Table 36 Raw'!AA26</f>
        <v>3.9170069999999999</v>
      </c>
      <c r="Y37" s="24">
        <f>'AEO 2023 Table 36 Raw'!AB26</f>
        <v>4.1414160000000004</v>
      </c>
      <c r="Z37" s="24">
        <f>'AEO 2023 Table 36 Raw'!AC26</f>
        <v>4.3768849999999997</v>
      </c>
      <c r="AA37" s="24">
        <f>'AEO 2023 Table 36 Raw'!AD26</f>
        <v>4.632447</v>
      </c>
      <c r="AB37" s="24">
        <f>'AEO 2023 Table 36 Raw'!AE26</f>
        <v>4.9017460000000002</v>
      </c>
      <c r="AC37" s="24">
        <f>'AEO 2023 Table 36 Raw'!AF26</f>
        <v>5.1746309999999998</v>
      </c>
      <c r="AD37" s="24">
        <f>'AEO 2023 Table 36 Raw'!AG26</f>
        <v>5.4474770000000001</v>
      </c>
      <c r="AE37" s="24">
        <f>'AEO 2023 Table 36 Raw'!AH26</f>
        <v>5.7450359999999998</v>
      </c>
      <c r="AF37" s="29">
        <f>'AEO 2023 Table 36 Raw'!AI26</f>
        <v>5.6000000000000001E-2</v>
      </c>
    </row>
    <row r="38" spans="1:32" ht="15" customHeight="1">
      <c r="A38" s="18" t="s">
        <v>299</v>
      </c>
      <c r="B38" s="21" t="s">
        <v>300</v>
      </c>
      <c r="C38" s="24">
        <f>'AEO 2023 Table 36 Raw'!F27</f>
        <v>1.575329</v>
      </c>
      <c r="D38" s="24">
        <f>'AEO 2023 Table 36 Raw'!G27</f>
        <v>1.59209</v>
      </c>
      <c r="E38" s="24">
        <f>'AEO 2023 Table 36 Raw'!H27</f>
        <v>1.542675</v>
      </c>
      <c r="F38" s="24">
        <f>'AEO 2023 Table 36 Raw'!I27</f>
        <v>1.6006830000000001</v>
      </c>
      <c r="G38" s="24">
        <f>'AEO 2023 Table 36 Raw'!J27</f>
        <v>1.6393420000000001</v>
      </c>
      <c r="H38" s="24">
        <f>'AEO 2023 Table 36 Raw'!K27</f>
        <v>1.678971</v>
      </c>
      <c r="I38" s="24">
        <f>'AEO 2023 Table 36 Raw'!L27</f>
        <v>1.7193179999999999</v>
      </c>
      <c r="J38" s="24">
        <f>'AEO 2023 Table 36 Raw'!M27</f>
        <v>1.762707</v>
      </c>
      <c r="K38" s="24">
        <f>'AEO 2023 Table 36 Raw'!N27</f>
        <v>1.813895</v>
      </c>
      <c r="L38" s="24">
        <f>'AEO 2023 Table 36 Raw'!O27</f>
        <v>1.879181</v>
      </c>
      <c r="M38" s="24">
        <f>'AEO 2023 Table 36 Raw'!P27</f>
        <v>1.9543600000000001</v>
      </c>
      <c r="N38" s="24">
        <f>'AEO 2023 Table 36 Raw'!Q27</f>
        <v>2.0339360000000002</v>
      </c>
      <c r="O38" s="24">
        <f>'AEO 2023 Table 36 Raw'!R27</f>
        <v>2.113308</v>
      </c>
      <c r="P38" s="24">
        <f>'AEO 2023 Table 36 Raw'!S27</f>
        <v>2.196958</v>
      </c>
      <c r="Q38" s="24">
        <f>'AEO 2023 Table 36 Raw'!T27</f>
        <v>2.2686670000000002</v>
      </c>
      <c r="R38" s="24">
        <f>'AEO 2023 Table 36 Raw'!U27</f>
        <v>2.3534449999999998</v>
      </c>
      <c r="S38" s="24">
        <f>'AEO 2023 Table 36 Raw'!V27</f>
        <v>2.433783</v>
      </c>
      <c r="T38" s="24">
        <f>'AEO 2023 Table 36 Raw'!W27</f>
        <v>2.5157970000000001</v>
      </c>
      <c r="U38" s="24">
        <f>'AEO 2023 Table 36 Raw'!X27</f>
        <v>2.6119849999999998</v>
      </c>
      <c r="V38" s="24">
        <f>'AEO 2023 Table 36 Raw'!Y27</f>
        <v>2.7199399999999998</v>
      </c>
      <c r="W38" s="24">
        <f>'AEO 2023 Table 36 Raw'!Z27</f>
        <v>2.8330769999999998</v>
      </c>
      <c r="X38" s="24">
        <f>'AEO 2023 Table 36 Raw'!AA27</f>
        <v>2.961128</v>
      </c>
      <c r="Y38" s="24">
        <f>'AEO 2023 Table 36 Raw'!AB27</f>
        <v>3.087059</v>
      </c>
      <c r="Z38" s="24">
        <f>'AEO 2023 Table 36 Raw'!AC27</f>
        <v>3.2187969999999999</v>
      </c>
      <c r="AA38" s="24">
        <f>'AEO 2023 Table 36 Raw'!AD27</f>
        <v>3.346063</v>
      </c>
      <c r="AB38" s="24">
        <f>'AEO 2023 Table 36 Raw'!AE27</f>
        <v>3.488648</v>
      </c>
      <c r="AC38" s="24">
        <f>'AEO 2023 Table 36 Raw'!AF27</f>
        <v>3.6174729999999999</v>
      </c>
      <c r="AD38" s="24">
        <f>'AEO 2023 Table 36 Raw'!AG27</f>
        <v>3.75576</v>
      </c>
      <c r="AE38" s="24">
        <f>'AEO 2023 Table 36 Raw'!AH27</f>
        <v>3.8951479999999998</v>
      </c>
      <c r="AF38" s="29">
        <f>'AEO 2023 Table 36 Raw'!AI27</f>
        <v>3.3000000000000002E-2</v>
      </c>
    </row>
    <row r="39" spans="1:32" ht="15" customHeight="1">
      <c r="A39" s="18" t="s">
        <v>301</v>
      </c>
      <c r="B39" s="21" t="s">
        <v>280</v>
      </c>
      <c r="C39" s="24">
        <f>'AEO 2023 Table 36 Raw'!F28</f>
        <v>9.0132000000000004E-2</v>
      </c>
      <c r="D39" s="24">
        <f>'AEO 2023 Table 36 Raw'!G28</f>
        <v>0.10914600000000001</v>
      </c>
      <c r="E39" s="24">
        <f>'AEO 2023 Table 36 Raw'!H28</f>
        <v>0.14400499999999999</v>
      </c>
      <c r="F39" s="24">
        <f>'AEO 2023 Table 36 Raw'!I28</f>
        <v>0.16340499999999999</v>
      </c>
      <c r="G39" s="24">
        <f>'AEO 2023 Table 36 Raw'!J28</f>
        <v>0.180895</v>
      </c>
      <c r="H39" s="24">
        <f>'AEO 2023 Table 36 Raw'!K28</f>
        <v>0.19575699999999999</v>
      </c>
      <c r="I39" s="24">
        <f>'AEO 2023 Table 36 Raw'!L28</f>
        <v>0.20827399999999999</v>
      </c>
      <c r="J39" s="24">
        <f>'AEO 2023 Table 36 Raw'!M28</f>
        <v>0.21801599999999999</v>
      </c>
      <c r="K39" s="24">
        <f>'AEO 2023 Table 36 Raw'!N28</f>
        <v>0.225574</v>
      </c>
      <c r="L39" s="24">
        <f>'AEO 2023 Table 36 Raw'!O28</f>
        <v>0.231714</v>
      </c>
      <c r="M39" s="24">
        <f>'AEO 2023 Table 36 Raw'!P28</f>
        <v>0.23694499999999999</v>
      </c>
      <c r="N39" s="24">
        <f>'AEO 2023 Table 36 Raw'!Q28</f>
        <v>0.240285</v>
      </c>
      <c r="O39" s="24">
        <f>'AEO 2023 Table 36 Raw'!R28</f>
        <v>0.24247299999999999</v>
      </c>
      <c r="P39" s="24">
        <f>'AEO 2023 Table 36 Raw'!S28</f>
        <v>0.244232</v>
      </c>
      <c r="Q39" s="24">
        <f>'AEO 2023 Table 36 Raw'!T28</f>
        <v>0.245169</v>
      </c>
      <c r="R39" s="24">
        <f>'AEO 2023 Table 36 Raw'!U28</f>
        <v>0.24673500000000001</v>
      </c>
      <c r="S39" s="24">
        <f>'AEO 2023 Table 36 Raw'!V28</f>
        <v>0.24945500000000001</v>
      </c>
      <c r="T39" s="24">
        <f>'AEO 2023 Table 36 Raw'!W28</f>
        <v>0.25267000000000001</v>
      </c>
      <c r="U39" s="24">
        <f>'AEO 2023 Table 36 Raw'!X28</f>
        <v>0.25714399999999998</v>
      </c>
      <c r="V39" s="24">
        <f>'AEO 2023 Table 36 Raw'!Y28</f>
        <v>0.26399899999999998</v>
      </c>
      <c r="W39" s="24">
        <f>'AEO 2023 Table 36 Raw'!Z28</f>
        <v>0.27311400000000002</v>
      </c>
      <c r="X39" s="24">
        <f>'AEO 2023 Table 36 Raw'!AA28</f>
        <v>0.28285100000000002</v>
      </c>
      <c r="Y39" s="24">
        <f>'AEO 2023 Table 36 Raw'!AB28</f>
        <v>0.293846</v>
      </c>
      <c r="Z39" s="24">
        <f>'AEO 2023 Table 36 Raw'!AC28</f>
        <v>0.30659700000000001</v>
      </c>
      <c r="AA39" s="24">
        <f>'AEO 2023 Table 36 Raw'!AD28</f>
        <v>0.32178200000000001</v>
      </c>
      <c r="AB39" s="24">
        <f>'AEO 2023 Table 36 Raw'!AE28</f>
        <v>0.33802500000000002</v>
      </c>
      <c r="AC39" s="24">
        <f>'AEO 2023 Table 36 Raw'!AF28</f>
        <v>0.35486499999999999</v>
      </c>
      <c r="AD39" s="24">
        <f>'AEO 2023 Table 36 Raw'!AG28</f>
        <v>0.37290400000000001</v>
      </c>
      <c r="AE39" s="24">
        <f>'AEO 2023 Table 36 Raw'!AH28</f>
        <v>0.39289000000000002</v>
      </c>
      <c r="AF39" s="29">
        <f>'AEO 2023 Table 36 Raw'!AI28</f>
        <v>5.3999999999999999E-2</v>
      </c>
    </row>
    <row r="40" spans="1:32" ht="15" customHeight="1">
      <c r="A40" s="18" t="s">
        <v>302</v>
      </c>
      <c r="B40" s="21" t="s">
        <v>282</v>
      </c>
      <c r="C40" s="24">
        <f>'AEO 2023 Table 36 Raw'!F29</f>
        <v>0</v>
      </c>
      <c r="D40" s="24">
        <f>'AEO 2023 Table 36 Raw'!G29</f>
        <v>0</v>
      </c>
      <c r="E40" s="24">
        <f>'AEO 2023 Table 36 Raw'!H29</f>
        <v>0.22972699999999999</v>
      </c>
      <c r="F40" s="24">
        <f>'AEO 2023 Table 36 Raw'!I29</f>
        <v>0.44725199999999998</v>
      </c>
      <c r="G40" s="24">
        <f>'AEO 2023 Table 36 Raw'!J29</f>
        <v>0.66231200000000001</v>
      </c>
      <c r="H40" s="24">
        <f>'AEO 2023 Table 36 Raw'!K29</f>
        <v>0.87751500000000004</v>
      </c>
      <c r="I40" s="24">
        <f>'AEO 2023 Table 36 Raw'!L29</f>
        <v>1.0912500000000001</v>
      </c>
      <c r="J40" s="24">
        <f>'AEO 2023 Table 36 Raw'!M29</f>
        <v>1.2990360000000001</v>
      </c>
      <c r="K40" s="24">
        <f>'AEO 2023 Table 36 Raw'!N29</f>
        <v>1.5006790000000001</v>
      </c>
      <c r="L40" s="24">
        <f>'AEO 2023 Table 36 Raw'!O29</f>
        <v>1.7007650000000001</v>
      </c>
      <c r="M40" s="24">
        <f>'AEO 2023 Table 36 Raw'!P29</f>
        <v>1.904776</v>
      </c>
      <c r="N40" s="24">
        <f>'AEO 2023 Table 36 Raw'!Q29</f>
        <v>2.1047159999999998</v>
      </c>
      <c r="O40" s="24">
        <f>'AEO 2023 Table 36 Raw'!R29</f>
        <v>2.3014619999999999</v>
      </c>
      <c r="P40" s="24">
        <f>'AEO 2023 Table 36 Raw'!S29</f>
        <v>2.4959410000000002</v>
      </c>
      <c r="Q40" s="24">
        <f>'AEO 2023 Table 36 Raw'!T29</f>
        <v>2.6833969999999998</v>
      </c>
      <c r="R40" s="24">
        <f>'AEO 2023 Table 36 Raw'!U29</f>
        <v>2.8711519999999999</v>
      </c>
      <c r="S40" s="24">
        <f>'AEO 2023 Table 36 Raw'!V29</f>
        <v>3.0575350000000001</v>
      </c>
      <c r="T40" s="24">
        <f>'AEO 2023 Table 36 Raw'!W29</f>
        <v>3.245911</v>
      </c>
      <c r="U40" s="24">
        <f>'AEO 2023 Table 36 Raw'!X29</f>
        <v>3.4448439999999998</v>
      </c>
      <c r="V40" s="24">
        <f>'AEO 2023 Table 36 Raw'!Y29</f>
        <v>3.6585719999999999</v>
      </c>
      <c r="W40" s="24">
        <f>'AEO 2023 Table 36 Raw'!Z29</f>
        <v>3.886771</v>
      </c>
      <c r="X40" s="24">
        <f>'AEO 2023 Table 36 Raw'!AA29</f>
        <v>4.1203969999999996</v>
      </c>
      <c r="Y40" s="24">
        <f>'AEO 2023 Table 36 Raw'!AB29</f>
        <v>4.3612700000000002</v>
      </c>
      <c r="Z40" s="24">
        <f>'AEO 2023 Table 36 Raw'!AC29</f>
        <v>4.6121660000000002</v>
      </c>
      <c r="AA40" s="24">
        <f>'AEO 2023 Table 36 Raw'!AD29</f>
        <v>4.8889959999999997</v>
      </c>
      <c r="AB40" s="24">
        <f>'AEO 2023 Table 36 Raw'!AE29</f>
        <v>5.184831</v>
      </c>
      <c r="AC40" s="24">
        <f>'AEO 2023 Table 36 Raw'!AF29</f>
        <v>5.4921150000000001</v>
      </c>
      <c r="AD40" s="24">
        <f>'AEO 2023 Table 36 Raw'!AG29</f>
        <v>5.8197830000000002</v>
      </c>
      <c r="AE40" s="24">
        <f>'AEO 2023 Table 36 Raw'!AH29</f>
        <v>6.1840799999999998</v>
      </c>
      <c r="AF40" s="29" t="str">
        <f>'AEO 2023 Table 36 Raw'!AI29</f>
        <v>- -</v>
      </c>
    </row>
    <row r="41" spans="1:32" ht="12" customHeight="1">
      <c r="C41" s="24"/>
      <c r="D41" s="24"/>
      <c r="E41" s="24"/>
      <c r="F41" s="24"/>
      <c r="G41" s="24"/>
      <c r="H41" s="24"/>
      <c r="I41" s="24"/>
      <c r="J41" s="24"/>
      <c r="K41" s="24"/>
      <c r="L41" s="24"/>
      <c r="M41" s="24"/>
      <c r="N41" s="24"/>
      <c r="O41" s="24"/>
      <c r="P41" s="24"/>
      <c r="Q41" s="24"/>
      <c r="R41" s="24"/>
      <c r="S41" s="24"/>
      <c r="T41" s="24"/>
      <c r="U41" s="24"/>
      <c r="V41" s="24"/>
      <c r="W41" s="24"/>
      <c r="X41" s="24"/>
      <c r="Y41" s="24"/>
      <c r="Z41" s="24"/>
      <c r="AA41" s="24"/>
      <c r="AB41" s="24"/>
      <c r="AC41" s="24"/>
      <c r="AD41" s="24"/>
      <c r="AE41" s="24"/>
      <c r="AF41" s="29"/>
    </row>
    <row r="42" spans="1:32" ht="12" customHeight="1">
      <c r="C42" s="24"/>
      <c r="D42" s="24"/>
      <c r="E42" s="24"/>
      <c r="F42" s="24"/>
      <c r="G42" s="24"/>
      <c r="H42" s="24"/>
      <c r="I42" s="24"/>
      <c r="J42" s="24"/>
      <c r="K42" s="24"/>
      <c r="L42" s="24"/>
      <c r="M42" s="24"/>
      <c r="N42" s="24"/>
      <c r="O42" s="24"/>
      <c r="P42" s="24"/>
      <c r="Q42" s="24"/>
      <c r="R42" s="24"/>
      <c r="S42" s="24"/>
      <c r="T42" s="24"/>
      <c r="U42" s="24"/>
      <c r="V42" s="24"/>
      <c r="W42" s="24"/>
      <c r="X42" s="24"/>
      <c r="Y42" s="24"/>
      <c r="Z42" s="24"/>
      <c r="AA42" s="24"/>
      <c r="AB42" s="24"/>
      <c r="AC42" s="24"/>
      <c r="AD42" s="24"/>
      <c r="AE42" s="24"/>
      <c r="AF42" s="29"/>
    </row>
    <row r="43" spans="1:32" ht="15" customHeight="1">
      <c r="A43" s="18" t="s">
        <v>303</v>
      </c>
      <c r="B43" s="20" t="s">
        <v>304</v>
      </c>
      <c r="C43" s="24">
        <f>'AEO 2023 Table 36 Raw'!F30</f>
        <v>481.38171399999999</v>
      </c>
      <c r="D43" s="24">
        <f>'AEO 2023 Table 36 Raw'!G30</f>
        <v>474.82238799999999</v>
      </c>
      <c r="E43" s="24">
        <f>'AEO 2023 Table 36 Raw'!H30</f>
        <v>494.12914999999998</v>
      </c>
      <c r="F43" s="24">
        <f>'AEO 2023 Table 36 Raw'!I30</f>
        <v>482.20422400000001</v>
      </c>
      <c r="G43" s="24">
        <f>'AEO 2023 Table 36 Raw'!J30</f>
        <v>461.88034099999999</v>
      </c>
      <c r="H43" s="24">
        <f>'AEO 2023 Table 36 Raw'!K30</f>
        <v>446.09524499999998</v>
      </c>
      <c r="I43" s="24">
        <f>'AEO 2023 Table 36 Raw'!L30</f>
        <v>439.745361</v>
      </c>
      <c r="J43" s="24">
        <f>'AEO 2023 Table 36 Raw'!M30</f>
        <v>444.52569599999998</v>
      </c>
      <c r="K43" s="24">
        <f>'AEO 2023 Table 36 Raw'!N30</f>
        <v>441.89193699999998</v>
      </c>
      <c r="L43" s="24">
        <f>'AEO 2023 Table 36 Raw'!O30</f>
        <v>443.42330900000002</v>
      </c>
      <c r="M43" s="24">
        <f>'AEO 2023 Table 36 Raw'!P30</f>
        <v>447.43722500000001</v>
      </c>
      <c r="N43" s="24">
        <f>'AEO 2023 Table 36 Raw'!Q30</f>
        <v>450.64798000000002</v>
      </c>
      <c r="O43" s="24">
        <f>'AEO 2023 Table 36 Raw'!R30</f>
        <v>452.66558800000001</v>
      </c>
      <c r="P43" s="24">
        <f>'AEO 2023 Table 36 Raw'!S30</f>
        <v>455.51504499999999</v>
      </c>
      <c r="Q43" s="24">
        <f>'AEO 2023 Table 36 Raw'!T30</f>
        <v>455.89370700000001</v>
      </c>
      <c r="R43" s="24">
        <f>'AEO 2023 Table 36 Raw'!U30</f>
        <v>456.86227400000001</v>
      </c>
      <c r="S43" s="24">
        <f>'AEO 2023 Table 36 Raw'!V30</f>
        <v>458.27462800000001</v>
      </c>
      <c r="T43" s="24">
        <f>'AEO 2023 Table 36 Raw'!W30</f>
        <v>457.60876500000001</v>
      </c>
      <c r="U43" s="24">
        <f>'AEO 2023 Table 36 Raw'!X30</f>
        <v>458.12835699999999</v>
      </c>
      <c r="V43" s="24">
        <f>'AEO 2023 Table 36 Raw'!Y30</f>
        <v>461.673248</v>
      </c>
      <c r="W43" s="24">
        <f>'AEO 2023 Table 36 Raw'!Z30</f>
        <v>464.588348</v>
      </c>
      <c r="X43" s="24">
        <f>'AEO 2023 Table 36 Raw'!AA30</f>
        <v>464.93649299999998</v>
      </c>
      <c r="Y43" s="24">
        <f>'AEO 2023 Table 36 Raw'!AB30</f>
        <v>464.922821</v>
      </c>
      <c r="Z43" s="24">
        <f>'AEO 2023 Table 36 Raw'!AC30</f>
        <v>464.770691</v>
      </c>
      <c r="AA43" s="24">
        <f>'AEO 2023 Table 36 Raw'!AD30</f>
        <v>465.76678500000003</v>
      </c>
      <c r="AB43" s="24">
        <f>'AEO 2023 Table 36 Raw'!AE30</f>
        <v>468.15533399999998</v>
      </c>
      <c r="AC43" s="24">
        <f>'AEO 2023 Table 36 Raw'!AF30</f>
        <v>471.33984400000003</v>
      </c>
      <c r="AD43" s="24">
        <f>'AEO 2023 Table 36 Raw'!AG30</f>
        <v>472.59906000000001</v>
      </c>
      <c r="AE43" s="24">
        <f>'AEO 2023 Table 36 Raw'!AH30</f>
        <v>475.72866800000003</v>
      </c>
      <c r="AF43" s="29">
        <f>'AEO 2023 Table 36 Raw'!AI30</f>
        <v>0</v>
      </c>
    </row>
    <row r="44" spans="1:32" s="98" customFormat="1" ht="15" customHeight="1">
      <c r="A44" s="94" t="s">
        <v>305</v>
      </c>
      <c r="B44" s="95" t="s">
        <v>274</v>
      </c>
      <c r="C44" s="96">
        <f>'AEO 2023 Table 36 Raw'!F31</f>
        <v>480.86654700000003</v>
      </c>
      <c r="D44" s="96">
        <f>'AEO 2023 Table 36 Raw'!G31</f>
        <v>473.79251099999999</v>
      </c>
      <c r="E44" s="96">
        <f>'AEO 2023 Table 36 Raw'!H31</f>
        <v>492.51501500000001</v>
      </c>
      <c r="F44" s="96">
        <f>'AEO 2023 Table 36 Raw'!I31</f>
        <v>480.10034200000001</v>
      </c>
      <c r="G44" s="96">
        <f>'AEO 2023 Table 36 Raw'!J31</f>
        <v>459.17535400000003</v>
      </c>
      <c r="H44" s="96">
        <f>'AEO 2023 Table 36 Raw'!K31</f>
        <v>442.59573399999999</v>
      </c>
      <c r="I44" s="96">
        <f>'AEO 2023 Table 36 Raw'!L31</f>
        <v>435.204926</v>
      </c>
      <c r="J44" s="96">
        <f>'AEO 2023 Table 36 Raw'!M31</f>
        <v>438.61608899999999</v>
      </c>
      <c r="K44" s="96">
        <f>'AEO 2023 Table 36 Raw'!N31</f>
        <v>434.49127199999998</v>
      </c>
      <c r="L44" s="96">
        <f>'AEO 2023 Table 36 Raw'!O31</f>
        <v>434.25302099999999</v>
      </c>
      <c r="M44" s="96">
        <f>'AEO 2023 Table 36 Raw'!P31</f>
        <v>435.99301100000002</v>
      </c>
      <c r="N44" s="96">
        <f>'AEO 2023 Table 36 Raw'!Q31</f>
        <v>436.48690800000003</v>
      </c>
      <c r="O44" s="96">
        <f>'AEO 2023 Table 36 Raw'!R31</f>
        <v>435.37204000000003</v>
      </c>
      <c r="P44" s="96">
        <f>'AEO 2023 Table 36 Raw'!S31</f>
        <v>434.60772700000001</v>
      </c>
      <c r="Q44" s="96">
        <f>'AEO 2023 Table 36 Raw'!T31</f>
        <v>431.05429099999998</v>
      </c>
      <c r="R44" s="96">
        <f>'AEO 2023 Table 36 Raw'!U31</f>
        <v>427.65039100000001</v>
      </c>
      <c r="S44" s="96">
        <f>'AEO 2023 Table 36 Raw'!V31</f>
        <v>424.25372299999998</v>
      </c>
      <c r="T44" s="96">
        <f>'AEO 2023 Table 36 Raw'!W31</f>
        <v>418.55365</v>
      </c>
      <c r="U44" s="96">
        <f>'AEO 2023 Table 36 Raw'!X31</f>
        <v>413.58151199999998</v>
      </c>
      <c r="V44" s="96">
        <f>'AEO 2023 Table 36 Raw'!Y31</f>
        <v>410.946777</v>
      </c>
      <c r="W44" s="96">
        <f>'AEO 2023 Table 36 Raw'!Z31</f>
        <v>407.33846999999997</v>
      </c>
      <c r="X44" s="96">
        <f>'AEO 2023 Table 36 Raw'!AA31</f>
        <v>401.121399</v>
      </c>
      <c r="Y44" s="96">
        <f>'AEO 2023 Table 36 Raw'!AB31</f>
        <v>394.29074100000003</v>
      </c>
      <c r="Z44" s="96">
        <f>'AEO 2023 Table 36 Raw'!AC31</f>
        <v>387.06680299999999</v>
      </c>
      <c r="AA44" s="96">
        <f>'AEO 2023 Table 36 Raw'!AD31</f>
        <v>380.52633700000001</v>
      </c>
      <c r="AB44" s="96">
        <f>'AEO 2023 Table 36 Raw'!AE31</f>
        <v>373.70101899999997</v>
      </c>
      <c r="AC44" s="96">
        <f>'AEO 2023 Table 36 Raw'!AF31</f>
        <v>367.609375</v>
      </c>
      <c r="AD44" s="96">
        <f>'AEO 2023 Table 36 Raw'!AG31</f>
        <v>360.13336199999998</v>
      </c>
      <c r="AE44" s="96">
        <f>'AEO 2023 Table 36 Raw'!AH31</f>
        <v>354.19946299999998</v>
      </c>
      <c r="AF44" s="97">
        <f>'AEO 2023 Table 36 Raw'!AI31</f>
        <v>-1.0999999999999999E-2</v>
      </c>
    </row>
    <row r="45" spans="1:32" ht="15" customHeight="1">
      <c r="A45" s="18" t="s">
        <v>306</v>
      </c>
      <c r="B45" s="21" t="s">
        <v>307</v>
      </c>
      <c r="C45" s="24">
        <f>'AEO 2023 Table 36 Raw'!F32</f>
        <v>0</v>
      </c>
      <c r="D45" s="24">
        <f>'AEO 2023 Table 36 Raw'!G32</f>
        <v>0</v>
      </c>
      <c r="E45" s="24">
        <f>'AEO 2023 Table 36 Raw'!H32</f>
        <v>0</v>
      </c>
      <c r="F45" s="24">
        <f>'AEO 2023 Table 36 Raw'!I32</f>
        <v>0</v>
      </c>
      <c r="G45" s="24">
        <f>'AEO 2023 Table 36 Raw'!J32</f>
        <v>0</v>
      </c>
      <c r="H45" s="24">
        <f>'AEO 2023 Table 36 Raw'!K32</f>
        <v>0</v>
      </c>
      <c r="I45" s="24">
        <f>'AEO 2023 Table 36 Raw'!L32</f>
        <v>0</v>
      </c>
      <c r="J45" s="24">
        <f>'AEO 2023 Table 36 Raw'!M32</f>
        <v>0</v>
      </c>
      <c r="K45" s="24">
        <f>'AEO 2023 Table 36 Raw'!N32</f>
        <v>0</v>
      </c>
      <c r="L45" s="24">
        <f>'AEO 2023 Table 36 Raw'!O32</f>
        <v>0</v>
      </c>
      <c r="M45" s="24">
        <f>'AEO 2023 Table 36 Raw'!P32</f>
        <v>0</v>
      </c>
      <c r="N45" s="24">
        <f>'AEO 2023 Table 36 Raw'!Q32</f>
        <v>0</v>
      </c>
      <c r="O45" s="24">
        <f>'AEO 2023 Table 36 Raw'!R32</f>
        <v>0</v>
      </c>
      <c r="P45" s="24">
        <f>'AEO 2023 Table 36 Raw'!S32</f>
        <v>0</v>
      </c>
      <c r="Q45" s="24">
        <f>'AEO 2023 Table 36 Raw'!T32</f>
        <v>0</v>
      </c>
      <c r="R45" s="24">
        <f>'AEO 2023 Table 36 Raw'!U32</f>
        <v>0</v>
      </c>
      <c r="S45" s="24">
        <f>'AEO 2023 Table 36 Raw'!V32</f>
        <v>0</v>
      </c>
      <c r="T45" s="24">
        <f>'AEO 2023 Table 36 Raw'!W32</f>
        <v>0</v>
      </c>
      <c r="U45" s="24">
        <f>'AEO 2023 Table 36 Raw'!X32</f>
        <v>0</v>
      </c>
      <c r="V45" s="24">
        <f>'AEO 2023 Table 36 Raw'!Y32</f>
        <v>0</v>
      </c>
      <c r="W45" s="24">
        <f>'AEO 2023 Table 36 Raw'!Z32</f>
        <v>0</v>
      </c>
      <c r="X45" s="24">
        <f>'AEO 2023 Table 36 Raw'!AA32</f>
        <v>0</v>
      </c>
      <c r="Y45" s="24">
        <f>'AEO 2023 Table 36 Raw'!AB32</f>
        <v>0</v>
      </c>
      <c r="Z45" s="24">
        <f>'AEO 2023 Table 36 Raw'!AC32</f>
        <v>0</v>
      </c>
      <c r="AA45" s="24">
        <f>'AEO 2023 Table 36 Raw'!AD32</f>
        <v>0</v>
      </c>
      <c r="AB45" s="24">
        <f>'AEO 2023 Table 36 Raw'!AE32</f>
        <v>0</v>
      </c>
      <c r="AC45" s="24">
        <f>'AEO 2023 Table 36 Raw'!AF32</f>
        <v>0</v>
      </c>
      <c r="AD45" s="24">
        <f>'AEO 2023 Table 36 Raw'!AG32</f>
        <v>0</v>
      </c>
      <c r="AE45" s="24">
        <f>'AEO 2023 Table 36 Raw'!AH32</f>
        <v>0</v>
      </c>
      <c r="AF45" s="29" t="str">
        <f>'AEO 2023 Table 36 Raw'!AI32</f>
        <v>- -</v>
      </c>
    </row>
    <row r="46" spans="1:32" ht="15" customHeight="1">
      <c r="A46" s="18" t="s">
        <v>308</v>
      </c>
      <c r="B46" s="21" t="s">
        <v>309</v>
      </c>
      <c r="C46" s="24">
        <f>'AEO 2023 Table 36 Raw'!F33</f>
        <v>0</v>
      </c>
      <c r="D46" s="24">
        <f>'AEO 2023 Table 36 Raw'!G33</f>
        <v>0</v>
      </c>
      <c r="E46" s="24">
        <f>'AEO 2023 Table 36 Raw'!H33</f>
        <v>0</v>
      </c>
      <c r="F46" s="24">
        <f>'AEO 2023 Table 36 Raw'!I33</f>
        <v>0</v>
      </c>
      <c r="G46" s="24">
        <f>'AEO 2023 Table 36 Raw'!J33</f>
        <v>0</v>
      </c>
      <c r="H46" s="24">
        <f>'AEO 2023 Table 36 Raw'!K33</f>
        <v>0</v>
      </c>
      <c r="I46" s="24">
        <f>'AEO 2023 Table 36 Raw'!L33</f>
        <v>0</v>
      </c>
      <c r="J46" s="24">
        <f>'AEO 2023 Table 36 Raw'!M33</f>
        <v>0</v>
      </c>
      <c r="K46" s="24">
        <f>'AEO 2023 Table 36 Raw'!N33</f>
        <v>0</v>
      </c>
      <c r="L46" s="24">
        <f>'AEO 2023 Table 36 Raw'!O33</f>
        <v>0</v>
      </c>
      <c r="M46" s="24">
        <f>'AEO 2023 Table 36 Raw'!P33</f>
        <v>0</v>
      </c>
      <c r="N46" s="24">
        <f>'AEO 2023 Table 36 Raw'!Q33</f>
        <v>0</v>
      </c>
      <c r="O46" s="24">
        <f>'AEO 2023 Table 36 Raw'!R33</f>
        <v>0</v>
      </c>
      <c r="P46" s="24">
        <f>'AEO 2023 Table 36 Raw'!S33</f>
        <v>0</v>
      </c>
      <c r="Q46" s="24">
        <f>'AEO 2023 Table 36 Raw'!T33</f>
        <v>0</v>
      </c>
      <c r="R46" s="24">
        <f>'AEO 2023 Table 36 Raw'!U33</f>
        <v>0</v>
      </c>
      <c r="S46" s="24">
        <f>'AEO 2023 Table 36 Raw'!V33</f>
        <v>0</v>
      </c>
      <c r="T46" s="24">
        <f>'AEO 2023 Table 36 Raw'!W33</f>
        <v>0</v>
      </c>
      <c r="U46" s="24">
        <f>'AEO 2023 Table 36 Raw'!X33</f>
        <v>0</v>
      </c>
      <c r="V46" s="24">
        <f>'AEO 2023 Table 36 Raw'!Y33</f>
        <v>0</v>
      </c>
      <c r="W46" s="24">
        <f>'AEO 2023 Table 36 Raw'!Z33</f>
        <v>0</v>
      </c>
      <c r="X46" s="24">
        <f>'AEO 2023 Table 36 Raw'!AA33</f>
        <v>0</v>
      </c>
      <c r="Y46" s="24">
        <f>'AEO 2023 Table 36 Raw'!AB33</f>
        <v>0</v>
      </c>
      <c r="Z46" s="24">
        <f>'AEO 2023 Table 36 Raw'!AC33</f>
        <v>0</v>
      </c>
      <c r="AA46" s="24">
        <f>'AEO 2023 Table 36 Raw'!AD33</f>
        <v>0</v>
      </c>
      <c r="AB46" s="24">
        <f>'AEO 2023 Table 36 Raw'!AE33</f>
        <v>0</v>
      </c>
      <c r="AC46" s="24">
        <f>'AEO 2023 Table 36 Raw'!AF33</f>
        <v>0</v>
      </c>
      <c r="AD46" s="24">
        <f>'AEO 2023 Table 36 Raw'!AG33</f>
        <v>0</v>
      </c>
      <c r="AE46" s="24">
        <f>'AEO 2023 Table 36 Raw'!AH33</f>
        <v>0</v>
      </c>
      <c r="AF46" s="29" t="str">
        <f>'AEO 2023 Table 36 Raw'!AI33</f>
        <v>- -</v>
      </c>
    </row>
    <row r="47" spans="1:32" ht="15" customHeight="1">
      <c r="A47" s="18" t="s">
        <v>310</v>
      </c>
      <c r="B47" s="21" t="s">
        <v>311</v>
      </c>
      <c r="C47" s="24">
        <f>'AEO 2023 Table 36 Raw'!F34</f>
        <v>0.51516300000000004</v>
      </c>
      <c r="D47" s="24">
        <f>'AEO 2023 Table 36 Raw'!G34</f>
        <v>1.02989</v>
      </c>
      <c r="E47" s="24">
        <f>'AEO 2023 Table 36 Raw'!H34</f>
        <v>1.6141289999999999</v>
      </c>
      <c r="F47" s="24">
        <f>'AEO 2023 Table 36 Raw'!I34</f>
        <v>2.1038670000000002</v>
      </c>
      <c r="G47" s="24">
        <f>'AEO 2023 Table 36 Raw'!J34</f>
        <v>2.7049910000000001</v>
      </c>
      <c r="H47" s="24">
        <f>'AEO 2023 Table 36 Raw'!K34</f>
        <v>3.499511</v>
      </c>
      <c r="I47" s="24">
        <f>'AEO 2023 Table 36 Raw'!L34</f>
        <v>4.5404369999999998</v>
      </c>
      <c r="J47" s="24">
        <f>'AEO 2023 Table 36 Raw'!M34</f>
        <v>5.9096029999999997</v>
      </c>
      <c r="K47" s="24">
        <f>'AEO 2023 Table 36 Raw'!N34</f>
        <v>7.4006509999999999</v>
      </c>
      <c r="L47" s="24">
        <f>'AEO 2023 Table 36 Raw'!O34</f>
        <v>9.1702840000000005</v>
      </c>
      <c r="M47" s="24">
        <f>'AEO 2023 Table 36 Raw'!P34</f>
        <v>11.444215</v>
      </c>
      <c r="N47" s="24">
        <f>'AEO 2023 Table 36 Raw'!Q34</f>
        <v>14.161068</v>
      </c>
      <c r="O47" s="24">
        <f>'AEO 2023 Table 36 Raw'!R34</f>
        <v>17.293554</v>
      </c>
      <c r="P47" s="24">
        <f>'AEO 2023 Table 36 Raw'!S34</f>
        <v>20.907318</v>
      </c>
      <c r="Q47" s="24">
        <f>'AEO 2023 Table 36 Raw'!T34</f>
        <v>24.839417000000001</v>
      </c>
      <c r="R47" s="24">
        <f>'AEO 2023 Table 36 Raw'!U34</f>
        <v>29.211893</v>
      </c>
      <c r="S47" s="24">
        <f>'AEO 2023 Table 36 Raw'!V34</f>
        <v>34.020896999999998</v>
      </c>
      <c r="T47" s="24">
        <f>'AEO 2023 Table 36 Raw'!W34</f>
        <v>39.055110999999997</v>
      </c>
      <c r="U47" s="24">
        <f>'AEO 2023 Table 36 Raw'!X34</f>
        <v>44.546832999999999</v>
      </c>
      <c r="V47" s="24">
        <f>'AEO 2023 Table 36 Raw'!Y34</f>
        <v>50.726470999999997</v>
      </c>
      <c r="W47" s="24">
        <f>'AEO 2023 Table 36 Raw'!Z34</f>
        <v>57.249889000000003</v>
      </c>
      <c r="X47" s="24">
        <f>'AEO 2023 Table 36 Raw'!AA34</f>
        <v>63.815086000000001</v>
      </c>
      <c r="Y47" s="24">
        <f>'AEO 2023 Table 36 Raw'!AB34</f>
        <v>70.632087999999996</v>
      </c>
      <c r="Z47" s="24">
        <f>'AEO 2023 Table 36 Raw'!AC34</f>
        <v>77.703888000000006</v>
      </c>
      <c r="AA47" s="24">
        <f>'AEO 2023 Table 36 Raw'!AD34</f>
        <v>85.240448000000001</v>
      </c>
      <c r="AB47" s="24">
        <f>'AEO 2023 Table 36 Raw'!AE34</f>
        <v>94.454329999999999</v>
      </c>
      <c r="AC47" s="24">
        <f>'AEO 2023 Table 36 Raw'!AF34</f>
        <v>103.730484</v>
      </c>
      <c r="AD47" s="24">
        <f>'AEO 2023 Table 36 Raw'!AG34</f>
        <v>112.465706</v>
      </c>
      <c r="AE47" s="24">
        <f>'AEO 2023 Table 36 Raw'!AH34</f>
        <v>121.52919799999999</v>
      </c>
      <c r="AF47" s="29">
        <f>'AEO 2023 Table 36 Raw'!AI34</f>
        <v>0.215</v>
      </c>
    </row>
    <row r="48" spans="1:32" ht="12" customHeight="1">
      <c r="C48" s="24"/>
      <c r="D48" s="24"/>
      <c r="E48" s="24"/>
      <c r="F48" s="24"/>
      <c r="G48" s="24"/>
      <c r="H48" s="24"/>
      <c r="I48" s="24"/>
      <c r="J48" s="24"/>
      <c r="K48" s="24"/>
      <c r="L48" s="24"/>
      <c r="M48" s="24"/>
      <c r="N48" s="24"/>
      <c r="O48" s="24"/>
      <c r="P48" s="24"/>
      <c r="Q48" s="24"/>
      <c r="R48" s="24"/>
      <c r="S48" s="24"/>
      <c r="T48" s="24"/>
      <c r="U48" s="24"/>
      <c r="V48" s="24"/>
      <c r="W48" s="24"/>
      <c r="X48" s="24"/>
      <c r="Y48" s="24"/>
      <c r="Z48" s="24"/>
      <c r="AA48" s="24"/>
      <c r="AB48" s="24"/>
      <c r="AC48" s="24"/>
      <c r="AD48" s="24"/>
      <c r="AE48" s="24"/>
      <c r="AF48" s="29"/>
    </row>
    <row r="49" spans="1:32" ht="15" customHeight="1">
      <c r="A49" s="18" t="s">
        <v>312</v>
      </c>
      <c r="B49" s="20" t="s">
        <v>12</v>
      </c>
      <c r="C49" s="24">
        <f>'AEO 2023 Table 36 Raw'!F35</f>
        <v>98.239020999999994</v>
      </c>
      <c r="D49" s="24">
        <f>'AEO 2023 Table 36 Raw'!G35</f>
        <v>98.920753000000005</v>
      </c>
      <c r="E49" s="24">
        <f>'AEO 2023 Table 36 Raw'!H35</f>
        <v>98.114661999999996</v>
      </c>
      <c r="F49" s="24">
        <f>'AEO 2023 Table 36 Raw'!I35</f>
        <v>97.346069</v>
      </c>
      <c r="G49" s="24">
        <f>'AEO 2023 Table 36 Raw'!J35</f>
        <v>96.685867000000002</v>
      </c>
      <c r="H49" s="24">
        <f>'AEO 2023 Table 36 Raw'!K35</f>
        <v>95.823470999999998</v>
      </c>
      <c r="I49" s="24">
        <f>'AEO 2023 Table 36 Raw'!L35</f>
        <v>94.964698999999996</v>
      </c>
      <c r="J49" s="24">
        <f>'AEO 2023 Table 36 Raw'!M35</f>
        <v>93.890502999999995</v>
      </c>
      <c r="K49" s="24">
        <f>'AEO 2023 Table 36 Raw'!N35</f>
        <v>92.919189000000003</v>
      </c>
      <c r="L49" s="24">
        <f>'AEO 2023 Table 36 Raw'!O35</f>
        <v>92.029815999999997</v>
      </c>
      <c r="M49" s="24">
        <f>'AEO 2023 Table 36 Raw'!P35</f>
        <v>91.401107999999994</v>
      </c>
      <c r="N49" s="24">
        <f>'AEO 2023 Table 36 Raw'!Q35</f>
        <v>90.674225000000007</v>
      </c>
      <c r="O49" s="24">
        <f>'AEO 2023 Table 36 Raw'!R35</f>
        <v>89.934028999999995</v>
      </c>
      <c r="P49" s="24">
        <f>'AEO 2023 Table 36 Raw'!S35</f>
        <v>89.168869000000001</v>
      </c>
      <c r="Q49" s="24">
        <f>'AEO 2023 Table 36 Raw'!T35</f>
        <v>88.333008000000007</v>
      </c>
      <c r="R49" s="24">
        <f>'AEO 2023 Table 36 Raw'!U35</f>
        <v>87.614966999999993</v>
      </c>
      <c r="S49" s="24">
        <f>'AEO 2023 Table 36 Raw'!V35</f>
        <v>86.833350999999993</v>
      </c>
      <c r="T49" s="24">
        <f>'AEO 2023 Table 36 Raw'!W35</f>
        <v>86.156693000000004</v>
      </c>
      <c r="U49" s="24">
        <f>'AEO 2023 Table 36 Raw'!X35</f>
        <v>85.473595000000003</v>
      </c>
      <c r="V49" s="24">
        <f>'AEO 2023 Table 36 Raw'!Y35</f>
        <v>84.846123000000006</v>
      </c>
      <c r="W49" s="24">
        <f>'AEO 2023 Table 36 Raw'!Z35</f>
        <v>84.273765999999995</v>
      </c>
      <c r="X49" s="24">
        <f>'AEO 2023 Table 36 Raw'!AA35</f>
        <v>83.705399</v>
      </c>
      <c r="Y49" s="24">
        <f>'AEO 2023 Table 36 Raw'!AB35</f>
        <v>83.103454999999997</v>
      </c>
      <c r="Z49" s="24">
        <f>'AEO 2023 Table 36 Raw'!AC35</f>
        <v>82.418205</v>
      </c>
      <c r="AA49" s="24">
        <f>'AEO 2023 Table 36 Raw'!AD35</f>
        <v>81.856209000000007</v>
      </c>
      <c r="AB49" s="24">
        <f>'AEO 2023 Table 36 Raw'!AE35</f>
        <v>81.249022999999994</v>
      </c>
      <c r="AC49" s="24">
        <f>'AEO 2023 Table 36 Raw'!AF35</f>
        <v>80.573120000000003</v>
      </c>
      <c r="AD49" s="24">
        <f>'AEO 2023 Table 36 Raw'!AG35</f>
        <v>79.990395000000007</v>
      </c>
      <c r="AE49" s="24">
        <f>'AEO 2023 Table 36 Raw'!AH35</f>
        <v>79.592849999999999</v>
      </c>
      <c r="AF49" s="29">
        <f>'AEO 2023 Table 36 Raw'!AI35</f>
        <v>-7.0000000000000001E-3</v>
      </c>
    </row>
    <row r="50" spans="1:32" s="98" customFormat="1" ht="15" customHeight="1">
      <c r="A50" s="94" t="s">
        <v>313</v>
      </c>
      <c r="B50" s="95" t="s">
        <v>274</v>
      </c>
      <c r="C50" s="96">
        <f>'AEO 2023 Table 36 Raw'!F36</f>
        <v>95.724982999999995</v>
      </c>
      <c r="D50" s="96">
        <f>'AEO 2023 Table 36 Raw'!G36</f>
        <v>96.410872999999995</v>
      </c>
      <c r="E50" s="96">
        <f>'AEO 2023 Table 36 Raw'!H36</f>
        <v>95.648369000000002</v>
      </c>
      <c r="F50" s="96">
        <f>'AEO 2023 Table 36 Raw'!I36</f>
        <v>94.922400999999994</v>
      </c>
      <c r="G50" s="96">
        <f>'AEO 2023 Table 36 Raw'!J36</f>
        <v>94.299674999999993</v>
      </c>
      <c r="H50" s="96">
        <f>'AEO 2023 Table 36 Raw'!K36</f>
        <v>93.480141000000003</v>
      </c>
      <c r="I50" s="96">
        <f>'AEO 2023 Table 36 Raw'!L36</f>
        <v>92.663535999999993</v>
      </c>
      <c r="J50" s="96">
        <f>'AEO 2023 Table 36 Raw'!M36</f>
        <v>91.636002000000005</v>
      </c>
      <c r="K50" s="96">
        <f>'AEO 2023 Table 36 Raw'!N36</f>
        <v>90.709732000000002</v>
      </c>
      <c r="L50" s="96">
        <f>'AEO 2023 Table 36 Raw'!O36</f>
        <v>89.864052000000001</v>
      </c>
      <c r="M50" s="96">
        <f>'AEO 2023 Table 36 Raw'!P36</f>
        <v>89.271820000000005</v>
      </c>
      <c r="N50" s="96">
        <f>'AEO 2023 Table 36 Raw'!Q36</f>
        <v>88.583907999999994</v>
      </c>
      <c r="O50" s="96">
        <f>'AEO 2023 Table 36 Raw'!R36</f>
        <v>87.881882000000004</v>
      </c>
      <c r="P50" s="96">
        <f>'AEO 2023 Table 36 Raw'!S36</f>
        <v>87.154610000000005</v>
      </c>
      <c r="Q50" s="96">
        <f>'AEO 2023 Table 36 Raw'!T36</f>
        <v>86.355025999999995</v>
      </c>
      <c r="R50" s="96">
        <f>'AEO 2023 Table 36 Raw'!U36</f>
        <v>85.672011999999995</v>
      </c>
      <c r="S50" s="96">
        <f>'AEO 2023 Table 36 Raw'!V36</f>
        <v>84.929305999999997</v>
      </c>
      <c r="T50" s="96">
        <f>'AEO 2023 Table 36 Raw'!W36</f>
        <v>84.290549999999996</v>
      </c>
      <c r="U50" s="96">
        <f>'AEO 2023 Table 36 Raw'!X36</f>
        <v>83.598647999999997</v>
      </c>
      <c r="V50" s="96">
        <f>'AEO 2023 Table 36 Raw'!Y36</f>
        <v>82.885955999999993</v>
      </c>
      <c r="W50" s="96">
        <f>'AEO 2023 Table 36 Raw'!Z36</f>
        <v>82.221778999999998</v>
      </c>
      <c r="X50" s="96">
        <f>'AEO 2023 Table 36 Raw'!AA36</f>
        <v>81.555756000000002</v>
      </c>
      <c r="Y50" s="96">
        <f>'AEO 2023 Table 36 Raw'!AB36</f>
        <v>80.850998000000004</v>
      </c>
      <c r="Z50" s="96">
        <f>'AEO 2023 Table 36 Raw'!AC36</f>
        <v>80.058989999999994</v>
      </c>
      <c r="AA50" s="96">
        <f>'AEO 2023 Table 36 Raw'!AD36</f>
        <v>79.380050999999995</v>
      </c>
      <c r="AB50" s="96">
        <f>'AEO 2023 Table 36 Raw'!AE36</f>
        <v>78.650115999999997</v>
      </c>
      <c r="AC50" s="96">
        <f>'AEO 2023 Table 36 Raw'!AF36</f>
        <v>77.846335999999994</v>
      </c>
      <c r="AD50" s="96">
        <f>'AEO 2023 Table 36 Raw'!AG36</f>
        <v>77.124741</v>
      </c>
      <c r="AE50" s="96">
        <f>'AEO 2023 Table 36 Raw'!AH36</f>
        <v>76.572761999999997</v>
      </c>
      <c r="AF50" s="97">
        <f>'AEO 2023 Table 36 Raw'!AI36</f>
        <v>-8.0000000000000002E-3</v>
      </c>
    </row>
    <row r="51" spans="1:32" ht="15" customHeight="1">
      <c r="A51" s="18" t="s">
        <v>314</v>
      </c>
      <c r="B51" s="21" t="s">
        <v>315</v>
      </c>
      <c r="C51" s="24">
        <f>'AEO 2023 Table 36 Raw'!F37</f>
        <v>1.875904</v>
      </c>
      <c r="D51" s="24">
        <f>'AEO 2023 Table 36 Raw'!G37</f>
        <v>1.8078829999999999</v>
      </c>
      <c r="E51" s="24">
        <f>'AEO 2023 Table 36 Raw'!H37</f>
        <v>1.7136819999999999</v>
      </c>
      <c r="F51" s="24">
        <f>'AEO 2023 Table 36 Raw'!I37</f>
        <v>1.621937</v>
      </c>
      <c r="G51" s="24">
        <f>'AEO 2023 Table 36 Raw'!J37</f>
        <v>1.5413140000000001</v>
      </c>
      <c r="H51" s="24">
        <f>'AEO 2023 Table 36 Raw'!K37</f>
        <v>1.455168</v>
      </c>
      <c r="I51" s="24">
        <f>'AEO 2023 Table 36 Raw'!L37</f>
        <v>1.371278</v>
      </c>
      <c r="J51" s="24">
        <f>'AEO 2023 Table 36 Raw'!M37</f>
        <v>1.2863249999999999</v>
      </c>
      <c r="K51" s="24">
        <f>'AEO 2023 Table 36 Raw'!N37</f>
        <v>1.1999850000000001</v>
      </c>
      <c r="L51" s="24">
        <f>'AEO 2023 Table 36 Raw'!O37</f>
        <v>1.1125510000000001</v>
      </c>
      <c r="M51" s="24">
        <f>'AEO 2023 Table 36 Raw'!P37</f>
        <v>1.0315639999999999</v>
      </c>
      <c r="N51" s="24">
        <f>'AEO 2023 Table 36 Raw'!Q37</f>
        <v>0.94839600000000002</v>
      </c>
      <c r="O51" s="24">
        <f>'AEO 2023 Table 36 Raw'!R37</f>
        <v>0.86860599999999999</v>
      </c>
      <c r="P51" s="24">
        <f>'AEO 2023 Table 36 Raw'!S37</f>
        <v>0.79182399999999997</v>
      </c>
      <c r="Q51" s="24">
        <f>'AEO 2023 Table 36 Raw'!T37</f>
        <v>0.72530600000000001</v>
      </c>
      <c r="R51" s="24">
        <f>'AEO 2023 Table 36 Raw'!U37</f>
        <v>0.65481</v>
      </c>
      <c r="S51" s="24">
        <f>'AEO 2023 Table 36 Raw'!V37</f>
        <v>0.57531900000000002</v>
      </c>
      <c r="T51" s="24">
        <f>'AEO 2023 Table 36 Raw'!W37</f>
        <v>0.49192999999999998</v>
      </c>
      <c r="U51" s="24">
        <f>'AEO 2023 Table 36 Raw'!X37</f>
        <v>0.417902</v>
      </c>
      <c r="V51" s="24">
        <f>'AEO 2023 Table 36 Raw'!Y37</f>
        <v>0.41475499999999998</v>
      </c>
      <c r="W51" s="24">
        <f>'AEO 2023 Table 36 Raw'!Z37</f>
        <v>0.41187499999999999</v>
      </c>
      <c r="X51" s="24">
        <f>'AEO 2023 Table 36 Raw'!AA37</f>
        <v>0.40901599999999999</v>
      </c>
      <c r="Y51" s="24">
        <f>'AEO 2023 Table 36 Raw'!AB37</f>
        <v>0.40599000000000002</v>
      </c>
      <c r="Z51" s="24">
        <f>'AEO 2023 Table 36 Raw'!AC37</f>
        <v>0.40254800000000002</v>
      </c>
      <c r="AA51" s="24">
        <f>'AEO 2023 Table 36 Raw'!AD37</f>
        <v>0.39974100000000001</v>
      </c>
      <c r="AB51" s="24">
        <f>'AEO 2023 Table 36 Raw'!AE37</f>
        <v>0.396733</v>
      </c>
      <c r="AC51" s="24">
        <f>'AEO 2023 Table 36 Raw'!AF37</f>
        <v>0.39335599999999998</v>
      </c>
      <c r="AD51" s="24">
        <f>'AEO 2023 Table 36 Raw'!AG37</f>
        <v>0.39045299999999999</v>
      </c>
      <c r="AE51" s="24">
        <f>'AEO 2023 Table 36 Raw'!AH37</f>
        <v>0.38850499999999999</v>
      </c>
      <c r="AF51" s="29">
        <f>'AEO 2023 Table 36 Raw'!AI37</f>
        <v>-5.5E-2</v>
      </c>
    </row>
    <row r="52" spans="1:32" ht="15" customHeight="1">
      <c r="A52" s="18" t="s">
        <v>316</v>
      </c>
      <c r="B52" s="21" t="s">
        <v>309</v>
      </c>
      <c r="C52" s="24">
        <f>'AEO 2023 Table 36 Raw'!F38</f>
        <v>0</v>
      </c>
      <c r="D52" s="24">
        <f>'AEO 2023 Table 36 Raw'!G38</f>
        <v>0</v>
      </c>
      <c r="E52" s="24">
        <f>'AEO 2023 Table 36 Raw'!H38</f>
        <v>0</v>
      </c>
      <c r="F52" s="24">
        <f>'AEO 2023 Table 36 Raw'!I38</f>
        <v>0</v>
      </c>
      <c r="G52" s="24">
        <f>'AEO 2023 Table 36 Raw'!J38</f>
        <v>0</v>
      </c>
      <c r="H52" s="24">
        <f>'AEO 2023 Table 36 Raw'!K38</f>
        <v>0</v>
      </c>
      <c r="I52" s="24">
        <f>'AEO 2023 Table 36 Raw'!L38</f>
        <v>0</v>
      </c>
      <c r="J52" s="24">
        <f>'AEO 2023 Table 36 Raw'!M38</f>
        <v>0</v>
      </c>
      <c r="K52" s="24">
        <f>'AEO 2023 Table 36 Raw'!N38</f>
        <v>0</v>
      </c>
      <c r="L52" s="24">
        <f>'AEO 2023 Table 36 Raw'!O38</f>
        <v>0</v>
      </c>
      <c r="M52" s="24">
        <f>'AEO 2023 Table 36 Raw'!P38</f>
        <v>0</v>
      </c>
      <c r="N52" s="24">
        <f>'AEO 2023 Table 36 Raw'!Q38</f>
        <v>0</v>
      </c>
      <c r="O52" s="24">
        <f>'AEO 2023 Table 36 Raw'!R38</f>
        <v>0</v>
      </c>
      <c r="P52" s="24">
        <f>'AEO 2023 Table 36 Raw'!S38</f>
        <v>0</v>
      </c>
      <c r="Q52" s="24">
        <f>'AEO 2023 Table 36 Raw'!T38</f>
        <v>0</v>
      </c>
      <c r="R52" s="24">
        <f>'AEO 2023 Table 36 Raw'!U38</f>
        <v>0</v>
      </c>
      <c r="S52" s="24">
        <f>'AEO 2023 Table 36 Raw'!V38</f>
        <v>0</v>
      </c>
      <c r="T52" s="24">
        <f>'AEO 2023 Table 36 Raw'!W38</f>
        <v>0</v>
      </c>
      <c r="U52" s="24">
        <f>'AEO 2023 Table 36 Raw'!X38</f>
        <v>0</v>
      </c>
      <c r="V52" s="24">
        <f>'AEO 2023 Table 36 Raw'!Y38</f>
        <v>0</v>
      </c>
      <c r="W52" s="24">
        <f>'AEO 2023 Table 36 Raw'!Z38</f>
        <v>0</v>
      </c>
      <c r="X52" s="24">
        <f>'AEO 2023 Table 36 Raw'!AA38</f>
        <v>0</v>
      </c>
      <c r="Y52" s="24">
        <f>'AEO 2023 Table 36 Raw'!AB38</f>
        <v>0</v>
      </c>
      <c r="Z52" s="24">
        <f>'AEO 2023 Table 36 Raw'!AC38</f>
        <v>0</v>
      </c>
      <c r="AA52" s="24">
        <f>'AEO 2023 Table 36 Raw'!AD38</f>
        <v>0</v>
      </c>
      <c r="AB52" s="24">
        <f>'AEO 2023 Table 36 Raw'!AE38</f>
        <v>0</v>
      </c>
      <c r="AC52" s="24">
        <f>'AEO 2023 Table 36 Raw'!AF38</f>
        <v>0</v>
      </c>
      <c r="AD52" s="24">
        <f>'AEO 2023 Table 36 Raw'!AG38</f>
        <v>0</v>
      </c>
      <c r="AE52" s="24">
        <f>'AEO 2023 Table 36 Raw'!AH38</f>
        <v>0</v>
      </c>
      <c r="AF52" s="29" t="str">
        <f>'AEO 2023 Table 36 Raw'!AI38</f>
        <v>- -</v>
      </c>
    </row>
    <row r="53" spans="1:32" ht="15" customHeight="1">
      <c r="A53" s="18" t="s">
        <v>317</v>
      </c>
      <c r="B53" s="21" t="s">
        <v>311</v>
      </c>
      <c r="C53" s="24">
        <f>'AEO 2023 Table 36 Raw'!F39</f>
        <v>0.638131</v>
      </c>
      <c r="D53" s="24">
        <f>'AEO 2023 Table 36 Raw'!G39</f>
        <v>0.70199999999999996</v>
      </c>
      <c r="E53" s="24">
        <f>'AEO 2023 Table 36 Raw'!H39</f>
        <v>0.75260700000000003</v>
      </c>
      <c r="F53" s="24">
        <f>'AEO 2023 Table 36 Raw'!I39</f>
        <v>0.80172500000000002</v>
      </c>
      <c r="G53" s="24">
        <f>'AEO 2023 Table 36 Raw'!J39</f>
        <v>0.84487999999999996</v>
      </c>
      <c r="H53" s="24">
        <f>'AEO 2023 Table 36 Raw'!K39</f>
        <v>0.88815699999999997</v>
      </c>
      <c r="I53" s="24">
        <f>'AEO 2023 Table 36 Raw'!L39</f>
        <v>0.92988400000000004</v>
      </c>
      <c r="J53" s="24">
        <f>'AEO 2023 Table 36 Raw'!M39</f>
        <v>0.96818099999999996</v>
      </c>
      <c r="K53" s="24">
        <f>'AEO 2023 Table 36 Raw'!N39</f>
        <v>1.009477</v>
      </c>
      <c r="L53" s="24">
        <f>'AEO 2023 Table 36 Raw'!O39</f>
        <v>1.053212</v>
      </c>
      <c r="M53" s="24">
        <f>'AEO 2023 Table 36 Raw'!P39</f>
        <v>1.0977250000000001</v>
      </c>
      <c r="N53" s="24">
        <f>'AEO 2023 Table 36 Raw'!Q39</f>
        <v>1.1419189999999999</v>
      </c>
      <c r="O53" s="24">
        <f>'AEO 2023 Table 36 Raw'!R39</f>
        <v>1.183538</v>
      </c>
      <c r="P53" s="24">
        <f>'AEO 2023 Table 36 Raw'!S39</f>
        <v>1.2224330000000001</v>
      </c>
      <c r="Q53" s="24">
        <f>'AEO 2023 Table 36 Raw'!T39</f>
        <v>1.252678</v>
      </c>
      <c r="R53" s="24">
        <f>'AEO 2023 Table 36 Raw'!U39</f>
        <v>1.2881480000000001</v>
      </c>
      <c r="S53" s="24">
        <f>'AEO 2023 Table 36 Raw'!V39</f>
        <v>1.3287279999999999</v>
      </c>
      <c r="T53" s="24">
        <f>'AEO 2023 Table 36 Raw'!W39</f>
        <v>1.374214</v>
      </c>
      <c r="U53" s="24">
        <f>'AEO 2023 Table 36 Raw'!X39</f>
        <v>1.4570460000000001</v>
      </c>
      <c r="V53" s="24">
        <f>'AEO 2023 Table 36 Raw'!Y39</f>
        <v>1.54541</v>
      </c>
      <c r="W53" s="24">
        <f>'AEO 2023 Table 36 Raw'!Z39</f>
        <v>1.640115</v>
      </c>
      <c r="X53" s="24">
        <f>'AEO 2023 Table 36 Raw'!AA39</f>
        <v>1.7406269999999999</v>
      </c>
      <c r="Y53" s="24">
        <f>'AEO 2023 Table 36 Raw'!AB39</f>
        <v>1.8464670000000001</v>
      </c>
      <c r="Z53" s="24">
        <f>'AEO 2023 Table 36 Raw'!AC39</f>
        <v>1.956663</v>
      </c>
      <c r="AA53" s="24">
        <f>'AEO 2023 Table 36 Raw'!AD39</f>
        <v>2.0764179999999999</v>
      </c>
      <c r="AB53" s="24">
        <f>'AEO 2023 Table 36 Raw'!AE39</f>
        <v>2.2021730000000002</v>
      </c>
      <c r="AC53" s="24">
        <f>'AEO 2023 Table 36 Raw'!AF39</f>
        <v>2.3334239999999999</v>
      </c>
      <c r="AD53" s="24">
        <f>'AEO 2023 Table 36 Raw'!AG39</f>
        <v>2.4752070000000002</v>
      </c>
      <c r="AE53" s="24">
        <f>'AEO 2023 Table 36 Raw'!AH39</f>
        <v>2.6315870000000001</v>
      </c>
      <c r="AF53" s="29">
        <f>'AEO 2023 Table 36 Raw'!AI39</f>
        <v>5.1999999999999998E-2</v>
      </c>
    </row>
    <row r="54" spans="1:32" ht="12" customHeight="1">
      <c r="C54" s="24"/>
      <c r="D54" s="24"/>
      <c r="E54" s="24"/>
      <c r="F54" s="24"/>
      <c r="G54" s="24"/>
      <c r="H54" s="24"/>
      <c r="I54" s="24"/>
      <c r="J54" s="24"/>
      <c r="K54" s="24"/>
      <c r="L54" s="24"/>
      <c r="M54" s="24"/>
      <c r="N54" s="24"/>
      <c r="O54" s="24"/>
      <c r="P54" s="24"/>
      <c r="Q54" s="24"/>
      <c r="R54" s="24"/>
      <c r="S54" s="24"/>
      <c r="T54" s="24"/>
      <c r="U54" s="24"/>
      <c r="V54" s="24"/>
      <c r="W54" s="24"/>
      <c r="X54" s="24"/>
      <c r="Y54" s="24"/>
      <c r="Z54" s="24"/>
      <c r="AA54" s="24"/>
      <c r="AB54" s="24"/>
      <c r="AC54" s="24"/>
      <c r="AD54" s="24"/>
      <c r="AE54" s="24"/>
      <c r="AF54" s="29"/>
    </row>
    <row r="55" spans="1:32" ht="15" customHeight="1">
      <c r="A55" s="18" t="s">
        <v>318</v>
      </c>
      <c r="B55" s="20" t="s">
        <v>11</v>
      </c>
      <c r="C55" s="24">
        <f>'AEO 2023 Table 36 Raw'!F40</f>
        <v>935.02770999999996</v>
      </c>
      <c r="D55" s="24">
        <f>'AEO 2023 Table 36 Raw'!G40</f>
        <v>881.83038299999998</v>
      </c>
      <c r="E55" s="24">
        <f>'AEO 2023 Table 36 Raw'!H40</f>
        <v>877.72729500000003</v>
      </c>
      <c r="F55" s="24">
        <f>'AEO 2023 Table 36 Raw'!I40</f>
        <v>878.60412599999995</v>
      </c>
      <c r="G55" s="24">
        <f>'AEO 2023 Table 36 Raw'!J40</f>
        <v>871.25030500000003</v>
      </c>
      <c r="H55" s="24">
        <f>'AEO 2023 Table 36 Raw'!K40</f>
        <v>868.44872999999995</v>
      </c>
      <c r="I55" s="24">
        <f>'AEO 2023 Table 36 Raw'!L40</f>
        <v>862.68933100000004</v>
      </c>
      <c r="J55" s="24">
        <f>'AEO 2023 Table 36 Raw'!M40</f>
        <v>859.14196800000002</v>
      </c>
      <c r="K55" s="24">
        <f>'AEO 2023 Table 36 Raw'!N40</f>
        <v>856.63439900000003</v>
      </c>
      <c r="L55" s="24">
        <f>'AEO 2023 Table 36 Raw'!O40</f>
        <v>857.13647500000002</v>
      </c>
      <c r="M55" s="24">
        <f>'AEO 2023 Table 36 Raw'!P40</f>
        <v>857.43701199999998</v>
      </c>
      <c r="N55" s="24">
        <f>'AEO 2023 Table 36 Raw'!Q40</f>
        <v>858.00024399999995</v>
      </c>
      <c r="O55" s="24">
        <f>'AEO 2023 Table 36 Raw'!R40</f>
        <v>857.76019299999996</v>
      </c>
      <c r="P55" s="24">
        <f>'AEO 2023 Table 36 Raw'!S40</f>
        <v>858.217896</v>
      </c>
      <c r="Q55" s="24">
        <f>'AEO 2023 Table 36 Raw'!T40</f>
        <v>857.54724099999999</v>
      </c>
      <c r="R55" s="24">
        <f>'AEO 2023 Table 36 Raw'!U40</f>
        <v>857.61346400000002</v>
      </c>
      <c r="S55" s="24">
        <f>'AEO 2023 Table 36 Raw'!V40</f>
        <v>857.63464399999998</v>
      </c>
      <c r="T55" s="24">
        <f>'AEO 2023 Table 36 Raw'!W40</f>
        <v>857.34979199999998</v>
      </c>
      <c r="U55" s="24">
        <f>'AEO 2023 Table 36 Raw'!X40</f>
        <v>857.24542199999996</v>
      </c>
      <c r="V55" s="24">
        <f>'AEO 2023 Table 36 Raw'!Y40</f>
        <v>857.30096400000002</v>
      </c>
      <c r="W55" s="24">
        <f>'AEO 2023 Table 36 Raw'!Z40</f>
        <v>857.82971199999997</v>
      </c>
      <c r="X55" s="24">
        <f>'AEO 2023 Table 36 Raw'!AA40</f>
        <v>857.81982400000004</v>
      </c>
      <c r="Y55" s="24">
        <f>'AEO 2023 Table 36 Raw'!AB40</f>
        <v>858.04791299999999</v>
      </c>
      <c r="Z55" s="24">
        <f>'AEO 2023 Table 36 Raw'!AC40</f>
        <v>858.06762700000002</v>
      </c>
      <c r="AA55" s="24">
        <f>'AEO 2023 Table 36 Raw'!AD40</f>
        <v>860.63342299999999</v>
      </c>
      <c r="AB55" s="24">
        <f>'AEO 2023 Table 36 Raw'!AE40</f>
        <v>860.92425500000002</v>
      </c>
      <c r="AC55" s="24">
        <f>'AEO 2023 Table 36 Raw'!AF40</f>
        <v>859.83441200000004</v>
      </c>
      <c r="AD55" s="24">
        <f>'AEO 2023 Table 36 Raw'!AG40</f>
        <v>859.12170400000002</v>
      </c>
      <c r="AE55" s="24">
        <f>'AEO 2023 Table 36 Raw'!AH40</f>
        <v>858.094604</v>
      </c>
      <c r="AF55" s="29">
        <f>'AEO 2023 Table 36 Raw'!AI40</f>
        <v>-3.0000000000000001E-3</v>
      </c>
    </row>
    <row r="56" spans="1:32" s="98" customFormat="1" ht="15" customHeight="1">
      <c r="A56" s="94" t="s">
        <v>319</v>
      </c>
      <c r="B56" s="95" t="s">
        <v>274</v>
      </c>
      <c r="C56" s="96">
        <f>'AEO 2023 Table 36 Raw'!F41</f>
        <v>222.93867499999999</v>
      </c>
      <c r="D56" s="96">
        <f>'AEO 2023 Table 36 Raw'!G41</f>
        <v>318.21374500000002</v>
      </c>
      <c r="E56" s="96">
        <f>'AEO 2023 Table 36 Raw'!H41</f>
        <v>318.50683600000002</v>
      </c>
      <c r="F56" s="96">
        <f>'AEO 2023 Table 36 Raw'!I41</f>
        <v>321.42748999999998</v>
      </c>
      <c r="G56" s="96">
        <f>'AEO 2023 Table 36 Raw'!J41</f>
        <v>326.40893599999998</v>
      </c>
      <c r="H56" s="96">
        <f>'AEO 2023 Table 36 Raw'!K41</f>
        <v>331.75039700000002</v>
      </c>
      <c r="I56" s="96">
        <f>'AEO 2023 Table 36 Raw'!L41</f>
        <v>339.13262900000001</v>
      </c>
      <c r="J56" s="96">
        <f>'AEO 2023 Table 36 Raw'!M41</f>
        <v>343.65380900000002</v>
      </c>
      <c r="K56" s="96">
        <f>'AEO 2023 Table 36 Raw'!N41</f>
        <v>348.44000199999999</v>
      </c>
      <c r="L56" s="96">
        <f>'AEO 2023 Table 36 Raw'!O41</f>
        <v>348.61184700000001</v>
      </c>
      <c r="M56" s="96">
        <f>'AEO 2023 Table 36 Raw'!P41</f>
        <v>349.93618800000002</v>
      </c>
      <c r="N56" s="96">
        <f>'AEO 2023 Table 36 Raw'!Q41</f>
        <v>351.71850599999999</v>
      </c>
      <c r="O56" s="96">
        <f>'AEO 2023 Table 36 Raw'!R41</f>
        <v>354.40063500000002</v>
      </c>
      <c r="P56" s="96">
        <f>'AEO 2023 Table 36 Raw'!S41</f>
        <v>355.17700200000002</v>
      </c>
      <c r="Q56" s="96">
        <f>'AEO 2023 Table 36 Raw'!T41</f>
        <v>356.67022700000001</v>
      </c>
      <c r="R56" s="96">
        <f>'AEO 2023 Table 36 Raw'!U41</f>
        <v>356.87670900000001</v>
      </c>
      <c r="S56" s="96">
        <f>'AEO 2023 Table 36 Raw'!V41</f>
        <v>358.82894900000002</v>
      </c>
      <c r="T56" s="96">
        <f>'AEO 2023 Table 36 Raw'!W41</f>
        <v>358.93920900000001</v>
      </c>
      <c r="U56" s="96">
        <f>'AEO 2023 Table 36 Raw'!X41</f>
        <v>360.572205</v>
      </c>
      <c r="V56" s="96">
        <f>'AEO 2023 Table 36 Raw'!Y41</f>
        <v>361.26196299999998</v>
      </c>
      <c r="W56" s="96">
        <f>'AEO 2023 Table 36 Raw'!Z41</f>
        <v>361.28478999999999</v>
      </c>
      <c r="X56" s="96">
        <f>'AEO 2023 Table 36 Raw'!AA41</f>
        <v>360.64623999999998</v>
      </c>
      <c r="Y56" s="96">
        <f>'AEO 2023 Table 36 Raw'!AB41</f>
        <v>360.38775600000002</v>
      </c>
      <c r="Z56" s="96">
        <f>'AEO 2023 Table 36 Raw'!AC41</f>
        <v>360.05560300000002</v>
      </c>
      <c r="AA56" s="96">
        <f>'AEO 2023 Table 36 Raw'!AD41</f>
        <v>358.46176100000002</v>
      </c>
      <c r="AB56" s="96">
        <f>'AEO 2023 Table 36 Raw'!AE41</f>
        <v>357.26376299999998</v>
      </c>
      <c r="AC56" s="96">
        <f>'AEO 2023 Table 36 Raw'!AF41</f>
        <v>357.07412699999998</v>
      </c>
      <c r="AD56" s="96">
        <f>'AEO 2023 Table 36 Raw'!AG41</f>
        <v>355.22808800000001</v>
      </c>
      <c r="AE56" s="96">
        <f>'AEO 2023 Table 36 Raw'!AH41</f>
        <v>354.51147500000002</v>
      </c>
      <c r="AF56" s="97">
        <f>'AEO 2023 Table 36 Raw'!AI41</f>
        <v>1.7000000000000001E-2</v>
      </c>
    </row>
    <row r="57" spans="1:32" s="98" customFormat="1" ht="15" customHeight="1">
      <c r="A57" s="94" t="s">
        <v>320</v>
      </c>
      <c r="B57" s="95" t="s">
        <v>315</v>
      </c>
      <c r="C57" s="96">
        <f>'AEO 2023 Table 36 Raw'!F42</f>
        <v>685.66516100000001</v>
      </c>
      <c r="D57" s="96">
        <f>'AEO 2023 Table 36 Raw'!G42</f>
        <v>532.149719</v>
      </c>
      <c r="E57" s="96">
        <f>'AEO 2023 Table 36 Raw'!H42</f>
        <v>519.35320999999999</v>
      </c>
      <c r="F57" s="96">
        <f>'AEO 2023 Table 36 Raw'!I42</f>
        <v>520.34844999999996</v>
      </c>
      <c r="G57" s="96">
        <f>'AEO 2023 Table 36 Raw'!J42</f>
        <v>497.46441700000003</v>
      </c>
      <c r="H57" s="96">
        <f>'AEO 2023 Table 36 Raw'!K42</f>
        <v>487.75363199999998</v>
      </c>
      <c r="I57" s="96">
        <f>'AEO 2023 Table 36 Raw'!L42</f>
        <v>469.75631700000002</v>
      </c>
      <c r="J57" s="96">
        <f>'AEO 2023 Table 36 Raw'!M42</f>
        <v>458.26986699999998</v>
      </c>
      <c r="K57" s="96">
        <f>'AEO 2023 Table 36 Raw'!N42</f>
        <v>449.82733200000001</v>
      </c>
      <c r="L57" s="96">
        <f>'AEO 2023 Table 36 Raw'!O42</f>
        <v>449.95632899999998</v>
      </c>
      <c r="M57" s="96">
        <f>'AEO 2023 Table 36 Raw'!P42</f>
        <v>449.27517699999999</v>
      </c>
      <c r="N57" s="96">
        <f>'AEO 2023 Table 36 Raw'!Q42</f>
        <v>449.44375600000001</v>
      </c>
      <c r="O57" s="96">
        <f>'AEO 2023 Table 36 Raw'!R42</f>
        <v>447.34497099999999</v>
      </c>
      <c r="P57" s="96">
        <f>'AEO 2023 Table 36 Raw'!S42</f>
        <v>447.23684700000001</v>
      </c>
      <c r="Q57" s="96">
        <f>'AEO 2023 Table 36 Raw'!T42</f>
        <v>444.02316300000001</v>
      </c>
      <c r="R57" s="96">
        <f>'AEO 2023 Table 36 Raw'!U42</f>
        <v>442.96899400000001</v>
      </c>
      <c r="S57" s="96">
        <f>'AEO 2023 Table 36 Raw'!V42</f>
        <v>441.815674</v>
      </c>
      <c r="T57" s="96">
        <f>'AEO 2023 Table 36 Raw'!W42</f>
        <v>439.63165300000003</v>
      </c>
      <c r="U57" s="96">
        <f>'AEO 2023 Table 36 Raw'!X42</f>
        <v>437.97662400000002</v>
      </c>
      <c r="V57" s="96">
        <f>'AEO 2023 Table 36 Raw'!Y42</f>
        <v>436.76757800000001</v>
      </c>
      <c r="W57" s="96">
        <f>'AEO 2023 Table 36 Raw'!Z42</f>
        <v>436.80938700000002</v>
      </c>
      <c r="X57" s="96">
        <f>'AEO 2023 Table 36 Raw'!AA42</f>
        <v>435.24386600000003</v>
      </c>
      <c r="Y57" s="96">
        <f>'AEO 2023 Table 36 Raw'!AB42</f>
        <v>434.29315200000002</v>
      </c>
      <c r="Z57" s="96">
        <f>'AEO 2023 Table 36 Raw'!AC42</f>
        <v>432.733093</v>
      </c>
      <c r="AA57" s="96">
        <f>'AEO 2023 Table 36 Raw'!AD42</f>
        <v>438.45755000000003</v>
      </c>
      <c r="AB57" s="96">
        <f>'AEO 2023 Table 36 Raw'!AE42</f>
        <v>437.70047</v>
      </c>
      <c r="AC57" s="96">
        <f>'AEO 2023 Table 36 Raw'!AF42</f>
        <v>432.92089800000002</v>
      </c>
      <c r="AD57" s="96">
        <f>'AEO 2023 Table 36 Raw'!AG42</f>
        <v>429.24749800000001</v>
      </c>
      <c r="AE57" s="96">
        <f>'AEO 2023 Table 36 Raw'!AH42</f>
        <v>424.56079099999999</v>
      </c>
      <c r="AF57" s="97">
        <f>'AEO 2023 Table 36 Raw'!AI42</f>
        <v>-1.7000000000000001E-2</v>
      </c>
    </row>
    <row r="58" spans="1:32" ht="15" customHeight="1">
      <c r="A58" s="18" t="s">
        <v>321</v>
      </c>
      <c r="B58" s="21" t="s">
        <v>309</v>
      </c>
      <c r="C58" s="24">
        <f>'AEO 2023 Table 36 Raw'!F43</f>
        <v>0</v>
      </c>
      <c r="D58" s="24">
        <f>'AEO 2023 Table 36 Raw'!G43</f>
        <v>0</v>
      </c>
      <c r="E58" s="24">
        <f>'AEO 2023 Table 36 Raw'!H43</f>
        <v>0</v>
      </c>
      <c r="F58" s="24">
        <f>'AEO 2023 Table 36 Raw'!I43</f>
        <v>0</v>
      </c>
      <c r="G58" s="24">
        <f>'AEO 2023 Table 36 Raw'!J43</f>
        <v>0</v>
      </c>
      <c r="H58" s="24">
        <f>'AEO 2023 Table 36 Raw'!K43</f>
        <v>0</v>
      </c>
      <c r="I58" s="24">
        <f>'AEO 2023 Table 36 Raw'!L43</f>
        <v>0</v>
      </c>
      <c r="J58" s="24">
        <f>'AEO 2023 Table 36 Raw'!M43</f>
        <v>0</v>
      </c>
      <c r="K58" s="24">
        <f>'AEO 2023 Table 36 Raw'!N43</f>
        <v>0</v>
      </c>
      <c r="L58" s="24">
        <f>'AEO 2023 Table 36 Raw'!O43</f>
        <v>0</v>
      </c>
      <c r="M58" s="24">
        <f>'AEO 2023 Table 36 Raw'!P43</f>
        <v>0</v>
      </c>
      <c r="N58" s="24">
        <f>'AEO 2023 Table 36 Raw'!Q43</f>
        <v>0</v>
      </c>
      <c r="O58" s="24">
        <f>'AEO 2023 Table 36 Raw'!R43</f>
        <v>0</v>
      </c>
      <c r="P58" s="24">
        <f>'AEO 2023 Table 36 Raw'!S43</f>
        <v>0</v>
      </c>
      <c r="Q58" s="24">
        <f>'AEO 2023 Table 36 Raw'!T43</f>
        <v>0</v>
      </c>
      <c r="R58" s="24">
        <f>'AEO 2023 Table 36 Raw'!U43</f>
        <v>0</v>
      </c>
      <c r="S58" s="24">
        <f>'AEO 2023 Table 36 Raw'!V43</f>
        <v>0</v>
      </c>
      <c r="T58" s="24">
        <f>'AEO 2023 Table 36 Raw'!W43</f>
        <v>0</v>
      </c>
      <c r="U58" s="24">
        <f>'AEO 2023 Table 36 Raw'!X43</f>
        <v>0</v>
      </c>
      <c r="V58" s="24">
        <f>'AEO 2023 Table 36 Raw'!Y43</f>
        <v>0</v>
      </c>
      <c r="W58" s="24">
        <f>'AEO 2023 Table 36 Raw'!Z43</f>
        <v>0</v>
      </c>
      <c r="X58" s="24">
        <f>'AEO 2023 Table 36 Raw'!AA43</f>
        <v>0</v>
      </c>
      <c r="Y58" s="24">
        <f>'AEO 2023 Table 36 Raw'!AB43</f>
        <v>0</v>
      </c>
      <c r="Z58" s="24">
        <f>'AEO 2023 Table 36 Raw'!AC43</f>
        <v>0</v>
      </c>
      <c r="AA58" s="24">
        <f>'AEO 2023 Table 36 Raw'!AD43</f>
        <v>0</v>
      </c>
      <c r="AB58" s="24">
        <f>'AEO 2023 Table 36 Raw'!AE43</f>
        <v>0</v>
      </c>
      <c r="AC58" s="24">
        <f>'AEO 2023 Table 36 Raw'!AF43</f>
        <v>0</v>
      </c>
      <c r="AD58" s="24">
        <f>'AEO 2023 Table 36 Raw'!AG43</f>
        <v>0</v>
      </c>
      <c r="AE58" s="24">
        <f>'AEO 2023 Table 36 Raw'!AH43</f>
        <v>0</v>
      </c>
      <c r="AF58" s="29" t="str">
        <f>'AEO 2023 Table 36 Raw'!AI43</f>
        <v>- -</v>
      </c>
    </row>
    <row r="59" spans="1:32" ht="15" customHeight="1">
      <c r="A59" s="18" t="s">
        <v>322</v>
      </c>
      <c r="B59" s="21" t="s">
        <v>311</v>
      </c>
      <c r="C59" s="24">
        <f>'AEO 2023 Table 36 Raw'!F44</f>
        <v>26.423862</v>
      </c>
      <c r="D59" s="24">
        <f>'AEO 2023 Table 36 Raw'!G44</f>
        <v>31.466925</v>
      </c>
      <c r="E59" s="24">
        <f>'AEO 2023 Table 36 Raw'!H44</f>
        <v>39.867241</v>
      </c>
      <c r="F59" s="24">
        <f>'AEO 2023 Table 36 Raw'!I44</f>
        <v>36.828189999999999</v>
      </c>
      <c r="G59" s="24">
        <f>'AEO 2023 Table 36 Raw'!J44</f>
        <v>47.376953</v>
      </c>
      <c r="H59" s="24">
        <f>'AEO 2023 Table 36 Raw'!K44</f>
        <v>48.944679000000001</v>
      </c>
      <c r="I59" s="24">
        <f>'AEO 2023 Table 36 Raw'!L44</f>
        <v>53.800423000000002</v>
      </c>
      <c r="J59" s="24">
        <f>'AEO 2023 Table 36 Raw'!M44</f>
        <v>57.218277</v>
      </c>
      <c r="K59" s="24">
        <f>'AEO 2023 Table 36 Raw'!N44</f>
        <v>58.367088000000003</v>
      </c>
      <c r="L59" s="24">
        <f>'AEO 2023 Table 36 Raw'!O44</f>
        <v>58.568268000000003</v>
      </c>
      <c r="M59" s="24">
        <f>'AEO 2023 Table 36 Raw'!P44</f>
        <v>58.225639000000001</v>
      </c>
      <c r="N59" s="24">
        <f>'AEO 2023 Table 36 Raw'!Q44</f>
        <v>56.838042999999999</v>
      </c>
      <c r="O59" s="24">
        <f>'AEO 2023 Table 36 Raw'!R44</f>
        <v>56.014595</v>
      </c>
      <c r="P59" s="24">
        <f>'AEO 2023 Table 36 Raw'!S44</f>
        <v>55.804080999999996</v>
      </c>
      <c r="Q59" s="24">
        <f>'AEO 2023 Table 36 Raw'!T44</f>
        <v>56.853912000000001</v>
      </c>
      <c r="R59" s="24">
        <f>'AEO 2023 Table 36 Raw'!U44</f>
        <v>57.767783999999999</v>
      </c>
      <c r="S59" s="24">
        <f>'AEO 2023 Table 36 Raw'!V44</f>
        <v>56.989986000000002</v>
      </c>
      <c r="T59" s="24">
        <f>'AEO 2023 Table 36 Raw'!W44</f>
        <v>58.778945999999998</v>
      </c>
      <c r="U59" s="24">
        <f>'AEO 2023 Table 36 Raw'!X44</f>
        <v>58.696617000000003</v>
      </c>
      <c r="V59" s="24">
        <f>'AEO 2023 Table 36 Raw'!Y44</f>
        <v>59.2714</v>
      </c>
      <c r="W59" s="24">
        <f>'AEO 2023 Table 36 Raw'!Z44</f>
        <v>59.735518999999996</v>
      </c>
      <c r="X59" s="24">
        <f>'AEO 2023 Table 36 Raw'!AA44</f>
        <v>61.929656999999999</v>
      </c>
      <c r="Y59" s="24">
        <f>'AEO 2023 Table 36 Raw'!AB44</f>
        <v>63.367027</v>
      </c>
      <c r="Z59" s="24">
        <f>'AEO 2023 Table 36 Raw'!AC44</f>
        <v>65.278946000000005</v>
      </c>
      <c r="AA59" s="24">
        <f>'AEO 2023 Table 36 Raw'!AD44</f>
        <v>63.714081</v>
      </c>
      <c r="AB59" s="24">
        <f>'AEO 2023 Table 36 Raw'!AE44</f>
        <v>65.960021999999995</v>
      </c>
      <c r="AC59" s="24">
        <f>'AEO 2023 Table 36 Raw'!AF44</f>
        <v>69.839432000000002</v>
      </c>
      <c r="AD59" s="24">
        <f>'AEO 2023 Table 36 Raw'!AG44</f>
        <v>74.646148999999994</v>
      </c>
      <c r="AE59" s="24">
        <f>'AEO 2023 Table 36 Raw'!AH44</f>
        <v>79.022368999999998</v>
      </c>
      <c r="AF59" s="29">
        <f>'AEO 2023 Table 36 Raw'!AI44</f>
        <v>0.04</v>
      </c>
    </row>
    <row r="60" spans="1:32" ht="12" customHeight="1">
      <c r="C60" s="24"/>
      <c r="D60" s="24"/>
      <c r="E60" s="24"/>
      <c r="F60" s="24"/>
      <c r="G60" s="24"/>
      <c r="H60" s="24"/>
      <c r="I60" s="24"/>
      <c r="J60" s="24"/>
      <c r="K60" s="24"/>
      <c r="L60" s="24"/>
      <c r="M60" s="24"/>
      <c r="N60" s="24"/>
      <c r="O60" s="24"/>
      <c r="P60" s="24"/>
      <c r="Q60" s="24"/>
      <c r="R60" s="24"/>
      <c r="S60" s="24"/>
      <c r="T60" s="24"/>
      <c r="U60" s="24"/>
      <c r="V60" s="24"/>
      <c r="W60" s="24"/>
      <c r="X60" s="24"/>
      <c r="Y60" s="24"/>
      <c r="Z60" s="24"/>
      <c r="AA60" s="24"/>
      <c r="AB60" s="24"/>
      <c r="AC60" s="24"/>
      <c r="AD60" s="24"/>
      <c r="AE60" s="24"/>
      <c r="AF60" s="29"/>
    </row>
    <row r="61" spans="1:32" ht="15" customHeight="1">
      <c r="A61" s="18" t="s">
        <v>323</v>
      </c>
      <c r="B61" s="20" t="s">
        <v>10</v>
      </c>
      <c r="C61" s="24">
        <f>'AEO 2023 Table 36 Raw'!F45</f>
        <v>2802.8073730000001</v>
      </c>
      <c r="D61" s="24">
        <f>'AEO 2023 Table 36 Raw'!G45</f>
        <v>3008.1679690000001</v>
      </c>
      <c r="E61" s="24">
        <f>'AEO 2023 Table 36 Raw'!H45</f>
        <v>3051.2026369999999</v>
      </c>
      <c r="F61" s="24">
        <f>'AEO 2023 Table 36 Raw'!I45</f>
        <v>3057.110596</v>
      </c>
      <c r="G61" s="24">
        <f>'AEO 2023 Table 36 Raw'!J45</f>
        <v>3095.898193</v>
      </c>
      <c r="H61" s="24">
        <f>'AEO 2023 Table 36 Raw'!K45</f>
        <v>3134.226807</v>
      </c>
      <c r="I61" s="24">
        <f>'AEO 2023 Table 36 Raw'!L45</f>
        <v>3164.5515140000002</v>
      </c>
      <c r="J61" s="24">
        <f>'AEO 2023 Table 36 Raw'!M45</f>
        <v>3187.108154</v>
      </c>
      <c r="K61" s="24">
        <f>'AEO 2023 Table 36 Raw'!N45</f>
        <v>3202.938232</v>
      </c>
      <c r="L61" s="24">
        <f>'AEO 2023 Table 36 Raw'!O45</f>
        <v>3218.7827149999998</v>
      </c>
      <c r="M61" s="24">
        <f>'AEO 2023 Table 36 Raw'!P45</f>
        <v>3243.936279</v>
      </c>
      <c r="N61" s="24">
        <f>'AEO 2023 Table 36 Raw'!Q45</f>
        <v>3270.4479980000001</v>
      </c>
      <c r="O61" s="24">
        <f>'AEO 2023 Table 36 Raw'!R45</f>
        <v>3294.4030760000001</v>
      </c>
      <c r="P61" s="24">
        <f>'AEO 2023 Table 36 Raw'!S45</f>
        <v>3322.9240719999998</v>
      </c>
      <c r="Q61" s="24">
        <f>'AEO 2023 Table 36 Raw'!T45</f>
        <v>3359.8247070000002</v>
      </c>
      <c r="R61" s="24">
        <f>'AEO 2023 Table 36 Raw'!U45</f>
        <v>3403.8945309999999</v>
      </c>
      <c r="S61" s="24">
        <f>'AEO 2023 Table 36 Raw'!V45</f>
        <v>3450.171875</v>
      </c>
      <c r="T61" s="24">
        <f>'AEO 2023 Table 36 Raw'!W45</f>
        <v>3498.4882809999999</v>
      </c>
      <c r="U61" s="24">
        <f>'AEO 2023 Table 36 Raw'!X45</f>
        <v>3554.6437989999999</v>
      </c>
      <c r="V61" s="24">
        <f>'AEO 2023 Table 36 Raw'!Y45</f>
        <v>3608.4033199999999</v>
      </c>
      <c r="W61" s="24">
        <f>'AEO 2023 Table 36 Raw'!Z45</f>
        <v>3663.0974120000001</v>
      </c>
      <c r="X61" s="24">
        <f>'AEO 2023 Table 36 Raw'!AA45</f>
        <v>3718.6245119999999</v>
      </c>
      <c r="Y61" s="24">
        <f>'AEO 2023 Table 36 Raw'!AB45</f>
        <v>3774.0097660000001</v>
      </c>
      <c r="Z61" s="24">
        <f>'AEO 2023 Table 36 Raw'!AC45</f>
        <v>3827.9187010000001</v>
      </c>
      <c r="AA61" s="24">
        <f>'AEO 2023 Table 36 Raw'!AD45</f>
        <v>3880.4333499999998</v>
      </c>
      <c r="AB61" s="24">
        <f>'AEO 2023 Table 36 Raw'!AE45</f>
        <v>3936.7380370000001</v>
      </c>
      <c r="AC61" s="24">
        <f>'AEO 2023 Table 36 Raw'!AF45</f>
        <v>3993.6040039999998</v>
      </c>
      <c r="AD61" s="24">
        <f>'AEO 2023 Table 36 Raw'!AG45</f>
        <v>4049.650635</v>
      </c>
      <c r="AE61" s="24">
        <f>'AEO 2023 Table 36 Raw'!AH45</f>
        <v>4112.1577150000003</v>
      </c>
      <c r="AF61" s="29">
        <f>'AEO 2023 Table 36 Raw'!AI45</f>
        <v>1.4E-2</v>
      </c>
    </row>
    <row r="62" spans="1:32" ht="15" customHeight="1">
      <c r="A62" s="18" t="s">
        <v>324</v>
      </c>
      <c r="B62" s="21" t="s">
        <v>325</v>
      </c>
      <c r="C62" s="24">
        <f>'AEO 2023 Table 36 Raw'!F46</f>
        <v>2780.3857419999999</v>
      </c>
      <c r="D62" s="24">
        <f>'AEO 2023 Table 36 Raw'!G46</f>
        <v>2985.7573240000002</v>
      </c>
      <c r="E62" s="24">
        <f>'AEO 2023 Table 36 Raw'!H46</f>
        <v>3028.8010250000002</v>
      </c>
      <c r="F62" s="24">
        <f>'AEO 2023 Table 36 Raw'!I46</f>
        <v>3034.7165530000002</v>
      </c>
      <c r="G62" s="24">
        <f>'AEO 2023 Table 36 Raw'!J46</f>
        <v>3073.5104980000001</v>
      </c>
      <c r="H62" s="24">
        <f>'AEO 2023 Table 36 Raw'!K46</f>
        <v>3111.8442380000001</v>
      </c>
      <c r="I62" s="24">
        <f>'AEO 2023 Table 36 Raw'!L46</f>
        <v>3142.173096</v>
      </c>
      <c r="J62" s="24">
        <f>'AEO 2023 Table 36 Raw'!M46</f>
        <v>3164.733154</v>
      </c>
      <c r="K62" s="24">
        <f>'AEO 2023 Table 36 Raw'!N46</f>
        <v>3180.5661620000001</v>
      </c>
      <c r="L62" s="24">
        <f>'AEO 2023 Table 36 Raw'!O46</f>
        <v>3196.413086</v>
      </c>
      <c r="M62" s="24">
        <f>'AEO 2023 Table 36 Raw'!P46</f>
        <v>3221.5686040000001</v>
      </c>
      <c r="N62" s="24">
        <f>'AEO 2023 Table 36 Raw'!Q46</f>
        <v>3248.0820309999999</v>
      </c>
      <c r="O62" s="24">
        <f>'AEO 2023 Table 36 Raw'!R46</f>
        <v>3272.0385740000002</v>
      </c>
      <c r="P62" s="24">
        <f>'AEO 2023 Table 36 Raw'!S46</f>
        <v>3300.560547</v>
      </c>
      <c r="Q62" s="24">
        <f>'AEO 2023 Table 36 Raw'!T46</f>
        <v>3337.4621579999998</v>
      </c>
      <c r="R62" s="24">
        <f>'AEO 2023 Table 36 Raw'!U46</f>
        <v>3381.5327149999998</v>
      </c>
      <c r="S62" s="24">
        <f>'AEO 2023 Table 36 Raw'!V46</f>
        <v>3427.8107909999999</v>
      </c>
      <c r="T62" s="24">
        <f>'AEO 2023 Table 36 Raw'!W46</f>
        <v>3476.1276859999998</v>
      </c>
      <c r="U62" s="24">
        <f>'AEO 2023 Table 36 Raw'!X46</f>
        <v>3532.2836910000001</v>
      </c>
      <c r="V62" s="24">
        <f>'AEO 2023 Table 36 Raw'!Y46</f>
        <v>3586.0437010000001</v>
      </c>
      <c r="W62" s="24">
        <f>'AEO 2023 Table 36 Raw'!Z46</f>
        <v>3640.7380370000001</v>
      </c>
      <c r="X62" s="24">
        <f>'AEO 2023 Table 36 Raw'!AA46</f>
        <v>3696.2653810000002</v>
      </c>
      <c r="Y62" s="24">
        <f>'AEO 2023 Table 36 Raw'!AB46</f>
        <v>3751.6508789999998</v>
      </c>
      <c r="Z62" s="24">
        <f>'AEO 2023 Table 36 Raw'!AC46</f>
        <v>3805.5598140000002</v>
      </c>
      <c r="AA62" s="24">
        <f>'AEO 2023 Table 36 Raw'!AD46</f>
        <v>3858.0747070000002</v>
      </c>
      <c r="AB62" s="24">
        <f>'AEO 2023 Table 36 Raw'!AE46</f>
        <v>3914.3793949999999</v>
      </c>
      <c r="AC62" s="24">
        <f>'AEO 2023 Table 36 Raw'!AF46</f>
        <v>3971.2456050000001</v>
      </c>
      <c r="AD62" s="24">
        <f>'AEO 2023 Table 36 Raw'!AG46</f>
        <v>4027.2922359999998</v>
      </c>
      <c r="AE62" s="24">
        <f>'AEO 2023 Table 36 Raw'!AH46</f>
        <v>4089.7993160000001</v>
      </c>
      <c r="AF62" s="29">
        <f>'AEO 2023 Table 36 Raw'!AI46</f>
        <v>1.4E-2</v>
      </c>
    </row>
    <row r="63" spans="1:32" ht="15" customHeight="1">
      <c r="A63" s="18" t="s">
        <v>326</v>
      </c>
      <c r="B63" s="21" t="s">
        <v>327</v>
      </c>
      <c r="C63" s="24">
        <f>'AEO 2023 Table 36 Raw'!F47</f>
        <v>22.421617999999999</v>
      </c>
      <c r="D63" s="24">
        <f>'AEO 2023 Table 36 Raw'!G47</f>
        <v>22.410634999999999</v>
      </c>
      <c r="E63" s="24">
        <f>'AEO 2023 Table 36 Raw'!H47</f>
        <v>22.401547999999998</v>
      </c>
      <c r="F63" s="24">
        <f>'AEO 2023 Table 36 Raw'!I47</f>
        <v>22.394031999999999</v>
      </c>
      <c r="G63" s="24">
        <f>'AEO 2023 Table 36 Raw'!J47</f>
        <v>22.387812</v>
      </c>
      <c r="H63" s="24">
        <f>'AEO 2023 Table 36 Raw'!K47</f>
        <v>22.382666</v>
      </c>
      <c r="I63" s="24">
        <f>'AEO 2023 Table 36 Raw'!L47</f>
        <v>22.378406999999999</v>
      </c>
      <c r="J63" s="24">
        <f>'AEO 2023 Table 36 Raw'!M47</f>
        <v>22.374884000000002</v>
      </c>
      <c r="K63" s="24">
        <f>'AEO 2023 Table 36 Raw'!N47</f>
        <v>22.371969</v>
      </c>
      <c r="L63" s="24">
        <f>'AEO 2023 Table 36 Raw'!O47</f>
        <v>22.369558000000001</v>
      </c>
      <c r="M63" s="24">
        <f>'AEO 2023 Table 36 Raw'!P47</f>
        <v>22.367563000000001</v>
      </c>
      <c r="N63" s="24">
        <f>'AEO 2023 Table 36 Raw'!Q47</f>
        <v>22.365911000000001</v>
      </c>
      <c r="O63" s="24">
        <f>'AEO 2023 Table 36 Raw'!R47</f>
        <v>22.364546000000001</v>
      </c>
      <c r="P63" s="24">
        <f>'AEO 2023 Table 36 Raw'!S47</f>
        <v>22.363416999999998</v>
      </c>
      <c r="Q63" s="24">
        <f>'AEO 2023 Table 36 Raw'!T47</f>
        <v>22.362480000000001</v>
      </c>
      <c r="R63" s="24">
        <f>'AEO 2023 Table 36 Raw'!U47</f>
        <v>22.361708</v>
      </c>
      <c r="S63" s="24">
        <f>'AEO 2023 Table 36 Raw'!V47</f>
        <v>22.361066999999998</v>
      </c>
      <c r="T63" s="24">
        <f>'AEO 2023 Table 36 Raw'!W47</f>
        <v>22.360537999999998</v>
      </c>
      <c r="U63" s="24">
        <f>'AEO 2023 Table 36 Raw'!X47</f>
        <v>22.360099999999999</v>
      </c>
      <c r="V63" s="24">
        <f>'AEO 2023 Table 36 Raw'!Y47</f>
        <v>22.359736999999999</v>
      </c>
      <c r="W63" s="24">
        <f>'AEO 2023 Table 36 Raw'!Z47</f>
        <v>22.359438000000001</v>
      </c>
      <c r="X63" s="24">
        <f>'AEO 2023 Table 36 Raw'!AA47</f>
        <v>22.359190000000002</v>
      </c>
      <c r="Y63" s="24">
        <f>'AEO 2023 Table 36 Raw'!AB47</f>
        <v>22.358984</v>
      </c>
      <c r="Z63" s="24">
        <f>'AEO 2023 Table 36 Raw'!AC47</f>
        <v>22.358813999999999</v>
      </c>
      <c r="AA63" s="24">
        <f>'AEO 2023 Table 36 Raw'!AD47</f>
        <v>22.358673</v>
      </c>
      <c r="AB63" s="24">
        <f>'AEO 2023 Table 36 Raw'!AE47</f>
        <v>22.358557000000001</v>
      </c>
      <c r="AC63" s="24">
        <f>'AEO 2023 Table 36 Raw'!AF47</f>
        <v>22.358460999999998</v>
      </c>
      <c r="AD63" s="24">
        <f>'AEO 2023 Table 36 Raw'!AG47</f>
        <v>22.358381000000001</v>
      </c>
      <c r="AE63" s="24">
        <f>'AEO 2023 Table 36 Raw'!AH47</f>
        <v>22.358315000000001</v>
      </c>
      <c r="AF63" s="29">
        <f>'AEO 2023 Table 36 Raw'!AI47</f>
        <v>0</v>
      </c>
    </row>
    <row r="64" spans="1:32" ht="12" customHeight="1">
      <c r="C64" s="24"/>
      <c r="D64" s="24"/>
      <c r="E64" s="24"/>
      <c r="F64" s="24"/>
      <c r="G64" s="24"/>
      <c r="H64" s="24"/>
      <c r="I64" s="24"/>
      <c r="J64" s="24"/>
      <c r="K64" s="24"/>
      <c r="L64" s="24"/>
      <c r="M64" s="24"/>
      <c r="N64" s="24"/>
      <c r="O64" s="24"/>
      <c r="P64" s="24"/>
      <c r="Q64" s="24"/>
      <c r="R64" s="24"/>
      <c r="S64" s="24"/>
      <c r="T64" s="24"/>
      <c r="U64" s="24"/>
      <c r="V64" s="24"/>
      <c r="W64" s="24"/>
      <c r="X64" s="24"/>
      <c r="Y64" s="24"/>
      <c r="Z64" s="24"/>
      <c r="AA64" s="24"/>
      <c r="AB64" s="24"/>
      <c r="AC64" s="24"/>
      <c r="AD64" s="24"/>
      <c r="AE64" s="24"/>
      <c r="AF64" s="29"/>
    </row>
    <row r="65" spans="1:32" ht="15" customHeight="1">
      <c r="A65" s="18" t="s">
        <v>328</v>
      </c>
      <c r="B65" s="20" t="s">
        <v>9</v>
      </c>
      <c r="C65" s="24">
        <f>'AEO 2023 Table 36 Raw'!F48</f>
        <v>430.83187900000001</v>
      </c>
      <c r="D65" s="24">
        <f>'AEO 2023 Table 36 Raw'!G48</f>
        <v>433.13122600000003</v>
      </c>
      <c r="E65" s="24">
        <f>'AEO 2023 Table 36 Raw'!H48</f>
        <v>433.96752900000001</v>
      </c>
      <c r="F65" s="24">
        <f>'AEO 2023 Table 36 Raw'!I48</f>
        <v>434.62820399999998</v>
      </c>
      <c r="G65" s="24">
        <f>'AEO 2023 Table 36 Raw'!J48</f>
        <v>435.16168199999998</v>
      </c>
      <c r="H65" s="24">
        <f>'AEO 2023 Table 36 Raw'!K48</f>
        <v>435.947113</v>
      </c>
      <c r="I65" s="24">
        <f>'AEO 2023 Table 36 Raw'!L48</f>
        <v>436.50567599999999</v>
      </c>
      <c r="J65" s="24">
        <f>'AEO 2023 Table 36 Raw'!M48</f>
        <v>436.95120200000002</v>
      </c>
      <c r="K65" s="24">
        <f>'AEO 2023 Table 36 Raw'!N48</f>
        <v>437.33203099999997</v>
      </c>
      <c r="L65" s="24">
        <f>'AEO 2023 Table 36 Raw'!O48</f>
        <v>437.57638500000002</v>
      </c>
      <c r="M65" s="24">
        <f>'AEO 2023 Table 36 Raw'!P48</f>
        <v>437.74392699999999</v>
      </c>
      <c r="N65" s="24">
        <f>'AEO 2023 Table 36 Raw'!Q48</f>
        <v>437.826752</v>
      </c>
      <c r="O65" s="24">
        <f>'AEO 2023 Table 36 Raw'!R48</f>
        <v>437.85824600000001</v>
      </c>
      <c r="P65" s="24">
        <f>'AEO 2023 Table 36 Raw'!S48</f>
        <v>437.879456</v>
      </c>
      <c r="Q65" s="24">
        <f>'AEO 2023 Table 36 Raw'!T48</f>
        <v>438.00381499999997</v>
      </c>
      <c r="R65" s="24">
        <f>'AEO 2023 Table 36 Raw'!U48</f>
        <v>438.20288099999999</v>
      </c>
      <c r="S65" s="24">
        <f>'AEO 2023 Table 36 Raw'!V48</f>
        <v>438.41198700000001</v>
      </c>
      <c r="T65" s="24">
        <f>'AEO 2023 Table 36 Raw'!W48</f>
        <v>438.63055400000002</v>
      </c>
      <c r="U65" s="24">
        <f>'AEO 2023 Table 36 Raw'!X48</f>
        <v>438.85791</v>
      </c>
      <c r="V65" s="24">
        <f>'AEO 2023 Table 36 Raw'!Y48</f>
        <v>439.09307899999999</v>
      </c>
      <c r="W65" s="24">
        <f>'AEO 2023 Table 36 Raw'!Z48</f>
        <v>439.33535799999999</v>
      </c>
      <c r="X65" s="24">
        <f>'AEO 2023 Table 36 Raw'!AA48</f>
        <v>439.584137</v>
      </c>
      <c r="Y65" s="24">
        <f>'AEO 2023 Table 36 Raw'!AB48</f>
        <v>439.83880599999998</v>
      </c>
      <c r="Z65" s="24">
        <f>'AEO 2023 Table 36 Raw'!AC48</f>
        <v>440.09887700000002</v>
      </c>
      <c r="AA65" s="24">
        <f>'AEO 2023 Table 36 Raw'!AD48</f>
        <v>440.36389200000002</v>
      </c>
      <c r="AB65" s="24">
        <f>'AEO 2023 Table 36 Raw'!AE48</f>
        <v>440.63324</v>
      </c>
      <c r="AC65" s="24">
        <f>'AEO 2023 Table 36 Raw'!AF48</f>
        <v>440.906677</v>
      </c>
      <c r="AD65" s="24">
        <f>'AEO 2023 Table 36 Raw'!AG48</f>
        <v>441.18383799999998</v>
      </c>
      <c r="AE65" s="24">
        <f>'AEO 2023 Table 36 Raw'!AH48</f>
        <v>441.46450800000002</v>
      </c>
      <c r="AF65" s="29">
        <f>'AEO 2023 Table 36 Raw'!AI48</f>
        <v>1E-3</v>
      </c>
    </row>
    <row r="66" spans="1:32" ht="15" customHeight="1">
      <c r="A66" s="18" t="s">
        <v>329</v>
      </c>
      <c r="B66" s="21" t="s">
        <v>330</v>
      </c>
      <c r="C66" s="24">
        <f>'AEO 2023 Table 36 Raw'!F49</f>
        <v>334.448914</v>
      </c>
      <c r="D66" s="24">
        <f>'AEO 2023 Table 36 Raw'!G49</f>
        <v>336.233856</v>
      </c>
      <c r="E66" s="24">
        <f>'AEO 2023 Table 36 Raw'!H49</f>
        <v>336.88305700000001</v>
      </c>
      <c r="F66" s="24">
        <f>'AEO 2023 Table 36 Raw'!I49</f>
        <v>337.39593500000001</v>
      </c>
      <c r="G66" s="24">
        <f>'AEO 2023 Table 36 Raw'!J49</f>
        <v>337.81005900000002</v>
      </c>
      <c r="H66" s="24">
        <f>'AEO 2023 Table 36 Raw'!K49</f>
        <v>338.41980000000001</v>
      </c>
      <c r="I66" s="24">
        <f>'AEO 2023 Table 36 Raw'!L49</f>
        <v>338.85339399999998</v>
      </c>
      <c r="J66" s="24">
        <f>'AEO 2023 Table 36 Raw'!M49</f>
        <v>339.19924900000001</v>
      </c>
      <c r="K66" s="24">
        <f>'AEO 2023 Table 36 Raw'!N49</f>
        <v>339.49490400000002</v>
      </c>
      <c r="L66" s="24">
        <f>'AEO 2023 Table 36 Raw'!O49</f>
        <v>339.68457000000001</v>
      </c>
      <c r="M66" s="24">
        <f>'AEO 2023 Table 36 Raw'!P49</f>
        <v>339.81463600000001</v>
      </c>
      <c r="N66" s="24">
        <f>'AEO 2023 Table 36 Raw'!Q49</f>
        <v>339.87893700000001</v>
      </c>
      <c r="O66" s="24">
        <f>'AEO 2023 Table 36 Raw'!R49</f>
        <v>339.90338100000002</v>
      </c>
      <c r="P66" s="24">
        <f>'AEO 2023 Table 36 Raw'!S49</f>
        <v>339.91986100000003</v>
      </c>
      <c r="Q66" s="24">
        <f>'AEO 2023 Table 36 Raw'!T49</f>
        <v>340.01638800000001</v>
      </c>
      <c r="R66" s="24">
        <f>'AEO 2023 Table 36 Raw'!U49</f>
        <v>340.170929</v>
      </c>
      <c r="S66" s="24">
        <f>'AEO 2023 Table 36 Raw'!V49</f>
        <v>340.33325200000002</v>
      </c>
      <c r="T66" s="24">
        <f>'AEO 2023 Table 36 Raw'!W49</f>
        <v>340.50292999999999</v>
      </c>
      <c r="U66" s="24">
        <f>'AEO 2023 Table 36 Raw'!X49</f>
        <v>340.67941300000001</v>
      </c>
      <c r="V66" s="24">
        <f>'AEO 2023 Table 36 Raw'!Y49</f>
        <v>340.86196899999999</v>
      </c>
      <c r="W66" s="24">
        <f>'AEO 2023 Table 36 Raw'!Z49</f>
        <v>341.050049</v>
      </c>
      <c r="X66" s="24">
        <f>'AEO 2023 Table 36 Raw'!AA49</f>
        <v>341.24316399999998</v>
      </c>
      <c r="Y66" s="24">
        <f>'AEO 2023 Table 36 Raw'!AB49</f>
        <v>341.44085699999999</v>
      </c>
      <c r="Z66" s="24">
        <f>'AEO 2023 Table 36 Raw'!AC49</f>
        <v>341.64276100000001</v>
      </c>
      <c r="AA66" s="24">
        <f>'AEO 2023 Table 36 Raw'!AD49</f>
        <v>341.84848</v>
      </c>
      <c r="AB66" s="24">
        <f>'AEO 2023 Table 36 Raw'!AE49</f>
        <v>342.05758700000001</v>
      </c>
      <c r="AC66" s="24">
        <f>'AEO 2023 Table 36 Raw'!AF49</f>
        <v>342.269836</v>
      </c>
      <c r="AD66" s="24">
        <f>'AEO 2023 Table 36 Raw'!AG49</f>
        <v>342.48501599999997</v>
      </c>
      <c r="AE66" s="24">
        <f>'AEO 2023 Table 36 Raw'!AH49</f>
        <v>342.70288099999999</v>
      </c>
      <c r="AF66" s="29">
        <f>'AEO 2023 Table 36 Raw'!AI49</f>
        <v>1E-3</v>
      </c>
    </row>
    <row r="67" spans="1:32" ht="15" customHeight="1">
      <c r="A67" s="18" t="s">
        <v>331</v>
      </c>
      <c r="B67" s="21" t="s">
        <v>307</v>
      </c>
      <c r="C67" s="24">
        <f>'AEO 2023 Table 36 Raw'!F50</f>
        <v>0</v>
      </c>
      <c r="D67" s="24">
        <f>'AEO 2023 Table 36 Raw'!G50</f>
        <v>0</v>
      </c>
      <c r="E67" s="24">
        <f>'AEO 2023 Table 36 Raw'!H50</f>
        <v>0</v>
      </c>
      <c r="F67" s="24">
        <f>'AEO 2023 Table 36 Raw'!I50</f>
        <v>0</v>
      </c>
      <c r="G67" s="24">
        <f>'AEO 2023 Table 36 Raw'!J50</f>
        <v>0</v>
      </c>
      <c r="H67" s="24">
        <f>'AEO 2023 Table 36 Raw'!K50</f>
        <v>0</v>
      </c>
      <c r="I67" s="24">
        <f>'AEO 2023 Table 36 Raw'!L50</f>
        <v>0</v>
      </c>
      <c r="J67" s="24">
        <f>'AEO 2023 Table 36 Raw'!M50</f>
        <v>0</v>
      </c>
      <c r="K67" s="24">
        <f>'AEO 2023 Table 36 Raw'!N50</f>
        <v>0</v>
      </c>
      <c r="L67" s="24">
        <f>'AEO 2023 Table 36 Raw'!O50</f>
        <v>0</v>
      </c>
      <c r="M67" s="24">
        <f>'AEO 2023 Table 36 Raw'!P50</f>
        <v>0</v>
      </c>
      <c r="N67" s="24">
        <f>'AEO 2023 Table 36 Raw'!Q50</f>
        <v>0</v>
      </c>
      <c r="O67" s="24">
        <f>'AEO 2023 Table 36 Raw'!R50</f>
        <v>0</v>
      </c>
      <c r="P67" s="24">
        <f>'AEO 2023 Table 36 Raw'!S50</f>
        <v>0</v>
      </c>
      <c r="Q67" s="24">
        <f>'AEO 2023 Table 36 Raw'!T50</f>
        <v>0</v>
      </c>
      <c r="R67" s="24">
        <f>'AEO 2023 Table 36 Raw'!U50</f>
        <v>0</v>
      </c>
      <c r="S67" s="24">
        <f>'AEO 2023 Table 36 Raw'!V50</f>
        <v>0</v>
      </c>
      <c r="T67" s="24">
        <f>'AEO 2023 Table 36 Raw'!W50</f>
        <v>0</v>
      </c>
      <c r="U67" s="24">
        <f>'AEO 2023 Table 36 Raw'!X50</f>
        <v>0</v>
      </c>
      <c r="V67" s="24">
        <f>'AEO 2023 Table 36 Raw'!Y50</f>
        <v>0</v>
      </c>
      <c r="W67" s="24">
        <f>'AEO 2023 Table 36 Raw'!Z50</f>
        <v>0</v>
      </c>
      <c r="X67" s="24">
        <f>'AEO 2023 Table 36 Raw'!AA50</f>
        <v>0</v>
      </c>
      <c r="Y67" s="24">
        <f>'AEO 2023 Table 36 Raw'!AB50</f>
        <v>0</v>
      </c>
      <c r="Z67" s="24">
        <f>'AEO 2023 Table 36 Raw'!AC50</f>
        <v>0</v>
      </c>
      <c r="AA67" s="24">
        <f>'AEO 2023 Table 36 Raw'!AD50</f>
        <v>0</v>
      </c>
      <c r="AB67" s="24">
        <f>'AEO 2023 Table 36 Raw'!AE50</f>
        <v>0</v>
      </c>
      <c r="AC67" s="24">
        <f>'AEO 2023 Table 36 Raw'!AF50</f>
        <v>0</v>
      </c>
      <c r="AD67" s="24">
        <f>'AEO 2023 Table 36 Raw'!AG50</f>
        <v>0</v>
      </c>
      <c r="AE67" s="24">
        <f>'AEO 2023 Table 36 Raw'!AH50</f>
        <v>0</v>
      </c>
      <c r="AF67" s="29" t="str">
        <f>'AEO 2023 Table 36 Raw'!AI50</f>
        <v>- -</v>
      </c>
    </row>
    <row r="68" spans="1:32" ht="15" customHeight="1">
      <c r="A68" s="18" t="s">
        <v>332</v>
      </c>
      <c r="B68" s="21" t="s">
        <v>333</v>
      </c>
      <c r="C68" s="24">
        <f>'AEO 2023 Table 36 Raw'!F51</f>
        <v>96.382973000000007</v>
      </c>
      <c r="D68" s="24">
        <f>'AEO 2023 Table 36 Raw'!G51</f>
        <v>96.897368999999998</v>
      </c>
      <c r="E68" s="24">
        <f>'AEO 2023 Table 36 Raw'!H51</f>
        <v>97.084457</v>
      </c>
      <c r="F68" s="24">
        <f>'AEO 2023 Table 36 Raw'!I51</f>
        <v>97.232269000000002</v>
      </c>
      <c r="G68" s="24">
        <f>'AEO 2023 Table 36 Raw'!J51</f>
        <v>97.351607999999999</v>
      </c>
      <c r="H68" s="24">
        <f>'AEO 2023 Table 36 Raw'!K51</f>
        <v>97.527321000000001</v>
      </c>
      <c r="I68" s="24">
        <f>'AEO 2023 Table 36 Raw'!L51</f>
        <v>97.652275000000003</v>
      </c>
      <c r="J68" s="24">
        <f>'AEO 2023 Table 36 Raw'!M51</f>
        <v>97.751960999999994</v>
      </c>
      <c r="K68" s="24">
        <f>'AEO 2023 Table 36 Raw'!N51</f>
        <v>97.837142999999998</v>
      </c>
      <c r="L68" s="24">
        <f>'AEO 2023 Table 36 Raw'!O51</f>
        <v>97.891814999999994</v>
      </c>
      <c r="M68" s="24">
        <f>'AEO 2023 Table 36 Raw'!P51</f>
        <v>97.929291000000006</v>
      </c>
      <c r="N68" s="24">
        <f>'AEO 2023 Table 36 Raw'!Q51</f>
        <v>97.947815000000006</v>
      </c>
      <c r="O68" s="24">
        <f>'AEO 2023 Table 36 Raw'!R51</f>
        <v>97.954857000000004</v>
      </c>
      <c r="P68" s="24">
        <f>'AEO 2023 Table 36 Raw'!S51</f>
        <v>97.959594999999993</v>
      </c>
      <c r="Q68" s="24">
        <f>'AEO 2023 Table 36 Raw'!T51</f>
        <v>97.987419000000003</v>
      </c>
      <c r="R68" s="24">
        <f>'AEO 2023 Table 36 Raw'!U51</f>
        <v>98.031966999999995</v>
      </c>
      <c r="S68" s="24">
        <f>'AEO 2023 Table 36 Raw'!V51</f>
        <v>98.078743000000003</v>
      </c>
      <c r="T68" s="24">
        <f>'AEO 2023 Table 36 Raw'!W51</f>
        <v>98.12764</v>
      </c>
      <c r="U68" s="24">
        <f>'AEO 2023 Table 36 Raw'!X51</f>
        <v>98.178512999999995</v>
      </c>
      <c r="V68" s="24">
        <f>'AEO 2023 Table 36 Raw'!Y51</f>
        <v>98.231116999999998</v>
      </c>
      <c r="W68" s="24">
        <f>'AEO 2023 Table 36 Raw'!Z51</f>
        <v>98.285308999999998</v>
      </c>
      <c r="X68" s="24">
        <f>'AEO 2023 Table 36 Raw'!AA51</f>
        <v>98.340964999999997</v>
      </c>
      <c r="Y68" s="24">
        <f>'AEO 2023 Table 36 Raw'!AB51</f>
        <v>98.397942</v>
      </c>
      <c r="Z68" s="24">
        <f>'AEO 2023 Table 36 Raw'!AC51</f>
        <v>98.456130999999999</v>
      </c>
      <c r="AA68" s="24">
        <f>'AEO 2023 Table 36 Raw'!AD51</f>
        <v>98.515411</v>
      </c>
      <c r="AB68" s="24">
        <f>'AEO 2023 Table 36 Raw'!AE51</f>
        <v>98.575667999999993</v>
      </c>
      <c r="AC68" s="24">
        <f>'AEO 2023 Table 36 Raw'!AF51</f>
        <v>98.636825999999999</v>
      </c>
      <c r="AD68" s="24">
        <f>'AEO 2023 Table 36 Raw'!AG51</f>
        <v>98.698836999999997</v>
      </c>
      <c r="AE68" s="24">
        <f>'AEO 2023 Table 36 Raw'!AH51</f>
        <v>98.761627000000004</v>
      </c>
      <c r="AF68" s="29">
        <f>'AEO 2023 Table 36 Raw'!AI51</f>
        <v>1E-3</v>
      </c>
    </row>
    <row r="69" spans="1:32" ht="12" customHeight="1">
      <c r="C69" s="24"/>
      <c r="D69" s="24"/>
      <c r="E69" s="24"/>
      <c r="F69" s="24"/>
      <c r="G69" s="24"/>
      <c r="H69" s="24"/>
      <c r="I69" s="24"/>
      <c r="J69" s="24"/>
      <c r="K69" s="24"/>
      <c r="L69" s="24"/>
      <c r="M69" s="24"/>
      <c r="N69" s="24"/>
      <c r="O69" s="24"/>
      <c r="P69" s="24"/>
      <c r="Q69" s="24"/>
      <c r="R69" s="24"/>
      <c r="S69" s="24"/>
      <c r="T69" s="24"/>
      <c r="U69" s="24"/>
      <c r="V69" s="24"/>
      <c r="W69" s="24"/>
      <c r="X69" s="24"/>
      <c r="Y69" s="24"/>
      <c r="Z69" s="24"/>
      <c r="AA69" s="24"/>
      <c r="AB69" s="24"/>
      <c r="AC69" s="24"/>
      <c r="AD69" s="24"/>
      <c r="AE69" s="24"/>
      <c r="AF69" s="29"/>
    </row>
    <row r="70" spans="1:32" ht="15" customHeight="1">
      <c r="A70" s="18" t="s">
        <v>334</v>
      </c>
      <c r="B70" s="20" t="s">
        <v>8</v>
      </c>
      <c r="C70" s="24">
        <f>'AEO 2023 Table 36 Raw'!F52</f>
        <v>210.97721899999999</v>
      </c>
      <c r="D70" s="24">
        <f>'AEO 2023 Table 36 Raw'!G52</f>
        <v>220.80746500000001</v>
      </c>
      <c r="E70" s="24">
        <f>'AEO 2023 Table 36 Raw'!H52</f>
        <v>225.15119899999999</v>
      </c>
      <c r="F70" s="24">
        <f>'AEO 2023 Table 36 Raw'!I52</f>
        <v>225.93090799999999</v>
      </c>
      <c r="G70" s="24">
        <f>'AEO 2023 Table 36 Raw'!J52</f>
        <v>226.441757</v>
      </c>
      <c r="H70" s="24">
        <f>'AEO 2023 Table 36 Raw'!K52</f>
        <v>226.74642900000001</v>
      </c>
      <c r="I70" s="24">
        <f>'AEO 2023 Table 36 Raw'!L52</f>
        <v>226.787048</v>
      </c>
      <c r="J70" s="24">
        <f>'AEO 2023 Table 36 Raw'!M52</f>
        <v>226.390717</v>
      </c>
      <c r="K70" s="24">
        <f>'AEO 2023 Table 36 Raw'!N52</f>
        <v>225.62441999999999</v>
      </c>
      <c r="L70" s="24">
        <f>'AEO 2023 Table 36 Raw'!O52</f>
        <v>224.46057099999999</v>
      </c>
      <c r="M70" s="24">
        <f>'AEO 2023 Table 36 Raw'!P52</f>
        <v>223.250336</v>
      </c>
      <c r="N70" s="24">
        <f>'AEO 2023 Table 36 Raw'!Q52</f>
        <v>223.04595900000001</v>
      </c>
      <c r="O70" s="24">
        <f>'AEO 2023 Table 36 Raw'!R52</f>
        <v>222.35723899999999</v>
      </c>
      <c r="P70" s="24">
        <f>'AEO 2023 Table 36 Raw'!S52</f>
        <v>221.455566</v>
      </c>
      <c r="Q70" s="24">
        <f>'AEO 2023 Table 36 Raw'!T52</f>
        <v>220.40602100000001</v>
      </c>
      <c r="R70" s="24">
        <f>'AEO 2023 Table 36 Raw'!U52</f>
        <v>218.77555799999999</v>
      </c>
      <c r="S70" s="24">
        <f>'AEO 2023 Table 36 Raw'!V52</f>
        <v>217.16113300000001</v>
      </c>
      <c r="T70" s="24">
        <f>'AEO 2023 Table 36 Raw'!W52</f>
        <v>215.39122</v>
      </c>
      <c r="U70" s="24">
        <f>'AEO 2023 Table 36 Raw'!X52</f>
        <v>213.471802</v>
      </c>
      <c r="V70" s="24">
        <f>'AEO 2023 Table 36 Raw'!Y52</f>
        <v>211.40820299999999</v>
      </c>
      <c r="W70" s="24">
        <f>'AEO 2023 Table 36 Raw'!Z52</f>
        <v>209.23976099999999</v>
      </c>
      <c r="X70" s="24">
        <f>'AEO 2023 Table 36 Raw'!AA52</f>
        <v>206.76431299999999</v>
      </c>
      <c r="Y70" s="24">
        <f>'AEO 2023 Table 36 Raw'!AB52</f>
        <v>204.38597100000001</v>
      </c>
      <c r="Z70" s="24">
        <f>'AEO 2023 Table 36 Raw'!AC52</f>
        <v>201.858643</v>
      </c>
      <c r="AA70" s="24">
        <f>'AEO 2023 Table 36 Raw'!AD52</f>
        <v>199.42544599999999</v>
      </c>
      <c r="AB70" s="24">
        <f>'AEO 2023 Table 36 Raw'!AE52</f>
        <v>196.48846399999999</v>
      </c>
      <c r="AC70" s="24">
        <f>'AEO 2023 Table 36 Raw'!AF52</f>
        <v>193.40808100000001</v>
      </c>
      <c r="AD70" s="24">
        <f>'AEO 2023 Table 36 Raw'!AG52</f>
        <v>189.779068</v>
      </c>
      <c r="AE70" s="24">
        <f>'AEO 2023 Table 36 Raw'!AH52</f>
        <v>186.44667100000001</v>
      </c>
      <c r="AF70" s="29">
        <f>'AEO 2023 Table 36 Raw'!AI52</f>
        <v>-4.0000000000000001E-3</v>
      </c>
    </row>
    <row r="71" spans="1:32" ht="15" customHeight="1">
      <c r="A71" s="18" t="s">
        <v>335</v>
      </c>
      <c r="B71" s="21" t="s">
        <v>336</v>
      </c>
      <c r="C71" s="24">
        <f>'AEO 2023 Table 36 Raw'!F53</f>
        <v>92.212233999999995</v>
      </c>
      <c r="D71" s="24">
        <f>'AEO 2023 Table 36 Raw'!G53</f>
        <v>95.837829999999997</v>
      </c>
      <c r="E71" s="24">
        <f>'AEO 2023 Table 36 Raw'!H53</f>
        <v>98.320953000000003</v>
      </c>
      <c r="F71" s="24">
        <f>'AEO 2023 Table 36 Raw'!I53</f>
        <v>98.870079000000004</v>
      </c>
      <c r="G71" s="24">
        <f>'AEO 2023 Table 36 Raw'!J53</f>
        <v>99.844643000000005</v>
      </c>
      <c r="H71" s="24">
        <f>'AEO 2023 Table 36 Raw'!K53</f>
        <v>100.614418</v>
      </c>
      <c r="I71" s="24">
        <f>'AEO 2023 Table 36 Raw'!L53</f>
        <v>101.247078</v>
      </c>
      <c r="J71" s="24">
        <f>'AEO 2023 Table 36 Raw'!M53</f>
        <v>101.616623</v>
      </c>
      <c r="K71" s="24">
        <f>'AEO 2023 Table 36 Raw'!N53</f>
        <v>101.724174</v>
      </c>
      <c r="L71" s="24">
        <f>'AEO 2023 Table 36 Raw'!O53</f>
        <v>101.53801</v>
      </c>
      <c r="M71" s="24">
        <f>'AEO 2023 Table 36 Raw'!P53</f>
        <v>101.311256</v>
      </c>
      <c r="N71" s="24">
        <f>'AEO 2023 Table 36 Raw'!Q53</f>
        <v>100.97640199999999</v>
      </c>
      <c r="O71" s="24">
        <f>'AEO 2023 Table 36 Raw'!R53</f>
        <v>100.756874</v>
      </c>
      <c r="P71" s="24">
        <f>'AEO 2023 Table 36 Raw'!S53</f>
        <v>100.295074</v>
      </c>
      <c r="Q71" s="24">
        <f>'AEO 2023 Table 36 Raw'!T53</f>
        <v>99.678466999999998</v>
      </c>
      <c r="R71" s="24">
        <f>'AEO 2023 Table 36 Raw'!U53</f>
        <v>98.421806000000004</v>
      </c>
      <c r="S71" s="24">
        <f>'AEO 2023 Table 36 Raw'!V53</f>
        <v>97.683716000000004</v>
      </c>
      <c r="T71" s="24">
        <f>'AEO 2023 Table 36 Raw'!W53</f>
        <v>96.918678</v>
      </c>
      <c r="U71" s="24">
        <f>'AEO 2023 Table 36 Raw'!X53</f>
        <v>96.071006999999994</v>
      </c>
      <c r="V71" s="24">
        <f>'AEO 2023 Table 36 Raw'!Y53</f>
        <v>95.130722000000006</v>
      </c>
      <c r="W71" s="24">
        <f>'AEO 2023 Table 36 Raw'!Z53</f>
        <v>94.233086</v>
      </c>
      <c r="X71" s="24">
        <f>'AEO 2023 Table 36 Raw'!AA53</f>
        <v>93.123824999999997</v>
      </c>
      <c r="Y71" s="24">
        <f>'AEO 2023 Table 36 Raw'!AB53</f>
        <v>92.204300000000003</v>
      </c>
      <c r="Z71" s="24">
        <f>'AEO 2023 Table 36 Raw'!AC53</f>
        <v>91.250327999999996</v>
      </c>
      <c r="AA71" s="24">
        <f>'AEO 2023 Table 36 Raw'!AD53</f>
        <v>90.658730000000006</v>
      </c>
      <c r="AB71" s="24">
        <f>'AEO 2023 Table 36 Raw'!AE53</f>
        <v>89.694473000000002</v>
      </c>
      <c r="AC71" s="24">
        <f>'AEO 2023 Table 36 Raw'!AF53</f>
        <v>88.826485000000005</v>
      </c>
      <c r="AD71" s="24">
        <f>'AEO 2023 Table 36 Raw'!AG53</f>
        <v>87.819648999999998</v>
      </c>
      <c r="AE71" s="24">
        <f>'AEO 2023 Table 36 Raw'!AH53</f>
        <v>86.904647999999995</v>
      </c>
      <c r="AF71" s="29">
        <f>'AEO 2023 Table 36 Raw'!AI53</f>
        <v>-2E-3</v>
      </c>
    </row>
    <row r="72" spans="1:32" ht="15" customHeight="1">
      <c r="A72" s="18" t="s">
        <v>337</v>
      </c>
      <c r="B72" s="21" t="s">
        <v>338</v>
      </c>
      <c r="C72" s="24">
        <f>'AEO 2023 Table 36 Raw'!F54</f>
        <v>12.007432</v>
      </c>
      <c r="D72" s="24">
        <f>'AEO 2023 Table 36 Raw'!G54</f>
        <v>12.465114</v>
      </c>
      <c r="E72" s="24">
        <f>'AEO 2023 Table 36 Raw'!H54</f>
        <v>12.775763</v>
      </c>
      <c r="F72" s="24">
        <f>'AEO 2023 Table 36 Raw'!I54</f>
        <v>12.835153999999999</v>
      </c>
      <c r="G72" s="24">
        <f>'AEO 2023 Table 36 Raw'!J54</f>
        <v>12.958027</v>
      </c>
      <c r="H72" s="24">
        <f>'AEO 2023 Table 36 Raw'!K54</f>
        <v>13.056922</v>
      </c>
      <c r="I72" s="24">
        <f>'AEO 2023 Table 36 Raw'!L54</f>
        <v>13.141268999999999</v>
      </c>
      <c r="J72" s="24">
        <f>'AEO 2023 Table 36 Raw'!M54</f>
        <v>13.190033</v>
      </c>
      <c r="K72" s="24">
        <f>'AEO 2023 Table 36 Raw'!N54</f>
        <v>13.202685000000001</v>
      </c>
      <c r="L72" s="24">
        <f>'AEO 2023 Table 36 Raw'!O54</f>
        <v>13.177554000000001</v>
      </c>
      <c r="M72" s="24">
        <f>'AEO 2023 Table 36 Raw'!P54</f>
        <v>13.150479000000001</v>
      </c>
      <c r="N72" s="24">
        <f>'AEO 2023 Table 36 Raw'!Q54</f>
        <v>13.109432999999999</v>
      </c>
      <c r="O72" s="24">
        <f>'AEO 2023 Table 36 Raw'!R54</f>
        <v>13.083599</v>
      </c>
      <c r="P72" s="24">
        <f>'AEO 2023 Table 36 Raw'!S54</f>
        <v>13.026247</v>
      </c>
      <c r="Q72" s="24">
        <f>'AEO 2023 Table 36 Raw'!T54</f>
        <v>12.949903000000001</v>
      </c>
      <c r="R72" s="24">
        <f>'AEO 2023 Table 36 Raw'!U54</f>
        <v>12.790073</v>
      </c>
      <c r="S72" s="24">
        <f>'AEO 2023 Table 36 Raw'!V54</f>
        <v>12.696982999999999</v>
      </c>
      <c r="T72" s="24">
        <f>'AEO 2023 Table 36 Raw'!W54</f>
        <v>12.600635</v>
      </c>
      <c r="U72" s="24">
        <f>'AEO 2023 Table 36 Raw'!X54</f>
        <v>12.493633000000001</v>
      </c>
      <c r="V72" s="24">
        <f>'AEO 2023 Table 36 Raw'!Y54</f>
        <v>12.374180000000001</v>
      </c>
      <c r="W72" s="24">
        <f>'AEO 2023 Table 36 Raw'!Z54</f>
        <v>12.260481</v>
      </c>
      <c r="X72" s="24">
        <f>'AEO 2023 Table 36 Raw'!AA54</f>
        <v>12.119045</v>
      </c>
      <c r="Y72" s="24">
        <f>'AEO 2023 Table 36 Raw'!AB54</f>
        <v>12.002355</v>
      </c>
      <c r="Z72" s="24">
        <f>'AEO 2023 Table 36 Raw'!AC54</f>
        <v>11.880788000000001</v>
      </c>
      <c r="AA72" s="24">
        <f>'AEO 2023 Table 36 Raw'!AD54</f>
        <v>11.808579999999999</v>
      </c>
      <c r="AB72" s="24">
        <f>'AEO 2023 Table 36 Raw'!AE54</f>
        <v>11.685587</v>
      </c>
      <c r="AC72" s="24">
        <f>'AEO 2023 Table 36 Raw'!AF54</f>
        <v>11.575792</v>
      </c>
      <c r="AD72" s="24">
        <f>'AEO 2023 Table 36 Raw'!AG54</f>
        <v>11.447132</v>
      </c>
      <c r="AE72" s="24">
        <f>'AEO 2023 Table 36 Raw'!AH54</f>
        <v>11.331303999999999</v>
      </c>
      <c r="AF72" s="29">
        <f>'AEO 2023 Table 36 Raw'!AI54</f>
        <v>-2E-3</v>
      </c>
    </row>
    <row r="73" spans="1:32" ht="15" customHeight="1">
      <c r="A73" s="18" t="s">
        <v>339</v>
      </c>
      <c r="B73" s="21" t="s">
        <v>340</v>
      </c>
      <c r="C73" s="24">
        <f>'AEO 2023 Table 36 Raw'!F55</f>
        <v>7.4320000000000002E-3</v>
      </c>
      <c r="D73" s="24">
        <f>'AEO 2023 Table 36 Raw'!G55</f>
        <v>7.7629999999999999E-3</v>
      </c>
      <c r="E73" s="24">
        <f>'AEO 2023 Table 36 Raw'!H55</f>
        <v>7.9489999999999995E-3</v>
      </c>
      <c r="F73" s="24">
        <f>'AEO 2023 Table 36 Raw'!I55</f>
        <v>8.0289999999999997E-3</v>
      </c>
      <c r="G73" s="24">
        <f>'AEO 2023 Table 36 Raw'!J55</f>
        <v>8.1410000000000007E-3</v>
      </c>
      <c r="H73" s="24">
        <f>'AEO 2023 Table 36 Raw'!K55</f>
        <v>8.2100000000000003E-3</v>
      </c>
      <c r="I73" s="24">
        <f>'AEO 2023 Table 36 Raw'!L55</f>
        <v>8.2570000000000005E-3</v>
      </c>
      <c r="J73" s="24">
        <f>'AEO 2023 Table 36 Raw'!M55</f>
        <v>8.2789999999999999E-3</v>
      </c>
      <c r="K73" s="24">
        <f>'AEO 2023 Table 36 Raw'!N55</f>
        <v>8.2830000000000004E-3</v>
      </c>
      <c r="L73" s="24">
        <f>'AEO 2023 Table 36 Raw'!O55</f>
        <v>8.2609999999999992E-3</v>
      </c>
      <c r="M73" s="24">
        <f>'AEO 2023 Table 36 Raw'!P55</f>
        <v>8.2290000000000002E-3</v>
      </c>
      <c r="N73" s="24">
        <f>'AEO 2023 Table 36 Raw'!Q55</f>
        <v>8.1890000000000001E-3</v>
      </c>
      <c r="O73" s="24">
        <f>'AEO 2023 Table 36 Raw'!R55</f>
        <v>8.1569999999999993E-3</v>
      </c>
      <c r="P73" s="24">
        <f>'AEO 2023 Table 36 Raw'!S55</f>
        <v>8.1069999999999996E-3</v>
      </c>
      <c r="Q73" s="24">
        <f>'AEO 2023 Table 36 Raw'!T55</f>
        <v>8.0420000000000005E-3</v>
      </c>
      <c r="R73" s="24">
        <f>'AEO 2023 Table 36 Raw'!U55</f>
        <v>7.9609999999999993E-3</v>
      </c>
      <c r="S73" s="24">
        <f>'AEO 2023 Table 36 Raw'!V55</f>
        <v>7.8829999999999994E-3</v>
      </c>
      <c r="T73" s="24">
        <f>'AEO 2023 Table 36 Raw'!W55</f>
        <v>7.803E-3</v>
      </c>
      <c r="U73" s="24">
        <f>'AEO 2023 Table 36 Raw'!X55</f>
        <v>7.7130000000000002E-3</v>
      </c>
      <c r="V73" s="24">
        <f>'AEO 2023 Table 36 Raw'!Y55</f>
        <v>7.6150000000000002E-3</v>
      </c>
      <c r="W73" s="24">
        <f>'AEO 2023 Table 36 Raw'!Z55</f>
        <v>7.5209999999999999E-3</v>
      </c>
      <c r="X73" s="24">
        <f>'AEO 2023 Table 36 Raw'!AA55</f>
        <v>7.3980000000000001E-3</v>
      </c>
      <c r="Y73" s="24">
        <f>'AEO 2023 Table 36 Raw'!AB55</f>
        <v>7.3070000000000001E-3</v>
      </c>
      <c r="Z73" s="24">
        <f>'AEO 2023 Table 36 Raw'!AC55</f>
        <v>7.2150000000000001E-3</v>
      </c>
      <c r="AA73" s="24">
        <f>'AEO 2023 Table 36 Raw'!AD55</f>
        <v>7.143E-3</v>
      </c>
      <c r="AB73" s="24">
        <f>'AEO 2023 Table 36 Raw'!AE55</f>
        <v>7.0499999999999998E-3</v>
      </c>
      <c r="AC73" s="24">
        <f>'AEO 2023 Table 36 Raw'!AF55</f>
        <v>6.9610000000000002E-3</v>
      </c>
      <c r="AD73" s="24">
        <f>'AEO 2023 Table 36 Raw'!AG55</f>
        <v>6.8640000000000003E-3</v>
      </c>
      <c r="AE73" s="24">
        <f>'AEO 2023 Table 36 Raw'!AH55</f>
        <v>6.7689999999999998E-3</v>
      </c>
      <c r="AF73" s="29">
        <f>'AEO 2023 Table 36 Raw'!AI55</f>
        <v>-3.0000000000000001E-3</v>
      </c>
    </row>
    <row r="74" spans="1:32" s="83" customFormat="1" ht="15" customHeight="1">
      <c r="A74" s="85" t="s">
        <v>341</v>
      </c>
      <c r="B74" s="86" t="s">
        <v>342</v>
      </c>
      <c r="C74" s="87">
        <f>'AEO 2023 Table 36 Raw'!F56</f>
        <v>52.012611</v>
      </c>
      <c r="D74" s="87">
        <f>'AEO 2023 Table 36 Raw'!G56</f>
        <v>54.015754999999999</v>
      </c>
      <c r="E74" s="87">
        <f>'AEO 2023 Table 36 Raw'!H56</f>
        <v>55.245651000000002</v>
      </c>
      <c r="F74" s="87">
        <f>'AEO 2023 Table 36 Raw'!I56</f>
        <v>55.522506999999997</v>
      </c>
      <c r="G74" s="87">
        <f>'AEO 2023 Table 36 Raw'!J56</f>
        <v>56.047764000000001</v>
      </c>
      <c r="H74" s="87">
        <f>'AEO 2023 Table 36 Raw'!K56</f>
        <v>56.442497000000003</v>
      </c>
      <c r="I74" s="87">
        <f>'AEO 2023 Table 36 Raw'!L56</f>
        <v>56.754584999999999</v>
      </c>
      <c r="J74" s="87">
        <f>'AEO 2023 Table 36 Raw'!M56</f>
        <v>56.903236</v>
      </c>
      <c r="K74" s="87">
        <f>'AEO 2023 Table 36 Raw'!N56</f>
        <v>56.888607</v>
      </c>
      <c r="L74" s="87">
        <f>'AEO 2023 Table 36 Raw'!O56</f>
        <v>56.712851999999998</v>
      </c>
      <c r="M74" s="87">
        <f>'AEO 2023 Table 36 Raw'!P56</f>
        <v>56.517417999999999</v>
      </c>
      <c r="N74" s="87">
        <f>'AEO 2023 Table 36 Raw'!Q56</f>
        <v>56.260185</v>
      </c>
      <c r="O74" s="87">
        <f>'AEO 2023 Table 36 Raw'!R56</f>
        <v>56.054282999999998</v>
      </c>
      <c r="P74" s="87">
        <f>'AEO 2023 Table 36 Raw'!S56</f>
        <v>55.704571000000001</v>
      </c>
      <c r="Q74" s="87">
        <f>'AEO 2023 Table 36 Raw'!T56</f>
        <v>55.261519999999997</v>
      </c>
      <c r="R74" s="87">
        <f>'AEO 2023 Table 36 Raw'!U56</f>
        <v>54.562843000000001</v>
      </c>
      <c r="S74" s="87">
        <f>'AEO 2023 Table 36 Raw'!V56</f>
        <v>54.018444000000002</v>
      </c>
      <c r="T74" s="87">
        <f>'AEO 2023 Table 36 Raw'!W56</f>
        <v>53.439864999999998</v>
      </c>
      <c r="U74" s="87">
        <f>'AEO 2023 Table 36 Raw'!X56</f>
        <v>52.799095000000001</v>
      </c>
      <c r="V74" s="87">
        <f>'AEO 2023 Table 36 Raw'!Y56</f>
        <v>52.084651999999998</v>
      </c>
      <c r="W74" s="87">
        <f>'AEO 2023 Table 36 Raw'!Z56</f>
        <v>51.363410999999999</v>
      </c>
      <c r="X74" s="87">
        <f>'AEO 2023 Table 36 Raw'!AA56</f>
        <v>50.487484000000002</v>
      </c>
      <c r="Y74" s="87">
        <f>'AEO 2023 Table 36 Raw'!AB56</f>
        <v>49.676124999999999</v>
      </c>
      <c r="Z74" s="87">
        <f>'AEO 2023 Table 36 Raw'!AC56</f>
        <v>48.788139000000001</v>
      </c>
      <c r="AA74" s="87">
        <f>'AEO 2023 Table 36 Raw'!AD56</f>
        <v>48.012000999999998</v>
      </c>
      <c r="AB74" s="87">
        <f>'AEO 2023 Table 36 Raw'!AE56</f>
        <v>46.925766000000003</v>
      </c>
      <c r="AC74" s="87">
        <f>'AEO 2023 Table 36 Raw'!AF56</f>
        <v>45.703896</v>
      </c>
      <c r="AD74" s="87">
        <f>'AEO 2023 Table 36 Raw'!AG56</f>
        <v>44.05574</v>
      </c>
      <c r="AE74" s="87">
        <f>'AEO 2023 Table 36 Raw'!AH56</f>
        <v>42.693801999999998</v>
      </c>
      <c r="AF74" s="88">
        <f>'AEO 2023 Table 36 Raw'!AI56</f>
        <v>-7.0000000000000001E-3</v>
      </c>
    </row>
    <row r="75" spans="1:32" ht="15" customHeight="1">
      <c r="A75" s="18" t="s">
        <v>343</v>
      </c>
      <c r="B75" s="21" t="s">
        <v>344</v>
      </c>
      <c r="C75" s="24">
        <f>'AEO 2023 Table 36 Raw'!F57</f>
        <v>26.102913000000001</v>
      </c>
      <c r="D75" s="24">
        <f>'AEO 2023 Table 36 Raw'!G57</f>
        <v>27.152719000000001</v>
      </c>
      <c r="E75" s="24">
        <f>'AEO 2023 Table 36 Raw'!H57</f>
        <v>27.997173</v>
      </c>
      <c r="F75" s="24">
        <f>'AEO 2023 Table 36 Raw'!I57</f>
        <v>28.156234999999999</v>
      </c>
      <c r="G75" s="24">
        <f>'AEO 2023 Table 36 Raw'!J57</f>
        <v>28.412040999999999</v>
      </c>
      <c r="H75" s="24">
        <f>'AEO 2023 Table 36 Raw'!K57</f>
        <v>28.617826000000001</v>
      </c>
      <c r="I75" s="24">
        <f>'AEO 2023 Table 36 Raw'!L57</f>
        <v>28.781718999999999</v>
      </c>
      <c r="J75" s="24">
        <f>'AEO 2023 Table 36 Raw'!M57</f>
        <v>28.881858999999999</v>
      </c>
      <c r="K75" s="24">
        <f>'AEO 2023 Table 36 Raw'!N57</f>
        <v>28.919270999999998</v>
      </c>
      <c r="L75" s="24">
        <f>'AEO 2023 Table 36 Raw'!O57</f>
        <v>28.863105999999998</v>
      </c>
      <c r="M75" s="24">
        <f>'AEO 2023 Table 36 Raw'!P57</f>
        <v>28.782406000000002</v>
      </c>
      <c r="N75" s="24">
        <f>'AEO 2023 Table 36 Raw'!Q57</f>
        <v>28.664639000000001</v>
      </c>
      <c r="O75" s="24">
        <f>'AEO 2023 Table 36 Raw'!R57</f>
        <v>28.58287</v>
      </c>
      <c r="P75" s="24">
        <f>'AEO 2023 Table 36 Raw'!S57</f>
        <v>28.431080000000001</v>
      </c>
      <c r="Q75" s="24">
        <f>'AEO 2023 Table 36 Raw'!T57</f>
        <v>28.230478000000002</v>
      </c>
      <c r="R75" s="24">
        <f>'AEO 2023 Table 36 Raw'!U57</f>
        <v>27.752499</v>
      </c>
      <c r="S75" s="24">
        <f>'AEO 2023 Table 36 Raw'!V57</f>
        <v>27.526546</v>
      </c>
      <c r="T75" s="24">
        <f>'AEO 2023 Table 36 Raw'!W57</f>
        <v>27.295058999999998</v>
      </c>
      <c r="U75" s="24">
        <f>'AEO 2023 Table 36 Raw'!X57</f>
        <v>27.037399000000001</v>
      </c>
      <c r="V75" s="24">
        <f>'AEO 2023 Table 36 Raw'!Y57</f>
        <v>26.753869999999999</v>
      </c>
      <c r="W75" s="24">
        <f>'AEO 2023 Table 36 Raw'!Z57</f>
        <v>26.484290999999999</v>
      </c>
      <c r="X75" s="24">
        <f>'AEO 2023 Table 36 Raw'!AA57</f>
        <v>26.160323999999999</v>
      </c>
      <c r="Y75" s="24">
        <f>'AEO 2023 Table 36 Raw'!AB57</f>
        <v>25.885159999999999</v>
      </c>
      <c r="Z75" s="24">
        <f>'AEO 2023 Table 36 Raw'!AC57</f>
        <v>25.601519</v>
      </c>
      <c r="AA75" s="24">
        <f>'AEO 2023 Table 36 Raw'!AD57</f>
        <v>25.421154000000001</v>
      </c>
      <c r="AB75" s="24">
        <f>'AEO 2023 Table 36 Raw'!AE57</f>
        <v>25.134627999999999</v>
      </c>
      <c r="AC75" s="24">
        <f>'AEO 2023 Table 36 Raw'!AF57</f>
        <v>24.876854000000002</v>
      </c>
      <c r="AD75" s="24">
        <f>'AEO 2023 Table 36 Raw'!AG57</f>
        <v>24.580860000000001</v>
      </c>
      <c r="AE75" s="24">
        <f>'AEO 2023 Table 36 Raw'!AH57</f>
        <v>24.309217</v>
      </c>
      <c r="AF75" s="29">
        <f>'AEO 2023 Table 36 Raw'!AI57</f>
        <v>-3.0000000000000001E-3</v>
      </c>
    </row>
    <row r="76" spans="1:32" ht="15" customHeight="1">
      <c r="A76" s="18" t="s">
        <v>345</v>
      </c>
      <c r="B76" s="21" t="s">
        <v>346</v>
      </c>
      <c r="C76" s="24">
        <f>'AEO 2023 Table 36 Raw'!F58</f>
        <v>1.4757659999999999</v>
      </c>
      <c r="D76" s="24">
        <f>'AEO 2023 Table 36 Raw'!G58</f>
        <v>1.5326839999999999</v>
      </c>
      <c r="E76" s="24">
        <f>'AEO 2023 Table 36 Raw'!H58</f>
        <v>1.572022</v>
      </c>
      <c r="F76" s="24">
        <f>'AEO 2023 Table 36 Raw'!I58</f>
        <v>1.5786210000000001</v>
      </c>
      <c r="G76" s="24">
        <f>'AEO 2023 Table 36 Raw'!J58</f>
        <v>1.5959749999999999</v>
      </c>
      <c r="H76" s="24">
        <f>'AEO 2023 Table 36 Raw'!K58</f>
        <v>1.6095010000000001</v>
      </c>
      <c r="I76" s="24">
        <f>'AEO 2023 Table 36 Raw'!L58</f>
        <v>1.6204449999999999</v>
      </c>
      <c r="J76" s="24">
        <f>'AEO 2023 Table 36 Raw'!M58</f>
        <v>1.6276649999999999</v>
      </c>
      <c r="K76" s="24">
        <f>'AEO 2023 Table 36 Raw'!N58</f>
        <v>1.6309739999999999</v>
      </c>
      <c r="L76" s="24">
        <f>'AEO 2023 Table 36 Raw'!O58</f>
        <v>1.629221</v>
      </c>
      <c r="M76" s="24">
        <f>'AEO 2023 Table 36 Raw'!P58</f>
        <v>1.6268180000000001</v>
      </c>
      <c r="N76" s="24">
        <f>'AEO 2023 Table 36 Raw'!Q58</f>
        <v>1.622336</v>
      </c>
      <c r="O76" s="24">
        <f>'AEO 2023 Table 36 Raw'!R58</f>
        <v>1.6196390000000001</v>
      </c>
      <c r="P76" s="24">
        <f>'AEO 2023 Table 36 Raw'!S58</f>
        <v>1.613038</v>
      </c>
      <c r="Q76" s="24">
        <f>'AEO 2023 Table 36 Raw'!T58</f>
        <v>1.6045199999999999</v>
      </c>
      <c r="R76" s="24">
        <f>'AEO 2023 Table 36 Raw'!U58</f>
        <v>1.5851</v>
      </c>
      <c r="S76" s="24">
        <f>'AEO 2023 Table 36 Raw'!V58</f>
        <v>1.57385</v>
      </c>
      <c r="T76" s="24">
        <f>'AEO 2023 Table 36 Raw'!W58</f>
        <v>1.56229</v>
      </c>
      <c r="U76" s="24">
        <f>'AEO 2023 Table 36 Raw'!X58</f>
        <v>1.549139</v>
      </c>
      <c r="V76" s="24">
        <f>'AEO 2023 Table 36 Raw'!Y58</f>
        <v>1.5342830000000001</v>
      </c>
      <c r="W76" s="24">
        <f>'AEO 2023 Table 36 Raw'!Z58</f>
        <v>1.520311</v>
      </c>
      <c r="X76" s="24">
        <f>'AEO 2023 Table 36 Raw'!AA58</f>
        <v>1.501987</v>
      </c>
      <c r="Y76" s="24">
        <f>'AEO 2023 Table 36 Raw'!AB58</f>
        <v>1.4879849999999999</v>
      </c>
      <c r="Z76" s="24">
        <f>'AEO 2023 Table 36 Raw'!AC58</f>
        <v>1.4732160000000001</v>
      </c>
      <c r="AA76" s="24">
        <f>'AEO 2023 Table 36 Raw'!AD58</f>
        <v>1.4655290000000001</v>
      </c>
      <c r="AB76" s="24">
        <f>'AEO 2023 Table 36 Raw'!AE58</f>
        <v>1.450458</v>
      </c>
      <c r="AC76" s="24">
        <f>'AEO 2023 Table 36 Raw'!AF58</f>
        <v>1.437376</v>
      </c>
      <c r="AD76" s="24">
        <f>'AEO 2023 Table 36 Raw'!AG58</f>
        <v>1.4216249999999999</v>
      </c>
      <c r="AE76" s="24">
        <f>'AEO 2023 Table 36 Raw'!AH58</f>
        <v>1.4077189999999999</v>
      </c>
      <c r="AF76" s="29">
        <f>'AEO 2023 Table 36 Raw'!AI58</f>
        <v>-2E-3</v>
      </c>
    </row>
    <row r="77" spans="1:32" ht="15" customHeight="1">
      <c r="A77" s="18" t="s">
        <v>347</v>
      </c>
      <c r="B77" s="21" t="s">
        <v>348</v>
      </c>
      <c r="C77" s="24">
        <f>'AEO 2023 Table 36 Raw'!F59</f>
        <v>0.58296300000000001</v>
      </c>
      <c r="D77" s="24">
        <f>'AEO 2023 Table 36 Raw'!G59</f>
        <v>0.63977200000000001</v>
      </c>
      <c r="E77" s="24">
        <f>'AEO 2023 Table 36 Raw'!H59</f>
        <v>0.69745900000000005</v>
      </c>
      <c r="F77" s="24">
        <f>'AEO 2023 Table 36 Raw'!I59</f>
        <v>0.74443499999999996</v>
      </c>
      <c r="G77" s="24">
        <f>'AEO 2023 Table 36 Raw'!J59</f>
        <v>0.79736899999999999</v>
      </c>
      <c r="H77" s="24">
        <f>'AEO 2023 Table 36 Raw'!K59</f>
        <v>0.85397599999999996</v>
      </c>
      <c r="I77" s="24">
        <f>'AEO 2023 Table 36 Raw'!L59</f>
        <v>0.91521699999999995</v>
      </c>
      <c r="J77" s="24">
        <f>'AEO 2023 Table 36 Raw'!M59</f>
        <v>0.97990200000000005</v>
      </c>
      <c r="K77" s="24">
        <f>'AEO 2023 Table 36 Raw'!N59</f>
        <v>1.0486899999999999</v>
      </c>
      <c r="L77" s="24">
        <f>'AEO 2023 Table 36 Raw'!O59</f>
        <v>1.1214440000000001</v>
      </c>
      <c r="M77" s="24">
        <f>'AEO 2023 Table 36 Raw'!P59</f>
        <v>1.2004459999999999</v>
      </c>
      <c r="N77" s="24">
        <f>'AEO 2023 Table 36 Raw'!Q59</f>
        <v>1.2863150000000001</v>
      </c>
      <c r="O77" s="24">
        <f>'AEO 2023 Table 36 Raw'!R59</f>
        <v>1.3831500000000001</v>
      </c>
      <c r="P77" s="24">
        <f>'AEO 2023 Table 36 Raw'!S59</f>
        <v>1.48702</v>
      </c>
      <c r="Q77" s="24">
        <f>'AEO 2023 Table 36 Raw'!T59</f>
        <v>1.599227</v>
      </c>
      <c r="R77" s="24">
        <f>'AEO 2023 Table 36 Raw'!U59</f>
        <v>1.699166</v>
      </c>
      <c r="S77" s="24">
        <f>'AEO 2023 Table 36 Raw'!V59</f>
        <v>1.8360780000000001</v>
      </c>
      <c r="T77" s="24">
        <f>'AEO 2023 Table 36 Raw'!W59</f>
        <v>1.989325</v>
      </c>
      <c r="U77" s="24">
        <f>'AEO 2023 Table 36 Raw'!X59</f>
        <v>2.1605850000000002</v>
      </c>
      <c r="V77" s="24">
        <f>'AEO 2023 Table 36 Raw'!Y59</f>
        <v>2.3529599999999999</v>
      </c>
      <c r="W77" s="24">
        <f>'AEO 2023 Table 36 Raw'!Z59</f>
        <v>2.5741770000000002</v>
      </c>
      <c r="X77" s="24">
        <f>'AEO 2023 Table 36 Raw'!AA59</f>
        <v>2.8250199999999999</v>
      </c>
      <c r="Y77" s="24">
        <f>'AEO 2023 Table 36 Raw'!AB59</f>
        <v>3.1230699999999998</v>
      </c>
      <c r="Z77" s="24">
        <f>'AEO 2023 Table 36 Raw'!AC59</f>
        <v>3.4774289999999999</v>
      </c>
      <c r="AA77" s="24">
        <f>'AEO 2023 Table 36 Raw'!AD59</f>
        <v>3.922498</v>
      </c>
      <c r="AB77" s="24">
        <f>'AEO 2023 Table 36 Raw'!AE59</f>
        <v>4.4694479999999999</v>
      </c>
      <c r="AC77" s="24">
        <f>'AEO 2023 Table 36 Raw'!AF59</f>
        <v>5.2043210000000002</v>
      </c>
      <c r="AD77" s="24">
        <f>'AEO 2023 Table 36 Raw'!AG59</f>
        <v>6.2864370000000003</v>
      </c>
      <c r="AE77" s="24">
        <f>'AEO 2023 Table 36 Raw'!AH59</f>
        <v>7.1351089999999999</v>
      </c>
      <c r="AF77" s="29">
        <f>'AEO 2023 Table 36 Raw'!AI59</f>
        <v>9.4E-2</v>
      </c>
    </row>
    <row r="78" spans="1:32" ht="15" customHeight="1">
      <c r="A78" s="18" t="s">
        <v>349</v>
      </c>
      <c r="B78" s="21" t="s">
        <v>350</v>
      </c>
      <c r="C78" s="24">
        <f>'AEO 2023 Table 36 Raw'!F60</f>
        <v>2.3116999999999999E-2</v>
      </c>
      <c r="D78" s="24">
        <f>'AEO 2023 Table 36 Raw'!G60</f>
        <v>2.4035000000000001E-2</v>
      </c>
      <c r="E78" s="24">
        <f>'AEO 2023 Table 36 Raw'!H60</f>
        <v>2.4938999999999999E-2</v>
      </c>
      <c r="F78" s="24">
        <f>'AEO 2023 Table 36 Raw'!I60</f>
        <v>2.5099E-2</v>
      </c>
      <c r="G78" s="24">
        <f>'AEO 2023 Table 36 Raw'!J60</f>
        <v>2.5319000000000001E-2</v>
      </c>
      <c r="H78" s="24">
        <f>'AEO 2023 Table 36 Raw'!K60</f>
        <v>2.5482000000000001E-2</v>
      </c>
      <c r="I78" s="24">
        <f>'AEO 2023 Table 36 Raw'!L60</f>
        <v>2.5596000000000001E-2</v>
      </c>
      <c r="J78" s="24">
        <f>'AEO 2023 Table 36 Raw'!M60</f>
        <v>2.5651E-2</v>
      </c>
      <c r="K78" s="24">
        <f>'AEO 2023 Table 36 Raw'!N60</f>
        <v>2.5658E-2</v>
      </c>
      <c r="L78" s="24">
        <f>'AEO 2023 Table 36 Raw'!O60</f>
        <v>2.5572999999999999E-2</v>
      </c>
      <c r="M78" s="24">
        <f>'AEO 2023 Table 36 Raw'!P60</f>
        <v>2.5453E-2</v>
      </c>
      <c r="N78" s="24">
        <f>'AEO 2023 Table 36 Raw'!Q60</f>
        <v>2.5301000000000001E-2</v>
      </c>
      <c r="O78" s="24">
        <f>'AEO 2023 Table 36 Raw'!R60</f>
        <v>2.5183000000000001E-2</v>
      </c>
      <c r="P78" s="24">
        <f>'AEO 2023 Table 36 Raw'!S60</f>
        <v>2.5003000000000001E-2</v>
      </c>
      <c r="Q78" s="24">
        <f>'AEO 2023 Table 36 Raw'!T60</f>
        <v>2.4774000000000001E-2</v>
      </c>
      <c r="R78" s="24">
        <f>'AEO 2023 Table 36 Raw'!U60</f>
        <v>2.4169E-2</v>
      </c>
      <c r="S78" s="24">
        <f>'AEO 2023 Table 36 Raw'!V60</f>
        <v>2.3938999999999998E-2</v>
      </c>
      <c r="T78" s="24">
        <f>'AEO 2023 Table 36 Raw'!W60</f>
        <v>2.3702000000000001E-2</v>
      </c>
      <c r="U78" s="24">
        <f>'AEO 2023 Table 36 Raw'!X60</f>
        <v>2.3444E-2</v>
      </c>
      <c r="V78" s="24">
        <f>'AEO 2023 Table 36 Raw'!Y60</f>
        <v>2.3163E-2</v>
      </c>
      <c r="W78" s="24">
        <f>'AEO 2023 Table 36 Raw'!Z60</f>
        <v>2.2893E-2</v>
      </c>
      <c r="X78" s="24">
        <f>'AEO 2023 Table 36 Raw'!AA60</f>
        <v>2.2575000000000001E-2</v>
      </c>
      <c r="Y78" s="24">
        <f>'AEO 2023 Table 36 Raw'!AB60</f>
        <v>2.2303E-2</v>
      </c>
      <c r="Z78" s="24">
        <f>'AEO 2023 Table 36 Raw'!AC60</f>
        <v>2.2027000000000001E-2</v>
      </c>
      <c r="AA78" s="24">
        <f>'AEO 2023 Table 36 Raw'!AD60</f>
        <v>2.1822999999999999E-2</v>
      </c>
      <c r="AB78" s="24">
        <f>'AEO 2023 Table 36 Raw'!AE60</f>
        <v>2.1545000000000002E-2</v>
      </c>
      <c r="AC78" s="24">
        <f>'AEO 2023 Table 36 Raw'!AF60</f>
        <v>2.1284000000000001E-2</v>
      </c>
      <c r="AD78" s="24">
        <f>'AEO 2023 Table 36 Raw'!AG60</f>
        <v>2.0996999999999998E-2</v>
      </c>
      <c r="AE78" s="24">
        <f>'AEO 2023 Table 36 Raw'!AH60</f>
        <v>2.0722999999999998E-2</v>
      </c>
      <c r="AF78" s="29">
        <f>'AEO 2023 Table 36 Raw'!AI60</f>
        <v>-4.0000000000000001E-3</v>
      </c>
    </row>
    <row r="79" spans="1:32" ht="15" customHeight="1">
      <c r="A79" s="18" t="s">
        <v>351</v>
      </c>
      <c r="B79" s="21" t="s">
        <v>352</v>
      </c>
      <c r="C79" s="24">
        <f>'AEO 2023 Table 36 Raw'!F61</f>
        <v>26.118862</v>
      </c>
      <c r="D79" s="24">
        <f>'AEO 2023 Table 36 Raw'!G61</f>
        <v>28.024412000000002</v>
      </c>
      <c r="E79" s="24">
        <f>'AEO 2023 Table 36 Raw'!H61</f>
        <v>29.477226000000002</v>
      </c>
      <c r="F79" s="24">
        <f>'AEO 2023 Table 36 Raw'!I61</f>
        <v>30.571621</v>
      </c>
      <c r="G79" s="24">
        <f>'AEO 2023 Table 36 Raw'!J61</f>
        <v>31.3964</v>
      </c>
      <c r="H79" s="24">
        <f>'AEO 2023 Table 36 Raw'!K61</f>
        <v>32.010112999999997</v>
      </c>
      <c r="I79" s="24">
        <f>'AEO 2023 Table 36 Raw'!L61</f>
        <v>32.464531000000001</v>
      </c>
      <c r="J79" s="24">
        <f>'AEO 2023 Table 36 Raw'!M61</f>
        <v>32.799759000000002</v>
      </c>
      <c r="K79" s="24">
        <f>'AEO 2023 Table 36 Raw'!N61</f>
        <v>33.046233999999998</v>
      </c>
      <c r="L79" s="24">
        <f>'AEO 2023 Table 36 Raw'!O61</f>
        <v>33.226050999999998</v>
      </c>
      <c r="M79" s="24">
        <f>'AEO 2023 Table 36 Raw'!P61</f>
        <v>33.352477999999998</v>
      </c>
      <c r="N79" s="24">
        <f>'AEO 2023 Table 36 Raw'!Q61</f>
        <v>33.43018</v>
      </c>
      <c r="O79" s="24">
        <f>'AEO 2023 Table 36 Raw'!R61</f>
        <v>33.466476</v>
      </c>
      <c r="P79" s="24">
        <f>'AEO 2023 Table 36 Raw'!S61</f>
        <v>33.469250000000002</v>
      </c>
      <c r="Q79" s="24">
        <f>'AEO 2023 Table 36 Raw'!T61</f>
        <v>33.445160000000001</v>
      </c>
      <c r="R79" s="24">
        <f>'AEO 2023 Table 36 Raw'!U61</f>
        <v>33.397396000000001</v>
      </c>
      <c r="S79" s="24">
        <f>'AEO 2023 Table 36 Raw'!V61</f>
        <v>33.349758000000001</v>
      </c>
      <c r="T79" s="24">
        <f>'AEO 2023 Table 36 Raw'!W61</f>
        <v>33.294384000000001</v>
      </c>
      <c r="U79" s="24">
        <f>'AEO 2023 Table 36 Raw'!X61</f>
        <v>33.234276000000001</v>
      </c>
      <c r="V79" s="24">
        <f>'AEO 2023 Table 36 Raw'!Y61</f>
        <v>33.167285999999997</v>
      </c>
      <c r="W79" s="24">
        <f>'AEO 2023 Table 36 Raw'!Z61</f>
        <v>33.096901000000003</v>
      </c>
      <c r="X79" s="24">
        <f>'AEO 2023 Table 36 Raw'!AA61</f>
        <v>33.025081999999998</v>
      </c>
      <c r="Y79" s="24">
        <f>'AEO 2023 Table 36 Raw'!AB61</f>
        <v>32.951076999999998</v>
      </c>
      <c r="Z79" s="24">
        <f>'AEO 2023 Table 36 Raw'!AC61</f>
        <v>32.875145000000003</v>
      </c>
      <c r="AA79" s="24">
        <f>'AEO 2023 Table 36 Raw'!AD61</f>
        <v>32.799278000000001</v>
      </c>
      <c r="AB79" s="24">
        <f>'AEO 2023 Table 36 Raw'!AE61</f>
        <v>32.723492</v>
      </c>
      <c r="AC79" s="24">
        <f>'AEO 2023 Table 36 Raw'!AF61</f>
        <v>32.646706000000002</v>
      </c>
      <c r="AD79" s="24">
        <f>'AEO 2023 Table 36 Raw'!AG61</f>
        <v>32.569450000000003</v>
      </c>
      <c r="AE79" s="24">
        <f>'AEO 2023 Table 36 Raw'!AH61</f>
        <v>32.494362000000002</v>
      </c>
      <c r="AF79" s="29">
        <f>'AEO 2023 Table 36 Raw'!AI61</f>
        <v>8.0000000000000002E-3</v>
      </c>
    </row>
    <row r="80" spans="1:32" ht="15" customHeight="1">
      <c r="A80" s="18" t="s">
        <v>353</v>
      </c>
      <c r="B80" s="21" t="s">
        <v>338</v>
      </c>
      <c r="C80" s="24">
        <f>'AEO 2023 Table 36 Raw'!F62</f>
        <v>0</v>
      </c>
      <c r="D80" s="24">
        <f>'AEO 2023 Table 36 Raw'!G62</f>
        <v>0</v>
      </c>
      <c r="E80" s="24">
        <f>'AEO 2023 Table 36 Raw'!H62</f>
        <v>0</v>
      </c>
      <c r="F80" s="24">
        <f>'AEO 2023 Table 36 Raw'!I62</f>
        <v>0</v>
      </c>
      <c r="G80" s="24">
        <f>'AEO 2023 Table 36 Raw'!J62</f>
        <v>0</v>
      </c>
      <c r="H80" s="24">
        <f>'AEO 2023 Table 36 Raw'!K62</f>
        <v>0</v>
      </c>
      <c r="I80" s="24">
        <f>'AEO 2023 Table 36 Raw'!L62</f>
        <v>0</v>
      </c>
      <c r="J80" s="24">
        <f>'AEO 2023 Table 36 Raw'!M62</f>
        <v>0</v>
      </c>
      <c r="K80" s="24">
        <f>'AEO 2023 Table 36 Raw'!N62</f>
        <v>0</v>
      </c>
      <c r="L80" s="24">
        <f>'AEO 2023 Table 36 Raw'!O62</f>
        <v>0</v>
      </c>
      <c r="M80" s="24">
        <f>'AEO 2023 Table 36 Raw'!P62</f>
        <v>0</v>
      </c>
      <c r="N80" s="24">
        <f>'AEO 2023 Table 36 Raw'!Q62</f>
        <v>0</v>
      </c>
      <c r="O80" s="24">
        <f>'AEO 2023 Table 36 Raw'!R62</f>
        <v>0</v>
      </c>
      <c r="P80" s="24">
        <f>'AEO 2023 Table 36 Raw'!S62</f>
        <v>0</v>
      </c>
      <c r="Q80" s="24">
        <f>'AEO 2023 Table 36 Raw'!T62</f>
        <v>0</v>
      </c>
      <c r="R80" s="24">
        <f>'AEO 2023 Table 36 Raw'!U62</f>
        <v>0</v>
      </c>
      <c r="S80" s="24">
        <f>'AEO 2023 Table 36 Raw'!V62</f>
        <v>0</v>
      </c>
      <c r="T80" s="24">
        <f>'AEO 2023 Table 36 Raw'!W62</f>
        <v>0</v>
      </c>
      <c r="U80" s="24">
        <f>'AEO 2023 Table 36 Raw'!X62</f>
        <v>0</v>
      </c>
      <c r="V80" s="24">
        <f>'AEO 2023 Table 36 Raw'!Y62</f>
        <v>0</v>
      </c>
      <c r="W80" s="24">
        <f>'AEO 2023 Table 36 Raw'!Z62</f>
        <v>0</v>
      </c>
      <c r="X80" s="24">
        <f>'AEO 2023 Table 36 Raw'!AA62</f>
        <v>0</v>
      </c>
      <c r="Y80" s="24">
        <f>'AEO 2023 Table 36 Raw'!AB62</f>
        <v>0</v>
      </c>
      <c r="Z80" s="24">
        <f>'AEO 2023 Table 36 Raw'!AC62</f>
        <v>0</v>
      </c>
      <c r="AA80" s="24">
        <f>'AEO 2023 Table 36 Raw'!AD62</f>
        <v>0</v>
      </c>
      <c r="AB80" s="24">
        <f>'AEO 2023 Table 36 Raw'!AE62</f>
        <v>0</v>
      </c>
      <c r="AC80" s="24">
        <f>'AEO 2023 Table 36 Raw'!AF62</f>
        <v>0</v>
      </c>
      <c r="AD80" s="24">
        <f>'AEO 2023 Table 36 Raw'!AG62</f>
        <v>0</v>
      </c>
      <c r="AE80" s="24">
        <f>'AEO 2023 Table 36 Raw'!AH62</f>
        <v>0</v>
      </c>
      <c r="AF80" s="29" t="str">
        <f>'AEO 2023 Table 36 Raw'!AI62</f>
        <v>- -</v>
      </c>
    </row>
    <row r="81" spans="1:32" ht="15" customHeight="1">
      <c r="A81" s="18" t="s">
        <v>354</v>
      </c>
      <c r="B81" s="21" t="s">
        <v>340</v>
      </c>
      <c r="C81" s="24">
        <f>'AEO 2023 Table 36 Raw'!F63</f>
        <v>0</v>
      </c>
      <c r="D81" s="24">
        <f>'AEO 2023 Table 36 Raw'!G63</f>
        <v>0</v>
      </c>
      <c r="E81" s="24">
        <f>'AEO 2023 Table 36 Raw'!H63</f>
        <v>0</v>
      </c>
      <c r="F81" s="24">
        <f>'AEO 2023 Table 36 Raw'!I63</f>
        <v>0</v>
      </c>
      <c r="G81" s="24">
        <f>'AEO 2023 Table 36 Raw'!J63</f>
        <v>0</v>
      </c>
      <c r="H81" s="24">
        <f>'AEO 2023 Table 36 Raw'!K63</f>
        <v>0</v>
      </c>
      <c r="I81" s="24">
        <f>'AEO 2023 Table 36 Raw'!L63</f>
        <v>0</v>
      </c>
      <c r="J81" s="24">
        <f>'AEO 2023 Table 36 Raw'!M63</f>
        <v>0</v>
      </c>
      <c r="K81" s="24">
        <f>'AEO 2023 Table 36 Raw'!N63</f>
        <v>0</v>
      </c>
      <c r="L81" s="24">
        <f>'AEO 2023 Table 36 Raw'!O63</f>
        <v>0</v>
      </c>
      <c r="M81" s="24">
        <f>'AEO 2023 Table 36 Raw'!P63</f>
        <v>0</v>
      </c>
      <c r="N81" s="24">
        <f>'AEO 2023 Table 36 Raw'!Q63</f>
        <v>0</v>
      </c>
      <c r="O81" s="24">
        <f>'AEO 2023 Table 36 Raw'!R63</f>
        <v>0</v>
      </c>
      <c r="P81" s="24">
        <f>'AEO 2023 Table 36 Raw'!S63</f>
        <v>0</v>
      </c>
      <c r="Q81" s="24">
        <f>'AEO 2023 Table 36 Raw'!T63</f>
        <v>0</v>
      </c>
      <c r="R81" s="24">
        <f>'AEO 2023 Table 36 Raw'!U63</f>
        <v>0</v>
      </c>
      <c r="S81" s="24">
        <f>'AEO 2023 Table 36 Raw'!V63</f>
        <v>0</v>
      </c>
      <c r="T81" s="24">
        <f>'AEO 2023 Table 36 Raw'!W63</f>
        <v>0</v>
      </c>
      <c r="U81" s="24">
        <f>'AEO 2023 Table 36 Raw'!X63</f>
        <v>0</v>
      </c>
      <c r="V81" s="24">
        <f>'AEO 2023 Table 36 Raw'!Y63</f>
        <v>0</v>
      </c>
      <c r="W81" s="24">
        <f>'AEO 2023 Table 36 Raw'!Z63</f>
        <v>0</v>
      </c>
      <c r="X81" s="24">
        <f>'AEO 2023 Table 36 Raw'!AA63</f>
        <v>0</v>
      </c>
      <c r="Y81" s="24">
        <f>'AEO 2023 Table 36 Raw'!AB63</f>
        <v>0</v>
      </c>
      <c r="Z81" s="24">
        <f>'AEO 2023 Table 36 Raw'!AC63</f>
        <v>0</v>
      </c>
      <c r="AA81" s="24">
        <f>'AEO 2023 Table 36 Raw'!AD63</f>
        <v>0</v>
      </c>
      <c r="AB81" s="24">
        <f>'AEO 2023 Table 36 Raw'!AE63</f>
        <v>0</v>
      </c>
      <c r="AC81" s="24">
        <f>'AEO 2023 Table 36 Raw'!AF63</f>
        <v>0</v>
      </c>
      <c r="AD81" s="24">
        <f>'AEO 2023 Table 36 Raw'!AG63</f>
        <v>0</v>
      </c>
      <c r="AE81" s="24">
        <f>'AEO 2023 Table 36 Raw'!AH63</f>
        <v>0</v>
      </c>
      <c r="AF81" s="29" t="str">
        <f>'AEO 2023 Table 36 Raw'!AI63</f>
        <v>- -</v>
      </c>
    </row>
    <row r="82" spans="1:32" s="7" customFormat="1" ht="15" customHeight="1">
      <c r="A82" s="89" t="s">
        <v>355</v>
      </c>
      <c r="B82" s="90" t="s">
        <v>342</v>
      </c>
      <c r="C82" s="91">
        <f>'AEO 2023 Table 36 Raw'!F64</f>
        <v>26.118862</v>
      </c>
      <c r="D82" s="91">
        <f>'AEO 2023 Table 36 Raw'!G64</f>
        <v>28.024412000000002</v>
      </c>
      <c r="E82" s="91">
        <f>'AEO 2023 Table 36 Raw'!H64</f>
        <v>29.477226000000002</v>
      </c>
      <c r="F82" s="91">
        <f>'AEO 2023 Table 36 Raw'!I64</f>
        <v>30.571621</v>
      </c>
      <c r="G82" s="91">
        <f>'AEO 2023 Table 36 Raw'!J64</f>
        <v>31.3964</v>
      </c>
      <c r="H82" s="91">
        <f>'AEO 2023 Table 36 Raw'!K64</f>
        <v>32.010112999999997</v>
      </c>
      <c r="I82" s="91">
        <f>'AEO 2023 Table 36 Raw'!L64</f>
        <v>32.464531000000001</v>
      </c>
      <c r="J82" s="91">
        <f>'AEO 2023 Table 36 Raw'!M64</f>
        <v>32.799759000000002</v>
      </c>
      <c r="K82" s="91">
        <f>'AEO 2023 Table 36 Raw'!N64</f>
        <v>33.046233999999998</v>
      </c>
      <c r="L82" s="91">
        <f>'AEO 2023 Table 36 Raw'!O64</f>
        <v>33.226050999999998</v>
      </c>
      <c r="M82" s="91">
        <f>'AEO 2023 Table 36 Raw'!P64</f>
        <v>33.352477999999998</v>
      </c>
      <c r="N82" s="91">
        <f>'AEO 2023 Table 36 Raw'!Q64</f>
        <v>33.43018</v>
      </c>
      <c r="O82" s="91">
        <f>'AEO 2023 Table 36 Raw'!R64</f>
        <v>33.466476</v>
      </c>
      <c r="P82" s="91">
        <f>'AEO 2023 Table 36 Raw'!S64</f>
        <v>33.469250000000002</v>
      </c>
      <c r="Q82" s="91">
        <f>'AEO 2023 Table 36 Raw'!T64</f>
        <v>33.445160000000001</v>
      </c>
      <c r="R82" s="91">
        <f>'AEO 2023 Table 36 Raw'!U64</f>
        <v>33.397396000000001</v>
      </c>
      <c r="S82" s="91">
        <f>'AEO 2023 Table 36 Raw'!V64</f>
        <v>33.349758000000001</v>
      </c>
      <c r="T82" s="91">
        <f>'AEO 2023 Table 36 Raw'!W64</f>
        <v>33.294384000000001</v>
      </c>
      <c r="U82" s="91">
        <f>'AEO 2023 Table 36 Raw'!X64</f>
        <v>33.234276000000001</v>
      </c>
      <c r="V82" s="91">
        <f>'AEO 2023 Table 36 Raw'!Y64</f>
        <v>33.167285999999997</v>
      </c>
      <c r="W82" s="91">
        <f>'AEO 2023 Table 36 Raw'!Z64</f>
        <v>33.096901000000003</v>
      </c>
      <c r="X82" s="91">
        <f>'AEO 2023 Table 36 Raw'!AA64</f>
        <v>33.025081999999998</v>
      </c>
      <c r="Y82" s="91">
        <f>'AEO 2023 Table 36 Raw'!AB64</f>
        <v>32.951076999999998</v>
      </c>
      <c r="Z82" s="91">
        <f>'AEO 2023 Table 36 Raw'!AC64</f>
        <v>32.875145000000003</v>
      </c>
      <c r="AA82" s="91">
        <f>'AEO 2023 Table 36 Raw'!AD64</f>
        <v>32.799278000000001</v>
      </c>
      <c r="AB82" s="91">
        <f>'AEO 2023 Table 36 Raw'!AE64</f>
        <v>32.723492</v>
      </c>
      <c r="AC82" s="91">
        <f>'AEO 2023 Table 36 Raw'!AF64</f>
        <v>32.646706000000002</v>
      </c>
      <c r="AD82" s="91">
        <f>'AEO 2023 Table 36 Raw'!AG64</f>
        <v>32.569450000000003</v>
      </c>
      <c r="AE82" s="91">
        <f>'AEO 2023 Table 36 Raw'!AH64</f>
        <v>32.494362000000002</v>
      </c>
      <c r="AF82" s="92">
        <f>'AEO 2023 Table 36 Raw'!AI64</f>
        <v>8.0000000000000002E-3</v>
      </c>
    </row>
    <row r="83" spans="1:32" ht="15" customHeight="1">
      <c r="A83" s="18" t="s">
        <v>356</v>
      </c>
      <c r="B83" s="21" t="s">
        <v>344</v>
      </c>
      <c r="C83" s="24">
        <f>'AEO 2023 Table 36 Raw'!F65</f>
        <v>0</v>
      </c>
      <c r="D83" s="24">
        <f>'AEO 2023 Table 36 Raw'!G65</f>
        <v>0</v>
      </c>
      <c r="E83" s="24">
        <f>'AEO 2023 Table 36 Raw'!H65</f>
        <v>0</v>
      </c>
      <c r="F83" s="24">
        <f>'AEO 2023 Table 36 Raw'!I65</f>
        <v>0</v>
      </c>
      <c r="G83" s="24">
        <f>'AEO 2023 Table 36 Raw'!J65</f>
        <v>0</v>
      </c>
      <c r="H83" s="24">
        <f>'AEO 2023 Table 36 Raw'!K65</f>
        <v>0</v>
      </c>
      <c r="I83" s="24">
        <f>'AEO 2023 Table 36 Raw'!L65</f>
        <v>0</v>
      </c>
      <c r="J83" s="24">
        <f>'AEO 2023 Table 36 Raw'!M65</f>
        <v>0</v>
      </c>
      <c r="K83" s="24">
        <f>'AEO 2023 Table 36 Raw'!N65</f>
        <v>0</v>
      </c>
      <c r="L83" s="24">
        <f>'AEO 2023 Table 36 Raw'!O65</f>
        <v>0</v>
      </c>
      <c r="M83" s="24">
        <f>'AEO 2023 Table 36 Raw'!P65</f>
        <v>0</v>
      </c>
      <c r="N83" s="24">
        <f>'AEO 2023 Table 36 Raw'!Q65</f>
        <v>0</v>
      </c>
      <c r="O83" s="24">
        <f>'AEO 2023 Table 36 Raw'!R65</f>
        <v>0</v>
      </c>
      <c r="P83" s="24">
        <f>'AEO 2023 Table 36 Raw'!S65</f>
        <v>0</v>
      </c>
      <c r="Q83" s="24">
        <f>'AEO 2023 Table 36 Raw'!T65</f>
        <v>0</v>
      </c>
      <c r="R83" s="24">
        <f>'AEO 2023 Table 36 Raw'!U65</f>
        <v>0</v>
      </c>
      <c r="S83" s="24">
        <f>'AEO 2023 Table 36 Raw'!V65</f>
        <v>0</v>
      </c>
      <c r="T83" s="24">
        <f>'AEO 2023 Table 36 Raw'!W65</f>
        <v>0</v>
      </c>
      <c r="U83" s="24">
        <f>'AEO 2023 Table 36 Raw'!X65</f>
        <v>0</v>
      </c>
      <c r="V83" s="24">
        <f>'AEO 2023 Table 36 Raw'!Y65</f>
        <v>0</v>
      </c>
      <c r="W83" s="24">
        <f>'AEO 2023 Table 36 Raw'!Z65</f>
        <v>0</v>
      </c>
      <c r="X83" s="24">
        <f>'AEO 2023 Table 36 Raw'!AA65</f>
        <v>0</v>
      </c>
      <c r="Y83" s="24">
        <f>'AEO 2023 Table 36 Raw'!AB65</f>
        <v>0</v>
      </c>
      <c r="Z83" s="24">
        <f>'AEO 2023 Table 36 Raw'!AC65</f>
        <v>0</v>
      </c>
      <c r="AA83" s="24">
        <f>'AEO 2023 Table 36 Raw'!AD65</f>
        <v>0</v>
      </c>
      <c r="AB83" s="24">
        <f>'AEO 2023 Table 36 Raw'!AE65</f>
        <v>0</v>
      </c>
      <c r="AC83" s="24">
        <f>'AEO 2023 Table 36 Raw'!AF65</f>
        <v>0</v>
      </c>
      <c r="AD83" s="24">
        <f>'AEO 2023 Table 36 Raw'!AG65</f>
        <v>0</v>
      </c>
      <c r="AE83" s="24">
        <f>'AEO 2023 Table 36 Raw'!AH65</f>
        <v>0</v>
      </c>
      <c r="AF83" s="29" t="str">
        <f>'AEO 2023 Table 36 Raw'!AI65</f>
        <v>- -</v>
      </c>
    </row>
    <row r="84" spans="1:32" ht="15" customHeight="1">
      <c r="A84" s="18" t="s">
        <v>357</v>
      </c>
      <c r="B84" s="21" t="s">
        <v>346</v>
      </c>
      <c r="C84" s="24">
        <f>'AEO 2023 Table 36 Raw'!F66</f>
        <v>0</v>
      </c>
      <c r="D84" s="24">
        <f>'AEO 2023 Table 36 Raw'!G66</f>
        <v>0</v>
      </c>
      <c r="E84" s="24">
        <f>'AEO 2023 Table 36 Raw'!H66</f>
        <v>0</v>
      </c>
      <c r="F84" s="24">
        <f>'AEO 2023 Table 36 Raw'!I66</f>
        <v>0</v>
      </c>
      <c r="G84" s="24">
        <f>'AEO 2023 Table 36 Raw'!J66</f>
        <v>0</v>
      </c>
      <c r="H84" s="24">
        <f>'AEO 2023 Table 36 Raw'!K66</f>
        <v>0</v>
      </c>
      <c r="I84" s="24">
        <f>'AEO 2023 Table 36 Raw'!L66</f>
        <v>0</v>
      </c>
      <c r="J84" s="24">
        <f>'AEO 2023 Table 36 Raw'!M66</f>
        <v>0</v>
      </c>
      <c r="K84" s="24">
        <f>'AEO 2023 Table 36 Raw'!N66</f>
        <v>0</v>
      </c>
      <c r="L84" s="24">
        <f>'AEO 2023 Table 36 Raw'!O66</f>
        <v>0</v>
      </c>
      <c r="M84" s="24">
        <f>'AEO 2023 Table 36 Raw'!P66</f>
        <v>0</v>
      </c>
      <c r="N84" s="24">
        <f>'AEO 2023 Table 36 Raw'!Q66</f>
        <v>0</v>
      </c>
      <c r="O84" s="24">
        <f>'AEO 2023 Table 36 Raw'!R66</f>
        <v>0</v>
      </c>
      <c r="P84" s="24">
        <f>'AEO 2023 Table 36 Raw'!S66</f>
        <v>0</v>
      </c>
      <c r="Q84" s="24">
        <f>'AEO 2023 Table 36 Raw'!T66</f>
        <v>0</v>
      </c>
      <c r="R84" s="24">
        <f>'AEO 2023 Table 36 Raw'!U66</f>
        <v>0</v>
      </c>
      <c r="S84" s="24">
        <f>'AEO 2023 Table 36 Raw'!V66</f>
        <v>0</v>
      </c>
      <c r="T84" s="24">
        <f>'AEO 2023 Table 36 Raw'!W66</f>
        <v>0</v>
      </c>
      <c r="U84" s="24">
        <f>'AEO 2023 Table 36 Raw'!X66</f>
        <v>0</v>
      </c>
      <c r="V84" s="24">
        <f>'AEO 2023 Table 36 Raw'!Y66</f>
        <v>0</v>
      </c>
      <c r="W84" s="24">
        <f>'AEO 2023 Table 36 Raw'!Z66</f>
        <v>0</v>
      </c>
      <c r="X84" s="24">
        <f>'AEO 2023 Table 36 Raw'!AA66</f>
        <v>0</v>
      </c>
      <c r="Y84" s="24">
        <f>'AEO 2023 Table 36 Raw'!AB66</f>
        <v>0</v>
      </c>
      <c r="Z84" s="24">
        <f>'AEO 2023 Table 36 Raw'!AC66</f>
        <v>0</v>
      </c>
      <c r="AA84" s="24">
        <f>'AEO 2023 Table 36 Raw'!AD66</f>
        <v>0</v>
      </c>
      <c r="AB84" s="24">
        <f>'AEO 2023 Table 36 Raw'!AE66</f>
        <v>0</v>
      </c>
      <c r="AC84" s="24">
        <f>'AEO 2023 Table 36 Raw'!AF66</f>
        <v>0</v>
      </c>
      <c r="AD84" s="24">
        <f>'AEO 2023 Table 36 Raw'!AG66</f>
        <v>0</v>
      </c>
      <c r="AE84" s="24">
        <f>'AEO 2023 Table 36 Raw'!AH66</f>
        <v>0</v>
      </c>
      <c r="AF84" s="29" t="str">
        <f>'AEO 2023 Table 36 Raw'!AI66</f>
        <v>- -</v>
      </c>
    </row>
    <row r="85" spans="1:32" ht="15" customHeight="1">
      <c r="A85" s="18" t="s">
        <v>358</v>
      </c>
      <c r="B85" s="21" t="s">
        <v>348</v>
      </c>
      <c r="C85" s="24">
        <f>'AEO 2023 Table 36 Raw'!F67</f>
        <v>0</v>
      </c>
      <c r="D85" s="24">
        <f>'AEO 2023 Table 36 Raw'!G67</f>
        <v>0</v>
      </c>
      <c r="E85" s="24">
        <f>'AEO 2023 Table 36 Raw'!H67</f>
        <v>0</v>
      </c>
      <c r="F85" s="24">
        <f>'AEO 2023 Table 36 Raw'!I67</f>
        <v>0</v>
      </c>
      <c r="G85" s="24">
        <f>'AEO 2023 Table 36 Raw'!J67</f>
        <v>0</v>
      </c>
      <c r="H85" s="24">
        <f>'AEO 2023 Table 36 Raw'!K67</f>
        <v>0</v>
      </c>
      <c r="I85" s="24">
        <f>'AEO 2023 Table 36 Raw'!L67</f>
        <v>0</v>
      </c>
      <c r="J85" s="24">
        <f>'AEO 2023 Table 36 Raw'!M67</f>
        <v>0</v>
      </c>
      <c r="K85" s="24">
        <f>'AEO 2023 Table 36 Raw'!N67</f>
        <v>0</v>
      </c>
      <c r="L85" s="24">
        <f>'AEO 2023 Table 36 Raw'!O67</f>
        <v>0</v>
      </c>
      <c r="M85" s="24">
        <f>'AEO 2023 Table 36 Raw'!P67</f>
        <v>0</v>
      </c>
      <c r="N85" s="24">
        <f>'AEO 2023 Table 36 Raw'!Q67</f>
        <v>0</v>
      </c>
      <c r="O85" s="24">
        <f>'AEO 2023 Table 36 Raw'!R67</f>
        <v>0</v>
      </c>
      <c r="P85" s="24">
        <f>'AEO 2023 Table 36 Raw'!S67</f>
        <v>0</v>
      </c>
      <c r="Q85" s="24">
        <f>'AEO 2023 Table 36 Raw'!T67</f>
        <v>0</v>
      </c>
      <c r="R85" s="24">
        <f>'AEO 2023 Table 36 Raw'!U67</f>
        <v>0</v>
      </c>
      <c r="S85" s="24">
        <f>'AEO 2023 Table 36 Raw'!V67</f>
        <v>0</v>
      </c>
      <c r="T85" s="24">
        <f>'AEO 2023 Table 36 Raw'!W67</f>
        <v>0</v>
      </c>
      <c r="U85" s="24">
        <f>'AEO 2023 Table 36 Raw'!X67</f>
        <v>0</v>
      </c>
      <c r="V85" s="24">
        <f>'AEO 2023 Table 36 Raw'!Y67</f>
        <v>0</v>
      </c>
      <c r="W85" s="24">
        <f>'AEO 2023 Table 36 Raw'!Z67</f>
        <v>0</v>
      </c>
      <c r="X85" s="24">
        <f>'AEO 2023 Table 36 Raw'!AA67</f>
        <v>0</v>
      </c>
      <c r="Y85" s="24">
        <f>'AEO 2023 Table 36 Raw'!AB67</f>
        <v>0</v>
      </c>
      <c r="Z85" s="24">
        <f>'AEO 2023 Table 36 Raw'!AC67</f>
        <v>0</v>
      </c>
      <c r="AA85" s="24">
        <f>'AEO 2023 Table 36 Raw'!AD67</f>
        <v>0</v>
      </c>
      <c r="AB85" s="24">
        <f>'AEO 2023 Table 36 Raw'!AE67</f>
        <v>0</v>
      </c>
      <c r="AC85" s="24">
        <f>'AEO 2023 Table 36 Raw'!AF67</f>
        <v>0</v>
      </c>
      <c r="AD85" s="24">
        <f>'AEO 2023 Table 36 Raw'!AG67</f>
        <v>0</v>
      </c>
      <c r="AE85" s="24">
        <f>'AEO 2023 Table 36 Raw'!AH67</f>
        <v>0</v>
      </c>
      <c r="AF85" s="29" t="str">
        <f>'AEO 2023 Table 36 Raw'!AI67</f>
        <v>- -</v>
      </c>
    </row>
    <row r="86" spans="1:32" ht="15" customHeight="1">
      <c r="A86" s="18" t="s">
        <v>359</v>
      </c>
      <c r="B86" s="21" t="s">
        <v>350</v>
      </c>
      <c r="C86" s="24">
        <f>'AEO 2023 Table 36 Raw'!F68</f>
        <v>0</v>
      </c>
      <c r="D86" s="24">
        <f>'AEO 2023 Table 36 Raw'!G68</f>
        <v>0</v>
      </c>
      <c r="E86" s="24">
        <f>'AEO 2023 Table 36 Raw'!H68</f>
        <v>0</v>
      </c>
      <c r="F86" s="24">
        <f>'AEO 2023 Table 36 Raw'!I68</f>
        <v>0</v>
      </c>
      <c r="G86" s="24">
        <f>'AEO 2023 Table 36 Raw'!J68</f>
        <v>0</v>
      </c>
      <c r="H86" s="24">
        <f>'AEO 2023 Table 36 Raw'!K68</f>
        <v>0</v>
      </c>
      <c r="I86" s="24">
        <f>'AEO 2023 Table 36 Raw'!L68</f>
        <v>0</v>
      </c>
      <c r="J86" s="24">
        <f>'AEO 2023 Table 36 Raw'!M68</f>
        <v>0</v>
      </c>
      <c r="K86" s="24">
        <f>'AEO 2023 Table 36 Raw'!N68</f>
        <v>0</v>
      </c>
      <c r="L86" s="24">
        <f>'AEO 2023 Table 36 Raw'!O68</f>
        <v>0</v>
      </c>
      <c r="M86" s="24">
        <f>'AEO 2023 Table 36 Raw'!P68</f>
        <v>0</v>
      </c>
      <c r="N86" s="24">
        <f>'AEO 2023 Table 36 Raw'!Q68</f>
        <v>0</v>
      </c>
      <c r="O86" s="24">
        <f>'AEO 2023 Table 36 Raw'!R68</f>
        <v>0</v>
      </c>
      <c r="P86" s="24">
        <f>'AEO 2023 Table 36 Raw'!S68</f>
        <v>0</v>
      </c>
      <c r="Q86" s="24">
        <f>'AEO 2023 Table 36 Raw'!T68</f>
        <v>0</v>
      </c>
      <c r="R86" s="24">
        <f>'AEO 2023 Table 36 Raw'!U68</f>
        <v>0</v>
      </c>
      <c r="S86" s="24">
        <f>'AEO 2023 Table 36 Raw'!V68</f>
        <v>0</v>
      </c>
      <c r="T86" s="24">
        <f>'AEO 2023 Table 36 Raw'!W68</f>
        <v>0</v>
      </c>
      <c r="U86" s="24">
        <f>'AEO 2023 Table 36 Raw'!X68</f>
        <v>0</v>
      </c>
      <c r="V86" s="24">
        <f>'AEO 2023 Table 36 Raw'!Y68</f>
        <v>0</v>
      </c>
      <c r="W86" s="24">
        <f>'AEO 2023 Table 36 Raw'!Z68</f>
        <v>0</v>
      </c>
      <c r="X86" s="24">
        <f>'AEO 2023 Table 36 Raw'!AA68</f>
        <v>0</v>
      </c>
      <c r="Y86" s="24">
        <f>'AEO 2023 Table 36 Raw'!AB68</f>
        <v>0</v>
      </c>
      <c r="Z86" s="24">
        <f>'AEO 2023 Table 36 Raw'!AC68</f>
        <v>0</v>
      </c>
      <c r="AA86" s="24">
        <f>'AEO 2023 Table 36 Raw'!AD68</f>
        <v>0</v>
      </c>
      <c r="AB86" s="24">
        <f>'AEO 2023 Table 36 Raw'!AE68</f>
        <v>0</v>
      </c>
      <c r="AC86" s="24">
        <f>'AEO 2023 Table 36 Raw'!AF68</f>
        <v>0</v>
      </c>
      <c r="AD86" s="24">
        <f>'AEO 2023 Table 36 Raw'!AG68</f>
        <v>0</v>
      </c>
      <c r="AE86" s="24">
        <f>'AEO 2023 Table 36 Raw'!AH68</f>
        <v>0</v>
      </c>
      <c r="AF86" s="29" t="str">
        <f>'AEO 2023 Table 36 Raw'!AI68</f>
        <v>- -</v>
      </c>
    </row>
    <row r="87" spans="1:32" ht="15" customHeight="1">
      <c r="A87" s="18" t="s">
        <v>360</v>
      </c>
      <c r="B87" s="21" t="s">
        <v>361</v>
      </c>
      <c r="C87" s="24">
        <f>'AEO 2023 Table 36 Raw'!F69</f>
        <v>93.831894000000005</v>
      </c>
      <c r="D87" s="24">
        <f>'AEO 2023 Table 36 Raw'!G69</f>
        <v>98.450194999999994</v>
      </c>
      <c r="E87" s="24">
        <f>'AEO 2023 Table 36 Raw'!H69</f>
        <v>99.158546000000001</v>
      </c>
      <c r="F87" s="24">
        <f>'AEO 2023 Table 36 Raw'!I69</f>
        <v>98.571014000000005</v>
      </c>
      <c r="G87" s="24">
        <f>'AEO 2023 Table 36 Raw'!J69</f>
        <v>97.556511</v>
      </c>
      <c r="H87" s="24">
        <f>'AEO 2023 Table 36 Raw'!K69</f>
        <v>96.613395999999995</v>
      </c>
      <c r="I87" s="24">
        <f>'AEO 2023 Table 36 Raw'!L69</f>
        <v>95.691032000000007</v>
      </c>
      <c r="J87" s="24">
        <f>'AEO 2023 Table 36 Raw'!M69</f>
        <v>94.739861000000005</v>
      </c>
      <c r="K87" s="24">
        <f>'AEO 2023 Table 36 Raw'!N69</f>
        <v>93.777550000000005</v>
      </c>
      <c r="L87" s="24">
        <f>'AEO 2023 Table 36 Raw'!O69</f>
        <v>92.791618</v>
      </c>
      <c r="M87" s="24">
        <f>'AEO 2023 Table 36 Raw'!P69</f>
        <v>91.866196000000002</v>
      </c>
      <c r="N87" s="24">
        <f>'AEO 2023 Table 36 Raw'!Q69</f>
        <v>91.598052999999993</v>
      </c>
      <c r="O87" s="24">
        <f>'AEO 2023 Table 36 Raw'!R69</f>
        <v>91.112289000000004</v>
      </c>
      <c r="P87" s="24">
        <f>'AEO 2023 Table 36 Raw'!S69</f>
        <v>90.708870000000005</v>
      </c>
      <c r="Q87" s="24">
        <f>'AEO 2023 Table 36 Raw'!T69</f>
        <v>90.372649999999993</v>
      </c>
      <c r="R87" s="24">
        <f>'AEO 2023 Table 36 Raw'!U69</f>
        <v>90.121039999999994</v>
      </c>
      <c r="S87" s="24">
        <f>'AEO 2023 Table 36 Raw'!V69</f>
        <v>89.542336000000006</v>
      </c>
      <c r="T87" s="24">
        <f>'AEO 2023 Table 36 Raw'!W69</f>
        <v>88.885452000000001</v>
      </c>
      <c r="U87" s="24">
        <f>'AEO 2023 Table 36 Raw'!X69</f>
        <v>88.194603000000001</v>
      </c>
      <c r="V87" s="24">
        <f>'AEO 2023 Table 36 Raw'!Y69</f>
        <v>87.485648999999995</v>
      </c>
      <c r="W87" s="24">
        <f>'AEO 2023 Table 36 Raw'!Z69</f>
        <v>86.702445999999995</v>
      </c>
      <c r="X87" s="24">
        <f>'AEO 2023 Table 36 Raw'!AA69</f>
        <v>85.868294000000006</v>
      </c>
      <c r="Y87" s="24">
        <f>'AEO 2023 Table 36 Raw'!AB69</f>
        <v>84.998230000000007</v>
      </c>
      <c r="Z87" s="24">
        <f>'AEO 2023 Table 36 Raw'!AC69</f>
        <v>84.089134000000001</v>
      </c>
      <c r="AA87" s="24">
        <f>'AEO 2023 Table 36 Raw'!AD69</f>
        <v>83.076744000000005</v>
      </c>
      <c r="AB87" s="24">
        <f>'AEO 2023 Table 36 Raw'!AE69</f>
        <v>82.045021000000006</v>
      </c>
      <c r="AC87" s="24">
        <f>'AEO 2023 Table 36 Raw'!AF69</f>
        <v>80.986785999999995</v>
      </c>
      <c r="AD87" s="24">
        <f>'AEO 2023 Table 36 Raw'!AG69</f>
        <v>79.893326000000002</v>
      </c>
      <c r="AE87" s="24">
        <f>'AEO 2023 Table 36 Raw'!AH69</f>
        <v>78.783607000000003</v>
      </c>
      <c r="AF87" s="29">
        <f>'AEO 2023 Table 36 Raw'!AI69</f>
        <v>-6.0000000000000001E-3</v>
      </c>
    </row>
    <row r="88" spans="1:32" ht="15" customHeight="1">
      <c r="A88" s="18" t="s">
        <v>362</v>
      </c>
      <c r="B88" s="21" t="s">
        <v>338</v>
      </c>
      <c r="C88" s="24">
        <f>'AEO 2023 Table 36 Raw'!F70</f>
        <v>9.4941010000000006</v>
      </c>
      <c r="D88" s="24">
        <f>'AEO 2023 Table 36 Raw'!G70</f>
        <v>9.9847319999999993</v>
      </c>
      <c r="E88" s="24">
        <f>'AEO 2023 Table 36 Raw'!H70</f>
        <v>10.080206</v>
      </c>
      <c r="F88" s="24">
        <f>'AEO 2023 Table 36 Raw'!I70</f>
        <v>10.044081</v>
      </c>
      <c r="G88" s="24">
        <f>'AEO 2023 Table 36 Raw'!J70</f>
        <v>9.9641859999999998</v>
      </c>
      <c r="H88" s="24">
        <f>'AEO 2023 Table 36 Raw'!K70</f>
        <v>9.8772070000000003</v>
      </c>
      <c r="I88" s="24">
        <f>'AEO 2023 Table 36 Raw'!L70</f>
        <v>9.7906929999999992</v>
      </c>
      <c r="J88" s="24">
        <f>'AEO 2023 Table 36 Raw'!M70</f>
        <v>9.7035470000000004</v>
      </c>
      <c r="K88" s="24">
        <f>'AEO 2023 Table 36 Raw'!N70</f>
        <v>9.6156869999999994</v>
      </c>
      <c r="L88" s="24">
        <f>'AEO 2023 Table 36 Raw'!O70</f>
        <v>9.5264279999999992</v>
      </c>
      <c r="M88" s="24">
        <f>'AEO 2023 Table 36 Raw'!P70</f>
        <v>9.4439309999999992</v>
      </c>
      <c r="N88" s="24">
        <f>'AEO 2023 Table 36 Raw'!Q70</f>
        <v>9.3760180000000002</v>
      </c>
      <c r="O88" s="24">
        <f>'AEO 2023 Table 36 Raw'!R70</f>
        <v>9.3193699999999993</v>
      </c>
      <c r="P88" s="24">
        <f>'AEO 2023 Table 36 Raw'!S70</f>
        <v>9.2722660000000001</v>
      </c>
      <c r="Q88" s="24">
        <f>'AEO 2023 Table 36 Raw'!T70</f>
        <v>9.2344460000000002</v>
      </c>
      <c r="R88" s="24">
        <f>'AEO 2023 Table 36 Raw'!U70</f>
        <v>9.2065929999999998</v>
      </c>
      <c r="S88" s="24">
        <f>'AEO 2023 Table 36 Raw'!V70</f>
        <v>9.1597399999999993</v>
      </c>
      <c r="T88" s="24">
        <f>'AEO 2023 Table 36 Raw'!W70</f>
        <v>9.1076730000000001</v>
      </c>
      <c r="U88" s="24">
        <f>'AEO 2023 Table 36 Raw'!X70</f>
        <v>9.0532129999999995</v>
      </c>
      <c r="V88" s="24">
        <f>'AEO 2023 Table 36 Raw'!Y70</f>
        <v>8.9974880000000006</v>
      </c>
      <c r="W88" s="24">
        <f>'AEO 2023 Table 36 Raw'!Z70</f>
        <v>8.9384180000000004</v>
      </c>
      <c r="X88" s="24">
        <f>'AEO 2023 Table 36 Raw'!AA70</f>
        <v>8.8755819999999996</v>
      </c>
      <c r="Y88" s="24">
        <f>'AEO 2023 Table 36 Raw'!AB70</f>
        <v>8.8098559999999999</v>
      </c>
      <c r="Z88" s="24">
        <f>'AEO 2023 Table 36 Raw'!AC70</f>
        <v>8.7419480000000007</v>
      </c>
      <c r="AA88" s="24">
        <f>'AEO 2023 Table 36 Raw'!AD70</f>
        <v>8.6711120000000008</v>
      </c>
      <c r="AB88" s="24">
        <f>'AEO 2023 Table 36 Raw'!AE70</f>
        <v>8.599361</v>
      </c>
      <c r="AC88" s="24">
        <f>'AEO 2023 Table 36 Raw'!AF70</f>
        <v>8.5273749999999993</v>
      </c>
      <c r="AD88" s="24">
        <f>'AEO 2023 Table 36 Raw'!AG70</f>
        <v>8.4545519999999996</v>
      </c>
      <c r="AE88" s="24">
        <f>'AEO 2023 Table 36 Raw'!AH70</f>
        <v>8.3815580000000001</v>
      </c>
      <c r="AF88" s="29">
        <f>'AEO 2023 Table 36 Raw'!AI70</f>
        <v>-4.0000000000000001E-3</v>
      </c>
    </row>
    <row r="89" spans="1:32" ht="15" customHeight="1">
      <c r="A89" s="18" t="s">
        <v>363</v>
      </c>
      <c r="B89" s="21" t="s">
        <v>340</v>
      </c>
      <c r="C89" s="24">
        <f>'AEO 2023 Table 36 Raw'!F71</f>
        <v>0</v>
      </c>
      <c r="D89" s="24">
        <f>'AEO 2023 Table 36 Raw'!G71</f>
        <v>0</v>
      </c>
      <c r="E89" s="24">
        <f>'AEO 2023 Table 36 Raw'!H71</f>
        <v>0</v>
      </c>
      <c r="F89" s="24">
        <f>'AEO 2023 Table 36 Raw'!I71</f>
        <v>0</v>
      </c>
      <c r="G89" s="24">
        <f>'AEO 2023 Table 36 Raw'!J71</f>
        <v>0</v>
      </c>
      <c r="H89" s="24">
        <f>'AEO 2023 Table 36 Raw'!K71</f>
        <v>0</v>
      </c>
      <c r="I89" s="24">
        <f>'AEO 2023 Table 36 Raw'!L71</f>
        <v>0</v>
      </c>
      <c r="J89" s="24">
        <f>'AEO 2023 Table 36 Raw'!M71</f>
        <v>0</v>
      </c>
      <c r="K89" s="24">
        <f>'AEO 2023 Table 36 Raw'!N71</f>
        <v>0</v>
      </c>
      <c r="L89" s="24">
        <f>'AEO 2023 Table 36 Raw'!O71</f>
        <v>0</v>
      </c>
      <c r="M89" s="24">
        <f>'AEO 2023 Table 36 Raw'!P71</f>
        <v>0</v>
      </c>
      <c r="N89" s="24">
        <f>'AEO 2023 Table 36 Raw'!Q71</f>
        <v>0</v>
      </c>
      <c r="O89" s="24">
        <f>'AEO 2023 Table 36 Raw'!R71</f>
        <v>0</v>
      </c>
      <c r="P89" s="24">
        <f>'AEO 2023 Table 36 Raw'!S71</f>
        <v>0</v>
      </c>
      <c r="Q89" s="24">
        <f>'AEO 2023 Table 36 Raw'!T71</f>
        <v>0</v>
      </c>
      <c r="R89" s="24">
        <f>'AEO 2023 Table 36 Raw'!U71</f>
        <v>0</v>
      </c>
      <c r="S89" s="24">
        <f>'AEO 2023 Table 36 Raw'!V71</f>
        <v>0</v>
      </c>
      <c r="T89" s="24">
        <f>'AEO 2023 Table 36 Raw'!W71</f>
        <v>0</v>
      </c>
      <c r="U89" s="24">
        <f>'AEO 2023 Table 36 Raw'!X71</f>
        <v>0</v>
      </c>
      <c r="V89" s="24">
        <f>'AEO 2023 Table 36 Raw'!Y71</f>
        <v>0</v>
      </c>
      <c r="W89" s="24">
        <f>'AEO 2023 Table 36 Raw'!Z71</f>
        <v>0</v>
      </c>
      <c r="X89" s="24">
        <f>'AEO 2023 Table 36 Raw'!AA71</f>
        <v>0</v>
      </c>
      <c r="Y89" s="24">
        <f>'AEO 2023 Table 36 Raw'!AB71</f>
        <v>0</v>
      </c>
      <c r="Z89" s="24">
        <f>'AEO 2023 Table 36 Raw'!AC71</f>
        <v>0</v>
      </c>
      <c r="AA89" s="24">
        <f>'AEO 2023 Table 36 Raw'!AD71</f>
        <v>0</v>
      </c>
      <c r="AB89" s="24">
        <f>'AEO 2023 Table 36 Raw'!AE71</f>
        <v>0</v>
      </c>
      <c r="AC89" s="24">
        <f>'AEO 2023 Table 36 Raw'!AF71</f>
        <v>0</v>
      </c>
      <c r="AD89" s="24">
        <f>'AEO 2023 Table 36 Raw'!AG71</f>
        <v>0</v>
      </c>
      <c r="AE89" s="24">
        <f>'AEO 2023 Table 36 Raw'!AH71</f>
        <v>0</v>
      </c>
      <c r="AF89" s="29" t="str">
        <f>'AEO 2023 Table 36 Raw'!AI71</f>
        <v>- -</v>
      </c>
    </row>
    <row r="90" spans="1:32" s="83" customFormat="1" ht="15" customHeight="1">
      <c r="A90" s="85" t="s">
        <v>364</v>
      </c>
      <c r="B90" s="86" t="s">
        <v>342</v>
      </c>
      <c r="C90" s="87">
        <f>'AEO 2023 Table 36 Raw'!F72</f>
        <v>75.219893999999996</v>
      </c>
      <c r="D90" s="87">
        <f>'AEO 2023 Table 36 Raw'!G72</f>
        <v>78.605819999999994</v>
      </c>
      <c r="E90" s="87">
        <f>'AEO 2023 Table 36 Raw'!H72</f>
        <v>78.857498000000007</v>
      </c>
      <c r="F90" s="87">
        <f>'AEO 2023 Table 36 Raw'!I72</f>
        <v>78.076453999999998</v>
      </c>
      <c r="G90" s="87">
        <f>'AEO 2023 Table 36 Raw'!J72</f>
        <v>76.964111000000003</v>
      </c>
      <c r="H90" s="87">
        <f>'AEO 2023 Table 36 Raw'!K72</f>
        <v>76.079750000000004</v>
      </c>
      <c r="I90" s="87">
        <f>'AEO 2023 Table 36 Raw'!L72</f>
        <v>75.233322000000001</v>
      </c>
      <c r="J90" s="87">
        <f>'AEO 2023 Table 36 Raw'!M72</f>
        <v>74.338866999999993</v>
      </c>
      <c r="K90" s="87">
        <f>'AEO 2023 Table 36 Raw'!N72</f>
        <v>73.430572999999995</v>
      </c>
      <c r="L90" s="87">
        <f>'AEO 2023 Table 36 Raw'!O72</f>
        <v>72.491912999999997</v>
      </c>
      <c r="M90" s="87">
        <f>'AEO 2023 Table 36 Raw'!P72</f>
        <v>71.594031999999999</v>
      </c>
      <c r="N90" s="87">
        <f>'AEO 2023 Table 36 Raw'!Q72</f>
        <v>71.837708000000006</v>
      </c>
      <c r="O90" s="87">
        <f>'AEO 2023 Table 36 Raw'!R72</f>
        <v>71.512496999999996</v>
      </c>
      <c r="P90" s="87">
        <f>'AEO 2023 Table 36 Raw'!S72</f>
        <v>71.239052000000001</v>
      </c>
      <c r="Q90" s="87">
        <f>'AEO 2023 Table 36 Raw'!T72</f>
        <v>70.989593999999997</v>
      </c>
      <c r="R90" s="87">
        <f>'AEO 2023 Table 36 Raw'!U72</f>
        <v>70.790924000000004</v>
      </c>
      <c r="S90" s="87">
        <f>'AEO 2023 Table 36 Raw'!V72</f>
        <v>70.163764999999998</v>
      </c>
      <c r="T90" s="87">
        <f>'AEO 2023 Table 36 Raw'!W72</f>
        <v>69.442642000000006</v>
      </c>
      <c r="U90" s="87">
        <f>'AEO 2023 Table 36 Raw'!X72</f>
        <v>68.681884999999994</v>
      </c>
      <c r="V90" s="87">
        <f>'AEO 2023 Table 36 Raw'!Y72</f>
        <v>67.900276000000005</v>
      </c>
      <c r="W90" s="87">
        <f>'AEO 2023 Table 36 Raw'!Z72</f>
        <v>67.010056000000006</v>
      </c>
      <c r="X90" s="87">
        <f>'AEO 2023 Table 36 Raw'!AA72</f>
        <v>66.063095000000004</v>
      </c>
      <c r="Y90" s="87">
        <f>'AEO 2023 Table 36 Raw'!AB72</f>
        <v>65.078491</v>
      </c>
      <c r="Z90" s="87">
        <f>'AEO 2023 Table 36 Raw'!AC72</f>
        <v>64.041968999999995</v>
      </c>
      <c r="AA90" s="87">
        <f>'AEO 2023 Table 36 Raw'!AD72</f>
        <v>62.83419</v>
      </c>
      <c r="AB90" s="87">
        <f>'AEO 2023 Table 36 Raw'!AE72</f>
        <v>61.602939999999997</v>
      </c>
      <c r="AC90" s="87">
        <f>'AEO 2023 Table 36 Raw'!AF72</f>
        <v>60.321541000000003</v>
      </c>
      <c r="AD90" s="87">
        <f>'AEO 2023 Table 36 Raw'!AG72</f>
        <v>58.979691000000003</v>
      </c>
      <c r="AE90" s="87">
        <f>'AEO 2023 Table 36 Raw'!AH72</f>
        <v>57.607379999999999</v>
      </c>
      <c r="AF90" s="88">
        <f>'AEO 2023 Table 36 Raw'!AI72</f>
        <v>-8.9999999999999993E-3</v>
      </c>
    </row>
    <row r="91" spans="1:32" ht="15" customHeight="1">
      <c r="A91" s="18" t="s">
        <v>365</v>
      </c>
      <c r="B91" s="21" t="s">
        <v>344</v>
      </c>
      <c r="C91" s="24">
        <f>'AEO 2023 Table 36 Raw'!F73</f>
        <v>0.92408599999999996</v>
      </c>
      <c r="D91" s="24">
        <f>'AEO 2023 Table 36 Raw'!G73</f>
        <v>1.0108280000000001</v>
      </c>
      <c r="E91" s="24">
        <f>'AEO 2023 Table 36 Raw'!H73</f>
        <v>1.0536110000000001</v>
      </c>
      <c r="F91" s="24">
        <f>'AEO 2023 Table 36 Raw'!I73</f>
        <v>1.083197</v>
      </c>
      <c r="G91" s="24">
        <f>'AEO 2023 Table 36 Raw'!J73</f>
        <v>1.1043369999999999</v>
      </c>
      <c r="H91" s="24">
        <f>'AEO 2023 Table 36 Raw'!K73</f>
        <v>1.1235299999999999</v>
      </c>
      <c r="I91" s="24">
        <f>'AEO 2023 Table 36 Raw'!L73</f>
        <v>1.1408499999999999</v>
      </c>
      <c r="J91" s="24">
        <f>'AEO 2023 Table 36 Raw'!M73</f>
        <v>1.1560729999999999</v>
      </c>
      <c r="K91" s="24">
        <f>'AEO 2023 Table 36 Raw'!N73</f>
        <v>1.171249</v>
      </c>
      <c r="L91" s="24">
        <f>'AEO 2023 Table 36 Raw'!O73</f>
        <v>1.185954</v>
      </c>
      <c r="M91" s="24">
        <f>'AEO 2023 Table 36 Raw'!P73</f>
        <v>1.2014899999999999</v>
      </c>
      <c r="N91" s="24">
        <f>'AEO 2023 Table 36 Raw'!Q73</f>
        <v>1.2187190000000001</v>
      </c>
      <c r="O91" s="24">
        <f>'AEO 2023 Table 36 Raw'!R73</f>
        <v>1.237236</v>
      </c>
      <c r="P91" s="24">
        <f>'AEO 2023 Table 36 Raw'!S73</f>
        <v>1.256583</v>
      </c>
      <c r="Q91" s="24">
        <f>'AEO 2023 Table 36 Raw'!T73</f>
        <v>1.277304</v>
      </c>
      <c r="R91" s="24">
        <f>'AEO 2023 Table 36 Raw'!U73</f>
        <v>1.299385</v>
      </c>
      <c r="S91" s="24">
        <f>'AEO 2023 Table 36 Raw'!V73</f>
        <v>1.318905</v>
      </c>
      <c r="T91" s="24">
        <f>'AEO 2023 Table 36 Raw'!W73</f>
        <v>1.3373429999999999</v>
      </c>
      <c r="U91" s="24">
        <f>'AEO 2023 Table 36 Raw'!X73</f>
        <v>1.355548</v>
      </c>
      <c r="V91" s="24">
        <f>'AEO 2023 Table 36 Raw'!Y73</f>
        <v>1.373292</v>
      </c>
      <c r="W91" s="24">
        <f>'AEO 2023 Table 36 Raw'!Z73</f>
        <v>1.390433</v>
      </c>
      <c r="X91" s="24">
        <f>'AEO 2023 Table 36 Raw'!AA73</f>
        <v>1.4067000000000001</v>
      </c>
      <c r="Y91" s="24">
        <f>'AEO 2023 Table 36 Raw'!AB73</f>
        <v>1.4226700000000001</v>
      </c>
      <c r="Z91" s="24">
        <f>'AEO 2023 Table 36 Raw'!AC73</f>
        <v>1.4381809999999999</v>
      </c>
      <c r="AA91" s="24">
        <f>'AEO 2023 Table 36 Raw'!AD73</f>
        <v>1.4527399999999999</v>
      </c>
      <c r="AB91" s="24">
        <f>'AEO 2023 Table 36 Raw'!AE73</f>
        <v>1.4629570000000001</v>
      </c>
      <c r="AC91" s="24">
        <f>'AEO 2023 Table 36 Raw'!AF73</f>
        <v>1.4730529999999999</v>
      </c>
      <c r="AD91" s="24">
        <f>'AEO 2023 Table 36 Raw'!AG73</f>
        <v>1.482996</v>
      </c>
      <c r="AE91" s="24">
        <f>'AEO 2023 Table 36 Raw'!AH73</f>
        <v>1.4928939999999999</v>
      </c>
      <c r="AF91" s="29">
        <f>'AEO 2023 Table 36 Raw'!AI73</f>
        <v>1.7000000000000001E-2</v>
      </c>
    </row>
    <row r="92" spans="1:32" ht="15" customHeight="1">
      <c r="A92" s="18" t="s">
        <v>366</v>
      </c>
      <c r="B92" s="21" t="s">
        <v>346</v>
      </c>
      <c r="C92" s="24">
        <f>'AEO 2023 Table 36 Raw'!F74</f>
        <v>7.6215450000000002</v>
      </c>
      <c r="D92" s="24">
        <f>'AEO 2023 Table 36 Raw'!G74</f>
        <v>8.0154069999999997</v>
      </c>
      <c r="E92" s="24">
        <f>'AEO 2023 Table 36 Raw'!H74</f>
        <v>8.0920509999999997</v>
      </c>
      <c r="F92" s="24">
        <f>'AEO 2023 Table 36 Raw'!I74</f>
        <v>8.0630500000000005</v>
      </c>
      <c r="G92" s="24">
        <f>'AEO 2023 Table 36 Raw'!J74</f>
        <v>7.9989129999999999</v>
      </c>
      <c r="H92" s="24">
        <f>'AEO 2023 Table 36 Raw'!K74</f>
        <v>7.9290890000000003</v>
      </c>
      <c r="I92" s="24">
        <f>'AEO 2023 Table 36 Raw'!L74</f>
        <v>7.8596399999999997</v>
      </c>
      <c r="J92" s="24">
        <f>'AEO 2023 Table 36 Raw'!M74</f>
        <v>7.7896799999999997</v>
      </c>
      <c r="K92" s="24">
        <f>'AEO 2023 Table 36 Raw'!N74</f>
        <v>7.71915</v>
      </c>
      <c r="L92" s="24">
        <f>'AEO 2023 Table 36 Raw'!O74</f>
        <v>7.6474950000000002</v>
      </c>
      <c r="M92" s="24">
        <f>'AEO 2023 Table 36 Raw'!P74</f>
        <v>7.5812689999999998</v>
      </c>
      <c r="N92" s="24">
        <f>'AEO 2023 Table 36 Raw'!Q74</f>
        <v>7.5267520000000001</v>
      </c>
      <c r="O92" s="24">
        <f>'AEO 2023 Table 36 Raw'!R74</f>
        <v>7.4812770000000004</v>
      </c>
      <c r="P92" s="24">
        <f>'AEO 2023 Table 36 Raw'!S74</f>
        <v>7.4434630000000004</v>
      </c>
      <c r="Q92" s="24">
        <f>'AEO 2023 Table 36 Raw'!T74</f>
        <v>7.4131020000000003</v>
      </c>
      <c r="R92" s="24">
        <f>'AEO 2023 Table 36 Raw'!U74</f>
        <v>7.3907420000000004</v>
      </c>
      <c r="S92" s="24">
        <f>'AEO 2023 Table 36 Raw'!V74</f>
        <v>7.3531319999999996</v>
      </c>
      <c r="T92" s="24">
        <f>'AEO 2023 Table 36 Raw'!W74</f>
        <v>7.3113330000000003</v>
      </c>
      <c r="U92" s="24">
        <f>'AEO 2023 Table 36 Raw'!X74</f>
        <v>7.2676160000000003</v>
      </c>
      <c r="V92" s="24">
        <f>'AEO 2023 Table 36 Raw'!Y74</f>
        <v>7.22288</v>
      </c>
      <c r="W92" s="24">
        <f>'AEO 2023 Table 36 Raw'!Z74</f>
        <v>7.1754610000000003</v>
      </c>
      <c r="X92" s="24">
        <f>'AEO 2023 Table 36 Raw'!AA74</f>
        <v>7.125019</v>
      </c>
      <c r="Y92" s="24">
        <f>'AEO 2023 Table 36 Raw'!AB74</f>
        <v>7.0722560000000003</v>
      </c>
      <c r="Z92" s="24">
        <f>'AEO 2023 Table 36 Raw'!AC74</f>
        <v>7.017741</v>
      </c>
      <c r="AA92" s="24">
        <f>'AEO 2023 Table 36 Raw'!AD74</f>
        <v>6.960877</v>
      </c>
      <c r="AB92" s="24">
        <f>'AEO 2023 Table 36 Raw'!AE74</f>
        <v>6.9032780000000002</v>
      </c>
      <c r="AC92" s="24">
        <f>'AEO 2023 Table 36 Raw'!AF74</f>
        <v>6.8454899999999999</v>
      </c>
      <c r="AD92" s="24">
        <f>'AEO 2023 Table 36 Raw'!AG74</f>
        <v>6.7870299999999997</v>
      </c>
      <c r="AE92" s="24">
        <f>'AEO 2023 Table 36 Raw'!AH74</f>
        <v>6.7284329999999999</v>
      </c>
      <c r="AF92" s="29">
        <f>'AEO 2023 Table 36 Raw'!AI74</f>
        <v>-4.0000000000000001E-3</v>
      </c>
    </row>
    <row r="93" spans="1:32" ht="15" customHeight="1">
      <c r="A93" s="18" t="s">
        <v>367</v>
      </c>
      <c r="B93" s="21" t="s">
        <v>348</v>
      </c>
      <c r="C93" s="24">
        <f>'AEO 2023 Table 36 Raw'!F75</f>
        <v>0.57226500000000002</v>
      </c>
      <c r="D93" s="24">
        <f>'AEO 2023 Table 36 Raw'!G75</f>
        <v>0.83341600000000005</v>
      </c>
      <c r="E93" s="24">
        <f>'AEO 2023 Table 36 Raw'!H75</f>
        <v>1.075178</v>
      </c>
      <c r="F93" s="24">
        <f>'AEO 2023 Table 36 Raw'!I75</f>
        <v>1.30423</v>
      </c>
      <c r="G93" s="24">
        <f>'AEO 2023 Table 36 Raw'!J75</f>
        <v>1.524958</v>
      </c>
      <c r="H93" s="24">
        <f>'AEO 2023 Table 36 Raw'!K75</f>
        <v>1.603828</v>
      </c>
      <c r="I93" s="24">
        <f>'AEO 2023 Table 36 Raw'!L75</f>
        <v>1.6665300000000001</v>
      </c>
      <c r="J93" s="24">
        <f>'AEO 2023 Table 36 Raw'!M75</f>
        <v>1.7516910000000001</v>
      </c>
      <c r="K93" s="24">
        <f>'AEO 2023 Table 36 Raw'!N75</f>
        <v>1.8409</v>
      </c>
      <c r="L93" s="24">
        <f>'AEO 2023 Table 36 Raw'!O75</f>
        <v>1.9398230000000001</v>
      </c>
      <c r="M93" s="24">
        <f>'AEO 2023 Table 36 Raw'!P75</f>
        <v>2.045474</v>
      </c>
      <c r="N93" s="24">
        <f>'AEO 2023 Table 36 Raw'!Q75</f>
        <v>1.638865</v>
      </c>
      <c r="O93" s="24">
        <f>'AEO 2023 Table 36 Raw'!R75</f>
        <v>1.561909</v>
      </c>
      <c r="P93" s="24">
        <f>'AEO 2023 Table 36 Raw'!S75</f>
        <v>1.4974970000000001</v>
      </c>
      <c r="Q93" s="24">
        <f>'AEO 2023 Table 36 Raw'!T75</f>
        <v>1.458207</v>
      </c>
      <c r="R93" s="24">
        <f>'AEO 2023 Table 36 Raw'!U75</f>
        <v>1.4334020000000001</v>
      </c>
      <c r="S93" s="24">
        <f>'AEO 2023 Table 36 Raw'!V75</f>
        <v>1.546791</v>
      </c>
      <c r="T93" s="24">
        <f>'AEO 2023 Table 36 Raw'!W75</f>
        <v>1.686464</v>
      </c>
      <c r="U93" s="24">
        <f>'AEO 2023 Table 36 Raw'!X75</f>
        <v>1.8363419999999999</v>
      </c>
      <c r="V93" s="24">
        <f>'AEO 2023 Table 36 Raw'!Y75</f>
        <v>1.9917119999999999</v>
      </c>
      <c r="W93" s="24">
        <f>'AEO 2023 Table 36 Raw'!Z75</f>
        <v>2.1880760000000001</v>
      </c>
      <c r="X93" s="24">
        <f>'AEO 2023 Table 36 Raw'!AA75</f>
        <v>2.3979050000000002</v>
      </c>
      <c r="Y93" s="24">
        <f>'AEO 2023 Table 36 Raw'!AB75</f>
        <v>2.6149490000000002</v>
      </c>
      <c r="Z93" s="24">
        <f>'AEO 2023 Table 36 Raw'!AC75</f>
        <v>2.8492980000000001</v>
      </c>
      <c r="AA93" s="24">
        <f>'AEO 2023 Table 36 Raw'!AD75</f>
        <v>3.1578240000000002</v>
      </c>
      <c r="AB93" s="24">
        <f>'AEO 2023 Table 36 Raw'!AE75</f>
        <v>3.4764889999999999</v>
      </c>
      <c r="AC93" s="24">
        <f>'AEO 2023 Table 36 Raw'!AF75</f>
        <v>3.8193260000000002</v>
      </c>
      <c r="AD93" s="24">
        <f>'AEO 2023 Table 36 Raw'!AG75</f>
        <v>4.1890539999999996</v>
      </c>
      <c r="AE93" s="24">
        <f>'AEO 2023 Table 36 Raw'!AH75</f>
        <v>4.5733420000000002</v>
      </c>
      <c r="AF93" s="29">
        <f>'AEO 2023 Table 36 Raw'!AI75</f>
        <v>7.6999999999999999E-2</v>
      </c>
    </row>
    <row r="94" spans="1:32" ht="15" customHeight="1">
      <c r="A94" s="18" t="s">
        <v>368</v>
      </c>
      <c r="B94" s="21" t="s">
        <v>350</v>
      </c>
      <c r="C94" s="24">
        <f>'AEO 2023 Table 36 Raw'!F76</f>
        <v>0</v>
      </c>
      <c r="D94" s="24">
        <f>'AEO 2023 Table 36 Raw'!G76</f>
        <v>0</v>
      </c>
      <c r="E94" s="24">
        <f>'AEO 2023 Table 36 Raw'!H76</f>
        <v>0</v>
      </c>
      <c r="F94" s="24">
        <f>'AEO 2023 Table 36 Raw'!I76</f>
        <v>0</v>
      </c>
      <c r="G94" s="24">
        <f>'AEO 2023 Table 36 Raw'!J76</f>
        <v>0</v>
      </c>
      <c r="H94" s="24">
        <f>'AEO 2023 Table 36 Raw'!K76</f>
        <v>0</v>
      </c>
      <c r="I94" s="24">
        <f>'AEO 2023 Table 36 Raw'!L76</f>
        <v>0</v>
      </c>
      <c r="J94" s="24">
        <f>'AEO 2023 Table 36 Raw'!M76</f>
        <v>0</v>
      </c>
      <c r="K94" s="24">
        <f>'AEO 2023 Table 36 Raw'!N76</f>
        <v>0</v>
      </c>
      <c r="L94" s="24">
        <f>'AEO 2023 Table 36 Raw'!O76</f>
        <v>0</v>
      </c>
      <c r="M94" s="24">
        <f>'AEO 2023 Table 36 Raw'!P76</f>
        <v>0</v>
      </c>
      <c r="N94" s="24">
        <f>'AEO 2023 Table 36 Raw'!Q76</f>
        <v>0</v>
      </c>
      <c r="O94" s="24">
        <f>'AEO 2023 Table 36 Raw'!R76</f>
        <v>0</v>
      </c>
      <c r="P94" s="24">
        <f>'AEO 2023 Table 36 Raw'!S76</f>
        <v>0</v>
      </c>
      <c r="Q94" s="24">
        <f>'AEO 2023 Table 36 Raw'!T76</f>
        <v>0</v>
      </c>
      <c r="R94" s="24">
        <f>'AEO 2023 Table 36 Raw'!U76</f>
        <v>0</v>
      </c>
      <c r="S94" s="24">
        <f>'AEO 2023 Table 36 Raw'!V76</f>
        <v>0</v>
      </c>
      <c r="T94" s="24">
        <f>'AEO 2023 Table 36 Raw'!W76</f>
        <v>0</v>
      </c>
      <c r="U94" s="24">
        <f>'AEO 2023 Table 36 Raw'!X76</f>
        <v>0</v>
      </c>
      <c r="V94" s="24">
        <f>'AEO 2023 Table 36 Raw'!Y76</f>
        <v>0</v>
      </c>
      <c r="W94" s="24">
        <f>'AEO 2023 Table 36 Raw'!Z76</f>
        <v>0</v>
      </c>
      <c r="X94" s="24">
        <f>'AEO 2023 Table 36 Raw'!AA76</f>
        <v>0</v>
      </c>
      <c r="Y94" s="24">
        <f>'AEO 2023 Table 36 Raw'!AB76</f>
        <v>0</v>
      </c>
      <c r="Z94" s="24">
        <f>'AEO 2023 Table 36 Raw'!AC76</f>
        <v>0</v>
      </c>
      <c r="AA94" s="24">
        <f>'AEO 2023 Table 36 Raw'!AD76</f>
        <v>0</v>
      </c>
      <c r="AB94" s="24">
        <f>'AEO 2023 Table 36 Raw'!AE76</f>
        <v>0</v>
      </c>
      <c r="AC94" s="24">
        <f>'AEO 2023 Table 36 Raw'!AF76</f>
        <v>0</v>
      </c>
      <c r="AD94" s="24">
        <f>'AEO 2023 Table 36 Raw'!AG76</f>
        <v>0</v>
      </c>
      <c r="AE94" s="24">
        <f>'AEO 2023 Table 36 Raw'!AH76</f>
        <v>0</v>
      </c>
      <c r="AF94" s="29" t="str">
        <f>'AEO 2023 Table 36 Raw'!AI76</f>
        <v>- -</v>
      </c>
    </row>
    <row r="95" spans="1:32" ht="15" customHeight="1">
      <c r="A95" s="18" t="s">
        <v>369</v>
      </c>
      <c r="B95" s="20" t="s">
        <v>7</v>
      </c>
      <c r="C95" s="24">
        <f>'AEO 2023 Table 36 Raw'!F77</f>
        <v>43.913421999999997</v>
      </c>
      <c r="D95" s="24">
        <f>'AEO 2023 Table 36 Raw'!G77</f>
        <v>45.563988000000002</v>
      </c>
      <c r="E95" s="24">
        <f>'AEO 2023 Table 36 Raw'!H77</f>
        <v>46.540951</v>
      </c>
      <c r="F95" s="24">
        <f>'AEO 2023 Table 36 Raw'!I77</f>
        <v>47.205399</v>
      </c>
      <c r="G95" s="24">
        <f>'AEO 2023 Table 36 Raw'!J77</f>
        <v>47.900013000000001</v>
      </c>
      <c r="H95" s="24">
        <f>'AEO 2023 Table 36 Raw'!K77</f>
        <v>48.570526000000001</v>
      </c>
      <c r="I95" s="24">
        <f>'AEO 2023 Table 36 Raw'!L77</f>
        <v>49.132919000000001</v>
      </c>
      <c r="J95" s="24">
        <f>'AEO 2023 Table 36 Raw'!M77</f>
        <v>49.707282999999997</v>
      </c>
      <c r="K95" s="24">
        <f>'AEO 2023 Table 36 Raw'!N77</f>
        <v>50.150032000000003</v>
      </c>
      <c r="L95" s="24">
        <f>'AEO 2023 Table 36 Raw'!O77</f>
        <v>50.598678999999997</v>
      </c>
      <c r="M95" s="24">
        <f>'AEO 2023 Table 36 Raw'!P77</f>
        <v>51.139499999999998</v>
      </c>
      <c r="N95" s="24">
        <f>'AEO 2023 Table 36 Raw'!Q77</f>
        <v>51.726661999999997</v>
      </c>
      <c r="O95" s="24">
        <f>'AEO 2023 Table 36 Raw'!R77</f>
        <v>52.369225</v>
      </c>
      <c r="P95" s="24">
        <f>'AEO 2023 Table 36 Raw'!S77</f>
        <v>52.923794000000001</v>
      </c>
      <c r="Q95" s="24">
        <f>'AEO 2023 Table 36 Raw'!T77</f>
        <v>53.456974000000002</v>
      </c>
      <c r="R95" s="24">
        <f>'AEO 2023 Table 36 Raw'!U77</f>
        <v>53.972693999999997</v>
      </c>
      <c r="S95" s="24">
        <f>'AEO 2023 Table 36 Raw'!V77</f>
        <v>54.509743</v>
      </c>
      <c r="T95" s="24">
        <f>'AEO 2023 Table 36 Raw'!W77</f>
        <v>55.033695000000002</v>
      </c>
      <c r="U95" s="24">
        <f>'AEO 2023 Table 36 Raw'!X77</f>
        <v>55.626582999999997</v>
      </c>
      <c r="V95" s="24">
        <f>'AEO 2023 Table 36 Raw'!Y77</f>
        <v>56.181145000000001</v>
      </c>
      <c r="W95" s="24">
        <f>'AEO 2023 Table 36 Raw'!Z77</f>
        <v>56.753779999999999</v>
      </c>
      <c r="X95" s="24">
        <f>'AEO 2023 Table 36 Raw'!AA77</f>
        <v>57.257598999999999</v>
      </c>
      <c r="Y95" s="24">
        <f>'AEO 2023 Table 36 Raw'!AB77</f>
        <v>57.815627999999997</v>
      </c>
      <c r="Z95" s="24">
        <f>'AEO 2023 Table 36 Raw'!AC77</f>
        <v>58.366591999999997</v>
      </c>
      <c r="AA95" s="24">
        <f>'AEO 2023 Table 36 Raw'!AD77</f>
        <v>59.116034999999997</v>
      </c>
      <c r="AB95" s="24">
        <f>'AEO 2023 Table 36 Raw'!AE77</f>
        <v>59.751427</v>
      </c>
      <c r="AC95" s="24">
        <f>'AEO 2023 Table 36 Raw'!AF77</f>
        <v>60.444682999999998</v>
      </c>
      <c r="AD95" s="24">
        <f>'AEO 2023 Table 36 Raw'!AG77</f>
        <v>61.080703999999997</v>
      </c>
      <c r="AE95" s="24">
        <f>'AEO 2023 Table 36 Raw'!AH77</f>
        <v>61.848125000000003</v>
      </c>
      <c r="AF95" s="29">
        <f>'AEO 2023 Table 36 Raw'!AI77</f>
        <v>1.2E-2</v>
      </c>
    </row>
    <row r="96" spans="1:32" ht="15" customHeight="1">
      <c r="A96" s="18" t="s">
        <v>370</v>
      </c>
      <c r="B96" s="21" t="s">
        <v>371</v>
      </c>
      <c r="C96" s="24">
        <f>'AEO 2023 Table 36 Raw'!F78</f>
        <v>7.5946369999999996</v>
      </c>
      <c r="D96" s="24">
        <f>'AEO 2023 Table 36 Raw'!G78</f>
        <v>8.2708110000000001</v>
      </c>
      <c r="E96" s="24">
        <f>'AEO 2023 Table 36 Raw'!H78</f>
        <v>8.8117520000000003</v>
      </c>
      <c r="F96" s="24">
        <f>'AEO 2023 Table 36 Raw'!I78</f>
        <v>9.2425239999999995</v>
      </c>
      <c r="G96" s="24">
        <f>'AEO 2023 Table 36 Raw'!J78</f>
        <v>9.5890699999999995</v>
      </c>
      <c r="H96" s="24">
        <f>'AEO 2023 Table 36 Raw'!K78</f>
        <v>9.8712160000000004</v>
      </c>
      <c r="I96" s="24">
        <f>'AEO 2023 Table 36 Raw'!L78</f>
        <v>10.105147000000001</v>
      </c>
      <c r="J96" s="24">
        <f>'AEO 2023 Table 36 Raw'!M78</f>
        <v>10.303372</v>
      </c>
      <c r="K96" s="24">
        <f>'AEO 2023 Table 36 Raw'!N78</f>
        <v>10.475068</v>
      </c>
      <c r="L96" s="24">
        <f>'AEO 2023 Table 36 Raw'!O78</f>
        <v>10.626023999999999</v>
      </c>
      <c r="M96" s="24">
        <f>'AEO 2023 Table 36 Raw'!P78</f>
        <v>10.758953999999999</v>
      </c>
      <c r="N96" s="24">
        <f>'AEO 2023 Table 36 Raw'!Q78</f>
        <v>10.875567999999999</v>
      </c>
      <c r="O96" s="24">
        <f>'AEO 2023 Table 36 Raw'!R78</f>
        <v>10.979032999999999</v>
      </c>
      <c r="P96" s="24">
        <f>'AEO 2023 Table 36 Raw'!S78</f>
        <v>11.071654000000001</v>
      </c>
      <c r="Q96" s="24">
        <f>'AEO 2023 Table 36 Raw'!T78</f>
        <v>11.154877000000001</v>
      </c>
      <c r="R96" s="24">
        <f>'AEO 2023 Table 36 Raw'!U78</f>
        <v>11.229654999999999</v>
      </c>
      <c r="S96" s="24">
        <f>'AEO 2023 Table 36 Raw'!V78</f>
        <v>11.304667</v>
      </c>
      <c r="T96" s="24">
        <f>'AEO 2023 Table 36 Raw'!W78</f>
        <v>11.377219</v>
      </c>
      <c r="U96" s="24">
        <f>'AEO 2023 Table 36 Raw'!X78</f>
        <v>11.447278000000001</v>
      </c>
      <c r="V96" s="24">
        <f>'AEO 2023 Table 36 Raw'!Y78</f>
        <v>11.515231999999999</v>
      </c>
      <c r="W96" s="24">
        <f>'AEO 2023 Table 36 Raw'!Z78</f>
        <v>11.582255999999999</v>
      </c>
      <c r="X96" s="24">
        <f>'AEO 2023 Table 36 Raw'!AA78</f>
        <v>11.648866999999999</v>
      </c>
      <c r="Y96" s="24">
        <f>'AEO 2023 Table 36 Raw'!AB78</f>
        <v>11.715138</v>
      </c>
      <c r="Z96" s="24">
        <f>'AEO 2023 Table 36 Raw'!AC78</f>
        <v>11.781057000000001</v>
      </c>
      <c r="AA96" s="24">
        <f>'AEO 2023 Table 36 Raw'!AD78</f>
        <v>11.847011999999999</v>
      </c>
      <c r="AB96" s="24">
        <f>'AEO 2023 Table 36 Raw'!AE78</f>
        <v>11.912785</v>
      </c>
      <c r="AC96" s="24">
        <f>'AEO 2023 Table 36 Raw'!AF78</f>
        <v>11.978335</v>
      </c>
      <c r="AD96" s="24">
        <f>'AEO 2023 Table 36 Raw'!AG78</f>
        <v>12.043905000000001</v>
      </c>
      <c r="AE96" s="24">
        <f>'AEO 2023 Table 36 Raw'!AH78</f>
        <v>12.109465</v>
      </c>
      <c r="AF96" s="29">
        <f>'AEO 2023 Table 36 Raw'!AI78</f>
        <v>1.7000000000000001E-2</v>
      </c>
    </row>
    <row r="97" spans="1:32" ht="15" customHeight="1">
      <c r="A97" s="18" t="s">
        <v>372</v>
      </c>
      <c r="B97" s="21" t="s">
        <v>348</v>
      </c>
      <c r="C97" s="24">
        <f>'AEO 2023 Table 36 Raw'!F79</f>
        <v>0.923149</v>
      </c>
      <c r="D97" s="24">
        <f>'AEO 2023 Table 36 Raw'!G79</f>
        <v>1.0053399999999999</v>
      </c>
      <c r="E97" s="24">
        <f>'AEO 2023 Table 36 Raw'!H79</f>
        <v>1.0710919999999999</v>
      </c>
      <c r="F97" s="24">
        <f>'AEO 2023 Table 36 Raw'!I79</f>
        <v>1.123454</v>
      </c>
      <c r="G97" s="24">
        <f>'AEO 2023 Table 36 Raw'!J79</f>
        <v>1.165578</v>
      </c>
      <c r="H97" s="24">
        <f>'AEO 2023 Table 36 Raw'!K79</f>
        <v>1.199873</v>
      </c>
      <c r="I97" s="24">
        <f>'AEO 2023 Table 36 Raw'!L79</f>
        <v>1.228308</v>
      </c>
      <c r="J97" s="24">
        <f>'AEO 2023 Table 36 Raw'!M79</f>
        <v>1.2524029999999999</v>
      </c>
      <c r="K97" s="24">
        <f>'AEO 2023 Table 36 Raw'!N79</f>
        <v>1.2732730000000001</v>
      </c>
      <c r="L97" s="24">
        <f>'AEO 2023 Table 36 Raw'!O79</f>
        <v>1.291622</v>
      </c>
      <c r="M97" s="24">
        <f>'AEO 2023 Table 36 Raw'!P79</f>
        <v>1.3077799999999999</v>
      </c>
      <c r="N97" s="24">
        <f>'AEO 2023 Table 36 Raw'!Q79</f>
        <v>1.321955</v>
      </c>
      <c r="O97" s="24">
        <f>'AEO 2023 Table 36 Raw'!R79</f>
        <v>1.3345309999999999</v>
      </c>
      <c r="P97" s="24">
        <f>'AEO 2023 Table 36 Raw'!S79</f>
        <v>1.34579</v>
      </c>
      <c r="Q97" s="24">
        <f>'AEO 2023 Table 36 Raw'!T79</f>
        <v>1.3559060000000001</v>
      </c>
      <c r="R97" s="24">
        <f>'AEO 2023 Table 36 Raw'!U79</f>
        <v>1.364995</v>
      </c>
      <c r="S97" s="24">
        <f>'AEO 2023 Table 36 Raw'!V79</f>
        <v>1.3741129999999999</v>
      </c>
      <c r="T97" s="24">
        <f>'AEO 2023 Table 36 Raw'!W79</f>
        <v>1.3829320000000001</v>
      </c>
      <c r="U97" s="24">
        <f>'AEO 2023 Table 36 Raw'!X79</f>
        <v>1.391448</v>
      </c>
      <c r="V97" s="24">
        <f>'AEO 2023 Table 36 Raw'!Y79</f>
        <v>1.399708</v>
      </c>
      <c r="W97" s="24">
        <f>'AEO 2023 Table 36 Raw'!Z79</f>
        <v>1.4078550000000001</v>
      </c>
      <c r="X97" s="24">
        <f>'AEO 2023 Table 36 Raw'!AA79</f>
        <v>1.4159520000000001</v>
      </c>
      <c r="Y97" s="24">
        <f>'AEO 2023 Table 36 Raw'!AB79</f>
        <v>1.4240060000000001</v>
      </c>
      <c r="Z97" s="24">
        <f>'AEO 2023 Table 36 Raw'!AC79</f>
        <v>1.4320189999999999</v>
      </c>
      <c r="AA97" s="24">
        <f>'AEO 2023 Table 36 Raw'!AD79</f>
        <v>1.440037</v>
      </c>
      <c r="AB97" s="24">
        <f>'AEO 2023 Table 36 Raw'!AE79</f>
        <v>1.4480310000000001</v>
      </c>
      <c r="AC97" s="24">
        <f>'AEO 2023 Table 36 Raw'!AF79</f>
        <v>1.455999</v>
      </c>
      <c r="AD97" s="24">
        <f>'AEO 2023 Table 36 Raw'!AG79</f>
        <v>1.4639690000000001</v>
      </c>
      <c r="AE97" s="24">
        <f>'AEO 2023 Table 36 Raw'!AH79</f>
        <v>1.471938</v>
      </c>
      <c r="AF97" s="29">
        <f>'AEO 2023 Table 36 Raw'!AI79</f>
        <v>1.7000000000000001E-2</v>
      </c>
    </row>
    <row r="98" spans="1:32" s="98" customFormat="1" ht="15" customHeight="1">
      <c r="A98" s="94" t="s">
        <v>373</v>
      </c>
      <c r="B98" s="95" t="s">
        <v>374</v>
      </c>
      <c r="C98" s="96">
        <f>'AEO 2023 Table 36 Raw'!F80</f>
        <v>6.6714880000000001</v>
      </c>
      <c r="D98" s="96">
        <f>'AEO 2023 Table 36 Raw'!G80</f>
        <v>7.2654709999999998</v>
      </c>
      <c r="E98" s="96">
        <f>'AEO 2023 Table 36 Raw'!H80</f>
        <v>7.7406600000000001</v>
      </c>
      <c r="F98" s="96">
        <f>'AEO 2023 Table 36 Raw'!I80</f>
        <v>8.1190700000000007</v>
      </c>
      <c r="G98" s="96">
        <f>'AEO 2023 Table 36 Raw'!J80</f>
        <v>8.4234919999999995</v>
      </c>
      <c r="H98" s="96">
        <f>'AEO 2023 Table 36 Raw'!K80</f>
        <v>8.6713430000000002</v>
      </c>
      <c r="I98" s="96">
        <f>'AEO 2023 Table 36 Raw'!L80</f>
        <v>8.8768399999999996</v>
      </c>
      <c r="J98" s="96">
        <f>'AEO 2023 Table 36 Raw'!M80</f>
        <v>9.0509690000000003</v>
      </c>
      <c r="K98" s="96">
        <f>'AEO 2023 Table 36 Raw'!N80</f>
        <v>9.2017959999999999</v>
      </c>
      <c r="L98" s="96">
        <f>'AEO 2023 Table 36 Raw'!O80</f>
        <v>9.3344020000000008</v>
      </c>
      <c r="M98" s="96">
        <f>'AEO 2023 Table 36 Raw'!P80</f>
        <v>9.451174</v>
      </c>
      <c r="N98" s="96">
        <f>'AEO 2023 Table 36 Raw'!Q80</f>
        <v>9.5536139999999996</v>
      </c>
      <c r="O98" s="96">
        <f>'AEO 2023 Table 36 Raw'!R80</f>
        <v>9.6445030000000003</v>
      </c>
      <c r="P98" s="96">
        <f>'AEO 2023 Table 36 Raw'!S80</f>
        <v>9.7258639999999996</v>
      </c>
      <c r="Q98" s="96">
        <f>'AEO 2023 Table 36 Raw'!T80</f>
        <v>9.7989709999999999</v>
      </c>
      <c r="R98" s="96">
        <f>'AEO 2023 Table 36 Raw'!U80</f>
        <v>9.8646600000000007</v>
      </c>
      <c r="S98" s="96">
        <f>'AEO 2023 Table 36 Raw'!V80</f>
        <v>9.9305540000000008</v>
      </c>
      <c r="T98" s="96">
        <f>'AEO 2023 Table 36 Raw'!W80</f>
        <v>9.9942869999999999</v>
      </c>
      <c r="U98" s="96">
        <f>'AEO 2023 Table 36 Raw'!X80</f>
        <v>10.05583</v>
      </c>
      <c r="V98" s="96">
        <f>'AEO 2023 Table 36 Raw'!Y80</f>
        <v>10.115524000000001</v>
      </c>
      <c r="W98" s="96">
        <f>'AEO 2023 Table 36 Raw'!Z80</f>
        <v>10.174401</v>
      </c>
      <c r="X98" s="96">
        <f>'AEO 2023 Table 36 Raw'!AA80</f>
        <v>10.232915</v>
      </c>
      <c r="Y98" s="96">
        <f>'AEO 2023 Table 36 Raw'!AB80</f>
        <v>10.291131999999999</v>
      </c>
      <c r="Z98" s="96">
        <f>'AEO 2023 Table 36 Raw'!AC80</f>
        <v>10.349038</v>
      </c>
      <c r="AA98" s="96">
        <f>'AEO 2023 Table 36 Raw'!AD80</f>
        <v>10.406974999999999</v>
      </c>
      <c r="AB98" s="96">
        <f>'AEO 2023 Table 36 Raw'!AE80</f>
        <v>10.464753</v>
      </c>
      <c r="AC98" s="96">
        <f>'AEO 2023 Table 36 Raw'!AF80</f>
        <v>10.522335999999999</v>
      </c>
      <c r="AD98" s="96">
        <f>'AEO 2023 Table 36 Raw'!AG80</f>
        <v>10.579936</v>
      </c>
      <c r="AE98" s="96">
        <f>'AEO 2023 Table 36 Raw'!AH80</f>
        <v>10.637527</v>
      </c>
      <c r="AF98" s="97">
        <f>'AEO 2023 Table 36 Raw'!AI80</f>
        <v>1.7000000000000001E-2</v>
      </c>
    </row>
    <row r="99" spans="1:32" ht="15" customHeight="1">
      <c r="A99" s="18" t="s">
        <v>375</v>
      </c>
      <c r="B99" s="21" t="s">
        <v>376</v>
      </c>
      <c r="C99" s="24">
        <f>'AEO 2023 Table 36 Raw'!F81</f>
        <v>0</v>
      </c>
      <c r="D99" s="24">
        <f>'AEO 2023 Table 36 Raw'!G81</f>
        <v>0</v>
      </c>
      <c r="E99" s="24">
        <f>'AEO 2023 Table 36 Raw'!H81</f>
        <v>0</v>
      </c>
      <c r="F99" s="24">
        <f>'AEO 2023 Table 36 Raw'!I81</f>
        <v>0</v>
      </c>
      <c r="G99" s="24">
        <f>'AEO 2023 Table 36 Raw'!J81</f>
        <v>0</v>
      </c>
      <c r="H99" s="24">
        <f>'AEO 2023 Table 36 Raw'!K81</f>
        <v>0</v>
      </c>
      <c r="I99" s="24">
        <f>'AEO 2023 Table 36 Raw'!L81</f>
        <v>0</v>
      </c>
      <c r="J99" s="24">
        <f>'AEO 2023 Table 36 Raw'!M81</f>
        <v>0</v>
      </c>
      <c r="K99" s="24">
        <f>'AEO 2023 Table 36 Raw'!N81</f>
        <v>0</v>
      </c>
      <c r="L99" s="24">
        <f>'AEO 2023 Table 36 Raw'!O81</f>
        <v>0</v>
      </c>
      <c r="M99" s="24">
        <f>'AEO 2023 Table 36 Raw'!P81</f>
        <v>0</v>
      </c>
      <c r="N99" s="24">
        <f>'AEO 2023 Table 36 Raw'!Q81</f>
        <v>0</v>
      </c>
      <c r="O99" s="24">
        <f>'AEO 2023 Table 36 Raw'!R81</f>
        <v>0</v>
      </c>
      <c r="P99" s="24">
        <f>'AEO 2023 Table 36 Raw'!S81</f>
        <v>0</v>
      </c>
      <c r="Q99" s="24">
        <f>'AEO 2023 Table 36 Raw'!T81</f>
        <v>0</v>
      </c>
      <c r="R99" s="24">
        <f>'AEO 2023 Table 36 Raw'!U81</f>
        <v>0</v>
      </c>
      <c r="S99" s="24">
        <f>'AEO 2023 Table 36 Raw'!V81</f>
        <v>0</v>
      </c>
      <c r="T99" s="24">
        <f>'AEO 2023 Table 36 Raw'!W81</f>
        <v>0</v>
      </c>
      <c r="U99" s="24">
        <f>'AEO 2023 Table 36 Raw'!X81</f>
        <v>0</v>
      </c>
      <c r="V99" s="24">
        <f>'AEO 2023 Table 36 Raw'!Y81</f>
        <v>0</v>
      </c>
      <c r="W99" s="24">
        <f>'AEO 2023 Table 36 Raw'!Z81</f>
        <v>0</v>
      </c>
      <c r="X99" s="24">
        <f>'AEO 2023 Table 36 Raw'!AA81</f>
        <v>0</v>
      </c>
      <c r="Y99" s="24">
        <f>'AEO 2023 Table 36 Raw'!AB81</f>
        <v>0</v>
      </c>
      <c r="Z99" s="24">
        <f>'AEO 2023 Table 36 Raw'!AC81</f>
        <v>0</v>
      </c>
      <c r="AA99" s="24">
        <f>'AEO 2023 Table 36 Raw'!AD81</f>
        <v>0</v>
      </c>
      <c r="AB99" s="24">
        <f>'AEO 2023 Table 36 Raw'!AE81</f>
        <v>0</v>
      </c>
      <c r="AC99" s="24">
        <f>'AEO 2023 Table 36 Raw'!AF81</f>
        <v>0</v>
      </c>
      <c r="AD99" s="24">
        <f>'AEO 2023 Table 36 Raw'!AG81</f>
        <v>0</v>
      </c>
      <c r="AE99" s="24">
        <f>'AEO 2023 Table 36 Raw'!AH81</f>
        <v>0</v>
      </c>
      <c r="AF99" s="29" t="str">
        <f>'AEO 2023 Table 36 Raw'!AI81</f>
        <v>- -</v>
      </c>
    </row>
    <row r="100" spans="1:32" ht="15" customHeight="1">
      <c r="A100" s="18" t="s">
        <v>377</v>
      </c>
      <c r="B100" s="21" t="s">
        <v>378</v>
      </c>
      <c r="C100" s="24">
        <f>'AEO 2023 Table 36 Raw'!F82</f>
        <v>0</v>
      </c>
      <c r="D100" s="24">
        <f>'AEO 2023 Table 36 Raw'!G82</f>
        <v>0</v>
      </c>
      <c r="E100" s="24">
        <f>'AEO 2023 Table 36 Raw'!H82</f>
        <v>0</v>
      </c>
      <c r="F100" s="24">
        <f>'AEO 2023 Table 36 Raw'!I82</f>
        <v>0</v>
      </c>
      <c r="G100" s="24">
        <f>'AEO 2023 Table 36 Raw'!J82</f>
        <v>0</v>
      </c>
      <c r="H100" s="24">
        <f>'AEO 2023 Table 36 Raw'!K82</f>
        <v>0</v>
      </c>
      <c r="I100" s="24">
        <f>'AEO 2023 Table 36 Raw'!L82</f>
        <v>0</v>
      </c>
      <c r="J100" s="24">
        <f>'AEO 2023 Table 36 Raw'!M82</f>
        <v>0</v>
      </c>
      <c r="K100" s="24">
        <f>'AEO 2023 Table 36 Raw'!N82</f>
        <v>0</v>
      </c>
      <c r="L100" s="24">
        <f>'AEO 2023 Table 36 Raw'!O82</f>
        <v>0</v>
      </c>
      <c r="M100" s="24">
        <f>'AEO 2023 Table 36 Raw'!P82</f>
        <v>0</v>
      </c>
      <c r="N100" s="24">
        <f>'AEO 2023 Table 36 Raw'!Q82</f>
        <v>0</v>
      </c>
      <c r="O100" s="24">
        <f>'AEO 2023 Table 36 Raw'!R82</f>
        <v>0</v>
      </c>
      <c r="P100" s="24">
        <f>'AEO 2023 Table 36 Raw'!S82</f>
        <v>0</v>
      </c>
      <c r="Q100" s="24">
        <f>'AEO 2023 Table 36 Raw'!T82</f>
        <v>0</v>
      </c>
      <c r="R100" s="24">
        <f>'AEO 2023 Table 36 Raw'!U82</f>
        <v>0</v>
      </c>
      <c r="S100" s="24">
        <f>'AEO 2023 Table 36 Raw'!V82</f>
        <v>0</v>
      </c>
      <c r="T100" s="24">
        <f>'AEO 2023 Table 36 Raw'!W82</f>
        <v>0</v>
      </c>
      <c r="U100" s="24">
        <f>'AEO 2023 Table 36 Raw'!X82</f>
        <v>0</v>
      </c>
      <c r="V100" s="24">
        <f>'AEO 2023 Table 36 Raw'!Y82</f>
        <v>0</v>
      </c>
      <c r="W100" s="24">
        <f>'AEO 2023 Table 36 Raw'!Z82</f>
        <v>0</v>
      </c>
      <c r="X100" s="24">
        <f>'AEO 2023 Table 36 Raw'!AA82</f>
        <v>0</v>
      </c>
      <c r="Y100" s="24">
        <f>'AEO 2023 Table 36 Raw'!AB82</f>
        <v>0</v>
      </c>
      <c r="Z100" s="24">
        <f>'AEO 2023 Table 36 Raw'!AC82</f>
        <v>0</v>
      </c>
      <c r="AA100" s="24">
        <f>'AEO 2023 Table 36 Raw'!AD82</f>
        <v>0</v>
      </c>
      <c r="AB100" s="24">
        <f>'AEO 2023 Table 36 Raw'!AE82</f>
        <v>0</v>
      </c>
      <c r="AC100" s="24">
        <f>'AEO 2023 Table 36 Raw'!AF82</f>
        <v>0</v>
      </c>
      <c r="AD100" s="24">
        <f>'AEO 2023 Table 36 Raw'!AG82</f>
        <v>0</v>
      </c>
      <c r="AE100" s="24">
        <f>'AEO 2023 Table 36 Raw'!AH82</f>
        <v>0</v>
      </c>
      <c r="AF100" s="29" t="str">
        <f>'AEO 2023 Table 36 Raw'!AI82</f>
        <v>- -</v>
      </c>
    </row>
    <row r="101" spans="1:32" ht="15" customHeight="1">
      <c r="A101" s="18" t="s">
        <v>379</v>
      </c>
      <c r="B101" s="21" t="s">
        <v>380</v>
      </c>
      <c r="C101" s="24">
        <f>'AEO 2023 Table 36 Raw'!F83</f>
        <v>17.032639</v>
      </c>
      <c r="D101" s="24">
        <f>'AEO 2023 Table 36 Raw'!G83</f>
        <v>17.333525000000002</v>
      </c>
      <c r="E101" s="24">
        <f>'AEO 2023 Table 36 Raw'!H83</f>
        <v>17.471111000000001</v>
      </c>
      <c r="F101" s="24">
        <f>'AEO 2023 Table 36 Raw'!I83</f>
        <v>17.514868</v>
      </c>
      <c r="G101" s="24">
        <f>'AEO 2023 Table 36 Raw'!J83</f>
        <v>17.667708999999999</v>
      </c>
      <c r="H101" s="24">
        <f>'AEO 2023 Table 36 Raw'!K83</f>
        <v>17.921016999999999</v>
      </c>
      <c r="I101" s="24">
        <f>'AEO 2023 Table 36 Raw'!L83</f>
        <v>18.139037999999999</v>
      </c>
      <c r="J101" s="24">
        <f>'AEO 2023 Table 36 Raw'!M83</f>
        <v>18.293453</v>
      </c>
      <c r="K101" s="24">
        <f>'AEO 2023 Table 36 Raw'!N83</f>
        <v>18.389309000000001</v>
      </c>
      <c r="L101" s="24">
        <f>'AEO 2023 Table 36 Raw'!O83</f>
        <v>18.446940999999999</v>
      </c>
      <c r="M101" s="24">
        <f>'AEO 2023 Table 36 Raw'!P83</f>
        <v>18.571213</v>
      </c>
      <c r="N101" s="24">
        <f>'AEO 2023 Table 36 Raw'!Q83</f>
        <v>18.730657999999998</v>
      </c>
      <c r="O101" s="24">
        <f>'AEO 2023 Table 36 Raw'!R83</f>
        <v>18.930088000000001</v>
      </c>
      <c r="P101" s="24">
        <f>'AEO 2023 Table 36 Raw'!S83</f>
        <v>19.092124999999999</v>
      </c>
      <c r="Q101" s="24">
        <f>'AEO 2023 Table 36 Raw'!T83</f>
        <v>19.259436000000001</v>
      </c>
      <c r="R101" s="24">
        <f>'AEO 2023 Table 36 Raw'!U83</f>
        <v>19.415512</v>
      </c>
      <c r="S101" s="24">
        <f>'AEO 2023 Table 36 Raw'!V83</f>
        <v>19.584526</v>
      </c>
      <c r="T101" s="24">
        <f>'AEO 2023 Table 36 Raw'!W83</f>
        <v>19.751868999999999</v>
      </c>
      <c r="U101" s="24">
        <f>'AEO 2023 Table 36 Raw'!X83</f>
        <v>19.950641999999998</v>
      </c>
      <c r="V101" s="24">
        <f>'AEO 2023 Table 36 Raw'!Y83</f>
        <v>20.133372999999999</v>
      </c>
      <c r="W101" s="24">
        <f>'AEO 2023 Table 36 Raw'!Z83</f>
        <v>20.325230000000001</v>
      </c>
      <c r="X101" s="24">
        <f>'AEO 2023 Table 36 Raw'!AA83</f>
        <v>20.481424000000001</v>
      </c>
      <c r="Y101" s="24">
        <f>'AEO 2023 Table 36 Raw'!AB83</f>
        <v>20.667052999999999</v>
      </c>
      <c r="Z101" s="24">
        <f>'AEO 2023 Table 36 Raw'!AC83</f>
        <v>20.844881000000001</v>
      </c>
      <c r="AA101" s="24">
        <f>'AEO 2023 Table 36 Raw'!AD83</f>
        <v>21.123301999999999</v>
      </c>
      <c r="AB101" s="24">
        <f>'AEO 2023 Table 36 Raw'!AE83</f>
        <v>21.333514999999998</v>
      </c>
      <c r="AC101" s="24">
        <f>'AEO 2023 Table 36 Raw'!AF83</f>
        <v>21.575635999999999</v>
      </c>
      <c r="AD101" s="24">
        <f>'AEO 2023 Table 36 Raw'!AG83</f>
        <v>21.790666999999999</v>
      </c>
      <c r="AE101" s="24">
        <f>'AEO 2023 Table 36 Raw'!AH83</f>
        <v>22.070596999999999</v>
      </c>
      <c r="AF101" s="29">
        <f>'AEO 2023 Table 36 Raw'!AI83</f>
        <v>8.9999999999999993E-3</v>
      </c>
    </row>
    <row r="102" spans="1:32" ht="15" customHeight="1">
      <c r="A102" s="18" t="s">
        <v>381</v>
      </c>
      <c r="B102" s="21" t="s">
        <v>348</v>
      </c>
      <c r="C102" s="24">
        <f>'AEO 2023 Table 36 Raw'!F84</f>
        <v>17.032639</v>
      </c>
      <c r="D102" s="24">
        <f>'AEO 2023 Table 36 Raw'!G84</f>
        <v>17.333525000000002</v>
      </c>
      <c r="E102" s="24">
        <f>'AEO 2023 Table 36 Raw'!H84</f>
        <v>17.471111000000001</v>
      </c>
      <c r="F102" s="24">
        <f>'AEO 2023 Table 36 Raw'!I84</f>
        <v>17.514868</v>
      </c>
      <c r="G102" s="24">
        <f>'AEO 2023 Table 36 Raw'!J84</f>
        <v>17.667708999999999</v>
      </c>
      <c r="H102" s="24">
        <f>'AEO 2023 Table 36 Raw'!K84</f>
        <v>17.921016999999999</v>
      </c>
      <c r="I102" s="24">
        <f>'AEO 2023 Table 36 Raw'!L84</f>
        <v>18.139037999999999</v>
      </c>
      <c r="J102" s="24">
        <f>'AEO 2023 Table 36 Raw'!M84</f>
        <v>18.293453</v>
      </c>
      <c r="K102" s="24">
        <f>'AEO 2023 Table 36 Raw'!N84</f>
        <v>18.389309000000001</v>
      </c>
      <c r="L102" s="24">
        <f>'AEO 2023 Table 36 Raw'!O84</f>
        <v>18.446940999999999</v>
      </c>
      <c r="M102" s="24">
        <f>'AEO 2023 Table 36 Raw'!P84</f>
        <v>18.571213</v>
      </c>
      <c r="N102" s="24">
        <f>'AEO 2023 Table 36 Raw'!Q84</f>
        <v>18.730657999999998</v>
      </c>
      <c r="O102" s="24">
        <f>'AEO 2023 Table 36 Raw'!R84</f>
        <v>18.930088000000001</v>
      </c>
      <c r="P102" s="24">
        <f>'AEO 2023 Table 36 Raw'!S84</f>
        <v>19.092124999999999</v>
      </c>
      <c r="Q102" s="24">
        <f>'AEO 2023 Table 36 Raw'!T84</f>
        <v>19.259436000000001</v>
      </c>
      <c r="R102" s="24">
        <f>'AEO 2023 Table 36 Raw'!U84</f>
        <v>19.415512</v>
      </c>
      <c r="S102" s="24">
        <f>'AEO 2023 Table 36 Raw'!V84</f>
        <v>19.584526</v>
      </c>
      <c r="T102" s="24">
        <f>'AEO 2023 Table 36 Raw'!W84</f>
        <v>19.751868999999999</v>
      </c>
      <c r="U102" s="24">
        <f>'AEO 2023 Table 36 Raw'!X84</f>
        <v>19.950641999999998</v>
      </c>
      <c r="V102" s="24">
        <f>'AEO 2023 Table 36 Raw'!Y84</f>
        <v>20.133372999999999</v>
      </c>
      <c r="W102" s="24">
        <f>'AEO 2023 Table 36 Raw'!Z84</f>
        <v>20.325230000000001</v>
      </c>
      <c r="X102" s="24">
        <f>'AEO 2023 Table 36 Raw'!AA84</f>
        <v>20.481424000000001</v>
      </c>
      <c r="Y102" s="24">
        <f>'AEO 2023 Table 36 Raw'!AB84</f>
        <v>20.667052999999999</v>
      </c>
      <c r="Z102" s="24">
        <f>'AEO 2023 Table 36 Raw'!AC84</f>
        <v>20.844881000000001</v>
      </c>
      <c r="AA102" s="24">
        <f>'AEO 2023 Table 36 Raw'!AD84</f>
        <v>21.123301999999999</v>
      </c>
      <c r="AB102" s="24">
        <f>'AEO 2023 Table 36 Raw'!AE84</f>
        <v>21.333514999999998</v>
      </c>
      <c r="AC102" s="24">
        <f>'AEO 2023 Table 36 Raw'!AF84</f>
        <v>21.575635999999999</v>
      </c>
      <c r="AD102" s="24">
        <f>'AEO 2023 Table 36 Raw'!AG84</f>
        <v>21.790666999999999</v>
      </c>
      <c r="AE102" s="24">
        <f>'AEO 2023 Table 36 Raw'!AH84</f>
        <v>22.070596999999999</v>
      </c>
      <c r="AF102" s="29">
        <f>'AEO 2023 Table 36 Raw'!AI84</f>
        <v>8.9999999999999993E-3</v>
      </c>
    </row>
    <row r="103" spans="1:32" ht="15" customHeight="1">
      <c r="A103" s="18" t="s">
        <v>382</v>
      </c>
      <c r="B103" s="21" t="s">
        <v>383</v>
      </c>
      <c r="C103" s="24">
        <f>'AEO 2023 Table 36 Raw'!F85</f>
        <v>19.286148000000001</v>
      </c>
      <c r="D103" s="24">
        <f>'AEO 2023 Table 36 Raw'!G85</f>
        <v>19.959654</v>
      </c>
      <c r="E103" s="24">
        <f>'AEO 2023 Table 36 Raw'!H85</f>
        <v>20.258087</v>
      </c>
      <c r="F103" s="24">
        <f>'AEO 2023 Table 36 Raw'!I85</f>
        <v>20.448008000000002</v>
      </c>
      <c r="G103" s="24">
        <f>'AEO 2023 Table 36 Raw'!J85</f>
        <v>20.643234</v>
      </c>
      <c r="H103" s="24">
        <f>'AEO 2023 Table 36 Raw'!K85</f>
        <v>20.778293999999999</v>
      </c>
      <c r="I103" s="24">
        <f>'AEO 2023 Table 36 Raw'!L85</f>
        <v>20.888736999999999</v>
      </c>
      <c r="J103" s="24">
        <f>'AEO 2023 Table 36 Raw'!M85</f>
        <v>21.11046</v>
      </c>
      <c r="K103" s="24">
        <f>'AEO 2023 Table 36 Raw'!N85</f>
        <v>21.285655999999999</v>
      </c>
      <c r="L103" s="24">
        <f>'AEO 2023 Table 36 Raw'!O85</f>
        <v>21.525711000000001</v>
      </c>
      <c r="M103" s="24">
        <f>'AEO 2023 Table 36 Raw'!P85</f>
        <v>21.809334</v>
      </c>
      <c r="N103" s="24">
        <f>'AEO 2023 Table 36 Raw'!Q85</f>
        <v>22.120438</v>
      </c>
      <c r="O103" s="24">
        <f>'AEO 2023 Table 36 Raw'!R85</f>
        <v>22.460100000000001</v>
      </c>
      <c r="P103" s="24">
        <f>'AEO 2023 Table 36 Raw'!S85</f>
        <v>22.760014000000002</v>
      </c>
      <c r="Q103" s="24">
        <f>'AEO 2023 Table 36 Raw'!T85</f>
        <v>23.042663999999998</v>
      </c>
      <c r="R103" s="24">
        <f>'AEO 2023 Table 36 Raw'!U85</f>
        <v>23.327525999999999</v>
      </c>
      <c r="S103" s="24">
        <f>'AEO 2023 Table 36 Raw'!V85</f>
        <v>23.620547999999999</v>
      </c>
      <c r="T103" s="24">
        <f>'AEO 2023 Table 36 Raw'!W85</f>
        <v>23.904606000000001</v>
      </c>
      <c r="U103" s="24">
        <f>'AEO 2023 Table 36 Raw'!X85</f>
        <v>24.228663999999998</v>
      </c>
      <c r="V103" s="24">
        <f>'AEO 2023 Table 36 Raw'!Y85</f>
        <v>24.532539</v>
      </c>
      <c r="W103" s="24">
        <f>'AEO 2023 Table 36 Raw'!Z85</f>
        <v>24.846294</v>
      </c>
      <c r="X103" s="24">
        <f>'AEO 2023 Table 36 Raw'!AA85</f>
        <v>25.127307999999999</v>
      </c>
      <c r="Y103" s="24">
        <f>'AEO 2023 Table 36 Raw'!AB85</f>
        <v>25.433437000000001</v>
      </c>
      <c r="Z103" s="24">
        <f>'AEO 2023 Table 36 Raw'!AC85</f>
        <v>25.740656000000001</v>
      </c>
      <c r="AA103" s="24">
        <f>'AEO 2023 Table 36 Raw'!AD85</f>
        <v>26.145723</v>
      </c>
      <c r="AB103" s="24">
        <f>'AEO 2023 Table 36 Raw'!AE85</f>
        <v>26.505127000000002</v>
      </c>
      <c r="AC103" s="24">
        <f>'AEO 2023 Table 36 Raw'!AF85</f>
        <v>26.890711</v>
      </c>
      <c r="AD103" s="24">
        <f>'AEO 2023 Table 36 Raw'!AG85</f>
        <v>27.246131999999999</v>
      </c>
      <c r="AE103" s="24">
        <f>'AEO 2023 Table 36 Raw'!AH85</f>
        <v>27.668061999999999</v>
      </c>
      <c r="AF103" s="29">
        <f>'AEO 2023 Table 36 Raw'!AI85</f>
        <v>1.2999999999999999E-2</v>
      </c>
    </row>
    <row r="104" spans="1:32" ht="15" customHeight="1">
      <c r="A104" s="18" t="s">
        <v>384</v>
      </c>
      <c r="B104" s="21" t="s">
        <v>348</v>
      </c>
      <c r="C104" s="24">
        <f>'AEO 2023 Table 36 Raw'!F86</f>
        <v>6.9668039999999998</v>
      </c>
      <c r="D104" s="24">
        <f>'AEO 2023 Table 36 Raw'!G86</f>
        <v>7.2055709999999999</v>
      </c>
      <c r="E104" s="24">
        <f>'AEO 2023 Table 36 Raw'!H86</f>
        <v>7.3069870000000003</v>
      </c>
      <c r="F104" s="24">
        <f>'AEO 2023 Table 36 Raw'!I86</f>
        <v>7.3605080000000003</v>
      </c>
      <c r="G104" s="24">
        <f>'AEO 2023 Table 36 Raw'!J86</f>
        <v>7.3962209999999997</v>
      </c>
      <c r="H104" s="24">
        <f>'AEO 2023 Table 36 Raw'!K86</f>
        <v>7.4034529999999998</v>
      </c>
      <c r="I104" s="24">
        <f>'AEO 2023 Table 36 Raw'!L86</f>
        <v>7.4034849999999999</v>
      </c>
      <c r="J104" s="24">
        <f>'AEO 2023 Table 36 Raw'!M86</f>
        <v>7.4601230000000003</v>
      </c>
      <c r="K104" s="24">
        <f>'AEO 2023 Table 36 Raw'!N86</f>
        <v>7.5075329999999996</v>
      </c>
      <c r="L104" s="24">
        <f>'AEO 2023 Table 36 Raw'!O86</f>
        <v>7.6063049999999999</v>
      </c>
      <c r="M104" s="24">
        <f>'AEO 2023 Table 36 Raw'!P86</f>
        <v>7.7227600000000001</v>
      </c>
      <c r="N104" s="24">
        <f>'AEO 2023 Table 36 Raw'!Q86</f>
        <v>7.8505010000000004</v>
      </c>
      <c r="O104" s="24">
        <f>'AEO 2023 Table 36 Raw'!R86</f>
        <v>7.987139</v>
      </c>
      <c r="P104" s="24">
        <f>'AEO 2023 Table 36 Raw'!S86</f>
        <v>8.1068239999999996</v>
      </c>
      <c r="Q104" s="24">
        <f>'AEO 2023 Table 36 Raw'!T86</f>
        <v>8.2209280000000007</v>
      </c>
      <c r="R104" s="24">
        <f>'AEO 2023 Table 36 Raw'!U86</f>
        <v>8.3371739999999992</v>
      </c>
      <c r="S104" s="24">
        <f>'AEO 2023 Table 36 Raw'!V86</f>
        <v>8.4559110000000004</v>
      </c>
      <c r="T104" s="24">
        <f>'AEO 2023 Table 36 Raw'!W86</f>
        <v>8.5701509999999992</v>
      </c>
      <c r="U104" s="24">
        <f>'AEO 2023 Table 36 Raw'!X86</f>
        <v>8.700564</v>
      </c>
      <c r="V104" s="24">
        <f>'AEO 2023 Table 36 Raw'!Y86</f>
        <v>8.8238339999999997</v>
      </c>
      <c r="W104" s="24">
        <f>'AEO 2023 Table 36 Raw'!Z86</f>
        <v>8.9493679999999998</v>
      </c>
      <c r="X104" s="24">
        <f>'AEO 2023 Table 36 Raw'!AA86</f>
        <v>9.0625599999999995</v>
      </c>
      <c r="Y104" s="24">
        <f>'AEO 2023 Table 36 Raw'!AB86</f>
        <v>9.1843959999999996</v>
      </c>
      <c r="Z104" s="24">
        <f>'AEO 2023 Table 36 Raw'!AC86</f>
        <v>9.3055529999999997</v>
      </c>
      <c r="AA104" s="24">
        <f>'AEO 2023 Table 36 Raw'!AD86</f>
        <v>9.4632129999999997</v>
      </c>
      <c r="AB104" s="24">
        <f>'AEO 2023 Table 36 Raw'!AE86</f>
        <v>9.6034579999999998</v>
      </c>
      <c r="AC104" s="24">
        <f>'AEO 2023 Table 36 Raw'!AF86</f>
        <v>9.7528290000000002</v>
      </c>
      <c r="AD104" s="24">
        <f>'AEO 2023 Table 36 Raw'!AG86</f>
        <v>9.890326</v>
      </c>
      <c r="AE104" s="24">
        <f>'AEO 2023 Table 36 Raw'!AH86</f>
        <v>10.053587</v>
      </c>
      <c r="AF104" s="29">
        <f>'AEO 2023 Table 36 Raw'!AI86</f>
        <v>1.2999999999999999E-2</v>
      </c>
    </row>
    <row r="105" spans="1:32" s="103" customFormat="1" ht="15" customHeight="1">
      <c r="A105" s="99" t="s">
        <v>385</v>
      </c>
      <c r="B105" s="100" t="s">
        <v>374</v>
      </c>
      <c r="C105" s="101">
        <f>'AEO 2023 Table 36 Raw'!F87</f>
        <v>12.319345</v>
      </c>
      <c r="D105" s="101">
        <f>'AEO 2023 Table 36 Raw'!G87</f>
        <v>12.754084000000001</v>
      </c>
      <c r="E105" s="101">
        <f>'AEO 2023 Table 36 Raw'!H87</f>
        <v>12.951098999999999</v>
      </c>
      <c r="F105" s="101">
        <f>'AEO 2023 Table 36 Raw'!I87</f>
        <v>13.0875</v>
      </c>
      <c r="G105" s="101">
        <f>'AEO 2023 Table 36 Raw'!J87</f>
        <v>13.247013000000001</v>
      </c>
      <c r="H105" s="101">
        <f>'AEO 2023 Table 36 Raw'!K87</f>
        <v>13.374840000000001</v>
      </c>
      <c r="I105" s="101">
        <f>'AEO 2023 Table 36 Raw'!L87</f>
        <v>13.485250000000001</v>
      </c>
      <c r="J105" s="101">
        <f>'AEO 2023 Table 36 Raw'!M87</f>
        <v>13.650337</v>
      </c>
      <c r="K105" s="101">
        <f>'AEO 2023 Table 36 Raw'!N87</f>
        <v>13.778123000000001</v>
      </c>
      <c r="L105" s="101">
        <f>'AEO 2023 Table 36 Raw'!O87</f>
        <v>13.919407</v>
      </c>
      <c r="M105" s="101">
        <f>'AEO 2023 Table 36 Raw'!P87</f>
        <v>14.086574000000001</v>
      </c>
      <c r="N105" s="101">
        <f>'AEO 2023 Table 36 Raw'!Q87</f>
        <v>14.269936</v>
      </c>
      <c r="O105" s="101">
        <f>'AEO 2023 Table 36 Raw'!R87</f>
        <v>14.47296</v>
      </c>
      <c r="P105" s="101">
        <f>'AEO 2023 Table 36 Raw'!S87</f>
        <v>14.65319</v>
      </c>
      <c r="Q105" s="101">
        <f>'AEO 2023 Table 36 Raw'!T87</f>
        <v>14.821736</v>
      </c>
      <c r="R105" s="101">
        <f>'AEO 2023 Table 36 Raw'!U87</f>
        <v>14.990353000000001</v>
      </c>
      <c r="S105" s="101">
        <f>'AEO 2023 Table 36 Raw'!V87</f>
        <v>15.164637000000001</v>
      </c>
      <c r="T105" s="101">
        <f>'AEO 2023 Table 36 Raw'!W87</f>
        <v>15.334455</v>
      </c>
      <c r="U105" s="101">
        <f>'AEO 2023 Table 36 Raw'!X87</f>
        <v>15.528098999999999</v>
      </c>
      <c r="V105" s="101">
        <f>'AEO 2023 Table 36 Raw'!Y87</f>
        <v>15.708705999999999</v>
      </c>
      <c r="W105" s="101">
        <f>'AEO 2023 Table 36 Raw'!Z87</f>
        <v>15.896927</v>
      </c>
      <c r="X105" s="101">
        <f>'AEO 2023 Table 36 Raw'!AA87</f>
        <v>16.064747000000001</v>
      </c>
      <c r="Y105" s="101">
        <f>'AEO 2023 Table 36 Raw'!AB87</f>
        <v>16.249043</v>
      </c>
      <c r="Z105" s="101">
        <f>'AEO 2023 Table 36 Raw'!AC87</f>
        <v>16.435102000000001</v>
      </c>
      <c r="AA105" s="101">
        <f>'AEO 2023 Table 36 Raw'!AD87</f>
        <v>16.682510000000001</v>
      </c>
      <c r="AB105" s="101">
        <f>'AEO 2023 Table 36 Raw'!AE87</f>
        <v>16.901668999999998</v>
      </c>
      <c r="AC105" s="101">
        <f>'AEO 2023 Table 36 Raw'!AF87</f>
        <v>17.137882000000001</v>
      </c>
      <c r="AD105" s="101">
        <f>'AEO 2023 Table 36 Raw'!AG87</f>
        <v>17.355803999999999</v>
      </c>
      <c r="AE105" s="101">
        <f>'AEO 2023 Table 36 Raw'!AH87</f>
        <v>17.614474999999999</v>
      </c>
      <c r="AF105" s="102">
        <f>'AEO 2023 Table 36 Raw'!AI87</f>
        <v>1.2999999999999999E-2</v>
      </c>
    </row>
    <row r="106" spans="1:32" ht="15" customHeight="1">
      <c r="A106" s="18" t="s">
        <v>386</v>
      </c>
      <c r="B106" s="21" t="s">
        <v>376</v>
      </c>
      <c r="C106" s="24">
        <f>'AEO 2023 Table 36 Raw'!F88</f>
        <v>0</v>
      </c>
      <c r="D106" s="24">
        <f>'AEO 2023 Table 36 Raw'!G88</f>
        <v>0</v>
      </c>
      <c r="E106" s="24">
        <f>'AEO 2023 Table 36 Raw'!H88</f>
        <v>0</v>
      </c>
      <c r="F106" s="24">
        <f>'AEO 2023 Table 36 Raw'!I88</f>
        <v>0</v>
      </c>
      <c r="G106" s="24">
        <f>'AEO 2023 Table 36 Raw'!J88</f>
        <v>0</v>
      </c>
      <c r="H106" s="24">
        <f>'AEO 2023 Table 36 Raw'!K88</f>
        <v>0</v>
      </c>
      <c r="I106" s="24">
        <f>'AEO 2023 Table 36 Raw'!L88</f>
        <v>0</v>
      </c>
      <c r="J106" s="24">
        <f>'AEO 2023 Table 36 Raw'!M88</f>
        <v>0</v>
      </c>
      <c r="K106" s="24">
        <f>'AEO 2023 Table 36 Raw'!N88</f>
        <v>0</v>
      </c>
      <c r="L106" s="24">
        <f>'AEO 2023 Table 36 Raw'!O88</f>
        <v>0</v>
      </c>
      <c r="M106" s="24">
        <f>'AEO 2023 Table 36 Raw'!P88</f>
        <v>0</v>
      </c>
      <c r="N106" s="24">
        <f>'AEO 2023 Table 36 Raw'!Q88</f>
        <v>0</v>
      </c>
      <c r="O106" s="24">
        <f>'AEO 2023 Table 36 Raw'!R88</f>
        <v>0</v>
      </c>
      <c r="P106" s="24">
        <f>'AEO 2023 Table 36 Raw'!S88</f>
        <v>0</v>
      </c>
      <c r="Q106" s="24">
        <f>'AEO 2023 Table 36 Raw'!T88</f>
        <v>0</v>
      </c>
      <c r="R106" s="24">
        <f>'AEO 2023 Table 36 Raw'!U88</f>
        <v>0</v>
      </c>
      <c r="S106" s="24">
        <f>'AEO 2023 Table 36 Raw'!V88</f>
        <v>0</v>
      </c>
      <c r="T106" s="24">
        <f>'AEO 2023 Table 36 Raw'!W88</f>
        <v>0</v>
      </c>
      <c r="U106" s="24">
        <f>'AEO 2023 Table 36 Raw'!X88</f>
        <v>0</v>
      </c>
      <c r="V106" s="24">
        <f>'AEO 2023 Table 36 Raw'!Y88</f>
        <v>0</v>
      </c>
      <c r="W106" s="24">
        <f>'AEO 2023 Table 36 Raw'!Z88</f>
        <v>0</v>
      </c>
      <c r="X106" s="24">
        <f>'AEO 2023 Table 36 Raw'!AA88</f>
        <v>0</v>
      </c>
      <c r="Y106" s="24">
        <f>'AEO 2023 Table 36 Raw'!AB88</f>
        <v>0</v>
      </c>
      <c r="Z106" s="24">
        <f>'AEO 2023 Table 36 Raw'!AC88</f>
        <v>0</v>
      </c>
      <c r="AA106" s="24">
        <f>'AEO 2023 Table 36 Raw'!AD88</f>
        <v>0</v>
      </c>
      <c r="AB106" s="24">
        <f>'AEO 2023 Table 36 Raw'!AE88</f>
        <v>0</v>
      </c>
      <c r="AC106" s="24">
        <f>'AEO 2023 Table 36 Raw'!AF88</f>
        <v>0</v>
      </c>
      <c r="AD106" s="24">
        <f>'AEO 2023 Table 36 Raw'!AG88</f>
        <v>0</v>
      </c>
      <c r="AE106" s="24">
        <f>'AEO 2023 Table 36 Raw'!AH88</f>
        <v>0</v>
      </c>
      <c r="AF106" s="29" t="str">
        <f>'AEO 2023 Table 36 Raw'!AI88</f>
        <v>- -</v>
      </c>
    </row>
    <row r="107" spans="1:32" ht="15" customHeight="1">
      <c r="A107" s="18" t="s">
        <v>387</v>
      </c>
      <c r="B107" s="21" t="s">
        <v>378</v>
      </c>
      <c r="C107" s="24">
        <f>'AEO 2023 Table 36 Raw'!F89</f>
        <v>0</v>
      </c>
      <c r="D107" s="24">
        <f>'AEO 2023 Table 36 Raw'!G89</f>
        <v>0</v>
      </c>
      <c r="E107" s="24">
        <f>'AEO 2023 Table 36 Raw'!H89</f>
        <v>0</v>
      </c>
      <c r="F107" s="24">
        <f>'AEO 2023 Table 36 Raw'!I89</f>
        <v>0</v>
      </c>
      <c r="G107" s="24">
        <f>'AEO 2023 Table 36 Raw'!J89</f>
        <v>0</v>
      </c>
      <c r="H107" s="24">
        <f>'AEO 2023 Table 36 Raw'!K89</f>
        <v>0</v>
      </c>
      <c r="I107" s="24">
        <f>'AEO 2023 Table 36 Raw'!L89</f>
        <v>0</v>
      </c>
      <c r="J107" s="24">
        <f>'AEO 2023 Table 36 Raw'!M89</f>
        <v>0</v>
      </c>
      <c r="K107" s="24">
        <f>'AEO 2023 Table 36 Raw'!N89</f>
        <v>0</v>
      </c>
      <c r="L107" s="24">
        <f>'AEO 2023 Table 36 Raw'!O89</f>
        <v>0</v>
      </c>
      <c r="M107" s="24">
        <f>'AEO 2023 Table 36 Raw'!P89</f>
        <v>0</v>
      </c>
      <c r="N107" s="24">
        <f>'AEO 2023 Table 36 Raw'!Q89</f>
        <v>0</v>
      </c>
      <c r="O107" s="24">
        <f>'AEO 2023 Table 36 Raw'!R89</f>
        <v>0</v>
      </c>
      <c r="P107" s="24">
        <f>'AEO 2023 Table 36 Raw'!S89</f>
        <v>0</v>
      </c>
      <c r="Q107" s="24">
        <f>'AEO 2023 Table 36 Raw'!T89</f>
        <v>0</v>
      </c>
      <c r="R107" s="24">
        <f>'AEO 2023 Table 36 Raw'!U89</f>
        <v>0</v>
      </c>
      <c r="S107" s="24">
        <f>'AEO 2023 Table 36 Raw'!V89</f>
        <v>0</v>
      </c>
      <c r="T107" s="24">
        <f>'AEO 2023 Table 36 Raw'!W89</f>
        <v>0</v>
      </c>
      <c r="U107" s="24">
        <f>'AEO 2023 Table 36 Raw'!X89</f>
        <v>0</v>
      </c>
      <c r="V107" s="24">
        <f>'AEO 2023 Table 36 Raw'!Y89</f>
        <v>0</v>
      </c>
      <c r="W107" s="24">
        <f>'AEO 2023 Table 36 Raw'!Z89</f>
        <v>0</v>
      </c>
      <c r="X107" s="24">
        <f>'AEO 2023 Table 36 Raw'!AA89</f>
        <v>0</v>
      </c>
      <c r="Y107" s="24">
        <f>'AEO 2023 Table 36 Raw'!AB89</f>
        <v>0</v>
      </c>
      <c r="Z107" s="24">
        <f>'AEO 2023 Table 36 Raw'!AC89</f>
        <v>0</v>
      </c>
      <c r="AA107" s="24">
        <f>'AEO 2023 Table 36 Raw'!AD89</f>
        <v>0</v>
      </c>
      <c r="AB107" s="24">
        <f>'AEO 2023 Table 36 Raw'!AE89</f>
        <v>0</v>
      </c>
      <c r="AC107" s="24">
        <f>'AEO 2023 Table 36 Raw'!AF89</f>
        <v>0</v>
      </c>
      <c r="AD107" s="24">
        <f>'AEO 2023 Table 36 Raw'!AG89</f>
        <v>0</v>
      </c>
      <c r="AE107" s="24">
        <f>'AEO 2023 Table 36 Raw'!AH89</f>
        <v>0</v>
      </c>
      <c r="AF107" s="29" t="str">
        <f>'AEO 2023 Table 36 Raw'!AI89</f>
        <v>- -</v>
      </c>
    </row>
    <row r="108" spans="1:32" ht="12" customHeight="1">
      <c r="C108" s="24"/>
      <c r="D108" s="24"/>
      <c r="E108" s="24"/>
      <c r="F108" s="24"/>
      <c r="G108" s="24"/>
      <c r="H108" s="24"/>
      <c r="I108" s="24"/>
      <c r="J108" s="24"/>
      <c r="K108" s="24"/>
      <c r="L108" s="24"/>
      <c r="M108" s="24"/>
      <c r="N108" s="24"/>
      <c r="O108" s="24"/>
      <c r="P108" s="24"/>
      <c r="Q108" s="24"/>
      <c r="R108" s="24"/>
      <c r="S108" s="24"/>
      <c r="T108" s="24"/>
      <c r="U108" s="24"/>
      <c r="V108" s="24"/>
      <c r="W108" s="24"/>
      <c r="X108" s="24"/>
      <c r="Y108" s="24"/>
      <c r="Z108" s="24"/>
      <c r="AA108" s="24"/>
      <c r="AB108" s="24"/>
      <c r="AC108" s="24"/>
      <c r="AD108" s="24"/>
      <c r="AE108" s="24"/>
      <c r="AF108" s="29"/>
    </row>
    <row r="109" spans="1:32" ht="15" customHeight="1">
      <c r="A109" s="18" t="s">
        <v>388</v>
      </c>
      <c r="B109" s="20" t="s">
        <v>5</v>
      </c>
      <c r="C109" s="24">
        <f>'AEO 2023 Table 36 Raw'!F90</f>
        <v>202.83663899999999</v>
      </c>
      <c r="D109" s="24">
        <f>'AEO 2023 Table 36 Raw'!G90</f>
        <v>199.16296399999999</v>
      </c>
      <c r="E109" s="24">
        <f>'AEO 2023 Table 36 Raw'!H90</f>
        <v>195.80548099999999</v>
      </c>
      <c r="F109" s="24">
        <f>'AEO 2023 Table 36 Raw'!I90</f>
        <v>193.737213</v>
      </c>
      <c r="G109" s="24">
        <f>'AEO 2023 Table 36 Raw'!J90</f>
        <v>192.813141</v>
      </c>
      <c r="H109" s="24">
        <f>'AEO 2023 Table 36 Raw'!K90</f>
        <v>191.8974</v>
      </c>
      <c r="I109" s="24">
        <f>'AEO 2023 Table 36 Raw'!L90</f>
        <v>190.73350500000001</v>
      </c>
      <c r="J109" s="24">
        <f>'AEO 2023 Table 36 Raw'!M90</f>
        <v>189.210464</v>
      </c>
      <c r="K109" s="24">
        <f>'AEO 2023 Table 36 Raw'!N90</f>
        <v>187.40353400000001</v>
      </c>
      <c r="L109" s="24">
        <f>'AEO 2023 Table 36 Raw'!O90</f>
        <v>185.676941</v>
      </c>
      <c r="M109" s="24">
        <f>'AEO 2023 Table 36 Raw'!P90</f>
        <v>184.46688800000001</v>
      </c>
      <c r="N109" s="24">
        <f>'AEO 2023 Table 36 Raw'!Q90</f>
        <v>183.61003099999999</v>
      </c>
      <c r="O109" s="24">
        <f>'AEO 2023 Table 36 Raw'!R90</f>
        <v>182.77757299999999</v>
      </c>
      <c r="P109" s="24">
        <f>'AEO 2023 Table 36 Raw'!S90</f>
        <v>181.99818400000001</v>
      </c>
      <c r="Q109" s="24">
        <f>'AEO 2023 Table 36 Raw'!T90</f>
        <v>181.450287</v>
      </c>
      <c r="R109" s="24">
        <f>'AEO 2023 Table 36 Raw'!U90</f>
        <v>181.105515</v>
      </c>
      <c r="S109" s="24">
        <f>'AEO 2023 Table 36 Raw'!V90</f>
        <v>180.74588</v>
      </c>
      <c r="T109" s="24">
        <f>'AEO 2023 Table 36 Raw'!W90</f>
        <v>180.38298</v>
      </c>
      <c r="U109" s="24">
        <f>'AEO 2023 Table 36 Raw'!X90</f>
        <v>180.29542499999999</v>
      </c>
      <c r="V109" s="24">
        <f>'AEO 2023 Table 36 Raw'!Y90</f>
        <v>180.16119399999999</v>
      </c>
      <c r="W109" s="24">
        <f>'AEO 2023 Table 36 Raw'!Z90</f>
        <v>179.988022</v>
      </c>
      <c r="X109" s="24">
        <f>'AEO 2023 Table 36 Raw'!AA90</f>
        <v>179.81350699999999</v>
      </c>
      <c r="Y109" s="24">
        <f>'AEO 2023 Table 36 Raw'!AB90</f>
        <v>179.55651900000001</v>
      </c>
      <c r="Z109" s="24">
        <f>'AEO 2023 Table 36 Raw'!AC90</f>
        <v>179.24385100000001</v>
      </c>
      <c r="AA109" s="24">
        <f>'AEO 2023 Table 36 Raw'!AD90</f>
        <v>178.94970699999999</v>
      </c>
      <c r="AB109" s="24">
        <f>'AEO 2023 Table 36 Raw'!AE90</f>
        <v>178.72766100000001</v>
      </c>
      <c r="AC109" s="24">
        <f>'AEO 2023 Table 36 Raw'!AF90</f>
        <v>178.49087499999999</v>
      </c>
      <c r="AD109" s="24">
        <f>'AEO 2023 Table 36 Raw'!AG90</f>
        <v>178.228363</v>
      </c>
      <c r="AE109" s="24">
        <f>'AEO 2023 Table 36 Raw'!AH90</f>
        <v>178.15554800000001</v>
      </c>
      <c r="AF109" s="29">
        <f>'AEO 2023 Table 36 Raw'!AI90</f>
        <v>-5.0000000000000001E-3</v>
      </c>
    </row>
    <row r="110" spans="1:32" ht="15" customHeight="1">
      <c r="A110" s="18" t="s">
        <v>389</v>
      </c>
      <c r="B110" s="21" t="s">
        <v>390</v>
      </c>
      <c r="C110" s="24">
        <f>'AEO 2023 Table 36 Raw'!F91</f>
        <v>163.608734</v>
      </c>
      <c r="D110" s="24">
        <f>'AEO 2023 Table 36 Raw'!G91</f>
        <v>160.38700900000001</v>
      </c>
      <c r="E110" s="24">
        <f>'AEO 2023 Table 36 Raw'!H91</f>
        <v>157.42775</v>
      </c>
      <c r="F110" s="24">
        <f>'AEO 2023 Table 36 Raw'!I91</f>
        <v>155.51083399999999</v>
      </c>
      <c r="G110" s="24">
        <f>'AEO 2023 Table 36 Raw'!J91</f>
        <v>154.51499899999999</v>
      </c>
      <c r="H110" s="24">
        <f>'AEO 2023 Table 36 Raw'!K91</f>
        <v>153.52697800000001</v>
      </c>
      <c r="I110" s="24">
        <f>'AEO 2023 Table 36 Raw'!L91</f>
        <v>152.34193400000001</v>
      </c>
      <c r="J110" s="24">
        <f>'AEO 2023 Table 36 Raw'!M91</f>
        <v>150.872345</v>
      </c>
      <c r="K110" s="24">
        <f>'AEO 2023 Table 36 Raw'!N91</f>
        <v>149.17961099999999</v>
      </c>
      <c r="L110" s="24">
        <f>'AEO 2023 Table 36 Raw'!O91</f>
        <v>147.55435199999999</v>
      </c>
      <c r="M110" s="24">
        <f>'AEO 2023 Table 36 Raw'!P91</f>
        <v>146.34231600000001</v>
      </c>
      <c r="N110" s="24">
        <f>'AEO 2023 Table 36 Raw'!Q91</f>
        <v>145.41207900000001</v>
      </c>
      <c r="O110" s="24">
        <f>'AEO 2023 Table 36 Raw'!R91</f>
        <v>144.50224299999999</v>
      </c>
      <c r="P110" s="24">
        <f>'AEO 2023 Table 36 Raw'!S91</f>
        <v>143.63537600000001</v>
      </c>
      <c r="Q110" s="24">
        <f>'AEO 2023 Table 36 Raw'!T91</f>
        <v>142.95182800000001</v>
      </c>
      <c r="R110" s="24">
        <f>'AEO 2023 Table 36 Raw'!U91</f>
        <v>142.42834500000001</v>
      </c>
      <c r="S110" s="24">
        <f>'AEO 2023 Table 36 Raw'!V91</f>
        <v>141.89295999999999</v>
      </c>
      <c r="T110" s="24">
        <f>'AEO 2023 Table 36 Raw'!W91</f>
        <v>141.35481300000001</v>
      </c>
      <c r="U110" s="24">
        <f>'AEO 2023 Table 36 Raw'!X91</f>
        <v>141.03187600000001</v>
      </c>
      <c r="V110" s="24">
        <f>'AEO 2023 Table 36 Raw'!Y91</f>
        <v>140.67157</v>
      </c>
      <c r="W110" s="24">
        <f>'AEO 2023 Table 36 Raw'!Z91</f>
        <v>140.28007500000001</v>
      </c>
      <c r="X110" s="24">
        <f>'AEO 2023 Table 36 Raw'!AA91</f>
        <v>139.886841</v>
      </c>
      <c r="Y110" s="24">
        <f>'AEO 2023 Table 36 Raw'!AB91</f>
        <v>139.42889400000001</v>
      </c>
      <c r="Z110" s="24">
        <f>'AEO 2023 Table 36 Raw'!AC91</f>
        <v>138.927322</v>
      </c>
      <c r="AA110" s="24">
        <f>'AEO 2023 Table 36 Raw'!AD91</f>
        <v>138.439819</v>
      </c>
      <c r="AB110" s="24">
        <f>'AEO 2023 Table 36 Raw'!AE91</f>
        <v>138.00765999999999</v>
      </c>
      <c r="AC110" s="24">
        <f>'AEO 2023 Table 36 Raw'!AF91</f>
        <v>137.56359900000001</v>
      </c>
      <c r="AD110" s="24">
        <f>'AEO 2023 Table 36 Raw'!AG91</f>
        <v>137.09927400000001</v>
      </c>
      <c r="AE110" s="24">
        <f>'AEO 2023 Table 36 Raw'!AH91</f>
        <v>136.780182</v>
      </c>
      <c r="AF110" s="29">
        <f>'AEO 2023 Table 36 Raw'!AI91</f>
        <v>-6.0000000000000001E-3</v>
      </c>
    </row>
    <row r="111" spans="1:32" ht="15" customHeight="1">
      <c r="A111" s="18" t="s">
        <v>391</v>
      </c>
      <c r="B111" s="21" t="s">
        <v>274</v>
      </c>
      <c r="C111" s="24">
        <f>'AEO 2023 Table 36 Raw'!F92</f>
        <v>39.227898000000003</v>
      </c>
      <c r="D111" s="24">
        <f>'AEO 2023 Table 36 Raw'!G92</f>
        <v>38.775948</v>
      </c>
      <c r="E111" s="24">
        <f>'AEO 2023 Table 36 Raw'!H92</f>
        <v>38.377730999999997</v>
      </c>
      <c r="F111" s="24">
        <f>'AEO 2023 Table 36 Raw'!I92</f>
        <v>38.226379000000001</v>
      </c>
      <c r="G111" s="24">
        <f>'AEO 2023 Table 36 Raw'!J92</f>
        <v>38.298149000000002</v>
      </c>
      <c r="H111" s="24">
        <f>'AEO 2023 Table 36 Raw'!K92</f>
        <v>38.370418999999998</v>
      </c>
      <c r="I111" s="24">
        <f>'AEO 2023 Table 36 Raw'!L92</f>
        <v>38.391570999999999</v>
      </c>
      <c r="J111" s="24">
        <f>'AEO 2023 Table 36 Raw'!M92</f>
        <v>38.338120000000004</v>
      </c>
      <c r="K111" s="24">
        <f>'AEO 2023 Table 36 Raw'!N92</f>
        <v>38.223914999999998</v>
      </c>
      <c r="L111" s="24">
        <f>'AEO 2023 Table 36 Raw'!O92</f>
        <v>38.122588999999998</v>
      </c>
      <c r="M111" s="24">
        <f>'AEO 2023 Table 36 Raw'!P92</f>
        <v>38.124577000000002</v>
      </c>
      <c r="N111" s="24">
        <f>'AEO 2023 Table 36 Raw'!Q92</f>
        <v>38.197955999999998</v>
      </c>
      <c r="O111" s="24">
        <f>'AEO 2023 Table 36 Raw'!R92</f>
        <v>38.275326</v>
      </c>
      <c r="P111" s="24">
        <f>'AEO 2023 Table 36 Raw'!S92</f>
        <v>38.362803999999997</v>
      </c>
      <c r="Q111" s="24">
        <f>'AEO 2023 Table 36 Raw'!T92</f>
        <v>38.498458999999997</v>
      </c>
      <c r="R111" s="24">
        <f>'AEO 2023 Table 36 Raw'!U92</f>
        <v>38.677174000000001</v>
      </c>
      <c r="S111" s="24">
        <f>'AEO 2023 Table 36 Raw'!V92</f>
        <v>38.852927999999999</v>
      </c>
      <c r="T111" s="24">
        <f>'AEO 2023 Table 36 Raw'!W92</f>
        <v>39.028163999999997</v>
      </c>
      <c r="U111" s="24">
        <f>'AEO 2023 Table 36 Raw'!X92</f>
        <v>39.263545999999998</v>
      </c>
      <c r="V111" s="24">
        <f>'AEO 2023 Table 36 Raw'!Y92</f>
        <v>39.489632</v>
      </c>
      <c r="W111" s="24">
        <f>'AEO 2023 Table 36 Raw'!Z92</f>
        <v>39.707951000000001</v>
      </c>
      <c r="X111" s="24">
        <f>'AEO 2023 Table 36 Raw'!AA92</f>
        <v>39.926662</v>
      </c>
      <c r="Y111" s="24">
        <f>'AEO 2023 Table 36 Raw'!AB92</f>
        <v>40.127631999999998</v>
      </c>
      <c r="Z111" s="24">
        <f>'AEO 2023 Table 36 Raw'!AC92</f>
        <v>40.316527999999998</v>
      </c>
      <c r="AA111" s="24">
        <f>'AEO 2023 Table 36 Raw'!AD92</f>
        <v>40.509892000000001</v>
      </c>
      <c r="AB111" s="24">
        <f>'AEO 2023 Table 36 Raw'!AE92</f>
        <v>40.720008999999997</v>
      </c>
      <c r="AC111" s="24">
        <f>'AEO 2023 Table 36 Raw'!AF92</f>
        <v>40.927284</v>
      </c>
      <c r="AD111" s="24">
        <f>'AEO 2023 Table 36 Raw'!AG92</f>
        <v>41.129097000000002</v>
      </c>
      <c r="AE111" s="24">
        <f>'AEO 2023 Table 36 Raw'!AH92</f>
        <v>41.375362000000003</v>
      </c>
      <c r="AF111" s="29">
        <f>'AEO 2023 Table 36 Raw'!AI92</f>
        <v>2E-3</v>
      </c>
    </row>
    <row r="112" spans="1:32" ht="12" customHeight="1">
      <c r="C112" s="24"/>
      <c r="D112" s="24"/>
      <c r="E112" s="24"/>
      <c r="F112" s="24"/>
      <c r="G112" s="24"/>
      <c r="H112" s="24"/>
      <c r="I112" s="24"/>
      <c r="J112" s="24"/>
      <c r="K112" s="24"/>
      <c r="L112" s="24"/>
      <c r="M112" s="24"/>
      <c r="N112" s="24"/>
      <c r="O112" s="24"/>
      <c r="P112" s="24"/>
      <c r="Q112" s="24"/>
      <c r="R112" s="24"/>
      <c r="S112" s="24"/>
      <c r="T112" s="24"/>
      <c r="U112" s="24"/>
      <c r="V112" s="24"/>
      <c r="W112" s="24"/>
      <c r="X112" s="24"/>
      <c r="Y112" s="24"/>
      <c r="Z112" s="24"/>
      <c r="AA112" s="24"/>
      <c r="AB112" s="24"/>
      <c r="AC112" s="24"/>
      <c r="AD112" s="24"/>
      <c r="AE112" s="24"/>
      <c r="AF112" s="29"/>
    </row>
    <row r="113" spans="1:32" ht="15" customHeight="1">
      <c r="A113" s="18" t="s">
        <v>392</v>
      </c>
      <c r="B113" s="21" t="s">
        <v>4</v>
      </c>
      <c r="C113" s="24">
        <f>'AEO 2023 Table 36 Raw'!F93</f>
        <v>125.945221</v>
      </c>
      <c r="D113" s="24">
        <f>'AEO 2023 Table 36 Raw'!G93</f>
        <v>125.92506400000001</v>
      </c>
      <c r="E113" s="24">
        <f>'AEO 2023 Table 36 Raw'!H93</f>
        <v>126.01237500000001</v>
      </c>
      <c r="F113" s="24">
        <f>'AEO 2023 Table 36 Raw'!I93</f>
        <v>126.049858</v>
      </c>
      <c r="G113" s="24">
        <f>'AEO 2023 Table 36 Raw'!J93</f>
        <v>126.11367</v>
      </c>
      <c r="H113" s="24">
        <f>'AEO 2023 Table 36 Raw'!K93</f>
        <v>125.98440600000001</v>
      </c>
      <c r="I113" s="24">
        <f>'AEO 2023 Table 36 Raw'!L93</f>
        <v>125.852997</v>
      </c>
      <c r="J113" s="24">
        <f>'AEO 2023 Table 36 Raw'!M93</f>
        <v>125.755234</v>
      </c>
      <c r="K113" s="24">
        <f>'AEO 2023 Table 36 Raw'!N93</f>
        <v>125.652069</v>
      </c>
      <c r="L113" s="24">
        <f>'AEO 2023 Table 36 Raw'!O93</f>
        <v>125.54579200000001</v>
      </c>
      <c r="M113" s="24">
        <f>'AEO 2023 Table 36 Raw'!P93</f>
        <v>125.439178</v>
      </c>
      <c r="N113" s="24">
        <f>'AEO 2023 Table 36 Raw'!Q93</f>
        <v>125.330147</v>
      </c>
      <c r="O113" s="24">
        <f>'AEO 2023 Table 36 Raw'!R93</f>
        <v>125.250381</v>
      </c>
      <c r="P113" s="24">
        <f>'AEO 2023 Table 36 Raw'!S93</f>
        <v>125.225021</v>
      </c>
      <c r="Q113" s="24">
        <f>'AEO 2023 Table 36 Raw'!T93</f>
        <v>125.255257</v>
      </c>
      <c r="R113" s="24">
        <f>'AEO 2023 Table 36 Raw'!U93</f>
        <v>125.318207</v>
      </c>
      <c r="S113" s="24">
        <f>'AEO 2023 Table 36 Raw'!V93</f>
        <v>125.411896</v>
      </c>
      <c r="T113" s="24">
        <f>'AEO 2023 Table 36 Raw'!W93</f>
        <v>125.52668799999999</v>
      </c>
      <c r="U113" s="24">
        <f>'AEO 2023 Table 36 Raw'!X93</f>
        <v>125.666534</v>
      </c>
      <c r="V113" s="24">
        <f>'AEO 2023 Table 36 Raw'!Y93</f>
        <v>125.797371</v>
      </c>
      <c r="W113" s="24">
        <f>'AEO 2023 Table 36 Raw'!Z93</f>
        <v>125.925034</v>
      </c>
      <c r="X113" s="24">
        <f>'AEO 2023 Table 36 Raw'!AA93</f>
        <v>126.04557</v>
      </c>
      <c r="Y113" s="24">
        <f>'AEO 2023 Table 36 Raw'!AB93</f>
        <v>126.16628300000001</v>
      </c>
      <c r="Z113" s="24">
        <f>'AEO 2023 Table 36 Raw'!AC93</f>
        <v>126.32028200000001</v>
      </c>
      <c r="AA113" s="24">
        <f>'AEO 2023 Table 36 Raw'!AD93</f>
        <v>126.49239300000001</v>
      </c>
      <c r="AB113" s="24">
        <f>'AEO 2023 Table 36 Raw'!AE93</f>
        <v>126.66081200000001</v>
      </c>
      <c r="AC113" s="24">
        <f>'AEO 2023 Table 36 Raw'!AF93</f>
        <v>126.811455</v>
      </c>
      <c r="AD113" s="24">
        <f>'AEO 2023 Table 36 Raw'!AG93</f>
        <v>126.974289</v>
      </c>
      <c r="AE113" s="24">
        <f>'AEO 2023 Table 36 Raw'!AH93</f>
        <v>127.158676</v>
      </c>
      <c r="AF113" s="29">
        <f>'AEO 2023 Table 36 Raw'!AI93</f>
        <v>0</v>
      </c>
    </row>
    <row r="114" spans="1:32" ht="15" customHeight="1">
      <c r="A114" s="18" t="s">
        <v>393</v>
      </c>
      <c r="B114" s="21" t="s">
        <v>3</v>
      </c>
      <c r="C114" s="24">
        <f>'AEO 2023 Table 36 Raw'!F94</f>
        <v>905.73223900000005</v>
      </c>
      <c r="D114" s="24">
        <f>'AEO 2023 Table 36 Raw'!G94</f>
        <v>820.54260299999999</v>
      </c>
      <c r="E114" s="24">
        <f>'AEO 2023 Table 36 Raw'!H94</f>
        <v>760.982483</v>
      </c>
      <c r="F114" s="24">
        <f>'AEO 2023 Table 36 Raw'!I94</f>
        <v>726.75244099999998</v>
      </c>
      <c r="G114" s="24">
        <f>'AEO 2023 Table 36 Raw'!J94</f>
        <v>695.850098</v>
      </c>
      <c r="H114" s="24">
        <f>'AEO 2023 Table 36 Raw'!K94</f>
        <v>653.98541299999999</v>
      </c>
      <c r="I114" s="24">
        <f>'AEO 2023 Table 36 Raw'!L94</f>
        <v>613.92791699999998</v>
      </c>
      <c r="J114" s="24">
        <f>'AEO 2023 Table 36 Raw'!M94</f>
        <v>612.03295900000001</v>
      </c>
      <c r="K114" s="24">
        <f>'AEO 2023 Table 36 Raw'!N94</f>
        <v>610.31640600000003</v>
      </c>
      <c r="L114" s="24">
        <f>'AEO 2023 Table 36 Raw'!O94</f>
        <v>611.89654499999995</v>
      </c>
      <c r="M114" s="24">
        <f>'AEO 2023 Table 36 Raw'!P94</f>
        <v>617.76355000000001</v>
      </c>
      <c r="N114" s="24">
        <f>'AEO 2023 Table 36 Raw'!Q94</f>
        <v>626.28515600000003</v>
      </c>
      <c r="O114" s="24">
        <f>'AEO 2023 Table 36 Raw'!R94</f>
        <v>630.76672399999995</v>
      </c>
      <c r="P114" s="24">
        <f>'AEO 2023 Table 36 Raw'!S94</f>
        <v>633.47729500000003</v>
      </c>
      <c r="Q114" s="24">
        <f>'AEO 2023 Table 36 Raw'!T94</f>
        <v>634.00311299999998</v>
      </c>
      <c r="R114" s="24">
        <f>'AEO 2023 Table 36 Raw'!U94</f>
        <v>632.96820100000002</v>
      </c>
      <c r="S114" s="24">
        <f>'AEO 2023 Table 36 Raw'!V94</f>
        <v>637.83142099999998</v>
      </c>
      <c r="T114" s="24">
        <f>'AEO 2023 Table 36 Raw'!W94</f>
        <v>636.66796899999997</v>
      </c>
      <c r="U114" s="24">
        <f>'AEO 2023 Table 36 Raw'!X94</f>
        <v>645.807007</v>
      </c>
      <c r="V114" s="24">
        <f>'AEO 2023 Table 36 Raw'!Y94</f>
        <v>652.42675799999995</v>
      </c>
      <c r="W114" s="24">
        <f>'AEO 2023 Table 36 Raw'!Z94</f>
        <v>658.166382</v>
      </c>
      <c r="X114" s="24">
        <f>'AEO 2023 Table 36 Raw'!AA94</f>
        <v>660.99408000000005</v>
      </c>
      <c r="Y114" s="24">
        <f>'AEO 2023 Table 36 Raw'!AB94</f>
        <v>665.09454300000004</v>
      </c>
      <c r="Z114" s="24">
        <f>'AEO 2023 Table 36 Raw'!AC94</f>
        <v>669.20263699999998</v>
      </c>
      <c r="AA114" s="24">
        <f>'AEO 2023 Table 36 Raw'!AD94</f>
        <v>674.53369099999998</v>
      </c>
      <c r="AB114" s="24">
        <f>'AEO 2023 Table 36 Raw'!AE94</f>
        <v>682.13464399999998</v>
      </c>
      <c r="AC114" s="24">
        <f>'AEO 2023 Table 36 Raw'!AF94</f>
        <v>689.49054000000001</v>
      </c>
      <c r="AD114" s="24">
        <f>'AEO 2023 Table 36 Raw'!AG94</f>
        <v>691.88214100000005</v>
      </c>
      <c r="AE114" s="24">
        <f>'AEO 2023 Table 36 Raw'!AH94</f>
        <v>696.77728300000001</v>
      </c>
      <c r="AF114" s="29">
        <f>'AEO 2023 Table 36 Raw'!AI94</f>
        <v>-8.9999999999999993E-3</v>
      </c>
    </row>
    <row r="115" spans="1:32" ht="12" customHeight="1">
      <c r="C115" s="24"/>
      <c r="D115" s="24"/>
      <c r="E115" s="24"/>
      <c r="F115" s="24"/>
      <c r="G115" s="24"/>
      <c r="H115" s="24"/>
      <c r="I115" s="24"/>
      <c r="J115" s="24"/>
      <c r="K115" s="24"/>
      <c r="L115" s="24"/>
      <c r="M115" s="24"/>
      <c r="N115" s="24"/>
      <c r="O115" s="24"/>
      <c r="P115" s="24"/>
      <c r="Q115" s="24"/>
      <c r="R115" s="24"/>
      <c r="S115" s="24"/>
      <c r="T115" s="24"/>
      <c r="U115" s="24"/>
      <c r="V115" s="24"/>
      <c r="W115" s="24"/>
      <c r="X115" s="24"/>
      <c r="Y115" s="24"/>
      <c r="Z115" s="24"/>
      <c r="AA115" s="24"/>
      <c r="AB115" s="24"/>
      <c r="AC115" s="24"/>
      <c r="AD115" s="24"/>
      <c r="AE115" s="24"/>
      <c r="AF115" s="29"/>
    </row>
    <row r="116" spans="1:32" ht="15" customHeight="1">
      <c r="A116" s="18" t="s">
        <v>394</v>
      </c>
      <c r="B116" s="20" t="s">
        <v>2</v>
      </c>
      <c r="C116" s="24">
        <f>'AEO 2023 Table 36 Raw'!F95</f>
        <v>332.52310199999999</v>
      </c>
      <c r="D116" s="24">
        <f>'AEO 2023 Table 36 Raw'!G95</f>
        <v>377.97052000000002</v>
      </c>
      <c r="E116" s="24">
        <f>'AEO 2023 Table 36 Raw'!H95</f>
        <v>384.00460800000002</v>
      </c>
      <c r="F116" s="24">
        <f>'AEO 2023 Table 36 Raw'!I95</f>
        <v>408.78292800000003</v>
      </c>
      <c r="G116" s="24">
        <f>'AEO 2023 Table 36 Raw'!J95</f>
        <v>446.260651</v>
      </c>
      <c r="H116" s="24">
        <f>'AEO 2023 Table 36 Raw'!K95</f>
        <v>477.17263800000001</v>
      </c>
      <c r="I116" s="24">
        <f>'AEO 2023 Table 36 Raw'!L95</f>
        <v>503.61007699999999</v>
      </c>
      <c r="J116" s="24">
        <f>'AEO 2023 Table 36 Raw'!M95</f>
        <v>527.57086200000003</v>
      </c>
      <c r="K116" s="24">
        <f>'AEO 2023 Table 36 Raw'!N95</f>
        <v>577.96905500000003</v>
      </c>
      <c r="L116" s="24">
        <f>'AEO 2023 Table 36 Raw'!O95</f>
        <v>628.36724900000002</v>
      </c>
      <c r="M116" s="24">
        <f>'AEO 2023 Table 36 Raw'!P95</f>
        <v>680.00372300000004</v>
      </c>
      <c r="N116" s="24">
        <f>'AEO 2023 Table 36 Raw'!Q95</f>
        <v>729.163635</v>
      </c>
      <c r="O116" s="24">
        <f>'AEO 2023 Table 36 Raw'!R95</f>
        <v>771.16210899999999</v>
      </c>
      <c r="P116" s="24">
        <f>'AEO 2023 Table 36 Raw'!S95</f>
        <v>796.36120600000004</v>
      </c>
      <c r="Q116" s="24">
        <f>'AEO 2023 Table 36 Raw'!T95</f>
        <v>814.39892599999996</v>
      </c>
      <c r="R116" s="24">
        <f>'AEO 2023 Table 36 Raw'!U95</f>
        <v>829.96002199999998</v>
      </c>
      <c r="S116" s="24">
        <f>'AEO 2023 Table 36 Raw'!V95</f>
        <v>838.35974099999999</v>
      </c>
      <c r="T116" s="24">
        <f>'AEO 2023 Table 36 Raw'!W95</f>
        <v>838.35974099999999</v>
      </c>
      <c r="U116" s="24">
        <f>'AEO 2023 Table 36 Raw'!X95</f>
        <v>839.59802200000001</v>
      </c>
      <c r="V116" s="24">
        <f>'AEO 2023 Table 36 Raw'!Y95</f>
        <v>838.35974099999999</v>
      </c>
      <c r="W116" s="24">
        <f>'AEO 2023 Table 36 Raw'!Z95</f>
        <v>838.35974099999999</v>
      </c>
      <c r="X116" s="24">
        <f>'AEO 2023 Table 36 Raw'!AA95</f>
        <v>838.35974099999999</v>
      </c>
      <c r="Y116" s="24">
        <f>'AEO 2023 Table 36 Raw'!AB95</f>
        <v>839.59802200000001</v>
      </c>
      <c r="Z116" s="24">
        <f>'AEO 2023 Table 36 Raw'!AC95</f>
        <v>838.35974099999999</v>
      </c>
      <c r="AA116" s="24">
        <f>'AEO 2023 Table 36 Raw'!AD95</f>
        <v>838.35974099999999</v>
      </c>
      <c r="AB116" s="24">
        <f>'AEO 2023 Table 36 Raw'!AE95</f>
        <v>838.35974099999999</v>
      </c>
      <c r="AC116" s="24">
        <f>'AEO 2023 Table 36 Raw'!AF95</f>
        <v>839.59802200000001</v>
      </c>
      <c r="AD116" s="24">
        <f>'AEO 2023 Table 36 Raw'!AG95</f>
        <v>838.35974099999999</v>
      </c>
      <c r="AE116" s="24">
        <f>'AEO 2023 Table 36 Raw'!AH95</f>
        <v>838.35974099999999</v>
      </c>
      <c r="AF116" s="29">
        <f>'AEO 2023 Table 36 Raw'!AI95</f>
        <v>3.4000000000000002E-2</v>
      </c>
    </row>
    <row r="117" spans="1:32" ht="15" customHeight="1" thickBot="1"/>
    <row r="118" spans="1:32" ht="15" customHeight="1">
      <c r="B118" s="113" t="s">
        <v>395</v>
      </c>
      <c r="C118" s="114"/>
      <c r="D118" s="114"/>
      <c r="E118" s="114"/>
      <c r="F118" s="114"/>
      <c r="G118" s="114"/>
      <c r="H118" s="114"/>
      <c r="I118" s="114"/>
      <c r="J118" s="114"/>
      <c r="K118" s="114"/>
      <c r="L118" s="114"/>
      <c r="M118" s="114"/>
      <c r="N118" s="114"/>
      <c r="O118" s="114"/>
      <c r="P118" s="114"/>
      <c r="Q118" s="114"/>
      <c r="R118" s="114"/>
      <c r="S118" s="114"/>
      <c r="T118" s="114"/>
      <c r="U118" s="114"/>
      <c r="V118" s="114"/>
      <c r="W118" s="114"/>
      <c r="X118" s="114"/>
      <c r="Y118" s="114"/>
      <c r="Z118" s="114"/>
      <c r="AA118" s="114"/>
      <c r="AB118" s="114"/>
      <c r="AC118" s="114"/>
      <c r="AD118" s="114"/>
      <c r="AE118" s="114"/>
      <c r="AF118" s="114"/>
    </row>
    <row r="119" spans="1:32" ht="15" customHeight="1">
      <c r="B119" s="22" t="s">
        <v>396</v>
      </c>
    </row>
    <row r="120" spans="1:32" ht="15" customHeight="1">
      <c r="B120" s="22" t="s">
        <v>397</v>
      </c>
    </row>
    <row r="121" spans="1:32" ht="15" customHeight="1">
      <c r="B121" s="22" t="s">
        <v>398</v>
      </c>
    </row>
    <row r="122" spans="1:32" ht="15" customHeight="1">
      <c r="B122" s="22" t="s">
        <v>399</v>
      </c>
    </row>
    <row r="123" spans="1:32" ht="15" customHeight="1">
      <c r="B123" s="22" t="s">
        <v>262</v>
      </c>
    </row>
    <row r="124" spans="1:32" ht="15" customHeight="1">
      <c r="B124" s="22" t="s">
        <v>261</v>
      </c>
    </row>
    <row r="125" spans="1:32" ht="15" customHeight="1">
      <c r="B125" s="22" t="s">
        <v>400</v>
      </c>
    </row>
    <row r="126" spans="1:32" ht="15" customHeight="1">
      <c r="B126" s="22" t="s">
        <v>401</v>
      </c>
    </row>
    <row r="127" spans="1:32" ht="15" customHeight="1">
      <c r="A127" s="18"/>
      <c r="B127" s="21"/>
      <c r="C127" s="25"/>
      <c r="D127" s="25"/>
      <c r="E127" s="25"/>
      <c r="F127" s="25"/>
      <c r="G127" s="25"/>
      <c r="H127" s="25"/>
      <c r="I127" s="25"/>
      <c r="J127" s="25"/>
      <c r="K127" s="25"/>
      <c r="L127" s="25"/>
      <c r="M127" s="25"/>
      <c r="N127" s="25"/>
      <c r="O127" s="25"/>
      <c r="P127" s="25"/>
      <c r="Q127" s="25"/>
      <c r="R127" s="25"/>
      <c r="S127" s="25"/>
      <c r="T127" s="25"/>
      <c r="U127" s="25"/>
      <c r="V127" s="25"/>
      <c r="W127" s="25"/>
      <c r="X127" s="25"/>
      <c r="Y127" s="25"/>
      <c r="Z127" s="25"/>
      <c r="AA127" s="25"/>
      <c r="AB127" s="25"/>
      <c r="AC127" s="25"/>
      <c r="AD127" s="25"/>
      <c r="AE127" s="25"/>
      <c r="AF127" s="53"/>
    </row>
    <row r="128" spans="1:32" ht="12" customHeight="1">
      <c r="A128" s="18"/>
      <c r="B128" s="21"/>
      <c r="C128" s="25"/>
      <c r="D128" s="25"/>
      <c r="E128" s="25"/>
      <c r="F128" s="25"/>
      <c r="G128" s="25"/>
      <c r="H128" s="25"/>
      <c r="I128" s="25"/>
      <c r="J128" s="25"/>
      <c r="K128" s="25"/>
      <c r="L128" s="25"/>
      <c r="M128" s="25"/>
      <c r="N128" s="25"/>
      <c r="O128" s="25"/>
      <c r="P128" s="25"/>
      <c r="Q128" s="25"/>
      <c r="R128" s="25"/>
      <c r="S128" s="25"/>
      <c r="T128" s="25"/>
      <c r="U128" s="25"/>
      <c r="V128" s="25"/>
      <c r="W128" s="25"/>
      <c r="X128" s="25"/>
      <c r="Y128" s="25"/>
      <c r="Z128" s="25"/>
      <c r="AA128" s="25"/>
      <c r="AB128" s="25"/>
      <c r="AC128" s="25"/>
      <c r="AD128" s="25"/>
      <c r="AE128" s="25"/>
      <c r="AF128" s="53"/>
    </row>
    <row r="129" spans="1:32" ht="12" customHeight="1">
      <c r="A129" s="18"/>
      <c r="B129" s="21"/>
      <c r="C129" s="25"/>
      <c r="D129" s="25"/>
      <c r="E129" s="25"/>
      <c r="F129" s="25"/>
      <c r="G129" s="25"/>
      <c r="H129" s="25"/>
      <c r="I129" s="25"/>
      <c r="J129" s="25"/>
      <c r="K129" s="25"/>
      <c r="L129" s="25"/>
      <c r="M129" s="25"/>
      <c r="N129" s="25"/>
      <c r="O129" s="25"/>
      <c r="P129" s="25"/>
      <c r="Q129" s="25"/>
      <c r="R129" s="25"/>
      <c r="S129" s="25"/>
      <c r="T129" s="25"/>
      <c r="U129" s="25"/>
      <c r="V129" s="25"/>
      <c r="W129" s="25"/>
      <c r="X129" s="25"/>
      <c r="Y129" s="25"/>
      <c r="Z129" s="25"/>
      <c r="AA129" s="25"/>
      <c r="AB129" s="25"/>
      <c r="AC129" s="25"/>
      <c r="AD129" s="25"/>
      <c r="AE129" s="25"/>
      <c r="AF129" s="53"/>
    </row>
    <row r="130" spans="1:32" ht="12" customHeight="1">
      <c r="A130" s="18"/>
      <c r="B130" s="21"/>
      <c r="C130" s="25"/>
      <c r="D130" s="25"/>
      <c r="E130" s="25"/>
      <c r="F130" s="25"/>
      <c r="G130" s="25"/>
      <c r="H130" s="25"/>
      <c r="I130" s="25"/>
      <c r="J130" s="25"/>
      <c r="K130" s="25"/>
      <c r="L130" s="25"/>
      <c r="M130" s="25"/>
      <c r="N130" s="25"/>
      <c r="O130" s="25"/>
      <c r="P130" s="25"/>
      <c r="Q130" s="25"/>
      <c r="R130" s="25"/>
      <c r="S130" s="25"/>
      <c r="T130" s="25"/>
      <c r="U130" s="25"/>
      <c r="V130" s="25"/>
      <c r="W130" s="25"/>
      <c r="X130" s="25"/>
      <c r="Y130" s="25"/>
      <c r="Z130" s="25"/>
      <c r="AA130" s="25"/>
      <c r="AB130" s="25"/>
      <c r="AC130" s="25"/>
      <c r="AD130" s="25"/>
      <c r="AE130" s="25"/>
      <c r="AF130" s="53"/>
    </row>
    <row r="131" spans="1:32" ht="12" customHeight="1">
      <c r="A131" s="18"/>
      <c r="B131" s="21"/>
      <c r="C131" s="25"/>
      <c r="D131" s="25"/>
      <c r="E131" s="25"/>
      <c r="F131" s="25"/>
      <c r="G131" s="25"/>
      <c r="H131" s="25"/>
      <c r="I131" s="25"/>
      <c r="J131" s="25"/>
      <c r="K131" s="25"/>
      <c r="L131" s="25"/>
      <c r="M131" s="25"/>
      <c r="N131" s="25"/>
      <c r="O131" s="25"/>
      <c r="P131" s="25"/>
      <c r="Q131" s="25"/>
      <c r="R131" s="25"/>
      <c r="S131" s="25"/>
      <c r="T131" s="25"/>
      <c r="U131" s="25"/>
      <c r="V131" s="25"/>
      <c r="W131" s="25"/>
      <c r="X131" s="25"/>
      <c r="Y131" s="25"/>
      <c r="Z131" s="25"/>
      <c r="AA131" s="25"/>
      <c r="AB131" s="25"/>
      <c r="AC131" s="25"/>
      <c r="AD131" s="25"/>
      <c r="AE131" s="25"/>
      <c r="AF131" s="53"/>
    </row>
    <row r="132" spans="1:32" ht="12" customHeight="1">
      <c r="A132" s="18"/>
      <c r="B132" s="21"/>
      <c r="C132" s="25"/>
      <c r="D132" s="25"/>
      <c r="E132" s="25"/>
      <c r="F132" s="25"/>
      <c r="G132" s="25"/>
      <c r="H132" s="25"/>
      <c r="I132" s="25"/>
      <c r="J132" s="25"/>
      <c r="K132" s="25"/>
      <c r="L132" s="25"/>
      <c r="M132" s="25"/>
      <c r="N132" s="25"/>
      <c r="O132" s="25"/>
      <c r="P132" s="25"/>
      <c r="Q132" s="25"/>
      <c r="R132" s="25"/>
      <c r="S132" s="25"/>
      <c r="T132" s="25"/>
      <c r="U132" s="25"/>
      <c r="V132" s="25"/>
      <c r="W132" s="25"/>
      <c r="X132" s="25"/>
      <c r="Y132" s="25"/>
      <c r="Z132" s="25"/>
      <c r="AA132" s="25"/>
      <c r="AB132" s="25"/>
      <c r="AC132" s="25"/>
      <c r="AD132" s="25"/>
      <c r="AE132" s="25"/>
      <c r="AF132" s="53"/>
    </row>
    <row r="133" spans="1:32" ht="12" customHeight="1"/>
    <row r="134" spans="1:32" ht="12" customHeight="1">
      <c r="A134" s="18"/>
      <c r="B134" s="20"/>
      <c r="C134" s="24"/>
      <c r="D134" s="24"/>
      <c r="E134" s="24"/>
      <c r="F134" s="24"/>
      <c r="G134" s="24"/>
      <c r="H134" s="24"/>
      <c r="I134" s="24"/>
      <c r="J134" s="24"/>
      <c r="K134" s="24"/>
      <c r="L134" s="24"/>
      <c r="M134" s="24"/>
      <c r="N134" s="24"/>
      <c r="O134" s="24"/>
      <c r="P134" s="24"/>
      <c r="Q134" s="24"/>
      <c r="R134" s="24"/>
      <c r="S134" s="24"/>
      <c r="T134" s="24"/>
      <c r="U134" s="24"/>
      <c r="V134" s="24"/>
      <c r="W134" s="24"/>
      <c r="X134" s="24"/>
      <c r="Y134" s="24"/>
      <c r="Z134" s="24"/>
      <c r="AA134" s="24"/>
      <c r="AB134" s="24"/>
      <c r="AC134" s="24"/>
      <c r="AD134" s="24"/>
      <c r="AE134" s="24"/>
      <c r="AF134" s="29"/>
    </row>
    <row r="135" spans="1:32" ht="12" customHeight="1">
      <c r="A135" s="18"/>
      <c r="B135" s="21"/>
      <c r="C135" s="25"/>
      <c r="D135" s="25"/>
      <c r="E135" s="25"/>
      <c r="F135" s="25"/>
      <c r="G135" s="25"/>
      <c r="H135" s="25"/>
      <c r="I135" s="25"/>
      <c r="J135" s="25"/>
      <c r="K135" s="25"/>
      <c r="L135" s="25"/>
      <c r="M135" s="25"/>
      <c r="N135" s="25"/>
      <c r="O135" s="25"/>
      <c r="P135" s="25"/>
      <c r="Q135" s="25"/>
      <c r="R135" s="25"/>
      <c r="S135" s="25"/>
      <c r="T135" s="25"/>
      <c r="U135" s="25"/>
      <c r="V135" s="25"/>
      <c r="W135" s="25"/>
      <c r="X135" s="25"/>
      <c r="Y135" s="25"/>
      <c r="Z135" s="25"/>
      <c r="AA135" s="25"/>
      <c r="AB135" s="25"/>
      <c r="AC135" s="25"/>
      <c r="AD135" s="25"/>
      <c r="AE135" s="25"/>
      <c r="AF135" s="53"/>
    </row>
    <row r="136" spans="1:32" ht="12" customHeight="1">
      <c r="A136" s="18"/>
      <c r="B136" s="21"/>
      <c r="C136" s="25"/>
      <c r="D136" s="25"/>
      <c r="E136" s="25"/>
      <c r="F136" s="25"/>
      <c r="G136" s="25"/>
      <c r="H136" s="25"/>
      <c r="I136" s="25"/>
      <c r="J136" s="25"/>
      <c r="K136" s="25"/>
      <c r="L136" s="25"/>
      <c r="M136" s="25"/>
      <c r="N136" s="25"/>
      <c r="O136" s="25"/>
      <c r="P136" s="25"/>
      <c r="Q136" s="25"/>
      <c r="R136" s="25"/>
      <c r="S136" s="25"/>
      <c r="T136" s="25"/>
      <c r="U136" s="25"/>
      <c r="V136" s="25"/>
      <c r="W136" s="25"/>
      <c r="X136" s="25"/>
      <c r="Y136" s="25"/>
      <c r="Z136" s="25"/>
      <c r="AA136" s="25"/>
      <c r="AB136" s="25"/>
      <c r="AC136" s="25"/>
      <c r="AD136" s="25"/>
      <c r="AE136" s="25"/>
      <c r="AF136" s="53"/>
    </row>
    <row r="137" spans="1:32" ht="12" customHeight="1">
      <c r="A137" s="18"/>
      <c r="B137" s="21"/>
      <c r="C137" s="25"/>
      <c r="D137" s="25"/>
      <c r="E137" s="25"/>
      <c r="F137" s="25"/>
      <c r="G137" s="25"/>
      <c r="H137" s="25"/>
      <c r="I137" s="25"/>
      <c r="J137" s="25"/>
      <c r="K137" s="25"/>
      <c r="L137" s="25"/>
      <c r="M137" s="25"/>
      <c r="N137" s="25"/>
      <c r="O137" s="25"/>
      <c r="P137" s="25"/>
      <c r="Q137" s="25"/>
      <c r="R137" s="25"/>
      <c r="S137" s="25"/>
      <c r="T137" s="25"/>
      <c r="U137" s="25"/>
      <c r="V137" s="25"/>
      <c r="W137" s="25"/>
      <c r="X137" s="25"/>
      <c r="Y137" s="25"/>
      <c r="Z137" s="25"/>
      <c r="AA137" s="25"/>
      <c r="AB137" s="25"/>
      <c r="AC137" s="25"/>
      <c r="AD137" s="25"/>
      <c r="AE137" s="25"/>
      <c r="AF137" s="53"/>
    </row>
    <row r="138" spans="1:32" ht="12" customHeight="1">
      <c r="A138" s="18"/>
      <c r="B138" s="21"/>
      <c r="C138" s="25"/>
      <c r="D138" s="25"/>
      <c r="E138" s="25"/>
      <c r="F138" s="25"/>
      <c r="G138" s="25"/>
      <c r="H138" s="25"/>
      <c r="I138" s="25"/>
      <c r="J138" s="25"/>
      <c r="K138" s="25"/>
      <c r="L138" s="25"/>
      <c r="M138" s="25"/>
      <c r="N138" s="25"/>
      <c r="O138" s="25"/>
      <c r="P138" s="25"/>
      <c r="Q138" s="25"/>
      <c r="R138" s="25"/>
      <c r="S138" s="25"/>
      <c r="T138" s="25"/>
      <c r="U138" s="25"/>
      <c r="V138" s="25"/>
      <c r="W138" s="25"/>
      <c r="X138" s="25"/>
      <c r="Y138" s="25"/>
      <c r="Z138" s="25"/>
      <c r="AA138" s="25"/>
      <c r="AB138" s="25"/>
      <c r="AC138" s="25"/>
      <c r="AD138" s="25"/>
      <c r="AE138" s="25"/>
      <c r="AF138" s="53"/>
    </row>
    <row r="139" spans="1:32" ht="12" customHeight="1">
      <c r="A139" s="18"/>
      <c r="B139" s="21"/>
      <c r="C139" s="25"/>
      <c r="D139" s="25"/>
      <c r="E139" s="25"/>
      <c r="F139" s="25"/>
      <c r="G139" s="25"/>
      <c r="H139" s="25"/>
      <c r="I139" s="25"/>
      <c r="J139" s="25"/>
      <c r="K139" s="25"/>
      <c r="L139" s="25"/>
      <c r="M139" s="25"/>
      <c r="N139" s="25"/>
      <c r="O139" s="25"/>
      <c r="P139" s="25"/>
      <c r="Q139" s="25"/>
      <c r="R139" s="25"/>
      <c r="S139" s="25"/>
      <c r="T139" s="25"/>
      <c r="U139" s="25"/>
      <c r="V139" s="25"/>
      <c r="W139" s="25"/>
      <c r="X139" s="25"/>
      <c r="Y139" s="25"/>
      <c r="Z139" s="25"/>
      <c r="AA139" s="25"/>
      <c r="AB139" s="25"/>
      <c r="AC139" s="25"/>
      <c r="AD139" s="25"/>
      <c r="AE139" s="25"/>
      <c r="AF139" s="53"/>
    </row>
    <row r="140" spans="1:32" ht="12" customHeight="1">
      <c r="A140" s="18"/>
      <c r="B140" s="21"/>
      <c r="C140" s="25"/>
      <c r="D140" s="25"/>
      <c r="E140" s="25"/>
      <c r="F140" s="25"/>
      <c r="G140" s="25"/>
      <c r="H140" s="25"/>
      <c r="I140" s="25"/>
      <c r="J140" s="25"/>
      <c r="K140" s="25"/>
      <c r="L140" s="25"/>
      <c r="M140" s="25"/>
      <c r="N140" s="25"/>
      <c r="O140" s="25"/>
      <c r="P140" s="25"/>
      <c r="Q140" s="25"/>
      <c r="R140" s="25"/>
      <c r="S140" s="25"/>
      <c r="T140" s="25"/>
      <c r="U140" s="25"/>
      <c r="V140" s="25"/>
      <c r="W140" s="25"/>
      <c r="X140" s="25"/>
      <c r="Y140" s="25"/>
      <c r="Z140" s="25"/>
      <c r="AA140" s="25"/>
      <c r="AB140" s="25"/>
      <c r="AC140" s="25"/>
      <c r="AD140" s="25"/>
      <c r="AE140" s="25"/>
      <c r="AF140" s="53"/>
    </row>
    <row r="141" spans="1:32" ht="12" customHeight="1">
      <c r="A141" s="18"/>
      <c r="B141" s="21"/>
      <c r="C141" s="25"/>
      <c r="D141" s="25"/>
      <c r="E141" s="25"/>
      <c r="F141" s="25"/>
      <c r="G141" s="25"/>
      <c r="H141" s="25"/>
      <c r="I141" s="25"/>
      <c r="J141" s="25"/>
      <c r="K141" s="25"/>
      <c r="L141" s="25"/>
      <c r="M141" s="25"/>
      <c r="N141" s="25"/>
      <c r="O141" s="25"/>
      <c r="P141" s="25"/>
      <c r="Q141" s="25"/>
      <c r="R141" s="25"/>
      <c r="S141" s="25"/>
      <c r="T141" s="25"/>
      <c r="U141" s="25"/>
      <c r="V141" s="25"/>
      <c r="W141" s="25"/>
      <c r="X141" s="25"/>
      <c r="Y141" s="25"/>
      <c r="Z141" s="25"/>
      <c r="AA141" s="25"/>
      <c r="AB141" s="25"/>
      <c r="AC141" s="25"/>
      <c r="AD141" s="25"/>
      <c r="AE141" s="25"/>
      <c r="AF141" s="53"/>
    </row>
    <row r="142" spans="1:32" ht="12" customHeight="1"/>
    <row r="143" spans="1:32" ht="12" customHeight="1">
      <c r="A143" s="18"/>
      <c r="B143" s="20"/>
      <c r="C143" s="24"/>
      <c r="D143" s="24"/>
      <c r="E143" s="24"/>
      <c r="F143" s="24"/>
      <c r="G143" s="24"/>
      <c r="H143" s="24"/>
      <c r="I143" s="24"/>
      <c r="J143" s="24"/>
      <c r="K143" s="24"/>
      <c r="L143" s="24"/>
      <c r="M143" s="24"/>
      <c r="N143" s="24"/>
      <c r="O143" s="24"/>
      <c r="P143" s="24"/>
      <c r="Q143" s="24"/>
      <c r="R143" s="24"/>
      <c r="S143" s="24"/>
      <c r="T143" s="24"/>
      <c r="U143" s="24"/>
      <c r="V143" s="24"/>
      <c r="W143" s="24"/>
      <c r="X143" s="24"/>
      <c r="Y143" s="24"/>
      <c r="Z143" s="24"/>
      <c r="AA143" s="24"/>
      <c r="AB143" s="24"/>
      <c r="AC143" s="24"/>
      <c r="AD143" s="24"/>
      <c r="AE143" s="24"/>
      <c r="AF143" s="29"/>
    </row>
    <row r="144" spans="1:32" ht="12" customHeight="1">
      <c r="A144" s="18"/>
      <c r="B144" s="21"/>
      <c r="C144" s="25"/>
      <c r="D144" s="25"/>
      <c r="E144" s="25"/>
      <c r="F144" s="25"/>
      <c r="G144" s="25"/>
      <c r="H144" s="25"/>
      <c r="I144" s="25"/>
      <c r="J144" s="25"/>
      <c r="K144" s="25"/>
      <c r="L144" s="25"/>
      <c r="M144" s="25"/>
      <c r="N144" s="25"/>
      <c r="O144" s="25"/>
      <c r="P144" s="25"/>
      <c r="Q144" s="25"/>
      <c r="R144" s="25"/>
      <c r="S144" s="25"/>
      <c r="T144" s="25"/>
      <c r="U144" s="25"/>
      <c r="V144" s="25"/>
      <c r="W144" s="25"/>
      <c r="X144" s="25"/>
      <c r="Y144" s="25"/>
      <c r="Z144" s="25"/>
      <c r="AA144" s="25"/>
      <c r="AB144" s="25"/>
      <c r="AC144" s="25"/>
      <c r="AD144" s="25"/>
      <c r="AE144" s="25"/>
      <c r="AF144" s="53"/>
    </row>
    <row r="145" spans="1:32" ht="12" customHeight="1">
      <c r="A145" s="18"/>
      <c r="B145" s="21"/>
      <c r="C145" s="25"/>
      <c r="D145" s="25"/>
      <c r="E145" s="25"/>
      <c r="F145" s="25"/>
      <c r="G145" s="25"/>
      <c r="H145" s="25"/>
      <c r="I145" s="25"/>
      <c r="J145" s="25"/>
      <c r="K145" s="25"/>
      <c r="L145" s="25"/>
      <c r="M145" s="25"/>
      <c r="N145" s="25"/>
      <c r="O145" s="25"/>
      <c r="P145" s="25"/>
      <c r="Q145" s="25"/>
      <c r="R145" s="25"/>
      <c r="S145" s="25"/>
      <c r="T145" s="25"/>
      <c r="U145" s="25"/>
      <c r="V145" s="25"/>
      <c r="W145" s="25"/>
      <c r="X145" s="25"/>
      <c r="Y145" s="25"/>
      <c r="Z145" s="25"/>
      <c r="AA145" s="25"/>
      <c r="AB145" s="25"/>
      <c r="AC145" s="25"/>
      <c r="AD145" s="25"/>
      <c r="AE145" s="25"/>
      <c r="AF145" s="53"/>
    </row>
    <row r="146" spans="1:32" ht="12" customHeight="1">
      <c r="A146" s="18"/>
      <c r="B146" s="21"/>
      <c r="C146" s="25"/>
      <c r="D146" s="25"/>
      <c r="E146" s="25"/>
      <c r="F146" s="25"/>
      <c r="G146" s="25"/>
      <c r="H146" s="25"/>
      <c r="I146" s="25"/>
      <c r="J146" s="25"/>
      <c r="K146" s="25"/>
      <c r="L146" s="25"/>
      <c r="M146" s="25"/>
      <c r="N146" s="25"/>
      <c r="O146" s="25"/>
      <c r="P146" s="25"/>
      <c r="Q146" s="25"/>
      <c r="R146" s="25"/>
      <c r="S146" s="25"/>
      <c r="T146" s="25"/>
      <c r="U146" s="25"/>
      <c r="V146" s="25"/>
      <c r="W146" s="25"/>
      <c r="X146" s="25"/>
      <c r="Y146" s="25"/>
      <c r="Z146" s="25"/>
      <c r="AA146" s="25"/>
      <c r="AB146" s="25"/>
      <c r="AC146" s="25"/>
      <c r="AD146" s="25"/>
      <c r="AE146" s="25"/>
      <c r="AF146" s="53"/>
    </row>
    <row r="147" spans="1:32" ht="12" customHeight="1">
      <c r="A147" s="18"/>
      <c r="B147" s="21"/>
      <c r="C147" s="25"/>
      <c r="D147" s="25"/>
      <c r="E147" s="25"/>
      <c r="F147" s="25"/>
      <c r="G147" s="25"/>
      <c r="H147" s="25"/>
      <c r="I147" s="25"/>
      <c r="J147" s="25"/>
      <c r="K147" s="25"/>
      <c r="L147" s="25"/>
      <c r="M147" s="25"/>
      <c r="N147" s="25"/>
      <c r="O147" s="25"/>
      <c r="P147" s="25"/>
      <c r="Q147" s="25"/>
      <c r="R147" s="25"/>
      <c r="S147" s="25"/>
      <c r="T147" s="25"/>
      <c r="U147" s="25"/>
      <c r="V147" s="25"/>
      <c r="W147" s="25"/>
      <c r="X147" s="25"/>
      <c r="Y147" s="25"/>
      <c r="Z147" s="25"/>
      <c r="AA147" s="25"/>
      <c r="AB147" s="25"/>
      <c r="AC147" s="25"/>
      <c r="AD147" s="25"/>
      <c r="AE147" s="25"/>
      <c r="AF147" s="53"/>
    </row>
    <row r="148" spans="1:32" ht="12" customHeight="1">
      <c r="A148" s="18"/>
      <c r="B148" s="21"/>
      <c r="C148" s="25"/>
      <c r="D148" s="25"/>
      <c r="E148" s="25"/>
      <c r="F148" s="25"/>
      <c r="G148" s="25"/>
      <c r="H148" s="25"/>
      <c r="I148" s="25"/>
      <c r="J148" s="25"/>
      <c r="K148" s="25"/>
      <c r="L148" s="25"/>
      <c r="M148" s="25"/>
      <c r="N148" s="25"/>
      <c r="O148" s="25"/>
      <c r="P148" s="25"/>
      <c r="Q148" s="25"/>
      <c r="R148" s="25"/>
      <c r="S148" s="25"/>
      <c r="T148" s="25"/>
      <c r="U148" s="25"/>
      <c r="V148" s="25"/>
      <c r="W148" s="25"/>
      <c r="X148" s="25"/>
      <c r="Y148" s="25"/>
      <c r="Z148" s="25"/>
      <c r="AA148" s="25"/>
      <c r="AB148" s="25"/>
      <c r="AC148" s="25"/>
      <c r="AD148" s="25"/>
      <c r="AE148" s="25"/>
      <c r="AF148" s="53"/>
    </row>
    <row r="149" spans="1:32" ht="12" customHeight="1">
      <c r="A149" s="18"/>
      <c r="B149" s="21"/>
      <c r="C149" s="25"/>
      <c r="D149" s="25"/>
      <c r="E149" s="25"/>
      <c r="F149" s="25"/>
      <c r="G149" s="25"/>
      <c r="H149" s="25"/>
      <c r="I149" s="25"/>
      <c r="J149" s="25"/>
      <c r="K149" s="25"/>
      <c r="L149" s="25"/>
      <c r="M149" s="25"/>
      <c r="N149" s="25"/>
      <c r="O149" s="25"/>
      <c r="P149" s="25"/>
      <c r="Q149" s="25"/>
      <c r="R149" s="25"/>
      <c r="S149" s="25"/>
      <c r="T149" s="25"/>
      <c r="U149" s="25"/>
      <c r="V149" s="25"/>
      <c r="W149" s="25"/>
      <c r="X149" s="25"/>
      <c r="Y149" s="25"/>
      <c r="Z149" s="25"/>
      <c r="AA149" s="25"/>
      <c r="AB149" s="25"/>
      <c r="AC149" s="25"/>
      <c r="AD149" s="25"/>
      <c r="AE149" s="25"/>
      <c r="AF149" s="53"/>
    </row>
    <row r="150" spans="1:32" ht="15" customHeight="1">
      <c r="A150" s="18"/>
      <c r="B150" s="21"/>
      <c r="C150" s="25"/>
      <c r="D150" s="25"/>
      <c r="E150" s="25"/>
      <c r="F150" s="25"/>
      <c r="G150" s="25"/>
      <c r="H150" s="25"/>
      <c r="I150" s="25"/>
      <c r="J150" s="25"/>
      <c r="K150" s="25"/>
      <c r="L150" s="25"/>
      <c r="M150" s="25"/>
      <c r="N150" s="25"/>
      <c r="O150" s="25"/>
      <c r="P150" s="25"/>
      <c r="Q150" s="25"/>
      <c r="R150" s="25"/>
      <c r="S150" s="25"/>
      <c r="T150" s="25"/>
      <c r="U150" s="25"/>
      <c r="V150" s="25"/>
      <c r="W150" s="25"/>
      <c r="X150" s="25"/>
      <c r="Y150" s="25"/>
      <c r="Z150" s="25"/>
      <c r="AA150" s="25"/>
      <c r="AB150" s="25"/>
      <c r="AC150" s="25"/>
      <c r="AD150" s="25"/>
      <c r="AE150" s="25"/>
      <c r="AF150" s="53"/>
    </row>
    <row r="153" spans="1:32" ht="15" customHeight="1">
      <c r="A153" s="18"/>
      <c r="B153" s="20"/>
      <c r="C153" s="24"/>
      <c r="D153" s="24"/>
      <c r="E153" s="24"/>
      <c r="F153" s="24"/>
      <c r="G153" s="24"/>
      <c r="H153" s="24"/>
      <c r="I153" s="24"/>
      <c r="J153" s="24"/>
      <c r="K153" s="24"/>
      <c r="L153" s="24"/>
      <c r="M153" s="24"/>
      <c r="N153" s="24"/>
      <c r="O153" s="24"/>
      <c r="P153" s="24"/>
      <c r="Q153" s="24"/>
      <c r="R153" s="24"/>
      <c r="S153" s="24"/>
      <c r="T153" s="24"/>
      <c r="U153" s="24"/>
      <c r="V153" s="24"/>
      <c r="W153" s="24"/>
      <c r="X153" s="24"/>
      <c r="Y153" s="24"/>
      <c r="Z153" s="24"/>
      <c r="AA153" s="24"/>
      <c r="AB153" s="24"/>
      <c r="AC153" s="24"/>
      <c r="AD153" s="24"/>
      <c r="AE153" s="24"/>
      <c r="AF153" s="29"/>
    </row>
    <row r="154" spans="1:32" ht="15" customHeight="1">
      <c r="A154" s="18"/>
      <c r="B154" s="21"/>
      <c r="C154" s="25"/>
      <c r="D154" s="25"/>
      <c r="E154" s="25"/>
      <c r="F154" s="25"/>
      <c r="G154" s="25"/>
      <c r="H154" s="25"/>
      <c r="I154" s="25"/>
      <c r="J154" s="25"/>
      <c r="K154" s="25"/>
      <c r="L154" s="25"/>
      <c r="M154" s="25"/>
      <c r="N154" s="25"/>
      <c r="O154" s="25"/>
      <c r="P154" s="25"/>
      <c r="Q154" s="25"/>
      <c r="R154" s="25"/>
      <c r="S154" s="25"/>
      <c r="T154" s="25"/>
      <c r="U154" s="25"/>
      <c r="V154" s="25"/>
      <c r="W154" s="25"/>
      <c r="X154" s="25"/>
      <c r="Y154" s="25"/>
      <c r="Z154" s="25"/>
      <c r="AA154" s="25"/>
      <c r="AB154" s="25"/>
      <c r="AC154" s="25"/>
      <c r="AD154" s="25"/>
      <c r="AE154" s="25"/>
      <c r="AF154" s="53"/>
    </row>
    <row r="155" spans="1:32" ht="15" customHeight="1">
      <c r="A155" s="18"/>
      <c r="B155" s="21"/>
      <c r="C155" s="25"/>
      <c r="D155" s="25"/>
      <c r="E155" s="25"/>
      <c r="F155" s="25"/>
      <c r="G155" s="25"/>
      <c r="H155" s="25"/>
      <c r="I155" s="25"/>
      <c r="J155" s="25"/>
      <c r="K155" s="25"/>
      <c r="L155" s="25"/>
      <c r="M155" s="25"/>
      <c r="N155" s="25"/>
      <c r="O155" s="25"/>
      <c r="P155" s="25"/>
      <c r="Q155" s="25"/>
      <c r="R155" s="25"/>
      <c r="S155" s="25"/>
      <c r="T155" s="25"/>
      <c r="U155" s="25"/>
      <c r="V155" s="25"/>
      <c r="W155" s="25"/>
      <c r="X155" s="25"/>
      <c r="Y155" s="25"/>
      <c r="Z155" s="25"/>
      <c r="AA155" s="25"/>
      <c r="AB155" s="25"/>
      <c r="AC155" s="25"/>
      <c r="AD155" s="25"/>
      <c r="AE155" s="25"/>
      <c r="AF155" s="53"/>
    </row>
    <row r="156" spans="1:32" ht="15" customHeight="1">
      <c r="A156" s="18"/>
      <c r="B156" s="21"/>
      <c r="C156" s="25"/>
      <c r="D156" s="25"/>
      <c r="E156" s="25"/>
      <c r="F156" s="25"/>
      <c r="G156" s="25"/>
      <c r="H156" s="25"/>
      <c r="I156" s="25"/>
      <c r="J156" s="25"/>
      <c r="K156" s="25"/>
      <c r="L156" s="25"/>
      <c r="M156" s="25"/>
      <c r="N156" s="25"/>
      <c r="O156" s="25"/>
      <c r="P156" s="25"/>
      <c r="Q156" s="25"/>
      <c r="R156" s="25"/>
      <c r="S156" s="25"/>
      <c r="T156" s="25"/>
      <c r="U156" s="25"/>
      <c r="V156" s="25"/>
      <c r="W156" s="25"/>
      <c r="X156" s="25"/>
      <c r="Y156" s="25"/>
      <c r="Z156" s="25"/>
      <c r="AA156" s="25"/>
      <c r="AB156" s="25"/>
      <c r="AC156" s="25"/>
      <c r="AD156" s="25"/>
      <c r="AE156" s="25"/>
      <c r="AF156" s="53"/>
    </row>
    <row r="157" spans="1:32" ht="15" customHeight="1">
      <c r="A157" s="18"/>
      <c r="B157" s="21"/>
      <c r="C157" s="25"/>
      <c r="D157" s="25"/>
      <c r="E157" s="25"/>
      <c r="F157" s="25"/>
      <c r="G157" s="25"/>
      <c r="H157" s="25"/>
      <c r="I157" s="25"/>
      <c r="J157" s="25"/>
      <c r="K157" s="25"/>
      <c r="L157" s="25"/>
      <c r="M157" s="25"/>
      <c r="N157" s="25"/>
      <c r="O157" s="25"/>
      <c r="P157" s="25"/>
      <c r="Q157" s="25"/>
      <c r="R157" s="25"/>
      <c r="S157" s="25"/>
      <c r="T157" s="25"/>
      <c r="U157" s="25"/>
      <c r="V157" s="25"/>
      <c r="W157" s="25"/>
      <c r="X157" s="25"/>
      <c r="Y157" s="25"/>
      <c r="Z157" s="25"/>
      <c r="AA157" s="25"/>
      <c r="AB157" s="25"/>
      <c r="AC157" s="25"/>
      <c r="AD157" s="25"/>
      <c r="AE157" s="25"/>
      <c r="AF157" s="53"/>
    </row>
    <row r="159" spans="1:32" ht="15" customHeight="1">
      <c r="A159" s="18"/>
      <c r="B159" s="20"/>
      <c r="C159" s="24"/>
      <c r="D159" s="24"/>
      <c r="E159" s="24"/>
      <c r="F159" s="24"/>
      <c r="G159" s="24"/>
      <c r="H159" s="24"/>
      <c r="I159" s="24"/>
      <c r="J159" s="24"/>
      <c r="K159" s="24"/>
      <c r="L159" s="24"/>
      <c r="M159" s="24"/>
      <c r="N159" s="24"/>
      <c r="O159" s="24"/>
      <c r="P159" s="24"/>
      <c r="Q159" s="24"/>
      <c r="R159" s="24"/>
      <c r="S159" s="24"/>
      <c r="T159" s="24"/>
      <c r="U159" s="24"/>
      <c r="V159" s="24"/>
      <c r="W159" s="24"/>
      <c r="X159" s="24"/>
      <c r="Y159" s="24"/>
      <c r="Z159" s="24"/>
      <c r="AA159" s="24"/>
      <c r="AB159" s="24"/>
      <c r="AC159" s="24"/>
      <c r="AD159" s="24"/>
      <c r="AE159" s="24"/>
      <c r="AF159" s="29"/>
    </row>
    <row r="160" spans="1:32" ht="15" customHeight="1">
      <c r="A160" s="18"/>
      <c r="B160" s="21"/>
      <c r="C160" s="25"/>
      <c r="D160" s="25"/>
      <c r="E160" s="25"/>
      <c r="F160" s="25"/>
      <c r="G160" s="25"/>
      <c r="H160" s="25"/>
      <c r="I160" s="25"/>
      <c r="J160" s="25"/>
      <c r="K160" s="25"/>
      <c r="L160" s="25"/>
      <c r="M160" s="25"/>
      <c r="N160" s="25"/>
      <c r="O160" s="25"/>
      <c r="P160" s="25"/>
      <c r="Q160" s="25"/>
      <c r="R160" s="25"/>
      <c r="S160" s="25"/>
      <c r="T160" s="25"/>
      <c r="U160" s="25"/>
      <c r="V160" s="25"/>
      <c r="W160" s="25"/>
      <c r="X160" s="25"/>
      <c r="Y160" s="25"/>
      <c r="Z160" s="25"/>
      <c r="AA160" s="25"/>
      <c r="AB160" s="25"/>
      <c r="AC160" s="25"/>
      <c r="AD160" s="25"/>
      <c r="AE160" s="25"/>
      <c r="AF160" s="53"/>
    </row>
    <row r="161" spans="1:32" ht="15" customHeight="1">
      <c r="A161" s="18"/>
      <c r="B161" s="21"/>
      <c r="C161" s="25"/>
      <c r="D161" s="25"/>
      <c r="E161" s="25"/>
      <c r="F161" s="25"/>
      <c r="G161" s="25"/>
      <c r="H161" s="25"/>
      <c r="I161" s="25"/>
      <c r="J161" s="25"/>
      <c r="K161" s="25"/>
      <c r="L161" s="25"/>
      <c r="M161" s="25"/>
      <c r="N161" s="25"/>
      <c r="O161" s="25"/>
      <c r="P161" s="25"/>
      <c r="Q161" s="25"/>
      <c r="R161" s="25"/>
      <c r="S161" s="25"/>
      <c r="T161" s="25"/>
      <c r="U161" s="25"/>
      <c r="V161" s="25"/>
      <c r="W161" s="25"/>
      <c r="X161" s="25"/>
      <c r="Y161" s="25"/>
      <c r="Z161" s="25"/>
      <c r="AA161" s="25"/>
      <c r="AB161" s="25"/>
      <c r="AC161" s="25"/>
      <c r="AD161" s="25"/>
      <c r="AE161" s="25"/>
      <c r="AF161" s="53"/>
    </row>
    <row r="162" spans="1:32" ht="15" customHeight="1">
      <c r="A162" s="18"/>
      <c r="B162" s="21"/>
      <c r="C162" s="25"/>
      <c r="D162" s="25"/>
      <c r="E162" s="25"/>
      <c r="F162" s="25"/>
      <c r="G162" s="25"/>
      <c r="H162" s="25"/>
      <c r="I162" s="25"/>
      <c r="J162" s="25"/>
      <c r="K162" s="25"/>
      <c r="L162" s="25"/>
      <c r="M162" s="25"/>
      <c r="N162" s="25"/>
      <c r="O162" s="25"/>
      <c r="P162" s="25"/>
      <c r="Q162" s="25"/>
      <c r="R162" s="25"/>
      <c r="S162" s="25"/>
      <c r="T162" s="25"/>
      <c r="U162" s="25"/>
      <c r="V162" s="25"/>
      <c r="W162" s="25"/>
      <c r="X162" s="25"/>
      <c r="Y162" s="25"/>
      <c r="Z162" s="25"/>
      <c r="AA162" s="25"/>
      <c r="AB162" s="25"/>
      <c r="AC162" s="25"/>
      <c r="AD162" s="25"/>
      <c r="AE162" s="25"/>
      <c r="AF162" s="53"/>
    </row>
    <row r="163" spans="1:32" ht="12" customHeight="1">
      <c r="A163" s="18"/>
      <c r="B163" s="21"/>
      <c r="C163" s="25"/>
      <c r="D163" s="25"/>
      <c r="E163" s="25"/>
      <c r="F163" s="25"/>
      <c r="G163" s="25"/>
      <c r="H163" s="25"/>
      <c r="I163" s="25"/>
      <c r="J163" s="25"/>
      <c r="K163" s="25"/>
      <c r="L163" s="25"/>
      <c r="M163" s="25"/>
      <c r="N163" s="25"/>
      <c r="O163" s="25"/>
      <c r="P163" s="25"/>
      <c r="Q163" s="25"/>
      <c r="R163" s="25"/>
      <c r="S163" s="25"/>
      <c r="T163" s="25"/>
      <c r="U163" s="25"/>
      <c r="V163" s="25"/>
      <c r="W163" s="25"/>
      <c r="X163" s="25"/>
      <c r="Y163" s="25"/>
      <c r="Z163" s="25"/>
      <c r="AA163" s="25"/>
      <c r="AB163" s="25"/>
      <c r="AC163" s="25"/>
      <c r="AD163" s="25"/>
      <c r="AE163" s="25"/>
      <c r="AF163" s="53"/>
    </row>
    <row r="165" spans="1:32" ht="15" customHeight="1">
      <c r="A165" s="18"/>
      <c r="B165" s="20"/>
      <c r="C165" s="24"/>
      <c r="D165" s="24"/>
      <c r="E165" s="24"/>
      <c r="F165" s="24"/>
      <c r="G165" s="24"/>
      <c r="H165" s="24"/>
      <c r="I165" s="24"/>
      <c r="J165" s="24"/>
      <c r="K165" s="24"/>
      <c r="L165" s="24"/>
      <c r="M165" s="24"/>
      <c r="N165" s="24"/>
      <c r="O165" s="24"/>
      <c r="P165" s="24"/>
      <c r="Q165" s="24"/>
      <c r="R165" s="24"/>
      <c r="S165" s="24"/>
      <c r="T165" s="24"/>
      <c r="U165" s="24"/>
      <c r="V165" s="24"/>
      <c r="W165" s="24"/>
      <c r="X165" s="24"/>
      <c r="Y165" s="24"/>
      <c r="Z165" s="24"/>
      <c r="AA165" s="24"/>
      <c r="AB165" s="24"/>
      <c r="AC165" s="24"/>
      <c r="AD165" s="24"/>
      <c r="AE165" s="24"/>
      <c r="AF165" s="29"/>
    </row>
    <row r="166" spans="1:32" ht="15" customHeight="1">
      <c r="A166" s="18"/>
      <c r="B166" s="21"/>
      <c r="C166" s="25"/>
      <c r="D166" s="25"/>
      <c r="E166" s="25"/>
      <c r="F166" s="25"/>
      <c r="G166" s="25"/>
      <c r="H166" s="25"/>
      <c r="I166" s="25"/>
      <c r="J166" s="25"/>
      <c r="K166" s="25"/>
      <c r="L166" s="25"/>
      <c r="M166" s="25"/>
      <c r="N166" s="25"/>
      <c r="O166" s="25"/>
      <c r="P166" s="25"/>
      <c r="Q166" s="25"/>
      <c r="R166" s="25"/>
      <c r="S166" s="25"/>
      <c r="T166" s="25"/>
      <c r="U166" s="25"/>
      <c r="V166" s="25"/>
      <c r="W166" s="25"/>
      <c r="X166" s="25"/>
      <c r="Y166" s="25"/>
      <c r="Z166" s="25"/>
      <c r="AA166" s="25"/>
      <c r="AB166" s="25"/>
      <c r="AC166" s="25"/>
      <c r="AD166" s="25"/>
      <c r="AE166" s="25"/>
      <c r="AF166" s="53"/>
    </row>
    <row r="167" spans="1:32" ht="15" customHeight="1">
      <c r="A167" s="18"/>
      <c r="B167" s="21"/>
      <c r="C167" s="25"/>
      <c r="D167" s="25"/>
      <c r="E167" s="25"/>
      <c r="F167" s="25"/>
      <c r="G167" s="25"/>
      <c r="H167" s="25"/>
      <c r="I167" s="25"/>
      <c r="J167" s="25"/>
      <c r="K167" s="25"/>
      <c r="L167" s="25"/>
      <c r="M167" s="25"/>
      <c r="N167" s="25"/>
      <c r="O167" s="25"/>
      <c r="P167" s="25"/>
      <c r="Q167" s="25"/>
      <c r="R167" s="25"/>
      <c r="S167" s="25"/>
      <c r="T167" s="25"/>
      <c r="U167" s="25"/>
      <c r="V167" s="25"/>
      <c r="W167" s="25"/>
      <c r="X167" s="25"/>
      <c r="Y167" s="25"/>
      <c r="Z167" s="25"/>
      <c r="AA167" s="25"/>
      <c r="AB167" s="25"/>
      <c r="AC167" s="25"/>
      <c r="AD167" s="25"/>
      <c r="AE167" s="25"/>
      <c r="AF167" s="53"/>
    </row>
    <row r="168" spans="1:32" ht="15" customHeight="1">
      <c r="A168" s="18"/>
      <c r="B168" s="21"/>
      <c r="C168" s="25"/>
      <c r="D168" s="25"/>
      <c r="E168" s="25"/>
      <c r="F168" s="25"/>
      <c r="G168" s="25"/>
      <c r="H168" s="25"/>
      <c r="I168" s="25"/>
      <c r="J168" s="25"/>
      <c r="K168" s="25"/>
      <c r="L168" s="25"/>
      <c r="M168" s="25"/>
      <c r="N168" s="25"/>
      <c r="O168" s="25"/>
      <c r="P168" s="25"/>
      <c r="Q168" s="25"/>
      <c r="R168" s="25"/>
      <c r="S168" s="25"/>
      <c r="T168" s="25"/>
      <c r="U168" s="25"/>
      <c r="V168" s="25"/>
      <c r="W168" s="25"/>
      <c r="X168" s="25"/>
      <c r="Y168" s="25"/>
      <c r="Z168" s="25"/>
      <c r="AA168" s="25"/>
      <c r="AB168" s="25"/>
      <c r="AC168" s="25"/>
      <c r="AD168" s="25"/>
      <c r="AE168" s="25"/>
      <c r="AF168" s="53"/>
    </row>
    <row r="169" spans="1:32" ht="15" customHeight="1">
      <c r="A169" s="18"/>
      <c r="B169" s="21"/>
      <c r="C169" s="25"/>
      <c r="D169" s="25"/>
      <c r="E169" s="25"/>
      <c r="F169" s="25"/>
      <c r="G169" s="25"/>
      <c r="H169" s="25"/>
      <c r="I169" s="25"/>
      <c r="J169" s="25"/>
      <c r="K169" s="25"/>
      <c r="L169" s="25"/>
      <c r="M169" s="25"/>
      <c r="N169" s="25"/>
      <c r="O169" s="25"/>
      <c r="P169" s="25"/>
      <c r="Q169" s="25"/>
      <c r="R169" s="25"/>
      <c r="S169" s="25"/>
      <c r="T169" s="25"/>
      <c r="U169" s="25"/>
      <c r="V169" s="25"/>
      <c r="W169" s="25"/>
      <c r="X169" s="25"/>
      <c r="Y169" s="25"/>
      <c r="Z169" s="25"/>
      <c r="AA169" s="25"/>
      <c r="AB169" s="25"/>
      <c r="AC169" s="25"/>
      <c r="AD169" s="25"/>
      <c r="AE169" s="25"/>
      <c r="AF169" s="53"/>
    </row>
    <row r="171" spans="1:32" ht="15" customHeight="1">
      <c r="A171" s="18"/>
      <c r="B171" s="20"/>
      <c r="C171" s="24"/>
      <c r="D171" s="24"/>
      <c r="E171" s="24"/>
      <c r="F171" s="24"/>
      <c r="G171" s="24"/>
      <c r="H171" s="24"/>
      <c r="I171" s="24"/>
      <c r="J171" s="24"/>
      <c r="K171" s="24"/>
      <c r="L171" s="24"/>
      <c r="M171" s="24"/>
      <c r="N171" s="24"/>
      <c r="O171" s="24"/>
      <c r="P171" s="24"/>
      <c r="Q171" s="24"/>
      <c r="R171" s="24"/>
      <c r="S171" s="24"/>
      <c r="T171" s="24"/>
      <c r="U171" s="24"/>
      <c r="V171" s="24"/>
      <c r="W171" s="24"/>
      <c r="X171" s="24"/>
      <c r="Y171" s="24"/>
      <c r="Z171" s="24"/>
      <c r="AA171" s="24"/>
      <c r="AB171" s="24"/>
      <c r="AC171" s="24"/>
      <c r="AD171" s="24"/>
      <c r="AE171" s="24"/>
      <c r="AF171" s="29"/>
    </row>
    <row r="172" spans="1:32" ht="12" customHeight="1">
      <c r="A172" s="18"/>
      <c r="B172" s="21"/>
      <c r="C172" s="25"/>
      <c r="D172" s="25"/>
      <c r="E172" s="25"/>
      <c r="F172" s="25"/>
      <c r="G172" s="25"/>
      <c r="H172" s="25"/>
      <c r="I172" s="25"/>
      <c r="J172" s="25"/>
      <c r="K172" s="25"/>
      <c r="L172" s="25"/>
      <c r="M172" s="25"/>
      <c r="N172" s="25"/>
      <c r="O172" s="25"/>
      <c r="P172" s="25"/>
      <c r="Q172" s="25"/>
      <c r="R172" s="25"/>
      <c r="S172" s="25"/>
      <c r="T172" s="25"/>
      <c r="U172" s="25"/>
      <c r="V172" s="25"/>
      <c r="W172" s="25"/>
      <c r="X172" s="25"/>
      <c r="Y172" s="25"/>
      <c r="Z172" s="25"/>
      <c r="AA172" s="25"/>
      <c r="AB172" s="25"/>
      <c r="AC172" s="25"/>
      <c r="AD172" s="25"/>
      <c r="AE172" s="25"/>
      <c r="AF172" s="53"/>
    </row>
    <row r="173" spans="1:32" ht="15" customHeight="1">
      <c r="A173" s="18"/>
      <c r="B173" s="21"/>
      <c r="C173" s="25"/>
      <c r="D173" s="25"/>
      <c r="E173" s="25"/>
      <c r="F173" s="25"/>
      <c r="G173" s="25"/>
      <c r="H173" s="25"/>
      <c r="I173" s="25"/>
      <c r="J173" s="25"/>
      <c r="K173" s="25"/>
      <c r="L173" s="25"/>
      <c r="M173" s="25"/>
      <c r="N173" s="25"/>
      <c r="O173" s="25"/>
      <c r="P173" s="25"/>
      <c r="Q173" s="25"/>
      <c r="R173" s="25"/>
      <c r="S173" s="25"/>
      <c r="T173" s="25"/>
      <c r="U173" s="25"/>
      <c r="V173" s="25"/>
      <c r="W173" s="25"/>
      <c r="X173" s="25"/>
      <c r="Y173" s="25"/>
      <c r="Z173" s="25"/>
      <c r="AA173" s="25"/>
      <c r="AB173" s="25"/>
      <c r="AC173" s="25"/>
      <c r="AD173" s="25"/>
      <c r="AE173" s="25"/>
      <c r="AF173" s="53"/>
    </row>
    <row r="175" spans="1:32" ht="15" customHeight="1">
      <c r="A175" s="18"/>
      <c r="B175" s="20"/>
      <c r="C175" s="24"/>
      <c r="D175" s="24"/>
      <c r="E175" s="24"/>
      <c r="F175" s="24"/>
      <c r="G175" s="24"/>
      <c r="H175" s="24"/>
      <c r="I175" s="24"/>
      <c r="J175" s="24"/>
      <c r="K175" s="24"/>
      <c r="L175" s="24"/>
      <c r="M175" s="24"/>
      <c r="N175" s="24"/>
      <c r="O175" s="24"/>
      <c r="P175" s="24"/>
      <c r="Q175" s="24"/>
      <c r="R175" s="24"/>
      <c r="S175" s="24"/>
      <c r="T175" s="24"/>
      <c r="U175" s="24"/>
      <c r="V175" s="24"/>
      <c r="W175" s="24"/>
      <c r="X175" s="24"/>
      <c r="Y175" s="24"/>
      <c r="Z175" s="24"/>
      <c r="AA175" s="24"/>
      <c r="AB175" s="24"/>
      <c r="AC175" s="24"/>
      <c r="AD175" s="24"/>
      <c r="AE175" s="24"/>
      <c r="AF175" s="29"/>
    </row>
    <row r="176" spans="1:32" ht="15" customHeight="1">
      <c r="A176" s="18"/>
      <c r="B176" s="21"/>
      <c r="C176" s="25"/>
      <c r="D176" s="25"/>
      <c r="E176" s="25"/>
      <c r="F176" s="25"/>
      <c r="G176" s="25"/>
      <c r="H176" s="25"/>
      <c r="I176" s="25"/>
      <c r="J176" s="25"/>
      <c r="K176" s="25"/>
      <c r="L176" s="25"/>
      <c r="M176" s="25"/>
      <c r="N176" s="25"/>
      <c r="O176" s="25"/>
      <c r="P176" s="25"/>
      <c r="Q176" s="25"/>
      <c r="R176" s="25"/>
      <c r="S176" s="25"/>
      <c r="T176" s="25"/>
      <c r="U176" s="25"/>
      <c r="V176" s="25"/>
      <c r="W176" s="25"/>
      <c r="X176" s="25"/>
      <c r="Y176" s="25"/>
      <c r="Z176" s="25"/>
      <c r="AA176" s="25"/>
      <c r="AB176" s="25"/>
      <c r="AC176" s="25"/>
      <c r="AD176" s="25"/>
      <c r="AE176" s="25"/>
      <c r="AF176" s="53"/>
    </row>
    <row r="177" spans="1:32" ht="15" customHeight="1">
      <c r="A177" s="18"/>
      <c r="B177" s="21"/>
      <c r="C177" s="25"/>
      <c r="D177" s="25"/>
      <c r="E177" s="25"/>
      <c r="F177" s="25"/>
      <c r="G177" s="25"/>
      <c r="H177" s="25"/>
      <c r="I177" s="25"/>
      <c r="J177" s="25"/>
      <c r="K177" s="25"/>
      <c r="L177" s="25"/>
      <c r="M177" s="25"/>
      <c r="N177" s="25"/>
      <c r="O177" s="25"/>
      <c r="P177" s="25"/>
      <c r="Q177" s="25"/>
      <c r="R177" s="25"/>
      <c r="S177" s="25"/>
      <c r="T177" s="25"/>
      <c r="U177" s="25"/>
      <c r="V177" s="25"/>
      <c r="W177" s="25"/>
      <c r="X177" s="25"/>
      <c r="Y177" s="25"/>
      <c r="Z177" s="25"/>
      <c r="AA177" s="25"/>
      <c r="AB177" s="25"/>
      <c r="AC177" s="25"/>
      <c r="AD177" s="25"/>
      <c r="AE177" s="25"/>
      <c r="AF177" s="53"/>
    </row>
    <row r="178" spans="1:32" ht="15" customHeight="1">
      <c r="A178" s="18"/>
      <c r="B178" s="21"/>
      <c r="C178" s="25"/>
      <c r="D178" s="25"/>
      <c r="E178" s="25"/>
      <c r="F178" s="25"/>
      <c r="G178" s="25"/>
      <c r="H178" s="25"/>
      <c r="I178" s="25"/>
      <c r="J178" s="25"/>
      <c r="K178" s="25"/>
      <c r="L178" s="25"/>
      <c r="M178" s="25"/>
      <c r="N178" s="25"/>
      <c r="O178" s="25"/>
      <c r="P178" s="25"/>
      <c r="Q178" s="25"/>
      <c r="R178" s="25"/>
      <c r="S178" s="25"/>
      <c r="T178" s="25"/>
      <c r="U178" s="25"/>
      <c r="V178" s="25"/>
      <c r="W178" s="25"/>
      <c r="X178" s="25"/>
      <c r="Y178" s="25"/>
      <c r="Z178" s="25"/>
      <c r="AA178" s="25"/>
      <c r="AB178" s="25"/>
      <c r="AC178" s="25"/>
      <c r="AD178" s="25"/>
      <c r="AE178" s="25"/>
      <c r="AF178" s="53"/>
    </row>
    <row r="180" spans="1:32" ht="15" customHeight="1">
      <c r="A180" s="18"/>
      <c r="B180" s="20"/>
      <c r="C180" s="24"/>
      <c r="D180" s="24"/>
      <c r="E180" s="24"/>
      <c r="F180" s="24"/>
      <c r="G180" s="24"/>
      <c r="H180" s="24"/>
      <c r="I180" s="24"/>
      <c r="J180" s="24"/>
      <c r="K180" s="24"/>
      <c r="L180" s="24"/>
      <c r="M180" s="24"/>
      <c r="N180" s="24"/>
      <c r="O180" s="24"/>
      <c r="P180" s="24"/>
      <c r="Q180" s="24"/>
      <c r="R180" s="24"/>
      <c r="S180" s="24"/>
      <c r="T180" s="24"/>
      <c r="U180" s="24"/>
      <c r="V180" s="24"/>
      <c r="W180" s="24"/>
      <c r="X180" s="24"/>
      <c r="Y180" s="24"/>
      <c r="Z180" s="24"/>
      <c r="AA180" s="24"/>
      <c r="AB180" s="24"/>
      <c r="AC180" s="24"/>
      <c r="AD180" s="24"/>
      <c r="AE180" s="24"/>
      <c r="AF180" s="29"/>
    </row>
    <row r="181" spans="1:32" ht="12" customHeight="1">
      <c r="A181" s="18"/>
      <c r="B181" s="21"/>
      <c r="C181" s="25"/>
      <c r="D181" s="25"/>
      <c r="E181" s="25"/>
      <c r="F181" s="25"/>
      <c r="G181" s="25"/>
      <c r="H181" s="25"/>
      <c r="I181" s="25"/>
      <c r="J181" s="25"/>
      <c r="K181" s="25"/>
      <c r="L181" s="25"/>
      <c r="M181" s="25"/>
      <c r="N181" s="25"/>
      <c r="O181" s="25"/>
      <c r="P181" s="25"/>
      <c r="Q181" s="25"/>
      <c r="R181" s="25"/>
      <c r="S181" s="25"/>
      <c r="T181" s="25"/>
      <c r="U181" s="25"/>
      <c r="V181" s="25"/>
      <c r="W181" s="25"/>
      <c r="X181" s="25"/>
      <c r="Y181" s="25"/>
      <c r="Z181" s="25"/>
      <c r="AA181" s="25"/>
      <c r="AB181" s="25"/>
      <c r="AC181" s="25"/>
      <c r="AD181" s="25"/>
      <c r="AE181" s="25"/>
      <c r="AF181" s="53"/>
    </row>
    <row r="182" spans="1:32" ht="12" customHeight="1">
      <c r="A182" s="18"/>
      <c r="B182" s="21"/>
      <c r="C182" s="25"/>
      <c r="D182" s="25"/>
      <c r="E182" s="25"/>
      <c r="F182" s="25"/>
      <c r="G182" s="25"/>
      <c r="H182" s="25"/>
      <c r="I182" s="25"/>
      <c r="J182" s="25"/>
      <c r="K182" s="25"/>
      <c r="L182" s="25"/>
      <c r="M182" s="25"/>
      <c r="N182" s="25"/>
      <c r="O182" s="25"/>
      <c r="P182" s="25"/>
      <c r="Q182" s="25"/>
      <c r="R182" s="25"/>
      <c r="S182" s="25"/>
      <c r="T182" s="25"/>
      <c r="U182" s="25"/>
      <c r="V182" s="25"/>
      <c r="W182" s="25"/>
      <c r="X182" s="25"/>
      <c r="Y182" s="25"/>
      <c r="Z182" s="25"/>
      <c r="AA182" s="25"/>
      <c r="AB182" s="25"/>
      <c r="AC182" s="25"/>
      <c r="AD182" s="25"/>
      <c r="AE182" s="25"/>
      <c r="AF182" s="53"/>
    </row>
    <row r="183" spans="1:32" ht="15" customHeight="1">
      <c r="A183" s="18"/>
      <c r="B183" s="21"/>
      <c r="C183" s="25"/>
      <c r="D183" s="25"/>
      <c r="E183" s="25"/>
      <c r="F183" s="25"/>
      <c r="G183" s="25"/>
      <c r="H183" s="25"/>
      <c r="I183" s="25"/>
      <c r="J183" s="25"/>
      <c r="K183" s="25"/>
      <c r="L183" s="25"/>
      <c r="M183" s="25"/>
      <c r="N183" s="25"/>
      <c r="O183" s="25"/>
      <c r="P183" s="25"/>
      <c r="Q183" s="25"/>
      <c r="R183" s="25"/>
      <c r="S183" s="25"/>
      <c r="T183" s="25"/>
      <c r="U183" s="25"/>
      <c r="V183" s="25"/>
      <c r="W183" s="25"/>
      <c r="X183" s="25"/>
      <c r="Y183" s="25"/>
      <c r="Z183" s="25"/>
      <c r="AA183" s="25"/>
      <c r="AB183" s="25"/>
      <c r="AC183" s="25"/>
      <c r="AD183" s="25"/>
      <c r="AE183" s="25"/>
      <c r="AF183" s="53"/>
    </row>
    <row r="184" spans="1:32" ht="15" customHeight="1">
      <c r="A184" s="18"/>
      <c r="B184" s="21"/>
      <c r="C184" s="25"/>
      <c r="D184" s="25"/>
      <c r="E184" s="25"/>
      <c r="F184" s="25"/>
      <c r="G184" s="25"/>
      <c r="H184" s="25"/>
      <c r="I184" s="25"/>
      <c r="J184" s="25"/>
      <c r="K184" s="25"/>
      <c r="L184" s="25"/>
      <c r="M184" s="25"/>
      <c r="N184" s="25"/>
      <c r="O184" s="25"/>
      <c r="P184" s="25"/>
      <c r="Q184" s="25"/>
      <c r="R184" s="25"/>
      <c r="S184" s="25"/>
      <c r="T184" s="25"/>
      <c r="U184" s="25"/>
      <c r="V184" s="25"/>
      <c r="W184" s="25"/>
      <c r="X184" s="25"/>
      <c r="Y184" s="25"/>
      <c r="Z184" s="25"/>
      <c r="AA184" s="25"/>
      <c r="AB184" s="25"/>
      <c r="AC184" s="25"/>
      <c r="AD184" s="25"/>
      <c r="AE184" s="25"/>
      <c r="AF184" s="53"/>
    </row>
    <row r="185" spans="1:32" ht="15" customHeight="1">
      <c r="A185" s="18"/>
      <c r="B185" s="21"/>
      <c r="C185" s="25"/>
      <c r="D185" s="25"/>
      <c r="E185" s="25"/>
      <c r="F185" s="25"/>
      <c r="G185" s="25"/>
      <c r="H185" s="25"/>
      <c r="I185" s="25"/>
      <c r="J185" s="25"/>
      <c r="K185" s="25"/>
      <c r="L185" s="25"/>
      <c r="M185" s="25"/>
      <c r="N185" s="25"/>
      <c r="O185" s="25"/>
      <c r="P185" s="25"/>
      <c r="Q185" s="25"/>
      <c r="R185" s="25"/>
      <c r="S185" s="25"/>
      <c r="T185" s="25"/>
      <c r="U185" s="25"/>
      <c r="V185" s="25"/>
      <c r="W185" s="25"/>
      <c r="X185" s="25"/>
      <c r="Y185" s="25"/>
      <c r="Z185" s="25"/>
      <c r="AA185" s="25"/>
      <c r="AB185" s="25"/>
      <c r="AC185" s="25"/>
      <c r="AD185" s="25"/>
      <c r="AE185" s="25"/>
      <c r="AF185" s="53"/>
    </row>
    <row r="186" spans="1:32" ht="15" customHeight="1">
      <c r="A186" s="18"/>
      <c r="B186" s="21"/>
      <c r="C186" s="25"/>
      <c r="D186" s="25"/>
      <c r="E186" s="25"/>
      <c r="F186" s="25"/>
      <c r="G186" s="25"/>
      <c r="H186" s="25"/>
      <c r="I186" s="25"/>
      <c r="J186" s="25"/>
      <c r="K186" s="25"/>
      <c r="L186" s="25"/>
      <c r="M186" s="25"/>
      <c r="N186" s="25"/>
      <c r="O186" s="25"/>
      <c r="P186" s="25"/>
      <c r="Q186" s="25"/>
      <c r="R186" s="25"/>
      <c r="S186" s="25"/>
      <c r="T186" s="25"/>
      <c r="U186" s="25"/>
      <c r="V186" s="25"/>
      <c r="W186" s="25"/>
      <c r="X186" s="25"/>
      <c r="Y186" s="25"/>
      <c r="Z186" s="25"/>
      <c r="AA186" s="25"/>
      <c r="AB186" s="25"/>
      <c r="AC186" s="25"/>
      <c r="AD186" s="25"/>
      <c r="AE186" s="25"/>
      <c r="AF186" s="53"/>
    </row>
    <row r="187" spans="1:32" ht="15" customHeight="1">
      <c r="A187" s="18"/>
      <c r="B187" s="21"/>
      <c r="C187" s="25"/>
      <c r="D187" s="25"/>
      <c r="E187" s="25"/>
      <c r="F187" s="25"/>
      <c r="G187" s="25"/>
      <c r="H187" s="25"/>
      <c r="I187" s="25"/>
      <c r="J187" s="25"/>
      <c r="K187" s="25"/>
      <c r="L187" s="25"/>
      <c r="M187" s="25"/>
      <c r="N187" s="25"/>
      <c r="O187" s="25"/>
      <c r="P187" s="25"/>
      <c r="Q187" s="25"/>
      <c r="R187" s="25"/>
      <c r="S187" s="25"/>
      <c r="T187" s="25"/>
      <c r="U187" s="25"/>
      <c r="V187" s="25"/>
      <c r="W187" s="25"/>
      <c r="X187" s="25"/>
      <c r="Y187" s="25"/>
      <c r="Z187" s="25"/>
      <c r="AA187" s="25"/>
      <c r="AB187" s="25"/>
      <c r="AC187" s="25"/>
      <c r="AD187" s="25"/>
      <c r="AE187" s="25"/>
      <c r="AF187" s="53"/>
    </row>
    <row r="188" spans="1:32" ht="12" customHeight="1">
      <c r="A188" s="18"/>
      <c r="B188" s="21"/>
      <c r="C188" s="25"/>
      <c r="D188" s="25"/>
      <c r="E188" s="25"/>
      <c r="F188" s="25"/>
      <c r="G188" s="25"/>
      <c r="H188" s="25"/>
      <c r="I188" s="25"/>
      <c r="J188" s="25"/>
      <c r="K188" s="25"/>
      <c r="L188" s="25"/>
      <c r="M188" s="25"/>
      <c r="N188" s="25"/>
      <c r="O188" s="25"/>
      <c r="P188" s="25"/>
      <c r="Q188" s="25"/>
      <c r="R188" s="25"/>
      <c r="S188" s="25"/>
      <c r="T188" s="25"/>
      <c r="U188" s="25"/>
      <c r="V188" s="25"/>
      <c r="W188" s="25"/>
      <c r="X188" s="25"/>
      <c r="Y188" s="25"/>
      <c r="Z188" s="25"/>
      <c r="AA188" s="25"/>
      <c r="AB188" s="25"/>
      <c r="AC188" s="25"/>
      <c r="AD188" s="25"/>
      <c r="AE188" s="25"/>
      <c r="AF188" s="53"/>
    </row>
    <row r="189" spans="1:32" ht="15" customHeight="1">
      <c r="A189" s="18"/>
      <c r="B189" s="21"/>
      <c r="C189" s="25"/>
      <c r="D189" s="25"/>
      <c r="E189" s="25"/>
      <c r="F189" s="25"/>
      <c r="G189" s="25"/>
      <c r="H189" s="25"/>
      <c r="I189" s="25"/>
      <c r="J189" s="25"/>
      <c r="K189" s="25"/>
      <c r="L189" s="25"/>
      <c r="M189" s="25"/>
      <c r="N189" s="25"/>
      <c r="O189" s="25"/>
      <c r="P189" s="25"/>
      <c r="Q189" s="25"/>
      <c r="R189" s="25"/>
      <c r="S189" s="25"/>
      <c r="T189" s="25"/>
      <c r="U189" s="25"/>
      <c r="V189" s="25"/>
      <c r="W189" s="25"/>
      <c r="X189" s="25"/>
      <c r="Y189" s="25"/>
      <c r="Z189" s="25"/>
      <c r="AA189" s="25"/>
      <c r="AB189" s="25"/>
      <c r="AC189" s="25"/>
      <c r="AD189" s="25"/>
      <c r="AE189" s="25"/>
      <c r="AF189" s="53"/>
    </row>
    <row r="190" spans="1:32" ht="15" customHeight="1">
      <c r="A190" s="18"/>
      <c r="B190" s="21"/>
      <c r="C190" s="25"/>
      <c r="D190" s="25"/>
      <c r="E190" s="25"/>
      <c r="F190" s="25"/>
      <c r="G190" s="25"/>
      <c r="H190" s="25"/>
      <c r="I190" s="25"/>
      <c r="J190" s="25"/>
      <c r="K190" s="25"/>
      <c r="L190" s="25"/>
      <c r="M190" s="25"/>
      <c r="N190" s="25"/>
      <c r="O190" s="25"/>
      <c r="P190" s="25"/>
      <c r="Q190" s="25"/>
      <c r="R190" s="25"/>
      <c r="S190" s="25"/>
      <c r="T190" s="25"/>
      <c r="U190" s="25"/>
      <c r="V190" s="25"/>
      <c r="W190" s="25"/>
      <c r="X190" s="25"/>
      <c r="Y190" s="25"/>
      <c r="Z190" s="25"/>
      <c r="AA190" s="25"/>
      <c r="AB190" s="25"/>
      <c r="AC190" s="25"/>
      <c r="AD190" s="25"/>
      <c r="AE190" s="25"/>
      <c r="AF190" s="53"/>
    </row>
    <row r="191" spans="1:32" ht="15" customHeight="1">
      <c r="A191" s="18"/>
      <c r="B191" s="21"/>
      <c r="C191" s="25"/>
      <c r="D191" s="25"/>
      <c r="E191" s="25"/>
      <c r="F191" s="25"/>
      <c r="G191" s="25"/>
      <c r="H191" s="25"/>
      <c r="I191" s="25"/>
      <c r="J191" s="25"/>
      <c r="K191" s="25"/>
      <c r="L191" s="25"/>
      <c r="M191" s="25"/>
      <c r="N191" s="25"/>
      <c r="O191" s="25"/>
      <c r="P191" s="25"/>
      <c r="Q191" s="25"/>
      <c r="R191" s="25"/>
      <c r="S191" s="25"/>
      <c r="T191" s="25"/>
      <c r="U191" s="25"/>
      <c r="V191" s="25"/>
      <c r="W191" s="25"/>
      <c r="X191" s="25"/>
      <c r="Y191" s="25"/>
      <c r="Z191" s="25"/>
      <c r="AA191" s="25"/>
      <c r="AB191" s="25"/>
      <c r="AC191" s="25"/>
      <c r="AD191" s="25"/>
      <c r="AE191" s="25"/>
      <c r="AF191" s="53"/>
    </row>
    <row r="192" spans="1:32" ht="15" customHeight="1">
      <c r="A192" s="18"/>
      <c r="B192" s="21"/>
      <c r="C192" s="25"/>
      <c r="D192" s="25"/>
      <c r="E192" s="25"/>
      <c r="F192" s="25"/>
      <c r="G192" s="25"/>
      <c r="H192" s="25"/>
      <c r="I192" s="25"/>
      <c r="J192" s="25"/>
      <c r="K192" s="25"/>
      <c r="L192" s="25"/>
      <c r="M192" s="25"/>
      <c r="N192" s="25"/>
      <c r="O192" s="25"/>
      <c r="P192" s="25"/>
      <c r="Q192" s="25"/>
      <c r="R192" s="25"/>
      <c r="S192" s="25"/>
      <c r="T192" s="25"/>
      <c r="U192" s="25"/>
      <c r="V192" s="25"/>
      <c r="W192" s="25"/>
      <c r="X192" s="25"/>
      <c r="Y192" s="25"/>
      <c r="Z192" s="25"/>
      <c r="AA192" s="25"/>
      <c r="AB192" s="25"/>
      <c r="AC192" s="25"/>
      <c r="AD192" s="25"/>
      <c r="AE192" s="25"/>
      <c r="AF192" s="53"/>
    </row>
    <row r="193" spans="1:32" ht="15" customHeight="1">
      <c r="A193" s="18"/>
      <c r="B193" s="21"/>
      <c r="C193" s="25"/>
      <c r="D193" s="25"/>
      <c r="E193" s="25"/>
      <c r="F193" s="25"/>
      <c r="G193" s="25"/>
      <c r="H193" s="25"/>
      <c r="I193" s="25"/>
      <c r="J193" s="25"/>
      <c r="K193" s="25"/>
      <c r="L193" s="25"/>
      <c r="M193" s="25"/>
      <c r="N193" s="25"/>
      <c r="O193" s="25"/>
      <c r="P193" s="25"/>
      <c r="Q193" s="25"/>
      <c r="R193" s="25"/>
      <c r="S193" s="25"/>
      <c r="T193" s="25"/>
      <c r="U193" s="25"/>
      <c r="V193" s="25"/>
      <c r="W193" s="25"/>
      <c r="X193" s="25"/>
      <c r="Y193" s="25"/>
      <c r="Z193" s="25"/>
      <c r="AA193" s="25"/>
      <c r="AB193" s="25"/>
      <c r="AC193" s="25"/>
      <c r="AD193" s="25"/>
      <c r="AE193" s="25"/>
      <c r="AF193" s="53"/>
    </row>
    <row r="194" spans="1:32" ht="12" customHeight="1">
      <c r="A194" s="18"/>
      <c r="B194" s="21"/>
      <c r="C194" s="25"/>
      <c r="D194" s="25"/>
      <c r="E194" s="25"/>
      <c r="F194" s="25"/>
      <c r="G194" s="25"/>
      <c r="H194" s="25"/>
      <c r="I194" s="25"/>
      <c r="J194" s="25"/>
      <c r="K194" s="25"/>
      <c r="L194" s="25"/>
      <c r="M194" s="25"/>
      <c r="N194" s="25"/>
      <c r="O194" s="25"/>
      <c r="P194" s="25"/>
      <c r="Q194" s="25"/>
      <c r="R194" s="25"/>
      <c r="S194" s="25"/>
      <c r="T194" s="25"/>
      <c r="U194" s="25"/>
      <c r="V194" s="25"/>
      <c r="W194" s="25"/>
      <c r="X194" s="25"/>
      <c r="Y194" s="25"/>
      <c r="Z194" s="25"/>
      <c r="AA194" s="25"/>
      <c r="AB194" s="25"/>
      <c r="AC194" s="25"/>
      <c r="AD194" s="25"/>
      <c r="AE194" s="25"/>
      <c r="AF194" s="53"/>
    </row>
    <row r="195" spans="1:32" ht="15" customHeight="1">
      <c r="A195" s="18"/>
      <c r="B195" s="21"/>
      <c r="C195" s="25"/>
      <c r="D195" s="25"/>
      <c r="E195" s="25"/>
      <c r="F195" s="25"/>
      <c r="G195" s="25"/>
      <c r="H195" s="25"/>
      <c r="I195" s="25"/>
      <c r="J195" s="25"/>
      <c r="K195" s="25"/>
      <c r="L195" s="25"/>
      <c r="M195" s="25"/>
      <c r="N195" s="25"/>
      <c r="O195" s="25"/>
      <c r="P195" s="25"/>
      <c r="Q195" s="25"/>
      <c r="R195" s="25"/>
      <c r="S195" s="25"/>
      <c r="T195" s="25"/>
      <c r="U195" s="25"/>
      <c r="V195" s="25"/>
      <c r="W195" s="25"/>
      <c r="X195" s="25"/>
      <c r="Y195" s="25"/>
      <c r="Z195" s="25"/>
      <c r="AA195" s="25"/>
      <c r="AB195" s="25"/>
      <c r="AC195" s="25"/>
      <c r="AD195" s="25"/>
      <c r="AE195" s="25"/>
      <c r="AF195" s="53"/>
    </row>
    <row r="196" spans="1:32" ht="15" customHeight="1">
      <c r="A196" s="18"/>
      <c r="B196" s="21"/>
      <c r="C196" s="25"/>
      <c r="D196" s="25"/>
      <c r="E196" s="25"/>
      <c r="F196" s="25"/>
      <c r="G196" s="25"/>
      <c r="H196" s="25"/>
      <c r="I196" s="25"/>
      <c r="J196" s="25"/>
      <c r="K196" s="25"/>
      <c r="L196" s="25"/>
      <c r="M196" s="25"/>
      <c r="N196" s="25"/>
      <c r="O196" s="25"/>
      <c r="P196" s="25"/>
      <c r="Q196" s="25"/>
      <c r="R196" s="25"/>
      <c r="S196" s="25"/>
      <c r="T196" s="25"/>
      <c r="U196" s="25"/>
      <c r="V196" s="25"/>
      <c r="W196" s="25"/>
      <c r="X196" s="25"/>
      <c r="Y196" s="25"/>
      <c r="Z196" s="25"/>
      <c r="AA196" s="25"/>
      <c r="AB196" s="25"/>
      <c r="AC196" s="25"/>
      <c r="AD196" s="25"/>
      <c r="AE196" s="25"/>
      <c r="AF196" s="53"/>
    </row>
    <row r="197" spans="1:32" ht="15" customHeight="1">
      <c r="A197" s="18"/>
      <c r="B197" s="21"/>
      <c r="C197" s="25"/>
      <c r="D197" s="25"/>
      <c r="E197" s="25"/>
      <c r="F197" s="25"/>
      <c r="G197" s="25"/>
      <c r="H197" s="25"/>
      <c r="I197" s="25"/>
      <c r="J197" s="25"/>
      <c r="K197" s="25"/>
      <c r="L197" s="25"/>
      <c r="M197" s="25"/>
      <c r="N197" s="25"/>
      <c r="O197" s="25"/>
      <c r="P197" s="25"/>
      <c r="Q197" s="25"/>
      <c r="R197" s="25"/>
      <c r="S197" s="25"/>
      <c r="T197" s="25"/>
      <c r="U197" s="25"/>
      <c r="V197" s="25"/>
      <c r="W197" s="25"/>
      <c r="X197" s="25"/>
      <c r="Y197" s="25"/>
      <c r="Z197" s="25"/>
      <c r="AA197" s="25"/>
      <c r="AB197" s="25"/>
      <c r="AC197" s="25"/>
      <c r="AD197" s="25"/>
      <c r="AE197" s="25"/>
      <c r="AF197" s="53"/>
    </row>
    <row r="198" spans="1:32" ht="15" customHeight="1">
      <c r="A198" s="18"/>
      <c r="B198" s="21"/>
      <c r="C198" s="25"/>
      <c r="D198" s="25"/>
      <c r="E198" s="25"/>
      <c r="F198" s="25"/>
      <c r="G198" s="25"/>
      <c r="H198" s="25"/>
      <c r="I198" s="25"/>
      <c r="J198" s="25"/>
      <c r="K198" s="25"/>
      <c r="L198" s="25"/>
      <c r="M198" s="25"/>
      <c r="N198" s="25"/>
      <c r="O198" s="25"/>
      <c r="P198" s="25"/>
      <c r="Q198" s="25"/>
      <c r="R198" s="25"/>
      <c r="S198" s="25"/>
      <c r="T198" s="25"/>
      <c r="U198" s="25"/>
      <c r="V198" s="25"/>
      <c r="W198" s="25"/>
      <c r="X198" s="25"/>
      <c r="Y198" s="25"/>
      <c r="Z198" s="25"/>
      <c r="AA198" s="25"/>
      <c r="AB198" s="25"/>
      <c r="AC198" s="25"/>
      <c r="AD198" s="25"/>
      <c r="AE198" s="25"/>
      <c r="AF198" s="53"/>
    </row>
    <row r="199" spans="1:32" ht="15" customHeight="1">
      <c r="A199" s="18"/>
      <c r="B199" s="21"/>
      <c r="C199" s="25"/>
      <c r="D199" s="25"/>
      <c r="E199" s="25"/>
      <c r="F199" s="25"/>
      <c r="G199" s="25"/>
      <c r="H199" s="25"/>
      <c r="I199" s="25"/>
      <c r="J199" s="25"/>
      <c r="K199" s="25"/>
      <c r="L199" s="25"/>
      <c r="M199" s="25"/>
      <c r="N199" s="25"/>
      <c r="O199" s="25"/>
      <c r="P199" s="25"/>
      <c r="Q199" s="25"/>
      <c r="R199" s="25"/>
      <c r="S199" s="25"/>
      <c r="T199" s="25"/>
      <c r="U199" s="25"/>
      <c r="V199" s="25"/>
      <c r="W199" s="25"/>
      <c r="X199" s="25"/>
      <c r="Y199" s="25"/>
      <c r="Z199" s="25"/>
      <c r="AA199" s="25"/>
      <c r="AB199" s="25"/>
      <c r="AC199" s="25"/>
      <c r="AD199" s="25"/>
      <c r="AE199" s="25"/>
      <c r="AF199" s="53"/>
    </row>
    <row r="200" spans="1:32" ht="12" customHeight="1">
      <c r="A200" s="18"/>
      <c r="B200" s="21"/>
      <c r="C200" s="25"/>
      <c r="D200" s="25"/>
      <c r="E200" s="25"/>
      <c r="F200" s="25"/>
      <c r="G200" s="25"/>
      <c r="H200" s="25"/>
      <c r="I200" s="25"/>
      <c r="J200" s="25"/>
      <c r="K200" s="25"/>
      <c r="L200" s="25"/>
      <c r="M200" s="25"/>
      <c r="N200" s="25"/>
      <c r="O200" s="25"/>
      <c r="P200" s="25"/>
      <c r="Q200" s="25"/>
      <c r="R200" s="25"/>
      <c r="S200" s="25"/>
      <c r="T200" s="25"/>
      <c r="U200" s="25"/>
      <c r="V200" s="25"/>
      <c r="W200" s="25"/>
      <c r="X200" s="25"/>
      <c r="Y200" s="25"/>
      <c r="Z200" s="25"/>
      <c r="AA200" s="25"/>
      <c r="AB200" s="25"/>
      <c r="AC200" s="25"/>
      <c r="AD200" s="25"/>
      <c r="AE200" s="25"/>
      <c r="AF200" s="53"/>
    </row>
    <row r="201" spans="1:32" ht="15" customHeight="1">
      <c r="A201" s="18"/>
      <c r="B201" s="21"/>
      <c r="C201" s="25"/>
      <c r="D201" s="25"/>
      <c r="E201" s="25"/>
      <c r="F201" s="25"/>
      <c r="G201" s="25"/>
      <c r="H201" s="25"/>
      <c r="I201" s="25"/>
      <c r="J201" s="25"/>
      <c r="K201" s="25"/>
      <c r="L201" s="25"/>
      <c r="M201" s="25"/>
      <c r="N201" s="25"/>
      <c r="O201" s="25"/>
      <c r="P201" s="25"/>
      <c r="Q201" s="25"/>
      <c r="R201" s="25"/>
      <c r="S201" s="25"/>
      <c r="T201" s="25"/>
      <c r="U201" s="25"/>
      <c r="V201" s="25"/>
      <c r="W201" s="25"/>
      <c r="X201" s="25"/>
      <c r="Y201" s="25"/>
      <c r="Z201" s="25"/>
      <c r="AA201" s="25"/>
      <c r="AB201" s="25"/>
      <c r="AC201" s="25"/>
      <c r="AD201" s="25"/>
      <c r="AE201" s="25"/>
      <c r="AF201" s="53"/>
    </row>
    <row r="202" spans="1:32" ht="15" customHeight="1">
      <c r="A202" s="18"/>
      <c r="B202" s="21"/>
      <c r="C202" s="25"/>
      <c r="D202" s="25"/>
      <c r="E202" s="25"/>
      <c r="F202" s="25"/>
      <c r="G202" s="25"/>
      <c r="H202" s="25"/>
      <c r="I202" s="25"/>
      <c r="J202" s="25"/>
      <c r="K202" s="25"/>
      <c r="L202" s="25"/>
      <c r="M202" s="25"/>
      <c r="N202" s="25"/>
      <c r="O202" s="25"/>
      <c r="P202" s="25"/>
      <c r="Q202" s="25"/>
      <c r="R202" s="25"/>
      <c r="S202" s="25"/>
      <c r="T202" s="25"/>
      <c r="U202" s="25"/>
      <c r="V202" s="25"/>
      <c r="W202" s="25"/>
      <c r="X202" s="25"/>
      <c r="Y202" s="25"/>
      <c r="Z202" s="25"/>
      <c r="AA202" s="25"/>
      <c r="AB202" s="25"/>
      <c r="AC202" s="25"/>
      <c r="AD202" s="25"/>
      <c r="AE202" s="25"/>
      <c r="AF202" s="53"/>
    </row>
    <row r="203" spans="1:32" ht="15" customHeight="1">
      <c r="A203" s="18"/>
      <c r="B203" s="21"/>
      <c r="C203" s="25"/>
      <c r="D203" s="25"/>
      <c r="E203" s="25"/>
      <c r="F203" s="25"/>
      <c r="G203" s="25"/>
      <c r="H203" s="25"/>
      <c r="I203" s="25"/>
      <c r="J203" s="25"/>
      <c r="K203" s="25"/>
      <c r="L203" s="25"/>
      <c r="M203" s="25"/>
      <c r="N203" s="25"/>
      <c r="O203" s="25"/>
      <c r="P203" s="25"/>
      <c r="Q203" s="25"/>
      <c r="R203" s="25"/>
      <c r="S203" s="25"/>
      <c r="T203" s="25"/>
      <c r="U203" s="25"/>
      <c r="V203" s="25"/>
      <c r="W203" s="25"/>
      <c r="X203" s="25"/>
      <c r="Y203" s="25"/>
      <c r="Z203" s="25"/>
      <c r="AA203" s="25"/>
      <c r="AB203" s="25"/>
      <c r="AC203" s="25"/>
      <c r="AD203" s="25"/>
      <c r="AE203" s="25"/>
      <c r="AF203" s="53"/>
    </row>
    <row r="204" spans="1:32" ht="12" customHeight="1">
      <c r="A204" s="18"/>
      <c r="B204" s="21"/>
      <c r="C204" s="25"/>
      <c r="D204" s="25"/>
      <c r="E204" s="25"/>
      <c r="F204" s="25"/>
      <c r="G204" s="25"/>
      <c r="H204" s="25"/>
      <c r="I204" s="25"/>
      <c r="J204" s="25"/>
      <c r="K204" s="25"/>
      <c r="L204" s="25"/>
      <c r="M204" s="25"/>
      <c r="N204" s="25"/>
      <c r="O204" s="25"/>
      <c r="P204" s="25"/>
      <c r="Q204" s="25"/>
      <c r="R204" s="25"/>
      <c r="S204" s="25"/>
      <c r="T204" s="25"/>
      <c r="U204" s="25"/>
      <c r="V204" s="25"/>
      <c r="W204" s="25"/>
      <c r="X204" s="25"/>
      <c r="Y204" s="25"/>
      <c r="Z204" s="25"/>
      <c r="AA204" s="25"/>
      <c r="AB204" s="25"/>
      <c r="AC204" s="25"/>
      <c r="AD204" s="25"/>
      <c r="AE204" s="25"/>
      <c r="AF204" s="53"/>
    </row>
    <row r="205" spans="1:32" ht="15" customHeight="1">
      <c r="A205" s="18"/>
      <c r="B205" s="20"/>
      <c r="C205" s="24"/>
      <c r="D205" s="24"/>
      <c r="E205" s="24"/>
      <c r="F205" s="24"/>
      <c r="G205" s="24"/>
      <c r="H205" s="24"/>
      <c r="I205" s="24"/>
      <c r="J205" s="24"/>
      <c r="K205" s="24"/>
      <c r="L205" s="24"/>
      <c r="M205" s="24"/>
      <c r="N205" s="24"/>
      <c r="O205" s="24"/>
      <c r="P205" s="24"/>
      <c r="Q205" s="24"/>
      <c r="R205" s="24"/>
      <c r="S205" s="24"/>
      <c r="T205" s="24"/>
      <c r="U205" s="24"/>
      <c r="V205" s="24"/>
      <c r="W205" s="24"/>
      <c r="X205" s="24"/>
      <c r="Y205" s="24"/>
      <c r="Z205" s="24"/>
      <c r="AA205" s="24"/>
      <c r="AB205" s="24"/>
      <c r="AC205" s="24"/>
      <c r="AD205" s="24"/>
      <c r="AE205" s="24"/>
      <c r="AF205" s="29"/>
    </row>
    <row r="206" spans="1:32" ht="15" customHeight="1">
      <c r="A206" s="18"/>
      <c r="B206" s="21"/>
      <c r="C206" s="25"/>
      <c r="D206" s="25"/>
      <c r="E206" s="25"/>
      <c r="F206" s="25"/>
      <c r="G206" s="25"/>
      <c r="H206" s="25"/>
      <c r="I206" s="25"/>
      <c r="J206" s="25"/>
      <c r="K206" s="25"/>
      <c r="L206" s="25"/>
      <c r="M206" s="25"/>
      <c r="N206" s="25"/>
      <c r="O206" s="25"/>
      <c r="P206" s="25"/>
      <c r="Q206" s="25"/>
      <c r="R206" s="25"/>
      <c r="S206" s="25"/>
      <c r="T206" s="25"/>
      <c r="U206" s="25"/>
      <c r="V206" s="25"/>
      <c r="W206" s="25"/>
      <c r="X206" s="25"/>
      <c r="Y206" s="25"/>
      <c r="Z206" s="25"/>
      <c r="AA206" s="25"/>
      <c r="AB206" s="25"/>
      <c r="AC206" s="25"/>
      <c r="AD206" s="25"/>
      <c r="AE206" s="25"/>
      <c r="AF206" s="53"/>
    </row>
    <row r="207" spans="1:32" ht="15" customHeight="1">
      <c r="A207" s="18"/>
      <c r="B207" s="21"/>
      <c r="C207" s="25"/>
      <c r="D207" s="25"/>
      <c r="E207" s="25"/>
      <c r="F207" s="25"/>
      <c r="G207" s="25"/>
      <c r="H207" s="25"/>
      <c r="I207" s="25"/>
      <c r="J207" s="25"/>
      <c r="K207" s="25"/>
      <c r="L207" s="25"/>
      <c r="M207" s="25"/>
      <c r="N207" s="25"/>
      <c r="O207" s="25"/>
      <c r="P207" s="25"/>
      <c r="Q207" s="25"/>
      <c r="R207" s="25"/>
      <c r="S207" s="25"/>
      <c r="T207" s="25"/>
      <c r="U207" s="25"/>
      <c r="V207" s="25"/>
      <c r="W207" s="25"/>
      <c r="X207" s="25"/>
      <c r="Y207" s="25"/>
      <c r="Z207" s="25"/>
      <c r="AA207" s="25"/>
      <c r="AB207" s="25"/>
      <c r="AC207" s="25"/>
      <c r="AD207" s="25"/>
      <c r="AE207" s="25"/>
      <c r="AF207" s="53"/>
    </row>
    <row r="208" spans="1:32" ht="15" customHeight="1">
      <c r="A208" s="18"/>
      <c r="B208" s="21"/>
      <c r="C208" s="25"/>
      <c r="D208" s="25"/>
      <c r="E208" s="25"/>
      <c r="F208" s="25"/>
      <c r="G208" s="25"/>
      <c r="H208" s="25"/>
      <c r="I208" s="25"/>
      <c r="J208" s="25"/>
      <c r="K208" s="25"/>
      <c r="L208" s="25"/>
      <c r="M208" s="25"/>
      <c r="N208" s="25"/>
      <c r="O208" s="25"/>
      <c r="P208" s="25"/>
      <c r="Q208" s="25"/>
      <c r="R208" s="25"/>
      <c r="S208" s="25"/>
      <c r="T208" s="25"/>
      <c r="U208" s="25"/>
      <c r="V208" s="25"/>
      <c r="W208" s="25"/>
      <c r="X208" s="25"/>
      <c r="Y208" s="25"/>
      <c r="Z208" s="25"/>
      <c r="AA208" s="25"/>
      <c r="AB208" s="25"/>
      <c r="AC208" s="25"/>
      <c r="AD208" s="25"/>
      <c r="AE208" s="25"/>
      <c r="AF208" s="53"/>
    </row>
    <row r="209" spans="1:32" ht="12" customHeight="1">
      <c r="A209" s="18"/>
      <c r="B209" s="21"/>
      <c r="C209" s="25"/>
      <c r="D209" s="25"/>
      <c r="E209" s="25"/>
      <c r="F209" s="25"/>
      <c r="G209" s="25"/>
      <c r="H209" s="25"/>
      <c r="I209" s="25"/>
      <c r="J209" s="25"/>
      <c r="K209" s="25"/>
      <c r="L209" s="25"/>
      <c r="M209" s="25"/>
      <c r="N209" s="25"/>
      <c r="O209" s="25"/>
      <c r="P209" s="25"/>
      <c r="Q209" s="25"/>
      <c r="R209" s="25"/>
      <c r="S209" s="25"/>
      <c r="T209" s="25"/>
      <c r="U209" s="25"/>
      <c r="V209" s="25"/>
      <c r="W209" s="25"/>
      <c r="X209" s="25"/>
      <c r="Y209" s="25"/>
      <c r="Z209" s="25"/>
      <c r="AA209" s="25"/>
      <c r="AB209" s="25"/>
      <c r="AC209" s="25"/>
      <c r="AD209" s="25"/>
      <c r="AE209" s="25"/>
      <c r="AF209" s="53"/>
    </row>
    <row r="210" spans="1:32" ht="15" customHeight="1">
      <c r="A210" s="18"/>
      <c r="B210" s="21"/>
      <c r="C210" s="25"/>
      <c r="D210" s="25"/>
      <c r="E210" s="25"/>
      <c r="F210" s="25"/>
      <c r="G210" s="25"/>
      <c r="H210" s="25"/>
      <c r="I210" s="25"/>
      <c r="J210" s="25"/>
      <c r="K210" s="25"/>
      <c r="L210" s="25"/>
      <c r="M210" s="25"/>
      <c r="N210" s="25"/>
      <c r="O210" s="25"/>
      <c r="P210" s="25"/>
      <c r="Q210" s="25"/>
      <c r="R210" s="25"/>
      <c r="S210" s="25"/>
      <c r="T210" s="25"/>
      <c r="U210" s="25"/>
      <c r="V210" s="25"/>
      <c r="W210" s="25"/>
      <c r="X210" s="25"/>
      <c r="Y210" s="25"/>
      <c r="Z210" s="25"/>
      <c r="AA210" s="25"/>
      <c r="AB210" s="25"/>
      <c r="AC210" s="25"/>
      <c r="AD210" s="25"/>
      <c r="AE210" s="25"/>
      <c r="AF210" s="53"/>
    </row>
    <row r="211" spans="1:32" ht="15" customHeight="1">
      <c r="A211" s="18"/>
      <c r="B211" s="21"/>
      <c r="C211" s="25"/>
      <c r="D211" s="25"/>
      <c r="E211" s="25"/>
      <c r="F211" s="25"/>
      <c r="G211" s="25"/>
      <c r="H211" s="25"/>
      <c r="I211" s="25"/>
      <c r="J211" s="25"/>
      <c r="K211" s="25"/>
      <c r="L211" s="25"/>
      <c r="M211" s="25"/>
      <c r="N211" s="25"/>
      <c r="O211" s="25"/>
      <c r="P211" s="25"/>
      <c r="Q211" s="25"/>
      <c r="R211" s="25"/>
      <c r="S211" s="25"/>
      <c r="T211" s="25"/>
      <c r="U211" s="25"/>
      <c r="V211" s="25"/>
      <c r="W211" s="25"/>
      <c r="X211" s="25"/>
      <c r="Y211" s="25"/>
      <c r="Z211" s="25"/>
      <c r="AA211" s="25"/>
      <c r="AB211" s="25"/>
      <c r="AC211" s="25"/>
      <c r="AD211" s="25"/>
      <c r="AE211" s="25"/>
      <c r="AF211" s="53"/>
    </row>
    <row r="212" spans="1:32" ht="15" customHeight="1">
      <c r="A212" s="18"/>
      <c r="B212" s="21"/>
      <c r="C212" s="25"/>
      <c r="D212" s="25"/>
      <c r="E212" s="25"/>
      <c r="F212" s="25"/>
      <c r="G212" s="25"/>
      <c r="H212" s="25"/>
      <c r="I212" s="25"/>
      <c r="J212" s="25"/>
      <c r="K212" s="25"/>
      <c r="L212" s="25"/>
      <c r="M212" s="25"/>
      <c r="N212" s="25"/>
      <c r="O212" s="25"/>
      <c r="P212" s="25"/>
      <c r="Q212" s="25"/>
      <c r="R212" s="25"/>
      <c r="S212" s="25"/>
      <c r="T212" s="25"/>
      <c r="U212" s="25"/>
      <c r="V212" s="25"/>
      <c r="W212" s="25"/>
      <c r="X212" s="25"/>
      <c r="Y212" s="25"/>
      <c r="Z212" s="25"/>
      <c r="AA212" s="25"/>
      <c r="AB212" s="25"/>
      <c r="AC212" s="25"/>
      <c r="AD212" s="25"/>
      <c r="AE212" s="25"/>
      <c r="AF212" s="53"/>
    </row>
    <row r="213" spans="1:32" ht="15" customHeight="1">
      <c r="A213" s="18"/>
      <c r="B213" s="21"/>
      <c r="C213" s="25"/>
      <c r="D213" s="25"/>
      <c r="E213" s="25"/>
      <c r="F213" s="25"/>
      <c r="G213" s="25"/>
      <c r="H213" s="25"/>
      <c r="I213" s="25"/>
      <c r="J213" s="25"/>
      <c r="K213" s="25"/>
      <c r="L213" s="25"/>
      <c r="M213" s="25"/>
      <c r="N213" s="25"/>
      <c r="O213" s="25"/>
      <c r="P213" s="25"/>
      <c r="Q213" s="25"/>
      <c r="R213" s="25"/>
      <c r="S213" s="25"/>
      <c r="T213" s="25"/>
      <c r="U213" s="25"/>
      <c r="V213" s="25"/>
      <c r="W213" s="25"/>
      <c r="X213" s="25"/>
      <c r="Y213" s="25"/>
      <c r="Z213" s="25"/>
      <c r="AA213" s="25"/>
      <c r="AB213" s="25"/>
      <c r="AC213" s="25"/>
      <c r="AD213" s="25"/>
      <c r="AE213" s="25"/>
      <c r="AF213" s="53"/>
    </row>
    <row r="214" spans="1:32" ht="15" customHeight="1">
      <c r="A214" s="18"/>
      <c r="B214" s="21"/>
      <c r="C214" s="25"/>
      <c r="D214" s="25"/>
      <c r="E214" s="25"/>
      <c r="F214" s="25"/>
      <c r="G214" s="25"/>
      <c r="H214" s="25"/>
      <c r="I214" s="25"/>
      <c r="J214" s="25"/>
      <c r="K214" s="25"/>
      <c r="L214" s="25"/>
      <c r="M214" s="25"/>
      <c r="N214" s="25"/>
      <c r="O214" s="25"/>
      <c r="P214" s="25"/>
      <c r="Q214" s="25"/>
      <c r="R214" s="25"/>
      <c r="S214" s="25"/>
      <c r="T214" s="25"/>
      <c r="U214" s="25"/>
      <c r="V214" s="25"/>
      <c r="W214" s="25"/>
      <c r="X214" s="25"/>
      <c r="Y214" s="25"/>
      <c r="Z214" s="25"/>
      <c r="AA214" s="25"/>
      <c r="AB214" s="25"/>
      <c r="AC214" s="25"/>
      <c r="AD214" s="25"/>
      <c r="AE214" s="25"/>
      <c r="AF214" s="53"/>
    </row>
    <row r="215" spans="1:32" ht="15" customHeight="1">
      <c r="A215" s="18"/>
      <c r="B215" s="21"/>
      <c r="C215" s="25"/>
      <c r="D215" s="25"/>
      <c r="E215" s="25"/>
      <c r="F215" s="25"/>
      <c r="G215" s="25"/>
      <c r="H215" s="25"/>
      <c r="I215" s="25"/>
      <c r="J215" s="25"/>
      <c r="K215" s="25"/>
      <c r="L215" s="25"/>
      <c r="M215" s="25"/>
      <c r="N215" s="25"/>
      <c r="O215" s="25"/>
      <c r="P215" s="25"/>
      <c r="Q215" s="25"/>
      <c r="R215" s="25"/>
      <c r="S215" s="25"/>
      <c r="T215" s="25"/>
      <c r="U215" s="25"/>
      <c r="V215" s="25"/>
      <c r="W215" s="25"/>
      <c r="X215" s="25"/>
      <c r="Y215" s="25"/>
      <c r="Z215" s="25"/>
      <c r="AA215" s="25"/>
      <c r="AB215" s="25"/>
      <c r="AC215" s="25"/>
      <c r="AD215" s="25"/>
      <c r="AE215" s="25"/>
      <c r="AF215" s="53"/>
    </row>
    <row r="216" spans="1:32" ht="15" customHeight="1">
      <c r="A216" s="18"/>
      <c r="B216" s="21"/>
      <c r="C216" s="25"/>
      <c r="D216" s="25"/>
      <c r="E216" s="25"/>
      <c r="F216" s="25"/>
      <c r="G216" s="25"/>
      <c r="H216" s="25"/>
      <c r="I216" s="25"/>
      <c r="J216" s="25"/>
      <c r="K216" s="25"/>
      <c r="L216" s="25"/>
      <c r="M216" s="25"/>
      <c r="N216" s="25"/>
      <c r="O216" s="25"/>
      <c r="P216" s="25"/>
      <c r="Q216" s="25"/>
      <c r="R216" s="25"/>
      <c r="S216" s="25"/>
      <c r="T216" s="25"/>
      <c r="U216" s="25"/>
      <c r="V216" s="25"/>
      <c r="W216" s="25"/>
      <c r="X216" s="25"/>
      <c r="Y216" s="25"/>
      <c r="Z216" s="25"/>
      <c r="AA216" s="25"/>
      <c r="AB216" s="25"/>
      <c r="AC216" s="25"/>
      <c r="AD216" s="25"/>
      <c r="AE216" s="25"/>
      <c r="AF216" s="53"/>
    </row>
    <row r="217" spans="1:32" ht="15" customHeight="1">
      <c r="A217" s="18"/>
      <c r="B217" s="21"/>
      <c r="C217" s="25"/>
      <c r="D217" s="25"/>
      <c r="E217" s="25"/>
      <c r="F217" s="25"/>
      <c r="G217" s="25"/>
      <c r="H217" s="25"/>
      <c r="I217" s="25"/>
      <c r="J217" s="25"/>
      <c r="K217" s="25"/>
      <c r="L217" s="25"/>
      <c r="M217" s="25"/>
      <c r="N217" s="25"/>
      <c r="O217" s="25"/>
      <c r="P217" s="25"/>
      <c r="Q217" s="25"/>
      <c r="R217" s="25"/>
      <c r="S217" s="25"/>
      <c r="T217" s="25"/>
      <c r="U217" s="25"/>
      <c r="V217" s="25"/>
      <c r="W217" s="25"/>
      <c r="X217" s="25"/>
      <c r="Y217" s="25"/>
      <c r="Z217" s="25"/>
      <c r="AA217" s="25"/>
      <c r="AB217" s="25"/>
      <c r="AC217" s="25"/>
      <c r="AD217" s="25"/>
      <c r="AE217" s="25"/>
      <c r="AF217" s="53"/>
    </row>
    <row r="219" spans="1:32" ht="15" customHeight="1">
      <c r="A219" s="18"/>
      <c r="B219" s="20"/>
      <c r="C219" s="24"/>
      <c r="D219" s="24"/>
      <c r="E219" s="24"/>
      <c r="F219" s="24"/>
      <c r="G219" s="24"/>
      <c r="H219" s="24"/>
      <c r="I219" s="24"/>
      <c r="J219" s="24"/>
      <c r="K219" s="24"/>
      <c r="L219" s="24"/>
      <c r="M219" s="24"/>
      <c r="N219" s="24"/>
      <c r="O219" s="24"/>
      <c r="P219" s="24"/>
      <c r="Q219" s="24"/>
      <c r="R219" s="24"/>
      <c r="S219" s="24"/>
      <c r="T219" s="24"/>
      <c r="U219" s="24"/>
      <c r="V219" s="24"/>
      <c r="W219" s="24"/>
      <c r="X219" s="24"/>
      <c r="Y219" s="24"/>
      <c r="Z219" s="24"/>
      <c r="AA219" s="24"/>
      <c r="AB219" s="24"/>
      <c r="AC219" s="24"/>
      <c r="AD219" s="24"/>
      <c r="AE219" s="24"/>
      <c r="AF219" s="29"/>
    </row>
    <row r="220" spans="1:32" ht="15" customHeight="1">
      <c r="A220" s="18"/>
      <c r="B220" s="21"/>
      <c r="C220" s="25"/>
      <c r="D220" s="25"/>
      <c r="E220" s="25"/>
      <c r="F220" s="25"/>
      <c r="G220" s="25"/>
      <c r="H220" s="25"/>
      <c r="I220" s="25"/>
      <c r="J220" s="25"/>
      <c r="K220" s="25"/>
      <c r="L220" s="25"/>
      <c r="M220" s="25"/>
      <c r="N220" s="25"/>
      <c r="O220" s="25"/>
      <c r="P220" s="25"/>
      <c r="Q220" s="25"/>
      <c r="R220" s="25"/>
      <c r="S220" s="25"/>
      <c r="T220" s="25"/>
      <c r="U220" s="25"/>
      <c r="V220" s="25"/>
      <c r="W220" s="25"/>
      <c r="X220" s="25"/>
      <c r="Y220" s="25"/>
      <c r="Z220" s="25"/>
      <c r="AA220" s="25"/>
      <c r="AB220" s="25"/>
      <c r="AC220" s="25"/>
      <c r="AD220" s="25"/>
      <c r="AE220" s="25"/>
      <c r="AF220" s="53"/>
    </row>
    <row r="221" spans="1:32" ht="15" customHeight="1">
      <c r="A221" s="18"/>
      <c r="B221" s="21"/>
      <c r="C221" s="25"/>
      <c r="D221" s="25"/>
      <c r="E221" s="25"/>
      <c r="F221" s="25"/>
      <c r="G221" s="25"/>
      <c r="H221" s="25"/>
      <c r="I221" s="25"/>
      <c r="J221" s="25"/>
      <c r="K221" s="25"/>
      <c r="L221" s="25"/>
      <c r="M221" s="25"/>
      <c r="N221" s="25"/>
      <c r="O221" s="25"/>
      <c r="P221" s="25"/>
      <c r="Q221" s="25"/>
      <c r="R221" s="25"/>
      <c r="S221" s="25"/>
      <c r="T221" s="25"/>
      <c r="U221" s="25"/>
      <c r="V221" s="25"/>
      <c r="W221" s="25"/>
      <c r="X221" s="25"/>
      <c r="Y221" s="25"/>
      <c r="Z221" s="25"/>
      <c r="AA221" s="25"/>
      <c r="AB221" s="25"/>
      <c r="AC221" s="25"/>
      <c r="AD221" s="25"/>
      <c r="AE221" s="25"/>
      <c r="AF221" s="53"/>
    </row>
    <row r="223" spans="1:32" ht="15" customHeight="1">
      <c r="A223" s="18"/>
      <c r="B223" s="21"/>
      <c r="C223" s="25"/>
      <c r="D223" s="25"/>
      <c r="E223" s="25"/>
      <c r="F223" s="25"/>
      <c r="G223" s="25"/>
      <c r="H223" s="25"/>
      <c r="I223" s="25"/>
      <c r="J223" s="25"/>
      <c r="K223" s="25"/>
      <c r="L223" s="25"/>
      <c r="M223" s="25"/>
      <c r="N223" s="25"/>
      <c r="O223" s="25"/>
      <c r="P223" s="25"/>
      <c r="Q223" s="25"/>
      <c r="R223" s="25"/>
      <c r="S223" s="25"/>
      <c r="T223" s="25"/>
      <c r="U223" s="25"/>
      <c r="V223" s="25"/>
      <c r="W223" s="25"/>
      <c r="X223" s="25"/>
      <c r="Y223" s="25"/>
      <c r="Z223" s="25"/>
      <c r="AA223" s="25"/>
      <c r="AB223" s="25"/>
      <c r="AC223" s="25"/>
      <c r="AD223" s="25"/>
      <c r="AE223" s="25"/>
      <c r="AF223" s="53"/>
    </row>
    <row r="224" spans="1:32" ht="15" customHeight="1">
      <c r="A224" s="18"/>
      <c r="B224" s="21"/>
      <c r="C224" s="25"/>
      <c r="D224" s="25"/>
      <c r="E224" s="25"/>
      <c r="F224" s="25"/>
      <c r="G224" s="25"/>
      <c r="H224" s="25"/>
      <c r="I224" s="25"/>
      <c r="J224" s="25"/>
      <c r="K224" s="25"/>
      <c r="L224" s="25"/>
      <c r="M224" s="25"/>
      <c r="N224" s="25"/>
      <c r="O224" s="25"/>
      <c r="P224" s="25"/>
      <c r="Q224" s="25"/>
      <c r="R224" s="25"/>
      <c r="S224" s="25"/>
      <c r="T224" s="25"/>
      <c r="U224" s="25"/>
      <c r="V224" s="25"/>
      <c r="W224" s="25"/>
      <c r="X224" s="25"/>
      <c r="Y224" s="25"/>
      <c r="Z224" s="25"/>
      <c r="AA224" s="25"/>
      <c r="AB224" s="25"/>
      <c r="AC224" s="25"/>
      <c r="AD224" s="25"/>
      <c r="AE224" s="25"/>
      <c r="AF224" s="53"/>
    </row>
    <row r="226" spans="1:32" ht="15" customHeight="1">
      <c r="A226" s="18"/>
      <c r="B226" s="26"/>
      <c r="C226" s="27"/>
      <c r="D226" s="27"/>
      <c r="E226" s="27"/>
      <c r="F226" s="27"/>
      <c r="G226" s="27"/>
      <c r="H226" s="27"/>
      <c r="I226" s="27"/>
      <c r="J226" s="27"/>
      <c r="K226" s="27"/>
      <c r="L226" s="27"/>
      <c r="M226" s="27"/>
      <c r="N226" s="27"/>
      <c r="O226" s="27"/>
      <c r="P226" s="27"/>
      <c r="Q226" s="27"/>
      <c r="R226" s="27"/>
      <c r="S226" s="27"/>
      <c r="T226" s="27"/>
      <c r="U226" s="27"/>
      <c r="V226" s="27"/>
      <c r="W226" s="27"/>
      <c r="X226" s="27"/>
      <c r="Y226" s="27"/>
      <c r="Z226" s="27"/>
      <c r="AA226" s="27"/>
      <c r="AB226" s="27"/>
      <c r="AC226" s="27"/>
      <c r="AD226" s="27"/>
      <c r="AE226" s="27"/>
      <c r="AF226" s="54"/>
    </row>
    <row r="227" spans="1:32" ht="15" customHeight="1"/>
    <row r="228" spans="1:32" ht="15" customHeight="1">
      <c r="B228" s="28"/>
    </row>
    <row r="229" spans="1:32" ht="15" customHeight="1">
      <c r="B229" s="22"/>
    </row>
    <row r="230" spans="1:32" ht="15" customHeight="1">
      <c r="B230" s="22"/>
    </row>
    <row r="231" spans="1:32" ht="15" customHeight="1">
      <c r="B231" s="22"/>
    </row>
    <row r="232" spans="1:32" ht="15" customHeight="1">
      <c r="B232" s="22"/>
    </row>
    <row r="233" spans="1:32" ht="15" customHeight="1">
      <c r="B233" s="22"/>
    </row>
    <row r="234" spans="1:32" ht="15" customHeight="1">
      <c r="B234" s="22"/>
    </row>
    <row r="235" spans="1:32" ht="15" customHeight="1">
      <c r="B235" s="22"/>
    </row>
    <row r="236" spans="1:32" ht="15" customHeight="1">
      <c r="B236" s="22"/>
    </row>
    <row r="248" ht="12" customHeight="1"/>
    <row r="252" ht="12" customHeight="1"/>
    <row r="255" ht="12" customHeight="1"/>
    <row r="257" spans="2:32" ht="15" customHeight="1"/>
    <row r="258" spans="2:32" ht="15" customHeight="1">
      <c r="B258" s="108"/>
      <c r="C258" s="108"/>
      <c r="D258" s="108"/>
      <c r="E258" s="108"/>
      <c r="F258" s="108"/>
      <c r="G258" s="108"/>
      <c r="H258" s="108"/>
      <c r="I258" s="108"/>
      <c r="J258" s="108"/>
      <c r="K258" s="108"/>
      <c r="L258" s="108"/>
      <c r="M258" s="108"/>
      <c r="N258" s="108"/>
      <c r="O258" s="108"/>
      <c r="P258" s="108"/>
      <c r="Q258" s="108"/>
      <c r="R258" s="108"/>
      <c r="S258" s="108"/>
      <c r="T258" s="108"/>
      <c r="U258" s="108"/>
      <c r="V258" s="108"/>
      <c r="W258" s="108"/>
      <c r="X258" s="108"/>
      <c r="Y258" s="108"/>
      <c r="Z258" s="108"/>
      <c r="AA258" s="108"/>
      <c r="AB258" s="108"/>
      <c r="AC258" s="108"/>
      <c r="AD258" s="108"/>
      <c r="AE258" s="108"/>
      <c r="AF258" s="108"/>
    </row>
    <row r="267" spans="2:32" ht="12" customHeight="1"/>
    <row r="268" spans="2:32" ht="12" customHeight="1"/>
    <row r="269" spans="2:32" ht="12" customHeight="1"/>
    <row r="270" spans="2:32" ht="12" customHeight="1"/>
    <row r="271" spans="2:32" ht="12" customHeight="1"/>
    <row r="272" spans="2:32" ht="12" customHeight="1"/>
    <row r="273" ht="12" customHeight="1"/>
    <row r="274" ht="12" customHeight="1"/>
    <row r="275" ht="12" customHeight="1"/>
    <row r="276" ht="12" customHeight="1"/>
    <row r="277" ht="12" customHeight="1"/>
    <row r="278" ht="12" customHeight="1"/>
    <row r="279" ht="12" customHeight="1"/>
    <row r="280" ht="12" customHeight="1"/>
    <row r="281" ht="12" customHeight="1"/>
    <row r="282" ht="12" customHeight="1"/>
    <row r="283" ht="12" customHeight="1"/>
    <row r="284" ht="12" customHeight="1"/>
    <row r="285" ht="12" customHeight="1"/>
    <row r="286" ht="12" customHeight="1"/>
    <row r="287" ht="12" customHeight="1"/>
    <row r="288" ht="12" customHeight="1"/>
    <row r="289" ht="12" customHeight="1"/>
    <row r="290" ht="12" customHeight="1"/>
    <row r="291" ht="12" customHeight="1"/>
    <row r="292" ht="12" customHeight="1"/>
    <row r="293" ht="12" customHeight="1"/>
    <row r="294" ht="12" customHeight="1"/>
    <row r="295" ht="12" customHeight="1"/>
    <row r="296" ht="12" customHeight="1"/>
    <row r="297" ht="12" customHeight="1"/>
    <row r="298" ht="12" customHeight="1"/>
    <row r="299" ht="12" customHeight="1"/>
    <row r="303" ht="15" customHeight="1"/>
    <row r="304" ht="15" customHeight="1"/>
    <row r="310" ht="12" customHeight="1"/>
    <row r="327" ht="12" customHeight="1"/>
    <row r="329" ht="12" customHeight="1"/>
    <row r="339" spans="2:32" ht="15" customHeight="1"/>
    <row r="340" spans="2:32" ht="15" customHeight="1">
      <c r="B340" s="108"/>
      <c r="C340" s="108"/>
      <c r="D340" s="108"/>
      <c r="E340" s="108"/>
      <c r="F340" s="108"/>
      <c r="G340" s="108"/>
      <c r="H340" s="108"/>
      <c r="I340" s="108"/>
      <c r="J340" s="108"/>
      <c r="K340" s="108"/>
      <c r="L340" s="108"/>
      <c r="M340" s="108"/>
      <c r="N340" s="108"/>
      <c r="O340" s="108"/>
      <c r="P340" s="108"/>
      <c r="Q340" s="108"/>
      <c r="R340" s="108"/>
      <c r="S340" s="108"/>
      <c r="T340" s="108"/>
      <c r="U340" s="108"/>
      <c r="V340" s="108"/>
      <c r="W340" s="108"/>
      <c r="X340" s="108"/>
      <c r="Y340" s="108"/>
      <c r="Z340" s="108"/>
      <c r="AA340" s="108"/>
      <c r="AB340" s="108"/>
      <c r="AC340" s="108"/>
      <c r="AD340" s="108"/>
      <c r="AE340" s="108"/>
      <c r="AF340" s="108"/>
    </row>
    <row r="346" spans="2:32" ht="12" customHeight="1"/>
    <row r="347" spans="2:32" ht="12" customHeight="1"/>
    <row r="348" spans="2:32" ht="12" customHeight="1"/>
    <row r="349" spans="2:32" ht="12" customHeight="1"/>
    <row r="350" spans="2:32" ht="12" customHeight="1"/>
    <row r="351" spans="2:32" ht="12" customHeight="1"/>
    <row r="352" spans="2:32" ht="12" customHeight="1"/>
    <row r="353" ht="12" customHeight="1"/>
    <row r="354" ht="12" customHeight="1"/>
    <row r="355" ht="12" customHeight="1"/>
    <row r="356" ht="12" customHeight="1"/>
    <row r="357" ht="12" customHeight="1"/>
    <row r="358" ht="12" customHeight="1"/>
    <row r="359" ht="12" customHeight="1"/>
    <row r="360" ht="12" customHeight="1"/>
    <row r="361" ht="12" customHeight="1"/>
    <row r="362" ht="12" customHeight="1"/>
    <row r="363" ht="12" customHeight="1"/>
    <row r="364" ht="12" customHeight="1"/>
    <row r="365" ht="12" customHeight="1"/>
    <row r="366" ht="12" customHeight="1"/>
    <row r="367" ht="12" customHeight="1"/>
    <row r="368" ht="12" customHeight="1"/>
    <row r="369" ht="12" customHeight="1"/>
    <row r="370" ht="12" customHeight="1"/>
    <row r="371" ht="12" customHeight="1"/>
    <row r="372" ht="12" customHeight="1"/>
    <row r="373" ht="12" customHeight="1"/>
    <row r="374" ht="12" customHeight="1"/>
    <row r="378" ht="15" customHeight="1"/>
    <row r="379" ht="15" customHeight="1"/>
    <row r="385" ht="12" customHeight="1"/>
    <row r="402" ht="12" customHeight="1"/>
    <row r="405" ht="12" customHeight="1"/>
    <row r="411" ht="12" customHeight="1"/>
    <row r="428" ht="12" customHeight="1"/>
    <row r="431" ht="12" customHeight="1"/>
    <row r="435" ht="12" customHeight="1"/>
    <row r="446" ht="12" customHeight="1"/>
    <row r="449" spans="2:32" ht="12" customHeight="1"/>
    <row r="451" spans="2:32" ht="15" customHeight="1"/>
    <row r="452" spans="2:32" ht="15" customHeight="1">
      <c r="B452" s="108"/>
      <c r="C452" s="108"/>
      <c r="D452" s="108"/>
      <c r="E452" s="108"/>
      <c r="F452" s="108"/>
      <c r="G452" s="108"/>
      <c r="H452" s="108"/>
      <c r="I452" s="108"/>
      <c r="J452" s="108"/>
      <c r="K452" s="108"/>
      <c r="L452" s="108"/>
      <c r="M452" s="108"/>
      <c r="N452" s="108"/>
      <c r="O452" s="108"/>
      <c r="P452" s="108"/>
      <c r="Q452" s="108"/>
      <c r="R452" s="108"/>
      <c r="S452" s="108"/>
      <c r="T452" s="108"/>
      <c r="U452" s="108"/>
      <c r="V452" s="108"/>
      <c r="W452" s="108"/>
      <c r="X452" s="108"/>
      <c r="Y452" s="108"/>
      <c r="Z452" s="108"/>
      <c r="AA452" s="108"/>
      <c r="AB452" s="108"/>
      <c r="AC452" s="108"/>
      <c r="AD452" s="108"/>
      <c r="AE452" s="108"/>
      <c r="AF452" s="108"/>
    </row>
    <row r="460" spans="2:32" ht="12" customHeight="1"/>
    <row r="461" spans="2:32" ht="12" customHeight="1"/>
    <row r="462" spans="2:32" ht="12" customHeight="1"/>
    <row r="463" spans="2:32" ht="12" customHeight="1"/>
    <row r="464" spans="2:32" ht="12" customHeight="1"/>
    <row r="465" ht="12" customHeight="1"/>
    <row r="466" ht="12" customHeight="1"/>
    <row r="467" ht="12" customHeight="1"/>
    <row r="468" ht="12" customHeight="1"/>
    <row r="469" ht="12" customHeight="1"/>
    <row r="470" ht="12" customHeight="1"/>
    <row r="471" ht="12" customHeight="1"/>
    <row r="472" ht="12" customHeight="1"/>
    <row r="473" ht="12" customHeight="1"/>
    <row r="474" ht="12" customHeight="1"/>
    <row r="475" ht="12" customHeight="1"/>
    <row r="476" ht="12" customHeight="1"/>
    <row r="477" ht="12" customHeight="1"/>
    <row r="478" ht="12" customHeight="1"/>
    <row r="479" ht="12" customHeight="1"/>
    <row r="480" ht="12" customHeight="1"/>
    <row r="481" ht="12" customHeight="1"/>
    <row r="482" ht="12" customHeight="1"/>
    <row r="483" ht="12" customHeight="1"/>
    <row r="484" ht="12" customHeight="1"/>
    <row r="485" ht="12" customHeight="1"/>
    <row r="486" ht="12" customHeight="1"/>
    <row r="487" ht="12" customHeight="1"/>
    <row r="488" ht="12" customHeight="1"/>
    <row r="489" ht="12" customHeight="1"/>
    <row r="490" ht="12" customHeight="1"/>
    <row r="491" ht="12" customHeight="1"/>
    <row r="492" ht="12" customHeight="1"/>
    <row r="493" ht="12" customHeight="1"/>
    <row r="494" ht="12" customHeight="1"/>
    <row r="495" ht="12" customHeight="1"/>
    <row r="496" ht="12" customHeight="1"/>
    <row r="497" ht="12" customHeight="1"/>
    <row r="498" ht="12" customHeight="1"/>
    <row r="499" ht="12" customHeight="1"/>
    <row r="503" ht="15" customHeight="1"/>
    <row r="504" ht="15" customHeight="1"/>
    <row r="510" ht="12" customHeight="1"/>
    <row r="527" ht="12" customHeight="1"/>
    <row r="529" ht="12" customHeight="1"/>
    <row r="535" ht="12" customHeight="1"/>
    <row r="552" spans="2:32" ht="12" customHeight="1"/>
    <row r="554" spans="2:32" ht="12" customHeight="1"/>
    <row r="556" spans="2:32" ht="15" customHeight="1"/>
    <row r="557" spans="2:32" ht="15" customHeight="1">
      <c r="B557" s="108"/>
      <c r="C557" s="108"/>
      <c r="D557" s="108"/>
      <c r="E557" s="108"/>
      <c r="F557" s="108"/>
      <c r="G557" s="108"/>
      <c r="H557" s="108"/>
      <c r="I557" s="108"/>
      <c r="J557" s="108"/>
      <c r="K557" s="108"/>
      <c r="L557" s="108"/>
      <c r="M557" s="108"/>
      <c r="N557" s="108"/>
      <c r="O557" s="108"/>
      <c r="P557" s="108"/>
      <c r="Q557" s="108"/>
      <c r="R557" s="108"/>
      <c r="S557" s="108"/>
      <c r="T557" s="108"/>
      <c r="U557" s="108"/>
      <c r="V557" s="108"/>
      <c r="W557" s="108"/>
      <c r="X557" s="108"/>
      <c r="Y557" s="108"/>
      <c r="Z557" s="108"/>
      <c r="AA557" s="108"/>
      <c r="AB557" s="108"/>
      <c r="AC557" s="108"/>
      <c r="AD557" s="108"/>
      <c r="AE557" s="108"/>
      <c r="AF557" s="108"/>
    </row>
    <row r="562" ht="12" customHeight="1"/>
    <row r="563" ht="12" customHeight="1"/>
    <row r="564" ht="12" customHeight="1"/>
    <row r="565" ht="12" customHeight="1"/>
    <row r="566" ht="12" customHeight="1"/>
    <row r="567" ht="12" customHeight="1"/>
    <row r="568" ht="12" customHeight="1"/>
    <row r="569" ht="12" customHeight="1"/>
    <row r="570" ht="12" customHeight="1"/>
    <row r="571" ht="12" customHeight="1"/>
    <row r="572" ht="12" customHeight="1"/>
    <row r="573" ht="12" customHeight="1"/>
    <row r="574" ht="12" customHeight="1"/>
    <row r="578" ht="15" customHeight="1"/>
    <row r="579" ht="15" customHeight="1"/>
    <row r="584" ht="12" customHeight="1"/>
    <row r="600" ht="12" customHeight="1"/>
    <row r="602" ht="12" customHeight="1"/>
    <row r="607" ht="12" customHeight="1"/>
    <row r="623" ht="12" customHeight="1"/>
    <row r="625" spans="2:32" ht="12" customHeight="1"/>
    <row r="627" spans="2:32" ht="12" customHeight="1"/>
    <row r="630" spans="2:32" ht="12" customHeight="1"/>
    <row r="632" spans="2:32" ht="12" customHeight="1"/>
    <row r="633" spans="2:32" ht="12" customHeight="1"/>
    <row r="635" spans="2:32" ht="12" customHeight="1"/>
    <row r="637" spans="2:32" ht="15" customHeight="1"/>
    <row r="638" spans="2:32" ht="15" customHeight="1">
      <c r="B638" s="108"/>
      <c r="C638" s="108"/>
      <c r="D638" s="108"/>
      <c r="E638" s="108"/>
      <c r="F638" s="108"/>
      <c r="G638" s="108"/>
      <c r="H638" s="108"/>
      <c r="I638" s="108"/>
      <c r="J638" s="108"/>
      <c r="K638" s="108"/>
      <c r="L638" s="108"/>
      <c r="M638" s="108"/>
      <c r="N638" s="108"/>
      <c r="O638" s="108"/>
      <c r="P638" s="108"/>
      <c r="Q638" s="108"/>
      <c r="R638" s="108"/>
      <c r="S638" s="108"/>
      <c r="T638" s="108"/>
      <c r="U638" s="108"/>
      <c r="V638" s="108"/>
      <c r="W638" s="108"/>
      <c r="X638" s="108"/>
      <c r="Y638" s="108"/>
      <c r="Z638" s="108"/>
      <c r="AA638" s="108"/>
      <c r="AB638" s="108"/>
      <c r="AC638" s="108"/>
      <c r="AD638" s="108"/>
      <c r="AE638" s="108"/>
      <c r="AF638" s="108"/>
    </row>
    <row r="643" ht="12" customHeight="1"/>
    <row r="644" ht="12" customHeight="1"/>
    <row r="645" ht="12" customHeight="1"/>
    <row r="646" ht="12" customHeight="1"/>
    <row r="647" ht="12" customHeight="1"/>
    <row r="648" ht="12" customHeight="1"/>
    <row r="649" ht="12" customHeight="1"/>
    <row r="650" ht="12" customHeight="1"/>
    <row r="651" ht="12" customHeight="1"/>
    <row r="652" ht="12" customHeight="1"/>
    <row r="653" ht="12" customHeight="1"/>
    <row r="654" ht="12" customHeight="1"/>
    <row r="655" ht="12" customHeight="1"/>
    <row r="656" ht="12" customHeight="1"/>
    <row r="657" ht="12" customHeight="1"/>
    <row r="658" ht="12" customHeight="1"/>
    <row r="659" ht="12" customHeight="1"/>
    <row r="660" ht="12" customHeight="1"/>
    <row r="661" ht="12" customHeight="1"/>
    <row r="662" ht="12" customHeight="1"/>
    <row r="663" ht="12" customHeight="1"/>
    <row r="664" ht="12" customHeight="1"/>
    <row r="665" ht="12" customHeight="1"/>
    <row r="666" ht="12" customHeight="1"/>
    <row r="667" ht="12" customHeight="1"/>
    <row r="668" ht="12" customHeight="1"/>
    <row r="669" ht="12" customHeight="1"/>
    <row r="670" ht="12" customHeight="1"/>
    <row r="671" ht="12" customHeight="1"/>
    <row r="672" ht="12" customHeight="1"/>
    <row r="673" ht="12" customHeight="1"/>
    <row r="674" ht="12" customHeight="1"/>
    <row r="678" ht="15" customHeight="1"/>
    <row r="679" ht="15" customHeight="1"/>
    <row r="682" ht="12" customHeight="1"/>
    <row r="698" ht="12" customHeight="1"/>
    <row r="703" ht="12" customHeight="1"/>
    <row r="709" spans="2:32" ht="15" customHeight="1"/>
    <row r="710" spans="2:32" ht="15" customHeight="1">
      <c r="B710" s="108"/>
      <c r="C710" s="108"/>
      <c r="D710" s="108"/>
      <c r="E710" s="108"/>
      <c r="F710" s="108"/>
      <c r="G710" s="108"/>
      <c r="H710" s="108"/>
      <c r="I710" s="108"/>
      <c r="J710" s="108"/>
      <c r="K710" s="108"/>
      <c r="L710" s="108"/>
      <c r="M710" s="108"/>
      <c r="N710" s="108"/>
      <c r="O710" s="108"/>
      <c r="P710" s="108"/>
      <c r="Q710" s="108"/>
      <c r="R710" s="108"/>
      <c r="S710" s="108"/>
      <c r="T710" s="108"/>
      <c r="U710" s="108"/>
      <c r="V710" s="108"/>
      <c r="W710" s="108"/>
      <c r="X710" s="108"/>
      <c r="Y710" s="108"/>
      <c r="Z710" s="108"/>
      <c r="AA710" s="108"/>
      <c r="AB710" s="108"/>
      <c r="AC710" s="108"/>
      <c r="AD710" s="108"/>
      <c r="AE710" s="108"/>
      <c r="AF710" s="108"/>
    </row>
    <row r="716" spans="2:32" ht="12" customHeight="1"/>
    <row r="717" spans="2:32" ht="12" customHeight="1"/>
    <row r="718" spans="2:32" ht="12" customHeight="1"/>
    <row r="719" spans="2:32" ht="12" customHeight="1"/>
    <row r="720" spans="2:32" ht="12" customHeight="1"/>
    <row r="721" ht="12" customHeight="1"/>
    <row r="722" ht="12" customHeight="1"/>
    <row r="723" ht="12" customHeight="1"/>
    <row r="724" ht="12" customHeight="1"/>
    <row r="725" ht="12" customHeight="1"/>
    <row r="726" ht="12" customHeight="1"/>
    <row r="727" ht="12" customHeight="1"/>
    <row r="728" ht="12" customHeight="1"/>
    <row r="729" ht="12" customHeight="1"/>
    <row r="730" ht="12" customHeight="1"/>
    <row r="731" ht="12" customHeight="1"/>
    <row r="732" ht="12" customHeight="1"/>
    <row r="733" ht="12" customHeight="1"/>
    <row r="734" ht="12" customHeight="1"/>
    <row r="735" ht="12" customHeight="1"/>
    <row r="736" ht="12" customHeight="1"/>
    <row r="737" ht="12" customHeight="1"/>
    <row r="738" ht="12" customHeight="1"/>
    <row r="739" ht="12" customHeight="1"/>
    <row r="740" ht="12" customHeight="1"/>
    <row r="741" ht="12" customHeight="1"/>
    <row r="742" ht="12" customHeight="1"/>
    <row r="743" ht="12" customHeight="1"/>
    <row r="744" ht="12" customHeight="1"/>
    <row r="745" ht="12" customHeight="1"/>
    <row r="746" ht="12" customHeight="1"/>
    <row r="747" ht="12" customHeight="1"/>
    <row r="748" ht="12" customHeight="1"/>
    <row r="749" ht="12" customHeight="1"/>
    <row r="753" ht="15" customHeight="1"/>
    <row r="754" ht="15" customHeight="1"/>
    <row r="768" ht="12" customHeight="1"/>
    <row r="780" ht="12" customHeight="1"/>
    <row r="784" ht="12" customHeight="1"/>
    <row r="796" ht="12" customHeight="1"/>
    <row r="810" ht="12" customHeight="1"/>
    <row r="814" ht="12" customHeight="1"/>
    <row r="825" ht="12" customHeight="1"/>
    <row r="835" ht="12" customHeight="1"/>
    <row r="847" ht="12" customHeight="1"/>
    <row r="858" ht="12" customHeight="1"/>
    <row r="870" ht="12" customHeight="1"/>
    <row r="881" spans="2:32" ht="12" customHeight="1"/>
    <row r="885" spans="2:32" ht="15" customHeight="1"/>
    <row r="886" spans="2:32" ht="15" customHeight="1">
      <c r="B886" s="108"/>
      <c r="C886" s="108"/>
      <c r="D886" s="108"/>
      <c r="E886" s="108"/>
      <c r="F886" s="108"/>
      <c r="G886" s="108"/>
      <c r="H886" s="108"/>
      <c r="I886" s="108"/>
      <c r="J886" s="108"/>
      <c r="K886" s="108"/>
      <c r="L886" s="108"/>
      <c r="M886" s="108"/>
      <c r="N886" s="108"/>
      <c r="O886" s="108"/>
      <c r="P886" s="108"/>
      <c r="Q886" s="108"/>
      <c r="R886" s="108"/>
      <c r="S886" s="108"/>
      <c r="T886" s="108"/>
      <c r="U886" s="108"/>
      <c r="V886" s="108"/>
      <c r="W886" s="108"/>
      <c r="X886" s="108"/>
      <c r="Y886" s="108"/>
      <c r="Z886" s="108"/>
      <c r="AA886" s="108"/>
      <c r="AB886" s="108"/>
      <c r="AC886" s="108"/>
      <c r="AD886" s="108"/>
      <c r="AE886" s="108"/>
      <c r="AF886" s="108"/>
    </row>
    <row r="889" spans="2:32" ht="12" customHeight="1"/>
    <row r="890" spans="2:32" ht="12" customHeight="1"/>
    <row r="891" spans="2:32" ht="12" customHeight="1"/>
    <row r="892" spans="2:32" ht="12" customHeight="1"/>
    <row r="893" spans="2:32" ht="12" customHeight="1"/>
    <row r="894" spans="2:32" ht="12" customHeight="1"/>
    <row r="895" spans="2:32" ht="12" customHeight="1"/>
    <row r="896" spans="2:32" ht="12" customHeight="1"/>
    <row r="897" ht="12" customHeight="1"/>
    <row r="898" ht="12" customHeight="1"/>
    <row r="899" ht="12" customHeight="1"/>
    <row r="903" ht="15" customHeight="1"/>
    <row r="904" ht="15" customHeight="1"/>
    <row r="910" ht="12" customHeight="1"/>
    <row r="927" ht="12" customHeight="1"/>
    <row r="929" ht="12" customHeight="1"/>
    <row r="935" ht="12" customHeight="1"/>
    <row r="952" ht="12" customHeight="1"/>
    <row r="954" ht="12" customHeight="1"/>
    <row r="956" ht="12" customHeight="1"/>
    <row r="968" spans="2:32" ht="15" customHeight="1"/>
    <row r="969" spans="2:32" ht="15" customHeight="1">
      <c r="B969" s="108"/>
      <c r="C969" s="108"/>
      <c r="D969" s="108"/>
      <c r="E969" s="108"/>
      <c r="F969" s="108"/>
      <c r="G969" s="108"/>
      <c r="H969" s="108"/>
      <c r="I969" s="108"/>
      <c r="J969" s="108"/>
      <c r="K969" s="108"/>
      <c r="L969" s="108"/>
      <c r="M969" s="108"/>
      <c r="N969" s="108"/>
      <c r="O969" s="108"/>
      <c r="P969" s="108"/>
      <c r="Q969" s="108"/>
      <c r="R969" s="108"/>
      <c r="S969" s="108"/>
      <c r="T969" s="108"/>
      <c r="U969" s="108"/>
      <c r="V969" s="108"/>
      <c r="W969" s="108"/>
      <c r="X969" s="108"/>
      <c r="Y969" s="108"/>
      <c r="Z969" s="108"/>
      <c r="AA969" s="108"/>
      <c r="AB969" s="108"/>
      <c r="AC969" s="108"/>
      <c r="AD969" s="108"/>
      <c r="AE969" s="108"/>
      <c r="AF969" s="108"/>
    </row>
    <row r="975" spans="2:32" ht="12" customHeight="1"/>
    <row r="976" spans="2:32" ht="12" customHeight="1"/>
    <row r="977" ht="12" customHeight="1"/>
    <row r="978" ht="12" customHeight="1"/>
    <row r="979" ht="12" customHeight="1"/>
    <row r="980" ht="12" customHeight="1"/>
    <row r="981" ht="12" customHeight="1"/>
    <row r="982" ht="12" customHeight="1"/>
    <row r="983" ht="12" customHeight="1"/>
    <row r="984" ht="12" customHeight="1"/>
    <row r="985" ht="12" customHeight="1"/>
    <row r="986" ht="12" customHeight="1"/>
    <row r="987" ht="12" customHeight="1"/>
    <row r="988" ht="12" customHeight="1"/>
    <row r="989" ht="12" customHeight="1"/>
    <row r="990" ht="12" customHeight="1"/>
    <row r="991" ht="12" customHeight="1"/>
    <row r="992" ht="12" customHeight="1"/>
    <row r="993" ht="12" customHeight="1"/>
    <row r="994" ht="12" customHeight="1"/>
    <row r="995" ht="12" customHeight="1"/>
    <row r="996" ht="12" customHeight="1"/>
    <row r="997" ht="12" customHeight="1"/>
    <row r="998" ht="12" customHeight="1"/>
    <row r="999" ht="12" customHeight="1"/>
    <row r="1003" ht="15" customHeight="1"/>
    <row r="1004" ht="15" customHeight="1"/>
    <row r="1010" ht="12" customHeight="1"/>
    <row r="1027" ht="12" customHeight="1"/>
    <row r="1030" ht="12" customHeight="1"/>
    <row r="1036" ht="12" customHeight="1"/>
    <row r="1053" ht="12" customHeight="1"/>
    <row r="1056" ht="12" customHeight="1"/>
    <row r="1058" spans="2:32" ht="12" customHeight="1"/>
    <row r="1070" spans="2:32" ht="15" customHeight="1"/>
    <row r="1071" spans="2:32" ht="15" customHeight="1">
      <c r="B1071" s="108"/>
      <c r="C1071" s="108"/>
      <c r="D1071" s="108"/>
      <c r="E1071" s="108"/>
      <c r="F1071" s="108"/>
      <c r="G1071" s="108"/>
      <c r="H1071" s="108"/>
      <c r="I1071" s="108"/>
      <c r="J1071" s="108"/>
      <c r="K1071" s="108"/>
      <c r="L1071" s="108"/>
      <c r="M1071" s="108"/>
      <c r="N1071" s="108"/>
      <c r="O1071" s="108"/>
      <c r="P1071" s="108"/>
      <c r="Q1071" s="108"/>
      <c r="R1071" s="108"/>
      <c r="S1071" s="108"/>
      <c r="T1071" s="108"/>
      <c r="U1071" s="108"/>
      <c r="V1071" s="108"/>
      <c r="W1071" s="108"/>
      <c r="X1071" s="108"/>
      <c r="Y1071" s="108"/>
      <c r="Z1071" s="108"/>
      <c r="AA1071" s="108"/>
      <c r="AB1071" s="108"/>
      <c r="AC1071" s="108"/>
      <c r="AD1071" s="108"/>
      <c r="AE1071" s="108"/>
      <c r="AF1071" s="108"/>
    </row>
    <row r="1077" ht="12" customHeight="1"/>
    <row r="1078" ht="12" customHeight="1"/>
    <row r="1079" ht="12" customHeight="1"/>
    <row r="1080" ht="12" customHeight="1"/>
    <row r="1081" ht="12" customHeight="1"/>
    <row r="1082" ht="12" customHeight="1"/>
    <row r="1083" ht="12" customHeight="1"/>
    <row r="1084" ht="12" customHeight="1"/>
    <row r="1085" ht="12" customHeight="1"/>
    <row r="1086" ht="12" customHeight="1"/>
    <row r="1087" ht="12" customHeight="1"/>
    <row r="1088" ht="12" customHeight="1"/>
    <row r="1089" ht="12" customHeight="1"/>
    <row r="1090" ht="12" customHeight="1"/>
    <row r="1091" ht="12" customHeight="1"/>
    <row r="1092" ht="12" customHeight="1"/>
    <row r="1093" ht="12" customHeight="1"/>
    <row r="1094" ht="12" customHeight="1"/>
    <row r="1095" ht="12" customHeight="1"/>
    <row r="1096" ht="12" customHeight="1"/>
    <row r="1097" ht="12" customHeight="1"/>
    <row r="1098" ht="12" customHeight="1"/>
    <row r="1099" ht="12" customHeight="1"/>
    <row r="1103" ht="15" customHeight="1"/>
    <row r="1104" ht="15" customHeight="1"/>
    <row r="1110" ht="12" customHeight="1"/>
    <row r="1127" ht="12" customHeight="1"/>
    <row r="1129" ht="12" customHeight="1"/>
    <row r="1135" ht="12" customHeight="1"/>
    <row r="1152" ht="12" customHeight="1"/>
    <row r="1154" ht="12" customHeight="1"/>
    <row r="1156" ht="12" customHeight="1"/>
    <row r="1168" ht="15" customHeight="1"/>
    <row r="1169" spans="2:32" ht="15" customHeight="1">
      <c r="B1169" s="108"/>
      <c r="C1169" s="108"/>
      <c r="D1169" s="108"/>
      <c r="E1169" s="108"/>
      <c r="F1169" s="108"/>
      <c r="G1169" s="108"/>
      <c r="H1169" s="108"/>
      <c r="I1169" s="108"/>
      <c r="J1169" s="108"/>
      <c r="K1169" s="108"/>
      <c r="L1169" s="108"/>
      <c r="M1169" s="108"/>
      <c r="N1169" s="108"/>
      <c r="O1169" s="108"/>
      <c r="P1169" s="108"/>
      <c r="Q1169" s="108"/>
      <c r="R1169" s="108"/>
      <c r="S1169" s="108"/>
      <c r="T1169" s="108"/>
      <c r="U1169" s="108"/>
      <c r="V1169" s="108"/>
      <c r="W1169" s="108"/>
      <c r="X1169" s="108"/>
      <c r="Y1169" s="108"/>
      <c r="Z1169" s="108"/>
      <c r="AA1169" s="108"/>
      <c r="AB1169" s="108"/>
      <c r="AC1169" s="108"/>
      <c r="AD1169" s="108"/>
      <c r="AE1169" s="108"/>
      <c r="AF1169" s="108"/>
    </row>
    <row r="1175" spans="2:32" ht="12" customHeight="1"/>
    <row r="1176" spans="2:32" ht="12" customHeight="1"/>
    <row r="1177" spans="2:32" ht="12" customHeight="1"/>
    <row r="1178" spans="2:32" ht="12" customHeight="1"/>
    <row r="1179" spans="2:32" ht="12" customHeight="1"/>
    <row r="1180" spans="2:32" ht="12" customHeight="1"/>
    <row r="1181" spans="2:32" ht="12" customHeight="1"/>
    <row r="1182" spans="2:32" ht="12" customHeight="1"/>
    <row r="1183" spans="2:32" ht="12" customHeight="1"/>
    <row r="1184" spans="2:32" ht="12" customHeight="1"/>
    <row r="1185" ht="12" customHeight="1"/>
    <row r="1186" ht="12" customHeight="1"/>
    <row r="1187" ht="12" customHeight="1"/>
    <row r="1188" ht="12" customHeight="1"/>
    <row r="1189" ht="12" customHeight="1"/>
    <row r="1190" ht="12" customHeight="1"/>
    <row r="1191" ht="12" customHeight="1"/>
    <row r="1192" ht="12" customHeight="1"/>
    <row r="1193" ht="12" customHeight="1"/>
    <row r="1194" ht="12" customHeight="1"/>
    <row r="1195" ht="12" customHeight="1"/>
    <row r="1196" ht="12" customHeight="1"/>
    <row r="1197" ht="12" customHeight="1"/>
    <row r="1198" ht="12" customHeight="1"/>
    <row r="1199" ht="12" customHeight="1"/>
    <row r="1203" ht="15" customHeight="1"/>
    <row r="1204" ht="15" customHeight="1"/>
    <row r="1210" ht="12" customHeight="1"/>
    <row r="1227" ht="12" customHeight="1"/>
    <row r="1229" ht="12" customHeight="1"/>
    <row r="1235" ht="12" customHeight="1"/>
    <row r="1252" ht="12" customHeight="1"/>
    <row r="1254" ht="12" customHeight="1"/>
    <row r="1256" ht="12" customHeight="1"/>
    <row r="1268" spans="2:32" ht="15" customHeight="1"/>
    <row r="1269" spans="2:32" ht="15" customHeight="1">
      <c r="B1269" s="108"/>
      <c r="C1269" s="108"/>
      <c r="D1269" s="108"/>
      <c r="E1269" s="108"/>
      <c r="F1269" s="108"/>
      <c r="G1269" s="108"/>
      <c r="H1269" s="108"/>
      <c r="I1269" s="108"/>
      <c r="J1269" s="108"/>
      <c r="K1269" s="108"/>
      <c r="L1269" s="108"/>
      <c r="M1269" s="108"/>
      <c r="N1269" s="108"/>
      <c r="O1269" s="108"/>
      <c r="P1269" s="108"/>
      <c r="Q1269" s="108"/>
      <c r="R1269" s="108"/>
      <c r="S1269" s="108"/>
      <c r="T1269" s="108"/>
      <c r="U1269" s="108"/>
      <c r="V1269" s="108"/>
      <c r="W1269" s="108"/>
      <c r="X1269" s="108"/>
      <c r="Y1269" s="108"/>
      <c r="Z1269" s="108"/>
      <c r="AA1269" s="108"/>
      <c r="AB1269" s="108"/>
      <c r="AC1269" s="108"/>
      <c r="AD1269" s="108"/>
      <c r="AE1269" s="108"/>
      <c r="AF1269" s="108"/>
    </row>
    <row r="1275" spans="2:32" ht="12" customHeight="1"/>
    <row r="1276" spans="2:32" ht="12" customHeight="1"/>
    <row r="1277" spans="2:32" ht="12" customHeight="1"/>
    <row r="1278" spans="2:32" ht="12" customHeight="1"/>
    <row r="1279" spans="2:32" ht="12" customHeight="1"/>
    <row r="1280" spans="2:32" ht="12" customHeight="1"/>
    <row r="1281" ht="12" customHeight="1"/>
    <row r="1282" ht="12" customHeight="1"/>
    <row r="1283" ht="12" customHeight="1"/>
    <row r="1284" ht="12" customHeight="1"/>
    <row r="1285" ht="12" customHeight="1"/>
    <row r="1286" ht="12" customHeight="1"/>
    <row r="1287" ht="12" customHeight="1"/>
    <row r="1288" ht="12" customHeight="1"/>
    <row r="1289" ht="12" customHeight="1"/>
    <row r="1290" ht="12" customHeight="1"/>
    <row r="1291" ht="12" customHeight="1"/>
    <row r="1292" ht="12" customHeight="1"/>
    <row r="1293" ht="12" customHeight="1"/>
    <row r="1294" ht="12" customHeight="1"/>
    <row r="1295" ht="12" customHeight="1"/>
    <row r="1296" ht="12" customHeight="1"/>
    <row r="1297" ht="12" customHeight="1"/>
    <row r="1298" ht="12" customHeight="1"/>
    <row r="1299" ht="12" customHeight="1"/>
    <row r="1303" ht="15" customHeight="1"/>
    <row r="1304" ht="15" customHeight="1"/>
    <row r="1306" ht="12" customHeight="1"/>
    <row r="1311" ht="12" customHeight="1"/>
    <row r="1315" ht="12" customHeight="1"/>
    <row r="1331" ht="12" customHeight="1"/>
    <row r="1362" ht="12" customHeight="1"/>
    <row r="1378" ht="12" customHeight="1"/>
    <row r="1397" ht="12" customHeight="1"/>
    <row r="1452" ht="12" customHeight="1"/>
    <row r="1464" ht="12" customHeight="1"/>
    <row r="1483" spans="2:32" ht="15" customHeight="1"/>
    <row r="1484" spans="2:32" ht="15" customHeight="1">
      <c r="B1484" s="108"/>
      <c r="C1484" s="108"/>
      <c r="D1484" s="108"/>
      <c r="E1484" s="108"/>
      <c r="F1484" s="108"/>
      <c r="G1484" s="108"/>
      <c r="H1484" s="108"/>
      <c r="I1484" s="108"/>
      <c r="J1484" s="108"/>
      <c r="K1484" s="108"/>
      <c r="L1484" s="108"/>
      <c r="M1484" s="108"/>
      <c r="N1484" s="108"/>
      <c r="O1484" s="108"/>
      <c r="P1484" s="108"/>
      <c r="Q1484" s="108"/>
      <c r="R1484" s="108"/>
      <c r="S1484" s="108"/>
      <c r="T1484" s="108"/>
      <c r="U1484" s="108"/>
      <c r="V1484" s="108"/>
      <c r="W1484" s="108"/>
      <c r="X1484" s="108"/>
      <c r="Y1484" s="108"/>
      <c r="Z1484" s="108"/>
      <c r="AA1484" s="108"/>
      <c r="AB1484" s="108"/>
      <c r="AC1484" s="108"/>
      <c r="AD1484" s="108"/>
      <c r="AE1484" s="108"/>
      <c r="AF1484" s="108"/>
    </row>
    <row r="1494" ht="12" customHeight="1"/>
    <row r="1495" ht="12" customHeight="1"/>
    <row r="1496" ht="12" customHeight="1"/>
    <row r="1497" ht="12" customHeight="1"/>
    <row r="1498" ht="12" customHeight="1"/>
    <row r="1499" ht="12" customHeight="1"/>
    <row r="1500" ht="12" customHeight="1"/>
    <row r="1501" ht="12" customHeight="1"/>
    <row r="1502" ht="12" customHeight="1"/>
    <row r="1503" ht="12" customHeight="1"/>
    <row r="1504" ht="12" customHeight="1"/>
    <row r="1505" ht="12" customHeight="1"/>
    <row r="1506" ht="12" customHeight="1"/>
    <row r="1507" ht="12" customHeight="1"/>
    <row r="1508" ht="12" customHeight="1"/>
    <row r="1509" ht="12" customHeight="1"/>
    <row r="1510" ht="12" customHeight="1"/>
    <row r="1511" ht="12" customHeight="1"/>
    <row r="1512" ht="12" customHeight="1"/>
    <row r="1513" ht="12" customHeight="1"/>
    <row r="1514" ht="12" customHeight="1"/>
    <row r="1515" ht="12" customHeight="1"/>
    <row r="1516" ht="12" customHeight="1"/>
    <row r="1517" ht="12" customHeight="1"/>
    <row r="1518" ht="12" customHeight="1"/>
    <row r="1519" ht="12" customHeight="1"/>
    <row r="1520" ht="12" customHeight="1"/>
    <row r="1521" ht="12" customHeight="1"/>
    <row r="1522" ht="12" customHeight="1"/>
    <row r="1523" ht="12" customHeight="1"/>
    <row r="1524" ht="12" customHeight="1"/>
    <row r="1528" ht="15" customHeight="1"/>
    <row r="1529" ht="15" customHeight="1"/>
    <row r="1584" ht="12" customHeight="1"/>
    <row r="1585" ht="12" customHeight="1"/>
    <row r="1640" ht="12" customHeight="1"/>
    <row r="1641" ht="12" customHeight="1"/>
    <row r="1696" ht="12" customHeight="1"/>
    <row r="1697" ht="12" customHeight="1"/>
    <row r="1712" ht="15" customHeight="1"/>
    <row r="1713" spans="2:32" ht="15" customHeight="1">
      <c r="B1713" s="108"/>
      <c r="C1713" s="108"/>
      <c r="D1713" s="108"/>
      <c r="E1713" s="108"/>
      <c r="F1713" s="108"/>
      <c r="G1713" s="108"/>
      <c r="H1713" s="108"/>
      <c r="I1713" s="108"/>
      <c r="J1713" s="108"/>
      <c r="K1713" s="108"/>
      <c r="L1713" s="108"/>
      <c r="M1713" s="108"/>
      <c r="N1713" s="108"/>
      <c r="O1713" s="108"/>
      <c r="P1713" s="108"/>
      <c r="Q1713" s="108"/>
      <c r="R1713" s="108"/>
      <c r="S1713" s="108"/>
      <c r="T1713" s="108"/>
      <c r="U1713" s="108"/>
      <c r="V1713" s="108"/>
      <c r="W1713" s="108"/>
      <c r="X1713" s="108"/>
      <c r="Y1713" s="108"/>
      <c r="Z1713" s="108"/>
      <c r="AA1713" s="108"/>
      <c r="AB1713" s="108"/>
      <c r="AC1713" s="108"/>
      <c r="AD1713" s="108"/>
      <c r="AE1713" s="108"/>
      <c r="AF1713" s="108"/>
    </row>
    <row r="1714" spans="2:32" ht="12" customHeight="1"/>
    <row r="1715" spans="2:32" ht="12" customHeight="1"/>
    <row r="1716" spans="2:32" ht="12" customHeight="1"/>
    <row r="1717" spans="2:32" ht="12" customHeight="1"/>
    <row r="1718" spans="2:32" ht="12" customHeight="1"/>
    <row r="1719" spans="2:32" ht="12" customHeight="1"/>
    <row r="1720" spans="2:32" ht="12" customHeight="1"/>
    <row r="1721" spans="2:32" ht="12" customHeight="1"/>
    <row r="1722" spans="2:32" ht="12" customHeight="1"/>
    <row r="1723" spans="2:32" ht="12" customHeight="1"/>
    <row r="1724" spans="2:32" ht="12" customHeight="1"/>
    <row r="1728" spans="2:32" ht="15" customHeight="1"/>
    <row r="1729" ht="15" customHeight="1"/>
    <row r="1731" ht="12" customHeight="1"/>
    <row r="1767" ht="12" customHeight="1"/>
    <row r="1813" ht="12" customHeight="1"/>
    <row r="1849" ht="12" customHeight="1"/>
    <row r="1885" ht="12" customHeight="1"/>
    <row r="1887" ht="12" customHeight="1"/>
    <row r="1923" ht="12" customHeight="1"/>
    <row r="1959" ht="12" customHeight="1"/>
    <row r="1960" ht="12" customHeight="1"/>
    <row r="1961" ht="12" customHeight="1"/>
    <row r="1970" ht="12" customHeight="1"/>
    <row r="1979" ht="12" customHeight="1"/>
    <row r="1989" spans="2:32" ht="15" customHeight="1"/>
    <row r="1990" spans="2:32" ht="15" customHeight="1">
      <c r="B1990" s="108"/>
      <c r="C1990" s="108"/>
      <c r="D1990" s="108"/>
      <c r="E1990" s="108"/>
      <c r="F1990" s="108"/>
      <c r="G1990" s="108"/>
      <c r="H1990" s="108"/>
      <c r="I1990" s="108"/>
      <c r="J1990" s="108"/>
      <c r="K1990" s="108"/>
      <c r="L1990" s="108"/>
      <c r="M1990" s="108"/>
      <c r="N1990" s="108"/>
      <c r="O1990" s="108"/>
      <c r="P1990" s="108"/>
      <c r="Q1990" s="108"/>
      <c r="R1990" s="108"/>
      <c r="S1990" s="108"/>
      <c r="T1990" s="108"/>
      <c r="U1990" s="108"/>
      <c r="V1990" s="108"/>
      <c r="W1990" s="108"/>
      <c r="X1990" s="108"/>
      <c r="Y1990" s="108"/>
      <c r="Z1990" s="108"/>
      <c r="AA1990" s="108"/>
      <c r="AB1990" s="108"/>
      <c r="AC1990" s="108"/>
      <c r="AD1990" s="108"/>
      <c r="AE1990" s="108"/>
      <c r="AF1990" s="108"/>
    </row>
    <row r="1998" spans="2:32" ht="12" customHeight="1"/>
    <row r="1999" spans="2:32" ht="12" customHeight="1"/>
    <row r="2000" spans="2:32" ht="12" customHeight="1"/>
    <row r="2001" ht="12" customHeight="1"/>
    <row r="2002" ht="12" customHeight="1"/>
    <row r="2003" ht="12" customHeight="1"/>
    <row r="2004" ht="12" customHeight="1"/>
    <row r="2005" ht="12" customHeight="1"/>
    <row r="2006" ht="12" customHeight="1"/>
    <row r="2007" ht="12" customHeight="1"/>
    <row r="2008" ht="12" customHeight="1"/>
    <row r="2009" ht="12" customHeight="1"/>
    <row r="2010" ht="12" customHeight="1"/>
    <row r="2011" ht="12" customHeight="1"/>
    <row r="2012" ht="12" customHeight="1"/>
    <row r="2013" ht="12" customHeight="1"/>
    <row r="2014" ht="12" customHeight="1"/>
    <row r="2015" ht="12" customHeight="1"/>
    <row r="2016" ht="12" customHeight="1"/>
    <row r="2017" ht="12" customHeight="1"/>
    <row r="2018" ht="12" customHeight="1"/>
    <row r="2019" ht="12" customHeight="1"/>
    <row r="2020" ht="12" customHeight="1"/>
    <row r="2021" ht="12" customHeight="1"/>
    <row r="2022" ht="12" customHeight="1"/>
    <row r="2023" ht="12" customHeight="1"/>
    <row r="2024" ht="12" customHeight="1"/>
    <row r="2025" ht="12" customHeight="1"/>
    <row r="2026" ht="12" customHeight="1"/>
    <row r="2027" ht="12" customHeight="1"/>
    <row r="2028" ht="12" customHeight="1"/>
    <row r="2029" ht="12" customHeight="1"/>
    <row r="2030" ht="12" customHeight="1"/>
    <row r="2031" ht="12" customHeight="1"/>
    <row r="2032" ht="12" customHeight="1"/>
    <row r="2033" ht="12" customHeight="1"/>
    <row r="2034" ht="12" customHeight="1"/>
    <row r="2035" ht="12" customHeight="1"/>
    <row r="2036" ht="12" customHeight="1"/>
    <row r="2037" ht="12" customHeight="1"/>
    <row r="2038" ht="12" customHeight="1"/>
    <row r="2039" ht="12" customHeight="1"/>
    <row r="2040" ht="12" customHeight="1"/>
    <row r="2041" ht="12" customHeight="1"/>
    <row r="2042" ht="12" customHeight="1"/>
    <row r="2043" ht="12" customHeight="1"/>
    <row r="2044" ht="12" customHeight="1"/>
    <row r="2045" ht="12" customHeight="1"/>
    <row r="2046" ht="12" customHeight="1"/>
    <row r="2047" ht="12" customHeight="1"/>
    <row r="2048" ht="12" customHeight="1"/>
    <row r="2049" ht="12" customHeight="1"/>
    <row r="2053" ht="15" customHeight="1"/>
    <row r="2054" ht="15" customHeight="1"/>
    <row r="2144" ht="12" customHeight="1"/>
    <row r="2234" ht="12" customHeight="1"/>
    <row r="2324" spans="2:32" ht="15" customHeight="1"/>
    <row r="2325" spans="2:32" ht="15" customHeight="1">
      <c r="B2325" s="108"/>
      <c r="C2325" s="108"/>
      <c r="D2325" s="108"/>
      <c r="E2325" s="108"/>
      <c r="F2325" s="108"/>
      <c r="G2325" s="108"/>
      <c r="H2325" s="108"/>
      <c r="I2325" s="108"/>
      <c r="J2325" s="108"/>
      <c r="K2325" s="108"/>
      <c r="L2325" s="108"/>
      <c r="M2325" s="108"/>
      <c r="N2325" s="108"/>
      <c r="O2325" s="108"/>
      <c r="P2325" s="108"/>
      <c r="Q2325" s="108"/>
      <c r="R2325" s="108"/>
      <c r="S2325" s="108"/>
      <c r="T2325" s="108"/>
      <c r="U2325" s="108"/>
      <c r="V2325" s="108"/>
      <c r="W2325" s="108"/>
      <c r="X2325" s="108"/>
      <c r="Y2325" s="108"/>
      <c r="Z2325" s="108"/>
      <c r="AA2325" s="108"/>
      <c r="AB2325" s="108"/>
      <c r="AC2325" s="108"/>
      <c r="AD2325" s="108"/>
      <c r="AE2325" s="108"/>
      <c r="AF2325" s="108"/>
    </row>
    <row r="2327" spans="2:32" ht="12" customHeight="1"/>
    <row r="2328" spans="2:32" ht="12" customHeight="1"/>
    <row r="2329" spans="2:32" ht="12" customHeight="1"/>
    <row r="2330" spans="2:32" ht="12" customHeight="1"/>
    <row r="2331" spans="2:32" ht="12" customHeight="1"/>
    <row r="2332" spans="2:32" ht="12" customHeight="1"/>
    <row r="2333" spans="2:32" ht="12" customHeight="1"/>
    <row r="2334" spans="2:32" ht="12" customHeight="1"/>
    <row r="2335" spans="2:32" ht="12" customHeight="1"/>
    <row r="2336" spans="2:32" ht="12" customHeight="1"/>
    <row r="2337" ht="12" customHeight="1"/>
    <row r="2338" ht="12" customHeight="1"/>
    <row r="2339" ht="12" customHeight="1"/>
    <row r="2340" ht="12" customHeight="1"/>
    <row r="2341" ht="12" customHeight="1"/>
    <row r="2342" ht="12" customHeight="1"/>
    <row r="2343" ht="12" customHeight="1"/>
    <row r="2344" ht="12" customHeight="1"/>
    <row r="2345" ht="12" customHeight="1"/>
    <row r="2346" ht="12" customHeight="1"/>
    <row r="2347" ht="12" customHeight="1"/>
    <row r="2348" ht="12" customHeight="1"/>
    <row r="2349" ht="12" customHeight="1"/>
    <row r="2353" ht="15" customHeight="1"/>
    <row r="2354" ht="15" customHeight="1"/>
    <row r="2372" ht="12" customHeight="1"/>
    <row r="2390" ht="12" customHeight="1"/>
    <row r="2408" ht="12" customHeight="1"/>
    <row r="2426" ht="12" customHeight="1"/>
    <row r="2444" ht="12" customHeight="1"/>
    <row r="2462" ht="12" customHeight="1"/>
    <row r="2463" ht="12" customHeight="1"/>
    <row r="2481" ht="12" customHeight="1"/>
    <row r="2499" ht="12" customHeight="1"/>
    <row r="2517" ht="12" customHeight="1"/>
    <row r="2518" ht="12" customHeight="1"/>
    <row r="2536" ht="12" customHeight="1"/>
    <row r="2554" ht="12" customHeight="1"/>
    <row r="2572" ht="12" customHeight="1"/>
    <row r="2590" ht="12" customHeight="1"/>
    <row r="2608" ht="12" customHeight="1"/>
    <row r="2626" ht="12" customHeight="1"/>
    <row r="2644" spans="2:32" ht="15" customHeight="1"/>
    <row r="2645" spans="2:32" ht="15" customHeight="1">
      <c r="B2645" s="108"/>
      <c r="C2645" s="108"/>
      <c r="D2645" s="108"/>
      <c r="E2645" s="108"/>
      <c r="F2645" s="108"/>
      <c r="G2645" s="108"/>
      <c r="H2645" s="108"/>
      <c r="I2645" s="108"/>
      <c r="J2645" s="108"/>
      <c r="K2645" s="108"/>
      <c r="L2645" s="108"/>
      <c r="M2645" s="108"/>
      <c r="N2645" s="108"/>
      <c r="O2645" s="108"/>
      <c r="P2645" s="108"/>
      <c r="Q2645" s="108"/>
      <c r="R2645" s="108"/>
      <c r="S2645" s="108"/>
      <c r="T2645" s="108"/>
      <c r="U2645" s="108"/>
      <c r="V2645" s="108"/>
      <c r="W2645" s="108"/>
      <c r="X2645" s="108"/>
      <c r="Y2645" s="108"/>
      <c r="Z2645" s="108"/>
      <c r="AA2645" s="108"/>
      <c r="AB2645" s="108"/>
      <c r="AC2645" s="108"/>
      <c r="AD2645" s="108"/>
      <c r="AE2645" s="108"/>
      <c r="AF2645" s="108"/>
    </row>
    <row r="2647" spans="2:32" ht="12" customHeight="1"/>
    <row r="2648" spans="2:32" ht="12" customHeight="1"/>
    <row r="2649" spans="2:32" ht="12" customHeight="1"/>
    <row r="2650" spans="2:32" ht="12" customHeight="1"/>
    <row r="2651" spans="2:32" ht="12" customHeight="1"/>
    <row r="2652" spans="2:32" ht="12" customHeight="1"/>
    <row r="2653" spans="2:32" ht="12" customHeight="1"/>
    <row r="2654" spans="2:32" ht="12" customHeight="1"/>
    <row r="2655" spans="2:32" ht="12" customHeight="1"/>
    <row r="2656" spans="2:32" ht="12" customHeight="1"/>
    <row r="2657" ht="12" customHeight="1"/>
    <row r="2658" ht="12" customHeight="1"/>
    <row r="2659" ht="12" customHeight="1"/>
    <row r="2660" ht="12" customHeight="1"/>
    <row r="2661" ht="12" customHeight="1"/>
    <row r="2662" ht="12" customHeight="1"/>
    <row r="2663" ht="12" customHeight="1"/>
    <row r="2664" ht="12" customHeight="1"/>
    <row r="2665" ht="12" customHeight="1"/>
    <row r="2666" ht="12" customHeight="1"/>
    <row r="2667" ht="12" customHeight="1"/>
    <row r="2668" ht="12" customHeight="1"/>
    <row r="2669" ht="12" customHeight="1"/>
    <row r="2670" ht="12" customHeight="1"/>
    <row r="2671" ht="12" customHeight="1"/>
    <row r="2672" ht="12" customHeight="1"/>
    <row r="2673" ht="12" customHeight="1"/>
    <row r="2674" ht="12" customHeight="1"/>
    <row r="2678" ht="15" customHeight="1"/>
    <row r="2679" ht="15" customHeight="1"/>
    <row r="2697" ht="12" customHeight="1"/>
    <row r="2715" ht="12" customHeight="1"/>
    <row r="2733" ht="12" customHeight="1"/>
    <row r="2751" ht="12" customHeight="1"/>
    <row r="2786" ht="12" customHeight="1"/>
    <row r="2804" ht="12" customHeight="1"/>
    <row r="2839" ht="12" customHeight="1"/>
    <row r="2857" ht="12" customHeight="1"/>
    <row r="2875" ht="12" customHeight="1"/>
    <row r="2893" ht="12" customHeight="1"/>
    <row r="2911" ht="12" customHeight="1"/>
    <row r="2929" ht="12" customHeight="1"/>
    <row r="2947" ht="12" customHeight="1"/>
    <row r="2965" spans="2:32" ht="12" customHeight="1"/>
    <row r="2970" spans="2:32" ht="15" customHeight="1"/>
    <row r="2971" spans="2:32" ht="15" customHeight="1">
      <c r="B2971" s="108"/>
      <c r="C2971" s="108"/>
      <c r="D2971" s="108"/>
      <c r="E2971" s="108"/>
      <c r="F2971" s="108"/>
      <c r="G2971" s="108"/>
      <c r="H2971" s="108"/>
      <c r="I2971" s="108"/>
      <c r="J2971" s="108"/>
      <c r="K2971" s="108"/>
      <c r="L2971" s="108"/>
      <c r="M2971" s="108"/>
      <c r="N2971" s="108"/>
      <c r="O2971" s="108"/>
      <c r="P2971" s="108"/>
      <c r="Q2971" s="108"/>
      <c r="R2971" s="108"/>
      <c r="S2971" s="108"/>
      <c r="T2971" s="108"/>
      <c r="U2971" s="108"/>
      <c r="V2971" s="108"/>
      <c r="W2971" s="108"/>
      <c r="X2971" s="108"/>
      <c r="Y2971" s="108"/>
      <c r="Z2971" s="108"/>
      <c r="AA2971" s="108"/>
      <c r="AB2971" s="108"/>
      <c r="AC2971" s="108"/>
      <c r="AD2971" s="108"/>
      <c r="AE2971" s="108"/>
      <c r="AF2971" s="108"/>
    </row>
    <row r="2973" spans="2:32" ht="12" customHeight="1"/>
    <row r="2974" spans="2:32" ht="12" customHeight="1"/>
    <row r="2975" spans="2:32" ht="12" customHeight="1"/>
    <row r="2976" spans="2:32" ht="12" customHeight="1"/>
    <row r="2977" ht="12" customHeight="1"/>
    <row r="2978" ht="12" customHeight="1"/>
    <row r="2979" ht="12" customHeight="1"/>
    <row r="2980" ht="12" customHeight="1"/>
    <row r="2981" ht="12" customHeight="1"/>
    <row r="2982" ht="12" customHeight="1"/>
    <row r="2983" ht="12" customHeight="1"/>
    <row r="2984" ht="12" customHeight="1"/>
    <row r="2985" ht="12" customHeight="1"/>
    <row r="2986" ht="12" customHeight="1"/>
    <row r="2987" ht="12" customHeight="1"/>
    <row r="2988" ht="12" customHeight="1"/>
    <row r="2989" ht="12" customHeight="1"/>
    <row r="2990" ht="12" customHeight="1"/>
    <row r="2991" ht="12" customHeight="1"/>
    <row r="2992" ht="12" customHeight="1"/>
    <row r="2993" ht="12" customHeight="1"/>
    <row r="2994" ht="12" customHeight="1"/>
    <row r="2995" ht="12" customHeight="1"/>
    <row r="2996" ht="12" customHeight="1"/>
    <row r="2997" ht="12" customHeight="1"/>
    <row r="2998" ht="12" customHeight="1"/>
    <row r="2999" ht="12" customHeight="1"/>
    <row r="3003" ht="15" customHeight="1"/>
    <row r="3004" ht="15" customHeight="1"/>
    <row r="3022" ht="12" customHeight="1"/>
    <row r="3040" ht="12" customHeight="1"/>
    <row r="3058" ht="12" customHeight="1"/>
    <row r="3076" ht="12" customHeight="1"/>
    <row r="3111" ht="12" customHeight="1"/>
    <row r="3129" ht="12" customHeight="1"/>
    <row r="3147" ht="12" customHeight="1"/>
    <row r="3165" ht="12" customHeight="1"/>
    <row r="3166" ht="12" customHeight="1"/>
    <row r="3184" ht="12" customHeight="1"/>
    <row r="3202" ht="12" customHeight="1"/>
    <row r="3220" ht="12" customHeight="1"/>
    <row r="3238" ht="12" customHeight="1"/>
    <row r="3256" ht="12" customHeight="1"/>
    <row r="3274" ht="12" customHeight="1"/>
    <row r="3292" spans="2:32" ht="15" customHeight="1"/>
    <row r="3293" spans="2:32" ht="15" customHeight="1">
      <c r="B3293" s="108"/>
      <c r="C3293" s="108"/>
      <c r="D3293" s="108"/>
      <c r="E3293" s="108"/>
      <c r="F3293" s="108"/>
      <c r="G3293" s="108"/>
      <c r="H3293" s="108"/>
      <c r="I3293" s="108"/>
      <c r="J3293" s="108"/>
      <c r="K3293" s="108"/>
      <c r="L3293" s="108"/>
      <c r="M3293" s="108"/>
      <c r="N3293" s="108"/>
      <c r="O3293" s="108"/>
      <c r="P3293" s="108"/>
      <c r="Q3293" s="108"/>
      <c r="R3293" s="108"/>
      <c r="S3293" s="108"/>
      <c r="T3293" s="108"/>
      <c r="U3293" s="108"/>
      <c r="V3293" s="108"/>
      <c r="W3293" s="108"/>
      <c r="X3293" s="108"/>
      <c r="Y3293" s="108"/>
      <c r="Z3293" s="108"/>
      <c r="AA3293" s="108"/>
      <c r="AB3293" s="108"/>
      <c r="AC3293" s="108"/>
      <c r="AD3293" s="108"/>
      <c r="AE3293" s="108"/>
      <c r="AF3293" s="108"/>
    </row>
    <row r="3294" spans="2:32" ht="12" customHeight="1"/>
    <row r="3295" spans="2:32" ht="12" customHeight="1"/>
    <row r="3296" spans="2:32" ht="12" customHeight="1"/>
    <row r="3297" ht="12" customHeight="1"/>
    <row r="3298" ht="12" customHeight="1"/>
    <row r="3299" ht="12" customHeight="1"/>
    <row r="3300" ht="12" customHeight="1"/>
    <row r="3301" ht="12" customHeight="1"/>
    <row r="3302" ht="12" customHeight="1"/>
    <row r="3303" ht="12" customHeight="1"/>
    <row r="3304" ht="12" customHeight="1"/>
    <row r="3305" ht="12" customHeight="1"/>
    <row r="3306" ht="12" customHeight="1"/>
    <row r="3307" ht="12" customHeight="1"/>
    <row r="3308" ht="12" customHeight="1"/>
    <row r="3309" ht="12" customHeight="1"/>
    <row r="3310" ht="12" customHeight="1"/>
    <row r="3311" ht="12" customHeight="1"/>
    <row r="3312" ht="12" customHeight="1"/>
    <row r="3313" ht="12" customHeight="1"/>
    <row r="3314" ht="12" customHeight="1"/>
    <row r="3315" ht="12" customHeight="1"/>
    <row r="3316" ht="12" customHeight="1"/>
    <row r="3317" ht="12" customHeight="1"/>
    <row r="3318" ht="12" customHeight="1"/>
    <row r="3319" ht="12" customHeight="1"/>
    <row r="3320" ht="12" customHeight="1"/>
    <row r="3321" ht="12" customHeight="1"/>
    <row r="3322" ht="12" customHeight="1"/>
    <row r="3323" ht="12" customHeight="1"/>
    <row r="3324" ht="12" customHeight="1"/>
    <row r="3328" ht="15" customHeight="1"/>
    <row r="3329" ht="15" customHeight="1"/>
    <row r="3335" ht="12" customHeight="1"/>
    <row r="3352" ht="12" customHeight="1"/>
    <row r="3355" ht="12" customHeight="1"/>
    <row r="3361" ht="12" customHeight="1"/>
    <row r="3378" ht="12" customHeight="1"/>
    <row r="3381" ht="12" customHeight="1"/>
    <row r="3385" ht="12" customHeight="1"/>
    <row r="3396" spans="2:32" ht="12" customHeight="1"/>
    <row r="3399" spans="2:32" ht="12" customHeight="1"/>
    <row r="3401" spans="2:32" ht="15" customHeight="1"/>
    <row r="3402" spans="2:32" ht="15" customHeight="1">
      <c r="B3402" s="108"/>
      <c r="C3402" s="108"/>
      <c r="D3402" s="108"/>
      <c r="E3402" s="108"/>
      <c r="F3402" s="108"/>
      <c r="G3402" s="108"/>
      <c r="H3402" s="108"/>
      <c r="I3402" s="108"/>
      <c r="J3402" s="108"/>
      <c r="K3402" s="108"/>
      <c r="L3402" s="108"/>
      <c r="M3402" s="108"/>
      <c r="N3402" s="108"/>
      <c r="O3402" s="108"/>
      <c r="P3402" s="108"/>
      <c r="Q3402" s="108"/>
      <c r="R3402" s="108"/>
      <c r="S3402" s="108"/>
      <c r="T3402" s="108"/>
      <c r="U3402" s="108"/>
      <c r="V3402" s="108"/>
      <c r="W3402" s="108"/>
      <c r="X3402" s="108"/>
      <c r="Y3402" s="108"/>
      <c r="Z3402" s="108"/>
      <c r="AA3402" s="108"/>
      <c r="AB3402" s="108"/>
      <c r="AC3402" s="108"/>
      <c r="AD3402" s="108"/>
      <c r="AE3402" s="108"/>
      <c r="AF3402" s="108"/>
    </row>
    <row r="3410" ht="12" customHeight="1"/>
    <row r="3411" ht="12" customHeight="1"/>
    <row r="3412" ht="12" customHeight="1"/>
    <row r="3413" ht="12" customHeight="1"/>
    <row r="3414" ht="12" customHeight="1"/>
    <row r="3415" ht="12" customHeight="1"/>
    <row r="3416" ht="12" customHeight="1"/>
    <row r="3417" ht="12" customHeight="1"/>
    <row r="3418" ht="12" customHeight="1"/>
    <row r="3419" ht="12" customHeight="1"/>
    <row r="3420" ht="12" customHeight="1"/>
    <row r="3421" ht="12" customHeight="1"/>
    <row r="3422" ht="12" customHeight="1"/>
    <row r="3423" ht="12" customHeight="1"/>
    <row r="3424" ht="12" customHeight="1"/>
    <row r="3425" ht="12" customHeight="1"/>
    <row r="3426" ht="12" customHeight="1"/>
    <row r="3427" ht="12" customHeight="1"/>
    <row r="3428" ht="12" customHeight="1"/>
    <row r="3429" ht="12" customHeight="1"/>
    <row r="3430" ht="12" customHeight="1"/>
    <row r="3431" ht="12" customHeight="1"/>
    <row r="3432" ht="12" customHeight="1"/>
    <row r="3433" ht="12" customHeight="1"/>
    <row r="3434" ht="12" customHeight="1"/>
    <row r="3435" ht="12" customHeight="1"/>
    <row r="3436" ht="12" customHeight="1"/>
    <row r="3437" ht="12" customHeight="1"/>
    <row r="3438" ht="12" customHeight="1"/>
    <row r="3439" ht="12" customHeight="1"/>
    <row r="3440" ht="12" customHeight="1"/>
    <row r="3441" ht="12" customHeight="1"/>
    <row r="3442" ht="12" customHeight="1"/>
    <row r="3443" ht="12" customHeight="1"/>
    <row r="3444" ht="12" customHeight="1"/>
    <row r="3445" ht="12" customHeight="1"/>
    <row r="3446" ht="12" customHeight="1"/>
    <row r="3447" ht="12" customHeight="1"/>
    <row r="3448" ht="12" customHeight="1"/>
    <row r="3449" ht="12" customHeight="1"/>
    <row r="3453" ht="15" customHeight="1"/>
    <row r="3454" ht="15" customHeight="1"/>
    <row r="3460" ht="12" customHeight="1"/>
    <row r="3477" ht="12" customHeight="1"/>
    <row r="3480" ht="12" customHeight="1"/>
    <row r="3486" ht="12" customHeight="1"/>
    <row r="3503" ht="12" customHeight="1"/>
    <row r="3506" ht="12" customHeight="1"/>
    <row r="3510" ht="12" customHeight="1"/>
    <row r="3521" spans="2:32" ht="12" customHeight="1"/>
    <row r="3524" spans="2:32" ht="12" customHeight="1"/>
    <row r="3526" spans="2:32" ht="15" customHeight="1"/>
    <row r="3527" spans="2:32" ht="15" customHeight="1">
      <c r="B3527" s="108"/>
      <c r="C3527" s="108"/>
      <c r="D3527" s="108"/>
      <c r="E3527" s="108"/>
      <c r="F3527" s="108"/>
      <c r="G3527" s="108"/>
      <c r="H3527" s="108"/>
      <c r="I3527" s="108"/>
      <c r="J3527" s="108"/>
      <c r="K3527" s="108"/>
      <c r="L3527" s="108"/>
      <c r="M3527" s="108"/>
      <c r="N3527" s="108"/>
      <c r="O3527" s="108"/>
      <c r="P3527" s="108"/>
      <c r="Q3527" s="108"/>
      <c r="R3527" s="108"/>
      <c r="S3527" s="108"/>
      <c r="T3527" s="108"/>
      <c r="U3527" s="108"/>
      <c r="V3527" s="108"/>
      <c r="W3527" s="108"/>
      <c r="X3527" s="108"/>
      <c r="Y3527" s="108"/>
      <c r="Z3527" s="108"/>
      <c r="AA3527" s="108"/>
      <c r="AB3527" s="108"/>
      <c r="AC3527" s="108"/>
      <c r="AD3527" s="108"/>
      <c r="AE3527" s="108"/>
      <c r="AF3527" s="108"/>
    </row>
    <row r="3535" spans="2:32" ht="12" customHeight="1"/>
    <row r="3536" spans="2:32" ht="12" customHeight="1"/>
    <row r="3537" ht="12" customHeight="1"/>
    <row r="3538" ht="12" customHeight="1"/>
    <row r="3539" ht="12" customHeight="1"/>
    <row r="3540" ht="12" customHeight="1"/>
    <row r="3541" ht="12" customHeight="1"/>
    <row r="3542" ht="12" customHeight="1"/>
    <row r="3543" ht="12" customHeight="1"/>
    <row r="3544" ht="12" customHeight="1"/>
    <row r="3545" ht="12" customHeight="1"/>
    <row r="3546" ht="12" customHeight="1"/>
    <row r="3547" ht="12" customHeight="1"/>
    <row r="3548" ht="12" customHeight="1"/>
    <row r="3549" ht="12" customHeight="1"/>
    <row r="3550" ht="12" customHeight="1"/>
    <row r="3551" ht="12" customHeight="1"/>
    <row r="3552" ht="12" customHeight="1"/>
    <row r="3553" ht="12" customHeight="1"/>
    <row r="3554" ht="12" customHeight="1"/>
    <row r="3555" ht="12" customHeight="1"/>
    <row r="3556" ht="12" customHeight="1"/>
    <row r="3557" ht="12" customHeight="1"/>
    <row r="3558" ht="12" customHeight="1"/>
    <row r="3559" ht="12" customHeight="1"/>
    <row r="3560" ht="12" customHeight="1"/>
    <row r="3561" ht="12" customHeight="1"/>
    <row r="3562" ht="12" customHeight="1"/>
    <row r="3563" ht="12" customHeight="1"/>
    <row r="3564" ht="12" customHeight="1"/>
    <row r="3565" ht="12" customHeight="1"/>
    <row r="3566" ht="12" customHeight="1"/>
    <row r="3567" ht="12" customHeight="1"/>
    <row r="3568" ht="12" customHeight="1"/>
    <row r="3569" ht="12" customHeight="1"/>
    <row r="3570" ht="12" customHeight="1"/>
    <row r="3571" ht="12" customHeight="1"/>
    <row r="3572" ht="12" customHeight="1"/>
    <row r="3573" ht="12" customHeight="1"/>
    <row r="3574" ht="12" customHeight="1"/>
    <row r="3578" ht="15" customHeight="1"/>
    <row r="3579" ht="15" customHeight="1"/>
    <row r="3585" ht="12" customHeight="1"/>
    <row r="3602" ht="12" customHeight="1"/>
    <row r="3605" ht="12" customHeight="1"/>
    <row r="3611" ht="12" customHeight="1"/>
    <row r="3628" ht="12" customHeight="1"/>
    <row r="3631" ht="12" customHeight="1"/>
    <row r="3635" ht="12" customHeight="1"/>
    <row r="3646" ht="12" customHeight="1"/>
    <row r="3649" spans="2:32" ht="12" customHeight="1"/>
    <row r="3651" spans="2:32" ht="15" customHeight="1"/>
    <row r="3652" spans="2:32" ht="15" customHeight="1">
      <c r="B3652" s="108"/>
      <c r="C3652" s="108"/>
      <c r="D3652" s="108"/>
      <c r="E3652" s="108"/>
      <c r="F3652" s="108"/>
      <c r="G3652" s="108"/>
      <c r="H3652" s="108"/>
      <c r="I3652" s="108"/>
      <c r="J3652" s="108"/>
      <c r="K3652" s="108"/>
      <c r="L3652" s="108"/>
      <c r="M3652" s="108"/>
      <c r="N3652" s="108"/>
      <c r="O3652" s="108"/>
      <c r="P3652" s="108"/>
      <c r="Q3652" s="108"/>
      <c r="R3652" s="108"/>
      <c r="S3652" s="108"/>
      <c r="T3652" s="108"/>
      <c r="U3652" s="108"/>
      <c r="V3652" s="108"/>
      <c r="W3652" s="108"/>
      <c r="X3652" s="108"/>
      <c r="Y3652" s="108"/>
      <c r="Z3652" s="108"/>
      <c r="AA3652" s="108"/>
      <c r="AB3652" s="108"/>
      <c r="AC3652" s="108"/>
      <c r="AD3652" s="108"/>
      <c r="AE3652" s="108"/>
      <c r="AF3652" s="108"/>
    </row>
    <row r="3660" spans="2:32" ht="12" customHeight="1"/>
    <row r="3661" spans="2:32" ht="12" customHeight="1"/>
    <row r="3662" spans="2:32" ht="12" customHeight="1"/>
    <row r="3663" spans="2:32" ht="12" customHeight="1"/>
    <row r="3664" spans="2:32" ht="12" customHeight="1"/>
    <row r="3665" ht="12" customHeight="1"/>
    <row r="3666" ht="12" customHeight="1"/>
    <row r="3667" ht="12" customHeight="1"/>
    <row r="3668" ht="12" customHeight="1"/>
    <row r="3669" ht="12" customHeight="1"/>
    <row r="3670" ht="12" customHeight="1"/>
    <row r="3671" ht="12" customHeight="1"/>
    <row r="3672" ht="12" customHeight="1"/>
    <row r="3673" ht="12" customHeight="1"/>
    <row r="3674" ht="12" customHeight="1"/>
    <row r="3675" ht="12" customHeight="1"/>
    <row r="3676" ht="12" customHeight="1"/>
    <row r="3677" ht="12" customHeight="1"/>
    <row r="3678" ht="12" customHeight="1"/>
    <row r="3679" ht="12" customHeight="1"/>
    <row r="3680" ht="12" customHeight="1"/>
    <row r="3681" ht="12" customHeight="1"/>
    <row r="3682" ht="12" customHeight="1"/>
    <row r="3683" ht="12" customHeight="1"/>
    <row r="3684" ht="12" customHeight="1"/>
    <row r="3685" ht="12" customHeight="1"/>
    <row r="3686" ht="12" customHeight="1"/>
    <row r="3687" ht="12" customHeight="1"/>
    <row r="3688" ht="12" customHeight="1"/>
    <row r="3689" ht="12" customHeight="1"/>
    <row r="3690" ht="12" customHeight="1"/>
    <row r="3691" ht="12" customHeight="1"/>
    <row r="3692" ht="12" customHeight="1"/>
    <row r="3693" ht="12" customHeight="1"/>
    <row r="3694" ht="12" customHeight="1"/>
    <row r="3695" ht="12" customHeight="1"/>
    <row r="3696" ht="12" customHeight="1"/>
    <row r="3697" ht="12" customHeight="1"/>
    <row r="3698" ht="12" customHeight="1"/>
    <row r="3699" ht="12" customHeight="1"/>
    <row r="3703" ht="15" customHeight="1"/>
    <row r="3704" ht="15" customHeight="1"/>
    <row r="3710" ht="12" customHeight="1"/>
    <row r="3727" ht="12" customHeight="1"/>
    <row r="3730" ht="12" customHeight="1"/>
    <row r="3736" ht="12" customHeight="1"/>
    <row r="3753" ht="12" customHeight="1"/>
    <row r="3756" ht="12" customHeight="1"/>
    <row r="3760" ht="12" customHeight="1"/>
    <row r="3771" ht="12" customHeight="1"/>
    <row r="3774" ht="12" customHeight="1"/>
    <row r="3776" ht="15" customHeight="1"/>
    <row r="3777" spans="2:32" ht="15" customHeight="1">
      <c r="B3777" s="108"/>
      <c r="C3777" s="108"/>
      <c r="D3777" s="108"/>
      <c r="E3777" s="108"/>
      <c r="F3777" s="108"/>
      <c r="G3777" s="108"/>
      <c r="H3777" s="108"/>
      <c r="I3777" s="108"/>
      <c r="J3777" s="108"/>
      <c r="K3777" s="108"/>
      <c r="L3777" s="108"/>
      <c r="M3777" s="108"/>
      <c r="N3777" s="108"/>
      <c r="O3777" s="108"/>
      <c r="P3777" s="108"/>
      <c r="Q3777" s="108"/>
      <c r="R3777" s="108"/>
      <c r="S3777" s="108"/>
      <c r="T3777" s="108"/>
      <c r="U3777" s="108"/>
      <c r="V3777" s="108"/>
      <c r="W3777" s="108"/>
      <c r="X3777" s="108"/>
      <c r="Y3777" s="108"/>
      <c r="Z3777" s="108"/>
      <c r="AA3777" s="108"/>
      <c r="AB3777" s="108"/>
      <c r="AC3777" s="108"/>
      <c r="AD3777" s="108"/>
      <c r="AE3777" s="108"/>
      <c r="AF3777" s="108"/>
    </row>
    <row r="3785" spans="2:32" ht="12" customHeight="1"/>
    <row r="3786" spans="2:32" ht="12" customHeight="1"/>
    <row r="3787" spans="2:32" ht="12" customHeight="1"/>
    <row r="3788" spans="2:32" ht="12" customHeight="1"/>
    <row r="3789" spans="2:32" ht="12" customHeight="1"/>
    <row r="3790" spans="2:32" ht="12" customHeight="1"/>
    <row r="3791" spans="2:32" ht="12" customHeight="1"/>
    <row r="3792" spans="2:32" ht="12" customHeight="1"/>
    <row r="3793" ht="12" customHeight="1"/>
    <row r="3794" ht="12" customHeight="1"/>
    <row r="3795" ht="12" customHeight="1"/>
    <row r="3796" ht="12" customHeight="1"/>
    <row r="3797" ht="12" customHeight="1"/>
    <row r="3798" ht="12" customHeight="1"/>
    <row r="3799" ht="12" customHeight="1"/>
    <row r="3800" ht="12" customHeight="1"/>
    <row r="3801" ht="12" customHeight="1"/>
    <row r="3802" ht="12" customHeight="1"/>
    <row r="3803" ht="12" customHeight="1"/>
    <row r="3804" ht="12" customHeight="1"/>
    <row r="3805" ht="12" customHeight="1"/>
    <row r="3806" ht="12" customHeight="1"/>
    <row r="3807" ht="12" customHeight="1"/>
    <row r="3808" ht="12" customHeight="1"/>
    <row r="3809" ht="12" customHeight="1"/>
    <row r="3810" ht="12" customHeight="1"/>
    <row r="3811" ht="12" customHeight="1"/>
    <row r="3812" ht="12" customHeight="1"/>
    <row r="3813" ht="12" customHeight="1"/>
    <row r="3814" ht="12" customHeight="1"/>
    <row r="3815" ht="12" customHeight="1"/>
    <row r="3816" ht="12" customHeight="1"/>
    <row r="3817" ht="12" customHeight="1"/>
    <row r="3818" ht="12" customHeight="1"/>
    <row r="3819" ht="12" customHeight="1"/>
    <row r="3820" ht="12" customHeight="1"/>
    <row r="3821" ht="12" customHeight="1"/>
    <row r="3822" ht="12" customHeight="1"/>
    <row r="3823" ht="12" customHeight="1"/>
    <row r="3824" ht="12" customHeight="1"/>
    <row r="3828" ht="15" customHeight="1"/>
    <row r="3829" ht="15" customHeight="1"/>
    <row r="3835" ht="12" customHeight="1"/>
    <row r="3852" ht="12" customHeight="1"/>
    <row r="3855" ht="12" customHeight="1"/>
    <row r="3861" ht="12" customHeight="1"/>
    <row r="3878" ht="12" customHeight="1"/>
    <row r="3881" ht="12" customHeight="1"/>
    <row r="3885" ht="12" customHeight="1"/>
    <row r="3896" spans="2:32" ht="12" customHeight="1"/>
    <row r="3899" spans="2:32" ht="12" customHeight="1"/>
    <row r="3901" spans="2:32" ht="15" customHeight="1"/>
    <row r="3902" spans="2:32" ht="15" customHeight="1">
      <c r="B3902" s="108"/>
      <c r="C3902" s="108"/>
      <c r="D3902" s="108"/>
      <c r="E3902" s="108"/>
      <c r="F3902" s="108"/>
      <c r="G3902" s="108"/>
      <c r="H3902" s="108"/>
      <c r="I3902" s="108"/>
      <c r="J3902" s="108"/>
      <c r="K3902" s="108"/>
      <c r="L3902" s="108"/>
      <c r="M3902" s="108"/>
      <c r="N3902" s="108"/>
      <c r="O3902" s="108"/>
      <c r="P3902" s="108"/>
      <c r="Q3902" s="108"/>
      <c r="R3902" s="108"/>
      <c r="S3902" s="108"/>
      <c r="T3902" s="108"/>
      <c r="U3902" s="108"/>
      <c r="V3902" s="108"/>
      <c r="W3902" s="108"/>
      <c r="X3902" s="108"/>
      <c r="Y3902" s="108"/>
      <c r="Z3902" s="108"/>
      <c r="AA3902" s="108"/>
      <c r="AB3902" s="108"/>
      <c r="AC3902" s="108"/>
      <c r="AD3902" s="108"/>
      <c r="AE3902" s="108"/>
      <c r="AF3902" s="108"/>
    </row>
    <row r="3910" ht="12" customHeight="1"/>
    <row r="3911" ht="12" customHeight="1"/>
    <row r="3912" ht="12" customHeight="1"/>
    <row r="3913" ht="12" customHeight="1"/>
    <row r="3914" ht="12" customHeight="1"/>
    <row r="3915" ht="12" customHeight="1"/>
    <row r="3916" ht="12" customHeight="1"/>
    <row r="3917" ht="12" customHeight="1"/>
    <row r="3918" ht="12" customHeight="1"/>
    <row r="3919" ht="12" customHeight="1"/>
    <row r="3920" ht="12" customHeight="1"/>
    <row r="3921" ht="12" customHeight="1"/>
    <row r="3922" ht="12" customHeight="1"/>
    <row r="3923" ht="12" customHeight="1"/>
    <row r="3924" ht="12" customHeight="1"/>
    <row r="3925" ht="12" customHeight="1"/>
    <row r="3926" ht="12" customHeight="1"/>
    <row r="3927" ht="12" customHeight="1"/>
    <row r="3928" ht="12" customHeight="1"/>
    <row r="3929" ht="12" customHeight="1"/>
    <row r="3930" ht="12" customHeight="1"/>
    <row r="3931" ht="12" customHeight="1"/>
    <row r="3932" ht="12" customHeight="1"/>
    <row r="3933" ht="12" customHeight="1"/>
    <row r="3934" ht="12" customHeight="1"/>
    <row r="3935" ht="12" customHeight="1"/>
    <row r="3936" ht="12" customHeight="1"/>
    <row r="3937" ht="12" customHeight="1"/>
    <row r="3938" ht="12" customHeight="1"/>
    <row r="3939" ht="12" customHeight="1"/>
    <row r="3940" ht="12" customHeight="1"/>
    <row r="3941" ht="12" customHeight="1"/>
    <row r="3942" ht="12" customHeight="1"/>
    <row r="3943" ht="12" customHeight="1"/>
    <row r="3944" ht="12" customHeight="1"/>
    <row r="3945" ht="12" customHeight="1"/>
    <row r="3946" ht="12" customHeight="1"/>
    <row r="3947" ht="12" customHeight="1"/>
    <row r="3948" ht="12" customHeight="1"/>
    <row r="3949" ht="12" customHeight="1"/>
    <row r="3953" ht="15" customHeight="1"/>
    <row r="3954" ht="15" customHeight="1"/>
    <row r="3960" ht="12" customHeight="1"/>
    <row r="3977" ht="12" customHeight="1"/>
    <row r="3980" ht="12" customHeight="1"/>
    <row r="3986" ht="12" customHeight="1"/>
    <row r="4003" ht="12" customHeight="1"/>
    <row r="4006" ht="12" customHeight="1"/>
    <row r="4010" ht="12" customHeight="1"/>
    <row r="4021" spans="2:32" ht="12" customHeight="1"/>
    <row r="4024" spans="2:32" ht="12" customHeight="1"/>
    <row r="4026" spans="2:32" ht="15" customHeight="1"/>
    <row r="4027" spans="2:32" ht="15" customHeight="1">
      <c r="B4027" s="108"/>
      <c r="C4027" s="108"/>
      <c r="D4027" s="108"/>
      <c r="E4027" s="108"/>
      <c r="F4027" s="108"/>
      <c r="G4027" s="108"/>
      <c r="H4027" s="108"/>
      <c r="I4027" s="108"/>
      <c r="J4027" s="108"/>
      <c r="K4027" s="108"/>
      <c r="L4027" s="108"/>
      <c r="M4027" s="108"/>
      <c r="N4027" s="108"/>
      <c r="O4027" s="108"/>
      <c r="P4027" s="108"/>
      <c r="Q4027" s="108"/>
      <c r="R4027" s="108"/>
      <c r="S4027" s="108"/>
      <c r="T4027" s="108"/>
      <c r="U4027" s="108"/>
      <c r="V4027" s="108"/>
      <c r="W4027" s="108"/>
      <c r="X4027" s="108"/>
      <c r="Y4027" s="108"/>
      <c r="Z4027" s="108"/>
      <c r="AA4027" s="108"/>
      <c r="AB4027" s="108"/>
      <c r="AC4027" s="108"/>
      <c r="AD4027" s="108"/>
      <c r="AE4027" s="108"/>
      <c r="AF4027" s="108"/>
    </row>
    <row r="4035" ht="12" customHeight="1"/>
    <row r="4036" ht="12" customHeight="1"/>
    <row r="4037" ht="12" customHeight="1"/>
    <row r="4038" ht="12" customHeight="1"/>
    <row r="4039" ht="12" customHeight="1"/>
    <row r="4040" ht="12" customHeight="1"/>
    <row r="4041" ht="12" customHeight="1"/>
    <row r="4042" ht="12" customHeight="1"/>
    <row r="4043" ht="12" customHeight="1"/>
    <row r="4044" ht="12" customHeight="1"/>
    <row r="4045" ht="12" customHeight="1"/>
    <row r="4046" ht="12" customHeight="1"/>
    <row r="4047" ht="12" customHeight="1"/>
    <row r="4048" ht="12" customHeight="1"/>
    <row r="4049" ht="12" customHeight="1"/>
    <row r="4050" ht="12" customHeight="1"/>
    <row r="4051" ht="12" customHeight="1"/>
    <row r="4052" ht="12" customHeight="1"/>
    <row r="4053" ht="12" customHeight="1"/>
    <row r="4054" ht="12" customHeight="1"/>
    <row r="4055" ht="12" customHeight="1"/>
    <row r="4056" ht="12" customHeight="1"/>
    <row r="4057" ht="12" customHeight="1"/>
    <row r="4058" ht="12" customHeight="1"/>
    <row r="4059" ht="12" customHeight="1"/>
    <row r="4060" ht="12" customHeight="1"/>
    <row r="4061" ht="12" customHeight="1"/>
    <row r="4062" ht="12" customHeight="1"/>
    <row r="4063" ht="12" customHeight="1"/>
    <row r="4064" ht="12" customHeight="1"/>
    <row r="4065" ht="12" customHeight="1"/>
    <row r="4066" ht="12" customHeight="1"/>
    <row r="4067" ht="12" customHeight="1"/>
    <row r="4068" ht="12" customHeight="1"/>
    <row r="4069" ht="12" customHeight="1"/>
    <row r="4070" ht="12" customHeight="1"/>
    <row r="4071" ht="12" customHeight="1"/>
    <row r="4072" ht="12" customHeight="1"/>
    <row r="4073" ht="12" customHeight="1"/>
    <row r="4074" ht="12" customHeight="1"/>
    <row r="4078" ht="15" customHeight="1"/>
    <row r="4079" ht="15" customHeight="1"/>
    <row r="4085" ht="12" customHeight="1"/>
    <row r="4102" ht="12" customHeight="1"/>
    <row r="4105" ht="12" customHeight="1"/>
    <row r="4111" ht="12" customHeight="1"/>
    <row r="4128" ht="12" customHeight="1"/>
    <row r="4131" ht="12" customHeight="1"/>
    <row r="4135" ht="12" customHeight="1"/>
    <row r="4146" spans="2:32" ht="12" customHeight="1"/>
    <row r="4149" spans="2:32" ht="12" customHeight="1"/>
    <row r="4151" spans="2:32" ht="15" customHeight="1"/>
    <row r="4152" spans="2:32" ht="15" customHeight="1">
      <c r="B4152" s="108"/>
      <c r="C4152" s="108"/>
      <c r="D4152" s="108"/>
      <c r="E4152" s="108"/>
      <c r="F4152" s="108"/>
      <c r="G4152" s="108"/>
      <c r="H4152" s="108"/>
      <c r="I4152" s="108"/>
      <c r="J4152" s="108"/>
      <c r="K4152" s="108"/>
      <c r="L4152" s="108"/>
      <c r="M4152" s="108"/>
      <c r="N4152" s="108"/>
      <c r="O4152" s="108"/>
      <c r="P4152" s="108"/>
      <c r="Q4152" s="108"/>
      <c r="R4152" s="108"/>
      <c r="S4152" s="108"/>
      <c r="T4152" s="108"/>
      <c r="U4152" s="108"/>
      <c r="V4152" s="108"/>
      <c r="W4152" s="108"/>
      <c r="X4152" s="108"/>
      <c r="Y4152" s="108"/>
      <c r="Z4152" s="108"/>
      <c r="AA4152" s="108"/>
      <c r="AB4152" s="108"/>
      <c r="AC4152" s="108"/>
      <c r="AD4152" s="108"/>
      <c r="AE4152" s="108"/>
      <c r="AF4152" s="108"/>
    </row>
    <row r="4160" spans="2:32" ht="12" customHeight="1"/>
    <row r="4161" ht="12" customHeight="1"/>
    <row r="4162" ht="12" customHeight="1"/>
    <row r="4163" ht="12" customHeight="1"/>
    <row r="4164" ht="12" customHeight="1"/>
    <row r="4165" ht="12" customHeight="1"/>
    <row r="4166" ht="12" customHeight="1"/>
    <row r="4167" ht="12" customHeight="1"/>
    <row r="4168" ht="12" customHeight="1"/>
    <row r="4169" ht="12" customHeight="1"/>
    <row r="4170" ht="12" customHeight="1"/>
    <row r="4171" ht="12" customHeight="1"/>
    <row r="4172" ht="12" customHeight="1"/>
    <row r="4173" ht="12" customHeight="1"/>
    <row r="4174" ht="12" customHeight="1"/>
    <row r="4175" ht="12" customHeight="1"/>
    <row r="4176" ht="12" customHeight="1"/>
    <row r="4177" ht="12" customHeight="1"/>
    <row r="4178" ht="12" customHeight="1"/>
    <row r="4179" ht="12" customHeight="1"/>
    <row r="4180" ht="12" customHeight="1"/>
    <row r="4181" ht="12" customHeight="1"/>
    <row r="4182" ht="12" customHeight="1"/>
    <row r="4183" ht="12" customHeight="1"/>
    <row r="4184" ht="12" customHeight="1"/>
    <row r="4185" ht="12" customHeight="1"/>
    <row r="4186" ht="12" customHeight="1"/>
    <row r="4187" ht="12" customHeight="1"/>
    <row r="4188" ht="12" customHeight="1"/>
    <row r="4189" ht="12" customHeight="1"/>
    <row r="4190" ht="12" customHeight="1"/>
    <row r="4191" ht="12" customHeight="1"/>
    <row r="4192" ht="12" customHeight="1"/>
    <row r="4193" ht="12" customHeight="1"/>
    <row r="4194" ht="12" customHeight="1"/>
    <row r="4195" ht="12" customHeight="1"/>
    <row r="4196" ht="12" customHeight="1"/>
    <row r="4197" ht="12" customHeight="1"/>
    <row r="4198" ht="12" customHeight="1"/>
    <row r="4199" ht="12" customHeight="1"/>
    <row r="4203" ht="15" customHeight="1"/>
    <row r="4204" ht="15" customHeight="1"/>
    <row r="4210" ht="12" customHeight="1"/>
    <row r="4227" ht="12" customHeight="1"/>
    <row r="4230" ht="12" customHeight="1"/>
    <row r="4236" ht="12" customHeight="1"/>
    <row r="4253" ht="12" customHeight="1"/>
    <row r="4256" ht="12" customHeight="1"/>
    <row r="4260" ht="12" customHeight="1"/>
    <row r="4271" ht="12" customHeight="1"/>
    <row r="4274" spans="2:32" ht="12" customHeight="1"/>
    <row r="4276" spans="2:32" ht="15" customHeight="1"/>
    <row r="4277" spans="2:32" ht="15" customHeight="1">
      <c r="B4277" s="108"/>
      <c r="C4277" s="108"/>
      <c r="D4277" s="108"/>
      <c r="E4277" s="108"/>
      <c r="F4277" s="108"/>
      <c r="G4277" s="108"/>
      <c r="H4277" s="108"/>
      <c r="I4277" s="108"/>
      <c r="J4277" s="108"/>
      <c r="K4277" s="108"/>
      <c r="L4277" s="108"/>
      <c r="M4277" s="108"/>
      <c r="N4277" s="108"/>
      <c r="O4277" s="108"/>
      <c r="P4277" s="108"/>
      <c r="Q4277" s="108"/>
      <c r="R4277" s="108"/>
      <c r="S4277" s="108"/>
      <c r="T4277" s="108"/>
      <c r="U4277" s="108"/>
      <c r="V4277" s="108"/>
      <c r="W4277" s="108"/>
      <c r="X4277" s="108"/>
      <c r="Y4277" s="108"/>
      <c r="Z4277" s="108"/>
      <c r="AA4277" s="108"/>
      <c r="AB4277" s="108"/>
      <c r="AC4277" s="108"/>
      <c r="AD4277" s="108"/>
      <c r="AE4277" s="108"/>
      <c r="AF4277" s="108"/>
    </row>
    <row r="4285" spans="2:32" ht="12" customHeight="1"/>
    <row r="4286" spans="2:32" ht="12" customHeight="1"/>
    <row r="4287" spans="2:32" ht="12" customHeight="1"/>
    <row r="4288" spans="2:32" ht="12" customHeight="1"/>
    <row r="4289" ht="12" customHeight="1"/>
    <row r="4290" ht="12" customHeight="1"/>
    <row r="4291" ht="12" customHeight="1"/>
    <row r="4292" ht="12" customHeight="1"/>
    <row r="4293" ht="12" customHeight="1"/>
    <row r="4294" ht="12" customHeight="1"/>
    <row r="4295" ht="12" customHeight="1"/>
    <row r="4296" ht="12" customHeight="1"/>
    <row r="4297" ht="12" customHeight="1"/>
    <row r="4298" ht="12" customHeight="1"/>
    <row r="4299" ht="12" customHeight="1"/>
    <row r="4300" ht="12" customHeight="1"/>
    <row r="4301" ht="12" customHeight="1"/>
    <row r="4302" ht="12" customHeight="1"/>
    <row r="4303" ht="12" customHeight="1"/>
    <row r="4304" ht="12" customHeight="1"/>
    <row r="4305" ht="12" customHeight="1"/>
    <row r="4306" ht="12" customHeight="1"/>
    <row r="4307" ht="12" customHeight="1"/>
    <row r="4308" ht="12" customHeight="1"/>
    <row r="4309" ht="12" customHeight="1"/>
    <row r="4310" ht="12" customHeight="1"/>
    <row r="4311" ht="12" customHeight="1"/>
    <row r="4312" ht="12" customHeight="1"/>
    <row r="4313" ht="12" customHeight="1"/>
    <row r="4314" ht="12" customHeight="1"/>
    <row r="4315" ht="12" customHeight="1"/>
    <row r="4316" ht="12" customHeight="1"/>
    <row r="4317" ht="12" customHeight="1"/>
    <row r="4318" ht="12" customHeight="1"/>
    <row r="4319" ht="12" customHeight="1"/>
    <row r="4320" ht="12" customHeight="1"/>
    <row r="4321" ht="12" customHeight="1"/>
    <row r="4322" ht="12" customHeight="1"/>
    <row r="4323" ht="12" customHeight="1"/>
    <row r="4324" ht="12" customHeight="1"/>
    <row r="4328" ht="15" customHeight="1"/>
    <row r="4329" ht="15" customHeight="1"/>
    <row r="4335" ht="12" customHeight="1"/>
    <row r="4352" ht="12" customHeight="1"/>
    <row r="4355" ht="12" customHeight="1"/>
    <row r="4361" ht="12" customHeight="1"/>
    <row r="4378" ht="12" customHeight="1"/>
    <row r="4381" ht="12" customHeight="1"/>
    <row r="4385" ht="12" customHeight="1"/>
    <row r="4396" ht="12" customHeight="1"/>
    <row r="4399" ht="12" customHeight="1"/>
    <row r="4401" spans="2:32" ht="15" customHeight="1"/>
    <row r="4402" spans="2:32" ht="15" customHeight="1">
      <c r="B4402" s="108"/>
      <c r="C4402" s="108"/>
      <c r="D4402" s="108"/>
      <c r="E4402" s="108"/>
      <c r="F4402" s="108"/>
      <c r="G4402" s="108"/>
      <c r="H4402" s="108"/>
      <c r="I4402" s="108"/>
      <c r="J4402" s="108"/>
      <c r="K4402" s="108"/>
      <c r="L4402" s="108"/>
      <c r="M4402" s="108"/>
      <c r="N4402" s="108"/>
      <c r="O4402" s="108"/>
      <c r="P4402" s="108"/>
      <c r="Q4402" s="108"/>
      <c r="R4402" s="108"/>
      <c r="S4402" s="108"/>
      <c r="T4402" s="108"/>
      <c r="U4402" s="108"/>
      <c r="V4402" s="108"/>
      <c r="W4402" s="108"/>
      <c r="X4402" s="108"/>
      <c r="Y4402" s="108"/>
      <c r="Z4402" s="108"/>
      <c r="AA4402" s="108"/>
      <c r="AB4402" s="108"/>
      <c r="AC4402" s="108"/>
      <c r="AD4402" s="108"/>
      <c r="AE4402" s="108"/>
      <c r="AF4402" s="108"/>
    </row>
  </sheetData>
  <mergeCells count="28">
    <mergeCell ref="B4027:AF4027"/>
    <mergeCell ref="B4152:AF4152"/>
    <mergeCell ref="B4277:AF4277"/>
    <mergeCell ref="B4402:AF4402"/>
    <mergeCell ref="B3293:AF3293"/>
    <mergeCell ref="B3402:AF3402"/>
    <mergeCell ref="B3527:AF3527"/>
    <mergeCell ref="B3652:AF3652"/>
    <mergeCell ref="B3777:AF3777"/>
    <mergeCell ref="B3902:AF3902"/>
    <mergeCell ref="B2971:AF2971"/>
    <mergeCell ref="B710:AF710"/>
    <mergeCell ref="B886:AF886"/>
    <mergeCell ref="B969:AF969"/>
    <mergeCell ref="B1071:AF1071"/>
    <mergeCell ref="B1169:AF1169"/>
    <mergeCell ref="B1269:AF1269"/>
    <mergeCell ref="B1484:AF1484"/>
    <mergeCell ref="B1713:AF1713"/>
    <mergeCell ref="B1990:AF1990"/>
    <mergeCell ref="B2325:AF2325"/>
    <mergeCell ref="B2645:AF2645"/>
    <mergeCell ref="B638:AF638"/>
    <mergeCell ref="B118:AF118"/>
    <mergeCell ref="B258:AF258"/>
    <mergeCell ref="B340:AF340"/>
    <mergeCell ref="B452:AF452"/>
    <mergeCell ref="B557:AF557"/>
  </mergeCells>
  <pageMargins left="0.7" right="0.7" top="0.75" bottom="0.75" header="0.3" footer="0.3"/>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CE71197-588B-468B-8F24-E8FB95D48A17}">
  <dimension ref="A1:AG46"/>
  <sheetViews>
    <sheetView workbookViewId="0">
      <selection activeCell="F17" sqref="F17"/>
    </sheetView>
  </sheetViews>
  <sheetFormatPr defaultRowHeight="14.25"/>
  <cols>
    <col min="1" max="1" width="90.265625" bestFit="1" customWidth="1"/>
  </cols>
  <sheetData>
    <row r="1" spans="1:33">
      <c r="A1" t="s">
        <v>119</v>
      </c>
    </row>
    <row r="2" spans="1:33">
      <c r="A2" t="s">
        <v>955</v>
      </c>
    </row>
    <row r="3" spans="1:33">
      <c r="A3" t="s">
        <v>954</v>
      </c>
    </row>
    <row r="4" spans="1:33">
      <c r="A4" t="s">
        <v>87</v>
      </c>
    </row>
    <row r="5" spans="1:33">
      <c r="B5" t="s">
        <v>88</v>
      </c>
      <c r="C5" t="s">
        <v>116</v>
      </c>
      <c r="D5" t="s">
        <v>117</v>
      </c>
      <c r="E5">
        <v>2023</v>
      </c>
      <c r="F5">
        <v>2024</v>
      </c>
      <c r="G5">
        <v>2025</v>
      </c>
      <c r="H5">
        <v>2026</v>
      </c>
      <c r="I5">
        <v>2027</v>
      </c>
      <c r="J5">
        <v>2028</v>
      </c>
      <c r="K5">
        <v>2029</v>
      </c>
      <c r="L5">
        <v>2030</v>
      </c>
      <c r="M5">
        <v>2031</v>
      </c>
      <c r="N5">
        <v>2032</v>
      </c>
      <c r="O5">
        <v>2033</v>
      </c>
      <c r="P5">
        <v>2034</v>
      </c>
      <c r="Q5">
        <v>2035</v>
      </c>
      <c r="R5">
        <v>2036</v>
      </c>
      <c r="S5">
        <v>2037</v>
      </c>
      <c r="T5">
        <v>2038</v>
      </c>
      <c r="U5">
        <v>2039</v>
      </c>
      <c r="V5">
        <v>2040</v>
      </c>
      <c r="W5">
        <v>2041</v>
      </c>
      <c r="X5">
        <v>2042</v>
      </c>
      <c r="Y5">
        <v>2043</v>
      </c>
      <c r="Z5">
        <v>2044</v>
      </c>
      <c r="AA5">
        <v>2045</v>
      </c>
      <c r="AB5">
        <v>2046</v>
      </c>
      <c r="AC5">
        <v>2047</v>
      </c>
      <c r="AD5">
        <v>2048</v>
      </c>
      <c r="AE5">
        <v>2049</v>
      </c>
      <c r="AF5">
        <v>2050</v>
      </c>
      <c r="AG5" t="s">
        <v>953</v>
      </c>
    </row>
    <row r="6" spans="1:33">
      <c r="A6" t="s">
        <v>120</v>
      </c>
    </row>
    <row r="7" spans="1:33">
      <c r="A7" t="s">
        <v>121</v>
      </c>
      <c r="B7" t="s">
        <v>952</v>
      </c>
      <c r="C7" t="s">
        <v>951</v>
      </c>
      <c r="D7" t="s">
        <v>153</v>
      </c>
      <c r="F7">
        <v>0.35758400000000001</v>
      </c>
      <c r="G7">
        <v>0.36508400000000002</v>
      </c>
      <c r="H7">
        <v>0.352908</v>
      </c>
      <c r="I7">
        <v>0.34767999999999999</v>
      </c>
      <c r="J7">
        <v>0.346055</v>
      </c>
      <c r="K7">
        <v>0.34590900000000002</v>
      </c>
      <c r="L7">
        <v>0.34611999999999998</v>
      </c>
      <c r="M7">
        <v>0.344416</v>
      </c>
      <c r="N7">
        <v>0.33970899999999998</v>
      </c>
      <c r="O7">
        <v>0.33490599999999998</v>
      </c>
      <c r="P7">
        <v>0.33075399999999999</v>
      </c>
      <c r="Q7">
        <v>0.32654899999999998</v>
      </c>
      <c r="R7">
        <v>0.32150299999999998</v>
      </c>
      <c r="S7">
        <v>0.31681100000000001</v>
      </c>
      <c r="T7">
        <v>0.31244499999999997</v>
      </c>
      <c r="U7">
        <v>0.30824000000000001</v>
      </c>
      <c r="V7">
        <v>0.30391499999999999</v>
      </c>
      <c r="W7">
        <v>0.29924699999999999</v>
      </c>
      <c r="X7">
        <v>0.29442400000000002</v>
      </c>
      <c r="Y7">
        <v>0.29009600000000002</v>
      </c>
      <c r="Z7">
        <v>0.28606100000000001</v>
      </c>
      <c r="AA7">
        <v>0.28284300000000001</v>
      </c>
      <c r="AB7">
        <v>0.27987899999999999</v>
      </c>
      <c r="AC7">
        <v>0.27653</v>
      </c>
      <c r="AD7">
        <v>0.273142</v>
      </c>
      <c r="AE7">
        <v>0.27020300000000003</v>
      </c>
      <c r="AF7">
        <v>0.267818</v>
      </c>
      <c r="AG7" s="12">
        <v>-1.0999999999999999E-2</v>
      </c>
    </row>
    <row r="8" spans="1:33">
      <c r="A8" t="s">
        <v>122</v>
      </c>
      <c r="B8" t="s">
        <v>950</v>
      </c>
      <c r="C8" t="s">
        <v>949</v>
      </c>
      <c r="D8" t="s">
        <v>153</v>
      </c>
      <c r="F8">
        <v>0.15810399999999999</v>
      </c>
      <c r="G8">
        <v>0.15810399999999999</v>
      </c>
      <c r="H8">
        <v>0.15810399999999999</v>
      </c>
      <c r="I8">
        <v>0.15810399999999999</v>
      </c>
      <c r="J8">
        <v>0.15810399999999999</v>
      </c>
      <c r="K8">
        <v>0.15810399999999999</v>
      </c>
      <c r="L8">
        <v>0.15810399999999999</v>
      </c>
      <c r="M8">
        <v>0.15810399999999999</v>
      </c>
      <c r="N8">
        <v>0.15810399999999999</v>
      </c>
      <c r="O8">
        <v>0.15810399999999999</v>
      </c>
      <c r="P8">
        <v>0.15810399999999999</v>
      </c>
      <c r="Q8">
        <v>0.15810399999999999</v>
      </c>
      <c r="R8">
        <v>0.15810399999999999</v>
      </c>
      <c r="S8">
        <v>0.15810399999999999</v>
      </c>
      <c r="T8">
        <v>0.15810399999999999</v>
      </c>
      <c r="U8">
        <v>0.15810399999999999</v>
      </c>
      <c r="V8">
        <v>0.15810399999999999</v>
      </c>
      <c r="W8">
        <v>0.15810399999999999</v>
      </c>
      <c r="X8">
        <v>0.15810399999999999</v>
      </c>
      <c r="Y8">
        <v>0.15810399999999999</v>
      </c>
      <c r="Z8">
        <v>0.15810399999999999</v>
      </c>
      <c r="AA8">
        <v>0.15810399999999999</v>
      </c>
      <c r="AB8">
        <v>0.15810399999999999</v>
      </c>
      <c r="AC8">
        <v>0.15810399999999999</v>
      </c>
      <c r="AD8">
        <v>0.15810399999999999</v>
      </c>
      <c r="AE8">
        <v>0.15810399999999999</v>
      </c>
      <c r="AF8">
        <v>0.15810399999999999</v>
      </c>
      <c r="AG8" s="12">
        <v>0</v>
      </c>
    </row>
    <row r="9" spans="1:33">
      <c r="A9" t="s">
        <v>123</v>
      </c>
      <c r="B9" t="s">
        <v>948</v>
      </c>
      <c r="C9" t="s">
        <v>947</v>
      </c>
      <c r="D9" t="s">
        <v>153</v>
      </c>
      <c r="F9">
        <v>2.2979759999999998</v>
      </c>
      <c r="G9">
        <v>2.3399939999999999</v>
      </c>
      <c r="H9">
        <v>2.3604579999999999</v>
      </c>
      <c r="I9">
        <v>2.3647659999999999</v>
      </c>
      <c r="J9">
        <v>2.367289</v>
      </c>
      <c r="K9">
        <v>2.3915989999999998</v>
      </c>
      <c r="L9">
        <v>2.4109129999999999</v>
      </c>
      <c r="M9">
        <v>2.4325329999999998</v>
      </c>
      <c r="N9">
        <v>2.4494790000000002</v>
      </c>
      <c r="O9">
        <v>2.4596119999999999</v>
      </c>
      <c r="P9">
        <v>2.4729670000000001</v>
      </c>
      <c r="Q9">
        <v>2.4876079999999998</v>
      </c>
      <c r="R9">
        <v>2.5197889999999998</v>
      </c>
      <c r="S9">
        <v>2.541722</v>
      </c>
      <c r="T9">
        <v>2.558646</v>
      </c>
      <c r="U9">
        <v>2.5798299999999998</v>
      </c>
      <c r="V9">
        <v>2.594392</v>
      </c>
      <c r="W9">
        <v>2.5935950000000001</v>
      </c>
      <c r="X9">
        <v>2.5951559999999998</v>
      </c>
      <c r="Y9">
        <v>2.5986570000000002</v>
      </c>
      <c r="Z9">
        <v>2.6012040000000001</v>
      </c>
      <c r="AA9">
        <v>2.6157759999999999</v>
      </c>
      <c r="AB9">
        <v>2.6268539999999998</v>
      </c>
      <c r="AC9">
        <v>2.6530469999999999</v>
      </c>
      <c r="AD9">
        <v>2.6796319999999998</v>
      </c>
      <c r="AE9">
        <v>2.7063009999999998</v>
      </c>
      <c r="AF9">
        <v>2.725619</v>
      </c>
      <c r="AG9" s="12">
        <v>7.0000000000000001E-3</v>
      </c>
    </row>
    <row r="10" spans="1:33">
      <c r="A10" t="s">
        <v>124</v>
      </c>
      <c r="B10" t="s">
        <v>946</v>
      </c>
      <c r="C10" t="s">
        <v>945</v>
      </c>
      <c r="D10" t="s">
        <v>153</v>
      </c>
      <c r="F10">
        <v>0</v>
      </c>
      <c r="G10">
        <v>0</v>
      </c>
      <c r="H10">
        <v>0</v>
      </c>
      <c r="I10">
        <v>0</v>
      </c>
      <c r="J10">
        <v>0</v>
      </c>
      <c r="K10">
        <v>0</v>
      </c>
      <c r="L10">
        <v>0</v>
      </c>
      <c r="M10">
        <v>0</v>
      </c>
      <c r="N10">
        <v>0</v>
      </c>
      <c r="O10">
        <v>0</v>
      </c>
      <c r="P10">
        <v>0</v>
      </c>
      <c r="Q10">
        <v>0</v>
      </c>
      <c r="R10">
        <v>0</v>
      </c>
      <c r="S10">
        <v>0</v>
      </c>
      <c r="T10">
        <v>0</v>
      </c>
      <c r="U10">
        <v>0</v>
      </c>
      <c r="V10">
        <v>0</v>
      </c>
      <c r="W10">
        <v>0</v>
      </c>
      <c r="X10">
        <v>0</v>
      </c>
      <c r="Y10">
        <v>0</v>
      </c>
      <c r="Z10">
        <v>0</v>
      </c>
      <c r="AA10">
        <v>0</v>
      </c>
      <c r="AB10">
        <v>0</v>
      </c>
      <c r="AC10">
        <v>0</v>
      </c>
      <c r="AD10">
        <v>0</v>
      </c>
      <c r="AE10">
        <v>0</v>
      </c>
      <c r="AF10">
        <v>0</v>
      </c>
      <c r="AG10" t="s">
        <v>6</v>
      </c>
    </row>
    <row r="11" spans="1:33">
      <c r="A11" t="s">
        <v>125</v>
      </c>
      <c r="B11" t="s">
        <v>944</v>
      </c>
      <c r="C11" t="s">
        <v>943</v>
      </c>
      <c r="D11" t="s">
        <v>153</v>
      </c>
      <c r="F11">
        <v>0.15371499999999999</v>
      </c>
      <c r="G11">
        <v>0.15761700000000001</v>
      </c>
      <c r="H11">
        <v>0.162138</v>
      </c>
      <c r="I11">
        <v>0.16675000000000001</v>
      </c>
      <c r="J11">
        <v>0.17074300000000001</v>
      </c>
      <c r="K11">
        <v>0.17504600000000001</v>
      </c>
      <c r="L11">
        <v>0.179064</v>
      </c>
      <c r="M11">
        <v>0.182534</v>
      </c>
      <c r="N11">
        <v>0.18581400000000001</v>
      </c>
      <c r="O11">
        <v>0.18872</v>
      </c>
      <c r="P11">
        <v>0.19150600000000001</v>
      </c>
      <c r="Q11">
        <v>0.19395799999999999</v>
      </c>
      <c r="R11">
        <v>0.196074</v>
      </c>
      <c r="S11">
        <v>0.19785</v>
      </c>
      <c r="T11">
        <v>0.19963</v>
      </c>
      <c r="U11">
        <v>0.20146800000000001</v>
      </c>
      <c r="V11">
        <v>0.203181</v>
      </c>
      <c r="W11">
        <v>0.20488600000000001</v>
      </c>
      <c r="X11">
        <v>0.20667199999999999</v>
      </c>
      <c r="Y11">
        <v>0.20837600000000001</v>
      </c>
      <c r="Z11">
        <v>0.21005599999999999</v>
      </c>
      <c r="AA11">
        <v>0.21170900000000001</v>
      </c>
      <c r="AB11">
        <v>0.213369</v>
      </c>
      <c r="AC11">
        <v>0.21509500000000001</v>
      </c>
      <c r="AD11">
        <v>0.216808</v>
      </c>
      <c r="AE11">
        <v>0.218557</v>
      </c>
      <c r="AF11">
        <v>0.22029799999999999</v>
      </c>
      <c r="AG11" s="12">
        <v>1.4E-2</v>
      </c>
    </row>
    <row r="12" spans="1:33">
      <c r="A12" t="s">
        <v>126</v>
      </c>
      <c r="B12" t="s">
        <v>942</v>
      </c>
      <c r="C12" t="s">
        <v>941</v>
      </c>
      <c r="D12" t="s">
        <v>153</v>
      </c>
      <c r="F12">
        <v>1.250399</v>
      </c>
      <c r="G12">
        <v>1.266635</v>
      </c>
      <c r="H12">
        <v>1.2824549999999999</v>
      </c>
      <c r="I12">
        <v>1.2809140000000001</v>
      </c>
      <c r="J12">
        <v>1.2802770000000001</v>
      </c>
      <c r="K12">
        <v>1.29914</v>
      </c>
      <c r="L12">
        <v>1.3148880000000001</v>
      </c>
      <c r="M12">
        <v>1.333216</v>
      </c>
      <c r="N12">
        <v>1.3467739999999999</v>
      </c>
      <c r="O12">
        <v>1.3532550000000001</v>
      </c>
      <c r="P12">
        <v>1.3633820000000001</v>
      </c>
      <c r="Q12">
        <v>1.3758980000000001</v>
      </c>
      <c r="R12">
        <v>1.404156</v>
      </c>
      <c r="S12">
        <v>1.4220029999999999</v>
      </c>
      <c r="T12">
        <v>1.436598</v>
      </c>
      <c r="U12">
        <v>1.4522139999999999</v>
      </c>
      <c r="V12">
        <v>1.459797</v>
      </c>
      <c r="W12">
        <v>1.454925</v>
      </c>
      <c r="X12">
        <v>1.4531160000000001</v>
      </c>
      <c r="Y12">
        <v>1.4439230000000001</v>
      </c>
      <c r="Z12">
        <v>1.4408810000000001</v>
      </c>
      <c r="AA12">
        <v>1.4493339999999999</v>
      </c>
      <c r="AB12">
        <v>1.455303</v>
      </c>
      <c r="AC12">
        <v>1.4743820000000001</v>
      </c>
      <c r="AD12">
        <v>1.495274</v>
      </c>
      <c r="AE12">
        <v>1.515387</v>
      </c>
      <c r="AF12">
        <v>1.5325610000000001</v>
      </c>
      <c r="AG12" s="12">
        <v>8.0000000000000002E-3</v>
      </c>
    </row>
    <row r="13" spans="1:33">
      <c r="A13" t="s">
        <v>127</v>
      </c>
      <c r="B13" t="s">
        <v>940</v>
      </c>
      <c r="C13" t="s">
        <v>939</v>
      </c>
      <c r="D13" t="s">
        <v>153</v>
      </c>
      <c r="F13">
        <v>0.89386100000000002</v>
      </c>
      <c r="G13">
        <v>0.91574199999999994</v>
      </c>
      <c r="H13">
        <v>0.91586500000000004</v>
      </c>
      <c r="I13">
        <v>0.91710199999999997</v>
      </c>
      <c r="J13">
        <v>0.916269</v>
      </c>
      <c r="K13">
        <v>0.91741399999999995</v>
      </c>
      <c r="L13">
        <v>0.91696</v>
      </c>
      <c r="M13">
        <v>0.91678300000000001</v>
      </c>
      <c r="N13">
        <v>0.91689100000000001</v>
      </c>
      <c r="O13">
        <v>0.91763799999999995</v>
      </c>
      <c r="P13">
        <v>0.91807899999999998</v>
      </c>
      <c r="Q13">
        <v>0.91775300000000004</v>
      </c>
      <c r="R13">
        <v>0.91955900000000002</v>
      </c>
      <c r="S13">
        <v>0.92186900000000005</v>
      </c>
      <c r="T13">
        <v>0.92241799999999996</v>
      </c>
      <c r="U13">
        <v>0.92614799999999997</v>
      </c>
      <c r="V13">
        <v>0.93141399999999996</v>
      </c>
      <c r="W13">
        <v>0.93378399999999995</v>
      </c>
      <c r="X13">
        <v>0.93536799999999998</v>
      </c>
      <c r="Y13">
        <v>0.946357</v>
      </c>
      <c r="Z13">
        <v>0.95026699999999997</v>
      </c>
      <c r="AA13">
        <v>0.95473300000000005</v>
      </c>
      <c r="AB13">
        <v>0.95818199999999998</v>
      </c>
      <c r="AC13">
        <v>0.96357000000000004</v>
      </c>
      <c r="AD13">
        <v>0.96755100000000005</v>
      </c>
      <c r="AE13">
        <v>0.97235700000000003</v>
      </c>
      <c r="AF13">
        <v>0.97275900000000004</v>
      </c>
      <c r="AG13" s="12">
        <v>3.0000000000000001E-3</v>
      </c>
    </row>
    <row r="14" spans="1:33">
      <c r="A14" t="s">
        <v>128</v>
      </c>
      <c r="B14" t="s">
        <v>938</v>
      </c>
      <c r="C14" t="s">
        <v>937</v>
      </c>
      <c r="D14" t="s">
        <v>153</v>
      </c>
      <c r="F14">
        <v>1.7789740000000001</v>
      </c>
      <c r="G14">
        <v>1.759161</v>
      </c>
      <c r="H14">
        <v>1.799855</v>
      </c>
      <c r="I14">
        <v>1.7780860000000001</v>
      </c>
      <c r="J14">
        <v>1.6544190000000001</v>
      </c>
      <c r="K14">
        <v>1.654129</v>
      </c>
      <c r="L14">
        <v>1.653265</v>
      </c>
      <c r="M14">
        <v>1.652377</v>
      </c>
      <c r="N14">
        <v>1.651233</v>
      </c>
      <c r="O14">
        <v>1.650358</v>
      </c>
      <c r="P14">
        <v>1.7022900000000001</v>
      </c>
      <c r="Q14">
        <v>1.7087049999999999</v>
      </c>
      <c r="R14">
        <v>1.6824509999999999</v>
      </c>
      <c r="S14">
        <v>1.6602539999999999</v>
      </c>
      <c r="T14">
        <v>1.700701</v>
      </c>
      <c r="U14">
        <v>1.697608</v>
      </c>
      <c r="V14">
        <v>1.6867030000000001</v>
      </c>
      <c r="W14">
        <v>1.6828989999999999</v>
      </c>
      <c r="X14">
        <v>1.6812119999999999</v>
      </c>
      <c r="Y14">
        <v>1.6780790000000001</v>
      </c>
      <c r="Z14">
        <v>1.678045</v>
      </c>
      <c r="AA14">
        <v>1.682606</v>
      </c>
      <c r="AB14">
        <v>1.6994009999999999</v>
      </c>
      <c r="AC14">
        <v>1.7268190000000001</v>
      </c>
      <c r="AD14">
        <v>1.732302</v>
      </c>
      <c r="AE14">
        <v>1.7536210000000001</v>
      </c>
      <c r="AF14">
        <v>1.7783070000000001</v>
      </c>
      <c r="AG14" s="12">
        <v>0</v>
      </c>
    </row>
    <row r="15" spans="1:33">
      <c r="A15" t="s">
        <v>129</v>
      </c>
      <c r="B15" t="s">
        <v>936</v>
      </c>
      <c r="C15" t="s">
        <v>935</v>
      </c>
      <c r="D15" t="s">
        <v>153</v>
      </c>
      <c r="F15">
        <v>2.4780000000000002E-3</v>
      </c>
      <c r="G15">
        <v>2.2899999999999999E-3</v>
      </c>
      <c r="H15">
        <v>2.0969999999999999E-3</v>
      </c>
      <c r="I15">
        <v>1.877E-3</v>
      </c>
      <c r="J15">
        <v>1.817E-3</v>
      </c>
      <c r="K15">
        <v>1.774E-3</v>
      </c>
      <c r="L15">
        <v>1.6980000000000001E-3</v>
      </c>
      <c r="M15">
        <v>1.56E-3</v>
      </c>
      <c r="N15">
        <v>1.457E-3</v>
      </c>
      <c r="O15">
        <v>1.3550000000000001E-3</v>
      </c>
      <c r="P15">
        <v>1.2689999999999999E-3</v>
      </c>
      <c r="Q15">
        <v>1.1919999999999999E-3</v>
      </c>
      <c r="R15">
        <v>1.1199999999999999E-3</v>
      </c>
      <c r="S15">
        <v>1.0820000000000001E-3</v>
      </c>
      <c r="T15">
        <v>9.990000000000001E-4</v>
      </c>
      <c r="U15">
        <v>9.7199999999999999E-4</v>
      </c>
      <c r="V15">
        <v>9.5299999999999996E-4</v>
      </c>
      <c r="W15">
        <v>9.3599999999999998E-4</v>
      </c>
      <c r="X15">
        <v>9.1500000000000001E-4</v>
      </c>
      <c r="Y15">
        <v>8.9400000000000005E-4</v>
      </c>
      <c r="Z15">
        <v>8.9599999999999999E-4</v>
      </c>
      <c r="AA15">
        <v>8.6899999999999998E-4</v>
      </c>
      <c r="AB15">
        <v>8.61E-4</v>
      </c>
      <c r="AC15">
        <v>8.7699999999999996E-4</v>
      </c>
      <c r="AD15">
        <v>8.7100000000000003E-4</v>
      </c>
      <c r="AE15">
        <v>8.6399999999999997E-4</v>
      </c>
      <c r="AF15">
        <v>8.4999999999999995E-4</v>
      </c>
      <c r="AG15" s="12">
        <v>-0.04</v>
      </c>
    </row>
    <row r="16" spans="1:33">
      <c r="A16" t="s">
        <v>130</v>
      </c>
      <c r="B16" t="s">
        <v>934</v>
      </c>
      <c r="C16" t="s">
        <v>933</v>
      </c>
      <c r="D16" t="s">
        <v>153</v>
      </c>
      <c r="F16">
        <v>1.159605</v>
      </c>
      <c r="G16">
        <v>1.1654150000000001</v>
      </c>
      <c r="H16">
        <v>1.1891879999999999</v>
      </c>
      <c r="I16">
        <v>1.192747</v>
      </c>
      <c r="J16">
        <v>1.1886890000000001</v>
      </c>
      <c r="K16">
        <v>1.182857</v>
      </c>
      <c r="L16">
        <v>1.175494</v>
      </c>
      <c r="M16">
        <v>1.1705669999999999</v>
      </c>
      <c r="N16">
        <v>1.163861</v>
      </c>
      <c r="O16">
        <v>1.158693</v>
      </c>
      <c r="P16">
        <v>1.1551720000000001</v>
      </c>
      <c r="Q16">
        <v>1.1513930000000001</v>
      </c>
      <c r="R16">
        <v>1.144156</v>
      </c>
      <c r="S16">
        <v>1.1372119999999999</v>
      </c>
      <c r="T16">
        <v>1.1325240000000001</v>
      </c>
      <c r="U16">
        <v>1.127766</v>
      </c>
      <c r="V16">
        <v>1.124725</v>
      </c>
      <c r="W16">
        <v>1.122018</v>
      </c>
      <c r="X16">
        <v>1.117999</v>
      </c>
      <c r="Y16">
        <v>1.1168499999999999</v>
      </c>
      <c r="Z16">
        <v>1.1142749999999999</v>
      </c>
      <c r="AA16">
        <v>1.113737</v>
      </c>
      <c r="AB16">
        <v>1.112255</v>
      </c>
      <c r="AC16">
        <v>1.1133569999999999</v>
      </c>
      <c r="AD16">
        <v>1.1117459999999999</v>
      </c>
      <c r="AE16">
        <v>1.112687</v>
      </c>
      <c r="AF16">
        <v>1.1165449999999999</v>
      </c>
      <c r="AG16" s="12">
        <v>-1E-3</v>
      </c>
    </row>
    <row r="17" spans="1:33">
      <c r="A17" t="s">
        <v>131</v>
      </c>
      <c r="B17" t="s">
        <v>932</v>
      </c>
      <c r="C17" t="s">
        <v>931</v>
      </c>
      <c r="D17" t="s">
        <v>153</v>
      </c>
      <c r="F17">
        <v>0.237456</v>
      </c>
      <c r="G17">
        <v>0.19763700000000001</v>
      </c>
      <c r="H17">
        <v>0.20088800000000001</v>
      </c>
      <c r="I17">
        <v>0.18940599999999999</v>
      </c>
      <c r="J17">
        <v>0.115795</v>
      </c>
      <c r="K17">
        <v>0.135879</v>
      </c>
      <c r="L17">
        <v>0.14164599999999999</v>
      </c>
      <c r="M17">
        <v>0.14424799999999999</v>
      </c>
      <c r="N17">
        <v>0.14546700000000001</v>
      </c>
      <c r="O17">
        <v>0.151586</v>
      </c>
      <c r="P17">
        <v>0.16537399999999999</v>
      </c>
      <c r="Q17">
        <v>0.175206</v>
      </c>
      <c r="R17">
        <v>0.17380300000000001</v>
      </c>
      <c r="S17">
        <v>0.182533</v>
      </c>
      <c r="T17">
        <v>0.181898</v>
      </c>
      <c r="U17">
        <v>0.179373</v>
      </c>
      <c r="V17">
        <v>0.17672599999999999</v>
      </c>
      <c r="W17">
        <v>0.173953</v>
      </c>
      <c r="X17">
        <v>0.17105300000000001</v>
      </c>
      <c r="Y17">
        <v>0.16802300000000001</v>
      </c>
      <c r="Z17">
        <v>0.16537099999999999</v>
      </c>
      <c r="AA17">
        <v>0.16207199999999999</v>
      </c>
      <c r="AB17">
        <v>0.158636</v>
      </c>
      <c r="AC17">
        <v>0.155059</v>
      </c>
      <c r="AD17">
        <v>0.151338</v>
      </c>
      <c r="AE17">
        <v>0.14747099999999999</v>
      </c>
      <c r="AF17">
        <v>0.143454</v>
      </c>
      <c r="AG17" s="12">
        <v>-1.9E-2</v>
      </c>
    </row>
    <row r="18" spans="1:33">
      <c r="A18" t="s">
        <v>132</v>
      </c>
      <c r="B18" t="s">
        <v>930</v>
      </c>
      <c r="C18" t="s">
        <v>929</v>
      </c>
      <c r="D18" t="s">
        <v>153</v>
      </c>
      <c r="F18">
        <v>0</v>
      </c>
      <c r="G18">
        <v>0</v>
      </c>
      <c r="H18">
        <v>0</v>
      </c>
      <c r="I18">
        <v>0</v>
      </c>
      <c r="J18">
        <v>0</v>
      </c>
      <c r="K18">
        <v>0</v>
      </c>
      <c r="L18">
        <v>0</v>
      </c>
      <c r="M18">
        <v>0</v>
      </c>
      <c r="N18">
        <v>0</v>
      </c>
      <c r="O18">
        <v>0</v>
      </c>
      <c r="P18">
        <v>0</v>
      </c>
      <c r="Q18">
        <v>0</v>
      </c>
      <c r="R18">
        <v>0</v>
      </c>
      <c r="S18">
        <v>0</v>
      </c>
      <c r="T18">
        <v>0</v>
      </c>
      <c r="U18">
        <v>0</v>
      </c>
      <c r="V18">
        <v>0</v>
      </c>
      <c r="W18">
        <v>0</v>
      </c>
      <c r="X18">
        <v>0</v>
      </c>
      <c r="Y18">
        <v>0</v>
      </c>
      <c r="Z18">
        <v>0</v>
      </c>
      <c r="AA18">
        <v>0</v>
      </c>
      <c r="AB18">
        <v>0</v>
      </c>
      <c r="AC18">
        <v>0</v>
      </c>
      <c r="AD18">
        <v>0</v>
      </c>
      <c r="AE18">
        <v>0</v>
      </c>
      <c r="AF18">
        <v>0</v>
      </c>
      <c r="AG18" t="s">
        <v>6</v>
      </c>
    </row>
    <row r="19" spans="1:33">
      <c r="A19" t="s">
        <v>133</v>
      </c>
      <c r="B19" t="s">
        <v>928</v>
      </c>
      <c r="C19" t="s">
        <v>927</v>
      </c>
      <c r="D19" t="s">
        <v>153</v>
      </c>
      <c r="F19">
        <v>3.0860000000000002E-3</v>
      </c>
      <c r="G19">
        <v>4.2420000000000001E-3</v>
      </c>
      <c r="H19">
        <v>4.2389999999999997E-3</v>
      </c>
      <c r="I19">
        <v>4.228E-3</v>
      </c>
      <c r="J19">
        <v>4.2490000000000002E-3</v>
      </c>
      <c r="K19">
        <v>4.2490000000000002E-3</v>
      </c>
      <c r="L19">
        <v>4.2490000000000002E-3</v>
      </c>
      <c r="M19">
        <v>4.2490000000000002E-3</v>
      </c>
      <c r="N19">
        <v>4.2500000000000003E-3</v>
      </c>
      <c r="O19">
        <v>4.2500000000000003E-3</v>
      </c>
      <c r="P19">
        <v>4.2500000000000003E-3</v>
      </c>
      <c r="Q19">
        <v>4.2500000000000003E-3</v>
      </c>
      <c r="R19">
        <v>4.2500000000000003E-3</v>
      </c>
      <c r="S19">
        <v>4.2509999999999996E-3</v>
      </c>
      <c r="T19">
        <v>4.2509999999999996E-3</v>
      </c>
      <c r="U19">
        <v>4.2509999999999996E-3</v>
      </c>
      <c r="V19">
        <v>4.2509999999999996E-3</v>
      </c>
      <c r="W19">
        <v>4.2509999999999996E-3</v>
      </c>
      <c r="X19">
        <v>4.2519999999999997E-3</v>
      </c>
      <c r="Y19">
        <v>4.2519999999999997E-3</v>
      </c>
      <c r="Z19">
        <v>4.2519999999999997E-3</v>
      </c>
      <c r="AA19">
        <v>4.2519999999999997E-3</v>
      </c>
      <c r="AB19">
        <v>4.2519999999999997E-3</v>
      </c>
      <c r="AC19">
        <v>4.2519999999999997E-3</v>
      </c>
      <c r="AD19">
        <v>4.2529999999999998E-3</v>
      </c>
      <c r="AE19">
        <v>4.2529999999999998E-3</v>
      </c>
      <c r="AF19">
        <v>4.2529999999999998E-3</v>
      </c>
      <c r="AG19" s="12">
        <v>1.2E-2</v>
      </c>
    </row>
    <row r="20" spans="1:33">
      <c r="A20" t="s">
        <v>134</v>
      </c>
      <c r="B20" t="s">
        <v>926</v>
      </c>
      <c r="C20" t="s">
        <v>925</v>
      </c>
      <c r="D20" t="s">
        <v>153</v>
      </c>
      <c r="F20">
        <v>0.37634899999999999</v>
      </c>
      <c r="G20">
        <v>0.38957700000000001</v>
      </c>
      <c r="H20">
        <v>0.403443</v>
      </c>
      <c r="I20">
        <v>0.38982800000000001</v>
      </c>
      <c r="J20">
        <v>0.34387000000000001</v>
      </c>
      <c r="K20">
        <v>0.32937</v>
      </c>
      <c r="L20">
        <v>0.33017800000000003</v>
      </c>
      <c r="M20">
        <v>0.33175300000000002</v>
      </c>
      <c r="N20">
        <v>0.336198</v>
      </c>
      <c r="O20">
        <v>0.33447500000000002</v>
      </c>
      <c r="P20">
        <v>0.376226</v>
      </c>
      <c r="Q20">
        <v>0.376664</v>
      </c>
      <c r="R20">
        <v>0.359122</v>
      </c>
      <c r="S20">
        <v>0.33517599999999997</v>
      </c>
      <c r="T20">
        <v>0.38102900000000001</v>
      </c>
      <c r="U20">
        <v>0.38524599999999998</v>
      </c>
      <c r="V20">
        <v>0.38004900000000003</v>
      </c>
      <c r="W20">
        <v>0.38174000000000002</v>
      </c>
      <c r="X20">
        <v>0.38699299999999998</v>
      </c>
      <c r="Y20">
        <v>0.38806000000000002</v>
      </c>
      <c r="Z20">
        <v>0.39325199999999999</v>
      </c>
      <c r="AA20">
        <v>0.40167599999999998</v>
      </c>
      <c r="AB20">
        <v>0.42339700000000002</v>
      </c>
      <c r="AC20">
        <v>0.45327299999999998</v>
      </c>
      <c r="AD20">
        <v>0.46409400000000001</v>
      </c>
      <c r="AE20">
        <v>0.488346</v>
      </c>
      <c r="AF20">
        <v>0.51320500000000002</v>
      </c>
      <c r="AG20" s="12">
        <v>1.2E-2</v>
      </c>
    </row>
    <row r="21" spans="1:33">
      <c r="A21" t="s">
        <v>135</v>
      </c>
      <c r="B21" t="s">
        <v>924</v>
      </c>
      <c r="C21" t="s">
        <v>923</v>
      </c>
      <c r="D21" t="s">
        <v>153</v>
      </c>
      <c r="F21">
        <v>3.4089610000000001</v>
      </c>
      <c r="G21">
        <v>3.8012649999999999</v>
      </c>
      <c r="H21">
        <v>4.3839610000000002</v>
      </c>
      <c r="I21">
        <v>4.7130270000000003</v>
      </c>
      <c r="J21">
        <v>4.8958620000000002</v>
      </c>
      <c r="K21">
        <v>5.2369219999999999</v>
      </c>
      <c r="L21">
        <v>5.6777030000000002</v>
      </c>
      <c r="M21">
        <v>6.1833179999999999</v>
      </c>
      <c r="N21">
        <v>6.7968820000000001</v>
      </c>
      <c r="O21">
        <v>7.3846509999999999</v>
      </c>
      <c r="P21">
        <v>8.0275560000000006</v>
      </c>
      <c r="Q21">
        <v>8.6695670000000007</v>
      </c>
      <c r="R21">
        <v>9.329504</v>
      </c>
      <c r="S21">
        <v>9.8697780000000002</v>
      </c>
      <c r="T21">
        <v>10.215384999999999</v>
      </c>
      <c r="U21">
        <v>10.659146</v>
      </c>
      <c r="V21">
        <v>10.981565</v>
      </c>
      <c r="W21">
        <v>11.158401</v>
      </c>
      <c r="X21">
        <v>11.315016</v>
      </c>
      <c r="Y21">
        <v>11.468982</v>
      </c>
      <c r="Z21">
        <v>11.629298</v>
      </c>
      <c r="AA21">
        <v>11.848853999999999</v>
      </c>
      <c r="AB21">
        <v>12.060473999999999</v>
      </c>
      <c r="AC21">
        <v>12.320989000000001</v>
      </c>
      <c r="AD21">
        <v>12.592124999999999</v>
      </c>
      <c r="AE21">
        <v>12.886576</v>
      </c>
      <c r="AF21">
        <v>13.147625</v>
      </c>
      <c r="AG21" s="12">
        <v>5.2999999999999999E-2</v>
      </c>
    </row>
    <row r="22" spans="1:33">
      <c r="A22" t="s">
        <v>124</v>
      </c>
      <c r="B22" t="s">
        <v>922</v>
      </c>
      <c r="C22" t="s">
        <v>921</v>
      </c>
      <c r="D22" t="s">
        <v>153</v>
      </c>
      <c r="F22">
        <v>0.82673799999999997</v>
      </c>
      <c r="G22">
        <v>0.89713500000000002</v>
      </c>
      <c r="H22">
        <v>0.93154300000000001</v>
      </c>
      <c r="I22">
        <v>0.96592900000000004</v>
      </c>
      <c r="J22">
        <v>0.96586000000000005</v>
      </c>
      <c r="K22">
        <v>0.96587599999999996</v>
      </c>
      <c r="L22">
        <v>0.96630300000000002</v>
      </c>
      <c r="M22">
        <v>0.96634299999999995</v>
      </c>
      <c r="N22">
        <v>0.96801599999999999</v>
      </c>
      <c r="O22">
        <v>0.96530099999999996</v>
      </c>
      <c r="P22">
        <v>0.96179599999999998</v>
      </c>
      <c r="Q22">
        <v>0.95052700000000001</v>
      </c>
      <c r="R22">
        <v>0.94846299999999995</v>
      </c>
      <c r="S22">
        <v>0.94750100000000004</v>
      </c>
      <c r="T22">
        <v>0.94209699999999996</v>
      </c>
      <c r="U22">
        <v>0.93090099999999998</v>
      </c>
      <c r="V22">
        <v>0.93122099999999997</v>
      </c>
      <c r="W22">
        <v>0.93847199999999997</v>
      </c>
      <c r="X22">
        <v>0.939299</v>
      </c>
      <c r="Y22">
        <v>0.93390899999999999</v>
      </c>
      <c r="Z22">
        <v>0.92494299999999996</v>
      </c>
      <c r="AA22">
        <v>0.92375600000000002</v>
      </c>
      <c r="AB22">
        <v>0.91442800000000002</v>
      </c>
      <c r="AC22">
        <v>0.906192</v>
      </c>
      <c r="AD22">
        <v>0.91056400000000004</v>
      </c>
      <c r="AE22">
        <v>0.90995899999999996</v>
      </c>
      <c r="AF22">
        <v>0.91156599999999999</v>
      </c>
      <c r="AG22" s="12">
        <v>4.0000000000000001E-3</v>
      </c>
    </row>
    <row r="23" spans="1:33">
      <c r="A23" t="s">
        <v>136</v>
      </c>
      <c r="B23" t="s">
        <v>920</v>
      </c>
      <c r="C23" t="s">
        <v>919</v>
      </c>
      <c r="D23" t="s">
        <v>153</v>
      </c>
      <c r="F23">
        <v>5.4584000000000001E-2</v>
      </c>
      <c r="G23">
        <v>5.2604999999999999E-2</v>
      </c>
      <c r="H23">
        <v>5.7382000000000002E-2</v>
      </c>
      <c r="I23">
        <v>5.9903999999999999E-2</v>
      </c>
      <c r="J23">
        <v>6.3532000000000005E-2</v>
      </c>
      <c r="K23">
        <v>6.8226999999999996E-2</v>
      </c>
      <c r="L23">
        <v>7.3581999999999995E-2</v>
      </c>
      <c r="M23">
        <v>7.8935000000000005E-2</v>
      </c>
      <c r="N23">
        <v>8.7332000000000007E-2</v>
      </c>
      <c r="O23">
        <v>9.4089999999999993E-2</v>
      </c>
      <c r="P23">
        <v>0.101714</v>
      </c>
      <c r="Q23">
        <v>0.109155</v>
      </c>
      <c r="R23">
        <v>0.116052</v>
      </c>
      <c r="S23">
        <v>0.122573</v>
      </c>
      <c r="T23">
        <v>0.12940699999999999</v>
      </c>
      <c r="U23">
        <v>0.13793</v>
      </c>
      <c r="V23">
        <v>0.146006</v>
      </c>
      <c r="W23">
        <v>0.152922</v>
      </c>
      <c r="X23">
        <v>0.15891</v>
      </c>
      <c r="Y23">
        <v>0.164662</v>
      </c>
      <c r="Z23">
        <v>0.169769</v>
      </c>
      <c r="AA23">
        <v>0.17407700000000001</v>
      </c>
      <c r="AB23">
        <v>0.17772399999999999</v>
      </c>
      <c r="AC23">
        <v>0.18113899999999999</v>
      </c>
      <c r="AD23">
        <v>0.18399499999999999</v>
      </c>
      <c r="AE23">
        <v>0.18574299999999999</v>
      </c>
      <c r="AF23">
        <v>0.18751699999999999</v>
      </c>
      <c r="AG23" s="12">
        <v>4.9000000000000002E-2</v>
      </c>
    </row>
    <row r="24" spans="1:33">
      <c r="A24" t="s">
        <v>137</v>
      </c>
      <c r="B24" t="s">
        <v>918</v>
      </c>
      <c r="C24" t="s">
        <v>917</v>
      </c>
      <c r="D24" t="s">
        <v>153</v>
      </c>
      <c r="F24">
        <v>0.140012</v>
      </c>
      <c r="G24">
        <v>0.14896499999999999</v>
      </c>
      <c r="H24">
        <v>0.15889500000000001</v>
      </c>
      <c r="I24">
        <v>0.166519</v>
      </c>
      <c r="J24">
        <v>0.170403</v>
      </c>
      <c r="K24">
        <v>0.177566</v>
      </c>
      <c r="L24">
        <v>0.18054600000000001</v>
      </c>
      <c r="M24">
        <v>0.18739</v>
      </c>
      <c r="N24">
        <v>0.195247</v>
      </c>
      <c r="O24">
        <v>0.20310800000000001</v>
      </c>
      <c r="P24">
        <v>0.208978</v>
      </c>
      <c r="Q24">
        <v>0.21029100000000001</v>
      </c>
      <c r="R24">
        <v>0.216747</v>
      </c>
      <c r="S24">
        <v>0.22294</v>
      </c>
      <c r="T24">
        <v>0.231348</v>
      </c>
      <c r="U24">
        <v>0.23567199999999999</v>
      </c>
      <c r="V24">
        <v>0.241007</v>
      </c>
      <c r="W24">
        <v>0.251419</v>
      </c>
      <c r="X24">
        <v>0.25957799999999998</v>
      </c>
      <c r="Y24">
        <v>0.26622400000000002</v>
      </c>
      <c r="Z24">
        <v>0.27033099999999999</v>
      </c>
      <c r="AA24">
        <v>0.27518900000000002</v>
      </c>
      <c r="AB24">
        <v>0.27833400000000003</v>
      </c>
      <c r="AC24">
        <v>0.28129599999999999</v>
      </c>
      <c r="AD24">
        <v>0.28270099999999998</v>
      </c>
      <c r="AE24">
        <v>0.28176899999999999</v>
      </c>
      <c r="AF24">
        <v>0.28175899999999998</v>
      </c>
      <c r="AG24" s="12">
        <v>2.7E-2</v>
      </c>
    </row>
    <row r="25" spans="1:33">
      <c r="A25" t="s">
        <v>126</v>
      </c>
      <c r="B25" t="s">
        <v>916</v>
      </c>
      <c r="C25" t="s">
        <v>915</v>
      </c>
      <c r="D25" t="s">
        <v>153</v>
      </c>
      <c r="F25">
        <v>0.167182</v>
      </c>
      <c r="G25">
        <v>0.16625400000000001</v>
      </c>
      <c r="H25">
        <v>0.16639999999999999</v>
      </c>
      <c r="I25">
        <v>0.16606799999999999</v>
      </c>
      <c r="J25">
        <v>0.15571699999999999</v>
      </c>
      <c r="K25">
        <v>0.15524399999999999</v>
      </c>
      <c r="L25">
        <v>0.156698</v>
      </c>
      <c r="M25">
        <v>0.15350800000000001</v>
      </c>
      <c r="N25">
        <v>0.15673300000000001</v>
      </c>
      <c r="O25">
        <v>0.157447</v>
      </c>
      <c r="P25">
        <v>0.156527</v>
      </c>
      <c r="Q25">
        <v>0.156527</v>
      </c>
      <c r="R25">
        <v>0.15692600000000001</v>
      </c>
      <c r="S25">
        <v>0.15528700000000001</v>
      </c>
      <c r="T25">
        <v>0.154694</v>
      </c>
      <c r="U25">
        <v>0.15443499999999999</v>
      </c>
      <c r="V25">
        <v>0.155837</v>
      </c>
      <c r="W25">
        <v>0.156749</v>
      </c>
      <c r="X25">
        <v>0.157413</v>
      </c>
      <c r="Y25">
        <v>0.157419</v>
      </c>
      <c r="Z25">
        <v>0.15798699999999999</v>
      </c>
      <c r="AA25">
        <v>0.1573</v>
      </c>
      <c r="AB25">
        <v>0.158133</v>
      </c>
      <c r="AC25">
        <v>0.15864600000000001</v>
      </c>
      <c r="AD25">
        <v>0.162274</v>
      </c>
      <c r="AE25">
        <v>0.163246</v>
      </c>
      <c r="AF25">
        <v>0.16087699999999999</v>
      </c>
      <c r="AG25" s="12">
        <v>-1E-3</v>
      </c>
    </row>
    <row r="26" spans="1:33">
      <c r="A26" t="s">
        <v>138</v>
      </c>
      <c r="B26" t="s">
        <v>914</v>
      </c>
      <c r="C26" t="s">
        <v>913</v>
      </c>
      <c r="D26" t="s">
        <v>153</v>
      </c>
      <c r="F26">
        <v>0.13592399999999999</v>
      </c>
      <c r="G26">
        <v>0.13561200000000001</v>
      </c>
      <c r="H26">
        <v>0.13617099999999999</v>
      </c>
      <c r="I26">
        <v>0.135905</v>
      </c>
      <c r="J26">
        <v>0.12787200000000001</v>
      </c>
      <c r="K26">
        <v>0.12797</v>
      </c>
      <c r="L26">
        <v>0.12910199999999999</v>
      </c>
      <c r="M26">
        <v>0.12610099999999999</v>
      </c>
      <c r="N26">
        <v>0.129963</v>
      </c>
      <c r="O26">
        <v>0.130414</v>
      </c>
      <c r="P26">
        <v>0.12878300000000001</v>
      </c>
      <c r="Q26">
        <v>0.12876099999999999</v>
      </c>
      <c r="R26">
        <v>0.12908700000000001</v>
      </c>
      <c r="S26">
        <v>0.12774099999999999</v>
      </c>
      <c r="T26">
        <v>0.127195</v>
      </c>
      <c r="U26">
        <v>0.12707199999999999</v>
      </c>
      <c r="V26">
        <v>0.12878800000000001</v>
      </c>
      <c r="W26">
        <v>0.129498</v>
      </c>
      <c r="X26">
        <v>0.13011800000000001</v>
      </c>
      <c r="Y26">
        <v>0.13012199999999999</v>
      </c>
      <c r="Z26">
        <v>0.13063</v>
      </c>
      <c r="AA26">
        <v>0.13004199999999999</v>
      </c>
      <c r="AB26">
        <v>0.130824</v>
      </c>
      <c r="AC26">
        <v>0.13145000000000001</v>
      </c>
      <c r="AD26">
        <v>0.13184699999999999</v>
      </c>
      <c r="AE26">
        <v>0.13325899999999999</v>
      </c>
      <c r="AF26">
        <v>0.132718</v>
      </c>
      <c r="AG26" s="12">
        <v>-1E-3</v>
      </c>
    </row>
    <row r="27" spans="1:33">
      <c r="A27" t="s">
        <v>139</v>
      </c>
      <c r="B27" t="s">
        <v>912</v>
      </c>
      <c r="C27" t="s">
        <v>911</v>
      </c>
      <c r="D27" t="s">
        <v>153</v>
      </c>
      <c r="F27">
        <v>3.1258000000000001E-2</v>
      </c>
      <c r="G27">
        <v>3.0641000000000002E-2</v>
      </c>
      <c r="H27">
        <v>3.0228999999999999E-2</v>
      </c>
      <c r="I27">
        <v>3.0162999999999999E-2</v>
      </c>
      <c r="J27">
        <v>2.7844000000000001E-2</v>
      </c>
      <c r="K27">
        <v>2.7275000000000001E-2</v>
      </c>
      <c r="L27">
        <v>2.7595999999999999E-2</v>
      </c>
      <c r="M27">
        <v>2.7407000000000001E-2</v>
      </c>
      <c r="N27">
        <v>2.6769000000000001E-2</v>
      </c>
      <c r="O27">
        <v>2.7033000000000001E-2</v>
      </c>
      <c r="P27">
        <v>2.7744000000000001E-2</v>
      </c>
      <c r="Q27">
        <v>2.7765999999999999E-2</v>
      </c>
      <c r="R27">
        <v>2.7838999999999999E-2</v>
      </c>
      <c r="S27">
        <v>2.7546000000000001E-2</v>
      </c>
      <c r="T27">
        <v>2.7498999999999999E-2</v>
      </c>
      <c r="U27">
        <v>2.7362000000000001E-2</v>
      </c>
      <c r="V27">
        <v>2.7050000000000001E-2</v>
      </c>
      <c r="W27">
        <v>2.725E-2</v>
      </c>
      <c r="X27">
        <v>2.7295E-2</v>
      </c>
      <c r="Y27">
        <v>2.7297999999999999E-2</v>
      </c>
      <c r="Z27">
        <v>2.7358E-2</v>
      </c>
      <c r="AA27">
        <v>2.7258000000000001E-2</v>
      </c>
      <c r="AB27">
        <v>2.7309E-2</v>
      </c>
      <c r="AC27">
        <v>2.7196000000000001E-2</v>
      </c>
      <c r="AD27">
        <v>3.0426000000000002E-2</v>
      </c>
      <c r="AE27">
        <v>2.9988000000000001E-2</v>
      </c>
      <c r="AF27">
        <v>2.8159E-2</v>
      </c>
      <c r="AG27" s="12">
        <v>-4.0000000000000001E-3</v>
      </c>
    </row>
    <row r="28" spans="1:33">
      <c r="A28" t="s">
        <v>140</v>
      </c>
      <c r="B28" t="s">
        <v>910</v>
      </c>
      <c r="C28" t="s">
        <v>909</v>
      </c>
      <c r="D28" t="s">
        <v>153</v>
      </c>
      <c r="F28">
        <v>9.1750000000000009E-3</v>
      </c>
      <c r="G28">
        <v>8.6870000000000003E-3</v>
      </c>
      <c r="H28">
        <v>9.6880000000000004E-3</v>
      </c>
      <c r="I28">
        <v>9.6740000000000003E-3</v>
      </c>
      <c r="J28">
        <v>9.691E-3</v>
      </c>
      <c r="K28">
        <v>9.6769999999999998E-3</v>
      </c>
      <c r="L28">
        <v>9.6810000000000004E-3</v>
      </c>
      <c r="M28">
        <v>9.6869999999999994E-3</v>
      </c>
      <c r="N28">
        <v>9.6810000000000004E-3</v>
      </c>
      <c r="O28">
        <v>9.672E-3</v>
      </c>
      <c r="P28">
        <v>9.5449999999999997E-3</v>
      </c>
      <c r="Q28">
        <v>9.0290000000000006E-3</v>
      </c>
      <c r="R28">
        <v>7.5339999999999999E-3</v>
      </c>
      <c r="S28">
        <v>6.4669999999999997E-3</v>
      </c>
      <c r="T28">
        <v>6.463E-3</v>
      </c>
      <c r="U28">
        <v>7.4520000000000003E-3</v>
      </c>
      <c r="V28">
        <v>7.4980000000000003E-3</v>
      </c>
      <c r="W28">
        <v>7.7549999999999997E-3</v>
      </c>
      <c r="X28">
        <v>8.9359999999999995E-3</v>
      </c>
      <c r="Y28">
        <v>7.5519999999999997E-3</v>
      </c>
      <c r="Z28">
        <v>7.5240000000000003E-3</v>
      </c>
      <c r="AA28">
        <v>9.2560000000000003E-3</v>
      </c>
      <c r="AB28">
        <v>9.1140000000000006E-3</v>
      </c>
      <c r="AC28">
        <v>8.9020000000000002E-3</v>
      </c>
      <c r="AD28">
        <v>9.0939999999999997E-3</v>
      </c>
      <c r="AE28">
        <v>9.1599999999999997E-3</v>
      </c>
      <c r="AF28">
        <v>9.2040000000000004E-3</v>
      </c>
      <c r="AG28" s="12">
        <v>0</v>
      </c>
    </row>
    <row r="29" spans="1:33">
      <c r="A29" t="s">
        <v>141</v>
      </c>
      <c r="B29" t="s">
        <v>908</v>
      </c>
      <c r="C29" t="s">
        <v>907</v>
      </c>
      <c r="D29" t="s">
        <v>153</v>
      </c>
      <c r="F29">
        <v>0.68615300000000001</v>
      </c>
      <c r="G29">
        <v>0.93048500000000001</v>
      </c>
      <c r="H29">
        <v>1.2610330000000001</v>
      </c>
      <c r="I29">
        <v>1.3598429999999999</v>
      </c>
      <c r="J29">
        <v>1.415033</v>
      </c>
      <c r="K29">
        <v>1.6002320000000001</v>
      </c>
      <c r="L29">
        <v>1.8484320000000001</v>
      </c>
      <c r="M29">
        <v>2.1320480000000002</v>
      </c>
      <c r="N29">
        <v>2.4913850000000002</v>
      </c>
      <c r="O29">
        <v>2.7691439999999998</v>
      </c>
      <c r="P29">
        <v>3.0268969999999999</v>
      </c>
      <c r="Q29">
        <v>3.242969</v>
      </c>
      <c r="R29">
        <v>3.384646</v>
      </c>
      <c r="S29">
        <v>3.5037780000000001</v>
      </c>
      <c r="T29">
        <v>3.6106509999999998</v>
      </c>
      <c r="U29">
        <v>3.746191</v>
      </c>
      <c r="V29">
        <v>3.8279139999999998</v>
      </c>
      <c r="W29">
        <v>3.9016329999999999</v>
      </c>
      <c r="X29">
        <v>3.9871080000000001</v>
      </c>
      <c r="Y29">
        <v>4.080622</v>
      </c>
      <c r="Z29">
        <v>4.1858589999999998</v>
      </c>
      <c r="AA29">
        <v>4.3243499999999999</v>
      </c>
      <c r="AB29">
        <v>4.4897999999999998</v>
      </c>
      <c r="AC29">
        <v>4.6728500000000004</v>
      </c>
      <c r="AD29">
        <v>4.855118</v>
      </c>
      <c r="AE29">
        <v>5.0042229999999996</v>
      </c>
      <c r="AF29">
        <v>5.151821</v>
      </c>
      <c r="AG29" s="12">
        <v>8.1000000000000003E-2</v>
      </c>
    </row>
    <row r="30" spans="1:33">
      <c r="A30" t="s">
        <v>142</v>
      </c>
      <c r="B30" t="s">
        <v>906</v>
      </c>
      <c r="C30" t="s">
        <v>905</v>
      </c>
      <c r="D30" t="s">
        <v>153</v>
      </c>
      <c r="F30">
        <v>1.5251170000000001</v>
      </c>
      <c r="G30">
        <v>1.5971340000000001</v>
      </c>
      <c r="H30">
        <v>1.7990200000000001</v>
      </c>
      <c r="I30">
        <v>1.98509</v>
      </c>
      <c r="J30">
        <v>2.1156259999999998</v>
      </c>
      <c r="K30">
        <v>2.2601019999999998</v>
      </c>
      <c r="L30">
        <v>2.4424610000000002</v>
      </c>
      <c r="M30">
        <v>2.6554060000000002</v>
      </c>
      <c r="N30">
        <v>2.88849</v>
      </c>
      <c r="O30">
        <v>3.1858900000000001</v>
      </c>
      <c r="P30">
        <v>3.5620989999999999</v>
      </c>
      <c r="Q30">
        <v>3.9910700000000001</v>
      </c>
      <c r="R30">
        <v>4.499136</v>
      </c>
      <c r="S30">
        <v>4.911232</v>
      </c>
      <c r="T30">
        <v>5.1407239999999996</v>
      </c>
      <c r="U30">
        <v>5.4465649999999997</v>
      </c>
      <c r="V30">
        <v>5.6720810000000004</v>
      </c>
      <c r="W30">
        <v>5.7494509999999996</v>
      </c>
      <c r="X30">
        <v>5.8037710000000002</v>
      </c>
      <c r="Y30">
        <v>5.8585940000000001</v>
      </c>
      <c r="Z30">
        <v>5.9128850000000002</v>
      </c>
      <c r="AA30">
        <v>5.9849259999999997</v>
      </c>
      <c r="AB30">
        <v>6.03294</v>
      </c>
      <c r="AC30">
        <v>6.1119630000000003</v>
      </c>
      <c r="AD30">
        <v>6.1883780000000002</v>
      </c>
      <c r="AE30">
        <v>6.3324749999999996</v>
      </c>
      <c r="AF30">
        <v>6.4448809999999996</v>
      </c>
      <c r="AG30" s="12">
        <v>5.7000000000000002E-2</v>
      </c>
    </row>
    <row r="31" spans="1:33">
      <c r="A31" t="s">
        <v>143</v>
      </c>
      <c r="B31" t="s">
        <v>904</v>
      </c>
      <c r="C31" t="s">
        <v>903</v>
      </c>
      <c r="D31" t="s">
        <v>153</v>
      </c>
      <c r="F31">
        <v>8.0015979999999995</v>
      </c>
      <c r="G31">
        <v>8.4236090000000008</v>
      </c>
      <c r="H31">
        <v>9.0552849999999996</v>
      </c>
      <c r="I31">
        <v>9.3616620000000008</v>
      </c>
      <c r="J31">
        <v>9.4217300000000002</v>
      </c>
      <c r="K31">
        <v>9.786664</v>
      </c>
      <c r="L31">
        <v>10.246105</v>
      </c>
      <c r="M31">
        <v>10.770749</v>
      </c>
      <c r="N31">
        <v>11.395408</v>
      </c>
      <c r="O31">
        <v>11.987632</v>
      </c>
      <c r="P31">
        <v>12.691672000000001</v>
      </c>
      <c r="Q31">
        <v>13.350533</v>
      </c>
      <c r="R31">
        <v>14.011350999999999</v>
      </c>
      <c r="S31">
        <v>14.546669</v>
      </c>
      <c r="T31">
        <v>14.945281</v>
      </c>
      <c r="U31">
        <v>15.402927999999999</v>
      </c>
      <c r="V31">
        <v>15.724679999999999</v>
      </c>
      <c r="W31">
        <v>15.892244</v>
      </c>
      <c r="X31">
        <v>16.043911000000001</v>
      </c>
      <c r="Y31">
        <v>16.193916999999999</v>
      </c>
      <c r="Z31">
        <v>16.352712</v>
      </c>
      <c r="AA31">
        <v>16.588183000000001</v>
      </c>
      <c r="AB31">
        <v>16.824712999999999</v>
      </c>
      <c r="AC31">
        <v>17.135487999999999</v>
      </c>
      <c r="AD31">
        <v>17.435305</v>
      </c>
      <c r="AE31">
        <v>17.774804</v>
      </c>
      <c r="AF31">
        <v>18.077473000000001</v>
      </c>
      <c r="AG31" s="12">
        <v>3.2000000000000001E-2</v>
      </c>
    </row>
    <row r="32" spans="1:33">
      <c r="A32" t="s">
        <v>22</v>
      </c>
    </row>
    <row r="33" spans="1:33">
      <c r="A33" t="s">
        <v>144</v>
      </c>
      <c r="B33" t="s">
        <v>902</v>
      </c>
      <c r="C33" t="s">
        <v>901</v>
      </c>
      <c r="D33" t="s">
        <v>153</v>
      </c>
      <c r="F33">
        <v>1.319796</v>
      </c>
      <c r="G33">
        <v>1.32233</v>
      </c>
      <c r="H33">
        <v>1.342438</v>
      </c>
      <c r="I33">
        <v>1.3444799999999999</v>
      </c>
      <c r="J33">
        <v>1.3445240000000001</v>
      </c>
      <c r="K33">
        <v>1.345372</v>
      </c>
      <c r="L33">
        <v>1.3445119999999999</v>
      </c>
      <c r="M33">
        <v>1.343896</v>
      </c>
      <c r="N33">
        <v>1.3436239999999999</v>
      </c>
      <c r="O33">
        <v>1.3442700000000001</v>
      </c>
      <c r="P33">
        <v>1.344401</v>
      </c>
      <c r="Q33">
        <v>1.343453</v>
      </c>
      <c r="R33">
        <v>1.345574</v>
      </c>
      <c r="S33">
        <v>1.348238</v>
      </c>
      <c r="T33">
        <v>1.348768</v>
      </c>
      <c r="U33">
        <v>1.3539870000000001</v>
      </c>
      <c r="V33">
        <v>1.3615010000000001</v>
      </c>
      <c r="W33">
        <v>1.364714</v>
      </c>
      <c r="X33">
        <v>1.3667530000000001</v>
      </c>
      <c r="Y33">
        <v>1.382163</v>
      </c>
      <c r="Z33">
        <v>1.387529</v>
      </c>
      <c r="AA33">
        <v>1.393813</v>
      </c>
      <c r="AB33">
        <v>1.3993390000000001</v>
      </c>
      <c r="AC33">
        <v>1.407653</v>
      </c>
      <c r="AD33">
        <v>1.4133979999999999</v>
      </c>
      <c r="AE33">
        <v>1.421891</v>
      </c>
      <c r="AF33">
        <v>1.4257960000000001</v>
      </c>
      <c r="AG33" s="12">
        <v>3.0000000000000001E-3</v>
      </c>
    </row>
    <row r="34" spans="1:33">
      <c r="A34" t="s">
        <v>145</v>
      </c>
      <c r="B34" t="s">
        <v>900</v>
      </c>
      <c r="C34" t="s">
        <v>899</v>
      </c>
      <c r="D34" t="s">
        <v>153</v>
      </c>
      <c r="F34">
        <v>1.493E-3</v>
      </c>
      <c r="G34">
        <v>1.4790000000000001E-3</v>
      </c>
      <c r="H34">
        <v>1.4679999999999999E-3</v>
      </c>
      <c r="I34">
        <v>1.4679999999999999E-3</v>
      </c>
      <c r="J34">
        <v>1.4679999999999999E-3</v>
      </c>
      <c r="K34">
        <v>1.4679999999999999E-3</v>
      </c>
      <c r="L34">
        <v>1.4679999999999999E-3</v>
      </c>
      <c r="M34">
        <v>1.4679999999999999E-3</v>
      </c>
      <c r="N34">
        <v>1.4679999999999999E-3</v>
      </c>
      <c r="O34">
        <v>1.4679999999999999E-3</v>
      </c>
      <c r="P34">
        <v>1.4679999999999999E-3</v>
      </c>
      <c r="Q34">
        <v>1.4679999999999999E-3</v>
      </c>
      <c r="R34">
        <v>1.4679999999999999E-3</v>
      </c>
      <c r="S34">
        <v>1.4679999999999999E-3</v>
      </c>
      <c r="T34">
        <v>1.4679999999999999E-3</v>
      </c>
      <c r="U34">
        <v>1.4679999999999999E-3</v>
      </c>
      <c r="V34">
        <v>1.4679999999999999E-3</v>
      </c>
      <c r="W34">
        <v>1.4679999999999999E-3</v>
      </c>
      <c r="X34">
        <v>1.4679999999999999E-3</v>
      </c>
      <c r="Y34">
        <v>1.4679999999999999E-3</v>
      </c>
      <c r="Z34">
        <v>1.4679999999999999E-3</v>
      </c>
      <c r="AA34">
        <v>1.4679999999999999E-3</v>
      </c>
      <c r="AB34">
        <v>1.4679999999999999E-3</v>
      </c>
      <c r="AC34">
        <v>1.4679999999999999E-3</v>
      </c>
      <c r="AD34">
        <v>1.4679999999999999E-3</v>
      </c>
      <c r="AE34">
        <v>1.4679999999999999E-3</v>
      </c>
      <c r="AF34">
        <v>1.4679999999999999E-3</v>
      </c>
      <c r="AG34" s="12">
        <v>-1E-3</v>
      </c>
    </row>
    <row r="35" spans="1:33">
      <c r="A35" t="s">
        <v>146</v>
      </c>
      <c r="B35" t="s">
        <v>898</v>
      </c>
      <c r="C35" t="s">
        <v>897</v>
      </c>
      <c r="D35" t="s">
        <v>153</v>
      </c>
      <c r="F35">
        <v>-0.15920599999999999</v>
      </c>
      <c r="G35">
        <v>-0.15610399999999999</v>
      </c>
      <c r="H35">
        <v>-0.15262100000000001</v>
      </c>
      <c r="I35">
        <v>-0.15132499999999999</v>
      </c>
      <c r="J35">
        <v>-0.15548699999999999</v>
      </c>
      <c r="K35">
        <v>-0.16220999999999999</v>
      </c>
      <c r="L35">
        <v>-0.16878799999999999</v>
      </c>
      <c r="M35">
        <v>-0.173237</v>
      </c>
      <c r="N35">
        <v>-0.17977399999999999</v>
      </c>
      <c r="O35">
        <v>-0.18569099999999999</v>
      </c>
      <c r="P35">
        <v>-0.18942899999999999</v>
      </c>
      <c r="Q35">
        <v>-0.19233600000000001</v>
      </c>
      <c r="R35">
        <v>-0.201766</v>
      </c>
      <c r="S35">
        <v>-0.21141199999999999</v>
      </c>
      <c r="T35">
        <v>-0.21671299999999999</v>
      </c>
      <c r="U35">
        <v>-0.226717</v>
      </c>
      <c r="V35">
        <v>-0.237292</v>
      </c>
      <c r="W35">
        <v>-0.243228</v>
      </c>
      <c r="X35">
        <v>-0.249306</v>
      </c>
      <c r="Y35">
        <v>-0.26588699999999998</v>
      </c>
      <c r="Z35">
        <v>-0.27382600000000001</v>
      </c>
      <c r="AA35">
        <v>-0.28067599999999998</v>
      </c>
      <c r="AB35">
        <v>-0.28769099999999997</v>
      </c>
      <c r="AC35">
        <v>-0.29488700000000001</v>
      </c>
      <c r="AD35">
        <v>-0.30224899999999999</v>
      </c>
      <c r="AE35">
        <v>-0.30980799999999997</v>
      </c>
      <c r="AF35">
        <v>-0.30986799999999998</v>
      </c>
      <c r="AG35" s="12">
        <v>2.5999999999999999E-2</v>
      </c>
    </row>
    <row r="36" spans="1:33">
      <c r="A36" t="s">
        <v>147</v>
      </c>
      <c r="B36" t="s">
        <v>896</v>
      </c>
      <c r="C36" t="s">
        <v>895</v>
      </c>
      <c r="D36" t="s">
        <v>153</v>
      </c>
      <c r="F36">
        <v>1.162083</v>
      </c>
      <c r="G36">
        <v>1.1677059999999999</v>
      </c>
      <c r="H36">
        <v>1.1912849999999999</v>
      </c>
      <c r="I36">
        <v>1.194623</v>
      </c>
      <c r="J36">
        <v>1.1905049999999999</v>
      </c>
      <c r="K36">
        <v>1.1846300000000001</v>
      </c>
      <c r="L36">
        <v>1.177192</v>
      </c>
      <c r="M36">
        <v>1.1721269999999999</v>
      </c>
      <c r="N36">
        <v>1.1653180000000001</v>
      </c>
      <c r="O36">
        <v>1.160048</v>
      </c>
      <c r="P36">
        <v>1.1564410000000001</v>
      </c>
      <c r="Q36">
        <v>1.152585</v>
      </c>
      <c r="R36">
        <v>1.145276</v>
      </c>
      <c r="S36">
        <v>1.1382939999999999</v>
      </c>
      <c r="T36">
        <v>1.1335230000000001</v>
      </c>
      <c r="U36">
        <v>1.1287370000000001</v>
      </c>
      <c r="V36">
        <v>1.125677</v>
      </c>
      <c r="W36">
        <v>1.122954</v>
      </c>
      <c r="X36">
        <v>1.118914</v>
      </c>
      <c r="Y36">
        <v>1.1177440000000001</v>
      </c>
      <c r="Z36">
        <v>1.11517</v>
      </c>
      <c r="AA36">
        <v>1.1146050000000001</v>
      </c>
      <c r="AB36">
        <v>1.113116</v>
      </c>
      <c r="AC36">
        <v>1.1142339999999999</v>
      </c>
      <c r="AD36">
        <v>1.112617</v>
      </c>
      <c r="AE36">
        <v>1.113551</v>
      </c>
      <c r="AF36">
        <v>1.1173960000000001</v>
      </c>
      <c r="AG36" s="12">
        <v>-2E-3</v>
      </c>
    </row>
    <row r="37" spans="1:33">
      <c r="A37" t="s">
        <v>148</v>
      </c>
    </row>
    <row r="38" spans="1:33">
      <c r="A38" t="s">
        <v>149</v>
      </c>
    </row>
    <row r="39" spans="1:33">
      <c r="A39" t="s">
        <v>150</v>
      </c>
      <c r="B39" t="s">
        <v>894</v>
      </c>
      <c r="C39" t="s">
        <v>893</v>
      </c>
      <c r="D39" t="s">
        <v>153</v>
      </c>
      <c r="F39">
        <v>0.25074299999999999</v>
      </c>
      <c r="G39">
        <v>0.28741800000000001</v>
      </c>
      <c r="H39">
        <v>0.32524900000000001</v>
      </c>
      <c r="I39">
        <v>0.35926799999999998</v>
      </c>
      <c r="J39">
        <v>0.39427200000000001</v>
      </c>
      <c r="K39">
        <v>0.42646600000000001</v>
      </c>
      <c r="L39">
        <v>0.46103499999999997</v>
      </c>
      <c r="M39">
        <v>0.49767400000000001</v>
      </c>
      <c r="N39">
        <v>0.53414399999999995</v>
      </c>
      <c r="O39">
        <v>0.56779400000000002</v>
      </c>
      <c r="P39">
        <v>0.60184199999999999</v>
      </c>
      <c r="Q39">
        <v>0.62786900000000001</v>
      </c>
      <c r="R39">
        <v>0.65475099999999997</v>
      </c>
      <c r="S39">
        <v>0.68227800000000005</v>
      </c>
      <c r="T39">
        <v>0.71080900000000002</v>
      </c>
      <c r="U39">
        <v>0.73968800000000001</v>
      </c>
      <c r="V39">
        <v>0.76835900000000001</v>
      </c>
      <c r="W39">
        <v>0.79810599999999998</v>
      </c>
      <c r="X39">
        <v>0.82866099999999998</v>
      </c>
      <c r="Y39">
        <v>0.85952600000000001</v>
      </c>
      <c r="Z39">
        <v>0.89091399999999998</v>
      </c>
      <c r="AA39">
        <v>0.92310300000000001</v>
      </c>
      <c r="AB39">
        <v>0.95589400000000002</v>
      </c>
      <c r="AC39">
        <v>0.98935200000000001</v>
      </c>
      <c r="AD39">
        <v>1.0238860000000001</v>
      </c>
      <c r="AE39">
        <v>1.0587310000000001</v>
      </c>
      <c r="AF39">
        <v>1.0941080000000001</v>
      </c>
      <c r="AG39" s="12">
        <v>5.8000000000000003E-2</v>
      </c>
    </row>
    <row r="40" spans="1:33">
      <c r="A40" t="s">
        <v>151</v>
      </c>
      <c r="B40" t="s">
        <v>892</v>
      </c>
      <c r="C40" t="s">
        <v>891</v>
      </c>
      <c r="D40" t="s">
        <v>153</v>
      </c>
      <c r="F40">
        <v>3.5527000000000003E-2</v>
      </c>
      <c r="G40">
        <v>4.2164E-2</v>
      </c>
      <c r="H40">
        <v>4.9453999999999998E-2</v>
      </c>
      <c r="I40">
        <v>5.5135999999999998E-2</v>
      </c>
      <c r="J40">
        <v>6.1081999999999997E-2</v>
      </c>
      <c r="K40">
        <v>6.3460000000000003E-2</v>
      </c>
      <c r="L40">
        <v>6.6100000000000006E-2</v>
      </c>
      <c r="M40">
        <v>6.8594000000000002E-2</v>
      </c>
      <c r="N40">
        <v>7.1124000000000007E-2</v>
      </c>
      <c r="O40">
        <v>7.0597999999999994E-2</v>
      </c>
      <c r="P40">
        <v>7.1290999999999993E-2</v>
      </c>
      <c r="Q40">
        <v>7.1442000000000005E-2</v>
      </c>
      <c r="R40">
        <v>7.1725999999999998E-2</v>
      </c>
      <c r="S40">
        <v>7.1845000000000006E-2</v>
      </c>
      <c r="T40">
        <v>7.2013999999999995E-2</v>
      </c>
      <c r="U40">
        <v>7.2104000000000001E-2</v>
      </c>
      <c r="V40">
        <v>7.1609999999999993E-2</v>
      </c>
      <c r="W40">
        <v>7.1702000000000002E-2</v>
      </c>
      <c r="X40">
        <v>7.1763999999999994E-2</v>
      </c>
      <c r="Y40">
        <v>7.1766999999999997E-2</v>
      </c>
      <c r="Z40">
        <v>7.1850999999999998E-2</v>
      </c>
      <c r="AA40">
        <v>7.1776999999999994E-2</v>
      </c>
      <c r="AB40">
        <v>7.1899000000000005E-2</v>
      </c>
      <c r="AC40">
        <v>7.1695999999999996E-2</v>
      </c>
      <c r="AD40">
        <v>7.1936E-2</v>
      </c>
      <c r="AE40">
        <v>7.1868000000000001E-2</v>
      </c>
      <c r="AF40">
        <v>7.2137999999999994E-2</v>
      </c>
      <c r="AG40" s="12">
        <v>2.8000000000000001E-2</v>
      </c>
    </row>
    <row r="41" spans="1:33">
      <c r="A41" t="s">
        <v>141</v>
      </c>
      <c r="B41" t="s">
        <v>890</v>
      </c>
      <c r="C41" t="s">
        <v>889</v>
      </c>
      <c r="D41" t="s">
        <v>153</v>
      </c>
      <c r="F41">
        <v>0.21395500000000001</v>
      </c>
      <c r="G41">
        <v>0.243113</v>
      </c>
      <c r="H41">
        <v>0.272787</v>
      </c>
      <c r="I41">
        <v>0.30072500000000002</v>
      </c>
      <c r="J41">
        <v>0.32933600000000002</v>
      </c>
      <c r="K41">
        <v>0.35830899999999999</v>
      </c>
      <c r="L41">
        <v>0.38930999999999999</v>
      </c>
      <c r="M41">
        <v>0.422234</v>
      </c>
      <c r="N41">
        <v>0.45493499999999998</v>
      </c>
      <c r="O41">
        <v>0.48869000000000001</v>
      </c>
      <c r="P41">
        <v>0.52184900000000001</v>
      </c>
      <c r="Q41">
        <v>0.54771800000000004</v>
      </c>
      <c r="R41">
        <v>0.57430800000000004</v>
      </c>
      <c r="S41">
        <v>0.60170699999999999</v>
      </c>
      <c r="T41">
        <v>0.63005800000000001</v>
      </c>
      <c r="U41">
        <v>0.65883599999999998</v>
      </c>
      <c r="V41">
        <v>0.68798899999999996</v>
      </c>
      <c r="W41">
        <v>0.71763200000000005</v>
      </c>
      <c r="X41">
        <v>0.74811099999999997</v>
      </c>
      <c r="Y41">
        <v>0.77895999999999999</v>
      </c>
      <c r="Z41">
        <v>0.810249</v>
      </c>
      <c r="AA41">
        <v>0.84249799999999997</v>
      </c>
      <c r="AB41">
        <v>0.87515299999999996</v>
      </c>
      <c r="AC41">
        <v>0.90879900000000002</v>
      </c>
      <c r="AD41">
        <v>0.94307700000000005</v>
      </c>
      <c r="AE41">
        <v>0.97797299999999998</v>
      </c>
      <c r="AF41">
        <v>1.013064</v>
      </c>
      <c r="AG41" s="12">
        <v>6.2E-2</v>
      </c>
    </row>
    <row r="42" spans="1:33">
      <c r="A42" t="s">
        <v>142</v>
      </c>
      <c r="B42" t="s">
        <v>888</v>
      </c>
      <c r="C42" t="s">
        <v>887</v>
      </c>
      <c r="D42" t="s">
        <v>153</v>
      </c>
      <c r="F42">
        <v>1.2600000000000001E-3</v>
      </c>
      <c r="G42">
        <v>2.1410000000000001E-3</v>
      </c>
      <c r="H42">
        <v>3.0070000000000001E-3</v>
      </c>
      <c r="I42">
        <v>3.4069999999999999E-3</v>
      </c>
      <c r="J42">
        <v>3.8549999999999999E-3</v>
      </c>
      <c r="K42">
        <v>4.6969999999999998E-3</v>
      </c>
      <c r="L42">
        <v>5.6249999999999998E-3</v>
      </c>
      <c r="M42">
        <v>6.8459999999999997E-3</v>
      </c>
      <c r="N42">
        <v>8.0850000000000002E-3</v>
      </c>
      <c r="O42">
        <v>8.5070000000000007E-3</v>
      </c>
      <c r="P42">
        <v>8.7030000000000007E-3</v>
      </c>
      <c r="Q42">
        <v>8.7089999999999997E-3</v>
      </c>
      <c r="R42">
        <v>8.7170000000000008E-3</v>
      </c>
      <c r="S42">
        <v>8.7259999999999994E-3</v>
      </c>
      <c r="T42">
        <v>8.737E-3</v>
      </c>
      <c r="U42">
        <v>8.7480000000000006E-3</v>
      </c>
      <c r="V42">
        <v>8.7600000000000004E-3</v>
      </c>
      <c r="W42">
        <v>8.7729999999999995E-3</v>
      </c>
      <c r="X42">
        <v>8.7860000000000004E-3</v>
      </c>
      <c r="Y42">
        <v>8.7989999999999995E-3</v>
      </c>
      <c r="Z42">
        <v>8.8129999999999997E-3</v>
      </c>
      <c r="AA42">
        <v>8.8269999999999998E-3</v>
      </c>
      <c r="AB42">
        <v>8.8419999999999992E-3</v>
      </c>
      <c r="AC42">
        <v>8.8579999999999996E-3</v>
      </c>
      <c r="AD42">
        <v>8.8730000000000007E-3</v>
      </c>
      <c r="AE42">
        <v>8.8900000000000003E-3</v>
      </c>
      <c r="AF42">
        <v>8.907E-3</v>
      </c>
      <c r="AG42" s="12">
        <v>7.8E-2</v>
      </c>
    </row>
    <row r="43" spans="1:33">
      <c r="A43" t="s">
        <v>152</v>
      </c>
      <c r="B43" t="s">
        <v>886</v>
      </c>
      <c r="C43" t="s">
        <v>885</v>
      </c>
      <c r="D43" t="s">
        <v>153</v>
      </c>
      <c r="F43">
        <v>0.20818700000000001</v>
      </c>
      <c r="G43">
        <v>0.22262299999999999</v>
      </c>
      <c r="H43">
        <v>0.23933299999999999</v>
      </c>
      <c r="I43">
        <v>0.24512</v>
      </c>
      <c r="J43">
        <v>0.25116899999999998</v>
      </c>
      <c r="K43">
        <v>0.26085900000000001</v>
      </c>
      <c r="L43">
        <v>0.27288800000000002</v>
      </c>
      <c r="M43">
        <v>0.28668100000000002</v>
      </c>
      <c r="N43">
        <v>0.29902800000000002</v>
      </c>
      <c r="O43">
        <v>0.312087</v>
      </c>
      <c r="P43">
        <v>0.32226100000000002</v>
      </c>
      <c r="Q43">
        <v>0.32997799999999999</v>
      </c>
      <c r="R43">
        <v>0.336752</v>
      </c>
      <c r="S43">
        <v>0.34578100000000001</v>
      </c>
      <c r="T43">
        <v>0.3523</v>
      </c>
      <c r="U43">
        <v>0.35697000000000001</v>
      </c>
      <c r="V43">
        <v>0.36337799999999998</v>
      </c>
      <c r="W43">
        <v>0.37340000000000001</v>
      </c>
      <c r="X43">
        <v>0.382718</v>
      </c>
      <c r="Y43">
        <v>0.391652</v>
      </c>
      <c r="Z43">
        <v>0.40115600000000001</v>
      </c>
      <c r="AA43">
        <v>0.41025</v>
      </c>
      <c r="AB43">
        <v>0.41951899999999998</v>
      </c>
      <c r="AC43">
        <v>0.42825099999999999</v>
      </c>
      <c r="AD43">
        <v>0.435228</v>
      </c>
      <c r="AE43">
        <v>0.44208599999999998</v>
      </c>
      <c r="AF43">
        <v>0.44732300000000003</v>
      </c>
      <c r="AG43" s="12">
        <v>0.03</v>
      </c>
    </row>
    <row r="44" spans="1:33">
      <c r="A44" t="s">
        <v>140</v>
      </c>
      <c r="B44" t="s">
        <v>884</v>
      </c>
      <c r="C44" t="s">
        <v>883</v>
      </c>
      <c r="D44" t="s">
        <v>153</v>
      </c>
      <c r="F44">
        <v>6.5970000000000001E-2</v>
      </c>
      <c r="G44">
        <v>6.3522999999999996E-2</v>
      </c>
      <c r="H44">
        <v>6.3758999999999996E-2</v>
      </c>
      <c r="I44">
        <v>6.2554999999999999E-2</v>
      </c>
      <c r="J44">
        <v>6.1929999999999999E-2</v>
      </c>
      <c r="K44">
        <v>6.1544000000000001E-2</v>
      </c>
      <c r="L44">
        <v>6.1365000000000003E-2</v>
      </c>
      <c r="M44">
        <v>6.0719000000000002E-2</v>
      </c>
      <c r="N44">
        <v>6.0527999999999998E-2</v>
      </c>
      <c r="O44">
        <v>5.8022999999999998E-2</v>
      </c>
      <c r="P44">
        <v>5.7785999999999997E-2</v>
      </c>
      <c r="Q44">
        <v>5.7960999999999999E-2</v>
      </c>
      <c r="R44">
        <v>5.8395000000000002E-2</v>
      </c>
      <c r="S44">
        <v>5.8285000000000003E-2</v>
      </c>
      <c r="T44">
        <v>5.8208000000000003E-2</v>
      </c>
      <c r="U44">
        <v>5.8202999999999998E-2</v>
      </c>
      <c r="V44">
        <v>5.7064999999999998E-2</v>
      </c>
      <c r="W44">
        <v>5.7070999999999997E-2</v>
      </c>
      <c r="X44">
        <v>5.7076000000000002E-2</v>
      </c>
      <c r="Y44">
        <v>5.6996999999999999E-2</v>
      </c>
      <c r="Z44">
        <v>5.7015000000000003E-2</v>
      </c>
      <c r="AA44">
        <v>5.6936E-2</v>
      </c>
      <c r="AB44">
        <v>5.7097000000000002E-2</v>
      </c>
      <c r="AC44">
        <v>5.6811E-2</v>
      </c>
      <c r="AD44">
        <v>5.6854000000000002E-2</v>
      </c>
      <c r="AE44">
        <v>5.6737000000000003E-2</v>
      </c>
      <c r="AF44">
        <v>5.6786999999999997E-2</v>
      </c>
      <c r="AG44" s="12">
        <v>-6.0000000000000001E-3</v>
      </c>
    </row>
    <row r="45" spans="1:33">
      <c r="A45" t="s">
        <v>141</v>
      </c>
      <c r="B45" t="s">
        <v>882</v>
      </c>
      <c r="C45" t="s">
        <v>881</v>
      </c>
      <c r="D45" t="s">
        <v>153</v>
      </c>
      <c r="F45">
        <v>0.13968800000000001</v>
      </c>
      <c r="G45">
        <v>0.15656900000000001</v>
      </c>
      <c r="H45">
        <v>0.173044</v>
      </c>
      <c r="I45">
        <v>0.180036</v>
      </c>
      <c r="J45">
        <v>0.18670900000000001</v>
      </c>
      <c r="K45">
        <v>0.19677900000000001</v>
      </c>
      <c r="L45">
        <v>0.208981</v>
      </c>
      <c r="M45">
        <v>0.223414</v>
      </c>
      <c r="N45">
        <v>0.23594399999999999</v>
      </c>
      <c r="O45">
        <v>0.25150099999999997</v>
      </c>
      <c r="P45">
        <v>0.26190999999999998</v>
      </c>
      <c r="Q45">
        <v>0.26944899999999999</v>
      </c>
      <c r="R45">
        <v>0.27578799999999998</v>
      </c>
      <c r="S45">
        <v>0.28492400000000001</v>
      </c>
      <c r="T45">
        <v>0.29151899999999997</v>
      </c>
      <c r="U45">
        <v>0.29619200000000001</v>
      </c>
      <c r="V45">
        <v>0.303734</v>
      </c>
      <c r="W45">
        <v>0.313745</v>
      </c>
      <c r="X45">
        <v>0.32305200000000001</v>
      </c>
      <c r="Y45">
        <v>0.332063</v>
      </c>
      <c r="Z45">
        <v>0.34154499999999999</v>
      </c>
      <c r="AA45">
        <v>0.35071600000000003</v>
      </c>
      <c r="AB45">
        <v>0.359819</v>
      </c>
      <c r="AC45">
        <v>0.368834</v>
      </c>
      <c r="AD45">
        <v>0.37576599999999999</v>
      </c>
      <c r="AE45">
        <v>0.38273800000000002</v>
      </c>
      <c r="AF45">
        <v>0.38792500000000002</v>
      </c>
      <c r="AG45" s="12">
        <v>0.04</v>
      </c>
    </row>
    <row r="46" spans="1:33">
      <c r="A46" t="s">
        <v>142</v>
      </c>
      <c r="B46" t="s">
        <v>880</v>
      </c>
      <c r="C46" t="s">
        <v>879</v>
      </c>
      <c r="D46" t="s">
        <v>153</v>
      </c>
      <c r="F46">
        <v>2.529E-3</v>
      </c>
      <c r="G46">
        <v>2.5309999999999998E-3</v>
      </c>
      <c r="H46">
        <v>2.5300000000000001E-3</v>
      </c>
      <c r="I46">
        <v>2.5300000000000001E-3</v>
      </c>
      <c r="J46">
        <v>2.5300000000000001E-3</v>
      </c>
      <c r="K46">
        <v>2.5360000000000001E-3</v>
      </c>
      <c r="L46">
        <v>2.5409999999999999E-3</v>
      </c>
      <c r="M46">
        <v>2.5479999999999999E-3</v>
      </c>
      <c r="N46">
        <v>2.5560000000000001E-3</v>
      </c>
      <c r="O46">
        <v>2.5630000000000002E-3</v>
      </c>
      <c r="P46">
        <v>2.565E-3</v>
      </c>
      <c r="Q46">
        <v>2.568E-3</v>
      </c>
      <c r="R46">
        <v>2.5690000000000001E-3</v>
      </c>
      <c r="S46">
        <v>2.5720000000000001E-3</v>
      </c>
      <c r="T46">
        <v>2.5730000000000002E-3</v>
      </c>
      <c r="U46">
        <v>2.575E-3</v>
      </c>
      <c r="V46">
        <v>2.578E-3</v>
      </c>
      <c r="W46">
        <v>2.5839999999999999E-3</v>
      </c>
      <c r="X46">
        <v>2.5890000000000002E-3</v>
      </c>
      <c r="Y46">
        <v>2.5920000000000001E-3</v>
      </c>
      <c r="Z46">
        <v>2.5959999999999998E-3</v>
      </c>
      <c r="AA46">
        <v>2.5990000000000002E-3</v>
      </c>
      <c r="AB46">
        <v>2.6029999999999998E-3</v>
      </c>
      <c r="AC46">
        <v>2.6059999999999998E-3</v>
      </c>
      <c r="AD46">
        <v>2.6080000000000001E-3</v>
      </c>
      <c r="AE46">
        <v>2.6099999999999999E-3</v>
      </c>
      <c r="AF46">
        <v>2.611E-3</v>
      </c>
      <c r="AG46" s="12">
        <v>1E-3</v>
      </c>
    </row>
  </sheetData>
  <pageMargins left="0.7" right="0.7" top="0.75" bottom="0.75" header="0.3" footer="0.3"/>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5A6AF05-F0B2-449E-A995-C19529DD18BF}">
  <dimension ref="A1:AE44"/>
  <sheetViews>
    <sheetView workbookViewId="0"/>
  </sheetViews>
  <sheetFormatPr defaultRowHeight="14.25"/>
  <sheetData>
    <row r="1" spans="1:31">
      <c r="A1" t="s">
        <v>119</v>
      </c>
    </row>
    <row r="2" spans="1:31">
      <c r="A2" t="s">
        <v>1143</v>
      </c>
    </row>
    <row r="3" spans="1:31">
      <c r="A3" t="s">
        <v>1144</v>
      </c>
    </row>
    <row r="4" spans="1:31">
      <c r="A4" t="s">
        <v>87</v>
      </c>
    </row>
    <row r="5" spans="1:31">
      <c r="B5" t="s">
        <v>88</v>
      </c>
      <c r="C5" t="s">
        <v>116</v>
      </c>
      <c r="D5" t="s">
        <v>117</v>
      </c>
      <c r="E5">
        <v>2025</v>
      </c>
      <c r="F5">
        <v>2026</v>
      </c>
      <c r="G5">
        <v>2027</v>
      </c>
      <c r="H5">
        <v>2028</v>
      </c>
      <c r="I5">
        <v>2029</v>
      </c>
      <c r="J5">
        <v>2030</v>
      </c>
      <c r="K5">
        <v>2031</v>
      </c>
      <c r="L5">
        <v>2032</v>
      </c>
      <c r="M5">
        <v>2033</v>
      </c>
      <c r="N5">
        <v>2034</v>
      </c>
      <c r="O5">
        <v>2035</v>
      </c>
      <c r="P5">
        <v>2036</v>
      </c>
      <c r="Q5">
        <v>2037</v>
      </c>
      <c r="R5">
        <v>2038</v>
      </c>
      <c r="S5">
        <v>2039</v>
      </c>
      <c r="T5">
        <v>2040</v>
      </c>
      <c r="U5">
        <v>2041</v>
      </c>
      <c r="V5">
        <v>2042</v>
      </c>
      <c r="W5">
        <v>2043</v>
      </c>
      <c r="X5">
        <v>2044</v>
      </c>
      <c r="Y5">
        <v>2045</v>
      </c>
      <c r="Z5">
        <v>2046</v>
      </c>
      <c r="AA5">
        <v>2047</v>
      </c>
      <c r="AB5">
        <v>2048</v>
      </c>
      <c r="AC5">
        <v>2049</v>
      </c>
      <c r="AD5">
        <v>2050</v>
      </c>
      <c r="AE5" t="s">
        <v>1145</v>
      </c>
    </row>
    <row r="6" spans="1:31">
      <c r="A6" t="s">
        <v>120</v>
      </c>
    </row>
    <row r="7" spans="1:31">
      <c r="A7" t="s">
        <v>121</v>
      </c>
      <c r="B7" t="s">
        <v>1146</v>
      </c>
      <c r="C7" t="s">
        <v>1147</v>
      </c>
      <c r="D7" t="s">
        <v>153</v>
      </c>
      <c r="E7">
        <v>0.37138700000000002</v>
      </c>
      <c r="F7">
        <v>0.34290100000000001</v>
      </c>
      <c r="G7">
        <v>0.33499000000000001</v>
      </c>
      <c r="H7">
        <v>0.33120500000000003</v>
      </c>
      <c r="I7">
        <v>0.32895400000000002</v>
      </c>
      <c r="J7">
        <v>0.323627</v>
      </c>
      <c r="K7">
        <v>0.31936900000000001</v>
      </c>
      <c r="L7">
        <v>0.31564300000000001</v>
      </c>
      <c r="M7">
        <v>0.31281199999999998</v>
      </c>
      <c r="N7">
        <v>0.30912600000000001</v>
      </c>
      <c r="O7">
        <v>0.30582900000000002</v>
      </c>
      <c r="P7">
        <v>0.302008</v>
      </c>
      <c r="Q7">
        <v>0.29809400000000003</v>
      </c>
      <c r="R7">
        <v>0.29419899999999999</v>
      </c>
      <c r="S7">
        <v>0.28995399999999999</v>
      </c>
      <c r="T7">
        <v>0.28553800000000001</v>
      </c>
      <c r="U7">
        <v>0.28127000000000002</v>
      </c>
      <c r="V7">
        <v>0.27737800000000001</v>
      </c>
      <c r="W7">
        <v>0.27363100000000001</v>
      </c>
      <c r="X7">
        <v>0.27007799999999998</v>
      </c>
      <c r="Y7">
        <v>0.26697399999999999</v>
      </c>
      <c r="Z7">
        <v>0.26397799999999999</v>
      </c>
      <c r="AA7">
        <v>0.26129000000000002</v>
      </c>
      <c r="AB7">
        <v>0.258824</v>
      </c>
      <c r="AC7">
        <v>0.25657600000000003</v>
      </c>
      <c r="AD7">
        <v>0.254137</v>
      </c>
      <c r="AE7" s="12">
        <v>-1.4999999999999999E-2</v>
      </c>
    </row>
    <row r="8" spans="1:31">
      <c r="A8" t="s">
        <v>122</v>
      </c>
      <c r="B8" t="s">
        <v>1148</v>
      </c>
      <c r="C8" t="s">
        <v>1149</v>
      </c>
      <c r="D8" t="s">
        <v>153</v>
      </c>
      <c r="E8">
        <v>0.143682</v>
      </c>
      <c r="F8">
        <v>0.143682</v>
      </c>
      <c r="G8">
        <v>0.143682</v>
      </c>
      <c r="H8">
        <v>0.143682</v>
      </c>
      <c r="I8">
        <v>0.143682</v>
      </c>
      <c r="J8">
        <v>0.143682</v>
      </c>
      <c r="K8">
        <v>0.143682</v>
      </c>
      <c r="L8">
        <v>0.143682</v>
      </c>
      <c r="M8">
        <v>0.143682</v>
      </c>
      <c r="N8">
        <v>0.143682</v>
      </c>
      <c r="O8">
        <v>0.143682</v>
      </c>
      <c r="P8">
        <v>0.143682</v>
      </c>
      <c r="Q8">
        <v>0.143682</v>
      </c>
      <c r="R8">
        <v>0.143682</v>
      </c>
      <c r="S8">
        <v>0.143682</v>
      </c>
      <c r="T8">
        <v>0.143682</v>
      </c>
      <c r="U8">
        <v>0.143682</v>
      </c>
      <c r="V8">
        <v>0.143682</v>
      </c>
      <c r="W8">
        <v>0.143682</v>
      </c>
      <c r="X8">
        <v>0.143682</v>
      </c>
      <c r="Y8">
        <v>0.143682</v>
      </c>
      <c r="Z8">
        <v>0.143682</v>
      </c>
      <c r="AA8">
        <v>0.143682</v>
      </c>
      <c r="AB8">
        <v>0.143682</v>
      </c>
      <c r="AC8">
        <v>0.143682</v>
      </c>
      <c r="AD8">
        <v>0.143682</v>
      </c>
      <c r="AE8" s="12">
        <v>0</v>
      </c>
    </row>
    <row r="9" spans="1:31">
      <c r="A9" t="s">
        <v>123</v>
      </c>
      <c r="B9" t="s">
        <v>1150</v>
      </c>
      <c r="C9" t="s">
        <v>1151</v>
      </c>
      <c r="D9" t="s">
        <v>153</v>
      </c>
      <c r="E9">
        <v>2.4069060000000002</v>
      </c>
      <c r="F9">
        <v>2.5317059999999998</v>
      </c>
      <c r="G9">
        <v>2.505957</v>
      </c>
      <c r="H9">
        <v>2.4923129999999998</v>
      </c>
      <c r="I9">
        <v>2.4818850000000001</v>
      </c>
      <c r="J9">
        <v>2.4542060000000001</v>
      </c>
      <c r="K9">
        <v>2.4168080000000001</v>
      </c>
      <c r="L9">
        <v>2.3940510000000002</v>
      </c>
      <c r="M9">
        <v>2.3815379999999999</v>
      </c>
      <c r="N9">
        <v>2.3853420000000001</v>
      </c>
      <c r="O9">
        <v>2.3908740000000002</v>
      </c>
      <c r="P9">
        <v>2.407575</v>
      </c>
      <c r="Q9">
        <v>2.4173300000000002</v>
      </c>
      <c r="R9">
        <v>2.4407299999999998</v>
      </c>
      <c r="S9">
        <v>2.4664000000000001</v>
      </c>
      <c r="T9">
        <v>2.4899239999999998</v>
      </c>
      <c r="U9">
        <v>2.4980259999999999</v>
      </c>
      <c r="V9">
        <v>2.5188929999999998</v>
      </c>
      <c r="W9">
        <v>2.5303079999999998</v>
      </c>
      <c r="X9">
        <v>2.5456409999999998</v>
      </c>
      <c r="Y9">
        <v>2.5707689999999999</v>
      </c>
      <c r="Z9">
        <v>2.59334</v>
      </c>
      <c r="AA9">
        <v>2.6230419999999999</v>
      </c>
      <c r="AB9">
        <v>2.652539</v>
      </c>
      <c r="AC9">
        <v>2.6837620000000002</v>
      </c>
      <c r="AD9">
        <v>2.7152810000000001</v>
      </c>
      <c r="AE9" s="12">
        <v>5.0000000000000001E-3</v>
      </c>
    </row>
    <row r="10" spans="1:31">
      <c r="A10" t="s">
        <v>124</v>
      </c>
      <c r="B10" t="s">
        <v>1152</v>
      </c>
      <c r="C10" t="s">
        <v>1153</v>
      </c>
      <c r="D10" t="s">
        <v>153</v>
      </c>
      <c r="E10">
        <v>0</v>
      </c>
      <c r="F10">
        <v>0</v>
      </c>
      <c r="G10">
        <v>0</v>
      </c>
      <c r="H10">
        <v>0</v>
      </c>
      <c r="I10">
        <v>0</v>
      </c>
      <c r="J10">
        <v>0</v>
      </c>
      <c r="K10">
        <v>0</v>
      </c>
      <c r="L10">
        <v>0</v>
      </c>
      <c r="M10">
        <v>0</v>
      </c>
      <c r="N10">
        <v>0</v>
      </c>
      <c r="O10">
        <v>0</v>
      </c>
      <c r="P10">
        <v>0</v>
      </c>
      <c r="Q10">
        <v>0</v>
      </c>
      <c r="R10">
        <v>0</v>
      </c>
      <c r="S10">
        <v>0</v>
      </c>
      <c r="T10">
        <v>0</v>
      </c>
      <c r="U10">
        <v>0</v>
      </c>
      <c r="V10">
        <v>0</v>
      </c>
      <c r="W10">
        <v>0</v>
      </c>
      <c r="X10">
        <v>0</v>
      </c>
      <c r="Y10">
        <v>0</v>
      </c>
      <c r="Z10">
        <v>0</v>
      </c>
      <c r="AA10">
        <v>0</v>
      </c>
      <c r="AB10">
        <v>0</v>
      </c>
      <c r="AC10">
        <v>0</v>
      </c>
      <c r="AD10">
        <v>0</v>
      </c>
      <c r="AE10" t="s">
        <v>6</v>
      </c>
    </row>
    <row r="11" spans="1:31">
      <c r="A11" t="s">
        <v>125</v>
      </c>
      <c r="B11" t="s">
        <v>1154</v>
      </c>
      <c r="C11" t="s">
        <v>1155</v>
      </c>
      <c r="D11" t="s">
        <v>153</v>
      </c>
      <c r="E11">
        <v>0.151724</v>
      </c>
      <c r="F11">
        <v>0.15004999999999999</v>
      </c>
      <c r="G11">
        <v>0.151278</v>
      </c>
      <c r="H11">
        <v>0.153696</v>
      </c>
      <c r="I11">
        <v>0.15482699999999999</v>
      </c>
      <c r="J11">
        <v>0.15648599999999999</v>
      </c>
      <c r="K11">
        <v>0.15731300000000001</v>
      </c>
      <c r="L11">
        <v>0.15829699999999999</v>
      </c>
      <c r="M11">
        <v>0.15828300000000001</v>
      </c>
      <c r="N11">
        <v>0.160437</v>
      </c>
      <c r="O11">
        <v>0.16273299999999999</v>
      </c>
      <c r="P11">
        <v>0.165324</v>
      </c>
      <c r="Q11">
        <v>0.16812299999999999</v>
      </c>
      <c r="R11">
        <v>0.171071</v>
      </c>
      <c r="S11">
        <v>0.174035</v>
      </c>
      <c r="T11">
        <v>0.17685200000000001</v>
      </c>
      <c r="U11">
        <v>0.17968000000000001</v>
      </c>
      <c r="V11">
        <v>0.18253800000000001</v>
      </c>
      <c r="W11">
        <v>0.18546000000000001</v>
      </c>
      <c r="X11">
        <v>0.18840499999999999</v>
      </c>
      <c r="Y11">
        <v>0.191217</v>
      </c>
      <c r="Z11">
        <v>0.19414200000000001</v>
      </c>
      <c r="AA11">
        <v>0.19710900000000001</v>
      </c>
      <c r="AB11">
        <v>0.20010500000000001</v>
      </c>
      <c r="AC11">
        <v>0.20313500000000001</v>
      </c>
      <c r="AD11">
        <v>0.20624700000000001</v>
      </c>
      <c r="AE11" s="12">
        <v>1.2E-2</v>
      </c>
    </row>
    <row r="12" spans="1:31">
      <c r="A12" t="s">
        <v>126</v>
      </c>
      <c r="B12" t="s">
        <v>1156</v>
      </c>
      <c r="C12" t="s">
        <v>1157</v>
      </c>
      <c r="D12" t="s">
        <v>153</v>
      </c>
      <c r="E12">
        <v>1.3462639999999999</v>
      </c>
      <c r="F12">
        <v>1.4570510000000001</v>
      </c>
      <c r="G12">
        <v>1.417581</v>
      </c>
      <c r="H12">
        <v>1.3969309999999999</v>
      </c>
      <c r="I12">
        <v>1.3884970000000001</v>
      </c>
      <c r="J12">
        <v>1.357526</v>
      </c>
      <c r="K12">
        <v>1.3224100000000001</v>
      </c>
      <c r="L12">
        <v>1.299795</v>
      </c>
      <c r="M12">
        <v>1.288664</v>
      </c>
      <c r="N12">
        <v>1.288181</v>
      </c>
      <c r="O12">
        <v>1.2897909999999999</v>
      </c>
      <c r="P12">
        <v>1.2976829999999999</v>
      </c>
      <c r="Q12">
        <v>1.3050390000000001</v>
      </c>
      <c r="R12">
        <v>1.324708</v>
      </c>
      <c r="S12">
        <v>1.34642</v>
      </c>
      <c r="T12">
        <v>1.364517</v>
      </c>
      <c r="U12">
        <v>1.367038</v>
      </c>
      <c r="V12">
        <v>1.3752120000000001</v>
      </c>
      <c r="W12">
        <v>1.379794</v>
      </c>
      <c r="X12">
        <v>1.3895139999999999</v>
      </c>
      <c r="Y12">
        <v>1.4110180000000001</v>
      </c>
      <c r="Z12">
        <v>1.4306319999999999</v>
      </c>
      <c r="AA12">
        <v>1.453076</v>
      </c>
      <c r="AB12">
        <v>1.473516</v>
      </c>
      <c r="AC12">
        <v>1.499001</v>
      </c>
      <c r="AD12">
        <v>1.5229790000000001</v>
      </c>
      <c r="AE12" s="12">
        <v>5.0000000000000001E-3</v>
      </c>
    </row>
    <row r="13" spans="1:31">
      <c r="A13" t="s">
        <v>127</v>
      </c>
      <c r="B13" t="s">
        <v>1158</v>
      </c>
      <c r="C13" t="s">
        <v>1159</v>
      </c>
      <c r="D13" t="s">
        <v>153</v>
      </c>
      <c r="E13">
        <v>0.90891699999999997</v>
      </c>
      <c r="F13">
        <v>0.92460600000000004</v>
      </c>
      <c r="G13">
        <v>0.93709799999999999</v>
      </c>
      <c r="H13">
        <v>0.94168600000000002</v>
      </c>
      <c r="I13">
        <v>0.93855999999999995</v>
      </c>
      <c r="J13">
        <v>0.940195</v>
      </c>
      <c r="K13">
        <v>0.93708499999999995</v>
      </c>
      <c r="L13">
        <v>0.93595899999999999</v>
      </c>
      <c r="M13">
        <v>0.93459099999999995</v>
      </c>
      <c r="N13">
        <v>0.93672299999999997</v>
      </c>
      <c r="O13">
        <v>0.93835000000000002</v>
      </c>
      <c r="P13">
        <v>0.94456799999999996</v>
      </c>
      <c r="Q13">
        <v>0.94416800000000001</v>
      </c>
      <c r="R13">
        <v>0.94495200000000001</v>
      </c>
      <c r="S13">
        <v>0.94594599999999995</v>
      </c>
      <c r="T13">
        <v>0.94855500000000004</v>
      </c>
      <c r="U13">
        <v>0.95130800000000004</v>
      </c>
      <c r="V13">
        <v>0.961144</v>
      </c>
      <c r="W13">
        <v>0.96505399999999997</v>
      </c>
      <c r="X13">
        <v>0.96772100000000005</v>
      </c>
      <c r="Y13">
        <v>0.96853299999999998</v>
      </c>
      <c r="Z13">
        <v>0.96856500000000001</v>
      </c>
      <c r="AA13">
        <v>0.97285699999999997</v>
      </c>
      <c r="AB13">
        <v>0.97891799999999995</v>
      </c>
      <c r="AC13">
        <v>0.981626</v>
      </c>
      <c r="AD13">
        <v>0.98605500000000001</v>
      </c>
      <c r="AE13" s="12">
        <v>3.0000000000000001E-3</v>
      </c>
    </row>
    <row r="14" spans="1:31">
      <c r="A14" t="s">
        <v>128</v>
      </c>
      <c r="B14" t="s">
        <v>1160</v>
      </c>
      <c r="C14" t="s">
        <v>1161</v>
      </c>
      <c r="D14" t="s">
        <v>153</v>
      </c>
      <c r="E14">
        <v>1.7078800000000001</v>
      </c>
      <c r="F14">
        <v>1.738308</v>
      </c>
      <c r="G14">
        <v>1.7696609999999999</v>
      </c>
      <c r="H14">
        <v>1.7823359999999999</v>
      </c>
      <c r="I14">
        <v>1.7761009999999999</v>
      </c>
      <c r="J14">
        <v>1.714539</v>
      </c>
      <c r="K14">
        <v>1.714677</v>
      </c>
      <c r="L14">
        <v>1.714626</v>
      </c>
      <c r="M14">
        <v>1.7147159999999999</v>
      </c>
      <c r="N14">
        <v>1.714594</v>
      </c>
      <c r="O14">
        <v>1.714504</v>
      </c>
      <c r="P14">
        <v>1.713527</v>
      </c>
      <c r="Q14">
        <v>1.7151320000000001</v>
      </c>
      <c r="R14">
        <v>1.71343</v>
      </c>
      <c r="S14">
        <v>1.7150190000000001</v>
      </c>
      <c r="T14">
        <v>1.7207749999999999</v>
      </c>
      <c r="U14">
        <v>1.721565</v>
      </c>
      <c r="V14">
        <v>1.730307</v>
      </c>
      <c r="W14">
        <v>1.735295</v>
      </c>
      <c r="X14">
        <v>1.7357229999999999</v>
      </c>
      <c r="Y14">
        <v>1.7365820000000001</v>
      </c>
      <c r="Z14">
        <v>1.7386170000000001</v>
      </c>
      <c r="AA14">
        <v>1.739908</v>
      </c>
      <c r="AB14">
        <v>1.7478689999999999</v>
      </c>
      <c r="AC14">
        <v>1.774405</v>
      </c>
      <c r="AD14">
        <v>1.777692</v>
      </c>
      <c r="AE14" s="12">
        <v>2E-3</v>
      </c>
    </row>
    <row r="15" spans="1:31">
      <c r="A15" t="s">
        <v>129</v>
      </c>
      <c r="B15" t="s">
        <v>1162</v>
      </c>
      <c r="C15" t="s">
        <v>1163</v>
      </c>
      <c r="D15" t="s">
        <v>153</v>
      </c>
      <c r="E15">
        <v>2.6120000000000001E-2</v>
      </c>
      <c r="F15">
        <v>2.0856E-2</v>
      </c>
      <c r="G15">
        <v>1.9786000000000002E-2</v>
      </c>
      <c r="H15">
        <v>1.8522E-2</v>
      </c>
      <c r="I15">
        <v>1.7025999999999999E-2</v>
      </c>
      <c r="J15">
        <v>1.7676000000000001E-2</v>
      </c>
      <c r="K15">
        <v>1.5172E-2</v>
      </c>
      <c r="L15">
        <v>1.3871E-2</v>
      </c>
      <c r="M15">
        <v>1.2638E-2</v>
      </c>
      <c r="N15">
        <v>1.1721000000000001E-2</v>
      </c>
      <c r="O15">
        <v>1.0539E-2</v>
      </c>
      <c r="P15">
        <v>9.5449999999999997E-3</v>
      </c>
      <c r="Q15">
        <v>8.5640000000000004E-3</v>
      </c>
      <c r="R15">
        <v>7.7730000000000004E-3</v>
      </c>
      <c r="S15">
        <v>7.0879999999999997E-3</v>
      </c>
      <c r="T15">
        <v>6.5570000000000003E-3</v>
      </c>
      <c r="U15">
        <v>5.9569999999999996E-3</v>
      </c>
      <c r="V15">
        <v>5.6080000000000001E-3</v>
      </c>
      <c r="W15">
        <v>5.2659999999999998E-3</v>
      </c>
      <c r="X15">
        <v>5.0299999999999997E-3</v>
      </c>
      <c r="Y15">
        <v>4.5539999999999999E-3</v>
      </c>
      <c r="Z15">
        <v>4.3829999999999997E-3</v>
      </c>
      <c r="AA15">
        <v>4.3429999999999996E-3</v>
      </c>
      <c r="AB15">
        <v>4.4710000000000001E-3</v>
      </c>
      <c r="AC15">
        <v>4.143E-3</v>
      </c>
      <c r="AD15">
        <v>3.9459999999999999E-3</v>
      </c>
      <c r="AE15" s="12">
        <v>-7.2999999999999995E-2</v>
      </c>
    </row>
    <row r="16" spans="1:31">
      <c r="A16" t="s">
        <v>130</v>
      </c>
      <c r="B16" t="s">
        <v>1164</v>
      </c>
      <c r="C16" t="s">
        <v>1165</v>
      </c>
      <c r="D16" t="s">
        <v>153</v>
      </c>
      <c r="E16">
        <v>1.141321</v>
      </c>
      <c r="F16">
        <v>1.1446750000000001</v>
      </c>
      <c r="G16">
        <v>1.160822</v>
      </c>
      <c r="H16">
        <v>1.155661</v>
      </c>
      <c r="I16">
        <v>1.148128</v>
      </c>
      <c r="J16">
        <v>1.1377649999999999</v>
      </c>
      <c r="K16">
        <v>1.1308689999999999</v>
      </c>
      <c r="L16">
        <v>1.1254599999999999</v>
      </c>
      <c r="M16">
        <v>1.1190230000000001</v>
      </c>
      <c r="N16">
        <v>1.1177410000000001</v>
      </c>
      <c r="O16">
        <v>1.115767</v>
      </c>
      <c r="P16">
        <v>1.109883</v>
      </c>
      <c r="Q16">
        <v>1.1041529999999999</v>
      </c>
      <c r="R16">
        <v>1.099969</v>
      </c>
      <c r="S16">
        <v>1.0958840000000001</v>
      </c>
      <c r="T16">
        <v>1.0937539999999999</v>
      </c>
      <c r="U16">
        <v>1.091755</v>
      </c>
      <c r="V16">
        <v>1.0874299999999999</v>
      </c>
      <c r="W16">
        <v>1.086257</v>
      </c>
      <c r="X16">
        <v>1.0838429999999999</v>
      </c>
      <c r="Y16">
        <v>1.082705</v>
      </c>
      <c r="Z16">
        <v>1.080268</v>
      </c>
      <c r="AA16">
        <v>1.0787409999999999</v>
      </c>
      <c r="AB16">
        <v>1.0744610000000001</v>
      </c>
      <c r="AC16">
        <v>1.0704849999999999</v>
      </c>
      <c r="AD16">
        <v>1.0686929999999999</v>
      </c>
      <c r="AE16" s="12">
        <v>-3.0000000000000001E-3</v>
      </c>
    </row>
    <row r="17" spans="1:31">
      <c r="A17" t="s">
        <v>131</v>
      </c>
      <c r="B17" t="s">
        <v>1166</v>
      </c>
      <c r="C17" t="s">
        <v>1167</v>
      </c>
      <c r="D17" t="s">
        <v>153</v>
      </c>
      <c r="E17">
        <v>0.147984</v>
      </c>
      <c r="F17">
        <v>0.17835000000000001</v>
      </c>
      <c r="G17">
        <v>0.17033000000000001</v>
      </c>
      <c r="H17">
        <v>0.17543300000000001</v>
      </c>
      <c r="I17">
        <v>0.17863699999999999</v>
      </c>
      <c r="J17">
        <v>0.14730699999999999</v>
      </c>
      <c r="K17">
        <v>0.15440799999999999</v>
      </c>
      <c r="L17">
        <v>0.157498</v>
      </c>
      <c r="M17">
        <v>0.16486300000000001</v>
      </c>
      <c r="N17">
        <v>0.16775899999999999</v>
      </c>
      <c r="O17">
        <v>0.170187</v>
      </c>
      <c r="P17">
        <v>0.15951099999999999</v>
      </c>
      <c r="Q17">
        <v>0.16719200000000001</v>
      </c>
      <c r="R17">
        <v>0.16550899999999999</v>
      </c>
      <c r="S17">
        <v>0.16288800000000001</v>
      </c>
      <c r="T17">
        <v>0.160219</v>
      </c>
      <c r="U17">
        <v>0.157276</v>
      </c>
      <c r="V17">
        <v>0.15435399999999999</v>
      </c>
      <c r="W17">
        <v>0.15130399999999999</v>
      </c>
      <c r="X17">
        <v>0.148122</v>
      </c>
      <c r="Y17">
        <v>0.14480499999999999</v>
      </c>
      <c r="Z17">
        <v>0.14135200000000001</v>
      </c>
      <c r="AA17">
        <v>0.13827</v>
      </c>
      <c r="AB17">
        <v>0.13453499999999999</v>
      </c>
      <c r="AC17">
        <v>0.13065499999999999</v>
      </c>
      <c r="AD17">
        <v>0.12662599999999999</v>
      </c>
      <c r="AE17" s="12">
        <v>-6.0000000000000001E-3</v>
      </c>
    </row>
    <row r="18" spans="1:31">
      <c r="A18" t="s">
        <v>132</v>
      </c>
      <c r="B18" t="s">
        <v>1168</v>
      </c>
      <c r="C18" t="s">
        <v>1169</v>
      </c>
      <c r="D18" t="s">
        <v>153</v>
      </c>
      <c r="E18">
        <v>0</v>
      </c>
      <c r="F18">
        <v>0</v>
      </c>
      <c r="G18">
        <v>0</v>
      </c>
      <c r="H18">
        <v>0</v>
      </c>
      <c r="I18">
        <v>0</v>
      </c>
      <c r="J18">
        <v>0</v>
      </c>
      <c r="K18">
        <v>0</v>
      </c>
      <c r="L18">
        <v>0</v>
      </c>
      <c r="M18">
        <v>0</v>
      </c>
      <c r="N18">
        <v>0</v>
      </c>
      <c r="O18">
        <v>0</v>
      </c>
      <c r="P18">
        <v>0</v>
      </c>
      <c r="Q18">
        <v>0</v>
      </c>
      <c r="R18">
        <v>0</v>
      </c>
      <c r="S18">
        <v>0</v>
      </c>
      <c r="T18">
        <v>0</v>
      </c>
      <c r="U18">
        <v>0</v>
      </c>
      <c r="V18">
        <v>0</v>
      </c>
      <c r="W18">
        <v>0</v>
      </c>
      <c r="X18">
        <v>0</v>
      </c>
      <c r="Y18">
        <v>0</v>
      </c>
      <c r="Z18">
        <v>0</v>
      </c>
      <c r="AA18">
        <v>0</v>
      </c>
      <c r="AB18">
        <v>0</v>
      </c>
      <c r="AC18">
        <v>0</v>
      </c>
      <c r="AD18">
        <v>0</v>
      </c>
      <c r="AE18" t="s">
        <v>6</v>
      </c>
    </row>
    <row r="19" spans="1:31">
      <c r="A19" t="s">
        <v>133</v>
      </c>
      <c r="B19" t="s">
        <v>1170</v>
      </c>
      <c r="C19" t="s">
        <v>1171</v>
      </c>
      <c r="D19" t="s">
        <v>153</v>
      </c>
      <c r="E19">
        <v>2.745E-3</v>
      </c>
      <c r="F19">
        <v>2.745E-3</v>
      </c>
      <c r="G19">
        <v>2.745E-3</v>
      </c>
      <c r="H19">
        <v>2.745E-3</v>
      </c>
      <c r="I19">
        <v>2.745E-3</v>
      </c>
      <c r="J19">
        <v>2.745E-3</v>
      </c>
      <c r="K19">
        <v>2.745E-3</v>
      </c>
      <c r="L19">
        <v>2.745E-3</v>
      </c>
      <c r="M19">
        <v>2.745E-3</v>
      </c>
      <c r="N19">
        <v>2.745E-3</v>
      </c>
      <c r="O19">
        <v>2.745E-3</v>
      </c>
      <c r="P19">
        <v>2.745E-3</v>
      </c>
      <c r="Q19">
        <v>2.745E-3</v>
      </c>
      <c r="R19">
        <v>2.745E-3</v>
      </c>
      <c r="S19">
        <v>2.745E-3</v>
      </c>
      <c r="T19">
        <v>2.745E-3</v>
      </c>
      <c r="U19">
        <v>2.745E-3</v>
      </c>
      <c r="V19">
        <v>2.745E-3</v>
      </c>
      <c r="W19">
        <v>2.745E-3</v>
      </c>
      <c r="X19">
        <v>2.745E-3</v>
      </c>
      <c r="Y19">
        <v>2.745E-3</v>
      </c>
      <c r="Z19">
        <v>2.745E-3</v>
      </c>
      <c r="AA19">
        <v>2.745E-3</v>
      </c>
      <c r="AB19">
        <v>2.745E-3</v>
      </c>
      <c r="AC19">
        <v>2.745E-3</v>
      </c>
      <c r="AD19">
        <v>2.745E-3</v>
      </c>
      <c r="AE19" s="12">
        <v>0</v>
      </c>
    </row>
    <row r="20" spans="1:31">
      <c r="A20" t="s">
        <v>134</v>
      </c>
      <c r="B20" t="s">
        <v>1172</v>
      </c>
      <c r="C20" t="s">
        <v>1173</v>
      </c>
      <c r="D20" t="s">
        <v>153</v>
      </c>
      <c r="E20">
        <v>0.38970900000000003</v>
      </c>
      <c r="F20">
        <v>0.39168199999999997</v>
      </c>
      <c r="G20">
        <v>0.41597800000000001</v>
      </c>
      <c r="H20">
        <v>0.42997400000000002</v>
      </c>
      <c r="I20">
        <v>0.429566</v>
      </c>
      <c r="J20">
        <v>0.40904600000000002</v>
      </c>
      <c r="K20">
        <v>0.41148299999999999</v>
      </c>
      <c r="L20">
        <v>0.41505199999999998</v>
      </c>
      <c r="M20">
        <v>0.41544700000000001</v>
      </c>
      <c r="N20">
        <v>0.414628</v>
      </c>
      <c r="O20">
        <v>0.415267</v>
      </c>
      <c r="P20">
        <v>0.43184299999999998</v>
      </c>
      <c r="Q20">
        <v>0.43247799999999997</v>
      </c>
      <c r="R20">
        <v>0.43743500000000002</v>
      </c>
      <c r="S20">
        <v>0.44641399999999998</v>
      </c>
      <c r="T20">
        <v>0.45749899999999999</v>
      </c>
      <c r="U20">
        <v>0.46383200000000002</v>
      </c>
      <c r="V20">
        <v>0.48016999999999999</v>
      </c>
      <c r="W20">
        <v>0.48972300000000002</v>
      </c>
      <c r="X20">
        <v>0.49598300000000001</v>
      </c>
      <c r="Y20">
        <v>0.50177300000000002</v>
      </c>
      <c r="Z20">
        <v>0.50986900000000002</v>
      </c>
      <c r="AA20">
        <v>0.51580899999999996</v>
      </c>
      <c r="AB20">
        <v>0.53165799999999996</v>
      </c>
      <c r="AC20">
        <v>0.56637700000000002</v>
      </c>
      <c r="AD20">
        <v>0.57568200000000003</v>
      </c>
      <c r="AE20" s="12">
        <v>1.6E-2</v>
      </c>
    </row>
    <row r="21" spans="1:31">
      <c r="A21" t="s">
        <v>135</v>
      </c>
      <c r="B21" t="s">
        <v>1174</v>
      </c>
      <c r="C21" t="s">
        <v>1175</v>
      </c>
      <c r="D21" t="s">
        <v>153</v>
      </c>
      <c r="E21">
        <v>3.7178689999999999</v>
      </c>
      <c r="F21">
        <v>4.061839</v>
      </c>
      <c r="G21">
        <v>4.6683320000000004</v>
      </c>
      <c r="H21">
        <v>5.0635289999999999</v>
      </c>
      <c r="I21">
        <v>5.2825160000000002</v>
      </c>
      <c r="J21">
        <v>5.4468189999999996</v>
      </c>
      <c r="K21">
        <v>5.604444</v>
      </c>
      <c r="L21">
        <v>5.702966</v>
      </c>
      <c r="M21">
        <v>5.8290319999999998</v>
      </c>
      <c r="N21">
        <v>6.0055370000000003</v>
      </c>
      <c r="O21">
        <v>6.2057219999999997</v>
      </c>
      <c r="P21">
        <v>6.4115919999999997</v>
      </c>
      <c r="Q21">
        <v>6.5583939999999998</v>
      </c>
      <c r="R21">
        <v>6.6782380000000003</v>
      </c>
      <c r="S21">
        <v>6.8023439999999997</v>
      </c>
      <c r="T21">
        <v>6.9194620000000002</v>
      </c>
      <c r="U21">
        <v>7.0199670000000003</v>
      </c>
      <c r="V21">
        <v>7.0632570000000001</v>
      </c>
      <c r="W21">
        <v>7.0810190000000004</v>
      </c>
      <c r="X21">
        <v>7.0953609999999996</v>
      </c>
      <c r="Y21">
        <v>7.1070950000000002</v>
      </c>
      <c r="Z21">
        <v>7.1224100000000004</v>
      </c>
      <c r="AA21">
        <v>7.1448809999999998</v>
      </c>
      <c r="AB21">
        <v>7.1607750000000001</v>
      </c>
      <c r="AC21">
        <v>7.1858320000000004</v>
      </c>
      <c r="AD21">
        <v>7.3960900000000001</v>
      </c>
      <c r="AE21" s="12">
        <v>2.8000000000000001E-2</v>
      </c>
    </row>
    <row r="22" spans="1:31">
      <c r="A22" t="s">
        <v>124</v>
      </c>
      <c r="B22" t="s">
        <v>1176</v>
      </c>
      <c r="C22" t="s">
        <v>1177</v>
      </c>
      <c r="D22" t="s">
        <v>153</v>
      </c>
      <c r="E22">
        <v>0.83338599999999996</v>
      </c>
      <c r="F22">
        <v>0.89370700000000003</v>
      </c>
      <c r="G22">
        <v>0.914331</v>
      </c>
      <c r="H22">
        <v>0.93328299999999997</v>
      </c>
      <c r="I22">
        <v>0.938944</v>
      </c>
      <c r="J22">
        <v>0.93991499999999994</v>
      </c>
      <c r="K22">
        <v>0.94094699999999998</v>
      </c>
      <c r="L22">
        <v>0.94073799999999996</v>
      </c>
      <c r="M22">
        <v>0.94101599999999996</v>
      </c>
      <c r="N22">
        <v>0.94160500000000003</v>
      </c>
      <c r="O22">
        <v>0.94186899999999996</v>
      </c>
      <c r="P22">
        <v>0.94176199999999999</v>
      </c>
      <c r="Q22">
        <v>0.943859</v>
      </c>
      <c r="R22">
        <v>0.94409200000000004</v>
      </c>
      <c r="S22">
        <v>0.94402900000000001</v>
      </c>
      <c r="T22">
        <v>0.94357800000000003</v>
      </c>
      <c r="U22">
        <v>0.94409900000000002</v>
      </c>
      <c r="V22">
        <v>0.944191</v>
      </c>
      <c r="W22">
        <v>0.94418199999999997</v>
      </c>
      <c r="X22">
        <v>0.94419600000000004</v>
      </c>
      <c r="Y22">
        <v>0.94408999999999998</v>
      </c>
      <c r="Z22">
        <v>0.94428500000000004</v>
      </c>
      <c r="AA22">
        <v>0.94435599999999997</v>
      </c>
      <c r="AB22">
        <v>0.94456499999999999</v>
      </c>
      <c r="AC22">
        <v>0.94456300000000004</v>
      </c>
      <c r="AD22">
        <v>0.94437400000000005</v>
      </c>
      <c r="AE22" s="12">
        <v>5.0000000000000001E-3</v>
      </c>
    </row>
    <row r="23" spans="1:31">
      <c r="A23" t="s">
        <v>136</v>
      </c>
      <c r="B23" t="s">
        <v>1178</v>
      </c>
      <c r="C23" t="s">
        <v>1179</v>
      </c>
      <c r="D23" t="s">
        <v>153</v>
      </c>
      <c r="E23">
        <v>5.3645999999999999E-2</v>
      </c>
      <c r="F23">
        <v>5.3927999999999997E-2</v>
      </c>
      <c r="G23">
        <v>5.7680000000000002E-2</v>
      </c>
      <c r="H23">
        <v>5.9186999999999997E-2</v>
      </c>
      <c r="I23">
        <v>6.7804000000000003E-2</v>
      </c>
      <c r="J23">
        <v>7.7784000000000006E-2</v>
      </c>
      <c r="K23">
        <v>8.7637000000000007E-2</v>
      </c>
      <c r="L23">
        <v>9.7931000000000004E-2</v>
      </c>
      <c r="M23">
        <v>0.108794</v>
      </c>
      <c r="N23">
        <v>0.117951</v>
      </c>
      <c r="O23">
        <v>0.126332</v>
      </c>
      <c r="P23">
        <v>0.13506799999999999</v>
      </c>
      <c r="Q23">
        <v>0.14341499999999999</v>
      </c>
      <c r="R23">
        <v>0.15082499999999999</v>
      </c>
      <c r="S23">
        <v>0.156912</v>
      </c>
      <c r="T23">
        <v>0.16081000000000001</v>
      </c>
      <c r="U23">
        <v>0.16448099999999999</v>
      </c>
      <c r="V23">
        <v>0.16814999999999999</v>
      </c>
      <c r="W23">
        <v>0.171566</v>
      </c>
      <c r="X23">
        <v>0.17457600000000001</v>
      </c>
      <c r="Y23">
        <v>0.17737600000000001</v>
      </c>
      <c r="Z23">
        <v>0.17993600000000001</v>
      </c>
      <c r="AA23">
        <v>0.18224699999999999</v>
      </c>
      <c r="AB23">
        <v>0.18428900000000001</v>
      </c>
      <c r="AC23">
        <v>0.18595300000000001</v>
      </c>
      <c r="AD23">
        <v>0.18627199999999999</v>
      </c>
      <c r="AE23" s="12">
        <v>5.0999999999999997E-2</v>
      </c>
    </row>
    <row r="24" spans="1:31">
      <c r="A24" t="s">
        <v>137</v>
      </c>
      <c r="B24" t="s">
        <v>1180</v>
      </c>
      <c r="C24" t="s">
        <v>1181</v>
      </c>
      <c r="D24" t="s">
        <v>153</v>
      </c>
      <c r="E24">
        <v>0.15339800000000001</v>
      </c>
      <c r="F24">
        <v>0.15873100000000001</v>
      </c>
      <c r="G24">
        <v>0.16755</v>
      </c>
      <c r="H24">
        <v>0.17227100000000001</v>
      </c>
      <c r="I24">
        <v>0.17935000000000001</v>
      </c>
      <c r="J24">
        <v>0.18254000000000001</v>
      </c>
      <c r="K24">
        <v>0.18807299999999999</v>
      </c>
      <c r="L24">
        <v>0.19449900000000001</v>
      </c>
      <c r="M24">
        <v>0.201432</v>
      </c>
      <c r="N24">
        <v>0.20957799999999999</v>
      </c>
      <c r="O24">
        <v>0.21651899999999999</v>
      </c>
      <c r="P24">
        <v>0.22373100000000001</v>
      </c>
      <c r="Q24">
        <v>0.231484</v>
      </c>
      <c r="R24">
        <v>0.239009</v>
      </c>
      <c r="S24">
        <v>0.24593899999999999</v>
      </c>
      <c r="T24">
        <v>0.25118200000000002</v>
      </c>
      <c r="U24">
        <v>0.25774799999999998</v>
      </c>
      <c r="V24">
        <v>0.26282800000000001</v>
      </c>
      <c r="W24">
        <v>0.269592</v>
      </c>
      <c r="X24">
        <v>0.275254</v>
      </c>
      <c r="Y24">
        <v>0.27831299999999998</v>
      </c>
      <c r="Z24">
        <v>0.28125499999999998</v>
      </c>
      <c r="AA24">
        <v>0.28453800000000001</v>
      </c>
      <c r="AB24">
        <v>0.28748400000000002</v>
      </c>
      <c r="AC24">
        <v>0.29014400000000001</v>
      </c>
      <c r="AD24">
        <v>0.28993000000000002</v>
      </c>
      <c r="AE24" s="12">
        <v>2.5999999999999999E-2</v>
      </c>
    </row>
    <row r="25" spans="1:31">
      <c r="A25" t="s">
        <v>126</v>
      </c>
      <c r="B25" t="s">
        <v>1182</v>
      </c>
      <c r="C25" t="s">
        <v>1183</v>
      </c>
      <c r="D25" t="s">
        <v>153</v>
      </c>
      <c r="E25">
        <v>0.15549499999999999</v>
      </c>
      <c r="F25">
        <v>0.151948</v>
      </c>
      <c r="G25">
        <v>0.157636</v>
      </c>
      <c r="H25">
        <v>0.15756999999999999</v>
      </c>
      <c r="I25">
        <v>0.15623699999999999</v>
      </c>
      <c r="J25">
        <v>0.15870699999999999</v>
      </c>
      <c r="K25">
        <v>0.15919700000000001</v>
      </c>
      <c r="L25">
        <v>0.15901999999999999</v>
      </c>
      <c r="M25">
        <v>0.16006100000000001</v>
      </c>
      <c r="N25">
        <v>0.160604</v>
      </c>
      <c r="O25">
        <v>0.16219800000000001</v>
      </c>
      <c r="P25">
        <v>0.16433</v>
      </c>
      <c r="Q25">
        <v>0.16678599999999999</v>
      </c>
      <c r="R25">
        <v>0.16563800000000001</v>
      </c>
      <c r="S25">
        <v>0.165685</v>
      </c>
      <c r="T25">
        <v>0.16642999999999999</v>
      </c>
      <c r="U25">
        <v>0.16378499999999999</v>
      </c>
      <c r="V25">
        <v>0.16347100000000001</v>
      </c>
      <c r="W25">
        <v>0.16353599999999999</v>
      </c>
      <c r="X25">
        <v>0.16398599999999999</v>
      </c>
      <c r="Y25">
        <v>0.163968</v>
      </c>
      <c r="Z25">
        <v>0.16295499999999999</v>
      </c>
      <c r="AA25">
        <v>0.16399900000000001</v>
      </c>
      <c r="AB25">
        <v>0.16883500000000001</v>
      </c>
      <c r="AC25">
        <v>0.168179</v>
      </c>
      <c r="AD25">
        <v>0.34975299999999998</v>
      </c>
      <c r="AE25" s="12">
        <v>3.3000000000000002E-2</v>
      </c>
    </row>
    <row r="26" spans="1:31">
      <c r="A26" t="s">
        <v>140</v>
      </c>
      <c r="B26" t="s">
        <v>1184</v>
      </c>
      <c r="C26" t="s">
        <v>1185</v>
      </c>
      <c r="D26" t="s">
        <v>153</v>
      </c>
      <c r="E26">
        <v>9.8539999999999999E-3</v>
      </c>
      <c r="F26">
        <v>9.2569999999999996E-3</v>
      </c>
      <c r="G26">
        <v>9.9590000000000008E-3</v>
      </c>
      <c r="H26">
        <v>9.953E-3</v>
      </c>
      <c r="I26">
        <v>9.9430000000000004E-3</v>
      </c>
      <c r="J26">
        <v>9.9550000000000003E-3</v>
      </c>
      <c r="K26">
        <v>9.9600000000000001E-3</v>
      </c>
      <c r="L26">
        <v>9.9319999999999999E-3</v>
      </c>
      <c r="M26">
        <v>9.9270000000000001E-3</v>
      </c>
      <c r="N26">
        <v>9.9349999999999994E-3</v>
      </c>
      <c r="O26">
        <v>9.9430000000000004E-3</v>
      </c>
      <c r="P26">
        <v>9.9410000000000002E-3</v>
      </c>
      <c r="Q26">
        <v>9.9480000000000002E-3</v>
      </c>
      <c r="R26">
        <v>9.9489999999999995E-3</v>
      </c>
      <c r="S26">
        <v>9.9469999999999992E-3</v>
      </c>
      <c r="T26">
        <v>9.9480000000000002E-3</v>
      </c>
      <c r="U26">
        <v>9.9520000000000008E-3</v>
      </c>
      <c r="V26">
        <v>9.946E-3</v>
      </c>
      <c r="W26">
        <v>9.946E-3</v>
      </c>
      <c r="X26">
        <v>9.9469999999999992E-3</v>
      </c>
      <c r="Y26">
        <v>9.9480000000000002E-3</v>
      </c>
      <c r="Z26">
        <v>9.9690000000000004E-3</v>
      </c>
      <c r="AA26">
        <v>9.9579999999999998E-3</v>
      </c>
      <c r="AB26">
        <v>9.9489999999999995E-3</v>
      </c>
      <c r="AC26">
        <v>9.9520000000000008E-3</v>
      </c>
      <c r="AD26">
        <v>9.9570000000000006E-3</v>
      </c>
      <c r="AE26" s="12">
        <v>0</v>
      </c>
    </row>
    <row r="27" spans="1:31">
      <c r="A27" t="s">
        <v>141</v>
      </c>
      <c r="B27" t="s">
        <v>1186</v>
      </c>
      <c r="C27" t="s">
        <v>1187</v>
      </c>
      <c r="D27" t="s">
        <v>153</v>
      </c>
      <c r="E27">
        <v>0.92931399999999997</v>
      </c>
      <c r="F27">
        <v>1.133521</v>
      </c>
      <c r="G27">
        <v>1.554765</v>
      </c>
      <c r="H27">
        <v>1.8603860000000001</v>
      </c>
      <c r="I27">
        <v>1.9059109999999999</v>
      </c>
      <c r="J27">
        <v>1.9097930000000001</v>
      </c>
      <c r="K27">
        <v>1.926283</v>
      </c>
      <c r="L27">
        <v>1.932431</v>
      </c>
      <c r="M27">
        <v>1.939554</v>
      </c>
      <c r="N27">
        <v>1.954037</v>
      </c>
      <c r="O27">
        <v>1.9716290000000001</v>
      </c>
      <c r="P27">
        <v>1.983284</v>
      </c>
      <c r="Q27">
        <v>1.989144</v>
      </c>
      <c r="R27">
        <v>1.9972259999999999</v>
      </c>
      <c r="S27">
        <v>2.0171480000000002</v>
      </c>
      <c r="T27">
        <v>2.0411429999999999</v>
      </c>
      <c r="U27">
        <v>2.0545529999999999</v>
      </c>
      <c r="V27">
        <v>2.060905</v>
      </c>
      <c r="W27">
        <v>2.061944</v>
      </c>
      <c r="X27">
        <v>2.0639370000000001</v>
      </c>
      <c r="Y27">
        <v>2.0656349999999999</v>
      </c>
      <c r="Z27">
        <v>2.0668440000000001</v>
      </c>
      <c r="AA27">
        <v>2.0686360000000001</v>
      </c>
      <c r="AB27">
        <v>2.0685799999999999</v>
      </c>
      <c r="AC27">
        <v>2.0697549999999998</v>
      </c>
      <c r="AD27">
        <v>2.0704129999999998</v>
      </c>
      <c r="AE27" s="12">
        <v>3.3000000000000002E-2</v>
      </c>
    </row>
    <row r="28" spans="1:31">
      <c r="A28" t="s">
        <v>142</v>
      </c>
      <c r="B28" t="s">
        <v>1188</v>
      </c>
      <c r="C28" t="s">
        <v>1189</v>
      </c>
      <c r="D28" t="s">
        <v>153</v>
      </c>
      <c r="E28">
        <v>1.582776</v>
      </c>
      <c r="F28">
        <v>1.6607460000000001</v>
      </c>
      <c r="G28">
        <v>1.806411</v>
      </c>
      <c r="H28">
        <v>1.870878</v>
      </c>
      <c r="I28">
        <v>2.024327</v>
      </c>
      <c r="J28">
        <v>2.168126</v>
      </c>
      <c r="K28">
        <v>2.2923460000000002</v>
      </c>
      <c r="L28">
        <v>2.3684159999999999</v>
      </c>
      <c r="M28">
        <v>2.4682490000000001</v>
      </c>
      <c r="N28">
        <v>2.6118290000000002</v>
      </c>
      <c r="O28">
        <v>2.7772329999999998</v>
      </c>
      <c r="P28">
        <v>2.9534769999999999</v>
      </c>
      <c r="Q28">
        <v>3.0737580000000002</v>
      </c>
      <c r="R28">
        <v>3.1714989999999998</v>
      </c>
      <c r="S28">
        <v>3.2626849999999998</v>
      </c>
      <c r="T28">
        <v>3.3463699999999998</v>
      </c>
      <c r="U28">
        <v>3.4253499999999999</v>
      </c>
      <c r="V28">
        <v>3.4537650000000002</v>
      </c>
      <c r="W28">
        <v>3.4602529999999998</v>
      </c>
      <c r="X28">
        <v>3.4634649999999998</v>
      </c>
      <c r="Y28">
        <v>3.4677630000000002</v>
      </c>
      <c r="Z28">
        <v>3.4771649999999998</v>
      </c>
      <c r="AA28">
        <v>3.4911469999999998</v>
      </c>
      <c r="AB28">
        <v>3.497074</v>
      </c>
      <c r="AC28">
        <v>3.5172859999999999</v>
      </c>
      <c r="AD28">
        <v>3.545391</v>
      </c>
      <c r="AE28" s="12">
        <v>3.3000000000000002E-2</v>
      </c>
    </row>
    <row r="29" spans="1:31">
      <c r="A29" t="s">
        <v>143</v>
      </c>
      <c r="B29" t="s">
        <v>1190</v>
      </c>
      <c r="C29" t="s">
        <v>1191</v>
      </c>
      <c r="D29" t="s">
        <v>153</v>
      </c>
      <c r="E29">
        <v>8.3477230000000002</v>
      </c>
      <c r="F29">
        <v>8.8184360000000002</v>
      </c>
      <c r="G29">
        <v>9.4226209999999995</v>
      </c>
      <c r="H29">
        <v>9.8130640000000007</v>
      </c>
      <c r="I29">
        <v>10.013138</v>
      </c>
      <c r="J29">
        <v>10.082872999999999</v>
      </c>
      <c r="K29">
        <v>10.198980000000001</v>
      </c>
      <c r="L29">
        <v>10.270967000000001</v>
      </c>
      <c r="M29">
        <v>10.381779</v>
      </c>
      <c r="N29">
        <v>10.558280999999999</v>
      </c>
      <c r="O29">
        <v>10.760611000000001</v>
      </c>
      <c r="P29">
        <v>10.978382999999999</v>
      </c>
      <c r="Q29">
        <v>11.132631999999999</v>
      </c>
      <c r="R29">
        <v>11.27028</v>
      </c>
      <c r="S29">
        <v>11.417399</v>
      </c>
      <c r="T29">
        <v>11.559381</v>
      </c>
      <c r="U29">
        <v>11.66451</v>
      </c>
      <c r="V29">
        <v>11.733516</v>
      </c>
      <c r="W29">
        <v>11.763935</v>
      </c>
      <c r="X29">
        <v>11.790483999999999</v>
      </c>
      <c r="Y29">
        <v>11.825101</v>
      </c>
      <c r="Z29">
        <v>11.862026999999999</v>
      </c>
      <c r="AA29">
        <v>11.912801999999999</v>
      </c>
      <c r="AB29">
        <v>11.96369</v>
      </c>
      <c r="AC29">
        <v>12.044257</v>
      </c>
      <c r="AD29">
        <v>12.286882</v>
      </c>
      <c r="AE29" s="12">
        <v>1.6E-2</v>
      </c>
    </row>
    <row r="30" spans="1:31">
      <c r="A30" t="s">
        <v>22</v>
      </c>
    </row>
    <row r="31" spans="1:31">
      <c r="A31" t="s">
        <v>144</v>
      </c>
      <c r="B31" t="s">
        <v>1192</v>
      </c>
      <c r="C31" t="s">
        <v>1193</v>
      </c>
      <c r="D31" t="s">
        <v>153</v>
      </c>
      <c r="E31">
        <v>1.3421289999999999</v>
      </c>
      <c r="F31">
        <v>1.3459110000000001</v>
      </c>
      <c r="G31">
        <v>1.3366370000000001</v>
      </c>
      <c r="H31">
        <v>1.342422</v>
      </c>
      <c r="I31">
        <v>1.3376570000000001</v>
      </c>
      <c r="J31">
        <v>1.3402419999999999</v>
      </c>
      <c r="K31">
        <v>1.3354839999999999</v>
      </c>
      <c r="L31">
        <v>1.333526</v>
      </c>
      <c r="M31">
        <v>1.330719</v>
      </c>
      <c r="N31">
        <v>1.3335090000000001</v>
      </c>
      <c r="O31">
        <v>1.3354680000000001</v>
      </c>
      <c r="P31">
        <v>1.3436030000000001</v>
      </c>
      <c r="Q31">
        <v>1.3425210000000001</v>
      </c>
      <c r="R31">
        <v>1.3433059999999999</v>
      </c>
      <c r="S31">
        <v>1.3444290000000001</v>
      </c>
      <c r="T31">
        <v>1.3478250000000001</v>
      </c>
      <c r="U31">
        <v>1.351432</v>
      </c>
      <c r="V31">
        <v>1.364444</v>
      </c>
      <c r="W31">
        <v>1.3697330000000001</v>
      </c>
      <c r="X31">
        <v>1.374042</v>
      </c>
      <c r="Y31">
        <v>1.375246</v>
      </c>
      <c r="Z31">
        <v>1.3752059999999999</v>
      </c>
      <c r="AA31">
        <v>1.385507</v>
      </c>
      <c r="AB31">
        <v>1.3937580000000001</v>
      </c>
      <c r="AC31">
        <v>1.3973420000000001</v>
      </c>
      <c r="AD31">
        <v>1.403448</v>
      </c>
      <c r="AE31" s="12">
        <v>2E-3</v>
      </c>
    </row>
    <row r="32" spans="1:31">
      <c r="A32" t="s">
        <v>145</v>
      </c>
      <c r="B32" t="s">
        <v>1194</v>
      </c>
      <c r="C32" t="s">
        <v>1195</v>
      </c>
      <c r="D32" t="s">
        <v>153</v>
      </c>
      <c r="E32">
        <v>5.7399999999999997E-4</v>
      </c>
      <c r="F32">
        <v>5.6999999999999998E-4</v>
      </c>
      <c r="G32">
        <v>5.6400000000000005E-4</v>
      </c>
      <c r="H32">
        <v>5.6400000000000005E-4</v>
      </c>
      <c r="I32">
        <v>5.6400000000000005E-4</v>
      </c>
      <c r="J32">
        <v>5.6400000000000005E-4</v>
      </c>
      <c r="K32">
        <v>5.6400000000000005E-4</v>
      </c>
      <c r="L32">
        <v>5.6400000000000005E-4</v>
      </c>
      <c r="M32">
        <v>5.6400000000000005E-4</v>
      </c>
      <c r="N32">
        <v>5.6400000000000005E-4</v>
      </c>
      <c r="O32">
        <v>5.6400000000000005E-4</v>
      </c>
      <c r="P32">
        <v>5.6400000000000005E-4</v>
      </c>
      <c r="Q32">
        <v>5.6400000000000005E-4</v>
      </c>
      <c r="R32">
        <v>5.6400000000000005E-4</v>
      </c>
      <c r="S32">
        <v>5.6400000000000005E-4</v>
      </c>
      <c r="T32">
        <v>5.6400000000000005E-4</v>
      </c>
      <c r="U32">
        <v>5.6400000000000005E-4</v>
      </c>
      <c r="V32">
        <v>5.6400000000000005E-4</v>
      </c>
      <c r="W32">
        <v>5.6400000000000005E-4</v>
      </c>
      <c r="X32">
        <v>5.6400000000000005E-4</v>
      </c>
      <c r="Y32">
        <v>5.6400000000000005E-4</v>
      </c>
      <c r="Z32">
        <v>5.6400000000000005E-4</v>
      </c>
      <c r="AA32">
        <v>5.6400000000000005E-4</v>
      </c>
      <c r="AB32">
        <v>5.6400000000000005E-4</v>
      </c>
      <c r="AC32">
        <v>5.6400000000000005E-4</v>
      </c>
      <c r="AD32">
        <v>5.6400000000000005E-4</v>
      </c>
      <c r="AE32" s="12">
        <v>-1E-3</v>
      </c>
    </row>
    <row r="33" spans="1:31">
      <c r="A33" t="s">
        <v>146</v>
      </c>
      <c r="B33" t="s">
        <v>1196</v>
      </c>
      <c r="C33" t="s">
        <v>1197</v>
      </c>
      <c r="D33" t="s">
        <v>153</v>
      </c>
      <c r="E33">
        <v>-0.175261</v>
      </c>
      <c r="F33">
        <v>-0.18095</v>
      </c>
      <c r="G33">
        <v>-0.15659300000000001</v>
      </c>
      <c r="H33">
        <v>-0.16880200000000001</v>
      </c>
      <c r="I33">
        <v>-0.173067</v>
      </c>
      <c r="J33">
        <v>-0.185365</v>
      </c>
      <c r="K33">
        <v>-0.19000700000000001</v>
      </c>
      <c r="L33">
        <v>-0.19475899999999999</v>
      </c>
      <c r="M33">
        <v>-0.19962199999999999</v>
      </c>
      <c r="N33">
        <v>-0.20461099999999999</v>
      </c>
      <c r="O33">
        <v>-0.209726</v>
      </c>
      <c r="P33">
        <v>-0.22473899999999999</v>
      </c>
      <c r="Q33">
        <v>-0.23036699999999999</v>
      </c>
      <c r="R33">
        <v>-0.236128</v>
      </c>
      <c r="S33">
        <v>-0.24202000000000001</v>
      </c>
      <c r="T33">
        <v>-0.24807799999999999</v>
      </c>
      <c r="U33">
        <v>-0.25428400000000001</v>
      </c>
      <c r="V33">
        <v>-0.27197100000000002</v>
      </c>
      <c r="W33">
        <v>-0.27877400000000002</v>
      </c>
      <c r="X33">
        <v>-0.28573199999999999</v>
      </c>
      <c r="Y33">
        <v>-0.288551</v>
      </c>
      <c r="Z33">
        <v>-0.29111900000000002</v>
      </c>
      <c r="AA33">
        <v>-0.30298700000000001</v>
      </c>
      <c r="AB33">
        <v>-0.31539</v>
      </c>
      <c r="AC33">
        <v>-0.32327800000000001</v>
      </c>
      <c r="AD33">
        <v>-0.33137299999999997</v>
      </c>
      <c r="AE33" s="12">
        <v>2.5999999999999999E-2</v>
      </c>
    </row>
    <row r="34" spans="1:31">
      <c r="A34" t="s">
        <v>147</v>
      </c>
      <c r="B34" t="s">
        <v>1198</v>
      </c>
      <c r="C34" t="s">
        <v>1199</v>
      </c>
      <c r="D34" t="s">
        <v>153</v>
      </c>
      <c r="E34">
        <v>1.167441</v>
      </c>
      <c r="F34">
        <v>1.1655310000000001</v>
      </c>
      <c r="G34">
        <v>1.1806080000000001</v>
      </c>
      <c r="H34">
        <v>1.174183</v>
      </c>
      <c r="I34">
        <v>1.165154</v>
      </c>
      <c r="J34">
        <v>1.1554409999999999</v>
      </c>
      <c r="K34">
        <v>1.1460410000000001</v>
      </c>
      <c r="L34">
        <v>1.1393310000000001</v>
      </c>
      <c r="M34">
        <v>1.1316600000000001</v>
      </c>
      <c r="N34">
        <v>1.129462</v>
      </c>
      <c r="O34">
        <v>1.1263049999999999</v>
      </c>
      <c r="P34">
        <v>1.1194269999999999</v>
      </c>
      <c r="Q34">
        <v>1.112717</v>
      </c>
      <c r="R34">
        <v>1.107742</v>
      </c>
      <c r="S34">
        <v>1.102973</v>
      </c>
      <c r="T34">
        <v>1.100311</v>
      </c>
      <c r="U34">
        <v>1.097712</v>
      </c>
      <c r="V34">
        <v>1.093037</v>
      </c>
      <c r="W34">
        <v>1.091523</v>
      </c>
      <c r="X34">
        <v>1.0888739999999999</v>
      </c>
      <c r="Y34">
        <v>1.087259</v>
      </c>
      <c r="Z34">
        <v>1.084651</v>
      </c>
      <c r="AA34">
        <v>1.0830839999999999</v>
      </c>
      <c r="AB34">
        <v>1.078932</v>
      </c>
      <c r="AC34">
        <v>1.0746279999999999</v>
      </c>
      <c r="AD34">
        <v>1.072638</v>
      </c>
      <c r="AE34" s="12">
        <v>-3.0000000000000001E-3</v>
      </c>
    </row>
    <row r="35" spans="1:31">
      <c r="A35" t="s">
        <v>148</v>
      </c>
    </row>
    <row r="36" spans="1:31">
      <c r="A36" t="s">
        <v>149</v>
      </c>
    </row>
    <row r="37" spans="1:31">
      <c r="A37" t="s">
        <v>150</v>
      </c>
      <c r="B37" t="s">
        <v>1200</v>
      </c>
      <c r="C37" t="s">
        <v>1201</v>
      </c>
      <c r="D37" t="s">
        <v>153</v>
      </c>
      <c r="E37">
        <v>0.27465800000000001</v>
      </c>
      <c r="F37">
        <v>0.28657500000000002</v>
      </c>
      <c r="G37">
        <v>0.30164000000000002</v>
      </c>
      <c r="H37">
        <v>0.31602799999999998</v>
      </c>
      <c r="I37">
        <v>0.32961200000000002</v>
      </c>
      <c r="J37">
        <v>0.34403499999999998</v>
      </c>
      <c r="K37">
        <v>0.35966399999999998</v>
      </c>
      <c r="L37">
        <v>0.37496000000000002</v>
      </c>
      <c r="M37">
        <v>0.39128400000000002</v>
      </c>
      <c r="N37">
        <v>0.40867900000000001</v>
      </c>
      <c r="O37">
        <v>0.42710399999999998</v>
      </c>
      <c r="P37">
        <v>0.446461</v>
      </c>
      <c r="Q37">
        <v>0.467306</v>
      </c>
      <c r="R37">
        <v>0.48915999999999998</v>
      </c>
      <c r="S37">
        <v>0.512127</v>
      </c>
      <c r="T37">
        <v>0.53596699999999997</v>
      </c>
      <c r="U37">
        <v>0.56050999999999995</v>
      </c>
      <c r="V37">
        <v>0.58584400000000003</v>
      </c>
      <c r="W37">
        <v>0.61185599999999996</v>
      </c>
      <c r="X37">
        <v>0.63892599999999999</v>
      </c>
      <c r="Y37">
        <v>0.66666700000000001</v>
      </c>
      <c r="Z37">
        <v>0.69531799999999999</v>
      </c>
      <c r="AA37">
        <v>0.72470199999999996</v>
      </c>
      <c r="AB37">
        <v>0.75541700000000001</v>
      </c>
      <c r="AC37">
        <v>0.786555</v>
      </c>
      <c r="AD37">
        <v>0.81872999999999996</v>
      </c>
      <c r="AE37" s="12">
        <v>4.4999999999999998E-2</v>
      </c>
    </row>
    <row r="38" spans="1:31">
      <c r="A38" t="s">
        <v>151</v>
      </c>
      <c r="B38" t="s">
        <v>1202</v>
      </c>
      <c r="C38" t="s">
        <v>1203</v>
      </c>
      <c r="D38" t="s">
        <v>153</v>
      </c>
      <c r="E38">
        <v>4.9686000000000001E-2</v>
      </c>
      <c r="F38">
        <v>4.8801999999999998E-2</v>
      </c>
      <c r="G38">
        <v>4.9417000000000003E-2</v>
      </c>
      <c r="H38">
        <v>4.8901E-2</v>
      </c>
      <c r="I38">
        <v>4.8594999999999999E-2</v>
      </c>
      <c r="J38">
        <v>4.8425999999999997E-2</v>
      </c>
      <c r="K38">
        <v>4.8259000000000003E-2</v>
      </c>
      <c r="L38">
        <v>4.7826E-2</v>
      </c>
      <c r="M38">
        <v>4.7667000000000001E-2</v>
      </c>
      <c r="N38">
        <v>4.7592000000000002E-2</v>
      </c>
      <c r="O38">
        <v>4.7390000000000002E-2</v>
      </c>
      <c r="P38">
        <v>4.7232999999999997E-2</v>
      </c>
      <c r="Q38">
        <v>4.7174000000000001E-2</v>
      </c>
      <c r="R38">
        <v>4.7140000000000001E-2</v>
      </c>
      <c r="S38">
        <v>4.7048E-2</v>
      </c>
      <c r="T38">
        <v>4.7018999999999998E-2</v>
      </c>
      <c r="U38">
        <v>4.6747999999999998E-2</v>
      </c>
      <c r="V38">
        <v>4.6573000000000003E-2</v>
      </c>
      <c r="W38">
        <v>4.6286000000000001E-2</v>
      </c>
      <c r="X38">
        <v>4.6039999999999998E-2</v>
      </c>
      <c r="Y38">
        <v>4.5849000000000001E-2</v>
      </c>
      <c r="Z38">
        <v>4.5747999999999997E-2</v>
      </c>
      <c r="AA38">
        <v>4.5539999999999997E-2</v>
      </c>
      <c r="AB38">
        <v>4.5422999999999998E-2</v>
      </c>
      <c r="AC38">
        <v>4.5241000000000003E-2</v>
      </c>
      <c r="AD38">
        <v>4.4974E-2</v>
      </c>
      <c r="AE38" s="12">
        <v>-4.0000000000000001E-3</v>
      </c>
    </row>
    <row r="39" spans="1:31">
      <c r="A39" t="s">
        <v>141</v>
      </c>
      <c r="B39" t="s">
        <v>1204</v>
      </c>
      <c r="C39" t="s">
        <v>1205</v>
      </c>
      <c r="D39" t="s">
        <v>153</v>
      </c>
      <c r="E39">
        <v>0.224384</v>
      </c>
      <c r="F39">
        <v>0.23718500000000001</v>
      </c>
      <c r="G39">
        <v>0.25163400000000002</v>
      </c>
      <c r="H39">
        <v>0.26653700000000002</v>
      </c>
      <c r="I39">
        <v>0.28042699999999998</v>
      </c>
      <c r="J39">
        <v>0.29501699999999997</v>
      </c>
      <c r="K39">
        <v>0.31080999999999998</v>
      </c>
      <c r="L39">
        <v>0.32653300000000002</v>
      </c>
      <c r="M39">
        <v>0.34300900000000001</v>
      </c>
      <c r="N39">
        <v>0.36046800000000001</v>
      </c>
      <c r="O39">
        <v>0.37908199999999997</v>
      </c>
      <c r="P39">
        <v>0.39858300000000002</v>
      </c>
      <c r="Q39">
        <v>0.41947099999999998</v>
      </c>
      <c r="R39">
        <v>0.44134200000000001</v>
      </c>
      <c r="S39">
        <v>0.46438400000000002</v>
      </c>
      <c r="T39">
        <v>0.48823499999999997</v>
      </c>
      <c r="U39">
        <v>0.51302899999999996</v>
      </c>
      <c r="V39">
        <v>0.53851700000000002</v>
      </c>
      <c r="W39">
        <v>0.56479400000000002</v>
      </c>
      <c r="X39">
        <v>0.59208700000000003</v>
      </c>
      <c r="Y39">
        <v>0.61999599999999999</v>
      </c>
      <c r="Z39">
        <v>0.64872200000000002</v>
      </c>
      <c r="AA39">
        <v>0.67828999999999995</v>
      </c>
      <c r="AB39">
        <v>0.70909100000000003</v>
      </c>
      <c r="AC39">
        <v>0.74038099999999996</v>
      </c>
      <c r="AD39">
        <v>0.77279299999999995</v>
      </c>
      <c r="AE39" s="12">
        <v>5.0999999999999997E-2</v>
      </c>
    </row>
    <row r="40" spans="1:31">
      <c r="A40" t="s">
        <v>142</v>
      </c>
      <c r="B40" t="s">
        <v>1206</v>
      </c>
      <c r="C40" t="s">
        <v>1207</v>
      </c>
      <c r="D40" t="s">
        <v>153</v>
      </c>
      <c r="E40">
        <v>5.8799999999999998E-4</v>
      </c>
      <c r="F40">
        <v>5.8799999999999998E-4</v>
      </c>
      <c r="G40">
        <v>5.8900000000000001E-4</v>
      </c>
      <c r="H40">
        <v>5.9000000000000003E-4</v>
      </c>
      <c r="I40">
        <v>5.9100000000000005E-4</v>
      </c>
      <c r="J40">
        <v>5.9199999999999997E-4</v>
      </c>
      <c r="K40">
        <v>5.9599999999999996E-4</v>
      </c>
      <c r="L40">
        <v>6.0099999999999997E-4</v>
      </c>
      <c r="M40">
        <v>6.0800000000000003E-4</v>
      </c>
      <c r="N40">
        <v>6.1899999999999998E-4</v>
      </c>
      <c r="O40">
        <v>6.3199999999999997E-4</v>
      </c>
      <c r="P40">
        <v>6.4599999999999998E-4</v>
      </c>
      <c r="Q40">
        <v>6.6200000000000005E-4</v>
      </c>
      <c r="R40">
        <v>6.78E-4</v>
      </c>
      <c r="S40">
        <v>6.9499999999999998E-4</v>
      </c>
      <c r="T40">
        <v>7.1299999999999998E-4</v>
      </c>
      <c r="U40">
        <v>7.3300000000000004E-4</v>
      </c>
      <c r="V40">
        <v>7.54E-4</v>
      </c>
      <c r="W40">
        <v>7.76E-4</v>
      </c>
      <c r="X40">
        <v>7.9900000000000001E-4</v>
      </c>
      <c r="Y40">
        <v>8.2200000000000003E-4</v>
      </c>
      <c r="Z40">
        <v>8.4699999999999999E-4</v>
      </c>
      <c r="AA40">
        <v>8.7299999999999997E-4</v>
      </c>
      <c r="AB40">
        <v>9.0300000000000005E-4</v>
      </c>
      <c r="AC40">
        <v>9.3300000000000002E-4</v>
      </c>
      <c r="AD40">
        <v>9.6299999999999999E-4</v>
      </c>
      <c r="AE40" s="12">
        <v>0.02</v>
      </c>
    </row>
    <row r="41" spans="1:31">
      <c r="A41" t="s">
        <v>152</v>
      </c>
      <c r="B41" t="s">
        <v>1208</v>
      </c>
      <c r="C41" t="s">
        <v>1209</v>
      </c>
      <c r="D41" t="s">
        <v>153</v>
      </c>
      <c r="E41">
        <v>0.22559299999999999</v>
      </c>
      <c r="F41">
        <v>0.24240100000000001</v>
      </c>
      <c r="G41">
        <v>0.25879000000000002</v>
      </c>
      <c r="H41">
        <v>0.26552399999999998</v>
      </c>
      <c r="I41">
        <v>0.26949800000000002</v>
      </c>
      <c r="J41">
        <v>0.27449099999999999</v>
      </c>
      <c r="K41">
        <v>0.27805099999999999</v>
      </c>
      <c r="L41">
        <v>0.28001399999999999</v>
      </c>
      <c r="M41">
        <v>0.28334700000000002</v>
      </c>
      <c r="N41">
        <v>0.28869299999999998</v>
      </c>
      <c r="O41">
        <v>0.29260799999999998</v>
      </c>
      <c r="P41">
        <v>0.29586899999999999</v>
      </c>
      <c r="Q41">
        <v>0.30219499999999999</v>
      </c>
      <c r="R41">
        <v>0.30844100000000002</v>
      </c>
      <c r="S41">
        <v>0.31606099999999998</v>
      </c>
      <c r="T41">
        <v>0.32268999999999998</v>
      </c>
      <c r="U41">
        <v>0.32603500000000002</v>
      </c>
      <c r="V41">
        <v>0.33121699999999998</v>
      </c>
      <c r="W41">
        <v>0.333756</v>
      </c>
      <c r="X41">
        <v>0.33660000000000001</v>
      </c>
      <c r="Y41">
        <v>0.33891900000000003</v>
      </c>
      <c r="Z41">
        <v>0.34271400000000002</v>
      </c>
      <c r="AA41">
        <v>0.34756599999999999</v>
      </c>
      <c r="AB41">
        <v>0.35250900000000002</v>
      </c>
      <c r="AC41">
        <v>0.356213</v>
      </c>
      <c r="AD41">
        <v>0.36099100000000001</v>
      </c>
      <c r="AE41" s="12">
        <v>1.9E-2</v>
      </c>
    </row>
    <row r="42" spans="1:31">
      <c r="A42" t="s">
        <v>140</v>
      </c>
      <c r="B42" t="s">
        <v>1210</v>
      </c>
      <c r="C42" t="s">
        <v>1211</v>
      </c>
      <c r="D42" t="s">
        <v>153</v>
      </c>
      <c r="E42">
        <v>6.5494999999999998E-2</v>
      </c>
      <c r="F42">
        <v>6.3335000000000002E-2</v>
      </c>
      <c r="G42">
        <v>6.3611000000000001E-2</v>
      </c>
      <c r="H42">
        <v>6.2602000000000005E-2</v>
      </c>
      <c r="I42">
        <v>6.1894999999999999E-2</v>
      </c>
      <c r="J42">
        <v>6.1556E-2</v>
      </c>
      <c r="K42">
        <v>6.1001E-2</v>
      </c>
      <c r="L42">
        <v>5.9719000000000001E-2</v>
      </c>
      <c r="M42">
        <v>5.9400000000000001E-2</v>
      </c>
      <c r="N42">
        <v>5.9207999999999997E-2</v>
      </c>
      <c r="O42">
        <v>5.8635E-2</v>
      </c>
      <c r="P42">
        <v>5.8118999999999997E-2</v>
      </c>
      <c r="Q42">
        <v>5.7820999999999997E-2</v>
      </c>
      <c r="R42">
        <v>5.7597000000000002E-2</v>
      </c>
      <c r="S42">
        <v>5.7361000000000002E-2</v>
      </c>
      <c r="T42">
        <v>5.7211999999999999E-2</v>
      </c>
      <c r="U42">
        <v>5.6903000000000002E-2</v>
      </c>
      <c r="V42">
        <v>5.6644E-2</v>
      </c>
      <c r="W42">
        <v>5.6244000000000002E-2</v>
      </c>
      <c r="X42">
        <v>5.5780999999999997E-2</v>
      </c>
      <c r="Y42">
        <v>5.5392999999999998E-2</v>
      </c>
      <c r="Z42">
        <v>5.4973000000000001E-2</v>
      </c>
      <c r="AA42">
        <v>5.4613000000000002E-2</v>
      </c>
      <c r="AB42">
        <v>5.4244000000000001E-2</v>
      </c>
      <c r="AC42">
        <v>5.3925000000000001E-2</v>
      </c>
      <c r="AD42">
        <v>5.3518999999999997E-2</v>
      </c>
      <c r="AE42" s="12">
        <v>-8.0000000000000002E-3</v>
      </c>
    </row>
    <row r="43" spans="1:31">
      <c r="A43" t="s">
        <v>141</v>
      </c>
      <c r="B43" t="s">
        <v>1212</v>
      </c>
      <c r="C43" t="s">
        <v>1213</v>
      </c>
      <c r="D43" t="s">
        <v>153</v>
      </c>
      <c r="E43">
        <v>0.15757299999999999</v>
      </c>
      <c r="F43">
        <v>0.176538</v>
      </c>
      <c r="G43">
        <v>0.19264600000000001</v>
      </c>
      <c r="H43">
        <v>0.20038900000000001</v>
      </c>
      <c r="I43">
        <v>0.205067</v>
      </c>
      <c r="J43">
        <v>0.210395</v>
      </c>
      <c r="K43">
        <v>0.21450900000000001</v>
      </c>
      <c r="L43">
        <v>0.21775</v>
      </c>
      <c r="M43">
        <v>0.22139800000000001</v>
      </c>
      <c r="N43">
        <v>0.226933</v>
      </c>
      <c r="O43">
        <v>0.23141999999999999</v>
      </c>
      <c r="P43">
        <v>0.23519699999999999</v>
      </c>
      <c r="Q43">
        <v>0.24181900000000001</v>
      </c>
      <c r="R43">
        <v>0.24828800000000001</v>
      </c>
      <c r="S43">
        <v>0.25614199999999998</v>
      </c>
      <c r="T43">
        <v>0.26291700000000001</v>
      </c>
      <c r="U43">
        <v>0.266571</v>
      </c>
      <c r="V43">
        <v>0.27200800000000003</v>
      </c>
      <c r="W43">
        <v>0.27494499999999999</v>
      </c>
      <c r="X43">
        <v>0.27825100000000003</v>
      </c>
      <c r="Y43">
        <v>0.28095700000000001</v>
      </c>
      <c r="Z43">
        <v>0.28517100000000001</v>
      </c>
      <c r="AA43">
        <v>0.29038199999999997</v>
      </c>
      <c r="AB43">
        <v>0.29569099999999998</v>
      </c>
      <c r="AC43">
        <v>0.29971399999999998</v>
      </c>
      <c r="AD43">
        <v>0.30489699999999997</v>
      </c>
      <c r="AE43" s="12">
        <v>2.7E-2</v>
      </c>
    </row>
    <row r="44" spans="1:31">
      <c r="A44" t="s">
        <v>142</v>
      </c>
      <c r="B44" t="s">
        <v>1214</v>
      </c>
      <c r="C44" t="s">
        <v>1215</v>
      </c>
      <c r="D44" t="s">
        <v>153</v>
      </c>
      <c r="E44">
        <v>2.5240000000000002E-3</v>
      </c>
      <c r="F44">
        <v>2.5270000000000002E-3</v>
      </c>
      <c r="G44">
        <v>2.5330000000000001E-3</v>
      </c>
      <c r="H44">
        <v>2.5330000000000001E-3</v>
      </c>
      <c r="I44">
        <v>2.5360000000000001E-3</v>
      </c>
      <c r="J44">
        <v>2.5400000000000002E-3</v>
      </c>
      <c r="K44">
        <v>2.542E-3</v>
      </c>
      <c r="L44">
        <v>2.545E-3</v>
      </c>
      <c r="M44">
        <v>2.5490000000000001E-3</v>
      </c>
      <c r="N44">
        <v>2.552E-3</v>
      </c>
      <c r="O44">
        <v>2.5530000000000001E-3</v>
      </c>
      <c r="P44">
        <v>2.5539999999999998E-3</v>
      </c>
      <c r="Q44">
        <v>2.555E-3</v>
      </c>
      <c r="R44">
        <v>2.5569999999999998E-3</v>
      </c>
      <c r="S44">
        <v>2.5579999999999999E-3</v>
      </c>
      <c r="T44">
        <v>2.5600000000000002E-3</v>
      </c>
      <c r="U44">
        <v>2.5609999999999999E-3</v>
      </c>
      <c r="V44">
        <v>2.565E-3</v>
      </c>
      <c r="W44">
        <v>2.5660000000000001E-3</v>
      </c>
      <c r="X44">
        <v>2.568E-3</v>
      </c>
      <c r="Y44">
        <v>2.568E-3</v>
      </c>
      <c r="Z44">
        <v>2.5690000000000001E-3</v>
      </c>
      <c r="AA44">
        <v>2.5720000000000001E-3</v>
      </c>
      <c r="AB44">
        <v>2.5730000000000002E-3</v>
      </c>
      <c r="AC44">
        <v>2.5739999999999999E-3</v>
      </c>
      <c r="AD44">
        <v>2.575E-3</v>
      </c>
      <c r="AE44" s="12">
        <v>1E-3</v>
      </c>
    </row>
  </sheetData>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E84EBAE-E995-4337-B6A5-FE165203F8EB}">
  <dimension ref="A1:AG96"/>
  <sheetViews>
    <sheetView workbookViewId="0">
      <selection activeCell="A17" sqref="A17:XFD17"/>
    </sheetView>
  </sheetViews>
  <sheetFormatPr defaultRowHeight="14.25"/>
  <cols>
    <col min="1" max="1" width="37.53125" customWidth="1"/>
  </cols>
  <sheetData>
    <row r="1" spans="1:33">
      <c r="A1" t="s">
        <v>86</v>
      </c>
    </row>
    <row r="2" spans="1:33">
      <c r="A2" t="s">
        <v>1139</v>
      </c>
    </row>
    <row r="3" spans="1:33">
      <c r="A3" t="s">
        <v>1138</v>
      </c>
    </row>
    <row r="4" spans="1:33">
      <c r="A4" t="s">
        <v>87</v>
      </c>
    </row>
    <row r="5" spans="1:33">
      <c r="B5" t="s">
        <v>88</v>
      </c>
      <c r="C5" t="s">
        <v>116</v>
      </c>
      <c r="D5" t="s">
        <v>117</v>
      </c>
      <c r="E5">
        <v>2023</v>
      </c>
      <c r="F5">
        <v>2024</v>
      </c>
      <c r="G5">
        <v>2025</v>
      </c>
      <c r="H5">
        <v>2026</v>
      </c>
      <c r="I5">
        <v>2027</v>
      </c>
      <c r="J5">
        <v>2028</v>
      </c>
      <c r="K5">
        <v>2029</v>
      </c>
      <c r="L5">
        <v>2030</v>
      </c>
      <c r="M5">
        <v>2031</v>
      </c>
      <c r="N5">
        <v>2032</v>
      </c>
      <c r="O5">
        <v>2033</v>
      </c>
      <c r="P5">
        <v>2034</v>
      </c>
      <c r="Q5">
        <v>2035</v>
      </c>
      <c r="R5">
        <v>2036</v>
      </c>
      <c r="S5">
        <v>2037</v>
      </c>
      <c r="T5">
        <v>2038</v>
      </c>
      <c r="U5">
        <v>2039</v>
      </c>
      <c r="V5">
        <v>2040</v>
      </c>
      <c r="W5">
        <v>2041</v>
      </c>
      <c r="X5">
        <v>2042</v>
      </c>
      <c r="Y5">
        <v>2043</v>
      </c>
      <c r="Z5">
        <v>2044</v>
      </c>
      <c r="AA5">
        <v>2045</v>
      </c>
      <c r="AB5">
        <v>2046</v>
      </c>
      <c r="AC5">
        <v>2047</v>
      </c>
      <c r="AD5">
        <v>2048</v>
      </c>
      <c r="AE5">
        <v>2049</v>
      </c>
      <c r="AF5">
        <v>2050</v>
      </c>
      <c r="AG5" t="s">
        <v>953</v>
      </c>
    </row>
    <row r="6" spans="1:33">
      <c r="A6" t="s">
        <v>13</v>
      </c>
      <c r="B6" t="s">
        <v>1137</v>
      </c>
      <c r="C6" t="s">
        <v>1136</v>
      </c>
      <c r="D6" t="s">
        <v>118</v>
      </c>
      <c r="F6">
        <v>15264.655273</v>
      </c>
      <c r="G6">
        <v>15318.793944999999</v>
      </c>
      <c r="H6">
        <v>15263.795898</v>
      </c>
      <c r="I6">
        <v>15137.205078000001</v>
      </c>
      <c r="J6">
        <v>14977.219727</v>
      </c>
      <c r="K6">
        <v>14792.021484000001</v>
      </c>
      <c r="L6">
        <v>14586.776367</v>
      </c>
      <c r="M6">
        <v>14410.759765999999</v>
      </c>
      <c r="N6">
        <v>14212.753906</v>
      </c>
      <c r="O6">
        <v>14032.136719</v>
      </c>
      <c r="P6">
        <v>13876.546875</v>
      </c>
      <c r="Q6">
        <v>13716.935546999999</v>
      </c>
      <c r="R6">
        <v>13531.819336</v>
      </c>
      <c r="S6">
        <v>13355.208984000001</v>
      </c>
      <c r="T6">
        <v>13213.083984000001</v>
      </c>
      <c r="U6">
        <v>13074.737305000001</v>
      </c>
      <c r="V6">
        <v>12960.390625</v>
      </c>
      <c r="W6">
        <v>12861.575194999999</v>
      </c>
      <c r="X6">
        <v>12746.392578000001</v>
      </c>
      <c r="Y6">
        <v>12672.746094</v>
      </c>
      <c r="Z6">
        <v>12583.179688</v>
      </c>
      <c r="AA6">
        <v>12516.974609000001</v>
      </c>
      <c r="AB6">
        <v>12440.612305000001</v>
      </c>
      <c r="AC6">
        <v>12393.320312</v>
      </c>
      <c r="AD6">
        <v>12311.716796999999</v>
      </c>
      <c r="AE6">
        <v>12264.786133</v>
      </c>
      <c r="AF6">
        <v>12255.930664</v>
      </c>
      <c r="AG6" s="12">
        <v>-8.0000000000000002E-3</v>
      </c>
    </row>
    <row r="7" spans="1:33">
      <c r="A7" t="s">
        <v>89</v>
      </c>
      <c r="B7" t="s">
        <v>1135</v>
      </c>
      <c r="C7" t="s">
        <v>1134</v>
      </c>
      <c r="D7" t="s">
        <v>118</v>
      </c>
      <c r="F7">
        <v>15082.832031</v>
      </c>
      <c r="G7">
        <v>15102.086914</v>
      </c>
      <c r="H7">
        <v>15001.700194999999</v>
      </c>
      <c r="I7">
        <v>14826.172852</v>
      </c>
      <c r="J7">
        <v>14611.696289</v>
      </c>
      <c r="K7">
        <v>14370.883789</v>
      </c>
      <c r="L7">
        <v>14109.580078000001</v>
      </c>
      <c r="M7">
        <v>13886.185546999999</v>
      </c>
      <c r="N7">
        <v>13640.148438</v>
      </c>
      <c r="O7">
        <v>13418.370117</v>
      </c>
      <c r="P7">
        <v>13220.600586</v>
      </c>
      <c r="Q7">
        <v>13020.751953000001</v>
      </c>
      <c r="R7">
        <v>12794.552734000001</v>
      </c>
      <c r="S7">
        <v>12576.742188</v>
      </c>
      <c r="T7">
        <v>12394.092773</v>
      </c>
      <c r="U7">
        <v>12215.558594</v>
      </c>
      <c r="V7">
        <v>12062.521484000001</v>
      </c>
      <c r="W7">
        <v>11926.910156</v>
      </c>
      <c r="X7">
        <v>11776.866211</v>
      </c>
      <c r="Y7">
        <v>11670.566406</v>
      </c>
      <c r="Z7">
        <v>11550.738281</v>
      </c>
      <c r="AA7">
        <v>11456.912109000001</v>
      </c>
      <c r="AB7">
        <v>11354.418944999999</v>
      </c>
      <c r="AC7">
        <v>11282.190430000001</v>
      </c>
      <c r="AD7">
        <v>11177.411133</v>
      </c>
      <c r="AE7">
        <v>11107.422852</v>
      </c>
      <c r="AF7">
        <v>11075.950194999999</v>
      </c>
      <c r="AG7" s="12">
        <v>-1.2E-2</v>
      </c>
    </row>
    <row r="8" spans="1:33">
      <c r="A8" t="s">
        <v>90</v>
      </c>
      <c r="B8" t="s">
        <v>1133</v>
      </c>
      <c r="C8" t="s">
        <v>1132</v>
      </c>
      <c r="D8" t="s">
        <v>118</v>
      </c>
      <c r="F8">
        <v>36.493248000000001</v>
      </c>
      <c r="G8">
        <v>35.324047</v>
      </c>
      <c r="H8">
        <v>33.054344</v>
      </c>
      <c r="I8">
        <v>30.216524</v>
      </c>
      <c r="J8">
        <v>29.000741999999999</v>
      </c>
      <c r="K8">
        <v>27.631107</v>
      </c>
      <c r="L8">
        <v>26.088915</v>
      </c>
      <c r="M8">
        <v>23.857711999999999</v>
      </c>
      <c r="N8">
        <v>21.977796999999999</v>
      </c>
      <c r="O8">
        <v>20.037936999999999</v>
      </c>
      <c r="P8">
        <v>18.306711</v>
      </c>
      <c r="Q8">
        <v>16.690548</v>
      </c>
      <c r="R8">
        <v>15.190678</v>
      </c>
      <c r="S8">
        <v>14.10623</v>
      </c>
      <c r="T8">
        <v>12.678630999999999</v>
      </c>
      <c r="U8">
        <v>11.868214</v>
      </c>
      <c r="V8">
        <v>11.293405999999999</v>
      </c>
      <c r="W8">
        <v>10.778375</v>
      </c>
      <c r="X8">
        <v>10.287208</v>
      </c>
      <c r="Y8">
        <v>9.9186230000000002</v>
      </c>
      <c r="Z8">
        <v>9.7976939999999999</v>
      </c>
      <c r="AA8">
        <v>9.2459539999999993</v>
      </c>
      <c r="AB8">
        <v>9.049213</v>
      </c>
      <c r="AC8">
        <v>9.1681340000000002</v>
      </c>
      <c r="AD8">
        <v>8.9579869999999993</v>
      </c>
      <c r="AE8">
        <v>8.7842780000000005</v>
      </c>
      <c r="AF8">
        <v>8.5644519999999993</v>
      </c>
      <c r="AG8" s="12">
        <v>-5.3999999999999999E-2</v>
      </c>
    </row>
    <row r="9" spans="1:33">
      <c r="A9" t="s">
        <v>91</v>
      </c>
      <c r="B9" t="s">
        <v>1131</v>
      </c>
      <c r="C9" t="s">
        <v>1130</v>
      </c>
      <c r="D9" t="s">
        <v>118</v>
      </c>
      <c r="F9">
        <v>87.055556999999993</v>
      </c>
      <c r="G9">
        <v>95.813736000000006</v>
      </c>
      <c r="H9">
        <v>104.507935</v>
      </c>
      <c r="I9">
        <v>111.845032</v>
      </c>
      <c r="J9">
        <v>118.39093800000001</v>
      </c>
      <c r="K9">
        <v>125.015457</v>
      </c>
      <c r="L9">
        <v>128.80909700000001</v>
      </c>
      <c r="M9">
        <v>132.43237300000001</v>
      </c>
      <c r="N9">
        <v>135.511551</v>
      </c>
      <c r="O9">
        <v>137.266876</v>
      </c>
      <c r="P9">
        <v>139.63299599999999</v>
      </c>
      <c r="Q9">
        <v>141.013901</v>
      </c>
      <c r="R9">
        <v>142.85320999999999</v>
      </c>
      <c r="S9">
        <v>144.476776</v>
      </c>
      <c r="T9">
        <v>146.03744499999999</v>
      </c>
      <c r="U9">
        <v>147.20349100000001</v>
      </c>
      <c r="V9">
        <v>147.97177099999999</v>
      </c>
      <c r="W9">
        <v>148.60348500000001</v>
      </c>
      <c r="X9">
        <v>149.49903900000001</v>
      </c>
      <c r="Y9">
        <v>149.937286</v>
      </c>
      <c r="Z9">
        <v>149.69160500000001</v>
      </c>
      <c r="AA9">
        <v>149.08166499999999</v>
      </c>
      <c r="AB9">
        <v>148.949219</v>
      </c>
      <c r="AC9">
        <v>148.95747399999999</v>
      </c>
      <c r="AD9">
        <v>148.59544399999999</v>
      </c>
      <c r="AE9">
        <v>148.537384</v>
      </c>
      <c r="AF9">
        <v>148.52256800000001</v>
      </c>
      <c r="AG9" s="12">
        <v>2.1000000000000001E-2</v>
      </c>
    </row>
    <row r="10" spans="1:33">
      <c r="A10" t="s">
        <v>92</v>
      </c>
      <c r="B10" t="s">
        <v>1129</v>
      </c>
      <c r="C10" t="s">
        <v>1128</v>
      </c>
      <c r="D10" t="s">
        <v>118</v>
      </c>
      <c r="F10">
        <v>0.66039800000000004</v>
      </c>
      <c r="G10">
        <v>0.60518499999999997</v>
      </c>
      <c r="H10">
        <v>0.54915499999999995</v>
      </c>
      <c r="I10">
        <v>0.49468299999999998</v>
      </c>
      <c r="J10">
        <v>0.454592</v>
      </c>
      <c r="K10">
        <v>0.42900500000000003</v>
      </c>
      <c r="L10">
        <v>0.39121800000000001</v>
      </c>
      <c r="M10">
        <v>0.353904</v>
      </c>
      <c r="N10">
        <v>0.32100000000000001</v>
      </c>
      <c r="O10">
        <v>0.29277500000000001</v>
      </c>
      <c r="P10">
        <v>0.265233</v>
      </c>
      <c r="Q10">
        <v>0.20321700000000001</v>
      </c>
      <c r="R10">
        <v>0.180974</v>
      </c>
      <c r="S10">
        <v>0.167022</v>
      </c>
      <c r="T10">
        <v>0.153364</v>
      </c>
      <c r="U10">
        <v>0.14274700000000001</v>
      </c>
      <c r="V10">
        <v>0.133997</v>
      </c>
      <c r="W10">
        <v>0.125782</v>
      </c>
      <c r="X10">
        <v>0.118071</v>
      </c>
      <c r="Y10">
        <v>0.11083800000000001</v>
      </c>
      <c r="Z10">
        <v>0.104047</v>
      </c>
      <c r="AA10">
        <v>9.7719E-2</v>
      </c>
      <c r="AB10">
        <v>9.1732999999999995E-2</v>
      </c>
      <c r="AC10">
        <v>8.6113999999999996E-2</v>
      </c>
      <c r="AD10">
        <v>8.0839999999999995E-2</v>
      </c>
      <c r="AE10">
        <v>7.5889999999999999E-2</v>
      </c>
      <c r="AF10">
        <v>7.1244000000000002E-2</v>
      </c>
      <c r="AG10" s="12">
        <v>-8.2000000000000003E-2</v>
      </c>
    </row>
    <row r="11" spans="1:33">
      <c r="A11" t="s">
        <v>93</v>
      </c>
      <c r="B11" t="s">
        <v>1127</v>
      </c>
      <c r="C11" t="s">
        <v>1126</v>
      </c>
      <c r="D11" t="s">
        <v>118</v>
      </c>
      <c r="F11">
        <v>0.63888999999999996</v>
      </c>
      <c r="G11">
        <v>0.577901</v>
      </c>
      <c r="H11">
        <v>0.51927299999999998</v>
      </c>
      <c r="I11">
        <v>0.47898499999999999</v>
      </c>
      <c r="J11">
        <v>0.44590800000000003</v>
      </c>
      <c r="K11">
        <v>0.41668899999999998</v>
      </c>
      <c r="L11">
        <v>0.38909300000000002</v>
      </c>
      <c r="M11">
        <v>0.364006</v>
      </c>
      <c r="N11">
        <v>0.33676899999999999</v>
      </c>
      <c r="O11">
        <v>0.31163999999999997</v>
      </c>
      <c r="P11">
        <v>0.29238500000000001</v>
      </c>
      <c r="Q11">
        <v>0.274588</v>
      </c>
      <c r="R11">
        <v>0.25867400000000002</v>
      </c>
      <c r="S11">
        <v>0.24304400000000001</v>
      </c>
      <c r="T11">
        <v>0.22870599999999999</v>
      </c>
      <c r="U11">
        <v>0.215165</v>
      </c>
      <c r="V11">
        <v>0.201597</v>
      </c>
      <c r="W11">
        <v>0.18818499999999999</v>
      </c>
      <c r="X11">
        <v>0.17565600000000001</v>
      </c>
      <c r="Y11">
        <v>0.16469400000000001</v>
      </c>
      <c r="Z11">
        <v>0.154083</v>
      </c>
      <c r="AA11">
        <v>0.14483299999999999</v>
      </c>
      <c r="AB11">
        <v>0.13509199999999999</v>
      </c>
      <c r="AC11">
        <v>0.126557</v>
      </c>
      <c r="AD11">
        <v>0.118808</v>
      </c>
      <c r="AE11">
        <v>0.11133899999999999</v>
      </c>
      <c r="AF11">
        <v>0.105409</v>
      </c>
      <c r="AG11" s="12">
        <v>-6.7000000000000004E-2</v>
      </c>
    </row>
    <row r="12" spans="1:33">
      <c r="A12" t="s">
        <v>94</v>
      </c>
      <c r="B12" t="s">
        <v>1125</v>
      </c>
      <c r="C12" t="s">
        <v>1124</v>
      </c>
      <c r="D12" t="s">
        <v>118</v>
      </c>
      <c r="F12">
        <v>56.573005999999999</v>
      </c>
      <c r="G12">
        <v>83.956969999999998</v>
      </c>
      <c r="H12">
        <v>123.025932</v>
      </c>
      <c r="I12">
        <v>167.55509900000001</v>
      </c>
      <c r="J12">
        <v>216.78942900000001</v>
      </c>
      <c r="K12">
        <v>267.21673600000003</v>
      </c>
      <c r="L12">
        <v>321.101562</v>
      </c>
      <c r="M12">
        <v>367.16476399999999</v>
      </c>
      <c r="N12">
        <v>414.07318099999998</v>
      </c>
      <c r="O12">
        <v>455.49417099999999</v>
      </c>
      <c r="P12">
        <v>497.10797100000002</v>
      </c>
      <c r="Q12">
        <v>537.68353300000001</v>
      </c>
      <c r="R12">
        <v>578.48742700000003</v>
      </c>
      <c r="S12">
        <v>619.20111099999997</v>
      </c>
      <c r="T12">
        <v>659.64343299999996</v>
      </c>
      <c r="U12">
        <v>699.52166699999998</v>
      </c>
      <c r="V12">
        <v>738.06237799999997</v>
      </c>
      <c r="W12">
        <v>774.78204300000004</v>
      </c>
      <c r="X12">
        <v>809.27581799999996</v>
      </c>
      <c r="Y12">
        <v>841.89172399999995</v>
      </c>
      <c r="Z12">
        <v>872.54925500000002</v>
      </c>
      <c r="AA12">
        <v>901.35949700000003</v>
      </c>
      <c r="AB12">
        <v>927.84582499999999</v>
      </c>
      <c r="AC12">
        <v>952.67511000000002</v>
      </c>
      <c r="AD12">
        <v>976.43872099999999</v>
      </c>
      <c r="AE12">
        <v>999.74530000000004</v>
      </c>
      <c r="AF12">
        <v>1022.609863</v>
      </c>
      <c r="AG12" s="12">
        <v>0.11799999999999999</v>
      </c>
    </row>
    <row r="13" spans="1:33">
      <c r="A13" t="s">
        <v>95</v>
      </c>
      <c r="B13" t="s">
        <v>1123</v>
      </c>
      <c r="C13" t="s">
        <v>1122</v>
      </c>
      <c r="D13" t="s">
        <v>118</v>
      </c>
      <c r="F13">
        <v>0.40270299999999998</v>
      </c>
      <c r="G13">
        <v>0.428566</v>
      </c>
      <c r="H13">
        <v>0.438523</v>
      </c>
      <c r="I13">
        <v>0.44270799999999999</v>
      </c>
      <c r="J13">
        <v>0.44139400000000001</v>
      </c>
      <c r="K13">
        <v>0.42853200000000002</v>
      </c>
      <c r="L13">
        <v>0.41623500000000002</v>
      </c>
      <c r="M13">
        <v>0.40165200000000001</v>
      </c>
      <c r="N13">
        <v>0.38442700000000002</v>
      </c>
      <c r="O13">
        <v>0.362952</v>
      </c>
      <c r="P13">
        <v>0.34098000000000001</v>
      </c>
      <c r="Q13">
        <v>0.31870199999999999</v>
      </c>
      <c r="R13">
        <v>0.29588700000000001</v>
      </c>
      <c r="S13">
        <v>0.272922</v>
      </c>
      <c r="T13">
        <v>0.250058</v>
      </c>
      <c r="U13">
        <v>0.22815199999999999</v>
      </c>
      <c r="V13">
        <v>0.207236</v>
      </c>
      <c r="W13">
        <v>0.18687400000000001</v>
      </c>
      <c r="X13">
        <v>0.170434</v>
      </c>
      <c r="Y13">
        <v>0.155837</v>
      </c>
      <c r="Z13">
        <v>0.14472299999999999</v>
      </c>
      <c r="AA13">
        <v>0.13236999999999999</v>
      </c>
      <c r="AB13">
        <v>0.123225</v>
      </c>
      <c r="AC13">
        <v>0.116811</v>
      </c>
      <c r="AD13">
        <v>0.112998</v>
      </c>
      <c r="AE13">
        <v>0.10956299999999999</v>
      </c>
      <c r="AF13">
        <v>0.10698199999999999</v>
      </c>
      <c r="AG13" s="12">
        <v>-0.05</v>
      </c>
    </row>
    <row r="14" spans="1:33">
      <c r="A14" t="s">
        <v>96</v>
      </c>
      <c r="B14" t="s">
        <v>1121</v>
      </c>
      <c r="C14" t="s">
        <v>1120</v>
      </c>
      <c r="D14" t="s">
        <v>118</v>
      </c>
      <c r="F14">
        <v>874.37518299999999</v>
      </c>
      <c r="G14">
        <v>855.73950200000002</v>
      </c>
      <c r="H14">
        <v>839.740723</v>
      </c>
      <c r="I14">
        <v>829.06280500000003</v>
      </c>
      <c r="J14">
        <v>817.03814699999998</v>
      </c>
      <c r="K14">
        <v>806.52307099999996</v>
      </c>
      <c r="L14">
        <v>797.05285600000002</v>
      </c>
      <c r="M14">
        <v>786.66845699999999</v>
      </c>
      <c r="N14">
        <v>776.01849400000003</v>
      </c>
      <c r="O14">
        <v>765.74780299999998</v>
      </c>
      <c r="P14">
        <v>755.152649</v>
      </c>
      <c r="Q14">
        <v>744.23339799999997</v>
      </c>
      <c r="R14">
        <v>733.15368699999999</v>
      </c>
      <c r="S14">
        <v>721.99127199999998</v>
      </c>
      <c r="T14">
        <v>710.85888699999998</v>
      </c>
      <c r="U14">
        <v>699.93121299999996</v>
      </c>
      <c r="V14">
        <v>689.72308299999997</v>
      </c>
      <c r="W14">
        <v>678.65417500000001</v>
      </c>
      <c r="X14">
        <v>668.12085000000002</v>
      </c>
      <c r="Y14">
        <v>657.26190199999996</v>
      </c>
      <c r="Z14">
        <v>646.87323000000004</v>
      </c>
      <c r="AA14">
        <v>636.53192100000001</v>
      </c>
      <c r="AB14">
        <v>626.424622</v>
      </c>
      <c r="AC14">
        <v>616.49578899999995</v>
      </c>
      <c r="AD14">
        <v>606.53204300000004</v>
      </c>
      <c r="AE14">
        <v>596.60644500000001</v>
      </c>
      <c r="AF14">
        <v>586.682861</v>
      </c>
      <c r="AG14" s="12">
        <v>-1.4999999999999999E-2</v>
      </c>
    </row>
    <row r="15" spans="1:33">
      <c r="A15" t="s">
        <v>89</v>
      </c>
      <c r="B15" t="s">
        <v>1119</v>
      </c>
      <c r="C15" t="s">
        <v>1118</v>
      </c>
      <c r="D15" t="s">
        <v>118</v>
      </c>
      <c r="F15">
        <v>608.84582499999999</v>
      </c>
      <c r="G15">
        <v>602.34234600000002</v>
      </c>
      <c r="H15">
        <v>598.57141100000001</v>
      </c>
      <c r="I15">
        <v>598.02734399999997</v>
      </c>
      <c r="J15">
        <v>597.05413799999997</v>
      </c>
      <c r="K15">
        <v>597.51867700000003</v>
      </c>
      <c r="L15">
        <v>597.57959000000005</v>
      </c>
      <c r="M15">
        <v>597.26855499999999</v>
      </c>
      <c r="N15">
        <v>596.43859899999995</v>
      </c>
      <c r="O15">
        <v>595.41339100000005</v>
      </c>
      <c r="P15">
        <v>593.97943099999998</v>
      </c>
      <c r="Q15">
        <v>591.838257</v>
      </c>
      <c r="R15">
        <v>588.94305399999996</v>
      </c>
      <c r="S15">
        <v>585.04077099999995</v>
      </c>
      <c r="T15">
        <v>580.45666500000004</v>
      </c>
      <c r="U15">
        <v>575.171021</v>
      </c>
      <c r="V15">
        <v>569.657104</v>
      </c>
      <c r="W15">
        <v>563.30285600000002</v>
      </c>
      <c r="X15">
        <v>556.67156999999997</v>
      </c>
      <c r="Y15">
        <v>549.21490500000004</v>
      </c>
      <c r="Z15">
        <v>541.86505099999999</v>
      </c>
      <c r="AA15">
        <v>534.24523899999997</v>
      </c>
      <c r="AB15">
        <v>526.59002699999996</v>
      </c>
      <c r="AC15">
        <v>518.82629399999996</v>
      </c>
      <c r="AD15">
        <v>510.98663299999998</v>
      </c>
      <c r="AE15">
        <v>503.05392499999999</v>
      </c>
      <c r="AF15">
        <v>495.19235200000003</v>
      </c>
      <c r="AG15" s="12">
        <v>-8.0000000000000002E-3</v>
      </c>
    </row>
    <row r="16" spans="1:33">
      <c r="A16" t="s">
        <v>90</v>
      </c>
      <c r="B16" t="s">
        <v>1117</v>
      </c>
      <c r="C16" t="s">
        <v>1116</v>
      </c>
      <c r="D16" t="s">
        <v>118</v>
      </c>
      <c r="F16">
        <v>3.3636499999999998</v>
      </c>
      <c r="G16">
        <v>3.4067470000000002</v>
      </c>
      <c r="H16">
        <v>3.3543240000000001</v>
      </c>
      <c r="I16">
        <v>3.2885390000000001</v>
      </c>
      <c r="J16">
        <v>3.3905889999999999</v>
      </c>
      <c r="K16">
        <v>3.5174259999999999</v>
      </c>
      <c r="L16">
        <v>3.61917</v>
      </c>
      <c r="M16">
        <v>3.6108020000000001</v>
      </c>
      <c r="N16">
        <v>3.6295920000000002</v>
      </c>
      <c r="O16">
        <v>3.659923</v>
      </c>
      <c r="P16">
        <v>3.6371609999999999</v>
      </c>
      <c r="Q16">
        <v>3.6421950000000001</v>
      </c>
      <c r="R16">
        <v>3.6528450000000001</v>
      </c>
      <c r="S16">
        <v>3.7175240000000001</v>
      </c>
      <c r="T16">
        <v>3.6814689999999999</v>
      </c>
      <c r="U16">
        <v>3.7555809999999998</v>
      </c>
      <c r="V16">
        <v>3.8101099999999999</v>
      </c>
      <c r="W16">
        <v>3.8497219999999999</v>
      </c>
      <c r="X16">
        <v>3.878349</v>
      </c>
      <c r="Y16">
        <v>3.8791020000000001</v>
      </c>
      <c r="Z16">
        <v>3.9045179999999999</v>
      </c>
      <c r="AA16">
        <v>3.919181</v>
      </c>
      <c r="AB16">
        <v>3.9340229999999998</v>
      </c>
      <c r="AC16">
        <v>3.9450240000000001</v>
      </c>
      <c r="AD16">
        <v>3.9532989999999999</v>
      </c>
      <c r="AE16">
        <v>3.9519769999999999</v>
      </c>
      <c r="AF16">
        <v>3.920096</v>
      </c>
      <c r="AG16" s="12">
        <v>6.0000000000000001E-3</v>
      </c>
    </row>
    <row r="17" spans="1:33" s="83" customFormat="1">
      <c r="A17" s="83" t="s">
        <v>91</v>
      </c>
      <c r="B17" s="83" t="s">
        <v>1115</v>
      </c>
      <c r="C17" s="83" t="s">
        <v>1114</v>
      </c>
      <c r="D17" s="83" t="s">
        <v>118</v>
      </c>
      <c r="F17" s="83">
        <v>259.73095699999999</v>
      </c>
      <c r="G17" s="83">
        <v>246.746262</v>
      </c>
      <c r="H17" s="83">
        <v>233.65933200000001</v>
      </c>
      <c r="I17" s="83">
        <v>222.639511</v>
      </c>
      <c r="J17" s="83">
        <v>210.52593999999999</v>
      </c>
      <c r="K17" s="83">
        <v>198.44125399999999</v>
      </c>
      <c r="L17" s="83">
        <v>187.82809399999999</v>
      </c>
      <c r="M17" s="83">
        <v>176.83654799999999</v>
      </c>
      <c r="N17" s="83">
        <v>165.995453</v>
      </c>
      <c r="O17" s="83">
        <v>155.707672</v>
      </c>
      <c r="P17" s="83">
        <v>145.472443</v>
      </c>
      <c r="Q17" s="83">
        <v>135.48971599999999</v>
      </c>
      <c r="R17" s="83">
        <v>125.976921</v>
      </c>
      <c r="S17" s="83">
        <v>117.19341300000001</v>
      </c>
      <c r="T17" s="83">
        <v>109.041771</v>
      </c>
      <c r="U17" s="83">
        <v>101.510696</v>
      </c>
      <c r="V17" s="83">
        <v>94.802504999999996</v>
      </c>
      <c r="W17" s="83">
        <v>87.939010999999994</v>
      </c>
      <c r="X17" s="83">
        <v>81.827179000000001</v>
      </c>
      <c r="Y17" s="83">
        <v>76.176422000000002</v>
      </c>
      <c r="Z17" s="83">
        <v>70.805824000000001</v>
      </c>
      <c r="AA17" s="83">
        <v>65.785888999999997</v>
      </c>
      <c r="AB17" s="83">
        <v>61.069122</v>
      </c>
      <c r="AC17" s="83">
        <v>56.668498999999997</v>
      </c>
      <c r="AD17" s="83">
        <v>52.409759999999999</v>
      </c>
      <c r="AE17" s="83">
        <v>48.369202000000001</v>
      </c>
      <c r="AF17" s="83">
        <v>44.395896999999998</v>
      </c>
      <c r="AG17" s="84">
        <v>-6.6000000000000003E-2</v>
      </c>
    </row>
    <row r="18" spans="1:33">
      <c r="A18" t="s">
        <v>93</v>
      </c>
      <c r="B18" t="s">
        <v>1113</v>
      </c>
      <c r="C18" t="s">
        <v>1112</v>
      </c>
      <c r="D18" t="s">
        <v>118</v>
      </c>
      <c r="F18">
        <v>1.0250000000000001E-3</v>
      </c>
      <c r="G18">
        <v>1.3290000000000001E-3</v>
      </c>
      <c r="H18">
        <v>1.686E-3</v>
      </c>
      <c r="I18">
        <v>2.0939999999999999E-3</v>
      </c>
      <c r="J18">
        <v>2.506E-3</v>
      </c>
      <c r="K18">
        <v>2.9390000000000002E-3</v>
      </c>
      <c r="L18">
        <v>3.359E-3</v>
      </c>
      <c r="M18">
        <v>3.686E-3</v>
      </c>
      <c r="N18">
        <v>4.0039999999999997E-3</v>
      </c>
      <c r="O18">
        <v>4.2830000000000003E-3</v>
      </c>
      <c r="P18">
        <v>4.5339999999999998E-3</v>
      </c>
      <c r="Q18">
        <v>4.7619999999999997E-3</v>
      </c>
      <c r="R18">
        <v>4.9760000000000004E-3</v>
      </c>
      <c r="S18">
        <v>5.1679999999999999E-3</v>
      </c>
      <c r="T18">
        <v>5.3449999999999999E-3</v>
      </c>
      <c r="U18">
        <v>5.5059999999999996E-3</v>
      </c>
      <c r="V18">
        <v>5.6420000000000003E-3</v>
      </c>
      <c r="W18">
        <v>5.7540000000000004E-3</v>
      </c>
      <c r="X18">
        <v>5.8479999999999999E-3</v>
      </c>
      <c r="Y18">
        <v>5.9199999999999999E-3</v>
      </c>
      <c r="Z18">
        <v>5.9769999999999997E-3</v>
      </c>
      <c r="AA18">
        <v>6.019E-3</v>
      </c>
      <c r="AB18">
        <v>6.0489999999999997E-3</v>
      </c>
      <c r="AC18">
        <v>6.0699999999999999E-3</v>
      </c>
      <c r="AD18">
        <v>6.0790000000000002E-3</v>
      </c>
      <c r="AE18">
        <v>6.0800000000000003E-3</v>
      </c>
      <c r="AF18">
        <v>6.0730000000000003E-3</v>
      </c>
      <c r="AG18" s="12">
        <v>7.0999999999999994E-2</v>
      </c>
    </row>
    <row r="19" spans="1:33">
      <c r="A19" t="s">
        <v>92</v>
      </c>
      <c r="B19" t="s">
        <v>1111</v>
      </c>
      <c r="C19" t="s">
        <v>1110</v>
      </c>
      <c r="D19" t="s">
        <v>118</v>
      </c>
      <c r="F19">
        <v>1.3639239999999999</v>
      </c>
      <c r="G19">
        <v>1.6967699999999999</v>
      </c>
      <c r="H19">
        <v>2.1010930000000001</v>
      </c>
      <c r="I19">
        <v>2.5268730000000001</v>
      </c>
      <c r="J19">
        <v>2.9791289999999999</v>
      </c>
      <c r="K19">
        <v>3.5089809999999999</v>
      </c>
      <c r="L19">
        <v>4.0691170000000003</v>
      </c>
      <c r="M19">
        <v>4.5565810000000004</v>
      </c>
      <c r="N19">
        <v>5.0722300000000002</v>
      </c>
      <c r="O19">
        <v>5.5800280000000004</v>
      </c>
      <c r="P19">
        <v>6.1040279999999996</v>
      </c>
      <c r="Q19">
        <v>6.6120320000000001</v>
      </c>
      <c r="R19">
        <v>7.1249989999999999</v>
      </c>
      <c r="S19">
        <v>7.669187</v>
      </c>
      <c r="T19">
        <v>8.2990139999999997</v>
      </c>
      <c r="U19">
        <v>9.0218489999999996</v>
      </c>
      <c r="V19">
        <v>9.8359710000000007</v>
      </c>
      <c r="W19">
        <v>10.729393</v>
      </c>
      <c r="X19">
        <v>11.652920999999999</v>
      </c>
      <c r="Y19">
        <v>12.597635</v>
      </c>
      <c r="Z19">
        <v>13.58042</v>
      </c>
      <c r="AA19">
        <v>14.560661</v>
      </c>
      <c r="AB19">
        <v>15.533315999999999</v>
      </c>
      <c r="AC19">
        <v>16.514008</v>
      </c>
      <c r="AD19">
        <v>17.471374999999998</v>
      </c>
      <c r="AE19">
        <v>18.412832000000002</v>
      </c>
      <c r="AF19">
        <v>19.309812999999998</v>
      </c>
      <c r="AG19" s="12">
        <v>0.107</v>
      </c>
    </row>
    <row r="20" spans="1:33">
      <c r="A20" t="s">
        <v>94</v>
      </c>
      <c r="B20" t="s">
        <v>1109</v>
      </c>
      <c r="C20" t="s">
        <v>1108</v>
      </c>
      <c r="D20" t="s">
        <v>118</v>
      </c>
      <c r="F20">
        <v>1.0697620000000001</v>
      </c>
      <c r="G20">
        <v>1.5460320000000001</v>
      </c>
      <c r="H20">
        <v>2.0528270000000002</v>
      </c>
      <c r="I20">
        <v>2.5784729999999998</v>
      </c>
      <c r="J20">
        <v>3.0858810000000001</v>
      </c>
      <c r="K20">
        <v>3.5337329999999998</v>
      </c>
      <c r="L20">
        <v>3.9535309999999999</v>
      </c>
      <c r="M20">
        <v>4.3923189999999996</v>
      </c>
      <c r="N20">
        <v>4.878654</v>
      </c>
      <c r="O20">
        <v>5.3824829999999997</v>
      </c>
      <c r="P20">
        <v>5.9551239999999996</v>
      </c>
      <c r="Q20">
        <v>6.6463650000000003</v>
      </c>
      <c r="R20">
        <v>7.4508869999999998</v>
      </c>
      <c r="S20">
        <v>8.365183</v>
      </c>
      <c r="T20">
        <v>9.3746519999999993</v>
      </c>
      <c r="U20">
        <v>10.466586</v>
      </c>
      <c r="V20">
        <v>11.611726000000001</v>
      </c>
      <c r="W20">
        <v>12.827472</v>
      </c>
      <c r="X20">
        <v>14.085025999999999</v>
      </c>
      <c r="Y20">
        <v>15.387928</v>
      </c>
      <c r="Z20">
        <v>16.711383999999999</v>
      </c>
      <c r="AA20">
        <v>18.014876999999998</v>
      </c>
      <c r="AB20">
        <v>19.292100999999999</v>
      </c>
      <c r="AC20">
        <v>20.535923</v>
      </c>
      <c r="AD20">
        <v>21.704830000000001</v>
      </c>
      <c r="AE20">
        <v>22.812384000000002</v>
      </c>
      <c r="AF20">
        <v>23.858597</v>
      </c>
      <c r="AG20" s="12">
        <v>0.127</v>
      </c>
    </row>
    <row r="21" spans="1:33">
      <c r="A21" t="s">
        <v>95</v>
      </c>
      <c r="B21" t="s">
        <v>1107</v>
      </c>
      <c r="C21" t="s">
        <v>1106</v>
      </c>
      <c r="D21" t="s">
        <v>118</v>
      </c>
      <c r="F21">
        <v>0</v>
      </c>
      <c r="G21">
        <v>0</v>
      </c>
      <c r="H21">
        <v>0</v>
      </c>
      <c r="I21">
        <v>0</v>
      </c>
      <c r="J21">
        <v>0</v>
      </c>
      <c r="K21">
        <v>0</v>
      </c>
      <c r="L21">
        <v>0</v>
      </c>
      <c r="M21">
        <v>0</v>
      </c>
      <c r="N21">
        <v>0</v>
      </c>
      <c r="O21">
        <v>0</v>
      </c>
      <c r="P21">
        <v>0</v>
      </c>
      <c r="Q21">
        <v>0</v>
      </c>
      <c r="R21">
        <v>0</v>
      </c>
      <c r="S21">
        <v>0</v>
      </c>
      <c r="T21">
        <v>0</v>
      </c>
      <c r="U21">
        <v>0</v>
      </c>
      <c r="V21">
        <v>0</v>
      </c>
      <c r="W21">
        <v>0</v>
      </c>
      <c r="X21">
        <v>0</v>
      </c>
      <c r="Y21">
        <v>0</v>
      </c>
      <c r="Z21">
        <v>0</v>
      </c>
      <c r="AA21">
        <v>0</v>
      </c>
      <c r="AB21">
        <v>0</v>
      </c>
      <c r="AC21">
        <v>0</v>
      </c>
      <c r="AD21">
        <v>0</v>
      </c>
      <c r="AE21">
        <v>0</v>
      </c>
      <c r="AF21">
        <v>0</v>
      </c>
      <c r="AG21" t="s">
        <v>6</v>
      </c>
    </row>
    <row r="22" spans="1:33">
      <c r="A22" t="s">
        <v>97</v>
      </c>
      <c r="B22" t="s">
        <v>1105</v>
      </c>
      <c r="C22" t="s">
        <v>1104</v>
      </c>
      <c r="D22" t="s">
        <v>118</v>
      </c>
      <c r="F22">
        <v>6005.1274409999996</v>
      </c>
      <c r="G22">
        <v>6058.611328</v>
      </c>
      <c r="H22">
        <v>6062.5527339999999</v>
      </c>
      <c r="I22">
        <v>6052.2768550000001</v>
      </c>
      <c r="J22">
        <v>6018.6782229999999</v>
      </c>
      <c r="K22">
        <v>5988.8549800000001</v>
      </c>
      <c r="L22">
        <v>5960.1284180000002</v>
      </c>
      <c r="M22">
        <v>5923.4799800000001</v>
      </c>
      <c r="N22">
        <v>5889.1928710000002</v>
      </c>
      <c r="O22">
        <v>5851.3447269999997</v>
      </c>
      <c r="P22">
        <v>5821.859375</v>
      </c>
      <c r="Q22">
        <v>5796.4853519999997</v>
      </c>
      <c r="R22">
        <v>5783.0722660000001</v>
      </c>
      <c r="S22">
        <v>5777.6474609999996</v>
      </c>
      <c r="T22">
        <v>5775.5737300000001</v>
      </c>
      <c r="U22">
        <v>5770.5004879999997</v>
      </c>
      <c r="V22">
        <v>5770.6040039999998</v>
      </c>
      <c r="W22">
        <v>5771.0673829999996</v>
      </c>
      <c r="X22">
        <v>5774.9716799999997</v>
      </c>
      <c r="Y22">
        <v>5776.5786129999997</v>
      </c>
      <c r="Z22">
        <v>5777.7495120000003</v>
      </c>
      <c r="AA22">
        <v>5784.5151370000003</v>
      </c>
      <c r="AB22">
        <v>5789.783203</v>
      </c>
      <c r="AC22">
        <v>5816.3759769999997</v>
      </c>
      <c r="AD22">
        <v>5843.7739259999998</v>
      </c>
      <c r="AE22">
        <v>5867.5810549999997</v>
      </c>
      <c r="AF22">
        <v>5884.5639650000003</v>
      </c>
      <c r="AG22" s="12">
        <v>-1E-3</v>
      </c>
    </row>
    <row r="23" spans="1:33">
      <c r="A23" t="s">
        <v>98</v>
      </c>
      <c r="B23" t="s">
        <v>1103</v>
      </c>
      <c r="C23" t="s">
        <v>1102</v>
      </c>
      <c r="D23" t="s">
        <v>118</v>
      </c>
      <c r="F23">
        <v>682.64904799999999</v>
      </c>
      <c r="G23">
        <v>696.67846699999996</v>
      </c>
      <c r="H23">
        <v>706.45770300000004</v>
      </c>
      <c r="I23">
        <v>715.23767099999998</v>
      </c>
      <c r="J23">
        <v>725.20898399999999</v>
      </c>
      <c r="K23">
        <v>740.442139</v>
      </c>
      <c r="L23">
        <v>759.80108600000005</v>
      </c>
      <c r="M23">
        <v>781.30432099999996</v>
      </c>
      <c r="N23">
        <v>805.93072500000005</v>
      </c>
      <c r="O23">
        <v>832.13165300000003</v>
      </c>
      <c r="P23">
        <v>860.34063700000002</v>
      </c>
      <c r="Q23">
        <v>888.86492899999996</v>
      </c>
      <c r="R23">
        <v>918.140625</v>
      </c>
      <c r="S23">
        <v>947.66625999999997</v>
      </c>
      <c r="T23">
        <v>976.79376200000002</v>
      </c>
      <c r="U23">
        <v>1005.037659</v>
      </c>
      <c r="V23">
        <v>1032.881592</v>
      </c>
      <c r="W23">
        <v>1058.080078</v>
      </c>
      <c r="X23">
        <v>1081.025513</v>
      </c>
      <c r="Y23">
        <v>1100.698486</v>
      </c>
      <c r="Z23">
        <v>1118.5776370000001</v>
      </c>
      <c r="AA23">
        <v>1136.2543949999999</v>
      </c>
      <c r="AB23">
        <v>1152.5543210000001</v>
      </c>
      <c r="AC23">
        <v>1171.06665</v>
      </c>
      <c r="AD23">
        <v>1187.4848629999999</v>
      </c>
      <c r="AE23">
        <v>1201.6254879999999</v>
      </c>
      <c r="AF23">
        <v>1213.2468260000001</v>
      </c>
      <c r="AG23" s="12">
        <v>2.1999999999999999E-2</v>
      </c>
    </row>
    <row r="24" spans="1:33">
      <c r="A24" t="s">
        <v>91</v>
      </c>
      <c r="B24" t="s">
        <v>1101</v>
      </c>
      <c r="C24" t="s">
        <v>1100</v>
      </c>
      <c r="D24" t="s">
        <v>118</v>
      </c>
      <c r="F24">
        <v>5262.0546880000002</v>
      </c>
      <c r="G24">
        <v>5295.5166019999997</v>
      </c>
      <c r="H24">
        <v>5284.3710940000001</v>
      </c>
      <c r="I24">
        <v>5261.173828</v>
      </c>
      <c r="J24">
        <v>5214.8681640000004</v>
      </c>
      <c r="K24">
        <v>5167.3994140000004</v>
      </c>
      <c r="L24">
        <v>5117.4399409999996</v>
      </c>
      <c r="M24">
        <v>5057.9794920000004</v>
      </c>
      <c r="N24">
        <v>4997.7973629999997</v>
      </c>
      <c r="O24">
        <v>4932.8691410000001</v>
      </c>
      <c r="P24">
        <v>4873.9633789999998</v>
      </c>
      <c r="Q24">
        <v>4818.3222660000001</v>
      </c>
      <c r="R24">
        <v>4773.3173829999996</v>
      </c>
      <c r="S24">
        <v>4735.3779299999997</v>
      </c>
      <c r="T24">
        <v>4700.5795900000003</v>
      </c>
      <c r="U24">
        <v>4663.09375</v>
      </c>
      <c r="V24">
        <v>4630.2001950000003</v>
      </c>
      <c r="W24">
        <v>4599.0820309999999</v>
      </c>
      <c r="X24">
        <v>4572.8413090000004</v>
      </c>
      <c r="Y24">
        <v>4547.0268550000001</v>
      </c>
      <c r="Z24">
        <v>4522.3266599999997</v>
      </c>
      <c r="AA24">
        <v>4502.796875</v>
      </c>
      <c r="AB24">
        <v>4482.5249020000001</v>
      </c>
      <c r="AC24">
        <v>4479.8339839999999</v>
      </c>
      <c r="AD24">
        <v>4478.9736329999996</v>
      </c>
      <c r="AE24">
        <v>4475.9814450000003</v>
      </c>
      <c r="AF24">
        <v>4467.7338870000003</v>
      </c>
      <c r="AG24" s="12">
        <v>-6.0000000000000001E-3</v>
      </c>
    </row>
    <row r="25" spans="1:33">
      <c r="A25" t="s">
        <v>92</v>
      </c>
      <c r="B25" t="s">
        <v>1099</v>
      </c>
      <c r="C25" t="s">
        <v>1098</v>
      </c>
      <c r="D25" t="s">
        <v>118</v>
      </c>
      <c r="F25">
        <v>55.106686000000003</v>
      </c>
      <c r="G25">
        <v>60.266616999999997</v>
      </c>
      <c r="H25">
        <v>64.839827999999997</v>
      </c>
      <c r="I25">
        <v>68.349625000000003</v>
      </c>
      <c r="J25">
        <v>70.525550999999993</v>
      </c>
      <c r="K25">
        <v>72.469809999999995</v>
      </c>
      <c r="L25">
        <v>73.923186999999999</v>
      </c>
      <c r="M25">
        <v>74.768660999999994</v>
      </c>
      <c r="N25">
        <v>75.424942000000001</v>
      </c>
      <c r="O25">
        <v>75.820374000000001</v>
      </c>
      <c r="P25">
        <v>76.349898999999994</v>
      </c>
      <c r="Q25">
        <v>77.040145999999993</v>
      </c>
      <c r="R25">
        <v>77.877280999999996</v>
      </c>
      <c r="S25">
        <v>79.043143999999998</v>
      </c>
      <c r="T25">
        <v>80.450858999999994</v>
      </c>
      <c r="U25">
        <v>82.033744999999996</v>
      </c>
      <c r="V25">
        <v>84.148926000000003</v>
      </c>
      <c r="W25">
        <v>86.843947999999997</v>
      </c>
      <c r="X25">
        <v>89.839264</v>
      </c>
      <c r="Y25">
        <v>92.977112000000005</v>
      </c>
      <c r="Z25">
        <v>96.314857000000003</v>
      </c>
      <c r="AA25">
        <v>100.060036</v>
      </c>
      <c r="AB25">
        <v>104.284363</v>
      </c>
      <c r="AC25">
        <v>109.62687699999999</v>
      </c>
      <c r="AD25">
        <v>115.90031399999999</v>
      </c>
      <c r="AE25">
        <v>122.995178</v>
      </c>
      <c r="AF25">
        <v>131.06424000000001</v>
      </c>
      <c r="AG25" s="12">
        <v>3.4000000000000002E-2</v>
      </c>
    </row>
    <row r="26" spans="1:33">
      <c r="A26" t="s">
        <v>93</v>
      </c>
      <c r="B26" t="s">
        <v>1097</v>
      </c>
      <c r="C26" t="s">
        <v>1096</v>
      </c>
      <c r="D26" t="s">
        <v>118</v>
      </c>
      <c r="F26">
        <v>1.63686</v>
      </c>
      <c r="G26">
        <v>1.8039179999999999</v>
      </c>
      <c r="H26">
        <v>1.9553450000000001</v>
      </c>
      <c r="I26">
        <v>2.095329</v>
      </c>
      <c r="J26">
        <v>2.202966</v>
      </c>
      <c r="K26">
        <v>2.2743500000000001</v>
      </c>
      <c r="L26">
        <v>2.341685</v>
      </c>
      <c r="M26">
        <v>2.3793389999999999</v>
      </c>
      <c r="N26">
        <v>2.4041060000000001</v>
      </c>
      <c r="O26">
        <v>2.4123800000000002</v>
      </c>
      <c r="P26">
        <v>2.4138890000000002</v>
      </c>
      <c r="Q26">
        <v>2.405564</v>
      </c>
      <c r="R26">
        <v>2.395575</v>
      </c>
      <c r="S26">
        <v>2.3836390000000001</v>
      </c>
      <c r="T26">
        <v>2.3738160000000001</v>
      </c>
      <c r="U26">
        <v>2.3633470000000001</v>
      </c>
      <c r="V26">
        <v>2.356134</v>
      </c>
      <c r="W26">
        <v>2.346463</v>
      </c>
      <c r="X26">
        <v>2.3374450000000002</v>
      </c>
      <c r="Y26">
        <v>2.3282379999999998</v>
      </c>
      <c r="Z26">
        <v>2.3202970000000001</v>
      </c>
      <c r="AA26">
        <v>2.3174630000000001</v>
      </c>
      <c r="AB26">
        <v>2.3153820000000001</v>
      </c>
      <c r="AC26">
        <v>2.323302</v>
      </c>
      <c r="AD26">
        <v>2.3276080000000001</v>
      </c>
      <c r="AE26">
        <v>2.3246549999999999</v>
      </c>
      <c r="AF26">
        <v>2.3222160000000001</v>
      </c>
      <c r="AG26" s="12">
        <v>1.4E-2</v>
      </c>
    </row>
    <row r="27" spans="1:33">
      <c r="A27" t="s">
        <v>90</v>
      </c>
      <c r="B27" t="s">
        <v>1095</v>
      </c>
      <c r="C27" t="s">
        <v>1094</v>
      </c>
      <c r="D27" t="s">
        <v>118</v>
      </c>
      <c r="F27">
        <v>1.4276580000000001</v>
      </c>
      <c r="G27">
        <v>1.318281</v>
      </c>
      <c r="H27">
        <v>1.1735040000000001</v>
      </c>
      <c r="I27">
        <v>1.023695</v>
      </c>
      <c r="J27">
        <v>0.946716</v>
      </c>
      <c r="K27">
        <v>0.89150200000000002</v>
      </c>
      <c r="L27">
        <v>0.83629500000000001</v>
      </c>
      <c r="M27">
        <v>0.763683</v>
      </c>
      <c r="N27">
        <v>0.70567800000000003</v>
      </c>
      <c r="O27">
        <v>0.65266599999999997</v>
      </c>
      <c r="P27">
        <v>0.59577599999999997</v>
      </c>
      <c r="Q27">
        <v>0.54799399999999998</v>
      </c>
      <c r="R27">
        <v>0.50356299999999998</v>
      </c>
      <c r="S27">
        <v>0.46726000000000001</v>
      </c>
      <c r="T27">
        <v>0.42045199999999999</v>
      </c>
      <c r="U27">
        <v>0.38884400000000002</v>
      </c>
      <c r="V27">
        <v>0.357379</v>
      </c>
      <c r="W27">
        <v>0.32849600000000001</v>
      </c>
      <c r="X27">
        <v>0.30108299999999999</v>
      </c>
      <c r="Y27">
        <v>0.27498400000000001</v>
      </c>
      <c r="Z27">
        <v>0.25062299999999998</v>
      </c>
      <c r="AA27">
        <v>0.22716500000000001</v>
      </c>
      <c r="AB27">
        <v>0.20371</v>
      </c>
      <c r="AC27">
        <v>0.18196599999999999</v>
      </c>
      <c r="AD27">
        <v>0.15764400000000001</v>
      </c>
      <c r="AE27">
        <v>0.13266900000000001</v>
      </c>
      <c r="AF27">
        <v>0.106854</v>
      </c>
      <c r="AG27" s="12">
        <v>-9.5000000000000001E-2</v>
      </c>
    </row>
    <row r="28" spans="1:33">
      <c r="A28" t="s">
        <v>94</v>
      </c>
      <c r="B28" t="s">
        <v>1093</v>
      </c>
      <c r="C28" t="s">
        <v>1092</v>
      </c>
      <c r="D28" t="s">
        <v>118</v>
      </c>
      <c r="F28">
        <v>2.2528419999999998</v>
      </c>
      <c r="G28">
        <v>3.0272250000000001</v>
      </c>
      <c r="H28">
        <v>3.7554750000000001</v>
      </c>
      <c r="I28">
        <v>4.3965420000000002</v>
      </c>
      <c r="J28">
        <v>4.9255509999999996</v>
      </c>
      <c r="K28">
        <v>5.3774040000000003</v>
      </c>
      <c r="L28">
        <v>5.785533</v>
      </c>
      <c r="M28">
        <v>6.2847600000000003</v>
      </c>
      <c r="N28">
        <v>6.9303150000000002</v>
      </c>
      <c r="O28">
        <v>7.4577920000000004</v>
      </c>
      <c r="P28">
        <v>8.1955190000000009</v>
      </c>
      <c r="Q28">
        <v>9.3046340000000001</v>
      </c>
      <c r="R28">
        <v>10.838058</v>
      </c>
      <c r="S28">
        <v>12.709625000000001</v>
      </c>
      <c r="T28">
        <v>14.955209</v>
      </c>
      <c r="U28">
        <v>17.583475</v>
      </c>
      <c r="V28">
        <v>20.659679000000001</v>
      </c>
      <c r="W28">
        <v>24.386471</v>
      </c>
      <c r="X28">
        <v>28.626867000000001</v>
      </c>
      <c r="Y28">
        <v>33.272857999999999</v>
      </c>
      <c r="Z28">
        <v>37.959400000000002</v>
      </c>
      <c r="AA28">
        <v>42.859276000000001</v>
      </c>
      <c r="AB28">
        <v>47.901051000000002</v>
      </c>
      <c r="AC28">
        <v>53.343429999999998</v>
      </c>
      <c r="AD28">
        <v>58.929783</v>
      </c>
      <c r="AE28">
        <v>64.521468999999996</v>
      </c>
      <c r="AF28">
        <v>70.089607000000001</v>
      </c>
      <c r="AG28" s="12">
        <v>0.14099999999999999</v>
      </c>
    </row>
    <row r="29" spans="1:33">
      <c r="A29" t="s">
        <v>95</v>
      </c>
      <c r="B29" t="s">
        <v>1091</v>
      </c>
      <c r="C29" t="s">
        <v>1090</v>
      </c>
      <c r="D29" t="s">
        <v>118</v>
      </c>
      <c r="F29">
        <v>0</v>
      </c>
      <c r="G29">
        <v>0</v>
      </c>
      <c r="H29">
        <v>0</v>
      </c>
      <c r="I29">
        <v>0</v>
      </c>
      <c r="J29">
        <v>0</v>
      </c>
      <c r="K29">
        <v>0</v>
      </c>
      <c r="L29">
        <v>0</v>
      </c>
      <c r="M29">
        <v>0</v>
      </c>
      <c r="N29">
        <v>0</v>
      </c>
      <c r="O29">
        <v>0</v>
      </c>
      <c r="P29">
        <v>0</v>
      </c>
      <c r="Q29">
        <v>0</v>
      </c>
      <c r="R29">
        <v>0</v>
      </c>
      <c r="S29">
        <v>0</v>
      </c>
      <c r="T29">
        <v>0</v>
      </c>
      <c r="U29">
        <v>0</v>
      </c>
      <c r="V29">
        <v>0</v>
      </c>
      <c r="W29">
        <v>0</v>
      </c>
      <c r="X29">
        <v>0</v>
      </c>
      <c r="Y29">
        <v>0</v>
      </c>
      <c r="Z29">
        <v>0</v>
      </c>
      <c r="AA29">
        <v>0</v>
      </c>
      <c r="AB29">
        <v>0</v>
      </c>
      <c r="AC29">
        <v>0</v>
      </c>
      <c r="AD29">
        <v>0</v>
      </c>
      <c r="AE29">
        <v>0</v>
      </c>
      <c r="AF29">
        <v>0</v>
      </c>
      <c r="AG29" t="s">
        <v>6</v>
      </c>
    </row>
    <row r="30" spans="1:33">
      <c r="A30" t="s">
        <v>99</v>
      </c>
      <c r="B30" t="s">
        <v>1089</v>
      </c>
      <c r="C30" t="s">
        <v>1088</v>
      </c>
      <c r="D30" t="s">
        <v>118</v>
      </c>
      <c r="F30">
        <v>434.230682</v>
      </c>
      <c r="G30">
        <v>443.75869799999998</v>
      </c>
      <c r="H30">
        <v>432.581299</v>
      </c>
      <c r="I30">
        <v>417.75234999999998</v>
      </c>
      <c r="J30">
        <v>417.42465199999998</v>
      </c>
      <c r="K30">
        <v>415.93777499999999</v>
      </c>
      <c r="L30">
        <v>403.47412100000003</v>
      </c>
      <c r="M30">
        <v>403.17804000000001</v>
      </c>
      <c r="N30">
        <v>383.83212300000002</v>
      </c>
      <c r="O30">
        <v>385.30667099999999</v>
      </c>
      <c r="P30">
        <v>381.27539100000001</v>
      </c>
      <c r="Q30">
        <v>381.04003899999998</v>
      </c>
      <c r="R30">
        <v>382.19842499999999</v>
      </c>
      <c r="S30">
        <v>383.73739599999999</v>
      </c>
      <c r="T30">
        <v>388.55950899999999</v>
      </c>
      <c r="U30">
        <v>385.72473100000002</v>
      </c>
      <c r="V30">
        <v>387.17019699999997</v>
      </c>
      <c r="W30">
        <v>387.33422899999999</v>
      </c>
      <c r="X30">
        <v>388.97726399999999</v>
      </c>
      <c r="Y30">
        <v>390.85006700000002</v>
      </c>
      <c r="Z30">
        <v>391.76263399999999</v>
      </c>
      <c r="AA30">
        <v>392.73843399999998</v>
      </c>
      <c r="AB30">
        <v>392.65093999999999</v>
      </c>
      <c r="AC30">
        <v>396.48129299999999</v>
      </c>
      <c r="AD30">
        <v>399.58117700000003</v>
      </c>
      <c r="AE30">
        <v>402.097534</v>
      </c>
      <c r="AF30">
        <v>402.97448700000001</v>
      </c>
      <c r="AG30" s="12">
        <v>-3.0000000000000001E-3</v>
      </c>
    </row>
    <row r="31" spans="1:33">
      <c r="A31" t="s">
        <v>91</v>
      </c>
      <c r="B31" t="s">
        <v>1087</v>
      </c>
      <c r="C31" t="s">
        <v>1086</v>
      </c>
      <c r="D31" t="s">
        <v>118</v>
      </c>
      <c r="F31">
        <v>434.230682</v>
      </c>
      <c r="G31">
        <v>443.75869799999998</v>
      </c>
      <c r="H31">
        <v>432.581299</v>
      </c>
      <c r="I31">
        <v>417.75234999999998</v>
      </c>
      <c r="J31">
        <v>417.42465199999998</v>
      </c>
      <c r="K31">
        <v>415.93777499999999</v>
      </c>
      <c r="L31">
        <v>403.47412100000003</v>
      </c>
      <c r="M31">
        <v>403.17804000000001</v>
      </c>
      <c r="N31">
        <v>383.83212300000002</v>
      </c>
      <c r="O31">
        <v>385.30667099999999</v>
      </c>
      <c r="P31">
        <v>381.27539100000001</v>
      </c>
      <c r="Q31">
        <v>381.04003899999998</v>
      </c>
      <c r="R31">
        <v>382.19842499999999</v>
      </c>
      <c r="S31">
        <v>383.73739599999999</v>
      </c>
      <c r="T31">
        <v>388.55950899999999</v>
      </c>
      <c r="U31">
        <v>385.72473100000002</v>
      </c>
      <c r="V31">
        <v>387.17019699999997</v>
      </c>
      <c r="W31">
        <v>387.33422899999999</v>
      </c>
      <c r="X31">
        <v>388.97726399999999</v>
      </c>
      <c r="Y31">
        <v>390.85006700000002</v>
      </c>
      <c r="Z31">
        <v>391.76263399999999</v>
      </c>
      <c r="AA31">
        <v>392.73843399999998</v>
      </c>
      <c r="AB31">
        <v>392.65093999999999</v>
      </c>
      <c r="AC31">
        <v>396.48129299999999</v>
      </c>
      <c r="AD31">
        <v>399.58117700000003</v>
      </c>
      <c r="AE31">
        <v>402.097534</v>
      </c>
      <c r="AF31">
        <v>402.97448700000001</v>
      </c>
      <c r="AG31" s="12">
        <v>-3.0000000000000001E-3</v>
      </c>
    </row>
    <row r="32" spans="1:33">
      <c r="A32" t="s">
        <v>100</v>
      </c>
      <c r="B32" t="s">
        <v>1085</v>
      </c>
      <c r="C32" t="s">
        <v>1084</v>
      </c>
      <c r="D32" t="s">
        <v>118</v>
      </c>
      <c r="F32">
        <v>0</v>
      </c>
      <c r="G32">
        <v>0</v>
      </c>
      <c r="H32">
        <v>0</v>
      </c>
      <c r="I32">
        <v>0</v>
      </c>
      <c r="J32">
        <v>0</v>
      </c>
      <c r="K32">
        <v>0</v>
      </c>
      <c r="L32">
        <v>0</v>
      </c>
      <c r="M32">
        <v>0</v>
      </c>
      <c r="N32">
        <v>0</v>
      </c>
      <c r="O32">
        <v>0</v>
      </c>
      <c r="P32">
        <v>0</v>
      </c>
      <c r="Q32">
        <v>0</v>
      </c>
      <c r="R32">
        <v>0</v>
      </c>
      <c r="S32">
        <v>0</v>
      </c>
      <c r="T32">
        <v>0</v>
      </c>
      <c r="U32">
        <v>0</v>
      </c>
      <c r="V32">
        <v>0</v>
      </c>
      <c r="W32">
        <v>0</v>
      </c>
      <c r="X32">
        <v>0</v>
      </c>
      <c r="Y32">
        <v>0</v>
      </c>
      <c r="Z32">
        <v>0</v>
      </c>
      <c r="AA32">
        <v>0</v>
      </c>
      <c r="AB32">
        <v>0</v>
      </c>
      <c r="AC32">
        <v>0</v>
      </c>
      <c r="AD32">
        <v>0</v>
      </c>
      <c r="AE32">
        <v>0</v>
      </c>
      <c r="AF32">
        <v>0</v>
      </c>
      <c r="AG32" t="s">
        <v>6</v>
      </c>
    </row>
    <row r="33" spans="1:33">
      <c r="A33" t="s">
        <v>101</v>
      </c>
      <c r="B33" t="s">
        <v>1083</v>
      </c>
      <c r="C33" t="s">
        <v>1082</v>
      </c>
      <c r="D33" t="s">
        <v>118</v>
      </c>
      <c r="F33">
        <v>0</v>
      </c>
      <c r="G33">
        <v>0</v>
      </c>
      <c r="H33">
        <v>0</v>
      </c>
      <c r="I33">
        <v>0</v>
      </c>
      <c r="J33">
        <v>0</v>
      </c>
      <c r="K33">
        <v>0</v>
      </c>
      <c r="L33">
        <v>0</v>
      </c>
      <c r="M33">
        <v>0</v>
      </c>
      <c r="N33">
        <v>0</v>
      </c>
      <c r="O33">
        <v>0</v>
      </c>
      <c r="P33">
        <v>0</v>
      </c>
      <c r="Q33">
        <v>0</v>
      </c>
      <c r="R33">
        <v>0</v>
      </c>
      <c r="S33">
        <v>0</v>
      </c>
      <c r="T33">
        <v>0</v>
      </c>
      <c r="U33">
        <v>0</v>
      </c>
      <c r="V33">
        <v>0</v>
      </c>
      <c r="W33">
        <v>0</v>
      </c>
      <c r="X33">
        <v>0</v>
      </c>
      <c r="Y33">
        <v>0</v>
      </c>
      <c r="Z33">
        <v>0</v>
      </c>
      <c r="AA33">
        <v>0</v>
      </c>
      <c r="AB33">
        <v>0</v>
      </c>
      <c r="AC33">
        <v>0</v>
      </c>
      <c r="AD33">
        <v>0</v>
      </c>
      <c r="AE33">
        <v>0</v>
      </c>
      <c r="AF33">
        <v>0</v>
      </c>
      <c r="AG33" t="s">
        <v>6</v>
      </c>
    </row>
    <row r="34" spans="1:33">
      <c r="A34" t="s">
        <v>102</v>
      </c>
      <c r="B34" t="s">
        <v>1081</v>
      </c>
      <c r="C34" t="s">
        <v>1080</v>
      </c>
      <c r="D34" t="s">
        <v>118</v>
      </c>
      <c r="F34">
        <v>0</v>
      </c>
      <c r="G34">
        <v>0</v>
      </c>
      <c r="H34">
        <v>0</v>
      </c>
      <c r="I34">
        <v>0</v>
      </c>
      <c r="J34">
        <v>0</v>
      </c>
      <c r="K34">
        <v>0</v>
      </c>
      <c r="L34">
        <v>0</v>
      </c>
      <c r="M34">
        <v>0</v>
      </c>
      <c r="N34">
        <v>0</v>
      </c>
      <c r="O34">
        <v>0</v>
      </c>
      <c r="P34">
        <v>0</v>
      </c>
      <c r="Q34">
        <v>0</v>
      </c>
      <c r="R34">
        <v>0</v>
      </c>
      <c r="S34">
        <v>0</v>
      </c>
      <c r="T34">
        <v>0</v>
      </c>
      <c r="U34">
        <v>0</v>
      </c>
      <c r="V34">
        <v>0</v>
      </c>
      <c r="W34">
        <v>0</v>
      </c>
      <c r="X34">
        <v>0</v>
      </c>
      <c r="Y34">
        <v>0</v>
      </c>
      <c r="Z34">
        <v>0</v>
      </c>
      <c r="AA34">
        <v>0</v>
      </c>
      <c r="AB34">
        <v>0</v>
      </c>
      <c r="AC34">
        <v>0</v>
      </c>
      <c r="AD34">
        <v>0</v>
      </c>
      <c r="AE34">
        <v>0</v>
      </c>
      <c r="AF34">
        <v>0</v>
      </c>
      <c r="AG34" t="s">
        <v>6</v>
      </c>
    </row>
    <row r="35" spans="1:33" s="1" customFormat="1">
      <c r="A35" s="1" t="s">
        <v>12</v>
      </c>
      <c r="B35" s="1" t="s">
        <v>1079</v>
      </c>
      <c r="C35" s="1" t="s">
        <v>1078</v>
      </c>
      <c r="D35" s="1" t="s">
        <v>118</v>
      </c>
      <c r="F35" s="1">
        <v>94.440971000000005</v>
      </c>
      <c r="G35" s="1">
        <v>95.330078</v>
      </c>
      <c r="H35" s="1">
        <v>94.566444000000004</v>
      </c>
      <c r="I35" s="1">
        <v>93.798164</v>
      </c>
      <c r="J35" s="1">
        <v>93.107506000000001</v>
      </c>
      <c r="K35" s="1">
        <v>92.339127000000005</v>
      </c>
      <c r="L35" s="1">
        <v>91.480575999999999</v>
      </c>
      <c r="M35" s="1">
        <v>90.543334999999999</v>
      </c>
      <c r="N35" s="1">
        <v>89.462424999999996</v>
      </c>
      <c r="O35" s="1">
        <v>88.707656999999998</v>
      </c>
      <c r="P35" s="1">
        <v>88.034156999999993</v>
      </c>
      <c r="Q35" s="1">
        <v>87.319710000000001</v>
      </c>
      <c r="R35" s="1">
        <v>86.579650999999998</v>
      </c>
      <c r="S35" s="1">
        <v>85.944571999999994</v>
      </c>
      <c r="T35" s="1">
        <v>85.341614000000007</v>
      </c>
      <c r="U35" s="1">
        <v>84.675208999999995</v>
      </c>
      <c r="V35" s="1">
        <v>84.112099000000001</v>
      </c>
      <c r="W35" s="1">
        <v>83.540062000000006</v>
      </c>
      <c r="X35" s="1">
        <v>82.973929999999996</v>
      </c>
      <c r="Y35" s="1">
        <v>82.355484000000004</v>
      </c>
      <c r="Z35" s="1">
        <v>81.679946999999999</v>
      </c>
      <c r="AA35" s="1">
        <v>81.034569000000005</v>
      </c>
      <c r="AB35" s="1">
        <v>80.382202000000007</v>
      </c>
      <c r="AC35" s="1">
        <v>79.953879999999998</v>
      </c>
      <c r="AD35" s="1">
        <v>79.430321000000006</v>
      </c>
      <c r="AE35" s="1">
        <v>78.866470000000007</v>
      </c>
      <c r="AF35" s="1">
        <v>78.277953999999994</v>
      </c>
      <c r="AG35" s="104">
        <v>-7.0000000000000001E-3</v>
      </c>
    </row>
    <row r="36" spans="1:33" s="83" customFormat="1">
      <c r="A36" s="83" t="s">
        <v>91</v>
      </c>
      <c r="B36" s="83" t="s">
        <v>1077</v>
      </c>
      <c r="C36" s="83" t="s">
        <v>1076</v>
      </c>
      <c r="D36" s="83" t="s">
        <v>118</v>
      </c>
      <c r="F36" s="83">
        <v>92.332252999999994</v>
      </c>
      <c r="G36" s="83">
        <v>93.278983999999994</v>
      </c>
      <c r="H36" s="83">
        <v>92.539314000000005</v>
      </c>
      <c r="I36" s="83">
        <v>91.795044000000004</v>
      </c>
      <c r="J36" s="83">
        <v>91.125641000000002</v>
      </c>
      <c r="K36" s="83">
        <v>90.379990000000006</v>
      </c>
      <c r="L36" s="83">
        <v>89.546463000000003</v>
      </c>
      <c r="M36" s="83">
        <v>88.635925</v>
      </c>
      <c r="N36" s="83">
        <v>87.584746999999993</v>
      </c>
      <c r="O36" s="83">
        <v>86.852417000000003</v>
      </c>
      <c r="P36" s="83">
        <v>86.199318000000005</v>
      </c>
      <c r="Q36" s="83">
        <v>85.505904999999998</v>
      </c>
      <c r="R36" s="83">
        <v>84.786452999999995</v>
      </c>
      <c r="S36" s="83">
        <v>84.170158000000001</v>
      </c>
      <c r="T36" s="83">
        <v>83.586044000000001</v>
      </c>
      <c r="U36" s="83">
        <v>82.940169999999995</v>
      </c>
      <c r="V36" s="83">
        <v>82.351212000000004</v>
      </c>
      <c r="W36" s="83">
        <v>81.693588000000005</v>
      </c>
      <c r="X36" s="83">
        <v>81.036438000000004</v>
      </c>
      <c r="Y36" s="83">
        <v>80.322616999999994</v>
      </c>
      <c r="Z36" s="83">
        <v>79.547393999999997</v>
      </c>
      <c r="AA36" s="83">
        <v>78.795531999999994</v>
      </c>
      <c r="AB36" s="83">
        <v>78.030472000000003</v>
      </c>
      <c r="AC36" s="83">
        <v>77.475707999999997</v>
      </c>
      <c r="AD36" s="83">
        <v>76.820853999999997</v>
      </c>
      <c r="AE36" s="83">
        <v>76.119011</v>
      </c>
      <c r="AF36" s="83">
        <v>75.385009999999994</v>
      </c>
      <c r="AG36" s="84">
        <v>-8.0000000000000002E-3</v>
      </c>
    </row>
    <row r="37" spans="1:33" s="83" customFormat="1">
      <c r="A37" s="83" t="s">
        <v>103</v>
      </c>
      <c r="B37" s="83" t="s">
        <v>1075</v>
      </c>
      <c r="C37" s="83" t="s">
        <v>1074</v>
      </c>
      <c r="D37" s="83" t="s">
        <v>118</v>
      </c>
      <c r="F37" s="83">
        <v>1.3822049999999999</v>
      </c>
      <c r="G37" s="83">
        <v>1.2632559999999999</v>
      </c>
      <c r="H37" s="83">
        <v>1.198018</v>
      </c>
      <c r="I37" s="83">
        <v>1.1309709999999999</v>
      </c>
      <c r="J37" s="83">
        <v>1.0674129999999999</v>
      </c>
      <c r="K37" s="83">
        <v>1.0042279999999999</v>
      </c>
      <c r="L37" s="83">
        <v>0.937581</v>
      </c>
      <c r="M37" s="83">
        <v>0.868587</v>
      </c>
      <c r="N37" s="83">
        <v>0.80069400000000002</v>
      </c>
      <c r="O37" s="83">
        <v>0.73563800000000001</v>
      </c>
      <c r="P37" s="83">
        <v>0.673956</v>
      </c>
      <c r="Q37" s="83">
        <v>0.61449699999999996</v>
      </c>
      <c r="R37" s="83">
        <v>0.56326799999999999</v>
      </c>
      <c r="S37" s="83">
        <v>0.50884700000000005</v>
      </c>
      <c r="T37" s="83">
        <v>0.44785000000000003</v>
      </c>
      <c r="U37" s="83">
        <v>0.38284099999999999</v>
      </c>
      <c r="V37" s="83">
        <v>0.32558700000000002</v>
      </c>
      <c r="W37" s="83">
        <v>0.32329599999999997</v>
      </c>
      <c r="X37" s="83">
        <v>0.321021</v>
      </c>
      <c r="Y37" s="83">
        <v>0.31855600000000001</v>
      </c>
      <c r="Z37" s="83">
        <v>0.31585600000000003</v>
      </c>
      <c r="AA37" s="83">
        <v>0.31325799999999998</v>
      </c>
      <c r="AB37" s="83">
        <v>0.310612</v>
      </c>
      <c r="AC37" s="83">
        <v>0.30888199999999999</v>
      </c>
      <c r="AD37" s="83">
        <v>0.306782</v>
      </c>
      <c r="AE37" s="83">
        <v>0.30452499999999999</v>
      </c>
      <c r="AF37" s="83">
        <v>0.302176</v>
      </c>
      <c r="AG37" s="84">
        <v>-5.7000000000000002E-2</v>
      </c>
    </row>
    <row r="38" spans="1:33">
      <c r="A38" t="s">
        <v>101</v>
      </c>
      <c r="B38" t="s">
        <v>1073</v>
      </c>
      <c r="C38" t="s">
        <v>1072</v>
      </c>
      <c r="D38" t="s">
        <v>118</v>
      </c>
      <c r="F38">
        <v>0</v>
      </c>
      <c r="G38">
        <v>0</v>
      </c>
      <c r="H38">
        <v>0</v>
      </c>
      <c r="I38">
        <v>0</v>
      </c>
      <c r="J38">
        <v>0</v>
      </c>
      <c r="K38">
        <v>0</v>
      </c>
      <c r="L38">
        <v>0</v>
      </c>
      <c r="M38">
        <v>0</v>
      </c>
      <c r="N38">
        <v>0</v>
      </c>
      <c r="O38">
        <v>0</v>
      </c>
      <c r="P38">
        <v>0</v>
      </c>
      <c r="Q38">
        <v>0</v>
      </c>
      <c r="R38">
        <v>0</v>
      </c>
      <c r="S38">
        <v>0</v>
      </c>
      <c r="T38">
        <v>0</v>
      </c>
      <c r="U38">
        <v>0</v>
      </c>
      <c r="V38">
        <v>0</v>
      </c>
      <c r="W38">
        <v>0</v>
      </c>
      <c r="X38">
        <v>0</v>
      </c>
      <c r="Y38">
        <v>0</v>
      </c>
      <c r="Z38">
        <v>0</v>
      </c>
      <c r="AA38">
        <v>0</v>
      </c>
      <c r="AB38">
        <v>0</v>
      </c>
      <c r="AC38">
        <v>0</v>
      </c>
      <c r="AD38">
        <v>0</v>
      </c>
      <c r="AE38">
        <v>0</v>
      </c>
      <c r="AF38">
        <v>0</v>
      </c>
      <c r="AG38" t="s">
        <v>6</v>
      </c>
    </row>
    <row r="39" spans="1:33">
      <c r="A39" t="s">
        <v>102</v>
      </c>
      <c r="B39" t="s">
        <v>1071</v>
      </c>
      <c r="C39" t="s">
        <v>1070</v>
      </c>
      <c r="D39" t="s">
        <v>118</v>
      </c>
      <c r="F39">
        <v>0.72651399999999999</v>
      </c>
      <c r="G39">
        <v>0.78784500000000002</v>
      </c>
      <c r="H39">
        <v>0.82910799999999996</v>
      </c>
      <c r="I39">
        <v>0.87214700000000001</v>
      </c>
      <c r="J39">
        <v>0.91445100000000001</v>
      </c>
      <c r="K39">
        <v>0.95491099999999995</v>
      </c>
      <c r="L39">
        <v>0.99653099999999994</v>
      </c>
      <c r="M39">
        <v>1.038818</v>
      </c>
      <c r="N39">
        <v>1.0769789999999999</v>
      </c>
      <c r="O39">
        <v>1.119599</v>
      </c>
      <c r="P39">
        <v>1.1608780000000001</v>
      </c>
      <c r="Q39">
        <v>1.199308</v>
      </c>
      <c r="R39">
        <v>1.229924</v>
      </c>
      <c r="S39">
        <v>1.2655670000000001</v>
      </c>
      <c r="T39">
        <v>1.3077129999999999</v>
      </c>
      <c r="U39">
        <v>1.352198</v>
      </c>
      <c r="V39">
        <v>1.4353050000000001</v>
      </c>
      <c r="W39">
        <v>1.5231779999999999</v>
      </c>
      <c r="X39">
        <v>1.616471</v>
      </c>
      <c r="Y39">
        <v>1.7143079999999999</v>
      </c>
      <c r="Z39">
        <v>1.8166960000000001</v>
      </c>
      <c r="AA39">
        <v>1.9257839999999999</v>
      </c>
      <c r="AB39">
        <v>2.0411160000000002</v>
      </c>
      <c r="AC39">
        <v>2.1692900000000002</v>
      </c>
      <c r="AD39">
        <v>2.3026849999999999</v>
      </c>
      <c r="AE39">
        <v>2.44293</v>
      </c>
      <c r="AF39">
        <v>2.590767</v>
      </c>
      <c r="AG39" s="12">
        <v>0.05</v>
      </c>
    </row>
    <row r="40" spans="1:33">
      <c r="A40" t="s">
        <v>11</v>
      </c>
      <c r="B40" t="s">
        <v>1069</v>
      </c>
      <c r="C40" t="s">
        <v>1068</v>
      </c>
      <c r="D40" t="s">
        <v>118</v>
      </c>
      <c r="F40">
        <v>752.11914100000001</v>
      </c>
      <c r="G40">
        <v>733.38183600000002</v>
      </c>
      <c r="H40">
        <v>741.75500499999998</v>
      </c>
      <c r="I40">
        <v>755.32031199999994</v>
      </c>
      <c r="J40">
        <v>766.29522699999995</v>
      </c>
      <c r="K40">
        <v>778.19598399999995</v>
      </c>
      <c r="L40">
        <v>789.92559800000004</v>
      </c>
      <c r="M40">
        <v>800.55590800000004</v>
      </c>
      <c r="N40">
        <v>812.12438999999995</v>
      </c>
      <c r="O40">
        <v>823.286743</v>
      </c>
      <c r="P40">
        <v>834.92968800000006</v>
      </c>
      <c r="Q40">
        <v>844.163635</v>
      </c>
      <c r="R40">
        <v>851.84155299999998</v>
      </c>
      <c r="S40">
        <v>859.28411900000003</v>
      </c>
      <c r="T40">
        <v>865.81829800000003</v>
      </c>
      <c r="U40">
        <v>872.40655500000003</v>
      </c>
      <c r="V40">
        <v>878.26220699999999</v>
      </c>
      <c r="W40">
        <v>883.989014</v>
      </c>
      <c r="X40">
        <v>889.83532700000001</v>
      </c>
      <c r="Y40">
        <v>895.57183799999996</v>
      </c>
      <c r="Z40">
        <v>901.092896</v>
      </c>
      <c r="AA40">
        <v>906.31549099999995</v>
      </c>
      <c r="AB40">
        <v>910.75854500000003</v>
      </c>
      <c r="AC40">
        <v>916.78363000000002</v>
      </c>
      <c r="AD40">
        <v>923.91906700000004</v>
      </c>
      <c r="AE40">
        <v>930.80413799999997</v>
      </c>
      <c r="AF40">
        <v>937.27282700000001</v>
      </c>
      <c r="AG40" s="12">
        <v>8.9999999999999993E-3</v>
      </c>
    </row>
    <row r="41" spans="1:33" s="83" customFormat="1">
      <c r="A41" s="83" t="s">
        <v>91</v>
      </c>
      <c r="B41" s="83" t="s">
        <v>1067</v>
      </c>
      <c r="C41" s="83" t="s">
        <v>1066</v>
      </c>
      <c r="D41" s="83" t="s">
        <v>118</v>
      </c>
      <c r="F41" s="83">
        <v>195.74534600000001</v>
      </c>
      <c r="G41" s="83">
        <v>212.661835</v>
      </c>
      <c r="H41" s="83">
        <v>224.314606</v>
      </c>
      <c r="I41" s="83">
        <v>228.064087</v>
      </c>
      <c r="J41" s="83">
        <v>233.18679800000001</v>
      </c>
      <c r="K41" s="83">
        <v>235.61990399999999</v>
      </c>
      <c r="L41" s="83">
        <v>238.52423099999999</v>
      </c>
      <c r="M41" s="83">
        <v>242.35704000000001</v>
      </c>
      <c r="N41" s="83">
        <v>248.63774100000001</v>
      </c>
      <c r="O41" s="83">
        <v>254.948486</v>
      </c>
      <c r="P41" s="83">
        <v>261.07586700000002</v>
      </c>
      <c r="Q41" s="83">
        <v>263.98260499999998</v>
      </c>
      <c r="R41" s="83">
        <v>266.61132800000001</v>
      </c>
      <c r="S41" s="83">
        <v>268.03750600000001</v>
      </c>
      <c r="T41" s="83">
        <v>270.21701000000002</v>
      </c>
      <c r="U41" s="83">
        <v>272.002228</v>
      </c>
      <c r="V41" s="83">
        <v>273.95889299999999</v>
      </c>
      <c r="W41" s="83">
        <v>276.39965799999999</v>
      </c>
      <c r="X41" s="83">
        <v>278.885986</v>
      </c>
      <c r="Y41" s="83">
        <v>280.99075299999998</v>
      </c>
      <c r="Z41" s="83">
        <v>283.009094</v>
      </c>
      <c r="AA41" s="83">
        <v>284.52014200000002</v>
      </c>
      <c r="AB41" s="83">
        <v>284.75753800000001</v>
      </c>
      <c r="AC41" s="83">
        <v>286.24276700000001</v>
      </c>
      <c r="AD41" s="83">
        <v>288.10394300000002</v>
      </c>
      <c r="AE41" s="83">
        <v>290.23345899999998</v>
      </c>
      <c r="AF41" s="83">
        <v>292.11120599999998</v>
      </c>
      <c r="AG41" s="84">
        <v>1.6E-2</v>
      </c>
    </row>
    <row r="42" spans="1:33" s="83" customFormat="1">
      <c r="A42" s="83" t="s">
        <v>103</v>
      </c>
      <c r="B42" s="83" t="s">
        <v>1065</v>
      </c>
      <c r="C42" s="83" t="s">
        <v>1064</v>
      </c>
      <c r="D42" s="83" t="s">
        <v>118</v>
      </c>
      <c r="F42" s="83">
        <v>550.43896500000005</v>
      </c>
      <c r="G42" s="83">
        <v>514.18347200000005</v>
      </c>
      <c r="H42" s="83">
        <v>510.80633499999999</v>
      </c>
      <c r="I42" s="83">
        <v>520.583618</v>
      </c>
      <c r="J42" s="83">
        <v>526.08252000000005</v>
      </c>
      <c r="K42" s="83">
        <v>535.16064500000005</v>
      </c>
      <c r="L42" s="83">
        <v>543.52642800000001</v>
      </c>
      <c r="M42" s="83">
        <v>549.77069100000006</v>
      </c>
      <c r="N42" s="83">
        <v>554.768372</v>
      </c>
      <c r="O42" s="83">
        <v>559.316101</v>
      </c>
      <c r="P42" s="83">
        <v>564.45159899999999</v>
      </c>
      <c r="Q42" s="83">
        <v>570.71923800000002</v>
      </c>
      <c r="R42" s="83">
        <v>575.59594700000002</v>
      </c>
      <c r="S42" s="83">
        <v>581.43194600000004</v>
      </c>
      <c r="T42" s="83">
        <v>585.571777</v>
      </c>
      <c r="U42" s="83">
        <v>590.16540499999996</v>
      </c>
      <c r="V42" s="83">
        <v>593.91705300000001</v>
      </c>
      <c r="W42" s="83">
        <v>597.12823500000002</v>
      </c>
      <c r="X42" s="83">
        <v>600.45532200000002</v>
      </c>
      <c r="Y42" s="83">
        <v>603.99230999999997</v>
      </c>
      <c r="Z42" s="83">
        <v>607.38354500000003</v>
      </c>
      <c r="AA42" s="83">
        <v>610.92431599999998</v>
      </c>
      <c r="AB42" s="83">
        <v>615.06170699999996</v>
      </c>
      <c r="AC42" s="83">
        <v>619.51269500000001</v>
      </c>
      <c r="AD42" s="83">
        <v>624.67334000000005</v>
      </c>
      <c r="AE42" s="83">
        <v>629.26171899999997</v>
      </c>
      <c r="AF42" s="83">
        <v>633.68322799999999</v>
      </c>
      <c r="AG42" s="84">
        <v>5.0000000000000001E-3</v>
      </c>
    </row>
    <row r="43" spans="1:33">
      <c r="A43" t="s">
        <v>101</v>
      </c>
      <c r="B43" t="s">
        <v>1063</v>
      </c>
      <c r="C43" t="s">
        <v>1062</v>
      </c>
      <c r="D43" t="s">
        <v>118</v>
      </c>
      <c r="F43">
        <v>0</v>
      </c>
      <c r="G43">
        <v>0</v>
      </c>
      <c r="H43">
        <v>0</v>
      </c>
      <c r="I43">
        <v>0</v>
      </c>
      <c r="J43">
        <v>0</v>
      </c>
      <c r="K43">
        <v>0</v>
      </c>
      <c r="L43">
        <v>0</v>
      </c>
      <c r="M43">
        <v>0</v>
      </c>
      <c r="N43">
        <v>0</v>
      </c>
      <c r="O43">
        <v>0</v>
      </c>
      <c r="P43">
        <v>0</v>
      </c>
      <c r="Q43">
        <v>0</v>
      </c>
      <c r="R43">
        <v>0</v>
      </c>
      <c r="S43">
        <v>0</v>
      </c>
      <c r="T43">
        <v>0</v>
      </c>
      <c r="U43">
        <v>0</v>
      </c>
      <c r="V43">
        <v>0</v>
      </c>
      <c r="W43">
        <v>0</v>
      </c>
      <c r="X43">
        <v>0</v>
      </c>
      <c r="Y43">
        <v>0</v>
      </c>
      <c r="Z43">
        <v>0</v>
      </c>
      <c r="AA43">
        <v>0</v>
      </c>
      <c r="AB43">
        <v>0</v>
      </c>
      <c r="AC43">
        <v>0</v>
      </c>
      <c r="AD43">
        <v>0</v>
      </c>
      <c r="AE43">
        <v>0</v>
      </c>
      <c r="AF43">
        <v>0</v>
      </c>
      <c r="AG43" t="s">
        <v>6</v>
      </c>
    </row>
    <row r="44" spans="1:33">
      <c r="A44" t="s">
        <v>102</v>
      </c>
      <c r="B44" t="s">
        <v>1061</v>
      </c>
      <c r="C44" t="s">
        <v>1060</v>
      </c>
      <c r="D44" t="s">
        <v>118</v>
      </c>
      <c r="F44">
        <v>5.9348320000000001</v>
      </c>
      <c r="G44">
        <v>6.5364779999999998</v>
      </c>
      <c r="H44">
        <v>6.6340339999999998</v>
      </c>
      <c r="I44">
        <v>6.6726179999999999</v>
      </c>
      <c r="J44">
        <v>7.0259280000000004</v>
      </c>
      <c r="K44">
        <v>7.4154460000000002</v>
      </c>
      <c r="L44">
        <v>7.8749640000000003</v>
      </c>
      <c r="M44">
        <v>8.4281520000000008</v>
      </c>
      <c r="N44">
        <v>8.7182600000000008</v>
      </c>
      <c r="O44">
        <v>9.0221319999999992</v>
      </c>
      <c r="P44">
        <v>9.4022459999999999</v>
      </c>
      <c r="Q44">
        <v>9.4618070000000003</v>
      </c>
      <c r="R44">
        <v>9.6343019999999999</v>
      </c>
      <c r="S44">
        <v>9.8146550000000001</v>
      </c>
      <c r="T44">
        <v>10.029487</v>
      </c>
      <c r="U44">
        <v>10.238963999999999</v>
      </c>
      <c r="V44">
        <v>10.386210999999999</v>
      </c>
      <c r="W44">
        <v>10.461117</v>
      </c>
      <c r="X44">
        <v>10.493995</v>
      </c>
      <c r="Y44">
        <v>10.588778</v>
      </c>
      <c r="Z44">
        <v>10.700267999999999</v>
      </c>
      <c r="AA44">
        <v>10.871041999999999</v>
      </c>
      <c r="AB44">
        <v>10.939361999999999</v>
      </c>
      <c r="AC44">
        <v>11.028162999999999</v>
      </c>
      <c r="AD44">
        <v>11.141788</v>
      </c>
      <c r="AE44">
        <v>11.308977000000001</v>
      </c>
      <c r="AF44">
        <v>11.478370999999999</v>
      </c>
      <c r="AG44" s="12">
        <v>2.5999999999999999E-2</v>
      </c>
    </row>
    <row r="45" spans="1:33">
      <c r="A45" t="s">
        <v>10</v>
      </c>
      <c r="B45" t="s">
        <v>1059</v>
      </c>
      <c r="C45" t="s">
        <v>1058</v>
      </c>
      <c r="D45" t="s">
        <v>118</v>
      </c>
      <c r="F45">
        <v>3268.3242190000001</v>
      </c>
      <c r="G45">
        <v>3262.0329590000001</v>
      </c>
      <c r="H45">
        <v>3288.7468260000001</v>
      </c>
      <c r="I45">
        <v>3323.875</v>
      </c>
      <c r="J45">
        <v>3351.2607419999999</v>
      </c>
      <c r="K45">
        <v>3383.5483399999998</v>
      </c>
      <c r="L45">
        <v>3411.5720209999999</v>
      </c>
      <c r="M45">
        <v>3430.9506839999999</v>
      </c>
      <c r="N45">
        <v>3454.6044919999999</v>
      </c>
      <c r="O45">
        <v>3479.304932</v>
      </c>
      <c r="P45">
        <v>3503.2453609999998</v>
      </c>
      <c r="Q45">
        <v>3534.0241700000001</v>
      </c>
      <c r="R45">
        <v>3567.5559079999998</v>
      </c>
      <c r="S45">
        <v>3607.15625</v>
      </c>
      <c r="T45">
        <v>3649.6206050000001</v>
      </c>
      <c r="U45">
        <v>3693.141846</v>
      </c>
      <c r="V45">
        <v>3735.9509280000002</v>
      </c>
      <c r="W45">
        <v>3776.4458009999998</v>
      </c>
      <c r="X45">
        <v>3821.6879880000001</v>
      </c>
      <c r="Y45">
        <v>3863.9777829999998</v>
      </c>
      <c r="Z45">
        <v>3901.1779790000001</v>
      </c>
      <c r="AA45">
        <v>3936.9096679999998</v>
      </c>
      <c r="AB45">
        <v>3970.2233890000002</v>
      </c>
      <c r="AC45">
        <v>4011.1313479999999</v>
      </c>
      <c r="AD45">
        <v>4055.1303710000002</v>
      </c>
      <c r="AE45">
        <v>4094.5153810000002</v>
      </c>
      <c r="AF45">
        <v>4133.5112300000001</v>
      </c>
      <c r="AG45" s="12">
        <v>8.9999999999999993E-3</v>
      </c>
    </row>
    <row r="46" spans="1:33">
      <c r="A46" t="s">
        <v>104</v>
      </c>
      <c r="B46" t="s">
        <v>1057</v>
      </c>
      <c r="C46" t="s">
        <v>1056</v>
      </c>
      <c r="D46" t="s">
        <v>118</v>
      </c>
      <c r="F46">
        <v>3245.922607</v>
      </c>
      <c r="G46">
        <v>3239.6389159999999</v>
      </c>
      <c r="H46">
        <v>3266.3591310000002</v>
      </c>
      <c r="I46">
        <v>3301.492432</v>
      </c>
      <c r="J46">
        <v>3328.8823240000002</v>
      </c>
      <c r="K46">
        <v>3361.1733399999998</v>
      </c>
      <c r="L46">
        <v>3389.1999510000001</v>
      </c>
      <c r="M46">
        <v>3408.5810550000001</v>
      </c>
      <c r="N46">
        <v>3432.2368160000001</v>
      </c>
      <c r="O46">
        <v>3456.9389649999998</v>
      </c>
      <c r="P46">
        <v>3480.8808589999999</v>
      </c>
      <c r="Q46">
        <v>3511.6606449999999</v>
      </c>
      <c r="R46">
        <v>3545.1933589999999</v>
      </c>
      <c r="S46">
        <v>3584.7944339999999</v>
      </c>
      <c r="T46">
        <v>3627.2595209999999</v>
      </c>
      <c r="U46">
        <v>3670.78125</v>
      </c>
      <c r="V46">
        <v>3713.5908199999999</v>
      </c>
      <c r="W46">
        <v>3754.086182</v>
      </c>
      <c r="X46">
        <v>3799.3286130000001</v>
      </c>
      <c r="Y46">
        <v>3841.6186520000001</v>
      </c>
      <c r="Z46">
        <v>3878.8190920000002</v>
      </c>
      <c r="AA46">
        <v>3914.5507809999999</v>
      </c>
      <c r="AB46">
        <v>3947.8647460000002</v>
      </c>
      <c r="AC46">
        <v>3988.7727049999999</v>
      </c>
      <c r="AD46">
        <v>4032.7719729999999</v>
      </c>
      <c r="AE46">
        <v>4072.156982</v>
      </c>
      <c r="AF46">
        <v>4111.1528319999998</v>
      </c>
      <c r="AG46" s="12">
        <v>8.9999999999999993E-3</v>
      </c>
    </row>
    <row r="47" spans="1:33">
      <c r="A47" t="s">
        <v>105</v>
      </c>
      <c r="B47" t="s">
        <v>1055</v>
      </c>
      <c r="C47" t="s">
        <v>1054</v>
      </c>
      <c r="D47" t="s">
        <v>118</v>
      </c>
      <c r="F47">
        <v>22.401547999999998</v>
      </c>
      <c r="G47">
        <v>22.394031999999999</v>
      </c>
      <c r="H47">
        <v>22.387812</v>
      </c>
      <c r="I47">
        <v>22.382666</v>
      </c>
      <c r="J47">
        <v>22.378406999999999</v>
      </c>
      <c r="K47">
        <v>22.374884000000002</v>
      </c>
      <c r="L47">
        <v>22.371969</v>
      </c>
      <c r="M47">
        <v>22.369558000000001</v>
      </c>
      <c r="N47">
        <v>22.367563000000001</v>
      </c>
      <c r="O47">
        <v>22.365911000000001</v>
      </c>
      <c r="P47">
        <v>22.364546000000001</v>
      </c>
      <c r="Q47">
        <v>22.363416999999998</v>
      </c>
      <c r="R47">
        <v>22.362480000000001</v>
      </c>
      <c r="S47">
        <v>22.361708</v>
      </c>
      <c r="T47">
        <v>22.361066999999998</v>
      </c>
      <c r="U47">
        <v>22.360537999999998</v>
      </c>
      <c r="V47">
        <v>22.360099999999999</v>
      </c>
      <c r="W47">
        <v>22.359736999999999</v>
      </c>
      <c r="X47">
        <v>22.359438000000001</v>
      </c>
      <c r="Y47">
        <v>22.359190000000002</v>
      </c>
      <c r="Z47">
        <v>22.358984</v>
      </c>
      <c r="AA47">
        <v>22.358813999999999</v>
      </c>
      <c r="AB47">
        <v>22.358673</v>
      </c>
      <c r="AC47">
        <v>22.358557000000001</v>
      </c>
      <c r="AD47">
        <v>22.358460999999998</v>
      </c>
      <c r="AE47">
        <v>22.358381000000001</v>
      </c>
      <c r="AF47">
        <v>22.358315000000001</v>
      </c>
      <c r="AG47" s="12">
        <v>0</v>
      </c>
    </row>
    <row r="48" spans="1:33">
      <c r="A48" t="s">
        <v>9</v>
      </c>
      <c r="B48" t="s">
        <v>1053</v>
      </c>
      <c r="C48" t="s">
        <v>1052</v>
      </c>
      <c r="D48" t="s">
        <v>118</v>
      </c>
      <c r="F48">
        <v>444.78881799999999</v>
      </c>
      <c r="G48">
        <v>449.84466600000002</v>
      </c>
      <c r="H48">
        <v>452.96935999999999</v>
      </c>
      <c r="I48">
        <v>454.89593500000001</v>
      </c>
      <c r="J48">
        <v>455.761932</v>
      </c>
      <c r="K48">
        <v>455.59344499999997</v>
      </c>
      <c r="L48">
        <v>455.377319</v>
      </c>
      <c r="M48">
        <v>455.84149200000002</v>
      </c>
      <c r="N48">
        <v>456.21725500000002</v>
      </c>
      <c r="O48">
        <v>456.609802</v>
      </c>
      <c r="P48">
        <v>456.93264799999997</v>
      </c>
      <c r="Q48">
        <v>457.18493699999999</v>
      </c>
      <c r="R48">
        <v>457.63305700000001</v>
      </c>
      <c r="S48">
        <v>458.22058099999998</v>
      </c>
      <c r="T48">
        <v>458.78735399999999</v>
      </c>
      <c r="U48">
        <v>459.338776</v>
      </c>
      <c r="V48">
        <v>459.87536599999999</v>
      </c>
      <c r="W48">
        <v>460.398956</v>
      </c>
      <c r="X48">
        <v>460.913971</v>
      </c>
      <c r="Y48">
        <v>461.42312600000002</v>
      </c>
      <c r="Z48">
        <v>461.92681900000002</v>
      </c>
      <c r="AA48">
        <v>462.42492700000003</v>
      </c>
      <c r="AB48">
        <v>462.92233299999998</v>
      </c>
      <c r="AC48">
        <v>463.41894500000001</v>
      </c>
      <c r="AD48">
        <v>463.91293300000001</v>
      </c>
      <c r="AE48">
        <v>464.407623</v>
      </c>
      <c r="AF48">
        <v>464.90356400000002</v>
      </c>
      <c r="AG48" s="12">
        <v>2E-3</v>
      </c>
    </row>
    <row r="49" spans="1:33">
      <c r="A49" t="s">
        <v>106</v>
      </c>
      <c r="B49" t="s">
        <v>1051</v>
      </c>
      <c r="C49" t="s">
        <v>1050</v>
      </c>
      <c r="D49" t="s">
        <v>118</v>
      </c>
      <c r="F49">
        <v>335.94638099999997</v>
      </c>
      <c r="G49">
        <v>339.76504499999999</v>
      </c>
      <c r="H49">
        <v>342.125092</v>
      </c>
      <c r="I49">
        <v>343.58023100000003</v>
      </c>
      <c r="J49">
        <v>344.23431399999998</v>
      </c>
      <c r="K49">
        <v>344.107056</v>
      </c>
      <c r="L49">
        <v>343.94381700000002</v>
      </c>
      <c r="M49">
        <v>344.29440299999999</v>
      </c>
      <c r="N49">
        <v>344.578217</v>
      </c>
      <c r="O49">
        <v>344.87469499999997</v>
      </c>
      <c r="P49">
        <v>345.11853000000002</v>
      </c>
      <c r="Q49">
        <v>345.30908199999999</v>
      </c>
      <c r="R49">
        <v>345.64752199999998</v>
      </c>
      <c r="S49">
        <v>346.09127799999999</v>
      </c>
      <c r="T49">
        <v>346.51937900000001</v>
      </c>
      <c r="U49">
        <v>346.93585200000001</v>
      </c>
      <c r="V49">
        <v>347.34112499999998</v>
      </c>
      <c r="W49">
        <v>347.736603</v>
      </c>
      <c r="X49">
        <v>348.12558000000001</v>
      </c>
      <c r="Y49">
        <v>348.51016199999998</v>
      </c>
      <c r="Z49">
        <v>348.89059400000002</v>
      </c>
      <c r="AA49">
        <v>349.26681500000001</v>
      </c>
      <c r="AB49">
        <v>349.64248700000002</v>
      </c>
      <c r="AC49">
        <v>350.01757800000001</v>
      </c>
      <c r="AD49">
        <v>350.39068600000002</v>
      </c>
      <c r="AE49">
        <v>350.76431300000002</v>
      </c>
      <c r="AF49">
        <v>351.13888500000002</v>
      </c>
      <c r="AG49" s="12">
        <v>2E-3</v>
      </c>
    </row>
    <row r="50" spans="1:33">
      <c r="A50" t="s">
        <v>100</v>
      </c>
      <c r="B50" t="s">
        <v>1049</v>
      </c>
      <c r="C50" t="s">
        <v>1048</v>
      </c>
      <c r="D50" t="s">
        <v>118</v>
      </c>
      <c r="F50">
        <v>0</v>
      </c>
      <c r="G50">
        <v>0</v>
      </c>
      <c r="H50">
        <v>0</v>
      </c>
      <c r="I50">
        <v>0</v>
      </c>
      <c r="J50">
        <v>0</v>
      </c>
      <c r="K50">
        <v>0</v>
      </c>
      <c r="L50">
        <v>0</v>
      </c>
      <c r="M50">
        <v>0</v>
      </c>
      <c r="N50">
        <v>0</v>
      </c>
      <c r="O50">
        <v>0</v>
      </c>
      <c r="P50">
        <v>0</v>
      </c>
      <c r="Q50">
        <v>0</v>
      </c>
      <c r="R50">
        <v>0</v>
      </c>
      <c r="S50">
        <v>0</v>
      </c>
      <c r="T50">
        <v>0</v>
      </c>
      <c r="U50">
        <v>0</v>
      </c>
      <c r="V50">
        <v>0</v>
      </c>
      <c r="W50">
        <v>0</v>
      </c>
      <c r="X50">
        <v>0</v>
      </c>
      <c r="Y50">
        <v>0</v>
      </c>
      <c r="Z50">
        <v>0</v>
      </c>
      <c r="AA50">
        <v>0</v>
      </c>
      <c r="AB50">
        <v>0</v>
      </c>
      <c r="AC50">
        <v>0</v>
      </c>
      <c r="AD50">
        <v>0</v>
      </c>
      <c r="AE50">
        <v>0</v>
      </c>
      <c r="AF50">
        <v>0</v>
      </c>
      <c r="AG50" t="s">
        <v>6</v>
      </c>
    </row>
    <row r="51" spans="1:33">
      <c r="A51" t="s">
        <v>107</v>
      </c>
      <c r="B51" t="s">
        <v>1047</v>
      </c>
      <c r="C51" t="s">
        <v>1046</v>
      </c>
      <c r="D51" t="s">
        <v>118</v>
      </c>
      <c r="F51">
        <v>108.84242999999999</v>
      </c>
      <c r="G51">
        <v>110.079628</v>
      </c>
      <c r="H51">
        <v>110.844261</v>
      </c>
      <c r="I51">
        <v>111.31572</v>
      </c>
      <c r="J51">
        <v>111.527618</v>
      </c>
      <c r="K51">
        <v>111.486397</v>
      </c>
      <c r="L51">
        <v>111.43351699999999</v>
      </c>
      <c r="M51">
        <v>111.547089</v>
      </c>
      <c r="N51">
        <v>111.63904599999999</v>
      </c>
      <c r="O51">
        <v>111.735107</v>
      </c>
      <c r="P51">
        <v>111.814117</v>
      </c>
      <c r="Q51">
        <v>111.87587000000001</v>
      </c>
      <c r="R51">
        <v>111.985519</v>
      </c>
      <c r="S51">
        <v>112.12930299999999</v>
      </c>
      <c r="T51">
        <v>112.26799</v>
      </c>
      <c r="U51">
        <v>112.402924</v>
      </c>
      <c r="V51">
        <v>112.53424099999999</v>
      </c>
      <c r="W51">
        <v>112.66235399999999</v>
      </c>
      <c r="X51">
        <v>112.788383</v>
      </c>
      <c r="Y51">
        <v>112.912964</v>
      </c>
      <c r="Z51">
        <v>113.03624000000001</v>
      </c>
      <c r="AA51">
        <v>113.15812699999999</v>
      </c>
      <c r="AB51">
        <v>113.27984600000001</v>
      </c>
      <c r="AC51">
        <v>113.401375</v>
      </c>
      <c r="AD51">
        <v>113.52224699999999</v>
      </c>
      <c r="AE51">
        <v>113.643303</v>
      </c>
      <c r="AF51">
        <v>113.764679</v>
      </c>
      <c r="AG51" s="12">
        <v>2E-3</v>
      </c>
    </row>
    <row r="52" spans="1:33">
      <c r="A52" t="s">
        <v>8</v>
      </c>
      <c r="B52" t="s">
        <v>1045</v>
      </c>
      <c r="C52" t="s">
        <v>1044</v>
      </c>
      <c r="D52" t="s">
        <v>118</v>
      </c>
      <c r="F52">
        <v>207.85879499999999</v>
      </c>
      <c r="G52">
        <v>213.51556400000001</v>
      </c>
      <c r="H52">
        <v>216.129898</v>
      </c>
      <c r="I52">
        <v>217.12576300000001</v>
      </c>
      <c r="J52">
        <v>217.48175000000001</v>
      </c>
      <c r="K52">
        <v>217.42764299999999</v>
      </c>
      <c r="L52">
        <v>217.24430799999999</v>
      </c>
      <c r="M52">
        <v>216.24174500000001</v>
      </c>
      <c r="N52">
        <v>214.76506000000001</v>
      </c>
      <c r="O52">
        <v>213.18585200000001</v>
      </c>
      <c r="P52">
        <v>211.90618900000001</v>
      </c>
      <c r="Q52">
        <v>210.37204</v>
      </c>
      <c r="R52">
        <v>208.78291300000001</v>
      </c>
      <c r="S52">
        <v>207.22485399999999</v>
      </c>
      <c r="T52">
        <v>205.64492799999999</v>
      </c>
      <c r="U52">
        <v>203.97955300000001</v>
      </c>
      <c r="V52">
        <v>202.18667600000001</v>
      </c>
      <c r="W52">
        <v>200.30072000000001</v>
      </c>
      <c r="X52">
        <v>198.29200700000001</v>
      </c>
      <c r="Y52">
        <v>196.336792</v>
      </c>
      <c r="Z52">
        <v>194.28083799999999</v>
      </c>
      <c r="AA52">
        <v>192.319534</v>
      </c>
      <c r="AB52">
        <v>190.19499200000001</v>
      </c>
      <c r="AC52">
        <v>187.95107999999999</v>
      </c>
      <c r="AD52">
        <v>185.79196200000001</v>
      </c>
      <c r="AE52">
        <v>183.69107099999999</v>
      </c>
      <c r="AF52">
        <v>181.903885</v>
      </c>
      <c r="AG52" s="12">
        <v>-5.0000000000000001E-3</v>
      </c>
    </row>
    <row r="53" spans="1:33">
      <c r="A53" t="s">
        <v>108</v>
      </c>
      <c r="B53" t="s">
        <v>1043</v>
      </c>
      <c r="C53" t="s">
        <v>1042</v>
      </c>
      <c r="D53" t="s">
        <v>118</v>
      </c>
      <c r="F53">
        <v>76.710044999999994</v>
      </c>
      <c r="G53">
        <v>81.313903999999994</v>
      </c>
      <c r="H53">
        <v>83.939346</v>
      </c>
      <c r="I53">
        <v>85.569359000000006</v>
      </c>
      <c r="J53">
        <v>86.754188999999997</v>
      </c>
      <c r="K53">
        <v>87.688941999999997</v>
      </c>
      <c r="L53">
        <v>88.627594000000002</v>
      </c>
      <c r="M53">
        <v>88.838866999999993</v>
      </c>
      <c r="N53">
        <v>88.562233000000006</v>
      </c>
      <c r="O53">
        <v>88.112342999999996</v>
      </c>
      <c r="P53">
        <v>87.900931999999997</v>
      </c>
      <c r="Q53">
        <v>87.407082000000003</v>
      </c>
      <c r="R53">
        <v>86.832076999999998</v>
      </c>
      <c r="S53">
        <v>86.239661999999996</v>
      </c>
      <c r="T53">
        <v>85.777709999999999</v>
      </c>
      <c r="U53">
        <v>85.252876000000001</v>
      </c>
      <c r="V53">
        <v>84.619086999999993</v>
      </c>
      <c r="W53">
        <v>83.913132000000004</v>
      </c>
      <c r="X53">
        <v>83.115341000000001</v>
      </c>
      <c r="Y53">
        <v>82.391418000000002</v>
      </c>
      <c r="Z53">
        <v>81.586922000000001</v>
      </c>
      <c r="AA53">
        <v>80.892448000000002</v>
      </c>
      <c r="AB53">
        <v>80.055817000000005</v>
      </c>
      <c r="AC53">
        <v>79.108192000000003</v>
      </c>
      <c r="AD53">
        <v>78.258156</v>
      </c>
      <c r="AE53">
        <v>77.463318000000001</v>
      </c>
      <c r="AF53">
        <v>76.982123999999999</v>
      </c>
      <c r="AG53" s="12">
        <v>0</v>
      </c>
    </row>
    <row r="54" spans="1:33">
      <c r="A54" t="s">
        <v>98</v>
      </c>
      <c r="B54" t="s">
        <v>1041</v>
      </c>
      <c r="C54" t="s">
        <v>1040</v>
      </c>
      <c r="D54" t="s">
        <v>118</v>
      </c>
      <c r="F54">
        <v>9.1472949999999997</v>
      </c>
      <c r="G54">
        <v>9.6769990000000004</v>
      </c>
      <c r="H54">
        <v>9.9694310000000002</v>
      </c>
      <c r="I54">
        <v>10.140093</v>
      </c>
      <c r="J54">
        <v>10.254068</v>
      </c>
      <c r="K54">
        <v>10.338150000000001</v>
      </c>
      <c r="L54">
        <v>10.423724999999999</v>
      </c>
      <c r="M54">
        <v>10.40757</v>
      </c>
      <c r="N54">
        <v>10.336831</v>
      </c>
      <c r="O54">
        <v>10.245358</v>
      </c>
      <c r="P54">
        <v>10.182765</v>
      </c>
      <c r="Q54">
        <v>10.088881000000001</v>
      </c>
      <c r="R54">
        <v>9.9874010000000002</v>
      </c>
      <c r="S54">
        <v>9.8847330000000007</v>
      </c>
      <c r="T54">
        <v>9.7954469999999993</v>
      </c>
      <c r="U54">
        <v>9.7009380000000007</v>
      </c>
      <c r="V54">
        <v>9.5947750000000003</v>
      </c>
      <c r="W54">
        <v>9.4811399999999999</v>
      </c>
      <c r="X54">
        <v>9.3583630000000007</v>
      </c>
      <c r="Y54">
        <v>9.2445350000000008</v>
      </c>
      <c r="Z54">
        <v>9.1221510000000006</v>
      </c>
      <c r="AA54">
        <v>9.0127930000000003</v>
      </c>
      <c r="AB54">
        <v>8.8882650000000005</v>
      </c>
      <c r="AC54">
        <v>8.7531800000000004</v>
      </c>
      <c r="AD54">
        <v>8.6299919999999997</v>
      </c>
      <c r="AE54">
        <v>8.5133890000000001</v>
      </c>
      <c r="AF54">
        <v>8.4316549999999992</v>
      </c>
      <c r="AG54" s="12">
        <v>-3.0000000000000001E-3</v>
      </c>
    </row>
    <row r="55" spans="1:33">
      <c r="A55" t="s">
        <v>90</v>
      </c>
      <c r="B55" t="s">
        <v>1039</v>
      </c>
      <c r="C55" t="s">
        <v>1038</v>
      </c>
      <c r="D55" t="s">
        <v>118</v>
      </c>
      <c r="F55">
        <v>0</v>
      </c>
      <c r="G55">
        <v>0</v>
      </c>
      <c r="H55">
        <v>0</v>
      </c>
      <c r="I55">
        <v>0</v>
      </c>
      <c r="J55">
        <v>0</v>
      </c>
      <c r="K55">
        <v>0</v>
      </c>
      <c r="L55">
        <v>0</v>
      </c>
      <c r="M55">
        <v>0</v>
      </c>
      <c r="N55">
        <v>0</v>
      </c>
      <c r="O55">
        <v>0</v>
      </c>
      <c r="P55">
        <v>0</v>
      </c>
      <c r="Q55">
        <v>0</v>
      </c>
      <c r="R55">
        <v>0</v>
      </c>
      <c r="S55">
        <v>0</v>
      </c>
      <c r="T55">
        <v>0</v>
      </c>
      <c r="U55">
        <v>0</v>
      </c>
      <c r="V55">
        <v>0</v>
      </c>
      <c r="W55">
        <v>0</v>
      </c>
      <c r="X55">
        <v>0</v>
      </c>
      <c r="Y55">
        <v>0</v>
      </c>
      <c r="Z55">
        <v>0</v>
      </c>
      <c r="AA55">
        <v>0</v>
      </c>
      <c r="AB55">
        <v>0</v>
      </c>
      <c r="AC55">
        <v>0</v>
      </c>
      <c r="AD55">
        <v>0</v>
      </c>
      <c r="AE55">
        <v>0</v>
      </c>
      <c r="AF55">
        <v>0</v>
      </c>
      <c r="AG55" t="s">
        <v>6</v>
      </c>
    </row>
    <row r="56" spans="1:33" s="83" customFormat="1">
      <c r="A56" s="83" t="s">
        <v>91</v>
      </c>
      <c r="B56" s="83" t="s">
        <v>1037</v>
      </c>
      <c r="C56" s="83" t="s">
        <v>1036</v>
      </c>
      <c r="D56" s="83" t="s">
        <v>118</v>
      </c>
      <c r="F56" s="83">
        <v>40.625771</v>
      </c>
      <c r="G56" s="83">
        <v>43.015372999999997</v>
      </c>
      <c r="H56" s="83">
        <v>44.437289999999997</v>
      </c>
      <c r="I56" s="83">
        <v>45.333485000000003</v>
      </c>
      <c r="J56" s="83">
        <v>45.963813999999999</v>
      </c>
      <c r="K56" s="83">
        <v>46.444603000000001</v>
      </c>
      <c r="L56" s="83">
        <v>46.903049000000003</v>
      </c>
      <c r="M56" s="83">
        <v>46.919742999999997</v>
      </c>
      <c r="N56" s="83">
        <v>46.674880999999999</v>
      </c>
      <c r="O56" s="83">
        <v>46.334845999999999</v>
      </c>
      <c r="P56" s="83">
        <v>46.093288000000001</v>
      </c>
      <c r="Q56" s="83">
        <v>45.718204</v>
      </c>
      <c r="R56" s="83">
        <v>45.301796000000003</v>
      </c>
      <c r="S56" s="83">
        <v>44.889698000000003</v>
      </c>
      <c r="T56" s="83">
        <v>44.538803000000001</v>
      </c>
      <c r="U56" s="83">
        <v>44.157210999999997</v>
      </c>
      <c r="V56" s="83">
        <v>43.730533999999999</v>
      </c>
      <c r="W56" s="83">
        <v>43.270508</v>
      </c>
      <c r="X56" s="83">
        <v>42.771523000000002</v>
      </c>
      <c r="Y56" s="83">
        <v>42.300243000000002</v>
      </c>
      <c r="Z56" s="83">
        <v>41.791203000000003</v>
      </c>
      <c r="AA56" s="83">
        <v>41.328612999999997</v>
      </c>
      <c r="AB56" s="83">
        <v>40.801394999999999</v>
      </c>
      <c r="AC56" s="83">
        <v>40.232635000000002</v>
      </c>
      <c r="AD56" s="83">
        <v>39.711196999999999</v>
      </c>
      <c r="AE56" s="83">
        <v>39.214508000000002</v>
      </c>
      <c r="AF56" s="83">
        <v>38.856288999999997</v>
      </c>
      <c r="AG56" s="84">
        <v>-2E-3</v>
      </c>
    </row>
    <row r="57" spans="1:33">
      <c r="A57" t="s">
        <v>92</v>
      </c>
      <c r="B57" t="s">
        <v>1035</v>
      </c>
      <c r="C57" t="s">
        <v>1034</v>
      </c>
      <c r="D57" t="s">
        <v>118</v>
      </c>
      <c r="F57">
        <v>23.263926999999999</v>
      </c>
      <c r="G57">
        <v>24.442589000000002</v>
      </c>
      <c r="H57">
        <v>24.941652000000001</v>
      </c>
      <c r="I57">
        <v>25.139893000000001</v>
      </c>
      <c r="J57">
        <v>25.233543000000001</v>
      </c>
      <c r="K57">
        <v>25.265585000000002</v>
      </c>
      <c r="L57">
        <v>25.313994999999998</v>
      </c>
      <c r="M57">
        <v>25.225773</v>
      </c>
      <c r="N57">
        <v>25.006153000000001</v>
      </c>
      <c r="O57">
        <v>24.744357999999998</v>
      </c>
      <c r="P57">
        <v>24.571242999999999</v>
      </c>
      <c r="Q57">
        <v>24.309456000000001</v>
      </c>
      <c r="R57">
        <v>24.027180000000001</v>
      </c>
      <c r="S57">
        <v>23.733592999999999</v>
      </c>
      <c r="T57">
        <v>23.491579000000002</v>
      </c>
      <c r="U57">
        <v>23.230962999999999</v>
      </c>
      <c r="V57">
        <v>22.936558000000002</v>
      </c>
      <c r="W57">
        <v>22.624068999999999</v>
      </c>
      <c r="X57">
        <v>22.285173</v>
      </c>
      <c r="Y57">
        <v>21.978224000000001</v>
      </c>
      <c r="Z57">
        <v>21.652470000000001</v>
      </c>
      <c r="AA57">
        <v>21.36721</v>
      </c>
      <c r="AB57">
        <v>21.043865</v>
      </c>
      <c r="AC57">
        <v>20.685226</v>
      </c>
      <c r="AD57">
        <v>20.358484000000001</v>
      </c>
      <c r="AE57">
        <v>20.053581000000001</v>
      </c>
      <c r="AF57">
        <v>19.847092</v>
      </c>
      <c r="AG57" s="12">
        <v>-6.0000000000000001E-3</v>
      </c>
    </row>
    <row r="58" spans="1:33">
      <c r="A58" t="s">
        <v>93</v>
      </c>
      <c r="B58" t="s">
        <v>1033</v>
      </c>
      <c r="C58" t="s">
        <v>1032</v>
      </c>
      <c r="D58" t="s">
        <v>118</v>
      </c>
      <c r="F58">
        <v>0.88131899999999996</v>
      </c>
      <c r="G58">
        <v>0.94454800000000005</v>
      </c>
      <c r="H58">
        <v>0.985039</v>
      </c>
      <c r="I58">
        <v>1.013336</v>
      </c>
      <c r="J58">
        <v>1.035471</v>
      </c>
      <c r="K58">
        <v>1.055701</v>
      </c>
      <c r="L58">
        <v>1.0791539999999999</v>
      </c>
      <c r="M58">
        <v>1.082665</v>
      </c>
      <c r="N58">
        <v>1.0780879999999999</v>
      </c>
      <c r="O58">
        <v>1.072206</v>
      </c>
      <c r="P58">
        <v>1.070856</v>
      </c>
      <c r="Q58">
        <v>1.066365</v>
      </c>
      <c r="R58">
        <v>1.0616030000000001</v>
      </c>
      <c r="S58">
        <v>1.0564439999999999</v>
      </c>
      <c r="T58">
        <v>1.052379</v>
      </c>
      <c r="U58">
        <v>1.0480579999999999</v>
      </c>
      <c r="V58">
        <v>1.041927</v>
      </c>
      <c r="W58">
        <v>1.034816</v>
      </c>
      <c r="X58">
        <v>1.0266090000000001</v>
      </c>
      <c r="Y58">
        <v>1.019739</v>
      </c>
      <c r="Z58">
        <v>1.0114700000000001</v>
      </c>
      <c r="AA58">
        <v>1.0050490000000001</v>
      </c>
      <c r="AB58">
        <v>0.99636899999999995</v>
      </c>
      <c r="AC58">
        <v>0.98636299999999999</v>
      </c>
      <c r="AD58">
        <v>0.97801499999999997</v>
      </c>
      <c r="AE58">
        <v>0.970356</v>
      </c>
      <c r="AF58">
        <v>0.96767199999999998</v>
      </c>
      <c r="AG58" s="12">
        <v>4.0000000000000001E-3</v>
      </c>
    </row>
    <row r="59" spans="1:33">
      <c r="A59" t="s">
        <v>94</v>
      </c>
      <c r="B59" t="s">
        <v>1031</v>
      </c>
      <c r="C59" t="s">
        <v>1030</v>
      </c>
      <c r="D59" t="s">
        <v>118</v>
      </c>
      <c r="F59">
        <v>2.7587679999999999</v>
      </c>
      <c r="G59">
        <v>3.1998139999999999</v>
      </c>
      <c r="H59">
        <v>3.570894</v>
      </c>
      <c r="I59">
        <v>3.9074979999999999</v>
      </c>
      <c r="J59">
        <v>4.2323620000000002</v>
      </c>
      <c r="K59">
        <v>4.5501690000000004</v>
      </c>
      <c r="L59">
        <v>4.8731359999999997</v>
      </c>
      <c r="M59">
        <v>5.1687770000000004</v>
      </c>
      <c r="N59">
        <v>5.4324050000000002</v>
      </c>
      <c r="O59">
        <v>5.682207</v>
      </c>
      <c r="P59">
        <v>5.9497499999999999</v>
      </c>
      <c r="Q59">
        <v>6.1916260000000003</v>
      </c>
      <c r="R59">
        <v>6.422059</v>
      </c>
      <c r="S59">
        <v>6.6436789999999997</v>
      </c>
      <c r="T59">
        <v>6.8684979999999998</v>
      </c>
      <c r="U59">
        <v>7.0852009999999996</v>
      </c>
      <c r="V59">
        <v>7.285336</v>
      </c>
      <c r="W59">
        <v>7.4732219999999998</v>
      </c>
      <c r="X59">
        <v>7.6448970000000003</v>
      </c>
      <c r="Y59">
        <v>7.8204669999999998</v>
      </c>
      <c r="Z59">
        <v>7.9819779999999998</v>
      </c>
      <c r="AA59">
        <v>8.1516319999999993</v>
      </c>
      <c r="AB59">
        <v>8.2993310000000005</v>
      </c>
      <c r="AC59">
        <v>8.4247949999999996</v>
      </c>
      <c r="AD59">
        <v>8.5550510000000006</v>
      </c>
      <c r="AE59">
        <v>8.6866050000000001</v>
      </c>
      <c r="AF59">
        <v>8.8549120000000006</v>
      </c>
      <c r="AG59" s="12">
        <v>4.5999999999999999E-2</v>
      </c>
    </row>
    <row r="60" spans="1:33">
      <c r="A60" t="s">
        <v>95</v>
      </c>
      <c r="B60" t="s">
        <v>1029</v>
      </c>
      <c r="C60" t="s">
        <v>1028</v>
      </c>
      <c r="D60" t="s">
        <v>118</v>
      </c>
      <c r="F60">
        <v>3.2971E-2</v>
      </c>
      <c r="G60">
        <v>3.4576999999999997E-2</v>
      </c>
      <c r="H60">
        <v>3.5043999999999999E-2</v>
      </c>
      <c r="I60">
        <v>3.5052E-2</v>
      </c>
      <c r="J60">
        <v>3.4937999999999997E-2</v>
      </c>
      <c r="K60">
        <v>3.4730999999999998E-2</v>
      </c>
      <c r="L60">
        <v>3.4534000000000002E-2</v>
      </c>
      <c r="M60">
        <v>3.4341999999999998E-2</v>
      </c>
      <c r="N60">
        <v>3.3877999999999998E-2</v>
      </c>
      <c r="O60">
        <v>3.3368000000000002E-2</v>
      </c>
      <c r="P60">
        <v>3.3023999999999998E-2</v>
      </c>
      <c r="Q60">
        <v>3.2548000000000001E-2</v>
      </c>
      <c r="R60">
        <v>3.2044999999999997E-2</v>
      </c>
      <c r="S60">
        <v>3.1515000000000001E-2</v>
      </c>
      <c r="T60">
        <v>3.1008000000000001E-2</v>
      </c>
      <c r="U60">
        <v>3.0508E-2</v>
      </c>
      <c r="V60">
        <v>2.9954999999999999E-2</v>
      </c>
      <c r="W60">
        <v>2.9382999999999999E-2</v>
      </c>
      <c r="X60">
        <v>2.8767999999999998E-2</v>
      </c>
      <c r="Y60">
        <v>2.8216000000000001E-2</v>
      </c>
      <c r="Z60">
        <v>2.7647000000000001E-2</v>
      </c>
      <c r="AA60">
        <v>2.7149E-2</v>
      </c>
      <c r="AB60">
        <v>2.6599000000000001E-2</v>
      </c>
      <c r="AC60">
        <v>2.5984E-2</v>
      </c>
      <c r="AD60">
        <v>2.5413999999999999E-2</v>
      </c>
      <c r="AE60">
        <v>2.4882000000000001E-2</v>
      </c>
      <c r="AF60">
        <v>2.4500000000000001E-2</v>
      </c>
      <c r="AG60" s="12">
        <v>-1.0999999999999999E-2</v>
      </c>
    </row>
    <row r="61" spans="1:33">
      <c r="A61" t="s">
        <v>109</v>
      </c>
      <c r="B61" t="s">
        <v>1027</v>
      </c>
      <c r="C61" t="s">
        <v>1026</v>
      </c>
      <c r="D61" t="s">
        <v>118</v>
      </c>
      <c r="F61">
        <v>30.108592999999999</v>
      </c>
      <c r="G61">
        <v>31.324183000000001</v>
      </c>
      <c r="H61">
        <v>32.204268999999996</v>
      </c>
      <c r="I61">
        <v>32.814284999999998</v>
      </c>
      <c r="J61">
        <v>33.256686999999999</v>
      </c>
      <c r="K61">
        <v>33.580925000000001</v>
      </c>
      <c r="L61">
        <v>33.812759</v>
      </c>
      <c r="M61">
        <v>33.971854999999998</v>
      </c>
      <c r="N61">
        <v>34.074733999999999</v>
      </c>
      <c r="O61">
        <v>34.127521999999999</v>
      </c>
      <c r="P61">
        <v>34.138331999999998</v>
      </c>
      <c r="Q61">
        <v>34.117863</v>
      </c>
      <c r="R61">
        <v>34.071151999999998</v>
      </c>
      <c r="S61">
        <v>34.002563000000002</v>
      </c>
      <c r="T61">
        <v>33.932445999999999</v>
      </c>
      <c r="U61">
        <v>33.850540000000002</v>
      </c>
      <c r="V61">
        <v>33.759456999999998</v>
      </c>
      <c r="W61">
        <v>33.660358000000002</v>
      </c>
      <c r="X61">
        <v>33.556801</v>
      </c>
      <c r="Y61">
        <v>33.447479000000001</v>
      </c>
      <c r="Z61">
        <v>33.332580999999998</v>
      </c>
      <c r="AA61">
        <v>33.213673</v>
      </c>
      <c r="AB61">
        <v>33.091960999999998</v>
      </c>
      <c r="AC61">
        <v>32.971535000000003</v>
      </c>
      <c r="AD61">
        <v>32.850974999999998</v>
      </c>
      <c r="AE61">
        <v>32.727406000000002</v>
      </c>
      <c r="AF61">
        <v>32.602530999999999</v>
      </c>
      <c r="AG61" s="12">
        <v>3.0000000000000001E-3</v>
      </c>
    </row>
    <row r="62" spans="1:33">
      <c r="A62" t="s">
        <v>98</v>
      </c>
      <c r="B62" t="s">
        <v>1025</v>
      </c>
      <c r="C62" t="s">
        <v>1024</v>
      </c>
      <c r="D62" t="s">
        <v>118</v>
      </c>
      <c r="F62">
        <v>0</v>
      </c>
      <c r="G62">
        <v>0</v>
      </c>
      <c r="H62">
        <v>0</v>
      </c>
      <c r="I62">
        <v>0</v>
      </c>
      <c r="J62">
        <v>0</v>
      </c>
      <c r="K62">
        <v>0</v>
      </c>
      <c r="L62">
        <v>0</v>
      </c>
      <c r="M62">
        <v>0</v>
      </c>
      <c r="N62">
        <v>0</v>
      </c>
      <c r="O62">
        <v>0</v>
      </c>
      <c r="P62">
        <v>0</v>
      </c>
      <c r="Q62">
        <v>0</v>
      </c>
      <c r="R62">
        <v>0</v>
      </c>
      <c r="S62">
        <v>0</v>
      </c>
      <c r="T62">
        <v>0</v>
      </c>
      <c r="U62">
        <v>0</v>
      </c>
      <c r="V62">
        <v>0</v>
      </c>
      <c r="W62">
        <v>0</v>
      </c>
      <c r="X62">
        <v>0</v>
      </c>
      <c r="Y62">
        <v>0</v>
      </c>
      <c r="Z62">
        <v>0</v>
      </c>
      <c r="AA62">
        <v>0</v>
      </c>
      <c r="AB62">
        <v>0</v>
      </c>
      <c r="AC62">
        <v>0</v>
      </c>
      <c r="AD62">
        <v>0</v>
      </c>
      <c r="AE62">
        <v>0</v>
      </c>
      <c r="AF62">
        <v>0</v>
      </c>
      <c r="AG62" t="s">
        <v>6</v>
      </c>
    </row>
    <row r="63" spans="1:33">
      <c r="A63" t="s">
        <v>90</v>
      </c>
      <c r="B63" t="s">
        <v>1023</v>
      </c>
      <c r="C63" t="s">
        <v>1022</v>
      </c>
      <c r="D63" t="s">
        <v>118</v>
      </c>
      <c r="F63">
        <v>0</v>
      </c>
      <c r="G63">
        <v>0</v>
      </c>
      <c r="H63">
        <v>0</v>
      </c>
      <c r="I63">
        <v>0</v>
      </c>
      <c r="J63">
        <v>0</v>
      </c>
      <c r="K63">
        <v>0</v>
      </c>
      <c r="L63">
        <v>0</v>
      </c>
      <c r="M63">
        <v>0</v>
      </c>
      <c r="N63">
        <v>0</v>
      </c>
      <c r="O63">
        <v>0</v>
      </c>
      <c r="P63">
        <v>0</v>
      </c>
      <c r="Q63">
        <v>0</v>
      </c>
      <c r="R63">
        <v>0</v>
      </c>
      <c r="S63">
        <v>0</v>
      </c>
      <c r="T63">
        <v>0</v>
      </c>
      <c r="U63">
        <v>0</v>
      </c>
      <c r="V63">
        <v>0</v>
      </c>
      <c r="W63">
        <v>0</v>
      </c>
      <c r="X63">
        <v>0</v>
      </c>
      <c r="Y63">
        <v>0</v>
      </c>
      <c r="Z63">
        <v>0</v>
      </c>
      <c r="AA63">
        <v>0</v>
      </c>
      <c r="AB63">
        <v>0</v>
      </c>
      <c r="AC63">
        <v>0</v>
      </c>
      <c r="AD63">
        <v>0</v>
      </c>
      <c r="AE63">
        <v>0</v>
      </c>
      <c r="AF63">
        <v>0</v>
      </c>
      <c r="AG63" t="s">
        <v>6</v>
      </c>
    </row>
    <row r="64" spans="1:33" s="83" customFormat="1">
      <c r="A64" s="83" t="s">
        <v>91</v>
      </c>
      <c r="B64" s="83" t="s">
        <v>1021</v>
      </c>
      <c r="C64" s="83" t="s">
        <v>1020</v>
      </c>
      <c r="D64" s="83" t="s">
        <v>118</v>
      </c>
      <c r="F64" s="83">
        <v>30.108592999999999</v>
      </c>
      <c r="G64" s="83">
        <v>31.324183000000001</v>
      </c>
      <c r="H64" s="83">
        <v>32.204268999999996</v>
      </c>
      <c r="I64" s="83">
        <v>32.814284999999998</v>
      </c>
      <c r="J64" s="83">
        <v>33.256686999999999</v>
      </c>
      <c r="K64" s="83">
        <v>33.580925000000001</v>
      </c>
      <c r="L64" s="83">
        <v>33.812759</v>
      </c>
      <c r="M64" s="83">
        <v>33.971854999999998</v>
      </c>
      <c r="N64" s="83">
        <v>34.074733999999999</v>
      </c>
      <c r="O64" s="83">
        <v>34.127521999999999</v>
      </c>
      <c r="P64" s="83">
        <v>34.138331999999998</v>
      </c>
      <c r="Q64" s="83">
        <v>34.117863</v>
      </c>
      <c r="R64" s="83">
        <v>34.071151999999998</v>
      </c>
      <c r="S64" s="83">
        <v>34.002563000000002</v>
      </c>
      <c r="T64" s="83">
        <v>33.932445999999999</v>
      </c>
      <c r="U64" s="83">
        <v>33.850540000000002</v>
      </c>
      <c r="V64" s="83">
        <v>33.759456999999998</v>
      </c>
      <c r="W64" s="83">
        <v>33.660358000000002</v>
      </c>
      <c r="X64" s="83">
        <v>33.556801</v>
      </c>
      <c r="Y64" s="83">
        <v>33.447479000000001</v>
      </c>
      <c r="Z64" s="83">
        <v>33.332580999999998</v>
      </c>
      <c r="AA64" s="83">
        <v>33.213673</v>
      </c>
      <c r="AB64" s="83">
        <v>33.091960999999998</v>
      </c>
      <c r="AC64" s="83">
        <v>32.971535000000003</v>
      </c>
      <c r="AD64" s="83">
        <v>32.850974999999998</v>
      </c>
      <c r="AE64" s="83">
        <v>32.727406000000002</v>
      </c>
      <c r="AF64" s="83">
        <v>32.602530999999999</v>
      </c>
      <c r="AG64" s="84">
        <v>3.0000000000000001E-3</v>
      </c>
    </row>
    <row r="65" spans="1:33">
      <c r="A65" t="s">
        <v>92</v>
      </c>
      <c r="B65" t="s">
        <v>1019</v>
      </c>
      <c r="C65" t="s">
        <v>1018</v>
      </c>
      <c r="D65" t="s">
        <v>118</v>
      </c>
      <c r="F65">
        <v>0</v>
      </c>
      <c r="G65">
        <v>0</v>
      </c>
      <c r="H65">
        <v>0</v>
      </c>
      <c r="I65">
        <v>0</v>
      </c>
      <c r="J65">
        <v>0</v>
      </c>
      <c r="K65">
        <v>0</v>
      </c>
      <c r="L65">
        <v>0</v>
      </c>
      <c r="M65">
        <v>0</v>
      </c>
      <c r="N65">
        <v>0</v>
      </c>
      <c r="O65">
        <v>0</v>
      </c>
      <c r="P65">
        <v>0</v>
      </c>
      <c r="Q65">
        <v>0</v>
      </c>
      <c r="R65">
        <v>0</v>
      </c>
      <c r="S65">
        <v>0</v>
      </c>
      <c r="T65">
        <v>0</v>
      </c>
      <c r="U65">
        <v>0</v>
      </c>
      <c r="V65">
        <v>0</v>
      </c>
      <c r="W65">
        <v>0</v>
      </c>
      <c r="X65">
        <v>0</v>
      </c>
      <c r="Y65">
        <v>0</v>
      </c>
      <c r="Z65">
        <v>0</v>
      </c>
      <c r="AA65">
        <v>0</v>
      </c>
      <c r="AB65">
        <v>0</v>
      </c>
      <c r="AC65">
        <v>0</v>
      </c>
      <c r="AD65">
        <v>0</v>
      </c>
      <c r="AE65">
        <v>0</v>
      </c>
      <c r="AF65">
        <v>0</v>
      </c>
      <c r="AG65" t="s">
        <v>6</v>
      </c>
    </row>
    <row r="66" spans="1:33">
      <c r="A66" t="s">
        <v>93</v>
      </c>
      <c r="B66" t="s">
        <v>1017</v>
      </c>
      <c r="C66" t="s">
        <v>1016</v>
      </c>
      <c r="D66" t="s">
        <v>118</v>
      </c>
      <c r="F66">
        <v>0</v>
      </c>
      <c r="G66">
        <v>0</v>
      </c>
      <c r="H66">
        <v>0</v>
      </c>
      <c r="I66">
        <v>0</v>
      </c>
      <c r="J66">
        <v>0</v>
      </c>
      <c r="K66">
        <v>0</v>
      </c>
      <c r="L66">
        <v>0</v>
      </c>
      <c r="M66">
        <v>0</v>
      </c>
      <c r="N66">
        <v>0</v>
      </c>
      <c r="O66">
        <v>0</v>
      </c>
      <c r="P66">
        <v>0</v>
      </c>
      <c r="Q66">
        <v>0</v>
      </c>
      <c r="R66">
        <v>0</v>
      </c>
      <c r="S66">
        <v>0</v>
      </c>
      <c r="T66">
        <v>0</v>
      </c>
      <c r="U66">
        <v>0</v>
      </c>
      <c r="V66">
        <v>0</v>
      </c>
      <c r="W66">
        <v>0</v>
      </c>
      <c r="X66">
        <v>0</v>
      </c>
      <c r="Y66">
        <v>0</v>
      </c>
      <c r="Z66">
        <v>0</v>
      </c>
      <c r="AA66">
        <v>0</v>
      </c>
      <c r="AB66">
        <v>0</v>
      </c>
      <c r="AC66">
        <v>0</v>
      </c>
      <c r="AD66">
        <v>0</v>
      </c>
      <c r="AE66">
        <v>0</v>
      </c>
      <c r="AF66">
        <v>0</v>
      </c>
      <c r="AG66" t="s">
        <v>6</v>
      </c>
    </row>
    <row r="67" spans="1:33">
      <c r="A67" t="s">
        <v>94</v>
      </c>
      <c r="B67" t="s">
        <v>1015</v>
      </c>
      <c r="C67" t="s">
        <v>1014</v>
      </c>
      <c r="D67" t="s">
        <v>118</v>
      </c>
      <c r="F67">
        <v>0</v>
      </c>
      <c r="G67">
        <v>0</v>
      </c>
      <c r="H67">
        <v>0</v>
      </c>
      <c r="I67">
        <v>0</v>
      </c>
      <c r="J67">
        <v>0</v>
      </c>
      <c r="K67">
        <v>0</v>
      </c>
      <c r="L67">
        <v>0</v>
      </c>
      <c r="M67">
        <v>0</v>
      </c>
      <c r="N67">
        <v>0</v>
      </c>
      <c r="O67">
        <v>0</v>
      </c>
      <c r="P67">
        <v>0</v>
      </c>
      <c r="Q67">
        <v>0</v>
      </c>
      <c r="R67">
        <v>0</v>
      </c>
      <c r="S67">
        <v>0</v>
      </c>
      <c r="T67">
        <v>0</v>
      </c>
      <c r="U67">
        <v>0</v>
      </c>
      <c r="V67">
        <v>0</v>
      </c>
      <c r="W67">
        <v>0</v>
      </c>
      <c r="X67">
        <v>0</v>
      </c>
      <c r="Y67">
        <v>0</v>
      </c>
      <c r="Z67">
        <v>0</v>
      </c>
      <c r="AA67">
        <v>0</v>
      </c>
      <c r="AB67">
        <v>0</v>
      </c>
      <c r="AC67">
        <v>0</v>
      </c>
      <c r="AD67">
        <v>0</v>
      </c>
      <c r="AE67">
        <v>0</v>
      </c>
      <c r="AF67">
        <v>0</v>
      </c>
      <c r="AG67" t="s">
        <v>6</v>
      </c>
    </row>
    <row r="68" spans="1:33">
      <c r="A68" t="s">
        <v>95</v>
      </c>
      <c r="B68" t="s">
        <v>1013</v>
      </c>
      <c r="C68" t="s">
        <v>1012</v>
      </c>
      <c r="D68" t="s">
        <v>118</v>
      </c>
      <c r="F68">
        <v>0</v>
      </c>
      <c r="G68">
        <v>0</v>
      </c>
      <c r="H68">
        <v>0</v>
      </c>
      <c r="I68">
        <v>0</v>
      </c>
      <c r="J68">
        <v>0</v>
      </c>
      <c r="K68">
        <v>0</v>
      </c>
      <c r="L68">
        <v>0</v>
      </c>
      <c r="M68">
        <v>0</v>
      </c>
      <c r="N68">
        <v>0</v>
      </c>
      <c r="O68">
        <v>0</v>
      </c>
      <c r="P68">
        <v>0</v>
      </c>
      <c r="Q68">
        <v>0</v>
      </c>
      <c r="R68">
        <v>0</v>
      </c>
      <c r="S68">
        <v>0</v>
      </c>
      <c r="T68">
        <v>0</v>
      </c>
      <c r="U68">
        <v>0</v>
      </c>
      <c r="V68">
        <v>0</v>
      </c>
      <c r="W68">
        <v>0</v>
      </c>
      <c r="X68">
        <v>0</v>
      </c>
      <c r="Y68">
        <v>0</v>
      </c>
      <c r="Z68">
        <v>0</v>
      </c>
      <c r="AA68">
        <v>0</v>
      </c>
      <c r="AB68">
        <v>0</v>
      </c>
      <c r="AC68">
        <v>0</v>
      </c>
      <c r="AD68">
        <v>0</v>
      </c>
      <c r="AE68">
        <v>0</v>
      </c>
      <c r="AF68">
        <v>0</v>
      </c>
      <c r="AG68" t="s">
        <v>6</v>
      </c>
    </row>
    <row r="69" spans="1:33">
      <c r="A69" t="s">
        <v>110</v>
      </c>
      <c r="B69" t="s">
        <v>1011</v>
      </c>
      <c r="C69" t="s">
        <v>1010</v>
      </c>
      <c r="D69" t="s">
        <v>118</v>
      </c>
      <c r="F69">
        <v>101.04016900000001</v>
      </c>
      <c r="G69">
        <v>100.87748000000001</v>
      </c>
      <c r="H69">
        <v>99.986282000000003</v>
      </c>
      <c r="I69">
        <v>98.742125999999999</v>
      </c>
      <c r="J69">
        <v>97.470871000000002</v>
      </c>
      <c r="K69">
        <v>96.157784000000007</v>
      </c>
      <c r="L69">
        <v>94.803955000000002</v>
      </c>
      <c r="M69">
        <v>93.431022999999996</v>
      </c>
      <c r="N69">
        <v>92.128097999999994</v>
      </c>
      <c r="O69">
        <v>90.945992000000004</v>
      </c>
      <c r="P69">
        <v>89.866919999999993</v>
      </c>
      <c r="Q69">
        <v>88.847099</v>
      </c>
      <c r="R69">
        <v>87.879683999999997</v>
      </c>
      <c r="S69">
        <v>86.982628000000005</v>
      </c>
      <c r="T69">
        <v>85.934760999999995</v>
      </c>
      <c r="U69">
        <v>84.876143999999996</v>
      </c>
      <c r="V69">
        <v>83.808136000000005</v>
      </c>
      <c r="W69">
        <v>82.727233999999996</v>
      </c>
      <c r="X69">
        <v>81.619865000000004</v>
      </c>
      <c r="Y69">
        <v>80.497901999999996</v>
      </c>
      <c r="Z69">
        <v>79.361335999999994</v>
      </c>
      <c r="AA69">
        <v>78.213408999999999</v>
      </c>
      <c r="AB69">
        <v>77.047211000000004</v>
      </c>
      <c r="AC69">
        <v>75.871360999999993</v>
      </c>
      <c r="AD69">
        <v>74.682838000000004</v>
      </c>
      <c r="AE69">
        <v>73.500343000000001</v>
      </c>
      <c r="AF69">
        <v>72.319229000000007</v>
      </c>
      <c r="AG69" s="12">
        <v>-1.2999999999999999E-2</v>
      </c>
    </row>
    <row r="70" spans="1:33">
      <c r="A70" t="s">
        <v>98</v>
      </c>
      <c r="B70" t="s">
        <v>1009</v>
      </c>
      <c r="C70" t="s">
        <v>1008</v>
      </c>
      <c r="D70" t="s">
        <v>118</v>
      </c>
      <c r="F70">
        <v>10.011436</v>
      </c>
      <c r="G70">
        <v>9.9641760000000001</v>
      </c>
      <c r="H70">
        <v>9.8488229999999994</v>
      </c>
      <c r="I70">
        <v>9.6992469999999997</v>
      </c>
      <c r="J70">
        <v>9.5474689999999995</v>
      </c>
      <c r="K70">
        <v>9.3920720000000006</v>
      </c>
      <c r="L70">
        <v>9.2331830000000004</v>
      </c>
      <c r="M70">
        <v>9.0729570000000006</v>
      </c>
      <c r="N70">
        <v>8.9200700000000008</v>
      </c>
      <c r="O70">
        <v>8.7795740000000002</v>
      </c>
      <c r="P70">
        <v>8.6495519999999999</v>
      </c>
      <c r="Q70">
        <v>8.5256270000000001</v>
      </c>
      <c r="R70">
        <v>8.4073440000000002</v>
      </c>
      <c r="S70">
        <v>8.2961869999999998</v>
      </c>
      <c r="T70">
        <v>8.170966</v>
      </c>
      <c r="U70">
        <v>8.0451110000000003</v>
      </c>
      <c r="V70">
        <v>7.9187659999999997</v>
      </c>
      <c r="W70">
        <v>7.7916499999999997</v>
      </c>
      <c r="X70">
        <v>7.6625310000000004</v>
      </c>
      <c r="Y70">
        <v>7.5325889999999998</v>
      </c>
      <c r="Z70">
        <v>7.4017710000000001</v>
      </c>
      <c r="AA70">
        <v>7.2704040000000001</v>
      </c>
      <c r="AB70">
        <v>7.1378089999999998</v>
      </c>
      <c r="AC70">
        <v>7.0048300000000001</v>
      </c>
      <c r="AD70">
        <v>6.8712419999999996</v>
      </c>
      <c r="AE70">
        <v>6.738766</v>
      </c>
      <c r="AF70">
        <v>6.6069699999999996</v>
      </c>
      <c r="AG70" s="12">
        <v>-1.6E-2</v>
      </c>
    </row>
    <row r="71" spans="1:33">
      <c r="A71" t="s">
        <v>90</v>
      </c>
      <c r="B71" t="s">
        <v>1007</v>
      </c>
      <c r="C71" t="s">
        <v>1006</v>
      </c>
      <c r="D71" t="s">
        <v>118</v>
      </c>
      <c r="F71">
        <v>0</v>
      </c>
      <c r="G71">
        <v>0</v>
      </c>
      <c r="H71">
        <v>0</v>
      </c>
      <c r="I71">
        <v>0</v>
      </c>
      <c r="J71">
        <v>0</v>
      </c>
      <c r="K71">
        <v>0</v>
      </c>
      <c r="L71">
        <v>0</v>
      </c>
      <c r="M71">
        <v>0</v>
      </c>
      <c r="N71">
        <v>0</v>
      </c>
      <c r="O71">
        <v>0</v>
      </c>
      <c r="P71">
        <v>0</v>
      </c>
      <c r="Q71">
        <v>0</v>
      </c>
      <c r="R71">
        <v>0</v>
      </c>
      <c r="S71">
        <v>0</v>
      </c>
      <c r="T71">
        <v>0</v>
      </c>
      <c r="U71">
        <v>0</v>
      </c>
      <c r="V71">
        <v>0</v>
      </c>
      <c r="W71">
        <v>0</v>
      </c>
      <c r="X71">
        <v>0</v>
      </c>
      <c r="Y71">
        <v>0</v>
      </c>
      <c r="Z71">
        <v>0</v>
      </c>
      <c r="AA71">
        <v>0</v>
      </c>
      <c r="AB71">
        <v>0</v>
      </c>
      <c r="AC71">
        <v>0</v>
      </c>
      <c r="AD71">
        <v>0</v>
      </c>
      <c r="AE71">
        <v>0</v>
      </c>
      <c r="AF71">
        <v>0</v>
      </c>
      <c r="AG71" t="s">
        <v>6</v>
      </c>
    </row>
    <row r="72" spans="1:33" s="83" customFormat="1">
      <c r="A72" s="83" t="s">
        <v>91</v>
      </c>
      <c r="B72" s="83" t="s">
        <v>1005</v>
      </c>
      <c r="C72" s="83" t="s">
        <v>1004</v>
      </c>
      <c r="D72" s="83" t="s">
        <v>118</v>
      </c>
      <c r="F72" s="83">
        <v>81.477958999999998</v>
      </c>
      <c r="G72" s="83">
        <v>81.093315000000004</v>
      </c>
      <c r="H72" s="83">
        <v>80.154510000000002</v>
      </c>
      <c r="I72" s="83">
        <v>78.937209999999993</v>
      </c>
      <c r="J72" s="83">
        <v>77.701949999999997</v>
      </c>
      <c r="K72" s="83">
        <v>76.437241</v>
      </c>
      <c r="L72" s="83">
        <v>75.144149999999996</v>
      </c>
      <c r="M72" s="83">
        <v>73.840141000000003</v>
      </c>
      <c r="N72" s="83">
        <v>72.595862999999994</v>
      </c>
      <c r="O72" s="83">
        <v>71.452445999999995</v>
      </c>
      <c r="P72" s="83">
        <v>70.394264000000007</v>
      </c>
      <c r="Q72" s="83">
        <v>69.385695999999996</v>
      </c>
      <c r="R72" s="83">
        <v>68.423064999999994</v>
      </c>
      <c r="S72" s="83">
        <v>67.518416999999999</v>
      </c>
      <c r="T72" s="83">
        <v>66.499297999999996</v>
      </c>
      <c r="U72" s="83">
        <v>65.475020999999998</v>
      </c>
      <c r="V72" s="83">
        <v>64.446776999999997</v>
      </c>
      <c r="W72" s="83">
        <v>63.412239</v>
      </c>
      <c r="X72" s="83">
        <v>62.361404</v>
      </c>
      <c r="Y72" s="83">
        <v>61.303871000000001</v>
      </c>
      <c r="Z72" s="83">
        <v>60.239207999999998</v>
      </c>
      <c r="AA72" s="83">
        <v>59.170093999999999</v>
      </c>
      <c r="AB72" s="83">
        <v>58.090964999999997</v>
      </c>
      <c r="AC72" s="83">
        <v>57.008719999999997</v>
      </c>
      <c r="AD72" s="83">
        <v>55.921512999999997</v>
      </c>
      <c r="AE72" s="83">
        <v>54.843356999999997</v>
      </c>
      <c r="AF72" s="83">
        <v>53.770729000000003</v>
      </c>
      <c r="AG72" s="84">
        <v>-1.6E-2</v>
      </c>
    </row>
    <row r="73" spans="1:33">
      <c r="A73" t="s">
        <v>92</v>
      </c>
      <c r="B73" t="s">
        <v>1003</v>
      </c>
      <c r="C73" t="s">
        <v>1002</v>
      </c>
      <c r="D73" t="s">
        <v>118</v>
      </c>
      <c r="F73">
        <v>1.08043</v>
      </c>
      <c r="G73">
        <v>1.1090009999999999</v>
      </c>
      <c r="H73">
        <v>1.123974</v>
      </c>
      <c r="I73">
        <v>1.1334029999999999</v>
      </c>
      <c r="J73">
        <v>1.1428229999999999</v>
      </c>
      <c r="K73">
        <v>1.1520589999999999</v>
      </c>
      <c r="L73">
        <v>1.1612290000000001</v>
      </c>
      <c r="M73">
        <v>1.1705110000000001</v>
      </c>
      <c r="N73">
        <v>1.18072</v>
      </c>
      <c r="O73">
        <v>1.190545</v>
      </c>
      <c r="P73">
        <v>1.200944</v>
      </c>
      <c r="Q73">
        <v>1.21228</v>
      </c>
      <c r="R73">
        <v>1.222046</v>
      </c>
      <c r="S73">
        <v>1.232391</v>
      </c>
      <c r="T73">
        <v>1.241193</v>
      </c>
      <c r="U73">
        <v>1.250219</v>
      </c>
      <c r="V73">
        <v>1.2594339999999999</v>
      </c>
      <c r="W73">
        <v>1.2684489999999999</v>
      </c>
      <c r="X73">
        <v>1.276748</v>
      </c>
      <c r="Y73">
        <v>1.284117</v>
      </c>
      <c r="Z73">
        <v>1.2912060000000001</v>
      </c>
      <c r="AA73">
        <v>1.297987</v>
      </c>
      <c r="AB73">
        <v>1.3048919999999999</v>
      </c>
      <c r="AC73">
        <v>1.3117749999999999</v>
      </c>
      <c r="AD73">
        <v>1.3181830000000001</v>
      </c>
      <c r="AE73">
        <v>1.324549</v>
      </c>
      <c r="AF73">
        <v>1.330867</v>
      </c>
      <c r="AG73" s="12">
        <v>8.0000000000000002E-3</v>
      </c>
    </row>
    <row r="74" spans="1:33">
      <c r="A74" t="s">
        <v>93</v>
      </c>
      <c r="B74" t="s">
        <v>1001</v>
      </c>
      <c r="C74" t="s">
        <v>1000</v>
      </c>
      <c r="D74" t="s">
        <v>118</v>
      </c>
      <c r="F74">
        <v>8.0368440000000003</v>
      </c>
      <c r="G74">
        <v>7.9989049999999997</v>
      </c>
      <c r="H74">
        <v>7.9063030000000003</v>
      </c>
      <c r="I74">
        <v>7.7862289999999996</v>
      </c>
      <c r="J74">
        <v>7.6643869999999996</v>
      </c>
      <c r="K74">
        <v>7.5396390000000002</v>
      </c>
      <c r="L74">
        <v>7.4120889999999999</v>
      </c>
      <c r="M74">
        <v>7.2834640000000004</v>
      </c>
      <c r="N74">
        <v>7.1607320000000003</v>
      </c>
      <c r="O74">
        <v>7.0479469999999997</v>
      </c>
      <c r="P74">
        <v>6.9435690000000001</v>
      </c>
      <c r="Q74">
        <v>6.8440859999999999</v>
      </c>
      <c r="R74">
        <v>6.7491329999999996</v>
      </c>
      <c r="S74">
        <v>6.6599000000000004</v>
      </c>
      <c r="T74">
        <v>6.5593760000000003</v>
      </c>
      <c r="U74">
        <v>6.4583440000000003</v>
      </c>
      <c r="V74">
        <v>6.3569190000000004</v>
      </c>
      <c r="W74">
        <v>6.254874</v>
      </c>
      <c r="X74">
        <v>6.1512209999999996</v>
      </c>
      <c r="Y74">
        <v>6.0469080000000002</v>
      </c>
      <c r="Z74">
        <v>5.9418920000000002</v>
      </c>
      <c r="AA74">
        <v>5.836436</v>
      </c>
      <c r="AB74">
        <v>5.7299930000000003</v>
      </c>
      <c r="AC74">
        <v>5.6232410000000002</v>
      </c>
      <c r="AD74">
        <v>5.5160020000000003</v>
      </c>
      <c r="AE74">
        <v>5.4096539999999997</v>
      </c>
      <c r="AF74">
        <v>5.3038530000000002</v>
      </c>
      <c r="AG74" s="12">
        <v>-1.6E-2</v>
      </c>
    </row>
    <row r="75" spans="1:33">
      <c r="A75" t="s">
        <v>94</v>
      </c>
      <c r="B75" t="s">
        <v>999</v>
      </c>
      <c r="C75" t="s">
        <v>998</v>
      </c>
      <c r="D75" t="s">
        <v>118</v>
      </c>
      <c r="F75">
        <v>0.43350100000000003</v>
      </c>
      <c r="G75">
        <v>0.71207500000000001</v>
      </c>
      <c r="H75">
        <v>0.95266899999999999</v>
      </c>
      <c r="I75">
        <v>1.1860360000000001</v>
      </c>
      <c r="J75">
        <v>1.414234</v>
      </c>
      <c r="K75">
        <v>1.6367689999999999</v>
      </c>
      <c r="L75">
        <v>1.853299</v>
      </c>
      <c r="M75">
        <v>2.063949</v>
      </c>
      <c r="N75">
        <v>2.2707190000000002</v>
      </c>
      <c r="O75">
        <v>2.4754809999999998</v>
      </c>
      <c r="P75">
        <v>2.6785960000000002</v>
      </c>
      <c r="Q75">
        <v>2.8794080000000002</v>
      </c>
      <c r="R75">
        <v>3.0781019999999999</v>
      </c>
      <c r="S75">
        <v>3.2757350000000001</v>
      </c>
      <c r="T75">
        <v>3.463921</v>
      </c>
      <c r="U75">
        <v>3.6474440000000001</v>
      </c>
      <c r="V75">
        <v>3.8262390000000002</v>
      </c>
      <c r="W75">
        <v>4.0000239999999998</v>
      </c>
      <c r="X75">
        <v>4.1679579999999996</v>
      </c>
      <c r="Y75">
        <v>4.3304239999999998</v>
      </c>
      <c r="Z75">
        <v>4.4872579999999997</v>
      </c>
      <c r="AA75">
        <v>4.6384879999999997</v>
      </c>
      <c r="AB75">
        <v>4.7835470000000004</v>
      </c>
      <c r="AC75">
        <v>4.9227959999999999</v>
      </c>
      <c r="AD75">
        <v>5.0558969999999999</v>
      </c>
      <c r="AE75">
        <v>5.1840140000000003</v>
      </c>
      <c r="AF75">
        <v>5.3068090000000003</v>
      </c>
      <c r="AG75" s="12">
        <v>0.10100000000000001</v>
      </c>
    </row>
    <row r="76" spans="1:33">
      <c r="A76" t="s">
        <v>95</v>
      </c>
      <c r="B76" t="s">
        <v>997</v>
      </c>
      <c r="C76" t="s">
        <v>996</v>
      </c>
      <c r="D76" t="s">
        <v>118</v>
      </c>
      <c r="F76">
        <v>0</v>
      </c>
      <c r="G76">
        <v>0</v>
      </c>
      <c r="H76">
        <v>0</v>
      </c>
      <c r="I76">
        <v>0</v>
      </c>
      <c r="J76">
        <v>0</v>
      </c>
      <c r="K76">
        <v>0</v>
      </c>
      <c r="L76">
        <v>0</v>
      </c>
      <c r="M76">
        <v>0</v>
      </c>
      <c r="N76">
        <v>0</v>
      </c>
      <c r="O76">
        <v>0</v>
      </c>
      <c r="P76">
        <v>0</v>
      </c>
      <c r="Q76">
        <v>0</v>
      </c>
      <c r="R76">
        <v>0</v>
      </c>
      <c r="S76">
        <v>0</v>
      </c>
      <c r="T76">
        <v>0</v>
      </c>
      <c r="U76">
        <v>0</v>
      </c>
      <c r="V76">
        <v>0</v>
      </c>
      <c r="W76">
        <v>0</v>
      </c>
      <c r="X76">
        <v>0</v>
      </c>
      <c r="Y76">
        <v>0</v>
      </c>
      <c r="Z76">
        <v>0</v>
      </c>
      <c r="AA76">
        <v>0</v>
      </c>
      <c r="AB76">
        <v>0</v>
      </c>
      <c r="AC76">
        <v>0</v>
      </c>
      <c r="AD76">
        <v>0</v>
      </c>
      <c r="AE76">
        <v>0</v>
      </c>
      <c r="AF76">
        <v>0</v>
      </c>
      <c r="AG76" t="s">
        <v>6</v>
      </c>
    </row>
    <row r="77" spans="1:33" s="1" customFormat="1">
      <c r="A77" s="1" t="s">
        <v>7</v>
      </c>
      <c r="B77" s="1" t="s">
        <v>995</v>
      </c>
      <c r="C77" s="1" t="s">
        <v>994</v>
      </c>
      <c r="D77" s="1" t="s">
        <v>118</v>
      </c>
      <c r="F77" s="1">
        <v>43.892204</v>
      </c>
      <c r="G77" s="1">
        <v>46.490710999999997</v>
      </c>
      <c r="H77" s="1">
        <v>47.928882999999999</v>
      </c>
      <c r="I77" s="1">
        <v>48.711205</v>
      </c>
      <c r="J77" s="1">
        <v>49.231833999999999</v>
      </c>
      <c r="K77" s="1">
        <v>49.773636000000003</v>
      </c>
      <c r="L77" s="1">
        <v>50.393982000000001</v>
      </c>
      <c r="M77" s="1">
        <v>50.846916</v>
      </c>
      <c r="N77" s="1">
        <v>51.249969</v>
      </c>
      <c r="O77" s="1">
        <v>51.578491</v>
      </c>
      <c r="P77" s="1">
        <v>51.858665000000002</v>
      </c>
      <c r="Q77" s="1">
        <v>52.283653000000001</v>
      </c>
      <c r="R77" s="1">
        <v>52.821021999999999</v>
      </c>
      <c r="S77" s="1">
        <v>53.370353999999999</v>
      </c>
      <c r="T77" s="1">
        <v>53.936473999999997</v>
      </c>
      <c r="U77" s="1">
        <v>54.449078</v>
      </c>
      <c r="V77" s="1">
        <v>54.919967999999997</v>
      </c>
      <c r="W77" s="1">
        <v>55.340308999999998</v>
      </c>
      <c r="X77" s="1">
        <v>55.737267000000003</v>
      </c>
      <c r="Y77" s="1">
        <v>56.129337</v>
      </c>
      <c r="Z77" s="1">
        <v>56.455002</v>
      </c>
      <c r="AA77" s="1">
        <v>56.804771000000002</v>
      </c>
      <c r="AB77" s="1">
        <v>57.083145000000002</v>
      </c>
      <c r="AC77" s="1">
        <v>57.392547999999998</v>
      </c>
      <c r="AD77" s="1">
        <v>57.764831999999998</v>
      </c>
      <c r="AE77" s="1">
        <v>58.136749000000002</v>
      </c>
      <c r="AF77" s="1">
        <v>58.625304999999997</v>
      </c>
      <c r="AG77" s="104">
        <v>1.0999999999999999E-2</v>
      </c>
    </row>
    <row r="78" spans="1:33">
      <c r="A78" t="s">
        <v>111</v>
      </c>
      <c r="B78" t="s">
        <v>993</v>
      </c>
      <c r="C78" t="s">
        <v>992</v>
      </c>
      <c r="D78" t="s">
        <v>118</v>
      </c>
      <c r="F78">
        <v>8.7423819999999992</v>
      </c>
      <c r="G78">
        <v>9.3800589999999993</v>
      </c>
      <c r="H78">
        <v>9.8378320000000006</v>
      </c>
      <c r="I78">
        <v>10.165743000000001</v>
      </c>
      <c r="J78">
        <v>10.415087</v>
      </c>
      <c r="K78">
        <v>10.611311000000001</v>
      </c>
      <c r="L78">
        <v>10.771235000000001</v>
      </c>
      <c r="M78">
        <v>10.905773999999999</v>
      </c>
      <c r="N78">
        <v>11.020588</v>
      </c>
      <c r="O78">
        <v>11.119541</v>
      </c>
      <c r="P78">
        <v>11.206322</v>
      </c>
      <c r="Q78">
        <v>11.283692</v>
      </c>
      <c r="R78">
        <v>11.353813000000001</v>
      </c>
      <c r="S78">
        <v>11.417555</v>
      </c>
      <c r="T78">
        <v>11.481839000000001</v>
      </c>
      <c r="U78">
        <v>11.543386999999999</v>
      </c>
      <c r="V78">
        <v>11.602665</v>
      </c>
      <c r="W78">
        <v>11.660023000000001</v>
      </c>
      <c r="X78">
        <v>11.716011999999999</v>
      </c>
      <c r="Y78">
        <v>11.770652999999999</v>
      </c>
      <c r="Z78">
        <v>11.824216</v>
      </c>
      <c r="AA78">
        <v>11.876847</v>
      </c>
      <c r="AB78">
        <v>11.928874</v>
      </c>
      <c r="AC78">
        <v>11.980318</v>
      </c>
      <c r="AD78">
        <v>12.031491000000001</v>
      </c>
      <c r="AE78">
        <v>12.082007000000001</v>
      </c>
      <c r="AF78">
        <v>12.132166</v>
      </c>
      <c r="AG78" s="12">
        <v>1.2999999999999999E-2</v>
      </c>
    </row>
    <row r="79" spans="1:33">
      <c r="A79" t="s">
        <v>94</v>
      </c>
      <c r="B79" t="s">
        <v>991</v>
      </c>
      <c r="C79" t="s">
        <v>990</v>
      </c>
      <c r="D79" t="s">
        <v>118</v>
      </c>
      <c r="F79">
        <v>1.0626599999999999</v>
      </c>
      <c r="G79">
        <v>1.140172</v>
      </c>
      <c r="H79">
        <v>1.1958150000000001</v>
      </c>
      <c r="I79">
        <v>1.2356739999999999</v>
      </c>
      <c r="J79">
        <v>1.2659819999999999</v>
      </c>
      <c r="K79">
        <v>1.2898339999999999</v>
      </c>
      <c r="L79">
        <v>1.3092729999999999</v>
      </c>
      <c r="M79">
        <v>1.325626</v>
      </c>
      <c r="N79">
        <v>1.3395820000000001</v>
      </c>
      <c r="O79">
        <v>1.35161</v>
      </c>
      <c r="P79">
        <v>1.3621589999999999</v>
      </c>
      <c r="Q79">
        <v>1.3715630000000001</v>
      </c>
      <c r="R79">
        <v>1.3800870000000001</v>
      </c>
      <c r="S79">
        <v>1.3878349999999999</v>
      </c>
      <c r="T79">
        <v>1.3956489999999999</v>
      </c>
      <c r="U79">
        <v>1.40313</v>
      </c>
      <c r="V79">
        <v>1.410336</v>
      </c>
      <c r="W79">
        <v>1.4173070000000001</v>
      </c>
      <c r="X79">
        <v>1.424113</v>
      </c>
      <c r="Y79">
        <v>1.430755</v>
      </c>
      <c r="Z79">
        <v>1.437265</v>
      </c>
      <c r="AA79">
        <v>1.4436629999999999</v>
      </c>
      <c r="AB79">
        <v>1.449986</v>
      </c>
      <c r="AC79">
        <v>1.45624</v>
      </c>
      <c r="AD79">
        <v>1.462461</v>
      </c>
      <c r="AE79">
        <v>1.4685999999999999</v>
      </c>
      <c r="AF79">
        <v>1.4746980000000001</v>
      </c>
      <c r="AG79" s="12">
        <v>1.2999999999999999E-2</v>
      </c>
    </row>
    <row r="80" spans="1:33" s="83" customFormat="1">
      <c r="A80" s="83" t="s">
        <v>112</v>
      </c>
      <c r="B80" s="83" t="s">
        <v>989</v>
      </c>
      <c r="C80" s="83" t="s">
        <v>988</v>
      </c>
      <c r="D80" s="83" t="s">
        <v>118</v>
      </c>
      <c r="F80" s="83">
        <v>7.6797219999999999</v>
      </c>
      <c r="G80" s="83">
        <v>8.2398869999999995</v>
      </c>
      <c r="H80" s="83">
        <v>8.6420169999999992</v>
      </c>
      <c r="I80" s="83">
        <v>8.9300689999999996</v>
      </c>
      <c r="J80" s="83">
        <v>9.1491050000000005</v>
      </c>
      <c r="K80" s="83">
        <v>9.3214769999999998</v>
      </c>
      <c r="L80" s="83">
        <v>9.4619630000000008</v>
      </c>
      <c r="M80" s="83">
        <v>9.5801479999999994</v>
      </c>
      <c r="N80" s="83">
        <v>9.6810050000000007</v>
      </c>
      <c r="O80" s="83">
        <v>9.7679310000000008</v>
      </c>
      <c r="P80" s="83">
        <v>9.844163</v>
      </c>
      <c r="Q80" s="83">
        <v>9.9121290000000002</v>
      </c>
      <c r="R80" s="83">
        <v>9.9737259999999992</v>
      </c>
      <c r="S80" s="83">
        <v>10.029719999999999</v>
      </c>
      <c r="T80" s="83">
        <v>10.08619</v>
      </c>
      <c r="U80" s="83">
        <v>10.140257999999999</v>
      </c>
      <c r="V80" s="83">
        <v>10.192329000000001</v>
      </c>
      <c r="W80" s="83">
        <v>10.242716</v>
      </c>
      <c r="X80" s="83">
        <v>10.291899000000001</v>
      </c>
      <c r="Y80" s="83">
        <v>10.339898</v>
      </c>
      <c r="Z80" s="83">
        <v>10.386950000000001</v>
      </c>
      <c r="AA80" s="83">
        <v>10.433185</v>
      </c>
      <c r="AB80" s="83">
        <v>10.478888</v>
      </c>
      <c r="AC80" s="83">
        <v>10.524077999999999</v>
      </c>
      <c r="AD80" s="83">
        <v>10.569031000000001</v>
      </c>
      <c r="AE80" s="83">
        <v>10.613407</v>
      </c>
      <c r="AF80" s="83">
        <v>10.657468</v>
      </c>
      <c r="AG80" s="84">
        <v>1.2999999999999999E-2</v>
      </c>
    </row>
    <row r="81" spans="1:33">
      <c r="A81" t="s">
        <v>101</v>
      </c>
      <c r="B81" t="s">
        <v>987</v>
      </c>
      <c r="C81" t="s">
        <v>986</v>
      </c>
      <c r="D81" t="s">
        <v>118</v>
      </c>
      <c r="F81">
        <v>0</v>
      </c>
      <c r="G81">
        <v>0</v>
      </c>
      <c r="H81">
        <v>0</v>
      </c>
      <c r="I81">
        <v>0</v>
      </c>
      <c r="J81">
        <v>0</v>
      </c>
      <c r="K81">
        <v>0</v>
      </c>
      <c r="L81">
        <v>0</v>
      </c>
      <c r="M81">
        <v>0</v>
      </c>
      <c r="N81">
        <v>0</v>
      </c>
      <c r="O81">
        <v>0</v>
      </c>
      <c r="P81">
        <v>0</v>
      </c>
      <c r="Q81">
        <v>0</v>
      </c>
      <c r="R81">
        <v>0</v>
      </c>
      <c r="S81">
        <v>0</v>
      </c>
      <c r="T81">
        <v>0</v>
      </c>
      <c r="U81">
        <v>0</v>
      </c>
      <c r="V81">
        <v>0</v>
      </c>
      <c r="W81">
        <v>0</v>
      </c>
      <c r="X81">
        <v>0</v>
      </c>
      <c r="Y81">
        <v>0</v>
      </c>
      <c r="Z81">
        <v>0</v>
      </c>
      <c r="AA81">
        <v>0</v>
      </c>
      <c r="AB81">
        <v>0</v>
      </c>
      <c r="AC81">
        <v>0</v>
      </c>
      <c r="AD81">
        <v>0</v>
      </c>
      <c r="AE81">
        <v>0</v>
      </c>
      <c r="AF81">
        <v>0</v>
      </c>
      <c r="AG81" t="s">
        <v>6</v>
      </c>
    </row>
    <row r="82" spans="1:33">
      <c r="A82" t="s">
        <v>102</v>
      </c>
      <c r="B82" t="s">
        <v>985</v>
      </c>
      <c r="C82" t="s">
        <v>984</v>
      </c>
      <c r="D82" t="s">
        <v>118</v>
      </c>
      <c r="F82">
        <v>0</v>
      </c>
      <c r="G82">
        <v>0</v>
      </c>
      <c r="H82">
        <v>0</v>
      </c>
      <c r="I82">
        <v>0</v>
      </c>
      <c r="J82">
        <v>0</v>
      </c>
      <c r="K82">
        <v>0</v>
      </c>
      <c r="L82">
        <v>0</v>
      </c>
      <c r="M82">
        <v>0</v>
      </c>
      <c r="N82">
        <v>0</v>
      </c>
      <c r="O82">
        <v>0</v>
      </c>
      <c r="P82">
        <v>0</v>
      </c>
      <c r="Q82">
        <v>0</v>
      </c>
      <c r="R82">
        <v>0</v>
      </c>
      <c r="S82">
        <v>0</v>
      </c>
      <c r="T82">
        <v>0</v>
      </c>
      <c r="U82">
        <v>0</v>
      </c>
      <c r="V82">
        <v>0</v>
      </c>
      <c r="W82">
        <v>0</v>
      </c>
      <c r="X82">
        <v>0</v>
      </c>
      <c r="Y82">
        <v>0</v>
      </c>
      <c r="Z82">
        <v>0</v>
      </c>
      <c r="AA82">
        <v>0</v>
      </c>
      <c r="AB82">
        <v>0</v>
      </c>
      <c r="AC82">
        <v>0</v>
      </c>
      <c r="AD82">
        <v>0</v>
      </c>
      <c r="AE82">
        <v>0</v>
      </c>
      <c r="AF82">
        <v>0</v>
      </c>
      <c r="AG82" t="s">
        <v>6</v>
      </c>
    </row>
    <row r="83" spans="1:33">
      <c r="A83" t="s">
        <v>113</v>
      </c>
      <c r="B83" t="s">
        <v>983</v>
      </c>
      <c r="C83" t="s">
        <v>982</v>
      </c>
      <c r="D83" t="s">
        <v>118</v>
      </c>
      <c r="F83">
        <v>14.508388999999999</v>
      </c>
      <c r="G83">
        <v>15.421035</v>
      </c>
      <c r="H83">
        <v>16.002700999999998</v>
      </c>
      <c r="I83">
        <v>16.428796999999999</v>
      </c>
      <c r="J83">
        <v>16.870525000000001</v>
      </c>
      <c r="K83">
        <v>17.287436</v>
      </c>
      <c r="L83">
        <v>17.607780000000002</v>
      </c>
      <c r="M83">
        <v>17.836908000000001</v>
      </c>
      <c r="N83">
        <v>18.041525</v>
      </c>
      <c r="O83">
        <v>18.197558999999998</v>
      </c>
      <c r="P83">
        <v>18.347023</v>
      </c>
      <c r="Q83">
        <v>18.543555999999999</v>
      </c>
      <c r="R83">
        <v>18.732952000000001</v>
      </c>
      <c r="S83">
        <v>18.925523999999999</v>
      </c>
      <c r="T83">
        <v>19.122789000000001</v>
      </c>
      <c r="U83">
        <v>19.294951999999999</v>
      </c>
      <c r="V83">
        <v>19.444386000000002</v>
      </c>
      <c r="W83">
        <v>19.568449000000001</v>
      </c>
      <c r="X83">
        <v>19.677353</v>
      </c>
      <c r="Y83">
        <v>19.784870000000002</v>
      </c>
      <c r="Z83">
        <v>19.860029000000001</v>
      </c>
      <c r="AA83">
        <v>19.946988999999999</v>
      </c>
      <c r="AB83">
        <v>19.998484000000001</v>
      </c>
      <c r="AC83">
        <v>20.058503999999999</v>
      </c>
      <c r="AD83">
        <v>20.148382000000002</v>
      </c>
      <c r="AE83">
        <v>20.242802000000001</v>
      </c>
      <c r="AF83">
        <v>20.400482</v>
      </c>
      <c r="AG83" s="12">
        <v>1.2999999999999999E-2</v>
      </c>
    </row>
    <row r="84" spans="1:33">
      <c r="A84" t="s">
        <v>94</v>
      </c>
      <c r="B84" t="s">
        <v>981</v>
      </c>
      <c r="C84" t="s">
        <v>980</v>
      </c>
      <c r="D84" t="s">
        <v>118</v>
      </c>
      <c r="F84">
        <v>14.508388999999999</v>
      </c>
      <c r="G84">
        <v>15.421035</v>
      </c>
      <c r="H84">
        <v>16.002700999999998</v>
      </c>
      <c r="I84">
        <v>16.428796999999999</v>
      </c>
      <c r="J84">
        <v>16.870525000000001</v>
      </c>
      <c r="K84">
        <v>17.287436</v>
      </c>
      <c r="L84">
        <v>17.607780000000002</v>
      </c>
      <c r="M84">
        <v>17.836908000000001</v>
      </c>
      <c r="N84">
        <v>18.041525</v>
      </c>
      <c r="O84">
        <v>18.197558999999998</v>
      </c>
      <c r="P84">
        <v>18.347023</v>
      </c>
      <c r="Q84">
        <v>18.543555999999999</v>
      </c>
      <c r="R84">
        <v>18.732952000000001</v>
      </c>
      <c r="S84">
        <v>18.925523999999999</v>
      </c>
      <c r="T84">
        <v>19.122789000000001</v>
      </c>
      <c r="U84">
        <v>19.294951999999999</v>
      </c>
      <c r="V84">
        <v>19.444386000000002</v>
      </c>
      <c r="W84">
        <v>19.568449000000001</v>
      </c>
      <c r="X84">
        <v>19.677353</v>
      </c>
      <c r="Y84">
        <v>19.784870000000002</v>
      </c>
      <c r="Z84">
        <v>19.860029000000001</v>
      </c>
      <c r="AA84">
        <v>19.946988999999999</v>
      </c>
      <c r="AB84">
        <v>19.998484000000001</v>
      </c>
      <c r="AC84">
        <v>20.058503999999999</v>
      </c>
      <c r="AD84">
        <v>20.148382000000002</v>
      </c>
      <c r="AE84">
        <v>20.242802000000001</v>
      </c>
      <c r="AF84">
        <v>20.400482</v>
      </c>
      <c r="AG84" s="12">
        <v>1.2999999999999999E-2</v>
      </c>
    </row>
    <row r="85" spans="1:33">
      <c r="A85" t="s">
        <v>114</v>
      </c>
      <c r="B85" t="s">
        <v>979</v>
      </c>
      <c r="C85" t="s">
        <v>978</v>
      </c>
      <c r="D85" t="s">
        <v>118</v>
      </c>
      <c r="F85">
        <v>20.641434</v>
      </c>
      <c r="G85">
        <v>21.689616999999998</v>
      </c>
      <c r="H85">
        <v>22.088348</v>
      </c>
      <c r="I85">
        <v>22.116669000000002</v>
      </c>
      <c r="J85">
        <v>21.94622</v>
      </c>
      <c r="K85">
        <v>21.874889</v>
      </c>
      <c r="L85">
        <v>22.014965</v>
      </c>
      <c r="M85">
        <v>22.104230999999999</v>
      </c>
      <c r="N85">
        <v>22.187854999999999</v>
      </c>
      <c r="O85">
        <v>22.261389000000001</v>
      </c>
      <c r="P85">
        <v>22.305319000000001</v>
      </c>
      <c r="Q85">
        <v>22.456403999999999</v>
      </c>
      <c r="R85">
        <v>22.734255000000001</v>
      </c>
      <c r="S85">
        <v>23.027270999999999</v>
      </c>
      <c r="T85">
        <v>23.331844</v>
      </c>
      <c r="U85">
        <v>23.610738999999999</v>
      </c>
      <c r="V85">
        <v>23.872917000000001</v>
      </c>
      <c r="W85">
        <v>24.111839</v>
      </c>
      <c r="X85">
        <v>24.343903000000001</v>
      </c>
      <c r="Y85">
        <v>24.573816000000001</v>
      </c>
      <c r="Z85">
        <v>24.770754</v>
      </c>
      <c r="AA85">
        <v>24.980931999999999</v>
      </c>
      <c r="AB85">
        <v>25.155787</v>
      </c>
      <c r="AC85">
        <v>25.353729000000001</v>
      </c>
      <c r="AD85">
        <v>25.584959000000001</v>
      </c>
      <c r="AE85">
        <v>25.811942999999999</v>
      </c>
      <c r="AF85">
        <v>26.092656999999999</v>
      </c>
      <c r="AG85" s="12">
        <v>8.9999999999999993E-3</v>
      </c>
    </row>
    <row r="86" spans="1:33">
      <c r="A86" t="s">
        <v>94</v>
      </c>
      <c r="B86" t="s">
        <v>977</v>
      </c>
      <c r="C86" t="s">
        <v>976</v>
      </c>
      <c r="D86" t="s">
        <v>118</v>
      </c>
      <c r="F86">
        <v>7.5111889999999999</v>
      </c>
      <c r="G86">
        <v>7.855988</v>
      </c>
      <c r="H86">
        <v>8.0141960000000001</v>
      </c>
      <c r="I86">
        <v>8.0560130000000001</v>
      </c>
      <c r="J86">
        <v>8.0277329999999996</v>
      </c>
      <c r="K86">
        <v>8.0724560000000007</v>
      </c>
      <c r="L86">
        <v>8.107094</v>
      </c>
      <c r="M86">
        <v>8.1060300000000005</v>
      </c>
      <c r="N86">
        <v>8.1130739999999992</v>
      </c>
      <c r="O86">
        <v>8.1194109999999995</v>
      </c>
      <c r="P86">
        <v>8.102843</v>
      </c>
      <c r="Q86">
        <v>8.1355620000000002</v>
      </c>
      <c r="R86">
        <v>8.2269900000000007</v>
      </c>
      <c r="S86">
        <v>8.3286890000000007</v>
      </c>
      <c r="T86">
        <v>8.4335880000000003</v>
      </c>
      <c r="U86">
        <v>8.5265900000000006</v>
      </c>
      <c r="V86">
        <v>8.6186360000000004</v>
      </c>
      <c r="W86">
        <v>8.7029239999999994</v>
      </c>
      <c r="X86">
        <v>8.7860029999999991</v>
      </c>
      <c r="Y86">
        <v>8.8617150000000002</v>
      </c>
      <c r="Z86">
        <v>8.9281100000000002</v>
      </c>
      <c r="AA86">
        <v>8.9928310000000007</v>
      </c>
      <c r="AB86">
        <v>9.0486979999999999</v>
      </c>
      <c r="AC86">
        <v>9.1163530000000002</v>
      </c>
      <c r="AD86">
        <v>9.1924899999999994</v>
      </c>
      <c r="AE86">
        <v>9.2656609999999997</v>
      </c>
      <c r="AF86">
        <v>9.3441930000000006</v>
      </c>
      <c r="AG86" s="12">
        <v>8.0000000000000002E-3</v>
      </c>
    </row>
    <row r="87" spans="1:33" s="83" customFormat="1">
      <c r="A87" s="83" t="s">
        <v>112</v>
      </c>
      <c r="B87" s="83" t="s">
        <v>975</v>
      </c>
      <c r="C87" s="83" t="s">
        <v>974</v>
      </c>
      <c r="D87" s="83" t="s">
        <v>118</v>
      </c>
      <c r="F87" s="83">
        <v>13.130245</v>
      </c>
      <c r="G87" s="83">
        <v>13.833631</v>
      </c>
      <c r="H87" s="83">
        <v>14.074153000000001</v>
      </c>
      <c r="I87" s="83">
        <v>14.060656</v>
      </c>
      <c r="J87" s="83">
        <v>13.918488</v>
      </c>
      <c r="K87" s="83">
        <v>13.802433000000001</v>
      </c>
      <c r="L87" s="83">
        <v>13.907870000000001</v>
      </c>
      <c r="M87" s="83">
        <v>13.998201</v>
      </c>
      <c r="N87" s="83">
        <v>14.074781</v>
      </c>
      <c r="O87" s="83">
        <v>14.141977000000001</v>
      </c>
      <c r="P87" s="83">
        <v>14.202476000000001</v>
      </c>
      <c r="Q87" s="83">
        <v>14.320842000000001</v>
      </c>
      <c r="R87" s="83">
        <v>14.507265</v>
      </c>
      <c r="S87" s="83">
        <v>14.698584</v>
      </c>
      <c r="T87" s="83">
        <v>14.898256999999999</v>
      </c>
      <c r="U87" s="83">
        <v>15.084148000000001</v>
      </c>
      <c r="V87" s="83">
        <v>15.25428</v>
      </c>
      <c r="W87" s="83">
        <v>15.408915</v>
      </c>
      <c r="X87" s="83">
        <v>15.5579</v>
      </c>
      <c r="Y87" s="83">
        <v>15.712101000000001</v>
      </c>
      <c r="Z87" s="83">
        <v>15.842644</v>
      </c>
      <c r="AA87" s="83">
        <v>15.988101</v>
      </c>
      <c r="AB87" s="83">
        <v>16.107088000000001</v>
      </c>
      <c r="AC87" s="83">
        <v>16.237375</v>
      </c>
      <c r="AD87" s="83">
        <v>16.392468999999998</v>
      </c>
      <c r="AE87" s="83">
        <v>16.546282000000001</v>
      </c>
      <c r="AF87" s="83">
        <v>16.748464999999999</v>
      </c>
      <c r="AG87" s="84">
        <v>8.9999999999999993E-3</v>
      </c>
    </row>
    <row r="88" spans="1:33">
      <c r="A88" t="s">
        <v>101</v>
      </c>
      <c r="B88" t="s">
        <v>973</v>
      </c>
      <c r="C88" t="s">
        <v>972</v>
      </c>
      <c r="D88" t="s">
        <v>118</v>
      </c>
      <c r="F88">
        <v>0</v>
      </c>
      <c r="G88">
        <v>0</v>
      </c>
      <c r="H88">
        <v>0</v>
      </c>
      <c r="I88">
        <v>0</v>
      </c>
      <c r="J88">
        <v>0</v>
      </c>
      <c r="K88">
        <v>0</v>
      </c>
      <c r="L88">
        <v>0</v>
      </c>
      <c r="M88">
        <v>0</v>
      </c>
      <c r="N88">
        <v>0</v>
      </c>
      <c r="O88">
        <v>0</v>
      </c>
      <c r="P88">
        <v>0</v>
      </c>
      <c r="Q88">
        <v>0</v>
      </c>
      <c r="R88">
        <v>0</v>
      </c>
      <c r="S88">
        <v>0</v>
      </c>
      <c r="T88">
        <v>0</v>
      </c>
      <c r="U88">
        <v>0</v>
      </c>
      <c r="V88">
        <v>0</v>
      </c>
      <c r="W88">
        <v>0</v>
      </c>
      <c r="X88">
        <v>0</v>
      </c>
      <c r="Y88">
        <v>0</v>
      </c>
      <c r="Z88">
        <v>0</v>
      </c>
      <c r="AA88">
        <v>0</v>
      </c>
      <c r="AB88">
        <v>0</v>
      </c>
      <c r="AC88">
        <v>0</v>
      </c>
      <c r="AD88">
        <v>0</v>
      </c>
      <c r="AE88">
        <v>0</v>
      </c>
      <c r="AF88">
        <v>0</v>
      </c>
      <c r="AG88" t="s">
        <v>6</v>
      </c>
    </row>
    <row r="89" spans="1:33">
      <c r="A89" t="s">
        <v>102</v>
      </c>
      <c r="B89" t="s">
        <v>971</v>
      </c>
      <c r="C89" t="s">
        <v>970</v>
      </c>
      <c r="D89" t="s">
        <v>118</v>
      </c>
      <c r="F89">
        <v>0</v>
      </c>
      <c r="G89">
        <v>0</v>
      </c>
      <c r="H89">
        <v>0</v>
      </c>
      <c r="I89">
        <v>0</v>
      </c>
      <c r="J89">
        <v>0</v>
      </c>
      <c r="K89">
        <v>0</v>
      </c>
      <c r="L89">
        <v>0</v>
      </c>
      <c r="M89">
        <v>0</v>
      </c>
      <c r="N89">
        <v>0</v>
      </c>
      <c r="O89">
        <v>0</v>
      </c>
      <c r="P89">
        <v>0</v>
      </c>
      <c r="Q89">
        <v>0</v>
      </c>
      <c r="R89">
        <v>0</v>
      </c>
      <c r="S89">
        <v>0</v>
      </c>
      <c r="T89">
        <v>0</v>
      </c>
      <c r="U89">
        <v>0</v>
      </c>
      <c r="V89">
        <v>0</v>
      </c>
      <c r="W89">
        <v>0</v>
      </c>
      <c r="X89">
        <v>0</v>
      </c>
      <c r="Y89">
        <v>0</v>
      </c>
      <c r="Z89">
        <v>0</v>
      </c>
      <c r="AA89">
        <v>0</v>
      </c>
      <c r="AB89">
        <v>0</v>
      </c>
      <c r="AC89">
        <v>0</v>
      </c>
      <c r="AD89">
        <v>0</v>
      </c>
      <c r="AE89">
        <v>0</v>
      </c>
      <c r="AF89">
        <v>0</v>
      </c>
      <c r="AG89" t="s">
        <v>6</v>
      </c>
    </row>
    <row r="90" spans="1:33">
      <c r="A90" t="s">
        <v>5</v>
      </c>
      <c r="B90" t="s">
        <v>969</v>
      </c>
      <c r="C90" t="s">
        <v>968</v>
      </c>
      <c r="D90" t="s">
        <v>118</v>
      </c>
      <c r="F90">
        <v>207.60502600000001</v>
      </c>
      <c r="G90">
        <v>206.044724</v>
      </c>
      <c r="H90">
        <v>205.25169399999999</v>
      </c>
      <c r="I90">
        <v>204.43426500000001</v>
      </c>
      <c r="J90">
        <v>203.14537000000001</v>
      </c>
      <c r="K90">
        <v>202.085342</v>
      </c>
      <c r="L90">
        <v>200.752869</v>
      </c>
      <c r="M90">
        <v>199.064514</v>
      </c>
      <c r="N90">
        <v>197.718536</v>
      </c>
      <c r="O90">
        <v>196.50250199999999</v>
      </c>
      <c r="P90">
        <v>195.25280799999999</v>
      </c>
      <c r="Q90">
        <v>194.23524499999999</v>
      </c>
      <c r="R90">
        <v>193.26904300000001</v>
      </c>
      <c r="S90">
        <v>192.45489499999999</v>
      </c>
      <c r="T90">
        <v>191.70195000000001</v>
      </c>
      <c r="U90">
        <v>190.90595999999999</v>
      </c>
      <c r="V90">
        <v>190.125854</v>
      </c>
      <c r="W90">
        <v>189.31890899999999</v>
      </c>
      <c r="X90">
        <v>188.616241</v>
      </c>
      <c r="Y90">
        <v>187.856247</v>
      </c>
      <c r="Z90">
        <v>186.963165</v>
      </c>
      <c r="AA90">
        <v>186.014847</v>
      </c>
      <c r="AB90">
        <v>185.01559399999999</v>
      </c>
      <c r="AC90">
        <v>184.28604100000001</v>
      </c>
      <c r="AD90">
        <v>183.61746199999999</v>
      </c>
      <c r="AE90">
        <v>182.85122699999999</v>
      </c>
      <c r="AF90">
        <v>182.05470299999999</v>
      </c>
      <c r="AG90" s="12">
        <v>-5.0000000000000001E-3</v>
      </c>
    </row>
    <row r="91" spans="1:33">
      <c r="A91" t="s">
        <v>115</v>
      </c>
      <c r="B91" t="s">
        <v>967</v>
      </c>
      <c r="C91" t="s">
        <v>966</v>
      </c>
      <c r="D91" t="s">
        <v>118</v>
      </c>
      <c r="F91">
        <v>166.91459699999999</v>
      </c>
      <c r="G91">
        <v>165.389938</v>
      </c>
      <c r="H91">
        <v>164.48289500000001</v>
      </c>
      <c r="I91">
        <v>163.55706799999999</v>
      </c>
      <c r="J91">
        <v>162.255493</v>
      </c>
      <c r="K91">
        <v>161.13850400000001</v>
      </c>
      <c r="L91">
        <v>159.80613700000001</v>
      </c>
      <c r="M91">
        <v>158.19323700000001</v>
      </c>
      <c r="N91">
        <v>156.85519400000001</v>
      </c>
      <c r="O91">
        <v>155.62240600000001</v>
      </c>
      <c r="P91">
        <v>154.36505099999999</v>
      </c>
      <c r="Q91">
        <v>153.29302999999999</v>
      </c>
      <c r="R91">
        <v>152.26300000000001</v>
      </c>
      <c r="S91">
        <v>151.353928</v>
      </c>
      <c r="T91">
        <v>150.49392700000001</v>
      </c>
      <c r="U91">
        <v>149.60101299999999</v>
      </c>
      <c r="V91">
        <v>148.721497</v>
      </c>
      <c r="W91">
        <v>147.821991</v>
      </c>
      <c r="X91">
        <v>147.00477599999999</v>
      </c>
      <c r="Y91">
        <v>146.14373800000001</v>
      </c>
      <c r="Z91">
        <v>145.180283</v>
      </c>
      <c r="AA91">
        <v>144.175354</v>
      </c>
      <c r="AB91">
        <v>143.13253800000001</v>
      </c>
      <c r="AC91">
        <v>142.29965200000001</v>
      </c>
      <c r="AD91">
        <v>141.514679</v>
      </c>
      <c r="AE91">
        <v>140.65533400000001</v>
      </c>
      <c r="AF91">
        <v>139.773788</v>
      </c>
      <c r="AG91" s="12">
        <v>-7.0000000000000001E-3</v>
      </c>
    </row>
    <row r="92" spans="1:33" s="83" customFormat="1">
      <c r="A92" s="83" t="s">
        <v>91</v>
      </c>
      <c r="B92" s="83" t="s">
        <v>965</v>
      </c>
      <c r="C92" s="83" t="s">
        <v>964</v>
      </c>
      <c r="D92" s="83" t="s">
        <v>118</v>
      </c>
      <c r="F92" s="83">
        <v>40.690426000000002</v>
      </c>
      <c r="G92" s="83">
        <v>40.654781</v>
      </c>
      <c r="H92" s="83">
        <v>40.768794999999997</v>
      </c>
      <c r="I92" s="83">
        <v>40.877197000000002</v>
      </c>
      <c r="J92" s="83">
        <v>40.889881000000003</v>
      </c>
      <c r="K92" s="83">
        <v>40.946841999999997</v>
      </c>
      <c r="L92" s="83">
        <v>40.946728</v>
      </c>
      <c r="M92" s="83">
        <v>40.871284000000003</v>
      </c>
      <c r="N92" s="83">
        <v>40.863349999999997</v>
      </c>
      <c r="O92" s="83">
        <v>40.880088999999998</v>
      </c>
      <c r="P92" s="83">
        <v>40.887752999999996</v>
      </c>
      <c r="Q92" s="83">
        <v>40.942219000000001</v>
      </c>
      <c r="R92" s="83">
        <v>41.006045999999998</v>
      </c>
      <c r="S92" s="83">
        <v>41.100960000000001</v>
      </c>
      <c r="T92" s="83">
        <v>41.208027000000001</v>
      </c>
      <c r="U92" s="83">
        <v>41.304946999999999</v>
      </c>
      <c r="V92" s="83">
        <v>41.404350000000001</v>
      </c>
      <c r="W92" s="83">
        <v>41.496921999999998</v>
      </c>
      <c r="X92" s="83">
        <v>41.611457999999999</v>
      </c>
      <c r="Y92" s="83">
        <v>41.712508999999997</v>
      </c>
      <c r="Z92" s="83">
        <v>41.782890000000002</v>
      </c>
      <c r="AA92" s="83">
        <v>41.839492999999997</v>
      </c>
      <c r="AB92" s="83">
        <v>41.88306</v>
      </c>
      <c r="AC92" s="83">
        <v>41.986381999999999</v>
      </c>
      <c r="AD92" s="83">
        <v>42.102791000000003</v>
      </c>
      <c r="AE92" s="83">
        <v>42.195900000000002</v>
      </c>
      <c r="AF92" s="83">
        <v>42.280914000000003</v>
      </c>
      <c r="AG92" s="84">
        <v>1E-3</v>
      </c>
    </row>
    <row r="93" spans="1:33">
      <c r="A93" t="s">
        <v>4</v>
      </c>
      <c r="B93" t="s">
        <v>963</v>
      </c>
      <c r="C93" t="s">
        <v>962</v>
      </c>
      <c r="D93" t="s">
        <v>118</v>
      </c>
      <c r="F93">
        <v>134.26944</v>
      </c>
      <c r="G93">
        <v>134.664963</v>
      </c>
      <c r="H93">
        <v>135.304733</v>
      </c>
      <c r="I93">
        <v>135.76445000000001</v>
      </c>
      <c r="J93">
        <v>135.97155799999999</v>
      </c>
      <c r="K93">
        <v>136.08528100000001</v>
      </c>
      <c r="L93">
        <v>136.12858600000001</v>
      </c>
      <c r="M93">
        <v>136.05534399999999</v>
      </c>
      <c r="N93">
        <v>135.95806899999999</v>
      </c>
      <c r="O93">
        <v>135.90976000000001</v>
      </c>
      <c r="P93">
        <v>135.892471</v>
      </c>
      <c r="Q93">
        <v>135.86319</v>
      </c>
      <c r="R93">
        <v>135.82115200000001</v>
      </c>
      <c r="S93">
        <v>135.77626000000001</v>
      </c>
      <c r="T93">
        <v>135.75709499999999</v>
      </c>
      <c r="U93">
        <v>135.764038</v>
      </c>
      <c r="V93">
        <v>135.76824999999999</v>
      </c>
      <c r="W93">
        <v>135.74340799999999</v>
      </c>
      <c r="X93">
        <v>135.698792</v>
      </c>
      <c r="Y93">
        <v>135.63441499999999</v>
      </c>
      <c r="Z93">
        <v>135.56684899999999</v>
      </c>
      <c r="AA93">
        <v>135.500809</v>
      </c>
      <c r="AB93">
        <v>135.41752600000001</v>
      </c>
      <c r="AC93">
        <v>135.32342499999999</v>
      </c>
      <c r="AD93">
        <v>135.19622799999999</v>
      </c>
      <c r="AE93">
        <v>135.05600000000001</v>
      </c>
      <c r="AF93">
        <v>134.919434</v>
      </c>
      <c r="AG93" s="12">
        <v>0</v>
      </c>
    </row>
    <row r="94" spans="1:33">
      <c r="A94" t="s">
        <v>3</v>
      </c>
      <c r="B94" t="s">
        <v>961</v>
      </c>
      <c r="C94" t="s">
        <v>960</v>
      </c>
      <c r="D94" t="s">
        <v>118</v>
      </c>
      <c r="F94">
        <v>924.15820299999996</v>
      </c>
      <c r="G94">
        <v>870.21014400000001</v>
      </c>
      <c r="H94">
        <v>863.57080099999996</v>
      </c>
      <c r="I94">
        <v>835.60900900000001</v>
      </c>
      <c r="J94">
        <v>791.56463599999995</v>
      </c>
      <c r="K94">
        <v>757.790344</v>
      </c>
      <c r="L94">
        <v>713.010986</v>
      </c>
      <c r="M94">
        <v>703.35260000000005</v>
      </c>
      <c r="N94">
        <v>716.09576400000003</v>
      </c>
      <c r="O94">
        <v>709.19616699999995</v>
      </c>
      <c r="P94">
        <v>701.62231399999996</v>
      </c>
      <c r="Q94">
        <v>701.98468000000003</v>
      </c>
      <c r="R94">
        <v>707.069885</v>
      </c>
      <c r="S94">
        <v>716.51238999999998</v>
      </c>
      <c r="T94">
        <v>726.48242200000004</v>
      </c>
      <c r="U94">
        <v>737.60986300000002</v>
      </c>
      <c r="V94">
        <v>746.22839399999998</v>
      </c>
      <c r="W94">
        <v>752.33184800000004</v>
      </c>
      <c r="X94">
        <v>756.95684800000004</v>
      </c>
      <c r="Y94">
        <v>765.15093999999999</v>
      </c>
      <c r="Z94">
        <v>774.86108400000001</v>
      </c>
      <c r="AA94">
        <v>781.81097399999999</v>
      </c>
      <c r="AB94">
        <v>792.942993</v>
      </c>
      <c r="AC94">
        <v>801.18463099999997</v>
      </c>
      <c r="AD94">
        <v>810.29339600000003</v>
      </c>
      <c r="AE94">
        <v>819.83679199999995</v>
      </c>
      <c r="AF94">
        <v>831.59936500000003</v>
      </c>
      <c r="AG94" s="12">
        <v>-4.0000000000000001E-3</v>
      </c>
    </row>
    <row r="95" spans="1:33">
      <c r="A95" t="s">
        <v>598</v>
      </c>
      <c r="B95" t="s">
        <v>959</v>
      </c>
      <c r="C95" t="s">
        <v>958</v>
      </c>
      <c r="D95" t="s">
        <v>118</v>
      </c>
      <c r="F95">
        <v>367.99011200000001</v>
      </c>
      <c r="G95">
        <v>420.41076700000002</v>
      </c>
      <c r="H95">
        <v>447.69332900000001</v>
      </c>
      <c r="I95">
        <v>448.49334700000003</v>
      </c>
      <c r="J95">
        <v>534.99713099999997</v>
      </c>
      <c r="K95">
        <v>595.58819600000004</v>
      </c>
      <c r="L95">
        <v>658.57672100000002</v>
      </c>
      <c r="M95">
        <v>700.78753700000004</v>
      </c>
      <c r="N95">
        <v>769.51843299999996</v>
      </c>
      <c r="O95">
        <v>835.05316200000004</v>
      </c>
      <c r="P95">
        <v>877.011169</v>
      </c>
      <c r="Q95">
        <v>893.79437299999995</v>
      </c>
      <c r="R95">
        <v>912.175659</v>
      </c>
      <c r="S95">
        <v>927.36077899999998</v>
      </c>
      <c r="T95">
        <v>935.75238000000002</v>
      </c>
      <c r="U95">
        <v>935.75238000000002</v>
      </c>
      <c r="V95">
        <v>937.35046399999999</v>
      </c>
      <c r="W95">
        <v>935.75238000000002</v>
      </c>
      <c r="X95">
        <v>935.74237100000005</v>
      </c>
      <c r="Y95">
        <v>930.754456</v>
      </c>
      <c r="Z95">
        <v>932.171021</v>
      </c>
      <c r="AA95">
        <v>929.52716099999998</v>
      </c>
      <c r="AB95">
        <v>934.68682899999999</v>
      </c>
      <c r="AC95">
        <v>934.997253</v>
      </c>
      <c r="AD95">
        <v>936.23211700000002</v>
      </c>
      <c r="AE95">
        <v>934.12908900000002</v>
      </c>
      <c r="AF95">
        <v>935.01782200000002</v>
      </c>
      <c r="AG95" s="12">
        <v>3.6999999999999998E-2</v>
      </c>
    </row>
    <row r="96" spans="1:33">
      <c r="A96" t="s">
        <v>2</v>
      </c>
      <c r="B96" t="s">
        <v>957</v>
      </c>
      <c r="C96" t="s">
        <v>956</v>
      </c>
      <c r="D96" t="s">
        <v>118</v>
      </c>
      <c r="F96">
        <v>29023.835938</v>
      </c>
      <c r="G96">
        <v>29108.828125</v>
      </c>
      <c r="H96">
        <v>29092.589843999998</v>
      </c>
      <c r="I96">
        <v>28954.326172000001</v>
      </c>
      <c r="J96">
        <v>28829.177734000001</v>
      </c>
      <c r="K96">
        <v>28671.765625</v>
      </c>
      <c r="L96">
        <v>28471.894531000002</v>
      </c>
      <c r="M96">
        <v>28308.326172000001</v>
      </c>
      <c r="N96">
        <v>28159.509765999999</v>
      </c>
      <c r="O96">
        <v>28023.871093999998</v>
      </c>
      <c r="P96">
        <v>27891.519531000002</v>
      </c>
      <c r="Q96">
        <v>27749.921875</v>
      </c>
      <c r="R96">
        <v>27603.794922000001</v>
      </c>
      <c r="S96">
        <v>27481.890625</v>
      </c>
      <c r="T96">
        <v>27396.919922000001</v>
      </c>
      <c r="U96">
        <v>27298.917968999998</v>
      </c>
      <c r="V96">
        <v>27232.666015999999</v>
      </c>
      <c r="W96">
        <v>27171.791015999999</v>
      </c>
      <c r="X96">
        <v>27104.916015999999</v>
      </c>
      <c r="Y96">
        <v>27072.626952999999</v>
      </c>
      <c r="Z96">
        <v>27025.742188</v>
      </c>
      <c r="AA96">
        <v>26999.423827999999</v>
      </c>
      <c r="AB96">
        <v>26969.097656000002</v>
      </c>
      <c r="AC96">
        <v>26995.09375</v>
      </c>
      <c r="AD96">
        <v>26992.894531000002</v>
      </c>
      <c r="AE96">
        <v>27013.367188</v>
      </c>
      <c r="AF96">
        <v>27068.238281000002</v>
      </c>
      <c r="AG96" s="12">
        <v>-3.0000000000000001E-3</v>
      </c>
    </row>
  </sheetData>
  <pageMargins left="0.7" right="0.7" top="0.75" bottom="0.75" header="0.3" footer="0.3"/>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03C602A-C4A0-410A-BDA8-D507C17CA9F9}">
  <dimension ref="A1:AE90"/>
  <sheetViews>
    <sheetView workbookViewId="0"/>
  </sheetViews>
  <sheetFormatPr defaultRowHeight="14.25"/>
  <sheetData>
    <row r="1" spans="1:31">
      <c r="A1" t="s">
        <v>86</v>
      </c>
    </row>
    <row r="2" spans="1:31">
      <c r="A2" t="s">
        <v>1216</v>
      </c>
    </row>
    <row r="3" spans="1:31">
      <c r="A3" t="s">
        <v>1217</v>
      </c>
    </row>
    <row r="4" spans="1:31">
      <c r="A4" t="s">
        <v>87</v>
      </c>
    </row>
    <row r="5" spans="1:31">
      <c r="B5" t="s">
        <v>88</v>
      </c>
      <c r="C5" t="s">
        <v>116</v>
      </c>
      <c r="D5" t="s">
        <v>117</v>
      </c>
      <c r="E5">
        <v>2025</v>
      </c>
      <c r="F5">
        <v>2026</v>
      </c>
      <c r="G5">
        <v>2027</v>
      </c>
      <c r="H5">
        <v>2028</v>
      </c>
      <c r="I5">
        <v>2029</v>
      </c>
      <c r="J5">
        <v>2030</v>
      </c>
      <c r="K5">
        <v>2031</v>
      </c>
      <c r="L5">
        <v>2032</v>
      </c>
      <c r="M5">
        <v>2033</v>
      </c>
      <c r="N5">
        <v>2034</v>
      </c>
      <c r="O5">
        <v>2035</v>
      </c>
      <c r="P5">
        <v>2036</v>
      </c>
      <c r="Q5">
        <v>2037</v>
      </c>
      <c r="R5">
        <v>2038</v>
      </c>
      <c r="S5">
        <v>2039</v>
      </c>
      <c r="T5">
        <v>2040</v>
      </c>
      <c r="U5">
        <v>2041</v>
      </c>
      <c r="V5">
        <v>2042</v>
      </c>
      <c r="W5">
        <v>2043</v>
      </c>
      <c r="X5">
        <v>2044</v>
      </c>
      <c r="Y5">
        <v>2045</v>
      </c>
      <c r="Z5">
        <v>2046</v>
      </c>
      <c r="AA5">
        <v>2047</v>
      </c>
      <c r="AB5">
        <v>2048</v>
      </c>
      <c r="AC5">
        <v>2049</v>
      </c>
      <c r="AD5">
        <v>2050</v>
      </c>
      <c r="AE5" t="s">
        <v>1145</v>
      </c>
    </row>
    <row r="6" spans="1:31">
      <c r="A6" t="s">
        <v>13</v>
      </c>
      <c r="B6" t="s">
        <v>1218</v>
      </c>
      <c r="C6" t="s">
        <v>1219</v>
      </c>
      <c r="D6" t="s">
        <v>118</v>
      </c>
      <c r="E6">
        <v>14782.652344</v>
      </c>
      <c r="F6">
        <v>14672.786133</v>
      </c>
      <c r="G6">
        <v>14552.569336</v>
      </c>
      <c r="H6">
        <v>14378.153319999999</v>
      </c>
      <c r="I6">
        <v>14166.833984000001</v>
      </c>
      <c r="J6">
        <v>13936.757812</v>
      </c>
      <c r="K6">
        <v>13713.142578000001</v>
      </c>
      <c r="L6">
        <v>13521.099609000001</v>
      </c>
      <c r="M6">
        <v>13320.391602</v>
      </c>
      <c r="N6">
        <v>13191.330078000001</v>
      </c>
      <c r="O6">
        <v>13049.682617</v>
      </c>
      <c r="P6">
        <v>12877.704102</v>
      </c>
      <c r="Q6">
        <v>12704.928711</v>
      </c>
      <c r="R6">
        <v>12556.594727</v>
      </c>
      <c r="S6">
        <v>12411.375</v>
      </c>
      <c r="T6">
        <v>12293.763671999999</v>
      </c>
      <c r="U6">
        <v>12185.321289</v>
      </c>
      <c r="V6">
        <v>12056.222656</v>
      </c>
      <c r="W6">
        <v>11972.278319999999</v>
      </c>
      <c r="X6">
        <v>11877.880859000001</v>
      </c>
      <c r="Y6">
        <v>11796.013671999999</v>
      </c>
      <c r="Z6">
        <v>11703.430664</v>
      </c>
      <c r="AA6">
        <v>11626.831055000001</v>
      </c>
      <c r="AB6">
        <v>11521.400390999999</v>
      </c>
      <c r="AC6">
        <v>11413.982421999999</v>
      </c>
      <c r="AD6">
        <v>11339.1875</v>
      </c>
      <c r="AE6" s="12">
        <v>-1.0999999999999999E-2</v>
      </c>
    </row>
    <row r="7" spans="1:31">
      <c r="A7" t="s">
        <v>89</v>
      </c>
      <c r="B7" t="s">
        <v>1220</v>
      </c>
      <c r="C7" t="s">
        <v>1221</v>
      </c>
      <c r="D7" t="s">
        <v>118</v>
      </c>
      <c r="E7">
        <v>14566.992188</v>
      </c>
      <c r="F7">
        <v>14434.676758</v>
      </c>
      <c r="G7">
        <v>14278.617188</v>
      </c>
      <c r="H7">
        <v>14064.091796999999</v>
      </c>
      <c r="I7">
        <v>13812.923828000001</v>
      </c>
      <c r="J7">
        <v>13542.667969</v>
      </c>
      <c r="K7">
        <v>13287.996094</v>
      </c>
      <c r="L7">
        <v>13066.871094</v>
      </c>
      <c r="M7">
        <v>12837.65625</v>
      </c>
      <c r="N7">
        <v>12677.875</v>
      </c>
      <c r="O7">
        <v>12505.677734000001</v>
      </c>
      <c r="P7">
        <v>12302.753906</v>
      </c>
      <c r="Q7">
        <v>12098.568359000001</v>
      </c>
      <c r="R7">
        <v>11918.529296999999</v>
      </c>
      <c r="S7">
        <v>11742.141602</v>
      </c>
      <c r="T7">
        <v>11593.327148</v>
      </c>
      <c r="U7">
        <v>11455.78125</v>
      </c>
      <c r="V7">
        <v>11297.720703000001</v>
      </c>
      <c r="W7">
        <v>11185.220703000001</v>
      </c>
      <c r="X7">
        <v>11063.141602</v>
      </c>
      <c r="Y7">
        <v>10954.598633</v>
      </c>
      <c r="Z7">
        <v>10835.811523</v>
      </c>
      <c r="AA7">
        <v>10734.019531</v>
      </c>
      <c r="AB7">
        <v>10604.033203000001</v>
      </c>
      <c r="AC7">
        <v>10472.882812</v>
      </c>
      <c r="AD7">
        <v>10374.537109000001</v>
      </c>
      <c r="AE7" s="12">
        <v>-1.2999999999999999E-2</v>
      </c>
    </row>
    <row r="8" spans="1:31">
      <c r="A8" t="s">
        <v>90</v>
      </c>
      <c r="B8" t="s">
        <v>1222</v>
      </c>
      <c r="C8" t="s">
        <v>1223</v>
      </c>
      <c r="D8" t="s">
        <v>118</v>
      </c>
      <c r="E8">
        <v>35.931716999999999</v>
      </c>
      <c r="F8">
        <v>28.622910999999998</v>
      </c>
      <c r="G8">
        <v>27.049403999999999</v>
      </c>
      <c r="H8">
        <v>25.269639999999999</v>
      </c>
      <c r="I8">
        <v>23.173629999999999</v>
      </c>
      <c r="J8">
        <v>24.015011000000001</v>
      </c>
      <c r="K8">
        <v>20.560606</v>
      </c>
      <c r="L8">
        <v>18.754370000000002</v>
      </c>
      <c r="M8">
        <v>17.046603999999999</v>
      </c>
      <c r="N8">
        <v>15.809233000000001</v>
      </c>
      <c r="O8">
        <v>14.212745999999999</v>
      </c>
      <c r="P8">
        <v>12.872035</v>
      </c>
      <c r="Q8">
        <v>11.554024</v>
      </c>
      <c r="R8">
        <v>10.468404</v>
      </c>
      <c r="S8">
        <v>9.5392869999999998</v>
      </c>
      <c r="T8">
        <v>8.8389229999999994</v>
      </c>
      <c r="U8">
        <v>8.049925</v>
      </c>
      <c r="V8">
        <v>7.5759840000000001</v>
      </c>
      <c r="W8">
        <v>7.1356250000000001</v>
      </c>
      <c r="X8">
        <v>6.8520519999999996</v>
      </c>
      <c r="Y8">
        <v>6.1751430000000003</v>
      </c>
      <c r="Z8">
        <v>5.9691650000000003</v>
      </c>
      <c r="AA8">
        <v>5.97403</v>
      </c>
      <c r="AB8">
        <v>6.2294749999999999</v>
      </c>
      <c r="AC8">
        <v>5.800999</v>
      </c>
      <c r="AD8">
        <v>5.5752350000000002</v>
      </c>
      <c r="AE8" s="12">
        <v>-7.1999999999999995E-2</v>
      </c>
    </row>
    <row r="9" spans="1:31">
      <c r="A9" t="s">
        <v>91</v>
      </c>
      <c r="B9" t="s">
        <v>1224</v>
      </c>
      <c r="C9" t="s">
        <v>1225</v>
      </c>
      <c r="D9" t="s">
        <v>118</v>
      </c>
      <c r="E9">
        <v>87.695785999999998</v>
      </c>
      <c r="F9">
        <v>89.859122999999997</v>
      </c>
      <c r="G9">
        <v>91.274383999999998</v>
      </c>
      <c r="H9">
        <v>92.507019</v>
      </c>
      <c r="I9">
        <v>94.025024000000002</v>
      </c>
      <c r="J9">
        <v>95.384506000000002</v>
      </c>
      <c r="K9">
        <v>96.679039000000003</v>
      </c>
      <c r="L9">
        <v>97.190246999999999</v>
      </c>
      <c r="M9">
        <v>97.186310000000006</v>
      </c>
      <c r="N9">
        <v>98.185883000000004</v>
      </c>
      <c r="O9">
        <v>98.702483999999998</v>
      </c>
      <c r="P9">
        <v>98.972831999999997</v>
      </c>
      <c r="Q9">
        <v>99.315505999999999</v>
      </c>
      <c r="R9">
        <v>99.693588000000005</v>
      </c>
      <c r="S9">
        <v>99.923843000000005</v>
      </c>
      <c r="T9">
        <v>100.389343</v>
      </c>
      <c r="U9">
        <v>100.061111</v>
      </c>
      <c r="V9">
        <v>100.06064600000001</v>
      </c>
      <c r="W9">
        <v>100.44982899999999</v>
      </c>
      <c r="X9">
        <v>100.452271</v>
      </c>
      <c r="Y9">
        <v>100.467659</v>
      </c>
      <c r="Z9">
        <v>100.442627</v>
      </c>
      <c r="AA9">
        <v>100.247101</v>
      </c>
      <c r="AB9">
        <v>99.610923999999997</v>
      </c>
      <c r="AC9">
        <v>99.613799999999998</v>
      </c>
      <c r="AD9">
        <v>99.622253000000001</v>
      </c>
      <c r="AE9" s="12">
        <v>5.0000000000000001E-3</v>
      </c>
    </row>
    <row r="10" spans="1:31">
      <c r="A10" t="s">
        <v>92</v>
      </c>
      <c r="B10" t="s">
        <v>1226</v>
      </c>
      <c r="C10" t="s">
        <v>1227</v>
      </c>
      <c r="D10" t="s">
        <v>118</v>
      </c>
      <c r="E10">
        <v>1.009789</v>
      </c>
      <c r="F10">
        <v>0.90156199999999997</v>
      </c>
      <c r="G10">
        <v>0.79787399999999997</v>
      </c>
      <c r="H10">
        <v>0.72416599999999998</v>
      </c>
      <c r="I10">
        <v>0.67891199999999996</v>
      </c>
      <c r="J10">
        <v>0.61663299999999999</v>
      </c>
      <c r="K10">
        <v>0.55700899999999998</v>
      </c>
      <c r="L10">
        <v>0.50699899999999998</v>
      </c>
      <c r="M10">
        <v>0.45932000000000001</v>
      </c>
      <c r="N10">
        <v>0.41536600000000001</v>
      </c>
      <c r="O10">
        <v>0.31875999999999999</v>
      </c>
      <c r="P10">
        <v>0.28337899999999999</v>
      </c>
      <c r="Q10">
        <v>0.26643699999999998</v>
      </c>
      <c r="R10">
        <v>0.245363</v>
      </c>
      <c r="S10">
        <v>0.22844200000000001</v>
      </c>
      <c r="T10">
        <v>0.21488699999999999</v>
      </c>
      <c r="U10">
        <v>0.20264099999999999</v>
      </c>
      <c r="V10">
        <v>0.19109699999999999</v>
      </c>
      <c r="W10">
        <v>0.17996200000000001</v>
      </c>
      <c r="X10">
        <v>0.16983699999999999</v>
      </c>
      <c r="Y10">
        <v>0.161415</v>
      </c>
      <c r="Z10">
        <v>0.151786</v>
      </c>
      <c r="AA10">
        <v>0.14297599999999999</v>
      </c>
      <c r="AB10">
        <v>0.13453799999999999</v>
      </c>
      <c r="AC10">
        <v>0.126885</v>
      </c>
      <c r="AD10">
        <v>0.11935900000000001</v>
      </c>
      <c r="AE10" s="12">
        <v>-8.2000000000000003E-2</v>
      </c>
    </row>
    <row r="11" spans="1:31">
      <c r="A11" t="s">
        <v>93</v>
      </c>
      <c r="B11" t="s">
        <v>1228</v>
      </c>
      <c r="C11" t="s">
        <v>1229</v>
      </c>
      <c r="D11" t="s">
        <v>118</v>
      </c>
      <c r="E11">
        <v>0.90405599999999997</v>
      </c>
      <c r="F11">
        <v>0.83161600000000002</v>
      </c>
      <c r="G11">
        <v>0.74704000000000004</v>
      </c>
      <c r="H11">
        <v>0.68498999999999999</v>
      </c>
      <c r="I11">
        <v>0.63623399999999997</v>
      </c>
      <c r="J11">
        <v>0.59153599999999995</v>
      </c>
      <c r="K11">
        <v>0.55032099999999995</v>
      </c>
      <c r="L11">
        <v>0.51506099999999999</v>
      </c>
      <c r="M11">
        <v>0.48858000000000001</v>
      </c>
      <c r="N11">
        <v>0.45790399999999998</v>
      </c>
      <c r="O11">
        <v>0.43090099999999998</v>
      </c>
      <c r="P11">
        <v>0.40356799999999998</v>
      </c>
      <c r="Q11">
        <v>0.37909100000000001</v>
      </c>
      <c r="R11">
        <v>0.35560199999999997</v>
      </c>
      <c r="S11">
        <v>0.33319199999999999</v>
      </c>
      <c r="T11">
        <v>0.312834</v>
      </c>
      <c r="U11">
        <v>0.294157</v>
      </c>
      <c r="V11">
        <v>0.27720099999999998</v>
      </c>
      <c r="W11">
        <v>0.26110499999999998</v>
      </c>
      <c r="X11">
        <v>0.24611</v>
      </c>
      <c r="Y11">
        <v>0.23169200000000001</v>
      </c>
      <c r="Z11">
        <v>0.21742900000000001</v>
      </c>
      <c r="AA11">
        <v>0.204986</v>
      </c>
      <c r="AB11">
        <v>0.19275900000000001</v>
      </c>
      <c r="AC11">
        <v>0.18160599999999999</v>
      </c>
      <c r="AD11">
        <v>0.170792</v>
      </c>
      <c r="AE11" s="12">
        <v>-6.4000000000000001E-2</v>
      </c>
    </row>
    <row r="12" spans="1:31">
      <c r="A12" t="s">
        <v>94</v>
      </c>
      <c r="B12" t="s">
        <v>1230</v>
      </c>
      <c r="C12" t="s">
        <v>1231</v>
      </c>
      <c r="D12" t="s">
        <v>118</v>
      </c>
      <c r="E12">
        <v>89.736816000000005</v>
      </c>
      <c r="F12">
        <v>117.52597</v>
      </c>
      <c r="G12">
        <v>153.73400899999999</v>
      </c>
      <c r="H12">
        <v>194.546402</v>
      </c>
      <c r="I12">
        <v>235.083618</v>
      </c>
      <c r="J12">
        <v>273.19177200000001</v>
      </c>
      <c r="K12">
        <v>306.52731299999999</v>
      </c>
      <c r="L12">
        <v>337.01086400000003</v>
      </c>
      <c r="M12">
        <v>367.321777</v>
      </c>
      <c r="N12">
        <v>398.37396200000001</v>
      </c>
      <c r="O12">
        <v>430.14794899999998</v>
      </c>
      <c r="P12">
        <v>462.244415</v>
      </c>
      <c r="Q12">
        <v>494.68914799999999</v>
      </c>
      <c r="R12">
        <v>527.16430700000001</v>
      </c>
      <c r="S12">
        <v>559.08654799999999</v>
      </c>
      <c r="T12">
        <v>590.57415800000001</v>
      </c>
      <c r="U12">
        <v>620.84020999999996</v>
      </c>
      <c r="V12">
        <v>650.31616199999996</v>
      </c>
      <c r="W12">
        <v>678.96093800000006</v>
      </c>
      <c r="X12">
        <v>706.95568800000001</v>
      </c>
      <c r="Y12">
        <v>734.326233</v>
      </c>
      <c r="Z12">
        <v>760.79064900000003</v>
      </c>
      <c r="AA12">
        <v>786.19891399999995</v>
      </c>
      <c r="AB12">
        <v>811.16039999999998</v>
      </c>
      <c r="AC12">
        <v>835.33886700000005</v>
      </c>
      <c r="AD12">
        <v>859.12841800000001</v>
      </c>
      <c r="AE12" s="12">
        <v>9.5000000000000001E-2</v>
      </c>
    </row>
    <row r="13" spans="1:31">
      <c r="A13" t="s">
        <v>95</v>
      </c>
      <c r="B13" t="s">
        <v>1232</v>
      </c>
      <c r="C13" t="s">
        <v>1233</v>
      </c>
      <c r="D13" t="s">
        <v>118</v>
      </c>
      <c r="E13">
        <v>0.38281700000000002</v>
      </c>
      <c r="F13">
        <v>0.36708099999999999</v>
      </c>
      <c r="G13">
        <v>0.34884300000000001</v>
      </c>
      <c r="H13">
        <v>0.32957599999999998</v>
      </c>
      <c r="I13">
        <v>0.31108400000000003</v>
      </c>
      <c r="J13">
        <v>0.291153</v>
      </c>
      <c r="K13">
        <v>0.27212599999999998</v>
      </c>
      <c r="L13">
        <v>0.25204399999999999</v>
      </c>
      <c r="M13">
        <v>0.23239899999999999</v>
      </c>
      <c r="N13">
        <v>0.21303800000000001</v>
      </c>
      <c r="O13">
        <v>0.19380600000000001</v>
      </c>
      <c r="P13">
        <v>0.17505599999999999</v>
      </c>
      <c r="Q13">
        <v>0.15646099999999999</v>
      </c>
      <c r="R13">
        <v>0.13889799999999999</v>
      </c>
      <c r="S13">
        <v>0.122019</v>
      </c>
      <c r="T13">
        <v>0.10659</v>
      </c>
      <c r="U13">
        <v>9.1909000000000005E-2</v>
      </c>
      <c r="V13">
        <v>8.0127000000000004E-2</v>
      </c>
      <c r="W13">
        <v>7.0066000000000003E-2</v>
      </c>
      <c r="X13">
        <v>6.2506000000000006E-2</v>
      </c>
      <c r="Y13">
        <v>5.3782000000000003E-2</v>
      </c>
      <c r="Z13">
        <v>4.7751000000000002E-2</v>
      </c>
      <c r="AA13">
        <v>4.3638000000000003E-2</v>
      </c>
      <c r="AB13">
        <v>3.9392000000000003E-2</v>
      </c>
      <c r="AC13">
        <v>3.6660999999999999E-2</v>
      </c>
      <c r="AD13">
        <v>3.4304000000000001E-2</v>
      </c>
      <c r="AE13" s="12">
        <v>-9.1999999999999998E-2</v>
      </c>
    </row>
    <row r="14" spans="1:31">
      <c r="A14" t="s">
        <v>96</v>
      </c>
      <c r="B14" t="s">
        <v>1234</v>
      </c>
      <c r="C14" t="s">
        <v>1235</v>
      </c>
      <c r="D14" t="s">
        <v>118</v>
      </c>
      <c r="E14">
        <v>852.60955799999999</v>
      </c>
      <c r="F14">
        <v>849.48944100000006</v>
      </c>
      <c r="G14">
        <v>856.00048800000002</v>
      </c>
      <c r="H14">
        <v>857.55566399999998</v>
      </c>
      <c r="I14">
        <v>858.40576199999998</v>
      </c>
      <c r="J14">
        <v>861.72375499999998</v>
      </c>
      <c r="K14">
        <v>863.74883999999997</v>
      </c>
      <c r="L14">
        <v>866.55004899999994</v>
      </c>
      <c r="M14">
        <v>867.36267099999998</v>
      </c>
      <c r="N14">
        <v>869.07049600000005</v>
      </c>
      <c r="O14">
        <v>870.84527600000001</v>
      </c>
      <c r="P14">
        <v>872.99157700000001</v>
      </c>
      <c r="Q14">
        <v>875.49804700000004</v>
      </c>
      <c r="R14">
        <v>879.40557899999999</v>
      </c>
      <c r="S14">
        <v>883.13946499999997</v>
      </c>
      <c r="T14">
        <v>887.172729</v>
      </c>
      <c r="U14">
        <v>888.92260699999997</v>
      </c>
      <c r="V14">
        <v>890.96392800000001</v>
      </c>
      <c r="W14">
        <v>889.72351100000003</v>
      </c>
      <c r="X14">
        <v>888.01879899999994</v>
      </c>
      <c r="Y14">
        <v>887.49902299999997</v>
      </c>
      <c r="Z14">
        <v>886.37518299999999</v>
      </c>
      <c r="AA14">
        <v>885.83856200000002</v>
      </c>
      <c r="AB14">
        <v>883.63855000000001</v>
      </c>
      <c r="AC14">
        <v>882.12591599999996</v>
      </c>
      <c r="AD14">
        <v>880.19397000000004</v>
      </c>
      <c r="AE14" s="12">
        <v>1E-3</v>
      </c>
    </row>
    <row r="15" spans="1:31">
      <c r="A15" t="s">
        <v>89</v>
      </c>
      <c r="B15" t="s">
        <v>1236</v>
      </c>
      <c r="C15" t="s">
        <v>1237</v>
      </c>
      <c r="D15" t="s">
        <v>118</v>
      </c>
      <c r="E15">
        <v>544.17382799999996</v>
      </c>
      <c r="F15">
        <v>544.68695100000002</v>
      </c>
      <c r="G15">
        <v>552.52557400000001</v>
      </c>
      <c r="H15">
        <v>558.27563499999997</v>
      </c>
      <c r="I15">
        <v>564.15344200000004</v>
      </c>
      <c r="J15">
        <v>572.34558100000004</v>
      </c>
      <c r="K15">
        <v>580.66516100000001</v>
      </c>
      <c r="L15">
        <v>589.24102800000003</v>
      </c>
      <c r="M15">
        <v>595.98657200000002</v>
      </c>
      <c r="N15">
        <v>603.62011700000005</v>
      </c>
      <c r="O15">
        <v>611.66339100000005</v>
      </c>
      <c r="P15">
        <v>620.01733400000001</v>
      </c>
      <c r="Q15">
        <v>628.52984600000002</v>
      </c>
      <c r="R15">
        <v>638.16235400000005</v>
      </c>
      <c r="S15">
        <v>647.60430899999994</v>
      </c>
      <c r="T15">
        <v>656.85693400000002</v>
      </c>
      <c r="U15">
        <v>665.38812299999995</v>
      </c>
      <c r="V15">
        <v>674.10363800000005</v>
      </c>
      <c r="W15">
        <v>679.24145499999997</v>
      </c>
      <c r="X15">
        <v>683.96905500000003</v>
      </c>
      <c r="Y15">
        <v>688.88067599999999</v>
      </c>
      <c r="Z15">
        <v>692.83050500000002</v>
      </c>
      <c r="AA15">
        <v>696.31781000000001</v>
      </c>
      <c r="AB15">
        <v>698.41473399999995</v>
      </c>
      <c r="AC15">
        <v>700.85943599999996</v>
      </c>
      <c r="AD15">
        <v>702.32183799999996</v>
      </c>
      <c r="AE15" s="12">
        <v>0.01</v>
      </c>
    </row>
    <row r="16" spans="1:31">
      <c r="A16" t="s">
        <v>90</v>
      </c>
      <c r="B16" t="s">
        <v>1238</v>
      </c>
      <c r="C16" t="s">
        <v>1239</v>
      </c>
      <c r="D16" t="s">
        <v>118</v>
      </c>
      <c r="E16">
        <v>3.2521059999999999</v>
      </c>
      <c r="F16">
        <v>2.6760600000000001</v>
      </c>
      <c r="G16">
        <v>2.620139</v>
      </c>
      <c r="H16">
        <v>2.5084379999999999</v>
      </c>
      <c r="I16">
        <v>2.3578220000000001</v>
      </c>
      <c r="J16">
        <v>2.5002520000000001</v>
      </c>
      <c r="K16">
        <v>2.187039</v>
      </c>
      <c r="L16">
        <v>2.031854</v>
      </c>
      <c r="M16">
        <v>1.876806</v>
      </c>
      <c r="N16">
        <v>1.731673</v>
      </c>
      <c r="O16">
        <v>1.549782</v>
      </c>
      <c r="P16">
        <v>1.39489</v>
      </c>
      <c r="Q16">
        <v>1.2445759999999999</v>
      </c>
      <c r="R16">
        <v>1.1425339999999999</v>
      </c>
      <c r="S16">
        <v>1.045668</v>
      </c>
      <c r="T16">
        <v>0.95475299999999996</v>
      </c>
      <c r="U16">
        <v>0.85151200000000005</v>
      </c>
      <c r="V16">
        <v>0.80359599999999998</v>
      </c>
      <c r="W16">
        <v>0.74670700000000001</v>
      </c>
      <c r="X16">
        <v>0.68708400000000003</v>
      </c>
      <c r="Y16">
        <v>0.646088</v>
      </c>
      <c r="Z16">
        <v>0.60477700000000001</v>
      </c>
      <c r="AA16">
        <v>0.55441499999999999</v>
      </c>
      <c r="AB16">
        <v>0.51313799999999998</v>
      </c>
      <c r="AC16">
        <v>0.45815299999999998</v>
      </c>
      <c r="AD16">
        <v>0.39994299999999999</v>
      </c>
      <c r="AE16" s="12">
        <v>-0.08</v>
      </c>
    </row>
    <row r="17" spans="1:31">
      <c r="A17" t="s">
        <v>91</v>
      </c>
      <c r="B17" t="s">
        <v>1240</v>
      </c>
      <c r="C17" t="s">
        <v>1241</v>
      </c>
      <c r="D17" t="s">
        <v>118</v>
      </c>
      <c r="E17">
        <v>299.291809</v>
      </c>
      <c r="F17">
        <v>293.97872899999999</v>
      </c>
      <c r="G17">
        <v>290.41101099999997</v>
      </c>
      <c r="H17">
        <v>284.13113399999997</v>
      </c>
      <c r="I17">
        <v>277.12383999999997</v>
      </c>
      <c r="J17">
        <v>269.96878099999998</v>
      </c>
      <c r="K17">
        <v>261.87439000000001</v>
      </c>
      <c r="L17">
        <v>254.13043200000001</v>
      </c>
      <c r="M17">
        <v>246.181015</v>
      </c>
      <c r="N17">
        <v>238.214584</v>
      </c>
      <c r="O17">
        <v>229.89151000000001</v>
      </c>
      <c r="P17">
        <v>221.6362</v>
      </c>
      <c r="Q17">
        <v>213.491837</v>
      </c>
      <c r="R17">
        <v>205.51565600000001</v>
      </c>
      <c r="S17">
        <v>197.549881</v>
      </c>
      <c r="T17">
        <v>189.86331200000001</v>
      </c>
      <c r="U17">
        <v>180.72155799999999</v>
      </c>
      <c r="V17">
        <v>171.83938599999999</v>
      </c>
      <c r="W17">
        <v>163.37292500000001</v>
      </c>
      <c r="X17">
        <v>154.797943</v>
      </c>
      <c r="Y17">
        <v>147.02720600000001</v>
      </c>
      <c r="Z17">
        <v>139.39381399999999</v>
      </c>
      <c r="AA17">
        <v>132.756516</v>
      </c>
      <c r="AB17">
        <v>125.813301</v>
      </c>
      <c r="AC17">
        <v>119.022667</v>
      </c>
      <c r="AD17">
        <v>112.49728399999999</v>
      </c>
      <c r="AE17" s="12">
        <v>-3.7999999999999999E-2</v>
      </c>
    </row>
    <row r="18" spans="1:31">
      <c r="A18" t="s">
        <v>93</v>
      </c>
      <c r="B18" t="s">
        <v>1242</v>
      </c>
      <c r="C18" t="s">
        <v>1243</v>
      </c>
      <c r="D18" t="s">
        <v>118</v>
      </c>
      <c r="E18">
        <v>1.3439999999999999E-3</v>
      </c>
      <c r="F18">
        <v>1.6379999999999999E-3</v>
      </c>
      <c r="G18">
        <v>2.0349999999999999E-3</v>
      </c>
      <c r="H18">
        <v>2.4559999999999998E-3</v>
      </c>
      <c r="I18">
        <v>2.9069999999999999E-3</v>
      </c>
      <c r="J18">
        <v>3.3779999999999999E-3</v>
      </c>
      <c r="K18">
        <v>3.8579999999999999E-3</v>
      </c>
      <c r="L18">
        <v>4.3350000000000003E-3</v>
      </c>
      <c r="M18">
        <v>4.8069999999999996E-3</v>
      </c>
      <c r="N18">
        <v>5.2639999999999996E-3</v>
      </c>
      <c r="O18">
        <v>5.7159999999999997E-3</v>
      </c>
      <c r="P18">
        <v>6.156E-3</v>
      </c>
      <c r="Q18">
        <v>6.5820000000000002E-3</v>
      </c>
      <c r="R18">
        <v>6.986E-3</v>
      </c>
      <c r="S18">
        <v>7.3730000000000002E-3</v>
      </c>
      <c r="T18">
        <v>7.7450000000000001E-3</v>
      </c>
      <c r="U18">
        <v>8.0809999999999996E-3</v>
      </c>
      <c r="V18">
        <v>8.3890000000000006E-3</v>
      </c>
      <c r="W18">
        <v>8.6449999999999999E-3</v>
      </c>
      <c r="X18">
        <v>8.8649999999999996E-3</v>
      </c>
      <c r="Y18">
        <v>9.0760000000000007E-3</v>
      </c>
      <c r="Z18">
        <v>9.273E-3</v>
      </c>
      <c r="AA18">
        <v>9.4509999999999993E-3</v>
      </c>
      <c r="AB18">
        <v>9.606E-3</v>
      </c>
      <c r="AC18">
        <v>9.7630000000000008E-3</v>
      </c>
      <c r="AD18">
        <v>9.9139999999999992E-3</v>
      </c>
      <c r="AE18" s="12">
        <v>8.3000000000000004E-2</v>
      </c>
    </row>
    <row r="19" spans="1:31">
      <c r="A19" t="s">
        <v>92</v>
      </c>
      <c r="B19" t="s">
        <v>1244</v>
      </c>
      <c r="C19" t="s">
        <v>1245</v>
      </c>
      <c r="D19" t="s">
        <v>118</v>
      </c>
      <c r="E19">
        <v>1.1520300000000001</v>
      </c>
      <c r="F19">
        <v>1.493314</v>
      </c>
      <c r="G19">
        <v>1.7511810000000001</v>
      </c>
      <c r="H19">
        <v>1.9537899999999999</v>
      </c>
      <c r="I19">
        <v>2.0834440000000001</v>
      </c>
      <c r="J19">
        <v>2.205314</v>
      </c>
      <c r="K19">
        <v>2.3339699999999999</v>
      </c>
      <c r="L19">
        <v>2.5089670000000002</v>
      </c>
      <c r="M19">
        <v>2.7058960000000001</v>
      </c>
      <c r="N19">
        <v>2.9520149999999998</v>
      </c>
      <c r="O19">
        <v>3.278715</v>
      </c>
      <c r="P19">
        <v>3.6513659999999999</v>
      </c>
      <c r="Q19">
        <v>4.136126</v>
      </c>
      <c r="R19">
        <v>4.7454980000000004</v>
      </c>
      <c r="S19">
        <v>5.455457</v>
      </c>
      <c r="T19">
        <v>6.3456440000000001</v>
      </c>
      <c r="U19">
        <v>7.3329300000000002</v>
      </c>
      <c r="V19">
        <v>8.4404780000000006</v>
      </c>
      <c r="W19">
        <v>9.6330810000000007</v>
      </c>
      <c r="X19">
        <v>10.926550000000001</v>
      </c>
      <c r="Y19">
        <v>12.34568</v>
      </c>
      <c r="Z19">
        <v>13.914313</v>
      </c>
      <c r="AA19">
        <v>15.556488999999999</v>
      </c>
      <c r="AB19">
        <v>17.244098999999999</v>
      </c>
      <c r="AC19">
        <v>18.96855</v>
      </c>
      <c r="AD19">
        <v>20.767294</v>
      </c>
      <c r="AE19" s="12">
        <v>0.123</v>
      </c>
    </row>
    <row r="20" spans="1:31">
      <c r="A20" t="s">
        <v>94</v>
      </c>
      <c r="B20" t="s">
        <v>1246</v>
      </c>
      <c r="C20" t="s">
        <v>1247</v>
      </c>
      <c r="D20" t="s">
        <v>118</v>
      </c>
      <c r="E20">
        <v>4.7384329999999997</v>
      </c>
      <c r="F20">
        <v>6.6526899999999998</v>
      </c>
      <c r="G20">
        <v>8.6906040000000004</v>
      </c>
      <c r="H20">
        <v>10.684278000000001</v>
      </c>
      <c r="I20">
        <v>12.684259000000001</v>
      </c>
      <c r="J20">
        <v>14.700485</v>
      </c>
      <c r="K20">
        <v>16.684435000000001</v>
      </c>
      <c r="L20">
        <v>18.633392000000001</v>
      </c>
      <c r="M20">
        <v>20.607574</v>
      </c>
      <c r="N20">
        <v>22.546806</v>
      </c>
      <c r="O20">
        <v>24.456092999999999</v>
      </c>
      <c r="P20">
        <v>26.285608</v>
      </c>
      <c r="Q20">
        <v>28.089119</v>
      </c>
      <c r="R20">
        <v>29.832581999999999</v>
      </c>
      <c r="S20">
        <v>31.476790999999999</v>
      </c>
      <c r="T20">
        <v>33.144291000000003</v>
      </c>
      <c r="U20">
        <v>34.620392000000002</v>
      </c>
      <c r="V20">
        <v>35.768509000000002</v>
      </c>
      <c r="W20">
        <v>36.720717999999998</v>
      </c>
      <c r="X20">
        <v>37.629246000000002</v>
      </c>
      <c r="Y20">
        <v>38.590232999999998</v>
      </c>
      <c r="Z20">
        <v>39.622504999999997</v>
      </c>
      <c r="AA20">
        <v>40.643822</v>
      </c>
      <c r="AB20">
        <v>41.643745000000003</v>
      </c>
      <c r="AC20">
        <v>42.807380999999999</v>
      </c>
      <c r="AD20">
        <v>44.197662000000001</v>
      </c>
      <c r="AE20" s="12">
        <v>9.2999999999999999E-2</v>
      </c>
    </row>
    <row r="21" spans="1:31">
      <c r="A21" t="s">
        <v>95</v>
      </c>
      <c r="B21" t="s">
        <v>1248</v>
      </c>
      <c r="C21" t="s">
        <v>1249</v>
      </c>
      <c r="D21" t="s">
        <v>118</v>
      </c>
      <c r="E21">
        <v>0</v>
      </c>
      <c r="F21">
        <v>0</v>
      </c>
      <c r="G21">
        <v>0</v>
      </c>
      <c r="H21">
        <v>0</v>
      </c>
      <c r="I21">
        <v>0</v>
      </c>
      <c r="J21">
        <v>0</v>
      </c>
      <c r="K21">
        <v>0</v>
      </c>
      <c r="L21">
        <v>0</v>
      </c>
      <c r="M21">
        <v>0</v>
      </c>
      <c r="N21">
        <v>0</v>
      </c>
      <c r="O21">
        <v>0</v>
      </c>
      <c r="P21">
        <v>0</v>
      </c>
      <c r="Q21">
        <v>0</v>
      </c>
      <c r="R21">
        <v>0</v>
      </c>
      <c r="S21">
        <v>0</v>
      </c>
      <c r="T21">
        <v>0</v>
      </c>
      <c r="U21">
        <v>0</v>
      </c>
      <c r="V21">
        <v>0</v>
      </c>
      <c r="W21">
        <v>0</v>
      </c>
      <c r="X21">
        <v>0</v>
      </c>
      <c r="Y21">
        <v>0</v>
      </c>
      <c r="Z21">
        <v>0</v>
      </c>
      <c r="AA21">
        <v>0</v>
      </c>
      <c r="AB21">
        <v>0</v>
      </c>
      <c r="AC21">
        <v>0</v>
      </c>
      <c r="AD21">
        <v>0</v>
      </c>
      <c r="AE21" t="s">
        <v>6</v>
      </c>
    </row>
    <row r="22" spans="1:31">
      <c r="A22" t="s">
        <v>97</v>
      </c>
      <c r="B22" t="s">
        <v>1250</v>
      </c>
      <c r="C22" t="s">
        <v>1251</v>
      </c>
      <c r="D22" t="s">
        <v>118</v>
      </c>
      <c r="E22">
        <v>5766.9121089999999</v>
      </c>
      <c r="F22">
        <v>5753.7036129999997</v>
      </c>
      <c r="G22">
        <v>5746.5976559999999</v>
      </c>
      <c r="H22">
        <v>5738.7998049999997</v>
      </c>
      <c r="I22">
        <v>5723.9179690000001</v>
      </c>
      <c r="J22">
        <v>5726.1933589999999</v>
      </c>
      <c r="K22">
        <v>5711.8627930000002</v>
      </c>
      <c r="L22">
        <v>5694.1840819999998</v>
      </c>
      <c r="M22">
        <v>5667.1606449999999</v>
      </c>
      <c r="N22">
        <v>5653.564453</v>
      </c>
      <c r="O22">
        <v>5645.7333980000003</v>
      </c>
      <c r="P22">
        <v>5641.7382809999999</v>
      </c>
      <c r="Q22">
        <v>5643.1645509999998</v>
      </c>
      <c r="R22">
        <v>5647.5390619999998</v>
      </c>
      <c r="S22">
        <v>5654.9799800000001</v>
      </c>
      <c r="T22">
        <v>5667.8779299999997</v>
      </c>
      <c r="U22">
        <v>5681.2612300000001</v>
      </c>
      <c r="V22">
        <v>5694.6035160000001</v>
      </c>
      <c r="W22">
        <v>5704.2241210000002</v>
      </c>
      <c r="X22">
        <v>5715.4418949999999</v>
      </c>
      <c r="Y22">
        <v>5736.4433589999999</v>
      </c>
      <c r="Z22">
        <v>5760.5664059999999</v>
      </c>
      <c r="AA22">
        <v>5787.2734380000002</v>
      </c>
      <c r="AB22">
        <v>5805.7124020000001</v>
      </c>
      <c r="AC22">
        <v>5825.7817379999997</v>
      </c>
      <c r="AD22">
        <v>5843.3364259999998</v>
      </c>
      <c r="AE22" s="12">
        <v>1E-3</v>
      </c>
    </row>
    <row r="23" spans="1:31">
      <c r="A23" t="s">
        <v>98</v>
      </c>
      <c r="B23" t="s">
        <v>1252</v>
      </c>
      <c r="C23" t="s">
        <v>1253</v>
      </c>
      <c r="D23" t="s">
        <v>118</v>
      </c>
      <c r="E23">
        <v>617.94311500000003</v>
      </c>
      <c r="F23">
        <v>621.54461700000002</v>
      </c>
      <c r="G23">
        <v>626.92864999999995</v>
      </c>
      <c r="H23">
        <v>634.35192900000004</v>
      </c>
      <c r="I23">
        <v>643.16589399999998</v>
      </c>
      <c r="J23">
        <v>655.89502000000005</v>
      </c>
      <c r="K23">
        <v>668.34680200000003</v>
      </c>
      <c r="L23">
        <v>683.14758300000005</v>
      </c>
      <c r="M23">
        <v>698.30480999999997</v>
      </c>
      <c r="N23">
        <v>716.59387200000003</v>
      </c>
      <c r="O23">
        <v>736.73761000000002</v>
      </c>
      <c r="P23">
        <v>758.52563499999997</v>
      </c>
      <c r="Q23">
        <v>782.49255400000004</v>
      </c>
      <c r="R23">
        <v>808.14025900000001</v>
      </c>
      <c r="S23">
        <v>834.90466300000003</v>
      </c>
      <c r="T23">
        <v>862.33032200000002</v>
      </c>
      <c r="U23">
        <v>887.91955599999994</v>
      </c>
      <c r="V23">
        <v>910.73950200000002</v>
      </c>
      <c r="W23">
        <v>929.89910899999995</v>
      </c>
      <c r="X23">
        <v>945.95678699999996</v>
      </c>
      <c r="Y23">
        <v>961.137024</v>
      </c>
      <c r="Z23">
        <v>975.51409899999999</v>
      </c>
      <c r="AA23">
        <v>989.48706100000004</v>
      </c>
      <c r="AB23">
        <v>1001.101746</v>
      </c>
      <c r="AC23">
        <v>1012.258789</v>
      </c>
      <c r="AD23">
        <v>1021.446106</v>
      </c>
      <c r="AE23" s="12">
        <v>0.02</v>
      </c>
    </row>
    <row r="24" spans="1:31">
      <c r="A24" t="s">
        <v>91</v>
      </c>
      <c r="B24" t="s">
        <v>1254</v>
      </c>
      <c r="C24" t="s">
        <v>1255</v>
      </c>
      <c r="D24" t="s">
        <v>118</v>
      </c>
      <c r="E24">
        <v>5089.9453119999998</v>
      </c>
      <c r="F24">
        <v>5069.2553710000002</v>
      </c>
      <c r="G24">
        <v>5054.080078</v>
      </c>
      <c r="H24">
        <v>5036.8564450000003</v>
      </c>
      <c r="I24">
        <v>5011.5766599999997</v>
      </c>
      <c r="J24">
        <v>4999.5068359999996</v>
      </c>
      <c r="K24">
        <v>4971.6215819999998</v>
      </c>
      <c r="L24">
        <v>4938.0146480000003</v>
      </c>
      <c r="M24">
        <v>4894.7885740000002</v>
      </c>
      <c r="N24">
        <v>4861.720703</v>
      </c>
      <c r="O24">
        <v>4832.5097660000001</v>
      </c>
      <c r="P24">
        <v>4805.4223629999997</v>
      </c>
      <c r="Q24">
        <v>4781.3442379999997</v>
      </c>
      <c r="R24">
        <v>4758.4272460000002</v>
      </c>
      <c r="S24">
        <v>4737.2749020000001</v>
      </c>
      <c r="T24">
        <v>4720.2929690000001</v>
      </c>
      <c r="U24">
        <v>4704.6191410000001</v>
      </c>
      <c r="V24">
        <v>4690.0444340000004</v>
      </c>
      <c r="W24">
        <v>4673.8061520000001</v>
      </c>
      <c r="X24">
        <v>4660.3203119999998</v>
      </c>
      <c r="Y24">
        <v>4654.5239259999998</v>
      </c>
      <c r="Z24">
        <v>4651.3452150000003</v>
      </c>
      <c r="AA24">
        <v>4648.734375</v>
      </c>
      <c r="AB24">
        <v>4638.9516599999997</v>
      </c>
      <c r="AC24">
        <v>4629.5668949999999</v>
      </c>
      <c r="AD24">
        <v>4617.7749020000001</v>
      </c>
      <c r="AE24" s="12">
        <v>-4.0000000000000001E-3</v>
      </c>
    </row>
    <row r="25" spans="1:31">
      <c r="A25" t="s">
        <v>92</v>
      </c>
      <c r="B25" t="s">
        <v>1256</v>
      </c>
      <c r="C25" t="s">
        <v>1257</v>
      </c>
      <c r="D25" t="s">
        <v>118</v>
      </c>
      <c r="E25">
        <v>52.922004999999999</v>
      </c>
      <c r="F25">
        <v>56.340930999999998</v>
      </c>
      <c r="G25">
        <v>58.401611000000003</v>
      </c>
      <c r="H25">
        <v>59.865775999999997</v>
      </c>
      <c r="I25">
        <v>61.010288000000003</v>
      </c>
      <c r="J25">
        <v>62.121932999999999</v>
      </c>
      <c r="K25">
        <v>62.948287999999998</v>
      </c>
      <c r="L25">
        <v>63.788254000000002</v>
      </c>
      <c r="M25">
        <v>64.557060000000007</v>
      </c>
      <c r="N25">
        <v>65.484650000000002</v>
      </c>
      <c r="O25">
        <v>66.507660000000001</v>
      </c>
      <c r="P25">
        <v>67.622558999999995</v>
      </c>
      <c r="Q25">
        <v>69.002433999999994</v>
      </c>
      <c r="R25">
        <v>70.494613999999999</v>
      </c>
      <c r="S25">
        <v>72.186278999999999</v>
      </c>
      <c r="T25">
        <v>74.229529999999997</v>
      </c>
      <c r="U25">
        <v>76.506332</v>
      </c>
      <c r="V25">
        <v>79.159599</v>
      </c>
      <c r="W25">
        <v>82.212981999999997</v>
      </c>
      <c r="X25">
        <v>85.820685999999995</v>
      </c>
      <c r="Y25">
        <v>91.135520999999997</v>
      </c>
      <c r="Z25">
        <v>97.173469999999995</v>
      </c>
      <c r="AA25">
        <v>105.050934</v>
      </c>
      <c r="AB25">
        <v>113.703033</v>
      </c>
      <c r="AC25">
        <v>123.80987500000001</v>
      </c>
      <c r="AD25">
        <v>135.846497</v>
      </c>
      <c r="AE25" s="12">
        <v>3.7999999999999999E-2</v>
      </c>
    </row>
    <row r="26" spans="1:31">
      <c r="A26" t="s">
        <v>93</v>
      </c>
      <c r="B26" t="s">
        <v>1258</v>
      </c>
      <c r="C26" t="s">
        <v>1259</v>
      </c>
      <c r="D26" t="s">
        <v>118</v>
      </c>
      <c r="E26">
        <v>1.1018319999999999</v>
      </c>
      <c r="F26">
        <v>1.0055050000000001</v>
      </c>
      <c r="G26">
        <v>0.91988199999999998</v>
      </c>
      <c r="H26">
        <v>0.84195600000000004</v>
      </c>
      <c r="I26">
        <v>0.759629</v>
      </c>
      <c r="J26">
        <v>0.70000899999999999</v>
      </c>
      <c r="K26">
        <v>0.63672899999999999</v>
      </c>
      <c r="L26">
        <v>0.58002100000000001</v>
      </c>
      <c r="M26">
        <v>0.52408399999999999</v>
      </c>
      <c r="N26">
        <v>0.47346700000000003</v>
      </c>
      <c r="O26">
        <v>0.42549100000000001</v>
      </c>
      <c r="P26">
        <v>0.38144099999999997</v>
      </c>
      <c r="Q26">
        <v>0.33996799999999999</v>
      </c>
      <c r="R26">
        <v>0.30531399999999997</v>
      </c>
      <c r="S26">
        <v>0.276835</v>
      </c>
      <c r="T26">
        <v>0.25370599999999999</v>
      </c>
      <c r="U26">
        <v>0.23196800000000001</v>
      </c>
      <c r="V26">
        <v>0.21238799999999999</v>
      </c>
      <c r="W26">
        <v>0.194351</v>
      </c>
      <c r="X26">
        <v>0.17871999999999999</v>
      </c>
      <c r="Y26">
        <v>0.166517</v>
      </c>
      <c r="Z26">
        <v>0.156031</v>
      </c>
      <c r="AA26">
        <v>0.14676600000000001</v>
      </c>
      <c r="AB26">
        <v>0.13325999999999999</v>
      </c>
      <c r="AC26">
        <v>0.114328</v>
      </c>
      <c r="AD26">
        <v>9.8664000000000002E-2</v>
      </c>
      <c r="AE26" s="12">
        <v>-9.1999999999999998E-2</v>
      </c>
    </row>
    <row r="27" spans="1:31">
      <c r="A27" t="s">
        <v>90</v>
      </c>
      <c r="B27" t="s">
        <v>1260</v>
      </c>
      <c r="C27" t="s">
        <v>1261</v>
      </c>
      <c r="D27" t="s">
        <v>118</v>
      </c>
      <c r="E27">
        <v>1.2377929999999999</v>
      </c>
      <c r="F27">
        <v>0.96060800000000002</v>
      </c>
      <c r="G27">
        <v>0.88192000000000004</v>
      </c>
      <c r="H27">
        <v>0.80618699999999999</v>
      </c>
      <c r="I27">
        <v>0.72873500000000002</v>
      </c>
      <c r="J27">
        <v>0.75445099999999998</v>
      </c>
      <c r="K27">
        <v>0.64647900000000003</v>
      </c>
      <c r="L27">
        <v>0.59259099999999998</v>
      </c>
      <c r="M27">
        <v>0.54960399999999998</v>
      </c>
      <c r="N27">
        <v>0.50873100000000004</v>
      </c>
      <c r="O27">
        <v>0.461843</v>
      </c>
      <c r="P27">
        <v>0.42484499999999997</v>
      </c>
      <c r="Q27">
        <v>0.38369900000000001</v>
      </c>
      <c r="R27">
        <v>0.35527799999999998</v>
      </c>
      <c r="S27">
        <v>0.32683200000000001</v>
      </c>
      <c r="T27">
        <v>0.29924200000000001</v>
      </c>
      <c r="U27">
        <v>0.26865499999999998</v>
      </c>
      <c r="V27">
        <v>0.24926100000000001</v>
      </c>
      <c r="W27">
        <v>0.22772300000000001</v>
      </c>
      <c r="X27">
        <v>0.20568</v>
      </c>
      <c r="Y27">
        <v>0.18491099999999999</v>
      </c>
      <c r="Z27">
        <v>0.16837299999999999</v>
      </c>
      <c r="AA27">
        <v>0.14871100000000001</v>
      </c>
      <c r="AB27">
        <v>0.13035099999999999</v>
      </c>
      <c r="AC27">
        <v>0.10956299999999999</v>
      </c>
      <c r="AD27">
        <v>8.9469999999999994E-2</v>
      </c>
      <c r="AE27" s="12">
        <v>-0.1</v>
      </c>
    </row>
    <row r="28" spans="1:31">
      <c r="A28" t="s">
        <v>94</v>
      </c>
      <c r="B28" t="s">
        <v>1262</v>
      </c>
      <c r="C28" t="s">
        <v>1263</v>
      </c>
      <c r="D28" t="s">
        <v>118</v>
      </c>
      <c r="E28">
        <v>3.7618879999999999</v>
      </c>
      <c r="F28">
        <v>4.5973090000000001</v>
      </c>
      <c r="G28">
        <v>5.3855740000000001</v>
      </c>
      <c r="H28">
        <v>6.0775030000000001</v>
      </c>
      <c r="I28">
        <v>6.6766379999999996</v>
      </c>
      <c r="J28">
        <v>7.2148779999999997</v>
      </c>
      <c r="K28">
        <v>7.662871</v>
      </c>
      <c r="L28">
        <v>8.0609070000000003</v>
      </c>
      <c r="M28">
        <v>8.4363320000000002</v>
      </c>
      <c r="N28">
        <v>8.7829069999999998</v>
      </c>
      <c r="O28">
        <v>9.0909990000000001</v>
      </c>
      <c r="P28">
        <v>9.3611769999999996</v>
      </c>
      <c r="Q28">
        <v>9.6016290000000009</v>
      </c>
      <c r="R28">
        <v>9.8165530000000008</v>
      </c>
      <c r="S28">
        <v>10.010142</v>
      </c>
      <c r="T28">
        <v>10.472322</v>
      </c>
      <c r="U28">
        <v>11.715635000000001</v>
      </c>
      <c r="V28">
        <v>14.198135000000001</v>
      </c>
      <c r="W28">
        <v>17.884497</v>
      </c>
      <c r="X28">
        <v>22.959413999999999</v>
      </c>
      <c r="Y28">
        <v>29.294962000000002</v>
      </c>
      <c r="Z28">
        <v>36.208778000000002</v>
      </c>
      <c r="AA28">
        <v>43.705181000000003</v>
      </c>
      <c r="AB28">
        <v>51.692295000000001</v>
      </c>
      <c r="AC28">
        <v>59.922142000000001</v>
      </c>
      <c r="AD28">
        <v>68.080444</v>
      </c>
      <c r="AE28" s="12">
        <v>0.123</v>
      </c>
    </row>
    <row r="29" spans="1:31">
      <c r="A29" t="s">
        <v>95</v>
      </c>
      <c r="B29" t="s">
        <v>1264</v>
      </c>
      <c r="C29" t="s">
        <v>1265</v>
      </c>
      <c r="D29" t="s">
        <v>118</v>
      </c>
      <c r="E29">
        <v>0</v>
      </c>
      <c r="F29">
        <v>0</v>
      </c>
      <c r="G29">
        <v>0</v>
      </c>
      <c r="H29">
        <v>0</v>
      </c>
      <c r="I29">
        <v>0</v>
      </c>
      <c r="J29">
        <v>0</v>
      </c>
      <c r="K29">
        <v>0</v>
      </c>
      <c r="L29">
        <v>0</v>
      </c>
      <c r="M29">
        <v>0</v>
      </c>
      <c r="N29">
        <v>0</v>
      </c>
      <c r="O29">
        <v>0</v>
      </c>
      <c r="P29">
        <v>0</v>
      </c>
      <c r="Q29">
        <v>0</v>
      </c>
      <c r="R29">
        <v>0</v>
      </c>
      <c r="S29">
        <v>0</v>
      </c>
      <c r="T29">
        <v>0</v>
      </c>
      <c r="U29">
        <v>0</v>
      </c>
      <c r="V29">
        <v>0</v>
      </c>
      <c r="W29">
        <v>0</v>
      </c>
      <c r="X29">
        <v>0</v>
      </c>
      <c r="Y29">
        <v>0</v>
      </c>
      <c r="Z29">
        <v>0</v>
      </c>
      <c r="AA29">
        <v>0</v>
      </c>
      <c r="AB29">
        <v>0</v>
      </c>
      <c r="AC29">
        <v>0</v>
      </c>
      <c r="AD29">
        <v>0</v>
      </c>
      <c r="AE29" t="s">
        <v>6</v>
      </c>
    </row>
    <row r="30" spans="1:31">
      <c r="A30" t="s">
        <v>99</v>
      </c>
      <c r="B30" t="s">
        <v>1266</v>
      </c>
      <c r="C30" t="s">
        <v>1267</v>
      </c>
      <c r="D30" t="s">
        <v>118</v>
      </c>
      <c r="E30">
        <v>468.92568999999997</v>
      </c>
      <c r="F30">
        <v>458.27090500000003</v>
      </c>
      <c r="G30">
        <v>473.03973400000001</v>
      </c>
      <c r="H30">
        <v>463.32836900000001</v>
      </c>
      <c r="I30">
        <v>459.65716600000002</v>
      </c>
      <c r="J30">
        <v>462.70059199999997</v>
      </c>
      <c r="K30">
        <v>450.84088100000002</v>
      </c>
      <c r="L30">
        <v>452.73818999999997</v>
      </c>
      <c r="M30">
        <v>454.70459</v>
      </c>
      <c r="N30">
        <v>453.41677900000002</v>
      </c>
      <c r="O30">
        <v>454.898865</v>
      </c>
      <c r="P30">
        <v>455.97616599999998</v>
      </c>
      <c r="Q30">
        <v>457.70022599999999</v>
      </c>
      <c r="R30">
        <v>457.88241599999998</v>
      </c>
      <c r="S30">
        <v>458.80032299999999</v>
      </c>
      <c r="T30">
        <v>459.24939000000001</v>
      </c>
      <c r="U30">
        <v>458.83017000000001</v>
      </c>
      <c r="V30">
        <v>457.40924100000001</v>
      </c>
      <c r="W30">
        <v>456.28689600000001</v>
      </c>
      <c r="X30">
        <v>456.329407</v>
      </c>
      <c r="Y30">
        <v>456.08932499999997</v>
      </c>
      <c r="Z30">
        <v>457.03701799999999</v>
      </c>
      <c r="AA30">
        <v>459.72207600000002</v>
      </c>
      <c r="AB30">
        <v>461.17038000000002</v>
      </c>
      <c r="AC30">
        <v>459.84771699999999</v>
      </c>
      <c r="AD30">
        <v>458.83840900000001</v>
      </c>
      <c r="AE30" s="12">
        <v>-1E-3</v>
      </c>
    </row>
    <row r="31" spans="1:31">
      <c r="A31" t="s">
        <v>91</v>
      </c>
      <c r="B31" t="s">
        <v>1268</v>
      </c>
      <c r="C31" t="s">
        <v>1269</v>
      </c>
      <c r="D31" t="s">
        <v>118</v>
      </c>
      <c r="E31">
        <v>468.92568999999997</v>
      </c>
      <c r="F31">
        <v>458.27090500000003</v>
      </c>
      <c r="G31">
        <v>473.03973400000001</v>
      </c>
      <c r="H31">
        <v>463.32836900000001</v>
      </c>
      <c r="I31">
        <v>459.65716600000002</v>
      </c>
      <c r="J31">
        <v>462.70059199999997</v>
      </c>
      <c r="K31">
        <v>450.84088100000002</v>
      </c>
      <c r="L31">
        <v>452.73818999999997</v>
      </c>
      <c r="M31">
        <v>454.70459</v>
      </c>
      <c r="N31">
        <v>453.41677900000002</v>
      </c>
      <c r="O31">
        <v>454.898865</v>
      </c>
      <c r="P31">
        <v>455.97616599999998</v>
      </c>
      <c r="Q31">
        <v>457.70022599999999</v>
      </c>
      <c r="R31">
        <v>457.88241599999998</v>
      </c>
      <c r="S31">
        <v>458.80032299999999</v>
      </c>
      <c r="T31">
        <v>459.24939000000001</v>
      </c>
      <c r="U31">
        <v>458.83017000000001</v>
      </c>
      <c r="V31">
        <v>457.40924100000001</v>
      </c>
      <c r="W31">
        <v>456.28689600000001</v>
      </c>
      <c r="X31">
        <v>456.329407</v>
      </c>
      <c r="Y31">
        <v>456.08932499999997</v>
      </c>
      <c r="Z31">
        <v>457.03701799999999</v>
      </c>
      <c r="AA31">
        <v>459.72207600000002</v>
      </c>
      <c r="AB31">
        <v>461.17038000000002</v>
      </c>
      <c r="AC31">
        <v>459.84771699999999</v>
      </c>
      <c r="AD31">
        <v>458.83840900000001</v>
      </c>
      <c r="AE31" s="12">
        <v>-1E-3</v>
      </c>
    </row>
    <row r="32" spans="1:31">
      <c r="A32" t="s">
        <v>102</v>
      </c>
      <c r="B32" t="s">
        <v>1270</v>
      </c>
      <c r="C32" t="s">
        <v>1271</v>
      </c>
      <c r="D32" t="s">
        <v>118</v>
      </c>
      <c r="E32">
        <v>0</v>
      </c>
      <c r="F32">
        <v>0</v>
      </c>
      <c r="G32">
        <v>0</v>
      </c>
      <c r="H32">
        <v>0</v>
      </c>
      <c r="I32">
        <v>0</v>
      </c>
      <c r="J32">
        <v>0</v>
      </c>
      <c r="K32">
        <v>0</v>
      </c>
      <c r="L32">
        <v>0</v>
      </c>
      <c r="M32">
        <v>0</v>
      </c>
      <c r="N32">
        <v>0</v>
      </c>
      <c r="O32">
        <v>0</v>
      </c>
      <c r="P32">
        <v>0</v>
      </c>
      <c r="Q32">
        <v>0</v>
      </c>
      <c r="R32">
        <v>0</v>
      </c>
      <c r="S32">
        <v>0</v>
      </c>
      <c r="T32">
        <v>0</v>
      </c>
      <c r="U32">
        <v>0</v>
      </c>
      <c r="V32">
        <v>0</v>
      </c>
      <c r="W32">
        <v>0</v>
      </c>
      <c r="X32">
        <v>0</v>
      </c>
      <c r="Y32">
        <v>0</v>
      </c>
      <c r="Z32">
        <v>0</v>
      </c>
      <c r="AA32">
        <v>0</v>
      </c>
      <c r="AB32">
        <v>0</v>
      </c>
      <c r="AC32">
        <v>0</v>
      </c>
      <c r="AD32">
        <v>0</v>
      </c>
      <c r="AE32" t="s">
        <v>6</v>
      </c>
    </row>
    <row r="33" spans="1:31">
      <c r="A33" t="s">
        <v>12</v>
      </c>
      <c r="B33" t="s">
        <v>1272</v>
      </c>
      <c r="C33" t="s">
        <v>1273</v>
      </c>
      <c r="D33" t="s">
        <v>118</v>
      </c>
      <c r="E33">
        <v>98.803618999999998</v>
      </c>
      <c r="F33">
        <v>99.316399000000004</v>
      </c>
      <c r="G33">
        <v>98.358688000000001</v>
      </c>
      <c r="H33">
        <v>97.612862000000007</v>
      </c>
      <c r="I33">
        <v>96.659233</v>
      </c>
      <c r="J33">
        <v>96.369911000000002</v>
      </c>
      <c r="K33">
        <v>95.604354999999998</v>
      </c>
      <c r="L33">
        <v>95.185721999999998</v>
      </c>
      <c r="M33">
        <v>94.527596000000003</v>
      </c>
      <c r="N33">
        <v>94.112457000000006</v>
      </c>
      <c r="O33">
        <v>93.649520999999993</v>
      </c>
      <c r="P33">
        <v>93.040108000000004</v>
      </c>
      <c r="Q33">
        <v>92.384003000000007</v>
      </c>
      <c r="R33">
        <v>91.701141000000007</v>
      </c>
      <c r="S33">
        <v>91.18383</v>
      </c>
      <c r="T33">
        <v>90.719489999999993</v>
      </c>
      <c r="U33">
        <v>90.371978999999996</v>
      </c>
      <c r="V33">
        <v>89.852524000000003</v>
      </c>
      <c r="W33">
        <v>89.239898999999994</v>
      </c>
      <c r="X33">
        <v>88.577019000000007</v>
      </c>
      <c r="Y33">
        <v>87.940781000000001</v>
      </c>
      <c r="Z33">
        <v>87.447838000000004</v>
      </c>
      <c r="AA33">
        <v>87.030777</v>
      </c>
      <c r="AB33">
        <v>86.401756000000006</v>
      </c>
      <c r="AC33">
        <v>85.715187</v>
      </c>
      <c r="AD33">
        <v>85.029067999999995</v>
      </c>
      <c r="AE33" s="12">
        <v>-6.0000000000000001E-3</v>
      </c>
    </row>
    <row r="34" spans="1:31">
      <c r="A34" t="s">
        <v>91</v>
      </c>
      <c r="B34" t="s">
        <v>1274</v>
      </c>
      <c r="C34" t="s">
        <v>1275</v>
      </c>
      <c r="D34" t="s">
        <v>118</v>
      </c>
      <c r="E34">
        <v>96.583793999999997</v>
      </c>
      <c r="F34">
        <v>97.108688000000001</v>
      </c>
      <c r="G34">
        <v>96.187201999999999</v>
      </c>
      <c r="H34">
        <v>95.472472999999994</v>
      </c>
      <c r="I34">
        <v>94.554146000000003</v>
      </c>
      <c r="J34">
        <v>94.286368999999993</v>
      </c>
      <c r="K34">
        <v>93.553246000000001</v>
      </c>
      <c r="L34">
        <v>93.159003999999996</v>
      </c>
      <c r="M34">
        <v>92.530685000000005</v>
      </c>
      <c r="N34">
        <v>92.139579999999995</v>
      </c>
      <c r="O34">
        <v>91.701057000000006</v>
      </c>
      <c r="P34">
        <v>91.116889999999998</v>
      </c>
      <c r="Q34">
        <v>90.488121000000007</v>
      </c>
      <c r="R34">
        <v>89.835007000000004</v>
      </c>
      <c r="S34">
        <v>89.345123000000001</v>
      </c>
      <c r="T34">
        <v>88.860725000000002</v>
      </c>
      <c r="U34">
        <v>88.419899000000001</v>
      </c>
      <c r="V34">
        <v>87.804962000000003</v>
      </c>
      <c r="W34">
        <v>87.093040000000002</v>
      </c>
      <c r="X34">
        <v>86.325974000000002</v>
      </c>
      <c r="Y34">
        <v>85.578452999999996</v>
      </c>
      <c r="Z34">
        <v>84.963302999999996</v>
      </c>
      <c r="AA34">
        <v>84.41404</v>
      </c>
      <c r="AB34">
        <v>83.6511</v>
      </c>
      <c r="AC34">
        <v>82.824348000000001</v>
      </c>
      <c r="AD34">
        <v>81.989593999999997</v>
      </c>
      <c r="AE34" s="12">
        <v>-7.0000000000000001E-3</v>
      </c>
    </row>
    <row r="35" spans="1:31">
      <c r="A35" t="s">
        <v>103</v>
      </c>
      <c r="B35" t="s">
        <v>1276</v>
      </c>
      <c r="C35" t="s">
        <v>1277</v>
      </c>
      <c r="D35" t="s">
        <v>118</v>
      </c>
      <c r="E35">
        <v>1.445341</v>
      </c>
      <c r="F35">
        <v>1.381691</v>
      </c>
      <c r="G35">
        <v>1.303849</v>
      </c>
      <c r="H35">
        <v>1.2307950000000001</v>
      </c>
      <c r="I35">
        <v>1.156623</v>
      </c>
      <c r="J35">
        <v>1.087359</v>
      </c>
      <c r="K35">
        <v>1.010143</v>
      </c>
      <c r="L35">
        <v>0.93915599999999999</v>
      </c>
      <c r="M35">
        <v>0.86446900000000004</v>
      </c>
      <c r="N35">
        <v>0.794794</v>
      </c>
      <c r="O35">
        <v>0.72734299999999996</v>
      </c>
      <c r="P35">
        <v>0.66834199999999999</v>
      </c>
      <c r="Q35">
        <v>0.60416400000000003</v>
      </c>
      <c r="R35">
        <v>0.53177799999999997</v>
      </c>
      <c r="S35">
        <v>0.45579399999999998</v>
      </c>
      <c r="T35">
        <v>0.388372</v>
      </c>
      <c r="U35">
        <v>0.386907</v>
      </c>
      <c r="V35">
        <v>0.38470799999999999</v>
      </c>
      <c r="W35">
        <v>0.38211099999999998</v>
      </c>
      <c r="X35">
        <v>0.37930000000000003</v>
      </c>
      <c r="Y35">
        <v>0.37660399999999999</v>
      </c>
      <c r="Z35">
        <v>0.37452400000000002</v>
      </c>
      <c r="AA35">
        <v>0.37277100000000002</v>
      </c>
      <c r="AB35">
        <v>0.37011100000000002</v>
      </c>
      <c r="AC35">
        <v>0.36720700000000001</v>
      </c>
      <c r="AD35">
        <v>0.36430699999999999</v>
      </c>
      <c r="AE35" s="12">
        <v>-5.3999999999999999E-2</v>
      </c>
    </row>
    <row r="36" spans="1:31">
      <c r="A36" t="s">
        <v>101</v>
      </c>
      <c r="B36" t="s">
        <v>1278</v>
      </c>
      <c r="C36" t="s">
        <v>1279</v>
      </c>
      <c r="D36" t="s">
        <v>118</v>
      </c>
      <c r="E36">
        <v>0</v>
      </c>
      <c r="F36">
        <v>0</v>
      </c>
      <c r="G36">
        <v>0</v>
      </c>
      <c r="H36">
        <v>0</v>
      </c>
      <c r="I36">
        <v>0</v>
      </c>
      <c r="J36">
        <v>0</v>
      </c>
      <c r="K36">
        <v>0</v>
      </c>
      <c r="L36">
        <v>0</v>
      </c>
      <c r="M36">
        <v>0</v>
      </c>
      <c r="N36">
        <v>0</v>
      </c>
      <c r="O36">
        <v>0</v>
      </c>
      <c r="P36">
        <v>0</v>
      </c>
      <c r="Q36">
        <v>0</v>
      </c>
      <c r="R36">
        <v>0</v>
      </c>
      <c r="S36">
        <v>0</v>
      </c>
      <c r="T36">
        <v>0</v>
      </c>
      <c r="U36">
        <v>0</v>
      </c>
      <c r="V36">
        <v>0</v>
      </c>
      <c r="W36">
        <v>0</v>
      </c>
      <c r="X36">
        <v>0</v>
      </c>
      <c r="Y36">
        <v>0</v>
      </c>
      <c r="Z36">
        <v>0</v>
      </c>
      <c r="AA36">
        <v>0</v>
      </c>
      <c r="AB36">
        <v>0</v>
      </c>
      <c r="AC36">
        <v>0</v>
      </c>
      <c r="AD36">
        <v>0</v>
      </c>
      <c r="AE36" t="s">
        <v>6</v>
      </c>
    </row>
    <row r="37" spans="1:31">
      <c r="A37" t="s">
        <v>102</v>
      </c>
      <c r="B37" t="s">
        <v>1280</v>
      </c>
      <c r="C37" t="s">
        <v>1281</v>
      </c>
      <c r="D37" t="s">
        <v>118</v>
      </c>
      <c r="E37">
        <v>0.77447999999999995</v>
      </c>
      <c r="F37">
        <v>0.82602299999999995</v>
      </c>
      <c r="G37">
        <v>0.86763400000000002</v>
      </c>
      <c r="H37">
        <v>0.90959299999999998</v>
      </c>
      <c r="I37">
        <v>0.94846200000000003</v>
      </c>
      <c r="J37">
        <v>0.99618600000000002</v>
      </c>
      <c r="K37">
        <v>1.040969</v>
      </c>
      <c r="L37">
        <v>1.0875589999999999</v>
      </c>
      <c r="M37">
        <v>1.1324399999999999</v>
      </c>
      <c r="N37">
        <v>1.1780889999999999</v>
      </c>
      <c r="O37">
        <v>1.2211190000000001</v>
      </c>
      <c r="P37">
        <v>1.2548729999999999</v>
      </c>
      <c r="Q37">
        <v>1.291717</v>
      </c>
      <c r="R37">
        <v>1.33436</v>
      </c>
      <c r="S37">
        <v>1.382914</v>
      </c>
      <c r="T37">
        <v>1.470391</v>
      </c>
      <c r="U37">
        <v>1.5651710000000001</v>
      </c>
      <c r="V37">
        <v>1.6628590000000001</v>
      </c>
      <c r="W37">
        <v>1.764751</v>
      </c>
      <c r="X37">
        <v>1.871745</v>
      </c>
      <c r="Y37">
        <v>1.9857260000000001</v>
      </c>
      <c r="Z37">
        <v>2.1100059999999998</v>
      </c>
      <c r="AA37">
        <v>2.2439629999999999</v>
      </c>
      <c r="AB37">
        <v>2.3805429999999999</v>
      </c>
      <c r="AC37">
        <v>2.523625</v>
      </c>
      <c r="AD37">
        <v>2.6751680000000002</v>
      </c>
      <c r="AE37" s="12">
        <v>5.0999999999999997E-2</v>
      </c>
    </row>
    <row r="38" spans="1:31">
      <c r="A38" t="s">
        <v>11</v>
      </c>
      <c r="B38" t="s">
        <v>1282</v>
      </c>
      <c r="C38" t="s">
        <v>1283</v>
      </c>
      <c r="D38" t="s">
        <v>118</v>
      </c>
      <c r="E38">
        <v>781.67913799999997</v>
      </c>
      <c r="F38">
        <v>771.78973399999995</v>
      </c>
      <c r="G38">
        <v>787.04748500000005</v>
      </c>
      <c r="H38">
        <v>803.76599099999999</v>
      </c>
      <c r="I38">
        <v>817.65472399999999</v>
      </c>
      <c r="J38">
        <v>831.59326199999998</v>
      </c>
      <c r="K38">
        <v>844.71160899999995</v>
      </c>
      <c r="L38">
        <v>859.18048099999999</v>
      </c>
      <c r="M38">
        <v>874.05822799999999</v>
      </c>
      <c r="N38">
        <v>889.22766100000001</v>
      </c>
      <c r="O38">
        <v>905.22375499999998</v>
      </c>
      <c r="P38">
        <v>917.83032200000002</v>
      </c>
      <c r="Q38">
        <v>927.54376200000002</v>
      </c>
      <c r="R38">
        <v>937.21472200000005</v>
      </c>
      <c r="S38">
        <v>945.650757</v>
      </c>
      <c r="T38">
        <v>954.04736300000002</v>
      </c>
      <c r="U38">
        <v>961.95062299999995</v>
      </c>
      <c r="V38">
        <v>970.87823500000002</v>
      </c>
      <c r="W38">
        <v>979.48828100000003</v>
      </c>
      <c r="X38">
        <v>987.97015399999998</v>
      </c>
      <c r="Y38">
        <v>997.51214600000003</v>
      </c>
      <c r="Z38">
        <v>1006.984741</v>
      </c>
      <c r="AA38">
        <v>1016.484192</v>
      </c>
      <c r="AB38">
        <v>1025.493164</v>
      </c>
      <c r="AC38">
        <v>1034.2475589999999</v>
      </c>
      <c r="AD38">
        <v>1044.1455080000001</v>
      </c>
      <c r="AE38" s="12">
        <v>1.2E-2</v>
      </c>
    </row>
    <row r="39" spans="1:31">
      <c r="A39" t="s">
        <v>91</v>
      </c>
      <c r="B39" t="s">
        <v>1284</v>
      </c>
      <c r="C39" t="s">
        <v>1285</v>
      </c>
      <c r="D39" t="s">
        <v>118</v>
      </c>
      <c r="E39">
        <v>223.61303699999999</v>
      </c>
      <c r="F39">
        <v>232.22341900000001</v>
      </c>
      <c r="G39">
        <v>233.03628499999999</v>
      </c>
      <c r="H39">
        <v>228.42013499999999</v>
      </c>
      <c r="I39">
        <v>236.59736599999999</v>
      </c>
      <c r="J39">
        <v>244.27101099999999</v>
      </c>
      <c r="K39">
        <v>254.47695899999999</v>
      </c>
      <c r="L39">
        <v>260.89538599999997</v>
      </c>
      <c r="M39">
        <v>266.11056500000001</v>
      </c>
      <c r="N39">
        <v>271.40432700000002</v>
      </c>
      <c r="O39">
        <v>278.81805400000002</v>
      </c>
      <c r="P39">
        <v>283.25878899999998</v>
      </c>
      <c r="Q39">
        <v>286.94357300000001</v>
      </c>
      <c r="R39">
        <v>290.506012</v>
      </c>
      <c r="S39">
        <v>293.64566000000002</v>
      </c>
      <c r="T39">
        <v>297.625427</v>
      </c>
      <c r="U39">
        <v>301.42257699999999</v>
      </c>
      <c r="V39">
        <v>303.21469100000002</v>
      </c>
      <c r="W39">
        <v>304.424194</v>
      </c>
      <c r="X39">
        <v>305.89453099999997</v>
      </c>
      <c r="Y39">
        <v>307.77346799999998</v>
      </c>
      <c r="Z39">
        <v>310.19232199999999</v>
      </c>
      <c r="AA39">
        <v>313.15210000000002</v>
      </c>
      <c r="AB39">
        <v>315.861267</v>
      </c>
      <c r="AC39">
        <v>317.94543499999997</v>
      </c>
      <c r="AD39">
        <v>320.70755000000003</v>
      </c>
      <c r="AE39" s="12">
        <v>1.4999999999999999E-2</v>
      </c>
    </row>
    <row r="40" spans="1:31">
      <c r="A40" t="s">
        <v>103</v>
      </c>
      <c r="B40" t="s">
        <v>1286</v>
      </c>
      <c r="C40" t="s">
        <v>1287</v>
      </c>
      <c r="D40" t="s">
        <v>118</v>
      </c>
      <c r="E40">
        <v>551.81341599999996</v>
      </c>
      <c r="F40">
        <v>533.65148899999997</v>
      </c>
      <c r="G40">
        <v>548.11669900000004</v>
      </c>
      <c r="H40">
        <v>569.71991000000003</v>
      </c>
      <c r="I40">
        <v>574.97094700000002</v>
      </c>
      <c r="J40">
        <v>581.03149399999995</v>
      </c>
      <c r="K40">
        <v>583.45141599999999</v>
      </c>
      <c r="L40">
        <v>591.07006799999999</v>
      </c>
      <c r="M40">
        <v>600.38812299999995</v>
      </c>
      <c r="N40">
        <v>609.91949499999998</v>
      </c>
      <c r="O40">
        <v>618.10058600000002</v>
      </c>
      <c r="P40">
        <v>626.03704800000003</v>
      </c>
      <c r="Q40">
        <v>631.89624000000003</v>
      </c>
      <c r="R40">
        <v>637.82202099999995</v>
      </c>
      <c r="S40">
        <v>643.011841</v>
      </c>
      <c r="T40">
        <v>647.25390600000003</v>
      </c>
      <c r="U40">
        <v>651.12280299999998</v>
      </c>
      <c r="V40">
        <v>658.07989499999996</v>
      </c>
      <c r="W40">
        <v>665.28179899999998</v>
      </c>
      <c r="X40">
        <v>672.02301</v>
      </c>
      <c r="Y40">
        <v>679.34075900000005</v>
      </c>
      <c r="Z40">
        <v>686.10742200000004</v>
      </c>
      <c r="AA40">
        <v>692.36852999999996</v>
      </c>
      <c r="AB40">
        <v>698.42010500000004</v>
      </c>
      <c r="AC40">
        <v>704.87670900000001</v>
      </c>
      <c r="AD40">
        <v>711.82208300000002</v>
      </c>
      <c r="AE40" s="12">
        <v>0.01</v>
      </c>
    </row>
    <row r="41" spans="1:31">
      <c r="A41" t="s">
        <v>101</v>
      </c>
      <c r="B41" t="s">
        <v>1288</v>
      </c>
      <c r="C41" t="s">
        <v>1289</v>
      </c>
      <c r="D41" t="s">
        <v>118</v>
      </c>
      <c r="E41">
        <v>0</v>
      </c>
      <c r="F41">
        <v>0</v>
      </c>
      <c r="G41">
        <v>0</v>
      </c>
      <c r="H41">
        <v>0</v>
      </c>
      <c r="I41">
        <v>0</v>
      </c>
      <c r="J41">
        <v>0</v>
      </c>
      <c r="K41">
        <v>0</v>
      </c>
      <c r="L41">
        <v>0</v>
      </c>
      <c r="M41">
        <v>0</v>
      </c>
      <c r="N41">
        <v>0</v>
      </c>
      <c r="O41">
        <v>0</v>
      </c>
      <c r="P41">
        <v>0</v>
      </c>
      <c r="Q41">
        <v>0</v>
      </c>
      <c r="R41">
        <v>0</v>
      </c>
      <c r="S41">
        <v>0</v>
      </c>
      <c r="T41">
        <v>0</v>
      </c>
      <c r="U41">
        <v>0</v>
      </c>
      <c r="V41">
        <v>0</v>
      </c>
      <c r="W41">
        <v>0</v>
      </c>
      <c r="X41">
        <v>0</v>
      </c>
      <c r="Y41">
        <v>0</v>
      </c>
      <c r="Z41">
        <v>0</v>
      </c>
      <c r="AA41">
        <v>0</v>
      </c>
      <c r="AB41">
        <v>0</v>
      </c>
      <c r="AC41">
        <v>0</v>
      </c>
      <c r="AD41">
        <v>0</v>
      </c>
      <c r="AE41" t="s">
        <v>6</v>
      </c>
    </row>
    <row r="42" spans="1:31">
      <c r="A42" t="s">
        <v>102</v>
      </c>
      <c r="B42" t="s">
        <v>1290</v>
      </c>
      <c r="C42" t="s">
        <v>1291</v>
      </c>
      <c r="D42" t="s">
        <v>118</v>
      </c>
      <c r="E42">
        <v>6.2526729999999997</v>
      </c>
      <c r="F42">
        <v>5.9148670000000001</v>
      </c>
      <c r="G42">
        <v>5.8945189999999998</v>
      </c>
      <c r="H42">
        <v>5.6259750000000004</v>
      </c>
      <c r="I42">
        <v>6.0864450000000003</v>
      </c>
      <c r="J42">
        <v>6.2907739999999999</v>
      </c>
      <c r="K42">
        <v>6.7832850000000002</v>
      </c>
      <c r="L42">
        <v>7.2150460000000001</v>
      </c>
      <c r="M42">
        <v>7.559577</v>
      </c>
      <c r="N42">
        <v>7.9037889999999997</v>
      </c>
      <c r="O42">
        <v>8.305097</v>
      </c>
      <c r="P42">
        <v>8.5344940000000005</v>
      </c>
      <c r="Q42">
        <v>8.7039059999999999</v>
      </c>
      <c r="R42">
        <v>8.8867419999999999</v>
      </c>
      <c r="S42">
        <v>8.9932859999999994</v>
      </c>
      <c r="T42">
        <v>9.1680440000000001</v>
      </c>
      <c r="U42">
        <v>9.4052419999999994</v>
      </c>
      <c r="V42">
        <v>9.5836869999999994</v>
      </c>
      <c r="W42">
        <v>9.7822840000000006</v>
      </c>
      <c r="X42">
        <v>10.052626</v>
      </c>
      <c r="Y42">
        <v>10.397913000000001</v>
      </c>
      <c r="Z42">
        <v>10.684988000000001</v>
      </c>
      <c r="AA42">
        <v>10.963583</v>
      </c>
      <c r="AB42">
        <v>11.211759000000001</v>
      </c>
      <c r="AC42">
        <v>11.425473999999999</v>
      </c>
      <c r="AD42">
        <v>11.615826999999999</v>
      </c>
      <c r="AE42" s="12">
        <v>2.5000000000000001E-2</v>
      </c>
    </row>
    <row r="43" spans="1:31">
      <c r="A43" t="s">
        <v>10</v>
      </c>
      <c r="B43" t="s">
        <v>1292</v>
      </c>
      <c r="C43" t="s">
        <v>1293</v>
      </c>
      <c r="D43" t="s">
        <v>118</v>
      </c>
      <c r="E43">
        <v>3252.4882809999999</v>
      </c>
      <c r="F43">
        <v>3298.3647460000002</v>
      </c>
      <c r="G43">
        <v>3324.9201659999999</v>
      </c>
      <c r="H43">
        <v>3326.1455080000001</v>
      </c>
      <c r="I43">
        <v>3341.0754390000002</v>
      </c>
      <c r="J43">
        <v>3366.9145509999998</v>
      </c>
      <c r="K43">
        <v>3390.1228030000002</v>
      </c>
      <c r="L43">
        <v>3422.7404790000001</v>
      </c>
      <c r="M43">
        <v>3457.8708499999998</v>
      </c>
      <c r="N43">
        <v>3500.2695309999999</v>
      </c>
      <c r="O43">
        <v>3550.9953609999998</v>
      </c>
      <c r="P43">
        <v>3586.7421880000002</v>
      </c>
      <c r="Q43">
        <v>3625.8691410000001</v>
      </c>
      <c r="R43">
        <v>3663.3786620000001</v>
      </c>
      <c r="S43">
        <v>3699.4721679999998</v>
      </c>
      <c r="T43">
        <v>3736.0073240000002</v>
      </c>
      <c r="U43">
        <v>3768.0317380000001</v>
      </c>
      <c r="V43">
        <v>3803.091797</v>
      </c>
      <c r="W43">
        <v>3839.498779</v>
      </c>
      <c r="X43">
        <v>3874.8383789999998</v>
      </c>
      <c r="Y43">
        <v>3910.0576169999999</v>
      </c>
      <c r="Z43">
        <v>3941.4396969999998</v>
      </c>
      <c r="AA43">
        <v>3967.9187010000001</v>
      </c>
      <c r="AB43">
        <v>3994.1921390000002</v>
      </c>
      <c r="AC43">
        <v>4016.1323240000002</v>
      </c>
      <c r="AD43">
        <v>4039.7954100000002</v>
      </c>
      <c r="AE43" s="12">
        <v>8.9999999999999993E-3</v>
      </c>
    </row>
    <row r="44" spans="1:31">
      <c r="A44" t="s">
        <v>104</v>
      </c>
      <c r="B44" t="s">
        <v>1294</v>
      </c>
      <c r="C44" t="s">
        <v>1295</v>
      </c>
      <c r="D44" t="s">
        <v>118</v>
      </c>
      <c r="E44">
        <v>3230.0942380000001</v>
      </c>
      <c r="F44">
        <v>3275.9770509999998</v>
      </c>
      <c r="G44">
        <v>3302.5375979999999</v>
      </c>
      <c r="H44">
        <v>3303.7670899999998</v>
      </c>
      <c r="I44">
        <v>3318.7004390000002</v>
      </c>
      <c r="J44">
        <v>3344.5424800000001</v>
      </c>
      <c r="K44">
        <v>3367.7531739999999</v>
      </c>
      <c r="L44">
        <v>3400.3728030000002</v>
      </c>
      <c r="M44">
        <v>3435.5048830000001</v>
      </c>
      <c r="N44">
        <v>3477.905029</v>
      </c>
      <c r="O44">
        <v>3528.631836</v>
      </c>
      <c r="P44">
        <v>3564.3796390000002</v>
      </c>
      <c r="Q44">
        <v>3603.5073240000002</v>
      </c>
      <c r="R44">
        <v>3641.017578</v>
      </c>
      <c r="S44">
        <v>3677.1115719999998</v>
      </c>
      <c r="T44">
        <v>3713.6472170000002</v>
      </c>
      <c r="U44">
        <v>3745.6721189999998</v>
      </c>
      <c r="V44">
        <v>3780.732422</v>
      </c>
      <c r="W44">
        <v>3817.1396479999999</v>
      </c>
      <c r="X44">
        <v>3852.4794919999999</v>
      </c>
      <c r="Y44">
        <v>3887.6987300000001</v>
      </c>
      <c r="Z44">
        <v>3919.0810550000001</v>
      </c>
      <c r="AA44">
        <v>3945.5600589999999</v>
      </c>
      <c r="AB44">
        <v>3971.83374</v>
      </c>
      <c r="AC44">
        <v>3993.7739259999998</v>
      </c>
      <c r="AD44">
        <v>4017.4370119999999</v>
      </c>
      <c r="AE44" s="12">
        <v>8.9999999999999993E-3</v>
      </c>
    </row>
    <row r="45" spans="1:31">
      <c r="A45" t="s">
        <v>105</v>
      </c>
      <c r="B45" t="s">
        <v>1296</v>
      </c>
      <c r="C45" t="s">
        <v>1297</v>
      </c>
      <c r="D45" t="s">
        <v>118</v>
      </c>
      <c r="E45">
        <v>22.394031999999999</v>
      </c>
      <c r="F45">
        <v>22.387812</v>
      </c>
      <c r="G45">
        <v>22.382666</v>
      </c>
      <c r="H45">
        <v>22.378406999999999</v>
      </c>
      <c r="I45">
        <v>22.374884000000002</v>
      </c>
      <c r="J45">
        <v>22.371969</v>
      </c>
      <c r="K45">
        <v>22.369558000000001</v>
      </c>
      <c r="L45">
        <v>22.367563000000001</v>
      </c>
      <c r="M45">
        <v>22.365911000000001</v>
      </c>
      <c r="N45">
        <v>22.364546000000001</v>
      </c>
      <c r="O45">
        <v>22.363416999999998</v>
      </c>
      <c r="P45">
        <v>22.362480000000001</v>
      </c>
      <c r="Q45">
        <v>22.361708</v>
      </c>
      <c r="R45">
        <v>22.361066999999998</v>
      </c>
      <c r="S45">
        <v>22.360537999999998</v>
      </c>
      <c r="T45">
        <v>22.360099999999999</v>
      </c>
      <c r="U45">
        <v>22.359736999999999</v>
      </c>
      <c r="V45">
        <v>22.359438000000001</v>
      </c>
      <c r="W45">
        <v>22.359190000000002</v>
      </c>
      <c r="X45">
        <v>22.358984</v>
      </c>
      <c r="Y45">
        <v>22.358813999999999</v>
      </c>
      <c r="Z45">
        <v>22.358673</v>
      </c>
      <c r="AA45">
        <v>22.358557000000001</v>
      </c>
      <c r="AB45">
        <v>22.358460999999998</v>
      </c>
      <c r="AC45">
        <v>22.358381000000001</v>
      </c>
      <c r="AD45">
        <v>22.358315000000001</v>
      </c>
      <c r="AE45" s="12">
        <v>0</v>
      </c>
    </row>
    <row r="46" spans="1:31">
      <c r="A46" t="s">
        <v>9</v>
      </c>
      <c r="B46" t="s">
        <v>1298</v>
      </c>
      <c r="C46" t="s">
        <v>1299</v>
      </c>
      <c r="D46" t="s">
        <v>118</v>
      </c>
      <c r="E46">
        <v>444.00161700000001</v>
      </c>
      <c r="F46">
        <v>456.269318</v>
      </c>
      <c r="G46">
        <v>456.97198500000002</v>
      </c>
      <c r="H46">
        <v>451.95935100000003</v>
      </c>
      <c r="I46">
        <v>450.42767300000003</v>
      </c>
      <c r="J46">
        <v>448.71444700000001</v>
      </c>
      <c r="K46">
        <v>447.92675800000001</v>
      </c>
      <c r="L46">
        <v>447.756348</v>
      </c>
      <c r="M46">
        <v>447.646118</v>
      </c>
      <c r="N46">
        <v>447.70373499999999</v>
      </c>
      <c r="O46">
        <v>447.87530500000003</v>
      </c>
      <c r="P46">
        <v>448.21966600000002</v>
      </c>
      <c r="Q46">
        <v>448.65875199999999</v>
      </c>
      <c r="R46">
        <v>449.08792099999999</v>
      </c>
      <c r="S46">
        <v>449.511169</v>
      </c>
      <c r="T46">
        <v>449.928223</v>
      </c>
      <c r="U46">
        <v>450.340149</v>
      </c>
      <c r="V46">
        <v>450.75048800000002</v>
      </c>
      <c r="W46">
        <v>451.16143799999998</v>
      </c>
      <c r="X46">
        <v>451.57293700000002</v>
      </c>
      <c r="Y46">
        <v>451.984375</v>
      </c>
      <c r="Z46">
        <v>452.39999399999999</v>
      </c>
      <c r="AA46">
        <v>452.819366</v>
      </c>
      <c r="AB46">
        <v>453.24035600000002</v>
      </c>
      <c r="AC46">
        <v>453.66583300000002</v>
      </c>
      <c r="AD46">
        <v>454.09600799999998</v>
      </c>
      <c r="AE46" s="12">
        <v>1E-3</v>
      </c>
    </row>
    <row r="47" spans="1:31">
      <c r="A47" t="s">
        <v>106</v>
      </c>
      <c r="B47" t="s">
        <v>1300</v>
      </c>
      <c r="C47" t="s">
        <v>1301</v>
      </c>
      <c r="D47" t="s">
        <v>118</v>
      </c>
      <c r="E47">
        <v>329.568085</v>
      </c>
      <c r="F47">
        <v>338.67413299999998</v>
      </c>
      <c r="G47">
        <v>339.19570900000002</v>
      </c>
      <c r="H47">
        <v>335.47497600000003</v>
      </c>
      <c r="I47">
        <v>334.33807400000001</v>
      </c>
      <c r="J47">
        <v>333.06640599999997</v>
      </c>
      <c r="K47">
        <v>332.48172</v>
      </c>
      <c r="L47">
        <v>332.35522500000002</v>
      </c>
      <c r="M47">
        <v>332.273438</v>
      </c>
      <c r="N47">
        <v>332.316193</v>
      </c>
      <c r="O47">
        <v>332.44354199999998</v>
      </c>
      <c r="P47">
        <v>332.69915800000001</v>
      </c>
      <c r="Q47">
        <v>333.02505500000001</v>
      </c>
      <c r="R47">
        <v>333.34359699999999</v>
      </c>
      <c r="S47">
        <v>333.65777600000001</v>
      </c>
      <c r="T47">
        <v>333.96734600000002</v>
      </c>
      <c r="U47">
        <v>334.27310199999999</v>
      </c>
      <c r="V47">
        <v>334.577698</v>
      </c>
      <c r="W47">
        <v>334.882721</v>
      </c>
      <c r="X47">
        <v>335.18817100000001</v>
      </c>
      <c r="Y47">
        <v>335.493561</v>
      </c>
      <c r="Z47">
        <v>335.80206299999998</v>
      </c>
      <c r="AA47">
        <v>336.11334199999999</v>
      </c>
      <c r="AB47">
        <v>336.42584199999999</v>
      </c>
      <c r="AC47">
        <v>336.74163800000002</v>
      </c>
      <c r="AD47">
        <v>337.06097399999999</v>
      </c>
      <c r="AE47" s="12">
        <v>1E-3</v>
      </c>
    </row>
    <row r="48" spans="1:31">
      <c r="A48" t="s">
        <v>100</v>
      </c>
      <c r="B48" t="s">
        <v>1302</v>
      </c>
      <c r="C48" t="s">
        <v>1303</v>
      </c>
      <c r="D48" t="s">
        <v>118</v>
      </c>
      <c r="E48">
        <v>2.6093000000000002E-2</v>
      </c>
      <c r="F48">
        <v>2.6637999999999998E-2</v>
      </c>
      <c r="G48">
        <v>2.6679000000000001E-2</v>
      </c>
      <c r="H48">
        <v>2.6386E-2</v>
      </c>
      <c r="I48">
        <v>2.6297000000000001E-2</v>
      </c>
      <c r="J48">
        <v>2.6197000000000002E-2</v>
      </c>
      <c r="K48">
        <v>2.6151000000000001E-2</v>
      </c>
      <c r="L48">
        <v>2.6141000000000001E-2</v>
      </c>
      <c r="M48">
        <v>2.6134999999999999E-2</v>
      </c>
      <c r="N48">
        <v>2.6138000000000002E-2</v>
      </c>
      <c r="O48">
        <v>2.6148000000000001E-2</v>
      </c>
      <c r="P48">
        <v>2.6168E-2</v>
      </c>
      <c r="Q48">
        <v>2.6193999999999999E-2</v>
      </c>
      <c r="R48">
        <v>2.6218999999999999E-2</v>
      </c>
      <c r="S48">
        <v>2.6242999999999999E-2</v>
      </c>
      <c r="T48">
        <v>2.6268E-2</v>
      </c>
      <c r="U48">
        <v>2.6291999999999999E-2</v>
      </c>
      <c r="V48">
        <v>2.6315999999999999E-2</v>
      </c>
      <c r="W48">
        <v>2.6339999999999999E-2</v>
      </c>
      <c r="X48">
        <v>2.6363999999999999E-2</v>
      </c>
      <c r="Y48">
        <v>2.6388000000000002E-2</v>
      </c>
      <c r="Z48">
        <v>2.6412000000000001E-2</v>
      </c>
      <c r="AA48">
        <v>2.6436999999999999E-2</v>
      </c>
      <c r="AB48">
        <v>2.6460999999999998E-2</v>
      </c>
      <c r="AC48">
        <v>2.6485999999999999E-2</v>
      </c>
      <c r="AD48">
        <v>2.6511E-2</v>
      </c>
      <c r="AE48" s="12">
        <v>1E-3</v>
      </c>
    </row>
    <row r="49" spans="1:31">
      <c r="A49" t="s">
        <v>107</v>
      </c>
      <c r="B49" t="s">
        <v>1304</v>
      </c>
      <c r="C49" t="s">
        <v>1305</v>
      </c>
      <c r="D49" t="s">
        <v>118</v>
      </c>
      <c r="E49">
        <v>114.407448</v>
      </c>
      <c r="F49">
        <v>117.56855</v>
      </c>
      <c r="G49">
        <v>117.749611</v>
      </c>
      <c r="H49">
        <v>116.45797</v>
      </c>
      <c r="I49">
        <v>116.063293</v>
      </c>
      <c r="J49">
        <v>115.62185700000001</v>
      </c>
      <c r="K49">
        <v>115.41888400000001</v>
      </c>
      <c r="L49">
        <v>115.37496899999999</v>
      </c>
      <c r="M49">
        <v>115.34657300000001</v>
      </c>
      <c r="N49">
        <v>115.361412</v>
      </c>
      <c r="O49">
        <v>115.405624</v>
      </c>
      <c r="P49">
        <v>115.494362</v>
      </c>
      <c r="Q49">
        <v>115.607506</v>
      </c>
      <c r="R49">
        <v>115.718102</v>
      </c>
      <c r="S49">
        <v>115.82714799999999</v>
      </c>
      <c r="T49">
        <v>115.93461600000001</v>
      </c>
      <c r="U49">
        <v>116.04074900000001</v>
      </c>
      <c r="V49">
        <v>116.1465</v>
      </c>
      <c r="W49">
        <v>116.252365</v>
      </c>
      <c r="X49">
        <v>116.358406</v>
      </c>
      <c r="Y49">
        <v>116.464432</v>
      </c>
      <c r="Z49">
        <v>116.57152600000001</v>
      </c>
      <c r="AA49">
        <v>116.679588</v>
      </c>
      <c r="AB49">
        <v>116.78806299999999</v>
      </c>
      <c r="AC49">
        <v>116.89769</v>
      </c>
      <c r="AD49">
        <v>117.008522</v>
      </c>
      <c r="AE49" s="12">
        <v>1E-3</v>
      </c>
    </row>
    <row r="50" spans="1:31">
      <c r="A50" t="s">
        <v>8</v>
      </c>
      <c r="B50" t="s">
        <v>1306</v>
      </c>
      <c r="C50" t="s">
        <v>1307</v>
      </c>
      <c r="D50" t="s">
        <v>118</v>
      </c>
      <c r="E50">
        <v>211.25322</v>
      </c>
      <c r="F50">
        <v>212.57777400000001</v>
      </c>
      <c r="G50">
        <v>213.11239599999999</v>
      </c>
      <c r="H50">
        <v>213.56642199999999</v>
      </c>
      <c r="I50">
        <v>213.72061199999999</v>
      </c>
      <c r="J50">
        <v>213.304565</v>
      </c>
      <c r="K50">
        <v>212.52590900000001</v>
      </c>
      <c r="L50">
        <v>211.385864</v>
      </c>
      <c r="M50">
        <v>210.52954099999999</v>
      </c>
      <c r="N50">
        <v>209.218796</v>
      </c>
      <c r="O50">
        <v>207.97778299999999</v>
      </c>
      <c r="P50">
        <v>206.810272</v>
      </c>
      <c r="Q50">
        <v>205.79518100000001</v>
      </c>
      <c r="R50">
        <v>204.670288</v>
      </c>
      <c r="S50">
        <v>203.497345</v>
      </c>
      <c r="T50">
        <v>202.422211</v>
      </c>
      <c r="U50">
        <v>201.168228</v>
      </c>
      <c r="V50">
        <v>199.892303</v>
      </c>
      <c r="W50">
        <v>198.41390999999999</v>
      </c>
      <c r="X50">
        <v>196.95404099999999</v>
      </c>
      <c r="Y50">
        <v>195.51977500000001</v>
      </c>
      <c r="Z50">
        <v>193.97271699999999</v>
      </c>
      <c r="AA50">
        <v>192.578033</v>
      </c>
      <c r="AB50">
        <v>190.986389</v>
      </c>
      <c r="AC50">
        <v>189.41180399999999</v>
      </c>
      <c r="AD50">
        <v>187.75912500000001</v>
      </c>
      <c r="AE50" s="12">
        <v>-5.0000000000000001E-3</v>
      </c>
    </row>
    <row r="51" spans="1:31">
      <c r="A51" t="s">
        <v>108</v>
      </c>
      <c r="B51" t="s">
        <v>1308</v>
      </c>
      <c r="C51" t="s">
        <v>1309</v>
      </c>
      <c r="D51" t="s">
        <v>118</v>
      </c>
      <c r="E51">
        <v>81.386757000000003</v>
      </c>
      <c r="F51">
        <v>82.803413000000006</v>
      </c>
      <c r="G51">
        <v>83.835464000000002</v>
      </c>
      <c r="H51">
        <v>85.006743999999998</v>
      </c>
      <c r="I51">
        <v>85.925635999999997</v>
      </c>
      <c r="J51">
        <v>86.345016000000001</v>
      </c>
      <c r="K51">
        <v>86.461342000000002</v>
      </c>
      <c r="L51">
        <v>86.138701999999995</v>
      </c>
      <c r="M51">
        <v>85.985504000000006</v>
      </c>
      <c r="N51">
        <v>85.269272000000001</v>
      </c>
      <c r="O51">
        <v>84.535629</v>
      </c>
      <c r="P51">
        <v>83.826690999999997</v>
      </c>
      <c r="Q51">
        <v>83.230346999999995</v>
      </c>
      <c r="R51">
        <v>82.590384999999998</v>
      </c>
      <c r="S51">
        <v>81.807541000000001</v>
      </c>
      <c r="T51">
        <v>81.121689000000003</v>
      </c>
      <c r="U51">
        <v>80.380759999999995</v>
      </c>
      <c r="V51">
        <v>79.630898000000002</v>
      </c>
      <c r="W51">
        <v>78.707725999999994</v>
      </c>
      <c r="X51">
        <v>77.836594000000005</v>
      </c>
      <c r="Y51">
        <v>77.020477</v>
      </c>
      <c r="Z51">
        <v>76.116501</v>
      </c>
      <c r="AA51">
        <v>75.393669000000003</v>
      </c>
      <c r="AB51">
        <v>74.492310000000003</v>
      </c>
      <c r="AC51">
        <v>73.628913999999995</v>
      </c>
      <c r="AD51">
        <v>72.697647000000003</v>
      </c>
      <c r="AE51" s="12">
        <v>-5.0000000000000001E-3</v>
      </c>
    </row>
    <row r="52" spans="1:31">
      <c r="A52" t="s">
        <v>98</v>
      </c>
      <c r="B52" t="s">
        <v>1310</v>
      </c>
      <c r="C52" t="s">
        <v>1311</v>
      </c>
      <c r="D52" t="s">
        <v>118</v>
      </c>
      <c r="E52">
        <v>9.193486</v>
      </c>
      <c r="F52">
        <v>9.3287499999999994</v>
      </c>
      <c r="G52">
        <v>9.4174410000000002</v>
      </c>
      <c r="H52">
        <v>9.5199200000000008</v>
      </c>
      <c r="I52">
        <v>9.5954650000000008</v>
      </c>
      <c r="J52">
        <v>9.6100329999999996</v>
      </c>
      <c r="K52">
        <v>9.5859079999999999</v>
      </c>
      <c r="L52">
        <v>9.515409</v>
      </c>
      <c r="M52">
        <v>9.464188</v>
      </c>
      <c r="N52">
        <v>9.3505649999999996</v>
      </c>
      <c r="O52">
        <v>9.237152</v>
      </c>
      <c r="P52">
        <v>9.1269799999999996</v>
      </c>
      <c r="Q52">
        <v>9.0297389999999993</v>
      </c>
      <c r="R52">
        <v>8.9282819999999994</v>
      </c>
      <c r="S52">
        <v>8.8118999999999996</v>
      </c>
      <c r="T52">
        <v>8.7044549999999994</v>
      </c>
      <c r="U52">
        <v>8.5931650000000008</v>
      </c>
      <c r="V52">
        <v>8.4819279999999999</v>
      </c>
      <c r="W52">
        <v>8.3529990000000005</v>
      </c>
      <c r="X52">
        <v>8.2305089999999996</v>
      </c>
      <c r="Y52">
        <v>8.1148129999999998</v>
      </c>
      <c r="Z52">
        <v>7.9904970000000004</v>
      </c>
      <c r="AA52">
        <v>7.8860960000000002</v>
      </c>
      <c r="AB52">
        <v>7.7635959999999997</v>
      </c>
      <c r="AC52">
        <v>7.6458149999999998</v>
      </c>
      <c r="AD52">
        <v>7.5216849999999997</v>
      </c>
      <c r="AE52" s="12">
        <v>-8.0000000000000002E-3</v>
      </c>
    </row>
    <row r="53" spans="1:31">
      <c r="A53" t="s">
        <v>90</v>
      </c>
      <c r="B53" t="s">
        <v>1312</v>
      </c>
      <c r="C53" t="s">
        <v>1313</v>
      </c>
      <c r="D53" t="s">
        <v>118</v>
      </c>
      <c r="E53">
        <v>0</v>
      </c>
      <c r="F53">
        <v>0</v>
      </c>
      <c r="G53">
        <v>0</v>
      </c>
      <c r="H53">
        <v>0</v>
      </c>
      <c r="I53">
        <v>0</v>
      </c>
      <c r="J53">
        <v>0</v>
      </c>
      <c r="K53">
        <v>0</v>
      </c>
      <c r="L53">
        <v>0</v>
      </c>
      <c r="M53">
        <v>0</v>
      </c>
      <c r="N53">
        <v>0</v>
      </c>
      <c r="O53">
        <v>0</v>
      </c>
      <c r="P53">
        <v>0</v>
      </c>
      <c r="Q53">
        <v>0</v>
      </c>
      <c r="R53">
        <v>0</v>
      </c>
      <c r="S53">
        <v>0</v>
      </c>
      <c r="T53">
        <v>0</v>
      </c>
      <c r="U53">
        <v>0</v>
      </c>
      <c r="V53">
        <v>0</v>
      </c>
      <c r="W53">
        <v>0</v>
      </c>
      <c r="X53">
        <v>0</v>
      </c>
      <c r="Y53">
        <v>0</v>
      </c>
      <c r="Z53">
        <v>0</v>
      </c>
      <c r="AA53">
        <v>0</v>
      </c>
      <c r="AB53">
        <v>0</v>
      </c>
      <c r="AC53">
        <v>0</v>
      </c>
      <c r="AD53">
        <v>0</v>
      </c>
      <c r="AE53" t="s">
        <v>6</v>
      </c>
    </row>
    <row r="54" spans="1:31">
      <c r="A54" t="s">
        <v>91</v>
      </c>
      <c r="B54" t="s">
        <v>1314</v>
      </c>
      <c r="C54" t="s">
        <v>1315</v>
      </c>
      <c r="D54" t="s">
        <v>118</v>
      </c>
      <c r="E54">
        <v>44.571243000000003</v>
      </c>
      <c r="F54">
        <v>45.457206999999997</v>
      </c>
      <c r="G54">
        <v>46.087715000000003</v>
      </c>
      <c r="H54">
        <v>46.705069999999999</v>
      </c>
      <c r="I54">
        <v>47.168022000000001</v>
      </c>
      <c r="J54">
        <v>47.337077999999998</v>
      </c>
      <c r="K54">
        <v>47.303767999999998</v>
      </c>
      <c r="L54">
        <v>47.031170000000003</v>
      </c>
      <c r="M54">
        <v>46.827075999999998</v>
      </c>
      <c r="N54">
        <v>46.357940999999997</v>
      </c>
      <c r="O54">
        <v>45.876300999999998</v>
      </c>
      <c r="P54">
        <v>45.388336000000002</v>
      </c>
      <c r="Q54">
        <v>44.959086999999997</v>
      </c>
      <c r="R54">
        <v>44.510933000000001</v>
      </c>
      <c r="S54">
        <v>43.991855999999999</v>
      </c>
      <c r="T54">
        <v>43.517550999999997</v>
      </c>
      <c r="U54">
        <v>43.017463999999997</v>
      </c>
      <c r="V54">
        <v>42.513466000000001</v>
      </c>
      <c r="W54">
        <v>41.929993000000003</v>
      </c>
      <c r="X54">
        <v>41.373446999999999</v>
      </c>
      <c r="Y54">
        <v>40.843032999999998</v>
      </c>
      <c r="Z54">
        <v>40.269730000000003</v>
      </c>
      <c r="AA54">
        <v>39.775578000000003</v>
      </c>
      <c r="AB54">
        <v>39.197642999999999</v>
      </c>
      <c r="AC54">
        <v>38.635750000000002</v>
      </c>
      <c r="AD54">
        <v>38.046683999999999</v>
      </c>
      <c r="AE54" s="12">
        <v>-6.0000000000000001E-3</v>
      </c>
    </row>
    <row r="55" spans="1:31">
      <c r="A55" t="s">
        <v>92</v>
      </c>
      <c r="B55" t="s">
        <v>1316</v>
      </c>
      <c r="C55" t="s">
        <v>1317</v>
      </c>
      <c r="D55" t="s">
        <v>118</v>
      </c>
      <c r="E55">
        <v>23.859452999999998</v>
      </c>
      <c r="F55">
        <v>23.959641000000001</v>
      </c>
      <c r="G55">
        <v>23.987636999999999</v>
      </c>
      <c r="H55">
        <v>24.13063</v>
      </c>
      <c r="I55">
        <v>24.209800999999999</v>
      </c>
      <c r="J55">
        <v>24.16835</v>
      </c>
      <c r="K55">
        <v>24.080936000000001</v>
      </c>
      <c r="L55">
        <v>23.875122000000001</v>
      </c>
      <c r="M55">
        <v>23.736038000000001</v>
      </c>
      <c r="N55">
        <v>23.412223999999998</v>
      </c>
      <c r="O55">
        <v>23.087834999999998</v>
      </c>
      <c r="P55">
        <v>22.791245</v>
      </c>
      <c r="Q55">
        <v>22.530183999999998</v>
      </c>
      <c r="R55">
        <v>22.257190999999999</v>
      </c>
      <c r="S55">
        <v>21.945506999999999</v>
      </c>
      <c r="T55">
        <v>21.676106999999998</v>
      </c>
      <c r="U55">
        <v>21.388542000000001</v>
      </c>
      <c r="V55">
        <v>21.101461</v>
      </c>
      <c r="W55">
        <v>20.762526999999999</v>
      </c>
      <c r="X55">
        <v>20.442352</v>
      </c>
      <c r="Y55">
        <v>20.143089</v>
      </c>
      <c r="Z55">
        <v>19.822548000000001</v>
      </c>
      <c r="AA55">
        <v>19.565823000000002</v>
      </c>
      <c r="AB55">
        <v>19.259025999999999</v>
      </c>
      <c r="AC55">
        <v>18.969287999999999</v>
      </c>
      <c r="AD55">
        <v>18.660170000000001</v>
      </c>
      <c r="AE55" s="12">
        <v>-0.01</v>
      </c>
    </row>
    <row r="56" spans="1:31">
      <c r="A56" t="s">
        <v>93</v>
      </c>
      <c r="B56" t="s">
        <v>1318</v>
      </c>
      <c r="C56" t="s">
        <v>1319</v>
      </c>
      <c r="D56" t="s">
        <v>118</v>
      </c>
      <c r="E56">
        <v>0.90664500000000003</v>
      </c>
      <c r="F56">
        <v>0.92324499999999998</v>
      </c>
      <c r="G56">
        <v>0.93594100000000002</v>
      </c>
      <c r="H56">
        <v>0.95208999999999999</v>
      </c>
      <c r="I56">
        <v>0.96604000000000001</v>
      </c>
      <c r="J56">
        <v>0.97517500000000001</v>
      </c>
      <c r="K56">
        <v>0.976213</v>
      </c>
      <c r="L56">
        <v>0.96989899999999996</v>
      </c>
      <c r="M56">
        <v>0.967727</v>
      </c>
      <c r="N56">
        <v>0.95753600000000005</v>
      </c>
      <c r="O56">
        <v>0.94844200000000001</v>
      </c>
      <c r="P56">
        <v>0.94001500000000004</v>
      </c>
      <c r="Q56">
        <v>0.93315000000000003</v>
      </c>
      <c r="R56">
        <v>0.92574699999999999</v>
      </c>
      <c r="S56">
        <v>0.91644400000000004</v>
      </c>
      <c r="T56">
        <v>0.90749899999999994</v>
      </c>
      <c r="U56">
        <v>0.89857500000000001</v>
      </c>
      <c r="V56">
        <v>0.88986699999999996</v>
      </c>
      <c r="W56">
        <v>0.87882899999999997</v>
      </c>
      <c r="X56">
        <v>0.86857799999999996</v>
      </c>
      <c r="Y56">
        <v>0.859263</v>
      </c>
      <c r="Z56">
        <v>0.84875800000000001</v>
      </c>
      <c r="AA56">
        <v>0.84112600000000004</v>
      </c>
      <c r="AB56">
        <v>0.83104599999999995</v>
      </c>
      <c r="AC56">
        <v>0.82163600000000003</v>
      </c>
      <c r="AD56">
        <v>0.81118599999999996</v>
      </c>
      <c r="AE56" s="12">
        <v>-4.0000000000000001E-3</v>
      </c>
    </row>
    <row r="57" spans="1:31">
      <c r="A57" t="s">
        <v>94</v>
      </c>
      <c r="B57" t="s">
        <v>1320</v>
      </c>
      <c r="C57" t="s">
        <v>1321</v>
      </c>
      <c r="D57" t="s">
        <v>118</v>
      </c>
      <c r="E57">
        <v>2.8225699999999998</v>
      </c>
      <c r="F57">
        <v>3.1013480000000002</v>
      </c>
      <c r="G57">
        <v>3.3737210000000002</v>
      </c>
      <c r="H57">
        <v>3.6659920000000001</v>
      </c>
      <c r="I57">
        <v>3.9533369999999999</v>
      </c>
      <c r="J57">
        <v>4.2216319999999996</v>
      </c>
      <c r="K57">
        <v>4.4819620000000002</v>
      </c>
      <c r="L57">
        <v>4.7150020000000001</v>
      </c>
      <c r="M57">
        <v>4.9586880000000004</v>
      </c>
      <c r="N57">
        <v>5.1598490000000004</v>
      </c>
      <c r="O57">
        <v>5.3553499999999996</v>
      </c>
      <c r="P57">
        <v>5.5500959999999999</v>
      </c>
      <c r="Q57">
        <v>5.7486379999999997</v>
      </c>
      <c r="R57">
        <v>5.9391679999999996</v>
      </c>
      <c r="S57">
        <v>6.1133150000000001</v>
      </c>
      <c r="T57">
        <v>6.2880859999999998</v>
      </c>
      <c r="U57">
        <v>6.4555309999999997</v>
      </c>
      <c r="V57">
        <v>6.617197</v>
      </c>
      <c r="W57">
        <v>6.7569819999999998</v>
      </c>
      <c r="X57">
        <v>6.8958529999999998</v>
      </c>
      <c r="Y57">
        <v>7.0349389999999996</v>
      </c>
      <c r="Z57">
        <v>7.1601650000000001</v>
      </c>
      <c r="AA57">
        <v>7.3006659999999997</v>
      </c>
      <c r="AB57">
        <v>7.4171180000000003</v>
      </c>
      <c r="AC57">
        <v>7.533004</v>
      </c>
      <c r="AD57">
        <v>7.6349939999999998</v>
      </c>
      <c r="AE57" s="12">
        <v>4.1000000000000002E-2</v>
      </c>
    </row>
    <row r="58" spans="1:31">
      <c r="A58" t="s">
        <v>95</v>
      </c>
      <c r="B58" t="s">
        <v>1322</v>
      </c>
      <c r="C58" t="s">
        <v>1323</v>
      </c>
      <c r="D58" t="s">
        <v>118</v>
      </c>
      <c r="E58">
        <v>3.3361000000000002E-2</v>
      </c>
      <c r="F58">
        <v>3.3224999999999998E-2</v>
      </c>
      <c r="G58">
        <v>3.3010999999999999E-2</v>
      </c>
      <c r="H58">
        <v>3.3037999999999998E-2</v>
      </c>
      <c r="I58">
        <v>3.2972000000000001E-2</v>
      </c>
      <c r="J58">
        <v>3.2749E-2</v>
      </c>
      <c r="K58">
        <v>3.2555000000000001E-2</v>
      </c>
      <c r="L58">
        <v>3.2106000000000003E-2</v>
      </c>
      <c r="M58">
        <v>3.1781999999999998E-2</v>
      </c>
      <c r="N58">
        <v>3.1158999999999999E-2</v>
      </c>
      <c r="O58">
        <v>3.0550000000000001E-2</v>
      </c>
      <c r="P58">
        <v>3.0016999999999999E-2</v>
      </c>
      <c r="Q58">
        <v>2.9547E-2</v>
      </c>
      <c r="R58">
        <v>2.9061E-2</v>
      </c>
      <c r="S58">
        <v>2.8518000000000002E-2</v>
      </c>
      <c r="T58">
        <v>2.7993000000000001E-2</v>
      </c>
      <c r="U58">
        <v>2.7484999999999999E-2</v>
      </c>
      <c r="V58">
        <v>2.6980000000000001E-2</v>
      </c>
      <c r="W58">
        <v>2.6401000000000001E-2</v>
      </c>
      <c r="X58">
        <v>2.5853000000000001E-2</v>
      </c>
      <c r="Y58">
        <v>2.5342E-2</v>
      </c>
      <c r="Z58">
        <v>2.4808E-2</v>
      </c>
      <c r="AA58">
        <v>2.4381E-2</v>
      </c>
      <c r="AB58">
        <v>2.3885E-2</v>
      </c>
      <c r="AC58">
        <v>2.3421999999999998E-2</v>
      </c>
      <c r="AD58">
        <v>2.2928E-2</v>
      </c>
      <c r="AE58" s="12">
        <v>-1.4999999999999999E-2</v>
      </c>
    </row>
    <row r="59" spans="1:31">
      <c r="A59" t="s">
        <v>109</v>
      </c>
      <c r="B59" t="s">
        <v>1324</v>
      </c>
      <c r="C59" t="s">
        <v>1325</v>
      </c>
      <c r="D59" t="s">
        <v>118</v>
      </c>
      <c r="E59">
        <v>26.040634000000001</v>
      </c>
      <c r="F59">
        <v>27.011510999999999</v>
      </c>
      <c r="G59">
        <v>27.698944000000001</v>
      </c>
      <c r="H59">
        <v>28.168467</v>
      </c>
      <c r="I59">
        <v>28.586566999999999</v>
      </c>
      <c r="J59">
        <v>28.964494999999999</v>
      </c>
      <c r="K59">
        <v>29.274439000000001</v>
      </c>
      <c r="L59">
        <v>29.569977000000002</v>
      </c>
      <c r="M59">
        <v>29.839376000000001</v>
      </c>
      <c r="N59">
        <v>30.092175999999998</v>
      </c>
      <c r="O59">
        <v>30.336538000000001</v>
      </c>
      <c r="P59">
        <v>30.500340000000001</v>
      </c>
      <c r="Q59">
        <v>30.643298999999999</v>
      </c>
      <c r="R59">
        <v>30.772943000000001</v>
      </c>
      <c r="S59">
        <v>30.879784000000001</v>
      </c>
      <c r="T59">
        <v>30.975930999999999</v>
      </c>
      <c r="U59">
        <v>31.056975999999999</v>
      </c>
      <c r="V59">
        <v>31.137131</v>
      </c>
      <c r="W59">
        <v>31.216282</v>
      </c>
      <c r="X59">
        <v>31.290329</v>
      </c>
      <c r="Y59">
        <v>31.358764999999998</v>
      </c>
      <c r="Z59">
        <v>31.414042999999999</v>
      </c>
      <c r="AA59">
        <v>31.453645999999999</v>
      </c>
      <c r="AB59">
        <v>31.486733999999998</v>
      </c>
      <c r="AC59">
        <v>31.509875999999998</v>
      </c>
      <c r="AD59">
        <v>31.535050999999999</v>
      </c>
      <c r="AE59" s="12">
        <v>8.0000000000000002E-3</v>
      </c>
    </row>
    <row r="60" spans="1:31">
      <c r="A60" t="s">
        <v>98</v>
      </c>
      <c r="B60" t="s">
        <v>1326</v>
      </c>
      <c r="C60" t="s">
        <v>1327</v>
      </c>
      <c r="D60" t="s">
        <v>118</v>
      </c>
      <c r="E60">
        <v>0</v>
      </c>
      <c r="F60">
        <v>0</v>
      </c>
      <c r="G60">
        <v>0</v>
      </c>
      <c r="H60">
        <v>0</v>
      </c>
      <c r="I60">
        <v>0</v>
      </c>
      <c r="J60">
        <v>0</v>
      </c>
      <c r="K60">
        <v>0</v>
      </c>
      <c r="L60">
        <v>0</v>
      </c>
      <c r="M60">
        <v>0</v>
      </c>
      <c r="N60">
        <v>0</v>
      </c>
      <c r="O60">
        <v>0</v>
      </c>
      <c r="P60">
        <v>0</v>
      </c>
      <c r="Q60">
        <v>0</v>
      </c>
      <c r="R60">
        <v>0</v>
      </c>
      <c r="S60">
        <v>0</v>
      </c>
      <c r="T60">
        <v>0</v>
      </c>
      <c r="U60">
        <v>0</v>
      </c>
      <c r="V60">
        <v>0</v>
      </c>
      <c r="W60">
        <v>0</v>
      </c>
      <c r="X60">
        <v>0</v>
      </c>
      <c r="Y60">
        <v>0</v>
      </c>
      <c r="Z60">
        <v>0</v>
      </c>
      <c r="AA60">
        <v>0</v>
      </c>
      <c r="AB60">
        <v>0</v>
      </c>
      <c r="AC60">
        <v>0</v>
      </c>
      <c r="AD60">
        <v>0</v>
      </c>
      <c r="AE60" t="s">
        <v>6</v>
      </c>
    </row>
    <row r="61" spans="1:31">
      <c r="A61" t="s">
        <v>90</v>
      </c>
      <c r="B61" t="s">
        <v>1328</v>
      </c>
      <c r="C61" t="s">
        <v>1329</v>
      </c>
      <c r="D61" t="s">
        <v>118</v>
      </c>
      <c r="E61">
        <v>0</v>
      </c>
      <c r="F61">
        <v>0</v>
      </c>
      <c r="G61">
        <v>0</v>
      </c>
      <c r="H61">
        <v>0</v>
      </c>
      <c r="I61">
        <v>0</v>
      </c>
      <c r="J61">
        <v>0</v>
      </c>
      <c r="K61">
        <v>0</v>
      </c>
      <c r="L61">
        <v>0</v>
      </c>
      <c r="M61">
        <v>0</v>
      </c>
      <c r="N61">
        <v>0</v>
      </c>
      <c r="O61">
        <v>0</v>
      </c>
      <c r="P61">
        <v>0</v>
      </c>
      <c r="Q61">
        <v>0</v>
      </c>
      <c r="R61">
        <v>0</v>
      </c>
      <c r="S61">
        <v>0</v>
      </c>
      <c r="T61">
        <v>0</v>
      </c>
      <c r="U61">
        <v>0</v>
      </c>
      <c r="V61">
        <v>0</v>
      </c>
      <c r="W61">
        <v>0</v>
      </c>
      <c r="X61">
        <v>0</v>
      </c>
      <c r="Y61">
        <v>0</v>
      </c>
      <c r="Z61">
        <v>0</v>
      </c>
      <c r="AA61">
        <v>0</v>
      </c>
      <c r="AB61">
        <v>0</v>
      </c>
      <c r="AC61">
        <v>0</v>
      </c>
      <c r="AD61">
        <v>0</v>
      </c>
      <c r="AE61" t="s">
        <v>6</v>
      </c>
    </row>
    <row r="62" spans="1:31">
      <c r="A62" t="s">
        <v>91</v>
      </c>
      <c r="B62" t="s">
        <v>1330</v>
      </c>
      <c r="C62" t="s">
        <v>1331</v>
      </c>
      <c r="D62" t="s">
        <v>118</v>
      </c>
      <c r="E62">
        <v>26.040634000000001</v>
      </c>
      <c r="F62">
        <v>27.011510999999999</v>
      </c>
      <c r="G62">
        <v>27.698944000000001</v>
      </c>
      <c r="H62">
        <v>28.168467</v>
      </c>
      <c r="I62">
        <v>28.586566999999999</v>
      </c>
      <c r="J62">
        <v>28.964494999999999</v>
      </c>
      <c r="K62">
        <v>29.274439000000001</v>
      </c>
      <c r="L62">
        <v>29.569977000000002</v>
      </c>
      <c r="M62">
        <v>29.839376000000001</v>
      </c>
      <c r="N62">
        <v>30.092175999999998</v>
      </c>
      <c r="O62">
        <v>30.336538000000001</v>
      </c>
      <c r="P62">
        <v>30.500340000000001</v>
      </c>
      <c r="Q62">
        <v>30.643298999999999</v>
      </c>
      <c r="R62">
        <v>30.772943000000001</v>
      </c>
      <c r="S62">
        <v>30.879784000000001</v>
      </c>
      <c r="T62">
        <v>30.975930999999999</v>
      </c>
      <c r="U62">
        <v>31.056975999999999</v>
      </c>
      <c r="V62">
        <v>31.137131</v>
      </c>
      <c r="W62">
        <v>31.216282</v>
      </c>
      <c r="X62">
        <v>31.290329</v>
      </c>
      <c r="Y62">
        <v>31.358764999999998</v>
      </c>
      <c r="Z62">
        <v>31.414042999999999</v>
      </c>
      <c r="AA62">
        <v>31.453645999999999</v>
      </c>
      <c r="AB62">
        <v>31.486733999999998</v>
      </c>
      <c r="AC62">
        <v>31.509875999999998</v>
      </c>
      <c r="AD62">
        <v>31.535050999999999</v>
      </c>
      <c r="AE62" s="12">
        <v>8.0000000000000002E-3</v>
      </c>
    </row>
    <row r="63" spans="1:31">
      <c r="A63" t="s">
        <v>92</v>
      </c>
      <c r="B63" t="s">
        <v>1332</v>
      </c>
      <c r="C63" t="s">
        <v>1333</v>
      </c>
      <c r="D63" t="s">
        <v>118</v>
      </c>
      <c r="E63">
        <v>0</v>
      </c>
      <c r="F63">
        <v>0</v>
      </c>
      <c r="G63">
        <v>0</v>
      </c>
      <c r="H63">
        <v>0</v>
      </c>
      <c r="I63">
        <v>0</v>
      </c>
      <c r="J63">
        <v>0</v>
      </c>
      <c r="K63">
        <v>0</v>
      </c>
      <c r="L63">
        <v>0</v>
      </c>
      <c r="M63">
        <v>0</v>
      </c>
      <c r="N63">
        <v>0</v>
      </c>
      <c r="O63">
        <v>0</v>
      </c>
      <c r="P63">
        <v>0</v>
      </c>
      <c r="Q63">
        <v>0</v>
      </c>
      <c r="R63">
        <v>0</v>
      </c>
      <c r="S63">
        <v>0</v>
      </c>
      <c r="T63">
        <v>0</v>
      </c>
      <c r="U63">
        <v>0</v>
      </c>
      <c r="V63">
        <v>0</v>
      </c>
      <c r="W63">
        <v>0</v>
      </c>
      <c r="X63">
        <v>0</v>
      </c>
      <c r="Y63">
        <v>0</v>
      </c>
      <c r="Z63">
        <v>0</v>
      </c>
      <c r="AA63">
        <v>0</v>
      </c>
      <c r="AB63">
        <v>0</v>
      </c>
      <c r="AC63">
        <v>0</v>
      </c>
      <c r="AD63">
        <v>0</v>
      </c>
      <c r="AE63" t="s">
        <v>6</v>
      </c>
    </row>
    <row r="64" spans="1:31">
      <c r="A64" t="s">
        <v>93</v>
      </c>
      <c r="B64" t="s">
        <v>1334</v>
      </c>
      <c r="C64" t="s">
        <v>1335</v>
      </c>
      <c r="D64" t="s">
        <v>118</v>
      </c>
      <c r="E64">
        <v>0</v>
      </c>
      <c r="F64">
        <v>0</v>
      </c>
      <c r="G64">
        <v>0</v>
      </c>
      <c r="H64">
        <v>0</v>
      </c>
      <c r="I64">
        <v>0</v>
      </c>
      <c r="J64">
        <v>0</v>
      </c>
      <c r="K64">
        <v>0</v>
      </c>
      <c r="L64">
        <v>0</v>
      </c>
      <c r="M64">
        <v>0</v>
      </c>
      <c r="N64">
        <v>0</v>
      </c>
      <c r="O64">
        <v>0</v>
      </c>
      <c r="P64">
        <v>0</v>
      </c>
      <c r="Q64">
        <v>0</v>
      </c>
      <c r="R64">
        <v>0</v>
      </c>
      <c r="S64">
        <v>0</v>
      </c>
      <c r="T64">
        <v>0</v>
      </c>
      <c r="U64">
        <v>0</v>
      </c>
      <c r="V64">
        <v>0</v>
      </c>
      <c r="W64">
        <v>0</v>
      </c>
      <c r="X64">
        <v>0</v>
      </c>
      <c r="Y64">
        <v>0</v>
      </c>
      <c r="Z64">
        <v>0</v>
      </c>
      <c r="AA64">
        <v>0</v>
      </c>
      <c r="AB64">
        <v>0</v>
      </c>
      <c r="AC64">
        <v>0</v>
      </c>
      <c r="AD64">
        <v>0</v>
      </c>
      <c r="AE64" t="s">
        <v>6</v>
      </c>
    </row>
    <row r="65" spans="1:31">
      <c r="A65" t="s">
        <v>94</v>
      </c>
      <c r="B65" t="s">
        <v>1336</v>
      </c>
      <c r="C65" t="s">
        <v>1337</v>
      </c>
      <c r="D65" t="s">
        <v>118</v>
      </c>
      <c r="E65">
        <v>0</v>
      </c>
      <c r="F65">
        <v>0</v>
      </c>
      <c r="G65">
        <v>0</v>
      </c>
      <c r="H65">
        <v>0</v>
      </c>
      <c r="I65">
        <v>0</v>
      </c>
      <c r="J65">
        <v>0</v>
      </c>
      <c r="K65">
        <v>0</v>
      </c>
      <c r="L65">
        <v>0</v>
      </c>
      <c r="M65">
        <v>0</v>
      </c>
      <c r="N65">
        <v>0</v>
      </c>
      <c r="O65">
        <v>0</v>
      </c>
      <c r="P65">
        <v>0</v>
      </c>
      <c r="Q65">
        <v>0</v>
      </c>
      <c r="R65">
        <v>0</v>
      </c>
      <c r="S65">
        <v>0</v>
      </c>
      <c r="T65">
        <v>0</v>
      </c>
      <c r="U65">
        <v>0</v>
      </c>
      <c r="V65">
        <v>0</v>
      </c>
      <c r="W65">
        <v>0</v>
      </c>
      <c r="X65">
        <v>0</v>
      </c>
      <c r="Y65">
        <v>0</v>
      </c>
      <c r="Z65">
        <v>0</v>
      </c>
      <c r="AA65">
        <v>0</v>
      </c>
      <c r="AB65">
        <v>0</v>
      </c>
      <c r="AC65">
        <v>0</v>
      </c>
      <c r="AD65">
        <v>0</v>
      </c>
      <c r="AE65" t="s">
        <v>6</v>
      </c>
    </row>
    <row r="66" spans="1:31">
      <c r="A66" t="s">
        <v>95</v>
      </c>
      <c r="B66" t="s">
        <v>1338</v>
      </c>
      <c r="C66" t="s">
        <v>1339</v>
      </c>
      <c r="D66" t="s">
        <v>118</v>
      </c>
      <c r="E66">
        <v>0</v>
      </c>
      <c r="F66">
        <v>0</v>
      </c>
      <c r="G66">
        <v>0</v>
      </c>
      <c r="H66">
        <v>0</v>
      </c>
      <c r="I66">
        <v>0</v>
      </c>
      <c r="J66">
        <v>0</v>
      </c>
      <c r="K66">
        <v>0</v>
      </c>
      <c r="L66">
        <v>0</v>
      </c>
      <c r="M66">
        <v>0</v>
      </c>
      <c r="N66">
        <v>0</v>
      </c>
      <c r="O66">
        <v>0</v>
      </c>
      <c r="P66">
        <v>0</v>
      </c>
      <c r="Q66">
        <v>0</v>
      </c>
      <c r="R66">
        <v>0</v>
      </c>
      <c r="S66">
        <v>0</v>
      </c>
      <c r="T66">
        <v>0</v>
      </c>
      <c r="U66">
        <v>0</v>
      </c>
      <c r="V66">
        <v>0</v>
      </c>
      <c r="W66">
        <v>0</v>
      </c>
      <c r="X66">
        <v>0</v>
      </c>
      <c r="Y66">
        <v>0</v>
      </c>
      <c r="Z66">
        <v>0</v>
      </c>
      <c r="AA66">
        <v>0</v>
      </c>
      <c r="AB66">
        <v>0</v>
      </c>
      <c r="AC66">
        <v>0</v>
      </c>
      <c r="AD66">
        <v>0</v>
      </c>
      <c r="AE66" t="s">
        <v>6</v>
      </c>
    </row>
    <row r="67" spans="1:31">
      <c r="A67" t="s">
        <v>110</v>
      </c>
      <c r="B67" t="s">
        <v>1340</v>
      </c>
      <c r="C67" t="s">
        <v>1341</v>
      </c>
      <c r="D67" t="s">
        <v>118</v>
      </c>
      <c r="E67">
        <v>103.825829</v>
      </c>
      <c r="F67">
        <v>102.76284800000001</v>
      </c>
      <c r="G67">
        <v>101.577988</v>
      </c>
      <c r="H67">
        <v>100.391212</v>
      </c>
      <c r="I67">
        <v>99.208411999999996</v>
      </c>
      <c r="J67">
        <v>97.995063999999999</v>
      </c>
      <c r="K67">
        <v>96.790137999999999</v>
      </c>
      <c r="L67">
        <v>95.677184999999994</v>
      </c>
      <c r="M67">
        <v>94.704666000000003</v>
      </c>
      <c r="N67">
        <v>93.857346000000007</v>
      </c>
      <c r="O67">
        <v>93.105605999999995</v>
      </c>
      <c r="P67">
        <v>92.483238</v>
      </c>
      <c r="Q67">
        <v>91.921538999999996</v>
      </c>
      <c r="R67">
        <v>91.306961000000001</v>
      </c>
      <c r="S67">
        <v>90.810012999999998</v>
      </c>
      <c r="T67">
        <v>90.324584999999999</v>
      </c>
      <c r="U67">
        <v>89.730491999999998</v>
      </c>
      <c r="V67">
        <v>89.124268000000001</v>
      </c>
      <c r="W67">
        <v>88.489891</v>
      </c>
      <c r="X67">
        <v>87.827110000000005</v>
      </c>
      <c r="Y67">
        <v>87.140533000000005</v>
      </c>
      <c r="Z67">
        <v>86.442177000000001</v>
      </c>
      <c r="AA67">
        <v>85.730727999999999</v>
      </c>
      <c r="AB67">
        <v>85.007346999999996</v>
      </c>
      <c r="AC67">
        <v>84.273009999999999</v>
      </c>
      <c r="AD67">
        <v>83.526427999999996</v>
      </c>
      <c r="AE67" s="12">
        <v>-8.9999999999999993E-3</v>
      </c>
    </row>
    <row r="68" spans="1:31">
      <c r="A68" t="s">
        <v>98</v>
      </c>
      <c r="B68" t="s">
        <v>1342</v>
      </c>
      <c r="C68" t="s">
        <v>1343</v>
      </c>
      <c r="D68" t="s">
        <v>118</v>
      </c>
      <c r="E68">
        <v>9.5790249999999997</v>
      </c>
      <c r="F68">
        <v>9.4547369999999997</v>
      </c>
      <c r="G68">
        <v>9.3200299999999991</v>
      </c>
      <c r="H68">
        <v>9.185435</v>
      </c>
      <c r="I68">
        <v>9.0516439999999996</v>
      </c>
      <c r="J68">
        <v>8.9155339999999992</v>
      </c>
      <c r="K68">
        <v>8.7808109999999999</v>
      </c>
      <c r="L68">
        <v>8.6548239999999996</v>
      </c>
      <c r="M68">
        <v>8.5418889999999994</v>
      </c>
      <c r="N68">
        <v>8.4406199999999991</v>
      </c>
      <c r="O68">
        <v>8.3482109999999992</v>
      </c>
      <c r="P68">
        <v>8.2675540000000005</v>
      </c>
      <c r="Q68">
        <v>8.1924279999999996</v>
      </c>
      <c r="R68">
        <v>8.1127359999999999</v>
      </c>
      <c r="S68">
        <v>8.0435909999999993</v>
      </c>
      <c r="T68">
        <v>7.9755630000000002</v>
      </c>
      <c r="U68">
        <v>7.8980410000000001</v>
      </c>
      <c r="V68">
        <v>7.8195509999999997</v>
      </c>
      <c r="W68">
        <v>7.7387069999999998</v>
      </c>
      <c r="X68">
        <v>7.6555059999999999</v>
      </c>
      <c r="Y68">
        <v>7.5703680000000002</v>
      </c>
      <c r="Z68">
        <v>7.484343</v>
      </c>
      <c r="AA68">
        <v>7.3973940000000002</v>
      </c>
      <c r="AB68">
        <v>7.3095629999999998</v>
      </c>
      <c r="AC68">
        <v>7.2210229999999997</v>
      </c>
      <c r="AD68">
        <v>7.1316170000000003</v>
      </c>
      <c r="AE68" s="12">
        <v>-1.2E-2</v>
      </c>
    </row>
    <row r="69" spans="1:31">
      <c r="A69" t="s">
        <v>90</v>
      </c>
      <c r="B69" t="s">
        <v>1344</v>
      </c>
      <c r="C69" t="s">
        <v>1345</v>
      </c>
      <c r="D69" t="s">
        <v>118</v>
      </c>
      <c r="E69">
        <v>0</v>
      </c>
      <c r="F69">
        <v>0</v>
      </c>
      <c r="G69">
        <v>0</v>
      </c>
      <c r="H69">
        <v>0</v>
      </c>
      <c r="I69">
        <v>0</v>
      </c>
      <c r="J69">
        <v>0</v>
      </c>
      <c r="K69">
        <v>0</v>
      </c>
      <c r="L69">
        <v>0</v>
      </c>
      <c r="M69">
        <v>0</v>
      </c>
      <c r="N69">
        <v>0</v>
      </c>
      <c r="O69">
        <v>0</v>
      </c>
      <c r="P69">
        <v>0</v>
      </c>
      <c r="Q69">
        <v>0</v>
      </c>
      <c r="R69">
        <v>0</v>
      </c>
      <c r="S69">
        <v>0</v>
      </c>
      <c r="T69">
        <v>0</v>
      </c>
      <c r="U69">
        <v>0</v>
      </c>
      <c r="V69">
        <v>0</v>
      </c>
      <c r="W69">
        <v>0</v>
      </c>
      <c r="X69">
        <v>0</v>
      </c>
      <c r="Y69">
        <v>0</v>
      </c>
      <c r="Z69">
        <v>0</v>
      </c>
      <c r="AA69">
        <v>0</v>
      </c>
      <c r="AB69">
        <v>0</v>
      </c>
      <c r="AC69">
        <v>0</v>
      </c>
      <c r="AD69">
        <v>0</v>
      </c>
      <c r="AE69" t="s">
        <v>6</v>
      </c>
    </row>
    <row r="70" spans="1:31">
      <c r="A70" t="s">
        <v>91</v>
      </c>
      <c r="B70" t="s">
        <v>1346</v>
      </c>
      <c r="C70" t="s">
        <v>1347</v>
      </c>
      <c r="D70" t="s">
        <v>118</v>
      </c>
      <c r="E70">
        <v>84.574225999999996</v>
      </c>
      <c r="F70">
        <v>83.476875000000007</v>
      </c>
      <c r="G70">
        <v>82.287537</v>
      </c>
      <c r="H70">
        <v>81.099181999999999</v>
      </c>
      <c r="I70">
        <v>79.917930999999996</v>
      </c>
      <c r="J70">
        <v>78.716194000000002</v>
      </c>
      <c r="K70">
        <v>77.526702999999998</v>
      </c>
      <c r="L70">
        <v>76.414344999999997</v>
      </c>
      <c r="M70">
        <v>75.417252000000005</v>
      </c>
      <c r="N70">
        <v>74.523139999999998</v>
      </c>
      <c r="O70">
        <v>73.707237000000006</v>
      </c>
      <c r="P70">
        <v>72.995116999999993</v>
      </c>
      <c r="Q70">
        <v>72.331810000000004</v>
      </c>
      <c r="R70">
        <v>71.628197</v>
      </c>
      <c r="S70">
        <v>71.017707999999999</v>
      </c>
      <c r="T70">
        <v>70.417075999999994</v>
      </c>
      <c r="U70">
        <v>69.732642999999996</v>
      </c>
      <c r="V70">
        <v>69.039658000000003</v>
      </c>
      <c r="W70">
        <v>68.325851</v>
      </c>
      <c r="X70">
        <v>67.591278000000003</v>
      </c>
      <c r="Y70">
        <v>66.839584000000002</v>
      </c>
      <c r="Z70">
        <v>66.080062999999996</v>
      </c>
      <c r="AA70">
        <v>65.312377999999995</v>
      </c>
      <c r="AB70">
        <v>64.536911000000003</v>
      </c>
      <c r="AC70">
        <v>63.755177000000003</v>
      </c>
      <c r="AD70">
        <v>62.965805000000003</v>
      </c>
      <c r="AE70" s="12">
        <v>-1.2E-2</v>
      </c>
    </row>
    <row r="71" spans="1:31">
      <c r="A71" t="s">
        <v>92</v>
      </c>
      <c r="B71" t="s">
        <v>1348</v>
      </c>
      <c r="C71" t="s">
        <v>1349</v>
      </c>
      <c r="D71" t="s">
        <v>118</v>
      </c>
      <c r="E71">
        <v>1.0519430000000001</v>
      </c>
      <c r="F71">
        <v>1.0549040000000001</v>
      </c>
      <c r="G71">
        <v>1.0522469999999999</v>
      </c>
      <c r="H71">
        <v>1.05098</v>
      </c>
      <c r="I71">
        <v>1.04956</v>
      </c>
      <c r="J71">
        <v>1.047464</v>
      </c>
      <c r="K71">
        <v>1.0435760000000001</v>
      </c>
      <c r="L71">
        <v>1.040997</v>
      </c>
      <c r="M71">
        <v>1.0401229999999999</v>
      </c>
      <c r="N71">
        <v>1.0398970000000001</v>
      </c>
      <c r="O71">
        <v>1.040594</v>
      </c>
      <c r="P71">
        <v>1.0431630000000001</v>
      </c>
      <c r="Q71">
        <v>1.046859</v>
      </c>
      <c r="R71">
        <v>1.049941</v>
      </c>
      <c r="S71">
        <v>1.0547470000000001</v>
      </c>
      <c r="T71">
        <v>1.0596989999999999</v>
      </c>
      <c r="U71">
        <v>1.063609</v>
      </c>
      <c r="V71">
        <v>1.0680000000000001</v>
      </c>
      <c r="W71">
        <v>1.07267</v>
      </c>
      <c r="X71">
        <v>1.07761</v>
      </c>
      <c r="Y71">
        <v>1.082981</v>
      </c>
      <c r="Z71">
        <v>1.0890439999999999</v>
      </c>
      <c r="AA71">
        <v>1.0951280000000001</v>
      </c>
      <c r="AB71">
        <v>1.1019639999999999</v>
      </c>
      <c r="AC71">
        <v>1.108781</v>
      </c>
      <c r="AD71">
        <v>1.116163</v>
      </c>
      <c r="AE71" s="12">
        <v>2E-3</v>
      </c>
    </row>
    <row r="72" spans="1:31">
      <c r="A72" t="s">
        <v>93</v>
      </c>
      <c r="B72" t="s">
        <v>1350</v>
      </c>
      <c r="C72" t="s">
        <v>1351</v>
      </c>
      <c r="D72" t="s">
        <v>118</v>
      </c>
      <c r="E72">
        <v>7.9201329999999999</v>
      </c>
      <c r="F72">
        <v>7.8173690000000002</v>
      </c>
      <c r="G72">
        <v>7.7059899999999999</v>
      </c>
      <c r="H72">
        <v>7.5947050000000003</v>
      </c>
      <c r="I72">
        <v>7.4840850000000003</v>
      </c>
      <c r="J72">
        <v>7.3715460000000004</v>
      </c>
      <c r="K72">
        <v>7.260154</v>
      </c>
      <c r="L72">
        <v>7.1559860000000004</v>
      </c>
      <c r="M72">
        <v>7.062608</v>
      </c>
      <c r="N72">
        <v>6.9788769999999998</v>
      </c>
      <c r="O72">
        <v>6.9024720000000004</v>
      </c>
      <c r="P72">
        <v>6.8357830000000002</v>
      </c>
      <c r="Q72">
        <v>6.7736669999999997</v>
      </c>
      <c r="R72">
        <v>6.7077749999999998</v>
      </c>
      <c r="S72">
        <v>6.6506040000000004</v>
      </c>
      <c r="T72">
        <v>6.5943579999999997</v>
      </c>
      <c r="U72">
        <v>6.5302619999999996</v>
      </c>
      <c r="V72">
        <v>6.4653650000000003</v>
      </c>
      <c r="W72">
        <v>6.3985209999999997</v>
      </c>
      <c r="X72">
        <v>6.3297290000000004</v>
      </c>
      <c r="Y72">
        <v>6.2593350000000001</v>
      </c>
      <c r="Z72">
        <v>6.1882080000000004</v>
      </c>
      <c r="AA72">
        <v>6.1163160000000003</v>
      </c>
      <c r="AB72">
        <v>6.0436959999999997</v>
      </c>
      <c r="AC72">
        <v>5.9704899999999999</v>
      </c>
      <c r="AD72">
        <v>5.8965670000000001</v>
      </c>
      <c r="AE72" s="12">
        <v>-1.2E-2</v>
      </c>
    </row>
    <row r="73" spans="1:31">
      <c r="A73" t="s">
        <v>94</v>
      </c>
      <c r="B73" t="s">
        <v>1352</v>
      </c>
      <c r="C73" t="s">
        <v>1353</v>
      </c>
      <c r="D73" t="s">
        <v>118</v>
      </c>
      <c r="E73">
        <v>0.70049899999999998</v>
      </c>
      <c r="F73">
        <v>0.95896300000000001</v>
      </c>
      <c r="G73">
        <v>1.2121820000000001</v>
      </c>
      <c r="H73">
        <v>1.4609110000000001</v>
      </c>
      <c r="I73">
        <v>1.705192</v>
      </c>
      <c r="J73">
        <v>1.944326</v>
      </c>
      <c r="K73">
        <v>2.1788979999999998</v>
      </c>
      <c r="L73">
        <v>2.4110390000000002</v>
      </c>
      <c r="M73">
        <v>2.642798</v>
      </c>
      <c r="N73">
        <v>2.8748130000000001</v>
      </c>
      <c r="O73">
        <v>3.1070920000000002</v>
      </c>
      <c r="P73">
        <v>3.3416169999999998</v>
      </c>
      <c r="Q73">
        <v>3.5767709999999999</v>
      </c>
      <c r="R73">
        <v>3.8083089999999999</v>
      </c>
      <c r="S73">
        <v>4.0433630000000003</v>
      </c>
      <c r="T73">
        <v>4.2778869999999998</v>
      </c>
      <c r="U73">
        <v>4.5059389999999997</v>
      </c>
      <c r="V73">
        <v>4.7316940000000001</v>
      </c>
      <c r="W73">
        <v>4.9541380000000004</v>
      </c>
      <c r="X73">
        <v>5.1729900000000004</v>
      </c>
      <c r="Y73">
        <v>5.3882680000000001</v>
      </c>
      <c r="Z73">
        <v>5.6005159999999998</v>
      </c>
      <c r="AA73">
        <v>5.8095179999999997</v>
      </c>
      <c r="AB73">
        <v>6.0152150000000004</v>
      </c>
      <c r="AC73">
        <v>6.2175409999999998</v>
      </c>
      <c r="AD73">
        <v>6.4162759999999999</v>
      </c>
      <c r="AE73" s="12">
        <v>9.2999999999999999E-2</v>
      </c>
    </row>
    <row r="74" spans="1:31">
      <c r="A74" t="s">
        <v>95</v>
      </c>
      <c r="B74" t="s">
        <v>1354</v>
      </c>
      <c r="C74" t="s">
        <v>1355</v>
      </c>
      <c r="D74" t="s">
        <v>118</v>
      </c>
      <c r="E74">
        <v>0</v>
      </c>
      <c r="F74">
        <v>0</v>
      </c>
      <c r="G74">
        <v>0</v>
      </c>
      <c r="H74">
        <v>0</v>
      </c>
      <c r="I74">
        <v>0</v>
      </c>
      <c r="J74">
        <v>0</v>
      </c>
      <c r="K74">
        <v>0</v>
      </c>
      <c r="L74">
        <v>0</v>
      </c>
      <c r="M74">
        <v>0</v>
      </c>
      <c r="N74">
        <v>0</v>
      </c>
      <c r="O74">
        <v>0</v>
      </c>
      <c r="P74">
        <v>0</v>
      </c>
      <c r="Q74">
        <v>0</v>
      </c>
      <c r="R74">
        <v>0</v>
      </c>
      <c r="S74">
        <v>0</v>
      </c>
      <c r="T74">
        <v>0</v>
      </c>
      <c r="U74">
        <v>0</v>
      </c>
      <c r="V74">
        <v>0</v>
      </c>
      <c r="W74">
        <v>0</v>
      </c>
      <c r="X74">
        <v>0</v>
      </c>
      <c r="Y74">
        <v>0</v>
      </c>
      <c r="Z74">
        <v>0</v>
      </c>
      <c r="AA74">
        <v>0</v>
      </c>
      <c r="AB74">
        <v>0</v>
      </c>
      <c r="AC74">
        <v>0</v>
      </c>
      <c r="AD74">
        <v>0</v>
      </c>
      <c r="AE74" t="s">
        <v>6</v>
      </c>
    </row>
    <row r="75" spans="1:31">
      <c r="A75" t="s">
        <v>7</v>
      </c>
      <c r="B75" t="s">
        <v>1356</v>
      </c>
      <c r="C75" t="s">
        <v>1357</v>
      </c>
      <c r="D75" t="s">
        <v>118</v>
      </c>
      <c r="E75">
        <v>47.797958000000001</v>
      </c>
      <c r="F75">
        <v>48.922688000000001</v>
      </c>
      <c r="G75">
        <v>49.568466000000001</v>
      </c>
      <c r="H75">
        <v>50.014668</v>
      </c>
      <c r="I75">
        <v>50.306564000000002</v>
      </c>
      <c r="J75">
        <v>50.546627000000001</v>
      </c>
      <c r="K75">
        <v>50.750252000000003</v>
      </c>
      <c r="L75">
        <v>51.031433</v>
      </c>
      <c r="M75">
        <v>51.405346000000002</v>
      </c>
      <c r="N75">
        <v>51.750042000000001</v>
      </c>
      <c r="O75">
        <v>52.312030999999998</v>
      </c>
      <c r="P75">
        <v>52.873978000000001</v>
      </c>
      <c r="Q75">
        <v>53.476790999999999</v>
      </c>
      <c r="R75">
        <v>54.024281000000002</v>
      </c>
      <c r="S75">
        <v>54.461295999999997</v>
      </c>
      <c r="T75">
        <v>54.907093000000003</v>
      </c>
      <c r="U75">
        <v>55.303341000000003</v>
      </c>
      <c r="V75">
        <v>55.704666000000003</v>
      </c>
      <c r="W75">
        <v>56.041279000000003</v>
      </c>
      <c r="X75">
        <v>56.408630000000002</v>
      </c>
      <c r="Y75">
        <v>56.804091999999997</v>
      </c>
      <c r="Z75">
        <v>57.137211000000001</v>
      </c>
      <c r="AA75">
        <v>57.507964999999999</v>
      </c>
      <c r="AB75">
        <v>57.785682999999999</v>
      </c>
      <c r="AC75">
        <v>58.048088</v>
      </c>
      <c r="AD75">
        <v>58.288898000000003</v>
      </c>
      <c r="AE75" s="12">
        <v>8.0000000000000002E-3</v>
      </c>
    </row>
    <row r="76" spans="1:31">
      <c r="A76" t="s">
        <v>111</v>
      </c>
      <c r="B76" t="s">
        <v>1358</v>
      </c>
      <c r="C76" t="s">
        <v>1359</v>
      </c>
      <c r="D76" t="s">
        <v>118</v>
      </c>
      <c r="E76">
        <v>10.291304999999999</v>
      </c>
      <c r="F76">
        <v>10.375522</v>
      </c>
      <c r="G76">
        <v>10.456319000000001</v>
      </c>
      <c r="H76">
        <v>10.539427</v>
      </c>
      <c r="I76">
        <v>10.62567</v>
      </c>
      <c r="J76">
        <v>10.710639</v>
      </c>
      <c r="K76">
        <v>10.794048</v>
      </c>
      <c r="L76">
        <v>10.873578999999999</v>
      </c>
      <c r="M76">
        <v>10.948176</v>
      </c>
      <c r="N76">
        <v>11.018274999999999</v>
      </c>
      <c r="O76">
        <v>11.084428000000001</v>
      </c>
      <c r="P76">
        <v>11.145583</v>
      </c>
      <c r="Q76">
        <v>11.20349</v>
      </c>
      <c r="R76">
        <v>11.261288</v>
      </c>
      <c r="S76">
        <v>11.314209999999999</v>
      </c>
      <c r="T76">
        <v>11.365144000000001</v>
      </c>
      <c r="U76">
        <v>11.41733</v>
      </c>
      <c r="V76">
        <v>11.468310000000001</v>
      </c>
      <c r="W76">
        <v>11.518629000000001</v>
      </c>
      <c r="X76">
        <v>11.568477</v>
      </c>
      <c r="Y76">
        <v>11.617742</v>
      </c>
      <c r="Z76">
        <v>11.666309</v>
      </c>
      <c r="AA76">
        <v>11.714332000000001</v>
      </c>
      <c r="AB76">
        <v>11.761891</v>
      </c>
      <c r="AC76">
        <v>11.809170999999999</v>
      </c>
      <c r="AD76">
        <v>11.856415</v>
      </c>
      <c r="AE76" s="12">
        <v>6.0000000000000001E-3</v>
      </c>
    </row>
    <row r="77" spans="1:31">
      <c r="A77" t="s">
        <v>94</v>
      </c>
      <c r="B77" t="s">
        <v>1360</v>
      </c>
      <c r="C77" t="s">
        <v>1361</v>
      </c>
      <c r="D77" t="s">
        <v>118</v>
      </c>
      <c r="E77">
        <v>1.502035</v>
      </c>
      <c r="F77">
        <v>1.5143260000000001</v>
      </c>
      <c r="G77">
        <v>1.526119</v>
      </c>
      <c r="H77">
        <v>1.538249</v>
      </c>
      <c r="I77">
        <v>1.550837</v>
      </c>
      <c r="J77">
        <v>1.563237</v>
      </c>
      <c r="K77">
        <v>1.5754109999999999</v>
      </c>
      <c r="L77">
        <v>1.587019</v>
      </c>
      <c r="M77">
        <v>1.597906</v>
      </c>
      <c r="N77">
        <v>1.6081369999999999</v>
      </c>
      <c r="O77">
        <v>1.617793</v>
      </c>
      <c r="P77">
        <v>1.626719</v>
      </c>
      <c r="Q77">
        <v>1.63517</v>
      </c>
      <c r="R77">
        <v>1.643605</v>
      </c>
      <c r="S77">
        <v>1.65133</v>
      </c>
      <c r="T77">
        <v>1.6587639999999999</v>
      </c>
      <c r="U77">
        <v>1.66638</v>
      </c>
      <c r="V77">
        <v>1.673821</v>
      </c>
      <c r="W77">
        <v>1.681165</v>
      </c>
      <c r="X77">
        <v>1.6884399999999999</v>
      </c>
      <c r="Y77">
        <v>1.6956310000000001</v>
      </c>
      <c r="Z77">
        <v>1.70272</v>
      </c>
      <c r="AA77">
        <v>1.7097279999999999</v>
      </c>
      <c r="AB77">
        <v>1.7166699999999999</v>
      </c>
      <c r="AC77">
        <v>1.72357</v>
      </c>
      <c r="AD77">
        <v>1.7304660000000001</v>
      </c>
      <c r="AE77" s="12">
        <v>6.0000000000000001E-3</v>
      </c>
    </row>
    <row r="78" spans="1:31">
      <c r="A78" t="s">
        <v>112</v>
      </c>
      <c r="B78" t="s">
        <v>1362</v>
      </c>
      <c r="C78" t="s">
        <v>1363</v>
      </c>
      <c r="D78" t="s">
        <v>118</v>
      </c>
      <c r="E78">
        <v>8.7892690000000009</v>
      </c>
      <c r="F78">
        <v>8.8611959999999996</v>
      </c>
      <c r="G78">
        <v>8.9301999999999992</v>
      </c>
      <c r="H78">
        <v>9.0011779999999995</v>
      </c>
      <c r="I78">
        <v>9.0748339999999992</v>
      </c>
      <c r="J78">
        <v>9.1474019999999996</v>
      </c>
      <c r="K78">
        <v>9.2186369999999993</v>
      </c>
      <c r="L78">
        <v>9.2865599999999997</v>
      </c>
      <c r="M78">
        <v>9.3502700000000001</v>
      </c>
      <c r="N78">
        <v>9.4101379999999999</v>
      </c>
      <c r="O78">
        <v>9.4666350000000001</v>
      </c>
      <c r="P78">
        <v>9.5188649999999999</v>
      </c>
      <c r="Q78">
        <v>9.5683199999999999</v>
      </c>
      <c r="R78">
        <v>9.6176820000000003</v>
      </c>
      <c r="S78">
        <v>9.6628799999999995</v>
      </c>
      <c r="T78">
        <v>9.7063799999999993</v>
      </c>
      <c r="U78">
        <v>9.7509499999999996</v>
      </c>
      <c r="V78">
        <v>9.7944890000000004</v>
      </c>
      <c r="W78">
        <v>9.8374640000000007</v>
      </c>
      <c r="X78">
        <v>9.8800360000000005</v>
      </c>
      <c r="Y78">
        <v>9.9221109999999992</v>
      </c>
      <c r="Z78">
        <v>9.9635899999999999</v>
      </c>
      <c r="AA78">
        <v>10.004602999999999</v>
      </c>
      <c r="AB78">
        <v>10.045221</v>
      </c>
      <c r="AC78">
        <v>10.085601</v>
      </c>
      <c r="AD78">
        <v>10.125949</v>
      </c>
      <c r="AE78" s="12">
        <v>6.0000000000000001E-3</v>
      </c>
    </row>
    <row r="79" spans="1:31">
      <c r="A79" t="s">
        <v>113</v>
      </c>
      <c r="B79" t="s">
        <v>1364</v>
      </c>
      <c r="C79" t="s">
        <v>1365</v>
      </c>
      <c r="D79" t="s">
        <v>118</v>
      </c>
      <c r="E79">
        <v>15.340902</v>
      </c>
      <c r="F79">
        <v>15.924714</v>
      </c>
      <c r="G79">
        <v>16.390450999999999</v>
      </c>
      <c r="H79">
        <v>16.871880000000001</v>
      </c>
      <c r="I79">
        <v>17.291449</v>
      </c>
      <c r="J79">
        <v>17.680021</v>
      </c>
      <c r="K79">
        <v>17.998669</v>
      </c>
      <c r="L79">
        <v>18.281811000000001</v>
      </c>
      <c r="M79">
        <v>18.585245</v>
      </c>
      <c r="N79">
        <v>18.822433</v>
      </c>
      <c r="O79">
        <v>19.134668000000001</v>
      </c>
      <c r="P79">
        <v>19.403853999999999</v>
      </c>
      <c r="Q79">
        <v>19.701650999999998</v>
      </c>
      <c r="R79">
        <v>19.970364</v>
      </c>
      <c r="S79">
        <v>20.185044999999999</v>
      </c>
      <c r="T79">
        <v>20.403708000000002</v>
      </c>
      <c r="U79">
        <v>20.590519</v>
      </c>
      <c r="V79">
        <v>20.78002</v>
      </c>
      <c r="W79">
        <v>20.931851999999999</v>
      </c>
      <c r="X79">
        <v>21.098742000000001</v>
      </c>
      <c r="Y79">
        <v>21.280412999999999</v>
      </c>
      <c r="Z79">
        <v>21.426705999999999</v>
      </c>
      <c r="AA79">
        <v>21.598884999999999</v>
      </c>
      <c r="AB79">
        <v>21.721876000000002</v>
      </c>
      <c r="AC79">
        <v>21.843810999999999</v>
      </c>
      <c r="AD79">
        <v>21.961637</v>
      </c>
      <c r="AE79" s="12">
        <v>1.4E-2</v>
      </c>
    </row>
    <row r="80" spans="1:31">
      <c r="A80" t="s">
        <v>94</v>
      </c>
      <c r="B80" t="s">
        <v>1366</v>
      </c>
      <c r="C80" t="s">
        <v>1367</v>
      </c>
      <c r="D80" t="s">
        <v>118</v>
      </c>
      <c r="E80">
        <v>15.340902</v>
      </c>
      <c r="F80">
        <v>15.924714</v>
      </c>
      <c r="G80">
        <v>16.390450999999999</v>
      </c>
      <c r="H80">
        <v>16.871880000000001</v>
      </c>
      <c r="I80">
        <v>17.291449</v>
      </c>
      <c r="J80">
        <v>17.680021</v>
      </c>
      <c r="K80">
        <v>17.998669</v>
      </c>
      <c r="L80">
        <v>18.281811000000001</v>
      </c>
      <c r="M80">
        <v>18.585245</v>
      </c>
      <c r="N80">
        <v>18.822433</v>
      </c>
      <c r="O80">
        <v>19.134668000000001</v>
      </c>
      <c r="P80">
        <v>19.403853999999999</v>
      </c>
      <c r="Q80">
        <v>19.701650999999998</v>
      </c>
      <c r="R80">
        <v>19.970364</v>
      </c>
      <c r="S80">
        <v>20.185044999999999</v>
      </c>
      <c r="T80">
        <v>20.403708000000002</v>
      </c>
      <c r="U80">
        <v>20.590519</v>
      </c>
      <c r="V80">
        <v>20.78002</v>
      </c>
      <c r="W80">
        <v>20.931851999999999</v>
      </c>
      <c r="X80">
        <v>21.098742000000001</v>
      </c>
      <c r="Y80">
        <v>21.280412999999999</v>
      </c>
      <c r="Z80">
        <v>21.426705999999999</v>
      </c>
      <c r="AA80">
        <v>21.598884999999999</v>
      </c>
      <c r="AB80">
        <v>21.721876000000002</v>
      </c>
      <c r="AC80">
        <v>21.843810999999999</v>
      </c>
      <c r="AD80">
        <v>21.961637</v>
      </c>
      <c r="AE80" s="12">
        <v>1.4E-2</v>
      </c>
    </row>
    <row r="81" spans="1:31">
      <c r="A81" t="s">
        <v>114</v>
      </c>
      <c r="B81" t="s">
        <v>1368</v>
      </c>
      <c r="C81" t="s">
        <v>1369</v>
      </c>
      <c r="D81" t="s">
        <v>118</v>
      </c>
      <c r="E81">
        <v>22.165752000000001</v>
      </c>
      <c r="F81">
        <v>22.622451999999999</v>
      </c>
      <c r="G81">
        <v>22.721696999999999</v>
      </c>
      <c r="H81">
        <v>22.603363000000002</v>
      </c>
      <c r="I81">
        <v>22.389446</v>
      </c>
      <c r="J81">
        <v>22.155965999999999</v>
      </c>
      <c r="K81">
        <v>21.957535</v>
      </c>
      <c r="L81">
        <v>21.876045000000001</v>
      </c>
      <c r="M81">
        <v>21.871922999999999</v>
      </c>
      <c r="N81">
        <v>21.909331999999999</v>
      </c>
      <c r="O81">
        <v>22.092934</v>
      </c>
      <c r="P81">
        <v>22.324539000000001</v>
      </c>
      <c r="Q81">
        <v>22.571650999999999</v>
      </c>
      <c r="R81">
        <v>22.792632999999999</v>
      </c>
      <c r="S81">
        <v>22.962038</v>
      </c>
      <c r="T81">
        <v>23.138241000000001</v>
      </c>
      <c r="U81">
        <v>23.295490000000001</v>
      </c>
      <c r="V81">
        <v>23.456334999999999</v>
      </c>
      <c r="W81">
        <v>23.590796999999998</v>
      </c>
      <c r="X81">
        <v>23.741415</v>
      </c>
      <c r="Y81">
        <v>23.905937000000002</v>
      </c>
      <c r="Z81">
        <v>24.044193</v>
      </c>
      <c r="AA81">
        <v>24.194748000000001</v>
      </c>
      <c r="AB81">
        <v>24.301912000000002</v>
      </c>
      <c r="AC81">
        <v>24.395106999999999</v>
      </c>
      <c r="AD81">
        <v>24.470844</v>
      </c>
      <c r="AE81" s="12">
        <v>4.0000000000000001E-3</v>
      </c>
    </row>
    <row r="82" spans="1:31">
      <c r="A82" t="s">
        <v>94</v>
      </c>
      <c r="B82" t="s">
        <v>1370</v>
      </c>
      <c r="C82" t="s">
        <v>1371</v>
      </c>
      <c r="D82" t="s">
        <v>118</v>
      </c>
      <c r="E82">
        <v>7.7307170000000003</v>
      </c>
      <c r="F82">
        <v>7.908595</v>
      </c>
      <c r="G82">
        <v>7.9704259999999998</v>
      </c>
      <c r="H82">
        <v>7.9522690000000003</v>
      </c>
      <c r="I82">
        <v>7.8903990000000004</v>
      </c>
      <c r="J82">
        <v>7.811064</v>
      </c>
      <c r="K82">
        <v>7.7212870000000002</v>
      </c>
      <c r="L82">
        <v>7.6663509999999997</v>
      </c>
      <c r="M82">
        <v>7.6092370000000003</v>
      </c>
      <c r="N82">
        <v>7.5968689999999999</v>
      </c>
      <c r="O82">
        <v>7.6361160000000003</v>
      </c>
      <c r="P82">
        <v>7.7052350000000001</v>
      </c>
      <c r="Q82">
        <v>7.7767419999999996</v>
      </c>
      <c r="R82">
        <v>7.8408680000000004</v>
      </c>
      <c r="S82">
        <v>7.8899629999999998</v>
      </c>
      <c r="T82">
        <v>7.9406850000000002</v>
      </c>
      <c r="U82">
        <v>7.9817900000000002</v>
      </c>
      <c r="V82">
        <v>8.0197450000000003</v>
      </c>
      <c r="W82">
        <v>8.0528040000000001</v>
      </c>
      <c r="X82">
        <v>8.0899859999999997</v>
      </c>
      <c r="Y82">
        <v>8.1287839999999996</v>
      </c>
      <c r="Z82">
        <v>8.1610209999999999</v>
      </c>
      <c r="AA82">
        <v>8.1877220000000008</v>
      </c>
      <c r="AB82">
        <v>8.2046320000000001</v>
      </c>
      <c r="AC82">
        <v>8.2139039999999994</v>
      </c>
      <c r="AD82">
        <v>8.2204619999999995</v>
      </c>
      <c r="AE82" s="12">
        <v>2E-3</v>
      </c>
    </row>
    <row r="83" spans="1:31">
      <c r="A83" t="s">
        <v>112</v>
      </c>
      <c r="B83" t="s">
        <v>1372</v>
      </c>
      <c r="C83" t="s">
        <v>1373</v>
      </c>
      <c r="D83" t="s">
        <v>118</v>
      </c>
      <c r="E83">
        <v>14.435036999999999</v>
      </c>
      <c r="F83">
        <v>14.713857000000001</v>
      </c>
      <c r="G83">
        <v>14.751270999999999</v>
      </c>
      <c r="H83">
        <v>14.651092999999999</v>
      </c>
      <c r="I83">
        <v>14.499046</v>
      </c>
      <c r="J83">
        <v>14.344901</v>
      </c>
      <c r="K83">
        <v>14.236249000000001</v>
      </c>
      <c r="L83">
        <v>14.209693</v>
      </c>
      <c r="M83">
        <v>14.262687</v>
      </c>
      <c r="N83">
        <v>14.312465</v>
      </c>
      <c r="O83">
        <v>14.456816999999999</v>
      </c>
      <c r="P83">
        <v>14.619304</v>
      </c>
      <c r="Q83">
        <v>14.79491</v>
      </c>
      <c r="R83">
        <v>14.951764000000001</v>
      </c>
      <c r="S83">
        <v>15.072075</v>
      </c>
      <c r="T83">
        <v>15.197556000000001</v>
      </c>
      <c r="U83">
        <v>15.313701</v>
      </c>
      <c r="V83">
        <v>15.436590000000001</v>
      </c>
      <c r="W83">
        <v>15.537993</v>
      </c>
      <c r="X83">
        <v>15.651429</v>
      </c>
      <c r="Y83">
        <v>15.777153</v>
      </c>
      <c r="Z83">
        <v>15.883171000000001</v>
      </c>
      <c r="AA83">
        <v>16.007024999999999</v>
      </c>
      <c r="AB83">
        <v>16.097280999999999</v>
      </c>
      <c r="AC83">
        <v>16.181204000000001</v>
      </c>
      <c r="AD83">
        <v>16.250381000000001</v>
      </c>
      <c r="AE83" s="12">
        <v>5.0000000000000001E-3</v>
      </c>
    </row>
    <row r="84" spans="1:31">
      <c r="A84" t="s">
        <v>5</v>
      </c>
      <c r="B84" t="s">
        <v>1374</v>
      </c>
      <c r="C84" t="s">
        <v>1375</v>
      </c>
      <c r="D84" t="s">
        <v>118</v>
      </c>
      <c r="E84">
        <v>208.160629</v>
      </c>
      <c r="F84">
        <v>208.79321300000001</v>
      </c>
      <c r="G84">
        <v>207.948059</v>
      </c>
      <c r="H84">
        <v>205.85446200000001</v>
      </c>
      <c r="I84">
        <v>204.26417499999999</v>
      </c>
      <c r="J84">
        <v>203.147369</v>
      </c>
      <c r="K84">
        <v>201.93911700000001</v>
      </c>
      <c r="L84">
        <v>201.214584</v>
      </c>
      <c r="M84">
        <v>200.736816</v>
      </c>
      <c r="N84">
        <v>200.51611299999999</v>
      </c>
      <c r="O84">
        <v>200.56538399999999</v>
      </c>
      <c r="P84">
        <v>199.98819</v>
      </c>
      <c r="Q84">
        <v>199.415604</v>
      </c>
      <c r="R84">
        <v>198.80512999999999</v>
      </c>
      <c r="S84">
        <v>198.17640700000001</v>
      </c>
      <c r="T84">
        <v>197.56388899999999</v>
      </c>
      <c r="U84">
        <v>196.79184000000001</v>
      </c>
      <c r="V84">
        <v>196.106247</v>
      </c>
      <c r="W84">
        <v>195.480133</v>
      </c>
      <c r="X84">
        <v>194.85119599999999</v>
      </c>
      <c r="Y84">
        <v>194.21250900000001</v>
      </c>
      <c r="Z84">
        <v>193.47126800000001</v>
      </c>
      <c r="AA84">
        <v>192.58871500000001</v>
      </c>
      <c r="AB84">
        <v>191.672607</v>
      </c>
      <c r="AC84">
        <v>190.67291299999999</v>
      </c>
      <c r="AD84">
        <v>189.727585</v>
      </c>
      <c r="AE84" s="12">
        <v>-4.0000000000000001E-3</v>
      </c>
    </row>
    <row r="85" spans="1:31">
      <c r="A85" t="s">
        <v>115</v>
      </c>
      <c r="B85" t="s">
        <v>1376</v>
      </c>
      <c r="C85" t="s">
        <v>1377</v>
      </c>
      <c r="D85" t="s">
        <v>118</v>
      </c>
      <c r="E85">
        <v>164.66413900000001</v>
      </c>
      <c r="F85">
        <v>164.92240899999999</v>
      </c>
      <c r="G85">
        <v>164.012711</v>
      </c>
      <c r="H85">
        <v>162.12080399999999</v>
      </c>
      <c r="I85">
        <v>160.628601</v>
      </c>
      <c r="J85">
        <v>159.51095599999999</v>
      </c>
      <c r="K85">
        <v>158.32330300000001</v>
      </c>
      <c r="L85">
        <v>157.51623499999999</v>
      </c>
      <c r="M85">
        <v>156.90280200000001</v>
      </c>
      <c r="N85">
        <v>156.490219</v>
      </c>
      <c r="O85">
        <v>156.287567</v>
      </c>
      <c r="P85">
        <v>155.596451</v>
      </c>
      <c r="Q85">
        <v>154.909378</v>
      </c>
      <c r="R85">
        <v>154.19335899999999</v>
      </c>
      <c r="S85">
        <v>153.463776</v>
      </c>
      <c r="T85">
        <v>152.74731399999999</v>
      </c>
      <c r="U85">
        <v>151.90829500000001</v>
      </c>
      <c r="V85">
        <v>151.13687100000001</v>
      </c>
      <c r="W85">
        <v>150.412003</v>
      </c>
      <c r="X85">
        <v>149.685608</v>
      </c>
      <c r="Y85">
        <v>148.95237700000001</v>
      </c>
      <c r="Z85">
        <v>148.141312</v>
      </c>
      <c r="AA85">
        <v>147.22318999999999</v>
      </c>
      <c r="AB85">
        <v>146.28079199999999</v>
      </c>
      <c r="AC85">
        <v>145.27612300000001</v>
      </c>
      <c r="AD85">
        <v>144.31445299999999</v>
      </c>
      <c r="AE85" s="12">
        <v>-5.0000000000000001E-3</v>
      </c>
    </row>
    <row r="86" spans="1:31">
      <c r="A86" t="s">
        <v>91</v>
      </c>
      <c r="B86" t="s">
        <v>1378</v>
      </c>
      <c r="C86" t="s">
        <v>1379</v>
      </c>
      <c r="D86" t="s">
        <v>118</v>
      </c>
      <c r="E86">
        <v>43.496493999999998</v>
      </c>
      <c r="F86">
        <v>43.870795999999999</v>
      </c>
      <c r="G86">
        <v>43.935341000000001</v>
      </c>
      <c r="H86">
        <v>43.733662000000002</v>
      </c>
      <c r="I86">
        <v>43.635578000000002</v>
      </c>
      <c r="J86">
        <v>43.636414000000002</v>
      </c>
      <c r="K86">
        <v>43.615806999999997</v>
      </c>
      <c r="L86">
        <v>43.698352999999997</v>
      </c>
      <c r="M86">
        <v>43.834007</v>
      </c>
      <c r="N86">
        <v>44.025897999999998</v>
      </c>
      <c r="O86">
        <v>44.277813000000002</v>
      </c>
      <c r="P86">
        <v>44.391734999999997</v>
      </c>
      <c r="Q86">
        <v>44.506225999999998</v>
      </c>
      <c r="R86">
        <v>44.611767</v>
      </c>
      <c r="S86">
        <v>44.712634999999999</v>
      </c>
      <c r="T86">
        <v>44.816569999999999</v>
      </c>
      <c r="U86">
        <v>44.883552999999999</v>
      </c>
      <c r="V86">
        <v>44.969372</v>
      </c>
      <c r="W86">
        <v>45.068134000000001</v>
      </c>
      <c r="X86">
        <v>45.165591999999997</v>
      </c>
      <c r="Y86">
        <v>45.260128000000002</v>
      </c>
      <c r="Z86">
        <v>45.329951999999999</v>
      </c>
      <c r="AA86">
        <v>45.365524000000001</v>
      </c>
      <c r="AB86">
        <v>45.391823000000002</v>
      </c>
      <c r="AC86">
        <v>45.396793000000002</v>
      </c>
      <c r="AD86">
        <v>45.413131999999997</v>
      </c>
      <c r="AE86" s="12">
        <v>2E-3</v>
      </c>
    </row>
    <row r="87" spans="1:31">
      <c r="A87" t="s">
        <v>4</v>
      </c>
      <c r="B87" t="s">
        <v>1380</v>
      </c>
      <c r="C87" t="s">
        <v>1381</v>
      </c>
      <c r="D87" t="s">
        <v>118</v>
      </c>
      <c r="E87">
        <v>89.237289000000004</v>
      </c>
      <c r="F87">
        <v>89.304610999999994</v>
      </c>
      <c r="G87">
        <v>89.436661000000001</v>
      </c>
      <c r="H87">
        <v>89.620934000000005</v>
      </c>
      <c r="I87">
        <v>89.835068000000007</v>
      </c>
      <c r="J87">
        <v>90.127808000000002</v>
      </c>
      <c r="K87">
        <v>90.388962000000006</v>
      </c>
      <c r="L87">
        <v>90.646591000000001</v>
      </c>
      <c r="M87">
        <v>90.874008000000003</v>
      </c>
      <c r="N87">
        <v>91.105034000000003</v>
      </c>
      <c r="O87">
        <v>91.325821000000005</v>
      </c>
      <c r="P87">
        <v>91.503319000000005</v>
      </c>
      <c r="Q87">
        <v>91.676781000000005</v>
      </c>
      <c r="R87">
        <v>91.845580999999996</v>
      </c>
      <c r="S87">
        <v>92.006157000000002</v>
      </c>
      <c r="T87">
        <v>92.163200000000003</v>
      </c>
      <c r="U87">
        <v>92.298409000000007</v>
      </c>
      <c r="V87">
        <v>92.413787999999997</v>
      </c>
      <c r="W87">
        <v>92.506454000000005</v>
      </c>
      <c r="X87">
        <v>92.593238999999997</v>
      </c>
      <c r="Y87">
        <v>92.697021000000007</v>
      </c>
      <c r="Z87">
        <v>92.799789000000004</v>
      </c>
      <c r="AA87">
        <v>92.905288999999996</v>
      </c>
      <c r="AB87">
        <v>92.984549999999999</v>
      </c>
      <c r="AC87">
        <v>93.058082999999996</v>
      </c>
      <c r="AD87">
        <v>93.105536999999998</v>
      </c>
      <c r="AE87" s="12">
        <v>2E-3</v>
      </c>
    </row>
    <row r="88" spans="1:31">
      <c r="A88" t="s">
        <v>3</v>
      </c>
      <c r="B88" t="s">
        <v>1382</v>
      </c>
      <c r="C88" t="s">
        <v>1383</v>
      </c>
      <c r="D88" t="s">
        <v>118</v>
      </c>
      <c r="E88">
        <v>734.60199</v>
      </c>
      <c r="F88">
        <v>681.25598100000002</v>
      </c>
      <c r="G88">
        <v>684.28692599999999</v>
      </c>
      <c r="H88">
        <v>673.98980700000004</v>
      </c>
      <c r="I88">
        <v>683.41693099999998</v>
      </c>
      <c r="J88">
        <v>712.55456500000003</v>
      </c>
      <c r="K88">
        <v>732.71130400000004</v>
      </c>
      <c r="L88">
        <v>744.84387200000003</v>
      </c>
      <c r="M88">
        <v>749.81542999999999</v>
      </c>
      <c r="N88">
        <v>757.92114300000003</v>
      </c>
      <c r="O88">
        <v>770.47119099999998</v>
      </c>
      <c r="P88">
        <v>793.58917199999996</v>
      </c>
      <c r="Q88">
        <v>821.20849599999997</v>
      </c>
      <c r="R88">
        <v>845.46813999999995</v>
      </c>
      <c r="S88">
        <v>872.15417500000001</v>
      </c>
      <c r="T88">
        <v>890.66058299999997</v>
      </c>
      <c r="U88">
        <v>906.70764199999996</v>
      </c>
      <c r="V88">
        <v>924.74493399999994</v>
      </c>
      <c r="W88">
        <v>943.75726299999997</v>
      </c>
      <c r="X88">
        <v>957.82116699999995</v>
      </c>
      <c r="Y88">
        <v>965.947632</v>
      </c>
      <c r="Z88">
        <v>975.11267099999998</v>
      </c>
      <c r="AA88">
        <v>984.19189500000005</v>
      </c>
      <c r="AB88">
        <v>992.79992700000003</v>
      </c>
      <c r="AC88">
        <v>996.04656999999997</v>
      </c>
      <c r="AD88">
        <v>1001.5481569999999</v>
      </c>
      <c r="AE88" s="12">
        <v>1.2E-2</v>
      </c>
    </row>
    <row r="89" spans="1:31">
      <c r="A89" t="s">
        <v>598</v>
      </c>
      <c r="B89" t="s">
        <v>1384</v>
      </c>
      <c r="C89" t="s">
        <v>1385</v>
      </c>
      <c r="D89" t="s">
        <v>118</v>
      </c>
      <c r="E89">
        <v>590.71014400000001</v>
      </c>
      <c r="F89">
        <v>589.92114300000003</v>
      </c>
      <c r="G89">
        <v>673.66332999999997</v>
      </c>
      <c r="H89">
        <v>722.36029099999996</v>
      </c>
      <c r="I89">
        <v>770.13201900000001</v>
      </c>
      <c r="J89">
        <v>911.09674099999995</v>
      </c>
      <c r="K89">
        <v>975.370361</v>
      </c>
      <c r="L89">
        <v>1036.7476810000001</v>
      </c>
      <c r="M89">
        <v>1082.8173830000001</v>
      </c>
      <c r="N89">
        <v>1159.0126949999999</v>
      </c>
      <c r="O89">
        <v>1212.578857</v>
      </c>
      <c r="P89">
        <v>1254.067139</v>
      </c>
      <c r="Q89">
        <v>1275.980591</v>
      </c>
      <c r="R89">
        <v>1297.4061280000001</v>
      </c>
      <c r="S89">
        <v>1319.5187989999999</v>
      </c>
      <c r="T89">
        <v>1340.399658</v>
      </c>
      <c r="U89">
        <v>1363.283936</v>
      </c>
      <c r="V89">
        <v>1385.059937</v>
      </c>
      <c r="W89">
        <v>1406.8359379999999</v>
      </c>
      <c r="X89">
        <v>1431.3625489999999</v>
      </c>
      <c r="Y89">
        <v>1450.387817</v>
      </c>
      <c r="Z89">
        <v>1472.163818</v>
      </c>
      <c r="AA89">
        <v>1493.9398189999999</v>
      </c>
      <c r="AB89">
        <v>1507.5783690000001</v>
      </c>
      <c r="AC89">
        <v>1504.827759</v>
      </c>
      <c r="AD89">
        <v>1504.827759</v>
      </c>
      <c r="AE89" s="12">
        <v>3.7999999999999999E-2</v>
      </c>
    </row>
    <row r="90" spans="1:31">
      <c r="A90" t="s">
        <v>2</v>
      </c>
      <c r="B90" t="s">
        <v>1386</v>
      </c>
      <c r="C90" t="s">
        <v>1387</v>
      </c>
      <c r="D90" t="s">
        <v>118</v>
      </c>
      <c r="E90">
        <v>28329.833984000001</v>
      </c>
      <c r="F90">
        <v>28190.765625</v>
      </c>
      <c r="G90">
        <v>28213.521484000001</v>
      </c>
      <c r="H90">
        <v>28072.724609000001</v>
      </c>
      <c r="I90">
        <v>27926.308593999998</v>
      </c>
      <c r="J90">
        <v>27911.746093999998</v>
      </c>
      <c r="K90">
        <v>27781.646484000001</v>
      </c>
      <c r="L90">
        <v>27695.304688</v>
      </c>
      <c r="M90">
        <v>27569.902343999998</v>
      </c>
      <c r="N90">
        <v>27568.21875</v>
      </c>
      <c r="O90">
        <v>27554.136718999998</v>
      </c>
      <c r="P90">
        <v>27493.074218999998</v>
      </c>
      <c r="Q90">
        <v>27423.302734000001</v>
      </c>
      <c r="R90">
        <v>27375.023438</v>
      </c>
      <c r="S90">
        <v>27333.927734000001</v>
      </c>
      <c r="T90">
        <v>27316.882812</v>
      </c>
      <c r="U90">
        <v>27300.582031000002</v>
      </c>
      <c r="V90">
        <v>27267.695312</v>
      </c>
      <c r="W90">
        <v>27274.9375</v>
      </c>
      <c r="X90">
        <v>27270.621093999998</v>
      </c>
      <c r="Y90">
        <v>27279.113281000002</v>
      </c>
      <c r="Z90">
        <v>27280.335938</v>
      </c>
      <c r="AA90">
        <v>27297.630859000001</v>
      </c>
      <c r="AB90">
        <v>27265.054688</v>
      </c>
      <c r="AC90">
        <v>27203.566406000002</v>
      </c>
      <c r="AD90">
        <v>27179.878906000002</v>
      </c>
      <c r="AE90" s="12">
        <v>-2E-3</v>
      </c>
    </row>
  </sheetData>
  <pageMargins left="0.7" right="0.7" top="0.75" bottom="0.75" header="0.3" footer="0.3"/>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dimension ref="A1:AJ30"/>
  <sheetViews>
    <sheetView workbookViewId="0">
      <selection activeCell="A7" sqref="A7"/>
    </sheetView>
  </sheetViews>
  <sheetFormatPr defaultRowHeight="14.25"/>
  <cols>
    <col min="1" max="1" width="19.265625" customWidth="1"/>
    <col min="2" max="2" width="24.265625" customWidth="1"/>
    <col min="3" max="3" width="14.265625" customWidth="1"/>
    <col min="4" max="4" width="18.53125" customWidth="1"/>
  </cols>
  <sheetData>
    <row r="1" spans="1:34">
      <c r="A1" t="s">
        <v>24</v>
      </c>
    </row>
    <row r="2" spans="1:34">
      <c r="A2" t="s">
        <v>41</v>
      </c>
    </row>
    <row r="3" spans="1:34">
      <c r="A3" t="s">
        <v>42</v>
      </c>
    </row>
    <row r="4" spans="1:34">
      <c r="A4" t="s">
        <v>43</v>
      </c>
    </row>
    <row r="6" spans="1:34" s="1" customFormat="1">
      <c r="A6" s="6" t="s">
        <v>26</v>
      </c>
      <c r="B6" s="6" t="s">
        <v>27</v>
      </c>
      <c r="C6" s="6"/>
      <c r="D6" s="6">
        <v>2023</v>
      </c>
      <c r="E6" s="6">
        <v>2024</v>
      </c>
      <c r="F6" s="6">
        <v>2025</v>
      </c>
      <c r="G6" s="6">
        <v>2026</v>
      </c>
      <c r="H6" s="6">
        <v>2027</v>
      </c>
      <c r="I6" s="6">
        <v>2028</v>
      </c>
      <c r="J6" s="6">
        <v>2029</v>
      </c>
      <c r="K6" s="6">
        <v>2030</v>
      </c>
      <c r="L6" s="6">
        <v>2031</v>
      </c>
      <c r="M6" s="6">
        <v>2032</v>
      </c>
      <c r="N6" s="6">
        <v>2033</v>
      </c>
      <c r="O6" s="6">
        <v>2034</v>
      </c>
      <c r="P6" s="6">
        <v>2035</v>
      </c>
      <c r="Q6" s="6">
        <v>2036</v>
      </c>
      <c r="R6" s="6">
        <v>2037</v>
      </c>
      <c r="S6" s="6">
        <v>2038</v>
      </c>
      <c r="T6" s="6">
        <v>2039</v>
      </c>
      <c r="U6" s="6">
        <v>2040</v>
      </c>
      <c r="V6" s="6">
        <v>2041</v>
      </c>
      <c r="W6" s="6">
        <v>2042</v>
      </c>
      <c r="X6" s="6">
        <v>2043</v>
      </c>
      <c r="Y6" s="6">
        <v>2044</v>
      </c>
      <c r="Z6" s="6">
        <v>2045</v>
      </c>
      <c r="AA6" s="6">
        <v>2046</v>
      </c>
      <c r="AB6" s="6">
        <v>2047</v>
      </c>
      <c r="AC6" s="6">
        <v>2048</v>
      </c>
      <c r="AD6" s="6">
        <v>2049</v>
      </c>
      <c r="AE6" s="6">
        <v>2050</v>
      </c>
      <c r="AF6" s="6"/>
      <c r="AG6" s="6"/>
      <c r="AH6" s="6"/>
    </row>
    <row r="7" spans="1:34">
      <c r="A7" t="s">
        <v>32</v>
      </c>
      <c r="B7" t="s">
        <v>28</v>
      </c>
      <c r="C7" t="s">
        <v>25</v>
      </c>
      <c r="D7" s="4">
        <f>INDEX('AEO 2023 Table 17'!30:30,MATCH(D$6,'AEO 2023 Table 17'!$1:$1,0))*1000</f>
        <v>189.84</v>
      </c>
      <c r="E7" s="81">
        <f>INDEX('AEO 2025 Table 17'!17:17,MATCH(E6,'AEO 2025 Table 17'!5:5,0))*1000</f>
        <v>237.45599999999999</v>
      </c>
      <c r="F7" s="81">
        <f>INDEX('AEO 2026 Table 17'!17:17,MATCH(F6,'AEO 2026 Table 17'!5:5,0))*1000</f>
        <v>147.98400000000001</v>
      </c>
      <c r="G7" s="81">
        <f>INDEX('AEO 2026 Table 17'!17:17,MATCH(G6,'AEO 2026 Table 17'!5:5,0))*1000</f>
        <v>178.35000000000002</v>
      </c>
      <c r="H7" s="81">
        <f>INDEX('AEO 2026 Table 17'!17:17,MATCH(H6,'AEO 2026 Table 17'!5:5,0))*1000</f>
        <v>170.33</v>
      </c>
      <c r="I7" s="81">
        <f>INDEX('AEO 2026 Table 17'!17:17,MATCH(I6,'AEO 2026 Table 17'!5:5,0))*1000</f>
        <v>175.43299999999999</v>
      </c>
      <c r="J7" s="81">
        <f>INDEX('AEO 2026 Table 17'!17:17,MATCH(J6,'AEO 2026 Table 17'!5:5,0))*1000</f>
        <v>178.637</v>
      </c>
      <c r="K7" s="81">
        <f>INDEX('AEO 2026 Table 17'!17:17,MATCH(K6,'AEO 2026 Table 17'!5:5,0))*1000</f>
        <v>147.30699999999999</v>
      </c>
      <c r="L7" s="81">
        <f>INDEX('AEO 2026 Table 17'!17:17,MATCH(L6,'AEO 2026 Table 17'!5:5,0))*1000</f>
        <v>154.40799999999999</v>
      </c>
      <c r="M7" s="81">
        <f>INDEX('AEO 2026 Table 17'!17:17,MATCH(M6,'AEO 2026 Table 17'!5:5,0))*1000</f>
        <v>157.49799999999999</v>
      </c>
      <c r="N7" s="81">
        <f>INDEX('AEO 2026 Table 17'!17:17,MATCH(N6,'AEO 2026 Table 17'!5:5,0))*1000</f>
        <v>164.863</v>
      </c>
      <c r="O7" s="81">
        <f>INDEX('AEO 2026 Table 17'!17:17,MATCH(O6,'AEO 2026 Table 17'!5:5,0))*1000</f>
        <v>167.75899999999999</v>
      </c>
      <c r="P7" s="81">
        <f>INDEX('AEO 2026 Table 17'!17:17,MATCH(P6,'AEO 2026 Table 17'!5:5,0))*1000</f>
        <v>170.18700000000001</v>
      </c>
      <c r="Q7" s="81">
        <f>INDEX('AEO 2026 Table 17'!17:17,MATCH(Q6,'AEO 2026 Table 17'!5:5,0))*1000</f>
        <v>159.511</v>
      </c>
      <c r="R7" s="81">
        <f>INDEX('AEO 2026 Table 17'!17:17,MATCH(R6,'AEO 2026 Table 17'!5:5,0))*1000</f>
        <v>167.19200000000001</v>
      </c>
      <c r="S7" s="81">
        <f>INDEX('AEO 2026 Table 17'!17:17,MATCH(S6,'AEO 2026 Table 17'!5:5,0))*1000</f>
        <v>165.50899999999999</v>
      </c>
      <c r="T7" s="81">
        <f>INDEX('AEO 2026 Table 17'!17:17,MATCH(T6,'AEO 2026 Table 17'!5:5,0))*1000</f>
        <v>162.88800000000001</v>
      </c>
      <c r="U7" s="81">
        <f>INDEX('AEO 2026 Table 17'!17:17,MATCH(U6,'AEO 2026 Table 17'!5:5,0))*1000</f>
        <v>160.21899999999999</v>
      </c>
      <c r="V7" s="81">
        <f>INDEX('AEO 2026 Table 17'!17:17,MATCH(V6,'AEO 2026 Table 17'!5:5,0))*1000</f>
        <v>157.27600000000001</v>
      </c>
      <c r="W7" s="81">
        <f>INDEX('AEO 2026 Table 17'!17:17,MATCH(W6,'AEO 2026 Table 17'!5:5,0))*1000</f>
        <v>154.35399999999998</v>
      </c>
      <c r="X7" s="81">
        <f>INDEX('AEO 2026 Table 17'!17:17,MATCH(X6,'AEO 2026 Table 17'!5:5,0))*1000</f>
        <v>151.304</v>
      </c>
      <c r="Y7" s="81">
        <f>INDEX('AEO 2026 Table 17'!17:17,MATCH(Y6,'AEO 2026 Table 17'!5:5,0))*1000</f>
        <v>148.12200000000001</v>
      </c>
      <c r="Z7" s="81">
        <f>INDEX('AEO 2026 Table 17'!17:17,MATCH(Z6,'AEO 2026 Table 17'!5:5,0))*1000</f>
        <v>144.80499999999998</v>
      </c>
      <c r="AA7" s="81">
        <f>INDEX('AEO 2026 Table 17'!17:17,MATCH(AA6,'AEO 2026 Table 17'!5:5,0))*1000</f>
        <v>141.352</v>
      </c>
      <c r="AB7" s="81">
        <f>INDEX('AEO 2026 Table 17'!17:17,MATCH(AB6,'AEO 2026 Table 17'!5:5,0))*1000</f>
        <v>138.27000000000001</v>
      </c>
      <c r="AC7" s="81">
        <f>INDEX('AEO 2026 Table 17'!17:17,MATCH(AC6,'AEO 2026 Table 17'!5:5,0))*1000</f>
        <v>134.535</v>
      </c>
      <c r="AD7" s="81">
        <f>INDEX('AEO 2026 Table 17'!17:17,MATCH(AD6,'AEO 2026 Table 17'!5:5,0))*1000</f>
        <v>130.655</v>
      </c>
      <c r="AE7" s="81">
        <f>INDEX('AEO 2026 Table 17'!17:17,MATCH(AE6,'AEO 2026 Table 17'!5:5,0))*1000</f>
        <v>126.62599999999999</v>
      </c>
      <c r="AF7" s="4"/>
      <c r="AG7" s="4"/>
      <c r="AH7" s="4"/>
    </row>
    <row r="8" spans="1:34">
      <c r="A8" t="s">
        <v>31</v>
      </c>
      <c r="B8" t="s">
        <v>29</v>
      </c>
      <c r="C8" t="s">
        <v>25</v>
      </c>
      <c r="D8" s="3">
        <f>INDEX('AEO 2023 Table 36 '!18:18,MATCH(D$6,'AEO 2023 Table 36 '!$13:$13,0))</f>
        <v>64.699020000000004</v>
      </c>
      <c r="E8" s="82">
        <f>INDEX('AEO 2025 Table 36'!9:9,MATCH(E6,'AEO 2025 Table 36'!5:5,0))</f>
        <v>87.055556999999993</v>
      </c>
      <c r="F8" s="82">
        <f>INDEX('AEO 2026 Table 36'!9:9,MATCH(F6,'AEO 2026 Table 36'!5:5,0))</f>
        <v>87.695785999999998</v>
      </c>
      <c r="G8" s="82">
        <f>INDEX('AEO 2026 Table 36'!9:9,MATCH(G6,'AEO 2026 Table 36'!5:5,0))</f>
        <v>89.859122999999997</v>
      </c>
      <c r="H8" s="82">
        <f>INDEX('AEO 2026 Table 36'!9:9,MATCH(H6,'AEO 2026 Table 36'!5:5,0))</f>
        <v>91.274383999999998</v>
      </c>
      <c r="I8" s="82">
        <f>INDEX('AEO 2026 Table 36'!9:9,MATCH(I6,'AEO 2026 Table 36'!5:5,0))</f>
        <v>92.507019</v>
      </c>
      <c r="J8" s="82">
        <f>INDEX('AEO 2026 Table 36'!9:9,MATCH(J6,'AEO 2026 Table 36'!5:5,0))</f>
        <v>94.025024000000002</v>
      </c>
      <c r="K8" s="82">
        <f>INDEX('AEO 2026 Table 36'!9:9,MATCH(K6,'AEO 2026 Table 36'!5:5,0))</f>
        <v>95.384506000000002</v>
      </c>
      <c r="L8" s="82">
        <f>INDEX('AEO 2026 Table 36'!9:9,MATCH(L6,'AEO 2026 Table 36'!5:5,0))</f>
        <v>96.679039000000003</v>
      </c>
      <c r="M8" s="82">
        <f>INDEX('AEO 2026 Table 36'!9:9,MATCH(M6,'AEO 2026 Table 36'!5:5,0))</f>
        <v>97.190246999999999</v>
      </c>
      <c r="N8" s="82">
        <f>INDEX('AEO 2026 Table 36'!9:9,MATCH(N6,'AEO 2026 Table 36'!5:5,0))</f>
        <v>97.186310000000006</v>
      </c>
      <c r="O8" s="82">
        <f>INDEX('AEO 2026 Table 36'!9:9,MATCH(O6,'AEO 2026 Table 36'!5:5,0))</f>
        <v>98.185883000000004</v>
      </c>
      <c r="P8" s="82">
        <f>INDEX('AEO 2026 Table 36'!9:9,MATCH(P6,'AEO 2026 Table 36'!5:5,0))</f>
        <v>98.702483999999998</v>
      </c>
      <c r="Q8" s="82">
        <f>INDEX('AEO 2026 Table 36'!9:9,MATCH(Q6,'AEO 2026 Table 36'!5:5,0))</f>
        <v>98.972831999999997</v>
      </c>
      <c r="R8" s="82">
        <f>INDEX('AEO 2026 Table 36'!9:9,MATCH(R6,'AEO 2026 Table 36'!5:5,0))</f>
        <v>99.315505999999999</v>
      </c>
      <c r="S8" s="82">
        <f>INDEX('AEO 2026 Table 36'!9:9,MATCH(S6,'AEO 2026 Table 36'!5:5,0))</f>
        <v>99.693588000000005</v>
      </c>
      <c r="T8" s="82">
        <f>INDEX('AEO 2026 Table 36'!9:9,MATCH(T6,'AEO 2026 Table 36'!5:5,0))</f>
        <v>99.923843000000005</v>
      </c>
      <c r="U8" s="82">
        <f>INDEX('AEO 2026 Table 36'!9:9,MATCH(U6,'AEO 2026 Table 36'!5:5,0))</f>
        <v>100.389343</v>
      </c>
      <c r="V8" s="82">
        <f>INDEX('AEO 2026 Table 36'!9:9,MATCH(V6,'AEO 2026 Table 36'!5:5,0))</f>
        <v>100.061111</v>
      </c>
      <c r="W8" s="82">
        <f>INDEX('AEO 2026 Table 36'!9:9,MATCH(W6,'AEO 2026 Table 36'!5:5,0))</f>
        <v>100.06064600000001</v>
      </c>
      <c r="X8" s="82">
        <f>INDEX('AEO 2026 Table 36'!9:9,MATCH(X6,'AEO 2026 Table 36'!5:5,0))</f>
        <v>100.44982899999999</v>
      </c>
      <c r="Y8" s="82">
        <f>INDEX('AEO 2026 Table 36'!9:9,MATCH(Y6,'AEO 2026 Table 36'!5:5,0))</f>
        <v>100.452271</v>
      </c>
      <c r="Z8" s="82">
        <f>INDEX('AEO 2026 Table 36'!9:9,MATCH(Z6,'AEO 2026 Table 36'!5:5,0))</f>
        <v>100.467659</v>
      </c>
      <c r="AA8" s="82">
        <f>INDEX('AEO 2026 Table 36'!9:9,MATCH(AA6,'AEO 2026 Table 36'!5:5,0))</f>
        <v>100.442627</v>
      </c>
      <c r="AB8" s="82">
        <f>INDEX('AEO 2026 Table 36'!9:9,MATCH(AB6,'AEO 2026 Table 36'!5:5,0))</f>
        <v>100.247101</v>
      </c>
      <c r="AC8" s="82">
        <f>INDEX('AEO 2026 Table 36'!9:9,MATCH(AC6,'AEO 2026 Table 36'!5:5,0))</f>
        <v>99.610923999999997</v>
      </c>
      <c r="AD8" s="82">
        <f>INDEX('AEO 2026 Table 36'!9:9,MATCH(AD6,'AEO 2026 Table 36'!5:5,0))</f>
        <v>99.613799999999998</v>
      </c>
      <c r="AE8" s="82">
        <f>INDEX('AEO 2026 Table 36'!9:9,MATCH(AE6,'AEO 2026 Table 36'!5:5,0))</f>
        <v>99.622253000000001</v>
      </c>
      <c r="AF8" s="3"/>
      <c r="AG8" s="3"/>
      <c r="AH8" s="3"/>
    </row>
    <row r="9" spans="1:34">
      <c r="A9" t="s">
        <v>31</v>
      </c>
      <c r="B9" t="s">
        <v>30</v>
      </c>
      <c r="C9" t="s">
        <v>25</v>
      </c>
      <c r="D9" s="3">
        <f>INDEX('AEO 2023 Table 36 '!27:27,MATCH(D$6,'AEO 2023 Table 36 '!$13:$13,0))</f>
        <v>286.82144199999999</v>
      </c>
      <c r="E9" s="82">
        <f>INDEX('AEO 2025 Table 36'!17:17,MATCH(E6,'AEO 2025 Table 36'!5:5,0))</f>
        <v>259.73095699999999</v>
      </c>
      <c r="F9" s="82">
        <f>INDEX('AEO 2026 Table 36'!17:17,MATCH(F6,'AEO 2026 Table 36'!5:5,0))</f>
        <v>299.291809</v>
      </c>
      <c r="G9" s="82">
        <f>INDEX('AEO 2026 Table 36'!17:17,MATCH(G6,'AEO 2026 Table 36'!5:5,0))</f>
        <v>293.97872899999999</v>
      </c>
      <c r="H9" s="82">
        <f>INDEX('AEO 2026 Table 36'!17:17,MATCH(H6,'AEO 2026 Table 36'!5:5,0))</f>
        <v>290.41101099999997</v>
      </c>
      <c r="I9" s="82">
        <f>INDEX('AEO 2026 Table 36'!17:17,MATCH(I6,'AEO 2026 Table 36'!5:5,0))</f>
        <v>284.13113399999997</v>
      </c>
      <c r="J9" s="82">
        <f>INDEX('AEO 2026 Table 36'!17:17,MATCH(J6,'AEO 2026 Table 36'!5:5,0))</f>
        <v>277.12383999999997</v>
      </c>
      <c r="K9" s="82">
        <f>INDEX('AEO 2026 Table 36'!17:17,MATCH(K6,'AEO 2026 Table 36'!5:5,0))</f>
        <v>269.96878099999998</v>
      </c>
      <c r="L9" s="82">
        <f>INDEX('AEO 2026 Table 36'!17:17,MATCH(L6,'AEO 2026 Table 36'!5:5,0))</f>
        <v>261.87439000000001</v>
      </c>
      <c r="M9" s="82">
        <f>INDEX('AEO 2026 Table 36'!17:17,MATCH(M6,'AEO 2026 Table 36'!5:5,0))</f>
        <v>254.13043200000001</v>
      </c>
      <c r="N9" s="82">
        <f>INDEX('AEO 2026 Table 36'!17:17,MATCH(N6,'AEO 2026 Table 36'!5:5,0))</f>
        <v>246.181015</v>
      </c>
      <c r="O9" s="82">
        <f>INDEX('AEO 2026 Table 36'!17:17,MATCH(O6,'AEO 2026 Table 36'!5:5,0))</f>
        <v>238.214584</v>
      </c>
      <c r="P9" s="82">
        <f>INDEX('AEO 2026 Table 36'!17:17,MATCH(P6,'AEO 2026 Table 36'!5:5,0))</f>
        <v>229.89151000000001</v>
      </c>
      <c r="Q9" s="82">
        <f>INDEX('AEO 2026 Table 36'!17:17,MATCH(Q6,'AEO 2026 Table 36'!5:5,0))</f>
        <v>221.6362</v>
      </c>
      <c r="R9" s="82">
        <f>INDEX('AEO 2026 Table 36'!17:17,MATCH(R6,'AEO 2026 Table 36'!5:5,0))</f>
        <v>213.491837</v>
      </c>
      <c r="S9" s="82">
        <f>INDEX('AEO 2026 Table 36'!17:17,MATCH(S6,'AEO 2026 Table 36'!5:5,0))</f>
        <v>205.51565600000001</v>
      </c>
      <c r="T9" s="82">
        <f>INDEX('AEO 2026 Table 36'!17:17,MATCH(T6,'AEO 2026 Table 36'!5:5,0))</f>
        <v>197.549881</v>
      </c>
      <c r="U9" s="82">
        <f>INDEX('AEO 2026 Table 36'!17:17,MATCH(U6,'AEO 2026 Table 36'!5:5,0))</f>
        <v>189.86331200000001</v>
      </c>
      <c r="V9" s="82">
        <f>INDEX('AEO 2026 Table 36'!17:17,MATCH(V6,'AEO 2026 Table 36'!5:5,0))</f>
        <v>180.72155799999999</v>
      </c>
      <c r="W9" s="82">
        <f>INDEX('AEO 2026 Table 36'!17:17,MATCH(W6,'AEO 2026 Table 36'!5:5,0))</f>
        <v>171.83938599999999</v>
      </c>
      <c r="X9" s="82">
        <f>INDEX('AEO 2026 Table 36'!17:17,MATCH(X6,'AEO 2026 Table 36'!5:5,0))</f>
        <v>163.37292500000001</v>
      </c>
      <c r="Y9" s="82">
        <f>INDEX('AEO 2026 Table 36'!17:17,MATCH(Y6,'AEO 2026 Table 36'!5:5,0))</f>
        <v>154.797943</v>
      </c>
      <c r="Z9" s="82">
        <f>INDEX('AEO 2026 Table 36'!17:17,MATCH(Z6,'AEO 2026 Table 36'!5:5,0))</f>
        <v>147.02720600000001</v>
      </c>
      <c r="AA9" s="82">
        <f>INDEX('AEO 2026 Table 36'!17:17,MATCH(AA6,'AEO 2026 Table 36'!5:5,0))</f>
        <v>139.39381399999999</v>
      </c>
      <c r="AB9" s="82">
        <f>INDEX('AEO 2026 Table 36'!17:17,MATCH(AB6,'AEO 2026 Table 36'!5:5,0))</f>
        <v>132.756516</v>
      </c>
      <c r="AC9" s="82">
        <f>INDEX('AEO 2026 Table 36'!17:17,MATCH(AC6,'AEO 2026 Table 36'!5:5,0))</f>
        <v>125.813301</v>
      </c>
      <c r="AD9" s="82">
        <f>INDEX('AEO 2026 Table 36'!17:17,MATCH(AD6,'AEO 2026 Table 36'!5:5,0))</f>
        <v>119.022667</v>
      </c>
      <c r="AE9" s="82">
        <f>INDEX('AEO 2026 Table 36'!17:17,MATCH(AE6,'AEO 2026 Table 36'!5:5,0))</f>
        <v>112.49728399999999</v>
      </c>
      <c r="AF9" s="3"/>
      <c r="AG9" s="3"/>
      <c r="AH9" s="3"/>
    </row>
    <row r="10" spans="1:34">
      <c r="A10" t="s">
        <v>31</v>
      </c>
      <c r="B10" t="s">
        <v>33</v>
      </c>
      <c r="C10" t="s">
        <v>25</v>
      </c>
      <c r="D10" s="3">
        <f>SUM(INDEX('AEO 2023 Table 36 '!74:74,MATCH(D$6,'AEO 2023 Table 36 '!$13:$13,0)),INDEX('AEO 2023 Table 36 '!82:82,MATCH(D$6,'AEO 2023 Table 36 '!$13:$13,0)),INDEX('AEO 2023 Table 36 '!90:90,MATCH(D$6,'AEO 2023 Table 36 '!$13:$13,0)))</f>
        <v>160.64598699999999</v>
      </c>
      <c r="E10" s="82">
        <f>SUM('AEO 2025 Table 36'!F56,'AEO 2025 Table 36'!F64,'AEO 2025 Table 36'!F72)</f>
        <v>152.212323</v>
      </c>
      <c r="F10" s="82">
        <f>SUM('AEO 2026 Table 36'!E56,'AEO 2026 Table 36'!E64,'AEO 2026 Table 36'!E72)</f>
        <v>8.8267779999999991</v>
      </c>
      <c r="G10" s="82">
        <f>SUM('AEO 2026 Table 36'!F56,'AEO 2026 Table 36'!F64,'AEO 2026 Table 36'!F72)</f>
        <v>8.7406140000000008</v>
      </c>
      <c r="H10" s="82">
        <f>SUM('AEO 2026 Table 36'!G56,'AEO 2026 Table 36'!G64,'AEO 2026 Table 36'!G72)</f>
        <v>8.6419309999999996</v>
      </c>
      <c r="I10" s="82">
        <f>SUM('AEO 2026 Table 36'!H56,'AEO 2026 Table 36'!H64,'AEO 2026 Table 36'!H72)</f>
        <v>8.5467949999999995</v>
      </c>
      <c r="J10" s="82">
        <f>SUM('AEO 2026 Table 36'!I56,'AEO 2026 Table 36'!I64,'AEO 2026 Table 36'!I72)</f>
        <v>8.4501249999999999</v>
      </c>
      <c r="K10" s="82">
        <f>SUM('AEO 2026 Table 36'!J56,'AEO 2026 Table 36'!J64,'AEO 2026 Table 36'!J72)</f>
        <v>8.3467210000000005</v>
      </c>
      <c r="L10" s="82">
        <f>SUM('AEO 2026 Table 36'!K56,'AEO 2026 Table 36'!K64,'AEO 2026 Table 36'!K72)</f>
        <v>8.2363669999999995</v>
      </c>
      <c r="M10" s="82">
        <f>SUM('AEO 2026 Table 36'!L56,'AEO 2026 Table 36'!L64,'AEO 2026 Table 36'!L72)</f>
        <v>8.1258850000000002</v>
      </c>
      <c r="N10" s="82">
        <f>SUM('AEO 2026 Table 36'!M56,'AEO 2026 Table 36'!M64,'AEO 2026 Table 36'!M72)</f>
        <v>8.0303350000000009</v>
      </c>
      <c r="O10" s="82">
        <f>SUM('AEO 2026 Table 36'!N56,'AEO 2026 Table 36'!N64,'AEO 2026 Table 36'!N72)</f>
        <v>7.9364129999999999</v>
      </c>
      <c r="P10" s="82">
        <f>SUM('AEO 2026 Table 36'!O56,'AEO 2026 Table 36'!O64,'AEO 2026 Table 36'!O72)</f>
        <v>7.8509140000000004</v>
      </c>
      <c r="Q10" s="82">
        <f>SUM('AEO 2026 Table 36'!P56,'AEO 2026 Table 36'!P64,'AEO 2026 Table 36'!P72)</f>
        <v>7.775798</v>
      </c>
      <c r="R10" s="82">
        <f>SUM('AEO 2026 Table 36'!Q56,'AEO 2026 Table 36'!Q64,'AEO 2026 Table 36'!Q72)</f>
        <v>7.706817</v>
      </c>
      <c r="S10" s="82">
        <f>SUM('AEO 2026 Table 36'!R56,'AEO 2026 Table 36'!R64,'AEO 2026 Table 36'!R72)</f>
        <v>7.6335220000000001</v>
      </c>
      <c r="T10" s="82">
        <f>SUM('AEO 2026 Table 36'!S56,'AEO 2026 Table 36'!S64,'AEO 2026 Table 36'!S72)</f>
        <v>7.5670480000000007</v>
      </c>
      <c r="U10" s="82">
        <f>SUM('AEO 2026 Table 36'!T56,'AEO 2026 Table 36'!T64,'AEO 2026 Table 36'!T72)</f>
        <v>7.5018569999999993</v>
      </c>
      <c r="V10" s="82">
        <f>SUM('AEO 2026 Table 36'!U56,'AEO 2026 Table 36'!U64,'AEO 2026 Table 36'!U72)</f>
        <v>7.4288369999999997</v>
      </c>
      <c r="W10" s="82">
        <f>SUM('AEO 2026 Table 36'!V56,'AEO 2026 Table 36'!V64,'AEO 2026 Table 36'!V72)</f>
        <v>7.355232</v>
      </c>
      <c r="X10" s="82">
        <f>SUM('AEO 2026 Table 36'!W56,'AEO 2026 Table 36'!W64,'AEO 2026 Table 36'!W72)</f>
        <v>7.2773499999999993</v>
      </c>
      <c r="Y10" s="82">
        <f>SUM('AEO 2026 Table 36'!X56,'AEO 2026 Table 36'!X64,'AEO 2026 Table 36'!X72)</f>
        <v>7.1983070000000007</v>
      </c>
      <c r="Z10" s="82">
        <f>SUM('AEO 2026 Table 36'!Y56,'AEO 2026 Table 36'!Y64,'AEO 2026 Table 36'!Y72)</f>
        <v>7.1185980000000004</v>
      </c>
      <c r="AA10" s="82">
        <f>SUM('AEO 2026 Table 36'!Z56,'AEO 2026 Table 36'!Z64,'AEO 2026 Table 36'!Z72)</f>
        <v>7.0369660000000005</v>
      </c>
      <c r="AB10" s="82">
        <f>SUM('AEO 2026 Table 36'!AA56,'AEO 2026 Table 36'!AA64,'AEO 2026 Table 36'!AA72)</f>
        <v>6.9574420000000003</v>
      </c>
      <c r="AC10" s="82">
        <f>SUM('AEO 2026 Table 36'!AB56,'AEO 2026 Table 36'!AB64,'AEO 2026 Table 36'!AB72)</f>
        <v>6.8747419999999995</v>
      </c>
      <c r="AD10" s="82">
        <f>SUM('AEO 2026 Table 36'!AC56,'AEO 2026 Table 36'!AC64,'AEO 2026 Table 36'!AC72)</f>
        <v>6.7921259999999997</v>
      </c>
      <c r="AE10" s="82">
        <f>SUM('AEO 2026 Table 36'!AD56,'AEO 2026 Table 36'!AD64,'AEO 2026 Table 36'!AD72)</f>
        <v>6.7077530000000003</v>
      </c>
      <c r="AF10" s="3"/>
      <c r="AG10" s="3"/>
      <c r="AH10" s="3"/>
    </row>
    <row r="11" spans="1:34">
      <c r="A11" t="s">
        <v>31</v>
      </c>
      <c r="B11" t="s">
        <v>34</v>
      </c>
      <c r="C11" t="s">
        <v>25</v>
      </c>
      <c r="D11" s="3">
        <f>INDEX('AEO 2023 Table 36 '!35:35,MATCH(D$6,'AEO 2023 Table 36 '!$13:$13,0))</f>
        <v>5150.2441410000001</v>
      </c>
      <c r="E11" s="93">
        <f>'AEO 2025 Table 36'!F24</f>
        <v>5262.0546880000002</v>
      </c>
      <c r="F11" s="93">
        <f>'AEO 2026 Table 36'!E24</f>
        <v>5089.9453119999998</v>
      </c>
      <c r="G11" s="93">
        <f>'AEO 2026 Table 36'!F24</f>
        <v>5069.2553710000002</v>
      </c>
      <c r="H11" s="93">
        <f>'AEO 2026 Table 36'!G24</f>
        <v>5054.080078</v>
      </c>
      <c r="I11" s="93">
        <f>'AEO 2026 Table 36'!H24</f>
        <v>5036.8564450000003</v>
      </c>
      <c r="J11" s="93">
        <f>'AEO 2026 Table 36'!I24</f>
        <v>5011.5766599999997</v>
      </c>
      <c r="K11" s="93">
        <f>'AEO 2026 Table 36'!J24</f>
        <v>4999.5068359999996</v>
      </c>
      <c r="L11" s="93">
        <f>'AEO 2026 Table 36'!K24</f>
        <v>4971.6215819999998</v>
      </c>
      <c r="M11" s="93">
        <f>'AEO 2026 Table 36'!L24</f>
        <v>4938.0146480000003</v>
      </c>
      <c r="N11" s="93">
        <f>'AEO 2026 Table 36'!M24</f>
        <v>4894.7885740000002</v>
      </c>
      <c r="O11" s="93">
        <f>'AEO 2026 Table 36'!N24</f>
        <v>4861.720703</v>
      </c>
      <c r="P11" s="93">
        <f>'AEO 2026 Table 36'!O24</f>
        <v>4832.5097660000001</v>
      </c>
      <c r="Q11" s="93">
        <f>'AEO 2026 Table 36'!P24</f>
        <v>4805.4223629999997</v>
      </c>
      <c r="R11" s="93">
        <f>'AEO 2026 Table 36'!Q24</f>
        <v>4781.3442379999997</v>
      </c>
      <c r="S11" s="93">
        <f>'AEO 2026 Table 36'!R24</f>
        <v>4758.4272460000002</v>
      </c>
      <c r="T11" s="93">
        <f>'AEO 2026 Table 36'!S24</f>
        <v>4737.2749020000001</v>
      </c>
      <c r="U11" s="93">
        <f>'AEO 2026 Table 36'!T24</f>
        <v>4720.2929690000001</v>
      </c>
      <c r="V11" s="93">
        <f>'AEO 2026 Table 36'!U24</f>
        <v>4704.6191410000001</v>
      </c>
      <c r="W11" s="93">
        <f>'AEO 2026 Table 36'!V24</f>
        <v>4690.0444340000004</v>
      </c>
      <c r="X11" s="93">
        <f>'AEO 2026 Table 36'!W24</f>
        <v>4673.8061520000001</v>
      </c>
      <c r="Y11" s="93">
        <f>'AEO 2026 Table 36'!X24</f>
        <v>4660.3203119999998</v>
      </c>
      <c r="Z11" s="93">
        <f>'AEO 2026 Table 36'!Y24</f>
        <v>4654.5239259999998</v>
      </c>
      <c r="AA11" s="93">
        <f>'AEO 2026 Table 36'!Z24</f>
        <v>4651.3452150000003</v>
      </c>
      <c r="AB11" s="93">
        <f>'AEO 2026 Table 36'!AA24</f>
        <v>4648.734375</v>
      </c>
      <c r="AC11" s="93">
        <f>'AEO 2026 Table 36'!AB24</f>
        <v>4638.9516599999997</v>
      </c>
      <c r="AD11" s="93">
        <f>'AEO 2026 Table 36'!AC24</f>
        <v>4629.5668949999999</v>
      </c>
      <c r="AE11" s="93">
        <f>'AEO 2026 Table 36'!AD24</f>
        <v>4617.7749020000001</v>
      </c>
      <c r="AF11" s="3"/>
      <c r="AG11" s="3"/>
      <c r="AH11" s="3"/>
    </row>
    <row r="12" spans="1:34">
      <c r="A12" t="s">
        <v>31</v>
      </c>
      <c r="B12" t="s">
        <v>35</v>
      </c>
      <c r="C12" t="s">
        <v>25</v>
      </c>
      <c r="D12" s="3">
        <f>SUM(INDEX('AEO 2023 Table 36 '!98:98,MATCH(D$6,'AEO 2023 Table 36 '!$13:$13,0)),INDEX('AEO 2023 Table 36 '!105:105,MATCH(D$6,'AEO 2023 Table 36 '!$13:$13,0)))</f>
        <v>20.019555</v>
      </c>
      <c r="E12" s="82">
        <f>SUM('AEO 2025 Table 36'!F80,'AEO 2025 Table 36'!F87)</f>
        <v>20.809967</v>
      </c>
      <c r="F12" s="82">
        <f>SUM('AEO 2026 Table 36'!E80,'AEO 2026 Table 36'!E87)</f>
        <v>104.578191</v>
      </c>
      <c r="G12" s="82">
        <f>SUM('AEO 2026 Table 36'!F80,'AEO 2026 Table 36'!F87)</f>
        <v>105.22932499999999</v>
      </c>
      <c r="H12" s="82">
        <f>SUM('AEO 2026 Table 36'!G80,'AEO 2026 Table 36'!G87)</f>
        <v>105.827112</v>
      </c>
      <c r="I12" s="82">
        <f>SUM('AEO 2026 Table 36'!H80,'AEO 2026 Table 36'!H87)</f>
        <v>106.49281400000001</v>
      </c>
      <c r="J12" s="82">
        <f>SUM('AEO 2026 Table 36'!I80,'AEO 2026 Table 36'!I87)</f>
        <v>107.12651700000001</v>
      </c>
      <c r="K12" s="82">
        <f>SUM('AEO 2026 Table 36'!J80,'AEO 2026 Table 36'!J87)</f>
        <v>107.807829</v>
      </c>
      <c r="L12" s="82">
        <f>SUM('AEO 2026 Table 36'!K80,'AEO 2026 Table 36'!K87)</f>
        <v>108.387631</v>
      </c>
      <c r="M12" s="82">
        <f>SUM('AEO 2026 Table 36'!L80,'AEO 2026 Table 36'!L87)</f>
        <v>108.92840200000001</v>
      </c>
      <c r="N12" s="82">
        <f>SUM('AEO 2026 Table 36'!M80,'AEO 2026 Table 36'!M87)</f>
        <v>109.459253</v>
      </c>
      <c r="O12" s="82">
        <f>SUM('AEO 2026 Table 36'!N80,'AEO 2026 Table 36'!N87)</f>
        <v>109.92746700000001</v>
      </c>
      <c r="P12" s="82">
        <f>SUM('AEO 2026 Table 36'!O80,'AEO 2026 Table 36'!O87)</f>
        <v>110.46048900000001</v>
      </c>
      <c r="Q12" s="82">
        <f>SUM('AEO 2026 Table 36'!P80,'AEO 2026 Table 36'!P87)</f>
        <v>110.907173</v>
      </c>
      <c r="R12" s="82">
        <f>SUM('AEO 2026 Table 36'!Q80,'AEO 2026 Table 36'!Q87)</f>
        <v>111.378432</v>
      </c>
      <c r="S12" s="82">
        <f>SUM('AEO 2026 Table 36'!R80,'AEO 2026 Table 36'!R87)</f>
        <v>111.815945</v>
      </c>
      <c r="T12" s="82">
        <f>SUM('AEO 2026 Table 36'!S80,'AEO 2026 Table 36'!S87)</f>
        <v>112.191202</v>
      </c>
      <c r="U12" s="82">
        <f>SUM('AEO 2026 Table 36'!T80,'AEO 2026 Table 36'!T87)</f>
        <v>112.56690800000001</v>
      </c>
      <c r="V12" s="82">
        <f>SUM('AEO 2026 Table 36'!U80,'AEO 2026 Table 36'!U87)</f>
        <v>112.88892800000001</v>
      </c>
      <c r="W12" s="82">
        <f>SUM('AEO 2026 Table 36'!V80,'AEO 2026 Table 36'!V87)</f>
        <v>113.19380799999999</v>
      </c>
      <c r="X12" s="82">
        <f>SUM('AEO 2026 Table 36'!W80,'AEO 2026 Table 36'!W87)</f>
        <v>113.43830600000001</v>
      </c>
      <c r="Y12" s="82">
        <f>SUM('AEO 2026 Table 36'!X80,'AEO 2026 Table 36'!X87)</f>
        <v>113.691981</v>
      </c>
      <c r="Z12" s="82">
        <f>SUM('AEO 2026 Table 36'!Y80,'AEO 2026 Table 36'!Y87)</f>
        <v>113.977434</v>
      </c>
      <c r="AA12" s="82">
        <f>SUM('AEO 2026 Table 36'!Z80,'AEO 2026 Table 36'!Z87)</f>
        <v>114.226495</v>
      </c>
      <c r="AB12" s="82">
        <f>SUM('AEO 2026 Table 36'!AA80,'AEO 2026 Table 36'!AA87)</f>
        <v>114.50417399999999</v>
      </c>
      <c r="AC12" s="82">
        <f>SUM('AEO 2026 Table 36'!AB80,'AEO 2026 Table 36'!AB87)</f>
        <v>114.70642599999999</v>
      </c>
      <c r="AD12" s="82">
        <f>SUM('AEO 2026 Table 36'!AC80,'AEO 2026 Table 36'!AC87)</f>
        <v>114.901894</v>
      </c>
      <c r="AE12" s="82">
        <f>SUM('AEO 2026 Table 36'!AD80,'AEO 2026 Table 36'!AD87)</f>
        <v>115.06717399999999</v>
      </c>
      <c r="AF12" s="3"/>
      <c r="AG12" s="3"/>
      <c r="AH12" s="3"/>
    </row>
    <row r="13" spans="1:34">
      <c r="A13" t="s">
        <v>31</v>
      </c>
      <c r="B13" t="s">
        <v>36</v>
      </c>
      <c r="C13" t="s">
        <v>25</v>
      </c>
      <c r="D13" s="3">
        <f>INDEX('AEO 2023 Table 36 '!44:44,MATCH(D$6,'AEO 2023 Table 36 '!$13:$13,0))</f>
        <v>473.79251099999999</v>
      </c>
      <c r="E13" s="93">
        <f>'AEO 2025 Table 36'!F31</f>
        <v>434.230682</v>
      </c>
      <c r="F13" s="93">
        <f>'AEO 2026 Table 36'!E31</f>
        <v>468.92568999999997</v>
      </c>
      <c r="G13" s="93">
        <f>'AEO 2026 Table 36'!F31</f>
        <v>458.27090500000003</v>
      </c>
      <c r="H13" s="93">
        <f>'AEO 2026 Table 36'!G31</f>
        <v>473.03973400000001</v>
      </c>
      <c r="I13" s="93">
        <f>'AEO 2026 Table 36'!H31</f>
        <v>463.32836900000001</v>
      </c>
      <c r="J13" s="93">
        <f>'AEO 2026 Table 36'!I31</f>
        <v>459.65716600000002</v>
      </c>
      <c r="K13" s="93">
        <f>'AEO 2026 Table 36'!J31</f>
        <v>462.70059199999997</v>
      </c>
      <c r="L13" s="93">
        <f>'AEO 2026 Table 36'!K31</f>
        <v>450.84088100000002</v>
      </c>
      <c r="M13" s="93">
        <f>'AEO 2026 Table 36'!L31</f>
        <v>452.73818999999997</v>
      </c>
      <c r="N13" s="93">
        <f>'AEO 2026 Table 36'!M31</f>
        <v>454.70459</v>
      </c>
      <c r="O13" s="93">
        <f>'AEO 2026 Table 36'!N31</f>
        <v>453.41677900000002</v>
      </c>
      <c r="P13" s="93">
        <f>'AEO 2026 Table 36'!O31</f>
        <v>454.898865</v>
      </c>
      <c r="Q13" s="93">
        <f>'AEO 2026 Table 36'!P31</f>
        <v>455.97616599999998</v>
      </c>
      <c r="R13" s="93">
        <f>'AEO 2026 Table 36'!Q31</f>
        <v>457.70022599999999</v>
      </c>
      <c r="S13" s="93">
        <f>'AEO 2026 Table 36'!R31</f>
        <v>457.88241599999998</v>
      </c>
      <c r="T13" s="93">
        <f>'AEO 2026 Table 36'!S31</f>
        <v>458.80032299999999</v>
      </c>
      <c r="U13" s="93">
        <f>'AEO 2026 Table 36'!T31</f>
        <v>459.24939000000001</v>
      </c>
      <c r="V13" s="93">
        <f>'AEO 2026 Table 36'!U31</f>
        <v>458.83017000000001</v>
      </c>
      <c r="W13" s="93">
        <f>'AEO 2026 Table 36'!V31</f>
        <v>457.40924100000001</v>
      </c>
      <c r="X13" s="93">
        <f>'AEO 2026 Table 36'!W31</f>
        <v>456.28689600000001</v>
      </c>
      <c r="Y13" s="93">
        <f>'AEO 2026 Table 36'!X31</f>
        <v>456.329407</v>
      </c>
      <c r="Z13" s="93">
        <f>'AEO 2026 Table 36'!Y31</f>
        <v>456.08932499999997</v>
      </c>
      <c r="AA13" s="93">
        <f>'AEO 2026 Table 36'!Z31</f>
        <v>457.03701799999999</v>
      </c>
      <c r="AB13" s="93">
        <f>'AEO 2026 Table 36'!AA31</f>
        <v>459.72207600000002</v>
      </c>
      <c r="AC13" s="93">
        <f>'AEO 2026 Table 36'!AB31</f>
        <v>461.17038000000002</v>
      </c>
      <c r="AD13" s="93">
        <f>'AEO 2026 Table 36'!AC31</f>
        <v>459.84771699999999</v>
      </c>
      <c r="AE13" s="93">
        <f>'AEO 2026 Table 36'!AD31</f>
        <v>458.83840900000001</v>
      </c>
      <c r="AF13" s="3"/>
      <c r="AG13" s="3"/>
      <c r="AH13" s="3"/>
    </row>
    <row r="14" spans="1:34">
      <c r="A14" t="s">
        <v>31</v>
      </c>
      <c r="B14" t="s">
        <v>37</v>
      </c>
      <c r="C14" t="s">
        <v>25</v>
      </c>
      <c r="D14" s="3">
        <f>INDEX('AEO 2023 Table 36 '!111:111,MATCH(D$6,'AEO 2023 Table 36 '!$13:$13,0))</f>
        <v>38.775948</v>
      </c>
      <c r="E14" s="82">
        <f>'AEO 2025 Table 36'!F92</f>
        <v>40.690426000000002</v>
      </c>
      <c r="F14" s="82">
        <f>'AEO 2026 Table 36'!E92</f>
        <v>0</v>
      </c>
      <c r="G14" s="82">
        <f>'AEO 2026 Table 36'!F92</f>
        <v>0</v>
      </c>
      <c r="H14" s="82">
        <f>'AEO 2026 Table 36'!G92</f>
        <v>0</v>
      </c>
      <c r="I14" s="82">
        <f>'AEO 2026 Table 36'!H92</f>
        <v>0</v>
      </c>
      <c r="J14" s="82">
        <f>'AEO 2026 Table 36'!I92</f>
        <v>0</v>
      </c>
      <c r="K14" s="82">
        <f>'AEO 2026 Table 36'!J92</f>
        <v>0</v>
      </c>
      <c r="L14" s="82">
        <f>'AEO 2026 Table 36'!K92</f>
        <v>0</v>
      </c>
      <c r="M14" s="82">
        <f>'AEO 2026 Table 36'!L92</f>
        <v>0</v>
      </c>
      <c r="N14" s="82">
        <f>'AEO 2026 Table 36'!M92</f>
        <v>0</v>
      </c>
      <c r="O14" s="82">
        <f>'AEO 2026 Table 36'!N92</f>
        <v>0</v>
      </c>
      <c r="P14" s="82">
        <f>'AEO 2026 Table 36'!O92</f>
        <v>0</v>
      </c>
      <c r="Q14" s="82">
        <f>'AEO 2026 Table 36'!P92</f>
        <v>0</v>
      </c>
      <c r="R14" s="82">
        <f>'AEO 2026 Table 36'!Q92</f>
        <v>0</v>
      </c>
      <c r="S14" s="82">
        <f>'AEO 2026 Table 36'!R92</f>
        <v>0</v>
      </c>
      <c r="T14" s="82">
        <f>'AEO 2026 Table 36'!S92</f>
        <v>0</v>
      </c>
      <c r="U14" s="82">
        <f>'AEO 2026 Table 36'!T92</f>
        <v>0</v>
      </c>
      <c r="V14" s="82">
        <f>'AEO 2026 Table 36'!U92</f>
        <v>0</v>
      </c>
      <c r="W14" s="82">
        <f>'AEO 2026 Table 36'!V92</f>
        <v>0</v>
      </c>
      <c r="X14" s="82">
        <f>'AEO 2026 Table 36'!W92</f>
        <v>0</v>
      </c>
      <c r="Y14" s="82">
        <f>'AEO 2026 Table 36'!X92</f>
        <v>0</v>
      </c>
      <c r="Z14" s="82">
        <f>'AEO 2026 Table 36'!Y92</f>
        <v>0</v>
      </c>
      <c r="AA14" s="82">
        <f>'AEO 2026 Table 36'!Z92</f>
        <v>0</v>
      </c>
      <c r="AB14" s="82">
        <f>'AEO 2026 Table 36'!AA92</f>
        <v>0</v>
      </c>
      <c r="AC14" s="82">
        <f>'AEO 2026 Table 36'!AB92</f>
        <v>0</v>
      </c>
      <c r="AD14" s="82">
        <f>'AEO 2026 Table 36'!AC92</f>
        <v>0</v>
      </c>
      <c r="AE14" s="82">
        <f>'AEO 2026 Table 36'!AD92</f>
        <v>0</v>
      </c>
      <c r="AF14" s="3"/>
      <c r="AG14" s="3"/>
      <c r="AH14" s="3"/>
    </row>
    <row r="15" spans="1:34">
      <c r="A15" t="s">
        <v>31</v>
      </c>
      <c r="B15" t="s">
        <v>38</v>
      </c>
      <c r="C15" t="s">
        <v>25</v>
      </c>
      <c r="D15" s="3">
        <f>SUM(INDEX('AEO 2023 Table 36 '!50:50,MATCH(D$6,'AEO 2023 Table 36 '!$13:$13,0)),INDEX('AEO 2023 Table 36 '!56:56,MATCH(D$6,'AEO 2023 Table 36 '!$13:$13,0)))</f>
        <v>414.624618</v>
      </c>
      <c r="E15" s="3">
        <f>SUM('AEO 2025 Table 36'!F36,'AEO 2025 Table 36'!F41)</f>
        <v>288.07759900000002</v>
      </c>
      <c r="F15" s="3">
        <f>SUM('AEO 2026 Table 36'!E36,'AEO 2026 Table 36'!E41)</f>
        <v>0</v>
      </c>
      <c r="G15" s="3">
        <f>SUM('AEO 2026 Table 36'!F36,'AEO 2026 Table 36'!F41)</f>
        <v>0</v>
      </c>
      <c r="H15" s="3">
        <f>SUM('AEO 2026 Table 36'!G36,'AEO 2026 Table 36'!G41)</f>
        <v>0</v>
      </c>
      <c r="I15" s="3">
        <f>SUM('AEO 2026 Table 36'!H36,'AEO 2026 Table 36'!H41)</f>
        <v>0</v>
      </c>
      <c r="J15" s="3">
        <f>SUM('AEO 2026 Table 36'!I36,'AEO 2026 Table 36'!I41)</f>
        <v>0</v>
      </c>
      <c r="K15" s="3">
        <f>SUM('AEO 2026 Table 36'!J36,'AEO 2026 Table 36'!J41)</f>
        <v>0</v>
      </c>
      <c r="L15" s="3">
        <f>SUM('AEO 2026 Table 36'!K36,'AEO 2026 Table 36'!K41)</f>
        <v>0</v>
      </c>
      <c r="M15" s="3">
        <f>SUM('AEO 2026 Table 36'!L36,'AEO 2026 Table 36'!L41)</f>
        <v>0</v>
      </c>
      <c r="N15" s="3">
        <f>SUM('AEO 2026 Table 36'!M36,'AEO 2026 Table 36'!M41)</f>
        <v>0</v>
      </c>
      <c r="O15" s="3">
        <f>SUM('AEO 2026 Table 36'!N36,'AEO 2026 Table 36'!N41)</f>
        <v>0</v>
      </c>
      <c r="P15" s="3">
        <f>SUM('AEO 2026 Table 36'!O36,'AEO 2026 Table 36'!O41)</f>
        <v>0</v>
      </c>
      <c r="Q15" s="3">
        <f>SUM('AEO 2026 Table 36'!P36,'AEO 2026 Table 36'!P41)</f>
        <v>0</v>
      </c>
      <c r="R15" s="3">
        <f>SUM('AEO 2026 Table 36'!Q36,'AEO 2026 Table 36'!Q41)</f>
        <v>0</v>
      </c>
      <c r="S15" s="3">
        <f>SUM('AEO 2026 Table 36'!R36,'AEO 2026 Table 36'!R41)</f>
        <v>0</v>
      </c>
      <c r="T15" s="3">
        <f>SUM('AEO 2026 Table 36'!S36,'AEO 2026 Table 36'!S41)</f>
        <v>0</v>
      </c>
      <c r="U15" s="3">
        <f>SUM('AEO 2026 Table 36'!T36,'AEO 2026 Table 36'!T41)</f>
        <v>0</v>
      </c>
      <c r="V15" s="3">
        <f>SUM('AEO 2026 Table 36'!U36,'AEO 2026 Table 36'!U41)</f>
        <v>0</v>
      </c>
      <c r="W15" s="3">
        <f>SUM('AEO 2026 Table 36'!V36,'AEO 2026 Table 36'!V41)</f>
        <v>0</v>
      </c>
      <c r="X15" s="3">
        <f>SUM('AEO 2026 Table 36'!W36,'AEO 2026 Table 36'!W41)</f>
        <v>0</v>
      </c>
      <c r="Y15" s="3">
        <f>SUM('AEO 2026 Table 36'!X36,'AEO 2026 Table 36'!X41)</f>
        <v>0</v>
      </c>
      <c r="Z15" s="3">
        <f>SUM('AEO 2026 Table 36'!Y36,'AEO 2026 Table 36'!Y41)</f>
        <v>0</v>
      </c>
      <c r="AA15" s="3">
        <f>SUM('AEO 2026 Table 36'!Z36,'AEO 2026 Table 36'!Z41)</f>
        <v>0</v>
      </c>
      <c r="AB15" s="3">
        <f>SUM('AEO 2026 Table 36'!AA36,'AEO 2026 Table 36'!AA41)</f>
        <v>0</v>
      </c>
      <c r="AC15" s="3">
        <f>SUM('AEO 2026 Table 36'!AB36,'AEO 2026 Table 36'!AB41)</f>
        <v>0</v>
      </c>
      <c r="AD15" s="3">
        <f>SUM('AEO 2026 Table 36'!AC36,'AEO 2026 Table 36'!AC41)</f>
        <v>0</v>
      </c>
      <c r="AE15" s="3">
        <f>SUM('AEO 2026 Table 36'!AD36,'AEO 2026 Table 36'!AD41)</f>
        <v>0</v>
      </c>
      <c r="AF15" s="3"/>
      <c r="AG15" s="3"/>
      <c r="AH15" s="3"/>
    </row>
    <row r="17" spans="1:36">
      <c r="A17" s="6" t="s">
        <v>39</v>
      </c>
      <c r="B17" s="7"/>
    </row>
    <row r="18" spans="1:36">
      <c r="A18" t="s">
        <v>29</v>
      </c>
      <c r="B18" s="5" t="b">
        <v>1</v>
      </c>
    </row>
    <row r="19" spans="1:36">
      <c r="A19" t="s">
        <v>30</v>
      </c>
      <c r="B19" s="5" t="b">
        <v>1</v>
      </c>
    </row>
    <row r="20" spans="1:36">
      <c r="A20" t="s">
        <v>33</v>
      </c>
      <c r="B20" s="5" t="b">
        <v>1</v>
      </c>
    </row>
    <row r="21" spans="1:36">
      <c r="A21" t="s">
        <v>34</v>
      </c>
      <c r="B21" s="5" t="b">
        <v>1</v>
      </c>
    </row>
    <row r="22" spans="1:36">
      <c r="A22" t="s">
        <v>35</v>
      </c>
      <c r="B22" s="5" t="b">
        <v>0</v>
      </c>
    </row>
    <row r="23" spans="1:36">
      <c r="A23" t="s">
        <v>36</v>
      </c>
      <c r="B23" s="5" t="b">
        <v>0</v>
      </c>
    </row>
    <row r="24" spans="1:36">
      <c r="A24" t="s">
        <v>37</v>
      </c>
      <c r="B24" s="5" t="b">
        <v>0</v>
      </c>
    </row>
    <row r="25" spans="1:36">
      <c r="A25" t="s">
        <v>38</v>
      </c>
      <c r="B25" s="5" t="b">
        <v>0</v>
      </c>
    </row>
    <row r="28" spans="1:36">
      <c r="A28" s="6" t="s">
        <v>40</v>
      </c>
      <c r="B28" s="7"/>
      <c r="C28" s="7"/>
      <c r="D28" s="7"/>
      <c r="E28" s="7"/>
      <c r="F28" s="7"/>
      <c r="G28" s="7"/>
      <c r="H28" s="7"/>
      <c r="I28" s="7"/>
      <c r="J28" s="7"/>
      <c r="K28" s="7"/>
      <c r="L28" s="7"/>
      <c r="M28" s="7"/>
      <c r="N28" s="7"/>
      <c r="O28" s="7"/>
      <c r="P28" s="7"/>
      <c r="Q28" s="7"/>
      <c r="R28" s="7"/>
      <c r="S28" s="7"/>
      <c r="T28" s="7"/>
      <c r="U28" s="7"/>
      <c r="V28" s="7"/>
      <c r="W28" s="7"/>
      <c r="X28" s="7"/>
      <c r="Y28" s="7"/>
      <c r="Z28" s="7"/>
      <c r="AA28" s="7"/>
      <c r="AB28" s="7"/>
      <c r="AC28" s="7"/>
      <c r="AD28" s="7"/>
      <c r="AE28" s="7"/>
      <c r="AF28" s="7"/>
      <c r="AG28" s="7"/>
      <c r="AH28" s="7"/>
      <c r="AI28" s="7"/>
      <c r="AJ28" s="7"/>
    </row>
    <row r="29" spans="1:36">
      <c r="B29">
        <f t="shared" ref="B29:AC29" si="0">D6</f>
        <v>2023</v>
      </c>
      <c r="C29">
        <f t="shared" si="0"/>
        <v>2024</v>
      </c>
      <c r="D29">
        <f t="shared" si="0"/>
        <v>2025</v>
      </c>
      <c r="E29">
        <f t="shared" si="0"/>
        <v>2026</v>
      </c>
      <c r="F29">
        <f t="shared" si="0"/>
        <v>2027</v>
      </c>
      <c r="G29">
        <f t="shared" si="0"/>
        <v>2028</v>
      </c>
      <c r="H29">
        <f t="shared" si="0"/>
        <v>2029</v>
      </c>
      <c r="I29">
        <f t="shared" si="0"/>
        <v>2030</v>
      </c>
      <c r="J29">
        <f t="shared" si="0"/>
        <v>2031</v>
      </c>
      <c r="K29">
        <f t="shared" si="0"/>
        <v>2032</v>
      </c>
      <c r="L29">
        <f t="shared" si="0"/>
        <v>2033</v>
      </c>
      <c r="M29">
        <f t="shared" si="0"/>
        <v>2034</v>
      </c>
      <c r="N29">
        <f t="shared" si="0"/>
        <v>2035</v>
      </c>
      <c r="O29">
        <f t="shared" si="0"/>
        <v>2036</v>
      </c>
      <c r="P29">
        <f t="shared" si="0"/>
        <v>2037</v>
      </c>
      <c r="Q29">
        <f t="shared" si="0"/>
        <v>2038</v>
      </c>
      <c r="R29">
        <f t="shared" si="0"/>
        <v>2039</v>
      </c>
      <c r="S29">
        <f t="shared" si="0"/>
        <v>2040</v>
      </c>
      <c r="T29">
        <f t="shared" si="0"/>
        <v>2041</v>
      </c>
      <c r="U29">
        <f t="shared" si="0"/>
        <v>2042</v>
      </c>
      <c r="V29">
        <f t="shared" si="0"/>
        <v>2043</v>
      </c>
      <c r="W29">
        <f t="shared" si="0"/>
        <v>2044</v>
      </c>
      <c r="X29">
        <f t="shared" si="0"/>
        <v>2045</v>
      </c>
      <c r="Y29">
        <f t="shared" si="0"/>
        <v>2046</v>
      </c>
      <c r="Z29">
        <f t="shared" si="0"/>
        <v>2047</v>
      </c>
      <c r="AA29">
        <f t="shared" si="0"/>
        <v>2048</v>
      </c>
      <c r="AB29">
        <f t="shared" si="0"/>
        <v>2049</v>
      </c>
      <c r="AC29">
        <f t="shared" si="0"/>
        <v>2050</v>
      </c>
    </row>
    <row r="30" spans="1:36">
      <c r="A30" s="1" t="s">
        <v>23</v>
      </c>
      <c r="B30" s="2">
        <f t="shared" ref="B30:AC30" si="1">D7/(SUMIFS(D8:D15,$B18:$B25,TRUE)+D7)</f>
        <v>3.2438802317246634E-2</v>
      </c>
      <c r="C30" s="2">
        <f t="shared" si="1"/>
        <v>3.9585833615893101E-2</v>
      </c>
      <c r="D30" s="2">
        <f t="shared" si="1"/>
        <v>2.6267435700706714E-2</v>
      </c>
      <c r="E30" s="2">
        <f t="shared" si="1"/>
        <v>3.1621309722213581E-2</v>
      </c>
      <c r="F30" s="2">
        <f t="shared" si="1"/>
        <v>3.033623618419894E-2</v>
      </c>
      <c r="G30" s="2">
        <f t="shared" si="1"/>
        <v>3.1341456464613789E-2</v>
      </c>
      <c r="H30" s="2">
        <f t="shared" si="1"/>
        <v>3.2072353462745715E-2</v>
      </c>
      <c r="I30" s="2">
        <f t="shared" si="1"/>
        <v>2.6683566813277972E-2</v>
      </c>
      <c r="J30" s="2">
        <f t="shared" si="1"/>
        <v>2.8110882476572851E-2</v>
      </c>
      <c r="K30" s="2">
        <f t="shared" si="1"/>
        <v>2.8872443198755857E-2</v>
      </c>
      <c r="L30" s="2">
        <f t="shared" si="1"/>
        <v>3.046784327226101E-2</v>
      </c>
      <c r="M30" s="2">
        <f t="shared" si="1"/>
        <v>3.1217849997095815E-2</v>
      </c>
      <c r="N30" s="2">
        <f t="shared" si="1"/>
        <v>3.1875348209761699E-2</v>
      </c>
      <c r="O30" s="2">
        <f t="shared" si="1"/>
        <v>3.0134406091615811E-2</v>
      </c>
      <c r="P30" s="2">
        <f t="shared" si="1"/>
        <v>3.1730954796610401E-2</v>
      </c>
      <c r="Q30" s="2">
        <f t="shared" si="1"/>
        <v>3.1605114445489989E-2</v>
      </c>
      <c r="R30" s="2">
        <f t="shared" si="1"/>
        <v>3.1293299974720641E-2</v>
      </c>
      <c r="S30" s="2">
        <f t="shared" si="1"/>
        <v>3.0940663364443025E-2</v>
      </c>
      <c r="T30" s="2">
        <f t="shared" si="1"/>
        <v>3.0538396732350235E-2</v>
      </c>
      <c r="U30" s="2">
        <f t="shared" si="1"/>
        <v>3.0125767488979882E-2</v>
      </c>
      <c r="V30" s="2">
        <f t="shared" si="1"/>
        <v>2.9689512873191E-2</v>
      </c>
      <c r="W30" s="2">
        <f t="shared" si="1"/>
        <v>2.9210252178189615E-2</v>
      </c>
      <c r="X30" s="2">
        <f t="shared" si="1"/>
        <v>2.8651889723786874E-2</v>
      </c>
      <c r="Y30" s="2">
        <f t="shared" si="1"/>
        <v>2.8048421304572007E-2</v>
      </c>
      <c r="Z30" s="2">
        <f t="shared" si="1"/>
        <v>2.7505659590338054E-2</v>
      </c>
      <c r="AA30" s="2">
        <f t="shared" si="1"/>
        <v>2.6875901212059638E-2</v>
      </c>
      <c r="AB30" s="2">
        <f>AD7/(SUMIFS(AD8:AD15,$B18:$B25,TRUE)+AD7)</f>
        <v>2.6206209262858382E-2</v>
      </c>
      <c r="AC30" s="2">
        <f t="shared" si="1"/>
        <v>2.5512830581536149E-2</v>
      </c>
      <c r="AD30" s="2"/>
      <c r="AE30" s="2"/>
      <c r="AF30" s="2"/>
      <c r="AG30" s="2"/>
    </row>
  </sheetData>
  <pageMargins left="0.7" right="0.7" top="0.75" bottom="0.75" header="0.3" footer="0.3"/>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A1:A11"/>
  <sheetViews>
    <sheetView workbookViewId="0">
      <selection activeCell="A5" sqref="A5"/>
    </sheetView>
  </sheetViews>
  <sheetFormatPr defaultRowHeight="14.25"/>
  <sheetData>
    <row r="1" spans="1:1">
      <c r="A1" t="s">
        <v>44</v>
      </c>
    </row>
    <row r="2" spans="1:1">
      <c r="A2" t="s">
        <v>45</v>
      </c>
    </row>
    <row r="4" spans="1:1">
      <c r="A4" t="s">
        <v>46</v>
      </c>
    </row>
    <row r="5" spans="1:1">
      <c r="A5">
        <v>0.55000000000000004</v>
      </c>
    </row>
    <row r="7" spans="1:1">
      <c r="A7" t="s">
        <v>55</v>
      </c>
    </row>
    <row r="8" spans="1:1">
      <c r="A8" t="s">
        <v>56</v>
      </c>
    </row>
    <row r="9" spans="1:1">
      <c r="A9" t="s">
        <v>57</v>
      </c>
    </row>
    <row r="11" spans="1:1">
      <c r="A11" s="9" t="s">
        <v>58</v>
      </c>
    </row>
  </sheetData>
  <pageMargins left="0.7" right="0.7" top="0.75" bottom="0.75" header="0.3" footer="0.3"/>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E35B339-5229-4786-85AB-2B5868703D1E}">
  <dimension ref="A1:R63"/>
  <sheetViews>
    <sheetView topLeftCell="B1" workbookViewId="0">
      <selection activeCell="R11" sqref="R11"/>
    </sheetView>
  </sheetViews>
  <sheetFormatPr defaultRowHeight="14.25"/>
  <cols>
    <col min="1" max="1" width="50.1328125" customWidth="1"/>
    <col min="2" max="3" width="41.265625" customWidth="1"/>
    <col min="8" max="8" width="25.1328125" customWidth="1"/>
    <col min="10" max="10" width="12" bestFit="1" customWidth="1"/>
  </cols>
  <sheetData>
    <row r="1" spans="1:18">
      <c r="A1" t="s">
        <v>603</v>
      </c>
    </row>
    <row r="2" spans="1:18">
      <c r="I2" t="s">
        <v>645</v>
      </c>
      <c r="J2" t="s">
        <v>646</v>
      </c>
    </row>
    <row r="3" spans="1:18">
      <c r="A3" t="s">
        <v>604</v>
      </c>
      <c r="B3">
        <v>2019</v>
      </c>
      <c r="C3">
        <v>2020</v>
      </c>
      <c r="D3">
        <v>2021</v>
      </c>
      <c r="H3" t="s">
        <v>643</v>
      </c>
      <c r="I3">
        <f>D18</f>
        <v>8</v>
      </c>
      <c r="J3">
        <f>I3*10^12/L10</f>
        <v>107793479781726.61</v>
      </c>
    </row>
    <row r="4" spans="1:18">
      <c r="A4" s="1" t="s">
        <v>605</v>
      </c>
      <c r="B4" s="55">
        <v>1087</v>
      </c>
      <c r="C4">
        <v>937</v>
      </c>
      <c r="D4" s="55">
        <v>1029</v>
      </c>
      <c r="H4" t="s">
        <v>644</v>
      </c>
      <c r="I4">
        <f>D29</f>
        <v>24</v>
      </c>
      <c r="J4">
        <f>I4*10^12/P10</f>
        <v>318772975028520.69</v>
      </c>
    </row>
    <row r="5" spans="1:18">
      <c r="A5" t="s">
        <v>606</v>
      </c>
      <c r="B5">
        <v>380</v>
      </c>
      <c r="C5">
        <v>328</v>
      </c>
      <c r="D5">
        <v>361</v>
      </c>
    </row>
    <row r="6" spans="1:18">
      <c r="A6" t="s">
        <v>607</v>
      </c>
      <c r="B6">
        <v>659</v>
      </c>
      <c r="C6">
        <v>566</v>
      </c>
      <c r="D6">
        <v>620</v>
      </c>
    </row>
    <row r="7" spans="1:18">
      <c r="A7" t="s">
        <v>608</v>
      </c>
      <c r="B7">
        <v>27</v>
      </c>
      <c r="C7">
        <v>24</v>
      </c>
      <c r="D7">
        <v>27</v>
      </c>
    </row>
    <row r="8" spans="1:18">
      <c r="A8" t="s">
        <v>609</v>
      </c>
      <c r="B8">
        <v>3</v>
      </c>
      <c r="C8">
        <v>3</v>
      </c>
      <c r="D8">
        <v>3</v>
      </c>
    </row>
    <row r="9" spans="1:18">
      <c r="A9" t="s">
        <v>610</v>
      </c>
      <c r="B9">
        <v>7</v>
      </c>
      <c r="C9">
        <v>7</v>
      </c>
      <c r="D9">
        <v>7</v>
      </c>
      <c r="H9" t="s">
        <v>647</v>
      </c>
      <c r="I9" t="s">
        <v>15</v>
      </c>
      <c r="J9" t="s">
        <v>16</v>
      </c>
      <c r="K9" t="s">
        <v>17</v>
      </c>
      <c r="L9" t="s">
        <v>18</v>
      </c>
      <c r="M9" t="s">
        <v>19</v>
      </c>
      <c r="N9" t="s">
        <v>21</v>
      </c>
      <c r="O9" t="s">
        <v>20</v>
      </c>
      <c r="P9" t="s">
        <v>82</v>
      </c>
      <c r="Q9" t="s">
        <v>83</v>
      </c>
      <c r="R9" t="s">
        <v>84</v>
      </c>
    </row>
    <row r="10" spans="1:18">
      <c r="A10" t="s">
        <v>611</v>
      </c>
      <c r="B10">
        <v>11</v>
      </c>
      <c r="C10">
        <v>10</v>
      </c>
      <c r="D10">
        <v>11</v>
      </c>
      <c r="H10" t="s">
        <v>648</v>
      </c>
      <c r="I10">
        <v>0</v>
      </c>
      <c r="J10">
        <v>5.2751937984496129E-2</v>
      </c>
      <c r="K10">
        <v>7.2920703974688528E-2</v>
      </c>
      <c r="L10">
        <v>7.4215991692627201E-2</v>
      </c>
      <c r="M10">
        <v>0</v>
      </c>
      <c r="N10">
        <v>0</v>
      </c>
      <c r="O10">
        <v>0</v>
      </c>
      <c r="P10">
        <v>7.5288690949578504E-2</v>
      </c>
      <c r="Q10">
        <v>6.7030064624894622E-2</v>
      </c>
      <c r="R10">
        <v>0</v>
      </c>
    </row>
    <row r="11" spans="1:18">
      <c r="A11" s="1" t="s">
        <v>612</v>
      </c>
      <c r="B11">
        <v>484</v>
      </c>
      <c r="C11">
        <v>455</v>
      </c>
      <c r="D11">
        <v>488</v>
      </c>
      <c r="H11" t="s">
        <v>649</v>
      </c>
      <c r="I11">
        <v>0</v>
      </c>
      <c r="J11">
        <v>7.2129997244481045E-5</v>
      </c>
      <c r="K11">
        <v>5.1729790668657905E-5</v>
      </c>
      <c r="L11">
        <v>3.5472529647984354E-5</v>
      </c>
      <c r="M11">
        <v>1.8952017309920747E-5</v>
      </c>
      <c r="N11">
        <v>3.5472529647984354E-5</v>
      </c>
      <c r="O11">
        <v>0</v>
      </c>
      <c r="P11">
        <v>3.5472529647984354E-5</v>
      </c>
      <c r="Q11">
        <v>7.4260856133811235E-5</v>
      </c>
      <c r="R11">
        <v>0</v>
      </c>
    </row>
    <row r="12" spans="1:18">
      <c r="A12" t="s">
        <v>606</v>
      </c>
      <c r="B12">
        <v>3</v>
      </c>
      <c r="C12">
        <v>3</v>
      </c>
      <c r="D12">
        <v>3</v>
      </c>
      <c r="H12" t="s">
        <v>650</v>
      </c>
      <c r="I12">
        <v>0</v>
      </c>
      <c r="J12">
        <v>8.1959997354104109E-5</v>
      </c>
      <c r="K12">
        <v>5.8541765656290731E-4</v>
      </c>
      <c r="L12">
        <v>7.9898018886840415E-5</v>
      </c>
      <c r="M12">
        <v>1.8247772938213255E-4</v>
      </c>
      <c r="N12">
        <v>7.9898018886840415E-5</v>
      </c>
      <c r="O12">
        <v>0</v>
      </c>
      <c r="P12">
        <v>7.9898018886840415E-5</v>
      </c>
      <c r="Q12">
        <v>8.4381253358586136E-5</v>
      </c>
      <c r="R12">
        <v>0</v>
      </c>
    </row>
    <row r="13" spans="1:18">
      <c r="A13" t="s">
        <v>607</v>
      </c>
      <c r="B13">
        <v>31</v>
      </c>
      <c r="C13">
        <v>30</v>
      </c>
      <c r="D13">
        <v>33</v>
      </c>
      <c r="H13" t="s">
        <v>651</v>
      </c>
      <c r="I13">
        <v>0</v>
      </c>
      <c r="J13">
        <v>1.8822699699274582E-3</v>
      </c>
      <c r="K13">
        <v>2.5993406587307788E-5</v>
      </c>
      <c r="L13">
        <v>6.9268706818346787E-4</v>
      </c>
      <c r="M13">
        <v>8.1079829774583076E-4</v>
      </c>
      <c r="N13">
        <v>6.9268706818346787E-4</v>
      </c>
      <c r="O13">
        <v>0</v>
      </c>
      <c r="P13">
        <v>6.9268706818346787E-4</v>
      </c>
      <c r="Q13">
        <v>1.9378758461337836E-3</v>
      </c>
      <c r="R13">
        <v>3.0853057030892032E-3</v>
      </c>
    </row>
    <row r="14" spans="1:18">
      <c r="A14" t="s">
        <v>608</v>
      </c>
      <c r="B14">
        <v>373</v>
      </c>
      <c r="C14">
        <v>353</v>
      </c>
      <c r="D14">
        <v>380</v>
      </c>
      <c r="H14" t="s">
        <v>652</v>
      </c>
      <c r="I14">
        <v>0</v>
      </c>
      <c r="J14">
        <v>1.6357517590208906E-5</v>
      </c>
      <c r="K14">
        <v>5.0684199129140162E-6</v>
      </c>
      <c r="L14">
        <v>2.8736272798149454E-5</v>
      </c>
      <c r="M14">
        <v>2.6644615879539754E-5</v>
      </c>
      <c r="N14">
        <v>2.8736272798149454E-5</v>
      </c>
      <c r="O14">
        <v>0</v>
      </c>
      <c r="P14">
        <v>2.8736272798149454E-5</v>
      </c>
      <c r="Q14">
        <v>1.6840750130012425E-5</v>
      </c>
      <c r="R14">
        <v>0</v>
      </c>
    </row>
    <row r="15" spans="1:18">
      <c r="A15" t="s">
        <v>609</v>
      </c>
      <c r="B15">
        <v>21</v>
      </c>
      <c r="C15">
        <v>20</v>
      </c>
      <c r="D15">
        <v>21</v>
      </c>
      <c r="H15" t="s">
        <v>653</v>
      </c>
      <c r="I15">
        <v>0</v>
      </c>
      <c r="J15">
        <v>1.5052176525077236E-5</v>
      </c>
      <c r="K15">
        <v>2.0316872030537864E-6</v>
      </c>
      <c r="L15">
        <v>2.6671624801661308E-5</v>
      </c>
      <c r="M15">
        <v>2.5845465109392136E-5</v>
      </c>
      <c r="N15">
        <v>2.6671624801661308E-5</v>
      </c>
      <c r="O15">
        <v>0</v>
      </c>
      <c r="P15">
        <v>2.6671624801661308E-5</v>
      </c>
      <c r="Q15">
        <v>1.5496846778474232E-5</v>
      </c>
      <c r="R15">
        <v>0</v>
      </c>
    </row>
    <row r="16" spans="1:18">
      <c r="A16" t="s">
        <v>613</v>
      </c>
      <c r="B16">
        <v>36</v>
      </c>
      <c r="C16">
        <v>31</v>
      </c>
      <c r="D16">
        <v>32</v>
      </c>
      <c r="H16" t="s">
        <v>654</v>
      </c>
      <c r="I16">
        <v>0</v>
      </c>
      <c r="J16">
        <v>2.4242424242424244E-7</v>
      </c>
      <c r="K16">
        <v>4.2501798364698814E-7</v>
      </c>
      <c r="L16">
        <v>1.4983881920767892E-4</v>
      </c>
      <c r="M16">
        <v>0</v>
      </c>
      <c r="N16">
        <v>1.4983881920767892E-4</v>
      </c>
      <c r="O16">
        <v>0</v>
      </c>
      <c r="P16">
        <v>1.4983881920767892E-4</v>
      </c>
      <c r="Q16">
        <v>0</v>
      </c>
      <c r="R16">
        <v>0</v>
      </c>
    </row>
    <row r="17" spans="1:18">
      <c r="A17" t="s">
        <v>611</v>
      </c>
      <c r="B17">
        <v>3</v>
      </c>
      <c r="C17">
        <v>3</v>
      </c>
      <c r="D17">
        <v>3</v>
      </c>
      <c r="H17" t="s">
        <v>655</v>
      </c>
      <c r="I17">
        <v>0</v>
      </c>
      <c r="J17">
        <v>2.2578264787615855E-6</v>
      </c>
      <c r="K17">
        <v>3.7646612624912489E-7</v>
      </c>
      <c r="L17">
        <v>8.5008187908751178E-6</v>
      </c>
      <c r="M17">
        <v>3.8768197664088202E-6</v>
      </c>
      <c r="N17">
        <v>8.5008187908751178E-6</v>
      </c>
      <c r="O17">
        <v>0</v>
      </c>
      <c r="P17">
        <v>8.5008187908751178E-6</v>
      </c>
      <c r="Q17">
        <v>2.3245270167711351E-6</v>
      </c>
      <c r="R17">
        <v>0</v>
      </c>
    </row>
    <row r="18" spans="1:18">
      <c r="A18" t="s">
        <v>614</v>
      </c>
      <c r="B18">
        <v>7</v>
      </c>
      <c r="C18">
        <v>8</v>
      </c>
      <c r="D18">
        <v>8</v>
      </c>
      <c r="H18" t="s">
        <v>656</v>
      </c>
      <c r="I18">
        <v>0</v>
      </c>
      <c r="J18">
        <v>5.8703488447801225E-6</v>
      </c>
      <c r="K18">
        <v>7.1158701917372055E-7</v>
      </c>
      <c r="L18">
        <v>8.9907736283645444E-6</v>
      </c>
      <c r="M18">
        <v>1.0079731392662933E-5</v>
      </c>
      <c r="N18">
        <v>8.9907736283645444E-6</v>
      </c>
      <c r="O18">
        <v>0</v>
      </c>
      <c r="P18">
        <v>8.9907736283645444E-6</v>
      </c>
      <c r="Q18">
        <v>6.0437702436049511E-6</v>
      </c>
      <c r="R18">
        <v>0</v>
      </c>
    </row>
    <row r="19" spans="1:18">
      <c r="A19" t="s">
        <v>615</v>
      </c>
      <c r="B19">
        <v>10</v>
      </c>
      <c r="C19">
        <v>8</v>
      </c>
      <c r="D19">
        <v>7</v>
      </c>
      <c r="H19" t="s">
        <v>657</v>
      </c>
      <c r="I19">
        <v>0</v>
      </c>
      <c r="J19">
        <v>9.9999999999999995E-7</v>
      </c>
      <c r="K19">
        <v>3.0000000000000001E-6</v>
      </c>
      <c r="L19">
        <v>3.0000000000000001E-6</v>
      </c>
      <c r="M19">
        <v>0</v>
      </c>
      <c r="N19">
        <v>0</v>
      </c>
      <c r="O19">
        <v>0</v>
      </c>
      <c r="P19">
        <v>3.0000000000000001E-6</v>
      </c>
      <c r="Q19">
        <v>3.0000000000000001E-6</v>
      </c>
      <c r="R19">
        <v>0</v>
      </c>
    </row>
    <row r="20" spans="1:18">
      <c r="A20" s="1" t="s">
        <v>104</v>
      </c>
      <c r="B20">
        <v>259</v>
      </c>
      <c r="C20">
        <v>160</v>
      </c>
      <c r="D20">
        <v>203</v>
      </c>
      <c r="H20" t="s">
        <v>658</v>
      </c>
      <c r="I20">
        <v>0</v>
      </c>
      <c r="J20">
        <v>1.0000000000000001E-7</v>
      </c>
      <c r="K20">
        <v>5.9999999999999997E-7</v>
      </c>
      <c r="L20">
        <v>5.9999999999999997E-7</v>
      </c>
      <c r="M20">
        <v>0</v>
      </c>
      <c r="N20">
        <v>0</v>
      </c>
      <c r="O20">
        <v>0</v>
      </c>
      <c r="P20">
        <v>5.9999999999999997E-7</v>
      </c>
      <c r="Q20">
        <v>5.9999999999999997E-7</v>
      </c>
      <c r="R20">
        <v>0</v>
      </c>
    </row>
    <row r="21" spans="1:18">
      <c r="A21" t="s">
        <v>616</v>
      </c>
      <c r="B21">
        <v>137</v>
      </c>
      <c r="C21">
        <v>91</v>
      </c>
      <c r="D21">
        <v>119</v>
      </c>
      <c r="H21" t="s">
        <v>659</v>
      </c>
      <c r="I21">
        <v>0</v>
      </c>
      <c r="J21">
        <v>0</v>
      </c>
      <c r="K21">
        <v>0</v>
      </c>
      <c r="L21">
        <v>0</v>
      </c>
      <c r="M21">
        <v>0</v>
      </c>
      <c r="N21">
        <v>0</v>
      </c>
      <c r="O21">
        <v>0</v>
      </c>
      <c r="P21">
        <v>0</v>
      </c>
      <c r="Q21">
        <v>0</v>
      </c>
      <c r="R21">
        <v>0</v>
      </c>
    </row>
    <row r="22" spans="1:18">
      <c r="A22" t="s">
        <v>617</v>
      </c>
      <c r="B22">
        <v>12</v>
      </c>
      <c r="C22">
        <v>12</v>
      </c>
      <c r="D22">
        <v>13</v>
      </c>
    </row>
    <row r="23" spans="1:18">
      <c r="A23" t="s">
        <v>618</v>
      </c>
      <c r="B23">
        <v>31</v>
      </c>
      <c r="C23">
        <v>18</v>
      </c>
      <c r="D23">
        <v>21</v>
      </c>
    </row>
    <row r="24" spans="1:18">
      <c r="A24" t="s">
        <v>615</v>
      </c>
      <c r="B24">
        <v>78</v>
      </c>
      <c r="C24">
        <v>40</v>
      </c>
      <c r="D24">
        <v>51</v>
      </c>
    </row>
    <row r="25" spans="1:18">
      <c r="A25" t="s">
        <v>619</v>
      </c>
      <c r="B25">
        <v>75</v>
      </c>
      <c r="C25">
        <v>37</v>
      </c>
      <c r="D25">
        <v>48</v>
      </c>
    </row>
    <row r="26" spans="1:18">
      <c r="A26" s="1" t="s">
        <v>105</v>
      </c>
      <c r="B26">
        <v>2</v>
      </c>
      <c r="C26">
        <v>1</v>
      </c>
      <c r="D26">
        <v>1</v>
      </c>
    </row>
    <row r="27" spans="1:18">
      <c r="A27" t="s">
        <v>618</v>
      </c>
      <c r="B27">
        <v>2</v>
      </c>
      <c r="C27">
        <v>1</v>
      </c>
      <c r="D27">
        <v>1</v>
      </c>
    </row>
    <row r="28" spans="1:18">
      <c r="A28" s="1" t="s">
        <v>100</v>
      </c>
      <c r="B28">
        <v>40</v>
      </c>
      <c r="C28">
        <v>29</v>
      </c>
      <c r="D28">
        <v>46</v>
      </c>
    </row>
    <row r="29" spans="1:18">
      <c r="A29" t="s">
        <v>620</v>
      </c>
      <c r="B29">
        <v>14</v>
      </c>
      <c r="C29">
        <v>7</v>
      </c>
      <c r="D29">
        <v>24</v>
      </c>
    </row>
    <row r="30" spans="1:18">
      <c r="A30" t="s">
        <v>615</v>
      </c>
      <c r="B30">
        <v>25</v>
      </c>
      <c r="C30">
        <v>22</v>
      </c>
      <c r="D30">
        <v>22</v>
      </c>
    </row>
    <row r="31" spans="1:18">
      <c r="A31" s="1" t="s">
        <v>621</v>
      </c>
      <c r="B31">
        <v>59</v>
      </c>
      <c r="C31">
        <v>59</v>
      </c>
      <c r="D31">
        <v>65</v>
      </c>
    </row>
    <row r="32" spans="1:18">
      <c r="A32" t="s">
        <v>606</v>
      </c>
      <c r="B32">
        <v>0</v>
      </c>
      <c r="C32">
        <v>0</v>
      </c>
      <c r="D32">
        <v>0</v>
      </c>
    </row>
    <row r="33" spans="1:4">
      <c r="A33" t="s">
        <v>607</v>
      </c>
      <c r="B33">
        <v>0</v>
      </c>
      <c r="C33">
        <v>0</v>
      </c>
      <c r="D33">
        <v>0</v>
      </c>
    </row>
    <row r="34" spans="1:4">
      <c r="A34" t="s">
        <v>622</v>
      </c>
      <c r="B34">
        <v>0</v>
      </c>
      <c r="C34">
        <v>0</v>
      </c>
      <c r="D34">
        <v>0</v>
      </c>
    </row>
    <row r="35" spans="1:4">
      <c r="A35" t="s">
        <v>609</v>
      </c>
      <c r="B35">
        <v>1</v>
      </c>
      <c r="C35">
        <v>1</v>
      </c>
      <c r="D35">
        <v>1</v>
      </c>
    </row>
    <row r="36" spans="1:4">
      <c r="A36" t="s">
        <v>623</v>
      </c>
      <c r="B36">
        <v>58</v>
      </c>
      <c r="C36">
        <v>58</v>
      </c>
      <c r="D36">
        <v>64</v>
      </c>
    </row>
    <row r="37" spans="1:4">
      <c r="A37" s="1" t="s">
        <v>624</v>
      </c>
      <c r="B37">
        <v>1</v>
      </c>
      <c r="C37">
        <v>0</v>
      </c>
      <c r="D37">
        <v>0</v>
      </c>
    </row>
    <row r="38" spans="1:4">
      <c r="A38" t="s">
        <v>606</v>
      </c>
      <c r="B38">
        <v>0</v>
      </c>
      <c r="C38">
        <v>0</v>
      </c>
      <c r="D38">
        <v>0</v>
      </c>
    </row>
    <row r="39" spans="1:4">
      <c r="A39" t="s">
        <v>607</v>
      </c>
      <c r="B39">
        <v>0</v>
      </c>
      <c r="C39">
        <v>0</v>
      </c>
      <c r="D39">
        <v>0</v>
      </c>
    </row>
    <row r="40" spans="1:4">
      <c r="A40" t="s">
        <v>608</v>
      </c>
      <c r="B40">
        <v>0</v>
      </c>
      <c r="C40">
        <v>0</v>
      </c>
      <c r="D40">
        <v>0</v>
      </c>
    </row>
    <row r="41" spans="1:4">
      <c r="A41" t="s">
        <v>609</v>
      </c>
      <c r="B41">
        <v>0</v>
      </c>
      <c r="C41">
        <v>0</v>
      </c>
      <c r="D41">
        <v>0</v>
      </c>
    </row>
    <row r="42" spans="1:4">
      <c r="A42" s="1" t="s">
        <v>625</v>
      </c>
      <c r="B42">
        <v>5</v>
      </c>
      <c r="C42">
        <v>4</v>
      </c>
      <c r="D42">
        <v>5</v>
      </c>
    </row>
    <row r="43" spans="1:4">
      <c r="A43" t="s">
        <v>606</v>
      </c>
      <c r="B43">
        <v>1</v>
      </c>
      <c r="C43">
        <v>1</v>
      </c>
      <c r="D43">
        <v>2</v>
      </c>
    </row>
    <row r="44" spans="1:4">
      <c r="A44" t="s">
        <v>607</v>
      </c>
      <c r="B44">
        <v>0</v>
      </c>
      <c r="C44">
        <v>0</v>
      </c>
      <c r="D44">
        <v>1</v>
      </c>
    </row>
    <row r="45" spans="1:4">
      <c r="A45" t="s">
        <v>609</v>
      </c>
      <c r="B45">
        <v>0</v>
      </c>
      <c r="C45">
        <v>0</v>
      </c>
      <c r="D45">
        <v>0</v>
      </c>
    </row>
    <row r="46" spans="1:4">
      <c r="A46" t="s">
        <v>613</v>
      </c>
      <c r="B46">
        <v>3</v>
      </c>
      <c r="C46">
        <v>2</v>
      </c>
      <c r="D46">
        <v>2</v>
      </c>
    </row>
    <row r="47" spans="1:4">
      <c r="A47" t="s">
        <v>626</v>
      </c>
      <c r="B47">
        <v>78.7</v>
      </c>
      <c r="C47">
        <v>68.099999999999994</v>
      </c>
      <c r="D47" s="55">
        <v>75.400000000000006</v>
      </c>
    </row>
    <row r="48" spans="1:4">
      <c r="A48" t="s">
        <v>627</v>
      </c>
      <c r="B48">
        <v>114</v>
      </c>
      <c r="C48">
        <v>70</v>
      </c>
      <c r="D48">
        <v>80</v>
      </c>
    </row>
    <row r="49" spans="1:4">
      <c r="A49" t="s">
        <v>628</v>
      </c>
      <c r="B49">
        <v>78.7</v>
      </c>
      <c r="C49">
        <v>68.099999999999994</v>
      </c>
      <c r="D49">
        <v>75.400000000000006</v>
      </c>
    </row>
    <row r="50" spans="1:4">
      <c r="A50" t="s">
        <v>629</v>
      </c>
      <c r="B50">
        <v>17.100000000000001</v>
      </c>
      <c r="C50">
        <v>17.7</v>
      </c>
      <c r="D50">
        <v>16.100000000000001</v>
      </c>
    </row>
    <row r="51" spans="1:4">
      <c r="A51" t="s">
        <v>630</v>
      </c>
    </row>
    <row r="52" spans="1:4">
      <c r="A52" t="s">
        <v>631</v>
      </c>
    </row>
    <row r="53" spans="1:4">
      <c r="A53" t="s">
        <v>632</v>
      </c>
    </row>
    <row r="54" spans="1:4">
      <c r="A54" t="s">
        <v>633</v>
      </c>
    </row>
    <row r="55" spans="1:4">
      <c r="A55" t="s">
        <v>634</v>
      </c>
    </row>
    <row r="56" spans="1:4">
      <c r="A56" t="s">
        <v>635</v>
      </c>
    </row>
    <row r="57" spans="1:4">
      <c r="A57" t="s">
        <v>636</v>
      </c>
    </row>
    <row r="58" spans="1:4">
      <c r="A58" t="s">
        <v>637</v>
      </c>
    </row>
    <row r="59" spans="1:4">
      <c r="A59" t="s">
        <v>638</v>
      </c>
    </row>
    <row r="60" spans="1:4">
      <c r="A60" t="s">
        <v>639</v>
      </c>
    </row>
    <row r="61" spans="1:4">
      <c r="A61" t="s">
        <v>640</v>
      </c>
    </row>
    <row r="62" spans="1:4">
      <c r="A62" t="s">
        <v>641</v>
      </c>
    </row>
    <row r="63" spans="1:4">
      <c r="A63" t="s">
        <v>642</v>
      </c>
    </row>
  </sheetData>
  <pageMargins left="0.7" right="0.7" top="0.75" bottom="0.75" header="0.3" footer="0.3"/>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sheetPr>
    <tabColor rgb="FFFF0000"/>
  </sheetPr>
  <dimension ref="A1"/>
  <sheetViews>
    <sheetView workbookViewId="0">
      <selection activeCell="L34" sqref="L34"/>
    </sheetView>
  </sheetViews>
  <sheetFormatPr defaultRowHeight="14.25"/>
  <sheetData/>
  <pageMargins left="0.7" right="0.7" top="0.75" bottom="0.75" header="0.3" footer="0.3"/>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sheetPr>
    <tabColor theme="3"/>
  </sheetPr>
  <dimension ref="A1:AE11"/>
  <sheetViews>
    <sheetView workbookViewId="0"/>
  </sheetViews>
  <sheetFormatPr defaultRowHeight="14.25"/>
  <cols>
    <col min="1" max="1" width="25.1328125" customWidth="1"/>
  </cols>
  <sheetData>
    <row r="1" spans="1:31" ht="28.5">
      <c r="A1" s="10" t="s">
        <v>85</v>
      </c>
      <c r="B1">
        <v>2021</v>
      </c>
      <c r="C1">
        <v>2022</v>
      </c>
      <c r="D1">
        <v>2023</v>
      </c>
      <c r="E1">
        <v>2024</v>
      </c>
      <c r="F1">
        <v>2025</v>
      </c>
      <c r="G1">
        <v>2026</v>
      </c>
      <c r="H1">
        <v>2027</v>
      </c>
      <c r="I1">
        <v>2028</v>
      </c>
      <c r="J1">
        <v>2029</v>
      </c>
      <c r="K1">
        <v>2030</v>
      </c>
      <c r="L1">
        <v>2031</v>
      </c>
      <c r="M1">
        <v>2032</v>
      </c>
      <c r="N1">
        <v>2033</v>
      </c>
      <c r="O1">
        <v>2034</v>
      </c>
      <c r="P1">
        <v>2035</v>
      </c>
      <c r="Q1">
        <v>2036</v>
      </c>
      <c r="R1">
        <v>2037</v>
      </c>
      <c r="S1">
        <v>2038</v>
      </c>
      <c r="T1">
        <v>2039</v>
      </c>
      <c r="U1">
        <v>2040</v>
      </c>
      <c r="V1">
        <v>2041</v>
      </c>
      <c r="W1">
        <v>2042</v>
      </c>
      <c r="X1">
        <v>2043</v>
      </c>
      <c r="Y1">
        <v>2044</v>
      </c>
      <c r="Z1">
        <v>2045</v>
      </c>
      <c r="AA1">
        <v>2046</v>
      </c>
      <c r="AB1">
        <v>2047</v>
      </c>
      <c r="AC1">
        <v>2048</v>
      </c>
      <c r="AD1">
        <v>2049</v>
      </c>
      <c r="AE1">
        <v>2050</v>
      </c>
    </row>
    <row r="2" spans="1:31">
      <c r="A2" t="s">
        <v>15</v>
      </c>
      <c r="B2">
        <v>1</v>
      </c>
      <c r="C2">
        <v>1</v>
      </c>
      <c r="D2">
        <v>1</v>
      </c>
      <c r="E2">
        <v>1</v>
      </c>
      <c r="F2">
        <v>1</v>
      </c>
      <c r="G2">
        <v>1</v>
      </c>
      <c r="H2">
        <v>1</v>
      </c>
      <c r="I2">
        <v>1</v>
      </c>
      <c r="J2">
        <v>1</v>
      </c>
      <c r="K2">
        <v>1</v>
      </c>
      <c r="L2">
        <v>1</v>
      </c>
      <c r="M2">
        <v>1</v>
      </c>
      <c r="N2">
        <v>1</v>
      </c>
      <c r="O2">
        <v>1</v>
      </c>
      <c r="P2">
        <v>1</v>
      </c>
      <c r="Q2">
        <v>1</v>
      </c>
      <c r="R2">
        <v>1</v>
      </c>
      <c r="S2">
        <v>1</v>
      </c>
      <c r="T2">
        <v>1</v>
      </c>
      <c r="U2">
        <v>1</v>
      </c>
      <c r="V2">
        <v>1</v>
      </c>
      <c r="W2">
        <v>1</v>
      </c>
      <c r="X2">
        <v>1</v>
      </c>
      <c r="Y2">
        <v>1</v>
      </c>
      <c r="Z2">
        <v>1</v>
      </c>
      <c r="AA2">
        <v>1</v>
      </c>
      <c r="AB2">
        <v>1</v>
      </c>
      <c r="AC2">
        <v>1</v>
      </c>
      <c r="AD2">
        <v>1</v>
      </c>
      <c r="AE2">
        <v>1</v>
      </c>
    </row>
    <row r="3" spans="1:31">
      <c r="A3" t="s">
        <v>16</v>
      </c>
      <c r="B3">
        <v>0</v>
      </c>
      <c r="C3">
        <v>0</v>
      </c>
      <c r="D3">
        <v>0</v>
      </c>
      <c r="E3">
        <v>0</v>
      </c>
      <c r="F3">
        <v>0</v>
      </c>
      <c r="G3">
        <v>0</v>
      </c>
      <c r="H3">
        <v>0</v>
      </c>
      <c r="I3">
        <v>0</v>
      </c>
      <c r="J3">
        <v>0</v>
      </c>
      <c r="K3">
        <v>0</v>
      </c>
      <c r="L3">
        <v>0</v>
      </c>
      <c r="M3">
        <v>0</v>
      </c>
      <c r="N3">
        <v>0</v>
      </c>
      <c r="O3">
        <v>0</v>
      </c>
      <c r="P3">
        <v>0</v>
      </c>
      <c r="Q3">
        <v>0</v>
      </c>
      <c r="R3">
        <v>0</v>
      </c>
      <c r="S3">
        <v>0</v>
      </c>
      <c r="T3">
        <v>0</v>
      </c>
      <c r="U3">
        <v>0</v>
      </c>
      <c r="V3">
        <v>0</v>
      </c>
      <c r="W3">
        <v>0</v>
      </c>
      <c r="X3">
        <v>0</v>
      </c>
      <c r="Y3">
        <v>0</v>
      </c>
      <c r="Z3">
        <v>0</v>
      </c>
      <c r="AA3">
        <v>0</v>
      </c>
      <c r="AB3">
        <v>0</v>
      </c>
      <c r="AC3">
        <v>0</v>
      </c>
      <c r="AD3">
        <v>0</v>
      </c>
      <c r="AE3">
        <v>0</v>
      </c>
    </row>
    <row r="4" spans="1:31">
      <c r="A4" t="s">
        <v>17</v>
      </c>
      <c r="B4">
        <v>0</v>
      </c>
      <c r="C4">
        <v>0</v>
      </c>
      <c r="D4">
        <v>0</v>
      </c>
      <c r="E4">
        <v>0</v>
      </c>
      <c r="F4">
        <v>0</v>
      </c>
      <c r="G4">
        <v>0</v>
      </c>
      <c r="H4">
        <v>0</v>
      </c>
      <c r="I4">
        <v>0</v>
      </c>
      <c r="J4">
        <v>0</v>
      </c>
      <c r="K4">
        <v>0</v>
      </c>
      <c r="L4">
        <v>0</v>
      </c>
      <c r="M4">
        <v>0</v>
      </c>
      <c r="N4">
        <v>0</v>
      </c>
      <c r="O4">
        <v>0</v>
      </c>
      <c r="P4">
        <v>0</v>
      </c>
      <c r="Q4">
        <v>0</v>
      </c>
      <c r="R4">
        <v>0</v>
      </c>
      <c r="S4">
        <v>0</v>
      </c>
      <c r="T4">
        <v>0</v>
      </c>
      <c r="U4">
        <v>0</v>
      </c>
      <c r="V4">
        <v>0</v>
      </c>
      <c r="W4">
        <v>0</v>
      </c>
      <c r="X4">
        <v>0</v>
      </c>
      <c r="Y4">
        <v>0</v>
      </c>
      <c r="Z4">
        <v>0</v>
      </c>
      <c r="AA4">
        <v>0</v>
      </c>
      <c r="AB4">
        <v>0</v>
      </c>
      <c r="AC4">
        <v>0</v>
      </c>
      <c r="AD4">
        <v>0</v>
      </c>
      <c r="AE4">
        <v>0</v>
      </c>
    </row>
    <row r="5" spans="1:31">
      <c r="A5" t="s">
        <v>18</v>
      </c>
      <c r="B5">
        <v>0</v>
      </c>
      <c r="C5">
        <v>0</v>
      </c>
      <c r="D5">
        <v>0</v>
      </c>
      <c r="E5">
        <v>0</v>
      </c>
      <c r="F5">
        <v>0</v>
      </c>
      <c r="G5">
        <v>0</v>
      </c>
      <c r="H5">
        <v>0</v>
      </c>
      <c r="I5">
        <v>0</v>
      </c>
      <c r="J5">
        <v>0</v>
      </c>
      <c r="K5">
        <v>0</v>
      </c>
      <c r="L5">
        <v>0</v>
      </c>
      <c r="M5">
        <v>0</v>
      </c>
      <c r="N5">
        <v>0</v>
      </c>
      <c r="O5">
        <v>0</v>
      </c>
      <c r="P5">
        <v>0</v>
      </c>
      <c r="Q5">
        <v>0</v>
      </c>
      <c r="R5">
        <v>0</v>
      </c>
      <c r="S5">
        <v>0</v>
      </c>
      <c r="T5">
        <v>0</v>
      </c>
      <c r="U5">
        <v>0</v>
      </c>
      <c r="V5">
        <v>0</v>
      </c>
      <c r="W5">
        <v>0</v>
      </c>
      <c r="X5">
        <v>0</v>
      </c>
      <c r="Y5">
        <v>0</v>
      </c>
      <c r="Z5">
        <v>0</v>
      </c>
      <c r="AA5">
        <v>0</v>
      </c>
      <c r="AB5">
        <v>0</v>
      </c>
      <c r="AC5">
        <v>0</v>
      </c>
      <c r="AD5">
        <v>0</v>
      </c>
      <c r="AE5">
        <v>0</v>
      </c>
    </row>
    <row r="6" spans="1:31">
      <c r="A6" t="s">
        <v>19</v>
      </c>
      <c r="B6">
        <v>0</v>
      </c>
      <c r="C6">
        <v>0</v>
      </c>
      <c r="D6">
        <v>0</v>
      </c>
      <c r="E6">
        <v>0</v>
      </c>
      <c r="F6">
        <v>0</v>
      </c>
      <c r="G6">
        <v>0</v>
      </c>
      <c r="H6">
        <v>0</v>
      </c>
      <c r="I6">
        <v>0</v>
      </c>
      <c r="J6">
        <v>0</v>
      </c>
      <c r="K6">
        <v>0</v>
      </c>
      <c r="L6">
        <v>0</v>
      </c>
      <c r="M6">
        <v>0</v>
      </c>
      <c r="N6">
        <v>0</v>
      </c>
      <c r="O6">
        <v>0</v>
      </c>
      <c r="P6">
        <v>0</v>
      </c>
      <c r="Q6">
        <v>0</v>
      </c>
      <c r="R6">
        <v>0</v>
      </c>
      <c r="S6">
        <v>0</v>
      </c>
      <c r="T6">
        <v>0</v>
      </c>
      <c r="U6">
        <v>0</v>
      </c>
      <c r="V6">
        <v>0</v>
      </c>
      <c r="W6">
        <v>0</v>
      </c>
      <c r="X6">
        <v>0</v>
      </c>
      <c r="Y6">
        <v>0</v>
      </c>
      <c r="Z6">
        <v>0</v>
      </c>
      <c r="AA6">
        <v>0</v>
      </c>
      <c r="AB6">
        <v>0</v>
      </c>
      <c r="AC6">
        <v>0</v>
      </c>
      <c r="AD6">
        <v>0</v>
      </c>
      <c r="AE6">
        <v>0</v>
      </c>
    </row>
    <row r="7" spans="1:31">
      <c r="A7" t="s">
        <v>21</v>
      </c>
      <c r="B7">
        <v>0</v>
      </c>
      <c r="C7">
        <v>0</v>
      </c>
      <c r="D7">
        <v>0</v>
      </c>
      <c r="E7">
        <v>0</v>
      </c>
      <c r="F7">
        <v>0</v>
      </c>
      <c r="G7">
        <v>0</v>
      </c>
      <c r="H7">
        <v>0</v>
      </c>
      <c r="I7">
        <v>0</v>
      </c>
      <c r="J7">
        <v>0</v>
      </c>
      <c r="K7">
        <v>0</v>
      </c>
      <c r="L7">
        <v>0</v>
      </c>
      <c r="M7">
        <v>0</v>
      </c>
      <c r="N7">
        <v>0</v>
      </c>
      <c r="O7">
        <v>0</v>
      </c>
      <c r="P7">
        <v>0</v>
      </c>
      <c r="Q7">
        <v>0</v>
      </c>
      <c r="R7">
        <v>0</v>
      </c>
      <c r="S7">
        <v>0</v>
      </c>
      <c r="T7">
        <v>0</v>
      </c>
      <c r="U7">
        <v>0</v>
      </c>
      <c r="V7">
        <v>0</v>
      </c>
      <c r="W7">
        <v>0</v>
      </c>
      <c r="X7">
        <v>0</v>
      </c>
      <c r="Y7">
        <v>0</v>
      </c>
      <c r="Z7">
        <v>0</v>
      </c>
      <c r="AA7">
        <v>0</v>
      </c>
      <c r="AB7">
        <v>0</v>
      </c>
      <c r="AC7">
        <v>0</v>
      </c>
      <c r="AD7">
        <v>0</v>
      </c>
      <c r="AE7">
        <v>0</v>
      </c>
    </row>
    <row r="8" spans="1:31">
      <c r="A8" t="s">
        <v>20</v>
      </c>
      <c r="B8">
        <v>0</v>
      </c>
      <c r="C8">
        <v>0</v>
      </c>
      <c r="D8">
        <v>0</v>
      </c>
      <c r="E8">
        <v>0</v>
      </c>
      <c r="F8">
        <v>0</v>
      </c>
      <c r="G8">
        <v>0</v>
      </c>
      <c r="H8">
        <v>0</v>
      </c>
      <c r="I8">
        <v>0</v>
      </c>
      <c r="J8">
        <v>0</v>
      </c>
      <c r="K8">
        <v>0</v>
      </c>
      <c r="L8">
        <v>0</v>
      </c>
      <c r="M8">
        <v>0</v>
      </c>
      <c r="N8">
        <v>0</v>
      </c>
      <c r="O8">
        <v>0</v>
      </c>
      <c r="P8">
        <v>0</v>
      </c>
      <c r="Q8">
        <v>0</v>
      </c>
      <c r="R8">
        <v>0</v>
      </c>
      <c r="S8">
        <v>0</v>
      </c>
      <c r="T8">
        <v>0</v>
      </c>
      <c r="U8">
        <v>0</v>
      </c>
      <c r="V8">
        <v>0</v>
      </c>
      <c r="W8">
        <v>0</v>
      </c>
      <c r="X8">
        <v>0</v>
      </c>
      <c r="Y8">
        <v>0</v>
      </c>
      <c r="Z8">
        <v>0</v>
      </c>
      <c r="AA8">
        <v>0</v>
      </c>
      <c r="AB8">
        <v>0</v>
      </c>
      <c r="AC8">
        <v>0</v>
      </c>
      <c r="AD8">
        <v>0</v>
      </c>
      <c r="AE8">
        <v>0</v>
      </c>
    </row>
    <row r="9" spans="1:31">
      <c r="A9" t="s">
        <v>82</v>
      </c>
      <c r="B9">
        <v>0</v>
      </c>
      <c r="C9">
        <v>0</v>
      </c>
      <c r="D9">
        <v>0</v>
      </c>
      <c r="E9">
        <v>0</v>
      </c>
      <c r="F9">
        <v>0</v>
      </c>
      <c r="G9">
        <v>0</v>
      </c>
      <c r="H9">
        <v>0</v>
      </c>
      <c r="I9">
        <v>0</v>
      </c>
      <c r="J9">
        <v>0</v>
      </c>
      <c r="K9">
        <v>0</v>
      </c>
      <c r="L9">
        <v>0</v>
      </c>
      <c r="M9">
        <v>0</v>
      </c>
      <c r="N9">
        <v>0</v>
      </c>
      <c r="O9">
        <v>0</v>
      </c>
      <c r="P9">
        <v>0</v>
      </c>
      <c r="Q9">
        <v>0</v>
      </c>
      <c r="R9">
        <v>0</v>
      </c>
      <c r="S9">
        <v>0</v>
      </c>
      <c r="T9">
        <v>0</v>
      </c>
      <c r="U9">
        <v>0</v>
      </c>
      <c r="V9">
        <v>0</v>
      </c>
      <c r="W9">
        <v>0</v>
      </c>
      <c r="X9">
        <v>0</v>
      </c>
      <c r="Y9">
        <v>0</v>
      </c>
      <c r="Z9">
        <v>0</v>
      </c>
      <c r="AA9">
        <v>0</v>
      </c>
      <c r="AB9">
        <v>0</v>
      </c>
      <c r="AC9">
        <v>0</v>
      </c>
      <c r="AD9">
        <v>0</v>
      </c>
      <c r="AE9">
        <v>0</v>
      </c>
    </row>
    <row r="10" spans="1:31">
      <c r="A10" t="s">
        <v>83</v>
      </c>
      <c r="B10">
        <v>0</v>
      </c>
      <c r="C10">
        <v>0</v>
      </c>
      <c r="D10">
        <v>0</v>
      </c>
      <c r="E10">
        <v>0</v>
      </c>
      <c r="F10">
        <v>0</v>
      </c>
      <c r="G10">
        <v>0</v>
      </c>
      <c r="H10">
        <v>0</v>
      </c>
      <c r="I10">
        <v>0</v>
      </c>
      <c r="J10">
        <v>0</v>
      </c>
      <c r="K10">
        <v>0</v>
      </c>
      <c r="L10">
        <v>0</v>
      </c>
      <c r="M10">
        <v>0</v>
      </c>
      <c r="N10">
        <v>0</v>
      </c>
      <c r="O10">
        <v>0</v>
      </c>
      <c r="P10">
        <v>0</v>
      </c>
      <c r="Q10">
        <v>0</v>
      </c>
      <c r="R10">
        <v>0</v>
      </c>
      <c r="S10">
        <v>0</v>
      </c>
      <c r="T10">
        <v>0</v>
      </c>
      <c r="U10">
        <v>0</v>
      </c>
      <c r="V10">
        <v>0</v>
      </c>
      <c r="W10">
        <v>0</v>
      </c>
      <c r="X10">
        <v>0</v>
      </c>
      <c r="Y10">
        <v>0</v>
      </c>
      <c r="Z10">
        <v>0</v>
      </c>
      <c r="AA10">
        <v>0</v>
      </c>
      <c r="AB10">
        <v>0</v>
      </c>
      <c r="AC10">
        <v>0</v>
      </c>
      <c r="AD10">
        <v>0</v>
      </c>
      <c r="AE10">
        <v>0</v>
      </c>
    </row>
    <row r="11" spans="1:31">
      <c r="A11" t="s">
        <v>84</v>
      </c>
      <c r="B11">
        <v>0</v>
      </c>
      <c r="C11">
        <v>0</v>
      </c>
      <c r="D11">
        <v>0</v>
      </c>
      <c r="E11">
        <v>0</v>
      </c>
      <c r="F11">
        <v>0</v>
      </c>
      <c r="G11">
        <v>0</v>
      </c>
      <c r="H11">
        <v>0</v>
      </c>
      <c r="I11">
        <v>0</v>
      </c>
      <c r="J11">
        <v>0</v>
      </c>
      <c r="K11">
        <v>0</v>
      </c>
      <c r="L11">
        <v>0</v>
      </c>
      <c r="M11">
        <v>0</v>
      </c>
      <c r="N11">
        <v>0</v>
      </c>
      <c r="O11">
        <v>0</v>
      </c>
      <c r="P11">
        <v>0</v>
      </c>
      <c r="Q11">
        <v>0</v>
      </c>
      <c r="R11">
        <v>0</v>
      </c>
      <c r="S11">
        <v>0</v>
      </c>
      <c r="T11">
        <v>0</v>
      </c>
      <c r="U11">
        <v>0</v>
      </c>
      <c r="V11">
        <v>0</v>
      </c>
      <c r="W11">
        <v>0</v>
      </c>
      <c r="X11">
        <v>0</v>
      </c>
      <c r="Y11">
        <v>0</v>
      </c>
      <c r="Z11">
        <v>0</v>
      </c>
      <c r="AA11">
        <v>0</v>
      </c>
      <c r="AB11">
        <v>0</v>
      </c>
      <c r="AC11">
        <v>0</v>
      </c>
      <c r="AD11">
        <v>0</v>
      </c>
      <c r="AE11">
        <v>0</v>
      </c>
    </row>
  </sheetData>
  <pageMargins left="0.7" right="0.7" top="0.75" bottom="0.75" header="0.3" footer="0.3"/>
  <pageSetup orientation="portrait" r:id="rId1"/>
</worksheet>
</file>

<file path=xl/worksheets/sheet1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sheetPr>
    <tabColor theme="3"/>
  </sheetPr>
  <dimension ref="A1:AE11"/>
  <sheetViews>
    <sheetView workbookViewId="0">
      <selection activeCell="E20" sqref="E20"/>
    </sheetView>
  </sheetViews>
  <sheetFormatPr defaultRowHeight="14.25"/>
  <cols>
    <col min="1" max="1" width="22.53125" customWidth="1"/>
  </cols>
  <sheetData>
    <row r="1" spans="1:31" ht="28.5">
      <c r="A1" s="10" t="s">
        <v>85</v>
      </c>
      <c r="B1">
        <v>2021</v>
      </c>
      <c r="C1">
        <v>2022</v>
      </c>
      <c r="D1">
        <v>2023</v>
      </c>
      <c r="E1">
        <v>2024</v>
      </c>
      <c r="F1">
        <v>2025</v>
      </c>
      <c r="G1">
        <v>2026</v>
      </c>
      <c r="H1">
        <v>2027</v>
      </c>
      <c r="I1">
        <v>2028</v>
      </c>
      <c r="J1">
        <v>2029</v>
      </c>
      <c r="K1">
        <v>2030</v>
      </c>
      <c r="L1">
        <v>2031</v>
      </c>
      <c r="M1">
        <v>2032</v>
      </c>
      <c r="N1">
        <v>2033</v>
      </c>
      <c r="O1">
        <v>2034</v>
      </c>
      <c r="P1">
        <v>2035</v>
      </c>
      <c r="Q1">
        <v>2036</v>
      </c>
      <c r="R1">
        <v>2037</v>
      </c>
      <c r="S1">
        <v>2038</v>
      </c>
      <c r="T1">
        <v>2039</v>
      </c>
      <c r="U1">
        <v>2040</v>
      </c>
      <c r="V1">
        <v>2041</v>
      </c>
      <c r="W1">
        <v>2042</v>
      </c>
      <c r="X1">
        <v>2043</v>
      </c>
      <c r="Y1">
        <v>2044</v>
      </c>
      <c r="Z1">
        <v>2045</v>
      </c>
      <c r="AA1">
        <v>2046</v>
      </c>
      <c r="AB1">
        <v>2047</v>
      </c>
      <c r="AC1">
        <v>2048</v>
      </c>
      <c r="AD1">
        <v>2049</v>
      </c>
      <c r="AE1">
        <v>2050</v>
      </c>
    </row>
    <row r="2" spans="1:31">
      <c r="A2" t="s">
        <v>15</v>
      </c>
      <c r="B2">
        <v>0</v>
      </c>
      <c r="C2">
        <v>0</v>
      </c>
      <c r="D2">
        <v>0</v>
      </c>
      <c r="E2">
        <v>0</v>
      </c>
      <c r="F2">
        <v>0</v>
      </c>
      <c r="G2">
        <v>0</v>
      </c>
      <c r="H2">
        <v>0</v>
      </c>
      <c r="I2">
        <v>0</v>
      </c>
      <c r="J2">
        <v>0</v>
      </c>
      <c r="K2">
        <v>0</v>
      </c>
      <c r="L2">
        <v>0</v>
      </c>
      <c r="M2">
        <v>0</v>
      </c>
      <c r="N2">
        <v>0</v>
      </c>
      <c r="O2">
        <v>0</v>
      </c>
      <c r="P2">
        <v>0</v>
      </c>
      <c r="Q2">
        <v>0</v>
      </c>
      <c r="R2">
        <v>0</v>
      </c>
      <c r="S2">
        <v>0</v>
      </c>
      <c r="T2">
        <v>0</v>
      </c>
      <c r="U2">
        <v>0</v>
      </c>
      <c r="V2">
        <v>0</v>
      </c>
      <c r="W2">
        <v>0</v>
      </c>
      <c r="X2">
        <v>0</v>
      </c>
      <c r="Y2">
        <v>0</v>
      </c>
      <c r="Z2">
        <v>0</v>
      </c>
      <c r="AA2">
        <v>0</v>
      </c>
      <c r="AB2">
        <v>0</v>
      </c>
      <c r="AC2">
        <v>0</v>
      </c>
      <c r="AD2">
        <v>0</v>
      </c>
      <c r="AE2">
        <v>0</v>
      </c>
    </row>
    <row r="3" spans="1:31">
      <c r="A3" t="s">
        <v>16</v>
      </c>
      <c r="B3">
        <v>1</v>
      </c>
      <c r="C3">
        <v>1</v>
      </c>
      <c r="D3">
        <v>1</v>
      </c>
      <c r="E3">
        <v>1</v>
      </c>
      <c r="F3">
        <v>1</v>
      </c>
      <c r="G3">
        <v>1</v>
      </c>
      <c r="H3">
        <v>1</v>
      </c>
      <c r="I3">
        <v>1</v>
      </c>
      <c r="J3">
        <v>1</v>
      </c>
      <c r="K3">
        <v>1</v>
      </c>
      <c r="L3">
        <v>1</v>
      </c>
      <c r="M3">
        <v>1</v>
      </c>
      <c r="N3">
        <v>1</v>
      </c>
      <c r="O3">
        <v>1</v>
      </c>
      <c r="P3">
        <v>1</v>
      </c>
      <c r="Q3">
        <v>1</v>
      </c>
      <c r="R3">
        <v>1</v>
      </c>
      <c r="S3">
        <v>1</v>
      </c>
      <c r="T3">
        <v>1</v>
      </c>
      <c r="U3">
        <v>1</v>
      </c>
      <c r="V3">
        <v>1</v>
      </c>
      <c r="W3">
        <v>1</v>
      </c>
      <c r="X3">
        <v>1</v>
      </c>
      <c r="Y3">
        <v>1</v>
      </c>
      <c r="Z3">
        <v>1</v>
      </c>
      <c r="AA3">
        <v>1</v>
      </c>
      <c r="AB3">
        <v>1</v>
      </c>
      <c r="AC3">
        <v>1</v>
      </c>
      <c r="AD3">
        <v>1</v>
      </c>
      <c r="AE3">
        <v>1</v>
      </c>
    </row>
    <row r="4" spans="1:31">
      <c r="A4" t="s">
        <v>17</v>
      </c>
      <c r="B4">
        <v>0</v>
      </c>
      <c r="C4">
        <v>0</v>
      </c>
      <c r="D4">
        <v>0</v>
      </c>
      <c r="E4">
        <v>0</v>
      </c>
      <c r="F4">
        <v>0</v>
      </c>
      <c r="G4">
        <v>0</v>
      </c>
      <c r="H4">
        <v>0</v>
      </c>
      <c r="I4">
        <v>0</v>
      </c>
      <c r="J4">
        <v>0</v>
      </c>
      <c r="K4">
        <v>0</v>
      </c>
      <c r="L4">
        <v>0</v>
      </c>
      <c r="M4">
        <v>0</v>
      </c>
      <c r="N4">
        <v>0</v>
      </c>
      <c r="O4">
        <v>0</v>
      </c>
      <c r="P4">
        <v>0</v>
      </c>
      <c r="Q4">
        <v>0</v>
      </c>
      <c r="R4">
        <v>0</v>
      </c>
      <c r="S4">
        <v>0</v>
      </c>
      <c r="T4">
        <v>0</v>
      </c>
      <c r="U4">
        <v>0</v>
      </c>
      <c r="V4">
        <v>0</v>
      </c>
      <c r="W4">
        <v>0</v>
      </c>
      <c r="X4">
        <v>0</v>
      </c>
      <c r="Y4">
        <v>0</v>
      </c>
      <c r="Z4">
        <v>0</v>
      </c>
      <c r="AA4">
        <v>0</v>
      </c>
      <c r="AB4">
        <v>0</v>
      </c>
      <c r="AC4">
        <v>0</v>
      </c>
      <c r="AD4">
        <v>0</v>
      </c>
      <c r="AE4">
        <v>0</v>
      </c>
    </row>
    <row r="5" spans="1:31">
      <c r="A5" t="s">
        <v>18</v>
      </c>
      <c r="B5">
        <v>0</v>
      </c>
      <c r="C5">
        <v>0</v>
      </c>
      <c r="D5">
        <v>0</v>
      </c>
      <c r="E5">
        <v>0</v>
      </c>
      <c r="F5">
        <v>0</v>
      </c>
      <c r="G5">
        <v>0</v>
      </c>
      <c r="H5">
        <v>0</v>
      </c>
      <c r="I5">
        <v>0</v>
      </c>
      <c r="J5">
        <v>0</v>
      </c>
      <c r="K5">
        <v>0</v>
      </c>
      <c r="L5">
        <v>0</v>
      </c>
      <c r="M5">
        <v>0</v>
      </c>
      <c r="N5">
        <v>0</v>
      </c>
      <c r="O5">
        <v>0</v>
      </c>
      <c r="P5">
        <v>0</v>
      </c>
      <c r="Q5">
        <v>0</v>
      </c>
      <c r="R5">
        <v>0</v>
      </c>
      <c r="S5">
        <v>0</v>
      </c>
      <c r="T5">
        <v>0</v>
      </c>
      <c r="U5">
        <v>0</v>
      </c>
      <c r="V5">
        <v>0</v>
      </c>
      <c r="W5">
        <v>0</v>
      </c>
      <c r="X5">
        <v>0</v>
      </c>
      <c r="Y5">
        <v>0</v>
      </c>
      <c r="Z5">
        <v>0</v>
      </c>
      <c r="AA5">
        <v>0</v>
      </c>
      <c r="AB5">
        <v>0</v>
      </c>
      <c r="AC5">
        <v>0</v>
      </c>
      <c r="AD5">
        <v>0</v>
      </c>
      <c r="AE5">
        <v>0</v>
      </c>
    </row>
    <row r="6" spans="1:31">
      <c r="A6" t="s">
        <v>19</v>
      </c>
      <c r="B6">
        <v>0</v>
      </c>
      <c r="C6">
        <v>0</v>
      </c>
      <c r="D6">
        <v>0</v>
      </c>
      <c r="E6">
        <v>0</v>
      </c>
      <c r="F6">
        <v>0</v>
      </c>
      <c r="G6">
        <v>0</v>
      </c>
      <c r="H6">
        <v>0</v>
      </c>
      <c r="I6">
        <v>0</v>
      </c>
      <c r="J6">
        <v>0</v>
      </c>
      <c r="K6">
        <v>0</v>
      </c>
      <c r="L6">
        <v>0</v>
      </c>
      <c r="M6">
        <v>0</v>
      </c>
      <c r="N6">
        <v>0</v>
      </c>
      <c r="O6">
        <v>0</v>
      </c>
      <c r="P6">
        <v>0</v>
      </c>
      <c r="Q6">
        <v>0</v>
      </c>
      <c r="R6">
        <v>0</v>
      </c>
      <c r="S6">
        <v>0</v>
      </c>
      <c r="T6">
        <v>0</v>
      </c>
      <c r="U6">
        <v>0</v>
      </c>
      <c r="V6">
        <v>0</v>
      </c>
      <c r="W6">
        <v>0</v>
      </c>
      <c r="X6">
        <v>0</v>
      </c>
      <c r="Y6">
        <v>0</v>
      </c>
      <c r="Z6">
        <v>0</v>
      </c>
      <c r="AA6">
        <v>0</v>
      </c>
      <c r="AB6">
        <v>0</v>
      </c>
      <c r="AC6">
        <v>0</v>
      </c>
      <c r="AD6">
        <v>0</v>
      </c>
      <c r="AE6">
        <v>0</v>
      </c>
    </row>
    <row r="7" spans="1:31">
      <c r="A7" t="s">
        <v>21</v>
      </c>
      <c r="B7">
        <v>0</v>
      </c>
      <c r="C7">
        <v>0</v>
      </c>
      <c r="D7">
        <v>0</v>
      </c>
      <c r="E7">
        <v>0</v>
      </c>
      <c r="F7">
        <v>0</v>
      </c>
      <c r="G7">
        <v>0</v>
      </c>
      <c r="H7">
        <v>0</v>
      </c>
      <c r="I7">
        <v>0</v>
      </c>
      <c r="J7">
        <v>0</v>
      </c>
      <c r="K7">
        <v>0</v>
      </c>
      <c r="L7">
        <v>0</v>
      </c>
      <c r="M7">
        <v>0</v>
      </c>
      <c r="N7">
        <v>0</v>
      </c>
      <c r="O7">
        <v>0</v>
      </c>
      <c r="P7">
        <v>0</v>
      </c>
      <c r="Q7">
        <v>0</v>
      </c>
      <c r="R7">
        <v>0</v>
      </c>
      <c r="S7">
        <v>0</v>
      </c>
      <c r="T7">
        <v>0</v>
      </c>
      <c r="U7">
        <v>0</v>
      </c>
      <c r="V7">
        <v>0</v>
      </c>
      <c r="W7">
        <v>0</v>
      </c>
      <c r="X7">
        <v>0</v>
      </c>
      <c r="Y7">
        <v>0</v>
      </c>
      <c r="Z7">
        <v>0</v>
      </c>
      <c r="AA7">
        <v>0</v>
      </c>
      <c r="AB7">
        <v>0</v>
      </c>
      <c r="AC7">
        <v>0</v>
      </c>
      <c r="AD7">
        <v>0</v>
      </c>
      <c r="AE7">
        <v>0</v>
      </c>
    </row>
    <row r="8" spans="1:31">
      <c r="A8" t="s">
        <v>20</v>
      </c>
      <c r="B8">
        <v>0</v>
      </c>
      <c r="C8">
        <v>0</v>
      </c>
      <c r="D8">
        <v>0</v>
      </c>
      <c r="E8">
        <v>0</v>
      </c>
      <c r="F8">
        <v>0</v>
      </c>
      <c r="G8">
        <v>0</v>
      </c>
      <c r="H8">
        <v>0</v>
      </c>
      <c r="I8">
        <v>0</v>
      </c>
      <c r="J8">
        <v>0</v>
      </c>
      <c r="K8">
        <v>0</v>
      </c>
      <c r="L8">
        <v>0</v>
      </c>
      <c r="M8">
        <v>0</v>
      </c>
      <c r="N8">
        <v>0</v>
      </c>
      <c r="O8">
        <v>0</v>
      </c>
      <c r="P8">
        <v>0</v>
      </c>
      <c r="Q8">
        <v>0</v>
      </c>
      <c r="R8">
        <v>0</v>
      </c>
      <c r="S8">
        <v>0</v>
      </c>
      <c r="T8">
        <v>0</v>
      </c>
      <c r="U8">
        <v>0</v>
      </c>
      <c r="V8">
        <v>0</v>
      </c>
      <c r="W8">
        <v>0</v>
      </c>
      <c r="X8">
        <v>0</v>
      </c>
      <c r="Y8">
        <v>0</v>
      </c>
      <c r="Z8">
        <v>0</v>
      </c>
      <c r="AA8">
        <v>0</v>
      </c>
      <c r="AB8">
        <v>0</v>
      </c>
      <c r="AC8">
        <v>0</v>
      </c>
      <c r="AD8">
        <v>0</v>
      </c>
      <c r="AE8">
        <v>0</v>
      </c>
    </row>
    <row r="9" spans="1:31">
      <c r="A9" t="s">
        <v>82</v>
      </c>
      <c r="B9">
        <v>0</v>
      </c>
      <c r="C9">
        <v>0</v>
      </c>
      <c r="D9">
        <v>0</v>
      </c>
      <c r="E9">
        <v>0</v>
      </c>
      <c r="F9">
        <v>0</v>
      </c>
      <c r="G9">
        <v>0</v>
      </c>
      <c r="H9">
        <v>0</v>
      </c>
      <c r="I9">
        <v>0</v>
      </c>
      <c r="J9">
        <v>0</v>
      </c>
      <c r="K9">
        <v>0</v>
      </c>
      <c r="L9">
        <v>0</v>
      </c>
      <c r="M9">
        <v>0</v>
      </c>
      <c r="N9">
        <v>0</v>
      </c>
      <c r="O9">
        <v>0</v>
      </c>
      <c r="P9">
        <v>0</v>
      </c>
      <c r="Q9">
        <v>0</v>
      </c>
      <c r="R9">
        <v>0</v>
      </c>
      <c r="S9">
        <v>0</v>
      </c>
      <c r="T9">
        <v>0</v>
      </c>
      <c r="U9">
        <v>0</v>
      </c>
      <c r="V9">
        <v>0</v>
      </c>
      <c r="W9">
        <v>0</v>
      </c>
      <c r="X9">
        <v>0</v>
      </c>
      <c r="Y9">
        <v>0</v>
      </c>
      <c r="Z9">
        <v>0</v>
      </c>
      <c r="AA9">
        <v>0</v>
      </c>
      <c r="AB9">
        <v>0</v>
      </c>
      <c r="AC9">
        <v>0</v>
      </c>
      <c r="AD9">
        <v>0</v>
      </c>
      <c r="AE9">
        <v>0</v>
      </c>
    </row>
    <row r="10" spans="1:31">
      <c r="A10" t="s">
        <v>83</v>
      </c>
      <c r="B10">
        <v>0</v>
      </c>
      <c r="C10">
        <v>0</v>
      </c>
      <c r="D10">
        <v>0</v>
      </c>
      <c r="E10">
        <v>0</v>
      </c>
      <c r="F10">
        <v>0</v>
      </c>
      <c r="G10">
        <v>0</v>
      </c>
      <c r="H10">
        <v>0</v>
      </c>
      <c r="I10">
        <v>0</v>
      </c>
      <c r="J10">
        <v>0</v>
      </c>
      <c r="K10">
        <v>0</v>
      </c>
      <c r="L10">
        <v>0</v>
      </c>
      <c r="M10">
        <v>0</v>
      </c>
      <c r="N10">
        <v>0</v>
      </c>
      <c r="O10">
        <v>0</v>
      </c>
      <c r="P10">
        <v>0</v>
      </c>
      <c r="Q10">
        <v>0</v>
      </c>
      <c r="R10">
        <v>0</v>
      </c>
      <c r="S10">
        <v>0</v>
      </c>
      <c r="T10">
        <v>0</v>
      </c>
      <c r="U10">
        <v>0</v>
      </c>
      <c r="V10">
        <v>0</v>
      </c>
      <c r="W10">
        <v>0</v>
      </c>
      <c r="X10">
        <v>0</v>
      </c>
      <c r="Y10">
        <v>0</v>
      </c>
      <c r="Z10">
        <v>0</v>
      </c>
      <c r="AA10">
        <v>0</v>
      </c>
      <c r="AB10">
        <v>0</v>
      </c>
      <c r="AC10">
        <v>0</v>
      </c>
      <c r="AD10">
        <v>0</v>
      </c>
      <c r="AE10">
        <v>0</v>
      </c>
    </row>
    <row r="11" spans="1:31">
      <c r="A11" t="s">
        <v>84</v>
      </c>
      <c r="B11">
        <v>0</v>
      </c>
      <c r="C11">
        <v>0</v>
      </c>
      <c r="D11">
        <v>0</v>
      </c>
      <c r="E11">
        <v>0</v>
      </c>
      <c r="F11">
        <v>0</v>
      </c>
      <c r="G11">
        <v>0</v>
      </c>
      <c r="H11">
        <v>0</v>
      </c>
      <c r="I11">
        <v>0</v>
      </c>
      <c r="J11">
        <v>0</v>
      </c>
      <c r="K11">
        <v>0</v>
      </c>
      <c r="L11">
        <v>0</v>
      </c>
      <c r="M11">
        <v>0</v>
      </c>
      <c r="N11">
        <v>0</v>
      </c>
      <c r="O11">
        <v>0</v>
      </c>
      <c r="P11">
        <v>0</v>
      </c>
      <c r="Q11">
        <v>0</v>
      </c>
      <c r="R11">
        <v>0</v>
      </c>
      <c r="S11">
        <v>0</v>
      </c>
      <c r="T11">
        <v>0</v>
      </c>
      <c r="U11">
        <v>0</v>
      </c>
      <c r="V11">
        <v>0</v>
      </c>
      <c r="W11">
        <v>0</v>
      </c>
      <c r="X11">
        <v>0</v>
      </c>
      <c r="Y11">
        <v>0</v>
      </c>
      <c r="Z11">
        <v>0</v>
      </c>
      <c r="AA11">
        <v>0</v>
      </c>
      <c r="AB11">
        <v>0</v>
      </c>
      <c r="AC11">
        <v>0</v>
      </c>
      <c r="AD11">
        <v>0</v>
      </c>
      <c r="AE11">
        <v>0</v>
      </c>
    </row>
  </sheetData>
  <pageMargins left="0.7" right="0.7" top="0.75" bottom="0.75" header="0.3" footer="0.3"/>
</worksheet>
</file>

<file path=xl/worksheets/sheet1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800-000000000000}">
  <sheetPr>
    <tabColor theme="3"/>
  </sheetPr>
  <dimension ref="A1:AI11"/>
  <sheetViews>
    <sheetView workbookViewId="0">
      <selection activeCell="B4" sqref="B4"/>
    </sheetView>
  </sheetViews>
  <sheetFormatPr defaultRowHeight="14.25"/>
  <cols>
    <col min="1" max="1" width="22.53125" customWidth="1"/>
  </cols>
  <sheetData>
    <row r="1" spans="1:35" ht="28.5">
      <c r="A1" s="10" t="s">
        <v>85</v>
      </c>
      <c r="B1">
        <v>2021</v>
      </c>
      <c r="C1">
        <v>2022</v>
      </c>
      <c r="D1">
        <v>2023</v>
      </c>
      <c r="E1">
        <v>2024</v>
      </c>
      <c r="F1">
        <v>2025</v>
      </c>
      <c r="G1">
        <v>2026</v>
      </c>
      <c r="H1">
        <v>2027</v>
      </c>
      <c r="I1">
        <v>2028</v>
      </c>
      <c r="J1">
        <v>2029</v>
      </c>
      <c r="K1">
        <v>2030</v>
      </c>
      <c r="L1">
        <v>2031</v>
      </c>
      <c r="M1">
        <v>2032</v>
      </c>
      <c r="N1">
        <v>2033</v>
      </c>
      <c r="O1">
        <v>2034</v>
      </c>
      <c r="P1">
        <v>2035</v>
      </c>
      <c r="Q1">
        <v>2036</v>
      </c>
      <c r="R1">
        <v>2037</v>
      </c>
      <c r="S1">
        <v>2038</v>
      </c>
      <c r="T1">
        <v>2039</v>
      </c>
      <c r="U1">
        <v>2040</v>
      </c>
      <c r="V1">
        <v>2041</v>
      </c>
      <c r="W1">
        <v>2042</v>
      </c>
      <c r="X1">
        <v>2043</v>
      </c>
      <c r="Y1">
        <v>2044</v>
      </c>
      <c r="Z1">
        <v>2045</v>
      </c>
      <c r="AA1">
        <v>2046</v>
      </c>
      <c r="AB1">
        <v>2047</v>
      </c>
      <c r="AC1">
        <v>2048</v>
      </c>
      <c r="AD1">
        <v>2049</v>
      </c>
      <c r="AE1">
        <v>2050</v>
      </c>
    </row>
    <row r="2" spans="1:35">
      <c r="A2" t="s">
        <v>15</v>
      </c>
      <c r="B2">
        <v>0</v>
      </c>
      <c r="C2">
        <v>0</v>
      </c>
      <c r="D2">
        <v>0</v>
      </c>
      <c r="E2">
        <v>0</v>
      </c>
      <c r="F2">
        <v>0</v>
      </c>
      <c r="G2">
        <v>0</v>
      </c>
      <c r="H2">
        <v>0</v>
      </c>
      <c r="I2">
        <v>0</v>
      </c>
      <c r="J2">
        <v>0</v>
      </c>
      <c r="K2">
        <v>0</v>
      </c>
      <c r="L2">
        <v>0</v>
      </c>
      <c r="M2">
        <v>0</v>
      </c>
      <c r="N2">
        <v>0</v>
      </c>
      <c r="O2">
        <v>0</v>
      </c>
      <c r="P2">
        <v>0</v>
      </c>
      <c r="Q2">
        <v>0</v>
      </c>
      <c r="R2">
        <v>0</v>
      </c>
      <c r="S2">
        <v>0</v>
      </c>
      <c r="T2">
        <v>0</v>
      </c>
      <c r="U2">
        <v>0</v>
      </c>
      <c r="V2">
        <v>0</v>
      </c>
      <c r="W2">
        <v>0</v>
      </c>
      <c r="X2">
        <v>0</v>
      </c>
      <c r="Y2">
        <v>0</v>
      </c>
      <c r="Z2">
        <v>0</v>
      </c>
      <c r="AA2">
        <v>0</v>
      </c>
      <c r="AB2">
        <v>0</v>
      </c>
      <c r="AC2">
        <v>0</v>
      </c>
      <c r="AD2">
        <v>0</v>
      </c>
      <c r="AE2">
        <v>0</v>
      </c>
    </row>
    <row r="3" spans="1:35">
      <c r="A3" t="s">
        <v>16</v>
      </c>
      <c r="B3">
        <v>0</v>
      </c>
      <c r="C3">
        <v>0</v>
      </c>
      <c r="D3">
        <v>0</v>
      </c>
      <c r="E3">
        <v>0</v>
      </c>
      <c r="F3">
        <v>0</v>
      </c>
      <c r="G3">
        <v>0</v>
      </c>
      <c r="H3">
        <v>0</v>
      </c>
      <c r="I3">
        <v>0</v>
      </c>
      <c r="J3">
        <v>0</v>
      </c>
      <c r="K3">
        <v>0</v>
      </c>
      <c r="L3">
        <v>0</v>
      </c>
      <c r="M3">
        <v>0</v>
      </c>
      <c r="N3">
        <v>0</v>
      </c>
      <c r="O3">
        <v>0</v>
      </c>
      <c r="P3">
        <v>0</v>
      </c>
      <c r="Q3">
        <v>0</v>
      </c>
      <c r="R3">
        <v>0</v>
      </c>
      <c r="S3">
        <v>0</v>
      </c>
      <c r="T3">
        <v>0</v>
      </c>
      <c r="U3">
        <v>0</v>
      </c>
      <c r="V3">
        <v>0</v>
      </c>
      <c r="W3">
        <v>0</v>
      </c>
      <c r="X3">
        <v>0</v>
      </c>
      <c r="Y3">
        <v>0</v>
      </c>
      <c r="Z3">
        <v>0</v>
      </c>
      <c r="AA3">
        <v>0</v>
      </c>
      <c r="AB3">
        <v>0</v>
      </c>
      <c r="AC3">
        <v>0</v>
      </c>
      <c r="AD3">
        <v>0</v>
      </c>
      <c r="AE3">
        <v>0</v>
      </c>
    </row>
    <row r="4" spans="1:35">
      <c r="A4" t="s">
        <v>17</v>
      </c>
      <c r="B4" s="2">
        <f t="shared" ref="B4:AE4" si="0">1-B6</f>
        <v>0.92710534558203916</v>
      </c>
      <c r="C4" s="2">
        <f t="shared" si="0"/>
        <v>0.92710534558203916</v>
      </c>
      <c r="D4" s="2">
        <f t="shared" si="0"/>
        <v>0.92710534558203916</v>
      </c>
      <c r="E4" s="2">
        <f t="shared" si="0"/>
        <v>0.92710534558203916</v>
      </c>
      <c r="F4" s="2">
        <f t="shared" si="0"/>
        <v>0.92710534558203916</v>
      </c>
      <c r="G4" s="2">
        <f t="shared" si="0"/>
        <v>0.92710534558203916</v>
      </c>
      <c r="H4" s="2">
        <f t="shared" si="0"/>
        <v>0.92710534558203916</v>
      </c>
      <c r="I4" s="2">
        <f t="shared" si="0"/>
        <v>0.92710534558203916</v>
      </c>
      <c r="J4" s="2">
        <f t="shared" si="0"/>
        <v>0.92710534558203916</v>
      </c>
      <c r="K4" s="2">
        <f t="shared" si="0"/>
        <v>0.92710534558203916</v>
      </c>
      <c r="L4" s="2">
        <f t="shared" si="0"/>
        <v>0.92710534558203916</v>
      </c>
      <c r="M4" s="2">
        <f t="shared" si="0"/>
        <v>0.92710534558203916</v>
      </c>
      <c r="N4" s="2">
        <f t="shared" si="0"/>
        <v>0.92710534558203916</v>
      </c>
      <c r="O4" s="2">
        <f t="shared" si="0"/>
        <v>0.92710534558203916</v>
      </c>
      <c r="P4" s="2">
        <f t="shared" si="0"/>
        <v>0.92710534558203916</v>
      </c>
      <c r="Q4" s="2">
        <f t="shared" si="0"/>
        <v>0.92710534558203916</v>
      </c>
      <c r="R4" s="2">
        <f t="shared" si="0"/>
        <v>0.92710534558203916</v>
      </c>
      <c r="S4" s="2">
        <f t="shared" si="0"/>
        <v>0.92710534558203916</v>
      </c>
      <c r="T4" s="2">
        <f t="shared" si="0"/>
        <v>0.92710534558203916</v>
      </c>
      <c r="U4" s="2">
        <f t="shared" si="0"/>
        <v>0.92710534558203916</v>
      </c>
      <c r="V4" s="2">
        <f t="shared" si="0"/>
        <v>0.92710534558203916</v>
      </c>
      <c r="W4" s="2">
        <f t="shared" si="0"/>
        <v>0.92710534558203916</v>
      </c>
      <c r="X4" s="2">
        <f t="shared" si="0"/>
        <v>0.92710534558203916</v>
      </c>
      <c r="Y4" s="2">
        <f t="shared" si="0"/>
        <v>0.92710534558203916</v>
      </c>
      <c r="Z4" s="2">
        <f t="shared" si="0"/>
        <v>0.92710534558203916</v>
      </c>
      <c r="AA4" s="2">
        <f t="shared" si="0"/>
        <v>0.92710534558203916</v>
      </c>
      <c r="AB4" s="2">
        <f t="shared" si="0"/>
        <v>0.92710534558203916</v>
      </c>
      <c r="AC4" s="2">
        <f t="shared" si="0"/>
        <v>0.92710534558203916</v>
      </c>
      <c r="AD4" s="2">
        <f t="shared" si="0"/>
        <v>0.92710534558203916</v>
      </c>
      <c r="AE4" s="2">
        <f t="shared" si="0"/>
        <v>0.92710534558203916</v>
      </c>
      <c r="AF4" s="2"/>
      <c r="AG4" s="2"/>
      <c r="AH4" s="2"/>
      <c r="AI4" s="2"/>
    </row>
    <row r="5" spans="1:35">
      <c r="A5" t="s">
        <v>18</v>
      </c>
      <c r="B5">
        <v>0</v>
      </c>
      <c r="C5">
        <v>0</v>
      </c>
      <c r="D5">
        <v>0</v>
      </c>
      <c r="E5">
        <v>0</v>
      </c>
      <c r="F5">
        <v>0</v>
      </c>
      <c r="G5">
        <v>0</v>
      </c>
      <c r="H5">
        <v>0</v>
      </c>
      <c r="I5">
        <v>0</v>
      </c>
      <c r="J5">
        <v>0</v>
      </c>
      <c r="K5">
        <v>0</v>
      </c>
      <c r="L5">
        <v>0</v>
      </c>
      <c r="M5">
        <v>0</v>
      </c>
      <c r="N5">
        <v>0</v>
      </c>
      <c r="O5">
        <v>0</v>
      </c>
      <c r="P5">
        <v>0</v>
      </c>
      <c r="Q5">
        <v>0</v>
      </c>
      <c r="R5">
        <v>0</v>
      </c>
      <c r="S5">
        <v>0</v>
      </c>
      <c r="T5">
        <v>0</v>
      </c>
      <c r="U5">
        <v>0</v>
      </c>
      <c r="V5">
        <v>0</v>
      </c>
      <c r="W5">
        <v>0</v>
      </c>
      <c r="X5">
        <v>0</v>
      </c>
      <c r="Y5">
        <v>0</v>
      </c>
      <c r="Z5">
        <v>0</v>
      </c>
      <c r="AA5">
        <v>0</v>
      </c>
      <c r="AB5">
        <v>0</v>
      </c>
      <c r="AC5">
        <v>0</v>
      </c>
      <c r="AD5">
        <v>0</v>
      </c>
      <c r="AE5">
        <v>0</v>
      </c>
    </row>
    <row r="6" spans="1:35">
      <c r="A6" t="s">
        <v>19</v>
      </c>
      <c r="B6" s="2">
        <f>'ethanol content'!J3</f>
        <v>7.2894654417960836E-2</v>
      </c>
      <c r="C6" s="2">
        <f>$B$6</f>
        <v>7.2894654417960836E-2</v>
      </c>
      <c r="D6" s="2">
        <f t="shared" ref="D6:AE6" si="1">$B$6</f>
        <v>7.2894654417960836E-2</v>
      </c>
      <c r="E6" s="2">
        <f t="shared" si="1"/>
        <v>7.2894654417960836E-2</v>
      </c>
      <c r="F6" s="2">
        <f t="shared" si="1"/>
        <v>7.2894654417960836E-2</v>
      </c>
      <c r="G6" s="2">
        <f t="shared" si="1"/>
        <v>7.2894654417960836E-2</v>
      </c>
      <c r="H6" s="2">
        <f t="shared" si="1"/>
        <v>7.2894654417960836E-2</v>
      </c>
      <c r="I6" s="2">
        <f t="shared" si="1"/>
        <v>7.2894654417960836E-2</v>
      </c>
      <c r="J6" s="2">
        <f t="shared" si="1"/>
        <v>7.2894654417960836E-2</v>
      </c>
      <c r="K6" s="2">
        <f t="shared" si="1"/>
        <v>7.2894654417960836E-2</v>
      </c>
      <c r="L6" s="2">
        <f t="shared" si="1"/>
        <v>7.2894654417960836E-2</v>
      </c>
      <c r="M6" s="2">
        <f t="shared" si="1"/>
        <v>7.2894654417960836E-2</v>
      </c>
      <c r="N6" s="2">
        <f t="shared" si="1"/>
        <v>7.2894654417960836E-2</v>
      </c>
      <c r="O6" s="2">
        <f t="shared" si="1"/>
        <v>7.2894654417960836E-2</v>
      </c>
      <c r="P6" s="2">
        <f t="shared" si="1"/>
        <v>7.2894654417960836E-2</v>
      </c>
      <c r="Q6" s="2">
        <f t="shared" si="1"/>
        <v>7.2894654417960836E-2</v>
      </c>
      <c r="R6" s="2">
        <f t="shared" si="1"/>
        <v>7.2894654417960836E-2</v>
      </c>
      <c r="S6" s="2">
        <f t="shared" si="1"/>
        <v>7.2894654417960836E-2</v>
      </c>
      <c r="T6" s="2">
        <f t="shared" si="1"/>
        <v>7.2894654417960836E-2</v>
      </c>
      <c r="U6" s="2">
        <f t="shared" si="1"/>
        <v>7.2894654417960836E-2</v>
      </c>
      <c r="V6" s="2">
        <f t="shared" si="1"/>
        <v>7.2894654417960836E-2</v>
      </c>
      <c r="W6" s="2">
        <f t="shared" si="1"/>
        <v>7.2894654417960836E-2</v>
      </c>
      <c r="X6" s="2">
        <f t="shared" si="1"/>
        <v>7.2894654417960836E-2</v>
      </c>
      <c r="Y6" s="2">
        <f t="shared" si="1"/>
        <v>7.2894654417960836E-2</v>
      </c>
      <c r="Z6" s="2">
        <f t="shared" si="1"/>
        <v>7.2894654417960836E-2</v>
      </c>
      <c r="AA6" s="2">
        <f t="shared" si="1"/>
        <v>7.2894654417960836E-2</v>
      </c>
      <c r="AB6" s="2">
        <f t="shared" si="1"/>
        <v>7.2894654417960836E-2</v>
      </c>
      <c r="AC6" s="2">
        <f t="shared" si="1"/>
        <v>7.2894654417960836E-2</v>
      </c>
      <c r="AD6" s="2">
        <f t="shared" si="1"/>
        <v>7.2894654417960836E-2</v>
      </c>
      <c r="AE6" s="2">
        <f t="shared" si="1"/>
        <v>7.2894654417960836E-2</v>
      </c>
      <c r="AF6" s="2"/>
      <c r="AG6" s="2"/>
      <c r="AH6" s="2"/>
      <c r="AI6" s="2"/>
    </row>
    <row r="7" spans="1:35">
      <c r="A7" t="s">
        <v>21</v>
      </c>
      <c r="B7">
        <v>0</v>
      </c>
      <c r="C7">
        <v>0</v>
      </c>
      <c r="D7">
        <v>0</v>
      </c>
      <c r="E7">
        <v>0</v>
      </c>
      <c r="F7">
        <v>0</v>
      </c>
      <c r="G7">
        <v>0</v>
      </c>
      <c r="H7">
        <v>0</v>
      </c>
      <c r="I7">
        <v>0</v>
      </c>
      <c r="J7">
        <v>0</v>
      </c>
      <c r="K7">
        <v>0</v>
      </c>
      <c r="L7">
        <v>0</v>
      </c>
      <c r="M7">
        <v>0</v>
      </c>
      <c r="N7">
        <v>0</v>
      </c>
      <c r="O7">
        <v>0</v>
      </c>
      <c r="P7">
        <v>0</v>
      </c>
      <c r="Q7">
        <v>0</v>
      </c>
      <c r="R7">
        <v>0</v>
      </c>
      <c r="S7">
        <v>0</v>
      </c>
      <c r="T7">
        <v>0</v>
      </c>
      <c r="U7">
        <v>0</v>
      </c>
      <c r="V7">
        <v>0</v>
      </c>
      <c r="W7">
        <v>0</v>
      </c>
      <c r="X7">
        <v>0</v>
      </c>
      <c r="Y7">
        <v>0</v>
      </c>
      <c r="Z7">
        <v>0</v>
      </c>
      <c r="AA7">
        <v>0</v>
      </c>
      <c r="AB7">
        <v>0</v>
      </c>
      <c r="AC7">
        <v>0</v>
      </c>
      <c r="AD7">
        <v>0</v>
      </c>
      <c r="AE7">
        <v>0</v>
      </c>
    </row>
    <row r="8" spans="1:35">
      <c r="A8" t="s">
        <v>20</v>
      </c>
      <c r="B8">
        <v>0</v>
      </c>
      <c r="C8">
        <v>0</v>
      </c>
      <c r="D8">
        <v>0</v>
      </c>
      <c r="E8">
        <v>0</v>
      </c>
      <c r="F8">
        <v>0</v>
      </c>
      <c r="G8">
        <v>0</v>
      </c>
      <c r="H8">
        <v>0</v>
      </c>
      <c r="I8">
        <v>0</v>
      </c>
      <c r="J8">
        <v>0</v>
      </c>
      <c r="K8">
        <v>0</v>
      </c>
      <c r="L8">
        <v>0</v>
      </c>
      <c r="M8">
        <v>0</v>
      </c>
      <c r="N8">
        <v>0</v>
      </c>
      <c r="O8">
        <v>0</v>
      </c>
      <c r="P8">
        <v>0</v>
      </c>
      <c r="Q8">
        <v>0</v>
      </c>
      <c r="R8">
        <v>0</v>
      </c>
      <c r="S8">
        <v>0</v>
      </c>
      <c r="T8">
        <v>0</v>
      </c>
      <c r="U8">
        <v>0</v>
      </c>
      <c r="V8">
        <v>0</v>
      </c>
      <c r="W8">
        <v>0</v>
      </c>
      <c r="X8">
        <v>0</v>
      </c>
      <c r="Y8">
        <v>0</v>
      </c>
      <c r="Z8">
        <v>0</v>
      </c>
      <c r="AA8">
        <v>0</v>
      </c>
      <c r="AB8">
        <v>0</v>
      </c>
      <c r="AC8">
        <v>0</v>
      </c>
      <c r="AD8">
        <v>0</v>
      </c>
      <c r="AE8">
        <v>0</v>
      </c>
    </row>
    <row r="9" spans="1:35">
      <c r="A9" t="s">
        <v>82</v>
      </c>
      <c r="B9">
        <v>0</v>
      </c>
      <c r="C9">
        <v>0</v>
      </c>
      <c r="D9">
        <v>0</v>
      </c>
      <c r="E9">
        <v>0</v>
      </c>
      <c r="F9">
        <v>0</v>
      </c>
      <c r="G9">
        <v>0</v>
      </c>
      <c r="H9">
        <v>0</v>
      </c>
      <c r="I9">
        <v>0</v>
      </c>
      <c r="J9">
        <v>0</v>
      </c>
      <c r="K9">
        <v>0</v>
      </c>
      <c r="L9">
        <v>0</v>
      </c>
      <c r="M9">
        <v>0</v>
      </c>
      <c r="N9">
        <v>0</v>
      </c>
      <c r="O9">
        <v>0</v>
      </c>
      <c r="P9">
        <v>0</v>
      </c>
      <c r="Q9">
        <v>0</v>
      </c>
      <c r="R9">
        <v>0</v>
      </c>
      <c r="S9">
        <v>0</v>
      </c>
      <c r="T9">
        <v>0</v>
      </c>
      <c r="U9">
        <v>0</v>
      </c>
      <c r="V9">
        <v>0</v>
      </c>
      <c r="W9">
        <v>0</v>
      </c>
      <c r="X9">
        <v>0</v>
      </c>
      <c r="Y9">
        <v>0</v>
      </c>
      <c r="Z9">
        <v>0</v>
      </c>
      <c r="AA9">
        <v>0</v>
      </c>
      <c r="AB9">
        <v>0</v>
      </c>
      <c r="AC9">
        <v>0</v>
      </c>
      <c r="AD9">
        <v>0</v>
      </c>
      <c r="AE9">
        <v>0</v>
      </c>
    </row>
    <row r="10" spans="1:35">
      <c r="A10" t="s">
        <v>83</v>
      </c>
      <c r="B10">
        <v>0</v>
      </c>
      <c r="C10">
        <v>0</v>
      </c>
      <c r="D10">
        <v>0</v>
      </c>
      <c r="E10">
        <v>0</v>
      </c>
      <c r="F10">
        <v>0</v>
      </c>
      <c r="G10">
        <v>0</v>
      </c>
      <c r="H10">
        <v>0</v>
      </c>
      <c r="I10">
        <v>0</v>
      </c>
      <c r="J10">
        <v>0</v>
      </c>
      <c r="K10">
        <v>0</v>
      </c>
      <c r="L10">
        <v>0</v>
      </c>
      <c r="M10">
        <v>0</v>
      </c>
      <c r="N10">
        <v>0</v>
      </c>
      <c r="O10">
        <v>0</v>
      </c>
      <c r="P10">
        <v>0</v>
      </c>
      <c r="Q10">
        <v>0</v>
      </c>
      <c r="R10">
        <v>0</v>
      </c>
      <c r="S10">
        <v>0</v>
      </c>
      <c r="T10">
        <v>0</v>
      </c>
      <c r="U10">
        <v>0</v>
      </c>
      <c r="V10">
        <v>0</v>
      </c>
      <c r="W10">
        <v>0</v>
      </c>
      <c r="X10">
        <v>0</v>
      </c>
      <c r="Y10">
        <v>0</v>
      </c>
      <c r="Z10">
        <v>0</v>
      </c>
      <c r="AA10">
        <v>0</v>
      </c>
      <c r="AB10">
        <v>0</v>
      </c>
      <c r="AC10">
        <v>0</v>
      </c>
      <c r="AD10">
        <v>0</v>
      </c>
      <c r="AE10">
        <v>0</v>
      </c>
    </row>
    <row r="11" spans="1:35">
      <c r="A11" t="s">
        <v>84</v>
      </c>
      <c r="B11">
        <v>0</v>
      </c>
      <c r="C11">
        <v>0</v>
      </c>
      <c r="D11">
        <v>0</v>
      </c>
      <c r="E11">
        <v>0</v>
      </c>
      <c r="F11">
        <v>0</v>
      </c>
      <c r="G11">
        <v>0</v>
      </c>
      <c r="H11">
        <v>0</v>
      </c>
      <c r="I11">
        <v>0</v>
      </c>
      <c r="J11">
        <v>0</v>
      </c>
      <c r="K11">
        <v>0</v>
      </c>
      <c r="L11">
        <v>0</v>
      </c>
      <c r="M11">
        <v>0</v>
      </c>
      <c r="N11">
        <v>0</v>
      </c>
      <c r="O11">
        <v>0</v>
      </c>
      <c r="P11">
        <v>0</v>
      </c>
      <c r="Q11">
        <v>0</v>
      </c>
      <c r="R11">
        <v>0</v>
      </c>
      <c r="S11">
        <v>0</v>
      </c>
      <c r="T11">
        <v>0</v>
      </c>
      <c r="U11">
        <v>0</v>
      </c>
      <c r="V11">
        <v>0</v>
      </c>
      <c r="W11">
        <v>0</v>
      </c>
      <c r="X11">
        <v>0</v>
      </c>
      <c r="Y11">
        <v>0</v>
      </c>
      <c r="Z11">
        <v>0</v>
      </c>
      <c r="AA11">
        <v>0</v>
      </c>
      <c r="AB11">
        <v>0</v>
      </c>
      <c r="AC11">
        <v>0</v>
      </c>
      <c r="AD11">
        <v>0</v>
      </c>
      <c r="AE11">
        <v>0</v>
      </c>
    </row>
  </sheetData>
  <pageMargins left="0.7" right="0.7" top="0.75" bottom="0.75" header="0.3" footer="0.3"/>
</worksheet>
</file>

<file path=xl/worksheets/sheet2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900-000000000000}">
  <sheetPr>
    <tabColor theme="3"/>
  </sheetPr>
  <dimension ref="A1:AC11"/>
  <sheetViews>
    <sheetView tabSelected="1" workbookViewId="0">
      <selection activeCell="A5" sqref="A5"/>
    </sheetView>
  </sheetViews>
  <sheetFormatPr defaultRowHeight="14.25"/>
  <cols>
    <col min="1" max="1" width="22.53125" customWidth="1"/>
  </cols>
  <sheetData>
    <row r="1" spans="1:29" ht="28.5">
      <c r="A1" s="10" t="s">
        <v>85</v>
      </c>
      <c r="B1">
        <f>'Biodiesel Fraction'!D6</f>
        <v>2023</v>
      </c>
      <c r="C1">
        <f>'Biodiesel Fraction'!E6</f>
        <v>2024</v>
      </c>
      <c r="D1">
        <f>'Biodiesel Fraction'!F6</f>
        <v>2025</v>
      </c>
      <c r="E1">
        <f>'Biodiesel Fraction'!G6</f>
        <v>2026</v>
      </c>
      <c r="F1">
        <f>'Biodiesel Fraction'!H6</f>
        <v>2027</v>
      </c>
      <c r="G1">
        <f>'Biodiesel Fraction'!I6</f>
        <v>2028</v>
      </c>
      <c r="H1">
        <f>'Biodiesel Fraction'!J6</f>
        <v>2029</v>
      </c>
      <c r="I1">
        <f>'Biodiesel Fraction'!K6</f>
        <v>2030</v>
      </c>
      <c r="J1">
        <f>'Biodiesel Fraction'!L6</f>
        <v>2031</v>
      </c>
      <c r="K1">
        <f>'Biodiesel Fraction'!M6</f>
        <v>2032</v>
      </c>
      <c r="L1">
        <f>'Biodiesel Fraction'!N6</f>
        <v>2033</v>
      </c>
      <c r="M1">
        <f>'Biodiesel Fraction'!O6</f>
        <v>2034</v>
      </c>
      <c r="N1">
        <f>'Biodiesel Fraction'!P6</f>
        <v>2035</v>
      </c>
      <c r="O1">
        <f>'Biodiesel Fraction'!Q6</f>
        <v>2036</v>
      </c>
      <c r="P1">
        <f>'Biodiesel Fraction'!R6</f>
        <v>2037</v>
      </c>
      <c r="Q1">
        <f>'Biodiesel Fraction'!S6</f>
        <v>2038</v>
      </c>
      <c r="R1">
        <f>'Biodiesel Fraction'!T6</f>
        <v>2039</v>
      </c>
      <c r="S1">
        <f>'Biodiesel Fraction'!U6</f>
        <v>2040</v>
      </c>
      <c r="T1">
        <f>'Biodiesel Fraction'!V6</f>
        <v>2041</v>
      </c>
      <c r="U1">
        <f>'Biodiesel Fraction'!W6</f>
        <v>2042</v>
      </c>
      <c r="V1">
        <f>'Biodiesel Fraction'!X6</f>
        <v>2043</v>
      </c>
      <c r="W1">
        <f>'Biodiesel Fraction'!Y6</f>
        <v>2044</v>
      </c>
      <c r="X1">
        <f>'Biodiesel Fraction'!Z6</f>
        <v>2045</v>
      </c>
      <c r="Y1">
        <f>'Biodiesel Fraction'!AA6</f>
        <v>2046</v>
      </c>
      <c r="Z1">
        <f>'Biodiesel Fraction'!AB6</f>
        <v>2047</v>
      </c>
      <c r="AA1">
        <f>'Biodiesel Fraction'!AC6</f>
        <v>2048</v>
      </c>
      <c r="AB1">
        <f>'Biodiesel Fraction'!AD6</f>
        <v>2049</v>
      </c>
      <c r="AC1">
        <f>'Biodiesel Fraction'!AE6</f>
        <v>2050</v>
      </c>
    </row>
    <row r="2" spans="1:29">
      <c r="A2" t="s">
        <v>15</v>
      </c>
      <c r="B2">
        <v>0</v>
      </c>
      <c r="C2">
        <v>0</v>
      </c>
      <c r="D2">
        <v>0</v>
      </c>
      <c r="E2">
        <v>0</v>
      </c>
      <c r="F2">
        <v>0</v>
      </c>
      <c r="G2">
        <v>0</v>
      </c>
      <c r="H2">
        <v>0</v>
      </c>
      <c r="I2">
        <v>0</v>
      </c>
      <c r="J2">
        <v>0</v>
      </c>
      <c r="K2">
        <v>0</v>
      </c>
      <c r="L2">
        <v>0</v>
      </c>
      <c r="M2">
        <v>0</v>
      </c>
      <c r="N2">
        <v>0</v>
      </c>
      <c r="O2">
        <v>0</v>
      </c>
      <c r="P2">
        <v>0</v>
      </c>
      <c r="Q2">
        <v>0</v>
      </c>
      <c r="R2">
        <v>0</v>
      </c>
      <c r="S2">
        <v>0</v>
      </c>
      <c r="T2">
        <v>0</v>
      </c>
      <c r="U2">
        <v>0</v>
      </c>
      <c r="V2">
        <v>0</v>
      </c>
      <c r="W2">
        <v>0</v>
      </c>
      <c r="X2">
        <v>0</v>
      </c>
      <c r="Y2">
        <v>0</v>
      </c>
      <c r="Z2">
        <v>0</v>
      </c>
      <c r="AA2">
        <v>0</v>
      </c>
      <c r="AB2">
        <v>0</v>
      </c>
      <c r="AC2">
        <v>0</v>
      </c>
    </row>
    <row r="3" spans="1:29">
      <c r="A3" t="s">
        <v>16</v>
      </c>
      <c r="B3">
        <v>0</v>
      </c>
      <c r="C3">
        <v>0</v>
      </c>
      <c r="D3">
        <v>0</v>
      </c>
      <c r="E3">
        <v>0</v>
      </c>
      <c r="F3">
        <v>0</v>
      </c>
      <c r="G3">
        <v>0</v>
      </c>
      <c r="H3">
        <v>0</v>
      </c>
      <c r="I3">
        <v>0</v>
      </c>
      <c r="J3">
        <v>0</v>
      </c>
      <c r="K3">
        <v>0</v>
      </c>
      <c r="L3">
        <v>0</v>
      </c>
      <c r="M3">
        <v>0</v>
      </c>
      <c r="N3">
        <v>0</v>
      </c>
      <c r="O3">
        <v>0</v>
      </c>
      <c r="P3">
        <v>0</v>
      </c>
      <c r="Q3">
        <v>0</v>
      </c>
      <c r="R3">
        <v>0</v>
      </c>
      <c r="S3">
        <v>0</v>
      </c>
      <c r="T3">
        <v>0</v>
      </c>
      <c r="U3">
        <v>0</v>
      </c>
      <c r="V3">
        <v>0</v>
      </c>
      <c r="W3">
        <v>0</v>
      </c>
      <c r="X3">
        <v>0</v>
      </c>
      <c r="Y3">
        <v>0</v>
      </c>
      <c r="Z3">
        <v>0</v>
      </c>
      <c r="AA3">
        <v>0</v>
      </c>
      <c r="AB3">
        <v>0</v>
      </c>
      <c r="AC3">
        <v>0</v>
      </c>
    </row>
    <row r="4" spans="1:29">
      <c r="A4" t="s">
        <v>17</v>
      </c>
      <c r="B4">
        <v>0</v>
      </c>
      <c r="C4">
        <v>0</v>
      </c>
      <c r="D4">
        <v>0</v>
      </c>
      <c r="E4">
        <v>0</v>
      </c>
      <c r="F4">
        <v>0</v>
      </c>
      <c r="G4">
        <v>0</v>
      </c>
      <c r="H4">
        <v>0</v>
      </c>
      <c r="I4">
        <v>0</v>
      </c>
      <c r="J4">
        <v>0</v>
      </c>
      <c r="K4">
        <v>0</v>
      </c>
      <c r="L4">
        <v>0</v>
      </c>
      <c r="M4">
        <v>0</v>
      </c>
      <c r="N4">
        <v>0</v>
      </c>
      <c r="O4">
        <v>0</v>
      </c>
      <c r="P4">
        <v>0</v>
      </c>
      <c r="Q4">
        <v>0</v>
      </c>
      <c r="R4">
        <v>0</v>
      </c>
      <c r="S4">
        <v>0</v>
      </c>
      <c r="T4">
        <v>0</v>
      </c>
      <c r="U4">
        <v>0</v>
      </c>
      <c r="V4">
        <v>0</v>
      </c>
      <c r="W4">
        <v>0</v>
      </c>
      <c r="X4">
        <v>0</v>
      </c>
      <c r="Y4">
        <v>0</v>
      </c>
      <c r="Z4">
        <v>0</v>
      </c>
      <c r="AA4">
        <v>0</v>
      </c>
      <c r="AB4">
        <v>0</v>
      </c>
      <c r="AC4">
        <v>0</v>
      </c>
    </row>
    <row r="5" spans="1:29">
      <c r="A5" t="s">
        <v>18</v>
      </c>
      <c r="B5">
        <f>IF('Biodiesel Fraction'!$B18,1-'Biodiesel Fraction'!B30,1)</f>
        <v>0.96756119768275339</v>
      </c>
      <c r="C5">
        <f>IF('Biodiesel Fraction'!$B18,1-'Biodiesel Fraction'!C30,1)</f>
        <v>0.96041416638410693</v>
      </c>
      <c r="D5">
        <f>IF('Biodiesel Fraction'!$B18,1-'Biodiesel Fraction'!D30,1)</f>
        <v>0.97373256429929333</v>
      </c>
      <c r="E5">
        <f>IF('Biodiesel Fraction'!$B18,1-'Biodiesel Fraction'!E30,1)</f>
        <v>0.96837869027778645</v>
      </c>
      <c r="F5">
        <f>IF('Biodiesel Fraction'!$B18,1-'Biodiesel Fraction'!F30,1)</f>
        <v>0.96966376381580111</v>
      </c>
      <c r="G5">
        <f>IF('Biodiesel Fraction'!$B18,1-'Biodiesel Fraction'!G30,1)</f>
        <v>0.96865854353538616</v>
      </c>
      <c r="H5">
        <f>IF('Biodiesel Fraction'!$B18,1-'Biodiesel Fraction'!H30,1)</f>
        <v>0.96792764653725427</v>
      </c>
      <c r="I5">
        <f>IF('Biodiesel Fraction'!$B18,1-'Biodiesel Fraction'!I30,1)</f>
        <v>0.97331643318672201</v>
      </c>
      <c r="J5">
        <f>IF('Biodiesel Fraction'!$B18,1-'Biodiesel Fraction'!J30,1)</f>
        <v>0.9718891175234271</v>
      </c>
      <c r="K5">
        <f>IF('Biodiesel Fraction'!$B18,1-'Biodiesel Fraction'!K30,1)</f>
        <v>0.97112755680124419</v>
      </c>
      <c r="L5">
        <f>IF('Biodiesel Fraction'!$B18,1-'Biodiesel Fraction'!L30,1)</f>
        <v>0.96953215672773896</v>
      </c>
      <c r="M5">
        <f>IF('Biodiesel Fraction'!$B18,1-'Biodiesel Fraction'!M30,1)</f>
        <v>0.96878215000290413</v>
      </c>
      <c r="N5">
        <f>IF('Biodiesel Fraction'!$B18,1-'Biodiesel Fraction'!N30,1)</f>
        <v>0.96812465179023832</v>
      </c>
      <c r="O5">
        <f>IF('Biodiesel Fraction'!$B18,1-'Biodiesel Fraction'!O30,1)</f>
        <v>0.96986559390838423</v>
      </c>
      <c r="P5">
        <f>IF('Biodiesel Fraction'!$B18,1-'Biodiesel Fraction'!P30,1)</f>
        <v>0.96826904520338963</v>
      </c>
      <c r="Q5">
        <f>IF('Biodiesel Fraction'!$B18,1-'Biodiesel Fraction'!Q30,1)</f>
        <v>0.96839488555451003</v>
      </c>
      <c r="R5">
        <f>IF('Biodiesel Fraction'!$B18,1-'Biodiesel Fraction'!R30,1)</f>
        <v>0.96870670002527937</v>
      </c>
      <c r="S5">
        <f>IF('Biodiesel Fraction'!$B18,1-'Biodiesel Fraction'!S30,1)</f>
        <v>0.96905933663555699</v>
      </c>
      <c r="T5">
        <f>IF('Biodiesel Fraction'!$B18,1-'Biodiesel Fraction'!T30,1)</f>
        <v>0.96946160326764974</v>
      </c>
      <c r="U5">
        <f>IF('Biodiesel Fraction'!$B18,1-'Biodiesel Fraction'!U30,1)</f>
        <v>0.96987423251102012</v>
      </c>
      <c r="V5">
        <f>IF('Biodiesel Fraction'!$B18,1-'Biodiesel Fraction'!V30,1)</f>
        <v>0.97031048712680901</v>
      </c>
      <c r="W5">
        <f>IF('Biodiesel Fraction'!$B18,1-'Biodiesel Fraction'!W30,1)</f>
        <v>0.97078974782181038</v>
      </c>
      <c r="X5">
        <f>IF('Biodiesel Fraction'!$B18,1-'Biodiesel Fraction'!X30,1)</f>
        <v>0.97134811027621315</v>
      </c>
      <c r="Y5">
        <f>IF('Biodiesel Fraction'!$B18,1-'Biodiesel Fraction'!Y30,1)</f>
        <v>0.97195157869542803</v>
      </c>
      <c r="Z5">
        <f>IF('Biodiesel Fraction'!$B18,1-'Biodiesel Fraction'!Z30,1)</f>
        <v>0.97249434040966198</v>
      </c>
      <c r="AA5">
        <f>IF('Biodiesel Fraction'!$B18,1-'Biodiesel Fraction'!AA30,1)</f>
        <v>0.97312409878794037</v>
      </c>
      <c r="AB5">
        <f>IF('Biodiesel Fraction'!$B18,1-'Biodiesel Fraction'!AB30,1)</f>
        <v>0.97379379073714167</v>
      </c>
      <c r="AC5">
        <f>IF('Biodiesel Fraction'!$B18,1-'Biodiesel Fraction'!AC30,1)</f>
        <v>0.97448716941846381</v>
      </c>
    </row>
    <row r="6" spans="1:29">
      <c r="A6" t="s">
        <v>19</v>
      </c>
      <c r="B6">
        <v>0</v>
      </c>
      <c r="C6">
        <v>0</v>
      </c>
      <c r="D6">
        <v>0</v>
      </c>
      <c r="E6">
        <v>0</v>
      </c>
      <c r="F6">
        <v>0</v>
      </c>
      <c r="G6">
        <v>0</v>
      </c>
      <c r="H6">
        <v>0</v>
      </c>
      <c r="I6">
        <v>0</v>
      </c>
      <c r="J6">
        <v>0</v>
      </c>
      <c r="K6">
        <v>0</v>
      </c>
      <c r="L6">
        <v>0</v>
      </c>
      <c r="M6">
        <v>0</v>
      </c>
      <c r="N6">
        <v>0</v>
      </c>
      <c r="O6">
        <v>0</v>
      </c>
      <c r="P6">
        <v>0</v>
      </c>
      <c r="Q6">
        <v>0</v>
      </c>
      <c r="R6">
        <v>0</v>
      </c>
      <c r="S6">
        <v>0</v>
      </c>
      <c r="T6">
        <v>0</v>
      </c>
      <c r="U6">
        <v>0</v>
      </c>
      <c r="V6">
        <v>0</v>
      </c>
      <c r="W6">
        <v>0</v>
      </c>
      <c r="X6">
        <v>0</v>
      </c>
      <c r="Y6">
        <v>0</v>
      </c>
      <c r="Z6">
        <v>0</v>
      </c>
      <c r="AA6">
        <v>0</v>
      </c>
      <c r="AB6">
        <v>0</v>
      </c>
      <c r="AC6">
        <v>0</v>
      </c>
    </row>
    <row r="7" spans="1:29">
      <c r="A7" t="s">
        <v>21</v>
      </c>
      <c r="B7">
        <f>IF('Biodiesel Fraction'!$B18,'Biodiesel Fraction'!B30,0)</f>
        <v>3.2438802317246634E-2</v>
      </c>
      <c r="C7">
        <f>IF('Biodiesel Fraction'!$B18,'Biodiesel Fraction'!C30,0)</f>
        <v>3.9585833615893101E-2</v>
      </c>
      <c r="D7">
        <f>IF('Biodiesel Fraction'!$B18,'Biodiesel Fraction'!D30,0)</f>
        <v>2.6267435700706714E-2</v>
      </c>
      <c r="E7">
        <f>IF('Biodiesel Fraction'!$B18,'Biodiesel Fraction'!E30,0)</f>
        <v>3.1621309722213581E-2</v>
      </c>
      <c r="F7">
        <f>IF('Biodiesel Fraction'!$B18,'Biodiesel Fraction'!F30,0)</f>
        <v>3.033623618419894E-2</v>
      </c>
      <c r="G7">
        <f>IF('Biodiesel Fraction'!$B18,'Biodiesel Fraction'!G30,0)</f>
        <v>3.1341456464613789E-2</v>
      </c>
      <c r="H7">
        <f>IF('Biodiesel Fraction'!$B18,'Biodiesel Fraction'!H30,0)</f>
        <v>3.2072353462745715E-2</v>
      </c>
      <c r="I7">
        <f>IF('Biodiesel Fraction'!$B18,'Biodiesel Fraction'!I30,0)</f>
        <v>2.6683566813277972E-2</v>
      </c>
      <c r="J7">
        <f>IF('Biodiesel Fraction'!$B18,'Biodiesel Fraction'!J30,0)</f>
        <v>2.8110882476572851E-2</v>
      </c>
      <c r="K7">
        <f>IF('Biodiesel Fraction'!$B18,'Biodiesel Fraction'!K30,0)</f>
        <v>2.8872443198755857E-2</v>
      </c>
      <c r="L7">
        <f>IF('Biodiesel Fraction'!$B18,'Biodiesel Fraction'!L30,0)</f>
        <v>3.046784327226101E-2</v>
      </c>
      <c r="M7">
        <f>IF('Biodiesel Fraction'!$B18,'Biodiesel Fraction'!M30,0)</f>
        <v>3.1217849997095815E-2</v>
      </c>
      <c r="N7">
        <f>IF('Biodiesel Fraction'!$B18,'Biodiesel Fraction'!N30,0)</f>
        <v>3.1875348209761699E-2</v>
      </c>
      <c r="O7">
        <f>IF('Biodiesel Fraction'!$B18,'Biodiesel Fraction'!O30,0)</f>
        <v>3.0134406091615811E-2</v>
      </c>
      <c r="P7">
        <f>IF('Biodiesel Fraction'!$B18,'Biodiesel Fraction'!P30,0)</f>
        <v>3.1730954796610401E-2</v>
      </c>
      <c r="Q7">
        <f>IF('Biodiesel Fraction'!$B18,'Biodiesel Fraction'!Q30,0)</f>
        <v>3.1605114445489989E-2</v>
      </c>
      <c r="R7">
        <f>IF('Biodiesel Fraction'!$B18,'Biodiesel Fraction'!R30,0)</f>
        <v>3.1293299974720641E-2</v>
      </c>
      <c r="S7">
        <f>IF('Biodiesel Fraction'!$B18,'Biodiesel Fraction'!S30,0)</f>
        <v>3.0940663364443025E-2</v>
      </c>
      <c r="T7">
        <f>IF('Biodiesel Fraction'!$B18,'Biodiesel Fraction'!T30,0)</f>
        <v>3.0538396732350235E-2</v>
      </c>
      <c r="U7">
        <f>IF('Biodiesel Fraction'!$B18,'Biodiesel Fraction'!U30,0)</f>
        <v>3.0125767488979882E-2</v>
      </c>
      <c r="V7">
        <f>IF('Biodiesel Fraction'!$B18,'Biodiesel Fraction'!V30,0)</f>
        <v>2.9689512873191E-2</v>
      </c>
      <c r="W7">
        <f>IF('Biodiesel Fraction'!$B18,'Biodiesel Fraction'!W30,0)</f>
        <v>2.9210252178189615E-2</v>
      </c>
      <c r="X7">
        <f>IF('Biodiesel Fraction'!$B18,'Biodiesel Fraction'!X30,0)</f>
        <v>2.8651889723786874E-2</v>
      </c>
      <c r="Y7">
        <f>IF('Biodiesel Fraction'!$B18,'Biodiesel Fraction'!Y30,0)</f>
        <v>2.8048421304572007E-2</v>
      </c>
      <c r="Z7">
        <f>IF('Biodiesel Fraction'!$B18,'Biodiesel Fraction'!Z30,0)</f>
        <v>2.7505659590338054E-2</v>
      </c>
      <c r="AA7">
        <f>IF('Biodiesel Fraction'!$B18,'Biodiesel Fraction'!AA30,0)</f>
        <v>2.6875901212059638E-2</v>
      </c>
      <c r="AB7">
        <f>IF('Biodiesel Fraction'!$B18,'Biodiesel Fraction'!AB30,0)</f>
        <v>2.6206209262858382E-2</v>
      </c>
      <c r="AC7">
        <f>IF('Biodiesel Fraction'!$B18,'Biodiesel Fraction'!AC30,0)</f>
        <v>2.5512830581536149E-2</v>
      </c>
    </row>
    <row r="8" spans="1:29">
      <c r="A8" t="s">
        <v>20</v>
      </c>
      <c r="B8">
        <v>0</v>
      </c>
      <c r="C8">
        <v>0</v>
      </c>
      <c r="D8">
        <v>0</v>
      </c>
      <c r="E8">
        <v>0</v>
      </c>
      <c r="F8">
        <v>0</v>
      </c>
      <c r="G8">
        <v>0</v>
      </c>
      <c r="H8">
        <v>0</v>
      </c>
      <c r="I8">
        <v>0</v>
      </c>
      <c r="J8">
        <v>0</v>
      </c>
      <c r="K8">
        <v>0</v>
      </c>
      <c r="L8">
        <v>0</v>
      </c>
      <c r="M8">
        <v>0</v>
      </c>
      <c r="N8">
        <v>0</v>
      </c>
      <c r="O8">
        <v>0</v>
      </c>
      <c r="P8">
        <v>0</v>
      </c>
      <c r="Q8">
        <v>0</v>
      </c>
      <c r="R8">
        <v>0</v>
      </c>
      <c r="S8">
        <v>0</v>
      </c>
      <c r="T8">
        <v>0</v>
      </c>
      <c r="U8">
        <v>0</v>
      </c>
      <c r="V8">
        <v>0</v>
      </c>
      <c r="W8">
        <v>0</v>
      </c>
      <c r="X8">
        <v>0</v>
      </c>
      <c r="Y8">
        <v>0</v>
      </c>
      <c r="Z8">
        <v>0</v>
      </c>
      <c r="AA8">
        <v>0</v>
      </c>
      <c r="AB8">
        <v>0</v>
      </c>
      <c r="AC8">
        <v>0</v>
      </c>
    </row>
    <row r="9" spans="1:29">
      <c r="A9" t="s">
        <v>82</v>
      </c>
      <c r="B9">
        <v>0</v>
      </c>
      <c r="C9">
        <v>0</v>
      </c>
      <c r="D9">
        <v>0</v>
      </c>
      <c r="E9">
        <v>0</v>
      </c>
      <c r="F9">
        <v>0</v>
      </c>
      <c r="G9">
        <v>0</v>
      </c>
      <c r="H9">
        <v>0</v>
      </c>
      <c r="I9">
        <v>0</v>
      </c>
      <c r="J9">
        <v>0</v>
      </c>
      <c r="K9">
        <v>0</v>
      </c>
      <c r="L9">
        <v>0</v>
      </c>
      <c r="M9">
        <v>0</v>
      </c>
      <c r="N9">
        <v>0</v>
      </c>
      <c r="O9">
        <v>0</v>
      </c>
      <c r="P9">
        <v>0</v>
      </c>
      <c r="Q9">
        <v>0</v>
      </c>
      <c r="R9">
        <v>0</v>
      </c>
      <c r="S9">
        <v>0</v>
      </c>
      <c r="T9">
        <v>0</v>
      </c>
      <c r="U9">
        <v>0</v>
      </c>
      <c r="V9">
        <v>0</v>
      </c>
      <c r="W9">
        <v>0</v>
      </c>
      <c r="X9">
        <v>0</v>
      </c>
      <c r="Y9">
        <v>0</v>
      </c>
      <c r="Z9">
        <v>0</v>
      </c>
      <c r="AA9">
        <v>0</v>
      </c>
      <c r="AB9">
        <v>0</v>
      </c>
      <c r="AC9">
        <v>0</v>
      </c>
    </row>
    <row r="10" spans="1:29">
      <c r="A10" t="s">
        <v>83</v>
      </c>
      <c r="B10">
        <v>0</v>
      </c>
      <c r="C10">
        <v>0</v>
      </c>
      <c r="D10">
        <v>0</v>
      </c>
      <c r="E10">
        <v>0</v>
      </c>
      <c r="F10">
        <v>0</v>
      </c>
      <c r="G10">
        <v>0</v>
      </c>
      <c r="H10">
        <v>0</v>
      </c>
      <c r="I10">
        <v>0</v>
      </c>
      <c r="J10">
        <v>0</v>
      </c>
      <c r="K10">
        <v>0</v>
      </c>
      <c r="L10">
        <v>0</v>
      </c>
      <c r="M10">
        <v>0</v>
      </c>
      <c r="N10">
        <v>0</v>
      </c>
      <c r="O10">
        <v>0</v>
      </c>
      <c r="P10">
        <v>0</v>
      </c>
      <c r="Q10">
        <v>0</v>
      </c>
      <c r="R10">
        <v>0</v>
      </c>
      <c r="S10">
        <v>0</v>
      </c>
      <c r="T10">
        <v>0</v>
      </c>
      <c r="U10">
        <v>0</v>
      </c>
      <c r="V10">
        <v>0</v>
      </c>
      <c r="W10">
        <v>0</v>
      </c>
      <c r="X10">
        <v>0</v>
      </c>
      <c r="Y10">
        <v>0</v>
      </c>
      <c r="Z10">
        <v>0</v>
      </c>
      <c r="AA10">
        <v>0</v>
      </c>
      <c r="AB10">
        <v>0</v>
      </c>
      <c r="AC10">
        <v>0</v>
      </c>
    </row>
    <row r="11" spans="1:29">
      <c r="A11" t="s">
        <v>84</v>
      </c>
      <c r="B11">
        <v>0</v>
      </c>
      <c r="C11">
        <v>0</v>
      </c>
      <c r="D11">
        <v>0</v>
      </c>
      <c r="E11">
        <v>0</v>
      </c>
      <c r="F11">
        <v>0</v>
      </c>
      <c r="G11">
        <v>0</v>
      </c>
      <c r="H11">
        <v>0</v>
      </c>
      <c r="I11">
        <v>0</v>
      </c>
      <c r="J11">
        <v>0</v>
      </c>
      <c r="K11">
        <v>0</v>
      </c>
      <c r="L11">
        <v>0</v>
      </c>
      <c r="M11">
        <v>0</v>
      </c>
      <c r="N11">
        <v>0</v>
      </c>
      <c r="O11">
        <v>0</v>
      </c>
      <c r="P11">
        <v>0</v>
      </c>
      <c r="Q11">
        <v>0</v>
      </c>
      <c r="R11">
        <v>0</v>
      </c>
      <c r="S11">
        <v>0</v>
      </c>
      <c r="T11">
        <v>0</v>
      </c>
      <c r="U11">
        <v>0</v>
      </c>
      <c r="V11">
        <v>0</v>
      </c>
      <c r="W11">
        <v>0</v>
      </c>
      <c r="X11">
        <v>0</v>
      </c>
      <c r="Y11">
        <v>0</v>
      </c>
      <c r="Z11">
        <v>0</v>
      </c>
      <c r="AA11">
        <v>0</v>
      </c>
      <c r="AB11">
        <v>0</v>
      </c>
      <c r="AC11">
        <v>0</v>
      </c>
    </row>
  </sheetData>
  <pageMargins left="0.7" right="0.7" top="0.75" bottom="0.75" header="0.3" footer="0.3"/>
</worksheet>
</file>

<file path=xl/worksheets/sheet2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A00-000000000000}">
  <sheetPr>
    <tabColor theme="3"/>
  </sheetPr>
  <dimension ref="A1:AG11"/>
  <sheetViews>
    <sheetView workbookViewId="0"/>
  </sheetViews>
  <sheetFormatPr defaultRowHeight="14.25"/>
  <cols>
    <col min="1" max="1" width="22.53125" customWidth="1"/>
  </cols>
  <sheetData>
    <row r="1" spans="1:33" ht="28.5">
      <c r="A1" s="10" t="s">
        <v>85</v>
      </c>
      <c r="B1">
        <v>2021</v>
      </c>
      <c r="C1">
        <v>2022</v>
      </c>
      <c r="D1">
        <v>2023</v>
      </c>
      <c r="E1">
        <v>2024</v>
      </c>
      <c r="F1">
        <v>2025</v>
      </c>
      <c r="G1">
        <v>2026</v>
      </c>
      <c r="H1">
        <v>2027</v>
      </c>
      <c r="I1">
        <v>2028</v>
      </c>
      <c r="J1">
        <v>2029</v>
      </c>
      <c r="K1">
        <v>2030</v>
      </c>
      <c r="L1">
        <v>2031</v>
      </c>
      <c r="M1">
        <v>2032</v>
      </c>
      <c r="N1">
        <v>2033</v>
      </c>
      <c r="O1">
        <v>2034</v>
      </c>
      <c r="P1">
        <v>2035</v>
      </c>
      <c r="Q1">
        <v>2036</v>
      </c>
      <c r="R1">
        <v>2037</v>
      </c>
      <c r="S1">
        <v>2038</v>
      </c>
      <c r="T1">
        <v>2039</v>
      </c>
      <c r="U1">
        <v>2040</v>
      </c>
      <c r="V1">
        <v>2041</v>
      </c>
      <c r="W1">
        <v>2042</v>
      </c>
      <c r="X1">
        <v>2043</v>
      </c>
      <c r="Y1">
        <v>2044</v>
      </c>
      <c r="Z1">
        <v>2045</v>
      </c>
      <c r="AA1">
        <v>2046</v>
      </c>
      <c r="AB1">
        <v>2047</v>
      </c>
      <c r="AC1">
        <v>2048</v>
      </c>
      <c r="AD1">
        <v>2049</v>
      </c>
      <c r="AE1">
        <v>2050</v>
      </c>
    </row>
    <row r="2" spans="1:33">
      <c r="A2" t="s">
        <v>15</v>
      </c>
      <c r="B2">
        <f>'Plug-in Hybrid Elec Fraction'!$A5</f>
        <v>0.55000000000000004</v>
      </c>
      <c r="C2">
        <f>'Plug-in Hybrid Elec Fraction'!$A5</f>
        <v>0.55000000000000004</v>
      </c>
      <c r="D2">
        <f>'Plug-in Hybrid Elec Fraction'!$A5</f>
        <v>0.55000000000000004</v>
      </c>
      <c r="E2">
        <f>'Plug-in Hybrid Elec Fraction'!$A5</f>
        <v>0.55000000000000004</v>
      </c>
      <c r="F2">
        <f>'Plug-in Hybrid Elec Fraction'!$A5</f>
        <v>0.55000000000000004</v>
      </c>
      <c r="G2">
        <f>'Plug-in Hybrid Elec Fraction'!$A5</f>
        <v>0.55000000000000004</v>
      </c>
      <c r="H2">
        <f>'Plug-in Hybrid Elec Fraction'!$A5</f>
        <v>0.55000000000000004</v>
      </c>
      <c r="I2">
        <f>'Plug-in Hybrid Elec Fraction'!$A5</f>
        <v>0.55000000000000004</v>
      </c>
      <c r="J2">
        <f>'Plug-in Hybrid Elec Fraction'!$A5</f>
        <v>0.55000000000000004</v>
      </c>
      <c r="K2">
        <f>'Plug-in Hybrid Elec Fraction'!$A5</f>
        <v>0.55000000000000004</v>
      </c>
      <c r="L2">
        <f>'Plug-in Hybrid Elec Fraction'!$A5</f>
        <v>0.55000000000000004</v>
      </c>
      <c r="M2">
        <f>'Plug-in Hybrid Elec Fraction'!$A5</f>
        <v>0.55000000000000004</v>
      </c>
      <c r="N2">
        <f>'Plug-in Hybrid Elec Fraction'!$A5</f>
        <v>0.55000000000000004</v>
      </c>
      <c r="O2">
        <f>'Plug-in Hybrid Elec Fraction'!$A5</f>
        <v>0.55000000000000004</v>
      </c>
      <c r="P2">
        <f>'Plug-in Hybrid Elec Fraction'!$A5</f>
        <v>0.55000000000000004</v>
      </c>
      <c r="Q2">
        <f>'Plug-in Hybrid Elec Fraction'!$A5</f>
        <v>0.55000000000000004</v>
      </c>
      <c r="R2">
        <f>'Plug-in Hybrid Elec Fraction'!$A5</f>
        <v>0.55000000000000004</v>
      </c>
      <c r="S2">
        <f>'Plug-in Hybrid Elec Fraction'!$A5</f>
        <v>0.55000000000000004</v>
      </c>
      <c r="T2">
        <f>'Plug-in Hybrid Elec Fraction'!$A5</f>
        <v>0.55000000000000004</v>
      </c>
      <c r="U2">
        <f>'Plug-in Hybrid Elec Fraction'!$A5</f>
        <v>0.55000000000000004</v>
      </c>
      <c r="V2">
        <f>'Plug-in Hybrid Elec Fraction'!$A5</f>
        <v>0.55000000000000004</v>
      </c>
      <c r="W2">
        <f>'Plug-in Hybrid Elec Fraction'!$A5</f>
        <v>0.55000000000000004</v>
      </c>
      <c r="X2">
        <f>'Plug-in Hybrid Elec Fraction'!$A5</f>
        <v>0.55000000000000004</v>
      </c>
      <c r="Y2">
        <f>'Plug-in Hybrid Elec Fraction'!$A5</f>
        <v>0.55000000000000004</v>
      </c>
      <c r="Z2">
        <f>'Plug-in Hybrid Elec Fraction'!$A5</f>
        <v>0.55000000000000004</v>
      </c>
      <c r="AA2">
        <f>'Plug-in Hybrid Elec Fraction'!$A5</f>
        <v>0.55000000000000004</v>
      </c>
      <c r="AB2">
        <f>'Plug-in Hybrid Elec Fraction'!$A5</f>
        <v>0.55000000000000004</v>
      </c>
      <c r="AC2">
        <f>'Plug-in Hybrid Elec Fraction'!$A5</f>
        <v>0.55000000000000004</v>
      </c>
      <c r="AD2">
        <f>'Plug-in Hybrid Elec Fraction'!$A5</f>
        <v>0.55000000000000004</v>
      </c>
      <c r="AE2">
        <f>'Plug-in Hybrid Elec Fraction'!$A5</f>
        <v>0.55000000000000004</v>
      </c>
    </row>
    <row r="3" spans="1:33">
      <c r="A3" t="s">
        <v>16</v>
      </c>
      <c r="B3">
        <v>0</v>
      </c>
      <c r="C3">
        <v>0</v>
      </c>
      <c r="D3">
        <v>0</v>
      </c>
      <c r="E3">
        <v>0</v>
      </c>
      <c r="F3">
        <v>0</v>
      </c>
      <c r="G3">
        <v>0</v>
      </c>
      <c r="H3">
        <v>0</v>
      </c>
      <c r="I3">
        <v>0</v>
      </c>
      <c r="J3">
        <v>0</v>
      </c>
      <c r="K3">
        <v>0</v>
      </c>
      <c r="L3">
        <v>0</v>
      </c>
      <c r="M3">
        <v>0</v>
      </c>
      <c r="N3">
        <v>0</v>
      </c>
      <c r="O3">
        <v>0</v>
      </c>
      <c r="P3">
        <v>0</v>
      </c>
      <c r="Q3">
        <v>0</v>
      </c>
      <c r="R3">
        <v>0</v>
      </c>
      <c r="S3">
        <v>0</v>
      </c>
      <c r="T3">
        <v>0</v>
      </c>
      <c r="U3">
        <v>0</v>
      </c>
      <c r="V3">
        <v>0</v>
      </c>
      <c r="W3">
        <v>0</v>
      </c>
      <c r="X3">
        <v>0</v>
      </c>
      <c r="Y3">
        <v>0</v>
      </c>
      <c r="Z3">
        <v>0</v>
      </c>
      <c r="AA3">
        <v>0</v>
      </c>
      <c r="AB3">
        <v>0</v>
      </c>
      <c r="AC3">
        <v>0</v>
      </c>
      <c r="AD3">
        <v>0</v>
      </c>
      <c r="AE3">
        <v>0</v>
      </c>
    </row>
    <row r="4" spans="1:33">
      <c r="A4" t="s">
        <v>17</v>
      </c>
      <c r="B4" s="2">
        <f>1-B2-B6</f>
        <v>0.41719740551191759</v>
      </c>
      <c r="C4" s="2">
        <f>$B$4</f>
        <v>0.41719740551191759</v>
      </c>
      <c r="D4" s="2">
        <f t="shared" ref="D4:AE4" si="0">$B$4</f>
        <v>0.41719740551191759</v>
      </c>
      <c r="E4" s="2">
        <f t="shared" si="0"/>
        <v>0.41719740551191759</v>
      </c>
      <c r="F4" s="2">
        <f t="shared" si="0"/>
        <v>0.41719740551191759</v>
      </c>
      <c r="G4" s="2">
        <f t="shared" si="0"/>
        <v>0.41719740551191759</v>
      </c>
      <c r="H4" s="2">
        <f t="shared" si="0"/>
        <v>0.41719740551191759</v>
      </c>
      <c r="I4" s="2">
        <f t="shared" si="0"/>
        <v>0.41719740551191759</v>
      </c>
      <c r="J4" s="2">
        <f t="shared" si="0"/>
        <v>0.41719740551191759</v>
      </c>
      <c r="K4" s="2">
        <f t="shared" si="0"/>
        <v>0.41719740551191759</v>
      </c>
      <c r="L4" s="2">
        <f t="shared" si="0"/>
        <v>0.41719740551191759</v>
      </c>
      <c r="M4" s="2">
        <f t="shared" si="0"/>
        <v>0.41719740551191759</v>
      </c>
      <c r="N4" s="2">
        <f t="shared" si="0"/>
        <v>0.41719740551191759</v>
      </c>
      <c r="O4" s="2">
        <f t="shared" si="0"/>
        <v>0.41719740551191759</v>
      </c>
      <c r="P4" s="2">
        <f t="shared" si="0"/>
        <v>0.41719740551191759</v>
      </c>
      <c r="Q4" s="2">
        <f t="shared" si="0"/>
        <v>0.41719740551191759</v>
      </c>
      <c r="R4" s="2">
        <f t="shared" si="0"/>
        <v>0.41719740551191759</v>
      </c>
      <c r="S4" s="2">
        <f t="shared" si="0"/>
        <v>0.41719740551191759</v>
      </c>
      <c r="T4" s="2">
        <f t="shared" si="0"/>
        <v>0.41719740551191759</v>
      </c>
      <c r="U4" s="2">
        <f t="shared" si="0"/>
        <v>0.41719740551191759</v>
      </c>
      <c r="V4" s="2">
        <f t="shared" si="0"/>
        <v>0.41719740551191759</v>
      </c>
      <c r="W4" s="2">
        <f t="shared" si="0"/>
        <v>0.41719740551191759</v>
      </c>
      <c r="X4" s="2">
        <f t="shared" si="0"/>
        <v>0.41719740551191759</v>
      </c>
      <c r="Y4" s="2">
        <f t="shared" si="0"/>
        <v>0.41719740551191759</v>
      </c>
      <c r="Z4" s="2">
        <f t="shared" si="0"/>
        <v>0.41719740551191759</v>
      </c>
      <c r="AA4" s="2">
        <f t="shared" si="0"/>
        <v>0.41719740551191759</v>
      </c>
      <c r="AB4" s="2">
        <f t="shared" si="0"/>
        <v>0.41719740551191759</v>
      </c>
      <c r="AC4" s="2">
        <f t="shared" si="0"/>
        <v>0.41719740551191759</v>
      </c>
      <c r="AD4" s="2">
        <f t="shared" si="0"/>
        <v>0.41719740551191759</v>
      </c>
      <c r="AE4" s="2">
        <f t="shared" si="0"/>
        <v>0.41719740551191759</v>
      </c>
      <c r="AF4" s="2"/>
      <c r="AG4" s="2"/>
    </row>
    <row r="5" spans="1:33">
      <c r="A5" t="s">
        <v>18</v>
      </c>
      <c r="B5">
        <v>0</v>
      </c>
      <c r="C5">
        <v>0</v>
      </c>
      <c r="D5">
        <v>0</v>
      </c>
      <c r="E5">
        <v>0</v>
      </c>
      <c r="F5">
        <v>0</v>
      </c>
      <c r="G5">
        <v>0</v>
      </c>
      <c r="H5">
        <v>0</v>
      </c>
      <c r="I5">
        <v>0</v>
      </c>
      <c r="J5">
        <v>0</v>
      </c>
      <c r="K5">
        <v>0</v>
      </c>
      <c r="L5">
        <v>0</v>
      </c>
      <c r="M5">
        <v>0</v>
      </c>
      <c r="N5">
        <v>0</v>
      </c>
      <c r="O5">
        <v>0</v>
      </c>
      <c r="P5">
        <v>0</v>
      </c>
      <c r="Q5">
        <v>0</v>
      </c>
      <c r="R5">
        <v>0</v>
      </c>
      <c r="S5">
        <v>0</v>
      </c>
      <c r="T5">
        <v>0</v>
      </c>
      <c r="U5">
        <v>0</v>
      </c>
      <c r="V5">
        <v>0</v>
      </c>
      <c r="W5">
        <v>0</v>
      </c>
      <c r="X5">
        <v>0</v>
      </c>
      <c r="Y5">
        <v>0</v>
      </c>
      <c r="Z5">
        <v>0</v>
      </c>
      <c r="AA5">
        <v>0</v>
      </c>
      <c r="AB5">
        <v>0</v>
      </c>
      <c r="AC5">
        <v>0</v>
      </c>
      <c r="AD5">
        <v>0</v>
      </c>
      <c r="AE5">
        <v>0</v>
      </c>
    </row>
    <row r="6" spans="1:33">
      <c r="A6" t="s">
        <v>19</v>
      </c>
      <c r="B6" s="2">
        <f>(1-B2)*'ethanol content'!J3</f>
        <v>3.2802594488082371E-2</v>
      </c>
      <c r="C6" s="2">
        <f>$B$6</f>
        <v>3.2802594488082371E-2</v>
      </c>
      <c r="D6" s="2">
        <f t="shared" ref="D6:AE6" si="1">$B$6</f>
        <v>3.2802594488082371E-2</v>
      </c>
      <c r="E6" s="2">
        <f t="shared" si="1"/>
        <v>3.2802594488082371E-2</v>
      </c>
      <c r="F6" s="2">
        <f t="shared" si="1"/>
        <v>3.2802594488082371E-2</v>
      </c>
      <c r="G6" s="2">
        <f t="shared" si="1"/>
        <v>3.2802594488082371E-2</v>
      </c>
      <c r="H6" s="2">
        <f t="shared" si="1"/>
        <v>3.2802594488082371E-2</v>
      </c>
      <c r="I6" s="2">
        <f t="shared" si="1"/>
        <v>3.2802594488082371E-2</v>
      </c>
      <c r="J6" s="2">
        <f t="shared" si="1"/>
        <v>3.2802594488082371E-2</v>
      </c>
      <c r="K6" s="2">
        <f t="shared" si="1"/>
        <v>3.2802594488082371E-2</v>
      </c>
      <c r="L6" s="2">
        <f t="shared" si="1"/>
        <v>3.2802594488082371E-2</v>
      </c>
      <c r="M6" s="2">
        <f t="shared" si="1"/>
        <v>3.2802594488082371E-2</v>
      </c>
      <c r="N6" s="2">
        <f t="shared" si="1"/>
        <v>3.2802594488082371E-2</v>
      </c>
      <c r="O6" s="2">
        <f t="shared" si="1"/>
        <v>3.2802594488082371E-2</v>
      </c>
      <c r="P6" s="2">
        <f t="shared" si="1"/>
        <v>3.2802594488082371E-2</v>
      </c>
      <c r="Q6" s="2">
        <f t="shared" si="1"/>
        <v>3.2802594488082371E-2</v>
      </c>
      <c r="R6" s="2">
        <f t="shared" si="1"/>
        <v>3.2802594488082371E-2</v>
      </c>
      <c r="S6" s="2">
        <f t="shared" si="1"/>
        <v>3.2802594488082371E-2</v>
      </c>
      <c r="T6" s="2">
        <f t="shared" si="1"/>
        <v>3.2802594488082371E-2</v>
      </c>
      <c r="U6" s="2">
        <f t="shared" si="1"/>
        <v>3.2802594488082371E-2</v>
      </c>
      <c r="V6" s="2">
        <f t="shared" si="1"/>
        <v>3.2802594488082371E-2</v>
      </c>
      <c r="W6" s="2">
        <f t="shared" si="1"/>
        <v>3.2802594488082371E-2</v>
      </c>
      <c r="X6" s="2">
        <f t="shared" si="1"/>
        <v>3.2802594488082371E-2</v>
      </c>
      <c r="Y6" s="2">
        <f t="shared" si="1"/>
        <v>3.2802594488082371E-2</v>
      </c>
      <c r="Z6" s="2">
        <f t="shared" si="1"/>
        <v>3.2802594488082371E-2</v>
      </c>
      <c r="AA6" s="2">
        <f t="shared" si="1"/>
        <v>3.2802594488082371E-2</v>
      </c>
      <c r="AB6" s="2">
        <f t="shared" si="1"/>
        <v>3.2802594488082371E-2</v>
      </c>
      <c r="AC6" s="2">
        <f t="shared" si="1"/>
        <v>3.2802594488082371E-2</v>
      </c>
      <c r="AD6" s="2">
        <f t="shared" si="1"/>
        <v>3.2802594488082371E-2</v>
      </c>
      <c r="AE6" s="2">
        <f t="shared" si="1"/>
        <v>3.2802594488082371E-2</v>
      </c>
      <c r="AF6" s="2"/>
      <c r="AG6" s="2"/>
    </row>
    <row r="7" spans="1:33">
      <c r="A7" t="s">
        <v>21</v>
      </c>
      <c r="B7">
        <v>0</v>
      </c>
      <c r="C7">
        <v>0</v>
      </c>
      <c r="D7">
        <v>0</v>
      </c>
      <c r="E7">
        <v>0</v>
      </c>
      <c r="F7">
        <v>0</v>
      </c>
      <c r="G7">
        <v>0</v>
      </c>
      <c r="H7">
        <v>0</v>
      </c>
      <c r="I7">
        <v>0</v>
      </c>
      <c r="J7">
        <v>0</v>
      </c>
      <c r="K7">
        <v>0</v>
      </c>
      <c r="L7">
        <v>0</v>
      </c>
      <c r="M7">
        <v>0</v>
      </c>
      <c r="N7">
        <v>0</v>
      </c>
      <c r="O7">
        <v>0</v>
      </c>
      <c r="P7">
        <v>0</v>
      </c>
      <c r="Q7">
        <v>0</v>
      </c>
      <c r="R7">
        <v>0</v>
      </c>
      <c r="S7">
        <v>0</v>
      </c>
      <c r="T7">
        <v>0</v>
      </c>
      <c r="U7">
        <v>0</v>
      </c>
      <c r="V7">
        <v>0</v>
      </c>
      <c r="W7">
        <v>0</v>
      </c>
      <c r="X7">
        <v>0</v>
      </c>
      <c r="Y7">
        <v>0</v>
      </c>
      <c r="Z7">
        <v>0</v>
      </c>
      <c r="AA7">
        <v>0</v>
      </c>
      <c r="AB7">
        <v>0</v>
      </c>
      <c r="AC7">
        <v>0</v>
      </c>
      <c r="AD7">
        <v>0</v>
      </c>
      <c r="AE7">
        <v>0</v>
      </c>
    </row>
    <row r="8" spans="1:33">
      <c r="A8" t="s">
        <v>20</v>
      </c>
      <c r="B8">
        <v>0</v>
      </c>
      <c r="C8">
        <v>0</v>
      </c>
      <c r="D8">
        <v>0</v>
      </c>
      <c r="E8">
        <v>0</v>
      </c>
      <c r="F8">
        <v>0</v>
      </c>
      <c r="G8">
        <v>0</v>
      </c>
      <c r="H8">
        <v>0</v>
      </c>
      <c r="I8">
        <v>0</v>
      </c>
      <c r="J8">
        <v>0</v>
      </c>
      <c r="K8">
        <v>0</v>
      </c>
      <c r="L8">
        <v>0</v>
      </c>
      <c r="M8">
        <v>0</v>
      </c>
      <c r="N8">
        <v>0</v>
      </c>
      <c r="O8">
        <v>0</v>
      </c>
      <c r="P8">
        <v>0</v>
      </c>
      <c r="Q8">
        <v>0</v>
      </c>
      <c r="R8">
        <v>0</v>
      </c>
      <c r="S8">
        <v>0</v>
      </c>
      <c r="T8">
        <v>0</v>
      </c>
      <c r="U8">
        <v>0</v>
      </c>
      <c r="V8">
        <v>0</v>
      </c>
      <c r="W8">
        <v>0</v>
      </c>
      <c r="X8">
        <v>0</v>
      </c>
      <c r="Y8">
        <v>0</v>
      </c>
      <c r="Z8">
        <v>0</v>
      </c>
      <c r="AA8">
        <v>0</v>
      </c>
      <c r="AB8">
        <v>0</v>
      </c>
      <c r="AC8">
        <v>0</v>
      </c>
      <c r="AD8">
        <v>0</v>
      </c>
      <c r="AE8">
        <v>0</v>
      </c>
    </row>
    <row r="9" spans="1:33">
      <c r="A9" t="s">
        <v>82</v>
      </c>
      <c r="B9">
        <v>0</v>
      </c>
      <c r="C9">
        <v>0</v>
      </c>
      <c r="D9">
        <v>0</v>
      </c>
      <c r="E9">
        <v>0</v>
      </c>
      <c r="F9">
        <v>0</v>
      </c>
      <c r="G9">
        <v>0</v>
      </c>
      <c r="H9">
        <v>0</v>
      </c>
      <c r="I9">
        <v>0</v>
      </c>
      <c r="J9">
        <v>0</v>
      </c>
      <c r="K9">
        <v>0</v>
      </c>
      <c r="L9">
        <v>0</v>
      </c>
      <c r="M9">
        <v>0</v>
      </c>
      <c r="N9">
        <v>0</v>
      </c>
      <c r="O9">
        <v>0</v>
      </c>
      <c r="P9">
        <v>0</v>
      </c>
      <c r="Q9">
        <v>0</v>
      </c>
      <c r="R9">
        <v>0</v>
      </c>
      <c r="S9">
        <v>0</v>
      </c>
      <c r="T9">
        <v>0</v>
      </c>
      <c r="U9">
        <v>0</v>
      </c>
      <c r="V9">
        <v>0</v>
      </c>
      <c r="W9">
        <v>0</v>
      </c>
      <c r="X9">
        <v>0</v>
      </c>
      <c r="Y9">
        <v>0</v>
      </c>
      <c r="Z9">
        <v>0</v>
      </c>
      <c r="AA9">
        <v>0</v>
      </c>
      <c r="AB9">
        <v>0</v>
      </c>
      <c r="AC9">
        <v>0</v>
      </c>
      <c r="AD9">
        <v>0</v>
      </c>
      <c r="AE9">
        <v>0</v>
      </c>
    </row>
    <row r="10" spans="1:33">
      <c r="A10" t="s">
        <v>83</v>
      </c>
      <c r="B10">
        <v>0</v>
      </c>
      <c r="C10">
        <v>0</v>
      </c>
      <c r="D10">
        <v>0</v>
      </c>
      <c r="E10">
        <v>0</v>
      </c>
      <c r="F10">
        <v>0</v>
      </c>
      <c r="G10">
        <v>0</v>
      </c>
      <c r="H10">
        <v>0</v>
      </c>
      <c r="I10">
        <v>0</v>
      </c>
      <c r="J10">
        <v>0</v>
      </c>
      <c r="K10">
        <v>0</v>
      </c>
      <c r="L10">
        <v>0</v>
      </c>
      <c r="M10">
        <v>0</v>
      </c>
      <c r="N10">
        <v>0</v>
      </c>
      <c r="O10">
        <v>0</v>
      </c>
      <c r="P10">
        <v>0</v>
      </c>
      <c r="Q10">
        <v>0</v>
      </c>
      <c r="R10">
        <v>0</v>
      </c>
      <c r="S10">
        <v>0</v>
      </c>
      <c r="T10">
        <v>0</v>
      </c>
      <c r="U10">
        <v>0</v>
      </c>
      <c r="V10">
        <v>0</v>
      </c>
      <c r="W10">
        <v>0</v>
      </c>
      <c r="X10">
        <v>0</v>
      </c>
      <c r="Y10">
        <v>0</v>
      </c>
      <c r="Z10">
        <v>0</v>
      </c>
      <c r="AA10">
        <v>0</v>
      </c>
      <c r="AB10">
        <v>0</v>
      </c>
      <c r="AC10">
        <v>0</v>
      </c>
      <c r="AD10">
        <v>0</v>
      </c>
      <c r="AE10">
        <v>0</v>
      </c>
    </row>
    <row r="11" spans="1:33">
      <c r="A11" t="s">
        <v>84</v>
      </c>
      <c r="B11">
        <v>0</v>
      </c>
      <c r="C11">
        <v>0</v>
      </c>
      <c r="D11">
        <v>0</v>
      </c>
      <c r="E11">
        <v>0</v>
      </c>
      <c r="F11">
        <v>0</v>
      </c>
      <c r="G11">
        <v>0</v>
      </c>
      <c r="H11">
        <v>0</v>
      </c>
      <c r="I11">
        <v>0</v>
      </c>
      <c r="J11">
        <v>0</v>
      </c>
      <c r="K11">
        <v>0</v>
      </c>
      <c r="L11">
        <v>0</v>
      </c>
      <c r="M11">
        <v>0</v>
      </c>
      <c r="N11">
        <v>0</v>
      </c>
      <c r="O11">
        <v>0</v>
      </c>
      <c r="P11">
        <v>0</v>
      </c>
      <c r="Q11">
        <v>0</v>
      </c>
      <c r="R11">
        <v>0</v>
      </c>
      <c r="S11">
        <v>0</v>
      </c>
      <c r="T11">
        <v>0</v>
      </c>
      <c r="U11">
        <v>0</v>
      </c>
      <c r="V11">
        <v>0</v>
      </c>
      <c r="W11">
        <v>0</v>
      </c>
      <c r="X11">
        <v>0</v>
      </c>
      <c r="Y11">
        <v>0</v>
      </c>
      <c r="Z11">
        <v>0</v>
      </c>
      <c r="AA11">
        <v>0</v>
      </c>
      <c r="AB11">
        <v>0</v>
      </c>
      <c r="AC11">
        <v>0</v>
      </c>
      <c r="AD11">
        <v>0</v>
      </c>
      <c r="AE11">
        <v>0</v>
      </c>
    </row>
  </sheetData>
  <pageMargins left="0.7" right="0.7" top="0.75" bottom="0.75" header="0.3" footer="0.3"/>
  <ignoredErrors>
    <ignoredError sqref="B5:C5" formulaRange="1"/>
  </ignoredErrors>
</worksheet>
</file>

<file path=xl/worksheets/sheet2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B00-000000000000}">
  <sheetPr>
    <tabColor theme="3"/>
  </sheetPr>
  <dimension ref="A1:AI11"/>
  <sheetViews>
    <sheetView topLeftCell="C1" workbookViewId="0">
      <selection activeCell="AE1" sqref="AE1"/>
    </sheetView>
  </sheetViews>
  <sheetFormatPr defaultRowHeight="14.25"/>
  <cols>
    <col min="1" max="1" width="22.53125" customWidth="1"/>
  </cols>
  <sheetData>
    <row r="1" spans="1:35" ht="28.5">
      <c r="A1" s="10" t="s">
        <v>85</v>
      </c>
      <c r="B1">
        <v>2021</v>
      </c>
      <c r="C1">
        <v>2022</v>
      </c>
      <c r="D1">
        <v>2023</v>
      </c>
      <c r="E1">
        <v>2024</v>
      </c>
      <c r="F1">
        <v>2025</v>
      </c>
      <c r="G1">
        <v>2026</v>
      </c>
      <c r="H1">
        <v>2027</v>
      </c>
      <c r="I1">
        <v>2028</v>
      </c>
      <c r="J1">
        <v>2029</v>
      </c>
      <c r="K1">
        <v>2030</v>
      </c>
      <c r="L1">
        <v>2031</v>
      </c>
      <c r="M1">
        <v>2032</v>
      </c>
      <c r="N1">
        <v>2033</v>
      </c>
      <c r="O1">
        <v>2034</v>
      </c>
      <c r="P1">
        <v>2035</v>
      </c>
      <c r="Q1">
        <v>2036</v>
      </c>
      <c r="R1">
        <v>2037</v>
      </c>
      <c r="S1">
        <v>2038</v>
      </c>
      <c r="T1">
        <v>2039</v>
      </c>
      <c r="U1">
        <v>2040</v>
      </c>
      <c r="V1">
        <v>2041</v>
      </c>
      <c r="W1">
        <v>2042</v>
      </c>
      <c r="X1">
        <v>2043</v>
      </c>
      <c r="Y1">
        <v>2044</v>
      </c>
      <c r="Z1">
        <v>2045</v>
      </c>
      <c r="AA1">
        <v>2046</v>
      </c>
      <c r="AB1">
        <v>2047</v>
      </c>
      <c r="AC1">
        <v>2048</v>
      </c>
      <c r="AD1">
        <v>2049</v>
      </c>
      <c r="AE1">
        <v>2050</v>
      </c>
    </row>
    <row r="2" spans="1:35">
      <c r="A2" t="s">
        <v>15</v>
      </c>
      <c r="B2">
        <v>0</v>
      </c>
      <c r="C2">
        <v>0</v>
      </c>
      <c r="D2">
        <v>0</v>
      </c>
      <c r="E2">
        <v>0</v>
      </c>
      <c r="F2">
        <v>0</v>
      </c>
      <c r="G2">
        <v>0</v>
      </c>
      <c r="H2">
        <v>0</v>
      </c>
      <c r="I2">
        <v>0</v>
      </c>
      <c r="J2">
        <v>0</v>
      </c>
      <c r="K2">
        <v>0</v>
      </c>
      <c r="L2">
        <v>0</v>
      </c>
      <c r="M2">
        <v>0</v>
      </c>
      <c r="N2">
        <v>0</v>
      </c>
      <c r="O2">
        <v>0</v>
      </c>
      <c r="P2">
        <v>0</v>
      </c>
      <c r="Q2">
        <v>0</v>
      </c>
      <c r="R2">
        <v>0</v>
      </c>
      <c r="S2">
        <v>0</v>
      </c>
      <c r="T2">
        <v>0</v>
      </c>
      <c r="U2">
        <v>0</v>
      </c>
      <c r="V2">
        <v>0</v>
      </c>
      <c r="W2">
        <v>0</v>
      </c>
      <c r="X2">
        <v>0</v>
      </c>
      <c r="Y2">
        <v>0</v>
      </c>
      <c r="Z2">
        <v>0</v>
      </c>
      <c r="AA2">
        <v>0</v>
      </c>
      <c r="AB2">
        <v>0</v>
      </c>
      <c r="AC2">
        <v>0</v>
      </c>
      <c r="AD2">
        <v>0</v>
      </c>
      <c r="AE2">
        <v>0</v>
      </c>
    </row>
    <row r="3" spans="1:35">
      <c r="A3" t="s">
        <v>16</v>
      </c>
      <c r="B3">
        <v>0</v>
      </c>
      <c r="C3">
        <v>0</v>
      </c>
      <c r="D3">
        <v>0</v>
      </c>
      <c r="E3">
        <v>0</v>
      </c>
      <c r="F3">
        <v>0</v>
      </c>
      <c r="G3">
        <v>0</v>
      </c>
      <c r="H3">
        <v>0</v>
      </c>
      <c r="I3">
        <v>0</v>
      </c>
      <c r="J3">
        <v>0</v>
      </c>
      <c r="K3">
        <v>0</v>
      </c>
      <c r="L3">
        <v>0</v>
      </c>
      <c r="M3">
        <v>0</v>
      </c>
      <c r="N3">
        <v>0</v>
      </c>
      <c r="O3">
        <v>0</v>
      </c>
      <c r="P3">
        <v>0</v>
      </c>
      <c r="Q3">
        <v>0</v>
      </c>
      <c r="R3">
        <v>0</v>
      </c>
      <c r="S3">
        <v>0</v>
      </c>
      <c r="T3">
        <v>0</v>
      </c>
      <c r="U3">
        <v>0</v>
      </c>
      <c r="V3">
        <v>0</v>
      </c>
      <c r="W3">
        <v>0</v>
      </c>
      <c r="X3">
        <v>0</v>
      </c>
      <c r="Y3">
        <v>0</v>
      </c>
      <c r="Z3">
        <v>0</v>
      </c>
      <c r="AA3">
        <v>0</v>
      </c>
      <c r="AB3">
        <v>0</v>
      </c>
      <c r="AC3">
        <v>0</v>
      </c>
      <c r="AD3">
        <v>0</v>
      </c>
      <c r="AE3">
        <v>0</v>
      </c>
    </row>
    <row r="4" spans="1:35">
      <c r="A4" t="s">
        <v>17</v>
      </c>
      <c r="B4">
        <v>0</v>
      </c>
      <c r="C4">
        <v>0</v>
      </c>
      <c r="D4">
        <v>0</v>
      </c>
      <c r="E4">
        <v>0</v>
      </c>
      <c r="F4">
        <v>0</v>
      </c>
      <c r="G4">
        <v>0</v>
      </c>
      <c r="H4">
        <v>0</v>
      </c>
      <c r="I4">
        <v>0</v>
      </c>
      <c r="J4">
        <v>0</v>
      </c>
      <c r="K4">
        <v>0</v>
      </c>
      <c r="L4">
        <v>0</v>
      </c>
      <c r="M4">
        <v>0</v>
      </c>
      <c r="N4">
        <v>0</v>
      </c>
      <c r="O4">
        <v>0</v>
      </c>
      <c r="P4">
        <v>0</v>
      </c>
      <c r="Q4">
        <v>0</v>
      </c>
      <c r="R4">
        <v>0</v>
      </c>
      <c r="S4">
        <v>0</v>
      </c>
      <c r="T4">
        <v>0</v>
      </c>
      <c r="U4">
        <v>0</v>
      </c>
      <c r="V4">
        <v>0</v>
      </c>
      <c r="W4">
        <v>0</v>
      </c>
      <c r="X4">
        <v>0</v>
      </c>
      <c r="Y4">
        <v>0</v>
      </c>
      <c r="Z4">
        <v>0</v>
      </c>
      <c r="AA4">
        <v>0</v>
      </c>
      <c r="AB4">
        <v>0</v>
      </c>
      <c r="AC4">
        <v>0</v>
      </c>
      <c r="AD4">
        <v>0</v>
      </c>
      <c r="AE4">
        <v>0</v>
      </c>
      <c r="AI4" s="2"/>
    </row>
    <row r="5" spans="1:35">
      <c r="A5" t="s">
        <v>18</v>
      </c>
      <c r="B5">
        <v>0</v>
      </c>
      <c r="C5">
        <v>0</v>
      </c>
      <c r="D5">
        <v>0</v>
      </c>
      <c r="E5">
        <v>0</v>
      </c>
      <c r="F5">
        <v>0</v>
      </c>
      <c r="G5">
        <v>0</v>
      </c>
      <c r="H5">
        <v>0</v>
      </c>
      <c r="I5">
        <v>0</v>
      </c>
      <c r="J5">
        <v>0</v>
      </c>
      <c r="K5">
        <v>0</v>
      </c>
      <c r="L5">
        <v>0</v>
      </c>
      <c r="M5">
        <v>0</v>
      </c>
      <c r="N5">
        <v>0</v>
      </c>
      <c r="O5">
        <v>0</v>
      </c>
      <c r="P5">
        <v>0</v>
      </c>
      <c r="Q5">
        <v>0</v>
      </c>
      <c r="R5">
        <v>0</v>
      </c>
      <c r="S5">
        <v>0</v>
      </c>
      <c r="T5">
        <v>0</v>
      </c>
      <c r="U5">
        <v>0</v>
      </c>
      <c r="V5">
        <v>0</v>
      </c>
      <c r="W5">
        <v>0</v>
      </c>
      <c r="X5">
        <v>0</v>
      </c>
      <c r="Y5">
        <v>0</v>
      </c>
      <c r="Z5">
        <v>0</v>
      </c>
      <c r="AA5">
        <v>0</v>
      </c>
      <c r="AB5">
        <v>0</v>
      </c>
      <c r="AC5">
        <v>0</v>
      </c>
      <c r="AD5">
        <v>0</v>
      </c>
      <c r="AE5">
        <v>0</v>
      </c>
    </row>
    <row r="6" spans="1:35">
      <c r="A6" t="s">
        <v>19</v>
      </c>
      <c r="B6">
        <v>0</v>
      </c>
      <c r="C6">
        <v>0</v>
      </c>
      <c r="D6">
        <v>0</v>
      </c>
      <c r="E6">
        <v>0</v>
      </c>
      <c r="F6">
        <v>0</v>
      </c>
      <c r="G6">
        <v>0</v>
      </c>
      <c r="H6">
        <v>0</v>
      </c>
      <c r="I6">
        <v>0</v>
      </c>
      <c r="J6">
        <v>0</v>
      </c>
      <c r="K6">
        <v>0</v>
      </c>
      <c r="L6">
        <v>0</v>
      </c>
      <c r="M6">
        <v>0</v>
      </c>
      <c r="N6">
        <v>0</v>
      </c>
      <c r="O6">
        <v>0</v>
      </c>
      <c r="P6">
        <v>0</v>
      </c>
      <c r="Q6">
        <v>0</v>
      </c>
      <c r="R6">
        <v>0</v>
      </c>
      <c r="S6">
        <v>0</v>
      </c>
      <c r="T6">
        <v>0</v>
      </c>
      <c r="U6">
        <v>0</v>
      </c>
      <c r="V6">
        <v>0</v>
      </c>
      <c r="W6">
        <v>0</v>
      </c>
      <c r="X6">
        <v>0</v>
      </c>
      <c r="Y6">
        <v>0</v>
      </c>
      <c r="Z6">
        <v>0</v>
      </c>
      <c r="AA6">
        <v>0</v>
      </c>
      <c r="AB6">
        <v>0</v>
      </c>
      <c r="AC6">
        <v>0</v>
      </c>
      <c r="AD6">
        <v>0</v>
      </c>
      <c r="AE6">
        <v>0</v>
      </c>
      <c r="AI6" s="2"/>
    </row>
    <row r="7" spans="1:35">
      <c r="A7" t="s">
        <v>21</v>
      </c>
      <c r="B7">
        <v>0</v>
      </c>
      <c r="C7">
        <v>0</v>
      </c>
      <c r="D7">
        <v>0</v>
      </c>
      <c r="E7">
        <v>0</v>
      </c>
      <c r="F7">
        <v>0</v>
      </c>
      <c r="G7">
        <v>0</v>
      </c>
      <c r="H7">
        <v>0</v>
      </c>
      <c r="I7">
        <v>0</v>
      </c>
      <c r="J7">
        <v>0</v>
      </c>
      <c r="K7">
        <v>0</v>
      </c>
      <c r="L7">
        <v>0</v>
      </c>
      <c r="M7">
        <v>0</v>
      </c>
      <c r="N7">
        <v>0</v>
      </c>
      <c r="O7">
        <v>0</v>
      </c>
      <c r="P7">
        <v>0</v>
      </c>
      <c r="Q7">
        <v>0</v>
      </c>
      <c r="R7">
        <v>0</v>
      </c>
      <c r="S7">
        <v>0</v>
      </c>
      <c r="T7">
        <v>0</v>
      </c>
      <c r="U7">
        <v>0</v>
      </c>
      <c r="V7">
        <v>0</v>
      </c>
      <c r="W7">
        <v>0</v>
      </c>
      <c r="X7">
        <v>0</v>
      </c>
      <c r="Y7">
        <v>0</v>
      </c>
      <c r="Z7">
        <v>0</v>
      </c>
      <c r="AA7">
        <v>0</v>
      </c>
      <c r="AB7">
        <v>0</v>
      </c>
      <c r="AC7">
        <v>0</v>
      </c>
      <c r="AD7">
        <v>0</v>
      </c>
      <c r="AE7">
        <v>0</v>
      </c>
    </row>
    <row r="8" spans="1:35">
      <c r="A8" t="s">
        <v>20</v>
      </c>
      <c r="B8">
        <v>0</v>
      </c>
      <c r="C8">
        <v>0</v>
      </c>
      <c r="D8">
        <v>0</v>
      </c>
      <c r="E8">
        <v>0</v>
      </c>
      <c r="F8">
        <v>0</v>
      </c>
      <c r="G8">
        <v>0</v>
      </c>
      <c r="H8">
        <v>0</v>
      </c>
      <c r="I8">
        <v>0</v>
      </c>
      <c r="J8">
        <v>0</v>
      </c>
      <c r="K8">
        <v>0</v>
      </c>
      <c r="L8">
        <v>0</v>
      </c>
      <c r="M8">
        <v>0</v>
      </c>
      <c r="N8">
        <v>0</v>
      </c>
      <c r="O8">
        <v>0</v>
      </c>
      <c r="P8">
        <v>0</v>
      </c>
      <c r="Q8">
        <v>0</v>
      </c>
      <c r="R8">
        <v>0</v>
      </c>
      <c r="S8">
        <v>0</v>
      </c>
      <c r="T8">
        <v>0</v>
      </c>
      <c r="U8">
        <v>0</v>
      </c>
      <c r="V8">
        <v>0</v>
      </c>
      <c r="W8">
        <v>0</v>
      </c>
      <c r="X8">
        <v>0</v>
      </c>
      <c r="Y8">
        <v>0</v>
      </c>
      <c r="Z8">
        <v>0</v>
      </c>
      <c r="AA8">
        <v>0</v>
      </c>
      <c r="AB8">
        <v>0</v>
      </c>
      <c r="AC8">
        <v>0</v>
      </c>
      <c r="AD8">
        <v>0</v>
      </c>
      <c r="AE8">
        <v>0</v>
      </c>
    </row>
    <row r="9" spans="1:35">
      <c r="A9" t="s">
        <v>82</v>
      </c>
      <c r="B9">
        <v>0</v>
      </c>
      <c r="C9">
        <v>0</v>
      </c>
      <c r="D9">
        <v>0</v>
      </c>
      <c r="E9">
        <v>0</v>
      </c>
      <c r="F9">
        <v>0</v>
      </c>
      <c r="G9">
        <v>0</v>
      </c>
      <c r="H9">
        <v>0</v>
      </c>
      <c r="I9">
        <v>0</v>
      </c>
      <c r="J9">
        <v>0</v>
      </c>
      <c r="K9">
        <v>0</v>
      </c>
      <c r="L9">
        <v>0</v>
      </c>
      <c r="M9">
        <v>0</v>
      </c>
      <c r="N9">
        <v>0</v>
      </c>
      <c r="O9">
        <v>0</v>
      </c>
      <c r="P9">
        <v>0</v>
      </c>
      <c r="Q9">
        <v>0</v>
      </c>
      <c r="R9">
        <v>0</v>
      </c>
      <c r="S9">
        <v>0</v>
      </c>
      <c r="T9">
        <v>0</v>
      </c>
      <c r="U9">
        <v>0</v>
      </c>
      <c r="V9">
        <v>0</v>
      </c>
      <c r="W9">
        <v>0</v>
      </c>
      <c r="X9">
        <v>0</v>
      </c>
      <c r="Y9">
        <v>0</v>
      </c>
      <c r="Z9">
        <v>0</v>
      </c>
      <c r="AA9">
        <v>0</v>
      </c>
      <c r="AB9">
        <v>0</v>
      </c>
      <c r="AC9">
        <v>0</v>
      </c>
      <c r="AD9">
        <v>0</v>
      </c>
      <c r="AE9">
        <v>0</v>
      </c>
    </row>
    <row r="10" spans="1:35">
      <c r="A10" t="s">
        <v>83</v>
      </c>
      <c r="B10">
        <v>1</v>
      </c>
      <c r="C10">
        <v>1</v>
      </c>
      <c r="D10">
        <v>1</v>
      </c>
      <c r="E10">
        <v>1</v>
      </c>
      <c r="F10">
        <v>1</v>
      </c>
      <c r="G10">
        <v>1</v>
      </c>
      <c r="H10">
        <v>1</v>
      </c>
      <c r="I10">
        <v>1</v>
      </c>
      <c r="J10">
        <v>1</v>
      </c>
      <c r="K10">
        <v>1</v>
      </c>
      <c r="L10">
        <v>1</v>
      </c>
      <c r="M10">
        <v>1</v>
      </c>
      <c r="N10">
        <v>1</v>
      </c>
      <c r="O10">
        <v>1</v>
      </c>
      <c r="P10">
        <v>1</v>
      </c>
      <c r="Q10">
        <v>1</v>
      </c>
      <c r="R10">
        <v>1</v>
      </c>
      <c r="S10">
        <v>1</v>
      </c>
      <c r="T10">
        <v>1</v>
      </c>
      <c r="U10">
        <v>1</v>
      </c>
      <c r="V10">
        <v>1</v>
      </c>
      <c r="W10">
        <v>1</v>
      </c>
      <c r="X10">
        <v>1</v>
      </c>
      <c r="Y10">
        <v>1</v>
      </c>
      <c r="Z10">
        <v>1</v>
      </c>
      <c r="AA10">
        <v>1</v>
      </c>
      <c r="AB10">
        <v>1</v>
      </c>
      <c r="AC10">
        <v>1</v>
      </c>
      <c r="AD10">
        <v>1</v>
      </c>
      <c r="AE10">
        <v>1</v>
      </c>
    </row>
    <row r="11" spans="1:35">
      <c r="A11" t="s">
        <v>84</v>
      </c>
      <c r="B11">
        <v>0</v>
      </c>
      <c r="C11">
        <v>0</v>
      </c>
      <c r="D11">
        <v>0</v>
      </c>
      <c r="E11">
        <v>0</v>
      </c>
      <c r="F11">
        <v>0</v>
      </c>
      <c r="G11">
        <v>0</v>
      </c>
      <c r="H11">
        <v>0</v>
      </c>
      <c r="I11">
        <v>0</v>
      </c>
      <c r="J11">
        <v>0</v>
      </c>
      <c r="K11">
        <v>0</v>
      </c>
      <c r="L11">
        <v>0</v>
      </c>
      <c r="M11">
        <v>0</v>
      </c>
      <c r="N11">
        <v>0</v>
      </c>
      <c r="O11">
        <v>0</v>
      </c>
      <c r="P11">
        <v>0</v>
      </c>
      <c r="Q11">
        <v>0</v>
      </c>
      <c r="R11">
        <v>0</v>
      </c>
      <c r="S11">
        <v>0</v>
      </c>
      <c r="T11">
        <v>0</v>
      </c>
      <c r="U11">
        <v>0</v>
      </c>
      <c r="V11">
        <v>0</v>
      </c>
      <c r="W11">
        <v>0</v>
      </c>
      <c r="X11">
        <v>0</v>
      </c>
      <c r="Y11">
        <v>0</v>
      </c>
      <c r="Z11">
        <v>0</v>
      </c>
      <c r="AA11">
        <v>0</v>
      </c>
      <c r="AB11">
        <v>0</v>
      </c>
      <c r="AC11">
        <v>0</v>
      </c>
      <c r="AD11">
        <v>0</v>
      </c>
      <c r="AE11">
        <v>0</v>
      </c>
    </row>
  </sheetData>
  <pageMargins left="0.7" right="0.7" top="0.75" bottom="0.75" header="0.3" footer="0.3"/>
</worksheet>
</file>

<file path=xl/worksheets/sheet2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C00-000000000000}">
  <sheetPr>
    <tabColor theme="3"/>
  </sheetPr>
  <dimension ref="A1:AI11"/>
  <sheetViews>
    <sheetView workbookViewId="0">
      <selection activeCell="B1" sqref="B1:AE1"/>
    </sheetView>
  </sheetViews>
  <sheetFormatPr defaultRowHeight="14.25"/>
  <cols>
    <col min="1" max="1" width="22.53125" customWidth="1"/>
  </cols>
  <sheetData>
    <row r="1" spans="1:35" ht="28.5">
      <c r="A1" s="10" t="s">
        <v>85</v>
      </c>
      <c r="B1">
        <v>2021</v>
      </c>
      <c r="C1">
        <v>2022</v>
      </c>
      <c r="D1">
        <v>2023</v>
      </c>
      <c r="E1">
        <v>2024</v>
      </c>
      <c r="F1">
        <v>2025</v>
      </c>
      <c r="G1">
        <v>2026</v>
      </c>
      <c r="H1">
        <v>2027</v>
      </c>
      <c r="I1">
        <v>2028</v>
      </c>
      <c r="J1">
        <v>2029</v>
      </c>
      <c r="K1">
        <v>2030</v>
      </c>
      <c r="L1">
        <v>2031</v>
      </c>
      <c r="M1">
        <v>2032</v>
      </c>
      <c r="N1">
        <v>2033</v>
      </c>
      <c r="O1">
        <v>2034</v>
      </c>
      <c r="P1">
        <v>2035</v>
      </c>
      <c r="Q1">
        <v>2036</v>
      </c>
      <c r="R1">
        <v>2037</v>
      </c>
      <c r="S1">
        <v>2038</v>
      </c>
      <c r="T1">
        <v>2039</v>
      </c>
      <c r="U1">
        <v>2040</v>
      </c>
      <c r="V1">
        <v>2041</v>
      </c>
      <c r="W1">
        <v>2042</v>
      </c>
      <c r="X1">
        <v>2043</v>
      </c>
      <c r="Y1">
        <v>2044</v>
      </c>
      <c r="Z1">
        <v>2045</v>
      </c>
      <c r="AA1">
        <v>2046</v>
      </c>
      <c r="AB1">
        <v>2047</v>
      </c>
      <c r="AC1">
        <v>2048</v>
      </c>
      <c r="AD1">
        <v>2049</v>
      </c>
      <c r="AE1">
        <v>2050</v>
      </c>
    </row>
    <row r="2" spans="1:35">
      <c r="A2" t="s">
        <v>15</v>
      </c>
      <c r="B2">
        <v>0</v>
      </c>
      <c r="C2">
        <v>0</v>
      </c>
      <c r="D2">
        <v>0</v>
      </c>
      <c r="E2">
        <v>0</v>
      </c>
      <c r="F2">
        <v>0</v>
      </c>
      <c r="G2">
        <v>0</v>
      </c>
      <c r="H2">
        <v>0</v>
      </c>
      <c r="I2">
        <v>0</v>
      </c>
      <c r="J2">
        <v>0</v>
      </c>
      <c r="K2">
        <v>0</v>
      </c>
      <c r="L2">
        <v>0</v>
      </c>
      <c r="M2">
        <v>0</v>
      </c>
      <c r="N2">
        <v>0</v>
      </c>
      <c r="O2">
        <v>0</v>
      </c>
      <c r="P2">
        <v>0</v>
      </c>
      <c r="Q2">
        <v>0</v>
      </c>
      <c r="R2">
        <v>0</v>
      </c>
      <c r="S2">
        <v>0</v>
      </c>
      <c r="T2">
        <v>0</v>
      </c>
      <c r="U2">
        <v>0</v>
      </c>
      <c r="V2">
        <v>0</v>
      </c>
      <c r="W2">
        <v>0</v>
      </c>
      <c r="X2">
        <v>0</v>
      </c>
      <c r="Y2">
        <v>0</v>
      </c>
      <c r="Z2">
        <v>0</v>
      </c>
      <c r="AA2">
        <v>0</v>
      </c>
      <c r="AB2">
        <v>0</v>
      </c>
      <c r="AC2">
        <v>0</v>
      </c>
      <c r="AD2">
        <v>0</v>
      </c>
      <c r="AE2">
        <v>0</v>
      </c>
    </row>
    <row r="3" spans="1:35">
      <c r="A3" t="s">
        <v>16</v>
      </c>
      <c r="B3">
        <v>0</v>
      </c>
      <c r="C3">
        <v>0</v>
      </c>
      <c r="D3">
        <v>0</v>
      </c>
      <c r="E3">
        <v>0</v>
      </c>
      <c r="F3">
        <v>0</v>
      </c>
      <c r="G3">
        <v>0</v>
      </c>
      <c r="H3">
        <v>0</v>
      </c>
      <c r="I3">
        <v>0</v>
      </c>
      <c r="J3">
        <v>0</v>
      </c>
      <c r="K3">
        <v>0</v>
      </c>
      <c r="L3">
        <v>0</v>
      </c>
      <c r="M3">
        <v>0</v>
      </c>
      <c r="N3">
        <v>0</v>
      </c>
      <c r="O3">
        <v>0</v>
      </c>
      <c r="P3">
        <v>0</v>
      </c>
      <c r="Q3">
        <v>0</v>
      </c>
      <c r="R3">
        <v>0</v>
      </c>
      <c r="S3">
        <v>0</v>
      </c>
      <c r="T3">
        <v>0</v>
      </c>
      <c r="U3">
        <v>0</v>
      </c>
      <c r="V3">
        <v>0</v>
      </c>
      <c r="W3">
        <v>0</v>
      </c>
      <c r="X3">
        <v>0</v>
      </c>
      <c r="Y3">
        <v>0</v>
      </c>
      <c r="Z3">
        <v>0</v>
      </c>
      <c r="AA3">
        <v>0</v>
      </c>
      <c r="AB3">
        <v>0</v>
      </c>
      <c r="AC3">
        <v>0</v>
      </c>
      <c r="AD3">
        <v>0</v>
      </c>
      <c r="AE3">
        <v>0</v>
      </c>
    </row>
    <row r="4" spans="1:35">
      <c r="A4" t="s">
        <v>17</v>
      </c>
      <c r="B4">
        <v>0</v>
      </c>
      <c r="C4">
        <v>0</v>
      </c>
      <c r="D4">
        <v>0</v>
      </c>
      <c r="E4">
        <v>0</v>
      </c>
      <c r="F4">
        <v>0</v>
      </c>
      <c r="G4">
        <v>0</v>
      </c>
      <c r="H4">
        <v>0</v>
      </c>
      <c r="I4">
        <v>0</v>
      </c>
      <c r="J4">
        <v>0</v>
      </c>
      <c r="K4">
        <v>0</v>
      </c>
      <c r="L4">
        <v>0</v>
      </c>
      <c r="M4">
        <v>0</v>
      </c>
      <c r="N4">
        <v>0</v>
      </c>
      <c r="O4">
        <v>0</v>
      </c>
      <c r="P4">
        <v>0</v>
      </c>
      <c r="Q4">
        <v>0</v>
      </c>
      <c r="R4">
        <v>0</v>
      </c>
      <c r="S4">
        <v>0</v>
      </c>
      <c r="T4">
        <v>0</v>
      </c>
      <c r="U4">
        <v>0</v>
      </c>
      <c r="V4">
        <v>0</v>
      </c>
      <c r="W4">
        <v>0</v>
      </c>
      <c r="X4">
        <v>0</v>
      </c>
      <c r="Y4">
        <v>0</v>
      </c>
      <c r="Z4">
        <v>0</v>
      </c>
      <c r="AA4">
        <v>0</v>
      </c>
      <c r="AB4">
        <v>0</v>
      </c>
      <c r="AC4">
        <v>0</v>
      </c>
      <c r="AD4">
        <v>0</v>
      </c>
      <c r="AE4">
        <v>0</v>
      </c>
      <c r="AI4" s="2"/>
    </row>
    <row r="5" spans="1:35">
      <c r="A5" t="s">
        <v>18</v>
      </c>
      <c r="B5">
        <v>0</v>
      </c>
      <c r="C5">
        <v>0</v>
      </c>
      <c r="D5">
        <v>0</v>
      </c>
      <c r="E5">
        <v>0</v>
      </c>
      <c r="F5">
        <v>0</v>
      </c>
      <c r="G5">
        <v>0</v>
      </c>
      <c r="H5">
        <v>0</v>
      </c>
      <c r="I5">
        <v>0</v>
      </c>
      <c r="J5">
        <v>0</v>
      </c>
      <c r="K5">
        <v>0</v>
      </c>
      <c r="L5">
        <v>0</v>
      </c>
      <c r="M5">
        <v>0</v>
      </c>
      <c r="N5">
        <v>0</v>
      </c>
      <c r="O5">
        <v>0</v>
      </c>
      <c r="P5">
        <v>0</v>
      </c>
      <c r="Q5">
        <v>0</v>
      </c>
      <c r="R5">
        <v>0</v>
      </c>
      <c r="S5">
        <v>0</v>
      </c>
      <c r="T5">
        <v>0</v>
      </c>
      <c r="U5">
        <v>0</v>
      </c>
      <c r="V5">
        <v>0</v>
      </c>
      <c r="W5">
        <v>0</v>
      </c>
      <c r="X5">
        <v>0</v>
      </c>
      <c r="Y5">
        <v>0</v>
      </c>
      <c r="Z5">
        <v>0</v>
      </c>
      <c r="AA5">
        <v>0</v>
      </c>
      <c r="AB5">
        <v>0</v>
      </c>
      <c r="AC5">
        <v>0</v>
      </c>
      <c r="AD5">
        <v>0</v>
      </c>
      <c r="AE5">
        <v>0</v>
      </c>
    </row>
    <row r="6" spans="1:35">
      <c r="A6" t="s">
        <v>19</v>
      </c>
      <c r="B6">
        <v>0</v>
      </c>
      <c r="C6">
        <v>0</v>
      </c>
      <c r="D6">
        <v>0</v>
      </c>
      <c r="E6">
        <v>0</v>
      </c>
      <c r="F6">
        <v>0</v>
      </c>
      <c r="G6">
        <v>0</v>
      </c>
      <c r="H6">
        <v>0</v>
      </c>
      <c r="I6">
        <v>0</v>
      </c>
      <c r="J6">
        <v>0</v>
      </c>
      <c r="K6">
        <v>0</v>
      </c>
      <c r="L6">
        <v>0</v>
      </c>
      <c r="M6">
        <v>0</v>
      </c>
      <c r="N6">
        <v>0</v>
      </c>
      <c r="O6">
        <v>0</v>
      </c>
      <c r="P6">
        <v>0</v>
      </c>
      <c r="Q6">
        <v>0</v>
      </c>
      <c r="R6">
        <v>0</v>
      </c>
      <c r="S6">
        <v>0</v>
      </c>
      <c r="T6">
        <v>0</v>
      </c>
      <c r="U6">
        <v>0</v>
      </c>
      <c r="V6">
        <v>0</v>
      </c>
      <c r="W6">
        <v>0</v>
      </c>
      <c r="X6">
        <v>0</v>
      </c>
      <c r="Y6">
        <v>0</v>
      </c>
      <c r="Z6">
        <v>0</v>
      </c>
      <c r="AA6">
        <v>0</v>
      </c>
      <c r="AB6">
        <v>0</v>
      </c>
      <c r="AC6">
        <v>0</v>
      </c>
      <c r="AD6">
        <v>0</v>
      </c>
      <c r="AE6">
        <v>0</v>
      </c>
      <c r="AI6" s="2"/>
    </row>
    <row r="7" spans="1:35">
      <c r="A7" t="s">
        <v>21</v>
      </c>
      <c r="B7">
        <v>0</v>
      </c>
      <c r="C7">
        <v>0</v>
      </c>
      <c r="D7">
        <v>0</v>
      </c>
      <c r="E7">
        <v>0</v>
      </c>
      <c r="F7">
        <v>0</v>
      </c>
      <c r="G7">
        <v>0</v>
      </c>
      <c r="H7">
        <v>0</v>
      </c>
      <c r="I7">
        <v>0</v>
      </c>
      <c r="J7">
        <v>0</v>
      </c>
      <c r="K7">
        <v>0</v>
      </c>
      <c r="L7">
        <v>0</v>
      </c>
      <c r="M7">
        <v>0</v>
      </c>
      <c r="N7">
        <v>0</v>
      </c>
      <c r="O7">
        <v>0</v>
      </c>
      <c r="P7">
        <v>0</v>
      </c>
      <c r="Q7">
        <v>0</v>
      </c>
      <c r="R7">
        <v>0</v>
      </c>
      <c r="S7">
        <v>0</v>
      </c>
      <c r="T7">
        <v>0</v>
      </c>
      <c r="U7">
        <v>0</v>
      </c>
      <c r="V7">
        <v>0</v>
      </c>
      <c r="W7">
        <v>0</v>
      </c>
      <c r="X7">
        <v>0</v>
      </c>
      <c r="Y7">
        <v>0</v>
      </c>
      <c r="Z7">
        <v>0</v>
      </c>
      <c r="AA7">
        <v>0</v>
      </c>
      <c r="AB7">
        <v>0</v>
      </c>
      <c r="AC7">
        <v>0</v>
      </c>
      <c r="AD7">
        <v>0</v>
      </c>
      <c r="AE7">
        <v>0</v>
      </c>
    </row>
    <row r="8" spans="1:35">
      <c r="A8" t="s">
        <v>20</v>
      </c>
      <c r="B8">
        <v>0</v>
      </c>
      <c r="C8">
        <v>0</v>
      </c>
      <c r="D8">
        <v>0</v>
      </c>
      <c r="E8">
        <v>0</v>
      </c>
      <c r="F8">
        <v>0</v>
      </c>
      <c r="G8">
        <v>0</v>
      </c>
      <c r="H8">
        <v>0</v>
      </c>
      <c r="I8">
        <v>0</v>
      </c>
      <c r="J8">
        <v>0</v>
      </c>
      <c r="K8">
        <v>0</v>
      </c>
      <c r="L8">
        <v>0</v>
      </c>
      <c r="M8">
        <v>0</v>
      </c>
      <c r="N8">
        <v>0</v>
      </c>
      <c r="O8">
        <v>0</v>
      </c>
      <c r="P8">
        <v>0</v>
      </c>
      <c r="Q8">
        <v>0</v>
      </c>
      <c r="R8">
        <v>0</v>
      </c>
      <c r="S8">
        <v>0</v>
      </c>
      <c r="T8">
        <v>0</v>
      </c>
      <c r="U8">
        <v>0</v>
      </c>
      <c r="V8">
        <v>0</v>
      </c>
      <c r="W8">
        <v>0</v>
      </c>
      <c r="X8">
        <v>0</v>
      </c>
      <c r="Y8">
        <v>0</v>
      </c>
      <c r="Z8">
        <v>0</v>
      </c>
      <c r="AA8">
        <v>0</v>
      </c>
      <c r="AB8">
        <v>0</v>
      </c>
      <c r="AC8">
        <v>0</v>
      </c>
      <c r="AD8">
        <v>0</v>
      </c>
      <c r="AE8">
        <v>0</v>
      </c>
    </row>
    <row r="9" spans="1:35">
      <c r="A9" t="s">
        <v>82</v>
      </c>
      <c r="B9">
        <v>0</v>
      </c>
      <c r="C9">
        <v>0</v>
      </c>
      <c r="D9">
        <v>0</v>
      </c>
      <c r="E9">
        <v>0</v>
      </c>
      <c r="F9">
        <v>0</v>
      </c>
      <c r="G9">
        <v>0</v>
      </c>
      <c r="H9">
        <v>0</v>
      </c>
      <c r="I9">
        <v>0</v>
      </c>
      <c r="J9">
        <v>0</v>
      </c>
      <c r="K9">
        <v>0</v>
      </c>
      <c r="L9">
        <v>0</v>
      </c>
      <c r="M9">
        <v>0</v>
      </c>
      <c r="N9">
        <v>0</v>
      </c>
      <c r="O9">
        <v>0</v>
      </c>
      <c r="P9">
        <v>0</v>
      </c>
      <c r="Q9">
        <v>0</v>
      </c>
      <c r="R9">
        <v>0</v>
      </c>
      <c r="S9">
        <v>0</v>
      </c>
      <c r="T9">
        <v>0</v>
      </c>
      <c r="U9">
        <v>0</v>
      </c>
      <c r="V9">
        <v>0</v>
      </c>
      <c r="W9">
        <v>0</v>
      </c>
      <c r="X9">
        <v>0</v>
      </c>
      <c r="Y9">
        <v>0</v>
      </c>
      <c r="Z9">
        <v>0</v>
      </c>
      <c r="AA9">
        <v>0</v>
      </c>
      <c r="AB9">
        <v>0</v>
      </c>
      <c r="AC9">
        <v>0</v>
      </c>
      <c r="AD9">
        <v>0</v>
      </c>
      <c r="AE9">
        <v>0</v>
      </c>
    </row>
    <row r="10" spans="1:35">
      <c r="A10" t="s">
        <v>83</v>
      </c>
      <c r="B10">
        <v>0</v>
      </c>
      <c r="C10">
        <v>0</v>
      </c>
      <c r="D10">
        <v>0</v>
      </c>
      <c r="E10">
        <v>0</v>
      </c>
      <c r="F10">
        <v>0</v>
      </c>
      <c r="G10">
        <v>0</v>
      </c>
      <c r="H10">
        <v>0</v>
      </c>
      <c r="I10">
        <v>0</v>
      </c>
      <c r="J10">
        <v>0</v>
      </c>
      <c r="K10">
        <v>0</v>
      </c>
      <c r="L10">
        <v>0</v>
      </c>
      <c r="M10">
        <v>0</v>
      </c>
      <c r="N10">
        <v>0</v>
      </c>
      <c r="O10">
        <v>0</v>
      </c>
      <c r="P10">
        <v>0</v>
      </c>
      <c r="Q10">
        <v>0</v>
      </c>
      <c r="R10">
        <v>0</v>
      </c>
      <c r="S10">
        <v>0</v>
      </c>
      <c r="T10">
        <v>0</v>
      </c>
      <c r="U10">
        <v>0</v>
      </c>
      <c r="V10">
        <v>0</v>
      </c>
      <c r="W10">
        <v>0</v>
      </c>
      <c r="X10">
        <v>0</v>
      </c>
      <c r="Y10">
        <v>0</v>
      </c>
      <c r="Z10">
        <v>0</v>
      </c>
      <c r="AA10">
        <v>0</v>
      </c>
      <c r="AB10">
        <v>0</v>
      </c>
      <c r="AC10">
        <v>0</v>
      </c>
      <c r="AD10">
        <v>0</v>
      </c>
      <c r="AE10">
        <v>0</v>
      </c>
    </row>
    <row r="11" spans="1:35">
      <c r="A11" t="s">
        <v>84</v>
      </c>
      <c r="B11">
        <v>1</v>
      </c>
      <c r="C11">
        <v>1</v>
      </c>
      <c r="D11">
        <v>1</v>
      </c>
      <c r="E11">
        <v>1</v>
      </c>
      <c r="F11">
        <v>1</v>
      </c>
      <c r="G11">
        <v>1</v>
      </c>
      <c r="H11">
        <v>1</v>
      </c>
      <c r="I11">
        <v>1</v>
      </c>
      <c r="J11">
        <v>1</v>
      </c>
      <c r="K11">
        <v>1</v>
      </c>
      <c r="L11">
        <v>1</v>
      </c>
      <c r="M11">
        <v>1</v>
      </c>
      <c r="N11">
        <v>1</v>
      </c>
      <c r="O11">
        <v>1</v>
      </c>
      <c r="P11">
        <v>1</v>
      </c>
      <c r="Q11">
        <v>1</v>
      </c>
      <c r="R11">
        <v>1</v>
      </c>
      <c r="S11">
        <v>1</v>
      </c>
      <c r="T11">
        <v>1</v>
      </c>
      <c r="U11">
        <v>1</v>
      </c>
      <c r="V11">
        <v>1</v>
      </c>
      <c r="W11">
        <v>1</v>
      </c>
      <c r="X11">
        <v>1</v>
      </c>
      <c r="Y11">
        <v>1</v>
      </c>
      <c r="Z11">
        <v>1</v>
      </c>
      <c r="AA11">
        <v>1</v>
      </c>
      <c r="AB11">
        <v>1</v>
      </c>
      <c r="AC11">
        <v>1</v>
      </c>
      <c r="AD11">
        <v>1</v>
      </c>
      <c r="AE11">
        <v>1</v>
      </c>
    </row>
  </sheetData>
  <pageMargins left="0.7" right="0.7" top="0.75" bottom="0.75" header="0.3" footer="0.3"/>
</worksheet>
</file>

<file path=xl/worksheets/sheet2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D00-000000000000}">
  <sheetPr>
    <tabColor rgb="FFFF0000"/>
  </sheetPr>
  <dimension ref="A1"/>
  <sheetViews>
    <sheetView workbookViewId="0"/>
  </sheetViews>
  <sheetFormatPr defaultRowHeight="14.25"/>
  <sheetData/>
  <pageMargins left="0.7" right="0.7" top="0.75" bottom="0.75" header="0.3" footer="0.3"/>
</worksheet>
</file>

<file path=xl/worksheets/sheet2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E00-000000000000}">
  <sheetPr>
    <tabColor theme="3"/>
  </sheetPr>
  <dimension ref="A1:AE11"/>
  <sheetViews>
    <sheetView workbookViewId="0"/>
  </sheetViews>
  <sheetFormatPr defaultRowHeight="14.25"/>
  <cols>
    <col min="1" max="1" width="22.53125" customWidth="1"/>
  </cols>
  <sheetData>
    <row r="1" spans="1:31" ht="28.5">
      <c r="A1" s="10" t="s">
        <v>85</v>
      </c>
      <c r="B1">
        <v>2021</v>
      </c>
      <c r="C1">
        <v>2022</v>
      </c>
      <c r="D1">
        <v>2023</v>
      </c>
      <c r="E1">
        <v>2024</v>
      </c>
      <c r="F1">
        <v>2025</v>
      </c>
      <c r="G1">
        <v>2026</v>
      </c>
      <c r="H1">
        <v>2027</v>
      </c>
      <c r="I1">
        <v>2028</v>
      </c>
      <c r="J1">
        <v>2029</v>
      </c>
      <c r="K1">
        <v>2030</v>
      </c>
      <c r="L1">
        <v>2031</v>
      </c>
      <c r="M1">
        <v>2032</v>
      </c>
      <c r="N1">
        <v>2033</v>
      </c>
      <c r="O1">
        <v>2034</v>
      </c>
      <c r="P1">
        <v>2035</v>
      </c>
      <c r="Q1">
        <v>2036</v>
      </c>
      <c r="R1">
        <v>2037</v>
      </c>
      <c r="S1">
        <v>2038</v>
      </c>
      <c r="T1">
        <v>2039</v>
      </c>
      <c r="U1">
        <v>2040</v>
      </c>
      <c r="V1">
        <v>2041</v>
      </c>
      <c r="W1">
        <v>2042</v>
      </c>
      <c r="X1">
        <v>2043</v>
      </c>
      <c r="Y1">
        <v>2044</v>
      </c>
      <c r="Z1">
        <v>2045</v>
      </c>
      <c r="AA1">
        <v>2046</v>
      </c>
      <c r="AB1">
        <v>2047</v>
      </c>
      <c r="AC1">
        <v>2048</v>
      </c>
      <c r="AD1">
        <v>2049</v>
      </c>
      <c r="AE1">
        <v>2050</v>
      </c>
    </row>
    <row r="2" spans="1:31">
      <c r="A2" t="s">
        <v>15</v>
      </c>
      <c r="B2">
        <v>1</v>
      </c>
      <c r="C2">
        <v>1</v>
      </c>
      <c r="D2">
        <v>1</v>
      </c>
      <c r="E2">
        <v>1</v>
      </c>
      <c r="F2">
        <v>1</v>
      </c>
      <c r="G2">
        <v>1</v>
      </c>
      <c r="H2">
        <v>1</v>
      </c>
      <c r="I2">
        <v>1</v>
      </c>
      <c r="J2">
        <v>1</v>
      </c>
      <c r="K2">
        <v>1</v>
      </c>
      <c r="L2">
        <v>1</v>
      </c>
      <c r="M2">
        <v>1</v>
      </c>
      <c r="N2">
        <v>1</v>
      </c>
      <c r="O2">
        <v>1</v>
      </c>
      <c r="P2">
        <v>1</v>
      </c>
      <c r="Q2">
        <v>1</v>
      </c>
      <c r="R2">
        <v>1</v>
      </c>
      <c r="S2">
        <v>1</v>
      </c>
      <c r="T2">
        <v>1</v>
      </c>
      <c r="U2">
        <v>1</v>
      </c>
      <c r="V2">
        <v>1</v>
      </c>
      <c r="W2">
        <v>1</v>
      </c>
      <c r="X2">
        <v>1</v>
      </c>
      <c r="Y2">
        <v>1</v>
      </c>
      <c r="Z2">
        <v>1</v>
      </c>
      <c r="AA2">
        <v>1</v>
      </c>
      <c r="AB2">
        <v>1</v>
      </c>
      <c r="AC2">
        <v>1</v>
      </c>
      <c r="AD2">
        <v>1</v>
      </c>
      <c r="AE2">
        <v>1</v>
      </c>
    </row>
    <row r="3" spans="1:31">
      <c r="A3" t="s">
        <v>16</v>
      </c>
      <c r="B3">
        <v>0</v>
      </c>
      <c r="C3">
        <v>0</v>
      </c>
      <c r="D3">
        <v>0</v>
      </c>
      <c r="E3">
        <v>0</v>
      </c>
      <c r="F3">
        <v>0</v>
      </c>
      <c r="G3">
        <v>0</v>
      </c>
      <c r="H3">
        <v>0</v>
      </c>
      <c r="I3">
        <v>0</v>
      </c>
      <c r="J3">
        <v>0</v>
      </c>
      <c r="K3">
        <v>0</v>
      </c>
      <c r="L3">
        <v>0</v>
      </c>
      <c r="M3">
        <v>0</v>
      </c>
      <c r="N3">
        <v>0</v>
      </c>
      <c r="O3">
        <v>0</v>
      </c>
      <c r="P3">
        <v>0</v>
      </c>
      <c r="Q3">
        <v>0</v>
      </c>
      <c r="R3">
        <v>0</v>
      </c>
      <c r="S3">
        <v>0</v>
      </c>
      <c r="T3">
        <v>0</v>
      </c>
      <c r="U3">
        <v>0</v>
      </c>
      <c r="V3">
        <v>0</v>
      </c>
      <c r="W3">
        <v>0</v>
      </c>
      <c r="X3">
        <v>0</v>
      </c>
      <c r="Y3">
        <v>0</v>
      </c>
      <c r="Z3">
        <v>0</v>
      </c>
      <c r="AA3">
        <v>0</v>
      </c>
      <c r="AB3">
        <v>0</v>
      </c>
      <c r="AC3">
        <v>0</v>
      </c>
      <c r="AD3">
        <v>0</v>
      </c>
      <c r="AE3">
        <v>0</v>
      </c>
    </row>
    <row r="4" spans="1:31">
      <c r="A4" t="s">
        <v>17</v>
      </c>
      <c r="B4">
        <v>0</v>
      </c>
      <c r="C4">
        <v>0</v>
      </c>
      <c r="D4">
        <v>0</v>
      </c>
      <c r="E4">
        <v>0</v>
      </c>
      <c r="F4">
        <v>0</v>
      </c>
      <c r="G4">
        <v>0</v>
      </c>
      <c r="H4">
        <v>0</v>
      </c>
      <c r="I4">
        <v>0</v>
      </c>
      <c r="J4">
        <v>0</v>
      </c>
      <c r="K4">
        <v>0</v>
      </c>
      <c r="L4">
        <v>0</v>
      </c>
      <c r="M4">
        <v>0</v>
      </c>
      <c r="N4">
        <v>0</v>
      </c>
      <c r="O4">
        <v>0</v>
      </c>
      <c r="P4">
        <v>0</v>
      </c>
      <c r="Q4">
        <v>0</v>
      </c>
      <c r="R4">
        <v>0</v>
      </c>
      <c r="S4">
        <v>0</v>
      </c>
      <c r="T4">
        <v>0</v>
      </c>
      <c r="U4">
        <v>0</v>
      </c>
      <c r="V4">
        <v>0</v>
      </c>
      <c r="W4">
        <v>0</v>
      </c>
      <c r="X4">
        <v>0</v>
      </c>
      <c r="Y4">
        <v>0</v>
      </c>
      <c r="Z4">
        <v>0</v>
      </c>
      <c r="AA4">
        <v>0</v>
      </c>
      <c r="AB4">
        <v>0</v>
      </c>
      <c r="AC4">
        <v>0</v>
      </c>
      <c r="AD4">
        <v>0</v>
      </c>
      <c r="AE4">
        <v>0</v>
      </c>
    </row>
    <row r="5" spans="1:31">
      <c r="A5" t="s">
        <v>18</v>
      </c>
      <c r="B5">
        <v>0</v>
      </c>
      <c r="C5">
        <v>0</v>
      </c>
      <c r="D5">
        <v>0</v>
      </c>
      <c r="E5">
        <v>0</v>
      </c>
      <c r="F5">
        <v>0</v>
      </c>
      <c r="G5">
        <v>0</v>
      </c>
      <c r="H5">
        <v>0</v>
      </c>
      <c r="I5">
        <v>0</v>
      </c>
      <c r="J5">
        <v>0</v>
      </c>
      <c r="K5">
        <v>0</v>
      </c>
      <c r="L5">
        <v>0</v>
      </c>
      <c r="M5">
        <v>0</v>
      </c>
      <c r="N5">
        <v>0</v>
      </c>
      <c r="O5">
        <v>0</v>
      </c>
      <c r="P5">
        <v>0</v>
      </c>
      <c r="Q5">
        <v>0</v>
      </c>
      <c r="R5">
        <v>0</v>
      </c>
      <c r="S5">
        <v>0</v>
      </c>
      <c r="T5">
        <v>0</v>
      </c>
      <c r="U5">
        <v>0</v>
      </c>
      <c r="V5">
        <v>0</v>
      </c>
      <c r="W5">
        <v>0</v>
      </c>
      <c r="X5">
        <v>0</v>
      </c>
      <c r="Y5">
        <v>0</v>
      </c>
      <c r="Z5">
        <v>0</v>
      </c>
      <c r="AA5">
        <v>0</v>
      </c>
      <c r="AB5">
        <v>0</v>
      </c>
      <c r="AC5">
        <v>0</v>
      </c>
      <c r="AD5">
        <v>0</v>
      </c>
      <c r="AE5">
        <v>0</v>
      </c>
    </row>
    <row r="6" spans="1:31">
      <c r="A6" t="s">
        <v>19</v>
      </c>
      <c r="B6">
        <v>0</v>
      </c>
      <c r="C6">
        <v>0</v>
      </c>
      <c r="D6">
        <v>0</v>
      </c>
      <c r="E6">
        <v>0</v>
      </c>
      <c r="F6">
        <v>0</v>
      </c>
      <c r="G6">
        <v>0</v>
      </c>
      <c r="H6">
        <v>0</v>
      </c>
      <c r="I6">
        <v>0</v>
      </c>
      <c r="J6">
        <v>0</v>
      </c>
      <c r="K6">
        <v>0</v>
      </c>
      <c r="L6">
        <v>0</v>
      </c>
      <c r="M6">
        <v>0</v>
      </c>
      <c r="N6">
        <v>0</v>
      </c>
      <c r="O6">
        <v>0</v>
      </c>
      <c r="P6">
        <v>0</v>
      </c>
      <c r="Q6">
        <v>0</v>
      </c>
      <c r="R6">
        <v>0</v>
      </c>
      <c r="S6">
        <v>0</v>
      </c>
      <c r="T6">
        <v>0</v>
      </c>
      <c r="U6">
        <v>0</v>
      </c>
      <c r="V6">
        <v>0</v>
      </c>
      <c r="W6">
        <v>0</v>
      </c>
      <c r="X6">
        <v>0</v>
      </c>
      <c r="Y6">
        <v>0</v>
      </c>
      <c r="Z6">
        <v>0</v>
      </c>
      <c r="AA6">
        <v>0</v>
      </c>
      <c r="AB6">
        <v>0</v>
      </c>
      <c r="AC6">
        <v>0</v>
      </c>
      <c r="AD6">
        <v>0</v>
      </c>
      <c r="AE6">
        <v>0</v>
      </c>
    </row>
    <row r="7" spans="1:31">
      <c r="A7" t="s">
        <v>21</v>
      </c>
      <c r="B7">
        <v>0</v>
      </c>
      <c r="C7">
        <v>0</v>
      </c>
      <c r="D7">
        <v>0</v>
      </c>
      <c r="E7">
        <v>0</v>
      </c>
      <c r="F7">
        <v>0</v>
      </c>
      <c r="G7">
        <v>0</v>
      </c>
      <c r="H7">
        <v>0</v>
      </c>
      <c r="I7">
        <v>0</v>
      </c>
      <c r="J7">
        <v>0</v>
      </c>
      <c r="K7">
        <v>0</v>
      </c>
      <c r="L7">
        <v>0</v>
      </c>
      <c r="M7">
        <v>0</v>
      </c>
      <c r="N7">
        <v>0</v>
      </c>
      <c r="O7">
        <v>0</v>
      </c>
      <c r="P7">
        <v>0</v>
      </c>
      <c r="Q7">
        <v>0</v>
      </c>
      <c r="R7">
        <v>0</v>
      </c>
      <c r="S7">
        <v>0</v>
      </c>
      <c r="T7">
        <v>0</v>
      </c>
      <c r="U7">
        <v>0</v>
      </c>
      <c r="V7">
        <v>0</v>
      </c>
      <c r="W7">
        <v>0</v>
      </c>
      <c r="X7">
        <v>0</v>
      </c>
      <c r="Y7">
        <v>0</v>
      </c>
      <c r="Z7">
        <v>0</v>
      </c>
      <c r="AA7">
        <v>0</v>
      </c>
      <c r="AB7">
        <v>0</v>
      </c>
      <c r="AC7">
        <v>0</v>
      </c>
      <c r="AD7">
        <v>0</v>
      </c>
      <c r="AE7">
        <v>0</v>
      </c>
    </row>
    <row r="8" spans="1:31">
      <c r="A8" t="s">
        <v>20</v>
      </c>
      <c r="B8">
        <v>0</v>
      </c>
      <c r="C8">
        <v>0</v>
      </c>
      <c r="D8">
        <v>0</v>
      </c>
      <c r="E8">
        <v>0</v>
      </c>
      <c r="F8">
        <v>0</v>
      </c>
      <c r="G8">
        <v>0</v>
      </c>
      <c r="H8">
        <v>0</v>
      </c>
      <c r="I8">
        <v>0</v>
      </c>
      <c r="J8">
        <v>0</v>
      </c>
      <c r="K8">
        <v>0</v>
      </c>
      <c r="L8">
        <v>0</v>
      </c>
      <c r="M8">
        <v>0</v>
      </c>
      <c r="N8">
        <v>0</v>
      </c>
      <c r="O8">
        <v>0</v>
      </c>
      <c r="P8">
        <v>0</v>
      </c>
      <c r="Q8">
        <v>0</v>
      </c>
      <c r="R8">
        <v>0</v>
      </c>
      <c r="S8">
        <v>0</v>
      </c>
      <c r="T8">
        <v>0</v>
      </c>
      <c r="U8">
        <v>0</v>
      </c>
      <c r="V8">
        <v>0</v>
      </c>
      <c r="W8">
        <v>0</v>
      </c>
      <c r="X8">
        <v>0</v>
      </c>
      <c r="Y8">
        <v>0</v>
      </c>
      <c r="Z8">
        <v>0</v>
      </c>
      <c r="AA8">
        <v>0</v>
      </c>
      <c r="AB8">
        <v>0</v>
      </c>
      <c r="AC8">
        <v>0</v>
      </c>
      <c r="AD8">
        <v>0</v>
      </c>
      <c r="AE8">
        <v>0</v>
      </c>
    </row>
    <row r="9" spans="1:31">
      <c r="A9" t="s">
        <v>82</v>
      </c>
      <c r="B9">
        <v>0</v>
      </c>
      <c r="C9">
        <v>0</v>
      </c>
      <c r="D9">
        <v>0</v>
      </c>
      <c r="E9">
        <v>0</v>
      </c>
      <c r="F9">
        <v>0</v>
      </c>
      <c r="G9">
        <v>0</v>
      </c>
      <c r="H9">
        <v>0</v>
      </c>
      <c r="I9">
        <v>0</v>
      </c>
      <c r="J9">
        <v>0</v>
      </c>
      <c r="K9">
        <v>0</v>
      </c>
      <c r="L9">
        <v>0</v>
      </c>
      <c r="M9">
        <v>0</v>
      </c>
      <c r="N9">
        <v>0</v>
      </c>
      <c r="O9">
        <v>0</v>
      </c>
      <c r="P9">
        <v>0</v>
      </c>
      <c r="Q9">
        <v>0</v>
      </c>
      <c r="R9">
        <v>0</v>
      </c>
      <c r="S9">
        <v>0</v>
      </c>
      <c r="T9">
        <v>0</v>
      </c>
      <c r="U9">
        <v>0</v>
      </c>
      <c r="V9">
        <v>0</v>
      </c>
      <c r="W9">
        <v>0</v>
      </c>
      <c r="X9">
        <v>0</v>
      </c>
      <c r="Y9">
        <v>0</v>
      </c>
      <c r="Z9">
        <v>0</v>
      </c>
      <c r="AA9">
        <v>0</v>
      </c>
      <c r="AB9">
        <v>0</v>
      </c>
      <c r="AC9">
        <v>0</v>
      </c>
      <c r="AD9">
        <v>0</v>
      </c>
      <c r="AE9">
        <v>0</v>
      </c>
    </row>
    <row r="10" spans="1:31">
      <c r="A10" t="s">
        <v>83</v>
      </c>
      <c r="B10">
        <v>0</v>
      </c>
      <c r="C10">
        <v>0</v>
      </c>
      <c r="D10">
        <v>0</v>
      </c>
      <c r="E10">
        <v>0</v>
      </c>
      <c r="F10">
        <v>0</v>
      </c>
      <c r="G10">
        <v>0</v>
      </c>
      <c r="H10">
        <v>0</v>
      </c>
      <c r="I10">
        <v>0</v>
      </c>
      <c r="J10">
        <v>0</v>
      </c>
      <c r="K10">
        <v>0</v>
      </c>
      <c r="L10">
        <v>0</v>
      </c>
      <c r="M10">
        <v>0</v>
      </c>
      <c r="N10">
        <v>0</v>
      </c>
      <c r="O10">
        <v>0</v>
      </c>
      <c r="P10">
        <v>0</v>
      </c>
      <c r="Q10">
        <v>0</v>
      </c>
      <c r="R10">
        <v>0</v>
      </c>
      <c r="S10">
        <v>0</v>
      </c>
      <c r="T10">
        <v>0</v>
      </c>
      <c r="U10">
        <v>0</v>
      </c>
      <c r="V10">
        <v>0</v>
      </c>
      <c r="W10">
        <v>0</v>
      </c>
      <c r="X10">
        <v>0</v>
      </c>
      <c r="Y10">
        <v>0</v>
      </c>
      <c r="Z10">
        <v>0</v>
      </c>
      <c r="AA10">
        <v>0</v>
      </c>
      <c r="AB10">
        <v>0</v>
      </c>
      <c r="AC10">
        <v>0</v>
      </c>
      <c r="AD10">
        <v>0</v>
      </c>
      <c r="AE10">
        <v>0</v>
      </c>
    </row>
    <row r="11" spans="1:31">
      <c r="A11" t="s">
        <v>84</v>
      </c>
      <c r="B11">
        <v>0</v>
      </c>
      <c r="C11">
        <v>0</v>
      </c>
      <c r="D11">
        <v>0</v>
      </c>
      <c r="E11">
        <v>0</v>
      </c>
      <c r="F11">
        <v>0</v>
      </c>
      <c r="G11">
        <v>0</v>
      </c>
      <c r="H11">
        <v>0</v>
      </c>
      <c r="I11">
        <v>0</v>
      </c>
      <c r="J11">
        <v>0</v>
      </c>
      <c r="K11">
        <v>0</v>
      </c>
      <c r="L11">
        <v>0</v>
      </c>
      <c r="M11">
        <v>0</v>
      </c>
      <c r="N11">
        <v>0</v>
      </c>
      <c r="O11">
        <v>0</v>
      </c>
      <c r="P11">
        <v>0</v>
      </c>
      <c r="Q11">
        <v>0</v>
      </c>
      <c r="R11">
        <v>0</v>
      </c>
      <c r="S11">
        <v>0</v>
      </c>
      <c r="T11">
        <v>0</v>
      </c>
      <c r="U11">
        <v>0</v>
      </c>
      <c r="V11">
        <v>0</v>
      </c>
      <c r="W11">
        <v>0</v>
      </c>
      <c r="X11">
        <v>0</v>
      </c>
      <c r="Y11">
        <v>0</v>
      </c>
      <c r="Z11">
        <v>0</v>
      </c>
      <c r="AA11">
        <v>0</v>
      </c>
      <c r="AB11">
        <v>0</v>
      </c>
      <c r="AC11">
        <v>0</v>
      </c>
      <c r="AD11">
        <v>0</v>
      </c>
      <c r="AE11">
        <v>0</v>
      </c>
    </row>
  </sheetData>
  <pageMargins left="0.7" right="0.7" top="0.75" bottom="0.75" header="0.3" footer="0.3"/>
</worksheet>
</file>

<file path=xl/worksheets/sheet2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F00-000000000000}">
  <sheetPr>
    <tabColor theme="3"/>
  </sheetPr>
  <dimension ref="A1:AE11"/>
  <sheetViews>
    <sheetView workbookViewId="0">
      <selection activeCell="A11" sqref="A11"/>
    </sheetView>
  </sheetViews>
  <sheetFormatPr defaultRowHeight="14.25"/>
  <cols>
    <col min="1" max="1" width="22.53125" customWidth="1"/>
  </cols>
  <sheetData>
    <row r="1" spans="1:31" ht="28.5">
      <c r="A1" s="10" t="s">
        <v>85</v>
      </c>
      <c r="B1">
        <v>2021</v>
      </c>
      <c r="C1">
        <v>2022</v>
      </c>
      <c r="D1">
        <v>2023</v>
      </c>
      <c r="E1">
        <v>2024</v>
      </c>
      <c r="F1">
        <v>2025</v>
      </c>
      <c r="G1">
        <v>2026</v>
      </c>
      <c r="H1">
        <v>2027</v>
      </c>
      <c r="I1">
        <v>2028</v>
      </c>
      <c r="J1">
        <v>2029</v>
      </c>
      <c r="K1">
        <v>2030</v>
      </c>
      <c r="L1">
        <v>2031</v>
      </c>
      <c r="M1">
        <v>2032</v>
      </c>
      <c r="N1">
        <v>2033</v>
      </c>
      <c r="O1">
        <v>2034</v>
      </c>
      <c r="P1">
        <v>2035</v>
      </c>
      <c r="Q1">
        <v>2036</v>
      </c>
      <c r="R1">
        <v>2037</v>
      </c>
      <c r="S1">
        <v>2038</v>
      </c>
      <c r="T1">
        <v>2039</v>
      </c>
      <c r="U1">
        <v>2040</v>
      </c>
      <c r="V1">
        <v>2041</v>
      </c>
      <c r="W1">
        <v>2042</v>
      </c>
      <c r="X1">
        <v>2043</v>
      </c>
      <c r="Y1">
        <v>2044</v>
      </c>
      <c r="Z1">
        <v>2045</v>
      </c>
      <c r="AA1">
        <v>2046</v>
      </c>
      <c r="AB1">
        <v>2047</v>
      </c>
      <c r="AC1">
        <v>2048</v>
      </c>
      <c r="AD1">
        <v>2049</v>
      </c>
      <c r="AE1">
        <v>2050</v>
      </c>
    </row>
    <row r="2" spans="1:31">
      <c r="A2" t="s">
        <v>15</v>
      </c>
      <c r="B2">
        <v>0</v>
      </c>
      <c r="C2">
        <v>0</v>
      </c>
      <c r="D2">
        <v>0</v>
      </c>
      <c r="E2">
        <v>0</v>
      </c>
      <c r="F2">
        <v>0</v>
      </c>
      <c r="G2">
        <v>0</v>
      </c>
      <c r="H2">
        <v>0</v>
      </c>
      <c r="I2">
        <v>0</v>
      </c>
      <c r="J2">
        <v>0</v>
      </c>
      <c r="K2">
        <v>0</v>
      </c>
      <c r="L2">
        <v>0</v>
      </c>
      <c r="M2">
        <v>0</v>
      </c>
      <c r="N2">
        <v>0</v>
      </c>
      <c r="O2">
        <v>0</v>
      </c>
      <c r="P2">
        <v>0</v>
      </c>
      <c r="Q2">
        <v>0</v>
      </c>
      <c r="R2">
        <v>0</v>
      </c>
      <c r="S2">
        <v>0</v>
      </c>
      <c r="T2">
        <v>0</v>
      </c>
      <c r="U2">
        <v>0</v>
      </c>
      <c r="V2">
        <v>0</v>
      </c>
      <c r="W2">
        <v>0</v>
      </c>
      <c r="X2">
        <v>0</v>
      </c>
      <c r="Y2">
        <v>0</v>
      </c>
      <c r="Z2">
        <v>0</v>
      </c>
      <c r="AA2">
        <v>0</v>
      </c>
      <c r="AB2">
        <v>0</v>
      </c>
      <c r="AC2">
        <v>0</v>
      </c>
      <c r="AD2">
        <v>0</v>
      </c>
      <c r="AE2">
        <v>0</v>
      </c>
    </row>
    <row r="3" spans="1:31">
      <c r="A3" t="s">
        <v>16</v>
      </c>
      <c r="B3">
        <v>1</v>
      </c>
      <c r="C3">
        <v>1</v>
      </c>
      <c r="D3">
        <v>1</v>
      </c>
      <c r="E3">
        <v>1</v>
      </c>
      <c r="F3">
        <v>1</v>
      </c>
      <c r="G3">
        <v>1</v>
      </c>
      <c r="H3">
        <v>1</v>
      </c>
      <c r="I3">
        <v>1</v>
      </c>
      <c r="J3">
        <v>1</v>
      </c>
      <c r="K3">
        <v>1</v>
      </c>
      <c r="L3">
        <v>1</v>
      </c>
      <c r="M3">
        <v>1</v>
      </c>
      <c r="N3">
        <v>1</v>
      </c>
      <c r="O3">
        <v>1</v>
      </c>
      <c r="P3">
        <v>1</v>
      </c>
      <c r="Q3">
        <v>1</v>
      </c>
      <c r="R3">
        <v>1</v>
      </c>
      <c r="S3">
        <v>1</v>
      </c>
      <c r="T3">
        <v>1</v>
      </c>
      <c r="U3">
        <v>1</v>
      </c>
      <c r="V3">
        <v>1</v>
      </c>
      <c r="W3">
        <v>1</v>
      </c>
      <c r="X3">
        <v>1</v>
      </c>
      <c r="Y3">
        <v>1</v>
      </c>
      <c r="Z3">
        <v>1</v>
      </c>
      <c r="AA3">
        <v>1</v>
      </c>
      <c r="AB3">
        <v>1</v>
      </c>
      <c r="AC3">
        <v>1</v>
      </c>
      <c r="AD3">
        <v>1</v>
      </c>
      <c r="AE3">
        <v>1</v>
      </c>
    </row>
    <row r="4" spans="1:31">
      <c r="A4" t="s">
        <v>17</v>
      </c>
      <c r="B4">
        <v>0</v>
      </c>
      <c r="C4">
        <v>0</v>
      </c>
      <c r="D4">
        <v>0</v>
      </c>
      <c r="E4">
        <v>0</v>
      </c>
      <c r="F4">
        <v>0</v>
      </c>
      <c r="G4">
        <v>0</v>
      </c>
      <c r="H4">
        <v>0</v>
      </c>
      <c r="I4">
        <v>0</v>
      </c>
      <c r="J4">
        <v>0</v>
      </c>
      <c r="K4">
        <v>0</v>
      </c>
      <c r="L4">
        <v>0</v>
      </c>
      <c r="M4">
        <v>0</v>
      </c>
      <c r="N4">
        <v>0</v>
      </c>
      <c r="O4">
        <v>0</v>
      </c>
      <c r="P4">
        <v>0</v>
      </c>
      <c r="Q4">
        <v>0</v>
      </c>
      <c r="R4">
        <v>0</v>
      </c>
      <c r="S4">
        <v>0</v>
      </c>
      <c r="T4">
        <v>0</v>
      </c>
      <c r="U4">
        <v>0</v>
      </c>
      <c r="V4">
        <v>0</v>
      </c>
      <c r="W4">
        <v>0</v>
      </c>
      <c r="X4">
        <v>0</v>
      </c>
      <c r="Y4">
        <v>0</v>
      </c>
      <c r="Z4">
        <v>0</v>
      </c>
      <c r="AA4">
        <v>0</v>
      </c>
      <c r="AB4">
        <v>0</v>
      </c>
      <c r="AC4">
        <v>0</v>
      </c>
      <c r="AD4">
        <v>0</v>
      </c>
      <c r="AE4">
        <v>0</v>
      </c>
    </row>
    <row r="5" spans="1:31">
      <c r="A5" t="s">
        <v>18</v>
      </c>
      <c r="B5">
        <v>0</v>
      </c>
      <c r="C5">
        <v>0</v>
      </c>
      <c r="D5">
        <v>0</v>
      </c>
      <c r="E5">
        <v>0</v>
      </c>
      <c r="F5">
        <v>0</v>
      </c>
      <c r="G5">
        <v>0</v>
      </c>
      <c r="H5">
        <v>0</v>
      </c>
      <c r="I5">
        <v>0</v>
      </c>
      <c r="J5">
        <v>0</v>
      </c>
      <c r="K5">
        <v>0</v>
      </c>
      <c r="L5">
        <v>0</v>
      </c>
      <c r="M5">
        <v>0</v>
      </c>
      <c r="N5">
        <v>0</v>
      </c>
      <c r="O5">
        <v>0</v>
      </c>
      <c r="P5">
        <v>0</v>
      </c>
      <c r="Q5">
        <v>0</v>
      </c>
      <c r="R5">
        <v>0</v>
      </c>
      <c r="S5">
        <v>0</v>
      </c>
      <c r="T5">
        <v>0</v>
      </c>
      <c r="U5">
        <v>0</v>
      </c>
      <c r="V5">
        <v>0</v>
      </c>
      <c r="W5">
        <v>0</v>
      </c>
      <c r="X5">
        <v>0</v>
      </c>
      <c r="Y5">
        <v>0</v>
      </c>
      <c r="Z5">
        <v>0</v>
      </c>
      <c r="AA5">
        <v>0</v>
      </c>
      <c r="AB5">
        <v>0</v>
      </c>
      <c r="AC5">
        <v>0</v>
      </c>
      <c r="AD5">
        <v>0</v>
      </c>
      <c r="AE5">
        <v>0</v>
      </c>
    </row>
    <row r="6" spans="1:31">
      <c r="A6" t="s">
        <v>19</v>
      </c>
      <c r="B6">
        <v>0</v>
      </c>
      <c r="C6">
        <v>0</v>
      </c>
      <c r="D6">
        <v>0</v>
      </c>
      <c r="E6">
        <v>0</v>
      </c>
      <c r="F6">
        <v>0</v>
      </c>
      <c r="G6">
        <v>0</v>
      </c>
      <c r="H6">
        <v>0</v>
      </c>
      <c r="I6">
        <v>0</v>
      </c>
      <c r="J6">
        <v>0</v>
      </c>
      <c r="K6">
        <v>0</v>
      </c>
      <c r="L6">
        <v>0</v>
      </c>
      <c r="M6">
        <v>0</v>
      </c>
      <c r="N6">
        <v>0</v>
      </c>
      <c r="O6">
        <v>0</v>
      </c>
      <c r="P6">
        <v>0</v>
      </c>
      <c r="Q6">
        <v>0</v>
      </c>
      <c r="R6">
        <v>0</v>
      </c>
      <c r="S6">
        <v>0</v>
      </c>
      <c r="T6">
        <v>0</v>
      </c>
      <c r="U6">
        <v>0</v>
      </c>
      <c r="V6">
        <v>0</v>
      </c>
      <c r="W6">
        <v>0</v>
      </c>
      <c r="X6">
        <v>0</v>
      </c>
      <c r="Y6">
        <v>0</v>
      </c>
      <c r="Z6">
        <v>0</v>
      </c>
      <c r="AA6">
        <v>0</v>
      </c>
      <c r="AB6">
        <v>0</v>
      </c>
      <c r="AC6">
        <v>0</v>
      </c>
      <c r="AD6">
        <v>0</v>
      </c>
      <c r="AE6">
        <v>0</v>
      </c>
    </row>
    <row r="7" spans="1:31">
      <c r="A7" t="s">
        <v>21</v>
      </c>
      <c r="B7">
        <v>0</v>
      </c>
      <c r="C7">
        <v>0</v>
      </c>
      <c r="D7">
        <v>0</v>
      </c>
      <c r="E7">
        <v>0</v>
      </c>
      <c r="F7">
        <v>0</v>
      </c>
      <c r="G7">
        <v>0</v>
      </c>
      <c r="H7">
        <v>0</v>
      </c>
      <c r="I7">
        <v>0</v>
      </c>
      <c r="J7">
        <v>0</v>
      </c>
      <c r="K7">
        <v>0</v>
      </c>
      <c r="L7">
        <v>0</v>
      </c>
      <c r="M7">
        <v>0</v>
      </c>
      <c r="N7">
        <v>0</v>
      </c>
      <c r="O7">
        <v>0</v>
      </c>
      <c r="P7">
        <v>0</v>
      </c>
      <c r="Q7">
        <v>0</v>
      </c>
      <c r="R7">
        <v>0</v>
      </c>
      <c r="S7">
        <v>0</v>
      </c>
      <c r="T7">
        <v>0</v>
      </c>
      <c r="U7">
        <v>0</v>
      </c>
      <c r="V7">
        <v>0</v>
      </c>
      <c r="W7">
        <v>0</v>
      </c>
      <c r="X7">
        <v>0</v>
      </c>
      <c r="Y7">
        <v>0</v>
      </c>
      <c r="Z7">
        <v>0</v>
      </c>
      <c r="AA7">
        <v>0</v>
      </c>
      <c r="AB7">
        <v>0</v>
      </c>
      <c r="AC7">
        <v>0</v>
      </c>
      <c r="AD7">
        <v>0</v>
      </c>
      <c r="AE7">
        <v>0</v>
      </c>
    </row>
    <row r="8" spans="1:31">
      <c r="A8" t="s">
        <v>20</v>
      </c>
      <c r="B8">
        <v>0</v>
      </c>
      <c r="C8">
        <v>0</v>
      </c>
      <c r="D8">
        <v>0</v>
      </c>
      <c r="E8">
        <v>0</v>
      </c>
      <c r="F8">
        <v>0</v>
      </c>
      <c r="G8">
        <v>0</v>
      </c>
      <c r="H8">
        <v>0</v>
      </c>
      <c r="I8">
        <v>0</v>
      </c>
      <c r="J8">
        <v>0</v>
      </c>
      <c r="K8">
        <v>0</v>
      </c>
      <c r="L8">
        <v>0</v>
      </c>
      <c r="M8">
        <v>0</v>
      </c>
      <c r="N8">
        <v>0</v>
      </c>
      <c r="O8">
        <v>0</v>
      </c>
      <c r="P8">
        <v>0</v>
      </c>
      <c r="Q8">
        <v>0</v>
      </c>
      <c r="R8">
        <v>0</v>
      </c>
      <c r="S8">
        <v>0</v>
      </c>
      <c r="T8">
        <v>0</v>
      </c>
      <c r="U8">
        <v>0</v>
      </c>
      <c r="V8">
        <v>0</v>
      </c>
      <c r="W8">
        <v>0</v>
      </c>
      <c r="X8">
        <v>0</v>
      </c>
      <c r="Y8">
        <v>0</v>
      </c>
      <c r="Z8">
        <v>0</v>
      </c>
      <c r="AA8">
        <v>0</v>
      </c>
      <c r="AB8">
        <v>0</v>
      </c>
      <c r="AC8">
        <v>0</v>
      </c>
      <c r="AD8">
        <v>0</v>
      </c>
      <c r="AE8">
        <v>0</v>
      </c>
    </row>
    <row r="9" spans="1:31">
      <c r="A9" t="s">
        <v>82</v>
      </c>
      <c r="B9">
        <v>0</v>
      </c>
      <c r="C9">
        <v>0</v>
      </c>
      <c r="D9">
        <v>0</v>
      </c>
      <c r="E9">
        <v>0</v>
      </c>
      <c r="F9">
        <v>0</v>
      </c>
      <c r="G9">
        <v>0</v>
      </c>
      <c r="H9">
        <v>0</v>
      </c>
      <c r="I9">
        <v>0</v>
      </c>
      <c r="J9">
        <v>0</v>
      </c>
      <c r="K9">
        <v>0</v>
      </c>
      <c r="L9">
        <v>0</v>
      </c>
      <c r="M9">
        <v>0</v>
      </c>
      <c r="N9">
        <v>0</v>
      </c>
      <c r="O9">
        <v>0</v>
      </c>
      <c r="P9">
        <v>0</v>
      </c>
      <c r="Q9">
        <v>0</v>
      </c>
      <c r="R9">
        <v>0</v>
      </c>
      <c r="S9">
        <v>0</v>
      </c>
      <c r="T9">
        <v>0</v>
      </c>
      <c r="U9">
        <v>0</v>
      </c>
      <c r="V9">
        <v>0</v>
      </c>
      <c r="W9">
        <v>0</v>
      </c>
      <c r="X9">
        <v>0</v>
      </c>
      <c r="Y9">
        <v>0</v>
      </c>
      <c r="Z9">
        <v>0</v>
      </c>
      <c r="AA9">
        <v>0</v>
      </c>
      <c r="AB9">
        <v>0</v>
      </c>
      <c r="AC9">
        <v>0</v>
      </c>
      <c r="AD9">
        <v>0</v>
      </c>
      <c r="AE9">
        <v>0</v>
      </c>
    </row>
    <row r="10" spans="1:31">
      <c r="A10" t="s">
        <v>83</v>
      </c>
      <c r="B10">
        <v>0</v>
      </c>
      <c r="C10">
        <v>0</v>
      </c>
      <c r="D10">
        <v>0</v>
      </c>
      <c r="E10">
        <v>0</v>
      </c>
      <c r="F10">
        <v>0</v>
      </c>
      <c r="G10">
        <v>0</v>
      </c>
      <c r="H10">
        <v>0</v>
      </c>
      <c r="I10">
        <v>0</v>
      </c>
      <c r="J10">
        <v>0</v>
      </c>
      <c r="K10">
        <v>0</v>
      </c>
      <c r="L10">
        <v>0</v>
      </c>
      <c r="M10">
        <v>0</v>
      </c>
      <c r="N10">
        <v>0</v>
      </c>
      <c r="O10">
        <v>0</v>
      </c>
      <c r="P10">
        <v>0</v>
      </c>
      <c r="Q10">
        <v>0</v>
      </c>
      <c r="R10">
        <v>0</v>
      </c>
      <c r="S10">
        <v>0</v>
      </c>
      <c r="T10">
        <v>0</v>
      </c>
      <c r="U10">
        <v>0</v>
      </c>
      <c r="V10">
        <v>0</v>
      </c>
      <c r="W10">
        <v>0</v>
      </c>
      <c r="X10">
        <v>0</v>
      </c>
      <c r="Y10">
        <v>0</v>
      </c>
      <c r="Z10">
        <v>0</v>
      </c>
      <c r="AA10">
        <v>0</v>
      </c>
      <c r="AB10">
        <v>0</v>
      </c>
      <c r="AC10">
        <v>0</v>
      </c>
      <c r="AD10">
        <v>0</v>
      </c>
      <c r="AE10">
        <v>0</v>
      </c>
    </row>
    <row r="11" spans="1:31">
      <c r="A11" t="s">
        <v>84</v>
      </c>
      <c r="B11">
        <v>0</v>
      </c>
      <c r="C11">
        <v>0</v>
      </c>
      <c r="D11">
        <v>0</v>
      </c>
      <c r="E11">
        <v>0</v>
      </c>
      <c r="F11">
        <v>0</v>
      </c>
      <c r="G11">
        <v>0</v>
      </c>
      <c r="H11">
        <v>0</v>
      </c>
      <c r="I11">
        <v>0</v>
      </c>
      <c r="J11">
        <v>0</v>
      </c>
      <c r="K11">
        <v>0</v>
      </c>
      <c r="L11">
        <v>0</v>
      </c>
      <c r="M11">
        <v>0</v>
      </c>
      <c r="N11">
        <v>0</v>
      </c>
      <c r="O11">
        <v>0</v>
      </c>
      <c r="P11">
        <v>0</v>
      </c>
      <c r="Q11">
        <v>0</v>
      </c>
      <c r="R11">
        <v>0</v>
      </c>
      <c r="S11">
        <v>0</v>
      </c>
      <c r="T11">
        <v>0</v>
      </c>
      <c r="U11">
        <v>0</v>
      </c>
      <c r="V11">
        <v>0</v>
      </c>
      <c r="W11">
        <v>0</v>
      </c>
      <c r="X11">
        <v>0</v>
      </c>
      <c r="Y11">
        <v>0</v>
      </c>
      <c r="Z11">
        <v>0</v>
      </c>
      <c r="AA11">
        <v>0</v>
      </c>
      <c r="AB11">
        <v>0</v>
      </c>
      <c r="AC11">
        <v>0</v>
      </c>
      <c r="AD11">
        <v>0</v>
      </c>
      <c r="AE11">
        <v>0</v>
      </c>
    </row>
  </sheetData>
  <pageMargins left="0.7" right="0.7" top="0.75" bottom="0.75" header="0.3" footer="0.3"/>
</worksheet>
</file>

<file path=xl/worksheets/sheet2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000-000000000000}">
  <sheetPr>
    <tabColor theme="3"/>
  </sheetPr>
  <dimension ref="A1:AI11"/>
  <sheetViews>
    <sheetView workbookViewId="0"/>
  </sheetViews>
  <sheetFormatPr defaultRowHeight="14.25"/>
  <cols>
    <col min="1" max="1" width="22.53125" customWidth="1"/>
  </cols>
  <sheetData>
    <row r="1" spans="1:35" ht="28.5">
      <c r="A1" s="10" t="s">
        <v>85</v>
      </c>
      <c r="B1">
        <v>2021</v>
      </c>
      <c r="C1">
        <v>2022</v>
      </c>
      <c r="D1">
        <v>2023</v>
      </c>
      <c r="E1">
        <v>2024</v>
      </c>
      <c r="F1">
        <v>2025</v>
      </c>
      <c r="G1">
        <v>2026</v>
      </c>
      <c r="H1">
        <v>2027</v>
      </c>
      <c r="I1">
        <v>2028</v>
      </c>
      <c r="J1">
        <v>2029</v>
      </c>
      <c r="K1">
        <v>2030</v>
      </c>
      <c r="L1">
        <v>2031</v>
      </c>
      <c r="M1">
        <v>2032</v>
      </c>
      <c r="N1">
        <v>2033</v>
      </c>
      <c r="O1">
        <v>2034</v>
      </c>
      <c r="P1">
        <v>2035</v>
      </c>
      <c r="Q1">
        <v>2036</v>
      </c>
      <c r="R1">
        <v>2037</v>
      </c>
      <c r="S1">
        <v>2038</v>
      </c>
      <c r="T1">
        <v>2039</v>
      </c>
      <c r="U1">
        <v>2040</v>
      </c>
      <c r="V1">
        <v>2041</v>
      </c>
      <c r="W1">
        <v>2042</v>
      </c>
      <c r="X1">
        <v>2043</v>
      </c>
      <c r="Y1">
        <v>2044</v>
      </c>
      <c r="Z1">
        <v>2045</v>
      </c>
      <c r="AA1">
        <v>2046</v>
      </c>
      <c r="AB1">
        <v>2047</v>
      </c>
      <c r="AC1">
        <v>2048</v>
      </c>
      <c r="AD1">
        <v>2049</v>
      </c>
      <c r="AE1">
        <v>2050</v>
      </c>
    </row>
    <row r="2" spans="1:35">
      <c r="A2" t="s">
        <v>15</v>
      </c>
      <c r="B2">
        <v>0</v>
      </c>
      <c r="C2">
        <v>0</v>
      </c>
      <c r="D2">
        <v>0</v>
      </c>
      <c r="E2">
        <v>0</v>
      </c>
      <c r="F2">
        <v>0</v>
      </c>
      <c r="G2">
        <v>0</v>
      </c>
      <c r="H2">
        <v>0</v>
      </c>
      <c r="I2">
        <v>0</v>
      </c>
      <c r="J2">
        <v>0</v>
      </c>
      <c r="K2">
        <v>0</v>
      </c>
      <c r="L2">
        <v>0</v>
      </c>
      <c r="M2">
        <v>0</v>
      </c>
      <c r="N2">
        <v>0</v>
      </c>
      <c r="O2">
        <v>0</v>
      </c>
      <c r="P2">
        <v>0</v>
      </c>
      <c r="Q2">
        <v>0</v>
      </c>
      <c r="R2">
        <v>0</v>
      </c>
      <c r="S2">
        <v>0</v>
      </c>
      <c r="T2">
        <v>0</v>
      </c>
      <c r="U2">
        <v>0</v>
      </c>
      <c r="V2">
        <v>0</v>
      </c>
      <c r="W2">
        <v>0</v>
      </c>
      <c r="X2">
        <v>0</v>
      </c>
      <c r="Y2">
        <v>0</v>
      </c>
      <c r="Z2">
        <v>0</v>
      </c>
      <c r="AA2">
        <v>0</v>
      </c>
      <c r="AB2">
        <v>0</v>
      </c>
      <c r="AC2">
        <v>0</v>
      </c>
      <c r="AD2">
        <v>0</v>
      </c>
      <c r="AE2">
        <v>0</v>
      </c>
    </row>
    <row r="3" spans="1:35">
      <c r="A3" t="s">
        <v>16</v>
      </c>
      <c r="B3">
        <v>0</v>
      </c>
      <c r="C3">
        <v>0</v>
      </c>
      <c r="D3">
        <v>0</v>
      </c>
      <c r="E3">
        <v>0</v>
      </c>
      <c r="F3">
        <v>0</v>
      </c>
      <c r="G3">
        <v>0</v>
      </c>
      <c r="H3">
        <v>0</v>
      </c>
      <c r="I3">
        <v>0</v>
      </c>
      <c r="J3">
        <v>0</v>
      </c>
      <c r="K3">
        <v>0</v>
      </c>
      <c r="L3">
        <v>0</v>
      </c>
      <c r="M3">
        <v>0</v>
      </c>
      <c r="N3">
        <v>0</v>
      </c>
      <c r="O3">
        <v>0</v>
      </c>
      <c r="P3">
        <v>0</v>
      </c>
      <c r="Q3">
        <v>0</v>
      </c>
      <c r="R3">
        <v>0</v>
      </c>
      <c r="S3">
        <v>0</v>
      </c>
      <c r="T3">
        <v>0</v>
      </c>
      <c r="U3">
        <v>0</v>
      </c>
      <c r="V3">
        <v>0</v>
      </c>
      <c r="W3">
        <v>0</v>
      </c>
      <c r="X3">
        <v>0</v>
      </c>
      <c r="Y3">
        <v>0</v>
      </c>
      <c r="Z3">
        <v>0</v>
      </c>
      <c r="AA3">
        <v>0</v>
      </c>
      <c r="AB3">
        <v>0</v>
      </c>
      <c r="AC3">
        <v>0</v>
      </c>
      <c r="AD3">
        <v>0</v>
      </c>
      <c r="AE3">
        <v>0</v>
      </c>
    </row>
    <row r="4" spans="1:35">
      <c r="A4" t="s">
        <v>17</v>
      </c>
      <c r="B4" s="2">
        <f>1-B6</f>
        <v>0.92710534558203916</v>
      </c>
      <c r="C4" s="2">
        <f t="shared" ref="C4:AE4" si="0">1-C6</f>
        <v>0.92710534558203916</v>
      </c>
      <c r="D4" s="2">
        <f t="shared" si="0"/>
        <v>0.92710534558203916</v>
      </c>
      <c r="E4" s="2">
        <f t="shared" si="0"/>
        <v>0.92710534558203916</v>
      </c>
      <c r="F4" s="2">
        <f t="shared" si="0"/>
        <v>0.92710534558203916</v>
      </c>
      <c r="G4" s="2">
        <f t="shared" si="0"/>
        <v>0.92710534558203916</v>
      </c>
      <c r="H4" s="2">
        <f t="shared" si="0"/>
        <v>0.92710534558203916</v>
      </c>
      <c r="I4" s="2">
        <f t="shared" si="0"/>
        <v>0.92710534558203916</v>
      </c>
      <c r="J4" s="2">
        <f t="shared" si="0"/>
        <v>0.92710534558203916</v>
      </c>
      <c r="K4" s="2">
        <f t="shared" si="0"/>
        <v>0.92710534558203916</v>
      </c>
      <c r="L4" s="2">
        <f t="shared" si="0"/>
        <v>0.92710534558203916</v>
      </c>
      <c r="M4" s="2">
        <f t="shared" si="0"/>
        <v>0.92710534558203916</v>
      </c>
      <c r="N4" s="2">
        <f t="shared" si="0"/>
        <v>0.92710534558203916</v>
      </c>
      <c r="O4" s="2">
        <f t="shared" si="0"/>
        <v>0.92710534558203916</v>
      </c>
      <c r="P4" s="2">
        <f t="shared" si="0"/>
        <v>0.92710534558203916</v>
      </c>
      <c r="Q4" s="2">
        <f t="shared" si="0"/>
        <v>0.92710534558203916</v>
      </c>
      <c r="R4" s="2">
        <f t="shared" si="0"/>
        <v>0.92710534558203916</v>
      </c>
      <c r="S4" s="2">
        <f t="shared" si="0"/>
        <v>0.92710534558203916</v>
      </c>
      <c r="T4" s="2">
        <f t="shared" si="0"/>
        <v>0.92710534558203916</v>
      </c>
      <c r="U4" s="2">
        <f t="shared" si="0"/>
        <v>0.92710534558203916</v>
      </c>
      <c r="V4" s="2">
        <f t="shared" si="0"/>
        <v>0.92710534558203916</v>
      </c>
      <c r="W4" s="2">
        <f t="shared" si="0"/>
        <v>0.92710534558203916</v>
      </c>
      <c r="X4" s="2">
        <f t="shared" si="0"/>
        <v>0.92710534558203916</v>
      </c>
      <c r="Y4" s="2">
        <f t="shared" si="0"/>
        <v>0.92710534558203916</v>
      </c>
      <c r="Z4" s="2">
        <f t="shared" si="0"/>
        <v>0.92710534558203916</v>
      </c>
      <c r="AA4" s="2">
        <f t="shared" si="0"/>
        <v>0.92710534558203916</v>
      </c>
      <c r="AB4" s="2">
        <f t="shared" si="0"/>
        <v>0.92710534558203916</v>
      </c>
      <c r="AC4" s="2">
        <f t="shared" si="0"/>
        <v>0.92710534558203916</v>
      </c>
      <c r="AD4" s="2">
        <f t="shared" si="0"/>
        <v>0.92710534558203916</v>
      </c>
      <c r="AE4" s="2">
        <f t="shared" si="0"/>
        <v>0.92710534558203916</v>
      </c>
      <c r="AF4" s="2"/>
      <c r="AG4" s="2"/>
      <c r="AH4" s="2"/>
      <c r="AI4" s="2"/>
    </row>
    <row r="5" spans="1:35">
      <c r="A5" t="s">
        <v>18</v>
      </c>
      <c r="B5">
        <v>0</v>
      </c>
      <c r="C5">
        <v>0</v>
      </c>
      <c r="D5">
        <v>0</v>
      </c>
      <c r="E5">
        <v>0</v>
      </c>
      <c r="F5">
        <v>0</v>
      </c>
      <c r="G5">
        <v>0</v>
      </c>
      <c r="H5">
        <v>0</v>
      </c>
      <c r="I5">
        <v>0</v>
      </c>
      <c r="J5">
        <v>0</v>
      </c>
      <c r="K5">
        <v>0</v>
      </c>
      <c r="L5">
        <v>0</v>
      </c>
      <c r="M5">
        <v>0</v>
      </c>
      <c r="N5">
        <v>0</v>
      </c>
      <c r="O5">
        <v>0</v>
      </c>
      <c r="P5">
        <v>0</v>
      </c>
      <c r="Q5">
        <v>0</v>
      </c>
      <c r="R5">
        <v>0</v>
      </c>
      <c r="S5">
        <v>0</v>
      </c>
      <c r="T5">
        <v>0</v>
      </c>
      <c r="U5">
        <v>0</v>
      </c>
      <c r="V5">
        <v>0</v>
      </c>
      <c r="W5">
        <v>0</v>
      </c>
      <c r="X5">
        <v>0</v>
      </c>
      <c r="Y5">
        <v>0</v>
      </c>
      <c r="Z5">
        <v>0</v>
      </c>
      <c r="AA5">
        <v>0</v>
      </c>
      <c r="AB5">
        <v>0</v>
      </c>
      <c r="AC5">
        <v>0</v>
      </c>
      <c r="AD5">
        <v>0</v>
      </c>
      <c r="AE5">
        <v>0</v>
      </c>
    </row>
    <row r="6" spans="1:35">
      <c r="A6" t="s">
        <v>19</v>
      </c>
      <c r="B6" s="2">
        <f>'ethanol content'!$J$3</f>
        <v>7.2894654417960836E-2</v>
      </c>
      <c r="C6" s="2">
        <f>'ethanol content'!$J$3</f>
        <v>7.2894654417960836E-2</v>
      </c>
      <c r="D6" s="2">
        <f>'ethanol content'!$J$3</f>
        <v>7.2894654417960836E-2</v>
      </c>
      <c r="E6" s="2">
        <f>'ethanol content'!$J$3</f>
        <v>7.2894654417960836E-2</v>
      </c>
      <c r="F6" s="2">
        <f>'ethanol content'!$J$3</f>
        <v>7.2894654417960836E-2</v>
      </c>
      <c r="G6" s="2">
        <f>'ethanol content'!$J$3</f>
        <v>7.2894654417960836E-2</v>
      </c>
      <c r="H6" s="2">
        <f>'ethanol content'!$J$3</f>
        <v>7.2894654417960836E-2</v>
      </c>
      <c r="I6" s="2">
        <f>'ethanol content'!$J$3</f>
        <v>7.2894654417960836E-2</v>
      </c>
      <c r="J6" s="2">
        <f>'ethanol content'!$J$3</f>
        <v>7.2894654417960836E-2</v>
      </c>
      <c r="K6" s="2">
        <f>'ethanol content'!$J$3</f>
        <v>7.2894654417960836E-2</v>
      </c>
      <c r="L6" s="2">
        <f>'ethanol content'!$J$3</f>
        <v>7.2894654417960836E-2</v>
      </c>
      <c r="M6" s="2">
        <f>'ethanol content'!$J$3</f>
        <v>7.2894654417960836E-2</v>
      </c>
      <c r="N6" s="2">
        <f>'ethanol content'!$J$3</f>
        <v>7.2894654417960836E-2</v>
      </c>
      <c r="O6" s="2">
        <f>'ethanol content'!$J$3</f>
        <v>7.2894654417960836E-2</v>
      </c>
      <c r="P6" s="2">
        <f>'ethanol content'!$J$3</f>
        <v>7.2894654417960836E-2</v>
      </c>
      <c r="Q6" s="2">
        <f>'ethanol content'!$J$3</f>
        <v>7.2894654417960836E-2</v>
      </c>
      <c r="R6" s="2">
        <f>'ethanol content'!$J$3</f>
        <v>7.2894654417960836E-2</v>
      </c>
      <c r="S6" s="2">
        <f>'ethanol content'!$J$3</f>
        <v>7.2894654417960836E-2</v>
      </c>
      <c r="T6" s="2">
        <f>'ethanol content'!$J$3</f>
        <v>7.2894654417960836E-2</v>
      </c>
      <c r="U6" s="2">
        <f>'ethanol content'!$J$3</f>
        <v>7.2894654417960836E-2</v>
      </c>
      <c r="V6" s="2">
        <f>'ethanol content'!$J$3</f>
        <v>7.2894654417960836E-2</v>
      </c>
      <c r="W6" s="2">
        <f>'ethanol content'!$J$3</f>
        <v>7.2894654417960836E-2</v>
      </c>
      <c r="X6" s="2">
        <f>'ethanol content'!$J$3</f>
        <v>7.2894654417960836E-2</v>
      </c>
      <c r="Y6" s="2">
        <f>'ethanol content'!$J$3</f>
        <v>7.2894654417960836E-2</v>
      </c>
      <c r="Z6" s="2">
        <f>'ethanol content'!$J$3</f>
        <v>7.2894654417960836E-2</v>
      </c>
      <c r="AA6" s="2">
        <f>'ethanol content'!$J$3</f>
        <v>7.2894654417960836E-2</v>
      </c>
      <c r="AB6" s="2">
        <f>'ethanol content'!$J$3</f>
        <v>7.2894654417960836E-2</v>
      </c>
      <c r="AC6" s="2">
        <f>'ethanol content'!$J$3</f>
        <v>7.2894654417960836E-2</v>
      </c>
      <c r="AD6" s="2">
        <f>'ethanol content'!$J$3</f>
        <v>7.2894654417960836E-2</v>
      </c>
      <c r="AE6" s="2">
        <f>'ethanol content'!$J$3</f>
        <v>7.2894654417960836E-2</v>
      </c>
      <c r="AF6" s="2"/>
      <c r="AG6" s="2"/>
      <c r="AH6" s="2"/>
      <c r="AI6" s="2"/>
    </row>
    <row r="7" spans="1:35">
      <c r="A7" t="s">
        <v>21</v>
      </c>
      <c r="B7">
        <v>0</v>
      </c>
      <c r="C7">
        <v>0</v>
      </c>
      <c r="D7">
        <v>0</v>
      </c>
      <c r="E7">
        <v>0</v>
      </c>
      <c r="F7">
        <v>0</v>
      </c>
      <c r="G7">
        <v>0</v>
      </c>
      <c r="H7">
        <v>0</v>
      </c>
      <c r="I7">
        <v>0</v>
      </c>
      <c r="J7">
        <v>0</v>
      </c>
      <c r="K7">
        <v>0</v>
      </c>
      <c r="L7">
        <v>0</v>
      </c>
      <c r="M7">
        <v>0</v>
      </c>
      <c r="N7">
        <v>0</v>
      </c>
      <c r="O7">
        <v>0</v>
      </c>
      <c r="P7">
        <v>0</v>
      </c>
      <c r="Q7">
        <v>0</v>
      </c>
      <c r="R7">
        <v>0</v>
      </c>
      <c r="S7">
        <v>0</v>
      </c>
      <c r="T7">
        <v>0</v>
      </c>
      <c r="U7">
        <v>0</v>
      </c>
      <c r="V7">
        <v>0</v>
      </c>
      <c r="W7">
        <v>0</v>
      </c>
      <c r="X7">
        <v>0</v>
      </c>
      <c r="Y7">
        <v>0</v>
      </c>
      <c r="Z7">
        <v>0</v>
      </c>
      <c r="AA7">
        <v>0</v>
      </c>
      <c r="AB7">
        <v>0</v>
      </c>
      <c r="AC7">
        <v>0</v>
      </c>
      <c r="AD7">
        <v>0</v>
      </c>
      <c r="AE7">
        <v>0</v>
      </c>
    </row>
    <row r="8" spans="1:35">
      <c r="A8" t="s">
        <v>20</v>
      </c>
      <c r="B8">
        <v>0</v>
      </c>
      <c r="C8">
        <v>0</v>
      </c>
      <c r="D8">
        <v>0</v>
      </c>
      <c r="E8">
        <v>0</v>
      </c>
      <c r="F8">
        <v>0</v>
      </c>
      <c r="G8">
        <v>0</v>
      </c>
      <c r="H8">
        <v>0</v>
      </c>
      <c r="I8">
        <v>0</v>
      </c>
      <c r="J8">
        <v>0</v>
      </c>
      <c r="K8">
        <v>0</v>
      </c>
      <c r="L8">
        <v>0</v>
      </c>
      <c r="M8">
        <v>0</v>
      </c>
      <c r="N8">
        <v>0</v>
      </c>
      <c r="O8">
        <v>0</v>
      </c>
      <c r="P8">
        <v>0</v>
      </c>
      <c r="Q8">
        <v>0</v>
      </c>
      <c r="R8">
        <v>0</v>
      </c>
      <c r="S8">
        <v>0</v>
      </c>
      <c r="T8">
        <v>0</v>
      </c>
      <c r="U8">
        <v>0</v>
      </c>
      <c r="V8">
        <v>0</v>
      </c>
      <c r="W8">
        <v>0</v>
      </c>
      <c r="X8">
        <v>0</v>
      </c>
      <c r="Y8">
        <v>0</v>
      </c>
      <c r="Z8">
        <v>0</v>
      </c>
      <c r="AA8">
        <v>0</v>
      </c>
      <c r="AB8">
        <v>0</v>
      </c>
      <c r="AC8">
        <v>0</v>
      </c>
      <c r="AD8">
        <v>0</v>
      </c>
      <c r="AE8">
        <v>0</v>
      </c>
    </row>
    <row r="9" spans="1:35">
      <c r="A9" t="s">
        <v>82</v>
      </c>
      <c r="B9">
        <v>0</v>
      </c>
      <c r="C9">
        <v>0</v>
      </c>
      <c r="D9">
        <v>0</v>
      </c>
      <c r="E9">
        <v>0</v>
      </c>
      <c r="F9">
        <v>0</v>
      </c>
      <c r="G9">
        <v>0</v>
      </c>
      <c r="H9">
        <v>0</v>
      </c>
      <c r="I9">
        <v>0</v>
      </c>
      <c r="J9">
        <v>0</v>
      </c>
      <c r="K9">
        <v>0</v>
      </c>
      <c r="L9">
        <v>0</v>
      </c>
      <c r="M9">
        <v>0</v>
      </c>
      <c r="N9">
        <v>0</v>
      </c>
      <c r="O9">
        <v>0</v>
      </c>
      <c r="P9">
        <v>0</v>
      </c>
      <c r="Q9">
        <v>0</v>
      </c>
      <c r="R9">
        <v>0</v>
      </c>
      <c r="S9">
        <v>0</v>
      </c>
      <c r="T9">
        <v>0</v>
      </c>
      <c r="U9">
        <v>0</v>
      </c>
      <c r="V9">
        <v>0</v>
      </c>
      <c r="W9">
        <v>0</v>
      </c>
      <c r="X9">
        <v>0</v>
      </c>
      <c r="Y9">
        <v>0</v>
      </c>
      <c r="Z9">
        <v>0</v>
      </c>
      <c r="AA9">
        <v>0</v>
      </c>
      <c r="AB9">
        <v>0</v>
      </c>
      <c r="AC9">
        <v>0</v>
      </c>
      <c r="AD9">
        <v>0</v>
      </c>
      <c r="AE9">
        <v>0</v>
      </c>
    </row>
    <row r="10" spans="1:35">
      <c r="A10" t="s">
        <v>83</v>
      </c>
      <c r="B10">
        <v>0</v>
      </c>
      <c r="C10">
        <v>0</v>
      </c>
      <c r="D10">
        <v>0</v>
      </c>
      <c r="E10">
        <v>0</v>
      </c>
      <c r="F10">
        <v>0</v>
      </c>
      <c r="G10">
        <v>0</v>
      </c>
      <c r="H10">
        <v>0</v>
      </c>
      <c r="I10">
        <v>0</v>
      </c>
      <c r="J10">
        <v>0</v>
      </c>
      <c r="K10">
        <v>0</v>
      </c>
      <c r="L10">
        <v>0</v>
      </c>
      <c r="M10">
        <v>0</v>
      </c>
      <c r="N10">
        <v>0</v>
      </c>
      <c r="O10">
        <v>0</v>
      </c>
      <c r="P10">
        <v>0</v>
      </c>
      <c r="Q10">
        <v>0</v>
      </c>
      <c r="R10">
        <v>0</v>
      </c>
      <c r="S10">
        <v>0</v>
      </c>
      <c r="T10">
        <v>0</v>
      </c>
      <c r="U10">
        <v>0</v>
      </c>
      <c r="V10">
        <v>0</v>
      </c>
      <c r="W10">
        <v>0</v>
      </c>
      <c r="X10">
        <v>0</v>
      </c>
      <c r="Y10">
        <v>0</v>
      </c>
      <c r="Z10">
        <v>0</v>
      </c>
      <c r="AA10">
        <v>0</v>
      </c>
      <c r="AB10">
        <v>0</v>
      </c>
      <c r="AC10">
        <v>0</v>
      </c>
      <c r="AD10">
        <v>0</v>
      </c>
      <c r="AE10">
        <v>0</v>
      </c>
    </row>
    <row r="11" spans="1:35">
      <c r="A11" t="s">
        <v>84</v>
      </c>
      <c r="B11">
        <v>0</v>
      </c>
      <c r="C11">
        <v>0</v>
      </c>
      <c r="D11">
        <v>0</v>
      </c>
      <c r="E11">
        <v>0</v>
      </c>
      <c r="F11">
        <v>0</v>
      </c>
      <c r="G11">
        <v>0</v>
      </c>
      <c r="H11">
        <v>0</v>
      </c>
      <c r="I11">
        <v>0</v>
      </c>
      <c r="J11">
        <v>0</v>
      </c>
      <c r="K11">
        <v>0</v>
      </c>
      <c r="L11">
        <v>0</v>
      </c>
      <c r="M11">
        <v>0</v>
      </c>
      <c r="N11">
        <v>0</v>
      </c>
      <c r="O11">
        <v>0</v>
      </c>
      <c r="P11">
        <v>0</v>
      </c>
      <c r="Q11">
        <v>0</v>
      </c>
      <c r="R11">
        <v>0</v>
      </c>
      <c r="S11">
        <v>0</v>
      </c>
      <c r="T11">
        <v>0</v>
      </c>
      <c r="U11">
        <v>0</v>
      </c>
      <c r="V11">
        <v>0</v>
      </c>
      <c r="W11">
        <v>0</v>
      </c>
      <c r="X11">
        <v>0</v>
      </c>
      <c r="Y11">
        <v>0</v>
      </c>
      <c r="Z11">
        <v>0</v>
      </c>
      <c r="AA11">
        <v>0</v>
      </c>
      <c r="AB11">
        <v>0</v>
      </c>
      <c r="AC11">
        <v>0</v>
      </c>
      <c r="AD11">
        <v>0</v>
      </c>
      <c r="AE11">
        <v>0</v>
      </c>
    </row>
  </sheetData>
  <pageMargins left="0.7" right="0.7" top="0.75" bottom="0.75" header="0.3" footer="0.3"/>
  <ignoredErrors>
    <ignoredError sqref="B5:AE5" formulaRange="1"/>
  </ignoredErrors>
</worksheet>
</file>

<file path=xl/worksheets/sheet2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100-000000000000}">
  <sheetPr>
    <tabColor theme="3"/>
  </sheetPr>
  <dimension ref="A1:AC11"/>
  <sheetViews>
    <sheetView workbookViewId="0">
      <selection activeCell="A7" sqref="A7"/>
    </sheetView>
  </sheetViews>
  <sheetFormatPr defaultRowHeight="14.25"/>
  <cols>
    <col min="1" max="1" width="22.53125" customWidth="1"/>
  </cols>
  <sheetData>
    <row r="1" spans="1:29" ht="28.5">
      <c r="A1" s="10" t="s">
        <v>85</v>
      </c>
      <c r="B1">
        <f>'Biodiesel Fraction'!D6</f>
        <v>2023</v>
      </c>
      <c r="C1">
        <f>'Biodiesel Fraction'!E6</f>
        <v>2024</v>
      </c>
      <c r="D1">
        <f>'Biodiesel Fraction'!F6</f>
        <v>2025</v>
      </c>
      <c r="E1">
        <f>'Biodiesel Fraction'!G6</f>
        <v>2026</v>
      </c>
      <c r="F1">
        <f>'Biodiesel Fraction'!H6</f>
        <v>2027</v>
      </c>
      <c r="G1">
        <f>'Biodiesel Fraction'!I6</f>
        <v>2028</v>
      </c>
      <c r="H1">
        <f>'Biodiesel Fraction'!J6</f>
        <v>2029</v>
      </c>
      <c r="I1">
        <f>'Biodiesel Fraction'!K6</f>
        <v>2030</v>
      </c>
      <c r="J1">
        <f>'Biodiesel Fraction'!L6</f>
        <v>2031</v>
      </c>
      <c r="K1">
        <f>'Biodiesel Fraction'!M6</f>
        <v>2032</v>
      </c>
      <c r="L1">
        <f>'Biodiesel Fraction'!N6</f>
        <v>2033</v>
      </c>
      <c r="M1">
        <f>'Biodiesel Fraction'!O6</f>
        <v>2034</v>
      </c>
      <c r="N1">
        <f>'Biodiesel Fraction'!P6</f>
        <v>2035</v>
      </c>
      <c r="O1">
        <f>'Biodiesel Fraction'!Q6</f>
        <v>2036</v>
      </c>
      <c r="P1">
        <f>'Biodiesel Fraction'!R6</f>
        <v>2037</v>
      </c>
      <c r="Q1">
        <f>'Biodiesel Fraction'!S6</f>
        <v>2038</v>
      </c>
      <c r="R1">
        <f>'Biodiesel Fraction'!T6</f>
        <v>2039</v>
      </c>
      <c r="S1">
        <f>'Biodiesel Fraction'!U6</f>
        <v>2040</v>
      </c>
      <c r="T1">
        <f>'Biodiesel Fraction'!V6</f>
        <v>2041</v>
      </c>
      <c r="U1">
        <f>'Biodiesel Fraction'!W6</f>
        <v>2042</v>
      </c>
      <c r="V1">
        <f>'Biodiesel Fraction'!X6</f>
        <v>2043</v>
      </c>
      <c r="W1">
        <f>'Biodiesel Fraction'!Y6</f>
        <v>2044</v>
      </c>
      <c r="X1">
        <f>'Biodiesel Fraction'!Z6</f>
        <v>2045</v>
      </c>
      <c r="Y1">
        <f>'Biodiesel Fraction'!AA6</f>
        <v>2046</v>
      </c>
      <c r="Z1">
        <f>'Biodiesel Fraction'!AB6</f>
        <v>2047</v>
      </c>
      <c r="AA1">
        <f>'Biodiesel Fraction'!AC6</f>
        <v>2048</v>
      </c>
      <c r="AB1">
        <f>'Biodiesel Fraction'!AD6</f>
        <v>2049</v>
      </c>
      <c r="AC1">
        <f>'Biodiesel Fraction'!AE6</f>
        <v>2050</v>
      </c>
    </row>
    <row r="2" spans="1:29">
      <c r="A2" t="s">
        <v>15</v>
      </c>
      <c r="B2">
        <v>0</v>
      </c>
      <c r="C2">
        <v>0</v>
      </c>
      <c r="D2">
        <v>0</v>
      </c>
      <c r="E2">
        <v>0</v>
      </c>
      <c r="F2">
        <v>0</v>
      </c>
      <c r="G2">
        <v>0</v>
      </c>
      <c r="H2">
        <v>0</v>
      </c>
      <c r="I2">
        <v>0</v>
      </c>
      <c r="J2">
        <v>0</v>
      </c>
      <c r="K2">
        <v>0</v>
      </c>
      <c r="L2">
        <v>0</v>
      </c>
      <c r="M2">
        <v>0</v>
      </c>
      <c r="N2">
        <v>0</v>
      </c>
      <c r="O2">
        <v>0</v>
      </c>
      <c r="P2">
        <v>0</v>
      </c>
      <c r="Q2">
        <v>0</v>
      </c>
      <c r="R2">
        <v>0</v>
      </c>
      <c r="S2">
        <v>0</v>
      </c>
      <c r="T2">
        <v>0</v>
      </c>
      <c r="U2">
        <v>0</v>
      </c>
      <c r="V2">
        <v>0</v>
      </c>
      <c r="W2">
        <v>0</v>
      </c>
      <c r="X2">
        <v>0</v>
      </c>
      <c r="Y2">
        <v>0</v>
      </c>
      <c r="Z2">
        <v>0</v>
      </c>
      <c r="AA2">
        <v>0</v>
      </c>
      <c r="AB2">
        <v>0</v>
      </c>
      <c r="AC2">
        <v>0</v>
      </c>
    </row>
    <row r="3" spans="1:29">
      <c r="A3" t="s">
        <v>16</v>
      </c>
      <c r="B3">
        <v>0</v>
      </c>
      <c r="C3">
        <v>0</v>
      </c>
      <c r="D3">
        <v>0</v>
      </c>
      <c r="E3">
        <v>0</v>
      </c>
      <c r="F3">
        <v>0</v>
      </c>
      <c r="G3">
        <v>0</v>
      </c>
      <c r="H3">
        <v>0</v>
      </c>
      <c r="I3">
        <v>0</v>
      </c>
      <c r="J3">
        <v>0</v>
      </c>
      <c r="K3">
        <v>0</v>
      </c>
      <c r="L3">
        <v>0</v>
      </c>
      <c r="M3">
        <v>0</v>
      </c>
      <c r="N3">
        <v>0</v>
      </c>
      <c r="O3">
        <v>0</v>
      </c>
      <c r="P3">
        <v>0</v>
      </c>
      <c r="Q3">
        <v>0</v>
      </c>
      <c r="R3">
        <v>0</v>
      </c>
      <c r="S3">
        <v>0</v>
      </c>
      <c r="T3">
        <v>0</v>
      </c>
      <c r="U3">
        <v>0</v>
      </c>
      <c r="V3">
        <v>0</v>
      </c>
      <c r="W3">
        <v>0</v>
      </c>
      <c r="X3">
        <v>0</v>
      </c>
      <c r="Y3">
        <v>0</v>
      </c>
      <c r="Z3">
        <v>0</v>
      </c>
      <c r="AA3">
        <v>0</v>
      </c>
      <c r="AB3">
        <v>0</v>
      </c>
      <c r="AC3">
        <v>0</v>
      </c>
    </row>
    <row r="4" spans="1:29">
      <c r="A4" t="s">
        <v>17</v>
      </c>
      <c r="B4">
        <v>0</v>
      </c>
      <c r="C4">
        <v>0</v>
      </c>
      <c r="D4">
        <v>0</v>
      </c>
      <c r="E4">
        <v>0</v>
      </c>
      <c r="F4">
        <v>0</v>
      </c>
      <c r="G4">
        <v>0</v>
      </c>
      <c r="H4">
        <v>0</v>
      </c>
      <c r="I4">
        <v>0</v>
      </c>
      <c r="J4">
        <v>0</v>
      </c>
      <c r="K4">
        <v>0</v>
      </c>
      <c r="L4">
        <v>0</v>
      </c>
      <c r="M4">
        <v>0</v>
      </c>
      <c r="N4">
        <v>0</v>
      </c>
      <c r="O4">
        <v>0</v>
      </c>
      <c r="P4">
        <v>0</v>
      </c>
      <c r="Q4">
        <v>0</v>
      </c>
      <c r="R4">
        <v>0</v>
      </c>
      <c r="S4">
        <v>0</v>
      </c>
      <c r="T4">
        <v>0</v>
      </c>
      <c r="U4">
        <v>0</v>
      </c>
      <c r="V4">
        <v>0</v>
      </c>
      <c r="W4">
        <v>0</v>
      </c>
      <c r="X4">
        <v>0</v>
      </c>
      <c r="Y4">
        <v>0</v>
      </c>
      <c r="Z4">
        <v>0</v>
      </c>
      <c r="AA4">
        <v>0</v>
      </c>
      <c r="AB4">
        <v>0</v>
      </c>
      <c r="AC4">
        <v>0</v>
      </c>
    </row>
    <row r="5" spans="1:29">
      <c r="A5" t="s">
        <v>18</v>
      </c>
      <c r="B5">
        <f>IF('Biodiesel Fraction'!$B19,1-'Biodiesel Fraction'!B30,1)</f>
        <v>0.96756119768275339</v>
      </c>
      <c r="C5">
        <f>IF('Biodiesel Fraction'!$B19,1-'Biodiesel Fraction'!C30,1)</f>
        <v>0.96041416638410693</v>
      </c>
      <c r="D5">
        <f>IF('Biodiesel Fraction'!$B19,1-'Biodiesel Fraction'!D30,1)</f>
        <v>0.97373256429929333</v>
      </c>
      <c r="E5">
        <f>IF('Biodiesel Fraction'!$B19,1-'Biodiesel Fraction'!E30,1)</f>
        <v>0.96837869027778645</v>
      </c>
      <c r="F5">
        <f>IF('Biodiesel Fraction'!$B19,1-'Biodiesel Fraction'!F30,1)</f>
        <v>0.96966376381580111</v>
      </c>
      <c r="G5">
        <f>IF('Biodiesel Fraction'!$B19,1-'Biodiesel Fraction'!G30,1)</f>
        <v>0.96865854353538616</v>
      </c>
      <c r="H5">
        <f>IF('Biodiesel Fraction'!$B19,1-'Biodiesel Fraction'!H30,1)</f>
        <v>0.96792764653725427</v>
      </c>
      <c r="I5">
        <f>IF('Biodiesel Fraction'!$B19,1-'Biodiesel Fraction'!I30,1)</f>
        <v>0.97331643318672201</v>
      </c>
      <c r="J5">
        <f>IF('Biodiesel Fraction'!$B19,1-'Biodiesel Fraction'!J30,1)</f>
        <v>0.9718891175234271</v>
      </c>
      <c r="K5">
        <f>IF('Biodiesel Fraction'!$B19,1-'Biodiesel Fraction'!K30,1)</f>
        <v>0.97112755680124419</v>
      </c>
      <c r="L5">
        <f>IF('Biodiesel Fraction'!$B19,1-'Biodiesel Fraction'!L30,1)</f>
        <v>0.96953215672773896</v>
      </c>
      <c r="M5">
        <f>IF('Biodiesel Fraction'!$B19,1-'Biodiesel Fraction'!M30,1)</f>
        <v>0.96878215000290413</v>
      </c>
      <c r="N5">
        <f>IF('Biodiesel Fraction'!$B19,1-'Biodiesel Fraction'!N30,1)</f>
        <v>0.96812465179023832</v>
      </c>
      <c r="O5">
        <f>IF('Biodiesel Fraction'!$B19,1-'Biodiesel Fraction'!O30,1)</f>
        <v>0.96986559390838423</v>
      </c>
      <c r="P5">
        <f>IF('Biodiesel Fraction'!$B19,1-'Biodiesel Fraction'!P30,1)</f>
        <v>0.96826904520338963</v>
      </c>
      <c r="Q5">
        <f>IF('Biodiesel Fraction'!$B19,1-'Biodiesel Fraction'!Q30,1)</f>
        <v>0.96839488555451003</v>
      </c>
      <c r="R5">
        <f>IF('Biodiesel Fraction'!$B19,1-'Biodiesel Fraction'!R30,1)</f>
        <v>0.96870670002527937</v>
      </c>
      <c r="S5">
        <f>IF('Biodiesel Fraction'!$B19,1-'Biodiesel Fraction'!S30,1)</f>
        <v>0.96905933663555699</v>
      </c>
      <c r="T5">
        <f>IF('Biodiesel Fraction'!$B19,1-'Biodiesel Fraction'!T30,1)</f>
        <v>0.96946160326764974</v>
      </c>
      <c r="U5">
        <f>IF('Biodiesel Fraction'!$B19,1-'Biodiesel Fraction'!U30,1)</f>
        <v>0.96987423251102012</v>
      </c>
      <c r="V5">
        <f>IF('Biodiesel Fraction'!$B19,1-'Biodiesel Fraction'!V30,1)</f>
        <v>0.97031048712680901</v>
      </c>
      <c r="W5">
        <f>IF('Biodiesel Fraction'!$B19,1-'Biodiesel Fraction'!W30,1)</f>
        <v>0.97078974782181038</v>
      </c>
      <c r="X5">
        <f>IF('Biodiesel Fraction'!$B19,1-'Biodiesel Fraction'!X30,1)</f>
        <v>0.97134811027621315</v>
      </c>
      <c r="Y5">
        <f>IF('Biodiesel Fraction'!$B19,1-'Biodiesel Fraction'!Y30,1)</f>
        <v>0.97195157869542803</v>
      </c>
      <c r="Z5">
        <f>IF('Biodiesel Fraction'!$B19,1-'Biodiesel Fraction'!Z30,1)</f>
        <v>0.97249434040966198</v>
      </c>
      <c r="AA5">
        <f>IF('Biodiesel Fraction'!$B19,1-'Biodiesel Fraction'!AA30,1)</f>
        <v>0.97312409878794037</v>
      </c>
      <c r="AB5">
        <f>IF('Biodiesel Fraction'!$B19,1-'Biodiesel Fraction'!AB30,1)</f>
        <v>0.97379379073714167</v>
      </c>
      <c r="AC5">
        <f>IF('Biodiesel Fraction'!$B19,1-'Biodiesel Fraction'!AC30,1)</f>
        <v>0.97448716941846381</v>
      </c>
    </row>
    <row r="6" spans="1:29">
      <c r="A6" t="s">
        <v>19</v>
      </c>
      <c r="B6">
        <v>0</v>
      </c>
      <c r="C6">
        <v>0</v>
      </c>
      <c r="D6">
        <v>0</v>
      </c>
      <c r="E6">
        <v>0</v>
      </c>
      <c r="F6">
        <v>0</v>
      </c>
      <c r="G6">
        <v>0</v>
      </c>
      <c r="H6">
        <v>0</v>
      </c>
      <c r="I6">
        <v>0</v>
      </c>
      <c r="J6">
        <v>0</v>
      </c>
      <c r="K6">
        <v>0</v>
      </c>
      <c r="L6">
        <v>0</v>
      </c>
      <c r="M6">
        <v>0</v>
      </c>
      <c r="N6">
        <v>0</v>
      </c>
      <c r="O6">
        <v>0</v>
      </c>
      <c r="P6">
        <v>0</v>
      </c>
      <c r="Q6">
        <v>0</v>
      </c>
      <c r="R6">
        <v>0</v>
      </c>
      <c r="S6">
        <v>0</v>
      </c>
      <c r="T6">
        <v>0</v>
      </c>
      <c r="U6">
        <v>0</v>
      </c>
      <c r="V6">
        <v>0</v>
      </c>
      <c r="W6">
        <v>0</v>
      </c>
      <c r="X6">
        <v>0</v>
      </c>
      <c r="Y6">
        <v>0</v>
      </c>
      <c r="Z6">
        <v>0</v>
      </c>
      <c r="AA6">
        <v>0</v>
      </c>
      <c r="AB6">
        <v>0</v>
      </c>
      <c r="AC6">
        <v>0</v>
      </c>
    </row>
    <row r="7" spans="1:29">
      <c r="A7" t="s">
        <v>21</v>
      </c>
      <c r="B7">
        <f>IF('Biodiesel Fraction'!$B19,'Biodiesel Fraction'!B30,0)</f>
        <v>3.2438802317246634E-2</v>
      </c>
      <c r="C7">
        <f>IF('Biodiesel Fraction'!$B19,'Biodiesel Fraction'!C30,0)</f>
        <v>3.9585833615893101E-2</v>
      </c>
      <c r="D7">
        <f>IF('Biodiesel Fraction'!$B19,'Biodiesel Fraction'!D30,0)</f>
        <v>2.6267435700706714E-2</v>
      </c>
      <c r="E7">
        <f>IF('Biodiesel Fraction'!$B19,'Biodiesel Fraction'!E30,0)</f>
        <v>3.1621309722213581E-2</v>
      </c>
      <c r="F7">
        <f>IF('Biodiesel Fraction'!$B19,'Biodiesel Fraction'!F30,0)</f>
        <v>3.033623618419894E-2</v>
      </c>
      <c r="G7">
        <f>IF('Biodiesel Fraction'!$B19,'Biodiesel Fraction'!G30,0)</f>
        <v>3.1341456464613789E-2</v>
      </c>
      <c r="H7">
        <f>IF('Biodiesel Fraction'!$B19,'Biodiesel Fraction'!H30,0)</f>
        <v>3.2072353462745715E-2</v>
      </c>
      <c r="I7">
        <f>IF('Biodiesel Fraction'!$B19,'Biodiesel Fraction'!I30,0)</f>
        <v>2.6683566813277972E-2</v>
      </c>
      <c r="J7">
        <f>IF('Biodiesel Fraction'!$B19,'Biodiesel Fraction'!J30,0)</f>
        <v>2.8110882476572851E-2</v>
      </c>
      <c r="K7">
        <f>IF('Biodiesel Fraction'!$B19,'Biodiesel Fraction'!K30,0)</f>
        <v>2.8872443198755857E-2</v>
      </c>
      <c r="L7">
        <f>IF('Biodiesel Fraction'!$B19,'Biodiesel Fraction'!L30,0)</f>
        <v>3.046784327226101E-2</v>
      </c>
      <c r="M7">
        <f>IF('Biodiesel Fraction'!$B19,'Biodiesel Fraction'!M30,0)</f>
        <v>3.1217849997095815E-2</v>
      </c>
      <c r="N7">
        <f>IF('Biodiesel Fraction'!$B19,'Biodiesel Fraction'!N30,0)</f>
        <v>3.1875348209761699E-2</v>
      </c>
      <c r="O7">
        <f>IF('Biodiesel Fraction'!$B19,'Biodiesel Fraction'!O30,0)</f>
        <v>3.0134406091615811E-2</v>
      </c>
      <c r="P7">
        <f>IF('Biodiesel Fraction'!$B19,'Biodiesel Fraction'!P30,0)</f>
        <v>3.1730954796610401E-2</v>
      </c>
      <c r="Q7">
        <f>IF('Biodiesel Fraction'!$B19,'Biodiesel Fraction'!Q30,0)</f>
        <v>3.1605114445489989E-2</v>
      </c>
      <c r="R7">
        <f>IF('Biodiesel Fraction'!$B19,'Biodiesel Fraction'!R30,0)</f>
        <v>3.1293299974720641E-2</v>
      </c>
      <c r="S7">
        <f>IF('Biodiesel Fraction'!$B19,'Biodiesel Fraction'!S30,0)</f>
        <v>3.0940663364443025E-2</v>
      </c>
      <c r="T7">
        <f>IF('Biodiesel Fraction'!$B19,'Biodiesel Fraction'!T30,0)</f>
        <v>3.0538396732350235E-2</v>
      </c>
      <c r="U7">
        <f>IF('Biodiesel Fraction'!$B19,'Biodiesel Fraction'!U30,0)</f>
        <v>3.0125767488979882E-2</v>
      </c>
      <c r="V7">
        <f>IF('Biodiesel Fraction'!$B19,'Biodiesel Fraction'!V30,0)</f>
        <v>2.9689512873191E-2</v>
      </c>
      <c r="W7">
        <f>IF('Biodiesel Fraction'!$B19,'Biodiesel Fraction'!W30,0)</f>
        <v>2.9210252178189615E-2</v>
      </c>
      <c r="X7">
        <f>IF('Biodiesel Fraction'!$B19,'Biodiesel Fraction'!X30,0)</f>
        <v>2.8651889723786874E-2</v>
      </c>
      <c r="Y7">
        <f>IF('Biodiesel Fraction'!$B19,'Biodiesel Fraction'!Y30,0)</f>
        <v>2.8048421304572007E-2</v>
      </c>
      <c r="Z7">
        <f>IF('Biodiesel Fraction'!$B19,'Biodiesel Fraction'!Z30,0)</f>
        <v>2.7505659590338054E-2</v>
      </c>
      <c r="AA7">
        <f>IF('Biodiesel Fraction'!$B19,'Biodiesel Fraction'!AA30,0)</f>
        <v>2.6875901212059638E-2</v>
      </c>
      <c r="AB7">
        <f>IF('Biodiesel Fraction'!$B19,'Biodiesel Fraction'!AB30,0)</f>
        <v>2.6206209262858382E-2</v>
      </c>
      <c r="AC7">
        <f>IF('Biodiesel Fraction'!$B19,'Biodiesel Fraction'!AC30,0)</f>
        <v>2.5512830581536149E-2</v>
      </c>
    </row>
    <row r="8" spans="1:29">
      <c r="A8" t="s">
        <v>20</v>
      </c>
      <c r="B8">
        <v>0</v>
      </c>
      <c r="C8">
        <v>0</v>
      </c>
      <c r="D8">
        <v>0</v>
      </c>
      <c r="E8">
        <v>0</v>
      </c>
      <c r="F8">
        <v>0</v>
      </c>
      <c r="G8">
        <v>0</v>
      </c>
      <c r="H8">
        <v>0</v>
      </c>
      <c r="I8">
        <v>0</v>
      </c>
      <c r="J8">
        <v>0</v>
      </c>
      <c r="K8">
        <v>0</v>
      </c>
      <c r="L8">
        <v>0</v>
      </c>
      <c r="M8">
        <v>0</v>
      </c>
      <c r="N8">
        <v>0</v>
      </c>
      <c r="O8">
        <v>0</v>
      </c>
      <c r="P8">
        <v>0</v>
      </c>
      <c r="Q8">
        <v>0</v>
      </c>
      <c r="R8">
        <v>0</v>
      </c>
      <c r="S8">
        <v>0</v>
      </c>
      <c r="T8">
        <v>0</v>
      </c>
      <c r="U8">
        <v>0</v>
      </c>
      <c r="V8">
        <v>0</v>
      </c>
      <c r="W8">
        <v>0</v>
      </c>
      <c r="X8">
        <v>0</v>
      </c>
      <c r="Y8">
        <v>0</v>
      </c>
      <c r="Z8">
        <v>0</v>
      </c>
      <c r="AA8">
        <v>0</v>
      </c>
      <c r="AB8">
        <v>0</v>
      </c>
      <c r="AC8">
        <v>0</v>
      </c>
    </row>
    <row r="9" spans="1:29">
      <c r="A9" t="s">
        <v>82</v>
      </c>
      <c r="B9">
        <v>0</v>
      </c>
      <c r="C9">
        <v>0</v>
      </c>
      <c r="D9">
        <v>0</v>
      </c>
      <c r="E9">
        <v>0</v>
      </c>
      <c r="F9">
        <v>0</v>
      </c>
      <c r="G9">
        <v>0</v>
      </c>
      <c r="H9">
        <v>0</v>
      </c>
      <c r="I9">
        <v>0</v>
      </c>
      <c r="J9">
        <v>0</v>
      </c>
      <c r="K9">
        <v>0</v>
      </c>
      <c r="L9">
        <v>0</v>
      </c>
      <c r="M9">
        <v>0</v>
      </c>
      <c r="N9">
        <v>0</v>
      </c>
      <c r="O9">
        <v>0</v>
      </c>
      <c r="P9">
        <v>0</v>
      </c>
      <c r="Q9">
        <v>0</v>
      </c>
      <c r="R9">
        <v>0</v>
      </c>
      <c r="S9">
        <v>0</v>
      </c>
      <c r="T9">
        <v>0</v>
      </c>
      <c r="U9">
        <v>0</v>
      </c>
      <c r="V9">
        <v>0</v>
      </c>
      <c r="W9">
        <v>0</v>
      </c>
      <c r="X9">
        <v>0</v>
      </c>
      <c r="Y9">
        <v>0</v>
      </c>
      <c r="Z9">
        <v>0</v>
      </c>
      <c r="AA9">
        <v>0</v>
      </c>
      <c r="AB9">
        <v>0</v>
      </c>
      <c r="AC9">
        <v>0</v>
      </c>
    </row>
    <row r="10" spans="1:29">
      <c r="A10" t="s">
        <v>83</v>
      </c>
      <c r="B10">
        <v>0</v>
      </c>
      <c r="C10">
        <v>0</v>
      </c>
      <c r="D10">
        <v>0</v>
      </c>
      <c r="E10">
        <v>0</v>
      </c>
      <c r="F10">
        <v>0</v>
      </c>
      <c r="G10">
        <v>0</v>
      </c>
      <c r="H10">
        <v>0</v>
      </c>
      <c r="I10">
        <v>0</v>
      </c>
      <c r="J10">
        <v>0</v>
      </c>
      <c r="K10">
        <v>0</v>
      </c>
      <c r="L10">
        <v>0</v>
      </c>
      <c r="M10">
        <v>0</v>
      </c>
      <c r="N10">
        <v>0</v>
      </c>
      <c r="O10">
        <v>0</v>
      </c>
      <c r="P10">
        <v>0</v>
      </c>
      <c r="Q10">
        <v>0</v>
      </c>
      <c r="R10">
        <v>0</v>
      </c>
      <c r="S10">
        <v>0</v>
      </c>
      <c r="T10">
        <v>0</v>
      </c>
      <c r="U10">
        <v>0</v>
      </c>
      <c r="V10">
        <v>0</v>
      </c>
      <c r="W10">
        <v>0</v>
      </c>
      <c r="X10">
        <v>0</v>
      </c>
      <c r="Y10">
        <v>0</v>
      </c>
      <c r="Z10">
        <v>0</v>
      </c>
      <c r="AA10">
        <v>0</v>
      </c>
      <c r="AB10">
        <v>0</v>
      </c>
      <c r="AC10">
        <v>0</v>
      </c>
    </row>
    <row r="11" spans="1:29">
      <c r="A11" t="s">
        <v>84</v>
      </c>
      <c r="B11">
        <v>0</v>
      </c>
      <c r="C11">
        <v>0</v>
      </c>
      <c r="D11">
        <v>0</v>
      </c>
      <c r="E11">
        <v>0</v>
      </c>
      <c r="F11">
        <v>0</v>
      </c>
      <c r="G11">
        <v>0</v>
      </c>
      <c r="H11">
        <v>0</v>
      </c>
      <c r="I11">
        <v>0</v>
      </c>
      <c r="J11">
        <v>0</v>
      </c>
      <c r="K11">
        <v>0</v>
      </c>
      <c r="L11">
        <v>0</v>
      </c>
      <c r="M11">
        <v>0</v>
      </c>
      <c r="N11">
        <v>0</v>
      </c>
      <c r="O11">
        <v>0</v>
      </c>
      <c r="P11">
        <v>0</v>
      </c>
      <c r="Q11">
        <v>0</v>
      </c>
      <c r="R11">
        <v>0</v>
      </c>
      <c r="S11">
        <v>0</v>
      </c>
      <c r="T11">
        <v>0</v>
      </c>
      <c r="U11">
        <v>0</v>
      </c>
      <c r="V11">
        <v>0</v>
      </c>
      <c r="W11">
        <v>0</v>
      </c>
      <c r="X11">
        <v>0</v>
      </c>
      <c r="Y11">
        <v>0</v>
      </c>
      <c r="Z11">
        <v>0</v>
      </c>
      <c r="AA11">
        <v>0</v>
      </c>
      <c r="AB11">
        <v>0</v>
      </c>
      <c r="AC11">
        <v>0</v>
      </c>
    </row>
  </sheetData>
  <pageMargins left="0.7" right="0.7" top="0.75" bottom="0.75" header="0.3" footer="0.3"/>
</worksheet>
</file>

<file path=xl/worksheets/sheet2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200-000000000000}">
  <sheetPr>
    <tabColor theme="3"/>
  </sheetPr>
  <dimension ref="A1:AI11"/>
  <sheetViews>
    <sheetView workbookViewId="0">
      <selection activeCell="B2" sqref="B2"/>
    </sheetView>
  </sheetViews>
  <sheetFormatPr defaultRowHeight="14.25"/>
  <cols>
    <col min="1" max="1" width="22.53125" customWidth="1"/>
  </cols>
  <sheetData>
    <row r="1" spans="1:35" ht="28.5">
      <c r="A1" s="10" t="s">
        <v>85</v>
      </c>
      <c r="B1">
        <v>2021</v>
      </c>
      <c r="C1">
        <v>2022</v>
      </c>
      <c r="D1">
        <v>2023</v>
      </c>
      <c r="E1">
        <v>2024</v>
      </c>
      <c r="F1">
        <v>2025</v>
      </c>
      <c r="G1">
        <v>2026</v>
      </c>
      <c r="H1">
        <v>2027</v>
      </c>
      <c r="I1">
        <v>2028</v>
      </c>
      <c r="J1">
        <v>2029</v>
      </c>
      <c r="K1">
        <v>2030</v>
      </c>
      <c r="L1">
        <v>2031</v>
      </c>
      <c r="M1">
        <v>2032</v>
      </c>
      <c r="N1">
        <v>2033</v>
      </c>
      <c r="O1">
        <v>2034</v>
      </c>
      <c r="P1">
        <v>2035</v>
      </c>
      <c r="Q1">
        <v>2036</v>
      </c>
      <c r="R1">
        <v>2037</v>
      </c>
      <c r="S1">
        <v>2038</v>
      </c>
      <c r="T1">
        <v>2039</v>
      </c>
      <c r="U1">
        <v>2040</v>
      </c>
      <c r="V1">
        <v>2041</v>
      </c>
      <c r="W1">
        <v>2042</v>
      </c>
      <c r="X1">
        <v>2043</v>
      </c>
      <c r="Y1">
        <v>2044</v>
      </c>
      <c r="Z1">
        <v>2045</v>
      </c>
      <c r="AA1">
        <v>2046</v>
      </c>
      <c r="AB1">
        <v>2047</v>
      </c>
      <c r="AC1">
        <v>2048</v>
      </c>
      <c r="AD1">
        <v>2049</v>
      </c>
      <c r="AE1">
        <v>2050</v>
      </c>
    </row>
    <row r="2" spans="1:35">
      <c r="A2" t="s">
        <v>15</v>
      </c>
      <c r="B2">
        <f>'Plug-in Hybrid Elec Fraction'!$A5</f>
        <v>0.55000000000000004</v>
      </c>
      <c r="C2">
        <f>'Plug-in Hybrid Elec Fraction'!$A5</f>
        <v>0.55000000000000004</v>
      </c>
      <c r="D2">
        <f>'Plug-in Hybrid Elec Fraction'!$A5</f>
        <v>0.55000000000000004</v>
      </c>
      <c r="E2">
        <f>'Plug-in Hybrid Elec Fraction'!$A5</f>
        <v>0.55000000000000004</v>
      </c>
      <c r="F2">
        <f>'Plug-in Hybrid Elec Fraction'!$A5</f>
        <v>0.55000000000000004</v>
      </c>
      <c r="G2">
        <f>'Plug-in Hybrid Elec Fraction'!$A5</f>
        <v>0.55000000000000004</v>
      </c>
      <c r="H2">
        <f>'Plug-in Hybrid Elec Fraction'!$A5</f>
        <v>0.55000000000000004</v>
      </c>
      <c r="I2">
        <f>'Plug-in Hybrid Elec Fraction'!$A5</f>
        <v>0.55000000000000004</v>
      </c>
      <c r="J2">
        <f>'Plug-in Hybrid Elec Fraction'!$A5</f>
        <v>0.55000000000000004</v>
      </c>
      <c r="K2">
        <f>'Plug-in Hybrid Elec Fraction'!$A5</f>
        <v>0.55000000000000004</v>
      </c>
      <c r="L2">
        <f>'Plug-in Hybrid Elec Fraction'!$A5</f>
        <v>0.55000000000000004</v>
      </c>
      <c r="M2">
        <f>'Plug-in Hybrid Elec Fraction'!$A5</f>
        <v>0.55000000000000004</v>
      </c>
      <c r="N2">
        <f>'Plug-in Hybrid Elec Fraction'!$A5</f>
        <v>0.55000000000000004</v>
      </c>
      <c r="O2">
        <f>'Plug-in Hybrid Elec Fraction'!$A5</f>
        <v>0.55000000000000004</v>
      </c>
      <c r="P2">
        <f>'Plug-in Hybrid Elec Fraction'!$A5</f>
        <v>0.55000000000000004</v>
      </c>
      <c r="Q2">
        <f>'Plug-in Hybrid Elec Fraction'!$A5</f>
        <v>0.55000000000000004</v>
      </c>
      <c r="R2">
        <f>'Plug-in Hybrid Elec Fraction'!$A5</f>
        <v>0.55000000000000004</v>
      </c>
      <c r="S2">
        <f>'Plug-in Hybrid Elec Fraction'!$A5</f>
        <v>0.55000000000000004</v>
      </c>
      <c r="T2">
        <f>'Plug-in Hybrid Elec Fraction'!$A5</f>
        <v>0.55000000000000004</v>
      </c>
      <c r="U2">
        <f>'Plug-in Hybrid Elec Fraction'!$A5</f>
        <v>0.55000000000000004</v>
      </c>
      <c r="V2">
        <f>'Plug-in Hybrid Elec Fraction'!$A5</f>
        <v>0.55000000000000004</v>
      </c>
      <c r="W2">
        <f>'Plug-in Hybrid Elec Fraction'!$A5</f>
        <v>0.55000000000000004</v>
      </c>
      <c r="X2">
        <f>'Plug-in Hybrid Elec Fraction'!$A5</f>
        <v>0.55000000000000004</v>
      </c>
      <c r="Y2">
        <f>'Plug-in Hybrid Elec Fraction'!$A5</f>
        <v>0.55000000000000004</v>
      </c>
      <c r="Z2">
        <f>'Plug-in Hybrid Elec Fraction'!$A5</f>
        <v>0.55000000000000004</v>
      </c>
      <c r="AA2">
        <f>'Plug-in Hybrid Elec Fraction'!$A5</f>
        <v>0.55000000000000004</v>
      </c>
      <c r="AB2">
        <f>'Plug-in Hybrid Elec Fraction'!$A5</f>
        <v>0.55000000000000004</v>
      </c>
      <c r="AC2">
        <f>'Plug-in Hybrid Elec Fraction'!$A5</f>
        <v>0.55000000000000004</v>
      </c>
      <c r="AD2">
        <f>'Plug-in Hybrid Elec Fraction'!$A5</f>
        <v>0.55000000000000004</v>
      </c>
      <c r="AE2">
        <f>'Plug-in Hybrid Elec Fraction'!$A5</f>
        <v>0.55000000000000004</v>
      </c>
    </row>
    <row r="3" spans="1:35">
      <c r="A3" t="s">
        <v>16</v>
      </c>
      <c r="B3">
        <v>0</v>
      </c>
      <c r="C3">
        <v>0</v>
      </c>
      <c r="D3">
        <v>0</v>
      </c>
      <c r="E3">
        <v>0</v>
      </c>
      <c r="F3">
        <v>0</v>
      </c>
      <c r="G3">
        <v>0</v>
      </c>
      <c r="H3">
        <v>0</v>
      </c>
      <c r="I3">
        <v>0</v>
      </c>
      <c r="J3">
        <v>0</v>
      </c>
      <c r="K3">
        <v>0</v>
      </c>
      <c r="L3">
        <v>0</v>
      </c>
      <c r="M3">
        <v>0</v>
      </c>
      <c r="N3">
        <v>0</v>
      </c>
      <c r="O3">
        <v>0</v>
      </c>
      <c r="P3">
        <v>0</v>
      </c>
      <c r="Q3">
        <v>0</v>
      </c>
      <c r="R3">
        <v>0</v>
      </c>
      <c r="S3">
        <v>0</v>
      </c>
      <c r="T3">
        <v>0</v>
      </c>
      <c r="U3">
        <v>0</v>
      </c>
      <c r="V3">
        <v>0</v>
      </c>
      <c r="W3">
        <v>0</v>
      </c>
      <c r="X3">
        <v>0</v>
      </c>
      <c r="Y3">
        <v>0</v>
      </c>
      <c r="Z3">
        <v>0</v>
      </c>
      <c r="AA3">
        <v>0</v>
      </c>
      <c r="AB3">
        <v>0</v>
      </c>
      <c r="AC3">
        <v>0</v>
      </c>
      <c r="AD3">
        <v>0</v>
      </c>
      <c r="AE3">
        <v>0</v>
      </c>
    </row>
    <row r="4" spans="1:35">
      <c r="A4" t="s">
        <v>17</v>
      </c>
      <c r="B4" s="2">
        <f>1-B2-B6</f>
        <v>0.41719740551191759</v>
      </c>
      <c r="C4" s="2">
        <f>$B$4</f>
        <v>0.41719740551191759</v>
      </c>
      <c r="D4" s="2">
        <f t="shared" ref="D4:AE4" si="0">$B$4</f>
        <v>0.41719740551191759</v>
      </c>
      <c r="E4" s="2">
        <f t="shared" si="0"/>
        <v>0.41719740551191759</v>
      </c>
      <c r="F4" s="2">
        <f t="shared" si="0"/>
        <v>0.41719740551191759</v>
      </c>
      <c r="G4" s="2">
        <f t="shared" si="0"/>
        <v>0.41719740551191759</v>
      </c>
      <c r="H4" s="2">
        <f t="shared" si="0"/>
        <v>0.41719740551191759</v>
      </c>
      <c r="I4" s="2">
        <f t="shared" si="0"/>
        <v>0.41719740551191759</v>
      </c>
      <c r="J4" s="2">
        <f t="shared" si="0"/>
        <v>0.41719740551191759</v>
      </c>
      <c r="K4" s="2">
        <f t="shared" si="0"/>
        <v>0.41719740551191759</v>
      </c>
      <c r="L4" s="2">
        <f t="shared" si="0"/>
        <v>0.41719740551191759</v>
      </c>
      <c r="M4" s="2">
        <f t="shared" si="0"/>
        <v>0.41719740551191759</v>
      </c>
      <c r="N4" s="2">
        <f t="shared" si="0"/>
        <v>0.41719740551191759</v>
      </c>
      <c r="O4" s="2">
        <f t="shared" si="0"/>
        <v>0.41719740551191759</v>
      </c>
      <c r="P4" s="2">
        <f t="shared" si="0"/>
        <v>0.41719740551191759</v>
      </c>
      <c r="Q4" s="2">
        <f t="shared" si="0"/>
        <v>0.41719740551191759</v>
      </c>
      <c r="R4" s="2">
        <f t="shared" si="0"/>
        <v>0.41719740551191759</v>
      </c>
      <c r="S4" s="2">
        <f t="shared" si="0"/>
        <v>0.41719740551191759</v>
      </c>
      <c r="T4" s="2">
        <f t="shared" si="0"/>
        <v>0.41719740551191759</v>
      </c>
      <c r="U4" s="2">
        <f t="shared" si="0"/>
        <v>0.41719740551191759</v>
      </c>
      <c r="V4" s="2">
        <f t="shared" si="0"/>
        <v>0.41719740551191759</v>
      </c>
      <c r="W4" s="2">
        <f t="shared" si="0"/>
        <v>0.41719740551191759</v>
      </c>
      <c r="X4" s="2">
        <f t="shared" si="0"/>
        <v>0.41719740551191759</v>
      </c>
      <c r="Y4" s="2">
        <f t="shared" si="0"/>
        <v>0.41719740551191759</v>
      </c>
      <c r="Z4" s="2">
        <f t="shared" si="0"/>
        <v>0.41719740551191759</v>
      </c>
      <c r="AA4" s="2">
        <f t="shared" si="0"/>
        <v>0.41719740551191759</v>
      </c>
      <c r="AB4" s="2">
        <f t="shared" si="0"/>
        <v>0.41719740551191759</v>
      </c>
      <c r="AC4" s="2">
        <f t="shared" si="0"/>
        <v>0.41719740551191759</v>
      </c>
      <c r="AD4" s="2">
        <f t="shared" si="0"/>
        <v>0.41719740551191759</v>
      </c>
      <c r="AE4" s="2">
        <f t="shared" si="0"/>
        <v>0.41719740551191759</v>
      </c>
      <c r="AF4" s="2"/>
      <c r="AG4" s="2"/>
      <c r="AH4" s="2"/>
      <c r="AI4" s="2"/>
    </row>
    <row r="5" spans="1:35">
      <c r="A5" t="s">
        <v>18</v>
      </c>
      <c r="B5">
        <v>0</v>
      </c>
      <c r="C5">
        <v>0</v>
      </c>
      <c r="D5">
        <v>0</v>
      </c>
      <c r="E5">
        <v>0</v>
      </c>
      <c r="F5">
        <v>0</v>
      </c>
      <c r="G5">
        <v>0</v>
      </c>
      <c r="H5">
        <v>0</v>
      </c>
      <c r="I5">
        <v>0</v>
      </c>
      <c r="J5">
        <v>0</v>
      </c>
      <c r="K5">
        <v>0</v>
      </c>
      <c r="L5">
        <v>0</v>
      </c>
      <c r="M5">
        <v>0</v>
      </c>
      <c r="N5">
        <v>0</v>
      </c>
      <c r="O5">
        <v>0</v>
      </c>
      <c r="P5">
        <v>0</v>
      </c>
      <c r="Q5">
        <v>0</v>
      </c>
      <c r="R5">
        <v>0</v>
      </c>
      <c r="S5">
        <v>0</v>
      </c>
      <c r="T5">
        <v>0</v>
      </c>
      <c r="U5">
        <v>0</v>
      </c>
      <c r="V5">
        <v>0</v>
      </c>
      <c r="W5">
        <v>0</v>
      </c>
      <c r="X5">
        <v>0</v>
      </c>
      <c r="Y5">
        <v>0</v>
      </c>
      <c r="Z5">
        <v>0</v>
      </c>
      <c r="AA5">
        <v>0</v>
      </c>
      <c r="AB5">
        <v>0</v>
      </c>
      <c r="AC5">
        <v>0</v>
      </c>
      <c r="AD5">
        <v>0</v>
      </c>
      <c r="AE5">
        <v>0</v>
      </c>
    </row>
    <row r="6" spans="1:35">
      <c r="A6" t="s">
        <v>19</v>
      </c>
      <c r="B6" s="2">
        <f>'ethanol content'!$J$3*(1-B2)</f>
        <v>3.2802594488082371E-2</v>
      </c>
      <c r="C6" s="2">
        <f>$B$6</f>
        <v>3.2802594488082371E-2</v>
      </c>
      <c r="D6" s="2">
        <f t="shared" ref="D6:AE6" si="1">$B$6</f>
        <v>3.2802594488082371E-2</v>
      </c>
      <c r="E6" s="2">
        <f t="shared" si="1"/>
        <v>3.2802594488082371E-2</v>
      </c>
      <c r="F6" s="2">
        <f t="shared" si="1"/>
        <v>3.2802594488082371E-2</v>
      </c>
      <c r="G6" s="2">
        <f t="shared" si="1"/>
        <v>3.2802594488082371E-2</v>
      </c>
      <c r="H6" s="2">
        <f t="shared" si="1"/>
        <v>3.2802594488082371E-2</v>
      </c>
      <c r="I6" s="2">
        <f t="shared" si="1"/>
        <v>3.2802594488082371E-2</v>
      </c>
      <c r="J6" s="2">
        <f t="shared" si="1"/>
        <v>3.2802594488082371E-2</v>
      </c>
      <c r="K6" s="2">
        <f t="shared" si="1"/>
        <v>3.2802594488082371E-2</v>
      </c>
      <c r="L6" s="2">
        <f t="shared" si="1"/>
        <v>3.2802594488082371E-2</v>
      </c>
      <c r="M6" s="2">
        <f t="shared" si="1"/>
        <v>3.2802594488082371E-2</v>
      </c>
      <c r="N6" s="2">
        <f t="shared" si="1"/>
        <v>3.2802594488082371E-2</v>
      </c>
      <c r="O6" s="2">
        <f t="shared" si="1"/>
        <v>3.2802594488082371E-2</v>
      </c>
      <c r="P6" s="2">
        <f t="shared" si="1"/>
        <v>3.2802594488082371E-2</v>
      </c>
      <c r="Q6" s="2">
        <f t="shared" si="1"/>
        <v>3.2802594488082371E-2</v>
      </c>
      <c r="R6" s="2">
        <f t="shared" si="1"/>
        <v>3.2802594488082371E-2</v>
      </c>
      <c r="S6" s="2">
        <f t="shared" si="1"/>
        <v>3.2802594488082371E-2</v>
      </c>
      <c r="T6" s="2">
        <f t="shared" si="1"/>
        <v>3.2802594488082371E-2</v>
      </c>
      <c r="U6" s="2">
        <f t="shared" si="1"/>
        <v>3.2802594488082371E-2</v>
      </c>
      <c r="V6" s="2">
        <f t="shared" si="1"/>
        <v>3.2802594488082371E-2</v>
      </c>
      <c r="W6" s="2">
        <f t="shared" si="1"/>
        <v>3.2802594488082371E-2</v>
      </c>
      <c r="X6" s="2">
        <f t="shared" si="1"/>
        <v>3.2802594488082371E-2</v>
      </c>
      <c r="Y6" s="2">
        <f t="shared" si="1"/>
        <v>3.2802594488082371E-2</v>
      </c>
      <c r="Z6" s="2">
        <f t="shared" si="1"/>
        <v>3.2802594488082371E-2</v>
      </c>
      <c r="AA6" s="2">
        <f t="shared" si="1"/>
        <v>3.2802594488082371E-2</v>
      </c>
      <c r="AB6" s="2">
        <f t="shared" si="1"/>
        <v>3.2802594488082371E-2</v>
      </c>
      <c r="AC6" s="2">
        <f t="shared" si="1"/>
        <v>3.2802594488082371E-2</v>
      </c>
      <c r="AD6" s="2">
        <f t="shared" si="1"/>
        <v>3.2802594488082371E-2</v>
      </c>
      <c r="AE6" s="2">
        <f t="shared" si="1"/>
        <v>3.2802594488082371E-2</v>
      </c>
      <c r="AF6" s="2"/>
      <c r="AG6" s="2"/>
      <c r="AH6" s="2"/>
      <c r="AI6" s="2"/>
    </row>
    <row r="7" spans="1:35">
      <c r="A7" t="s">
        <v>21</v>
      </c>
      <c r="B7">
        <v>0</v>
      </c>
      <c r="C7">
        <v>0</v>
      </c>
      <c r="D7">
        <v>0</v>
      </c>
      <c r="E7">
        <v>0</v>
      </c>
      <c r="F7">
        <v>0</v>
      </c>
      <c r="G7">
        <v>0</v>
      </c>
      <c r="H7">
        <v>0</v>
      </c>
      <c r="I7">
        <v>0</v>
      </c>
      <c r="J7">
        <v>0</v>
      </c>
      <c r="K7">
        <v>0</v>
      </c>
      <c r="L7">
        <v>0</v>
      </c>
      <c r="M7">
        <v>0</v>
      </c>
      <c r="N7">
        <v>0</v>
      </c>
      <c r="O7">
        <v>0</v>
      </c>
      <c r="P7">
        <v>0</v>
      </c>
      <c r="Q7">
        <v>0</v>
      </c>
      <c r="R7">
        <v>0</v>
      </c>
      <c r="S7">
        <v>0</v>
      </c>
      <c r="T7">
        <v>0</v>
      </c>
      <c r="U7">
        <v>0</v>
      </c>
      <c r="V7">
        <v>0</v>
      </c>
      <c r="W7">
        <v>0</v>
      </c>
      <c r="X7">
        <v>0</v>
      </c>
      <c r="Y7">
        <v>0</v>
      </c>
      <c r="Z7">
        <v>0</v>
      </c>
      <c r="AA7">
        <v>0</v>
      </c>
      <c r="AB7">
        <v>0</v>
      </c>
      <c r="AC7">
        <v>0</v>
      </c>
      <c r="AD7">
        <v>0</v>
      </c>
      <c r="AE7">
        <v>0</v>
      </c>
    </row>
    <row r="8" spans="1:35">
      <c r="A8" t="s">
        <v>20</v>
      </c>
      <c r="B8">
        <v>0</v>
      </c>
      <c r="C8">
        <v>0</v>
      </c>
      <c r="D8">
        <v>0</v>
      </c>
      <c r="E8">
        <v>0</v>
      </c>
      <c r="F8">
        <v>0</v>
      </c>
      <c r="G8">
        <v>0</v>
      </c>
      <c r="H8">
        <v>0</v>
      </c>
      <c r="I8">
        <v>0</v>
      </c>
      <c r="J8">
        <v>0</v>
      </c>
      <c r="K8">
        <v>0</v>
      </c>
      <c r="L8">
        <v>0</v>
      </c>
      <c r="M8">
        <v>0</v>
      </c>
      <c r="N8">
        <v>0</v>
      </c>
      <c r="O8">
        <v>0</v>
      </c>
      <c r="P8">
        <v>0</v>
      </c>
      <c r="Q8">
        <v>0</v>
      </c>
      <c r="R8">
        <v>0</v>
      </c>
      <c r="S8">
        <v>0</v>
      </c>
      <c r="T8">
        <v>0</v>
      </c>
      <c r="U8">
        <v>0</v>
      </c>
      <c r="V8">
        <v>0</v>
      </c>
      <c r="W8">
        <v>0</v>
      </c>
      <c r="X8">
        <v>0</v>
      </c>
      <c r="Y8">
        <v>0</v>
      </c>
      <c r="Z8">
        <v>0</v>
      </c>
      <c r="AA8">
        <v>0</v>
      </c>
      <c r="AB8">
        <v>0</v>
      </c>
      <c r="AC8">
        <v>0</v>
      </c>
      <c r="AD8">
        <v>0</v>
      </c>
      <c r="AE8">
        <v>0</v>
      </c>
    </row>
    <row r="9" spans="1:35">
      <c r="A9" t="s">
        <v>82</v>
      </c>
      <c r="B9">
        <v>0</v>
      </c>
      <c r="C9">
        <v>0</v>
      </c>
      <c r="D9">
        <v>0</v>
      </c>
      <c r="E9">
        <v>0</v>
      </c>
      <c r="F9">
        <v>0</v>
      </c>
      <c r="G9">
        <v>0</v>
      </c>
      <c r="H9">
        <v>0</v>
      </c>
      <c r="I9">
        <v>0</v>
      </c>
      <c r="J9">
        <v>0</v>
      </c>
      <c r="K9">
        <v>0</v>
      </c>
      <c r="L9">
        <v>0</v>
      </c>
      <c r="M9">
        <v>0</v>
      </c>
      <c r="N9">
        <v>0</v>
      </c>
      <c r="O9">
        <v>0</v>
      </c>
      <c r="P9">
        <v>0</v>
      </c>
      <c r="Q9">
        <v>0</v>
      </c>
      <c r="R9">
        <v>0</v>
      </c>
      <c r="S9">
        <v>0</v>
      </c>
      <c r="T9">
        <v>0</v>
      </c>
      <c r="U9">
        <v>0</v>
      </c>
      <c r="V9">
        <v>0</v>
      </c>
      <c r="W9">
        <v>0</v>
      </c>
      <c r="X9">
        <v>0</v>
      </c>
      <c r="Y9">
        <v>0</v>
      </c>
      <c r="Z9">
        <v>0</v>
      </c>
      <c r="AA9">
        <v>0</v>
      </c>
      <c r="AB9">
        <v>0</v>
      </c>
      <c r="AC9">
        <v>0</v>
      </c>
      <c r="AD9">
        <v>0</v>
      </c>
      <c r="AE9">
        <v>0</v>
      </c>
    </row>
    <row r="10" spans="1:35">
      <c r="A10" t="s">
        <v>83</v>
      </c>
      <c r="B10">
        <v>0</v>
      </c>
      <c r="C10">
        <v>0</v>
      </c>
      <c r="D10">
        <v>0</v>
      </c>
      <c r="E10">
        <v>0</v>
      </c>
      <c r="F10">
        <v>0</v>
      </c>
      <c r="G10">
        <v>0</v>
      </c>
      <c r="H10">
        <v>0</v>
      </c>
      <c r="I10">
        <v>0</v>
      </c>
      <c r="J10">
        <v>0</v>
      </c>
      <c r="K10">
        <v>0</v>
      </c>
      <c r="L10">
        <v>0</v>
      </c>
      <c r="M10">
        <v>0</v>
      </c>
      <c r="N10">
        <v>0</v>
      </c>
      <c r="O10">
        <v>0</v>
      </c>
      <c r="P10">
        <v>0</v>
      </c>
      <c r="Q10">
        <v>0</v>
      </c>
      <c r="R10">
        <v>0</v>
      </c>
      <c r="S10">
        <v>0</v>
      </c>
      <c r="T10">
        <v>0</v>
      </c>
      <c r="U10">
        <v>0</v>
      </c>
      <c r="V10">
        <v>0</v>
      </c>
      <c r="W10">
        <v>0</v>
      </c>
      <c r="X10">
        <v>0</v>
      </c>
      <c r="Y10">
        <v>0</v>
      </c>
      <c r="Z10">
        <v>0</v>
      </c>
      <c r="AA10">
        <v>0</v>
      </c>
      <c r="AB10">
        <v>0</v>
      </c>
      <c r="AC10">
        <v>0</v>
      </c>
      <c r="AD10">
        <v>0</v>
      </c>
      <c r="AE10">
        <v>0</v>
      </c>
    </row>
    <row r="11" spans="1:35">
      <c r="A11" t="s">
        <v>84</v>
      </c>
      <c r="B11">
        <v>0</v>
      </c>
      <c r="C11">
        <v>0</v>
      </c>
      <c r="D11">
        <v>0</v>
      </c>
      <c r="E11">
        <v>0</v>
      </c>
      <c r="F11">
        <v>0</v>
      </c>
      <c r="G11">
        <v>0</v>
      </c>
      <c r="H11">
        <v>0</v>
      </c>
      <c r="I11">
        <v>0</v>
      </c>
      <c r="J11">
        <v>0</v>
      </c>
      <c r="K11">
        <v>0</v>
      </c>
      <c r="L11">
        <v>0</v>
      </c>
      <c r="M11">
        <v>0</v>
      </c>
      <c r="N11">
        <v>0</v>
      </c>
      <c r="O11">
        <v>0</v>
      </c>
      <c r="P11">
        <v>0</v>
      </c>
      <c r="Q11">
        <v>0</v>
      </c>
      <c r="R11">
        <v>0</v>
      </c>
      <c r="S11">
        <v>0</v>
      </c>
      <c r="T11">
        <v>0</v>
      </c>
      <c r="U11">
        <v>0</v>
      </c>
      <c r="V11">
        <v>0</v>
      </c>
      <c r="W11">
        <v>0</v>
      </c>
      <c r="X11">
        <v>0</v>
      </c>
      <c r="Y11">
        <v>0</v>
      </c>
      <c r="Z11">
        <v>0</v>
      </c>
      <c r="AA11">
        <v>0</v>
      </c>
      <c r="AB11">
        <v>0</v>
      </c>
      <c r="AC11">
        <v>0</v>
      </c>
      <c r="AD11">
        <v>0</v>
      </c>
      <c r="AE11">
        <v>0</v>
      </c>
    </row>
  </sheetData>
  <pageMargins left="0.7" right="0.7" top="0.75" bottom="0.75" header="0.3" footer="0.3"/>
  <ignoredErrors>
    <ignoredError sqref="B5:C5" formulaRange="1"/>
  </ignoredErrors>
</worksheet>
</file>

<file path=xl/worksheets/sheet3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300-000000000000}">
  <sheetPr>
    <tabColor theme="3"/>
  </sheetPr>
  <dimension ref="A1:AI11"/>
  <sheetViews>
    <sheetView workbookViewId="0">
      <selection activeCell="B1" sqref="B1:AE1"/>
    </sheetView>
  </sheetViews>
  <sheetFormatPr defaultRowHeight="14.25"/>
  <cols>
    <col min="1" max="1" width="22.53125" customWidth="1"/>
  </cols>
  <sheetData>
    <row r="1" spans="1:35" ht="28.5">
      <c r="A1" s="10" t="s">
        <v>85</v>
      </c>
      <c r="B1">
        <v>2021</v>
      </c>
      <c r="C1">
        <v>2022</v>
      </c>
      <c r="D1">
        <v>2023</v>
      </c>
      <c r="E1">
        <v>2024</v>
      </c>
      <c r="F1">
        <v>2025</v>
      </c>
      <c r="G1">
        <v>2026</v>
      </c>
      <c r="H1">
        <v>2027</v>
      </c>
      <c r="I1">
        <v>2028</v>
      </c>
      <c r="J1">
        <v>2029</v>
      </c>
      <c r="K1">
        <v>2030</v>
      </c>
      <c r="L1">
        <v>2031</v>
      </c>
      <c r="M1">
        <v>2032</v>
      </c>
      <c r="N1">
        <v>2033</v>
      </c>
      <c r="O1">
        <v>2034</v>
      </c>
      <c r="P1">
        <v>2035</v>
      </c>
      <c r="Q1">
        <v>2036</v>
      </c>
      <c r="R1">
        <v>2037</v>
      </c>
      <c r="S1">
        <v>2038</v>
      </c>
      <c r="T1">
        <v>2039</v>
      </c>
      <c r="U1">
        <v>2040</v>
      </c>
      <c r="V1">
        <v>2041</v>
      </c>
      <c r="W1">
        <v>2042</v>
      </c>
      <c r="X1">
        <v>2043</v>
      </c>
      <c r="Y1">
        <v>2044</v>
      </c>
      <c r="Z1">
        <v>2045</v>
      </c>
      <c r="AA1">
        <v>2046</v>
      </c>
      <c r="AB1">
        <v>2047</v>
      </c>
      <c r="AC1">
        <v>2048</v>
      </c>
      <c r="AD1">
        <v>2049</v>
      </c>
      <c r="AE1">
        <v>2050</v>
      </c>
    </row>
    <row r="2" spans="1:35">
      <c r="A2" t="s">
        <v>15</v>
      </c>
      <c r="B2">
        <v>0</v>
      </c>
      <c r="C2">
        <v>0</v>
      </c>
      <c r="D2">
        <v>0</v>
      </c>
      <c r="E2">
        <v>0</v>
      </c>
      <c r="F2">
        <v>0</v>
      </c>
      <c r="G2">
        <v>0</v>
      </c>
      <c r="H2">
        <v>0</v>
      </c>
      <c r="I2">
        <v>0</v>
      </c>
      <c r="J2">
        <v>0</v>
      </c>
      <c r="K2">
        <v>0</v>
      </c>
      <c r="L2">
        <v>0</v>
      </c>
      <c r="M2">
        <v>0</v>
      </c>
      <c r="N2">
        <v>0</v>
      </c>
      <c r="O2">
        <v>0</v>
      </c>
      <c r="P2">
        <v>0</v>
      </c>
      <c r="Q2">
        <v>0</v>
      </c>
      <c r="R2">
        <v>0</v>
      </c>
      <c r="S2">
        <v>0</v>
      </c>
      <c r="T2">
        <v>0</v>
      </c>
      <c r="U2">
        <v>0</v>
      </c>
      <c r="V2">
        <v>0</v>
      </c>
      <c r="W2">
        <v>0</v>
      </c>
      <c r="X2">
        <v>0</v>
      </c>
      <c r="Y2">
        <v>0</v>
      </c>
      <c r="Z2">
        <v>0</v>
      </c>
      <c r="AA2">
        <v>0</v>
      </c>
      <c r="AB2">
        <v>0</v>
      </c>
      <c r="AC2">
        <v>0</v>
      </c>
      <c r="AD2">
        <v>0</v>
      </c>
      <c r="AE2">
        <v>0</v>
      </c>
    </row>
    <row r="3" spans="1:35">
      <c r="A3" t="s">
        <v>16</v>
      </c>
      <c r="B3">
        <v>0</v>
      </c>
      <c r="C3">
        <v>0</v>
      </c>
      <c r="D3">
        <v>0</v>
      </c>
      <c r="E3">
        <v>0</v>
      </c>
      <c r="F3">
        <v>0</v>
      </c>
      <c r="G3">
        <v>0</v>
      </c>
      <c r="H3">
        <v>0</v>
      </c>
      <c r="I3">
        <v>0</v>
      </c>
      <c r="J3">
        <v>0</v>
      </c>
      <c r="K3">
        <v>0</v>
      </c>
      <c r="L3">
        <v>0</v>
      </c>
      <c r="M3">
        <v>0</v>
      </c>
      <c r="N3">
        <v>0</v>
      </c>
      <c r="O3">
        <v>0</v>
      </c>
      <c r="P3">
        <v>0</v>
      </c>
      <c r="Q3">
        <v>0</v>
      </c>
      <c r="R3">
        <v>0</v>
      </c>
      <c r="S3">
        <v>0</v>
      </c>
      <c r="T3">
        <v>0</v>
      </c>
      <c r="U3">
        <v>0</v>
      </c>
      <c r="V3">
        <v>0</v>
      </c>
      <c r="W3">
        <v>0</v>
      </c>
      <c r="X3">
        <v>0</v>
      </c>
      <c r="Y3">
        <v>0</v>
      </c>
      <c r="Z3">
        <v>0</v>
      </c>
      <c r="AA3">
        <v>0</v>
      </c>
      <c r="AB3">
        <v>0</v>
      </c>
      <c r="AC3">
        <v>0</v>
      </c>
      <c r="AD3">
        <v>0</v>
      </c>
      <c r="AE3">
        <v>0</v>
      </c>
    </row>
    <row r="4" spans="1:35">
      <c r="A4" t="s">
        <v>17</v>
      </c>
      <c r="B4">
        <v>0</v>
      </c>
      <c r="C4">
        <v>0</v>
      </c>
      <c r="D4">
        <v>0</v>
      </c>
      <c r="E4">
        <v>0</v>
      </c>
      <c r="F4">
        <v>0</v>
      </c>
      <c r="G4">
        <v>0</v>
      </c>
      <c r="H4">
        <v>0</v>
      </c>
      <c r="I4">
        <v>0</v>
      </c>
      <c r="J4">
        <v>0</v>
      </c>
      <c r="K4">
        <v>0</v>
      </c>
      <c r="L4">
        <v>0</v>
      </c>
      <c r="M4">
        <v>0</v>
      </c>
      <c r="N4">
        <v>0</v>
      </c>
      <c r="O4">
        <v>0</v>
      </c>
      <c r="P4">
        <v>0</v>
      </c>
      <c r="Q4">
        <v>0</v>
      </c>
      <c r="R4">
        <v>0</v>
      </c>
      <c r="S4">
        <v>0</v>
      </c>
      <c r="T4">
        <v>0</v>
      </c>
      <c r="U4">
        <v>0</v>
      </c>
      <c r="V4">
        <v>0</v>
      </c>
      <c r="W4">
        <v>0</v>
      </c>
      <c r="X4">
        <v>0</v>
      </c>
      <c r="Y4">
        <v>0</v>
      </c>
      <c r="Z4">
        <v>0</v>
      </c>
      <c r="AA4">
        <v>0</v>
      </c>
      <c r="AB4">
        <v>0</v>
      </c>
      <c r="AC4">
        <v>0</v>
      </c>
      <c r="AD4">
        <v>0</v>
      </c>
      <c r="AE4">
        <v>0</v>
      </c>
      <c r="AI4" s="2"/>
    </row>
    <row r="5" spans="1:35">
      <c r="A5" t="s">
        <v>18</v>
      </c>
      <c r="B5">
        <v>0</v>
      </c>
      <c r="C5">
        <v>0</v>
      </c>
      <c r="D5">
        <v>0</v>
      </c>
      <c r="E5">
        <v>0</v>
      </c>
      <c r="F5">
        <v>0</v>
      </c>
      <c r="G5">
        <v>0</v>
      </c>
      <c r="H5">
        <v>0</v>
      </c>
      <c r="I5">
        <v>0</v>
      </c>
      <c r="J5">
        <v>0</v>
      </c>
      <c r="K5">
        <v>0</v>
      </c>
      <c r="L5">
        <v>0</v>
      </c>
      <c r="M5">
        <v>0</v>
      </c>
      <c r="N5">
        <v>0</v>
      </c>
      <c r="O5">
        <v>0</v>
      </c>
      <c r="P5">
        <v>0</v>
      </c>
      <c r="Q5">
        <v>0</v>
      </c>
      <c r="R5">
        <v>0</v>
      </c>
      <c r="S5">
        <v>0</v>
      </c>
      <c r="T5">
        <v>0</v>
      </c>
      <c r="U5">
        <v>0</v>
      </c>
      <c r="V5">
        <v>0</v>
      </c>
      <c r="W5">
        <v>0</v>
      </c>
      <c r="X5">
        <v>0</v>
      </c>
      <c r="Y5">
        <v>0</v>
      </c>
      <c r="Z5">
        <v>0</v>
      </c>
      <c r="AA5">
        <v>0</v>
      </c>
      <c r="AB5">
        <v>0</v>
      </c>
      <c r="AC5">
        <v>0</v>
      </c>
      <c r="AD5">
        <v>0</v>
      </c>
      <c r="AE5">
        <v>0</v>
      </c>
    </row>
    <row r="6" spans="1:35">
      <c r="A6" t="s">
        <v>19</v>
      </c>
      <c r="B6">
        <v>0</v>
      </c>
      <c r="C6">
        <v>0</v>
      </c>
      <c r="D6">
        <v>0</v>
      </c>
      <c r="E6">
        <v>0</v>
      </c>
      <c r="F6">
        <v>0</v>
      </c>
      <c r="G6">
        <v>0</v>
      </c>
      <c r="H6">
        <v>0</v>
      </c>
      <c r="I6">
        <v>0</v>
      </c>
      <c r="J6">
        <v>0</v>
      </c>
      <c r="K6">
        <v>0</v>
      </c>
      <c r="L6">
        <v>0</v>
      </c>
      <c r="M6">
        <v>0</v>
      </c>
      <c r="N6">
        <v>0</v>
      </c>
      <c r="O6">
        <v>0</v>
      </c>
      <c r="P6">
        <v>0</v>
      </c>
      <c r="Q6">
        <v>0</v>
      </c>
      <c r="R6">
        <v>0</v>
      </c>
      <c r="S6">
        <v>0</v>
      </c>
      <c r="T6">
        <v>0</v>
      </c>
      <c r="U6">
        <v>0</v>
      </c>
      <c r="V6">
        <v>0</v>
      </c>
      <c r="W6">
        <v>0</v>
      </c>
      <c r="X6">
        <v>0</v>
      </c>
      <c r="Y6">
        <v>0</v>
      </c>
      <c r="Z6">
        <v>0</v>
      </c>
      <c r="AA6">
        <v>0</v>
      </c>
      <c r="AB6">
        <v>0</v>
      </c>
      <c r="AC6">
        <v>0</v>
      </c>
      <c r="AD6">
        <v>0</v>
      </c>
      <c r="AE6">
        <v>0</v>
      </c>
      <c r="AI6" s="2"/>
    </row>
    <row r="7" spans="1:35">
      <c r="A7" t="s">
        <v>21</v>
      </c>
      <c r="B7">
        <v>0</v>
      </c>
      <c r="C7">
        <v>0</v>
      </c>
      <c r="D7">
        <v>0</v>
      </c>
      <c r="E7">
        <v>0</v>
      </c>
      <c r="F7">
        <v>0</v>
      </c>
      <c r="G7">
        <v>0</v>
      </c>
      <c r="H7">
        <v>0</v>
      </c>
      <c r="I7">
        <v>0</v>
      </c>
      <c r="J7">
        <v>0</v>
      </c>
      <c r="K7">
        <v>0</v>
      </c>
      <c r="L7">
        <v>0</v>
      </c>
      <c r="M7">
        <v>0</v>
      </c>
      <c r="N7">
        <v>0</v>
      </c>
      <c r="O7">
        <v>0</v>
      </c>
      <c r="P7">
        <v>0</v>
      </c>
      <c r="Q7">
        <v>0</v>
      </c>
      <c r="R7">
        <v>0</v>
      </c>
      <c r="S7">
        <v>0</v>
      </c>
      <c r="T7">
        <v>0</v>
      </c>
      <c r="U7">
        <v>0</v>
      </c>
      <c r="V7">
        <v>0</v>
      </c>
      <c r="W7">
        <v>0</v>
      </c>
      <c r="X7">
        <v>0</v>
      </c>
      <c r="Y7">
        <v>0</v>
      </c>
      <c r="Z7">
        <v>0</v>
      </c>
      <c r="AA7">
        <v>0</v>
      </c>
      <c r="AB7">
        <v>0</v>
      </c>
      <c r="AC7">
        <v>0</v>
      </c>
      <c r="AD7">
        <v>0</v>
      </c>
      <c r="AE7">
        <v>0</v>
      </c>
    </row>
    <row r="8" spans="1:35">
      <c r="A8" t="s">
        <v>20</v>
      </c>
      <c r="B8">
        <v>0</v>
      </c>
      <c r="C8">
        <v>0</v>
      </c>
      <c r="D8">
        <v>0</v>
      </c>
      <c r="E8">
        <v>0</v>
      </c>
      <c r="F8">
        <v>0</v>
      </c>
      <c r="G8">
        <v>0</v>
      </c>
      <c r="H8">
        <v>0</v>
      </c>
      <c r="I8">
        <v>0</v>
      </c>
      <c r="J8">
        <v>0</v>
      </c>
      <c r="K8">
        <v>0</v>
      </c>
      <c r="L8">
        <v>0</v>
      </c>
      <c r="M8">
        <v>0</v>
      </c>
      <c r="N8">
        <v>0</v>
      </c>
      <c r="O8">
        <v>0</v>
      </c>
      <c r="P8">
        <v>0</v>
      </c>
      <c r="Q8">
        <v>0</v>
      </c>
      <c r="R8">
        <v>0</v>
      </c>
      <c r="S8">
        <v>0</v>
      </c>
      <c r="T8">
        <v>0</v>
      </c>
      <c r="U8">
        <v>0</v>
      </c>
      <c r="V8">
        <v>0</v>
      </c>
      <c r="W8">
        <v>0</v>
      </c>
      <c r="X8">
        <v>0</v>
      </c>
      <c r="Y8">
        <v>0</v>
      </c>
      <c r="Z8">
        <v>0</v>
      </c>
      <c r="AA8">
        <v>0</v>
      </c>
      <c r="AB8">
        <v>0</v>
      </c>
      <c r="AC8">
        <v>0</v>
      </c>
      <c r="AD8">
        <v>0</v>
      </c>
      <c r="AE8">
        <v>0</v>
      </c>
    </row>
    <row r="9" spans="1:35">
      <c r="A9" t="s">
        <v>82</v>
      </c>
      <c r="B9">
        <v>0</v>
      </c>
      <c r="C9">
        <v>0</v>
      </c>
      <c r="D9">
        <v>0</v>
      </c>
      <c r="E9">
        <v>0</v>
      </c>
      <c r="F9">
        <v>0</v>
      </c>
      <c r="G9">
        <v>0</v>
      </c>
      <c r="H9">
        <v>0</v>
      </c>
      <c r="I9">
        <v>0</v>
      </c>
      <c r="J9">
        <v>0</v>
      </c>
      <c r="K9">
        <v>0</v>
      </c>
      <c r="L9">
        <v>0</v>
      </c>
      <c r="M9">
        <v>0</v>
      </c>
      <c r="N9">
        <v>0</v>
      </c>
      <c r="O9">
        <v>0</v>
      </c>
      <c r="P9">
        <v>0</v>
      </c>
      <c r="Q9">
        <v>0</v>
      </c>
      <c r="R9">
        <v>0</v>
      </c>
      <c r="S9">
        <v>0</v>
      </c>
      <c r="T9">
        <v>0</v>
      </c>
      <c r="U9">
        <v>0</v>
      </c>
      <c r="V9">
        <v>0</v>
      </c>
      <c r="W9">
        <v>0</v>
      </c>
      <c r="X9">
        <v>0</v>
      </c>
      <c r="Y9">
        <v>0</v>
      </c>
      <c r="Z9">
        <v>0</v>
      </c>
      <c r="AA9">
        <v>0</v>
      </c>
      <c r="AB9">
        <v>0</v>
      </c>
      <c r="AC9">
        <v>0</v>
      </c>
      <c r="AD9">
        <v>0</v>
      </c>
      <c r="AE9">
        <v>0</v>
      </c>
    </row>
    <row r="10" spans="1:35">
      <c r="A10" t="s">
        <v>83</v>
      </c>
      <c r="B10">
        <v>1</v>
      </c>
      <c r="C10">
        <v>1</v>
      </c>
      <c r="D10">
        <v>1</v>
      </c>
      <c r="E10">
        <v>1</v>
      </c>
      <c r="F10">
        <v>1</v>
      </c>
      <c r="G10">
        <v>1</v>
      </c>
      <c r="H10">
        <v>1</v>
      </c>
      <c r="I10">
        <v>1</v>
      </c>
      <c r="J10">
        <v>1</v>
      </c>
      <c r="K10">
        <v>1</v>
      </c>
      <c r="L10">
        <v>1</v>
      </c>
      <c r="M10">
        <v>1</v>
      </c>
      <c r="N10">
        <v>1</v>
      </c>
      <c r="O10">
        <v>1</v>
      </c>
      <c r="P10">
        <v>1</v>
      </c>
      <c r="Q10">
        <v>1</v>
      </c>
      <c r="R10">
        <v>1</v>
      </c>
      <c r="S10">
        <v>1</v>
      </c>
      <c r="T10">
        <v>1</v>
      </c>
      <c r="U10">
        <v>1</v>
      </c>
      <c r="V10">
        <v>1</v>
      </c>
      <c r="W10">
        <v>1</v>
      </c>
      <c r="X10">
        <v>1</v>
      </c>
      <c r="Y10">
        <v>1</v>
      </c>
      <c r="Z10">
        <v>1</v>
      </c>
      <c r="AA10">
        <v>1</v>
      </c>
      <c r="AB10">
        <v>1</v>
      </c>
      <c r="AC10">
        <v>1</v>
      </c>
      <c r="AD10">
        <v>1</v>
      </c>
      <c r="AE10">
        <v>1</v>
      </c>
    </row>
    <row r="11" spans="1:35">
      <c r="A11" t="s">
        <v>84</v>
      </c>
      <c r="B11">
        <v>0</v>
      </c>
      <c r="C11">
        <v>0</v>
      </c>
      <c r="D11">
        <v>0</v>
      </c>
      <c r="E11">
        <v>0</v>
      </c>
      <c r="F11">
        <v>0</v>
      </c>
      <c r="G11">
        <v>0</v>
      </c>
      <c r="H11">
        <v>0</v>
      </c>
      <c r="I11">
        <v>0</v>
      </c>
      <c r="J11">
        <v>0</v>
      </c>
      <c r="K11">
        <v>0</v>
      </c>
      <c r="L11">
        <v>0</v>
      </c>
      <c r="M11">
        <v>0</v>
      </c>
      <c r="N11">
        <v>0</v>
      </c>
      <c r="O11">
        <v>0</v>
      </c>
      <c r="P11">
        <v>0</v>
      </c>
      <c r="Q11">
        <v>0</v>
      </c>
      <c r="R11">
        <v>0</v>
      </c>
      <c r="S11">
        <v>0</v>
      </c>
      <c r="T11">
        <v>0</v>
      </c>
      <c r="U11">
        <v>0</v>
      </c>
      <c r="V11">
        <v>0</v>
      </c>
      <c r="W11">
        <v>0</v>
      </c>
      <c r="X11">
        <v>0</v>
      </c>
      <c r="Y11">
        <v>0</v>
      </c>
      <c r="Z11">
        <v>0</v>
      </c>
      <c r="AA11">
        <v>0</v>
      </c>
      <c r="AB11">
        <v>0</v>
      </c>
      <c r="AC11">
        <v>0</v>
      </c>
      <c r="AD11">
        <v>0</v>
      </c>
      <c r="AE11">
        <v>0</v>
      </c>
    </row>
  </sheetData>
  <pageMargins left="0.7" right="0.7" top="0.75" bottom="0.75" header="0.3" footer="0.3"/>
</worksheet>
</file>

<file path=xl/worksheets/sheet3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400-000000000000}">
  <sheetPr>
    <tabColor theme="3"/>
  </sheetPr>
  <dimension ref="A1:AI11"/>
  <sheetViews>
    <sheetView workbookViewId="0">
      <selection activeCell="B1" sqref="B1:AE1"/>
    </sheetView>
  </sheetViews>
  <sheetFormatPr defaultRowHeight="14.25"/>
  <cols>
    <col min="1" max="1" width="22.53125" customWidth="1"/>
  </cols>
  <sheetData>
    <row r="1" spans="1:35" ht="28.5">
      <c r="A1" s="10" t="s">
        <v>85</v>
      </c>
      <c r="B1">
        <v>2021</v>
      </c>
      <c r="C1">
        <v>2022</v>
      </c>
      <c r="D1">
        <v>2023</v>
      </c>
      <c r="E1">
        <v>2024</v>
      </c>
      <c r="F1">
        <v>2025</v>
      </c>
      <c r="G1">
        <v>2026</v>
      </c>
      <c r="H1">
        <v>2027</v>
      </c>
      <c r="I1">
        <v>2028</v>
      </c>
      <c r="J1">
        <v>2029</v>
      </c>
      <c r="K1">
        <v>2030</v>
      </c>
      <c r="L1">
        <v>2031</v>
      </c>
      <c r="M1">
        <v>2032</v>
      </c>
      <c r="N1">
        <v>2033</v>
      </c>
      <c r="O1">
        <v>2034</v>
      </c>
      <c r="P1">
        <v>2035</v>
      </c>
      <c r="Q1">
        <v>2036</v>
      </c>
      <c r="R1">
        <v>2037</v>
      </c>
      <c r="S1">
        <v>2038</v>
      </c>
      <c r="T1">
        <v>2039</v>
      </c>
      <c r="U1">
        <v>2040</v>
      </c>
      <c r="V1">
        <v>2041</v>
      </c>
      <c r="W1">
        <v>2042</v>
      </c>
      <c r="X1">
        <v>2043</v>
      </c>
      <c r="Y1">
        <v>2044</v>
      </c>
      <c r="Z1">
        <v>2045</v>
      </c>
      <c r="AA1">
        <v>2046</v>
      </c>
      <c r="AB1">
        <v>2047</v>
      </c>
      <c r="AC1">
        <v>2048</v>
      </c>
      <c r="AD1">
        <v>2049</v>
      </c>
      <c r="AE1">
        <v>2050</v>
      </c>
    </row>
    <row r="2" spans="1:35">
      <c r="A2" t="s">
        <v>15</v>
      </c>
      <c r="B2">
        <v>0</v>
      </c>
      <c r="C2">
        <v>0</v>
      </c>
      <c r="D2">
        <v>0</v>
      </c>
      <c r="E2">
        <v>0</v>
      </c>
      <c r="F2">
        <v>0</v>
      </c>
      <c r="G2">
        <v>0</v>
      </c>
      <c r="H2">
        <v>0</v>
      </c>
      <c r="I2">
        <v>0</v>
      </c>
      <c r="J2">
        <v>0</v>
      </c>
      <c r="K2">
        <v>0</v>
      </c>
      <c r="L2">
        <v>0</v>
      </c>
      <c r="M2">
        <v>0</v>
      </c>
      <c r="N2">
        <v>0</v>
      </c>
      <c r="O2">
        <v>0</v>
      </c>
      <c r="P2">
        <v>0</v>
      </c>
      <c r="Q2">
        <v>0</v>
      </c>
      <c r="R2">
        <v>0</v>
      </c>
      <c r="S2">
        <v>0</v>
      </c>
      <c r="T2">
        <v>0</v>
      </c>
      <c r="U2">
        <v>0</v>
      </c>
      <c r="V2">
        <v>0</v>
      </c>
      <c r="W2">
        <v>0</v>
      </c>
      <c r="X2">
        <v>0</v>
      </c>
      <c r="Y2">
        <v>0</v>
      </c>
      <c r="Z2">
        <v>0</v>
      </c>
      <c r="AA2">
        <v>0</v>
      </c>
      <c r="AB2">
        <v>0</v>
      </c>
      <c r="AC2">
        <v>0</v>
      </c>
      <c r="AD2">
        <v>0</v>
      </c>
      <c r="AE2">
        <v>0</v>
      </c>
    </row>
    <row r="3" spans="1:35">
      <c r="A3" t="s">
        <v>16</v>
      </c>
      <c r="B3">
        <v>0</v>
      </c>
      <c r="C3">
        <v>0</v>
      </c>
      <c r="D3">
        <v>0</v>
      </c>
      <c r="E3">
        <v>0</v>
      </c>
      <c r="F3">
        <v>0</v>
      </c>
      <c r="G3">
        <v>0</v>
      </c>
      <c r="H3">
        <v>0</v>
      </c>
      <c r="I3">
        <v>0</v>
      </c>
      <c r="J3">
        <v>0</v>
      </c>
      <c r="K3">
        <v>0</v>
      </c>
      <c r="L3">
        <v>0</v>
      </c>
      <c r="M3">
        <v>0</v>
      </c>
      <c r="N3">
        <v>0</v>
      </c>
      <c r="O3">
        <v>0</v>
      </c>
      <c r="P3">
        <v>0</v>
      </c>
      <c r="Q3">
        <v>0</v>
      </c>
      <c r="R3">
        <v>0</v>
      </c>
      <c r="S3">
        <v>0</v>
      </c>
      <c r="T3">
        <v>0</v>
      </c>
      <c r="U3">
        <v>0</v>
      </c>
      <c r="V3">
        <v>0</v>
      </c>
      <c r="W3">
        <v>0</v>
      </c>
      <c r="X3">
        <v>0</v>
      </c>
      <c r="Y3">
        <v>0</v>
      </c>
      <c r="Z3">
        <v>0</v>
      </c>
      <c r="AA3">
        <v>0</v>
      </c>
      <c r="AB3">
        <v>0</v>
      </c>
      <c r="AC3">
        <v>0</v>
      </c>
      <c r="AD3">
        <v>0</v>
      </c>
      <c r="AE3">
        <v>0</v>
      </c>
    </row>
    <row r="4" spans="1:35">
      <c r="A4" t="s">
        <v>17</v>
      </c>
      <c r="B4">
        <v>0</v>
      </c>
      <c r="C4">
        <v>0</v>
      </c>
      <c r="D4">
        <v>0</v>
      </c>
      <c r="E4">
        <v>0</v>
      </c>
      <c r="F4">
        <v>0</v>
      </c>
      <c r="G4">
        <v>0</v>
      </c>
      <c r="H4">
        <v>0</v>
      </c>
      <c r="I4">
        <v>0</v>
      </c>
      <c r="J4">
        <v>0</v>
      </c>
      <c r="K4">
        <v>0</v>
      </c>
      <c r="L4">
        <v>0</v>
      </c>
      <c r="M4">
        <v>0</v>
      </c>
      <c r="N4">
        <v>0</v>
      </c>
      <c r="O4">
        <v>0</v>
      </c>
      <c r="P4">
        <v>0</v>
      </c>
      <c r="Q4">
        <v>0</v>
      </c>
      <c r="R4">
        <v>0</v>
      </c>
      <c r="S4">
        <v>0</v>
      </c>
      <c r="T4">
        <v>0</v>
      </c>
      <c r="U4">
        <v>0</v>
      </c>
      <c r="V4">
        <v>0</v>
      </c>
      <c r="W4">
        <v>0</v>
      </c>
      <c r="X4">
        <v>0</v>
      </c>
      <c r="Y4">
        <v>0</v>
      </c>
      <c r="Z4">
        <v>0</v>
      </c>
      <c r="AA4">
        <v>0</v>
      </c>
      <c r="AB4">
        <v>0</v>
      </c>
      <c r="AC4">
        <v>0</v>
      </c>
      <c r="AD4">
        <v>0</v>
      </c>
      <c r="AE4">
        <v>0</v>
      </c>
      <c r="AI4" s="2"/>
    </row>
    <row r="5" spans="1:35">
      <c r="A5" t="s">
        <v>18</v>
      </c>
      <c r="B5">
        <v>0</v>
      </c>
      <c r="C5">
        <v>0</v>
      </c>
      <c r="D5">
        <v>0</v>
      </c>
      <c r="E5">
        <v>0</v>
      </c>
      <c r="F5">
        <v>0</v>
      </c>
      <c r="G5">
        <v>0</v>
      </c>
      <c r="H5">
        <v>0</v>
      </c>
      <c r="I5">
        <v>0</v>
      </c>
      <c r="J5">
        <v>0</v>
      </c>
      <c r="K5">
        <v>0</v>
      </c>
      <c r="L5">
        <v>0</v>
      </c>
      <c r="M5">
        <v>0</v>
      </c>
      <c r="N5">
        <v>0</v>
      </c>
      <c r="O5">
        <v>0</v>
      </c>
      <c r="P5">
        <v>0</v>
      </c>
      <c r="Q5">
        <v>0</v>
      </c>
      <c r="R5">
        <v>0</v>
      </c>
      <c r="S5">
        <v>0</v>
      </c>
      <c r="T5">
        <v>0</v>
      </c>
      <c r="U5">
        <v>0</v>
      </c>
      <c r="V5">
        <v>0</v>
      </c>
      <c r="W5">
        <v>0</v>
      </c>
      <c r="X5">
        <v>0</v>
      </c>
      <c r="Y5">
        <v>0</v>
      </c>
      <c r="Z5">
        <v>0</v>
      </c>
      <c r="AA5">
        <v>0</v>
      </c>
      <c r="AB5">
        <v>0</v>
      </c>
      <c r="AC5">
        <v>0</v>
      </c>
      <c r="AD5">
        <v>0</v>
      </c>
      <c r="AE5">
        <v>0</v>
      </c>
    </row>
    <row r="6" spans="1:35">
      <c r="A6" t="s">
        <v>19</v>
      </c>
      <c r="B6">
        <v>0</v>
      </c>
      <c r="C6">
        <v>0</v>
      </c>
      <c r="D6">
        <v>0</v>
      </c>
      <c r="E6">
        <v>0</v>
      </c>
      <c r="F6">
        <v>0</v>
      </c>
      <c r="G6">
        <v>0</v>
      </c>
      <c r="H6">
        <v>0</v>
      </c>
      <c r="I6">
        <v>0</v>
      </c>
      <c r="J6">
        <v>0</v>
      </c>
      <c r="K6">
        <v>0</v>
      </c>
      <c r="L6">
        <v>0</v>
      </c>
      <c r="M6">
        <v>0</v>
      </c>
      <c r="N6">
        <v>0</v>
      </c>
      <c r="O6">
        <v>0</v>
      </c>
      <c r="P6">
        <v>0</v>
      </c>
      <c r="Q6">
        <v>0</v>
      </c>
      <c r="R6">
        <v>0</v>
      </c>
      <c r="S6">
        <v>0</v>
      </c>
      <c r="T6">
        <v>0</v>
      </c>
      <c r="U6">
        <v>0</v>
      </c>
      <c r="V6">
        <v>0</v>
      </c>
      <c r="W6">
        <v>0</v>
      </c>
      <c r="X6">
        <v>0</v>
      </c>
      <c r="Y6">
        <v>0</v>
      </c>
      <c r="Z6">
        <v>0</v>
      </c>
      <c r="AA6">
        <v>0</v>
      </c>
      <c r="AB6">
        <v>0</v>
      </c>
      <c r="AC6">
        <v>0</v>
      </c>
      <c r="AD6">
        <v>0</v>
      </c>
      <c r="AE6">
        <v>0</v>
      </c>
      <c r="AI6" s="2"/>
    </row>
    <row r="7" spans="1:35">
      <c r="A7" t="s">
        <v>21</v>
      </c>
      <c r="B7">
        <v>0</v>
      </c>
      <c r="C7">
        <v>0</v>
      </c>
      <c r="D7">
        <v>0</v>
      </c>
      <c r="E7">
        <v>0</v>
      </c>
      <c r="F7">
        <v>0</v>
      </c>
      <c r="G7">
        <v>0</v>
      </c>
      <c r="H7">
        <v>0</v>
      </c>
      <c r="I7">
        <v>0</v>
      </c>
      <c r="J7">
        <v>0</v>
      </c>
      <c r="K7">
        <v>0</v>
      </c>
      <c r="L7">
        <v>0</v>
      </c>
      <c r="M7">
        <v>0</v>
      </c>
      <c r="N7">
        <v>0</v>
      </c>
      <c r="O7">
        <v>0</v>
      </c>
      <c r="P7">
        <v>0</v>
      </c>
      <c r="Q7">
        <v>0</v>
      </c>
      <c r="R7">
        <v>0</v>
      </c>
      <c r="S7">
        <v>0</v>
      </c>
      <c r="T7">
        <v>0</v>
      </c>
      <c r="U7">
        <v>0</v>
      </c>
      <c r="V7">
        <v>0</v>
      </c>
      <c r="W7">
        <v>0</v>
      </c>
      <c r="X7">
        <v>0</v>
      </c>
      <c r="Y7">
        <v>0</v>
      </c>
      <c r="Z7">
        <v>0</v>
      </c>
      <c r="AA7">
        <v>0</v>
      </c>
      <c r="AB7">
        <v>0</v>
      </c>
      <c r="AC7">
        <v>0</v>
      </c>
      <c r="AD7">
        <v>0</v>
      </c>
      <c r="AE7">
        <v>0</v>
      </c>
    </row>
    <row r="8" spans="1:35">
      <c r="A8" t="s">
        <v>20</v>
      </c>
      <c r="B8">
        <v>0</v>
      </c>
      <c r="C8">
        <v>0</v>
      </c>
      <c r="D8">
        <v>0</v>
      </c>
      <c r="E8">
        <v>0</v>
      </c>
      <c r="F8">
        <v>0</v>
      </c>
      <c r="G8">
        <v>0</v>
      </c>
      <c r="H8">
        <v>0</v>
      </c>
      <c r="I8">
        <v>0</v>
      </c>
      <c r="J8">
        <v>0</v>
      </c>
      <c r="K8">
        <v>0</v>
      </c>
      <c r="L8">
        <v>0</v>
      </c>
      <c r="M8">
        <v>0</v>
      </c>
      <c r="N8">
        <v>0</v>
      </c>
      <c r="O8">
        <v>0</v>
      </c>
      <c r="P8">
        <v>0</v>
      </c>
      <c r="Q8">
        <v>0</v>
      </c>
      <c r="R8">
        <v>0</v>
      </c>
      <c r="S8">
        <v>0</v>
      </c>
      <c r="T8">
        <v>0</v>
      </c>
      <c r="U8">
        <v>0</v>
      </c>
      <c r="V8">
        <v>0</v>
      </c>
      <c r="W8">
        <v>0</v>
      </c>
      <c r="X8">
        <v>0</v>
      </c>
      <c r="Y8">
        <v>0</v>
      </c>
      <c r="Z8">
        <v>0</v>
      </c>
      <c r="AA8">
        <v>0</v>
      </c>
      <c r="AB8">
        <v>0</v>
      </c>
      <c r="AC8">
        <v>0</v>
      </c>
      <c r="AD8">
        <v>0</v>
      </c>
      <c r="AE8">
        <v>0</v>
      </c>
    </row>
    <row r="9" spans="1:35">
      <c r="A9" t="s">
        <v>82</v>
      </c>
      <c r="B9">
        <v>0</v>
      </c>
      <c r="C9">
        <v>0</v>
      </c>
      <c r="D9">
        <v>0</v>
      </c>
      <c r="E9">
        <v>0</v>
      </c>
      <c r="F9">
        <v>0</v>
      </c>
      <c r="G9">
        <v>0</v>
      </c>
      <c r="H9">
        <v>0</v>
      </c>
      <c r="I9">
        <v>0</v>
      </c>
      <c r="J9">
        <v>0</v>
      </c>
      <c r="K9">
        <v>0</v>
      </c>
      <c r="L9">
        <v>0</v>
      </c>
      <c r="M9">
        <v>0</v>
      </c>
      <c r="N9">
        <v>0</v>
      </c>
      <c r="O9">
        <v>0</v>
      </c>
      <c r="P9">
        <v>0</v>
      </c>
      <c r="Q9">
        <v>0</v>
      </c>
      <c r="R9">
        <v>0</v>
      </c>
      <c r="S9">
        <v>0</v>
      </c>
      <c r="T9">
        <v>0</v>
      </c>
      <c r="U9">
        <v>0</v>
      </c>
      <c r="V9">
        <v>0</v>
      </c>
      <c r="W9">
        <v>0</v>
      </c>
      <c r="X9">
        <v>0</v>
      </c>
      <c r="Y9">
        <v>0</v>
      </c>
      <c r="Z9">
        <v>0</v>
      </c>
      <c r="AA9">
        <v>0</v>
      </c>
      <c r="AB9">
        <v>0</v>
      </c>
      <c r="AC9">
        <v>0</v>
      </c>
      <c r="AD9">
        <v>0</v>
      </c>
      <c r="AE9">
        <v>0</v>
      </c>
    </row>
    <row r="10" spans="1:35">
      <c r="A10" t="s">
        <v>83</v>
      </c>
      <c r="B10">
        <v>0</v>
      </c>
      <c r="C10">
        <v>0</v>
      </c>
      <c r="D10">
        <v>0</v>
      </c>
      <c r="E10">
        <v>0</v>
      </c>
      <c r="F10">
        <v>0</v>
      </c>
      <c r="G10">
        <v>0</v>
      </c>
      <c r="H10">
        <v>0</v>
      </c>
      <c r="I10">
        <v>0</v>
      </c>
      <c r="J10">
        <v>0</v>
      </c>
      <c r="K10">
        <v>0</v>
      </c>
      <c r="L10">
        <v>0</v>
      </c>
      <c r="M10">
        <v>0</v>
      </c>
      <c r="N10">
        <v>0</v>
      </c>
      <c r="O10">
        <v>0</v>
      </c>
      <c r="P10">
        <v>0</v>
      </c>
      <c r="Q10">
        <v>0</v>
      </c>
      <c r="R10">
        <v>0</v>
      </c>
      <c r="S10">
        <v>0</v>
      </c>
      <c r="T10">
        <v>0</v>
      </c>
      <c r="U10">
        <v>0</v>
      </c>
      <c r="V10">
        <v>0</v>
      </c>
      <c r="W10">
        <v>0</v>
      </c>
      <c r="X10">
        <v>0</v>
      </c>
      <c r="Y10">
        <v>0</v>
      </c>
      <c r="Z10">
        <v>0</v>
      </c>
      <c r="AA10">
        <v>0</v>
      </c>
      <c r="AB10">
        <v>0</v>
      </c>
      <c r="AC10">
        <v>0</v>
      </c>
      <c r="AD10">
        <v>0</v>
      </c>
      <c r="AE10">
        <v>0</v>
      </c>
    </row>
    <row r="11" spans="1:35">
      <c r="A11" t="s">
        <v>84</v>
      </c>
      <c r="B11">
        <v>1</v>
      </c>
      <c r="C11">
        <v>1</v>
      </c>
      <c r="D11">
        <v>1</v>
      </c>
      <c r="E11">
        <v>1</v>
      </c>
      <c r="F11">
        <v>1</v>
      </c>
      <c r="G11">
        <v>1</v>
      </c>
      <c r="H11">
        <v>1</v>
      </c>
      <c r="I11">
        <v>1</v>
      </c>
      <c r="J11">
        <v>1</v>
      </c>
      <c r="K11">
        <v>1</v>
      </c>
      <c r="L11">
        <v>1</v>
      </c>
      <c r="M11">
        <v>1</v>
      </c>
      <c r="N11">
        <v>1</v>
      </c>
      <c r="O11">
        <v>1</v>
      </c>
      <c r="P11">
        <v>1</v>
      </c>
      <c r="Q11">
        <v>1</v>
      </c>
      <c r="R11">
        <v>1</v>
      </c>
      <c r="S11">
        <v>1</v>
      </c>
      <c r="T11">
        <v>1</v>
      </c>
      <c r="U11">
        <v>1</v>
      </c>
      <c r="V11">
        <v>1</v>
      </c>
      <c r="W11">
        <v>1</v>
      </c>
      <c r="X11">
        <v>1</v>
      </c>
      <c r="Y11">
        <v>1</v>
      </c>
      <c r="Z11">
        <v>1</v>
      </c>
      <c r="AA11">
        <v>1</v>
      </c>
      <c r="AB11">
        <v>1</v>
      </c>
      <c r="AC11">
        <v>1</v>
      </c>
      <c r="AD11">
        <v>1</v>
      </c>
      <c r="AE11">
        <v>1</v>
      </c>
    </row>
  </sheetData>
  <pageMargins left="0.7" right="0.7" top="0.75" bottom="0.75" header="0.3" footer="0.3"/>
</worksheet>
</file>

<file path=xl/worksheets/sheet3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500-000000000000}">
  <sheetPr>
    <tabColor rgb="FFFF0000"/>
  </sheetPr>
  <dimension ref="A1"/>
  <sheetViews>
    <sheetView workbookViewId="0"/>
  </sheetViews>
  <sheetFormatPr defaultRowHeight="14.25"/>
  <sheetData/>
  <pageMargins left="0.7" right="0.7" top="0.75" bottom="0.75" header="0.3" footer="0.3"/>
</worksheet>
</file>

<file path=xl/worksheets/sheet3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600-000000000000}">
  <sheetPr>
    <tabColor theme="3"/>
  </sheetPr>
  <dimension ref="A1:AE11"/>
  <sheetViews>
    <sheetView workbookViewId="0">
      <selection activeCell="B1" sqref="B1"/>
    </sheetView>
  </sheetViews>
  <sheetFormatPr defaultRowHeight="14.25"/>
  <cols>
    <col min="1" max="1" width="22.53125" customWidth="1"/>
  </cols>
  <sheetData>
    <row r="1" spans="1:31" ht="28.5">
      <c r="A1" s="10" t="s">
        <v>85</v>
      </c>
      <c r="B1">
        <v>2021</v>
      </c>
      <c r="C1">
        <v>2022</v>
      </c>
      <c r="D1">
        <v>2023</v>
      </c>
      <c r="E1">
        <v>2024</v>
      </c>
      <c r="F1">
        <v>2025</v>
      </c>
      <c r="G1">
        <v>2026</v>
      </c>
      <c r="H1">
        <v>2027</v>
      </c>
      <c r="I1">
        <v>2028</v>
      </c>
      <c r="J1">
        <v>2029</v>
      </c>
      <c r="K1">
        <v>2030</v>
      </c>
      <c r="L1">
        <v>2031</v>
      </c>
      <c r="M1">
        <v>2032</v>
      </c>
      <c r="N1">
        <v>2033</v>
      </c>
      <c r="O1">
        <v>2034</v>
      </c>
      <c r="P1">
        <v>2035</v>
      </c>
      <c r="Q1">
        <v>2036</v>
      </c>
      <c r="R1">
        <v>2037</v>
      </c>
      <c r="S1">
        <v>2038</v>
      </c>
      <c r="T1">
        <v>2039</v>
      </c>
      <c r="U1">
        <v>2040</v>
      </c>
      <c r="V1">
        <v>2041</v>
      </c>
      <c r="W1">
        <v>2042</v>
      </c>
      <c r="X1">
        <v>2043</v>
      </c>
      <c r="Y1">
        <v>2044</v>
      </c>
      <c r="Z1">
        <v>2045</v>
      </c>
      <c r="AA1">
        <v>2046</v>
      </c>
      <c r="AB1">
        <v>2047</v>
      </c>
      <c r="AC1">
        <v>2048</v>
      </c>
      <c r="AD1">
        <v>2049</v>
      </c>
      <c r="AE1">
        <v>2050</v>
      </c>
    </row>
    <row r="2" spans="1:31">
      <c r="A2" t="s">
        <v>15</v>
      </c>
      <c r="B2">
        <v>1</v>
      </c>
      <c r="C2">
        <v>1</v>
      </c>
      <c r="D2">
        <v>1</v>
      </c>
      <c r="E2">
        <v>1</v>
      </c>
      <c r="F2">
        <v>1</v>
      </c>
      <c r="G2">
        <v>1</v>
      </c>
      <c r="H2">
        <v>1</v>
      </c>
      <c r="I2">
        <v>1</v>
      </c>
      <c r="J2">
        <v>1</v>
      </c>
      <c r="K2">
        <v>1</v>
      </c>
      <c r="L2">
        <v>1</v>
      </c>
      <c r="M2">
        <v>1</v>
      </c>
      <c r="N2">
        <v>1</v>
      </c>
      <c r="O2">
        <v>1</v>
      </c>
      <c r="P2">
        <v>1</v>
      </c>
      <c r="Q2">
        <v>1</v>
      </c>
      <c r="R2">
        <v>1</v>
      </c>
      <c r="S2">
        <v>1</v>
      </c>
      <c r="T2">
        <v>1</v>
      </c>
      <c r="U2">
        <v>1</v>
      </c>
      <c r="V2">
        <v>1</v>
      </c>
      <c r="W2">
        <v>1</v>
      </c>
      <c r="X2">
        <v>1</v>
      </c>
      <c r="Y2">
        <v>1</v>
      </c>
      <c r="Z2">
        <v>1</v>
      </c>
      <c r="AA2">
        <v>1</v>
      </c>
      <c r="AB2">
        <v>1</v>
      </c>
      <c r="AC2">
        <v>1</v>
      </c>
      <c r="AD2">
        <v>1</v>
      </c>
      <c r="AE2">
        <v>1</v>
      </c>
    </row>
    <row r="3" spans="1:31">
      <c r="A3" t="s">
        <v>16</v>
      </c>
      <c r="B3">
        <v>0</v>
      </c>
      <c r="C3">
        <v>0</v>
      </c>
      <c r="D3">
        <v>0</v>
      </c>
      <c r="E3">
        <v>0</v>
      </c>
      <c r="F3">
        <v>0</v>
      </c>
      <c r="G3">
        <v>0</v>
      </c>
      <c r="H3">
        <v>0</v>
      </c>
      <c r="I3">
        <v>0</v>
      </c>
      <c r="J3">
        <v>0</v>
      </c>
      <c r="K3">
        <v>0</v>
      </c>
      <c r="L3">
        <v>0</v>
      </c>
      <c r="M3">
        <v>0</v>
      </c>
      <c r="N3">
        <v>0</v>
      </c>
      <c r="O3">
        <v>0</v>
      </c>
      <c r="P3">
        <v>0</v>
      </c>
      <c r="Q3">
        <v>0</v>
      </c>
      <c r="R3">
        <v>0</v>
      </c>
      <c r="S3">
        <v>0</v>
      </c>
      <c r="T3">
        <v>0</v>
      </c>
      <c r="U3">
        <v>0</v>
      </c>
      <c r="V3">
        <v>0</v>
      </c>
      <c r="W3">
        <v>0</v>
      </c>
      <c r="X3">
        <v>0</v>
      </c>
      <c r="Y3">
        <v>0</v>
      </c>
      <c r="Z3">
        <v>0</v>
      </c>
      <c r="AA3">
        <v>0</v>
      </c>
      <c r="AB3">
        <v>0</v>
      </c>
      <c r="AC3">
        <v>0</v>
      </c>
      <c r="AD3">
        <v>0</v>
      </c>
      <c r="AE3">
        <v>0</v>
      </c>
    </row>
    <row r="4" spans="1:31">
      <c r="A4" t="s">
        <v>17</v>
      </c>
      <c r="B4">
        <v>0</v>
      </c>
      <c r="C4">
        <v>0</v>
      </c>
      <c r="D4">
        <v>0</v>
      </c>
      <c r="E4">
        <v>0</v>
      </c>
      <c r="F4">
        <v>0</v>
      </c>
      <c r="G4">
        <v>0</v>
      </c>
      <c r="H4">
        <v>0</v>
      </c>
      <c r="I4">
        <v>0</v>
      </c>
      <c r="J4">
        <v>0</v>
      </c>
      <c r="K4">
        <v>0</v>
      </c>
      <c r="L4">
        <v>0</v>
      </c>
      <c r="M4">
        <v>0</v>
      </c>
      <c r="N4">
        <v>0</v>
      </c>
      <c r="O4">
        <v>0</v>
      </c>
      <c r="P4">
        <v>0</v>
      </c>
      <c r="Q4">
        <v>0</v>
      </c>
      <c r="R4">
        <v>0</v>
      </c>
      <c r="S4">
        <v>0</v>
      </c>
      <c r="T4">
        <v>0</v>
      </c>
      <c r="U4">
        <v>0</v>
      </c>
      <c r="V4">
        <v>0</v>
      </c>
      <c r="W4">
        <v>0</v>
      </c>
      <c r="X4">
        <v>0</v>
      </c>
      <c r="Y4">
        <v>0</v>
      </c>
      <c r="Z4">
        <v>0</v>
      </c>
      <c r="AA4">
        <v>0</v>
      </c>
      <c r="AB4">
        <v>0</v>
      </c>
      <c r="AC4">
        <v>0</v>
      </c>
      <c r="AD4">
        <v>0</v>
      </c>
      <c r="AE4">
        <v>0</v>
      </c>
    </row>
    <row r="5" spans="1:31">
      <c r="A5" t="s">
        <v>18</v>
      </c>
      <c r="B5">
        <v>0</v>
      </c>
      <c r="C5">
        <v>0</v>
      </c>
      <c r="D5">
        <v>0</v>
      </c>
      <c r="E5">
        <v>0</v>
      </c>
      <c r="F5">
        <v>0</v>
      </c>
      <c r="G5">
        <v>0</v>
      </c>
      <c r="H5">
        <v>0</v>
      </c>
      <c r="I5">
        <v>0</v>
      </c>
      <c r="J5">
        <v>0</v>
      </c>
      <c r="K5">
        <v>0</v>
      </c>
      <c r="L5">
        <v>0</v>
      </c>
      <c r="M5">
        <v>0</v>
      </c>
      <c r="N5">
        <v>0</v>
      </c>
      <c r="O5">
        <v>0</v>
      </c>
      <c r="P5">
        <v>0</v>
      </c>
      <c r="Q5">
        <v>0</v>
      </c>
      <c r="R5">
        <v>0</v>
      </c>
      <c r="S5">
        <v>0</v>
      </c>
      <c r="T5">
        <v>0</v>
      </c>
      <c r="U5">
        <v>0</v>
      </c>
      <c r="V5">
        <v>0</v>
      </c>
      <c r="W5">
        <v>0</v>
      </c>
      <c r="X5">
        <v>0</v>
      </c>
      <c r="Y5">
        <v>0</v>
      </c>
      <c r="Z5">
        <v>0</v>
      </c>
      <c r="AA5">
        <v>0</v>
      </c>
      <c r="AB5">
        <v>0</v>
      </c>
      <c r="AC5">
        <v>0</v>
      </c>
      <c r="AD5">
        <v>0</v>
      </c>
      <c r="AE5">
        <v>0</v>
      </c>
    </row>
    <row r="6" spans="1:31">
      <c r="A6" t="s">
        <v>19</v>
      </c>
      <c r="B6">
        <v>0</v>
      </c>
      <c r="C6">
        <v>0</v>
      </c>
      <c r="D6">
        <v>0</v>
      </c>
      <c r="E6">
        <v>0</v>
      </c>
      <c r="F6">
        <v>0</v>
      </c>
      <c r="G6">
        <v>0</v>
      </c>
      <c r="H6">
        <v>0</v>
      </c>
      <c r="I6">
        <v>0</v>
      </c>
      <c r="J6">
        <v>0</v>
      </c>
      <c r="K6">
        <v>0</v>
      </c>
      <c r="L6">
        <v>0</v>
      </c>
      <c r="M6">
        <v>0</v>
      </c>
      <c r="N6">
        <v>0</v>
      </c>
      <c r="O6">
        <v>0</v>
      </c>
      <c r="P6">
        <v>0</v>
      </c>
      <c r="Q6">
        <v>0</v>
      </c>
      <c r="R6">
        <v>0</v>
      </c>
      <c r="S6">
        <v>0</v>
      </c>
      <c r="T6">
        <v>0</v>
      </c>
      <c r="U6">
        <v>0</v>
      </c>
      <c r="V6">
        <v>0</v>
      </c>
      <c r="W6">
        <v>0</v>
      </c>
      <c r="X6">
        <v>0</v>
      </c>
      <c r="Y6">
        <v>0</v>
      </c>
      <c r="Z6">
        <v>0</v>
      </c>
      <c r="AA6">
        <v>0</v>
      </c>
      <c r="AB6">
        <v>0</v>
      </c>
      <c r="AC6">
        <v>0</v>
      </c>
      <c r="AD6">
        <v>0</v>
      </c>
      <c r="AE6">
        <v>0</v>
      </c>
    </row>
    <row r="7" spans="1:31">
      <c r="A7" t="s">
        <v>21</v>
      </c>
      <c r="B7">
        <v>0</v>
      </c>
      <c r="C7">
        <v>0</v>
      </c>
      <c r="D7">
        <v>0</v>
      </c>
      <c r="E7">
        <v>0</v>
      </c>
      <c r="F7">
        <v>0</v>
      </c>
      <c r="G7">
        <v>0</v>
      </c>
      <c r="H7">
        <v>0</v>
      </c>
      <c r="I7">
        <v>0</v>
      </c>
      <c r="J7">
        <v>0</v>
      </c>
      <c r="K7">
        <v>0</v>
      </c>
      <c r="L7">
        <v>0</v>
      </c>
      <c r="M7">
        <v>0</v>
      </c>
      <c r="N7">
        <v>0</v>
      </c>
      <c r="O7">
        <v>0</v>
      </c>
      <c r="P7">
        <v>0</v>
      </c>
      <c r="Q7">
        <v>0</v>
      </c>
      <c r="R7">
        <v>0</v>
      </c>
      <c r="S7">
        <v>0</v>
      </c>
      <c r="T7">
        <v>0</v>
      </c>
      <c r="U7">
        <v>0</v>
      </c>
      <c r="V7">
        <v>0</v>
      </c>
      <c r="W7">
        <v>0</v>
      </c>
      <c r="X7">
        <v>0</v>
      </c>
      <c r="Y7">
        <v>0</v>
      </c>
      <c r="Z7">
        <v>0</v>
      </c>
      <c r="AA7">
        <v>0</v>
      </c>
      <c r="AB7">
        <v>0</v>
      </c>
      <c r="AC7">
        <v>0</v>
      </c>
      <c r="AD7">
        <v>0</v>
      </c>
      <c r="AE7">
        <v>0</v>
      </c>
    </row>
    <row r="8" spans="1:31">
      <c r="A8" t="s">
        <v>20</v>
      </c>
      <c r="B8">
        <v>0</v>
      </c>
      <c r="C8">
        <v>0</v>
      </c>
      <c r="D8">
        <v>0</v>
      </c>
      <c r="E8">
        <v>0</v>
      </c>
      <c r="F8">
        <v>0</v>
      </c>
      <c r="G8">
        <v>0</v>
      </c>
      <c r="H8">
        <v>0</v>
      </c>
      <c r="I8">
        <v>0</v>
      </c>
      <c r="J8">
        <v>0</v>
      </c>
      <c r="K8">
        <v>0</v>
      </c>
      <c r="L8">
        <v>0</v>
      </c>
      <c r="M8">
        <v>0</v>
      </c>
      <c r="N8">
        <v>0</v>
      </c>
      <c r="O8">
        <v>0</v>
      </c>
      <c r="P8">
        <v>0</v>
      </c>
      <c r="Q8">
        <v>0</v>
      </c>
      <c r="R8">
        <v>0</v>
      </c>
      <c r="S8">
        <v>0</v>
      </c>
      <c r="T8">
        <v>0</v>
      </c>
      <c r="U8">
        <v>0</v>
      </c>
      <c r="V8">
        <v>0</v>
      </c>
      <c r="W8">
        <v>0</v>
      </c>
      <c r="X8">
        <v>0</v>
      </c>
      <c r="Y8">
        <v>0</v>
      </c>
      <c r="Z8">
        <v>0</v>
      </c>
      <c r="AA8">
        <v>0</v>
      </c>
      <c r="AB8">
        <v>0</v>
      </c>
      <c r="AC8">
        <v>0</v>
      </c>
      <c r="AD8">
        <v>0</v>
      </c>
      <c r="AE8">
        <v>0</v>
      </c>
    </row>
    <row r="9" spans="1:31">
      <c r="A9" t="s">
        <v>82</v>
      </c>
      <c r="B9">
        <v>0</v>
      </c>
      <c r="C9">
        <v>0</v>
      </c>
      <c r="D9">
        <v>0</v>
      </c>
      <c r="E9">
        <v>0</v>
      </c>
      <c r="F9">
        <v>0</v>
      </c>
      <c r="G9">
        <v>0</v>
      </c>
      <c r="H9">
        <v>0</v>
      </c>
      <c r="I9">
        <v>0</v>
      </c>
      <c r="J9">
        <v>0</v>
      </c>
      <c r="K9">
        <v>0</v>
      </c>
      <c r="L9">
        <v>0</v>
      </c>
      <c r="M9">
        <v>0</v>
      </c>
      <c r="N9">
        <v>0</v>
      </c>
      <c r="O9">
        <v>0</v>
      </c>
      <c r="P9">
        <v>0</v>
      </c>
      <c r="Q9">
        <v>0</v>
      </c>
      <c r="R9">
        <v>0</v>
      </c>
      <c r="S9">
        <v>0</v>
      </c>
      <c r="T9">
        <v>0</v>
      </c>
      <c r="U9">
        <v>0</v>
      </c>
      <c r="V9">
        <v>0</v>
      </c>
      <c r="W9">
        <v>0</v>
      </c>
      <c r="X9">
        <v>0</v>
      </c>
      <c r="Y9">
        <v>0</v>
      </c>
      <c r="Z9">
        <v>0</v>
      </c>
      <c r="AA9">
        <v>0</v>
      </c>
      <c r="AB9">
        <v>0</v>
      </c>
      <c r="AC9">
        <v>0</v>
      </c>
      <c r="AD9">
        <v>0</v>
      </c>
      <c r="AE9">
        <v>0</v>
      </c>
    </row>
    <row r="10" spans="1:31">
      <c r="A10" t="s">
        <v>83</v>
      </c>
      <c r="B10">
        <v>0</v>
      </c>
      <c r="C10">
        <v>0</v>
      </c>
      <c r="D10">
        <v>0</v>
      </c>
      <c r="E10">
        <v>0</v>
      </c>
      <c r="F10">
        <v>0</v>
      </c>
      <c r="G10">
        <v>0</v>
      </c>
      <c r="H10">
        <v>0</v>
      </c>
      <c r="I10">
        <v>0</v>
      </c>
      <c r="J10">
        <v>0</v>
      </c>
      <c r="K10">
        <v>0</v>
      </c>
      <c r="L10">
        <v>0</v>
      </c>
      <c r="M10">
        <v>0</v>
      </c>
      <c r="N10">
        <v>0</v>
      </c>
      <c r="O10">
        <v>0</v>
      </c>
      <c r="P10">
        <v>0</v>
      </c>
      <c r="Q10">
        <v>0</v>
      </c>
      <c r="R10">
        <v>0</v>
      </c>
      <c r="S10">
        <v>0</v>
      </c>
      <c r="T10">
        <v>0</v>
      </c>
      <c r="U10">
        <v>0</v>
      </c>
      <c r="V10">
        <v>0</v>
      </c>
      <c r="W10">
        <v>0</v>
      </c>
      <c r="X10">
        <v>0</v>
      </c>
      <c r="Y10">
        <v>0</v>
      </c>
      <c r="Z10">
        <v>0</v>
      </c>
      <c r="AA10">
        <v>0</v>
      </c>
      <c r="AB10">
        <v>0</v>
      </c>
      <c r="AC10">
        <v>0</v>
      </c>
      <c r="AD10">
        <v>0</v>
      </c>
      <c r="AE10">
        <v>0</v>
      </c>
    </row>
    <row r="11" spans="1:31">
      <c r="A11" t="s">
        <v>84</v>
      </c>
      <c r="B11">
        <v>0</v>
      </c>
      <c r="C11">
        <v>0</v>
      </c>
      <c r="D11">
        <v>0</v>
      </c>
      <c r="E11">
        <v>0</v>
      </c>
      <c r="F11">
        <v>0</v>
      </c>
      <c r="G11">
        <v>0</v>
      </c>
      <c r="H11">
        <v>0</v>
      </c>
      <c r="I11">
        <v>0</v>
      </c>
      <c r="J11">
        <v>0</v>
      </c>
      <c r="K11">
        <v>0</v>
      </c>
      <c r="L11">
        <v>0</v>
      </c>
      <c r="M11">
        <v>0</v>
      </c>
      <c r="N11">
        <v>0</v>
      </c>
      <c r="O11">
        <v>0</v>
      </c>
      <c r="P11">
        <v>0</v>
      </c>
      <c r="Q11">
        <v>0</v>
      </c>
      <c r="R11">
        <v>0</v>
      </c>
      <c r="S11">
        <v>0</v>
      </c>
      <c r="T11">
        <v>0</v>
      </c>
      <c r="U11">
        <v>0</v>
      </c>
      <c r="V11">
        <v>0</v>
      </c>
      <c r="W11">
        <v>0</v>
      </c>
      <c r="X11">
        <v>0</v>
      </c>
      <c r="Y11">
        <v>0</v>
      </c>
      <c r="Z11">
        <v>0</v>
      </c>
      <c r="AA11">
        <v>0</v>
      </c>
      <c r="AB11">
        <v>0</v>
      </c>
      <c r="AC11">
        <v>0</v>
      </c>
      <c r="AD11">
        <v>0</v>
      </c>
      <c r="AE11">
        <v>0</v>
      </c>
    </row>
  </sheetData>
  <pageMargins left="0.7" right="0.7" top="0.75" bottom="0.75" header="0.3" footer="0.3"/>
</worksheet>
</file>

<file path=xl/worksheets/sheet3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700-000000000000}">
  <sheetPr>
    <tabColor theme="3"/>
  </sheetPr>
  <dimension ref="A1:AE11"/>
  <sheetViews>
    <sheetView workbookViewId="0"/>
  </sheetViews>
  <sheetFormatPr defaultRowHeight="14.25"/>
  <cols>
    <col min="1" max="1" width="22.53125" customWidth="1"/>
  </cols>
  <sheetData>
    <row r="1" spans="1:31" ht="28.5">
      <c r="A1" s="10" t="s">
        <v>85</v>
      </c>
      <c r="B1">
        <v>2021</v>
      </c>
      <c r="C1">
        <v>2022</v>
      </c>
      <c r="D1">
        <v>2023</v>
      </c>
      <c r="E1">
        <v>2024</v>
      </c>
      <c r="F1">
        <v>2025</v>
      </c>
      <c r="G1">
        <v>2026</v>
      </c>
      <c r="H1">
        <v>2027</v>
      </c>
      <c r="I1">
        <v>2028</v>
      </c>
      <c r="J1">
        <v>2029</v>
      </c>
      <c r="K1">
        <v>2030</v>
      </c>
      <c r="L1">
        <v>2031</v>
      </c>
      <c r="M1">
        <v>2032</v>
      </c>
      <c r="N1">
        <v>2033</v>
      </c>
      <c r="O1">
        <v>2034</v>
      </c>
      <c r="P1">
        <v>2035</v>
      </c>
      <c r="Q1">
        <v>2036</v>
      </c>
      <c r="R1">
        <v>2037</v>
      </c>
      <c r="S1">
        <v>2038</v>
      </c>
      <c r="T1">
        <v>2039</v>
      </c>
      <c r="U1">
        <v>2040</v>
      </c>
      <c r="V1">
        <v>2041</v>
      </c>
      <c r="W1">
        <v>2042</v>
      </c>
      <c r="X1">
        <v>2043</v>
      </c>
      <c r="Y1">
        <v>2044</v>
      </c>
      <c r="Z1">
        <v>2045</v>
      </c>
      <c r="AA1">
        <v>2046</v>
      </c>
      <c r="AB1">
        <v>2047</v>
      </c>
      <c r="AC1">
        <v>2048</v>
      </c>
      <c r="AD1">
        <v>2049</v>
      </c>
      <c r="AE1">
        <v>2050</v>
      </c>
    </row>
    <row r="2" spans="1:31">
      <c r="A2" t="s">
        <v>15</v>
      </c>
      <c r="B2">
        <v>0</v>
      </c>
      <c r="C2">
        <v>0</v>
      </c>
      <c r="D2">
        <v>0</v>
      </c>
      <c r="E2">
        <v>0</v>
      </c>
      <c r="F2">
        <v>0</v>
      </c>
      <c r="G2">
        <v>0</v>
      </c>
      <c r="H2">
        <v>0</v>
      </c>
      <c r="I2">
        <v>0</v>
      </c>
      <c r="J2">
        <v>0</v>
      </c>
      <c r="K2">
        <v>0</v>
      </c>
      <c r="L2">
        <v>0</v>
      </c>
      <c r="M2">
        <v>0</v>
      </c>
      <c r="N2">
        <v>0</v>
      </c>
      <c r="O2">
        <v>0</v>
      </c>
      <c r="P2">
        <v>0</v>
      </c>
      <c r="Q2">
        <v>0</v>
      </c>
      <c r="R2">
        <v>0</v>
      </c>
      <c r="S2">
        <v>0</v>
      </c>
      <c r="T2">
        <v>0</v>
      </c>
      <c r="U2">
        <v>0</v>
      </c>
      <c r="V2">
        <v>0</v>
      </c>
      <c r="W2">
        <v>0</v>
      </c>
      <c r="X2">
        <v>0</v>
      </c>
      <c r="Y2">
        <v>0</v>
      </c>
      <c r="Z2">
        <v>0</v>
      </c>
      <c r="AA2">
        <v>0</v>
      </c>
      <c r="AB2">
        <v>0</v>
      </c>
      <c r="AC2">
        <v>0</v>
      </c>
      <c r="AD2">
        <v>0</v>
      </c>
      <c r="AE2">
        <v>0</v>
      </c>
    </row>
    <row r="3" spans="1:31">
      <c r="A3" t="s">
        <v>16</v>
      </c>
      <c r="B3">
        <v>1</v>
      </c>
      <c r="C3">
        <v>1</v>
      </c>
      <c r="D3">
        <v>1</v>
      </c>
      <c r="E3">
        <v>1</v>
      </c>
      <c r="F3">
        <v>1</v>
      </c>
      <c r="G3">
        <v>1</v>
      </c>
      <c r="H3">
        <v>1</v>
      </c>
      <c r="I3">
        <v>1</v>
      </c>
      <c r="J3">
        <v>1</v>
      </c>
      <c r="K3">
        <v>1</v>
      </c>
      <c r="L3">
        <v>1</v>
      </c>
      <c r="M3">
        <v>1</v>
      </c>
      <c r="N3">
        <v>1</v>
      </c>
      <c r="O3">
        <v>1</v>
      </c>
      <c r="P3">
        <v>1</v>
      </c>
      <c r="Q3">
        <v>1</v>
      </c>
      <c r="R3">
        <v>1</v>
      </c>
      <c r="S3">
        <v>1</v>
      </c>
      <c r="T3">
        <v>1</v>
      </c>
      <c r="U3">
        <v>1</v>
      </c>
      <c r="V3">
        <v>1</v>
      </c>
      <c r="W3">
        <v>1</v>
      </c>
      <c r="X3">
        <v>1</v>
      </c>
      <c r="Y3">
        <v>1</v>
      </c>
      <c r="Z3">
        <v>1</v>
      </c>
      <c r="AA3">
        <v>1</v>
      </c>
      <c r="AB3">
        <v>1</v>
      </c>
      <c r="AC3">
        <v>1</v>
      </c>
      <c r="AD3">
        <v>1</v>
      </c>
      <c r="AE3">
        <v>1</v>
      </c>
    </row>
    <row r="4" spans="1:31">
      <c r="A4" t="s">
        <v>17</v>
      </c>
      <c r="B4">
        <v>0</v>
      </c>
      <c r="C4">
        <v>0</v>
      </c>
      <c r="D4">
        <v>0</v>
      </c>
      <c r="E4">
        <v>0</v>
      </c>
      <c r="F4">
        <v>0</v>
      </c>
      <c r="G4">
        <v>0</v>
      </c>
      <c r="H4">
        <v>0</v>
      </c>
      <c r="I4">
        <v>0</v>
      </c>
      <c r="J4">
        <v>0</v>
      </c>
      <c r="K4">
        <v>0</v>
      </c>
      <c r="L4">
        <v>0</v>
      </c>
      <c r="M4">
        <v>0</v>
      </c>
      <c r="N4">
        <v>0</v>
      </c>
      <c r="O4">
        <v>0</v>
      </c>
      <c r="P4">
        <v>0</v>
      </c>
      <c r="Q4">
        <v>0</v>
      </c>
      <c r="R4">
        <v>0</v>
      </c>
      <c r="S4">
        <v>0</v>
      </c>
      <c r="T4">
        <v>0</v>
      </c>
      <c r="U4">
        <v>0</v>
      </c>
      <c r="V4">
        <v>0</v>
      </c>
      <c r="W4">
        <v>0</v>
      </c>
      <c r="X4">
        <v>0</v>
      </c>
      <c r="Y4">
        <v>0</v>
      </c>
      <c r="Z4">
        <v>0</v>
      </c>
      <c r="AA4">
        <v>0</v>
      </c>
      <c r="AB4">
        <v>0</v>
      </c>
      <c r="AC4">
        <v>0</v>
      </c>
      <c r="AD4">
        <v>0</v>
      </c>
      <c r="AE4">
        <v>0</v>
      </c>
    </row>
    <row r="5" spans="1:31">
      <c r="A5" t="s">
        <v>18</v>
      </c>
      <c r="B5">
        <v>0</v>
      </c>
      <c r="C5">
        <v>0</v>
      </c>
      <c r="D5">
        <v>0</v>
      </c>
      <c r="E5">
        <v>0</v>
      </c>
      <c r="F5">
        <v>0</v>
      </c>
      <c r="G5">
        <v>0</v>
      </c>
      <c r="H5">
        <v>0</v>
      </c>
      <c r="I5">
        <v>0</v>
      </c>
      <c r="J5">
        <v>0</v>
      </c>
      <c r="K5">
        <v>0</v>
      </c>
      <c r="L5">
        <v>0</v>
      </c>
      <c r="M5">
        <v>0</v>
      </c>
      <c r="N5">
        <v>0</v>
      </c>
      <c r="O5">
        <v>0</v>
      </c>
      <c r="P5">
        <v>0</v>
      </c>
      <c r="Q5">
        <v>0</v>
      </c>
      <c r="R5">
        <v>0</v>
      </c>
      <c r="S5">
        <v>0</v>
      </c>
      <c r="T5">
        <v>0</v>
      </c>
      <c r="U5">
        <v>0</v>
      </c>
      <c r="V5">
        <v>0</v>
      </c>
      <c r="W5">
        <v>0</v>
      </c>
      <c r="X5">
        <v>0</v>
      </c>
      <c r="Y5">
        <v>0</v>
      </c>
      <c r="Z5">
        <v>0</v>
      </c>
      <c r="AA5">
        <v>0</v>
      </c>
      <c r="AB5">
        <v>0</v>
      </c>
      <c r="AC5">
        <v>0</v>
      </c>
      <c r="AD5">
        <v>0</v>
      </c>
      <c r="AE5">
        <v>0</v>
      </c>
    </row>
    <row r="6" spans="1:31">
      <c r="A6" t="s">
        <v>19</v>
      </c>
      <c r="B6">
        <v>0</v>
      </c>
      <c r="C6">
        <v>0</v>
      </c>
      <c r="D6">
        <v>0</v>
      </c>
      <c r="E6">
        <v>0</v>
      </c>
      <c r="F6">
        <v>0</v>
      </c>
      <c r="G6">
        <v>0</v>
      </c>
      <c r="H6">
        <v>0</v>
      </c>
      <c r="I6">
        <v>0</v>
      </c>
      <c r="J6">
        <v>0</v>
      </c>
      <c r="K6">
        <v>0</v>
      </c>
      <c r="L6">
        <v>0</v>
      </c>
      <c r="M6">
        <v>0</v>
      </c>
      <c r="N6">
        <v>0</v>
      </c>
      <c r="O6">
        <v>0</v>
      </c>
      <c r="P6">
        <v>0</v>
      </c>
      <c r="Q6">
        <v>0</v>
      </c>
      <c r="R6">
        <v>0</v>
      </c>
      <c r="S6">
        <v>0</v>
      </c>
      <c r="T6">
        <v>0</v>
      </c>
      <c r="U6">
        <v>0</v>
      </c>
      <c r="V6">
        <v>0</v>
      </c>
      <c r="W6">
        <v>0</v>
      </c>
      <c r="X6">
        <v>0</v>
      </c>
      <c r="Y6">
        <v>0</v>
      </c>
      <c r="Z6">
        <v>0</v>
      </c>
      <c r="AA6">
        <v>0</v>
      </c>
      <c r="AB6">
        <v>0</v>
      </c>
      <c r="AC6">
        <v>0</v>
      </c>
      <c r="AD6">
        <v>0</v>
      </c>
      <c r="AE6">
        <v>0</v>
      </c>
    </row>
    <row r="7" spans="1:31">
      <c r="A7" t="s">
        <v>21</v>
      </c>
      <c r="B7">
        <v>0</v>
      </c>
      <c r="C7">
        <v>0</v>
      </c>
      <c r="D7">
        <v>0</v>
      </c>
      <c r="E7">
        <v>0</v>
      </c>
      <c r="F7">
        <v>0</v>
      </c>
      <c r="G7">
        <v>0</v>
      </c>
      <c r="H7">
        <v>0</v>
      </c>
      <c r="I7">
        <v>0</v>
      </c>
      <c r="J7">
        <v>0</v>
      </c>
      <c r="K7">
        <v>0</v>
      </c>
      <c r="L7">
        <v>0</v>
      </c>
      <c r="M7">
        <v>0</v>
      </c>
      <c r="N7">
        <v>0</v>
      </c>
      <c r="O7">
        <v>0</v>
      </c>
      <c r="P7">
        <v>0</v>
      </c>
      <c r="Q7">
        <v>0</v>
      </c>
      <c r="R7">
        <v>0</v>
      </c>
      <c r="S7">
        <v>0</v>
      </c>
      <c r="T7">
        <v>0</v>
      </c>
      <c r="U7">
        <v>0</v>
      </c>
      <c r="V7">
        <v>0</v>
      </c>
      <c r="W7">
        <v>0</v>
      </c>
      <c r="X7">
        <v>0</v>
      </c>
      <c r="Y7">
        <v>0</v>
      </c>
      <c r="Z7">
        <v>0</v>
      </c>
      <c r="AA7">
        <v>0</v>
      </c>
      <c r="AB7">
        <v>0</v>
      </c>
      <c r="AC7">
        <v>0</v>
      </c>
      <c r="AD7">
        <v>0</v>
      </c>
      <c r="AE7">
        <v>0</v>
      </c>
    </row>
    <row r="8" spans="1:31">
      <c r="A8" t="s">
        <v>20</v>
      </c>
      <c r="B8">
        <v>0</v>
      </c>
      <c r="C8">
        <v>0</v>
      </c>
      <c r="D8">
        <v>0</v>
      </c>
      <c r="E8">
        <v>0</v>
      </c>
      <c r="F8">
        <v>0</v>
      </c>
      <c r="G8">
        <v>0</v>
      </c>
      <c r="H8">
        <v>0</v>
      </c>
      <c r="I8">
        <v>0</v>
      </c>
      <c r="J8">
        <v>0</v>
      </c>
      <c r="K8">
        <v>0</v>
      </c>
      <c r="L8">
        <v>0</v>
      </c>
      <c r="M8">
        <v>0</v>
      </c>
      <c r="N8">
        <v>0</v>
      </c>
      <c r="O8">
        <v>0</v>
      </c>
      <c r="P8">
        <v>0</v>
      </c>
      <c r="Q8">
        <v>0</v>
      </c>
      <c r="R8">
        <v>0</v>
      </c>
      <c r="S8">
        <v>0</v>
      </c>
      <c r="T8">
        <v>0</v>
      </c>
      <c r="U8">
        <v>0</v>
      </c>
      <c r="V8">
        <v>0</v>
      </c>
      <c r="W8">
        <v>0</v>
      </c>
      <c r="X8">
        <v>0</v>
      </c>
      <c r="Y8">
        <v>0</v>
      </c>
      <c r="Z8">
        <v>0</v>
      </c>
      <c r="AA8">
        <v>0</v>
      </c>
      <c r="AB8">
        <v>0</v>
      </c>
      <c r="AC8">
        <v>0</v>
      </c>
      <c r="AD8">
        <v>0</v>
      </c>
      <c r="AE8">
        <v>0</v>
      </c>
    </row>
    <row r="9" spans="1:31">
      <c r="A9" t="s">
        <v>82</v>
      </c>
      <c r="B9">
        <v>0</v>
      </c>
      <c r="C9">
        <v>0</v>
      </c>
      <c r="D9">
        <v>0</v>
      </c>
      <c r="E9">
        <v>0</v>
      </c>
      <c r="F9">
        <v>0</v>
      </c>
      <c r="G9">
        <v>0</v>
      </c>
      <c r="H9">
        <v>0</v>
      </c>
      <c r="I9">
        <v>0</v>
      </c>
      <c r="J9">
        <v>0</v>
      </c>
      <c r="K9">
        <v>0</v>
      </c>
      <c r="L9">
        <v>0</v>
      </c>
      <c r="M9">
        <v>0</v>
      </c>
      <c r="N9">
        <v>0</v>
      </c>
      <c r="O9">
        <v>0</v>
      </c>
      <c r="P9">
        <v>0</v>
      </c>
      <c r="Q9">
        <v>0</v>
      </c>
      <c r="R9">
        <v>0</v>
      </c>
      <c r="S9">
        <v>0</v>
      </c>
      <c r="T9">
        <v>0</v>
      </c>
      <c r="U9">
        <v>0</v>
      </c>
      <c r="V9">
        <v>0</v>
      </c>
      <c r="W9">
        <v>0</v>
      </c>
      <c r="X9">
        <v>0</v>
      </c>
      <c r="Y9">
        <v>0</v>
      </c>
      <c r="Z9">
        <v>0</v>
      </c>
      <c r="AA9">
        <v>0</v>
      </c>
      <c r="AB9">
        <v>0</v>
      </c>
      <c r="AC9">
        <v>0</v>
      </c>
      <c r="AD9">
        <v>0</v>
      </c>
      <c r="AE9">
        <v>0</v>
      </c>
    </row>
    <row r="10" spans="1:31">
      <c r="A10" t="s">
        <v>83</v>
      </c>
      <c r="B10">
        <v>0</v>
      </c>
      <c r="C10">
        <v>0</v>
      </c>
      <c r="D10">
        <v>0</v>
      </c>
      <c r="E10">
        <v>0</v>
      </c>
      <c r="F10">
        <v>0</v>
      </c>
      <c r="G10">
        <v>0</v>
      </c>
      <c r="H10">
        <v>0</v>
      </c>
      <c r="I10">
        <v>0</v>
      </c>
      <c r="J10">
        <v>0</v>
      </c>
      <c r="K10">
        <v>0</v>
      </c>
      <c r="L10">
        <v>0</v>
      </c>
      <c r="M10">
        <v>0</v>
      </c>
      <c r="N10">
        <v>0</v>
      </c>
      <c r="O10">
        <v>0</v>
      </c>
      <c r="P10">
        <v>0</v>
      </c>
      <c r="Q10">
        <v>0</v>
      </c>
      <c r="R10">
        <v>0</v>
      </c>
      <c r="S10">
        <v>0</v>
      </c>
      <c r="T10">
        <v>0</v>
      </c>
      <c r="U10">
        <v>0</v>
      </c>
      <c r="V10">
        <v>0</v>
      </c>
      <c r="W10">
        <v>0</v>
      </c>
      <c r="X10">
        <v>0</v>
      </c>
      <c r="Y10">
        <v>0</v>
      </c>
      <c r="Z10">
        <v>0</v>
      </c>
      <c r="AA10">
        <v>0</v>
      </c>
      <c r="AB10">
        <v>0</v>
      </c>
      <c r="AC10">
        <v>0</v>
      </c>
      <c r="AD10">
        <v>0</v>
      </c>
      <c r="AE10">
        <v>0</v>
      </c>
    </row>
    <row r="11" spans="1:31">
      <c r="A11" t="s">
        <v>84</v>
      </c>
      <c r="B11">
        <v>0</v>
      </c>
      <c r="C11">
        <v>0</v>
      </c>
      <c r="D11">
        <v>0</v>
      </c>
      <c r="E11">
        <v>0</v>
      </c>
      <c r="F11">
        <v>0</v>
      </c>
      <c r="G11">
        <v>0</v>
      </c>
      <c r="H11">
        <v>0</v>
      </c>
      <c r="I11">
        <v>0</v>
      </c>
      <c r="J11">
        <v>0</v>
      </c>
      <c r="K11">
        <v>0</v>
      </c>
      <c r="L11">
        <v>0</v>
      </c>
      <c r="M11">
        <v>0</v>
      </c>
      <c r="N11">
        <v>0</v>
      </c>
      <c r="O11">
        <v>0</v>
      </c>
      <c r="P11">
        <v>0</v>
      </c>
      <c r="Q11">
        <v>0</v>
      </c>
      <c r="R11">
        <v>0</v>
      </c>
      <c r="S11">
        <v>0</v>
      </c>
      <c r="T11">
        <v>0</v>
      </c>
      <c r="U11">
        <v>0</v>
      </c>
      <c r="V11">
        <v>0</v>
      </c>
      <c r="W11">
        <v>0</v>
      </c>
      <c r="X11">
        <v>0</v>
      </c>
      <c r="Y11">
        <v>0</v>
      </c>
      <c r="Z11">
        <v>0</v>
      </c>
      <c r="AA11">
        <v>0</v>
      </c>
      <c r="AB11">
        <v>0</v>
      </c>
      <c r="AC11">
        <v>0</v>
      </c>
      <c r="AD11">
        <v>0</v>
      </c>
      <c r="AE11">
        <v>0</v>
      </c>
    </row>
  </sheetData>
  <pageMargins left="0.7" right="0.7" top="0.75" bottom="0.75" header="0.3" footer="0.3"/>
</worksheet>
</file>

<file path=xl/worksheets/sheet3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800-000000000000}">
  <sheetPr>
    <tabColor theme="3"/>
  </sheetPr>
  <dimension ref="A1:AE11"/>
  <sheetViews>
    <sheetView workbookViewId="0">
      <selection activeCell="A6" sqref="A6"/>
    </sheetView>
  </sheetViews>
  <sheetFormatPr defaultRowHeight="14.25"/>
  <cols>
    <col min="1" max="1" width="22.53125" customWidth="1"/>
  </cols>
  <sheetData>
    <row r="1" spans="1:31" ht="28.5">
      <c r="A1" s="10" t="s">
        <v>85</v>
      </c>
      <c r="B1">
        <v>2021</v>
      </c>
      <c r="C1">
        <v>2022</v>
      </c>
      <c r="D1">
        <v>2023</v>
      </c>
      <c r="E1">
        <v>2024</v>
      </c>
      <c r="F1">
        <v>2025</v>
      </c>
      <c r="G1">
        <v>2026</v>
      </c>
      <c r="H1">
        <v>2027</v>
      </c>
      <c r="I1">
        <v>2028</v>
      </c>
      <c r="J1">
        <v>2029</v>
      </c>
      <c r="K1">
        <v>2030</v>
      </c>
      <c r="L1">
        <v>2031</v>
      </c>
      <c r="M1">
        <v>2032</v>
      </c>
      <c r="N1">
        <v>2033</v>
      </c>
      <c r="O1">
        <v>2034</v>
      </c>
      <c r="P1">
        <v>2035</v>
      </c>
      <c r="Q1">
        <v>2036</v>
      </c>
      <c r="R1">
        <v>2037</v>
      </c>
      <c r="S1">
        <v>2038</v>
      </c>
      <c r="T1">
        <v>2039</v>
      </c>
      <c r="U1">
        <v>2040</v>
      </c>
      <c r="V1">
        <v>2041</v>
      </c>
      <c r="W1">
        <v>2042</v>
      </c>
      <c r="X1">
        <v>2043</v>
      </c>
      <c r="Y1">
        <v>2044</v>
      </c>
      <c r="Z1">
        <v>2045</v>
      </c>
      <c r="AA1">
        <v>2046</v>
      </c>
      <c r="AB1">
        <v>2047</v>
      </c>
      <c r="AC1">
        <v>2048</v>
      </c>
      <c r="AD1">
        <v>2049</v>
      </c>
      <c r="AE1">
        <v>2050</v>
      </c>
    </row>
    <row r="2" spans="1:31">
      <c r="A2" t="s">
        <v>15</v>
      </c>
      <c r="B2">
        <v>0</v>
      </c>
      <c r="C2">
        <v>0</v>
      </c>
      <c r="D2">
        <v>0</v>
      </c>
      <c r="E2">
        <v>0</v>
      </c>
      <c r="F2">
        <v>0</v>
      </c>
      <c r="G2">
        <v>0</v>
      </c>
      <c r="H2">
        <v>0</v>
      </c>
      <c r="I2">
        <v>0</v>
      </c>
      <c r="J2">
        <v>0</v>
      </c>
      <c r="K2">
        <v>0</v>
      </c>
      <c r="L2">
        <v>0</v>
      </c>
      <c r="M2">
        <v>0</v>
      </c>
      <c r="N2">
        <v>0</v>
      </c>
      <c r="O2">
        <v>0</v>
      </c>
      <c r="P2">
        <v>0</v>
      </c>
      <c r="Q2">
        <v>0</v>
      </c>
      <c r="R2">
        <v>0</v>
      </c>
      <c r="S2">
        <v>0</v>
      </c>
      <c r="T2">
        <v>0</v>
      </c>
      <c r="U2">
        <v>0</v>
      </c>
      <c r="V2">
        <v>0</v>
      </c>
      <c r="W2">
        <v>0</v>
      </c>
      <c r="X2">
        <v>0</v>
      </c>
      <c r="Y2">
        <v>0</v>
      </c>
      <c r="Z2">
        <v>0</v>
      </c>
      <c r="AA2">
        <v>0</v>
      </c>
      <c r="AB2">
        <v>0</v>
      </c>
      <c r="AC2">
        <v>0</v>
      </c>
      <c r="AD2">
        <v>0</v>
      </c>
      <c r="AE2">
        <v>0</v>
      </c>
    </row>
    <row r="3" spans="1:31">
      <c r="A3" t="s">
        <v>16</v>
      </c>
      <c r="B3">
        <v>0</v>
      </c>
      <c r="C3">
        <v>0</v>
      </c>
      <c r="D3">
        <v>0</v>
      </c>
      <c r="E3">
        <v>0</v>
      </c>
      <c r="F3">
        <v>0</v>
      </c>
      <c r="G3">
        <v>0</v>
      </c>
      <c r="H3">
        <v>0</v>
      </c>
      <c r="I3">
        <v>0</v>
      </c>
      <c r="J3">
        <v>0</v>
      </c>
      <c r="K3">
        <v>0</v>
      </c>
      <c r="L3">
        <v>0</v>
      </c>
      <c r="M3">
        <v>0</v>
      </c>
      <c r="N3">
        <v>0</v>
      </c>
      <c r="O3">
        <v>0</v>
      </c>
      <c r="P3">
        <v>0</v>
      </c>
      <c r="Q3">
        <v>0</v>
      </c>
      <c r="R3">
        <v>0</v>
      </c>
      <c r="S3">
        <v>0</v>
      </c>
      <c r="T3">
        <v>0</v>
      </c>
      <c r="U3">
        <v>0</v>
      </c>
      <c r="V3">
        <v>0</v>
      </c>
      <c r="W3">
        <v>0</v>
      </c>
      <c r="X3">
        <v>0</v>
      </c>
      <c r="Y3">
        <v>0</v>
      </c>
      <c r="Z3">
        <v>0</v>
      </c>
      <c r="AA3">
        <v>0</v>
      </c>
      <c r="AB3">
        <v>0</v>
      </c>
      <c r="AC3">
        <v>0</v>
      </c>
      <c r="AD3">
        <v>0</v>
      </c>
      <c r="AE3">
        <v>0</v>
      </c>
    </row>
    <row r="4" spans="1:31">
      <c r="A4" t="s">
        <v>17</v>
      </c>
      <c r="B4" s="2">
        <f t="shared" ref="B4:AE4" si="0">1-B6</f>
        <v>0.92710534558203916</v>
      </c>
      <c r="C4" s="2">
        <f t="shared" si="0"/>
        <v>0.92710534558203916</v>
      </c>
      <c r="D4" s="2">
        <f t="shared" si="0"/>
        <v>0.92710534558203916</v>
      </c>
      <c r="E4" s="2">
        <f t="shared" si="0"/>
        <v>0.92710534558203916</v>
      </c>
      <c r="F4" s="2">
        <f t="shared" si="0"/>
        <v>0.92710534558203916</v>
      </c>
      <c r="G4" s="2">
        <f t="shared" si="0"/>
        <v>0.92710534558203916</v>
      </c>
      <c r="H4" s="2">
        <f t="shared" si="0"/>
        <v>0.92710534558203916</v>
      </c>
      <c r="I4" s="2">
        <f t="shared" si="0"/>
        <v>0.92710534558203916</v>
      </c>
      <c r="J4" s="2">
        <f t="shared" si="0"/>
        <v>0.92710534558203916</v>
      </c>
      <c r="K4" s="2">
        <f t="shared" si="0"/>
        <v>0.92710534558203916</v>
      </c>
      <c r="L4" s="2">
        <f t="shared" si="0"/>
        <v>0.92710534558203916</v>
      </c>
      <c r="M4" s="2">
        <f t="shared" si="0"/>
        <v>0.92710534558203916</v>
      </c>
      <c r="N4" s="2">
        <f t="shared" si="0"/>
        <v>0.92710534558203916</v>
      </c>
      <c r="O4" s="2">
        <f t="shared" si="0"/>
        <v>0.92710534558203916</v>
      </c>
      <c r="P4" s="2">
        <f t="shared" si="0"/>
        <v>0.92710534558203916</v>
      </c>
      <c r="Q4" s="2">
        <f t="shared" si="0"/>
        <v>0.92710534558203916</v>
      </c>
      <c r="R4" s="2">
        <f t="shared" si="0"/>
        <v>0.92710534558203916</v>
      </c>
      <c r="S4" s="2">
        <f t="shared" si="0"/>
        <v>0.92710534558203916</v>
      </c>
      <c r="T4" s="2">
        <f t="shared" si="0"/>
        <v>0.92710534558203916</v>
      </c>
      <c r="U4" s="2">
        <f t="shared" si="0"/>
        <v>0.92710534558203916</v>
      </c>
      <c r="V4" s="2">
        <f t="shared" si="0"/>
        <v>0.92710534558203916</v>
      </c>
      <c r="W4" s="2">
        <f t="shared" si="0"/>
        <v>0.92710534558203916</v>
      </c>
      <c r="X4" s="2">
        <f t="shared" si="0"/>
        <v>0.92710534558203916</v>
      </c>
      <c r="Y4" s="2">
        <f t="shared" si="0"/>
        <v>0.92710534558203916</v>
      </c>
      <c r="Z4" s="2">
        <f t="shared" si="0"/>
        <v>0.92710534558203916</v>
      </c>
      <c r="AA4" s="2">
        <f t="shared" si="0"/>
        <v>0.92710534558203916</v>
      </c>
      <c r="AB4" s="2">
        <f t="shared" si="0"/>
        <v>0.92710534558203916</v>
      </c>
      <c r="AC4" s="2">
        <f t="shared" si="0"/>
        <v>0.92710534558203916</v>
      </c>
      <c r="AD4" s="2">
        <f t="shared" si="0"/>
        <v>0.92710534558203916</v>
      </c>
      <c r="AE4" s="2">
        <f t="shared" si="0"/>
        <v>0.92710534558203916</v>
      </c>
    </row>
    <row r="5" spans="1:31">
      <c r="A5" t="s">
        <v>18</v>
      </c>
      <c r="B5">
        <v>0</v>
      </c>
      <c r="C5">
        <v>0</v>
      </c>
      <c r="D5">
        <v>0</v>
      </c>
      <c r="E5">
        <v>0</v>
      </c>
      <c r="F5">
        <v>0</v>
      </c>
      <c r="G5">
        <v>0</v>
      </c>
      <c r="H5">
        <v>0</v>
      </c>
      <c r="I5">
        <v>0</v>
      </c>
      <c r="J5">
        <v>0</v>
      </c>
      <c r="K5">
        <v>0</v>
      </c>
      <c r="L5">
        <v>0</v>
      </c>
      <c r="M5">
        <v>0</v>
      </c>
      <c r="N5">
        <v>0</v>
      </c>
      <c r="O5">
        <v>0</v>
      </c>
      <c r="P5">
        <v>0</v>
      </c>
      <c r="Q5">
        <v>0</v>
      </c>
      <c r="R5">
        <v>0</v>
      </c>
      <c r="S5">
        <v>0</v>
      </c>
      <c r="T5">
        <v>0</v>
      </c>
      <c r="U5">
        <v>0</v>
      </c>
      <c r="V5">
        <v>0</v>
      </c>
      <c r="W5">
        <v>0</v>
      </c>
      <c r="X5">
        <v>0</v>
      </c>
      <c r="Y5">
        <v>0</v>
      </c>
      <c r="Z5">
        <v>0</v>
      </c>
      <c r="AA5">
        <v>0</v>
      </c>
      <c r="AB5">
        <v>0</v>
      </c>
      <c r="AC5">
        <v>0</v>
      </c>
      <c r="AD5">
        <v>0</v>
      </c>
      <c r="AE5">
        <v>0</v>
      </c>
    </row>
    <row r="6" spans="1:31">
      <c r="A6" t="s">
        <v>19</v>
      </c>
      <c r="B6" s="2">
        <f>'ethanol content'!$J$3</f>
        <v>7.2894654417960836E-2</v>
      </c>
      <c r="C6" s="2">
        <f>$B$6</f>
        <v>7.2894654417960836E-2</v>
      </c>
      <c r="D6" s="2">
        <f t="shared" ref="D6:AE6" si="1">$B$6</f>
        <v>7.2894654417960836E-2</v>
      </c>
      <c r="E6" s="2">
        <f t="shared" si="1"/>
        <v>7.2894654417960836E-2</v>
      </c>
      <c r="F6" s="2">
        <f t="shared" si="1"/>
        <v>7.2894654417960836E-2</v>
      </c>
      <c r="G6" s="2">
        <f t="shared" si="1"/>
        <v>7.2894654417960836E-2</v>
      </c>
      <c r="H6" s="2">
        <f t="shared" si="1"/>
        <v>7.2894654417960836E-2</v>
      </c>
      <c r="I6" s="2">
        <f t="shared" si="1"/>
        <v>7.2894654417960836E-2</v>
      </c>
      <c r="J6" s="2">
        <f t="shared" si="1"/>
        <v>7.2894654417960836E-2</v>
      </c>
      <c r="K6" s="2">
        <f t="shared" si="1"/>
        <v>7.2894654417960836E-2</v>
      </c>
      <c r="L6" s="2">
        <f t="shared" si="1"/>
        <v>7.2894654417960836E-2</v>
      </c>
      <c r="M6" s="2">
        <f t="shared" si="1"/>
        <v>7.2894654417960836E-2</v>
      </c>
      <c r="N6" s="2">
        <f t="shared" si="1"/>
        <v>7.2894654417960836E-2</v>
      </c>
      <c r="O6" s="2">
        <f t="shared" si="1"/>
        <v>7.2894654417960836E-2</v>
      </c>
      <c r="P6" s="2">
        <f t="shared" si="1"/>
        <v>7.2894654417960836E-2</v>
      </c>
      <c r="Q6" s="2">
        <f t="shared" si="1"/>
        <v>7.2894654417960836E-2</v>
      </c>
      <c r="R6" s="2">
        <f t="shared" si="1"/>
        <v>7.2894654417960836E-2</v>
      </c>
      <c r="S6" s="2">
        <f t="shared" si="1"/>
        <v>7.2894654417960836E-2</v>
      </c>
      <c r="T6" s="2">
        <f t="shared" si="1"/>
        <v>7.2894654417960836E-2</v>
      </c>
      <c r="U6" s="2">
        <f t="shared" si="1"/>
        <v>7.2894654417960836E-2</v>
      </c>
      <c r="V6" s="2">
        <f t="shared" si="1"/>
        <v>7.2894654417960836E-2</v>
      </c>
      <c r="W6" s="2">
        <f t="shared" si="1"/>
        <v>7.2894654417960836E-2</v>
      </c>
      <c r="X6" s="2">
        <f t="shared" si="1"/>
        <v>7.2894654417960836E-2</v>
      </c>
      <c r="Y6" s="2">
        <f t="shared" si="1"/>
        <v>7.2894654417960836E-2</v>
      </c>
      <c r="Z6" s="2">
        <f t="shared" si="1"/>
        <v>7.2894654417960836E-2</v>
      </c>
      <c r="AA6" s="2">
        <f t="shared" si="1"/>
        <v>7.2894654417960836E-2</v>
      </c>
      <c r="AB6" s="2">
        <f t="shared" si="1"/>
        <v>7.2894654417960836E-2</v>
      </c>
      <c r="AC6" s="2">
        <f t="shared" si="1"/>
        <v>7.2894654417960836E-2</v>
      </c>
      <c r="AD6" s="2">
        <f t="shared" si="1"/>
        <v>7.2894654417960836E-2</v>
      </c>
      <c r="AE6" s="2">
        <f t="shared" si="1"/>
        <v>7.2894654417960836E-2</v>
      </c>
    </row>
    <row r="7" spans="1:31">
      <c r="A7" t="s">
        <v>21</v>
      </c>
      <c r="B7">
        <v>0</v>
      </c>
      <c r="C7">
        <v>0</v>
      </c>
      <c r="D7">
        <v>0</v>
      </c>
      <c r="E7">
        <v>0</v>
      </c>
      <c r="F7">
        <v>0</v>
      </c>
      <c r="G7">
        <v>0</v>
      </c>
      <c r="H7">
        <v>0</v>
      </c>
      <c r="I7">
        <v>0</v>
      </c>
      <c r="J7">
        <v>0</v>
      </c>
      <c r="K7">
        <v>0</v>
      </c>
      <c r="L7">
        <v>0</v>
      </c>
      <c r="M7">
        <v>0</v>
      </c>
      <c r="N7">
        <v>0</v>
      </c>
      <c r="O7">
        <v>0</v>
      </c>
      <c r="P7">
        <v>0</v>
      </c>
      <c r="Q7">
        <v>0</v>
      </c>
      <c r="R7">
        <v>0</v>
      </c>
      <c r="S7">
        <v>0</v>
      </c>
      <c r="T7">
        <v>0</v>
      </c>
      <c r="U7">
        <v>0</v>
      </c>
      <c r="V7">
        <v>0</v>
      </c>
      <c r="W7">
        <v>0</v>
      </c>
      <c r="X7">
        <v>0</v>
      </c>
      <c r="Y7">
        <v>0</v>
      </c>
      <c r="Z7">
        <v>0</v>
      </c>
      <c r="AA7">
        <v>0</v>
      </c>
      <c r="AB7">
        <v>0</v>
      </c>
      <c r="AC7">
        <v>0</v>
      </c>
      <c r="AD7">
        <v>0</v>
      </c>
      <c r="AE7">
        <v>0</v>
      </c>
    </row>
    <row r="8" spans="1:31">
      <c r="A8" t="s">
        <v>20</v>
      </c>
      <c r="B8">
        <v>0</v>
      </c>
      <c r="C8">
        <v>0</v>
      </c>
      <c r="D8">
        <v>0</v>
      </c>
      <c r="E8">
        <v>0</v>
      </c>
      <c r="F8">
        <v>0</v>
      </c>
      <c r="G8">
        <v>0</v>
      </c>
      <c r="H8">
        <v>0</v>
      </c>
      <c r="I8">
        <v>0</v>
      </c>
      <c r="J8">
        <v>0</v>
      </c>
      <c r="K8">
        <v>0</v>
      </c>
      <c r="L8">
        <v>0</v>
      </c>
      <c r="M8">
        <v>0</v>
      </c>
      <c r="N8">
        <v>0</v>
      </c>
      <c r="O8">
        <v>0</v>
      </c>
      <c r="P8">
        <v>0</v>
      </c>
      <c r="Q8">
        <v>0</v>
      </c>
      <c r="R8">
        <v>0</v>
      </c>
      <c r="S8">
        <v>0</v>
      </c>
      <c r="T8">
        <v>0</v>
      </c>
      <c r="U8">
        <v>0</v>
      </c>
      <c r="V8">
        <v>0</v>
      </c>
      <c r="W8">
        <v>0</v>
      </c>
      <c r="X8">
        <v>0</v>
      </c>
      <c r="Y8">
        <v>0</v>
      </c>
      <c r="Z8">
        <v>0</v>
      </c>
      <c r="AA8">
        <v>0</v>
      </c>
      <c r="AB8">
        <v>0</v>
      </c>
      <c r="AC8">
        <v>0</v>
      </c>
      <c r="AD8">
        <v>0</v>
      </c>
      <c r="AE8">
        <v>0</v>
      </c>
    </row>
    <row r="9" spans="1:31">
      <c r="A9" t="s">
        <v>82</v>
      </c>
      <c r="B9">
        <v>0</v>
      </c>
      <c r="C9">
        <v>0</v>
      </c>
      <c r="D9">
        <v>0</v>
      </c>
      <c r="E9">
        <v>0</v>
      </c>
      <c r="F9">
        <v>0</v>
      </c>
      <c r="G9">
        <v>0</v>
      </c>
      <c r="H9">
        <v>0</v>
      </c>
      <c r="I9">
        <v>0</v>
      </c>
      <c r="J9">
        <v>0</v>
      </c>
      <c r="K9">
        <v>0</v>
      </c>
      <c r="L9">
        <v>0</v>
      </c>
      <c r="M9">
        <v>0</v>
      </c>
      <c r="N9">
        <v>0</v>
      </c>
      <c r="O9">
        <v>0</v>
      </c>
      <c r="P9">
        <v>0</v>
      </c>
      <c r="Q9">
        <v>0</v>
      </c>
      <c r="R9">
        <v>0</v>
      </c>
      <c r="S9">
        <v>0</v>
      </c>
      <c r="T9">
        <v>0</v>
      </c>
      <c r="U9">
        <v>0</v>
      </c>
      <c r="V9">
        <v>0</v>
      </c>
      <c r="W9">
        <v>0</v>
      </c>
      <c r="X9">
        <v>0</v>
      </c>
      <c r="Y9">
        <v>0</v>
      </c>
      <c r="Z9">
        <v>0</v>
      </c>
      <c r="AA9">
        <v>0</v>
      </c>
      <c r="AB9">
        <v>0</v>
      </c>
      <c r="AC9">
        <v>0</v>
      </c>
      <c r="AD9">
        <v>0</v>
      </c>
      <c r="AE9">
        <v>0</v>
      </c>
    </row>
    <row r="10" spans="1:31">
      <c r="A10" t="s">
        <v>83</v>
      </c>
      <c r="B10">
        <v>0</v>
      </c>
      <c r="C10">
        <v>0</v>
      </c>
      <c r="D10">
        <v>0</v>
      </c>
      <c r="E10">
        <v>0</v>
      </c>
      <c r="F10">
        <v>0</v>
      </c>
      <c r="G10">
        <v>0</v>
      </c>
      <c r="H10">
        <v>0</v>
      </c>
      <c r="I10">
        <v>0</v>
      </c>
      <c r="J10">
        <v>0</v>
      </c>
      <c r="K10">
        <v>0</v>
      </c>
      <c r="L10">
        <v>0</v>
      </c>
      <c r="M10">
        <v>0</v>
      </c>
      <c r="N10">
        <v>0</v>
      </c>
      <c r="O10">
        <v>0</v>
      </c>
      <c r="P10">
        <v>0</v>
      </c>
      <c r="Q10">
        <v>0</v>
      </c>
      <c r="R10">
        <v>0</v>
      </c>
      <c r="S10">
        <v>0</v>
      </c>
      <c r="T10">
        <v>0</v>
      </c>
      <c r="U10">
        <v>0</v>
      </c>
      <c r="V10">
        <v>0</v>
      </c>
      <c r="W10">
        <v>0</v>
      </c>
      <c r="X10">
        <v>0</v>
      </c>
      <c r="Y10">
        <v>0</v>
      </c>
      <c r="Z10">
        <v>0</v>
      </c>
      <c r="AA10">
        <v>0</v>
      </c>
      <c r="AB10">
        <v>0</v>
      </c>
      <c r="AC10">
        <v>0</v>
      </c>
      <c r="AD10">
        <v>0</v>
      </c>
      <c r="AE10">
        <v>0</v>
      </c>
    </row>
    <row r="11" spans="1:31">
      <c r="A11" t="s">
        <v>84</v>
      </c>
      <c r="B11">
        <v>0</v>
      </c>
      <c r="C11">
        <v>0</v>
      </c>
      <c r="D11">
        <v>0</v>
      </c>
      <c r="E11">
        <v>0</v>
      </c>
      <c r="F11">
        <v>0</v>
      </c>
      <c r="G11">
        <v>0</v>
      </c>
      <c r="H11">
        <v>0</v>
      </c>
      <c r="I11">
        <v>0</v>
      </c>
      <c r="J11">
        <v>0</v>
      </c>
      <c r="K11">
        <v>0</v>
      </c>
      <c r="L11">
        <v>0</v>
      </c>
      <c r="M11">
        <v>0</v>
      </c>
      <c r="N11">
        <v>0</v>
      </c>
      <c r="O11">
        <v>0</v>
      </c>
      <c r="P11">
        <v>0</v>
      </c>
      <c r="Q11">
        <v>0</v>
      </c>
      <c r="R11">
        <v>0</v>
      </c>
      <c r="S11">
        <v>0</v>
      </c>
      <c r="T11">
        <v>0</v>
      </c>
      <c r="U11">
        <v>0</v>
      </c>
      <c r="V11">
        <v>0</v>
      </c>
      <c r="W11">
        <v>0</v>
      </c>
      <c r="X11">
        <v>0</v>
      </c>
      <c r="Y11">
        <v>0</v>
      </c>
      <c r="Z11">
        <v>0</v>
      </c>
      <c r="AA11">
        <v>0</v>
      </c>
      <c r="AB11">
        <v>0</v>
      </c>
      <c r="AC11">
        <v>0</v>
      </c>
      <c r="AD11">
        <v>0</v>
      </c>
      <c r="AE11">
        <v>0</v>
      </c>
    </row>
  </sheetData>
  <pageMargins left="0.7" right="0.7" top="0.75" bottom="0.75" header="0.3" footer="0.3"/>
</worksheet>
</file>

<file path=xl/worksheets/sheet3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900-000000000000}">
  <sheetPr>
    <tabColor theme="3"/>
  </sheetPr>
  <dimension ref="A1:AC11"/>
  <sheetViews>
    <sheetView workbookViewId="0">
      <selection activeCell="B1" sqref="B1"/>
    </sheetView>
  </sheetViews>
  <sheetFormatPr defaultRowHeight="14.25"/>
  <cols>
    <col min="1" max="1" width="22.53125" customWidth="1"/>
  </cols>
  <sheetData>
    <row r="1" spans="1:29" ht="28.5">
      <c r="A1" s="10" t="s">
        <v>85</v>
      </c>
      <c r="B1">
        <f>'Biodiesel Fraction'!D6</f>
        <v>2023</v>
      </c>
      <c r="C1">
        <f>'Biodiesel Fraction'!E6</f>
        <v>2024</v>
      </c>
      <c r="D1">
        <f>'Biodiesel Fraction'!F6</f>
        <v>2025</v>
      </c>
      <c r="E1">
        <f>'Biodiesel Fraction'!G6</f>
        <v>2026</v>
      </c>
      <c r="F1">
        <f>'Biodiesel Fraction'!H6</f>
        <v>2027</v>
      </c>
      <c r="G1">
        <f>'Biodiesel Fraction'!I6</f>
        <v>2028</v>
      </c>
      <c r="H1">
        <f>'Biodiesel Fraction'!J6</f>
        <v>2029</v>
      </c>
      <c r="I1">
        <f>'Biodiesel Fraction'!K6</f>
        <v>2030</v>
      </c>
      <c r="J1">
        <f>'Biodiesel Fraction'!L6</f>
        <v>2031</v>
      </c>
      <c r="K1">
        <f>'Biodiesel Fraction'!M6</f>
        <v>2032</v>
      </c>
      <c r="L1">
        <f>'Biodiesel Fraction'!N6</f>
        <v>2033</v>
      </c>
      <c r="M1">
        <f>'Biodiesel Fraction'!O6</f>
        <v>2034</v>
      </c>
      <c r="N1">
        <f>'Biodiesel Fraction'!P6</f>
        <v>2035</v>
      </c>
      <c r="O1">
        <f>'Biodiesel Fraction'!Q6</f>
        <v>2036</v>
      </c>
      <c r="P1">
        <f>'Biodiesel Fraction'!R6</f>
        <v>2037</v>
      </c>
      <c r="Q1">
        <f>'Biodiesel Fraction'!S6</f>
        <v>2038</v>
      </c>
      <c r="R1">
        <f>'Biodiesel Fraction'!T6</f>
        <v>2039</v>
      </c>
      <c r="S1">
        <f>'Biodiesel Fraction'!U6</f>
        <v>2040</v>
      </c>
      <c r="T1">
        <f>'Biodiesel Fraction'!V6</f>
        <v>2041</v>
      </c>
      <c r="U1">
        <f>'Biodiesel Fraction'!W6</f>
        <v>2042</v>
      </c>
      <c r="V1">
        <f>'Biodiesel Fraction'!X6</f>
        <v>2043</v>
      </c>
      <c r="W1">
        <f>'Biodiesel Fraction'!Y6</f>
        <v>2044</v>
      </c>
      <c r="X1">
        <f>'Biodiesel Fraction'!Z6</f>
        <v>2045</v>
      </c>
      <c r="Y1">
        <f>'Biodiesel Fraction'!AA6</f>
        <v>2046</v>
      </c>
      <c r="Z1">
        <f>'Biodiesel Fraction'!AB6</f>
        <v>2047</v>
      </c>
      <c r="AA1">
        <f>'Biodiesel Fraction'!AC6</f>
        <v>2048</v>
      </c>
      <c r="AB1">
        <f>'Biodiesel Fraction'!AD6</f>
        <v>2049</v>
      </c>
      <c r="AC1">
        <f>'Biodiesel Fraction'!AE6</f>
        <v>2050</v>
      </c>
    </row>
    <row r="2" spans="1:29">
      <c r="A2" t="s">
        <v>15</v>
      </c>
      <c r="B2">
        <v>0</v>
      </c>
      <c r="C2">
        <v>0</v>
      </c>
      <c r="D2">
        <v>0</v>
      </c>
      <c r="E2">
        <v>0</v>
      </c>
      <c r="F2">
        <v>0</v>
      </c>
      <c r="G2">
        <v>0</v>
      </c>
      <c r="H2">
        <v>0</v>
      </c>
      <c r="I2">
        <v>0</v>
      </c>
      <c r="J2">
        <v>0</v>
      </c>
      <c r="K2">
        <v>0</v>
      </c>
      <c r="L2">
        <v>0</v>
      </c>
      <c r="M2">
        <v>0</v>
      </c>
      <c r="N2">
        <v>0</v>
      </c>
      <c r="O2">
        <v>0</v>
      </c>
      <c r="P2">
        <v>0</v>
      </c>
      <c r="Q2">
        <v>0</v>
      </c>
      <c r="R2">
        <v>0</v>
      </c>
      <c r="S2">
        <v>0</v>
      </c>
      <c r="T2">
        <v>0</v>
      </c>
      <c r="U2">
        <v>0</v>
      </c>
      <c r="V2">
        <v>0</v>
      </c>
      <c r="W2">
        <v>0</v>
      </c>
      <c r="X2">
        <v>0</v>
      </c>
      <c r="Y2">
        <v>0</v>
      </c>
      <c r="Z2">
        <v>0</v>
      </c>
      <c r="AA2">
        <v>0</v>
      </c>
      <c r="AB2">
        <v>0</v>
      </c>
      <c r="AC2">
        <v>0</v>
      </c>
    </row>
    <row r="3" spans="1:29">
      <c r="A3" t="s">
        <v>16</v>
      </c>
      <c r="B3">
        <v>0</v>
      </c>
      <c r="C3">
        <v>0</v>
      </c>
      <c r="D3">
        <v>0</v>
      </c>
      <c r="E3">
        <v>0</v>
      </c>
      <c r="F3">
        <v>0</v>
      </c>
      <c r="G3">
        <v>0</v>
      </c>
      <c r="H3">
        <v>0</v>
      </c>
      <c r="I3">
        <v>0</v>
      </c>
      <c r="J3">
        <v>0</v>
      </c>
      <c r="K3">
        <v>0</v>
      </c>
      <c r="L3">
        <v>0</v>
      </c>
      <c r="M3">
        <v>0</v>
      </c>
      <c r="N3">
        <v>0</v>
      </c>
      <c r="O3">
        <v>0</v>
      </c>
      <c r="P3">
        <v>0</v>
      </c>
      <c r="Q3">
        <v>0</v>
      </c>
      <c r="R3">
        <v>0</v>
      </c>
      <c r="S3">
        <v>0</v>
      </c>
      <c r="T3">
        <v>0</v>
      </c>
      <c r="U3">
        <v>0</v>
      </c>
      <c r="V3">
        <v>0</v>
      </c>
      <c r="W3">
        <v>0</v>
      </c>
      <c r="X3">
        <v>0</v>
      </c>
      <c r="Y3">
        <v>0</v>
      </c>
      <c r="Z3">
        <v>0</v>
      </c>
      <c r="AA3">
        <v>0</v>
      </c>
      <c r="AB3">
        <v>0</v>
      </c>
      <c r="AC3">
        <v>0</v>
      </c>
    </row>
    <row r="4" spans="1:29">
      <c r="A4" t="s">
        <v>17</v>
      </c>
      <c r="B4">
        <v>0</v>
      </c>
      <c r="C4">
        <v>0</v>
      </c>
      <c r="D4">
        <v>0</v>
      </c>
      <c r="E4">
        <v>0</v>
      </c>
      <c r="F4">
        <v>0</v>
      </c>
      <c r="G4">
        <v>0</v>
      </c>
      <c r="H4">
        <v>0</v>
      </c>
      <c r="I4">
        <v>0</v>
      </c>
      <c r="J4">
        <v>0</v>
      </c>
      <c r="K4">
        <v>0</v>
      </c>
      <c r="L4">
        <v>0</v>
      </c>
      <c r="M4">
        <v>0</v>
      </c>
      <c r="N4">
        <v>0</v>
      </c>
      <c r="O4">
        <v>0</v>
      </c>
      <c r="P4">
        <v>0</v>
      </c>
      <c r="Q4">
        <v>0</v>
      </c>
      <c r="R4">
        <v>0</v>
      </c>
      <c r="S4">
        <v>0</v>
      </c>
      <c r="T4">
        <v>0</v>
      </c>
      <c r="U4">
        <v>0</v>
      </c>
      <c r="V4">
        <v>0</v>
      </c>
      <c r="W4">
        <v>0</v>
      </c>
      <c r="X4">
        <v>0</v>
      </c>
      <c r="Y4">
        <v>0</v>
      </c>
      <c r="Z4">
        <v>0</v>
      </c>
      <c r="AA4">
        <v>0</v>
      </c>
      <c r="AB4">
        <v>0</v>
      </c>
      <c r="AC4">
        <v>0</v>
      </c>
    </row>
    <row r="5" spans="1:29">
      <c r="A5" t="s">
        <v>18</v>
      </c>
      <c r="B5">
        <f>IF('Biodiesel Fraction'!$B20,1-'Biodiesel Fraction'!B30,1)</f>
        <v>0.96756119768275339</v>
      </c>
      <c r="C5">
        <f>IF('Biodiesel Fraction'!$B20,1-'Biodiesel Fraction'!C30,1)</f>
        <v>0.96041416638410693</v>
      </c>
      <c r="D5">
        <f>IF('Biodiesel Fraction'!$B20,1-'Biodiesel Fraction'!D30,1)</f>
        <v>0.97373256429929333</v>
      </c>
      <c r="E5">
        <f>IF('Biodiesel Fraction'!$B20,1-'Biodiesel Fraction'!E30,1)</f>
        <v>0.96837869027778645</v>
      </c>
      <c r="F5">
        <f>IF('Biodiesel Fraction'!$B20,1-'Biodiesel Fraction'!F30,1)</f>
        <v>0.96966376381580111</v>
      </c>
      <c r="G5">
        <f>IF('Biodiesel Fraction'!$B20,1-'Biodiesel Fraction'!G30,1)</f>
        <v>0.96865854353538616</v>
      </c>
      <c r="H5">
        <f>IF('Biodiesel Fraction'!$B20,1-'Biodiesel Fraction'!H30,1)</f>
        <v>0.96792764653725427</v>
      </c>
      <c r="I5">
        <f>IF('Biodiesel Fraction'!$B20,1-'Biodiesel Fraction'!I30,1)</f>
        <v>0.97331643318672201</v>
      </c>
      <c r="J5">
        <f>IF('Biodiesel Fraction'!$B20,1-'Biodiesel Fraction'!J30,1)</f>
        <v>0.9718891175234271</v>
      </c>
      <c r="K5">
        <f>IF('Biodiesel Fraction'!$B20,1-'Biodiesel Fraction'!K30,1)</f>
        <v>0.97112755680124419</v>
      </c>
      <c r="L5">
        <f>IF('Biodiesel Fraction'!$B20,1-'Biodiesel Fraction'!L30,1)</f>
        <v>0.96953215672773896</v>
      </c>
      <c r="M5">
        <f>IF('Biodiesel Fraction'!$B20,1-'Biodiesel Fraction'!M30,1)</f>
        <v>0.96878215000290413</v>
      </c>
      <c r="N5">
        <f>IF('Biodiesel Fraction'!$B20,1-'Biodiesel Fraction'!N30,1)</f>
        <v>0.96812465179023832</v>
      </c>
      <c r="O5">
        <f>IF('Biodiesel Fraction'!$B20,1-'Biodiesel Fraction'!O30,1)</f>
        <v>0.96986559390838423</v>
      </c>
      <c r="P5">
        <f>IF('Biodiesel Fraction'!$B20,1-'Biodiesel Fraction'!P30,1)</f>
        <v>0.96826904520338963</v>
      </c>
      <c r="Q5">
        <f>IF('Biodiesel Fraction'!$B20,1-'Biodiesel Fraction'!Q30,1)</f>
        <v>0.96839488555451003</v>
      </c>
      <c r="R5">
        <f>IF('Biodiesel Fraction'!$B20,1-'Biodiesel Fraction'!R30,1)</f>
        <v>0.96870670002527937</v>
      </c>
      <c r="S5">
        <f>IF('Biodiesel Fraction'!$B20,1-'Biodiesel Fraction'!S30,1)</f>
        <v>0.96905933663555699</v>
      </c>
      <c r="T5">
        <f>IF('Biodiesel Fraction'!$B20,1-'Biodiesel Fraction'!T30,1)</f>
        <v>0.96946160326764974</v>
      </c>
      <c r="U5">
        <f>IF('Biodiesel Fraction'!$B20,1-'Biodiesel Fraction'!U30,1)</f>
        <v>0.96987423251102012</v>
      </c>
      <c r="V5">
        <f>IF('Biodiesel Fraction'!$B20,1-'Biodiesel Fraction'!V30,1)</f>
        <v>0.97031048712680901</v>
      </c>
      <c r="W5">
        <f>IF('Biodiesel Fraction'!$B20,1-'Biodiesel Fraction'!W30,1)</f>
        <v>0.97078974782181038</v>
      </c>
      <c r="X5">
        <f>IF('Biodiesel Fraction'!$B20,1-'Biodiesel Fraction'!X30,1)</f>
        <v>0.97134811027621315</v>
      </c>
      <c r="Y5">
        <f>IF('Biodiesel Fraction'!$B20,1-'Biodiesel Fraction'!Y30,1)</f>
        <v>0.97195157869542803</v>
      </c>
      <c r="Z5">
        <f>IF('Biodiesel Fraction'!$B20,1-'Biodiesel Fraction'!Z30,1)</f>
        <v>0.97249434040966198</v>
      </c>
      <c r="AA5">
        <f>IF('Biodiesel Fraction'!$B20,1-'Biodiesel Fraction'!AA30,1)</f>
        <v>0.97312409878794037</v>
      </c>
      <c r="AB5">
        <f>IF('Biodiesel Fraction'!$B20,1-'Biodiesel Fraction'!AB30,1)</f>
        <v>0.97379379073714167</v>
      </c>
      <c r="AC5">
        <f>IF('Biodiesel Fraction'!$B20,1-'Biodiesel Fraction'!AC30,1)</f>
        <v>0.97448716941846381</v>
      </c>
    </row>
    <row r="6" spans="1:29">
      <c r="A6" t="s">
        <v>19</v>
      </c>
      <c r="B6">
        <v>0</v>
      </c>
      <c r="C6">
        <v>0</v>
      </c>
      <c r="D6">
        <v>0</v>
      </c>
      <c r="E6">
        <v>0</v>
      </c>
      <c r="F6">
        <v>0</v>
      </c>
      <c r="G6">
        <v>0</v>
      </c>
      <c r="H6">
        <v>0</v>
      </c>
      <c r="I6">
        <v>0</v>
      </c>
      <c r="J6">
        <v>0</v>
      </c>
      <c r="K6">
        <v>0</v>
      </c>
      <c r="L6">
        <v>0</v>
      </c>
      <c r="M6">
        <v>0</v>
      </c>
      <c r="N6">
        <v>0</v>
      </c>
      <c r="O6">
        <v>0</v>
      </c>
      <c r="P6">
        <v>0</v>
      </c>
      <c r="Q6">
        <v>0</v>
      </c>
      <c r="R6">
        <v>0</v>
      </c>
      <c r="S6">
        <v>0</v>
      </c>
      <c r="T6">
        <v>0</v>
      </c>
      <c r="U6">
        <v>0</v>
      </c>
      <c r="V6">
        <v>0</v>
      </c>
      <c r="W6">
        <v>0</v>
      </c>
      <c r="X6">
        <v>0</v>
      </c>
      <c r="Y6">
        <v>0</v>
      </c>
      <c r="Z6">
        <v>0</v>
      </c>
      <c r="AA6">
        <v>0</v>
      </c>
      <c r="AB6">
        <v>0</v>
      </c>
      <c r="AC6">
        <v>0</v>
      </c>
    </row>
    <row r="7" spans="1:29">
      <c r="A7" t="s">
        <v>21</v>
      </c>
      <c r="B7">
        <f>IF('Biodiesel Fraction'!$B20,'Biodiesel Fraction'!B30,0)</f>
        <v>3.2438802317246634E-2</v>
      </c>
      <c r="C7">
        <f>IF('Biodiesel Fraction'!$B20,'Biodiesel Fraction'!C30,0)</f>
        <v>3.9585833615893101E-2</v>
      </c>
      <c r="D7">
        <f>IF('Biodiesel Fraction'!$B20,'Biodiesel Fraction'!D30,0)</f>
        <v>2.6267435700706714E-2</v>
      </c>
      <c r="E7">
        <f>IF('Biodiesel Fraction'!$B20,'Biodiesel Fraction'!E30,0)</f>
        <v>3.1621309722213581E-2</v>
      </c>
      <c r="F7">
        <f>IF('Biodiesel Fraction'!$B20,'Biodiesel Fraction'!F30,0)</f>
        <v>3.033623618419894E-2</v>
      </c>
      <c r="G7">
        <f>IF('Biodiesel Fraction'!$B20,'Biodiesel Fraction'!G30,0)</f>
        <v>3.1341456464613789E-2</v>
      </c>
      <c r="H7">
        <f>IF('Biodiesel Fraction'!$B20,'Biodiesel Fraction'!H30,0)</f>
        <v>3.2072353462745715E-2</v>
      </c>
      <c r="I7">
        <f>IF('Biodiesel Fraction'!$B20,'Biodiesel Fraction'!I30,0)</f>
        <v>2.6683566813277972E-2</v>
      </c>
      <c r="J7">
        <f>IF('Biodiesel Fraction'!$B20,'Biodiesel Fraction'!J30,0)</f>
        <v>2.8110882476572851E-2</v>
      </c>
      <c r="K7">
        <f>IF('Biodiesel Fraction'!$B20,'Biodiesel Fraction'!K30,0)</f>
        <v>2.8872443198755857E-2</v>
      </c>
      <c r="L7">
        <f>IF('Biodiesel Fraction'!$B20,'Biodiesel Fraction'!L30,0)</f>
        <v>3.046784327226101E-2</v>
      </c>
      <c r="M7">
        <f>IF('Biodiesel Fraction'!$B20,'Biodiesel Fraction'!M30,0)</f>
        <v>3.1217849997095815E-2</v>
      </c>
      <c r="N7">
        <f>IF('Biodiesel Fraction'!$B20,'Biodiesel Fraction'!N30,0)</f>
        <v>3.1875348209761699E-2</v>
      </c>
      <c r="O7">
        <f>IF('Biodiesel Fraction'!$B20,'Biodiesel Fraction'!O30,0)</f>
        <v>3.0134406091615811E-2</v>
      </c>
      <c r="P7">
        <f>IF('Biodiesel Fraction'!$B20,'Biodiesel Fraction'!P30,0)</f>
        <v>3.1730954796610401E-2</v>
      </c>
      <c r="Q7">
        <f>IF('Biodiesel Fraction'!$B20,'Biodiesel Fraction'!Q30,0)</f>
        <v>3.1605114445489989E-2</v>
      </c>
      <c r="R7">
        <f>IF('Biodiesel Fraction'!$B20,'Biodiesel Fraction'!R30,0)</f>
        <v>3.1293299974720641E-2</v>
      </c>
      <c r="S7">
        <f>IF('Biodiesel Fraction'!$B20,'Biodiesel Fraction'!S30,0)</f>
        <v>3.0940663364443025E-2</v>
      </c>
      <c r="T7">
        <f>IF('Biodiesel Fraction'!$B20,'Biodiesel Fraction'!T30,0)</f>
        <v>3.0538396732350235E-2</v>
      </c>
      <c r="U7">
        <f>IF('Biodiesel Fraction'!$B20,'Biodiesel Fraction'!U30,0)</f>
        <v>3.0125767488979882E-2</v>
      </c>
      <c r="V7">
        <f>IF('Biodiesel Fraction'!$B20,'Biodiesel Fraction'!V30,0)</f>
        <v>2.9689512873191E-2</v>
      </c>
      <c r="W7">
        <f>IF('Biodiesel Fraction'!$B20,'Biodiesel Fraction'!W30,0)</f>
        <v>2.9210252178189615E-2</v>
      </c>
      <c r="X7">
        <f>IF('Biodiesel Fraction'!$B20,'Biodiesel Fraction'!X30,0)</f>
        <v>2.8651889723786874E-2</v>
      </c>
      <c r="Y7">
        <f>IF('Biodiesel Fraction'!$B20,'Biodiesel Fraction'!Y30,0)</f>
        <v>2.8048421304572007E-2</v>
      </c>
      <c r="Z7">
        <f>IF('Biodiesel Fraction'!$B20,'Biodiesel Fraction'!Z30,0)</f>
        <v>2.7505659590338054E-2</v>
      </c>
      <c r="AA7">
        <f>IF('Biodiesel Fraction'!$B20,'Biodiesel Fraction'!AA30,0)</f>
        <v>2.6875901212059638E-2</v>
      </c>
      <c r="AB7">
        <f>IF('Biodiesel Fraction'!$B20,'Biodiesel Fraction'!AB30,0)</f>
        <v>2.6206209262858382E-2</v>
      </c>
      <c r="AC7">
        <f>IF('Biodiesel Fraction'!$B20,'Biodiesel Fraction'!AC30,0)</f>
        <v>2.5512830581536149E-2</v>
      </c>
    </row>
    <row r="8" spans="1:29">
      <c r="A8" t="s">
        <v>20</v>
      </c>
      <c r="B8">
        <v>0</v>
      </c>
      <c r="C8">
        <v>0</v>
      </c>
      <c r="D8">
        <v>0</v>
      </c>
      <c r="E8">
        <v>0</v>
      </c>
      <c r="F8">
        <v>0</v>
      </c>
      <c r="G8">
        <v>0</v>
      </c>
      <c r="H8">
        <v>0</v>
      </c>
      <c r="I8">
        <v>0</v>
      </c>
      <c r="J8">
        <v>0</v>
      </c>
      <c r="K8">
        <v>0</v>
      </c>
      <c r="L8">
        <v>0</v>
      </c>
      <c r="M8">
        <v>0</v>
      </c>
      <c r="N8">
        <v>0</v>
      </c>
      <c r="O8">
        <v>0</v>
      </c>
      <c r="P8">
        <v>0</v>
      </c>
      <c r="Q8">
        <v>0</v>
      </c>
      <c r="R8">
        <v>0</v>
      </c>
      <c r="S8">
        <v>0</v>
      </c>
      <c r="T8">
        <v>0</v>
      </c>
      <c r="U8">
        <v>0</v>
      </c>
      <c r="V8">
        <v>0</v>
      </c>
      <c r="W8">
        <v>0</v>
      </c>
      <c r="X8">
        <v>0</v>
      </c>
      <c r="Y8">
        <v>0</v>
      </c>
      <c r="Z8">
        <v>0</v>
      </c>
      <c r="AA8">
        <v>0</v>
      </c>
      <c r="AB8">
        <v>0</v>
      </c>
      <c r="AC8">
        <v>0</v>
      </c>
    </row>
    <row r="9" spans="1:29">
      <c r="A9" t="s">
        <v>82</v>
      </c>
      <c r="B9">
        <v>0</v>
      </c>
      <c r="C9">
        <v>0</v>
      </c>
      <c r="D9">
        <v>0</v>
      </c>
      <c r="E9">
        <v>0</v>
      </c>
      <c r="F9">
        <v>0</v>
      </c>
      <c r="G9">
        <v>0</v>
      </c>
      <c r="H9">
        <v>0</v>
      </c>
      <c r="I9">
        <v>0</v>
      </c>
      <c r="J9">
        <v>0</v>
      </c>
      <c r="K9">
        <v>0</v>
      </c>
      <c r="L9">
        <v>0</v>
      </c>
      <c r="M9">
        <v>0</v>
      </c>
      <c r="N9">
        <v>0</v>
      </c>
      <c r="O9">
        <v>0</v>
      </c>
      <c r="P9">
        <v>0</v>
      </c>
      <c r="Q9">
        <v>0</v>
      </c>
      <c r="R9">
        <v>0</v>
      </c>
      <c r="S9">
        <v>0</v>
      </c>
      <c r="T9">
        <v>0</v>
      </c>
      <c r="U9">
        <v>0</v>
      </c>
      <c r="V9">
        <v>0</v>
      </c>
      <c r="W9">
        <v>0</v>
      </c>
      <c r="X9">
        <v>0</v>
      </c>
      <c r="Y9">
        <v>0</v>
      </c>
      <c r="Z9">
        <v>0</v>
      </c>
      <c r="AA9">
        <v>0</v>
      </c>
      <c r="AB9">
        <v>0</v>
      </c>
      <c r="AC9">
        <v>0</v>
      </c>
    </row>
    <row r="10" spans="1:29">
      <c r="A10" t="s">
        <v>83</v>
      </c>
      <c r="B10">
        <v>0</v>
      </c>
      <c r="C10">
        <v>0</v>
      </c>
      <c r="D10">
        <v>0</v>
      </c>
      <c r="E10">
        <v>0</v>
      </c>
      <c r="F10">
        <v>0</v>
      </c>
      <c r="G10">
        <v>0</v>
      </c>
      <c r="H10">
        <v>0</v>
      </c>
      <c r="I10">
        <v>0</v>
      </c>
      <c r="J10">
        <v>0</v>
      </c>
      <c r="K10">
        <v>0</v>
      </c>
      <c r="L10">
        <v>0</v>
      </c>
      <c r="M10">
        <v>0</v>
      </c>
      <c r="N10">
        <v>0</v>
      </c>
      <c r="O10">
        <v>0</v>
      </c>
      <c r="P10">
        <v>0</v>
      </c>
      <c r="Q10">
        <v>0</v>
      </c>
      <c r="R10">
        <v>0</v>
      </c>
      <c r="S10">
        <v>0</v>
      </c>
      <c r="T10">
        <v>0</v>
      </c>
      <c r="U10">
        <v>0</v>
      </c>
      <c r="V10">
        <v>0</v>
      </c>
      <c r="W10">
        <v>0</v>
      </c>
      <c r="X10">
        <v>0</v>
      </c>
      <c r="Y10">
        <v>0</v>
      </c>
      <c r="Z10">
        <v>0</v>
      </c>
      <c r="AA10">
        <v>0</v>
      </c>
      <c r="AB10">
        <v>0</v>
      </c>
      <c r="AC10">
        <v>0</v>
      </c>
    </row>
    <row r="11" spans="1:29">
      <c r="A11" t="s">
        <v>84</v>
      </c>
      <c r="B11">
        <v>0</v>
      </c>
      <c r="C11">
        <v>0</v>
      </c>
      <c r="D11">
        <v>0</v>
      </c>
      <c r="E11">
        <v>0</v>
      </c>
      <c r="F11">
        <v>0</v>
      </c>
      <c r="G11">
        <v>0</v>
      </c>
      <c r="H11">
        <v>0</v>
      </c>
      <c r="I11">
        <v>0</v>
      </c>
      <c r="J11">
        <v>0</v>
      </c>
      <c r="K11">
        <v>0</v>
      </c>
      <c r="L11">
        <v>0</v>
      </c>
      <c r="M11">
        <v>0</v>
      </c>
      <c r="N11">
        <v>0</v>
      </c>
      <c r="O11">
        <v>0</v>
      </c>
      <c r="P11">
        <v>0</v>
      </c>
      <c r="Q11">
        <v>0</v>
      </c>
      <c r="R11">
        <v>0</v>
      </c>
      <c r="S11">
        <v>0</v>
      </c>
      <c r="T11">
        <v>0</v>
      </c>
      <c r="U11">
        <v>0</v>
      </c>
      <c r="V11">
        <v>0</v>
      </c>
      <c r="W11">
        <v>0</v>
      </c>
      <c r="X11">
        <v>0</v>
      </c>
      <c r="Y11">
        <v>0</v>
      </c>
      <c r="Z11">
        <v>0</v>
      </c>
      <c r="AA11">
        <v>0</v>
      </c>
      <c r="AB11">
        <v>0</v>
      </c>
      <c r="AC11">
        <v>0</v>
      </c>
    </row>
  </sheetData>
  <pageMargins left="0.7" right="0.7" top="0.75" bottom="0.75" header="0.3" footer="0.3"/>
</worksheet>
</file>

<file path=xl/worksheets/sheet3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A00-000000000000}">
  <sheetPr>
    <tabColor theme="3"/>
  </sheetPr>
  <dimension ref="A1:AC11"/>
  <sheetViews>
    <sheetView workbookViewId="0">
      <selection activeCell="C6" sqref="C6"/>
    </sheetView>
  </sheetViews>
  <sheetFormatPr defaultRowHeight="14.25"/>
  <cols>
    <col min="1" max="1" width="22.53125" customWidth="1"/>
  </cols>
  <sheetData>
    <row r="1" spans="1:29" ht="28.5">
      <c r="A1" s="10" t="s">
        <v>85</v>
      </c>
      <c r="B1">
        <f>'Biodiesel Fraction'!D6</f>
        <v>2023</v>
      </c>
      <c r="C1">
        <f>'Biodiesel Fraction'!E6</f>
        <v>2024</v>
      </c>
      <c r="D1">
        <f>'Biodiesel Fraction'!F6</f>
        <v>2025</v>
      </c>
      <c r="E1">
        <f>'Biodiesel Fraction'!G6</f>
        <v>2026</v>
      </c>
      <c r="F1">
        <f>'Biodiesel Fraction'!H6</f>
        <v>2027</v>
      </c>
      <c r="G1">
        <f>'Biodiesel Fraction'!I6</f>
        <v>2028</v>
      </c>
      <c r="H1">
        <f>'Biodiesel Fraction'!J6</f>
        <v>2029</v>
      </c>
      <c r="I1">
        <f>'Biodiesel Fraction'!K6</f>
        <v>2030</v>
      </c>
      <c r="J1">
        <f>'Biodiesel Fraction'!L6</f>
        <v>2031</v>
      </c>
      <c r="K1">
        <f>'Biodiesel Fraction'!M6</f>
        <v>2032</v>
      </c>
      <c r="L1">
        <f>'Biodiesel Fraction'!N6</f>
        <v>2033</v>
      </c>
      <c r="M1">
        <f>'Biodiesel Fraction'!O6</f>
        <v>2034</v>
      </c>
      <c r="N1">
        <f>'Biodiesel Fraction'!P6</f>
        <v>2035</v>
      </c>
      <c r="O1">
        <f>'Biodiesel Fraction'!Q6</f>
        <v>2036</v>
      </c>
      <c r="P1">
        <f>'Biodiesel Fraction'!R6</f>
        <v>2037</v>
      </c>
      <c r="Q1">
        <f>'Biodiesel Fraction'!S6</f>
        <v>2038</v>
      </c>
      <c r="R1">
        <f>'Biodiesel Fraction'!T6</f>
        <v>2039</v>
      </c>
      <c r="S1">
        <f>'Biodiesel Fraction'!U6</f>
        <v>2040</v>
      </c>
      <c r="T1">
        <f>'Biodiesel Fraction'!V6</f>
        <v>2041</v>
      </c>
      <c r="U1">
        <f>'Biodiesel Fraction'!W6</f>
        <v>2042</v>
      </c>
      <c r="V1">
        <f>'Biodiesel Fraction'!X6</f>
        <v>2043</v>
      </c>
      <c r="W1">
        <f>'Biodiesel Fraction'!Y6</f>
        <v>2044</v>
      </c>
      <c r="X1">
        <f>'Biodiesel Fraction'!Z6</f>
        <v>2045</v>
      </c>
      <c r="Y1">
        <f>'Biodiesel Fraction'!AA6</f>
        <v>2046</v>
      </c>
      <c r="Z1">
        <f>'Biodiesel Fraction'!AB6</f>
        <v>2047</v>
      </c>
      <c r="AA1">
        <f>'Biodiesel Fraction'!AC6</f>
        <v>2048</v>
      </c>
      <c r="AB1">
        <f>'Biodiesel Fraction'!AD6</f>
        <v>2049</v>
      </c>
      <c r="AC1">
        <f>'Biodiesel Fraction'!AE6</f>
        <v>2050</v>
      </c>
    </row>
    <row r="2" spans="1:29">
      <c r="A2" t="s">
        <v>15</v>
      </c>
      <c r="B2">
        <f>'Plug-in Hybrid Elec Fraction'!$A5</f>
        <v>0.55000000000000004</v>
      </c>
      <c r="C2">
        <f>'Plug-in Hybrid Elec Fraction'!$A5</f>
        <v>0.55000000000000004</v>
      </c>
      <c r="D2">
        <f>'Plug-in Hybrid Elec Fraction'!$A5</f>
        <v>0.55000000000000004</v>
      </c>
      <c r="E2">
        <f>'Plug-in Hybrid Elec Fraction'!$A5</f>
        <v>0.55000000000000004</v>
      </c>
      <c r="F2">
        <f>'Plug-in Hybrid Elec Fraction'!$A5</f>
        <v>0.55000000000000004</v>
      </c>
      <c r="G2">
        <f>'Plug-in Hybrid Elec Fraction'!$A5</f>
        <v>0.55000000000000004</v>
      </c>
      <c r="H2">
        <f>'Plug-in Hybrid Elec Fraction'!$A5</f>
        <v>0.55000000000000004</v>
      </c>
      <c r="I2">
        <f>'Plug-in Hybrid Elec Fraction'!$A5</f>
        <v>0.55000000000000004</v>
      </c>
      <c r="J2">
        <f>'Plug-in Hybrid Elec Fraction'!$A5</f>
        <v>0.55000000000000004</v>
      </c>
      <c r="K2">
        <f>'Plug-in Hybrid Elec Fraction'!$A5</f>
        <v>0.55000000000000004</v>
      </c>
      <c r="L2">
        <f>'Plug-in Hybrid Elec Fraction'!$A5</f>
        <v>0.55000000000000004</v>
      </c>
      <c r="M2">
        <f>'Plug-in Hybrid Elec Fraction'!$A5</f>
        <v>0.55000000000000004</v>
      </c>
      <c r="N2">
        <f>'Plug-in Hybrid Elec Fraction'!$A5</f>
        <v>0.55000000000000004</v>
      </c>
      <c r="O2">
        <f>'Plug-in Hybrid Elec Fraction'!$A5</f>
        <v>0.55000000000000004</v>
      </c>
      <c r="P2">
        <f>'Plug-in Hybrid Elec Fraction'!$A5</f>
        <v>0.55000000000000004</v>
      </c>
      <c r="Q2">
        <f>'Plug-in Hybrid Elec Fraction'!$A5</f>
        <v>0.55000000000000004</v>
      </c>
      <c r="R2">
        <f>'Plug-in Hybrid Elec Fraction'!$A5</f>
        <v>0.55000000000000004</v>
      </c>
      <c r="S2">
        <f>'Plug-in Hybrid Elec Fraction'!$A5</f>
        <v>0.55000000000000004</v>
      </c>
      <c r="T2">
        <f>'Plug-in Hybrid Elec Fraction'!$A5</f>
        <v>0.55000000000000004</v>
      </c>
      <c r="U2">
        <f>'Plug-in Hybrid Elec Fraction'!$A5</f>
        <v>0.55000000000000004</v>
      </c>
      <c r="V2">
        <f>'Plug-in Hybrid Elec Fraction'!$A5</f>
        <v>0.55000000000000004</v>
      </c>
      <c r="W2">
        <f>'Plug-in Hybrid Elec Fraction'!$A5</f>
        <v>0.55000000000000004</v>
      </c>
      <c r="X2">
        <f>'Plug-in Hybrid Elec Fraction'!$A5</f>
        <v>0.55000000000000004</v>
      </c>
      <c r="Y2">
        <f>'Plug-in Hybrid Elec Fraction'!$A5</f>
        <v>0.55000000000000004</v>
      </c>
      <c r="Z2">
        <f>'Plug-in Hybrid Elec Fraction'!$A5</f>
        <v>0.55000000000000004</v>
      </c>
      <c r="AA2">
        <f>'Plug-in Hybrid Elec Fraction'!$A5</f>
        <v>0.55000000000000004</v>
      </c>
      <c r="AB2">
        <f>'Plug-in Hybrid Elec Fraction'!$A5</f>
        <v>0.55000000000000004</v>
      </c>
      <c r="AC2">
        <f>'Plug-in Hybrid Elec Fraction'!$A5</f>
        <v>0.55000000000000004</v>
      </c>
    </row>
    <row r="3" spans="1:29">
      <c r="A3" t="s">
        <v>16</v>
      </c>
      <c r="B3">
        <v>0</v>
      </c>
      <c r="C3">
        <v>0</v>
      </c>
      <c r="D3">
        <v>0</v>
      </c>
      <c r="E3">
        <v>0</v>
      </c>
      <c r="F3">
        <v>0</v>
      </c>
      <c r="G3">
        <v>0</v>
      </c>
      <c r="H3">
        <v>0</v>
      </c>
      <c r="I3">
        <v>0</v>
      </c>
      <c r="J3">
        <v>0</v>
      </c>
      <c r="K3">
        <v>0</v>
      </c>
      <c r="L3">
        <v>0</v>
      </c>
      <c r="M3">
        <v>0</v>
      </c>
      <c r="N3">
        <v>0</v>
      </c>
      <c r="O3">
        <v>0</v>
      </c>
      <c r="P3">
        <v>0</v>
      </c>
      <c r="Q3">
        <v>0</v>
      </c>
      <c r="R3">
        <v>0</v>
      </c>
      <c r="S3">
        <v>0</v>
      </c>
      <c r="T3">
        <v>0</v>
      </c>
      <c r="U3">
        <v>0</v>
      </c>
      <c r="V3">
        <v>0</v>
      </c>
      <c r="W3">
        <v>0</v>
      </c>
      <c r="X3">
        <v>0</v>
      </c>
      <c r="Y3">
        <v>0</v>
      </c>
      <c r="Z3">
        <v>0</v>
      </c>
      <c r="AA3">
        <v>0</v>
      </c>
      <c r="AB3">
        <v>0</v>
      </c>
      <c r="AC3">
        <v>0</v>
      </c>
    </row>
    <row r="4" spans="1:29">
      <c r="A4" t="s">
        <v>17</v>
      </c>
      <c r="B4">
        <v>0</v>
      </c>
      <c r="C4">
        <v>0</v>
      </c>
      <c r="D4">
        <v>0</v>
      </c>
      <c r="E4">
        <v>0</v>
      </c>
      <c r="F4">
        <v>0</v>
      </c>
      <c r="G4">
        <v>0</v>
      </c>
      <c r="H4">
        <v>0</v>
      </c>
      <c r="I4">
        <v>0</v>
      </c>
      <c r="J4">
        <v>0</v>
      </c>
      <c r="K4">
        <v>0</v>
      </c>
      <c r="L4">
        <v>0</v>
      </c>
      <c r="M4">
        <v>0</v>
      </c>
      <c r="N4">
        <v>0</v>
      </c>
      <c r="O4">
        <v>0</v>
      </c>
      <c r="P4">
        <v>0</v>
      </c>
      <c r="Q4">
        <v>0</v>
      </c>
      <c r="R4">
        <v>0</v>
      </c>
      <c r="S4">
        <v>0</v>
      </c>
      <c r="T4">
        <v>0</v>
      </c>
      <c r="U4">
        <v>0</v>
      </c>
      <c r="V4">
        <v>0</v>
      </c>
      <c r="W4">
        <v>0</v>
      </c>
      <c r="X4">
        <v>0</v>
      </c>
      <c r="Y4">
        <v>0</v>
      </c>
      <c r="Z4">
        <v>0</v>
      </c>
      <c r="AA4">
        <v>0</v>
      </c>
      <c r="AB4">
        <v>0</v>
      </c>
      <c r="AC4">
        <v>0</v>
      </c>
    </row>
    <row r="5" spans="1:29">
      <c r="A5" t="s">
        <v>18</v>
      </c>
      <c r="B5">
        <f>IF('Biodiesel Fraction'!$B20,1-'Biodiesel Fraction'!B30,1)*(1-B2)</f>
        <v>0.43540253895723896</v>
      </c>
      <c r="C5">
        <f>IF('Biodiesel Fraction'!$B20,1-'Biodiesel Fraction'!C30,1)*(1-C2)</f>
        <v>0.43218637487284806</v>
      </c>
      <c r="D5">
        <f>IF('Biodiesel Fraction'!$B20,1-'Biodiesel Fraction'!D30,1)*(1-D2)</f>
        <v>0.43817965393468195</v>
      </c>
      <c r="E5">
        <f>IF('Biodiesel Fraction'!$B20,1-'Biodiesel Fraction'!E30,1)*(1-E2)</f>
        <v>0.43577041062500388</v>
      </c>
      <c r="F5">
        <f>IF('Biodiesel Fraction'!$B20,1-'Biodiesel Fraction'!F30,1)*(1-F2)</f>
        <v>0.43634869371711044</v>
      </c>
      <c r="G5">
        <f>IF('Biodiesel Fraction'!$B20,1-'Biodiesel Fraction'!G30,1)*(1-G2)</f>
        <v>0.43589634459092375</v>
      </c>
      <c r="H5">
        <f>IF('Biodiesel Fraction'!$B20,1-'Biodiesel Fraction'!H30,1)*(1-H2)</f>
        <v>0.43556744094176436</v>
      </c>
      <c r="I5">
        <f>IF('Biodiesel Fraction'!$B20,1-'Biodiesel Fraction'!I30,1)*(1-I2)</f>
        <v>0.43799239493402486</v>
      </c>
      <c r="J5">
        <f>IF('Biodiesel Fraction'!$B20,1-'Biodiesel Fraction'!J30,1)*(1-J2)</f>
        <v>0.43735010288554216</v>
      </c>
      <c r="K5">
        <f>IF('Biodiesel Fraction'!$B20,1-'Biodiesel Fraction'!K30,1)*(1-K2)</f>
        <v>0.43700740056055987</v>
      </c>
      <c r="L5">
        <f>IF('Biodiesel Fraction'!$B20,1-'Biodiesel Fraction'!L30,1)*(1-L2)</f>
        <v>0.43628947052748251</v>
      </c>
      <c r="M5">
        <f>IF('Biodiesel Fraction'!$B20,1-'Biodiesel Fraction'!M30,1)*(1-M2)</f>
        <v>0.43595196750130683</v>
      </c>
      <c r="N5">
        <f>IF('Biodiesel Fraction'!$B20,1-'Biodiesel Fraction'!N30,1)*(1-N2)</f>
        <v>0.43565609330560723</v>
      </c>
      <c r="O5">
        <f>IF('Biodiesel Fraction'!$B20,1-'Biodiesel Fraction'!O30,1)*(1-O2)</f>
        <v>0.43643951725877284</v>
      </c>
      <c r="P5">
        <f>IF('Biodiesel Fraction'!$B20,1-'Biodiesel Fraction'!P30,1)*(1-P2)</f>
        <v>0.4357210703415253</v>
      </c>
      <c r="Q5">
        <f>IF('Biodiesel Fraction'!$B20,1-'Biodiesel Fraction'!Q30,1)*(1-Q2)</f>
        <v>0.43577769849952946</v>
      </c>
      <c r="R5">
        <f>IF('Biodiesel Fraction'!$B20,1-'Biodiesel Fraction'!R30,1)*(1-R2)</f>
        <v>0.43591801501137567</v>
      </c>
      <c r="S5">
        <f>IF('Biodiesel Fraction'!$B20,1-'Biodiesel Fraction'!S30,1)*(1-S2)</f>
        <v>0.43607670148600058</v>
      </c>
      <c r="T5">
        <f>IF('Biodiesel Fraction'!$B20,1-'Biodiesel Fraction'!T30,1)*(1-T2)</f>
        <v>0.43625772147044234</v>
      </c>
      <c r="U5">
        <f>IF('Biodiesel Fraction'!$B20,1-'Biodiesel Fraction'!U30,1)*(1-U2)</f>
        <v>0.43644340462995901</v>
      </c>
      <c r="V5">
        <f>IF('Biodiesel Fraction'!$B20,1-'Biodiesel Fraction'!V30,1)*(1-V2)</f>
        <v>0.43663971920706401</v>
      </c>
      <c r="W5">
        <f>IF('Biodiesel Fraction'!$B20,1-'Biodiesel Fraction'!W30,1)*(1-W2)</f>
        <v>0.43685538651981465</v>
      </c>
      <c r="X5">
        <f>IF('Biodiesel Fraction'!$B20,1-'Biodiesel Fraction'!X30,1)*(1-X2)</f>
        <v>0.43710664962429585</v>
      </c>
      <c r="Y5">
        <f>IF('Biodiesel Fraction'!$B20,1-'Biodiesel Fraction'!Y30,1)*(1-Y2)</f>
        <v>0.43737821041294256</v>
      </c>
      <c r="Z5">
        <f>IF('Biodiesel Fraction'!$B20,1-'Biodiesel Fraction'!Z30,1)*(1-Z2)</f>
        <v>0.43762245318434784</v>
      </c>
      <c r="AA5">
        <f>IF('Biodiesel Fraction'!$B20,1-'Biodiesel Fraction'!AA30,1)*(1-AA2)</f>
        <v>0.43790584445457315</v>
      </c>
      <c r="AB5">
        <f>IF('Biodiesel Fraction'!$B20,1-'Biodiesel Fraction'!AB30,1)*(1-AB2)</f>
        <v>0.43820720583171369</v>
      </c>
      <c r="AC5">
        <f>IF('Biodiesel Fraction'!$B20,1-'Biodiesel Fraction'!AC30,1)*(1-AC2)</f>
        <v>0.43851922623830869</v>
      </c>
    </row>
    <row r="6" spans="1:29">
      <c r="A6" t="s">
        <v>19</v>
      </c>
      <c r="B6">
        <v>0</v>
      </c>
      <c r="C6">
        <v>0</v>
      </c>
      <c r="D6">
        <v>0</v>
      </c>
      <c r="E6">
        <v>0</v>
      </c>
      <c r="F6">
        <v>0</v>
      </c>
      <c r="G6">
        <v>0</v>
      </c>
      <c r="H6">
        <v>0</v>
      </c>
      <c r="I6">
        <v>0</v>
      </c>
      <c r="J6">
        <v>0</v>
      </c>
      <c r="K6">
        <v>0</v>
      </c>
      <c r="L6">
        <v>0</v>
      </c>
      <c r="M6">
        <v>0</v>
      </c>
      <c r="N6">
        <v>0</v>
      </c>
      <c r="O6">
        <v>0</v>
      </c>
      <c r="P6">
        <v>0</v>
      </c>
      <c r="Q6">
        <v>0</v>
      </c>
      <c r="R6">
        <v>0</v>
      </c>
      <c r="S6">
        <v>0</v>
      </c>
      <c r="T6">
        <v>0</v>
      </c>
      <c r="U6">
        <v>0</v>
      </c>
      <c r="V6">
        <v>0</v>
      </c>
      <c r="W6">
        <v>0</v>
      </c>
      <c r="X6">
        <v>0</v>
      </c>
      <c r="Y6">
        <v>0</v>
      </c>
      <c r="Z6">
        <v>0</v>
      </c>
      <c r="AA6">
        <v>0</v>
      </c>
      <c r="AB6">
        <v>0</v>
      </c>
      <c r="AC6">
        <v>0</v>
      </c>
    </row>
    <row r="7" spans="1:29">
      <c r="A7" t="s">
        <v>21</v>
      </c>
      <c r="B7">
        <f>IF('Biodiesel Fraction'!$B20,'Biodiesel Fraction'!B30,0)*(1-B2)</f>
        <v>1.4597461042760985E-2</v>
      </c>
      <c r="C7">
        <f>IF('Biodiesel Fraction'!$B20,'Biodiesel Fraction'!C30,0)*(1-C2)</f>
        <v>1.7813625127151893E-2</v>
      </c>
      <c r="D7">
        <f>IF('Biodiesel Fraction'!$B20,'Biodiesel Fraction'!D30,0)*(1-D2)</f>
        <v>1.1820346065318021E-2</v>
      </c>
      <c r="E7">
        <f>IF('Biodiesel Fraction'!$B20,'Biodiesel Fraction'!E30,0)*(1-E2)</f>
        <v>1.422958937499611E-2</v>
      </c>
      <c r="F7">
        <f>IF('Biodiesel Fraction'!$B20,'Biodiesel Fraction'!F30,0)*(1-F2)</f>
        <v>1.3651306282889521E-2</v>
      </c>
      <c r="G7">
        <f>IF('Biodiesel Fraction'!$B20,'Biodiesel Fraction'!G30,0)*(1-G2)</f>
        <v>1.4103655409076203E-2</v>
      </c>
      <c r="H7">
        <f>IF('Biodiesel Fraction'!$B20,'Biodiesel Fraction'!H30,0)*(1-H2)</f>
        <v>1.443255905823557E-2</v>
      </c>
      <c r="I7">
        <f>IF('Biodiesel Fraction'!$B20,'Biodiesel Fraction'!I30,0)*(1-I2)</f>
        <v>1.2007605065975086E-2</v>
      </c>
      <c r="J7">
        <f>IF('Biodiesel Fraction'!$B20,'Biodiesel Fraction'!J30,0)*(1-J2)</f>
        <v>1.2649897114457782E-2</v>
      </c>
      <c r="K7">
        <f>IF('Biodiesel Fraction'!$B20,'Biodiesel Fraction'!K30,0)*(1-K2)</f>
        <v>1.2992599439440134E-2</v>
      </c>
      <c r="L7">
        <f>IF('Biodiesel Fraction'!$B20,'Biodiesel Fraction'!L30,0)*(1-L2)</f>
        <v>1.3710529472517453E-2</v>
      </c>
      <c r="M7">
        <f>IF('Biodiesel Fraction'!$B20,'Biodiesel Fraction'!M30,0)*(1-M2)</f>
        <v>1.4048032498693115E-2</v>
      </c>
      <c r="N7">
        <f>IF('Biodiesel Fraction'!$B20,'Biodiesel Fraction'!N30,0)*(1-N2)</f>
        <v>1.4343906694392764E-2</v>
      </c>
      <c r="O7">
        <f>IF('Biodiesel Fraction'!$B20,'Biodiesel Fraction'!O30,0)*(1-O2)</f>
        <v>1.3560482741227113E-2</v>
      </c>
      <c r="P7">
        <f>IF('Biodiesel Fraction'!$B20,'Biodiesel Fraction'!P30,0)*(1-P2)</f>
        <v>1.4278929658474679E-2</v>
      </c>
      <c r="Q7">
        <f>IF('Biodiesel Fraction'!$B20,'Biodiesel Fraction'!Q30,0)*(1-Q2)</f>
        <v>1.4222301500470493E-2</v>
      </c>
      <c r="R7">
        <f>IF('Biodiesel Fraction'!$B20,'Biodiesel Fraction'!R30,0)*(1-R2)</f>
        <v>1.4081984988624287E-2</v>
      </c>
      <c r="S7">
        <f>IF('Biodiesel Fraction'!$B20,'Biodiesel Fraction'!S30,0)*(1-S2)</f>
        <v>1.3923298513999359E-2</v>
      </c>
      <c r="T7">
        <f>IF('Biodiesel Fraction'!$B20,'Biodiesel Fraction'!T30,0)*(1-T2)</f>
        <v>1.3742278529557604E-2</v>
      </c>
      <c r="U7">
        <f>IF('Biodiesel Fraction'!$B20,'Biodiesel Fraction'!U30,0)*(1-U2)</f>
        <v>1.3556595370040945E-2</v>
      </c>
      <c r="V7">
        <f>IF('Biodiesel Fraction'!$B20,'Biodiesel Fraction'!V30,0)*(1-V2)</f>
        <v>1.3360280792935948E-2</v>
      </c>
      <c r="W7">
        <f>IF('Biodiesel Fraction'!$B20,'Biodiesel Fraction'!W30,0)*(1-W2)</f>
        <v>1.3144613480185325E-2</v>
      </c>
      <c r="X7">
        <f>IF('Biodiesel Fraction'!$B20,'Biodiesel Fraction'!X30,0)*(1-X2)</f>
        <v>1.2893350375704092E-2</v>
      </c>
      <c r="Y7">
        <f>IF('Biodiesel Fraction'!$B20,'Biodiesel Fraction'!Y30,0)*(1-Y2)</f>
        <v>1.2621789587057402E-2</v>
      </c>
      <c r="Z7">
        <f>IF('Biodiesel Fraction'!$B20,'Biodiesel Fraction'!Z30,0)*(1-Z2)</f>
        <v>1.2377546815652124E-2</v>
      </c>
      <c r="AA7">
        <f>IF('Biodiesel Fraction'!$B20,'Biodiesel Fraction'!AA30,0)*(1-AA2)</f>
        <v>1.2094155545426836E-2</v>
      </c>
      <c r="AB7">
        <f>IF('Biodiesel Fraction'!$B20,'Biodiesel Fraction'!AB30,0)*(1-AB2)</f>
        <v>1.1792794168286271E-2</v>
      </c>
      <c r="AC7">
        <f>IF('Biodiesel Fraction'!$B20,'Biodiesel Fraction'!AC30,0)*(1-AC2)</f>
        <v>1.1480773761691265E-2</v>
      </c>
    </row>
    <row r="8" spans="1:29">
      <c r="A8" t="s">
        <v>20</v>
      </c>
      <c r="B8">
        <v>0</v>
      </c>
      <c r="C8">
        <v>0</v>
      </c>
      <c r="D8">
        <v>0</v>
      </c>
      <c r="E8">
        <v>0</v>
      </c>
      <c r="F8">
        <v>0</v>
      </c>
      <c r="G8">
        <v>0</v>
      </c>
      <c r="H8">
        <v>0</v>
      </c>
      <c r="I8">
        <v>0</v>
      </c>
      <c r="J8">
        <v>0</v>
      </c>
      <c r="K8">
        <v>0</v>
      </c>
      <c r="L8">
        <v>0</v>
      </c>
      <c r="M8">
        <v>0</v>
      </c>
      <c r="N8">
        <v>0</v>
      </c>
      <c r="O8">
        <v>0</v>
      </c>
      <c r="P8">
        <v>0</v>
      </c>
      <c r="Q8">
        <v>0</v>
      </c>
      <c r="R8">
        <v>0</v>
      </c>
      <c r="S8">
        <v>0</v>
      </c>
      <c r="T8">
        <v>0</v>
      </c>
      <c r="U8">
        <v>0</v>
      </c>
      <c r="V8">
        <v>0</v>
      </c>
      <c r="W8">
        <v>0</v>
      </c>
      <c r="X8">
        <v>0</v>
      </c>
      <c r="Y8">
        <v>0</v>
      </c>
      <c r="Z8">
        <v>0</v>
      </c>
      <c r="AA8">
        <v>0</v>
      </c>
      <c r="AB8">
        <v>0</v>
      </c>
      <c r="AC8">
        <v>0</v>
      </c>
    </row>
    <row r="9" spans="1:29">
      <c r="A9" t="s">
        <v>82</v>
      </c>
      <c r="B9">
        <v>0</v>
      </c>
      <c r="C9">
        <v>0</v>
      </c>
      <c r="D9">
        <v>0</v>
      </c>
      <c r="E9">
        <v>0</v>
      </c>
      <c r="F9">
        <v>0</v>
      </c>
      <c r="G9">
        <v>0</v>
      </c>
      <c r="H9">
        <v>0</v>
      </c>
      <c r="I9">
        <v>0</v>
      </c>
      <c r="J9">
        <v>0</v>
      </c>
      <c r="K9">
        <v>0</v>
      </c>
      <c r="L9">
        <v>0</v>
      </c>
      <c r="M9">
        <v>0</v>
      </c>
      <c r="N9">
        <v>0</v>
      </c>
      <c r="O9">
        <v>0</v>
      </c>
      <c r="P9">
        <v>0</v>
      </c>
      <c r="Q9">
        <v>0</v>
      </c>
      <c r="R9">
        <v>0</v>
      </c>
      <c r="S9">
        <v>0</v>
      </c>
      <c r="T9">
        <v>0</v>
      </c>
      <c r="U9">
        <v>0</v>
      </c>
      <c r="V9">
        <v>0</v>
      </c>
      <c r="W9">
        <v>0</v>
      </c>
      <c r="X9">
        <v>0</v>
      </c>
      <c r="Y9">
        <v>0</v>
      </c>
      <c r="Z9">
        <v>0</v>
      </c>
      <c r="AA9">
        <v>0</v>
      </c>
      <c r="AB9">
        <v>0</v>
      </c>
      <c r="AC9">
        <v>0</v>
      </c>
    </row>
    <row r="10" spans="1:29">
      <c r="A10" t="s">
        <v>83</v>
      </c>
      <c r="B10">
        <v>0</v>
      </c>
      <c r="C10">
        <v>0</v>
      </c>
      <c r="D10">
        <v>0</v>
      </c>
      <c r="E10">
        <v>0</v>
      </c>
      <c r="F10">
        <v>0</v>
      </c>
      <c r="G10">
        <v>0</v>
      </c>
      <c r="H10">
        <v>0</v>
      </c>
      <c r="I10">
        <v>0</v>
      </c>
      <c r="J10">
        <v>0</v>
      </c>
      <c r="K10">
        <v>0</v>
      </c>
      <c r="L10">
        <v>0</v>
      </c>
      <c r="M10">
        <v>0</v>
      </c>
      <c r="N10">
        <v>0</v>
      </c>
      <c r="O10">
        <v>0</v>
      </c>
      <c r="P10">
        <v>0</v>
      </c>
      <c r="Q10">
        <v>0</v>
      </c>
      <c r="R10">
        <v>0</v>
      </c>
      <c r="S10">
        <v>0</v>
      </c>
      <c r="T10">
        <v>0</v>
      </c>
      <c r="U10">
        <v>0</v>
      </c>
      <c r="V10">
        <v>0</v>
      </c>
      <c r="W10">
        <v>0</v>
      </c>
      <c r="X10">
        <v>0</v>
      </c>
      <c r="Y10">
        <v>0</v>
      </c>
      <c r="Z10">
        <v>0</v>
      </c>
      <c r="AA10">
        <v>0</v>
      </c>
      <c r="AB10">
        <v>0</v>
      </c>
      <c r="AC10">
        <v>0</v>
      </c>
    </row>
    <row r="11" spans="1:29">
      <c r="A11" t="s">
        <v>84</v>
      </c>
      <c r="B11">
        <v>0</v>
      </c>
      <c r="C11">
        <v>0</v>
      </c>
      <c r="D11">
        <v>0</v>
      </c>
      <c r="E11">
        <v>0</v>
      </c>
      <c r="F11">
        <v>0</v>
      </c>
      <c r="G11">
        <v>0</v>
      </c>
      <c r="H11">
        <v>0</v>
      </c>
      <c r="I11">
        <v>0</v>
      </c>
      <c r="J11">
        <v>0</v>
      </c>
      <c r="K11">
        <v>0</v>
      </c>
      <c r="L11">
        <v>0</v>
      </c>
      <c r="M11">
        <v>0</v>
      </c>
      <c r="N11">
        <v>0</v>
      </c>
      <c r="O11">
        <v>0</v>
      </c>
      <c r="P11">
        <v>0</v>
      </c>
      <c r="Q11">
        <v>0</v>
      </c>
      <c r="R11">
        <v>0</v>
      </c>
      <c r="S11">
        <v>0</v>
      </c>
      <c r="T11">
        <v>0</v>
      </c>
      <c r="U11">
        <v>0</v>
      </c>
      <c r="V11">
        <v>0</v>
      </c>
      <c r="W11">
        <v>0</v>
      </c>
      <c r="X11">
        <v>0</v>
      </c>
      <c r="Y11">
        <v>0</v>
      </c>
      <c r="Z11">
        <v>0</v>
      </c>
      <c r="AA11">
        <v>0</v>
      </c>
      <c r="AB11">
        <v>0</v>
      </c>
      <c r="AC11">
        <v>0</v>
      </c>
    </row>
  </sheetData>
  <pageMargins left="0.7" right="0.7" top="0.75" bottom="0.75" header="0.3" footer="0.3"/>
</worksheet>
</file>

<file path=xl/worksheets/sheet3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B00-000000000000}">
  <sheetPr>
    <tabColor theme="3"/>
  </sheetPr>
  <dimension ref="A1:AI11"/>
  <sheetViews>
    <sheetView workbookViewId="0">
      <selection activeCell="B1" sqref="B1:AE1"/>
    </sheetView>
  </sheetViews>
  <sheetFormatPr defaultRowHeight="14.25"/>
  <cols>
    <col min="1" max="1" width="22.53125" customWidth="1"/>
  </cols>
  <sheetData>
    <row r="1" spans="1:35" ht="28.5">
      <c r="A1" s="10" t="s">
        <v>85</v>
      </c>
      <c r="B1">
        <v>2021</v>
      </c>
      <c r="C1">
        <v>2022</v>
      </c>
      <c r="D1">
        <v>2023</v>
      </c>
      <c r="E1">
        <v>2024</v>
      </c>
      <c r="F1">
        <v>2025</v>
      </c>
      <c r="G1">
        <v>2026</v>
      </c>
      <c r="H1">
        <v>2027</v>
      </c>
      <c r="I1">
        <v>2028</v>
      </c>
      <c r="J1">
        <v>2029</v>
      </c>
      <c r="K1">
        <v>2030</v>
      </c>
      <c r="L1">
        <v>2031</v>
      </c>
      <c r="M1">
        <v>2032</v>
      </c>
      <c r="N1">
        <v>2033</v>
      </c>
      <c r="O1">
        <v>2034</v>
      </c>
      <c r="P1">
        <v>2035</v>
      </c>
      <c r="Q1">
        <v>2036</v>
      </c>
      <c r="R1">
        <v>2037</v>
      </c>
      <c r="S1">
        <v>2038</v>
      </c>
      <c r="T1">
        <v>2039</v>
      </c>
      <c r="U1">
        <v>2040</v>
      </c>
      <c r="V1">
        <v>2041</v>
      </c>
      <c r="W1">
        <v>2042</v>
      </c>
      <c r="X1">
        <v>2043</v>
      </c>
      <c r="Y1">
        <v>2044</v>
      </c>
      <c r="Z1">
        <v>2045</v>
      </c>
      <c r="AA1">
        <v>2046</v>
      </c>
      <c r="AB1">
        <v>2047</v>
      </c>
      <c r="AC1">
        <v>2048</v>
      </c>
      <c r="AD1">
        <v>2049</v>
      </c>
      <c r="AE1">
        <v>2050</v>
      </c>
    </row>
    <row r="2" spans="1:35">
      <c r="A2" t="s">
        <v>15</v>
      </c>
      <c r="B2">
        <v>0</v>
      </c>
      <c r="C2">
        <v>0</v>
      </c>
      <c r="D2">
        <v>0</v>
      </c>
      <c r="E2">
        <v>0</v>
      </c>
      <c r="F2">
        <v>0</v>
      </c>
      <c r="G2">
        <v>0</v>
      </c>
      <c r="H2">
        <v>0</v>
      </c>
      <c r="I2">
        <v>0</v>
      </c>
      <c r="J2">
        <v>0</v>
      </c>
      <c r="K2">
        <v>0</v>
      </c>
      <c r="L2">
        <v>0</v>
      </c>
      <c r="M2">
        <v>0</v>
      </c>
      <c r="N2">
        <v>0</v>
      </c>
      <c r="O2">
        <v>0</v>
      </c>
      <c r="P2">
        <v>0</v>
      </c>
      <c r="Q2">
        <v>0</v>
      </c>
      <c r="R2">
        <v>0</v>
      </c>
      <c r="S2">
        <v>0</v>
      </c>
      <c r="T2">
        <v>0</v>
      </c>
      <c r="U2">
        <v>0</v>
      </c>
      <c r="V2">
        <v>0</v>
      </c>
      <c r="W2">
        <v>0</v>
      </c>
      <c r="X2">
        <v>0</v>
      </c>
      <c r="Y2">
        <v>0</v>
      </c>
      <c r="Z2">
        <v>0</v>
      </c>
      <c r="AA2">
        <v>0</v>
      </c>
      <c r="AB2">
        <v>0</v>
      </c>
      <c r="AC2">
        <v>0</v>
      </c>
      <c r="AD2">
        <v>0</v>
      </c>
      <c r="AE2">
        <v>0</v>
      </c>
    </row>
    <row r="3" spans="1:35">
      <c r="A3" t="s">
        <v>16</v>
      </c>
      <c r="B3">
        <v>0</v>
      </c>
      <c r="C3">
        <v>0</v>
      </c>
      <c r="D3">
        <v>0</v>
      </c>
      <c r="E3">
        <v>0</v>
      </c>
      <c r="F3">
        <v>0</v>
      </c>
      <c r="G3">
        <v>0</v>
      </c>
      <c r="H3">
        <v>0</v>
      </c>
      <c r="I3">
        <v>0</v>
      </c>
      <c r="J3">
        <v>0</v>
      </c>
      <c r="K3">
        <v>0</v>
      </c>
      <c r="L3">
        <v>0</v>
      </c>
      <c r="M3">
        <v>0</v>
      </c>
      <c r="N3">
        <v>0</v>
      </c>
      <c r="O3">
        <v>0</v>
      </c>
      <c r="P3">
        <v>0</v>
      </c>
      <c r="Q3">
        <v>0</v>
      </c>
      <c r="R3">
        <v>0</v>
      </c>
      <c r="S3">
        <v>0</v>
      </c>
      <c r="T3">
        <v>0</v>
      </c>
      <c r="U3">
        <v>0</v>
      </c>
      <c r="V3">
        <v>0</v>
      </c>
      <c r="W3">
        <v>0</v>
      </c>
      <c r="X3">
        <v>0</v>
      </c>
      <c r="Y3">
        <v>0</v>
      </c>
      <c r="Z3">
        <v>0</v>
      </c>
      <c r="AA3">
        <v>0</v>
      </c>
      <c r="AB3">
        <v>0</v>
      </c>
      <c r="AC3">
        <v>0</v>
      </c>
      <c r="AD3">
        <v>0</v>
      </c>
      <c r="AE3">
        <v>0</v>
      </c>
    </row>
    <row r="4" spans="1:35">
      <c r="A4" t="s">
        <v>17</v>
      </c>
      <c r="B4">
        <v>0</v>
      </c>
      <c r="C4">
        <v>0</v>
      </c>
      <c r="D4">
        <v>0</v>
      </c>
      <c r="E4">
        <v>0</v>
      </c>
      <c r="F4">
        <v>0</v>
      </c>
      <c r="G4">
        <v>0</v>
      </c>
      <c r="H4">
        <v>0</v>
      </c>
      <c r="I4">
        <v>0</v>
      </c>
      <c r="J4">
        <v>0</v>
      </c>
      <c r="K4">
        <v>0</v>
      </c>
      <c r="L4">
        <v>0</v>
      </c>
      <c r="M4">
        <v>0</v>
      </c>
      <c r="N4">
        <v>0</v>
      </c>
      <c r="O4">
        <v>0</v>
      </c>
      <c r="P4">
        <v>0</v>
      </c>
      <c r="Q4">
        <v>0</v>
      </c>
      <c r="R4">
        <v>0</v>
      </c>
      <c r="S4">
        <v>0</v>
      </c>
      <c r="T4">
        <v>0</v>
      </c>
      <c r="U4">
        <v>0</v>
      </c>
      <c r="V4">
        <v>0</v>
      </c>
      <c r="W4">
        <v>0</v>
      </c>
      <c r="X4">
        <v>0</v>
      </c>
      <c r="Y4">
        <v>0</v>
      </c>
      <c r="Z4">
        <v>0</v>
      </c>
      <c r="AA4">
        <v>0</v>
      </c>
      <c r="AB4">
        <v>0</v>
      </c>
      <c r="AC4">
        <v>0</v>
      </c>
      <c r="AD4">
        <v>0</v>
      </c>
      <c r="AE4">
        <v>0</v>
      </c>
      <c r="AI4" s="2"/>
    </row>
    <row r="5" spans="1:35">
      <c r="A5" t="s">
        <v>18</v>
      </c>
      <c r="B5">
        <v>0</v>
      </c>
      <c r="C5">
        <v>0</v>
      </c>
      <c r="D5">
        <v>0</v>
      </c>
      <c r="E5">
        <v>0</v>
      </c>
      <c r="F5">
        <v>0</v>
      </c>
      <c r="G5">
        <v>0</v>
      </c>
      <c r="H5">
        <v>0</v>
      </c>
      <c r="I5">
        <v>0</v>
      </c>
      <c r="J5">
        <v>0</v>
      </c>
      <c r="K5">
        <v>0</v>
      </c>
      <c r="L5">
        <v>0</v>
      </c>
      <c r="M5">
        <v>0</v>
      </c>
      <c r="N5">
        <v>0</v>
      </c>
      <c r="O5">
        <v>0</v>
      </c>
      <c r="P5">
        <v>0</v>
      </c>
      <c r="Q5">
        <v>0</v>
      </c>
      <c r="R5">
        <v>0</v>
      </c>
      <c r="S5">
        <v>0</v>
      </c>
      <c r="T5">
        <v>0</v>
      </c>
      <c r="U5">
        <v>0</v>
      </c>
      <c r="V5">
        <v>0</v>
      </c>
      <c r="W5">
        <v>0</v>
      </c>
      <c r="X5">
        <v>0</v>
      </c>
      <c r="Y5">
        <v>0</v>
      </c>
      <c r="Z5">
        <v>0</v>
      </c>
      <c r="AA5">
        <v>0</v>
      </c>
      <c r="AB5">
        <v>0</v>
      </c>
      <c r="AC5">
        <v>0</v>
      </c>
      <c r="AD5">
        <v>0</v>
      </c>
      <c r="AE5">
        <v>0</v>
      </c>
    </row>
    <row r="6" spans="1:35">
      <c r="A6" t="s">
        <v>19</v>
      </c>
      <c r="B6">
        <v>0</v>
      </c>
      <c r="C6">
        <v>0</v>
      </c>
      <c r="D6">
        <v>0</v>
      </c>
      <c r="E6">
        <v>0</v>
      </c>
      <c r="F6">
        <v>0</v>
      </c>
      <c r="G6">
        <v>0</v>
      </c>
      <c r="H6">
        <v>0</v>
      </c>
      <c r="I6">
        <v>0</v>
      </c>
      <c r="J6">
        <v>0</v>
      </c>
      <c r="K6">
        <v>0</v>
      </c>
      <c r="L6">
        <v>0</v>
      </c>
      <c r="M6">
        <v>0</v>
      </c>
      <c r="N6">
        <v>0</v>
      </c>
      <c r="O6">
        <v>0</v>
      </c>
      <c r="P6">
        <v>0</v>
      </c>
      <c r="Q6">
        <v>0</v>
      </c>
      <c r="R6">
        <v>0</v>
      </c>
      <c r="S6">
        <v>0</v>
      </c>
      <c r="T6">
        <v>0</v>
      </c>
      <c r="U6">
        <v>0</v>
      </c>
      <c r="V6">
        <v>0</v>
      </c>
      <c r="W6">
        <v>0</v>
      </c>
      <c r="X6">
        <v>0</v>
      </c>
      <c r="Y6">
        <v>0</v>
      </c>
      <c r="Z6">
        <v>0</v>
      </c>
      <c r="AA6">
        <v>0</v>
      </c>
      <c r="AB6">
        <v>0</v>
      </c>
      <c r="AC6">
        <v>0</v>
      </c>
      <c r="AD6">
        <v>0</v>
      </c>
      <c r="AE6">
        <v>0</v>
      </c>
      <c r="AI6" s="2"/>
    </row>
    <row r="7" spans="1:35">
      <c r="A7" t="s">
        <v>21</v>
      </c>
      <c r="B7">
        <v>0</v>
      </c>
      <c r="C7">
        <v>0</v>
      </c>
      <c r="D7">
        <v>0</v>
      </c>
      <c r="E7">
        <v>0</v>
      </c>
      <c r="F7">
        <v>0</v>
      </c>
      <c r="G7">
        <v>0</v>
      </c>
      <c r="H7">
        <v>0</v>
      </c>
      <c r="I7">
        <v>0</v>
      </c>
      <c r="J7">
        <v>0</v>
      </c>
      <c r="K7">
        <v>0</v>
      </c>
      <c r="L7">
        <v>0</v>
      </c>
      <c r="M7">
        <v>0</v>
      </c>
      <c r="N7">
        <v>0</v>
      </c>
      <c r="O7">
        <v>0</v>
      </c>
      <c r="P7">
        <v>0</v>
      </c>
      <c r="Q7">
        <v>0</v>
      </c>
      <c r="R7">
        <v>0</v>
      </c>
      <c r="S7">
        <v>0</v>
      </c>
      <c r="T7">
        <v>0</v>
      </c>
      <c r="U7">
        <v>0</v>
      </c>
      <c r="V7">
        <v>0</v>
      </c>
      <c r="W7">
        <v>0</v>
      </c>
      <c r="X7">
        <v>0</v>
      </c>
      <c r="Y7">
        <v>0</v>
      </c>
      <c r="Z7">
        <v>0</v>
      </c>
      <c r="AA7">
        <v>0</v>
      </c>
      <c r="AB7">
        <v>0</v>
      </c>
      <c r="AC7">
        <v>0</v>
      </c>
      <c r="AD7">
        <v>0</v>
      </c>
      <c r="AE7">
        <v>0</v>
      </c>
    </row>
    <row r="8" spans="1:35">
      <c r="A8" t="s">
        <v>20</v>
      </c>
      <c r="B8">
        <v>0</v>
      </c>
      <c r="C8">
        <v>0</v>
      </c>
      <c r="D8">
        <v>0</v>
      </c>
      <c r="E8">
        <v>0</v>
      </c>
      <c r="F8">
        <v>0</v>
      </c>
      <c r="G8">
        <v>0</v>
      </c>
      <c r="H8">
        <v>0</v>
      </c>
      <c r="I8">
        <v>0</v>
      </c>
      <c r="J8">
        <v>0</v>
      </c>
      <c r="K8">
        <v>0</v>
      </c>
      <c r="L8">
        <v>0</v>
      </c>
      <c r="M8">
        <v>0</v>
      </c>
      <c r="N8">
        <v>0</v>
      </c>
      <c r="O8">
        <v>0</v>
      </c>
      <c r="P8">
        <v>0</v>
      </c>
      <c r="Q8">
        <v>0</v>
      </c>
      <c r="R8">
        <v>0</v>
      </c>
      <c r="S8">
        <v>0</v>
      </c>
      <c r="T8">
        <v>0</v>
      </c>
      <c r="U8">
        <v>0</v>
      </c>
      <c r="V8">
        <v>0</v>
      </c>
      <c r="W8">
        <v>0</v>
      </c>
      <c r="X8">
        <v>0</v>
      </c>
      <c r="Y8">
        <v>0</v>
      </c>
      <c r="Z8">
        <v>0</v>
      </c>
      <c r="AA8">
        <v>0</v>
      </c>
      <c r="AB8">
        <v>0</v>
      </c>
      <c r="AC8">
        <v>0</v>
      </c>
      <c r="AD8">
        <v>0</v>
      </c>
      <c r="AE8">
        <v>0</v>
      </c>
    </row>
    <row r="9" spans="1:35">
      <c r="A9" t="s">
        <v>82</v>
      </c>
      <c r="B9">
        <v>0</v>
      </c>
      <c r="C9">
        <v>0</v>
      </c>
      <c r="D9">
        <v>0</v>
      </c>
      <c r="E9">
        <v>0</v>
      </c>
      <c r="F9">
        <v>0</v>
      </c>
      <c r="G9">
        <v>0</v>
      </c>
      <c r="H9">
        <v>0</v>
      </c>
      <c r="I9">
        <v>0</v>
      </c>
      <c r="J9">
        <v>0</v>
      </c>
      <c r="K9">
        <v>0</v>
      </c>
      <c r="L9">
        <v>0</v>
      </c>
      <c r="M9">
        <v>0</v>
      </c>
      <c r="N9">
        <v>0</v>
      </c>
      <c r="O9">
        <v>0</v>
      </c>
      <c r="P9">
        <v>0</v>
      </c>
      <c r="Q9">
        <v>0</v>
      </c>
      <c r="R9">
        <v>0</v>
      </c>
      <c r="S9">
        <v>0</v>
      </c>
      <c r="T9">
        <v>0</v>
      </c>
      <c r="U9">
        <v>0</v>
      </c>
      <c r="V9">
        <v>0</v>
      </c>
      <c r="W9">
        <v>0</v>
      </c>
      <c r="X9">
        <v>0</v>
      </c>
      <c r="Y9">
        <v>0</v>
      </c>
      <c r="Z9">
        <v>0</v>
      </c>
      <c r="AA9">
        <v>0</v>
      </c>
      <c r="AB9">
        <v>0</v>
      </c>
      <c r="AC9">
        <v>0</v>
      </c>
      <c r="AD9">
        <v>0</v>
      </c>
      <c r="AE9">
        <v>0</v>
      </c>
    </row>
    <row r="10" spans="1:35">
      <c r="A10" t="s">
        <v>83</v>
      </c>
      <c r="B10">
        <v>1</v>
      </c>
      <c r="C10">
        <v>1</v>
      </c>
      <c r="D10">
        <v>1</v>
      </c>
      <c r="E10">
        <v>1</v>
      </c>
      <c r="F10">
        <v>1</v>
      </c>
      <c r="G10">
        <v>1</v>
      </c>
      <c r="H10">
        <v>1</v>
      </c>
      <c r="I10">
        <v>1</v>
      </c>
      <c r="J10">
        <v>1</v>
      </c>
      <c r="K10">
        <v>1</v>
      </c>
      <c r="L10">
        <v>1</v>
      </c>
      <c r="M10">
        <v>1</v>
      </c>
      <c r="N10">
        <v>1</v>
      </c>
      <c r="O10">
        <v>1</v>
      </c>
      <c r="P10">
        <v>1</v>
      </c>
      <c r="Q10">
        <v>1</v>
      </c>
      <c r="R10">
        <v>1</v>
      </c>
      <c r="S10">
        <v>1</v>
      </c>
      <c r="T10">
        <v>1</v>
      </c>
      <c r="U10">
        <v>1</v>
      </c>
      <c r="V10">
        <v>1</v>
      </c>
      <c r="W10">
        <v>1</v>
      </c>
      <c r="X10">
        <v>1</v>
      </c>
      <c r="Y10">
        <v>1</v>
      </c>
      <c r="Z10">
        <v>1</v>
      </c>
      <c r="AA10">
        <v>1</v>
      </c>
      <c r="AB10">
        <v>1</v>
      </c>
      <c r="AC10">
        <v>1</v>
      </c>
      <c r="AD10">
        <v>1</v>
      </c>
      <c r="AE10">
        <v>1</v>
      </c>
    </row>
    <row r="11" spans="1:35">
      <c r="A11" t="s">
        <v>84</v>
      </c>
      <c r="B11">
        <v>0</v>
      </c>
      <c r="C11">
        <v>0</v>
      </c>
      <c r="D11">
        <v>0</v>
      </c>
      <c r="E11">
        <v>0</v>
      </c>
      <c r="F11">
        <v>0</v>
      </c>
      <c r="G11">
        <v>0</v>
      </c>
      <c r="H11">
        <v>0</v>
      </c>
      <c r="I11">
        <v>0</v>
      </c>
      <c r="J11">
        <v>0</v>
      </c>
      <c r="K11">
        <v>0</v>
      </c>
      <c r="L11">
        <v>0</v>
      </c>
      <c r="M11">
        <v>0</v>
      </c>
      <c r="N11">
        <v>0</v>
      </c>
      <c r="O11">
        <v>0</v>
      </c>
      <c r="P11">
        <v>0</v>
      </c>
      <c r="Q11">
        <v>0</v>
      </c>
      <c r="R11">
        <v>0</v>
      </c>
      <c r="S11">
        <v>0</v>
      </c>
      <c r="T11">
        <v>0</v>
      </c>
      <c r="U11">
        <v>0</v>
      </c>
      <c r="V11">
        <v>0</v>
      </c>
      <c r="W11">
        <v>0</v>
      </c>
      <c r="X11">
        <v>0</v>
      </c>
      <c r="Y11">
        <v>0</v>
      </c>
      <c r="Z11">
        <v>0</v>
      </c>
      <c r="AA11">
        <v>0</v>
      </c>
      <c r="AB11">
        <v>0</v>
      </c>
      <c r="AC11">
        <v>0</v>
      </c>
      <c r="AD11">
        <v>0</v>
      </c>
      <c r="AE11">
        <v>0</v>
      </c>
    </row>
  </sheetData>
  <pageMargins left="0.7" right="0.7" top="0.75" bottom="0.75" header="0.3" footer="0.3"/>
</worksheet>
</file>

<file path=xl/worksheets/sheet3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C00-000000000000}">
  <sheetPr>
    <tabColor theme="3"/>
  </sheetPr>
  <dimension ref="A1:AI11"/>
  <sheetViews>
    <sheetView workbookViewId="0">
      <selection activeCell="B1" sqref="B1:AE1"/>
    </sheetView>
  </sheetViews>
  <sheetFormatPr defaultRowHeight="14.25"/>
  <cols>
    <col min="1" max="1" width="22.53125" customWidth="1"/>
  </cols>
  <sheetData>
    <row r="1" spans="1:35" ht="28.5">
      <c r="A1" s="10" t="s">
        <v>85</v>
      </c>
      <c r="B1">
        <v>2021</v>
      </c>
      <c r="C1">
        <v>2022</v>
      </c>
      <c r="D1">
        <v>2023</v>
      </c>
      <c r="E1">
        <v>2024</v>
      </c>
      <c r="F1">
        <v>2025</v>
      </c>
      <c r="G1">
        <v>2026</v>
      </c>
      <c r="H1">
        <v>2027</v>
      </c>
      <c r="I1">
        <v>2028</v>
      </c>
      <c r="J1">
        <v>2029</v>
      </c>
      <c r="K1">
        <v>2030</v>
      </c>
      <c r="L1">
        <v>2031</v>
      </c>
      <c r="M1">
        <v>2032</v>
      </c>
      <c r="N1">
        <v>2033</v>
      </c>
      <c r="O1">
        <v>2034</v>
      </c>
      <c r="P1">
        <v>2035</v>
      </c>
      <c r="Q1">
        <v>2036</v>
      </c>
      <c r="R1">
        <v>2037</v>
      </c>
      <c r="S1">
        <v>2038</v>
      </c>
      <c r="T1">
        <v>2039</v>
      </c>
      <c r="U1">
        <v>2040</v>
      </c>
      <c r="V1">
        <v>2041</v>
      </c>
      <c r="W1">
        <v>2042</v>
      </c>
      <c r="X1">
        <v>2043</v>
      </c>
      <c r="Y1">
        <v>2044</v>
      </c>
      <c r="Z1">
        <v>2045</v>
      </c>
      <c r="AA1">
        <v>2046</v>
      </c>
      <c r="AB1">
        <v>2047</v>
      </c>
      <c r="AC1">
        <v>2048</v>
      </c>
      <c r="AD1">
        <v>2049</v>
      </c>
      <c r="AE1">
        <v>2050</v>
      </c>
    </row>
    <row r="2" spans="1:35">
      <c r="A2" t="s">
        <v>15</v>
      </c>
      <c r="B2">
        <v>0</v>
      </c>
      <c r="C2">
        <v>0</v>
      </c>
      <c r="D2">
        <v>0</v>
      </c>
      <c r="E2">
        <v>0</v>
      </c>
      <c r="F2">
        <v>0</v>
      </c>
      <c r="G2">
        <v>0</v>
      </c>
      <c r="H2">
        <v>0</v>
      </c>
      <c r="I2">
        <v>0</v>
      </c>
      <c r="J2">
        <v>0</v>
      </c>
      <c r="K2">
        <v>0</v>
      </c>
      <c r="L2">
        <v>0</v>
      </c>
      <c r="M2">
        <v>0</v>
      </c>
      <c r="N2">
        <v>0</v>
      </c>
      <c r="O2">
        <v>0</v>
      </c>
      <c r="P2">
        <v>0</v>
      </c>
      <c r="Q2">
        <v>0</v>
      </c>
      <c r="R2">
        <v>0</v>
      </c>
      <c r="S2">
        <v>0</v>
      </c>
      <c r="T2">
        <v>0</v>
      </c>
      <c r="U2">
        <v>0</v>
      </c>
      <c r="V2">
        <v>0</v>
      </c>
      <c r="W2">
        <v>0</v>
      </c>
      <c r="X2">
        <v>0</v>
      </c>
      <c r="Y2">
        <v>0</v>
      </c>
      <c r="Z2">
        <v>0</v>
      </c>
      <c r="AA2">
        <v>0</v>
      </c>
      <c r="AB2">
        <v>0</v>
      </c>
      <c r="AC2">
        <v>0</v>
      </c>
      <c r="AD2">
        <v>0</v>
      </c>
      <c r="AE2">
        <v>0</v>
      </c>
    </row>
    <row r="3" spans="1:35">
      <c r="A3" t="s">
        <v>16</v>
      </c>
      <c r="B3">
        <v>0</v>
      </c>
      <c r="C3">
        <v>0</v>
      </c>
      <c r="D3">
        <v>0</v>
      </c>
      <c r="E3">
        <v>0</v>
      </c>
      <c r="F3">
        <v>0</v>
      </c>
      <c r="G3">
        <v>0</v>
      </c>
      <c r="H3">
        <v>0</v>
      </c>
      <c r="I3">
        <v>0</v>
      </c>
      <c r="J3">
        <v>0</v>
      </c>
      <c r="K3">
        <v>0</v>
      </c>
      <c r="L3">
        <v>0</v>
      </c>
      <c r="M3">
        <v>0</v>
      </c>
      <c r="N3">
        <v>0</v>
      </c>
      <c r="O3">
        <v>0</v>
      </c>
      <c r="P3">
        <v>0</v>
      </c>
      <c r="Q3">
        <v>0</v>
      </c>
      <c r="R3">
        <v>0</v>
      </c>
      <c r="S3">
        <v>0</v>
      </c>
      <c r="T3">
        <v>0</v>
      </c>
      <c r="U3">
        <v>0</v>
      </c>
      <c r="V3">
        <v>0</v>
      </c>
      <c r="W3">
        <v>0</v>
      </c>
      <c r="X3">
        <v>0</v>
      </c>
      <c r="Y3">
        <v>0</v>
      </c>
      <c r="Z3">
        <v>0</v>
      </c>
      <c r="AA3">
        <v>0</v>
      </c>
      <c r="AB3">
        <v>0</v>
      </c>
      <c r="AC3">
        <v>0</v>
      </c>
      <c r="AD3">
        <v>0</v>
      </c>
      <c r="AE3">
        <v>0</v>
      </c>
    </row>
    <row r="4" spans="1:35">
      <c r="A4" t="s">
        <v>17</v>
      </c>
      <c r="B4">
        <v>0</v>
      </c>
      <c r="C4">
        <v>0</v>
      </c>
      <c r="D4">
        <v>0</v>
      </c>
      <c r="E4">
        <v>0</v>
      </c>
      <c r="F4">
        <v>0</v>
      </c>
      <c r="G4">
        <v>0</v>
      </c>
      <c r="H4">
        <v>0</v>
      </c>
      <c r="I4">
        <v>0</v>
      </c>
      <c r="J4">
        <v>0</v>
      </c>
      <c r="K4">
        <v>0</v>
      </c>
      <c r="L4">
        <v>0</v>
      </c>
      <c r="M4">
        <v>0</v>
      </c>
      <c r="N4">
        <v>0</v>
      </c>
      <c r="O4">
        <v>0</v>
      </c>
      <c r="P4">
        <v>0</v>
      </c>
      <c r="Q4">
        <v>0</v>
      </c>
      <c r="R4">
        <v>0</v>
      </c>
      <c r="S4">
        <v>0</v>
      </c>
      <c r="T4">
        <v>0</v>
      </c>
      <c r="U4">
        <v>0</v>
      </c>
      <c r="V4">
        <v>0</v>
      </c>
      <c r="W4">
        <v>0</v>
      </c>
      <c r="X4">
        <v>0</v>
      </c>
      <c r="Y4">
        <v>0</v>
      </c>
      <c r="Z4">
        <v>0</v>
      </c>
      <c r="AA4">
        <v>0</v>
      </c>
      <c r="AB4">
        <v>0</v>
      </c>
      <c r="AC4">
        <v>0</v>
      </c>
      <c r="AD4">
        <v>0</v>
      </c>
      <c r="AE4">
        <v>0</v>
      </c>
      <c r="AI4" s="2"/>
    </row>
    <row r="5" spans="1:35">
      <c r="A5" t="s">
        <v>18</v>
      </c>
      <c r="B5">
        <v>0</v>
      </c>
      <c r="C5">
        <v>0</v>
      </c>
      <c r="D5">
        <v>0</v>
      </c>
      <c r="E5">
        <v>0</v>
      </c>
      <c r="F5">
        <v>0</v>
      </c>
      <c r="G5">
        <v>0</v>
      </c>
      <c r="H5">
        <v>0</v>
      </c>
      <c r="I5">
        <v>0</v>
      </c>
      <c r="J5">
        <v>0</v>
      </c>
      <c r="K5">
        <v>0</v>
      </c>
      <c r="L5">
        <v>0</v>
      </c>
      <c r="M5">
        <v>0</v>
      </c>
      <c r="N5">
        <v>0</v>
      </c>
      <c r="O5">
        <v>0</v>
      </c>
      <c r="P5">
        <v>0</v>
      </c>
      <c r="Q5">
        <v>0</v>
      </c>
      <c r="R5">
        <v>0</v>
      </c>
      <c r="S5">
        <v>0</v>
      </c>
      <c r="T5">
        <v>0</v>
      </c>
      <c r="U5">
        <v>0</v>
      </c>
      <c r="V5">
        <v>0</v>
      </c>
      <c r="W5">
        <v>0</v>
      </c>
      <c r="X5">
        <v>0</v>
      </c>
      <c r="Y5">
        <v>0</v>
      </c>
      <c r="Z5">
        <v>0</v>
      </c>
      <c r="AA5">
        <v>0</v>
      </c>
      <c r="AB5">
        <v>0</v>
      </c>
      <c r="AC5">
        <v>0</v>
      </c>
      <c r="AD5">
        <v>0</v>
      </c>
      <c r="AE5">
        <v>0</v>
      </c>
    </row>
    <row r="6" spans="1:35">
      <c r="A6" t="s">
        <v>19</v>
      </c>
      <c r="B6">
        <v>0</v>
      </c>
      <c r="C6">
        <v>0</v>
      </c>
      <c r="D6">
        <v>0</v>
      </c>
      <c r="E6">
        <v>0</v>
      </c>
      <c r="F6">
        <v>0</v>
      </c>
      <c r="G6">
        <v>0</v>
      </c>
      <c r="H6">
        <v>0</v>
      </c>
      <c r="I6">
        <v>0</v>
      </c>
      <c r="J6">
        <v>0</v>
      </c>
      <c r="K6">
        <v>0</v>
      </c>
      <c r="L6">
        <v>0</v>
      </c>
      <c r="M6">
        <v>0</v>
      </c>
      <c r="N6">
        <v>0</v>
      </c>
      <c r="O6">
        <v>0</v>
      </c>
      <c r="P6">
        <v>0</v>
      </c>
      <c r="Q6">
        <v>0</v>
      </c>
      <c r="R6">
        <v>0</v>
      </c>
      <c r="S6">
        <v>0</v>
      </c>
      <c r="T6">
        <v>0</v>
      </c>
      <c r="U6">
        <v>0</v>
      </c>
      <c r="V6">
        <v>0</v>
      </c>
      <c r="W6">
        <v>0</v>
      </c>
      <c r="X6">
        <v>0</v>
      </c>
      <c r="Y6">
        <v>0</v>
      </c>
      <c r="Z6">
        <v>0</v>
      </c>
      <c r="AA6">
        <v>0</v>
      </c>
      <c r="AB6">
        <v>0</v>
      </c>
      <c r="AC6">
        <v>0</v>
      </c>
      <c r="AD6">
        <v>0</v>
      </c>
      <c r="AE6">
        <v>0</v>
      </c>
      <c r="AI6" s="2"/>
    </row>
    <row r="7" spans="1:35">
      <c r="A7" t="s">
        <v>21</v>
      </c>
      <c r="B7">
        <v>0</v>
      </c>
      <c r="C7">
        <v>0</v>
      </c>
      <c r="D7">
        <v>0</v>
      </c>
      <c r="E7">
        <v>0</v>
      </c>
      <c r="F7">
        <v>0</v>
      </c>
      <c r="G7">
        <v>0</v>
      </c>
      <c r="H7">
        <v>0</v>
      </c>
      <c r="I7">
        <v>0</v>
      </c>
      <c r="J7">
        <v>0</v>
      </c>
      <c r="K7">
        <v>0</v>
      </c>
      <c r="L7">
        <v>0</v>
      </c>
      <c r="M7">
        <v>0</v>
      </c>
      <c r="N7">
        <v>0</v>
      </c>
      <c r="O7">
        <v>0</v>
      </c>
      <c r="P7">
        <v>0</v>
      </c>
      <c r="Q7">
        <v>0</v>
      </c>
      <c r="R7">
        <v>0</v>
      </c>
      <c r="S7">
        <v>0</v>
      </c>
      <c r="T7">
        <v>0</v>
      </c>
      <c r="U7">
        <v>0</v>
      </c>
      <c r="V7">
        <v>0</v>
      </c>
      <c r="W7">
        <v>0</v>
      </c>
      <c r="X7">
        <v>0</v>
      </c>
      <c r="Y7">
        <v>0</v>
      </c>
      <c r="Z7">
        <v>0</v>
      </c>
      <c r="AA7">
        <v>0</v>
      </c>
      <c r="AB7">
        <v>0</v>
      </c>
      <c r="AC7">
        <v>0</v>
      </c>
      <c r="AD7">
        <v>0</v>
      </c>
      <c r="AE7">
        <v>0</v>
      </c>
    </row>
    <row r="8" spans="1:35">
      <c r="A8" t="s">
        <v>20</v>
      </c>
      <c r="B8">
        <v>0</v>
      </c>
      <c r="C8">
        <v>0</v>
      </c>
      <c r="D8">
        <v>0</v>
      </c>
      <c r="E8">
        <v>0</v>
      </c>
      <c r="F8">
        <v>0</v>
      </c>
      <c r="G8">
        <v>0</v>
      </c>
      <c r="H8">
        <v>0</v>
      </c>
      <c r="I8">
        <v>0</v>
      </c>
      <c r="J8">
        <v>0</v>
      </c>
      <c r="K8">
        <v>0</v>
      </c>
      <c r="L8">
        <v>0</v>
      </c>
      <c r="M8">
        <v>0</v>
      </c>
      <c r="N8">
        <v>0</v>
      </c>
      <c r="O8">
        <v>0</v>
      </c>
      <c r="P8">
        <v>0</v>
      </c>
      <c r="Q8">
        <v>0</v>
      </c>
      <c r="R8">
        <v>0</v>
      </c>
      <c r="S8">
        <v>0</v>
      </c>
      <c r="T8">
        <v>0</v>
      </c>
      <c r="U8">
        <v>0</v>
      </c>
      <c r="V8">
        <v>0</v>
      </c>
      <c r="W8">
        <v>0</v>
      </c>
      <c r="X8">
        <v>0</v>
      </c>
      <c r="Y8">
        <v>0</v>
      </c>
      <c r="Z8">
        <v>0</v>
      </c>
      <c r="AA8">
        <v>0</v>
      </c>
      <c r="AB8">
        <v>0</v>
      </c>
      <c r="AC8">
        <v>0</v>
      </c>
      <c r="AD8">
        <v>0</v>
      </c>
      <c r="AE8">
        <v>0</v>
      </c>
    </row>
    <row r="9" spans="1:35">
      <c r="A9" t="s">
        <v>82</v>
      </c>
      <c r="B9">
        <v>0</v>
      </c>
      <c r="C9">
        <v>0</v>
      </c>
      <c r="D9">
        <v>0</v>
      </c>
      <c r="E9">
        <v>0</v>
      </c>
      <c r="F9">
        <v>0</v>
      </c>
      <c r="G9">
        <v>0</v>
      </c>
      <c r="H9">
        <v>0</v>
      </c>
      <c r="I9">
        <v>0</v>
      </c>
      <c r="J9">
        <v>0</v>
      </c>
      <c r="K9">
        <v>0</v>
      </c>
      <c r="L9">
        <v>0</v>
      </c>
      <c r="M9">
        <v>0</v>
      </c>
      <c r="N9">
        <v>0</v>
      </c>
      <c r="O9">
        <v>0</v>
      </c>
      <c r="P9">
        <v>0</v>
      </c>
      <c r="Q9">
        <v>0</v>
      </c>
      <c r="R9">
        <v>0</v>
      </c>
      <c r="S9">
        <v>0</v>
      </c>
      <c r="T9">
        <v>0</v>
      </c>
      <c r="U9">
        <v>0</v>
      </c>
      <c r="V9">
        <v>0</v>
      </c>
      <c r="W9">
        <v>0</v>
      </c>
      <c r="X9">
        <v>0</v>
      </c>
      <c r="Y9">
        <v>0</v>
      </c>
      <c r="Z9">
        <v>0</v>
      </c>
      <c r="AA9">
        <v>0</v>
      </c>
      <c r="AB9">
        <v>0</v>
      </c>
      <c r="AC9">
        <v>0</v>
      </c>
      <c r="AD9">
        <v>0</v>
      </c>
      <c r="AE9">
        <v>0</v>
      </c>
    </row>
    <row r="10" spans="1:35">
      <c r="A10" t="s">
        <v>83</v>
      </c>
      <c r="B10">
        <v>0</v>
      </c>
      <c r="C10">
        <v>0</v>
      </c>
      <c r="D10">
        <v>0</v>
      </c>
      <c r="E10">
        <v>0</v>
      </c>
      <c r="F10">
        <v>0</v>
      </c>
      <c r="G10">
        <v>0</v>
      </c>
      <c r="H10">
        <v>0</v>
      </c>
      <c r="I10">
        <v>0</v>
      </c>
      <c r="J10">
        <v>0</v>
      </c>
      <c r="K10">
        <v>0</v>
      </c>
      <c r="L10">
        <v>0</v>
      </c>
      <c r="M10">
        <v>0</v>
      </c>
      <c r="N10">
        <v>0</v>
      </c>
      <c r="O10">
        <v>0</v>
      </c>
      <c r="P10">
        <v>0</v>
      </c>
      <c r="Q10">
        <v>0</v>
      </c>
      <c r="R10">
        <v>0</v>
      </c>
      <c r="S10">
        <v>0</v>
      </c>
      <c r="T10">
        <v>0</v>
      </c>
      <c r="U10">
        <v>0</v>
      </c>
      <c r="V10">
        <v>0</v>
      </c>
      <c r="W10">
        <v>0</v>
      </c>
      <c r="X10">
        <v>0</v>
      </c>
      <c r="Y10">
        <v>0</v>
      </c>
      <c r="Z10">
        <v>0</v>
      </c>
      <c r="AA10">
        <v>0</v>
      </c>
      <c r="AB10">
        <v>0</v>
      </c>
      <c r="AC10">
        <v>0</v>
      </c>
      <c r="AD10">
        <v>0</v>
      </c>
      <c r="AE10">
        <v>0</v>
      </c>
    </row>
    <row r="11" spans="1:35">
      <c r="A11" t="s">
        <v>84</v>
      </c>
      <c r="B11">
        <v>1</v>
      </c>
      <c r="C11">
        <v>1</v>
      </c>
      <c r="D11">
        <v>1</v>
      </c>
      <c r="E11">
        <v>1</v>
      </c>
      <c r="F11">
        <v>1</v>
      </c>
      <c r="G11">
        <v>1</v>
      </c>
      <c r="H11">
        <v>1</v>
      </c>
      <c r="I11">
        <v>1</v>
      </c>
      <c r="J11">
        <v>1</v>
      </c>
      <c r="K11">
        <v>1</v>
      </c>
      <c r="L11">
        <v>1</v>
      </c>
      <c r="M11">
        <v>1</v>
      </c>
      <c r="N11">
        <v>1</v>
      </c>
      <c r="O11">
        <v>1</v>
      </c>
      <c r="P11">
        <v>1</v>
      </c>
      <c r="Q11">
        <v>1</v>
      </c>
      <c r="R11">
        <v>1</v>
      </c>
      <c r="S11">
        <v>1</v>
      </c>
      <c r="T11">
        <v>1</v>
      </c>
      <c r="U11">
        <v>1</v>
      </c>
      <c r="V11">
        <v>1</v>
      </c>
      <c r="W11">
        <v>1</v>
      </c>
      <c r="X11">
        <v>1</v>
      </c>
      <c r="Y11">
        <v>1</v>
      </c>
      <c r="Z11">
        <v>1</v>
      </c>
      <c r="AA11">
        <v>1</v>
      </c>
      <c r="AB11">
        <v>1</v>
      </c>
      <c r="AC11">
        <v>1</v>
      </c>
      <c r="AD11">
        <v>1</v>
      </c>
      <c r="AE11">
        <v>1</v>
      </c>
    </row>
  </sheetData>
  <pageMargins left="0.7" right="0.7" top="0.75" bottom="0.75" header="0.3" footer="0.3"/>
</worksheet>
</file>

<file path=xl/worksheets/sheet4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D00-000000000000}">
  <sheetPr>
    <tabColor rgb="FFFF0000"/>
  </sheetPr>
  <dimension ref="A1"/>
  <sheetViews>
    <sheetView workbookViewId="0"/>
  </sheetViews>
  <sheetFormatPr defaultRowHeight="14.25"/>
  <sheetData/>
  <pageMargins left="0.7" right="0.7" top="0.75" bottom="0.75" header="0.3" footer="0.3"/>
</worksheet>
</file>

<file path=xl/worksheets/sheet4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E00-000000000000}">
  <sheetPr>
    <tabColor theme="3"/>
  </sheetPr>
  <dimension ref="A1:AE11"/>
  <sheetViews>
    <sheetView workbookViewId="0">
      <selection activeCell="A11" sqref="A11"/>
    </sheetView>
  </sheetViews>
  <sheetFormatPr defaultRowHeight="14.25"/>
  <cols>
    <col min="1" max="1" width="22.53125" customWidth="1"/>
  </cols>
  <sheetData>
    <row r="1" spans="1:31" ht="28.5">
      <c r="A1" s="10" t="s">
        <v>85</v>
      </c>
      <c r="B1">
        <v>2021</v>
      </c>
      <c r="C1">
        <v>2022</v>
      </c>
      <c r="D1">
        <v>2023</v>
      </c>
      <c r="E1">
        <v>2024</v>
      </c>
      <c r="F1">
        <v>2025</v>
      </c>
      <c r="G1">
        <v>2026</v>
      </c>
      <c r="H1">
        <v>2027</v>
      </c>
      <c r="I1">
        <v>2028</v>
      </c>
      <c r="J1">
        <v>2029</v>
      </c>
      <c r="K1">
        <v>2030</v>
      </c>
      <c r="L1">
        <v>2031</v>
      </c>
      <c r="M1">
        <v>2032</v>
      </c>
      <c r="N1">
        <v>2033</v>
      </c>
      <c r="O1">
        <v>2034</v>
      </c>
      <c r="P1">
        <v>2035</v>
      </c>
      <c r="Q1">
        <v>2036</v>
      </c>
      <c r="R1">
        <v>2037</v>
      </c>
      <c r="S1">
        <v>2038</v>
      </c>
      <c r="T1">
        <v>2039</v>
      </c>
      <c r="U1">
        <v>2040</v>
      </c>
      <c r="V1">
        <v>2041</v>
      </c>
      <c r="W1">
        <v>2042</v>
      </c>
      <c r="X1">
        <v>2043</v>
      </c>
      <c r="Y1">
        <v>2044</v>
      </c>
      <c r="Z1">
        <v>2045</v>
      </c>
      <c r="AA1">
        <v>2046</v>
      </c>
      <c r="AB1">
        <v>2047</v>
      </c>
      <c r="AC1">
        <v>2048</v>
      </c>
      <c r="AD1">
        <v>2049</v>
      </c>
      <c r="AE1">
        <v>2050</v>
      </c>
    </row>
    <row r="2" spans="1:31">
      <c r="A2" t="s">
        <v>15</v>
      </c>
      <c r="B2">
        <v>1</v>
      </c>
      <c r="C2">
        <v>1</v>
      </c>
      <c r="D2">
        <v>1</v>
      </c>
      <c r="E2">
        <v>1</v>
      </c>
      <c r="F2">
        <v>1</v>
      </c>
      <c r="G2">
        <v>1</v>
      </c>
      <c r="H2">
        <v>1</v>
      </c>
      <c r="I2">
        <v>1</v>
      </c>
      <c r="J2">
        <v>1</v>
      </c>
      <c r="K2">
        <v>1</v>
      </c>
      <c r="L2">
        <v>1</v>
      </c>
      <c r="M2">
        <v>1</v>
      </c>
      <c r="N2">
        <v>1</v>
      </c>
      <c r="O2">
        <v>1</v>
      </c>
      <c r="P2">
        <v>1</v>
      </c>
      <c r="Q2">
        <v>1</v>
      </c>
      <c r="R2">
        <v>1</v>
      </c>
      <c r="S2">
        <v>1</v>
      </c>
      <c r="T2">
        <v>1</v>
      </c>
      <c r="U2">
        <v>1</v>
      </c>
      <c r="V2">
        <v>1</v>
      </c>
      <c r="W2">
        <v>1</v>
      </c>
      <c r="X2">
        <v>1</v>
      </c>
      <c r="Y2">
        <v>1</v>
      </c>
      <c r="Z2">
        <v>1</v>
      </c>
      <c r="AA2">
        <v>1</v>
      </c>
      <c r="AB2">
        <v>1</v>
      </c>
      <c r="AC2">
        <v>1</v>
      </c>
      <c r="AD2">
        <v>1</v>
      </c>
      <c r="AE2">
        <v>1</v>
      </c>
    </row>
    <row r="3" spans="1:31">
      <c r="A3" t="s">
        <v>16</v>
      </c>
      <c r="B3">
        <v>0</v>
      </c>
      <c r="C3">
        <v>0</v>
      </c>
      <c r="D3">
        <v>0</v>
      </c>
      <c r="E3">
        <v>0</v>
      </c>
      <c r="F3">
        <v>0</v>
      </c>
      <c r="G3">
        <v>0</v>
      </c>
      <c r="H3">
        <v>0</v>
      </c>
      <c r="I3">
        <v>0</v>
      </c>
      <c r="J3">
        <v>0</v>
      </c>
      <c r="K3">
        <v>0</v>
      </c>
      <c r="L3">
        <v>0</v>
      </c>
      <c r="M3">
        <v>0</v>
      </c>
      <c r="N3">
        <v>0</v>
      </c>
      <c r="O3">
        <v>0</v>
      </c>
      <c r="P3">
        <v>0</v>
      </c>
      <c r="Q3">
        <v>0</v>
      </c>
      <c r="R3">
        <v>0</v>
      </c>
      <c r="S3">
        <v>0</v>
      </c>
      <c r="T3">
        <v>0</v>
      </c>
      <c r="U3">
        <v>0</v>
      </c>
      <c r="V3">
        <v>0</v>
      </c>
      <c r="W3">
        <v>0</v>
      </c>
      <c r="X3">
        <v>0</v>
      </c>
      <c r="Y3">
        <v>0</v>
      </c>
      <c r="Z3">
        <v>0</v>
      </c>
      <c r="AA3">
        <v>0</v>
      </c>
      <c r="AB3">
        <v>0</v>
      </c>
      <c r="AC3">
        <v>0</v>
      </c>
      <c r="AD3">
        <v>0</v>
      </c>
      <c r="AE3">
        <v>0</v>
      </c>
    </row>
    <row r="4" spans="1:31">
      <c r="A4" t="s">
        <v>17</v>
      </c>
      <c r="B4">
        <v>0</v>
      </c>
      <c r="C4">
        <v>0</v>
      </c>
      <c r="D4">
        <v>0</v>
      </c>
      <c r="E4">
        <v>0</v>
      </c>
      <c r="F4">
        <v>0</v>
      </c>
      <c r="G4">
        <v>0</v>
      </c>
      <c r="H4">
        <v>0</v>
      </c>
      <c r="I4">
        <v>0</v>
      </c>
      <c r="J4">
        <v>0</v>
      </c>
      <c r="K4">
        <v>0</v>
      </c>
      <c r="L4">
        <v>0</v>
      </c>
      <c r="M4">
        <v>0</v>
      </c>
      <c r="N4">
        <v>0</v>
      </c>
      <c r="O4">
        <v>0</v>
      </c>
      <c r="P4">
        <v>0</v>
      </c>
      <c r="Q4">
        <v>0</v>
      </c>
      <c r="R4">
        <v>0</v>
      </c>
      <c r="S4">
        <v>0</v>
      </c>
      <c r="T4">
        <v>0</v>
      </c>
      <c r="U4">
        <v>0</v>
      </c>
      <c r="V4">
        <v>0</v>
      </c>
      <c r="W4">
        <v>0</v>
      </c>
      <c r="X4">
        <v>0</v>
      </c>
      <c r="Y4">
        <v>0</v>
      </c>
      <c r="Z4">
        <v>0</v>
      </c>
      <c r="AA4">
        <v>0</v>
      </c>
      <c r="AB4">
        <v>0</v>
      </c>
      <c r="AC4">
        <v>0</v>
      </c>
      <c r="AD4">
        <v>0</v>
      </c>
      <c r="AE4">
        <v>0</v>
      </c>
    </row>
    <row r="5" spans="1:31">
      <c r="A5" t="s">
        <v>18</v>
      </c>
      <c r="B5">
        <v>0</v>
      </c>
      <c r="C5">
        <v>0</v>
      </c>
      <c r="D5">
        <v>0</v>
      </c>
      <c r="E5">
        <v>0</v>
      </c>
      <c r="F5">
        <v>0</v>
      </c>
      <c r="G5">
        <v>0</v>
      </c>
      <c r="H5">
        <v>0</v>
      </c>
      <c r="I5">
        <v>0</v>
      </c>
      <c r="J5">
        <v>0</v>
      </c>
      <c r="K5">
        <v>0</v>
      </c>
      <c r="L5">
        <v>0</v>
      </c>
      <c r="M5">
        <v>0</v>
      </c>
      <c r="N5">
        <v>0</v>
      </c>
      <c r="O5">
        <v>0</v>
      </c>
      <c r="P5">
        <v>0</v>
      </c>
      <c r="Q5">
        <v>0</v>
      </c>
      <c r="R5">
        <v>0</v>
      </c>
      <c r="S5">
        <v>0</v>
      </c>
      <c r="T5">
        <v>0</v>
      </c>
      <c r="U5">
        <v>0</v>
      </c>
      <c r="V5">
        <v>0</v>
      </c>
      <c r="W5">
        <v>0</v>
      </c>
      <c r="X5">
        <v>0</v>
      </c>
      <c r="Y5">
        <v>0</v>
      </c>
      <c r="Z5">
        <v>0</v>
      </c>
      <c r="AA5">
        <v>0</v>
      </c>
      <c r="AB5">
        <v>0</v>
      </c>
      <c r="AC5">
        <v>0</v>
      </c>
      <c r="AD5">
        <v>0</v>
      </c>
      <c r="AE5">
        <v>0</v>
      </c>
    </row>
    <row r="6" spans="1:31">
      <c r="A6" t="s">
        <v>19</v>
      </c>
      <c r="B6">
        <v>0</v>
      </c>
      <c r="C6">
        <v>0</v>
      </c>
      <c r="D6">
        <v>0</v>
      </c>
      <c r="E6">
        <v>0</v>
      </c>
      <c r="F6">
        <v>0</v>
      </c>
      <c r="G6">
        <v>0</v>
      </c>
      <c r="H6">
        <v>0</v>
      </c>
      <c r="I6">
        <v>0</v>
      </c>
      <c r="J6">
        <v>0</v>
      </c>
      <c r="K6">
        <v>0</v>
      </c>
      <c r="L6">
        <v>0</v>
      </c>
      <c r="M6">
        <v>0</v>
      </c>
      <c r="N6">
        <v>0</v>
      </c>
      <c r="O6">
        <v>0</v>
      </c>
      <c r="P6">
        <v>0</v>
      </c>
      <c r="Q6">
        <v>0</v>
      </c>
      <c r="R6">
        <v>0</v>
      </c>
      <c r="S6">
        <v>0</v>
      </c>
      <c r="T6">
        <v>0</v>
      </c>
      <c r="U6">
        <v>0</v>
      </c>
      <c r="V6">
        <v>0</v>
      </c>
      <c r="W6">
        <v>0</v>
      </c>
      <c r="X6">
        <v>0</v>
      </c>
      <c r="Y6">
        <v>0</v>
      </c>
      <c r="Z6">
        <v>0</v>
      </c>
      <c r="AA6">
        <v>0</v>
      </c>
      <c r="AB6">
        <v>0</v>
      </c>
      <c r="AC6">
        <v>0</v>
      </c>
      <c r="AD6">
        <v>0</v>
      </c>
      <c r="AE6">
        <v>0</v>
      </c>
    </row>
    <row r="7" spans="1:31">
      <c r="A7" t="s">
        <v>21</v>
      </c>
      <c r="B7">
        <v>0</v>
      </c>
      <c r="C7">
        <v>0</v>
      </c>
      <c r="D7">
        <v>0</v>
      </c>
      <c r="E7">
        <v>0</v>
      </c>
      <c r="F7">
        <v>0</v>
      </c>
      <c r="G7">
        <v>0</v>
      </c>
      <c r="H7">
        <v>0</v>
      </c>
      <c r="I7">
        <v>0</v>
      </c>
      <c r="J7">
        <v>0</v>
      </c>
      <c r="K7">
        <v>0</v>
      </c>
      <c r="L7">
        <v>0</v>
      </c>
      <c r="M7">
        <v>0</v>
      </c>
      <c r="N7">
        <v>0</v>
      </c>
      <c r="O7">
        <v>0</v>
      </c>
      <c r="P7">
        <v>0</v>
      </c>
      <c r="Q7">
        <v>0</v>
      </c>
      <c r="R7">
        <v>0</v>
      </c>
      <c r="S7">
        <v>0</v>
      </c>
      <c r="T7">
        <v>0</v>
      </c>
      <c r="U7">
        <v>0</v>
      </c>
      <c r="V7">
        <v>0</v>
      </c>
      <c r="W7">
        <v>0</v>
      </c>
      <c r="X7">
        <v>0</v>
      </c>
      <c r="Y7">
        <v>0</v>
      </c>
      <c r="Z7">
        <v>0</v>
      </c>
      <c r="AA7">
        <v>0</v>
      </c>
      <c r="AB7">
        <v>0</v>
      </c>
      <c r="AC7">
        <v>0</v>
      </c>
      <c r="AD7">
        <v>0</v>
      </c>
      <c r="AE7">
        <v>0</v>
      </c>
    </row>
    <row r="8" spans="1:31">
      <c r="A8" t="s">
        <v>20</v>
      </c>
      <c r="B8">
        <v>0</v>
      </c>
      <c r="C8">
        <v>0</v>
      </c>
      <c r="D8">
        <v>0</v>
      </c>
      <c r="E8">
        <v>0</v>
      </c>
      <c r="F8">
        <v>0</v>
      </c>
      <c r="G8">
        <v>0</v>
      </c>
      <c r="H8">
        <v>0</v>
      </c>
      <c r="I8">
        <v>0</v>
      </c>
      <c r="J8">
        <v>0</v>
      </c>
      <c r="K8">
        <v>0</v>
      </c>
      <c r="L8">
        <v>0</v>
      </c>
      <c r="M8">
        <v>0</v>
      </c>
      <c r="N8">
        <v>0</v>
      </c>
      <c r="O8">
        <v>0</v>
      </c>
      <c r="P8">
        <v>0</v>
      </c>
      <c r="Q8">
        <v>0</v>
      </c>
      <c r="R8">
        <v>0</v>
      </c>
      <c r="S8">
        <v>0</v>
      </c>
      <c r="T8">
        <v>0</v>
      </c>
      <c r="U8">
        <v>0</v>
      </c>
      <c r="V8">
        <v>0</v>
      </c>
      <c r="W8">
        <v>0</v>
      </c>
      <c r="X8">
        <v>0</v>
      </c>
      <c r="Y8">
        <v>0</v>
      </c>
      <c r="Z8">
        <v>0</v>
      </c>
      <c r="AA8">
        <v>0</v>
      </c>
      <c r="AB8">
        <v>0</v>
      </c>
      <c r="AC8">
        <v>0</v>
      </c>
      <c r="AD8">
        <v>0</v>
      </c>
      <c r="AE8">
        <v>0</v>
      </c>
    </row>
    <row r="9" spans="1:31">
      <c r="A9" t="s">
        <v>82</v>
      </c>
      <c r="B9">
        <v>0</v>
      </c>
      <c r="C9">
        <v>0</v>
      </c>
      <c r="D9">
        <v>0</v>
      </c>
      <c r="E9">
        <v>0</v>
      </c>
      <c r="F9">
        <v>0</v>
      </c>
      <c r="G9">
        <v>0</v>
      </c>
      <c r="H9">
        <v>0</v>
      </c>
      <c r="I9">
        <v>0</v>
      </c>
      <c r="J9">
        <v>0</v>
      </c>
      <c r="K9">
        <v>0</v>
      </c>
      <c r="L9">
        <v>0</v>
      </c>
      <c r="M9">
        <v>0</v>
      </c>
      <c r="N9">
        <v>0</v>
      </c>
      <c r="O9">
        <v>0</v>
      </c>
      <c r="P9">
        <v>0</v>
      </c>
      <c r="Q9">
        <v>0</v>
      </c>
      <c r="R9">
        <v>0</v>
      </c>
      <c r="S9">
        <v>0</v>
      </c>
      <c r="T9">
        <v>0</v>
      </c>
      <c r="U9">
        <v>0</v>
      </c>
      <c r="V9">
        <v>0</v>
      </c>
      <c r="W9">
        <v>0</v>
      </c>
      <c r="X9">
        <v>0</v>
      </c>
      <c r="Y9">
        <v>0</v>
      </c>
      <c r="Z9">
        <v>0</v>
      </c>
      <c r="AA9">
        <v>0</v>
      </c>
      <c r="AB9">
        <v>0</v>
      </c>
      <c r="AC9">
        <v>0</v>
      </c>
      <c r="AD9">
        <v>0</v>
      </c>
      <c r="AE9">
        <v>0</v>
      </c>
    </row>
    <row r="10" spans="1:31">
      <c r="A10" t="s">
        <v>83</v>
      </c>
      <c r="B10">
        <v>0</v>
      </c>
      <c r="C10">
        <v>0</v>
      </c>
      <c r="D10">
        <v>0</v>
      </c>
      <c r="E10">
        <v>0</v>
      </c>
      <c r="F10">
        <v>0</v>
      </c>
      <c r="G10">
        <v>0</v>
      </c>
      <c r="H10">
        <v>0</v>
      </c>
      <c r="I10">
        <v>0</v>
      </c>
      <c r="J10">
        <v>0</v>
      </c>
      <c r="K10">
        <v>0</v>
      </c>
      <c r="L10">
        <v>0</v>
      </c>
      <c r="M10">
        <v>0</v>
      </c>
      <c r="N10">
        <v>0</v>
      </c>
      <c r="O10">
        <v>0</v>
      </c>
      <c r="P10">
        <v>0</v>
      </c>
      <c r="Q10">
        <v>0</v>
      </c>
      <c r="R10">
        <v>0</v>
      </c>
      <c r="S10">
        <v>0</v>
      </c>
      <c r="T10">
        <v>0</v>
      </c>
      <c r="U10">
        <v>0</v>
      </c>
      <c r="V10">
        <v>0</v>
      </c>
      <c r="W10">
        <v>0</v>
      </c>
      <c r="X10">
        <v>0</v>
      </c>
      <c r="Y10">
        <v>0</v>
      </c>
      <c r="Z10">
        <v>0</v>
      </c>
      <c r="AA10">
        <v>0</v>
      </c>
      <c r="AB10">
        <v>0</v>
      </c>
      <c r="AC10">
        <v>0</v>
      </c>
      <c r="AD10">
        <v>0</v>
      </c>
      <c r="AE10">
        <v>0</v>
      </c>
    </row>
    <row r="11" spans="1:31">
      <c r="A11" t="s">
        <v>84</v>
      </c>
      <c r="B11">
        <v>0</v>
      </c>
      <c r="C11">
        <v>0</v>
      </c>
      <c r="D11">
        <v>0</v>
      </c>
      <c r="E11">
        <v>0</v>
      </c>
      <c r="F11">
        <v>0</v>
      </c>
      <c r="G11">
        <v>0</v>
      </c>
      <c r="H11">
        <v>0</v>
      </c>
      <c r="I11">
        <v>0</v>
      </c>
      <c r="J11">
        <v>0</v>
      </c>
      <c r="K11">
        <v>0</v>
      </c>
      <c r="L11">
        <v>0</v>
      </c>
      <c r="M11">
        <v>0</v>
      </c>
      <c r="N11">
        <v>0</v>
      </c>
      <c r="O11">
        <v>0</v>
      </c>
      <c r="P11">
        <v>0</v>
      </c>
      <c r="Q11">
        <v>0</v>
      </c>
      <c r="R11">
        <v>0</v>
      </c>
      <c r="S11">
        <v>0</v>
      </c>
      <c r="T11">
        <v>0</v>
      </c>
      <c r="U11">
        <v>0</v>
      </c>
      <c r="V11">
        <v>0</v>
      </c>
      <c r="W11">
        <v>0</v>
      </c>
      <c r="X11">
        <v>0</v>
      </c>
      <c r="Y11">
        <v>0</v>
      </c>
      <c r="Z11">
        <v>0</v>
      </c>
      <c r="AA11">
        <v>0</v>
      </c>
      <c r="AB11">
        <v>0</v>
      </c>
      <c r="AC11">
        <v>0</v>
      </c>
      <c r="AD11">
        <v>0</v>
      </c>
      <c r="AE11">
        <v>0</v>
      </c>
    </row>
  </sheetData>
  <pageMargins left="0.7" right="0.7" top="0.75" bottom="0.75" header="0.3" footer="0.3"/>
</worksheet>
</file>

<file path=xl/worksheets/sheet4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F00-000000000000}">
  <sheetPr>
    <tabColor theme="3"/>
  </sheetPr>
  <dimension ref="A1:AE11"/>
  <sheetViews>
    <sheetView workbookViewId="0">
      <selection activeCell="A11" sqref="A11"/>
    </sheetView>
  </sheetViews>
  <sheetFormatPr defaultRowHeight="14.25"/>
  <cols>
    <col min="1" max="1" width="22.53125" customWidth="1"/>
  </cols>
  <sheetData>
    <row r="1" spans="1:31" ht="28.5">
      <c r="A1" s="10" t="s">
        <v>85</v>
      </c>
      <c r="B1">
        <v>2021</v>
      </c>
      <c r="C1">
        <v>2022</v>
      </c>
      <c r="D1">
        <v>2023</v>
      </c>
      <c r="E1">
        <v>2024</v>
      </c>
      <c r="F1">
        <v>2025</v>
      </c>
      <c r="G1">
        <v>2026</v>
      </c>
      <c r="H1">
        <v>2027</v>
      </c>
      <c r="I1">
        <v>2028</v>
      </c>
      <c r="J1">
        <v>2029</v>
      </c>
      <c r="K1">
        <v>2030</v>
      </c>
      <c r="L1">
        <v>2031</v>
      </c>
      <c r="M1">
        <v>2032</v>
      </c>
      <c r="N1">
        <v>2033</v>
      </c>
      <c r="O1">
        <v>2034</v>
      </c>
      <c r="P1">
        <v>2035</v>
      </c>
      <c r="Q1">
        <v>2036</v>
      </c>
      <c r="R1">
        <v>2037</v>
      </c>
      <c r="S1">
        <v>2038</v>
      </c>
      <c r="T1">
        <v>2039</v>
      </c>
      <c r="U1">
        <v>2040</v>
      </c>
      <c r="V1">
        <v>2041</v>
      </c>
      <c r="W1">
        <v>2042</v>
      </c>
      <c r="X1">
        <v>2043</v>
      </c>
      <c r="Y1">
        <v>2044</v>
      </c>
      <c r="Z1">
        <v>2045</v>
      </c>
      <c r="AA1">
        <v>2046</v>
      </c>
      <c r="AB1">
        <v>2047</v>
      </c>
      <c r="AC1">
        <v>2048</v>
      </c>
      <c r="AD1">
        <v>2049</v>
      </c>
      <c r="AE1">
        <v>2050</v>
      </c>
    </row>
    <row r="2" spans="1:31">
      <c r="A2" t="s">
        <v>15</v>
      </c>
      <c r="B2">
        <v>0</v>
      </c>
      <c r="C2">
        <v>0</v>
      </c>
      <c r="D2">
        <v>0</v>
      </c>
      <c r="E2">
        <v>0</v>
      </c>
      <c r="F2">
        <v>0</v>
      </c>
      <c r="G2">
        <v>0</v>
      </c>
      <c r="H2">
        <v>0</v>
      </c>
      <c r="I2">
        <v>0</v>
      </c>
      <c r="J2">
        <v>0</v>
      </c>
      <c r="K2">
        <v>0</v>
      </c>
      <c r="L2">
        <v>0</v>
      </c>
      <c r="M2">
        <v>0</v>
      </c>
      <c r="N2">
        <v>0</v>
      </c>
      <c r="O2">
        <v>0</v>
      </c>
      <c r="P2">
        <v>0</v>
      </c>
      <c r="Q2">
        <v>0</v>
      </c>
      <c r="R2">
        <v>0</v>
      </c>
      <c r="S2">
        <v>0</v>
      </c>
      <c r="T2">
        <v>0</v>
      </c>
      <c r="U2">
        <v>0</v>
      </c>
      <c r="V2">
        <v>0</v>
      </c>
      <c r="W2">
        <v>0</v>
      </c>
      <c r="X2">
        <v>0</v>
      </c>
      <c r="Y2">
        <v>0</v>
      </c>
      <c r="Z2">
        <v>0</v>
      </c>
      <c r="AA2">
        <v>0</v>
      </c>
      <c r="AB2">
        <v>0</v>
      </c>
      <c r="AC2">
        <v>0</v>
      </c>
      <c r="AD2">
        <v>0</v>
      </c>
      <c r="AE2">
        <v>0</v>
      </c>
    </row>
    <row r="3" spans="1:31">
      <c r="A3" t="s">
        <v>16</v>
      </c>
      <c r="B3">
        <v>1</v>
      </c>
      <c r="C3">
        <v>1</v>
      </c>
      <c r="D3">
        <v>1</v>
      </c>
      <c r="E3">
        <v>1</v>
      </c>
      <c r="F3">
        <v>1</v>
      </c>
      <c r="G3">
        <v>1</v>
      </c>
      <c r="H3">
        <v>1</v>
      </c>
      <c r="I3">
        <v>1</v>
      </c>
      <c r="J3">
        <v>1</v>
      </c>
      <c r="K3">
        <v>1</v>
      </c>
      <c r="L3">
        <v>1</v>
      </c>
      <c r="M3">
        <v>1</v>
      </c>
      <c r="N3">
        <v>1</v>
      </c>
      <c r="O3">
        <v>1</v>
      </c>
      <c r="P3">
        <v>1</v>
      </c>
      <c r="Q3">
        <v>1</v>
      </c>
      <c r="R3">
        <v>1</v>
      </c>
      <c r="S3">
        <v>1</v>
      </c>
      <c r="T3">
        <v>1</v>
      </c>
      <c r="U3">
        <v>1</v>
      </c>
      <c r="V3">
        <v>1</v>
      </c>
      <c r="W3">
        <v>1</v>
      </c>
      <c r="X3">
        <v>1</v>
      </c>
      <c r="Y3">
        <v>1</v>
      </c>
      <c r="Z3">
        <v>1</v>
      </c>
      <c r="AA3">
        <v>1</v>
      </c>
      <c r="AB3">
        <v>1</v>
      </c>
      <c r="AC3">
        <v>1</v>
      </c>
      <c r="AD3">
        <v>1</v>
      </c>
      <c r="AE3">
        <v>1</v>
      </c>
    </row>
    <row r="4" spans="1:31">
      <c r="A4" t="s">
        <v>17</v>
      </c>
      <c r="B4">
        <v>0</v>
      </c>
      <c r="C4">
        <v>0</v>
      </c>
      <c r="D4">
        <v>0</v>
      </c>
      <c r="E4">
        <v>0</v>
      </c>
      <c r="F4">
        <v>0</v>
      </c>
      <c r="G4">
        <v>0</v>
      </c>
      <c r="H4">
        <v>0</v>
      </c>
      <c r="I4">
        <v>0</v>
      </c>
      <c r="J4">
        <v>0</v>
      </c>
      <c r="K4">
        <v>0</v>
      </c>
      <c r="L4">
        <v>0</v>
      </c>
      <c r="M4">
        <v>0</v>
      </c>
      <c r="N4">
        <v>0</v>
      </c>
      <c r="O4">
        <v>0</v>
      </c>
      <c r="P4">
        <v>0</v>
      </c>
      <c r="Q4">
        <v>0</v>
      </c>
      <c r="R4">
        <v>0</v>
      </c>
      <c r="S4">
        <v>0</v>
      </c>
      <c r="T4">
        <v>0</v>
      </c>
      <c r="U4">
        <v>0</v>
      </c>
      <c r="V4">
        <v>0</v>
      </c>
      <c r="W4">
        <v>0</v>
      </c>
      <c r="X4">
        <v>0</v>
      </c>
      <c r="Y4">
        <v>0</v>
      </c>
      <c r="Z4">
        <v>0</v>
      </c>
      <c r="AA4">
        <v>0</v>
      </c>
      <c r="AB4">
        <v>0</v>
      </c>
      <c r="AC4">
        <v>0</v>
      </c>
      <c r="AD4">
        <v>0</v>
      </c>
      <c r="AE4">
        <v>0</v>
      </c>
    </row>
    <row r="5" spans="1:31">
      <c r="A5" t="s">
        <v>18</v>
      </c>
      <c r="B5">
        <v>0</v>
      </c>
      <c r="C5">
        <v>0</v>
      </c>
      <c r="D5">
        <v>0</v>
      </c>
      <c r="E5">
        <v>0</v>
      </c>
      <c r="F5">
        <v>0</v>
      </c>
      <c r="G5">
        <v>0</v>
      </c>
      <c r="H5">
        <v>0</v>
      </c>
      <c r="I5">
        <v>0</v>
      </c>
      <c r="J5">
        <v>0</v>
      </c>
      <c r="K5">
        <v>0</v>
      </c>
      <c r="L5">
        <v>0</v>
      </c>
      <c r="M5">
        <v>0</v>
      </c>
      <c r="N5">
        <v>0</v>
      </c>
      <c r="O5">
        <v>0</v>
      </c>
      <c r="P5">
        <v>0</v>
      </c>
      <c r="Q5">
        <v>0</v>
      </c>
      <c r="R5">
        <v>0</v>
      </c>
      <c r="S5">
        <v>0</v>
      </c>
      <c r="T5">
        <v>0</v>
      </c>
      <c r="U5">
        <v>0</v>
      </c>
      <c r="V5">
        <v>0</v>
      </c>
      <c r="W5">
        <v>0</v>
      </c>
      <c r="X5">
        <v>0</v>
      </c>
      <c r="Y5">
        <v>0</v>
      </c>
      <c r="Z5">
        <v>0</v>
      </c>
      <c r="AA5">
        <v>0</v>
      </c>
      <c r="AB5">
        <v>0</v>
      </c>
      <c r="AC5">
        <v>0</v>
      </c>
      <c r="AD5">
        <v>0</v>
      </c>
      <c r="AE5">
        <v>0</v>
      </c>
    </row>
    <row r="6" spans="1:31">
      <c r="A6" t="s">
        <v>19</v>
      </c>
      <c r="B6">
        <v>0</v>
      </c>
      <c r="C6">
        <v>0</v>
      </c>
      <c r="D6">
        <v>0</v>
      </c>
      <c r="E6">
        <v>0</v>
      </c>
      <c r="F6">
        <v>0</v>
      </c>
      <c r="G6">
        <v>0</v>
      </c>
      <c r="H6">
        <v>0</v>
      </c>
      <c r="I6">
        <v>0</v>
      </c>
      <c r="J6">
        <v>0</v>
      </c>
      <c r="K6">
        <v>0</v>
      </c>
      <c r="L6">
        <v>0</v>
      </c>
      <c r="M6">
        <v>0</v>
      </c>
      <c r="N6">
        <v>0</v>
      </c>
      <c r="O6">
        <v>0</v>
      </c>
      <c r="P6">
        <v>0</v>
      </c>
      <c r="Q6">
        <v>0</v>
      </c>
      <c r="R6">
        <v>0</v>
      </c>
      <c r="S6">
        <v>0</v>
      </c>
      <c r="T6">
        <v>0</v>
      </c>
      <c r="U6">
        <v>0</v>
      </c>
      <c r="V6">
        <v>0</v>
      </c>
      <c r="W6">
        <v>0</v>
      </c>
      <c r="X6">
        <v>0</v>
      </c>
      <c r="Y6">
        <v>0</v>
      </c>
      <c r="Z6">
        <v>0</v>
      </c>
      <c r="AA6">
        <v>0</v>
      </c>
      <c r="AB6">
        <v>0</v>
      </c>
      <c r="AC6">
        <v>0</v>
      </c>
      <c r="AD6">
        <v>0</v>
      </c>
      <c r="AE6">
        <v>0</v>
      </c>
    </row>
    <row r="7" spans="1:31">
      <c r="A7" t="s">
        <v>21</v>
      </c>
      <c r="B7">
        <v>0</v>
      </c>
      <c r="C7">
        <v>0</v>
      </c>
      <c r="D7">
        <v>0</v>
      </c>
      <c r="E7">
        <v>0</v>
      </c>
      <c r="F7">
        <v>0</v>
      </c>
      <c r="G7">
        <v>0</v>
      </c>
      <c r="H7">
        <v>0</v>
      </c>
      <c r="I7">
        <v>0</v>
      </c>
      <c r="J7">
        <v>0</v>
      </c>
      <c r="K7">
        <v>0</v>
      </c>
      <c r="L7">
        <v>0</v>
      </c>
      <c r="M7">
        <v>0</v>
      </c>
      <c r="N7">
        <v>0</v>
      </c>
      <c r="O7">
        <v>0</v>
      </c>
      <c r="P7">
        <v>0</v>
      </c>
      <c r="Q7">
        <v>0</v>
      </c>
      <c r="R7">
        <v>0</v>
      </c>
      <c r="S7">
        <v>0</v>
      </c>
      <c r="T7">
        <v>0</v>
      </c>
      <c r="U7">
        <v>0</v>
      </c>
      <c r="V7">
        <v>0</v>
      </c>
      <c r="W7">
        <v>0</v>
      </c>
      <c r="X7">
        <v>0</v>
      </c>
      <c r="Y7">
        <v>0</v>
      </c>
      <c r="Z7">
        <v>0</v>
      </c>
      <c r="AA7">
        <v>0</v>
      </c>
      <c r="AB7">
        <v>0</v>
      </c>
      <c r="AC7">
        <v>0</v>
      </c>
      <c r="AD7">
        <v>0</v>
      </c>
      <c r="AE7">
        <v>0</v>
      </c>
    </row>
    <row r="8" spans="1:31">
      <c r="A8" t="s">
        <v>20</v>
      </c>
      <c r="B8">
        <v>0</v>
      </c>
      <c r="C8">
        <v>0</v>
      </c>
      <c r="D8">
        <v>0</v>
      </c>
      <c r="E8">
        <v>0</v>
      </c>
      <c r="F8">
        <v>0</v>
      </c>
      <c r="G8">
        <v>0</v>
      </c>
      <c r="H8">
        <v>0</v>
      </c>
      <c r="I8">
        <v>0</v>
      </c>
      <c r="J8">
        <v>0</v>
      </c>
      <c r="K8">
        <v>0</v>
      </c>
      <c r="L8">
        <v>0</v>
      </c>
      <c r="M8">
        <v>0</v>
      </c>
      <c r="N8">
        <v>0</v>
      </c>
      <c r="O8">
        <v>0</v>
      </c>
      <c r="P8">
        <v>0</v>
      </c>
      <c r="Q8">
        <v>0</v>
      </c>
      <c r="R8">
        <v>0</v>
      </c>
      <c r="S8">
        <v>0</v>
      </c>
      <c r="T8">
        <v>0</v>
      </c>
      <c r="U8">
        <v>0</v>
      </c>
      <c r="V8">
        <v>0</v>
      </c>
      <c r="W8">
        <v>0</v>
      </c>
      <c r="X8">
        <v>0</v>
      </c>
      <c r="Y8">
        <v>0</v>
      </c>
      <c r="Z8">
        <v>0</v>
      </c>
      <c r="AA8">
        <v>0</v>
      </c>
      <c r="AB8">
        <v>0</v>
      </c>
      <c r="AC8">
        <v>0</v>
      </c>
      <c r="AD8">
        <v>0</v>
      </c>
      <c r="AE8">
        <v>0</v>
      </c>
    </row>
    <row r="9" spans="1:31">
      <c r="A9" t="s">
        <v>82</v>
      </c>
      <c r="B9">
        <v>0</v>
      </c>
      <c r="C9">
        <v>0</v>
      </c>
      <c r="D9">
        <v>0</v>
      </c>
      <c r="E9">
        <v>0</v>
      </c>
      <c r="F9">
        <v>0</v>
      </c>
      <c r="G9">
        <v>0</v>
      </c>
      <c r="H9">
        <v>0</v>
      </c>
      <c r="I9">
        <v>0</v>
      </c>
      <c r="J9">
        <v>0</v>
      </c>
      <c r="K9">
        <v>0</v>
      </c>
      <c r="L9">
        <v>0</v>
      </c>
      <c r="M9">
        <v>0</v>
      </c>
      <c r="N9">
        <v>0</v>
      </c>
      <c r="O9">
        <v>0</v>
      </c>
      <c r="P9">
        <v>0</v>
      </c>
      <c r="Q9">
        <v>0</v>
      </c>
      <c r="R9">
        <v>0</v>
      </c>
      <c r="S9">
        <v>0</v>
      </c>
      <c r="T9">
        <v>0</v>
      </c>
      <c r="U9">
        <v>0</v>
      </c>
      <c r="V9">
        <v>0</v>
      </c>
      <c r="W9">
        <v>0</v>
      </c>
      <c r="X9">
        <v>0</v>
      </c>
      <c r="Y9">
        <v>0</v>
      </c>
      <c r="Z9">
        <v>0</v>
      </c>
      <c r="AA9">
        <v>0</v>
      </c>
      <c r="AB9">
        <v>0</v>
      </c>
      <c r="AC9">
        <v>0</v>
      </c>
      <c r="AD9">
        <v>0</v>
      </c>
      <c r="AE9">
        <v>0</v>
      </c>
    </row>
    <row r="10" spans="1:31">
      <c r="A10" t="s">
        <v>83</v>
      </c>
      <c r="B10">
        <v>0</v>
      </c>
      <c r="C10">
        <v>0</v>
      </c>
      <c r="D10">
        <v>0</v>
      </c>
      <c r="E10">
        <v>0</v>
      </c>
      <c r="F10">
        <v>0</v>
      </c>
      <c r="G10">
        <v>0</v>
      </c>
      <c r="H10">
        <v>0</v>
      </c>
      <c r="I10">
        <v>0</v>
      </c>
      <c r="J10">
        <v>0</v>
      </c>
      <c r="K10">
        <v>0</v>
      </c>
      <c r="L10">
        <v>0</v>
      </c>
      <c r="M10">
        <v>0</v>
      </c>
      <c r="N10">
        <v>0</v>
      </c>
      <c r="O10">
        <v>0</v>
      </c>
      <c r="P10">
        <v>0</v>
      </c>
      <c r="Q10">
        <v>0</v>
      </c>
      <c r="R10">
        <v>0</v>
      </c>
      <c r="S10">
        <v>0</v>
      </c>
      <c r="T10">
        <v>0</v>
      </c>
      <c r="U10">
        <v>0</v>
      </c>
      <c r="V10">
        <v>0</v>
      </c>
      <c r="W10">
        <v>0</v>
      </c>
      <c r="X10">
        <v>0</v>
      </c>
      <c r="Y10">
        <v>0</v>
      </c>
      <c r="Z10">
        <v>0</v>
      </c>
      <c r="AA10">
        <v>0</v>
      </c>
      <c r="AB10">
        <v>0</v>
      </c>
      <c r="AC10">
        <v>0</v>
      </c>
      <c r="AD10">
        <v>0</v>
      </c>
      <c r="AE10">
        <v>0</v>
      </c>
    </row>
    <row r="11" spans="1:31">
      <c r="A11" t="s">
        <v>84</v>
      </c>
      <c r="B11">
        <v>0</v>
      </c>
      <c r="C11">
        <v>0</v>
      </c>
      <c r="D11">
        <v>0</v>
      </c>
      <c r="E11">
        <v>0</v>
      </c>
      <c r="F11">
        <v>0</v>
      </c>
      <c r="G11">
        <v>0</v>
      </c>
      <c r="H11">
        <v>0</v>
      </c>
      <c r="I11">
        <v>0</v>
      </c>
      <c r="J11">
        <v>0</v>
      </c>
      <c r="K11">
        <v>0</v>
      </c>
      <c r="L11">
        <v>0</v>
      </c>
      <c r="M11">
        <v>0</v>
      </c>
      <c r="N11">
        <v>0</v>
      </c>
      <c r="O11">
        <v>0</v>
      </c>
      <c r="P11">
        <v>0</v>
      </c>
      <c r="Q11">
        <v>0</v>
      </c>
      <c r="R11">
        <v>0</v>
      </c>
      <c r="S11">
        <v>0</v>
      </c>
      <c r="T11">
        <v>0</v>
      </c>
      <c r="U11">
        <v>0</v>
      </c>
      <c r="V11">
        <v>0</v>
      </c>
      <c r="W11">
        <v>0</v>
      </c>
      <c r="X11">
        <v>0</v>
      </c>
      <c r="Y11">
        <v>0</v>
      </c>
      <c r="Z11">
        <v>0</v>
      </c>
      <c r="AA11">
        <v>0</v>
      </c>
      <c r="AB11">
        <v>0</v>
      </c>
      <c r="AC11">
        <v>0</v>
      </c>
      <c r="AD11">
        <v>0</v>
      </c>
      <c r="AE11">
        <v>0</v>
      </c>
    </row>
  </sheetData>
  <pageMargins left="0.7" right="0.7" top="0.75" bottom="0.75" header="0.3" footer="0.3"/>
</worksheet>
</file>

<file path=xl/worksheets/sheet4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000-000000000000}">
  <sheetPr>
    <tabColor theme="3"/>
  </sheetPr>
  <dimension ref="A1:AH11"/>
  <sheetViews>
    <sheetView topLeftCell="C1" workbookViewId="0">
      <selection activeCell="AE1" sqref="AE1"/>
    </sheetView>
  </sheetViews>
  <sheetFormatPr defaultRowHeight="14.25"/>
  <cols>
    <col min="1" max="1" width="22.53125" customWidth="1"/>
  </cols>
  <sheetData>
    <row r="1" spans="1:34" ht="28.5">
      <c r="A1" s="10" t="s">
        <v>85</v>
      </c>
      <c r="B1">
        <v>2021</v>
      </c>
      <c r="C1">
        <v>2022</v>
      </c>
      <c r="D1">
        <v>2023</v>
      </c>
      <c r="E1">
        <v>2024</v>
      </c>
      <c r="F1">
        <v>2025</v>
      </c>
      <c r="G1">
        <v>2026</v>
      </c>
      <c r="H1">
        <v>2027</v>
      </c>
      <c r="I1">
        <v>2028</v>
      </c>
      <c r="J1">
        <v>2029</v>
      </c>
      <c r="K1">
        <v>2030</v>
      </c>
      <c r="L1">
        <v>2031</v>
      </c>
      <c r="M1">
        <v>2032</v>
      </c>
      <c r="N1">
        <v>2033</v>
      </c>
      <c r="O1">
        <v>2034</v>
      </c>
      <c r="P1">
        <v>2035</v>
      </c>
      <c r="Q1">
        <v>2036</v>
      </c>
      <c r="R1">
        <v>2037</v>
      </c>
      <c r="S1">
        <v>2038</v>
      </c>
      <c r="T1">
        <v>2039</v>
      </c>
      <c r="U1">
        <v>2040</v>
      </c>
      <c r="V1">
        <v>2041</v>
      </c>
      <c r="W1">
        <v>2042</v>
      </c>
      <c r="X1">
        <v>2043</v>
      </c>
      <c r="Y1">
        <v>2044</v>
      </c>
      <c r="Z1">
        <v>2045</v>
      </c>
      <c r="AA1">
        <v>2046</v>
      </c>
      <c r="AB1">
        <v>2047</v>
      </c>
      <c r="AC1">
        <v>2048</v>
      </c>
      <c r="AD1">
        <v>2049</v>
      </c>
      <c r="AE1">
        <v>2050</v>
      </c>
    </row>
    <row r="2" spans="1:34">
      <c r="A2" t="s">
        <v>15</v>
      </c>
      <c r="B2">
        <v>0</v>
      </c>
      <c r="C2">
        <v>0</v>
      </c>
      <c r="D2">
        <v>0</v>
      </c>
      <c r="E2">
        <v>0</v>
      </c>
      <c r="F2">
        <v>0</v>
      </c>
      <c r="G2">
        <v>0</v>
      </c>
      <c r="H2">
        <v>0</v>
      </c>
      <c r="I2">
        <v>0</v>
      </c>
      <c r="J2">
        <v>0</v>
      </c>
      <c r="K2">
        <v>0</v>
      </c>
      <c r="L2">
        <v>0</v>
      </c>
      <c r="M2">
        <v>0</v>
      </c>
      <c r="N2">
        <v>0</v>
      </c>
      <c r="O2">
        <v>0</v>
      </c>
      <c r="P2">
        <v>0</v>
      </c>
      <c r="Q2">
        <v>0</v>
      </c>
      <c r="R2">
        <v>0</v>
      </c>
      <c r="S2">
        <v>0</v>
      </c>
      <c r="T2">
        <v>0</v>
      </c>
      <c r="U2">
        <v>0</v>
      </c>
      <c r="V2">
        <v>0</v>
      </c>
      <c r="W2">
        <v>0</v>
      </c>
      <c r="X2">
        <v>0</v>
      </c>
      <c r="Y2">
        <v>0</v>
      </c>
      <c r="Z2">
        <v>0</v>
      </c>
      <c r="AA2">
        <v>0</v>
      </c>
      <c r="AB2">
        <v>0</v>
      </c>
      <c r="AC2">
        <v>0</v>
      </c>
      <c r="AD2">
        <v>0</v>
      </c>
      <c r="AE2">
        <v>0</v>
      </c>
    </row>
    <row r="3" spans="1:34">
      <c r="A3" t="s">
        <v>16</v>
      </c>
      <c r="B3">
        <v>0</v>
      </c>
      <c r="C3">
        <v>0</v>
      </c>
      <c r="D3">
        <v>0</v>
      </c>
      <c r="E3">
        <v>0</v>
      </c>
      <c r="F3">
        <v>0</v>
      </c>
      <c r="G3">
        <v>0</v>
      </c>
      <c r="H3">
        <v>0</v>
      </c>
      <c r="I3">
        <v>0</v>
      </c>
      <c r="J3">
        <v>0</v>
      </c>
      <c r="K3">
        <v>0</v>
      </c>
      <c r="L3">
        <v>0</v>
      </c>
      <c r="M3">
        <v>0</v>
      </c>
      <c r="N3">
        <v>0</v>
      </c>
      <c r="O3">
        <v>0</v>
      </c>
      <c r="P3">
        <v>0</v>
      </c>
      <c r="Q3">
        <v>0</v>
      </c>
      <c r="R3">
        <v>0</v>
      </c>
      <c r="S3">
        <v>0</v>
      </c>
      <c r="T3">
        <v>0</v>
      </c>
      <c r="U3">
        <v>0</v>
      </c>
      <c r="V3">
        <v>0</v>
      </c>
      <c r="W3">
        <v>0</v>
      </c>
      <c r="X3">
        <v>0</v>
      </c>
      <c r="Y3">
        <v>0</v>
      </c>
      <c r="Z3">
        <v>0</v>
      </c>
      <c r="AA3">
        <v>0</v>
      </c>
      <c r="AB3">
        <v>0</v>
      </c>
      <c r="AC3">
        <v>0</v>
      </c>
      <c r="AD3">
        <v>0</v>
      </c>
      <c r="AE3">
        <v>0</v>
      </c>
    </row>
    <row r="4" spans="1:34">
      <c r="A4" t="s">
        <v>17</v>
      </c>
      <c r="B4" s="2">
        <f>1-B6</f>
        <v>0.92710534558203916</v>
      </c>
      <c r="C4" s="2">
        <f t="shared" ref="C4:AE4" si="0">1-C6</f>
        <v>0.92710534558203916</v>
      </c>
      <c r="D4" s="2">
        <f t="shared" si="0"/>
        <v>0.92710534558203916</v>
      </c>
      <c r="E4" s="2">
        <f t="shared" si="0"/>
        <v>0.92710534558203916</v>
      </c>
      <c r="F4" s="2">
        <f t="shared" si="0"/>
        <v>0.92710534558203916</v>
      </c>
      <c r="G4" s="2">
        <f t="shared" si="0"/>
        <v>0.92710534558203916</v>
      </c>
      <c r="H4" s="2">
        <f t="shared" si="0"/>
        <v>0.92710534558203916</v>
      </c>
      <c r="I4" s="2">
        <f t="shared" si="0"/>
        <v>0.92710534558203916</v>
      </c>
      <c r="J4" s="2">
        <f t="shared" si="0"/>
        <v>0.92710534558203916</v>
      </c>
      <c r="K4" s="2">
        <f t="shared" si="0"/>
        <v>0.92710534558203916</v>
      </c>
      <c r="L4" s="2">
        <f t="shared" si="0"/>
        <v>0.92710534558203916</v>
      </c>
      <c r="M4" s="2">
        <f t="shared" si="0"/>
        <v>0.92710534558203916</v>
      </c>
      <c r="N4" s="2">
        <f t="shared" si="0"/>
        <v>0.92710534558203916</v>
      </c>
      <c r="O4" s="2">
        <f t="shared" si="0"/>
        <v>0.92710534558203916</v>
      </c>
      <c r="P4" s="2">
        <f t="shared" si="0"/>
        <v>0.92710534558203916</v>
      </c>
      <c r="Q4" s="2">
        <f t="shared" si="0"/>
        <v>0.92710534558203916</v>
      </c>
      <c r="R4" s="2">
        <f t="shared" si="0"/>
        <v>0.92710534558203916</v>
      </c>
      <c r="S4" s="2">
        <f t="shared" si="0"/>
        <v>0.92710534558203916</v>
      </c>
      <c r="T4" s="2">
        <f t="shared" si="0"/>
        <v>0.92710534558203916</v>
      </c>
      <c r="U4" s="2">
        <f t="shared" si="0"/>
        <v>0.92710534558203916</v>
      </c>
      <c r="V4" s="2">
        <f t="shared" si="0"/>
        <v>0.92710534558203916</v>
      </c>
      <c r="W4" s="2">
        <f t="shared" si="0"/>
        <v>0.92710534558203916</v>
      </c>
      <c r="X4" s="2">
        <f t="shared" si="0"/>
        <v>0.92710534558203916</v>
      </c>
      <c r="Y4" s="2">
        <f t="shared" si="0"/>
        <v>0.92710534558203916</v>
      </c>
      <c r="Z4" s="2">
        <f t="shared" si="0"/>
        <v>0.92710534558203916</v>
      </c>
      <c r="AA4" s="2">
        <f t="shared" si="0"/>
        <v>0.92710534558203916</v>
      </c>
      <c r="AB4" s="2">
        <f t="shared" si="0"/>
        <v>0.92710534558203916</v>
      </c>
      <c r="AC4" s="2">
        <f t="shared" si="0"/>
        <v>0.92710534558203916</v>
      </c>
      <c r="AD4" s="2">
        <f t="shared" si="0"/>
        <v>0.92710534558203916</v>
      </c>
      <c r="AE4" s="2">
        <f t="shared" si="0"/>
        <v>0.92710534558203916</v>
      </c>
      <c r="AF4" s="2"/>
      <c r="AG4" s="2"/>
      <c r="AH4" s="2"/>
    </row>
    <row r="5" spans="1:34">
      <c r="A5" t="s">
        <v>18</v>
      </c>
      <c r="B5">
        <v>0</v>
      </c>
      <c r="C5">
        <v>0</v>
      </c>
      <c r="D5">
        <v>0</v>
      </c>
      <c r="E5">
        <v>0</v>
      </c>
      <c r="F5">
        <v>0</v>
      </c>
      <c r="G5">
        <v>0</v>
      </c>
      <c r="H5">
        <v>0</v>
      </c>
      <c r="I5">
        <v>0</v>
      </c>
      <c r="J5">
        <v>0</v>
      </c>
      <c r="K5">
        <v>0</v>
      </c>
      <c r="L5">
        <v>0</v>
      </c>
      <c r="M5">
        <v>0</v>
      </c>
      <c r="N5">
        <v>0</v>
      </c>
      <c r="O5">
        <v>0</v>
      </c>
      <c r="P5">
        <v>0</v>
      </c>
      <c r="Q5">
        <v>0</v>
      </c>
      <c r="R5">
        <v>0</v>
      </c>
      <c r="S5">
        <v>0</v>
      </c>
      <c r="T5">
        <v>0</v>
      </c>
      <c r="U5">
        <v>0</v>
      </c>
      <c r="V5">
        <v>0</v>
      </c>
      <c r="W5">
        <v>0</v>
      </c>
      <c r="X5">
        <v>0</v>
      </c>
      <c r="Y5">
        <v>0</v>
      </c>
      <c r="Z5">
        <v>0</v>
      </c>
      <c r="AA5">
        <v>0</v>
      </c>
      <c r="AB5">
        <v>0</v>
      </c>
      <c r="AC5">
        <v>0</v>
      </c>
      <c r="AD5">
        <v>0</v>
      </c>
      <c r="AE5">
        <v>0</v>
      </c>
    </row>
    <row r="6" spans="1:34">
      <c r="A6" t="s">
        <v>19</v>
      </c>
      <c r="B6" s="2">
        <f>'ethanol content'!$J$3</f>
        <v>7.2894654417960836E-2</v>
      </c>
      <c r="C6" s="2">
        <f>$B$6</f>
        <v>7.2894654417960836E-2</v>
      </c>
      <c r="D6" s="2">
        <f t="shared" ref="D6:AE6" si="1">$B$6</f>
        <v>7.2894654417960836E-2</v>
      </c>
      <c r="E6" s="2">
        <f t="shared" si="1"/>
        <v>7.2894654417960836E-2</v>
      </c>
      <c r="F6" s="2">
        <f t="shared" si="1"/>
        <v>7.2894654417960836E-2</v>
      </c>
      <c r="G6" s="2">
        <f t="shared" si="1"/>
        <v>7.2894654417960836E-2</v>
      </c>
      <c r="H6" s="2">
        <f t="shared" si="1"/>
        <v>7.2894654417960836E-2</v>
      </c>
      <c r="I6" s="2">
        <f t="shared" si="1"/>
        <v>7.2894654417960836E-2</v>
      </c>
      <c r="J6" s="2">
        <f t="shared" si="1"/>
        <v>7.2894654417960836E-2</v>
      </c>
      <c r="K6" s="2">
        <f t="shared" si="1"/>
        <v>7.2894654417960836E-2</v>
      </c>
      <c r="L6" s="2">
        <f t="shared" si="1"/>
        <v>7.2894654417960836E-2</v>
      </c>
      <c r="M6" s="2">
        <f t="shared" si="1"/>
        <v>7.2894654417960836E-2</v>
      </c>
      <c r="N6" s="2">
        <f t="shared" si="1"/>
        <v>7.2894654417960836E-2</v>
      </c>
      <c r="O6" s="2">
        <f t="shared" si="1"/>
        <v>7.2894654417960836E-2</v>
      </c>
      <c r="P6" s="2">
        <f t="shared" si="1"/>
        <v>7.2894654417960836E-2</v>
      </c>
      <c r="Q6" s="2">
        <f t="shared" si="1"/>
        <v>7.2894654417960836E-2</v>
      </c>
      <c r="R6" s="2">
        <f t="shared" si="1"/>
        <v>7.2894654417960836E-2</v>
      </c>
      <c r="S6" s="2">
        <f t="shared" si="1"/>
        <v>7.2894654417960836E-2</v>
      </c>
      <c r="T6" s="2">
        <f t="shared" si="1"/>
        <v>7.2894654417960836E-2</v>
      </c>
      <c r="U6" s="2">
        <f t="shared" si="1"/>
        <v>7.2894654417960836E-2</v>
      </c>
      <c r="V6" s="2">
        <f t="shared" si="1"/>
        <v>7.2894654417960836E-2</v>
      </c>
      <c r="W6" s="2">
        <f t="shared" si="1"/>
        <v>7.2894654417960836E-2</v>
      </c>
      <c r="X6" s="2">
        <f t="shared" si="1"/>
        <v>7.2894654417960836E-2</v>
      </c>
      <c r="Y6" s="2">
        <f t="shared" si="1"/>
        <v>7.2894654417960836E-2</v>
      </c>
      <c r="Z6" s="2">
        <f t="shared" si="1"/>
        <v>7.2894654417960836E-2</v>
      </c>
      <c r="AA6" s="2">
        <f t="shared" si="1"/>
        <v>7.2894654417960836E-2</v>
      </c>
      <c r="AB6" s="2">
        <f t="shared" si="1"/>
        <v>7.2894654417960836E-2</v>
      </c>
      <c r="AC6" s="2">
        <f t="shared" si="1"/>
        <v>7.2894654417960836E-2</v>
      </c>
      <c r="AD6" s="2">
        <f t="shared" si="1"/>
        <v>7.2894654417960836E-2</v>
      </c>
      <c r="AE6" s="2">
        <f t="shared" si="1"/>
        <v>7.2894654417960836E-2</v>
      </c>
      <c r="AF6" s="2"/>
      <c r="AG6" s="2"/>
      <c r="AH6" s="2"/>
    </row>
    <row r="7" spans="1:34">
      <c r="A7" t="s">
        <v>21</v>
      </c>
      <c r="B7">
        <v>0</v>
      </c>
      <c r="C7">
        <v>0</v>
      </c>
      <c r="D7">
        <v>0</v>
      </c>
      <c r="E7">
        <v>0</v>
      </c>
      <c r="F7">
        <v>0</v>
      </c>
      <c r="G7">
        <v>0</v>
      </c>
      <c r="H7">
        <v>0</v>
      </c>
      <c r="I7">
        <v>0</v>
      </c>
      <c r="J7">
        <v>0</v>
      </c>
      <c r="K7">
        <v>0</v>
      </c>
      <c r="L7">
        <v>0</v>
      </c>
      <c r="M7">
        <v>0</v>
      </c>
      <c r="N7">
        <v>0</v>
      </c>
      <c r="O7">
        <v>0</v>
      </c>
      <c r="P7">
        <v>0</v>
      </c>
      <c r="Q7">
        <v>0</v>
      </c>
      <c r="R7">
        <v>0</v>
      </c>
      <c r="S7">
        <v>0</v>
      </c>
      <c r="T7">
        <v>0</v>
      </c>
      <c r="U7">
        <v>0</v>
      </c>
      <c r="V7">
        <v>0</v>
      </c>
      <c r="W7">
        <v>0</v>
      </c>
      <c r="X7">
        <v>0</v>
      </c>
      <c r="Y7">
        <v>0</v>
      </c>
      <c r="Z7">
        <v>0</v>
      </c>
      <c r="AA7">
        <v>0</v>
      </c>
      <c r="AB7">
        <v>0</v>
      </c>
      <c r="AC7">
        <v>0</v>
      </c>
      <c r="AD7">
        <v>0</v>
      </c>
      <c r="AE7">
        <v>0</v>
      </c>
    </row>
    <row r="8" spans="1:34">
      <c r="A8" t="s">
        <v>20</v>
      </c>
      <c r="B8">
        <v>0</v>
      </c>
      <c r="C8">
        <v>0</v>
      </c>
      <c r="D8">
        <v>0</v>
      </c>
      <c r="E8">
        <v>0</v>
      </c>
      <c r="F8">
        <v>0</v>
      </c>
      <c r="G8">
        <v>0</v>
      </c>
      <c r="H8">
        <v>0</v>
      </c>
      <c r="I8">
        <v>0</v>
      </c>
      <c r="J8">
        <v>0</v>
      </c>
      <c r="K8">
        <v>0</v>
      </c>
      <c r="L8">
        <v>0</v>
      </c>
      <c r="M8">
        <v>0</v>
      </c>
      <c r="N8">
        <v>0</v>
      </c>
      <c r="O8">
        <v>0</v>
      </c>
      <c r="P8">
        <v>0</v>
      </c>
      <c r="Q8">
        <v>0</v>
      </c>
      <c r="R8">
        <v>0</v>
      </c>
      <c r="S8">
        <v>0</v>
      </c>
      <c r="T8">
        <v>0</v>
      </c>
      <c r="U8">
        <v>0</v>
      </c>
      <c r="V8">
        <v>0</v>
      </c>
      <c r="W8">
        <v>0</v>
      </c>
      <c r="X8">
        <v>0</v>
      </c>
      <c r="Y8">
        <v>0</v>
      </c>
      <c r="Z8">
        <v>0</v>
      </c>
      <c r="AA8">
        <v>0</v>
      </c>
      <c r="AB8">
        <v>0</v>
      </c>
      <c r="AC8">
        <v>0</v>
      </c>
      <c r="AD8">
        <v>0</v>
      </c>
      <c r="AE8">
        <v>0</v>
      </c>
    </row>
    <row r="9" spans="1:34">
      <c r="A9" t="s">
        <v>82</v>
      </c>
      <c r="B9">
        <v>0</v>
      </c>
      <c r="C9">
        <v>0</v>
      </c>
      <c r="D9">
        <v>0</v>
      </c>
      <c r="E9">
        <v>0</v>
      </c>
      <c r="F9">
        <v>0</v>
      </c>
      <c r="G9">
        <v>0</v>
      </c>
      <c r="H9">
        <v>0</v>
      </c>
      <c r="I9">
        <v>0</v>
      </c>
      <c r="J9">
        <v>0</v>
      </c>
      <c r="K9">
        <v>0</v>
      </c>
      <c r="L9">
        <v>0</v>
      </c>
      <c r="M9">
        <v>0</v>
      </c>
      <c r="N9">
        <v>0</v>
      </c>
      <c r="O9">
        <v>0</v>
      </c>
      <c r="P9">
        <v>0</v>
      </c>
      <c r="Q9">
        <v>0</v>
      </c>
      <c r="R9">
        <v>0</v>
      </c>
      <c r="S9">
        <v>0</v>
      </c>
      <c r="T9">
        <v>0</v>
      </c>
      <c r="U9">
        <v>0</v>
      </c>
      <c r="V9">
        <v>0</v>
      </c>
      <c r="W9">
        <v>0</v>
      </c>
      <c r="X9">
        <v>0</v>
      </c>
      <c r="Y9">
        <v>0</v>
      </c>
      <c r="Z9">
        <v>0</v>
      </c>
      <c r="AA9">
        <v>0</v>
      </c>
      <c r="AB9">
        <v>0</v>
      </c>
      <c r="AC9">
        <v>0</v>
      </c>
      <c r="AD9">
        <v>0</v>
      </c>
      <c r="AE9">
        <v>0</v>
      </c>
    </row>
    <row r="10" spans="1:34">
      <c r="A10" t="s">
        <v>83</v>
      </c>
      <c r="B10">
        <v>0</v>
      </c>
      <c r="C10">
        <v>0</v>
      </c>
      <c r="D10">
        <v>0</v>
      </c>
      <c r="E10">
        <v>0</v>
      </c>
      <c r="F10">
        <v>0</v>
      </c>
      <c r="G10">
        <v>0</v>
      </c>
      <c r="H10">
        <v>0</v>
      </c>
      <c r="I10">
        <v>0</v>
      </c>
      <c r="J10">
        <v>0</v>
      </c>
      <c r="K10">
        <v>0</v>
      </c>
      <c r="L10">
        <v>0</v>
      </c>
      <c r="M10">
        <v>0</v>
      </c>
      <c r="N10">
        <v>0</v>
      </c>
      <c r="O10">
        <v>0</v>
      </c>
      <c r="P10">
        <v>0</v>
      </c>
      <c r="Q10">
        <v>0</v>
      </c>
      <c r="R10">
        <v>0</v>
      </c>
      <c r="S10">
        <v>0</v>
      </c>
      <c r="T10">
        <v>0</v>
      </c>
      <c r="U10">
        <v>0</v>
      </c>
      <c r="V10">
        <v>0</v>
      </c>
      <c r="W10">
        <v>0</v>
      </c>
      <c r="X10">
        <v>0</v>
      </c>
      <c r="Y10">
        <v>0</v>
      </c>
      <c r="Z10">
        <v>0</v>
      </c>
      <c r="AA10">
        <v>0</v>
      </c>
      <c r="AB10">
        <v>0</v>
      </c>
      <c r="AC10">
        <v>0</v>
      </c>
      <c r="AD10">
        <v>0</v>
      </c>
      <c r="AE10">
        <v>0</v>
      </c>
    </row>
    <row r="11" spans="1:34">
      <c r="A11" t="s">
        <v>84</v>
      </c>
      <c r="B11">
        <v>0</v>
      </c>
      <c r="C11">
        <v>0</v>
      </c>
      <c r="D11">
        <v>0</v>
      </c>
      <c r="E11">
        <v>0</v>
      </c>
      <c r="F11">
        <v>0</v>
      </c>
      <c r="G11">
        <v>0</v>
      </c>
      <c r="H11">
        <v>0</v>
      </c>
      <c r="I11">
        <v>0</v>
      </c>
      <c r="J11">
        <v>0</v>
      </c>
      <c r="K11">
        <v>0</v>
      </c>
      <c r="L11">
        <v>0</v>
      </c>
      <c r="M11">
        <v>0</v>
      </c>
      <c r="N11">
        <v>0</v>
      </c>
      <c r="O11">
        <v>0</v>
      </c>
      <c r="P11">
        <v>0</v>
      </c>
      <c r="Q11">
        <v>0</v>
      </c>
      <c r="R11">
        <v>0</v>
      </c>
      <c r="S11">
        <v>0</v>
      </c>
      <c r="T11">
        <v>0</v>
      </c>
      <c r="U11">
        <v>0</v>
      </c>
      <c r="V11">
        <v>0</v>
      </c>
      <c r="W11">
        <v>0</v>
      </c>
      <c r="X11">
        <v>0</v>
      </c>
      <c r="Y11">
        <v>0</v>
      </c>
      <c r="Z11">
        <v>0</v>
      </c>
      <c r="AA11">
        <v>0</v>
      </c>
      <c r="AB11">
        <v>0</v>
      </c>
      <c r="AC11">
        <v>0</v>
      </c>
      <c r="AD11">
        <v>0</v>
      </c>
      <c r="AE11">
        <v>0</v>
      </c>
    </row>
  </sheetData>
  <pageMargins left="0.7" right="0.7" top="0.75" bottom="0.75" header="0.3" footer="0.3"/>
</worksheet>
</file>

<file path=xl/worksheets/sheet4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100-000000000000}">
  <sheetPr>
    <tabColor theme="3"/>
  </sheetPr>
  <dimension ref="A1:AC11"/>
  <sheetViews>
    <sheetView topLeftCell="J1" workbookViewId="0">
      <selection activeCell="AB5" sqref="AB5"/>
    </sheetView>
  </sheetViews>
  <sheetFormatPr defaultRowHeight="14.25"/>
  <cols>
    <col min="1" max="1" width="22.53125" customWidth="1"/>
  </cols>
  <sheetData>
    <row r="1" spans="1:29" ht="28.5">
      <c r="A1" s="10" t="s">
        <v>85</v>
      </c>
      <c r="B1">
        <f>'Biodiesel Fraction'!D6</f>
        <v>2023</v>
      </c>
      <c r="C1">
        <f>'Biodiesel Fraction'!E6</f>
        <v>2024</v>
      </c>
      <c r="D1">
        <f>'Biodiesel Fraction'!F6</f>
        <v>2025</v>
      </c>
      <c r="E1">
        <f>'Biodiesel Fraction'!G6</f>
        <v>2026</v>
      </c>
      <c r="F1">
        <f>'Biodiesel Fraction'!H6</f>
        <v>2027</v>
      </c>
      <c r="G1">
        <f>'Biodiesel Fraction'!I6</f>
        <v>2028</v>
      </c>
      <c r="H1">
        <f>'Biodiesel Fraction'!J6</f>
        <v>2029</v>
      </c>
      <c r="I1">
        <f>'Biodiesel Fraction'!K6</f>
        <v>2030</v>
      </c>
      <c r="J1">
        <f>'Biodiesel Fraction'!L6</f>
        <v>2031</v>
      </c>
      <c r="K1">
        <f>'Biodiesel Fraction'!M6</f>
        <v>2032</v>
      </c>
      <c r="L1">
        <f>'Biodiesel Fraction'!N6</f>
        <v>2033</v>
      </c>
      <c r="M1">
        <f>'Biodiesel Fraction'!O6</f>
        <v>2034</v>
      </c>
      <c r="N1">
        <f>'Biodiesel Fraction'!P6</f>
        <v>2035</v>
      </c>
      <c r="O1">
        <f>'Biodiesel Fraction'!Q6</f>
        <v>2036</v>
      </c>
      <c r="P1">
        <f>'Biodiesel Fraction'!R6</f>
        <v>2037</v>
      </c>
      <c r="Q1">
        <f>'Biodiesel Fraction'!S6</f>
        <v>2038</v>
      </c>
      <c r="R1">
        <f>'Biodiesel Fraction'!T6</f>
        <v>2039</v>
      </c>
      <c r="S1">
        <f>'Biodiesel Fraction'!U6</f>
        <v>2040</v>
      </c>
      <c r="T1">
        <f>'Biodiesel Fraction'!V6</f>
        <v>2041</v>
      </c>
      <c r="U1">
        <f>'Biodiesel Fraction'!W6</f>
        <v>2042</v>
      </c>
      <c r="V1">
        <f>'Biodiesel Fraction'!X6</f>
        <v>2043</v>
      </c>
      <c r="W1">
        <f>'Biodiesel Fraction'!Y6</f>
        <v>2044</v>
      </c>
      <c r="X1">
        <f>'Biodiesel Fraction'!Z6</f>
        <v>2045</v>
      </c>
      <c r="Y1">
        <f>'Biodiesel Fraction'!AA6</f>
        <v>2046</v>
      </c>
      <c r="Z1">
        <f>'Biodiesel Fraction'!AB6</f>
        <v>2047</v>
      </c>
      <c r="AA1">
        <f>'Biodiesel Fraction'!AC6</f>
        <v>2048</v>
      </c>
      <c r="AB1">
        <f>'Biodiesel Fraction'!AD6</f>
        <v>2049</v>
      </c>
      <c r="AC1">
        <f>'Biodiesel Fraction'!AE6</f>
        <v>2050</v>
      </c>
    </row>
    <row r="2" spans="1:29">
      <c r="A2" t="s">
        <v>15</v>
      </c>
      <c r="B2">
        <v>0</v>
      </c>
      <c r="C2">
        <v>0</v>
      </c>
      <c r="D2">
        <v>0</v>
      </c>
      <c r="E2">
        <v>0</v>
      </c>
      <c r="F2">
        <v>0</v>
      </c>
      <c r="G2">
        <v>0</v>
      </c>
      <c r="H2">
        <v>0</v>
      </c>
      <c r="I2">
        <v>0</v>
      </c>
      <c r="J2">
        <v>0</v>
      </c>
      <c r="K2">
        <v>0</v>
      </c>
      <c r="L2">
        <v>0</v>
      </c>
      <c r="M2">
        <v>0</v>
      </c>
      <c r="N2">
        <v>0</v>
      </c>
      <c r="O2">
        <v>0</v>
      </c>
      <c r="P2">
        <v>0</v>
      </c>
      <c r="Q2">
        <v>0</v>
      </c>
      <c r="R2">
        <v>0</v>
      </c>
      <c r="S2">
        <v>0</v>
      </c>
      <c r="T2">
        <v>0</v>
      </c>
      <c r="U2">
        <v>0</v>
      </c>
      <c r="V2">
        <v>0</v>
      </c>
      <c r="W2">
        <v>0</v>
      </c>
      <c r="X2">
        <v>0</v>
      </c>
      <c r="Y2">
        <v>0</v>
      </c>
      <c r="Z2">
        <v>0</v>
      </c>
      <c r="AA2">
        <v>0</v>
      </c>
      <c r="AB2">
        <v>0</v>
      </c>
      <c r="AC2">
        <v>0</v>
      </c>
    </row>
    <row r="3" spans="1:29">
      <c r="A3" t="s">
        <v>16</v>
      </c>
      <c r="B3">
        <v>0</v>
      </c>
      <c r="C3">
        <v>0</v>
      </c>
      <c r="D3">
        <v>0</v>
      </c>
      <c r="E3">
        <v>0</v>
      </c>
      <c r="F3">
        <v>0</v>
      </c>
      <c r="G3">
        <v>0</v>
      </c>
      <c r="H3">
        <v>0</v>
      </c>
      <c r="I3">
        <v>0</v>
      </c>
      <c r="J3">
        <v>0</v>
      </c>
      <c r="K3">
        <v>0</v>
      </c>
      <c r="L3">
        <v>0</v>
      </c>
      <c r="M3">
        <v>0</v>
      </c>
      <c r="N3">
        <v>0</v>
      </c>
      <c r="O3">
        <v>0</v>
      </c>
      <c r="P3">
        <v>0</v>
      </c>
      <c r="Q3">
        <v>0</v>
      </c>
      <c r="R3">
        <v>0</v>
      </c>
      <c r="S3">
        <v>0</v>
      </c>
      <c r="T3">
        <v>0</v>
      </c>
      <c r="U3">
        <v>0</v>
      </c>
      <c r="V3">
        <v>0</v>
      </c>
      <c r="W3">
        <v>0</v>
      </c>
      <c r="X3">
        <v>0</v>
      </c>
      <c r="Y3">
        <v>0</v>
      </c>
      <c r="Z3">
        <v>0</v>
      </c>
      <c r="AA3">
        <v>0</v>
      </c>
      <c r="AB3">
        <v>0</v>
      </c>
      <c r="AC3">
        <v>0</v>
      </c>
    </row>
    <row r="4" spans="1:29">
      <c r="A4" t="s">
        <v>17</v>
      </c>
      <c r="B4">
        <v>0</v>
      </c>
      <c r="C4">
        <v>0</v>
      </c>
      <c r="D4">
        <v>0</v>
      </c>
      <c r="E4">
        <v>0</v>
      </c>
      <c r="F4">
        <v>0</v>
      </c>
      <c r="G4">
        <v>0</v>
      </c>
      <c r="H4">
        <v>0</v>
      </c>
      <c r="I4">
        <v>0</v>
      </c>
      <c r="J4">
        <v>0</v>
      </c>
      <c r="K4">
        <v>0</v>
      </c>
      <c r="L4">
        <v>0</v>
      </c>
      <c r="M4">
        <v>0</v>
      </c>
      <c r="N4">
        <v>0</v>
      </c>
      <c r="O4">
        <v>0</v>
      </c>
      <c r="P4">
        <v>0</v>
      </c>
      <c r="Q4">
        <v>0</v>
      </c>
      <c r="R4">
        <v>0</v>
      </c>
      <c r="S4">
        <v>0</v>
      </c>
      <c r="T4">
        <v>0</v>
      </c>
      <c r="U4">
        <v>0</v>
      </c>
      <c r="V4">
        <v>0</v>
      </c>
      <c r="W4">
        <v>0</v>
      </c>
      <c r="X4">
        <v>0</v>
      </c>
      <c r="Y4">
        <v>0</v>
      </c>
      <c r="Z4">
        <v>0</v>
      </c>
      <c r="AA4">
        <v>0</v>
      </c>
      <c r="AB4">
        <v>0</v>
      </c>
      <c r="AC4">
        <v>0</v>
      </c>
    </row>
    <row r="5" spans="1:29">
      <c r="A5" t="s">
        <v>18</v>
      </c>
      <c r="B5">
        <f>IF('Biodiesel Fraction'!$B21,1-'Biodiesel Fraction'!B30,1)</f>
        <v>0.96756119768275339</v>
      </c>
      <c r="C5">
        <f>IF('Biodiesel Fraction'!$B21,1-'Biodiesel Fraction'!C30,1)</f>
        <v>0.96041416638410693</v>
      </c>
      <c r="D5">
        <f>IF('Biodiesel Fraction'!$B21,1-'Biodiesel Fraction'!D30,1)</f>
        <v>0.97373256429929333</v>
      </c>
      <c r="E5">
        <f>IF('Biodiesel Fraction'!$B21,1-'Biodiesel Fraction'!E30,1)</f>
        <v>0.96837869027778645</v>
      </c>
      <c r="F5">
        <f>IF('Biodiesel Fraction'!$B21,1-'Biodiesel Fraction'!F30,1)</f>
        <v>0.96966376381580111</v>
      </c>
      <c r="G5">
        <f>IF('Biodiesel Fraction'!$B21,1-'Biodiesel Fraction'!G30,1)</f>
        <v>0.96865854353538616</v>
      </c>
      <c r="H5">
        <f>IF('Biodiesel Fraction'!$B21,1-'Biodiesel Fraction'!H30,1)</f>
        <v>0.96792764653725427</v>
      </c>
      <c r="I5">
        <f>IF('Biodiesel Fraction'!$B21,1-'Biodiesel Fraction'!I30,1)</f>
        <v>0.97331643318672201</v>
      </c>
      <c r="J5">
        <f>IF('Biodiesel Fraction'!$B21,1-'Biodiesel Fraction'!J30,1)</f>
        <v>0.9718891175234271</v>
      </c>
      <c r="K5">
        <f>IF('Biodiesel Fraction'!$B21,1-'Biodiesel Fraction'!K30,1)</f>
        <v>0.97112755680124419</v>
      </c>
      <c r="L5">
        <f>IF('Biodiesel Fraction'!$B21,1-'Biodiesel Fraction'!L30,1)</f>
        <v>0.96953215672773896</v>
      </c>
      <c r="M5">
        <f>IF('Biodiesel Fraction'!$B21,1-'Biodiesel Fraction'!M30,1)</f>
        <v>0.96878215000290413</v>
      </c>
      <c r="N5">
        <f>IF('Biodiesel Fraction'!$B21,1-'Biodiesel Fraction'!N30,1)</f>
        <v>0.96812465179023832</v>
      </c>
      <c r="O5">
        <f>IF('Biodiesel Fraction'!$B21,1-'Biodiesel Fraction'!O30,1)</f>
        <v>0.96986559390838423</v>
      </c>
      <c r="P5">
        <f>IF('Biodiesel Fraction'!$B21,1-'Biodiesel Fraction'!P30,1)</f>
        <v>0.96826904520338963</v>
      </c>
      <c r="Q5">
        <f>IF('Biodiesel Fraction'!$B21,1-'Biodiesel Fraction'!Q30,1)</f>
        <v>0.96839488555451003</v>
      </c>
      <c r="R5">
        <f>IF('Biodiesel Fraction'!$B21,1-'Biodiesel Fraction'!R30,1)</f>
        <v>0.96870670002527937</v>
      </c>
      <c r="S5">
        <f>IF('Biodiesel Fraction'!$B21,1-'Biodiesel Fraction'!S30,1)</f>
        <v>0.96905933663555699</v>
      </c>
      <c r="T5">
        <f>IF('Biodiesel Fraction'!$B21,1-'Biodiesel Fraction'!T30,1)</f>
        <v>0.96946160326764974</v>
      </c>
      <c r="U5">
        <f>IF('Biodiesel Fraction'!$B21,1-'Biodiesel Fraction'!U30,1)</f>
        <v>0.96987423251102012</v>
      </c>
      <c r="V5">
        <f>IF('Biodiesel Fraction'!$B21,1-'Biodiesel Fraction'!V30,1)</f>
        <v>0.97031048712680901</v>
      </c>
      <c r="W5">
        <f>IF('Biodiesel Fraction'!$B21,1-'Biodiesel Fraction'!W30,1)</f>
        <v>0.97078974782181038</v>
      </c>
      <c r="X5">
        <f>IF('Biodiesel Fraction'!$B21,1-'Biodiesel Fraction'!X30,1)</f>
        <v>0.97134811027621315</v>
      </c>
      <c r="Y5">
        <f>IF('Biodiesel Fraction'!$B21,1-'Biodiesel Fraction'!Y30,1)</f>
        <v>0.97195157869542803</v>
      </c>
      <c r="Z5">
        <f>IF('Biodiesel Fraction'!$B21,1-'Biodiesel Fraction'!Z30,1)</f>
        <v>0.97249434040966198</v>
      </c>
      <c r="AA5">
        <f>IF('Biodiesel Fraction'!$B21,1-'Biodiesel Fraction'!AA30,1)</f>
        <v>0.97312409878794037</v>
      </c>
      <c r="AB5">
        <f>IF('Biodiesel Fraction'!$B21,1-'Biodiesel Fraction'!AB30,1)</f>
        <v>0.97379379073714167</v>
      </c>
      <c r="AC5">
        <f>IF('Biodiesel Fraction'!$B21,1-'Biodiesel Fraction'!AC30,1)</f>
        <v>0.97448716941846381</v>
      </c>
    </row>
    <row r="6" spans="1:29">
      <c r="A6" t="s">
        <v>19</v>
      </c>
      <c r="B6">
        <v>0</v>
      </c>
      <c r="C6">
        <v>0</v>
      </c>
      <c r="D6">
        <v>0</v>
      </c>
      <c r="E6">
        <v>0</v>
      </c>
      <c r="F6">
        <v>0</v>
      </c>
      <c r="G6">
        <v>0</v>
      </c>
      <c r="H6">
        <v>0</v>
      </c>
      <c r="I6">
        <v>0</v>
      </c>
      <c r="J6">
        <v>0</v>
      </c>
      <c r="K6">
        <v>0</v>
      </c>
      <c r="L6">
        <v>0</v>
      </c>
      <c r="M6">
        <v>0</v>
      </c>
      <c r="N6">
        <v>0</v>
      </c>
      <c r="O6">
        <v>0</v>
      </c>
      <c r="P6">
        <v>0</v>
      </c>
      <c r="Q6">
        <v>0</v>
      </c>
      <c r="R6">
        <v>0</v>
      </c>
      <c r="S6">
        <v>0</v>
      </c>
      <c r="T6">
        <v>0</v>
      </c>
      <c r="U6">
        <v>0</v>
      </c>
      <c r="V6">
        <v>0</v>
      </c>
      <c r="W6">
        <v>0</v>
      </c>
      <c r="X6">
        <v>0</v>
      </c>
      <c r="Y6">
        <v>0</v>
      </c>
      <c r="Z6">
        <v>0</v>
      </c>
      <c r="AA6">
        <v>0</v>
      </c>
      <c r="AB6">
        <v>0</v>
      </c>
      <c r="AC6">
        <v>0</v>
      </c>
    </row>
    <row r="7" spans="1:29">
      <c r="A7" t="s">
        <v>21</v>
      </c>
      <c r="B7">
        <f>IF('Biodiesel Fraction'!$B21,'Biodiesel Fraction'!B30,0)</f>
        <v>3.2438802317246634E-2</v>
      </c>
      <c r="C7">
        <f>IF('Biodiesel Fraction'!$B21,'Biodiesel Fraction'!C30,0)</f>
        <v>3.9585833615893101E-2</v>
      </c>
      <c r="D7">
        <f>IF('Biodiesel Fraction'!$B21,'Biodiesel Fraction'!D30,0)</f>
        <v>2.6267435700706714E-2</v>
      </c>
      <c r="E7">
        <f>IF('Biodiesel Fraction'!$B21,'Biodiesel Fraction'!E30,0)</f>
        <v>3.1621309722213581E-2</v>
      </c>
      <c r="F7">
        <f>IF('Biodiesel Fraction'!$B21,'Biodiesel Fraction'!F30,0)</f>
        <v>3.033623618419894E-2</v>
      </c>
      <c r="G7">
        <f>IF('Biodiesel Fraction'!$B21,'Biodiesel Fraction'!G30,0)</f>
        <v>3.1341456464613789E-2</v>
      </c>
      <c r="H7">
        <f>IF('Biodiesel Fraction'!$B21,'Biodiesel Fraction'!H30,0)</f>
        <v>3.2072353462745715E-2</v>
      </c>
      <c r="I7">
        <f>IF('Biodiesel Fraction'!$B21,'Biodiesel Fraction'!I30,0)</f>
        <v>2.6683566813277972E-2</v>
      </c>
      <c r="J7">
        <f>IF('Biodiesel Fraction'!$B21,'Biodiesel Fraction'!J30,0)</f>
        <v>2.8110882476572851E-2</v>
      </c>
      <c r="K7">
        <f>IF('Biodiesel Fraction'!$B21,'Biodiesel Fraction'!K30,0)</f>
        <v>2.8872443198755857E-2</v>
      </c>
      <c r="L7">
        <f>IF('Biodiesel Fraction'!$B21,'Biodiesel Fraction'!L30,0)</f>
        <v>3.046784327226101E-2</v>
      </c>
      <c r="M7">
        <f>IF('Biodiesel Fraction'!$B21,'Biodiesel Fraction'!M30,0)</f>
        <v>3.1217849997095815E-2</v>
      </c>
      <c r="N7">
        <f>IF('Biodiesel Fraction'!$B21,'Biodiesel Fraction'!N30,0)</f>
        <v>3.1875348209761699E-2</v>
      </c>
      <c r="O7">
        <f>IF('Biodiesel Fraction'!$B21,'Biodiesel Fraction'!O30,0)</f>
        <v>3.0134406091615811E-2</v>
      </c>
      <c r="P7">
        <f>IF('Biodiesel Fraction'!$B21,'Biodiesel Fraction'!P30,0)</f>
        <v>3.1730954796610401E-2</v>
      </c>
      <c r="Q7">
        <f>IF('Biodiesel Fraction'!$B21,'Biodiesel Fraction'!Q30,0)</f>
        <v>3.1605114445489989E-2</v>
      </c>
      <c r="R7">
        <f>IF('Biodiesel Fraction'!$B21,'Biodiesel Fraction'!R30,0)</f>
        <v>3.1293299974720641E-2</v>
      </c>
      <c r="S7">
        <f>IF('Biodiesel Fraction'!$B21,'Biodiesel Fraction'!S30,0)</f>
        <v>3.0940663364443025E-2</v>
      </c>
      <c r="T7">
        <f>IF('Biodiesel Fraction'!$B21,'Biodiesel Fraction'!T30,0)</f>
        <v>3.0538396732350235E-2</v>
      </c>
      <c r="U7">
        <f>IF('Biodiesel Fraction'!$B21,'Biodiesel Fraction'!U30,0)</f>
        <v>3.0125767488979882E-2</v>
      </c>
      <c r="V7">
        <f>IF('Biodiesel Fraction'!$B21,'Biodiesel Fraction'!V30,0)</f>
        <v>2.9689512873191E-2</v>
      </c>
      <c r="W7">
        <f>IF('Biodiesel Fraction'!$B21,'Biodiesel Fraction'!W30,0)</f>
        <v>2.9210252178189615E-2</v>
      </c>
      <c r="X7">
        <f>IF('Biodiesel Fraction'!$B21,'Biodiesel Fraction'!X30,0)</f>
        <v>2.8651889723786874E-2</v>
      </c>
      <c r="Y7">
        <f>IF('Biodiesel Fraction'!$B21,'Biodiesel Fraction'!Y30,0)</f>
        <v>2.8048421304572007E-2</v>
      </c>
      <c r="Z7">
        <f>IF('Biodiesel Fraction'!$B21,'Biodiesel Fraction'!Z30,0)</f>
        <v>2.7505659590338054E-2</v>
      </c>
      <c r="AA7">
        <f>IF('Biodiesel Fraction'!$B21,'Biodiesel Fraction'!AA30,0)</f>
        <v>2.6875901212059638E-2</v>
      </c>
      <c r="AB7">
        <f>IF('Biodiesel Fraction'!$B21,'Biodiesel Fraction'!AB30,0)</f>
        <v>2.6206209262858382E-2</v>
      </c>
      <c r="AC7">
        <f>IF('Biodiesel Fraction'!$B21,'Biodiesel Fraction'!AC30,0)</f>
        <v>2.5512830581536149E-2</v>
      </c>
    </row>
    <row r="8" spans="1:29">
      <c r="A8" t="s">
        <v>20</v>
      </c>
      <c r="B8">
        <v>0</v>
      </c>
      <c r="C8">
        <v>0</v>
      </c>
      <c r="D8">
        <v>0</v>
      </c>
      <c r="E8">
        <v>0</v>
      </c>
      <c r="F8">
        <v>0</v>
      </c>
      <c r="G8">
        <v>0</v>
      </c>
      <c r="H8">
        <v>0</v>
      </c>
      <c r="I8">
        <v>0</v>
      </c>
      <c r="J8">
        <v>0</v>
      </c>
      <c r="K8">
        <v>0</v>
      </c>
      <c r="L8">
        <v>0</v>
      </c>
      <c r="M8">
        <v>0</v>
      </c>
      <c r="N8">
        <v>0</v>
      </c>
      <c r="O8">
        <v>0</v>
      </c>
      <c r="P8">
        <v>0</v>
      </c>
      <c r="Q8">
        <v>0</v>
      </c>
      <c r="R8">
        <v>0</v>
      </c>
      <c r="S8">
        <v>0</v>
      </c>
      <c r="T8">
        <v>0</v>
      </c>
      <c r="U8">
        <v>0</v>
      </c>
      <c r="V8">
        <v>0</v>
      </c>
      <c r="W8">
        <v>0</v>
      </c>
      <c r="X8">
        <v>0</v>
      </c>
      <c r="Y8">
        <v>0</v>
      </c>
      <c r="Z8">
        <v>0</v>
      </c>
      <c r="AA8">
        <v>0</v>
      </c>
      <c r="AB8">
        <v>0</v>
      </c>
      <c r="AC8">
        <v>0</v>
      </c>
    </row>
    <row r="9" spans="1:29">
      <c r="A9" t="s">
        <v>82</v>
      </c>
      <c r="B9">
        <v>0</v>
      </c>
      <c r="C9">
        <v>0</v>
      </c>
      <c r="D9">
        <v>0</v>
      </c>
      <c r="E9">
        <v>0</v>
      </c>
      <c r="F9">
        <v>0</v>
      </c>
      <c r="G9">
        <v>0</v>
      </c>
      <c r="H9">
        <v>0</v>
      </c>
      <c r="I9">
        <v>0</v>
      </c>
      <c r="J9">
        <v>0</v>
      </c>
      <c r="K9">
        <v>0</v>
      </c>
      <c r="L9">
        <v>0</v>
      </c>
      <c r="M9">
        <v>0</v>
      </c>
      <c r="N9">
        <v>0</v>
      </c>
      <c r="O9">
        <v>0</v>
      </c>
      <c r="P9">
        <v>0</v>
      </c>
      <c r="Q9">
        <v>0</v>
      </c>
      <c r="R9">
        <v>0</v>
      </c>
      <c r="S9">
        <v>0</v>
      </c>
      <c r="T9">
        <v>0</v>
      </c>
      <c r="U9">
        <v>0</v>
      </c>
      <c r="V9">
        <v>0</v>
      </c>
      <c r="W9">
        <v>0</v>
      </c>
      <c r="X9">
        <v>0</v>
      </c>
      <c r="Y9">
        <v>0</v>
      </c>
      <c r="Z9">
        <v>0</v>
      </c>
      <c r="AA9">
        <v>0</v>
      </c>
      <c r="AB9">
        <v>0</v>
      </c>
      <c r="AC9">
        <v>0</v>
      </c>
    </row>
    <row r="10" spans="1:29">
      <c r="A10" t="s">
        <v>83</v>
      </c>
      <c r="B10">
        <v>0</v>
      </c>
      <c r="C10">
        <v>0</v>
      </c>
      <c r="D10">
        <v>0</v>
      </c>
      <c r="E10">
        <v>0</v>
      </c>
      <c r="F10">
        <v>0</v>
      </c>
      <c r="G10">
        <v>0</v>
      </c>
      <c r="H10">
        <v>0</v>
      </c>
      <c r="I10">
        <v>0</v>
      </c>
      <c r="J10">
        <v>0</v>
      </c>
      <c r="K10">
        <v>0</v>
      </c>
      <c r="L10">
        <v>0</v>
      </c>
      <c r="M10">
        <v>0</v>
      </c>
      <c r="N10">
        <v>0</v>
      </c>
      <c r="O10">
        <v>0</v>
      </c>
      <c r="P10">
        <v>0</v>
      </c>
      <c r="Q10">
        <v>0</v>
      </c>
      <c r="R10">
        <v>0</v>
      </c>
      <c r="S10">
        <v>0</v>
      </c>
      <c r="T10">
        <v>0</v>
      </c>
      <c r="U10">
        <v>0</v>
      </c>
      <c r="V10">
        <v>0</v>
      </c>
      <c r="W10">
        <v>0</v>
      </c>
      <c r="X10">
        <v>0</v>
      </c>
      <c r="Y10">
        <v>0</v>
      </c>
      <c r="Z10">
        <v>0</v>
      </c>
      <c r="AA10">
        <v>0</v>
      </c>
      <c r="AB10">
        <v>0</v>
      </c>
      <c r="AC10">
        <v>0</v>
      </c>
    </row>
    <row r="11" spans="1:29">
      <c r="A11" t="s">
        <v>84</v>
      </c>
      <c r="B11">
        <v>0</v>
      </c>
      <c r="C11">
        <v>0</v>
      </c>
      <c r="D11">
        <v>0</v>
      </c>
      <c r="E11">
        <v>0</v>
      </c>
      <c r="F11">
        <v>0</v>
      </c>
      <c r="G11">
        <v>0</v>
      </c>
      <c r="H11">
        <v>0</v>
      </c>
      <c r="I11">
        <v>0</v>
      </c>
      <c r="J11">
        <v>0</v>
      </c>
      <c r="K11">
        <v>0</v>
      </c>
      <c r="L11">
        <v>0</v>
      </c>
      <c r="M11">
        <v>0</v>
      </c>
      <c r="N11">
        <v>0</v>
      </c>
      <c r="O11">
        <v>0</v>
      </c>
      <c r="P11">
        <v>0</v>
      </c>
      <c r="Q11">
        <v>0</v>
      </c>
      <c r="R11">
        <v>0</v>
      </c>
      <c r="S11">
        <v>0</v>
      </c>
      <c r="T11">
        <v>0</v>
      </c>
      <c r="U11">
        <v>0</v>
      </c>
      <c r="V11">
        <v>0</v>
      </c>
      <c r="W11">
        <v>0</v>
      </c>
      <c r="X11">
        <v>0</v>
      </c>
      <c r="Y11">
        <v>0</v>
      </c>
      <c r="Z11">
        <v>0</v>
      </c>
      <c r="AA11">
        <v>0</v>
      </c>
      <c r="AB11">
        <v>0</v>
      </c>
      <c r="AC11">
        <v>0</v>
      </c>
    </row>
  </sheetData>
  <pageMargins left="0.7" right="0.7" top="0.75" bottom="0.75" header="0.3" footer="0.3"/>
</worksheet>
</file>

<file path=xl/worksheets/sheet4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200-000000000000}">
  <sheetPr>
    <tabColor theme="3"/>
  </sheetPr>
  <dimension ref="A1:AC11"/>
  <sheetViews>
    <sheetView workbookViewId="0">
      <selection activeCell="B1" sqref="B1"/>
    </sheetView>
  </sheetViews>
  <sheetFormatPr defaultRowHeight="14.25"/>
  <cols>
    <col min="1" max="1" width="22.53125" customWidth="1"/>
  </cols>
  <sheetData>
    <row r="1" spans="1:29" ht="28.5">
      <c r="A1" s="10" t="s">
        <v>85</v>
      </c>
      <c r="B1">
        <f>'Biodiesel Fraction'!D6</f>
        <v>2023</v>
      </c>
      <c r="C1">
        <f>'Biodiesel Fraction'!E6</f>
        <v>2024</v>
      </c>
      <c r="D1">
        <f>'Biodiesel Fraction'!F6</f>
        <v>2025</v>
      </c>
      <c r="E1">
        <f>'Biodiesel Fraction'!G6</f>
        <v>2026</v>
      </c>
      <c r="F1">
        <f>'Biodiesel Fraction'!H6</f>
        <v>2027</v>
      </c>
      <c r="G1">
        <f>'Biodiesel Fraction'!I6</f>
        <v>2028</v>
      </c>
      <c r="H1">
        <f>'Biodiesel Fraction'!J6</f>
        <v>2029</v>
      </c>
      <c r="I1">
        <f>'Biodiesel Fraction'!K6</f>
        <v>2030</v>
      </c>
      <c r="J1">
        <f>'Biodiesel Fraction'!L6</f>
        <v>2031</v>
      </c>
      <c r="K1">
        <f>'Biodiesel Fraction'!M6</f>
        <v>2032</v>
      </c>
      <c r="L1">
        <f>'Biodiesel Fraction'!N6</f>
        <v>2033</v>
      </c>
      <c r="M1">
        <f>'Biodiesel Fraction'!O6</f>
        <v>2034</v>
      </c>
      <c r="N1">
        <f>'Biodiesel Fraction'!P6</f>
        <v>2035</v>
      </c>
      <c r="O1">
        <f>'Biodiesel Fraction'!Q6</f>
        <v>2036</v>
      </c>
      <c r="P1">
        <f>'Biodiesel Fraction'!R6</f>
        <v>2037</v>
      </c>
      <c r="Q1">
        <f>'Biodiesel Fraction'!S6</f>
        <v>2038</v>
      </c>
      <c r="R1">
        <f>'Biodiesel Fraction'!T6</f>
        <v>2039</v>
      </c>
      <c r="S1">
        <f>'Biodiesel Fraction'!U6</f>
        <v>2040</v>
      </c>
      <c r="T1">
        <f>'Biodiesel Fraction'!V6</f>
        <v>2041</v>
      </c>
      <c r="U1">
        <f>'Biodiesel Fraction'!W6</f>
        <v>2042</v>
      </c>
      <c r="V1">
        <f>'Biodiesel Fraction'!X6</f>
        <v>2043</v>
      </c>
      <c r="W1">
        <f>'Biodiesel Fraction'!Y6</f>
        <v>2044</v>
      </c>
      <c r="X1">
        <f>'Biodiesel Fraction'!Z6</f>
        <v>2045</v>
      </c>
      <c r="Y1">
        <f>'Biodiesel Fraction'!AA6</f>
        <v>2046</v>
      </c>
      <c r="Z1">
        <f>'Biodiesel Fraction'!AB6</f>
        <v>2047</v>
      </c>
      <c r="AA1">
        <f>'Biodiesel Fraction'!AC6</f>
        <v>2048</v>
      </c>
      <c r="AB1">
        <f>'Biodiesel Fraction'!AD6</f>
        <v>2049</v>
      </c>
      <c r="AC1">
        <f>'Biodiesel Fraction'!AE6</f>
        <v>2050</v>
      </c>
    </row>
    <row r="2" spans="1:29">
      <c r="A2" t="s">
        <v>15</v>
      </c>
      <c r="B2">
        <f>'Plug-in Hybrid Elec Fraction'!$A5</f>
        <v>0.55000000000000004</v>
      </c>
      <c r="C2">
        <f>'Plug-in Hybrid Elec Fraction'!$A5</f>
        <v>0.55000000000000004</v>
      </c>
      <c r="D2">
        <f>'Plug-in Hybrid Elec Fraction'!$A5</f>
        <v>0.55000000000000004</v>
      </c>
      <c r="E2">
        <f>'Plug-in Hybrid Elec Fraction'!$A5</f>
        <v>0.55000000000000004</v>
      </c>
      <c r="F2">
        <f>'Plug-in Hybrid Elec Fraction'!$A5</f>
        <v>0.55000000000000004</v>
      </c>
      <c r="G2">
        <f>'Plug-in Hybrid Elec Fraction'!$A5</f>
        <v>0.55000000000000004</v>
      </c>
      <c r="H2">
        <f>'Plug-in Hybrid Elec Fraction'!$A5</f>
        <v>0.55000000000000004</v>
      </c>
      <c r="I2">
        <f>'Plug-in Hybrid Elec Fraction'!$A5</f>
        <v>0.55000000000000004</v>
      </c>
      <c r="J2">
        <f>'Plug-in Hybrid Elec Fraction'!$A5</f>
        <v>0.55000000000000004</v>
      </c>
      <c r="K2">
        <f>'Plug-in Hybrid Elec Fraction'!$A5</f>
        <v>0.55000000000000004</v>
      </c>
      <c r="L2">
        <f>'Plug-in Hybrid Elec Fraction'!$A5</f>
        <v>0.55000000000000004</v>
      </c>
      <c r="M2">
        <f>'Plug-in Hybrid Elec Fraction'!$A5</f>
        <v>0.55000000000000004</v>
      </c>
      <c r="N2">
        <f>'Plug-in Hybrid Elec Fraction'!$A5</f>
        <v>0.55000000000000004</v>
      </c>
      <c r="O2">
        <f>'Plug-in Hybrid Elec Fraction'!$A5</f>
        <v>0.55000000000000004</v>
      </c>
      <c r="P2">
        <f>'Plug-in Hybrid Elec Fraction'!$A5</f>
        <v>0.55000000000000004</v>
      </c>
      <c r="Q2">
        <f>'Plug-in Hybrid Elec Fraction'!$A5</f>
        <v>0.55000000000000004</v>
      </c>
      <c r="R2">
        <f>'Plug-in Hybrid Elec Fraction'!$A5</f>
        <v>0.55000000000000004</v>
      </c>
      <c r="S2">
        <f>'Plug-in Hybrid Elec Fraction'!$A5</f>
        <v>0.55000000000000004</v>
      </c>
      <c r="T2">
        <f>'Plug-in Hybrid Elec Fraction'!$A5</f>
        <v>0.55000000000000004</v>
      </c>
      <c r="U2">
        <f>'Plug-in Hybrid Elec Fraction'!$A5</f>
        <v>0.55000000000000004</v>
      </c>
      <c r="V2">
        <f>'Plug-in Hybrid Elec Fraction'!$A5</f>
        <v>0.55000000000000004</v>
      </c>
      <c r="W2">
        <f>'Plug-in Hybrid Elec Fraction'!$A5</f>
        <v>0.55000000000000004</v>
      </c>
      <c r="X2">
        <f>'Plug-in Hybrid Elec Fraction'!$A5</f>
        <v>0.55000000000000004</v>
      </c>
      <c r="Y2">
        <f>'Plug-in Hybrid Elec Fraction'!$A5</f>
        <v>0.55000000000000004</v>
      </c>
      <c r="Z2">
        <f>'Plug-in Hybrid Elec Fraction'!$A5</f>
        <v>0.55000000000000004</v>
      </c>
      <c r="AA2">
        <f>'Plug-in Hybrid Elec Fraction'!$A5</f>
        <v>0.55000000000000004</v>
      </c>
      <c r="AB2">
        <f>'Plug-in Hybrid Elec Fraction'!$A5</f>
        <v>0.55000000000000004</v>
      </c>
      <c r="AC2">
        <f>'Plug-in Hybrid Elec Fraction'!$A5</f>
        <v>0.55000000000000004</v>
      </c>
    </row>
    <row r="3" spans="1:29">
      <c r="A3" t="s">
        <v>16</v>
      </c>
      <c r="B3">
        <v>0</v>
      </c>
      <c r="C3">
        <v>0</v>
      </c>
      <c r="D3">
        <v>0</v>
      </c>
      <c r="E3">
        <v>0</v>
      </c>
      <c r="F3">
        <v>0</v>
      </c>
      <c r="G3">
        <v>0</v>
      </c>
      <c r="H3">
        <v>0</v>
      </c>
      <c r="I3">
        <v>0</v>
      </c>
      <c r="J3">
        <v>0</v>
      </c>
      <c r="K3">
        <v>0</v>
      </c>
      <c r="L3">
        <v>0</v>
      </c>
      <c r="M3">
        <v>0</v>
      </c>
      <c r="N3">
        <v>0</v>
      </c>
      <c r="O3">
        <v>0</v>
      </c>
      <c r="P3">
        <v>0</v>
      </c>
      <c r="Q3">
        <v>0</v>
      </c>
      <c r="R3">
        <v>0</v>
      </c>
      <c r="S3">
        <v>0</v>
      </c>
      <c r="T3">
        <v>0</v>
      </c>
      <c r="U3">
        <v>0</v>
      </c>
      <c r="V3">
        <v>0</v>
      </c>
      <c r="W3">
        <v>0</v>
      </c>
      <c r="X3">
        <v>0</v>
      </c>
      <c r="Y3">
        <v>0</v>
      </c>
      <c r="Z3">
        <v>0</v>
      </c>
      <c r="AA3">
        <v>0</v>
      </c>
      <c r="AB3">
        <v>0</v>
      </c>
      <c r="AC3">
        <v>0</v>
      </c>
    </row>
    <row r="4" spans="1:29">
      <c r="A4" t="s">
        <v>17</v>
      </c>
      <c r="B4">
        <v>0</v>
      </c>
      <c r="C4">
        <v>0</v>
      </c>
      <c r="D4">
        <v>0</v>
      </c>
      <c r="E4">
        <v>0</v>
      </c>
      <c r="F4">
        <v>0</v>
      </c>
      <c r="G4">
        <v>0</v>
      </c>
      <c r="H4">
        <v>0</v>
      </c>
      <c r="I4">
        <v>0</v>
      </c>
      <c r="J4">
        <v>0</v>
      </c>
      <c r="K4">
        <v>0</v>
      </c>
      <c r="L4">
        <v>0</v>
      </c>
      <c r="M4">
        <v>0</v>
      </c>
      <c r="N4">
        <v>0</v>
      </c>
      <c r="O4">
        <v>0</v>
      </c>
      <c r="P4">
        <v>0</v>
      </c>
      <c r="Q4">
        <v>0</v>
      </c>
      <c r="R4">
        <v>0</v>
      </c>
      <c r="S4">
        <v>0</v>
      </c>
      <c r="T4">
        <v>0</v>
      </c>
      <c r="U4">
        <v>0</v>
      </c>
      <c r="V4">
        <v>0</v>
      </c>
      <c r="W4">
        <v>0</v>
      </c>
      <c r="X4">
        <v>0</v>
      </c>
      <c r="Y4">
        <v>0</v>
      </c>
      <c r="Z4">
        <v>0</v>
      </c>
      <c r="AA4">
        <v>0</v>
      </c>
      <c r="AB4">
        <v>0</v>
      </c>
      <c r="AC4">
        <v>0</v>
      </c>
    </row>
    <row r="5" spans="1:29">
      <c r="A5" t="s">
        <v>18</v>
      </c>
      <c r="B5">
        <f>IF('Biodiesel Fraction'!$B21,1-'Biodiesel Fraction'!B30,1)*(1-B2)</f>
        <v>0.43540253895723896</v>
      </c>
      <c r="C5">
        <f>IF('Biodiesel Fraction'!$B21,1-'Biodiesel Fraction'!C30,1)*(1-C2)</f>
        <v>0.43218637487284806</v>
      </c>
      <c r="D5">
        <f>IF('Biodiesel Fraction'!$B21,1-'Biodiesel Fraction'!D30,1)*(1-D2)</f>
        <v>0.43817965393468195</v>
      </c>
      <c r="E5">
        <f>IF('Biodiesel Fraction'!$B21,1-'Biodiesel Fraction'!E30,1)*(1-E2)</f>
        <v>0.43577041062500388</v>
      </c>
      <c r="F5">
        <f>IF('Biodiesel Fraction'!$B21,1-'Biodiesel Fraction'!F30,1)*(1-F2)</f>
        <v>0.43634869371711044</v>
      </c>
      <c r="G5">
        <f>IF('Biodiesel Fraction'!$B21,1-'Biodiesel Fraction'!G30,1)*(1-G2)</f>
        <v>0.43589634459092375</v>
      </c>
      <c r="H5">
        <f>IF('Biodiesel Fraction'!$B21,1-'Biodiesel Fraction'!H30,1)*(1-H2)</f>
        <v>0.43556744094176436</v>
      </c>
      <c r="I5">
        <f>IF('Biodiesel Fraction'!$B21,1-'Biodiesel Fraction'!I30,1)*(1-I2)</f>
        <v>0.43799239493402486</v>
      </c>
      <c r="J5">
        <f>IF('Biodiesel Fraction'!$B21,1-'Biodiesel Fraction'!J30,1)*(1-J2)</f>
        <v>0.43735010288554216</v>
      </c>
      <c r="K5">
        <f>IF('Biodiesel Fraction'!$B21,1-'Biodiesel Fraction'!K30,1)*(1-K2)</f>
        <v>0.43700740056055987</v>
      </c>
      <c r="L5">
        <f>IF('Biodiesel Fraction'!$B21,1-'Biodiesel Fraction'!L30,1)*(1-L2)</f>
        <v>0.43628947052748251</v>
      </c>
      <c r="M5">
        <f>IF('Biodiesel Fraction'!$B21,1-'Biodiesel Fraction'!M30,1)*(1-M2)</f>
        <v>0.43595196750130683</v>
      </c>
      <c r="N5">
        <f>IF('Biodiesel Fraction'!$B21,1-'Biodiesel Fraction'!N30,1)*(1-N2)</f>
        <v>0.43565609330560723</v>
      </c>
      <c r="O5">
        <f>IF('Biodiesel Fraction'!$B21,1-'Biodiesel Fraction'!O30,1)*(1-O2)</f>
        <v>0.43643951725877284</v>
      </c>
      <c r="P5">
        <f>IF('Biodiesel Fraction'!$B21,1-'Biodiesel Fraction'!P30,1)*(1-P2)</f>
        <v>0.4357210703415253</v>
      </c>
      <c r="Q5">
        <f>IF('Biodiesel Fraction'!$B21,1-'Biodiesel Fraction'!Q30,1)*(1-Q2)</f>
        <v>0.43577769849952946</v>
      </c>
      <c r="R5">
        <f>IF('Biodiesel Fraction'!$B21,1-'Biodiesel Fraction'!R30,1)*(1-R2)</f>
        <v>0.43591801501137567</v>
      </c>
      <c r="S5">
        <f>IF('Biodiesel Fraction'!$B21,1-'Biodiesel Fraction'!S30,1)*(1-S2)</f>
        <v>0.43607670148600058</v>
      </c>
      <c r="T5">
        <f>IF('Biodiesel Fraction'!$B21,1-'Biodiesel Fraction'!T30,1)*(1-T2)</f>
        <v>0.43625772147044234</v>
      </c>
      <c r="U5">
        <f>IF('Biodiesel Fraction'!$B21,1-'Biodiesel Fraction'!U30,1)*(1-U2)</f>
        <v>0.43644340462995901</v>
      </c>
      <c r="V5">
        <f>IF('Biodiesel Fraction'!$B21,1-'Biodiesel Fraction'!V30,1)*(1-V2)</f>
        <v>0.43663971920706401</v>
      </c>
      <c r="W5">
        <f>IF('Biodiesel Fraction'!$B21,1-'Biodiesel Fraction'!W30,1)*(1-W2)</f>
        <v>0.43685538651981465</v>
      </c>
      <c r="X5">
        <f>IF('Biodiesel Fraction'!$B21,1-'Biodiesel Fraction'!X30,1)*(1-X2)</f>
        <v>0.43710664962429585</v>
      </c>
      <c r="Y5">
        <f>IF('Biodiesel Fraction'!$B21,1-'Biodiesel Fraction'!Y30,1)*(1-Y2)</f>
        <v>0.43737821041294256</v>
      </c>
      <c r="Z5">
        <f>IF('Biodiesel Fraction'!$B21,1-'Biodiesel Fraction'!Z30,1)*(1-Z2)</f>
        <v>0.43762245318434784</v>
      </c>
      <c r="AA5">
        <f>IF('Biodiesel Fraction'!$B21,1-'Biodiesel Fraction'!AA30,1)*(1-AA2)</f>
        <v>0.43790584445457315</v>
      </c>
      <c r="AB5">
        <f>IF('Biodiesel Fraction'!$B21,1-'Biodiesel Fraction'!AB30,1)*(1-AB2)</f>
        <v>0.43820720583171369</v>
      </c>
      <c r="AC5">
        <f>IF('Biodiesel Fraction'!$B21,1-'Biodiesel Fraction'!AC30,1)*(1-AC2)</f>
        <v>0.43851922623830869</v>
      </c>
    </row>
    <row r="6" spans="1:29">
      <c r="A6" t="s">
        <v>19</v>
      </c>
      <c r="B6">
        <v>0</v>
      </c>
      <c r="C6">
        <v>0</v>
      </c>
      <c r="D6">
        <v>0</v>
      </c>
      <c r="E6">
        <v>0</v>
      </c>
      <c r="F6">
        <v>0</v>
      </c>
      <c r="G6">
        <v>0</v>
      </c>
      <c r="H6">
        <v>0</v>
      </c>
      <c r="I6">
        <v>0</v>
      </c>
      <c r="J6">
        <v>0</v>
      </c>
      <c r="K6">
        <v>0</v>
      </c>
      <c r="L6">
        <v>0</v>
      </c>
      <c r="M6">
        <v>0</v>
      </c>
      <c r="N6">
        <v>0</v>
      </c>
      <c r="O6">
        <v>0</v>
      </c>
      <c r="P6">
        <v>0</v>
      </c>
      <c r="Q6">
        <v>0</v>
      </c>
      <c r="R6">
        <v>0</v>
      </c>
      <c r="S6">
        <v>0</v>
      </c>
      <c r="T6">
        <v>0</v>
      </c>
      <c r="U6">
        <v>0</v>
      </c>
      <c r="V6">
        <v>0</v>
      </c>
      <c r="W6">
        <v>0</v>
      </c>
      <c r="X6">
        <v>0</v>
      </c>
      <c r="Y6">
        <v>0</v>
      </c>
      <c r="Z6">
        <v>0</v>
      </c>
      <c r="AA6">
        <v>0</v>
      </c>
      <c r="AB6">
        <v>0</v>
      </c>
      <c r="AC6">
        <v>0</v>
      </c>
    </row>
    <row r="7" spans="1:29">
      <c r="A7" t="s">
        <v>21</v>
      </c>
      <c r="B7">
        <f>IF('Biodiesel Fraction'!$B21,'Biodiesel Fraction'!B30,0)*(1-B2)</f>
        <v>1.4597461042760985E-2</v>
      </c>
      <c r="C7">
        <f>IF('Biodiesel Fraction'!$B21,'Biodiesel Fraction'!C30,0)*(1-C2)</f>
        <v>1.7813625127151893E-2</v>
      </c>
      <c r="D7">
        <f>IF('Biodiesel Fraction'!$B21,'Biodiesel Fraction'!D30,0)*(1-D2)</f>
        <v>1.1820346065318021E-2</v>
      </c>
      <c r="E7">
        <f>IF('Biodiesel Fraction'!$B21,'Biodiesel Fraction'!E30,0)*(1-E2)</f>
        <v>1.422958937499611E-2</v>
      </c>
      <c r="F7">
        <f>IF('Biodiesel Fraction'!$B21,'Biodiesel Fraction'!F30,0)*(1-F2)</f>
        <v>1.3651306282889521E-2</v>
      </c>
      <c r="G7">
        <f>IF('Biodiesel Fraction'!$B21,'Biodiesel Fraction'!G30,0)*(1-G2)</f>
        <v>1.4103655409076203E-2</v>
      </c>
      <c r="H7">
        <f>IF('Biodiesel Fraction'!$B21,'Biodiesel Fraction'!H30,0)*(1-H2)</f>
        <v>1.443255905823557E-2</v>
      </c>
      <c r="I7">
        <f>IF('Biodiesel Fraction'!$B21,'Biodiesel Fraction'!I30,0)*(1-I2)</f>
        <v>1.2007605065975086E-2</v>
      </c>
      <c r="J7">
        <f>IF('Biodiesel Fraction'!$B21,'Biodiesel Fraction'!J30,0)*(1-J2)</f>
        <v>1.2649897114457782E-2</v>
      </c>
      <c r="K7">
        <f>IF('Biodiesel Fraction'!$B21,'Biodiesel Fraction'!K30,0)*(1-K2)</f>
        <v>1.2992599439440134E-2</v>
      </c>
      <c r="L7">
        <f>IF('Biodiesel Fraction'!$B21,'Biodiesel Fraction'!L30,0)*(1-L2)</f>
        <v>1.3710529472517453E-2</v>
      </c>
      <c r="M7">
        <f>IF('Biodiesel Fraction'!$B21,'Biodiesel Fraction'!M30,0)*(1-M2)</f>
        <v>1.4048032498693115E-2</v>
      </c>
      <c r="N7">
        <f>IF('Biodiesel Fraction'!$B21,'Biodiesel Fraction'!N30,0)*(1-N2)</f>
        <v>1.4343906694392764E-2</v>
      </c>
      <c r="O7">
        <f>IF('Biodiesel Fraction'!$B21,'Biodiesel Fraction'!O30,0)*(1-O2)</f>
        <v>1.3560482741227113E-2</v>
      </c>
      <c r="P7">
        <f>IF('Biodiesel Fraction'!$B21,'Biodiesel Fraction'!P30,0)*(1-P2)</f>
        <v>1.4278929658474679E-2</v>
      </c>
      <c r="Q7">
        <f>IF('Biodiesel Fraction'!$B21,'Biodiesel Fraction'!Q30,0)*(1-Q2)</f>
        <v>1.4222301500470493E-2</v>
      </c>
      <c r="R7">
        <f>IF('Biodiesel Fraction'!$B21,'Biodiesel Fraction'!R30,0)*(1-R2)</f>
        <v>1.4081984988624287E-2</v>
      </c>
      <c r="S7">
        <f>IF('Biodiesel Fraction'!$B21,'Biodiesel Fraction'!S30,0)*(1-S2)</f>
        <v>1.3923298513999359E-2</v>
      </c>
      <c r="T7">
        <f>IF('Biodiesel Fraction'!$B21,'Biodiesel Fraction'!T30,0)*(1-T2)</f>
        <v>1.3742278529557604E-2</v>
      </c>
      <c r="U7">
        <f>IF('Biodiesel Fraction'!$B21,'Biodiesel Fraction'!U30,0)*(1-U2)</f>
        <v>1.3556595370040945E-2</v>
      </c>
      <c r="V7">
        <f>IF('Biodiesel Fraction'!$B21,'Biodiesel Fraction'!V30,0)*(1-V2)</f>
        <v>1.3360280792935948E-2</v>
      </c>
      <c r="W7">
        <f>IF('Biodiesel Fraction'!$B21,'Biodiesel Fraction'!W30,0)*(1-W2)</f>
        <v>1.3144613480185325E-2</v>
      </c>
      <c r="X7">
        <f>IF('Biodiesel Fraction'!$B21,'Biodiesel Fraction'!X30,0)*(1-X2)</f>
        <v>1.2893350375704092E-2</v>
      </c>
      <c r="Y7">
        <f>IF('Biodiesel Fraction'!$B21,'Biodiesel Fraction'!Y30,0)*(1-Y2)</f>
        <v>1.2621789587057402E-2</v>
      </c>
      <c r="Z7">
        <f>IF('Biodiesel Fraction'!$B21,'Biodiesel Fraction'!Z30,0)*(1-Z2)</f>
        <v>1.2377546815652124E-2</v>
      </c>
      <c r="AA7">
        <f>IF('Biodiesel Fraction'!$B21,'Biodiesel Fraction'!AA30,0)*(1-AA2)</f>
        <v>1.2094155545426836E-2</v>
      </c>
      <c r="AB7">
        <f>IF('Biodiesel Fraction'!$B21,'Biodiesel Fraction'!AB30,0)*(1-AB2)</f>
        <v>1.1792794168286271E-2</v>
      </c>
      <c r="AC7">
        <f>IF('Biodiesel Fraction'!$B21,'Biodiesel Fraction'!AC30,0)*(1-AC2)</f>
        <v>1.1480773761691265E-2</v>
      </c>
    </row>
    <row r="8" spans="1:29">
      <c r="A8" t="s">
        <v>20</v>
      </c>
      <c r="B8">
        <v>0</v>
      </c>
      <c r="C8">
        <v>0</v>
      </c>
      <c r="D8">
        <v>0</v>
      </c>
      <c r="E8">
        <v>0</v>
      </c>
      <c r="F8">
        <v>0</v>
      </c>
      <c r="G8">
        <v>0</v>
      </c>
      <c r="H8">
        <v>0</v>
      </c>
      <c r="I8">
        <v>0</v>
      </c>
      <c r="J8">
        <v>0</v>
      </c>
      <c r="K8">
        <v>0</v>
      </c>
      <c r="L8">
        <v>0</v>
      </c>
      <c r="M8">
        <v>0</v>
      </c>
      <c r="N8">
        <v>0</v>
      </c>
      <c r="O8">
        <v>0</v>
      </c>
      <c r="P8">
        <v>0</v>
      </c>
      <c r="Q8">
        <v>0</v>
      </c>
      <c r="R8">
        <v>0</v>
      </c>
      <c r="S8">
        <v>0</v>
      </c>
      <c r="T8">
        <v>0</v>
      </c>
      <c r="U8">
        <v>0</v>
      </c>
      <c r="V8">
        <v>0</v>
      </c>
      <c r="W8">
        <v>0</v>
      </c>
      <c r="X8">
        <v>0</v>
      </c>
      <c r="Y8">
        <v>0</v>
      </c>
      <c r="Z8">
        <v>0</v>
      </c>
      <c r="AA8">
        <v>0</v>
      </c>
      <c r="AB8">
        <v>0</v>
      </c>
      <c r="AC8">
        <v>0</v>
      </c>
    </row>
    <row r="9" spans="1:29">
      <c r="A9" t="s">
        <v>82</v>
      </c>
      <c r="B9">
        <v>0</v>
      </c>
      <c r="C9">
        <v>0</v>
      </c>
      <c r="D9">
        <v>0</v>
      </c>
      <c r="E9">
        <v>0</v>
      </c>
      <c r="F9">
        <v>0</v>
      </c>
      <c r="G9">
        <v>0</v>
      </c>
      <c r="H9">
        <v>0</v>
      </c>
      <c r="I9">
        <v>0</v>
      </c>
      <c r="J9">
        <v>0</v>
      </c>
      <c r="K9">
        <v>0</v>
      </c>
      <c r="L9">
        <v>0</v>
      </c>
      <c r="M9">
        <v>0</v>
      </c>
      <c r="N9">
        <v>0</v>
      </c>
      <c r="O9">
        <v>0</v>
      </c>
      <c r="P9">
        <v>0</v>
      </c>
      <c r="Q9">
        <v>0</v>
      </c>
      <c r="R9">
        <v>0</v>
      </c>
      <c r="S9">
        <v>0</v>
      </c>
      <c r="T9">
        <v>0</v>
      </c>
      <c r="U9">
        <v>0</v>
      </c>
      <c r="V9">
        <v>0</v>
      </c>
      <c r="W9">
        <v>0</v>
      </c>
      <c r="X9">
        <v>0</v>
      </c>
      <c r="Y9">
        <v>0</v>
      </c>
      <c r="Z9">
        <v>0</v>
      </c>
      <c r="AA9">
        <v>0</v>
      </c>
      <c r="AB9">
        <v>0</v>
      </c>
      <c r="AC9">
        <v>0</v>
      </c>
    </row>
    <row r="10" spans="1:29">
      <c r="A10" t="s">
        <v>83</v>
      </c>
      <c r="B10">
        <v>0</v>
      </c>
      <c r="C10">
        <v>0</v>
      </c>
      <c r="D10">
        <v>0</v>
      </c>
      <c r="E10">
        <v>0</v>
      </c>
      <c r="F10">
        <v>0</v>
      </c>
      <c r="G10">
        <v>0</v>
      </c>
      <c r="H10">
        <v>0</v>
      </c>
      <c r="I10">
        <v>0</v>
      </c>
      <c r="J10">
        <v>0</v>
      </c>
      <c r="K10">
        <v>0</v>
      </c>
      <c r="L10">
        <v>0</v>
      </c>
      <c r="M10">
        <v>0</v>
      </c>
      <c r="N10">
        <v>0</v>
      </c>
      <c r="O10">
        <v>0</v>
      </c>
      <c r="P10">
        <v>0</v>
      </c>
      <c r="Q10">
        <v>0</v>
      </c>
      <c r="R10">
        <v>0</v>
      </c>
      <c r="S10">
        <v>0</v>
      </c>
      <c r="T10">
        <v>0</v>
      </c>
      <c r="U10">
        <v>0</v>
      </c>
      <c r="V10">
        <v>0</v>
      </c>
      <c r="W10">
        <v>0</v>
      </c>
      <c r="X10">
        <v>0</v>
      </c>
      <c r="Y10">
        <v>0</v>
      </c>
      <c r="Z10">
        <v>0</v>
      </c>
      <c r="AA10">
        <v>0</v>
      </c>
      <c r="AB10">
        <v>0</v>
      </c>
      <c r="AC10">
        <v>0</v>
      </c>
    </row>
    <row r="11" spans="1:29">
      <c r="A11" t="s">
        <v>84</v>
      </c>
      <c r="B11">
        <v>0</v>
      </c>
      <c r="C11">
        <v>0</v>
      </c>
      <c r="D11">
        <v>0</v>
      </c>
      <c r="E11">
        <v>0</v>
      </c>
      <c r="F11">
        <v>0</v>
      </c>
      <c r="G11">
        <v>0</v>
      </c>
      <c r="H11">
        <v>0</v>
      </c>
      <c r="I11">
        <v>0</v>
      </c>
      <c r="J11">
        <v>0</v>
      </c>
      <c r="K11">
        <v>0</v>
      </c>
      <c r="L11">
        <v>0</v>
      </c>
      <c r="M11">
        <v>0</v>
      </c>
      <c r="N11">
        <v>0</v>
      </c>
      <c r="O11">
        <v>0</v>
      </c>
      <c r="P11">
        <v>0</v>
      </c>
      <c r="Q11">
        <v>0</v>
      </c>
      <c r="R11">
        <v>0</v>
      </c>
      <c r="S11">
        <v>0</v>
      </c>
      <c r="T11">
        <v>0</v>
      </c>
      <c r="U11">
        <v>0</v>
      </c>
      <c r="V11">
        <v>0</v>
      </c>
      <c r="W11">
        <v>0</v>
      </c>
      <c r="X11">
        <v>0</v>
      </c>
      <c r="Y11">
        <v>0</v>
      </c>
      <c r="Z11">
        <v>0</v>
      </c>
      <c r="AA11">
        <v>0</v>
      </c>
      <c r="AB11">
        <v>0</v>
      </c>
      <c r="AC11">
        <v>0</v>
      </c>
    </row>
  </sheetData>
  <pageMargins left="0.7" right="0.7" top="0.75" bottom="0.75" header="0.3" footer="0.3"/>
</worksheet>
</file>

<file path=xl/worksheets/sheet4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300-000000000000}">
  <sheetPr>
    <tabColor theme="3"/>
  </sheetPr>
  <dimension ref="A1:AI11"/>
  <sheetViews>
    <sheetView workbookViewId="0">
      <selection activeCell="B1" sqref="B1:AE1"/>
    </sheetView>
  </sheetViews>
  <sheetFormatPr defaultRowHeight="14.25"/>
  <cols>
    <col min="1" max="1" width="22.53125" customWidth="1"/>
  </cols>
  <sheetData>
    <row r="1" spans="1:35" ht="28.5">
      <c r="A1" s="10" t="s">
        <v>85</v>
      </c>
      <c r="B1">
        <v>2021</v>
      </c>
      <c r="C1">
        <v>2022</v>
      </c>
      <c r="D1">
        <v>2023</v>
      </c>
      <c r="E1">
        <v>2024</v>
      </c>
      <c r="F1">
        <v>2025</v>
      </c>
      <c r="G1">
        <v>2026</v>
      </c>
      <c r="H1">
        <v>2027</v>
      </c>
      <c r="I1">
        <v>2028</v>
      </c>
      <c r="J1">
        <v>2029</v>
      </c>
      <c r="K1">
        <v>2030</v>
      </c>
      <c r="L1">
        <v>2031</v>
      </c>
      <c r="M1">
        <v>2032</v>
      </c>
      <c r="N1">
        <v>2033</v>
      </c>
      <c r="O1">
        <v>2034</v>
      </c>
      <c r="P1">
        <v>2035</v>
      </c>
      <c r="Q1">
        <v>2036</v>
      </c>
      <c r="R1">
        <v>2037</v>
      </c>
      <c r="S1">
        <v>2038</v>
      </c>
      <c r="T1">
        <v>2039</v>
      </c>
      <c r="U1">
        <v>2040</v>
      </c>
      <c r="V1">
        <v>2041</v>
      </c>
      <c r="W1">
        <v>2042</v>
      </c>
      <c r="X1">
        <v>2043</v>
      </c>
      <c r="Y1">
        <v>2044</v>
      </c>
      <c r="Z1">
        <v>2045</v>
      </c>
      <c r="AA1">
        <v>2046</v>
      </c>
      <c r="AB1">
        <v>2047</v>
      </c>
      <c r="AC1">
        <v>2048</v>
      </c>
      <c r="AD1">
        <v>2049</v>
      </c>
      <c r="AE1">
        <v>2050</v>
      </c>
    </row>
    <row r="2" spans="1:35">
      <c r="A2" t="s">
        <v>15</v>
      </c>
      <c r="B2">
        <v>0</v>
      </c>
      <c r="C2">
        <v>0</v>
      </c>
      <c r="D2">
        <v>0</v>
      </c>
      <c r="E2">
        <v>0</v>
      </c>
      <c r="F2">
        <v>0</v>
      </c>
      <c r="G2">
        <v>0</v>
      </c>
      <c r="H2">
        <v>0</v>
      </c>
      <c r="I2">
        <v>0</v>
      </c>
      <c r="J2">
        <v>0</v>
      </c>
      <c r="K2">
        <v>0</v>
      </c>
      <c r="L2">
        <v>0</v>
      </c>
      <c r="M2">
        <v>0</v>
      </c>
      <c r="N2">
        <v>0</v>
      </c>
      <c r="O2">
        <v>0</v>
      </c>
      <c r="P2">
        <v>0</v>
      </c>
      <c r="Q2">
        <v>0</v>
      </c>
      <c r="R2">
        <v>0</v>
      </c>
      <c r="S2">
        <v>0</v>
      </c>
      <c r="T2">
        <v>0</v>
      </c>
      <c r="U2">
        <v>0</v>
      </c>
      <c r="V2">
        <v>0</v>
      </c>
      <c r="W2">
        <v>0</v>
      </c>
      <c r="X2">
        <v>0</v>
      </c>
      <c r="Y2">
        <v>0</v>
      </c>
      <c r="Z2">
        <v>0</v>
      </c>
      <c r="AA2">
        <v>0</v>
      </c>
      <c r="AB2">
        <v>0</v>
      </c>
      <c r="AC2">
        <v>0</v>
      </c>
      <c r="AD2">
        <v>0</v>
      </c>
      <c r="AE2">
        <v>0</v>
      </c>
    </row>
    <row r="3" spans="1:35">
      <c r="A3" t="s">
        <v>16</v>
      </c>
      <c r="B3">
        <v>0</v>
      </c>
      <c r="C3">
        <v>0</v>
      </c>
      <c r="D3">
        <v>0</v>
      </c>
      <c r="E3">
        <v>0</v>
      </c>
      <c r="F3">
        <v>0</v>
      </c>
      <c r="G3">
        <v>0</v>
      </c>
      <c r="H3">
        <v>0</v>
      </c>
      <c r="I3">
        <v>0</v>
      </c>
      <c r="J3">
        <v>0</v>
      </c>
      <c r="K3">
        <v>0</v>
      </c>
      <c r="L3">
        <v>0</v>
      </c>
      <c r="M3">
        <v>0</v>
      </c>
      <c r="N3">
        <v>0</v>
      </c>
      <c r="O3">
        <v>0</v>
      </c>
      <c r="P3">
        <v>0</v>
      </c>
      <c r="Q3">
        <v>0</v>
      </c>
      <c r="R3">
        <v>0</v>
      </c>
      <c r="S3">
        <v>0</v>
      </c>
      <c r="T3">
        <v>0</v>
      </c>
      <c r="U3">
        <v>0</v>
      </c>
      <c r="V3">
        <v>0</v>
      </c>
      <c r="W3">
        <v>0</v>
      </c>
      <c r="X3">
        <v>0</v>
      </c>
      <c r="Y3">
        <v>0</v>
      </c>
      <c r="Z3">
        <v>0</v>
      </c>
      <c r="AA3">
        <v>0</v>
      </c>
      <c r="AB3">
        <v>0</v>
      </c>
      <c r="AC3">
        <v>0</v>
      </c>
      <c r="AD3">
        <v>0</v>
      </c>
      <c r="AE3">
        <v>0</v>
      </c>
    </row>
    <row r="4" spans="1:35">
      <c r="A4" t="s">
        <v>17</v>
      </c>
      <c r="B4">
        <v>0</v>
      </c>
      <c r="C4">
        <v>0</v>
      </c>
      <c r="D4">
        <v>0</v>
      </c>
      <c r="E4">
        <v>0</v>
      </c>
      <c r="F4">
        <v>0</v>
      </c>
      <c r="G4">
        <v>0</v>
      </c>
      <c r="H4">
        <v>0</v>
      </c>
      <c r="I4">
        <v>0</v>
      </c>
      <c r="J4">
        <v>0</v>
      </c>
      <c r="K4">
        <v>0</v>
      </c>
      <c r="L4">
        <v>0</v>
      </c>
      <c r="M4">
        <v>0</v>
      </c>
      <c r="N4">
        <v>0</v>
      </c>
      <c r="O4">
        <v>0</v>
      </c>
      <c r="P4">
        <v>0</v>
      </c>
      <c r="Q4">
        <v>0</v>
      </c>
      <c r="R4">
        <v>0</v>
      </c>
      <c r="S4">
        <v>0</v>
      </c>
      <c r="T4">
        <v>0</v>
      </c>
      <c r="U4">
        <v>0</v>
      </c>
      <c r="V4">
        <v>0</v>
      </c>
      <c r="W4">
        <v>0</v>
      </c>
      <c r="X4">
        <v>0</v>
      </c>
      <c r="Y4">
        <v>0</v>
      </c>
      <c r="Z4">
        <v>0</v>
      </c>
      <c r="AA4">
        <v>0</v>
      </c>
      <c r="AB4">
        <v>0</v>
      </c>
      <c r="AC4">
        <v>0</v>
      </c>
      <c r="AD4">
        <v>0</v>
      </c>
      <c r="AE4">
        <v>0</v>
      </c>
      <c r="AI4" s="2"/>
    </row>
    <row r="5" spans="1:35">
      <c r="A5" t="s">
        <v>18</v>
      </c>
      <c r="B5">
        <v>0</v>
      </c>
      <c r="C5">
        <v>0</v>
      </c>
      <c r="D5">
        <v>0</v>
      </c>
      <c r="E5">
        <v>0</v>
      </c>
      <c r="F5">
        <v>0</v>
      </c>
      <c r="G5">
        <v>0</v>
      </c>
      <c r="H5">
        <v>0</v>
      </c>
      <c r="I5">
        <v>0</v>
      </c>
      <c r="J5">
        <v>0</v>
      </c>
      <c r="K5">
        <v>0</v>
      </c>
      <c r="L5">
        <v>0</v>
      </c>
      <c r="M5">
        <v>0</v>
      </c>
      <c r="N5">
        <v>0</v>
      </c>
      <c r="O5">
        <v>0</v>
      </c>
      <c r="P5">
        <v>0</v>
      </c>
      <c r="Q5">
        <v>0</v>
      </c>
      <c r="R5">
        <v>0</v>
      </c>
      <c r="S5">
        <v>0</v>
      </c>
      <c r="T5">
        <v>0</v>
      </c>
      <c r="U5">
        <v>0</v>
      </c>
      <c r="V5">
        <v>0</v>
      </c>
      <c r="W5">
        <v>0</v>
      </c>
      <c r="X5">
        <v>0</v>
      </c>
      <c r="Y5">
        <v>0</v>
      </c>
      <c r="Z5">
        <v>0</v>
      </c>
      <c r="AA5">
        <v>0</v>
      </c>
      <c r="AB5">
        <v>0</v>
      </c>
      <c r="AC5">
        <v>0</v>
      </c>
      <c r="AD5">
        <v>0</v>
      </c>
      <c r="AE5">
        <v>0</v>
      </c>
    </row>
    <row r="6" spans="1:35">
      <c r="A6" t="s">
        <v>19</v>
      </c>
      <c r="B6">
        <v>0</v>
      </c>
      <c r="C6">
        <v>0</v>
      </c>
      <c r="D6">
        <v>0</v>
      </c>
      <c r="E6">
        <v>0</v>
      </c>
      <c r="F6">
        <v>0</v>
      </c>
      <c r="G6">
        <v>0</v>
      </c>
      <c r="H6">
        <v>0</v>
      </c>
      <c r="I6">
        <v>0</v>
      </c>
      <c r="J6">
        <v>0</v>
      </c>
      <c r="K6">
        <v>0</v>
      </c>
      <c r="L6">
        <v>0</v>
      </c>
      <c r="M6">
        <v>0</v>
      </c>
      <c r="N6">
        <v>0</v>
      </c>
      <c r="O6">
        <v>0</v>
      </c>
      <c r="P6">
        <v>0</v>
      </c>
      <c r="Q6">
        <v>0</v>
      </c>
      <c r="R6">
        <v>0</v>
      </c>
      <c r="S6">
        <v>0</v>
      </c>
      <c r="T6">
        <v>0</v>
      </c>
      <c r="U6">
        <v>0</v>
      </c>
      <c r="V6">
        <v>0</v>
      </c>
      <c r="W6">
        <v>0</v>
      </c>
      <c r="X6">
        <v>0</v>
      </c>
      <c r="Y6">
        <v>0</v>
      </c>
      <c r="Z6">
        <v>0</v>
      </c>
      <c r="AA6">
        <v>0</v>
      </c>
      <c r="AB6">
        <v>0</v>
      </c>
      <c r="AC6">
        <v>0</v>
      </c>
      <c r="AD6">
        <v>0</v>
      </c>
      <c r="AE6">
        <v>0</v>
      </c>
      <c r="AI6" s="2"/>
    </row>
    <row r="7" spans="1:35">
      <c r="A7" t="s">
        <v>21</v>
      </c>
      <c r="B7">
        <v>0</v>
      </c>
      <c r="C7">
        <v>0</v>
      </c>
      <c r="D7">
        <v>0</v>
      </c>
      <c r="E7">
        <v>0</v>
      </c>
      <c r="F7">
        <v>0</v>
      </c>
      <c r="G7">
        <v>0</v>
      </c>
      <c r="H7">
        <v>0</v>
      </c>
      <c r="I7">
        <v>0</v>
      </c>
      <c r="J7">
        <v>0</v>
      </c>
      <c r="K7">
        <v>0</v>
      </c>
      <c r="L7">
        <v>0</v>
      </c>
      <c r="M7">
        <v>0</v>
      </c>
      <c r="N7">
        <v>0</v>
      </c>
      <c r="O7">
        <v>0</v>
      </c>
      <c r="P7">
        <v>0</v>
      </c>
      <c r="Q7">
        <v>0</v>
      </c>
      <c r="R7">
        <v>0</v>
      </c>
      <c r="S7">
        <v>0</v>
      </c>
      <c r="T7">
        <v>0</v>
      </c>
      <c r="U7">
        <v>0</v>
      </c>
      <c r="V7">
        <v>0</v>
      </c>
      <c r="W7">
        <v>0</v>
      </c>
      <c r="X7">
        <v>0</v>
      </c>
      <c r="Y7">
        <v>0</v>
      </c>
      <c r="Z7">
        <v>0</v>
      </c>
      <c r="AA7">
        <v>0</v>
      </c>
      <c r="AB7">
        <v>0</v>
      </c>
      <c r="AC7">
        <v>0</v>
      </c>
      <c r="AD7">
        <v>0</v>
      </c>
      <c r="AE7">
        <v>0</v>
      </c>
    </row>
    <row r="8" spans="1:35">
      <c r="A8" t="s">
        <v>20</v>
      </c>
      <c r="B8">
        <v>0</v>
      </c>
      <c r="C8">
        <v>0</v>
      </c>
      <c r="D8">
        <v>0</v>
      </c>
      <c r="E8">
        <v>0</v>
      </c>
      <c r="F8">
        <v>0</v>
      </c>
      <c r="G8">
        <v>0</v>
      </c>
      <c r="H8">
        <v>0</v>
      </c>
      <c r="I8">
        <v>0</v>
      </c>
      <c r="J8">
        <v>0</v>
      </c>
      <c r="K8">
        <v>0</v>
      </c>
      <c r="L8">
        <v>0</v>
      </c>
      <c r="M8">
        <v>0</v>
      </c>
      <c r="N8">
        <v>0</v>
      </c>
      <c r="O8">
        <v>0</v>
      </c>
      <c r="P8">
        <v>0</v>
      </c>
      <c r="Q8">
        <v>0</v>
      </c>
      <c r="R8">
        <v>0</v>
      </c>
      <c r="S8">
        <v>0</v>
      </c>
      <c r="T8">
        <v>0</v>
      </c>
      <c r="U8">
        <v>0</v>
      </c>
      <c r="V8">
        <v>0</v>
      </c>
      <c r="W8">
        <v>0</v>
      </c>
      <c r="X8">
        <v>0</v>
      </c>
      <c r="Y8">
        <v>0</v>
      </c>
      <c r="Z8">
        <v>0</v>
      </c>
      <c r="AA8">
        <v>0</v>
      </c>
      <c r="AB8">
        <v>0</v>
      </c>
      <c r="AC8">
        <v>0</v>
      </c>
      <c r="AD8">
        <v>0</v>
      </c>
      <c r="AE8">
        <v>0</v>
      </c>
    </row>
    <row r="9" spans="1:35">
      <c r="A9" t="s">
        <v>82</v>
      </c>
      <c r="B9">
        <v>0</v>
      </c>
      <c r="C9">
        <v>0</v>
      </c>
      <c r="D9">
        <v>0</v>
      </c>
      <c r="E9">
        <v>0</v>
      </c>
      <c r="F9">
        <v>0</v>
      </c>
      <c r="G9">
        <v>0</v>
      </c>
      <c r="H9">
        <v>0</v>
      </c>
      <c r="I9">
        <v>0</v>
      </c>
      <c r="J9">
        <v>0</v>
      </c>
      <c r="K9">
        <v>0</v>
      </c>
      <c r="L9">
        <v>0</v>
      </c>
      <c r="M9">
        <v>0</v>
      </c>
      <c r="N9">
        <v>0</v>
      </c>
      <c r="O9">
        <v>0</v>
      </c>
      <c r="P9">
        <v>0</v>
      </c>
      <c r="Q9">
        <v>0</v>
      </c>
      <c r="R9">
        <v>0</v>
      </c>
      <c r="S9">
        <v>0</v>
      </c>
      <c r="T9">
        <v>0</v>
      </c>
      <c r="U9">
        <v>0</v>
      </c>
      <c r="V9">
        <v>0</v>
      </c>
      <c r="W9">
        <v>0</v>
      </c>
      <c r="X9">
        <v>0</v>
      </c>
      <c r="Y9">
        <v>0</v>
      </c>
      <c r="Z9">
        <v>0</v>
      </c>
      <c r="AA9">
        <v>0</v>
      </c>
      <c r="AB9">
        <v>0</v>
      </c>
      <c r="AC9">
        <v>0</v>
      </c>
      <c r="AD9">
        <v>0</v>
      </c>
      <c r="AE9">
        <v>0</v>
      </c>
    </row>
    <row r="10" spans="1:35">
      <c r="A10" t="s">
        <v>83</v>
      </c>
      <c r="B10">
        <v>1</v>
      </c>
      <c r="C10">
        <v>1</v>
      </c>
      <c r="D10">
        <v>1</v>
      </c>
      <c r="E10">
        <v>1</v>
      </c>
      <c r="F10">
        <v>1</v>
      </c>
      <c r="G10">
        <v>1</v>
      </c>
      <c r="H10">
        <v>1</v>
      </c>
      <c r="I10">
        <v>1</v>
      </c>
      <c r="J10">
        <v>1</v>
      </c>
      <c r="K10">
        <v>1</v>
      </c>
      <c r="L10">
        <v>1</v>
      </c>
      <c r="M10">
        <v>1</v>
      </c>
      <c r="N10">
        <v>1</v>
      </c>
      <c r="O10">
        <v>1</v>
      </c>
      <c r="P10">
        <v>1</v>
      </c>
      <c r="Q10">
        <v>1</v>
      </c>
      <c r="R10">
        <v>1</v>
      </c>
      <c r="S10">
        <v>1</v>
      </c>
      <c r="T10">
        <v>1</v>
      </c>
      <c r="U10">
        <v>1</v>
      </c>
      <c r="V10">
        <v>1</v>
      </c>
      <c r="W10">
        <v>1</v>
      </c>
      <c r="X10">
        <v>1</v>
      </c>
      <c r="Y10">
        <v>1</v>
      </c>
      <c r="Z10">
        <v>1</v>
      </c>
      <c r="AA10">
        <v>1</v>
      </c>
      <c r="AB10">
        <v>1</v>
      </c>
      <c r="AC10">
        <v>1</v>
      </c>
      <c r="AD10">
        <v>1</v>
      </c>
      <c r="AE10">
        <v>1</v>
      </c>
    </row>
    <row r="11" spans="1:35">
      <c r="A11" t="s">
        <v>84</v>
      </c>
      <c r="B11">
        <v>0</v>
      </c>
      <c r="C11">
        <v>0</v>
      </c>
      <c r="D11">
        <v>0</v>
      </c>
      <c r="E11">
        <v>0</v>
      </c>
      <c r="F11">
        <v>0</v>
      </c>
      <c r="G11">
        <v>0</v>
      </c>
      <c r="H11">
        <v>0</v>
      </c>
      <c r="I11">
        <v>0</v>
      </c>
      <c r="J11">
        <v>0</v>
      </c>
      <c r="K11">
        <v>0</v>
      </c>
      <c r="L11">
        <v>0</v>
      </c>
      <c r="M11">
        <v>0</v>
      </c>
      <c r="N11">
        <v>0</v>
      </c>
      <c r="O11">
        <v>0</v>
      </c>
      <c r="P11">
        <v>0</v>
      </c>
      <c r="Q11">
        <v>0</v>
      </c>
      <c r="R11">
        <v>0</v>
      </c>
      <c r="S11">
        <v>0</v>
      </c>
      <c r="T11">
        <v>0</v>
      </c>
      <c r="U11">
        <v>0</v>
      </c>
      <c r="V11">
        <v>0</v>
      </c>
      <c r="W11">
        <v>0</v>
      </c>
      <c r="X11">
        <v>0</v>
      </c>
      <c r="Y11">
        <v>0</v>
      </c>
      <c r="Z11">
        <v>0</v>
      </c>
      <c r="AA11">
        <v>0</v>
      </c>
      <c r="AB11">
        <v>0</v>
      </c>
      <c r="AC11">
        <v>0</v>
      </c>
      <c r="AD11">
        <v>0</v>
      </c>
      <c r="AE11">
        <v>0</v>
      </c>
    </row>
  </sheetData>
  <pageMargins left="0.7" right="0.7" top="0.75" bottom="0.75" header="0.3" footer="0.3"/>
</worksheet>
</file>

<file path=xl/worksheets/sheet4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400-000000000000}">
  <sheetPr>
    <tabColor theme="3"/>
  </sheetPr>
  <dimension ref="A1:AI11"/>
  <sheetViews>
    <sheetView workbookViewId="0">
      <selection activeCell="B1" sqref="B1:AE1"/>
    </sheetView>
  </sheetViews>
  <sheetFormatPr defaultRowHeight="14.25"/>
  <cols>
    <col min="1" max="1" width="22.53125" customWidth="1"/>
  </cols>
  <sheetData>
    <row r="1" spans="1:35" ht="28.5">
      <c r="A1" s="10" t="s">
        <v>85</v>
      </c>
      <c r="B1">
        <v>2021</v>
      </c>
      <c r="C1">
        <v>2022</v>
      </c>
      <c r="D1">
        <v>2023</v>
      </c>
      <c r="E1">
        <v>2024</v>
      </c>
      <c r="F1">
        <v>2025</v>
      </c>
      <c r="G1">
        <v>2026</v>
      </c>
      <c r="H1">
        <v>2027</v>
      </c>
      <c r="I1">
        <v>2028</v>
      </c>
      <c r="J1">
        <v>2029</v>
      </c>
      <c r="K1">
        <v>2030</v>
      </c>
      <c r="L1">
        <v>2031</v>
      </c>
      <c r="M1">
        <v>2032</v>
      </c>
      <c r="N1">
        <v>2033</v>
      </c>
      <c r="O1">
        <v>2034</v>
      </c>
      <c r="P1">
        <v>2035</v>
      </c>
      <c r="Q1">
        <v>2036</v>
      </c>
      <c r="R1">
        <v>2037</v>
      </c>
      <c r="S1">
        <v>2038</v>
      </c>
      <c r="T1">
        <v>2039</v>
      </c>
      <c r="U1">
        <v>2040</v>
      </c>
      <c r="V1">
        <v>2041</v>
      </c>
      <c r="W1">
        <v>2042</v>
      </c>
      <c r="X1">
        <v>2043</v>
      </c>
      <c r="Y1">
        <v>2044</v>
      </c>
      <c r="Z1">
        <v>2045</v>
      </c>
      <c r="AA1">
        <v>2046</v>
      </c>
      <c r="AB1">
        <v>2047</v>
      </c>
      <c r="AC1">
        <v>2048</v>
      </c>
      <c r="AD1">
        <v>2049</v>
      </c>
      <c r="AE1">
        <v>2050</v>
      </c>
    </row>
    <row r="2" spans="1:35">
      <c r="A2" t="s">
        <v>15</v>
      </c>
      <c r="B2">
        <v>0</v>
      </c>
      <c r="C2">
        <v>0</v>
      </c>
      <c r="D2">
        <v>0</v>
      </c>
      <c r="E2">
        <v>0</v>
      </c>
      <c r="F2">
        <v>0</v>
      </c>
      <c r="G2">
        <v>0</v>
      </c>
      <c r="H2">
        <v>0</v>
      </c>
      <c r="I2">
        <v>0</v>
      </c>
      <c r="J2">
        <v>0</v>
      </c>
      <c r="K2">
        <v>0</v>
      </c>
      <c r="L2">
        <v>0</v>
      </c>
      <c r="M2">
        <v>0</v>
      </c>
      <c r="N2">
        <v>0</v>
      </c>
      <c r="O2">
        <v>0</v>
      </c>
      <c r="P2">
        <v>0</v>
      </c>
      <c r="Q2">
        <v>0</v>
      </c>
      <c r="R2">
        <v>0</v>
      </c>
      <c r="S2">
        <v>0</v>
      </c>
      <c r="T2">
        <v>0</v>
      </c>
      <c r="U2">
        <v>0</v>
      </c>
      <c r="V2">
        <v>0</v>
      </c>
      <c r="W2">
        <v>0</v>
      </c>
      <c r="X2">
        <v>0</v>
      </c>
      <c r="Y2">
        <v>0</v>
      </c>
      <c r="Z2">
        <v>0</v>
      </c>
      <c r="AA2">
        <v>0</v>
      </c>
      <c r="AB2">
        <v>0</v>
      </c>
      <c r="AC2">
        <v>0</v>
      </c>
      <c r="AD2">
        <v>0</v>
      </c>
      <c r="AE2">
        <v>0</v>
      </c>
    </row>
    <row r="3" spans="1:35">
      <c r="A3" t="s">
        <v>16</v>
      </c>
      <c r="B3">
        <v>0</v>
      </c>
      <c r="C3">
        <v>0</v>
      </c>
      <c r="D3">
        <v>0</v>
      </c>
      <c r="E3">
        <v>0</v>
      </c>
      <c r="F3">
        <v>0</v>
      </c>
      <c r="G3">
        <v>0</v>
      </c>
      <c r="H3">
        <v>0</v>
      </c>
      <c r="I3">
        <v>0</v>
      </c>
      <c r="J3">
        <v>0</v>
      </c>
      <c r="K3">
        <v>0</v>
      </c>
      <c r="L3">
        <v>0</v>
      </c>
      <c r="M3">
        <v>0</v>
      </c>
      <c r="N3">
        <v>0</v>
      </c>
      <c r="O3">
        <v>0</v>
      </c>
      <c r="P3">
        <v>0</v>
      </c>
      <c r="Q3">
        <v>0</v>
      </c>
      <c r="R3">
        <v>0</v>
      </c>
      <c r="S3">
        <v>0</v>
      </c>
      <c r="T3">
        <v>0</v>
      </c>
      <c r="U3">
        <v>0</v>
      </c>
      <c r="V3">
        <v>0</v>
      </c>
      <c r="W3">
        <v>0</v>
      </c>
      <c r="X3">
        <v>0</v>
      </c>
      <c r="Y3">
        <v>0</v>
      </c>
      <c r="Z3">
        <v>0</v>
      </c>
      <c r="AA3">
        <v>0</v>
      </c>
      <c r="AB3">
        <v>0</v>
      </c>
      <c r="AC3">
        <v>0</v>
      </c>
      <c r="AD3">
        <v>0</v>
      </c>
      <c r="AE3">
        <v>0</v>
      </c>
    </row>
    <row r="4" spans="1:35">
      <c r="A4" t="s">
        <v>17</v>
      </c>
      <c r="B4">
        <v>0</v>
      </c>
      <c r="C4">
        <v>0</v>
      </c>
      <c r="D4">
        <v>0</v>
      </c>
      <c r="E4">
        <v>0</v>
      </c>
      <c r="F4">
        <v>0</v>
      </c>
      <c r="G4">
        <v>0</v>
      </c>
      <c r="H4">
        <v>0</v>
      </c>
      <c r="I4">
        <v>0</v>
      </c>
      <c r="J4">
        <v>0</v>
      </c>
      <c r="K4">
        <v>0</v>
      </c>
      <c r="L4">
        <v>0</v>
      </c>
      <c r="M4">
        <v>0</v>
      </c>
      <c r="N4">
        <v>0</v>
      </c>
      <c r="O4">
        <v>0</v>
      </c>
      <c r="P4">
        <v>0</v>
      </c>
      <c r="Q4">
        <v>0</v>
      </c>
      <c r="R4">
        <v>0</v>
      </c>
      <c r="S4">
        <v>0</v>
      </c>
      <c r="T4">
        <v>0</v>
      </c>
      <c r="U4">
        <v>0</v>
      </c>
      <c r="V4">
        <v>0</v>
      </c>
      <c r="W4">
        <v>0</v>
      </c>
      <c r="X4">
        <v>0</v>
      </c>
      <c r="Y4">
        <v>0</v>
      </c>
      <c r="Z4">
        <v>0</v>
      </c>
      <c r="AA4">
        <v>0</v>
      </c>
      <c r="AB4">
        <v>0</v>
      </c>
      <c r="AC4">
        <v>0</v>
      </c>
      <c r="AD4">
        <v>0</v>
      </c>
      <c r="AE4">
        <v>0</v>
      </c>
      <c r="AI4" s="2"/>
    </row>
    <row r="5" spans="1:35">
      <c r="A5" t="s">
        <v>18</v>
      </c>
      <c r="B5">
        <v>0</v>
      </c>
      <c r="C5">
        <v>0</v>
      </c>
      <c r="D5">
        <v>0</v>
      </c>
      <c r="E5">
        <v>0</v>
      </c>
      <c r="F5">
        <v>0</v>
      </c>
      <c r="G5">
        <v>0</v>
      </c>
      <c r="H5">
        <v>0</v>
      </c>
      <c r="I5">
        <v>0</v>
      </c>
      <c r="J5">
        <v>0</v>
      </c>
      <c r="K5">
        <v>0</v>
      </c>
      <c r="L5">
        <v>0</v>
      </c>
      <c r="M5">
        <v>0</v>
      </c>
      <c r="N5">
        <v>0</v>
      </c>
      <c r="O5">
        <v>0</v>
      </c>
      <c r="P5">
        <v>0</v>
      </c>
      <c r="Q5">
        <v>0</v>
      </c>
      <c r="R5">
        <v>0</v>
      </c>
      <c r="S5">
        <v>0</v>
      </c>
      <c r="T5">
        <v>0</v>
      </c>
      <c r="U5">
        <v>0</v>
      </c>
      <c r="V5">
        <v>0</v>
      </c>
      <c r="W5">
        <v>0</v>
      </c>
      <c r="X5">
        <v>0</v>
      </c>
      <c r="Y5">
        <v>0</v>
      </c>
      <c r="Z5">
        <v>0</v>
      </c>
      <c r="AA5">
        <v>0</v>
      </c>
      <c r="AB5">
        <v>0</v>
      </c>
      <c r="AC5">
        <v>0</v>
      </c>
      <c r="AD5">
        <v>0</v>
      </c>
      <c r="AE5">
        <v>0</v>
      </c>
    </row>
    <row r="6" spans="1:35">
      <c r="A6" t="s">
        <v>19</v>
      </c>
      <c r="B6">
        <v>0</v>
      </c>
      <c r="C6">
        <v>0</v>
      </c>
      <c r="D6">
        <v>0</v>
      </c>
      <c r="E6">
        <v>0</v>
      </c>
      <c r="F6">
        <v>0</v>
      </c>
      <c r="G6">
        <v>0</v>
      </c>
      <c r="H6">
        <v>0</v>
      </c>
      <c r="I6">
        <v>0</v>
      </c>
      <c r="J6">
        <v>0</v>
      </c>
      <c r="K6">
        <v>0</v>
      </c>
      <c r="L6">
        <v>0</v>
      </c>
      <c r="M6">
        <v>0</v>
      </c>
      <c r="N6">
        <v>0</v>
      </c>
      <c r="O6">
        <v>0</v>
      </c>
      <c r="P6">
        <v>0</v>
      </c>
      <c r="Q6">
        <v>0</v>
      </c>
      <c r="R6">
        <v>0</v>
      </c>
      <c r="S6">
        <v>0</v>
      </c>
      <c r="T6">
        <v>0</v>
      </c>
      <c r="U6">
        <v>0</v>
      </c>
      <c r="V6">
        <v>0</v>
      </c>
      <c r="W6">
        <v>0</v>
      </c>
      <c r="X6">
        <v>0</v>
      </c>
      <c r="Y6">
        <v>0</v>
      </c>
      <c r="Z6">
        <v>0</v>
      </c>
      <c r="AA6">
        <v>0</v>
      </c>
      <c r="AB6">
        <v>0</v>
      </c>
      <c r="AC6">
        <v>0</v>
      </c>
      <c r="AD6">
        <v>0</v>
      </c>
      <c r="AE6">
        <v>0</v>
      </c>
      <c r="AI6" s="2"/>
    </row>
    <row r="7" spans="1:35">
      <c r="A7" t="s">
        <v>21</v>
      </c>
      <c r="B7">
        <v>0</v>
      </c>
      <c r="C7">
        <v>0</v>
      </c>
      <c r="D7">
        <v>0</v>
      </c>
      <c r="E7">
        <v>0</v>
      </c>
      <c r="F7">
        <v>0</v>
      </c>
      <c r="G7">
        <v>0</v>
      </c>
      <c r="H7">
        <v>0</v>
      </c>
      <c r="I7">
        <v>0</v>
      </c>
      <c r="J7">
        <v>0</v>
      </c>
      <c r="K7">
        <v>0</v>
      </c>
      <c r="L7">
        <v>0</v>
      </c>
      <c r="M7">
        <v>0</v>
      </c>
      <c r="N7">
        <v>0</v>
      </c>
      <c r="O7">
        <v>0</v>
      </c>
      <c r="P7">
        <v>0</v>
      </c>
      <c r="Q7">
        <v>0</v>
      </c>
      <c r="R7">
        <v>0</v>
      </c>
      <c r="S7">
        <v>0</v>
      </c>
      <c r="T7">
        <v>0</v>
      </c>
      <c r="U7">
        <v>0</v>
      </c>
      <c r="V7">
        <v>0</v>
      </c>
      <c r="W7">
        <v>0</v>
      </c>
      <c r="X7">
        <v>0</v>
      </c>
      <c r="Y7">
        <v>0</v>
      </c>
      <c r="Z7">
        <v>0</v>
      </c>
      <c r="AA7">
        <v>0</v>
      </c>
      <c r="AB7">
        <v>0</v>
      </c>
      <c r="AC7">
        <v>0</v>
      </c>
      <c r="AD7">
        <v>0</v>
      </c>
      <c r="AE7">
        <v>0</v>
      </c>
    </row>
    <row r="8" spans="1:35">
      <c r="A8" t="s">
        <v>20</v>
      </c>
      <c r="B8">
        <v>0</v>
      </c>
      <c r="C8">
        <v>0</v>
      </c>
      <c r="D8">
        <v>0</v>
      </c>
      <c r="E8">
        <v>0</v>
      </c>
      <c r="F8">
        <v>0</v>
      </c>
      <c r="G8">
        <v>0</v>
      </c>
      <c r="H8">
        <v>0</v>
      </c>
      <c r="I8">
        <v>0</v>
      </c>
      <c r="J8">
        <v>0</v>
      </c>
      <c r="K8">
        <v>0</v>
      </c>
      <c r="L8">
        <v>0</v>
      </c>
      <c r="M8">
        <v>0</v>
      </c>
      <c r="N8">
        <v>0</v>
      </c>
      <c r="O8">
        <v>0</v>
      </c>
      <c r="P8">
        <v>0</v>
      </c>
      <c r="Q8">
        <v>0</v>
      </c>
      <c r="R8">
        <v>0</v>
      </c>
      <c r="S8">
        <v>0</v>
      </c>
      <c r="T8">
        <v>0</v>
      </c>
      <c r="U8">
        <v>0</v>
      </c>
      <c r="V8">
        <v>0</v>
      </c>
      <c r="W8">
        <v>0</v>
      </c>
      <c r="X8">
        <v>0</v>
      </c>
      <c r="Y8">
        <v>0</v>
      </c>
      <c r="Z8">
        <v>0</v>
      </c>
      <c r="AA8">
        <v>0</v>
      </c>
      <c r="AB8">
        <v>0</v>
      </c>
      <c r="AC8">
        <v>0</v>
      </c>
      <c r="AD8">
        <v>0</v>
      </c>
      <c r="AE8">
        <v>0</v>
      </c>
    </row>
    <row r="9" spans="1:35">
      <c r="A9" t="s">
        <v>82</v>
      </c>
      <c r="B9">
        <v>0</v>
      </c>
      <c r="C9">
        <v>0</v>
      </c>
      <c r="D9">
        <v>0</v>
      </c>
      <c r="E9">
        <v>0</v>
      </c>
      <c r="F9">
        <v>0</v>
      </c>
      <c r="G9">
        <v>0</v>
      </c>
      <c r="H9">
        <v>0</v>
      </c>
      <c r="I9">
        <v>0</v>
      </c>
      <c r="J9">
        <v>0</v>
      </c>
      <c r="K9">
        <v>0</v>
      </c>
      <c r="L9">
        <v>0</v>
      </c>
      <c r="M9">
        <v>0</v>
      </c>
      <c r="N9">
        <v>0</v>
      </c>
      <c r="O9">
        <v>0</v>
      </c>
      <c r="P9">
        <v>0</v>
      </c>
      <c r="Q9">
        <v>0</v>
      </c>
      <c r="R9">
        <v>0</v>
      </c>
      <c r="S9">
        <v>0</v>
      </c>
      <c r="T9">
        <v>0</v>
      </c>
      <c r="U9">
        <v>0</v>
      </c>
      <c r="V9">
        <v>0</v>
      </c>
      <c r="W9">
        <v>0</v>
      </c>
      <c r="X9">
        <v>0</v>
      </c>
      <c r="Y9">
        <v>0</v>
      </c>
      <c r="Z9">
        <v>0</v>
      </c>
      <c r="AA9">
        <v>0</v>
      </c>
      <c r="AB9">
        <v>0</v>
      </c>
      <c r="AC9">
        <v>0</v>
      </c>
      <c r="AD9">
        <v>0</v>
      </c>
      <c r="AE9">
        <v>0</v>
      </c>
    </row>
    <row r="10" spans="1:35">
      <c r="A10" t="s">
        <v>83</v>
      </c>
      <c r="B10">
        <v>0</v>
      </c>
      <c r="C10">
        <v>0</v>
      </c>
      <c r="D10">
        <v>0</v>
      </c>
      <c r="E10">
        <v>0</v>
      </c>
      <c r="F10">
        <v>0</v>
      </c>
      <c r="G10">
        <v>0</v>
      </c>
      <c r="H10">
        <v>0</v>
      </c>
      <c r="I10">
        <v>0</v>
      </c>
      <c r="J10">
        <v>0</v>
      </c>
      <c r="K10">
        <v>0</v>
      </c>
      <c r="L10">
        <v>0</v>
      </c>
      <c r="M10">
        <v>0</v>
      </c>
      <c r="N10">
        <v>0</v>
      </c>
      <c r="O10">
        <v>0</v>
      </c>
      <c r="P10">
        <v>0</v>
      </c>
      <c r="Q10">
        <v>0</v>
      </c>
      <c r="R10">
        <v>0</v>
      </c>
      <c r="S10">
        <v>0</v>
      </c>
      <c r="T10">
        <v>0</v>
      </c>
      <c r="U10">
        <v>0</v>
      </c>
      <c r="V10">
        <v>0</v>
      </c>
      <c r="W10">
        <v>0</v>
      </c>
      <c r="X10">
        <v>0</v>
      </c>
      <c r="Y10">
        <v>0</v>
      </c>
      <c r="Z10">
        <v>0</v>
      </c>
      <c r="AA10">
        <v>0</v>
      </c>
      <c r="AB10">
        <v>0</v>
      </c>
      <c r="AC10">
        <v>0</v>
      </c>
      <c r="AD10">
        <v>0</v>
      </c>
      <c r="AE10">
        <v>0</v>
      </c>
    </row>
    <row r="11" spans="1:35">
      <c r="A11" t="s">
        <v>84</v>
      </c>
      <c r="B11">
        <v>1</v>
      </c>
      <c r="C11">
        <v>1</v>
      </c>
      <c r="D11">
        <v>1</v>
      </c>
      <c r="E11">
        <v>1</v>
      </c>
      <c r="F11">
        <v>1</v>
      </c>
      <c r="G11">
        <v>1</v>
      </c>
      <c r="H11">
        <v>1</v>
      </c>
      <c r="I11">
        <v>1</v>
      </c>
      <c r="J11">
        <v>1</v>
      </c>
      <c r="K11">
        <v>1</v>
      </c>
      <c r="L11">
        <v>1</v>
      </c>
      <c r="M11">
        <v>1</v>
      </c>
      <c r="N11">
        <v>1</v>
      </c>
      <c r="O11">
        <v>1</v>
      </c>
      <c r="P11">
        <v>1</v>
      </c>
      <c r="Q11">
        <v>1</v>
      </c>
      <c r="R11">
        <v>1</v>
      </c>
      <c r="S11">
        <v>1</v>
      </c>
      <c r="T11">
        <v>1</v>
      </c>
      <c r="U11">
        <v>1</v>
      </c>
      <c r="V11">
        <v>1</v>
      </c>
      <c r="W11">
        <v>1</v>
      </c>
      <c r="X11">
        <v>1</v>
      </c>
      <c r="Y11">
        <v>1</v>
      </c>
      <c r="Z11">
        <v>1</v>
      </c>
      <c r="AA11">
        <v>1</v>
      </c>
      <c r="AB11">
        <v>1</v>
      </c>
      <c r="AC11">
        <v>1</v>
      </c>
      <c r="AD11">
        <v>1</v>
      </c>
      <c r="AE11">
        <v>1</v>
      </c>
    </row>
  </sheetData>
  <pageMargins left="0.7" right="0.7" top="0.75" bottom="0.75" header="0.3" footer="0.3"/>
</worksheet>
</file>

<file path=xl/worksheets/sheet4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500-000000000000}">
  <sheetPr>
    <tabColor rgb="FFFF0000"/>
  </sheetPr>
  <dimension ref="A1"/>
  <sheetViews>
    <sheetView workbookViewId="0"/>
  </sheetViews>
  <sheetFormatPr defaultRowHeight="14.25"/>
  <sheetData/>
  <pageMargins left="0.7" right="0.7" top="0.75" bottom="0.75" header="0.3" footer="0.3"/>
</worksheet>
</file>

<file path=xl/worksheets/sheet4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600-000000000000}">
  <sheetPr>
    <tabColor theme="3"/>
  </sheetPr>
  <dimension ref="A1:AE11"/>
  <sheetViews>
    <sheetView workbookViewId="0">
      <selection activeCell="A11" sqref="A11"/>
    </sheetView>
  </sheetViews>
  <sheetFormatPr defaultRowHeight="14.25"/>
  <cols>
    <col min="1" max="1" width="22.53125" customWidth="1"/>
  </cols>
  <sheetData>
    <row r="1" spans="1:31" ht="28.5">
      <c r="A1" s="10" t="s">
        <v>85</v>
      </c>
      <c r="B1">
        <v>2021</v>
      </c>
      <c r="C1">
        <v>2022</v>
      </c>
      <c r="D1">
        <v>2023</v>
      </c>
      <c r="E1">
        <v>2024</v>
      </c>
      <c r="F1">
        <v>2025</v>
      </c>
      <c r="G1">
        <v>2026</v>
      </c>
      <c r="H1">
        <v>2027</v>
      </c>
      <c r="I1">
        <v>2028</v>
      </c>
      <c r="J1">
        <v>2029</v>
      </c>
      <c r="K1">
        <v>2030</v>
      </c>
      <c r="L1">
        <v>2031</v>
      </c>
      <c r="M1">
        <v>2032</v>
      </c>
      <c r="N1">
        <v>2033</v>
      </c>
      <c r="O1">
        <v>2034</v>
      </c>
      <c r="P1">
        <v>2035</v>
      </c>
      <c r="Q1">
        <v>2036</v>
      </c>
      <c r="R1">
        <v>2037</v>
      </c>
      <c r="S1">
        <v>2038</v>
      </c>
      <c r="T1">
        <v>2039</v>
      </c>
      <c r="U1">
        <v>2040</v>
      </c>
      <c r="V1">
        <v>2041</v>
      </c>
      <c r="W1">
        <v>2042</v>
      </c>
      <c r="X1">
        <v>2043</v>
      </c>
      <c r="Y1">
        <v>2044</v>
      </c>
      <c r="Z1">
        <v>2045</v>
      </c>
      <c r="AA1">
        <v>2046</v>
      </c>
      <c r="AB1">
        <v>2047</v>
      </c>
      <c r="AC1">
        <v>2048</v>
      </c>
      <c r="AD1">
        <v>2049</v>
      </c>
      <c r="AE1">
        <v>2050</v>
      </c>
    </row>
    <row r="2" spans="1:31">
      <c r="A2" t="s">
        <v>15</v>
      </c>
      <c r="B2">
        <v>1</v>
      </c>
      <c r="C2">
        <v>1</v>
      </c>
      <c r="D2">
        <v>1</v>
      </c>
      <c r="E2">
        <v>1</v>
      </c>
      <c r="F2">
        <v>1</v>
      </c>
      <c r="G2">
        <v>1</v>
      </c>
      <c r="H2">
        <v>1</v>
      </c>
      <c r="I2">
        <v>1</v>
      </c>
      <c r="J2">
        <v>1</v>
      </c>
      <c r="K2">
        <v>1</v>
      </c>
      <c r="L2">
        <v>1</v>
      </c>
      <c r="M2">
        <v>1</v>
      </c>
      <c r="N2">
        <v>1</v>
      </c>
      <c r="O2">
        <v>1</v>
      </c>
      <c r="P2">
        <v>1</v>
      </c>
      <c r="Q2">
        <v>1</v>
      </c>
      <c r="R2">
        <v>1</v>
      </c>
      <c r="S2">
        <v>1</v>
      </c>
      <c r="T2">
        <v>1</v>
      </c>
      <c r="U2">
        <v>1</v>
      </c>
      <c r="V2">
        <v>1</v>
      </c>
      <c r="W2">
        <v>1</v>
      </c>
      <c r="X2">
        <v>1</v>
      </c>
      <c r="Y2">
        <v>1</v>
      </c>
      <c r="Z2">
        <v>1</v>
      </c>
      <c r="AA2">
        <v>1</v>
      </c>
      <c r="AB2">
        <v>1</v>
      </c>
      <c r="AC2">
        <v>1</v>
      </c>
      <c r="AD2">
        <v>1</v>
      </c>
      <c r="AE2">
        <v>1</v>
      </c>
    </row>
    <row r="3" spans="1:31">
      <c r="A3" t="s">
        <v>16</v>
      </c>
      <c r="B3">
        <v>0</v>
      </c>
      <c r="C3">
        <v>0</v>
      </c>
      <c r="D3">
        <v>0</v>
      </c>
      <c r="E3">
        <v>0</v>
      </c>
      <c r="F3">
        <v>0</v>
      </c>
      <c r="G3">
        <v>0</v>
      </c>
      <c r="H3">
        <v>0</v>
      </c>
      <c r="I3">
        <v>0</v>
      </c>
      <c r="J3">
        <v>0</v>
      </c>
      <c r="K3">
        <v>0</v>
      </c>
      <c r="L3">
        <v>0</v>
      </c>
      <c r="M3">
        <v>0</v>
      </c>
      <c r="N3">
        <v>0</v>
      </c>
      <c r="O3">
        <v>0</v>
      </c>
      <c r="P3">
        <v>0</v>
      </c>
      <c r="Q3">
        <v>0</v>
      </c>
      <c r="R3">
        <v>0</v>
      </c>
      <c r="S3">
        <v>0</v>
      </c>
      <c r="T3">
        <v>0</v>
      </c>
      <c r="U3">
        <v>0</v>
      </c>
      <c r="V3">
        <v>0</v>
      </c>
      <c r="W3">
        <v>0</v>
      </c>
      <c r="X3">
        <v>0</v>
      </c>
      <c r="Y3">
        <v>0</v>
      </c>
      <c r="Z3">
        <v>0</v>
      </c>
      <c r="AA3">
        <v>0</v>
      </c>
      <c r="AB3">
        <v>0</v>
      </c>
      <c r="AC3">
        <v>0</v>
      </c>
      <c r="AD3">
        <v>0</v>
      </c>
      <c r="AE3">
        <v>0</v>
      </c>
    </row>
    <row r="4" spans="1:31">
      <c r="A4" t="s">
        <v>17</v>
      </c>
      <c r="B4">
        <v>0</v>
      </c>
      <c r="C4">
        <v>0</v>
      </c>
      <c r="D4">
        <v>0</v>
      </c>
      <c r="E4">
        <v>0</v>
      </c>
      <c r="F4">
        <v>0</v>
      </c>
      <c r="G4">
        <v>0</v>
      </c>
      <c r="H4">
        <v>0</v>
      </c>
      <c r="I4">
        <v>0</v>
      </c>
      <c r="J4">
        <v>0</v>
      </c>
      <c r="K4">
        <v>0</v>
      </c>
      <c r="L4">
        <v>0</v>
      </c>
      <c r="M4">
        <v>0</v>
      </c>
      <c r="N4">
        <v>0</v>
      </c>
      <c r="O4">
        <v>0</v>
      </c>
      <c r="P4">
        <v>0</v>
      </c>
      <c r="Q4">
        <v>0</v>
      </c>
      <c r="R4">
        <v>0</v>
      </c>
      <c r="S4">
        <v>0</v>
      </c>
      <c r="T4">
        <v>0</v>
      </c>
      <c r="U4">
        <v>0</v>
      </c>
      <c r="V4">
        <v>0</v>
      </c>
      <c r="W4">
        <v>0</v>
      </c>
      <c r="X4">
        <v>0</v>
      </c>
      <c r="Y4">
        <v>0</v>
      </c>
      <c r="Z4">
        <v>0</v>
      </c>
      <c r="AA4">
        <v>0</v>
      </c>
      <c r="AB4">
        <v>0</v>
      </c>
      <c r="AC4">
        <v>0</v>
      </c>
      <c r="AD4">
        <v>0</v>
      </c>
      <c r="AE4">
        <v>0</v>
      </c>
    </row>
    <row r="5" spans="1:31">
      <c r="A5" t="s">
        <v>18</v>
      </c>
      <c r="B5">
        <v>0</v>
      </c>
      <c r="C5">
        <v>0</v>
      </c>
      <c r="D5">
        <v>0</v>
      </c>
      <c r="E5">
        <v>0</v>
      </c>
      <c r="F5">
        <v>0</v>
      </c>
      <c r="G5">
        <v>0</v>
      </c>
      <c r="H5">
        <v>0</v>
      </c>
      <c r="I5">
        <v>0</v>
      </c>
      <c r="J5">
        <v>0</v>
      </c>
      <c r="K5">
        <v>0</v>
      </c>
      <c r="L5">
        <v>0</v>
      </c>
      <c r="M5">
        <v>0</v>
      </c>
      <c r="N5">
        <v>0</v>
      </c>
      <c r="O5">
        <v>0</v>
      </c>
      <c r="P5">
        <v>0</v>
      </c>
      <c r="Q5">
        <v>0</v>
      </c>
      <c r="R5">
        <v>0</v>
      </c>
      <c r="S5">
        <v>0</v>
      </c>
      <c r="T5">
        <v>0</v>
      </c>
      <c r="U5">
        <v>0</v>
      </c>
      <c r="V5">
        <v>0</v>
      </c>
      <c r="W5">
        <v>0</v>
      </c>
      <c r="X5">
        <v>0</v>
      </c>
      <c r="Y5">
        <v>0</v>
      </c>
      <c r="Z5">
        <v>0</v>
      </c>
      <c r="AA5">
        <v>0</v>
      </c>
      <c r="AB5">
        <v>0</v>
      </c>
      <c r="AC5">
        <v>0</v>
      </c>
      <c r="AD5">
        <v>0</v>
      </c>
      <c r="AE5">
        <v>0</v>
      </c>
    </row>
    <row r="6" spans="1:31">
      <c r="A6" t="s">
        <v>19</v>
      </c>
      <c r="B6">
        <v>0</v>
      </c>
      <c r="C6">
        <v>0</v>
      </c>
      <c r="D6">
        <v>0</v>
      </c>
      <c r="E6">
        <v>0</v>
      </c>
      <c r="F6">
        <v>0</v>
      </c>
      <c r="G6">
        <v>0</v>
      </c>
      <c r="H6">
        <v>0</v>
      </c>
      <c r="I6">
        <v>0</v>
      </c>
      <c r="J6">
        <v>0</v>
      </c>
      <c r="K6">
        <v>0</v>
      </c>
      <c r="L6">
        <v>0</v>
      </c>
      <c r="M6">
        <v>0</v>
      </c>
      <c r="N6">
        <v>0</v>
      </c>
      <c r="O6">
        <v>0</v>
      </c>
      <c r="P6">
        <v>0</v>
      </c>
      <c r="Q6">
        <v>0</v>
      </c>
      <c r="R6">
        <v>0</v>
      </c>
      <c r="S6">
        <v>0</v>
      </c>
      <c r="T6">
        <v>0</v>
      </c>
      <c r="U6">
        <v>0</v>
      </c>
      <c r="V6">
        <v>0</v>
      </c>
      <c r="W6">
        <v>0</v>
      </c>
      <c r="X6">
        <v>0</v>
      </c>
      <c r="Y6">
        <v>0</v>
      </c>
      <c r="Z6">
        <v>0</v>
      </c>
      <c r="AA6">
        <v>0</v>
      </c>
      <c r="AB6">
        <v>0</v>
      </c>
      <c r="AC6">
        <v>0</v>
      </c>
      <c r="AD6">
        <v>0</v>
      </c>
      <c r="AE6">
        <v>0</v>
      </c>
    </row>
    <row r="7" spans="1:31">
      <c r="A7" t="s">
        <v>21</v>
      </c>
      <c r="B7">
        <v>0</v>
      </c>
      <c r="C7">
        <v>0</v>
      </c>
      <c r="D7">
        <v>0</v>
      </c>
      <c r="E7">
        <v>0</v>
      </c>
      <c r="F7">
        <v>0</v>
      </c>
      <c r="G7">
        <v>0</v>
      </c>
      <c r="H7">
        <v>0</v>
      </c>
      <c r="I7">
        <v>0</v>
      </c>
      <c r="J7">
        <v>0</v>
      </c>
      <c r="K7">
        <v>0</v>
      </c>
      <c r="L7">
        <v>0</v>
      </c>
      <c r="M7">
        <v>0</v>
      </c>
      <c r="N7">
        <v>0</v>
      </c>
      <c r="O7">
        <v>0</v>
      </c>
      <c r="P7">
        <v>0</v>
      </c>
      <c r="Q7">
        <v>0</v>
      </c>
      <c r="R7">
        <v>0</v>
      </c>
      <c r="S7">
        <v>0</v>
      </c>
      <c r="T7">
        <v>0</v>
      </c>
      <c r="U7">
        <v>0</v>
      </c>
      <c r="V7">
        <v>0</v>
      </c>
      <c r="W7">
        <v>0</v>
      </c>
      <c r="X7">
        <v>0</v>
      </c>
      <c r="Y7">
        <v>0</v>
      </c>
      <c r="Z7">
        <v>0</v>
      </c>
      <c r="AA7">
        <v>0</v>
      </c>
      <c r="AB7">
        <v>0</v>
      </c>
      <c r="AC7">
        <v>0</v>
      </c>
      <c r="AD7">
        <v>0</v>
      </c>
      <c r="AE7">
        <v>0</v>
      </c>
    </row>
    <row r="8" spans="1:31">
      <c r="A8" t="s">
        <v>20</v>
      </c>
      <c r="B8">
        <v>0</v>
      </c>
      <c r="C8">
        <v>0</v>
      </c>
      <c r="D8">
        <v>0</v>
      </c>
      <c r="E8">
        <v>0</v>
      </c>
      <c r="F8">
        <v>0</v>
      </c>
      <c r="G8">
        <v>0</v>
      </c>
      <c r="H8">
        <v>0</v>
      </c>
      <c r="I8">
        <v>0</v>
      </c>
      <c r="J8">
        <v>0</v>
      </c>
      <c r="K8">
        <v>0</v>
      </c>
      <c r="L8">
        <v>0</v>
      </c>
      <c r="M8">
        <v>0</v>
      </c>
      <c r="N8">
        <v>0</v>
      </c>
      <c r="O8">
        <v>0</v>
      </c>
      <c r="P8">
        <v>0</v>
      </c>
      <c r="Q8">
        <v>0</v>
      </c>
      <c r="R8">
        <v>0</v>
      </c>
      <c r="S8">
        <v>0</v>
      </c>
      <c r="T8">
        <v>0</v>
      </c>
      <c r="U8">
        <v>0</v>
      </c>
      <c r="V8">
        <v>0</v>
      </c>
      <c r="W8">
        <v>0</v>
      </c>
      <c r="X8">
        <v>0</v>
      </c>
      <c r="Y8">
        <v>0</v>
      </c>
      <c r="Z8">
        <v>0</v>
      </c>
      <c r="AA8">
        <v>0</v>
      </c>
      <c r="AB8">
        <v>0</v>
      </c>
      <c r="AC8">
        <v>0</v>
      </c>
      <c r="AD8">
        <v>0</v>
      </c>
      <c r="AE8">
        <v>0</v>
      </c>
    </row>
    <row r="9" spans="1:31">
      <c r="A9" t="s">
        <v>82</v>
      </c>
      <c r="B9">
        <v>0</v>
      </c>
      <c r="C9">
        <v>0</v>
      </c>
      <c r="D9">
        <v>0</v>
      </c>
      <c r="E9">
        <v>0</v>
      </c>
      <c r="F9">
        <v>0</v>
      </c>
      <c r="G9">
        <v>0</v>
      </c>
      <c r="H9">
        <v>0</v>
      </c>
      <c r="I9">
        <v>0</v>
      </c>
      <c r="J9">
        <v>0</v>
      </c>
      <c r="K9">
        <v>0</v>
      </c>
      <c r="L9">
        <v>0</v>
      </c>
      <c r="M9">
        <v>0</v>
      </c>
      <c r="N9">
        <v>0</v>
      </c>
      <c r="O9">
        <v>0</v>
      </c>
      <c r="P9">
        <v>0</v>
      </c>
      <c r="Q9">
        <v>0</v>
      </c>
      <c r="R9">
        <v>0</v>
      </c>
      <c r="S9">
        <v>0</v>
      </c>
      <c r="T9">
        <v>0</v>
      </c>
      <c r="U9">
        <v>0</v>
      </c>
      <c r="V9">
        <v>0</v>
      </c>
      <c r="W9">
        <v>0</v>
      </c>
      <c r="X9">
        <v>0</v>
      </c>
      <c r="Y9">
        <v>0</v>
      </c>
      <c r="Z9">
        <v>0</v>
      </c>
      <c r="AA9">
        <v>0</v>
      </c>
      <c r="AB9">
        <v>0</v>
      </c>
      <c r="AC9">
        <v>0</v>
      </c>
      <c r="AD9">
        <v>0</v>
      </c>
      <c r="AE9">
        <v>0</v>
      </c>
    </row>
    <row r="10" spans="1:31">
      <c r="A10" t="s">
        <v>83</v>
      </c>
      <c r="B10">
        <v>0</v>
      </c>
      <c r="C10">
        <v>0</v>
      </c>
      <c r="D10">
        <v>0</v>
      </c>
      <c r="E10">
        <v>0</v>
      </c>
      <c r="F10">
        <v>0</v>
      </c>
      <c r="G10">
        <v>0</v>
      </c>
      <c r="H10">
        <v>0</v>
      </c>
      <c r="I10">
        <v>0</v>
      </c>
      <c r="J10">
        <v>0</v>
      </c>
      <c r="K10">
        <v>0</v>
      </c>
      <c r="L10">
        <v>0</v>
      </c>
      <c r="M10">
        <v>0</v>
      </c>
      <c r="N10">
        <v>0</v>
      </c>
      <c r="O10">
        <v>0</v>
      </c>
      <c r="P10">
        <v>0</v>
      </c>
      <c r="Q10">
        <v>0</v>
      </c>
      <c r="R10">
        <v>0</v>
      </c>
      <c r="S10">
        <v>0</v>
      </c>
      <c r="T10">
        <v>0</v>
      </c>
      <c r="U10">
        <v>0</v>
      </c>
      <c r="V10">
        <v>0</v>
      </c>
      <c r="W10">
        <v>0</v>
      </c>
      <c r="X10">
        <v>0</v>
      </c>
      <c r="Y10">
        <v>0</v>
      </c>
      <c r="Z10">
        <v>0</v>
      </c>
      <c r="AA10">
        <v>0</v>
      </c>
      <c r="AB10">
        <v>0</v>
      </c>
      <c r="AC10">
        <v>0</v>
      </c>
      <c r="AD10">
        <v>0</v>
      </c>
      <c r="AE10">
        <v>0</v>
      </c>
    </row>
    <row r="11" spans="1:31">
      <c r="A11" t="s">
        <v>84</v>
      </c>
      <c r="B11">
        <v>0</v>
      </c>
      <c r="C11">
        <v>0</v>
      </c>
      <c r="D11">
        <v>0</v>
      </c>
      <c r="E11">
        <v>0</v>
      </c>
      <c r="F11">
        <v>0</v>
      </c>
      <c r="G11">
        <v>0</v>
      </c>
      <c r="H11">
        <v>0</v>
      </c>
      <c r="I11">
        <v>0</v>
      </c>
      <c r="J11">
        <v>0</v>
      </c>
      <c r="K11">
        <v>0</v>
      </c>
      <c r="L11">
        <v>0</v>
      </c>
      <c r="M11">
        <v>0</v>
      </c>
      <c r="N11">
        <v>0</v>
      </c>
      <c r="O11">
        <v>0</v>
      </c>
      <c r="P11">
        <v>0</v>
      </c>
      <c r="Q11">
        <v>0</v>
      </c>
      <c r="R11">
        <v>0</v>
      </c>
      <c r="S11">
        <v>0</v>
      </c>
      <c r="T11">
        <v>0</v>
      </c>
      <c r="U11">
        <v>0</v>
      </c>
      <c r="V11">
        <v>0</v>
      </c>
      <c r="W11">
        <v>0</v>
      </c>
      <c r="X11">
        <v>0</v>
      </c>
      <c r="Y11">
        <v>0</v>
      </c>
      <c r="Z11">
        <v>0</v>
      </c>
      <c r="AA11">
        <v>0</v>
      </c>
      <c r="AB11">
        <v>0</v>
      </c>
      <c r="AC11">
        <v>0</v>
      </c>
      <c r="AD11">
        <v>0</v>
      </c>
      <c r="AE11">
        <v>0</v>
      </c>
    </row>
  </sheetData>
  <pageMargins left="0.7" right="0.7" top="0.75" bottom="0.75" header="0.3" footer="0.3"/>
</worksheet>
</file>

<file path=xl/worksheets/sheet5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700-000000000000}">
  <sheetPr>
    <tabColor theme="3"/>
  </sheetPr>
  <dimension ref="A1:AE11"/>
  <sheetViews>
    <sheetView workbookViewId="0"/>
  </sheetViews>
  <sheetFormatPr defaultRowHeight="14.25"/>
  <cols>
    <col min="1" max="1" width="22.53125" customWidth="1"/>
  </cols>
  <sheetData>
    <row r="1" spans="1:31" ht="28.5">
      <c r="A1" s="10" t="s">
        <v>85</v>
      </c>
      <c r="B1">
        <v>2021</v>
      </c>
      <c r="C1">
        <v>2022</v>
      </c>
      <c r="D1">
        <v>2023</v>
      </c>
      <c r="E1">
        <v>2024</v>
      </c>
      <c r="F1">
        <v>2025</v>
      </c>
      <c r="G1">
        <v>2026</v>
      </c>
      <c r="H1">
        <v>2027</v>
      </c>
      <c r="I1">
        <v>2028</v>
      </c>
      <c r="J1">
        <v>2029</v>
      </c>
      <c r="K1">
        <v>2030</v>
      </c>
      <c r="L1">
        <v>2031</v>
      </c>
      <c r="M1">
        <v>2032</v>
      </c>
      <c r="N1">
        <v>2033</v>
      </c>
      <c r="O1">
        <v>2034</v>
      </c>
      <c r="P1">
        <v>2035</v>
      </c>
      <c r="Q1">
        <v>2036</v>
      </c>
      <c r="R1">
        <v>2037</v>
      </c>
      <c r="S1">
        <v>2038</v>
      </c>
      <c r="T1">
        <v>2039</v>
      </c>
      <c r="U1">
        <v>2040</v>
      </c>
      <c r="V1">
        <v>2041</v>
      </c>
      <c r="W1">
        <v>2042</v>
      </c>
      <c r="X1">
        <v>2043</v>
      </c>
      <c r="Y1">
        <v>2044</v>
      </c>
      <c r="Z1">
        <v>2045</v>
      </c>
      <c r="AA1">
        <v>2046</v>
      </c>
      <c r="AB1">
        <v>2047</v>
      </c>
      <c r="AC1">
        <v>2048</v>
      </c>
      <c r="AD1">
        <v>2049</v>
      </c>
      <c r="AE1">
        <v>2050</v>
      </c>
    </row>
    <row r="2" spans="1:31">
      <c r="A2" t="s">
        <v>15</v>
      </c>
      <c r="B2">
        <v>0</v>
      </c>
      <c r="C2">
        <v>0</v>
      </c>
      <c r="D2">
        <v>0</v>
      </c>
      <c r="E2">
        <v>0</v>
      </c>
      <c r="F2">
        <v>0</v>
      </c>
      <c r="G2">
        <v>0</v>
      </c>
      <c r="H2">
        <v>0</v>
      </c>
      <c r="I2">
        <v>0</v>
      </c>
      <c r="J2">
        <v>0</v>
      </c>
      <c r="K2">
        <v>0</v>
      </c>
      <c r="L2">
        <v>0</v>
      </c>
      <c r="M2">
        <v>0</v>
      </c>
      <c r="N2">
        <v>0</v>
      </c>
      <c r="O2">
        <v>0</v>
      </c>
      <c r="P2">
        <v>0</v>
      </c>
      <c r="Q2">
        <v>0</v>
      </c>
      <c r="R2">
        <v>0</v>
      </c>
      <c r="S2">
        <v>0</v>
      </c>
      <c r="T2">
        <v>0</v>
      </c>
      <c r="U2">
        <v>0</v>
      </c>
      <c r="V2">
        <v>0</v>
      </c>
      <c r="W2">
        <v>0</v>
      </c>
      <c r="X2">
        <v>0</v>
      </c>
      <c r="Y2">
        <v>0</v>
      </c>
      <c r="Z2">
        <v>0</v>
      </c>
      <c r="AA2">
        <v>0</v>
      </c>
      <c r="AB2">
        <v>0</v>
      </c>
      <c r="AC2">
        <v>0</v>
      </c>
      <c r="AD2">
        <v>0</v>
      </c>
      <c r="AE2">
        <v>0</v>
      </c>
    </row>
    <row r="3" spans="1:31">
      <c r="A3" t="s">
        <v>16</v>
      </c>
      <c r="B3">
        <v>1</v>
      </c>
      <c r="C3">
        <v>1</v>
      </c>
      <c r="D3">
        <v>1</v>
      </c>
      <c r="E3">
        <v>1</v>
      </c>
      <c r="F3">
        <v>1</v>
      </c>
      <c r="G3">
        <v>1</v>
      </c>
      <c r="H3">
        <v>1</v>
      </c>
      <c r="I3">
        <v>1</v>
      </c>
      <c r="J3">
        <v>1</v>
      </c>
      <c r="K3">
        <v>1</v>
      </c>
      <c r="L3">
        <v>1</v>
      </c>
      <c r="M3">
        <v>1</v>
      </c>
      <c r="N3">
        <v>1</v>
      </c>
      <c r="O3">
        <v>1</v>
      </c>
      <c r="P3">
        <v>1</v>
      </c>
      <c r="Q3">
        <v>1</v>
      </c>
      <c r="R3">
        <v>1</v>
      </c>
      <c r="S3">
        <v>1</v>
      </c>
      <c r="T3">
        <v>1</v>
      </c>
      <c r="U3">
        <v>1</v>
      </c>
      <c r="V3">
        <v>1</v>
      </c>
      <c r="W3">
        <v>1</v>
      </c>
      <c r="X3">
        <v>1</v>
      </c>
      <c r="Y3">
        <v>1</v>
      </c>
      <c r="Z3">
        <v>1</v>
      </c>
      <c r="AA3">
        <v>1</v>
      </c>
      <c r="AB3">
        <v>1</v>
      </c>
      <c r="AC3">
        <v>1</v>
      </c>
      <c r="AD3">
        <v>1</v>
      </c>
      <c r="AE3">
        <v>1</v>
      </c>
    </row>
    <row r="4" spans="1:31">
      <c r="A4" t="s">
        <v>17</v>
      </c>
      <c r="B4">
        <v>0</v>
      </c>
      <c r="C4">
        <v>0</v>
      </c>
      <c r="D4">
        <v>0</v>
      </c>
      <c r="E4">
        <v>0</v>
      </c>
      <c r="F4">
        <v>0</v>
      </c>
      <c r="G4">
        <v>0</v>
      </c>
      <c r="H4">
        <v>0</v>
      </c>
      <c r="I4">
        <v>0</v>
      </c>
      <c r="J4">
        <v>0</v>
      </c>
      <c r="K4">
        <v>0</v>
      </c>
      <c r="L4">
        <v>0</v>
      </c>
      <c r="M4">
        <v>0</v>
      </c>
      <c r="N4">
        <v>0</v>
      </c>
      <c r="O4">
        <v>0</v>
      </c>
      <c r="P4">
        <v>0</v>
      </c>
      <c r="Q4">
        <v>0</v>
      </c>
      <c r="R4">
        <v>0</v>
      </c>
      <c r="S4">
        <v>0</v>
      </c>
      <c r="T4">
        <v>0</v>
      </c>
      <c r="U4">
        <v>0</v>
      </c>
      <c r="V4">
        <v>0</v>
      </c>
      <c r="W4">
        <v>0</v>
      </c>
      <c r="X4">
        <v>0</v>
      </c>
      <c r="Y4">
        <v>0</v>
      </c>
      <c r="Z4">
        <v>0</v>
      </c>
      <c r="AA4">
        <v>0</v>
      </c>
      <c r="AB4">
        <v>0</v>
      </c>
      <c r="AC4">
        <v>0</v>
      </c>
      <c r="AD4">
        <v>0</v>
      </c>
      <c r="AE4">
        <v>0</v>
      </c>
    </row>
    <row r="5" spans="1:31">
      <c r="A5" t="s">
        <v>18</v>
      </c>
      <c r="B5">
        <v>0</v>
      </c>
      <c r="C5">
        <v>0</v>
      </c>
      <c r="D5">
        <v>0</v>
      </c>
      <c r="E5">
        <v>0</v>
      </c>
      <c r="F5">
        <v>0</v>
      </c>
      <c r="G5">
        <v>0</v>
      </c>
      <c r="H5">
        <v>0</v>
      </c>
      <c r="I5">
        <v>0</v>
      </c>
      <c r="J5">
        <v>0</v>
      </c>
      <c r="K5">
        <v>0</v>
      </c>
      <c r="L5">
        <v>0</v>
      </c>
      <c r="M5">
        <v>0</v>
      </c>
      <c r="N5">
        <v>0</v>
      </c>
      <c r="O5">
        <v>0</v>
      </c>
      <c r="P5">
        <v>0</v>
      </c>
      <c r="Q5">
        <v>0</v>
      </c>
      <c r="R5">
        <v>0</v>
      </c>
      <c r="S5">
        <v>0</v>
      </c>
      <c r="T5">
        <v>0</v>
      </c>
      <c r="U5">
        <v>0</v>
      </c>
      <c r="V5">
        <v>0</v>
      </c>
      <c r="W5">
        <v>0</v>
      </c>
      <c r="X5">
        <v>0</v>
      </c>
      <c r="Y5">
        <v>0</v>
      </c>
      <c r="Z5">
        <v>0</v>
      </c>
      <c r="AA5">
        <v>0</v>
      </c>
      <c r="AB5">
        <v>0</v>
      </c>
      <c r="AC5">
        <v>0</v>
      </c>
      <c r="AD5">
        <v>0</v>
      </c>
      <c r="AE5">
        <v>0</v>
      </c>
    </row>
    <row r="6" spans="1:31">
      <c r="A6" t="s">
        <v>19</v>
      </c>
      <c r="B6">
        <v>0</v>
      </c>
      <c r="C6">
        <v>0</v>
      </c>
      <c r="D6">
        <v>0</v>
      </c>
      <c r="E6">
        <v>0</v>
      </c>
      <c r="F6">
        <v>0</v>
      </c>
      <c r="G6">
        <v>0</v>
      </c>
      <c r="H6">
        <v>0</v>
      </c>
      <c r="I6">
        <v>0</v>
      </c>
      <c r="J6">
        <v>0</v>
      </c>
      <c r="K6">
        <v>0</v>
      </c>
      <c r="L6">
        <v>0</v>
      </c>
      <c r="M6">
        <v>0</v>
      </c>
      <c r="N6">
        <v>0</v>
      </c>
      <c r="O6">
        <v>0</v>
      </c>
      <c r="P6">
        <v>0</v>
      </c>
      <c r="Q6">
        <v>0</v>
      </c>
      <c r="R6">
        <v>0</v>
      </c>
      <c r="S6">
        <v>0</v>
      </c>
      <c r="T6">
        <v>0</v>
      </c>
      <c r="U6">
        <v>0</v>
      </c>
      <c r="V6">
        <v>0</v>
      </c>
      <c r="W6">
        <v>0</v>
      </c>
      <c r="X6">
        <v>0</v>
      </c>
      <c r="Y6">
        <v>0</v>
      </c>
      <c r="Z6">
        <v>0</v>
      </c>
      <c r="AA6">
        <v>0</v>
      </c>
      <c r="AB6">
        <v>0</v>
      </c>
      <c r="AC6">
        <v>0</v>
      </c>
      <c r="AD6">
        <v>0</v>
      </c>
      <c r="AE6">
        <v>0</v>
      </c>
    </row>
    <row r="7" spans="1:31">
      <c r="A7" t="s">
        <v>21</v>
      </c>
      <c r="B7">
        <v>0</v>
      </c>
      <c r="C7">
        <v>0</v>
      </c>
      <c r="D7">
        <v>0</v>
      </c>
      <c r="E7">
        <v>0</v>
      </c>
      <c r="F7">
        <v>0</v>
      </c>
      <c r="G7">
        <v>0</v>
      </c>
      <c r="H7">
        <v>0</v>
      </c>
      <c r="I7">
        <v>0</v>
      </c>
      <c r="J7">
        <v>0</v>
      </c>
      <c r="K7">
        <v>0</v>
      </c>
      <c r="L7">
        <v>0</v>
      </c>
      <c r="M7">
        <v>0</v>
      </c>
      <c r="N7">
        <v>0</v>
      </c>
      <c r="O7">
        <v>0</v>
      </c>
      <c r="P7">
        <v>0</v>
      </c>
      <c r="Q7">
        <v>0</v>
      </c>
      <c r="R7">
        <v>0</v>
      </c>
      <c r="S7">
        <v>0</v>
      </c>
      <c r="T7">
        <v>0</v>
      </c>
      <c r="U7">
        <v>0</v>
      </c>
      <c r="V7">
        <v>0</v>
      </c>
      <c r="W7">
        <v>0</v>
      </c>
      <c r="X7">
        <v>0</v>
      </c>
      <c r="Y7">
        <v>0</v>
      </c>
      <c r="Z7">
        <v>0</v>
      </c>
      <c r="AA7">
        <v>0</v>
      </c>
      <c r="AB7">
        <v>0</v>
      </c>
      <c r="AC7">
        <v>0</v>
      </c>
      <c r="AD7">
        <v>0</v>
      </c>
      <c r="AE7">
        <v>0</v>
      </c>
    </row>
    <row r="8" spans="1:31">
      <c r="A8" t="s">
        <v>20</v>
      </c>
      <c r="B8">
        <v>0</v>
      </c>
      <c r="C8">
        <v>0</v>
      </c>
      <c r="D8">
        <v>0</v>
      </c>
      <c r="E8">
        <v>0</v>
      </c>
      <c r="F8">
        <v>0</v>
      </c>
      <c r="G8">
        <v>0</v>
      </c>
      <c r="H8">
        <v>0</v>
      </c>
      <c r="I8">
        <v>0</v>
      </c>
      <c r="J8">
        <v>0</v>
      </c>
      <c r="K8">
        <v>0</v>
      </c>
      <c r="L8">
        <v>0</v>
      </c>
      <c r="M8">
        <v>0</v>
      </c>
      <c r="N8">
        <v>0</v>
      </c>
      <c r="O8">
        <v>0</v>
      </c>
      <c r="P8">
        <v>0</v>
      </c>
      <c r="Q8">
        <v>0</v>
      </c>
      <c r="R8">
        <v>0</v>
      </c>
      <c r="S8">
        <v>0</v>
      </c>
      <c r="T8">
        <v>0</v>
      </c>
      <c r="U8">
        <v>0</v>
      </c>
      <c r="V8">
        <v>0</v>
      </c>
      <c r="W8">
        <v>0</v>
      </c>
      <c r="X8">
        <v>0</v>
      </c>
      <c r="Y8">
        <v>0</v>
      </c>
      <c r="Z8">
        <v>0</v>
      </c>
      <c r="AA8">
        <v>0</v>
      </c>
      <c r="AB8">
        <v>0</v>
      </c>
      <c r="AC8">
        <v>0</v>
      </c>
      <c r="AD8">
        <v>0</v>
      </c>
      <c r="AE8">
        <v>0</v>
      </c>
    </row>
    <row r="9" spans="1:31">
      <c r="A9" t="s">
        <v>82</v>
      </c>
      <c r="B9">
        <v>0</v>
      </c>
      <c r="C9">
        <v>0</v>
      </c>
      <c r="D9">
        <v>0</v>
      </c>
      <c r="E9">
        <v>0</v>
      </c>
      <c r="F9">
        <v>0</v>
      </c>
      <c r="G9">
        <v>0</v>
      </c>
      <c r="H9">
        <v>0</v>
      </c>
      <c r="I9">
        <v>0</v>
      </c>
      <c r="J9">
        <v>0</v>
      </c>
      <c r="K9">
        <v>0</v>
      </c>
      <c r="L9">
        <v>0</v>
      </c>
      <c r="M9">
        <v>0</v>
      </c>
      <c r="N9">
        <v>0</v>
      </c>
      <c r="O9">
        <v>0</v>
      </c>
      <c r="P9">
        <v>0</v>
      </c>
      <c r="Q9">
        <v>0</v>
      </c>
      <c r="R9">
        <v>0</v>
      </c>
      <c r="S9">
        <v>0</v>
      </c>
      <c r="T9">
        <v>0</v>
      </c>
      <c r="U9">
        <v>0</v>
      </c>
      <c r="V9">
        <v>0</v>
      </c>
      <c r="W9">
        <v>0</v>
      </c>
      <c r="X9">
        <v>0</v>
      </c>
      <c r="Y9">
        <v>0</v>
      </c>
      <c r="Z9">
        <v>0</v>
      </c>
      <c r="AA9">
        <v>0</v>
      </c>
      <c r="AB9">
        <v>0</v>
      </c>
      <c r="AC9">
        <v>0</v>
      </c>
      <c r="AD9">
        <v>0</v>
      </c>
      <c r="AE9">
        <v>0</v>
      </c>
    </row>
    <row r="10" spans="1:31">
      <c r="A10" t="s">
        <v>83</v>
      </c>
      <c r="B10">
        <v>0</v>
      </c>
      <c r="C10">
        <v>0</v>
      </c>
      <c r="D10">
        <v>0</v>
      </c>
      <c r="E10">
        <v>0</v>
      </c>
      <c r="F10">
        <v>0</v>
      </c>
      <c r="G10">
        <v>0</v>
      </c>
      <c r="H10">
        <v>0</v>
      </c>
      <c r="I10">
        <v>0</v>
      </c>
      <c r="J10">
        <v>0</v>
      </c>
      <c r="K10">
        <v>0</v>
      </c>
      <c r="L10">
        <v>0</v>
      </c>
      <c r="M10">
        <v>0</v>
      </c>
      <c r="N10">
        <v>0</v>
      </c>
      <c r="O10">
        <v>0</v>
      </c>
      <c r="P10">
        <v>0</v>
      </c>
      <c r="Q10">
        <v>0</v>
      </c>
      <c r="R10">
        <v>0</v>
      </c>
      <c r="S10">
        <v>0</v>
      </c>
      <c r="T10">
        <v>0</v>
      </c>
      <c r="U10">
        <v>0</v>
      </c>
      <c r="V10">
        <v>0</v>
      </c>
      <c r="W10">
        <v>0</v>
      </c>
      <c r="X10">
        <v>0</v>
      </c>
      <c r="Y10">
        <v>0</v>
      </c>
      <c r="Z10">
        <v>0</v>
      </c>
      <c r="AA10">
        <v>0</v>
      </c>
      <c r="AB10">
        <v>0</v>
      </c>
      <c r="AC10">
        <v>0</v>
      </c>
      <c r="AD10">
        <v>0</v>
      </c>
      <c r="AE10">
        <v>0</v>
      </c>
    </row>
    <row r="11" spans="1:31">
      <c r="A11" t="s">
        <v>84</v>
      </c>
      <c r="B11">
        <v>0</v>
      </c>
      <c r="C11">
        <v>0</v>
      </c>
      <c r="D11">
        <v>0</v>
      </c>
      <c r="E11">
        <v>0</v>
      </c>
      <c r="F11">
        <v>0</v>
      </c>
      <c r="G11">
        <v>0</v>
      </c>
      <c r="H11">
        <v>0</v>
      </c>
      <c r="I11">
        <v>0</v>
      </c>
      <c r="J11">
        <v>0</v>
      </c>
      <c r="K11">
        <v>0</v>
      </c>
      <c r="L11">
        <v>0</v>
      </c>
      <c r="M11">
        <v>0</v>
      </c>
      <c r="N11">
        <v>0</v>
      </c>
      <c r="O11">
        <v>0</v>
      </c>
      <c r="P11">
        <v>0</v>
      </c>
      <c r="Q11">
        <v>0</v>
      </c>
      <c r="R11">
        <v>0</v>
      </c>
      <c r="S11">
        <v>0</v>
      </c>
      <c r="T11">
        <v>0</v>
      </c>
      <c r="U11">
        <v>0</v>
      </c>
      <c r="V11">
        <v>0</v>
      </c>
      <c r="W11">
        <v>0</v>
      </c>
      <c r="X11">
        <v>0</v>
      </c>
      <c r="Y11">
        <v>0</v>
      </c>
      <c r="Z11">
        <v>0</v>
      </c>
      <c r="AA11">
        <v>0</v>
      </c>
      <c r="AB11">
        <v>0</v>
      </c>
      <c r="AC11">
        <v>0</v>
      </c>
      <c r="AD11">
        <v>0</v>
      </c>
      <c r="AE11">
        <v>0</v>
      </c>
    </row>
  </sheetData>
  <pageMargins left="0.7" right="0.7" top="0.75" bottom="0.75" header="0.3" footer="0.3"/>
</worksheet>
</file>

<file path=xl/worksheets/sheet5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800-000000000000}">
  <sheetPr>
    <tabColor theme="3"/>
  </sheetPr>
  <dimension ref="A1:AE11"/>
  <sheetViews>
    <sheetView workbookViewId="0">
      <selection activeCell="A11" sqref="A11"/>
    </sheetView>
  </sheetViews>
  <sheetFormatPr defaultRowHeight="14.25"/>
  <cols>
    <col min="1" max="1" width="22.53125" customWidth="1"/>
  </cols>
  <sheetData>
    <row r="1" spans="1:31" ht="28.5">
      <c r="A1" s="10" t="s">
        <v>85</v>
      </c>
      <c r="B1">
        <v>2021</v>
      </c>
      <c r="C1">
        <v>2022</v>
      </c>
      <c r="D1">
        <v>2023</v>
      </c>
      <c r="E1">
        <v>2024</v>
      </c>
      <c r="F1">
        <v>2025</v>
      </c>
      <c r="G1">
        <v>2026</v>
      </c>
      <c r="H1">
        <v>2027</v>
      </c>
      <c r="I1">
        <v>2028</v>
      </c>
      <c r="J1">
        <v>2029</v>
      </c>
      <c r="K1">
        <v>2030</v>
      </c>
      <c r="L1">
        <v>2031</v>
      </c>
      <c r="M1">
        <v>2032</v>
      </c>
      <c r="N1">
        <v>2033</v>
      </c>
      <c r="O1">
        <v>2034</v>
      </c>
      <c r="P1">
        <v>2035</v>
      </c>
      <c r="Q1">
        <v>2036</v>
      </c>
      <c r="R1">
        <v>2037</v>
      </c>
      <c r="S1">
        <v>2038</v>
      </c>
      <c r="T1">
        <v>2039</v>
      </c>
      <c r="U1">
        <v>2040</v>
      </c>
      <c r="V1">
        <v>2041</v>
      </c>
      <c r="W1">
        <v>2042</v>
      </c>
      <c r="X1">
        <v>2043</v>
      </c>
      <c r="Y1">
        <v>2044</v>
      </c>
      <c r="Z1">
        <v>2045</v>
      </c>
      <c r="AA1">
        <v>2046</v>
      </c>
      <c r="AB1">
        <v>2047</v>
      </c>
      <c r="AC1">
        <v>2048</v>
      </c>
      <c r="AD1">
        <v>2049</v>
      </c>
      <c r="AE1">
        <v>2050</v>
      </c>
    </row>
    <row r="2" spans="1:31">
      <c r="A2" t="s">
        <v>15</v>
      </c>
      <c r="B2">
        <v>0</v>
      </c>
      <c r="C2">
        <v>0</v>
      </c>
      <c r="D2">
        <v>0</v>
      </c>
      <c r="E2">
        <v>0</v>
      </c>
      <c r="F2">
        <v>0</v>
      </c>
      <c r="G2">
        <v>0</v>
      </c>
      <c r="H2">
        <v>0</v>
      </c>
      <c r="I2">
        <v>0</v>
      </c>
      <c r="J2">
        <v>0</v>
      </c>
      <c r="K2">
        <v>0</v>
      </c>
      <c r="L2">
        <v>0</v>
      </c>
      <c r="M2">
        <v>0</v>
      </c>
      <c r="N2">
        <v>0</v>
      </c>
      <c r="O2">
        <v>0</v>
      </c>
      <c r="P2">
        <v>0</v>
      </c>
      <c r="Q2">
        <v>0</v>
      </c>
      <c r="R2">
        <v>0</v>
      </c>
      <c r="S2">
        <v>0</v>
      </c>
      <c r="T2">
        <v>0</v>
      </c>
      <c r="U2">
        <v>0</v>
      </c>
      <c r="V2">
        <v>0</v>
      </c>
      <c r="W2">
        <v>0</v>
      </c>
      <c r="X2">
        <v>0</v>
      </c>
      <c r="Y2">
        <v>0</v>
      </c>
      <c r="Z2">
        <v>0</v>
      </c>
      <c r="AA2">
        <v>0</v>
      </c>
      <c r="AB2">
        <v>0</v>
      </c>
      <c r="AC2">
        <v>0</v>
      </c>
      <c r="AD2">
        <v>0</v>
      </c>
      <c r="AE2">
        <v>0</v>
      </c>
    </row>
    <row r="3" spans="1:31">
      <c r="A3" t="s">
        <v>16</v>
      </c>
      <c r="B3">
        <v>0</v>
      </c>
      <c r="C3">
        <v>0</v>
      </c>
      <c r="D3">
        <v>0</v>
      </c>
      <c r="E3">
        <v>0</v>
      </c>
      <c r="F3">
        <v>0</v>
      </c>
      <c r="G3">
        <v>0</v>
      </c>
      <c r="H3">
        <v>0</v>
      </c>
      <c r="I3">
        <v>0</v>
      </c>
      <c r="J3">
        <v>0</v>
      </c>
      <c r="K3">
        <v>0</v>
      </c>
      <c r="L3">
        <v>0</v>
      </c>
      <c r="M3">
        <v>0</v>
      </c>
      <c r="N3">
        <v>0</v>
      </c>
      <c r="O3">
        <v>0</v>
      </c>
      <c r="P3">
        <v>0</v>
      </c>
      <c r="Q3">
        <v>0</v>
      </c>
      <c r="R3">
        <v>0</v>
      </c>
      <c r="S3">
        <v>0</v>
      </c>
      <c r="T3">
        <v>0</v>
      </c>
      <c r="U3">
        <v>0</v>
      </c>
      <c r="V3">
        <v>0</v>
      </c>
      <c r="W3">
        <v>0</v>
      </c>
      <c r="X3">
        <v>0</v>
      </c>
      <c r="Y3">
        <v>0</v>
      </c>
      <c r="Z3">
        <v>0</v>
      </c>
      <c r="AA3">
        <v>0</v>
      </c>
      <c r="AB3">
        <v>0</v>
      </c>
      <c r="AC3">
        <v>0</v>
      </c>
      <c r="AD3">
        <v>0</v>
      </c>
      <c r="AE3">
        <v>0</v>
      </c>
    </row>
    <row r="4" spans="1:31">
      <c r="A4" t="s">
        <v>17</v>
      </c>
      <c r="B4">
        <v>1</v>
      </c>
      <c r="C4">
        <v>1</v>
      </c>
      <c r="D4">
        <v>1</v>
      </c>
      <c r="E4">
        <v>1</v>
      </c>
      <c r="F4">
        <v>1</v>
      </c>
      <c r="G4">
        <v>1</v>
      </c>
      <c r="H4">
        <v>1</v>
      </c>
      <c r="I4">
        <v>1</v>
      </c>
      <c r="J4">
        <v>1</v>
      </c>
      <c r="K4">
        <v>1</v>
      </c>
      <c r="L4">
        <v>1</v>
      </c>
      <c r="M4">
        <v>1</v>
      </c>
      <c r="N4">
        <v>1</v>
      </c>
      <c r="O4">
        <v>1</v>
      </c>
      <c r="P4">
        <v>1</v>
      </c>
      <c r="Q4">
        <v>1</v>
      </c>
      <c r="R4">
        <v>1</v>
      </c>
      <c r="S4">
        <v>1</v>
      </c>
      <c r="T4">
        <v>1</v>
      </c>
      <c r="U4">
        <v>1</v>
      </c>
      <c r="V4">
        <v>1</v>
      </c>
      <c r="W4">
        <v>1</v>
      </c>
      <c r="X4">
        <v>1</v>
      </c>
      <c r="Y4">
        <v>1</v>
      </c>
      <c r="Z4">
        <v>1</v>
      </c>
      <c r="AA4">
        <v>1</v>
      </c>
      <c r="AB4">
        <v>1</v>
      </c>
      <c r="AC4">
        <v>1</v>
      </c>
      <c r="AD4">
        <v>1</v>
      </c>
      <c r="AE4">
        <v>1</v>
      </c>
    </row>
    <row r="5" spans="1:31">
      <c r="A5" t="s">
        <v>18</v>
      </c>
      <c r="B5">
        <v>0</v>
      </c>
      <c r="C5">
        <v>0</v>
      </c>
      <c r="D5">
        <v>0</v>
      </c>
      <c r="E5">
        <v>0</v>
      </c>
      <c r="F5">
        <v>0</v>
      </c>
      <c r="G5">
        <v>0</v>
      </c>
      <c r="H5">
        <v>0</v>
      </c>
      <c r="I5">
        <v>0</v>
      </c>
      <c r="J5">
        <v>0</v>
      </c>
      <c r="K5">
        <v>0</v>
      </c>
      <c r="L5">
        <v>0</v>
      </c>
      <c r="M5">
        <v>0</v>
      </c>
      <c r="N5">
        <v>0</v>
      </c>
      <c r="O5">
        <v>0</v>
      </c>
      <c r="P5">
        <v>0</v>
      </c>
      <c r="Q5">
        <v>0</v>
      </c>
      <c r="R5">
        <v>0</v>
      </c>
      <c r="S5">
        <v>0</v>
      </c>
      <c r="T5">
        <v>0</v>
      </c>
      <c r="U5">
        <v>0</v>
      </c>
      <c r="V5">
        <v>0</v>
      </c>
      <c r="W5">
        <v>0</v>
      </c>
      <c r="X5">
        <v>0</v>
      </c>
      <c r="Y5">
        <v>0</v>
      </c>
      <c r="Z5">
        <v>0</v>
      </c>
      <c r="AA5">
        <v>0</v>
      </c>
      <c r="AB5">
        <v>0</v>
      </c>
      <c r="AC5">
        <v>0</v>
      </c>
      <c r="AD5">
        <v>0</v>
      </c>
      <c r="AE5">
        <v>0</v>
      </c>
    </row>
    <row r="6" spans="1:31">
      <c r="A6" t="s">
        <v>19</v>
      </c>
      <c r="B6">
        <v>0</v>
      </c>
      <c r="C6">
        <v>0</v>
      </c>
      <c r="D6">
        <v>0</v>
      </c>
      <c r="E6">
        <v>0</v>
      </c>
      <c r="F6">
        <v>0</v>
      </c>
      <c r="G6">
        <v>0</v>
      </c>
      <c r="H6">
        <v>0</v>
      </c>
      <c r="I6">
        <v>0</v>
      </c>
      <c r="J6">
        <v>0</v>
      </c>
      <c r="K6">
        <v>0</v>
      </c>
      <c r="L6">
        <v>0</v>
      </c>
      <c r="M6">
        <v>0</v>
      </c>
      <c r="N6">
        <v>0</v>
      </c>
      <c r="O6">
        <v>0</v>
      </c>
      <c r="P6">
        <v>0</v>
      </c>
      <c r="Q6">
        <v>0</v>
      </c>
      <c r="R6">
        <v>0</v>
      </c>
      <c r="S6">
        <v>0</v>
      </c>
      <c r="T6">
        <v>0</v>
      </c>
      <c r="U6">
        <v>0</v>
      </c>
      <c r="V6">
        <v>0</v>
      </c>
      <c r="W6">
        <v>0</v>
      </c>
      <c r="X6">
        <v>0</v>
      </c>
      <c r="Y6">
        <v>0</v>
      </c>
      <c r="Z6">
        <v>0</v>
      </c>
      <c r="AA6">
        <v>0</v>
      </c>
      <c r="AB6">
        <v>0</v>
      </c>
      <c r="AC6">
        <v>0</v>
      </c>
      <c r="AD6">
        <v>0</v>
      </c>
      <c r="AE6">
        <v>0</v>
      </c>
    </row>
    <row r="7" spans="1:31">
      <c r="A7" t="s">
        <v>21</v>
      </c>
      <c r="B7">
        <v>0</v>
      </c>
      <c r="C7">
        <v>0</v>
      </c>
      <c r="D7">
        <v>0</v>
      </c>
      <c r="E7">
        <v>0</v>
      </c>
      <c r="F7">
        <v>0</v>
      </c>
      <c r="G7">
        <v>0</v>
      </c>
      <c r="H7">
        <v>0</v>
      </c>
      <c r="I7">
        <v>0</v>
      </c>
      <c r="J7">
        <v>0</v>
      </c>
      <c r="K7">
        <v>0</v>
      </c>
      <c r="L7">
        <v>0</v>
      </c>
      <c r="M7">
        <v>0</v>
      </c>
      <c r="N7">
        <v>0</v>
      </c>
      <c r="O7">
        <v>0</v>
      </c>
      <c r="P7">
        <v>0</v>
      </c>
      <c r="Q7">
        <v>0</v>
      </c>
      <c r="R7">
        <v>0</v>
      </c>
      <c r="S7">
        <v>0</v>
      </c>
      <c r="T7">
        <v>0</v>
      </c>
      <c r="U7">
        <v>0</v>
      </c>
      <c r="V7">
        <v>0</v>
      </c>
      <c r="W7">
        <v>0</v>
      </c>
      <c r="X7">
        <v>0</v>
      </c>
      <c r="Y7">
        <v>0</v>
      </c>
      <c r="Z7">
        <v>0</v>
      </c>
      <c r="AA7">
        <v>0</v>
      </c>
      <c r="AB7">
        <v>0</v>
      </c>
      <c r="AC7">
        <v>0</v>
      </c>
      <c r="AD7">
        <v>0</v>
      </c>
      <c r="AE7">
        <v>0</v>
      </c>
    </row>
    <row r="8" spans="1:31">
      <c r="A8" t="s">
        <v>20</v>
      </c>
      <c r="B8">
        <v>0</v>
      </c>
      <c r="C8">
        <v>0</v>
      </c>
      <c r="D8">
        <v>0</v>
      </c>
      <c r="E8">
        <v>0</v>
      </c>
      <c r="F8">
        <v>0</v>
      </c>
      <c r="G8">
        <v>0</v>
      </c>
      <c r="H8">
        <v>0</v>
      </c>
      <c r="I8">
        <v>0</v>
      </c>
      <c r="J8">
        <v>0</v>
      </c>
      <c r="K8">
        <v>0</v>
      </c>
      <c r="L8">
        <v>0</v>
      </c>
      <c r="M8">
        <v>0</v>
      </c>
      <c r="N8">
        <v>0</v>
      </c>
      <c r="O8">
        <v>0</v>
      </c>
      <c r="P8">
        <v>0</v>
      </c>
      <c r="Q8">
        <v>0</v>
      </c>
      <c r="R8">
        <v>0</v>
      </c>
      <c r="S8">
        <v>0</v>
      </c>
      <c r="T8">
        <v>0</v>
      </c>
      <c r="U8">
        <v>0</v>
      </c>
      <c r="V8">
        <v>0</v>
      </c>
      <c r="W8">
        <v>0</v>
      </c>
      <c r="X8">
        <v>0</v>
      </c>
      <c r="Y8">
        <v>0</v>
      </c>
      <c r="Z8">
        <v>0</v>
      </c>
      <c r="AA8">
        <v>0</v>
      </c>
      <c r="AB8">
        <v>0</v>
      </c>
      <c r="AC8">
        <v>0</v>
      </c>
      <c r="AD8">
        <v>0</v>
      </c>
      <c r="AE8">
        <v>0</v>
      </c>
    </row>
    <row r="9" spans="1:31">
      <c r="A9" t="s">
        <v>82</v>
      </c>
      <c r="B9">
        <v>0</v>
      </c>
      <c r="C9">
        <v>0</v>
      </c>
      <c r="D9">
        <v>0</v>
      </c>
      <c r="E9">
        <v>0</v>
      </c>
      <c r="F9">
        <v>0</v>
      </c>
      <c r="G9">
        <v>0</v>
      </c>
      <c r="H9">
        <v>0</v>
      </c>
      <c r="I9">
        <v>0</v>
      </c>
      <c r="J9">
        <v>0</v>
      </c>
      <c r="K9">
        <v>0</v>
      </c>
      <c r="L9">
        <v>0</v>
      </c>
      <c r="M9">
        <v>0</v>
      </c>
      <c r="N9">
        <v>0</v>
      </c>
      <c r="O9">
        <v>0</v>
      </c>
      <c r="P9">
        <v>0</v>
      </c>
      <c r="Q9">
        <v>0</v>
      </c>
      <c r="R9">
        <v>0</v>
      </c>
      <c r="S9">
        <v>0</v>
      </c>
      <c r="T9">
        <v>0</v>
      </c>
      <c r="U9">
        <v>0</v>
      </c>
      <c r="V9">
        <v>0</v>
      </c>
      <c r="W9">
        <v>0</v>
      </c>
      <c r="X9">
        <v>0</v>
      </c>
      <c r="Y9">
        <v>0</v>
      </c>
      <c r="Z9">
        <v>0</v>
      </c>
      <c r="AA9">
        <v>0</v>
      </c>
      <c r="AB9">
        <v>0</v>
      </c>
      <c r="AC9">
        <v>0</v>
      </c>
      <c r="AD9">
        <v>0</v>
      </c>
      <c r="AE9">
        <v>0</v>
      </c>
    </row>
    <row r="10" spans="1:31">
      <c r="A10" t="s">
        <v>83</v>
      </c>
      <c r="B10">
        <v>0</v>
      </c>
      <c r="C10">
        <v>0</v>
      </c>
      <c r="D10">
        <v>0</v>
      </c>
      <c r="E10">
        <v>0</v>
      </c>
      <c r="F10">
        <v>0</v>
      </c>
      <c r="G10">
        <v>0</v>
      </c>
      <c r="H10">
        <v>0</v>
      </c>
      <c r="I10">
        <v>0</v>
      </c>
      <c r="J10">
        <v>0</v>
      </c>
      <c r="K10">
        <v>0</v>
      </c>
      <c r="L10">
        <v>0</v>
      </c>
      <c r="M10">
        <v>0</v>
      </c>
      <c r="N10">
        <v>0</v>
      </c>
      <c r="O10">
        <v>0</v>
      </c>
      <c r="P10">
        <v>0</v>
      </c>
      <c r="Q10">
        <v>0</v>
      </c>
      <c r="R10">
        <v>0</v>
      </c>
      <c r="S10">
        <v>0</v>
      </c>
      <c r="T10">
        <v>0</v>
      </c>
      <c r="U10">
        <v>0</v>
      </c>
      <c r="V10">
        <v>0</v>
      </c>
      <c r="W10">
        <v>0</v>
      </c>
      <c r="X10">
        <v>0</v>
      </c>
      <c r="Y10">
        <v>0</v>
      </c>
      <c r="Z10">
        <v>0</v>
      </c>
      <c r="AA10">
        <v>0</v>
      </c>
      <c r="AB10">
        <v>0</v>
      </c>
      <c r="AC10">
        <v>0</v>
      </c>
      <c r="AD10">
        <v>0</v>
      </c>
      <c r="AE10">
        <v>0</v>
      </c>
    </row>
    <row r="11" spans="1:31">
      <c r="A11" t="s">
        <v>84</v>
      </c>
      <c r="B11">
        <v>0</v>
      </c>
      <c r="C11">
        <v>0</v>
      </c>
      <c r="D11">
        <v>0</v>
      </c>
      <c r="E11">
        <v>0</v>
      </c>
      <c r="F11">
        <v>0</v>
      </c>
      <c r="G11">
        <v>0</v>
      </c>
      <c r="H11">
        <v>0</v>
      </c>
      <c r="I11">
        <v>0</v>
      </c>
      <c r="J11">
        <v>0</v>
      </c>
      <c r="K11">
        <v>0</v>
      </c>
      <c r="L11">
        <v>0</v>
      </c>
      <c r="M11">
        <v>0</v>
      </c>
      <c r="N11">
        <v>0</v>
      </c>
      <c r="O11">
        <v>0</v>
      </c>
      <c r="P11">
        <v>0</v>
      </c>
      <c r="Q11">
        <v>0</v>
      </c>
      <c r="R11">
        <v>0</v>
      </c>
      <c r="S11">
        <v>0</v>
      </c>
      <c r="T11">
        <v>0</v>
      </c>
      <c r="U11">
        <v>0</v>
      </c>
      <c r="V11">
        <v>0</v>
      </c>
      <c r="W11">
        <v>0</v>
      </c>
      <c r="X11">
        <v>0</v>
      </c>
      <c r="Y11">
        <v>0</v>
      </c>
      <c r="Z11">
        <v>0</v>
      </c>
      <c r="AA11">
        <v>0</v>
      </c>
      <c r="AB11">
        <v>0</v>
      </c>
      <c r="AC11">
        <v>0</v>
      </c>
      <c r="AD11">
        <v>0</v>
      </c>
      <c r="AE11">
        <v>0</v>
      </c>
    </row>
  </sheetData>
  <pageMargins left="0.7" right="0.7" top="0.75" bottom="0.75" header="0.3" footer="0.3"/>
</worksheet>
</file>

<file path=xl/worksheets/sheet5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900-000000000000}">
  <sheetPr>
    <tabColor theme="3"/>
  </sheetPr>
  <dimension ref="A1:AE11"/>
  <sheetViews>
    <sheetView workbookViewId="0"/>
  </sheetViews>
  <sheetFormatPr defaultRowHeight="14.25"/>
  <cols>
    <col min="1" max="1" width="22.53125" customWidth="1"/>
  </cols>
  <sheetData>
    <row r="1" spans="1:31" ht="28.5">
      <c r="A1" s="10" t="s">
        <v>85</v>
      </c>
      <c r="B1">
        <v>2021</v>
      </c>
      <c r="C1">
        <v>2022</v>
      </c>
      <c r="D1">
        <v>2023</v>
      </c>
      <c r="E1">
        <v>2024</v>
      </c>
      <c r="F1">
        <v>2025</v>
      </c>
      <c r="G1">
        <v>2026</v>
      </c>
      <c r="H1">
        <v>2027</v>
      </c>
      <c r="I1">
        <v>2028</v>
      </c>
      <c r="J1">
        <v>2029</v>
      </c>
      <c r="K1">
        <v>2030</v>
      </c>
      <c r="L1">
        <v>2031</v>
      </c>
      <c r="M1">
        <v>2032</v>
      </c>
      <c r="N1">
        <v>2033</v>
      </c>
      <c r="O1">
        <v>2034</v>
      </c>
      <c r="P1">
        <v>2035</v>
      </c>
      <c r="Q1">
        <v>2036</v>
      </c>
      <c r="R1">
        <v>2037</v>
      </c>
      <c r="S1">
        <v>2038</v>
      </c>
      <c r="T1">
        <v>2039</v>
      </c>
      <c r="U1">
        <v>2040</v>
      </c>
      <c r="V1">
        <v>2041</v>
      </c>
      <c r="W1">
        <v>2042</v>
      </c>
      <c r="X1">
        <v>2043</v>
      </c>
      <c r="Y1">
        <v>2044</v>
      </c>
      <c r="Z1">
        <v>2045</v>
      </c>
      <c r="AA1">
        <v>2046</v>
      </c>
      <c r="AB1">
        <v>2047</v>
      </c>
      <c r="AC1">
        <v>2048</v>
      </c>
      <c r="AD1">
        <v>2049</v>
      </c>
      <c r="AE1">
        <v>2050</v>
      </c>
    </row>
    <row r="2" spans="1:31">
      <c r="A2" t="s">
        <v>15</v>
      </c>
      <c r="B2">
        <v>0</v>
      </c>
      <c r="C2">
        <v>0</v>
      </c>
      <c r="D2">
        <v>0</v>
      </c>
      <c r="E2">
        <v>0</v>
      </c>
      <c r="F2">
        <v>0</v>
      </c>
      <c r="G2">
        <v>0</v>
      </c>
      <c r="H2">
        <v>0</v>
      </c>
      <c r="I2">
        <v>0</v>
      </c>
      <c r="J2">
        <v>0</v>
      </c>
      <c r="K2">
        <v>0</v>
      </c>
      <c r="L2">
        <v>0</v>
      </c>
      <c r="M2">
        <v>0</v>
      </c>
      <c r="N2">
        <v>0</v>
      </c>
      <c r="O2">
        <v>0</v>
      </c>
      <c r="P2">
        <v>0</v>
      </c>
      <c r="Q2">
        <v>0</v>
      </c>
      <c r="R2">
        <v>0</v>
      </c>
      <c r="S2">
        <v>0</v>
      </c>
      <c r="T2">
        <v>0</v>
      </c>
      <c r="U2">
        <v>0</v>
      </c>
      <c r="V2">
        <v>0</v>
      </c>
      <c r="W2">
        <v>0</v>
      </c>
      <c r="X2">
        <v>0</v>
      </c>
      <c r="Y2">
        <v>0</v>
      </c>
      <c r="Z2">
        <v>0</v>
      </c>
      <c r="AA2">
        <v>0</v>
      </c>
      <c r="AB2">
        <v>0</v>
      </c>
      <c r="AC2">
        <v>0</v>
      </c>
      <c r="AD2">
        <v>0</v>
      </c>
      <c r="AE2">
        <v>0</v>
      </c>
    </row>
    <row r="3" spans="1:31">
      <c r="A3" t="s">
        <v>16</v>
      </c>
      <c r="B3">
        <v>0</v>
      </c>
      <c r="C3">
        <v>0</v>
      </c>
      <c r="D3">
        <v>0</v>
      </c>
      <c r="E3">
        <v>0</v>
      </c>
      <c r="F3">
        <v>0</v>
      </c>
      <c r="G3">
        <v>0</v>
      </c>
      <c r="H3">
        <v>0</v>
      </c>
      <c r="I3">
        <v>0</v>
      </c>
      <c r="J3">
        <v>0</v>
      </c>
      <c r="K3">
        <v>0</v>
      </c>
      <c r="L3">
        <v>0</v>
      </c>
      <c r="M3">
        <v>0</v>
      </c>
      <c r="N3">
        <v>0</v>
      </c>
      <c r="O3">
        <v>0</v>
      </c>
      <c r="P3">
        <v>0</v>
      </c>
      <c r="Q3">
        <v>0</v>
      </c>
      <c r="R3">
        <v>0</v>
      </c>
      <c r="S3">
        <v>0</v>
      </c>
      <c r="T3">
        <v>0</v>
      </c>
      <c r="U3">
        <v>0</v>
      </c>
      <c r="V3">
        <v>0</v>
      </c>
      <c r="W3">
        <v>0</v>
      </c>
      <c r="X3">
        <v>0</v>
      </c>
      <c r="Y3">
        <v>0</v>
      </c>
      <c r="Z3">
        <v>0</v>
      </c>
      <c r="AA3">
        <v>0</v>
      </c>
      <c r="AB3">
        <v>0</v>
      </c>
      <c r="AC3">
        <v>0</v>
      </c>
      <c r="AD3">
        <v>0</v>
      </c>
      <c r="AE3">
        <v>0</v>
      </c>
    </row>
    <row r="4" spans="1:31">
      <c r="A4" t="s">
        <v>17</v>
      </c>
      <c r="B4">
        <v>0</v>
      </c>
      <c r="C4">
        <v>0</v>
      </c>
      <c r="D4">
        <v>0</v>
      </c>
      <c r="E4">
        <v>0</v>
      </c>
      <c r="F4">
        <v>0</v>
      </c>
      <c r="G4">
        <v>0</v>
      </c>
      <c r="H4">
        <v>0</v>
      </c>
      <c r="I4">
        <v>0</v>
      </c>
      <c r="J4">
        <v>0</v>
      </c>
      <c r="K4">
        <v>0</v>
      </c>
      <c r="L4">
        <v>0</v>
      </c>
      <c r="M4">
        <v>0</v>
      </c>
      <c r="N4">
        <v>0</v>
      </c>
      <c r="O4">
        <v>0</v>
      </c>
      <c r="P4">
        <v>0</v>
      </c>
      <c r="Q4">
        <v>0</v>
      </c>
      <c r="R4">
        <v>0</v>
      </c>
      <c r="S4">
        <v>0</v>
      </c>
      <c r="T4">
        <v>0</v>
      </c>
      <c r="U4">
        <v>0</v>
      </c>
      <c r="V4">
        <v>0</v>
      </c>
      <c r="W4">
        <v>0</v>
      </c>
      <c r="X4">
        <v>0</v>
      </c>
      <c r="Y4">
        <v>0</v>
      </c>
      <c r="Z4">
        <v>0</v>
      </c>
      <c r="AA4">
        <v>0</v>
      </c>
      <c r="AB4">
        <v>0</v>
      </c>
      <c r="AC4">
        <v>0</v>
      </c>
      <c r="AD4">
        <v>0</v>
      </c>
      <c r="AE4">
        <v>0</v>
      </c>
    </row>
    <row r="5" spans="1:31">
      <c r="A5" t="s">
        <v>18</v>
      </c>
      <c r="B5">
        <v>0</v>
      </c>
      <c r="C5">
        <v>0</v>
      </c>
      <c r="D5">
        <v>0</v>
      </c>
      <c r="E5">
        <v>0</v>
      </c>
      <c r="F5">
        <v>0</v>
      </c>
      <c r="G5">
        <v>0</v>
      </c>
      <c r="H5">
        <v>0</v>
      </c>
      <c r="I5">
        <v>0</v>
      </c>
      <c r="J5">
        <v>0</v>
      </c>
      <c r="K5">
        <v>0</v>
      </c>
      <c r="L5">
        <v>0</v>
      </c>
      <c r="M5">
        <v>0</v>
      </c>
      <c r="N5">
        <v>0</v>
      </c>
      <c r="O5">
        <v>0</v>
      </c>
      <c r="P5">
        <v>0</v>
      </c>
      <c r="Q5">
        <v>0</v>
      </c>
      <c r="R5">
        <v>0</v>
      </c>
      <c r="S5">
        <v>0</v>
      </c>
      <c r="T5">
        <v>0</v>
      </c>
      <c r="U5">
        <v>0</v>
      </c>
      <c r="V5">
        <v>0</v>
      </c>
      <c r="W5">
        <v>0</v>
      </c>
      <c r="X5">
        <v>0</v>
      </c>
      <c r="Y5">
        <v>0</v>
      </c>
      <c r="Z5">
        <v>0</v>
      </c>
      <c r="AA5">
        <v>0</v>
      </c>
      <c r="AB5">
        <v>0</v>
      </c>
      <c r="AC5">
        <v>0</v>
      </c>
      <c r="AD5">
        <v>0</v>
      </c>
      <c r="AE5">
        <v>0</v>
      </c>
    </row>
    <row r="6" spans="1:31">
      <c r="A6" t="s">
        <v>19</v>
      </c>
      <c r="B6">
        <v>0</v>
      </c>
      <c r="C6">
        <v>0</v>
      </c>
      <c r="D6">
        <v>0</v>
      </c>
      <c r="E6">
        <v>0</v>
      </c>
      <c r="F6">
        <v>0</v>
      </c>
      <c r="G6">
        <v>0</v>
      </c>
      <c r="H6">
        <v>0</v>
      </c>
      <c r="I6">
        <v>0</v>
      </c>
      <c r="J6">
        <v>0</v>
      </c>
      <c r="K6">
        <v>0</v>
      </c>
      <c r="L6">
        <v>0</v>
      </c>
      <c r="M6">
        <v>0</v>
      </c>
      <c r="N6">
        <v>0</v>
      </c>
      <c r="O6">
        <v>0</v>
      </c>
      <c r="P6">
        <v>0</v>
      </c>
      <c r="Q6">
        <v>0</v>
      </c>
      <c r="R6">
        <v>0</v>
      </c>
      <c r="S6">
        <v>0</v>
      </c>
      <c r="T6">
        <v>0</v>
      </c>
      <c r="U6">
        <v>0</v>
      </c>
      <c r="V6">
        <v>0</v>
      </c>
      <c r="W6">
        <v>0</v>
      </c>
      <c r="X6">
        <v>0</v>
      </c>
      <c r="Y6">
        <v>0</v>
      </c>
      <c r="Z6">
        <v>0</v>
      </c>
      <c r="AA6">
        <v>0</v>
      </c>
      <c r="AB6">
        <v>0</v>
      </c>
      <c r="AC6">
        <v>0</v>
      </c>
      <c r="AD6">
        <v>0</v>
      </c>
      <c r="AE6">
        <v>0</v>
      </c>
    </row>
    <row r="7" spans="1:31">
      <c r="A7" t="s">
        <v>21</v>
      </c>
      <c r="B7">
        <v>0</v>
      </c>
      <c r="C7">
        <v>0</v>
      </c>
      <c r="D7">
        <v>0</v>
      </c>
      <c r="E7">
        <v>0</v>
      </c>
      <c r="F7">
        <v>0</v>
      </c>
      <c r="G7">
        <v>0</v>
      </c>
      <c r="H7">
        <v>0</v>
      </c>
      <c r="I7">
        <v>0</v>
      </c>
      <c r="J7">
        <v>0</v>
      </c>
      <c r="K7">
        <v>0</v>
      </c>
      <c r="L7">
        <v>0</v>
      </c>
      <c r="M7">
        <v>0</v>
      </c>
      <c r="N7">
        <v>0</v>
      </c>
      <c r="O7">
        <v>0</v>
      </c>
      <c r="P7">
        <v>0</v>
      </c>
      <c r="Q7">
        <v>0</v>
      </c>
      <c r="R7">
        <v>0</v>
      </c>
      <c r="S7">
        <v>0</v>
      </c>
      <c r="T7">
        <v>0</v>
      </c>
      <c r="U7">
        <v>0</v>
      </c>
      <c r="V7">
        <v>0</v>
      </c>
      <c r="W7">
        <v>0</v>
      </c>
      <c r="X7">
        <v>0</v>
      </c>
      <c r="Y7">
        <v>0</v>
      </c>
      <c r="Z7">
        <v>0</v>
      </c>
      <c r="AA7">
        <v>0</v>
      </c>
      <c r="AB7">
        <v>0</v>
      </c>
      <c r="AC7">
        <v>0</v>
      </c>
      <c r="AD7">
        <v>0</v>
      </c>
      <c r="AE7">
        <v>0</v>
      </c>
    </row>
    <row r="8" spans="1:31">
      <c r="A8" t="s">
        <v>20</v>
      </c>
      <c r="B8">
        <v>1</v>
      </c>
      <c r="C8">
        <v>1</v>
      </c>
      <c r="D8">
        <v>1</v>
      </c>
      <c r="E8">
        <v>1</v>
      </c>
      <c r="F8">
        <v>1</v>
      </c>
      <c r="G8">
        <v>1</v>
      </c>
      <c r="H8">
        <v>1</v>
      </c>
      <c r="I8">
        <v>1</v>
      </c>
      <c r="J8">
        <v>1</v>
      </c>
      <c r="K8">
        <v>1</v>
      </c>
      <c r="L8">
        <v>1</v>
      </c>
      <c r="M8">
        <v>1</v>
      </c>
      <c r="N8">
        <v>1</v>
      </c>
      <c r="O8">
        <v>1</v>
      </c>
      <c r="P8">
        <v>1</v>
      </c>
      <c r="Q8">
        <v>1</v>
      </c>
      <c r="R8">
        <v>1</v>
      </c>
      <c r="S8">
        <v>1</v>
      </c>
      <c r="T8">
        <v>1</v>
      </c>
      <c r="U8">
        <v>1</v>
      </c>
      <c r="V8">
        <v>1</v>
      </c>
      <c r="W8">
        <v>1</v>
      </c>
      <c r="X8">
        <v>1</v>
      </c>
      <c r="Y8">
        <v>1</v>
      </c>
      <c r="Z8">
        <v>1</v>
      </c>
      <c r="AA8">
        <v>1</v>
      </c>
      <c r="AB8">
        <v>1</v>
      </c>
      <c r="AC8">
        <v>1</v>
      </c>
      <c r="AD8">
        <v>1</v>
      </c>
      <c r="AE8">
        <v>1</v>
      </c>
    </row>
    <row r="9" spans="1:31">
      <c r="A9" t="s">
        <v>82</v>
      </c>
      <c r="B9">
        <v>0</v>
      </c>
      <c r="C9">
        <v>0</v>
      </c>
      <c r="D9">
        <v>0</v>
      </c>
      <c r="E9">
        <v>0</v>
      </c>
      <c r="F9">
        <v>0</v>
      </c>
      <c r="G9">
        <v>0</v>
      </c>
      <c r="H9">
        <v>0</v>
      </c>
      <c r="I9">
        <v>0</v>
      </c>
      <c r="J9">
        <v>0</v>
      </c>
      <c r="K9">
        <v>0</v>
      </c>
      <c r="L9">
        <v>0</v>
      </c>
      <c r="M9">
        <v>0</v>
      </c>
      <c r="N9">
        <v>0</v>
      </c>
      <c r="O9">
        <v>0</v>
      </c>
      <c r="P9">
        <v>0</v>
      </c>
      <c r="Q9">
        <v>0</v>
      </c>
      <c r="R9">
        <v>0</v>
      </c>
      <c r="S9">
        <v>0</v>
      </c>
      <c r="T9">
        <v>0</v>
      </c>
      <c r="U9">
        <v>0</v>
      </c>
      <c r="V9">
        <v>0</v>
      </c>
      <c r="W9">
        <v>0</v>
      </c>
      <c r="X9">
        <v>0</v>
      </c>
      <c r="Y9">
        <v>0</v>
      </c>
      <c r="Z9">
        <v>0</v>
      </c>
      <c r="AA9">
        <v>0</v>
      </c>
      <c r="AB9">
        <v>0</v>
      </c>
      <c r="AC9">
        <v>0</v>
      </c>
      <c r="AD9">
        <v>0</v>
      </c>
      <c r="AE9">
        <v>0</v>
      </c>
    </row>
    <row r="10" spans="1:31">
      <c r="A10" t="s">
        <v>83</v>
      </c>
      <c r="B10">
        <v>0</v>
      </c>
      <c r="C10">
        <v>0</v>
      </c>
      <c r="D10">
        <v>0</v>
      </c>
      <c r="E10">
        <v>0</v>
      </c>
      <c r="F10">
        <v>0</v>
      </c>
      <c r="G10">
        <v>0</v>
      </c>
      <c r="H10">
        <v>0</v>
      </c>
      <c r="I10">
        <v>0</v>
      </c>
      <c r="J10">
        <v>0</v>
      </c>
      <c r="K10">
        <v>0</v>
      </c>
      <c r="L10">
        <v>0</v>
      </c>
      <c r="M10">
        <v>0</v>
      </c>
      <c r="N10">
        <v>0</v>
      </c>
      <c r="O10">
        <v>0</v>
      </c>
      <c r="P10">
        <v>0</v>
      </c>
      <c r="Q10">
        <v>0</v>
      </c>
      <c r="R10">
        <v>0</v>
      </c>
      <c r="S10">
        <v>0</v>
      </c>
      <c r="T10">
        <v>0</v>
      </c>
      <c r="U10">
        <v>0</v>
      </c>
      <c r="V10">
        <v>0</v>
      </c>
      <c r="W10">
        <v>0</v>
      </c>
      <c r="X10">
        <v>0</v>
      </c>
      <c r="Y10">
        <v>0</v>
      </c>
      <c r="Z10">
        <v>0</v>
      </c>
      <c r="AA10">
        <v>0</v>
      </c>
      <c r="AB10">
        <v>0</v>
      </c>
      <c r="AC10">
        <v>0</v>
      </c>
      <c r="AD10">
        <v>0</v>
      </c>
      <c r="AE10">
        <v>0</v>
      </c>
    </row>
    <row r="11" spans="1:31">
      <c r="A11" t="s">
        <v>84</v>
      </c>
      <c r="B11">
        <v>0</v>
      </c>
      <c r="C11">
        <v>0</v>
      </c>
      <c r="D11">
        <v>0</v>
      </c>
      <c r="E11">
        <v>0</v>
      </c>
      <c r="F11">
        <v>0</v>
      </c>
      <c r="G11">
        <v>0</v>
      </c>
      <c r="H11">
        <v>0</v>
      </c>
      <c r="I11">
        <v>0</v>
      </c>
      <c r="J11">
        <v>0</v>
      </c>
      <c r="K11">
        <v>0</v>
      </c>
      <c r="L11">
        <v>0</v>
      </c>
      <c r="M11">
        <v>0</v>
      </c>
      <c r="N11">
        <v>0</v>
      </c>
      <c r="O11">
        <v>0</v>
      </c>
      <c r="P11">
        <v>0</v>
      </c>
      <c r="Q11">
        <v>0</v>
      </c>
      <c r="R11">
        <v>0</v>
      </c>
      <c r="S11">
        <v>0</v>
      </c>
      <c r="T11">
        <v>0</v>
      </c>
      <c r="U11">
        <v>0</v>
      </c>
      <c r="V11">
        <v>0</v>
      </c>
      <c r="W11">
        <v>0</v>
      </c>
      <c r="X11">
        <v>0</v>
      </c>
      <c r="Y11">
        <v>0</v>
      </c>
      <c r="Z11">
        <v>0</v>
      </c>
      <c r="AA11">
        <v>0</v>
      </c>
      <c r="AB11">
        <v>0</v>
      </c>
      <c r="AC11">
        <v>0</v>
      </c>
      <c r="AD11">
        <v>0</v>
      </c>
      <c r="AE11">
        <v>0</v>
      </c>
    </row>
  </sheetData>
  <pageMargins left="0.7" right="0.7" top="0.75" bottom="0.75" header="0.3" footer="0.3"/>
</worksheet>
</file>

<file path=xl/worksheets/sheet5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A00-000000000000}">
  <sheetPr>
    <tabColor theme="3"/>
  </sheetPr>
  <dimension ref="A1:AE11"/>
  <sheetViews>
    <sheetView workbookViewId="0"/>
  </sheetViews>
  <sheetFormatPr defaultRowHeight="14.25"/>
  <cols>
    <col min="1" max="1" width="22.53125" customWidth="1"/>
  </cols>
  <sheetData>
    <row r="1" spans="1:31" ht="28.5">
      <c r="A1" s="10" t="s">
        <v>85</v>
      </c>
      <c r="B1">
        <v>2021</v>
      </c>
      <c r="C1">
        <v>2022</v>
      </c>
      <c r="D1">
        <v>2023</v>
      </c>
      <c r="E1">
        <v>2024</v>
      </c>
      <c r="F1">
        <v>2025</v>
      </c>
      <c r="G1">
        <v>2026</v>
      </c>
      <c r="H1">
        <v>2027</v>
      </c>
      <c r="I1">
        <v>2028</v>
      </c>
      <c r="J1">
        <v>2029</v>
      </c>
      <c r="K1">
        <v>2030</v>
      </c>
      <c r="L1">
        <v>2031</v>
      </c>
      <c r="M1">
        <v>2032</v>
      </c>
      <c r="N1">
        <v>2033</v>
      </c>
      <c r="O1">
        <v>2034</v>
      </c>
      <c r="P1">
        <v>2035</v>
      </c>
      <c r="Q1">
        <v>2036</v>
      </c>
      <c r="R1">
        <v>2037</v>
      </c>
      <c r="S1">
        <v>2038</v>
      </c>
      <c r="T1">
        <v>2039</v>
      </c>
      <c r="U1">
        <v>2040</v>
      </c>
      <c r="V1">
        <v>2041</v>
      </c>
      <c r="W1">
        <v>2042</v>
      </c>
      <c r="X1">
        <v>2043</v>
      </c>
      <c r="Y1">
        <v>2044</v>
      </c>
      <c r="Z1">
        <v>2045</v>
      </c>
      <c r="AA1">
        <v>2046</v>
      </c>
      <c r="AB1">
        <v>2047</v>
      </c>
      <c r="AC1">
        <v>2048</v>
      </c>
      <c r="AD1">
        <v>2049</v>
      </c>
      <c r="AE1">
        <v>2050</v>
      </c>
    </row>
    <row r="2" spans="1:31">
      <c r="A2" t="s">
        <v>15</v>
      </c>
      <c r="B2">
        <v>0</v>
      </c>
      <c r="C2">
        <v>0</v>
      </c>
      <c r="D2">
        <v>0</v>
      </c>
      <c r="E2">
        <v>0</v>
      </c>
      <c r="F2">
        <v>0</v>
      </c>
      <c r="G2">
        <v>0</v>
      </c>
      <c r="H2">
        <v>0</v>
      </c>
      <c r="I2">
        <v>0</v>
      </c>
      <c r="J2">
        <v>0</v>
      </c>
      <c r="K2">
        <v>0</v>
      </c>
      <c r="L2">
        <v>0</v>
      </c>
      <c r="M2">
        <v>0</v>
      </c>
      <c r="N2">
        <v>0</v>
      </c>
      <c r="O2">
        <v>0</v>
      </c>
      <c r="P2">
        <v>0</v>
      </c>
      <c r="Q2">
        <v>0</v>
      </c>
      <c r="R2">
        <v>0</v>
      </c>
      <c r="S2">
        <v>0</v>
      </c>
      <c r="T2">
        <v>0</v>
      </c>
      <c r="U2">
        <v>0</v>
      </c>
      <c r="V2">
        <v>0</v>
      </c>
      <c r="W2">
        <v>0</v>
      </c>
      <c r="X2">
        <v>0</v>
      </c>
      <c r="Y2">
        <v>0</v>
      </c>
      <c r="Z2">
        <v>0</v>
      </c>
      <c r="AA2">
        <v>0</v>
      </c>
      <c r="AB2">
        <v>0</v>
      </c>
      <c r="AC2">
        <v>0</v>
      </c>
      <c r="AD2">
        <v>0</v>
      </c>
      <c r="AE2">
        <v>0</v>
      </c>
    </row>
    <row r="3" spans="1:31">
      <c r="A3" t="s">
        <v>16</v>
      </c>
      <c r="B3">
        <v>0</v>
      </c>
      <c r="C3">
        <v>0</v>
      </c>
      <c r="D3">
        <v>0</v>
      </c>
      <c r="E3">
        <v>0</v>
      </c>
      <c r="F3">
        <v>0</v>
      </c>
      <c r="G3">
        <v>0</v>
      </c>
      <c r="H3">
        <v>0</v>
      </c>
      <c r="I3">
        <v>0</v>
      </c>
      <c r="J3">
        <v>0</v>
      </c>
      <c r="K3">
        <v>0</v>
      </c>
      <c r="L3">
        <v>0</v>
      </c>
      <c r="M3">
        <v>0</v>
      </c>
      <c r="N3">
        <v>0</v>
      </c>
      <c r="O3">
        <v>0</v>
      </c>
      <c r="P3">
        <v>0</v>
      </c>
      <c r="Q3">
        <v>0</v>
      </c>
      <c r="R3">
        <v>0</v>
      </c>
      <c r="S3">
        <v>0</v>
      </c>
      <c r="T3">
        <v>0</v>
      </c>
      <c r="U3">
        <v>0</v>
      </c>
      <c r="V3">
        <v>0</v>
      </c>
      <c r="W3">
        <v>0</v>
      </c>
      <c r="X3">
        <v>0</v>
      </c>
      <c r="Y3">
        <v>0</v>
      </c>
      <c r="Z3">
        <v>0</v>
      </c>
      <c r="AA3">
        <v>0</v>
      </c>
      <c r="AB3">
        <v>0</v>
      </c>
      <c r="AC3">
        <v>0</v>
      </c>
      <c r="AD3">
        <v>0</v>
      </c>
      <c r="AE3">
        <v>0</v>
      </c>
    </row>
    <row r="4" spans="1:31">
      <c r="A4" t="s">
        <v>17</v>
      </c>
      <c r="B4">
        <v>0</v>
      </c>
      <c r="C4">
        <v>0</v>
      </c>
      <c r="D4">
        <v>0</v>
      </c>
      <c r="E4">
        <v>0</v>
      </c>
      <c r="F4">
        <v>0</v>
      </c>
      <c r="G4">
        <v>0</v>
      </c>
      <c r="H4">
        <v>0</v>
      </c>
      <c r="I4">
        <v>0</v>
      </c>
      <c r="J4">
        <v>0</v>
      </c>
      <c r="K4">
        <v>0</v>
      </c>
      <c r="L4">
        <v>0</v>
      </c>
      <c r="M4">
        <v>0</v>
      </c>
      <c r="N4">
        <v>0</v>
      </c>
      <c r="O4">
        <v>0</v>
      </c>
      <c r="P4">
        <v>0</v>
      </c>
      <c r="Q4">
        <v>0</v>
      </c>
      <c r="R4">
        <v>0</v>
      </c>
      <c r="S4">
        <v>0</v>
      </c>
      <c r="T4">
        <v>0</v>
      </c>
      <c r="U4">
        <v>0</v>
      </c>
      <c r="V4">
        <v>0</v>
      </c>
      <c r="W4">
        <v>0</v>
      </c>
      <c r="X4">
        <v>0</v>
      </c>
      <c r="Y4">
        <v>0</v>
      </c>
      <c r="Z4">
        <v>0</v>
      </c>
      <c r="AA4">
        <v>0</v>
      </c>
      <c r="AB4">
        <v>0</v>
      </c>
      <c r="AC4">
        <v>0</v>
      </c>
      <c r="AD4">
        <v>0</v>
      </c>
      <c r="AE4">
        <v>0</v>
      </c>
    </row>
    <row r="5" spans="1:31">
      <c r="A5" t="s">
        <v>18</v>
      </c>
      <c r="B5">
        <v>0</v>
      </c>
      <c r="C5">
        <v>0</v>
      </c>
      <c r="D5">
        <v>0</v>
      </c>
      <c r="E5">
        <v>0</v>
      </c>
      <c r="F5">
        <v>0</v>
      </c>
      <c r="G5">
        <v>0</v>
      </c>
      <c r="H5">
        <v>0</v>
      </c>
      <c r="I5">
        <v>0</v>
      </c>
      <c r="J5">
        <v>0</v>
      </c>
      <c r="K5">
        <v>0</v>
      </c>
      <c r="L5">
        <v>0</v>
      </c>
      <c r="M5">
        <v>0</v>
      </c>
      <c r="N5">
        <v>0</v>
      </c>
      <c r="O5">
        <v>0</v>
      </c>
      <c r="P5">
        <v>0</v>
      </c>
      <c r="Q5">
        <v>0</v>
      </c>
      <c r="R5">
        <v>0</v>
      </c>
      <c r="S5">
        <v>0</v>
      </c>
      <c r="T5">
        <v>0</v>
      </c>
      <c r="U5">
        <v>0</v>
      </c>
      <c r="V5">
        <v>0</v>
      </c>
      <c r="W5">
        <v>0</v>
      </c>
      <c r="X5">
        <v>0</v>
      </c>
      <c r="Y5">
        <v>0</v>
      </c>
      <c r="Z5">
        <v>0</v>
      </c>
      <c r="AA5">
        <v>0</v>
      </c>
      <c r="AB5">
        <v>0</v>
      </c>
      <c r="AC5">
        <v>0</v>
      </c>
      <c r="AD5">
        <v>0</v>
      </c>
      <c r="AE5">
        <v>0</v>
      </c>
    </row>
    <row r="6" spans="1:31">
      <c r="A6" t="s">
        <v>19</v>
      </c>
      <c r="B6">
        <v>0</v>
      </c>
      <c r="C6">
        <v>0</v>
      </c>
      <c r="D6">
        <v>0</v>
      </c>
      <c r="E6">
        <v>0</v>
      </c>
      <c r="F6">
        <v>0</v>
      </c>
      <c r="G6">
        <v>0</v>
      </c>
      <c r="H6">
        <v>0</v>
      </c>
      <c r="I6">
        <v>0</v>
      </c>
      <c r="J6">
        <v>0</v>
      </c>
      <c r="K6">
        <v>0</v>
      </c>
      <c r="L6">
        <v>0</v>
      </c>
      <c r="M6">
        <v>0</v>
      </c>
      <c r="N6">
        <v>0</v>
      </c>
      <c r="O6">
        <v>0</v>
      </c>
      <c r="P6">
        <v>0</v>
      </c>
      <c r="Q6">
        <v>0</v>
      </c>
      <c r="R6">
        <v>0</v>
      </c>
      <c r="S6">
        <v>0</v>
      </c>
      <c r="T6">
        <v>0</v>
      </c>
      <c r="U6">
        <v>0</v>
      </c>
      <c r="V6">
        <v>0</v>
      </c>
      <c r="W6">
        <v>0</v>
      </c>
      <c r="X6">
        <v>0</v>
      </c>
      <c r="Y6">
        <v>0</v>
      </c>
      <c r="Z6">
        <v>0</v>
      </c>
      <c r="AA6">
        <v>0</v>
      </c>
      <c r="AB6">
        <v>0</v>
      </c>
      <c r="AC6">
        <v>0</v>
      </c>
      <c r="AD6">
        <v>0</v>
      </c>
      <c r="AE6">
        <v>0</v>
      </c>
    </row>
    <row r="7" spans="1:31">
      <c r="A7" t="s">
        <v>21</v>
      </c>
      <c r="B7">
        <v>0</v>
      </c>
      <c r="C7">
        <v>0</v>
      </c>
      <c r="D7">
        <v>0</v>
      </c>
      <c r="E7">
        <v>0</v>
      </c>
      <c r="F7">
        <v>0</v>
      </c>
      <c r="G7">
        <v>0</v>
      </c>
      <c r="H7">
        <v>0</v>
      </c>
      <c r="I7">
        <v>0</v>
      </c>
      <c r="J7">
        <v>0</v>
      </c>
      <c r="K7">
        <v>0</v>
      </c>
      <c r="L7">
        <v>0</v>
      </c>
      <c r="M7">
        <v>0</v>
      </c>
      <c r="N7">
        <v>0</v>
      </c>
      <c r="O7">
        <v>0</v>
      </c>
      <c r="P7">
        <v>0</v>
      </c>
      <c r="Q7">
        <v>0</v>
      </c>
      <c r="R7">
        <v>0</v>
      </c>
      <c r="S7">
        <v>0</v>
      </c>
      <c r="T7">
        <v>0</v>
      </c>
      <c r="U7">
        <v>0</v>
      </c>
      <c r="V7">
        <v>0</v>
      </c>
      <c r="W7">
        <v>0</v>
      </c>
      <c r="X7">
        <v>0</v>
      </c>
      <c r="Y7">
        <v>0</v>
      </c>
      <c r="Z7">
        <v>0</v>
      </c>
      <c r="AA7">
        <v>0</v>
      </c>
      <c r="AB7">
        <v>0</v>
      </c>
      <c r="AC7">
        <v>0</v>
      </c>
      <c r="AD7">
        <v>0</v>
      </c>
      <c r="AE7">
        <v>0</v>
      </c>
    </row>
    <row r="8" spans="1:31">
      <c r="A8" t="s">
        <v>20</v>
      </c>
      <c r="B8">
        <v>0</v>
      </c>
      <c r="C8">
        <v>0</v>
      </c>
      <c r="D8">
        <v>0</v>
      </c>
      <c r="E8">
        <v>0</v>
      </c>
      <c r="F8">
        <v>0</v>
      </c>
      <c r="G8">
        <v>0</v>
      </c>
      <c r="H8">
        <v>0</v>
      </c>
      <c r="I8">
        <v>0</v>
      </c>
      <c r="J8">
        <v>0</v>
      </c>
      <c r="K8">
        <v>0</v>
      </c>
      <c r="L8">
        <v>0</v>
      </c>
      <c r="M8">
        <v>0</v>
      </c>
      <c r="N8">
        <v>0</v>
      </c>
      <c r="O8">
        <v>0</v>
      </c>
      <c r="P8">
        <v>0</v>
      </c>
      <c r="Q8">
        <v>0</v>
      </c>
      <c r="R8">
        <v>0</v>
      </c>
      <c r="S8">
        <v>0</v>
      </c>
      <c r="T8">
        <v>0</v>
      </c>
      <c r="U8">
        <v>0</v>
      </c>
      <c r="V8">
        <v>0</v>
      </c>
      <c r="W8">
        <v>0</v>
      </c>
      <c r="X8">
        <v>0</v>
      </c>
      <c r="Y8">
        <v>0</v>
      </c>
      <c r="Z8">
        <v>0</v>
      </c>
      <c r="AA8">
        <v>0</v>
      </c>
      <c r="AB8">
        <v>0</v>
      </c>
      <c r="AC8">
        <v>0</v>
      </c>
      <c r="AD8">
        <v>0</v>
      </c>
      <c r="AE8">
        <v>0</v>
      </c>
    </row>
    <row r="9" spans="1:31">
      <c r="A9" t="s">
        <v>82</v>
      </c>
      <c r="B9">
        <v>0</v>
      </c>
      <c r="C9">
        <v>0</v>
      </c>
      <c r="D9">
        <v>0</v>
      </c>
      <c r="E9">
        <v>0</v>
      </c>
      <c r="F9">
        <v>0</v>
      </c>
      <c r="G9">
        <v>0</v>
      </c>
      <c r="H9">
        <v>0</v>
      </c>
      <c r="I9">
        <v>0</v>
      </c>
      <c r="J9">
        <v>0</v>
      </c>
      <c r="K9">
        <v>0</v>
      </c>
      <c r="L9">
        <v>0</v>
      </c>
      <c r="M9">
        <v>0</v>
      </c>
      <c r="N9">
        <v>0</v>
      </c>
      <c r="O9">
        <v>0</v>
      </c>
      <c r="P9">
        <v>0</v>
      </c>
      <c r="Q9">
        <v>0</v>
      </c>
      <c r="R9">
        <v>0</v>
      </c>
      <c r="S9">
        <v>0</v>
      </c>
      <c r="T9">
        <v>0</v>
      </c>
      <c r="U9">
        <v>0</v>
      </c>
      <c r="V9">
        <v>0</v>
      </c>
      <c r="W9">
        <v>0</v>
      </c>
      <c r="X9">
        <v>0</v>
      </c>
      <c r="Y9">
        <v>0</v>
      </c>
      <c r="Z9">
        <v>0</v>
      </c>
      <c r="AA9">
        <v>0</v>
      </c>
      <c r="AB9">
        <v>0</v>
      </c>
      <c r="AC9">
        <v>0</v>
      </c>
      <c r="AD9">
        <v>0</v>
      </c>
      <c r="AE9">
        <v>0</v>
      </c>
    </row>
    <row r="10" spans="1:31">
      <c r="A10" t="s">
        <v>83</v>
      </c>
      <c r="B10">
        <v>0</v>
      </c>
      <c r="C10">
        <v>0</v>
      </c>
      <c r="D10">
        <v>0</v>
      </c>
      <c r="E10">
        <v>0</v>
      </c>
      <c r="F10">
        <v>0</v>
      </c>
      <c r="G10">
        <v>0</v>
      </c>
      <c r="H10">
        <v>0</v>
      </c>
      <c r="I10">
        <v>0</v>
      </c>
      <c r="J10">
        <v>0</v>
      </c>
      <c r="K10">
        <v>0</v>
      </c>
      <c r="L10">
        <v>0</v>
      </c>
      <c r="M10">
        <v>0</v>
      </c>
      <c r="N10">
        <v>0</v>
      </c>
      <c r="O10">
        <v>0</v>
      </c>
      <c r="P10">
        <v>0</v>
      </c>
      <c r="Q10">
        <v>0</v>
      </c>
      <c r="R10">
        <v>0</v>
      </c>
      <c r="S10">
        <v>0</v>
      </c>
      <c r="T10">
        <v>0</v>
      </c>
      <c r="U10">
        <v>0</v>
      </c>
      <c r="V10">
        <v>0</v>
      </c>
      <c r="W10">
        <v>0</v>
      </c>
      <c r="X10">
        <v>0</v>
      </c>
      <c r="Y10">
        <v>0</v>
      </c>
      <c r="Z10">
        <v>0</v>
      </c>
      <c r="AA10">
        <v>0</v>
      </c>
      <c r="AB10">
        <v>0</v>
      </c>
      <c r="AC10">
        <v>0</v>
      </c>
      <c r="AD10">
        <v>0</v>
      </c>
      <c r="AE10">
        <v>0</v>
      </c>
    </row>
    <row r="11" spans="1:31">
      <c r="A11" t="s">
        <v>84</v>
      </c>
      <c r="B11">
        <v>1</v>
      </c>
      <c r="C11">
        <v>1</v>
      </c>
      <c r="D11">
        <v>1</v>
      </c>
      <c r="E11">
        <v>1</v>
      </c>
      <c r="F11">
        <v>1</v>
      </c>
      <c r="G11">
        <v>1</v>
      </c>
      <c r="H11">
        <v>1</v>
      </c>
      <c r="I11">
        <v>1</v>
      </c>
      <c r="J11">
        <v>1</v>
      </c>
      <c r="K11">
        <v>1</v>
      </c>
      <c r="L11">
        <v>1</v>
      </c>
      <c r="M11">
        <v>1</v>
      </c>
      <c r="N11">
        <v>1</v>
      </c>
      <c r="O11">
        <v>1</v>
      </c>
      <c r="P11">
        <v>1</v>
      </c>
      <c r="Q11">
        <v>1</v>
      </c>
      <c r="R11">
        <v>1</v>
      </c>
      <c r="S11">
        <v>1</v>
      </c>
      <c r="T11">
        <v>1</v>
      </c>
      <c r="U11">
        <v>1</v>
      </c>
      <c r="V11">
        <v>1</v>
      </c>
      <c r="W11">
        <v>1</v>
      </c>
      <c r="X11">
        <v>1</v>
      </c>
      <c r="Y11">
        <v>1</v>
      </c>
      <c r="Z11">
        <v>1</v>
      </c>
      <c r="AA11">
        <v>1</v>
      </c>
      <c r="AB11">
        <v>1</v>
      </c>
      <c r="AC11">
        <v>1</v>
      </c>
      <c r="AD11">
        <v>1</v>
      </c>
      <c r="AE11">
        <v>1</v>
      </c>
    </row>
  </sheetData>
  <pageMargins left="0.7" right="0.7" top="0.75" bottom="0.75" header="0.3" footer="0.3"/>
</worksheet>
</file>

<file path=xl/worksheets/sheet5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B00-000000000000}">
  <sheetPr>
    <tabColor rgb="FFFF0000"/>
  </sheetPr>
  <dimension ref="A1"/>
  <sheetViews>
    <sheetView workbookViewId="0"/>
  </sheetViews>
  <sheetFormatPr defaultRowHeight="14.25"/>
  <sheetData/>
  <pageMargins left="0.7" right="0.7" top="0.75" bottom="0.75" header="0.3" footer="0.3"/>
</worksheet>
</file>

<file path=xl/worksheets/sheet5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C00-000000000000}">
  <sheetPr>
    <tabColor theme="3"/>
  </sheetPr>
  <dimension ref="A1:AE11"/>
  <sheetViews>
    <sheetView workbookViewId="0"/>
  </sheetViews>
  <sheetFormatPr defaultRowHeight="14.25"/>
  <cols>
    <col min="1" max="1" width="22.53125" customWidth="1"/>
  </cols>
  <sheetData>
    <row r="1" spans="1:31" ht="28.5">
      <c r="A1" s="10" t="s">
        <v>85</v>
      </c>
      <c r="B1">
        <v>2021</v>
      </c>
      <c r="C1">
        <v>2022</v>
      </c>
      <c r="D1">
        <v>2023</v>
      </c>
      <c r="E1">
        <v>2024</v>
      </c>
      <c r="F1">
        <v>2025</v>
      </c>
      <c r="G1">
        <v>2026</v>
      </c>
      <c r="H1">
        <v>2027</v>
      </c>
      <c r="I1">
        <v>2028</v>
      </c>
      <c r="J1">
        <v>2029</v>
      </c>
      <c r="K1">
        <v>2030</v>
      </c>
      <c r="L1">
        <v>2031</v>
      </c>
      <c r="M1">
        <v>2032</v>
      </c>
      <c r="N1">
        <v>2033</v>
      </c>
      <c r="O1">
        <v>2034</v>
      </c>
      <c r="P1">
        <v>2035</v>
      </c>
      <c r="Q1">
        <v>2036</v>
      </c>
      <c r="R1">
        <v>2037</v>
      </c>
      <c r="S1">
        <v>2038</v>
      </c>
      <c r="T1">
        <v>2039</v>
      </c>
      <c r="U1">
        <v>2040</v>
      </c>
      <c r="V1">
        <v>2041</v>
      </c>
      <c r="W1">
        <v>2042</v>
      </c>
      <c r="X1">
        <v>2043</v>
      </c>
      <c r="Y1">
        <v>2044</v>
      </c>
      <c r="Z1">
        <v>2045</v>
      </c>
      <c r="AA1">
        <v>2046</v>
      </c>
      <c r="AB1">
        <v>2047</v>
      </c>
      <c r="AC1">
        <v>2048</v>
      </c>
      <c r="AD1">
        <v>2049</v>
      </c>
      <c r="AE1">
        <v>2050</v>
      </c>
    </row>
    <row r="2" spans="1:31">
      <c r="A2" t="s">
        <v>15</v>
      </c>
      <c r="B2">
        <v>1</v>
      </c>
      <c r="C2">
        <v>1</v>
      </c>
      <c r="D2">
        <v>1</v>
      </c>
      <c r="E2">
        <v>1</v>
      </c>
      <c r="F2">
        <v>1</v>
      </c>
      <c r="G2">
        <v>1</v>
      </c>
      <c r="H2">
        <v>1</v>
      </c>
      <c r="I2">
        <v>1</v>
      </c>
      <c r="J2">
        <v>1</v>
      </c>
      <c r="K2">
        <v>1</v>
      </c>
      <c r="L2">
        <v>1</v>
      </c>
      <c r="M2">
        <v>1</v>
      </c>
      <c r="N2">
        <v>1</v>
      </c>
      <c r="O2">
        <v>1</v>
      </c>
      <c r="P2">
        <v>1</v>
      </c>
      <c r="Q2">
        <v>1</v>
      </c>
      <c r="R2">
        <v>1</v>
      </c>
      <c r="S2">
        <v>1</v>
      </c>
      <c r="T2">
        <v>1</v>
      </c>
      <c r="U2">
        <v>1</v>
      </c>
      <c r="V2">
        <v>1</v>
      </c>
      <c r="W2">
        <v>1</v>
      </c>
      <c r="X2">
        <v>1</v>
      </c>
      <c r="Y2">
        <v>1</v>
      </c>
      <c r="Z2">
        <v>1</v>
      </c>
      <c r="AA2">
        <v>1</v>
      </c>
      <c r="AB2">
        <v>1</v>
      </c>
      <c r="AC2">
        <v>1</v>
      </c>
      <c r="AD2">
        <v>1</v>
      </c>
      <c r="AE2">
        <v>1</v>
      </c>
    </row>
    <row r="3" spans="1:31">
      <c r="A3" t="s">
        <v>16</v>
      </c>
      <c r="B3">
        <v>0</v>
      </c>
      <c r="C3">
        <v>0</v>
      </c>
      <c r="D3">
        <v>0</v>
      </c>
      <c r="E3">
        <v>0</v>
      </c>
      <c r="F3">
        <v>0</v>
      </c>
      <c r="G3">
        <v>0</v>
      </c>
      <c r="H3">
        <v>0</v>
      </c>
      <c r="I3">
        <v>0</v>
      </c>
      <c r="J3">
        <v>0</v>
      </c>
      <c r="K3">
        <v>0</v>
      </c>
      <c r="L3">
        <v>0</v>
      </c>
      <c r="M3">
        <v>0</v>
      </c>
      <c r="N3">
        <v>0</v>
      </c>
      <c r="O3">
        <v>0</v>
      </c>
      <c r="P3">
        <v>0</v>
      </c>
      <c r="Q3">
        <v>0</v>
      </c>
      <c r="R3">
        <v>0</v>
      </c>
      <c r="S3">
        <v>0</v>
      </c>
      <c r="T3">
        <v>0</v>
      </c>
      <c r="U3">
        <v>0</v>
      </c>
      <c r="V3">
        <v>0</v>
      </c>
      <c r="W3">
        <v>0</v>
      </c>
      <c r="X3">
        <v>0</v>
      </c>
      <c r="Y3">
        <v>0</v>
      </c>
      <c r="Z3">
        <v>0</v>
      </c>
      <c r="AA3">
        <v>0</v>
      </c>
      <c r="AB3">
        <v>0</v>
      </c>
      <c r="AC3">
        <v>0</v>
      </c>
      <c r="AD3">
        <v>0</v>
      </c>
      <c r="AE3">
        <v>0</v>
      </c>
    </row>
    <row r="4" spans="1:31">
      <c r="A4" t="s">
        <v>17</v>
      </c>
      <c r="B4">
        <v>0</v>
      </c>
      <c r="C4">
        <v>0</v>
      </c>
      <c r="D4">
        <v>0</v>
      </c>
      <c r="E4">
        <v>0</v>
      </c>
      <c r="F4">
        <v>0</v>
      </c>
      <c r="G4">
        <v>0</v>
      </c>
      <c r="H4">
        <v>0</v>
      </c>
      <c r="I4">
        <v>0</v>
      </c>
      <c r="J4">
        <v>0</v>
      </c>
      <c r="K4">
        <v>0</v>
      </c>
      <c r="L4">
        <v>0</v>
      </c>
      <c r="M4">
        <v>0</v>
      </c>
      <c r="N4">
        <v>0</v>
      </c>
      <c r="O4">
        <v>0</v>
      </c>
      <c r="P4">
        <v>0</v>
      </c>
      <c r="Q4">
        <v>0</v>
      </c>
      <c r="R4">
        <v>0</v>
      </c>
      <c r="S4">
        <v>0</v>
      </c>
      <c r="T4">
        <v>0</v>
      </c>
      <c r="U4">
        <v>0</v>
      </c>
      <c r="V4">
        <v>0</v>
      </c>
      <c r="W4">
        <v>0</v>
      </c>
      <c r="X4">
        <v>0</v>
      </c>
      <c r="Y4">
        <v>0</v>
      </c>
      <c r="Z4">
        <v>0</v>
      </c>
      <c r="AA4">
        <v>0</v>
      </c>
      <c r="AB4">
        <v>0</v>
      </c>
      <c r="AC4">
        <v>0</v>
      </c>
      <c r="AD4">
        <v>0</v>
      </c>
      <c r="AE4">
        <v>0</v>
      </c>
    </row>
    <row r="5" spans="1:31">
      <c r="A5" t="s">
        <v>18</v>
      </c>
      <c r="B5">
        <v>0</v>
      </c>
      <c r="C5">
        <v>0</v>
      </c>
      <c r="D5">
        <v>0</v>
      </c>
      <c r="E5">
        <v>0</v>
      </c>
      <c r="F5">
        <v>0</v>
      </c>
      <c r="G5">
        <v>0</v>
      </c>
      <c r="H5">
        <v>0</v>
      </c>
      <c r="I5">
        <v>0</v>
      </c>
      <c r="J5">
        <v>0</v>
      </c>
      <c r="K5">
        <v>0</v>
      </c>
      <c r="L5">
        <v>0</v>
      </c>
      <c r="M5">
        <v>0</v>
      </c>
      <c r="N5">
        <v>0</v>
      </c>
      <c r="O5">
        <v>0</v>
      </c>
      <c r="P5">
        <v>0</v>
      </c>
      <c r="Q5">
        <v>0</v>
      </c>
      <c r="R5">
        <v>0</v>
      </c>
      <c r="S5">
        <v>0</v>
      </c>
      <c r="T5">
        <v>0</v>
      </c>
      <c r="U5">
        <v>0</v>
      </c>
      <c r="V5">
        <v>0</v>
      </c>
      <c r="W5">
        <v>0</v>
      </c>
      <c r="X5">
        <v>0</v>
      </c>
      <c r="Y5">
        <v>0</v>
      </c>
      <c r="Z5">
        <v>0</v>
      </c>
      <c r="AA5">
        <v>0</v>
      </c>
      <c r="AB5">
        <v>0</v>
      </c>
      <c r="AC5">
        <v>0</v>
      </c>
      <c r="AD5">
        <v>0</v>
      </c>
      <c r="AE5">
        <v>0</v>
      </c>
    </row>
    <row r="6" spans="1:31">
      <c r="A6" t="s">
        <v>19</v>
      </c>
      <c r="B6">
        <v>0</v>
      </c>
      <c r="C6">
        <v>0</v>
      </c>
      <c r="D6">
        <v>0</v>
      </c>
      <c r="E6">
        <v>0</v>
      </c>
      <c r="F6">
        <v>0</v>
      </c>
      <c r="G6">
        <v>0</v>
      </c>
      <c r="H6">
        <v>0</v>
      </c>
      <c r="I6">
        <v>0</v>
      </c>
      <c r="J6">
        <v>0</v>
      </c>
      <c r="K6">
        <v>0</v>
      </c>
      <c r="L6">
        <v>0</v>
      </c>
      <c r="M6">
        <v>0</v>
      </c>
      <c r="N6">
        <v>0</v>
      </c>
      <c r="O6">
        <v>0</v>
      </c>
      <c r="P6">
        <v>0</v>
      </c>
      <c r="Q6">
        <v>0</v>
      </c>
      <c r="R6">
        <v>0</v>
      </c>
      <c r="S6">
        <v>0</v>
      </c>
      <c r="T6">
        <v>0</v>
      </c>
      <c r="U6">
        <v>0</v>
      </c>
      <c r="V6">
        <v>0</v>
      </c>
      <c r="W6">
        <v>0</v>
      </c>
      <c r="X6">
        <v>0</v>
      </c>
      <c r="Y6">
        <v>0</v>
      </c>
      <c r="Z6">
        <v>0</v>
      </c>
      <c r="AA6">
        <v>0</v>
      </c>
      <c r="AB6">
        <v>0</v>
      </c>
      <c r="AC6">
        <v>0</v>
      </c>
      <c r="AD6">
        <v>0</v>
      </c>
      <c r="AE6">
        <v>0</v>
      </c>
    </row>
    <row r="7" spans="1:31">
      <c r="A7" t="s">
        <v>21</v>
      </c>
      <c r="B7">
        <v>0</v>
      </c>
      <c r="C7">
        <v>0</v>
      </c>
      <c r="D7">
        <v>0</v>
      </c>
      <c r="E7">
        <v>0</v>
      </c>
      <c r="F7">
        <v>0</v>
      </c>
      <c r="G7">
        <v>0</v>
      </c>
      <c r="H7">
        <v>0</v>
      </c>
      <c r="I7">
        <v>0</v>
      </c>
      <c r="J7">
        <v>0</v>
      </c>
      <c r="K7">
        <v>0</v>
      </c>
      <c r="L7">
        <v>0</v>
      </c>
      <c r="M7">
        <v>0</v>
      </c>
      <c r="N7">
        <v>0</v>
      </c>
      <c r="O7">
        <v>0</v>
      </c>
      <c r="P7">
        <v>0</v>
      </c>
      <c r="Q7">
        <v>0</v>
      </c>
      <c r="R7">
        <v>0</v>
      </c>
      <c r="S7">
        <v>0</v>
      </c>
      <c r="T7">
        <v>0</v>
      </c>
      <c r="U7">
        <v>0</v>
      </c>
      <c r="V7">
        <v>0</v>
      </c>
      <c r="W7">
        <v>0</v>
      </c>
      <c r="X7">
        <v>0</v>
      </c>
      <c r="Y7">
        <v>0</v>
      </c>
      <c r="Z7">
        <v>0</v>
      </c>
      <c r="AA7">
        <v>0</v>
      </c>
      <c r="AB7">
        <v>0</v>
      </c>
      <c r="AC7">
        <v>0</v>
      </c>
      <c r="AD7">
        <v>0</v>
      </c>
      <c r="AE7">
        <v>0</v>
      </c>
    </row>
    <row r="8" spans="1:31">
      <c r="A8" t="s">
        <v>20</v>
      </c>
      <c r="B8">
        <v>0</v>
      </c>
      <c r="C8">
        <v>0</v>
      </c>
      <c r="D8">
        <v>0</v>
      </c>
      <c r="E8">
        <v>0</v>
      </c>
      <c r="F8">
        <v>0</v>
      </c>
      <c r="G8">
        <v>0</v>
      </c>
      <c r="H8">
        <v>0</v>
      </c>
      <c r="I8">
        <v>0</v>
      </c>
      <c r="J8">
        <v>0</v>
      </c>
      <c r="K8">
        <v>0</v>
      </c>
      <c r="L8">
        <v>0</v>
      </c>
      <c r="M8">
        <v>0</v>
      </c>
      <c r="N8">
        <v>0</v>
      </c>
      <c r="O8">
        <v>0</v>
      </c>
      <c r="P8">
        <v>0</v>
      </c>
      <c r="Q8">
        <v>0</v>
      </c>
      <c r="R8">
        <v>0</v>
      </c>
      <c r="S8">
        <v>0</v>
      </c>
      <c r="T8">
        <v>0</v>
      </c>
      <c r="U8">
        <v>0</v>
      </c>
      <c r="V8">
        <v>0</v>
      </c>
      <c r="W8">
        <v>0</v>
      </c>
      <c r="X8">
        <v>0</v>
      </c>
      <c r="Y8">
        <v>0</v>
      </c>
      <c r="Z8">
        <v>0</v>
      </c>
      <c r="AA8">
        <v>0</v>
      </c>
      <c r="AB8">
        <v>0</v>
      </c>
      <c r="AC8">
        <v>0</v>
      </c>
      <c r="AD8">
        <v>0</v>
      </c>
      <c r="AE8">
        <v>0</v>
      </c>
    </row>
    <row r="9" spans="1:31">
      <c r="A9" t="s">
        <v>82</v>
      </c>
      <c r="B9">
        <v>0</v>
      </c>
      <c r="C9">
        <v>0</v>
      </c>
      <c r="D9">
        <v>0</v>
      </c>
      <c r="E9">
        <v>0</v>
      </c>
      <c r="F9">
        <v>0</v>
      </c>
      <c r="G9">
        <v>0</v>
      </c>
      <c r="H9">
        <v>0</v>
      </c>
      <c r="I9">
        <v>0</v>
      </c>
      <c r="J9">
        <v>0</v>
      </c>
      <c r="K9">
        <v>0</v>
      </c>
      <c r="L9">
        <v>0</v>
      </c>
      <c r="M9">
        <v>0</v>
      </c>
      <c r="N9">
        <v>0</v>
      </c>
      <c r="O9">
        <v>0</v>
      </c>
      <c r="P9">
        <v>0</v>
      </c>
      <c r="Q9">
        <v>0</v>
      </c>
      <c r="R9">
        <v>0</v>
      </c>
      <c r="S9">
        <v>0</v>
      </c>
      <c r="T9">
        <v>0</v>
      </c>
      <c r="U9">
        <v>0</v>
      </c>
      <c r="V9">
        <v>0</v>
      </c>
      <c r="W9">
        <v>0</v>
      </c>
      <c r="X9">
        <v>0</v>
      </c>
      <c r="Y9">
        <v>0</v>
      </c>
      <c r="Z9">
        <v>0</v>
      </c>
      <c r="AA9">
        <v>0</v>
      </c>
      <c r="AB9">
        <v>0</v>
      </c>
      <c r="AC9">
        <v>0</v>
      </c>
      <c r="AD9">
        <v>0</v>
      </c>
      <c r="AE9">
        <v>0</v>
      </c>
    </row>
    <row r="10" spans="1:31">
      <c r="A10" t="s">
        <v>83</v>
      </c>
      <c r="B10">
        <v>0</v>
      </c>
      <c r="C10">
        <v>0</v>
      </c>
      <c r="D10">
        <v>0</v>
      </c>
      <c r="E10">
        <v>0</v>
      </c>
      <c r="F10">
        <v>0</v>
      </c>
      <c r="G10">
        <v>0</v>
      </c>
      <c r="H10">
        <v>0</v>
      </c>
      <c r="I10">
        <v>0</v>
      </c>
      <c r="J10">
        <v>0</v>
      </c>
      <c r="K10">
        <v>0</v>
      </c>
      <c r="L10">
        <v>0</v>
      </c>
      <c r="M10">
        <v>0</v>
      </c>
      <c r="N10">
        <v>0</v>
      </c>
      <c r="O10">
        <v>0</v>
      </c>
      <c r="P10">
        <v>0</v>
      </c>
      <c r="Q10">
        <v>0</v>
      </c>
      <c r="R10">
        <v>0</v>
      </c>
      <c r="S10">
        <v>0</v>
      </c>
      <c r="T10">
        <v>0</v>
      </c>
      <c r="U10">
        <v>0</v>
      </c>
      <c r="V10">
        <v>0</v>
      </c>
      <c r="W10">
        <v>0</v>
      </c>
      <c r="X10">
        <v>0</v>
      </c>
      <c r="Y10">
        <v>0</v>
      </c>
      <c r="Z10">
        <v>0</v>
      </c>
      <c r="AA10">
        <v>0</v>
      </c>
      <c r="AB10">
        <v>0</v>
      </c>
      <c r="AC10">
        <v>0</v>
      </c>
      <c r="AD10">
        <v>0</v>
      </c>
      <c r="AE10">
        <v>0</v>
      </c>
    </row>
    <row r="11" spans="1:31">
      <c r="A11" t="s">
        <v>84</v>
      </c>
      <c r="B11">
        <v>0</v>
      </c>
      <c r="C11">
        <v>0</v>
      </c>
      <c r="D11">
        <v>0</v>
      </c>
      <c r="E11">
        <v>0</v>
      </c>
      <c r="F11">
        <v>0</v>
      </c>
      <c r="G11">
        <v>0</v>
      </c>
      <c r="H11">
        <v>0</v>
      </c>
      <c r="I11">
        <v>0</v>
      </c>
      <c r="J11">
        <v>0</v>
      </c>
      <c r="K11">
        <v>0</v>
      </c>
      <c r="L11">
        <v>0</v>
      </c>
      <c r="M11">
        <v>0</v>
      </c>
      <c r="N11">
        <v>0</v>
      </c>
      <c r="O11">
        <v>0</v>
      </c>
      <c r="P11">
        <v>0</v>
      </c>
      <c r="Q11">
        <v>0</v>
      </c>
      <c r="R11">
        <v>0</v>
      </c>
      <c r="S11">
        <v>0</v>
      </c>
      <c r="T11">
        <v>0</v>
      </c>
      <c r="U11">
        <v>0</v>
      </c>
      <c r="V11">
        <v>0</v>
      </c>
      <c r="W11">
        <v>0</v>
      </c>
      <c r="X11">
        <v>0</v>
      </c>
      <c r="Y11">
        <v>0</v>
      </c>
      <c r="Z11">
        <v>0</v>
      </c>
      <c r="AA11">
        <v>0</v>
      </c>
      <c r="AB11">
        <v>0</v>
      </c>
      <c r="AC11">
        <v>0</v>
      </c>
      <c r="AD11">
        <v>0</v>
      </c>
      <c r="AE11">
        <v>0</v>
      </c>
    </row>
  </sheetData>
  <pageMargins left="0.7" right="0.7" top="0.75" bottom="0.75" header="0.3" footer="0.3"/>
</worksheet>
</file>

<file path=xl/worksheets/sheet5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D00-000000000000}">
  <sheetPr>
    <tabColor theme="3"/>
  </sheetPr>
  <dimension ref="A1:AE11"/>
  <sheetViews>
    <sheetView workbookViewId="0"/>
  </sheetViews>
  <sheetFormatPr defaultRowHeight="14.25"/>
  <cols>
    <col min="1" max="1" width="22.53125" customWidth="1"/>
  </cols>
  <sheetData>
    <row r="1" spans="1:31" ht="28.5">
      <c r="A1" s="10" t="s">
        <v>85</v>
      </c>
      <c r="B1">
        <v>2021</v>
      </c>
      <c r="C1">
        <v>2022</v>
      </c>
      <c r="D1">
        <v>2023</v>
      </c>
      <c r="E1">
        <v>2024</v>
      </c>
      <c r="F1">
        <v>2025</v>
      </c>
      <c r="G1">
        <v>2026</v>
      </c>
      <c r="H1">
        <v>2027</v>
      </c>
      <c r="I1">
        <v>2028</v>
      </c>
      <c r="J1">
        <v>2029</v>
      </c>
      <c r="K1">
        <v>2030</v>
      </c>
      <c r="L1">
        <v>2031</v>
      </c>
      <c r="M1">
        <v>2032</v>
      </c>
      <c r="N1">
        <v>2033</v>
      </c>
      <c r="O1">
        <v>2034</v>
      </c>
      <c r="P1">
        <v>2035</v>
      </c>
      <c r="Q1">
        <v>2036</v>
      </c>
      <c r="R1">
        <v>2037</v>
      </c>
      <c r="S1">
        <v>2038</v>
      </c>
      <c r="T1">
        <v>2039</v>
      </c>
      <c r="U1">
        <v>2040</v>
      </c>
      <c r="V1">
        <v>2041</v>
      </c>
      <c r="W1">
        <v>2042</v>
      </c>
      <c r="X1">
        <v>2043</v>
      </c>
      <c r="Y1">
        <v>2044</v>
      </c>
      <c r="Z1">
        <v>2045</v>
      </c>
      <c r="AA1">
        <v>2046</v>
      </c>
      <c r="AB1">
        <v>2047</v>
      </c>
      <c r="AC1">
        <v>2048</v>
      </c>
      <c r="AD1">
        <v>2049</v>
      </c>
      <c r="AE1">
        <v>2050</v>
      </c>
    </row>
    <row r="2" spans="1:31">
      <c r="A2" t="s">
        <v>15</v>
      </c>
      <c r="B2">
        <v>0</v>
      </c>
      <c r="C2">
        <v>0</v>
      </c>
      <c r="D2">
        <v>0</v>
      </c>
      <c r="E2">
        <v>0</v>
      </c>
      <c r="F2">
        <v>0</v>
      </c>
      <c r="G2">
        <v>0</v>
      </c>
      <c r="H2">
        <v>0</v>
      </c>
      <c r="I2">
        <v>0</v>
      </c>
      <c r="J2">
        <v>0</v>
      </c>
      <c r="K2">
        <v>0</v>
      </c>
      <c r="L2">
        <v>0</v>
      </c>
      <c r="M2">
        <v>0</v>
      </c>
      <c r="N2">
        <v>0</v>
      </c>
      <c r="O2">
        <v>0</v>
      </c>
      <c r="P2">
        <v>0</v>
      </c>
      <c r="Q2">
        <v>0</v>
      </c>
      <c r="R2">
        <v>0</v>
      </c>
      <c r="S2">
        <v>0</v>
      </c>
      <c r="T2">
        <v>0</v>
      </c>
      <c r="U2">
        <v>0</v>
      </c>
      <c r="V2">
        <v>0</v>
      </c>
      <c r="W2">
        <v>0</v>
      </c>
      <c r="X2">
        <v>0</v>
      </c>
      <c r="Y2">
        <v>0</v>
      </c>
      <c r="Z2">
        <v>0</v>
      </c>
      <c r="AA2">
        <v>0</v>
      </c>
      <c r="AB2">
        <v>0</v>
      </c>
      <c r="AC2">
        <v>0</v>
      </c>
      <c r="AD2">
        <v>0</v>
      </c>
      <c r="AE2">
        <v>0</v>
      </c>
    </row>
    <row r="3" spans="1:31">
      <c r="A3" t="s">
        <v>16</v>
      </c>
      <c r="B3">
        <v>1</v>
      </c>
      <c r="C3">
        <v>1</v>
      </c>
      <c r="D3">
        <v>1</v>
      </c>
      <c r="E3">
        <v>1</v>
      </c>
      <c r="F3">
        <v>1</v>
      </c>
      <c r="G3">
        <v>1</v>
      </c>
      <c r="H3">
        <v>1</v>
      </c>
      <c r="I3">
        <v>1</v>
      </c>
      <c r="J3">
        <v>1</v>
      </c>
      <c r="K3">
        <v>1</v>
      </c>
      <c r="L3">
        <v>1</v>
      </c>
      <c r="M3">
        <v>1</v>
      </c>
      <c r="N3">
        <v>1</v>
      </c>
      <c r="O3">
        <v>1</v>
      </c>
      <c r="P3">
        <v>1</v>
      </c>
      <c r="Q3">
        <v>1</v>
      </c>
      <c r="R3">
        <v>1</v>
      </c>
      <c r="S3">
        <v>1</v>
      </c>
      <c r="T3">
        <v>1</v>
      </c>
      <c r="U3">
        <v>1</v>
      </c>
      <c r="V3">
        <v>1</v>
      </c>
      <c r="W3">
        <v>1</v>
      </c>
      <c r="X3">
        <v>1</v>
      </c>
      <c r="Y3">
        <v>1</v>
      </c>
      <c r="Z3">
        <v>1</v>
      </c>
      <c r="AA3">
        <v>1</v>
      </c>
      <c r="AB3">
        <v>1</v>
      </c>
      <c r="AC3">
        <v>1</v>
      </c>
      <c r="AD3">
        <v>1</v>
      </c>
      <c r="AE3">
        <v>1</v>
      </c>
    </row>
    <row r="4" spans="1:31">
      <c r="A4" t="s">
        <v>17</v>
      </c>
      <c r="B4">
        <v>0</v>
      </c>
      <c r="C4">
        <v>0</v>
      </c>
      <c r="D4">
        <v>0</v>
      </c>
      <c r="E4">
        <v>0</v>
      </c>
      <c r="F4">
        <v>0</v>
      </c>
      <c r="G4">
        <v>0</v>
      </c>
      <c r="H4">
        <v>0</v>
      </c>
      <c r="I4">
        <v>0</v>
      </c>
      <c r="J4">
        <v>0</v>
      </c>
      <c r="K4">
        <v>0</v>
      </c>
      <c r="L4">
        <v>0</v>
      </c>
      <c r="M4">
        <v>0</v>
      </c>
      <c r="N4">
        <v>0</v>
      </c>
      <c r="O4">
        <v>0</v>
      </c>
      <c r="P4">
        <v>0</v>
      </c>
      <c r="Q4">
        <v>0</v>
      </c>
      <c r="R4">
        <v>0</v>
      </c>
      <c r="S4">
        <v>0</v>
      </c>
      <c r="T4">
        <v>0</v>
      </c>
      <c r="U4">
        <v>0</v>
      </c>
      <c r="V4">
        <v>0</v>
      </c>
      <c r="W4">
        <v>0</v>
      </c>
      <c r="X4">
        <v>0</v>
      </c>
      <c r="Y4">
        <v>0</v>
      </c>
      <c r="Z4">
        <v>0</v>
      </c>
      <c r="AA4">
        <v>0</v>
      </c>
      <c r="AB4">
        <v>0</v>
      </c>
      <c r="AC4">
        <v>0</v>
      </c>
      <c r="AD4">
        <v>0</v>
      </c>
      <c r="AE4">
        <v>0</v>
      </c>
    </row>
    <row r="5" spans="1:31">
      <c r="A5" t="s">
        <v>18</v>
      </c>
      <c r="B5">
        <v>0</v>
      </c>
      <c r="C5">
        <v>0</v>
      </c>
      <c r="D5">
        <v>0</v>
      </c>
      <c r="E5">
        <v>0</v>
      </c>
      <c r="F5">
        <v>0</v>
      </c>
      <c r="G5">
        <v>0</v>
      </c>
      <c r="H5">
        <v>0</v>
      </c>
      <c r="I5">
        <v>0</v>
      </c>
      <c r="J5">
        <v>0</v>
      </c>
      <c r="K5">
        <v>0</v>
      </c>
      <c r="L5">
        <v>0</v>
      </c>
      <c r="M5">
        <v>0</v>
      </c>
      <c r="N5">
        <v>0</v>
      </c>
      <c r="O5">
        <v>0</v>
      </c>
      <c r="P5">
        <v>0</v>
      </c>
      <c r="Q5">
        <v>0</v>
      </c>
      <c r="R5">
        <v>0</v>
      </c>
      <c r="S5">
        <v>0</v>
      </c>
      <c r="T5">
        <v>0</v>
      </c>
      <c r="U5">
        <v>0</v>
      </c>
      <c r="V5">
        <v>0</v>
      </c>
      <c r="W5">
        <v>0</v>
      </c>
      <c r="X5">
        <v>0</v>
      </c>
      <c r="Y5">
        <v>0</v>
      </c>
      <c r="Z5">
        <v>0</v>
      </c>
      <c r="AA5">
        <v>0</v>
      </c>
      <c r="AB5">
        <v>0</v>
      </c>
      <c r="AC5">
        <v>0</v>
      </c>
      <c r="AD5">
        <v>0</v>
      </c>
      <c r="AE5">
        <v>0</v>
      </c>
    </row>
    <row r="6" spans="1:31">
      <c r="A6" t="s">
        <v>19</v>
      </c>
      <c r="B6">
        <v>0</v>
      </c>
      <c r="C6">
        <v>0</v>
      </c>
      <c r="D6">
        <v>0</v>
      </c>
      <c r="E6">
        <v>0</v>
      </c>
      <c r="F6">
        <v>0</v>
      </c>
      <c r="G6">
        <v>0</v>
      </c>
      <c r="H6">
        <v>0</v>
      </c>
      <c r="I6">
        <v>0</v>
      </c>
      <c r="J6">
        <v>0</v>
      </c>
      <c r="K6">
        <v>0</v>
      </c>
      <c r="L6">
        <v>0</v>
      </c>
      <c r="M6">
        <v>0</v>
      </c>
      <c r="N6">
        <v>0</v>
      </c>
      <c r="O6">
        <v>0</v>
      </c>
      <c r="P6">
        <v>0</v>
      </c>
      <c r="Q6">
        <v>0</v>
      </c>
      <c r="R6">
        <v>0</v>
      </c>
      <c r="S6">
        <v>0</v>
      </c>
      <c r="T6">
        <v>0</v>
      </c>
      <c r="U6">
        <v>0</v>
      </c>
      <c r="V6">
        <v>0</v>
      </c>
      <c r="W6">
        <v>0</v>
      </c>
      <c r="X6">
        <v>0</v>
      </c>
      <c r="Y6">
        <v>0</v>
      </c>
      <c r="Z6">
        <v>0</v>
      </c>
      <c r="AA6">
        <v>0</v>
      </c>
      <c r="AB6">
        <v>0</v>
      </c>
      <c r="AC6">
        <v>0</v>
      </c>
      <c r="AD6">
        <v>0</v>
      </c>
      <c r="AE6">
        <v>0</v>
      </c>
    </row>
    <row r="7" spans="1:31">
      <c r="A7" t="s">
        <v>21</v>
      </c>
      <c r="B7">
        <v>0</v>
      </c>
      <c r="C7">
        <v>0</v>
      </c>
      <c r="D7">
        <v>0</v>
      </c>
      <c r="E7">
        <v>0</v>
      </c>
      <c r="F7">
        <v>0</v>
      </c>
      <c r="G7">
        <v>0</v>
      </c>
      <c r="H7">
        <v>0</v>
      </c>
      <c r="I7">
        <v>0</v>
      </c>
      <c r="J7">
        <v>0</v>
      </c>
      <c r="K7">
        <v>0</v>
      </c>
      <c r="L7">
        <v>0</v>
      </c>
      <c r="M7">
        <v>0</v>
      </c>
      <c r="N7">
        <v>0</v>
      </c>
      <c r="O7">
        <v>0</v>
      </c>
      <c r="P7">
        <v>0</v>
      </c>
      <c r="Q7">
        <v>0</v>
      </c>
      <c r="R7">
        <v>0</v>
      </c>
      <c r="S7">
        <v>0</v>
      </c>
      <c r="T7">
        <v>0</v>
      </c>
      <c r="U7">
        <v>0</v>
      </c>
      <c r="V7">
        <v>0</v>
      </c>
      <c r="W7">
        <v>0</v>
      </c>
      <c r="X7">
        <v>0</v>
      </c>
      <c r="Y7">
        <v>0</v>
      </c>
      <c r="Z7">
        <v>0</v>
      </c>
      <c r="AA7">
        <v>0</v>
      </c>
      <c r="AB7">
        <v>0</v>
      </c>
      <c r="AC7">
        <v>0</v>
      </c>
      <c r="AD7">
        <v>0</v>
      </c>
      <c r="AE7">
        <v>0</v>
      </c>
    </row>
    <row r="8" spans="1:31">
      <c r="A8" t="s">
        <v>20</v>
      </c>
      <c r="B8">
        <v>0</v>
      </c>
      <c r="C8">
        <v>0</v>
      </c>
      <c r="D8">
        <v>0</v>
      </c>
      <c r="E8">
        <v>0</v>
      </c>
      <c r="F8">
        <v>0</v>
      </c>
      <c r="G8">
        <v>0</v>
      </c>
      <c r="H8">
        <v>0</v>
      </c>
      <c r="I8">
        <v>0</v>
      </c>
      <c r="J8">
        <v>0</v>
      </c>
      <c r="K8">
        <v>0</v>
      </c>
      <c r="L8">
        <v>0</v>
      </c>
      <c r="M8">
        <v>0</v>
      </c>
      <c r="N8">
        <v>0</v>
      </c>
      <c r="O8">
        <v>0</v>
      </c>
      <c r="P8">
        <v>0</v>
      </c>
      <c r="Q8">
        <v>0</v>
      </c>
      <c r="R8">
        <v>0</v>
      </c>
      <c r="S8">
        <v>0</v>
      </c>
      <c r="T8">
        <v>0</v>
      </c>
      <c r="U8">
        <v>0</v>
      </c>
      <c r="V8">
        <v>0</v>
      </c>
      <c r="W8">
        <v>0</v>
      </c>
      <c r="X8">
        <v>0</v>
      </c>
      <c r="Y8">
        <v>0</v>
      </c>
      <c r="Z8">
        <v>0</v>
      </c>
      <c r="AA8">
        <v>0</v>
      </c>
      <c r="AB8">
        <v>0</v>
      </c>
      <c r="AC8">
        <v>0</v>
      </c>
      <c r="AD8">
        <v>0</v>
      </c>
      <c r="AE8">
        <v>0</v>
      </c>
    </row>
    <row r="9" spans="1:31">
      <c r="A9" t="s">
        <v>82</v>
      </c>
      <c r="B9">
        <v>0</v>
      </c>
      <c r="C9">
        <v>0</v>
      </c>
      <c r="D9">
        <v>0</v>
      </c>
      <c r="E9">
        <v>0</v>
      </c>
      <c r="F9">
        <v>0</v>
      </c>
      <c r="G9">
        <v>0</v>
      </c>
      <c r="H9">
        <v>0</v>
      </c>
      <c r="I9">
        <v>0</v>
      </c>
      <c r="J9">
        <v>0</v>
      </c>
      <c r="K9">
        <v>0</v>
      </c>
      <c r="L9">
        <v>0</v>
      </c>
      <c r="M9">
        <v>0</v>
      </c>
      <c r="N9">
        <v>0</v>
      </c>
      <c r="O9">
        <v>0</v>
      </c>
      <c r="P9">
        <v>0</v>
      </c>
      <c r="Q9">
        <v>0</v>
      </c>
      <c r="R9">
        <v>0</v>
      </c>
      <c r="S9">
        <v>0</v>
      </c>
      <c r="T9">
        <v>0</v>
      </c>
      <c r="U9">
        <v>0</v>
      </c>
      <c r="V9">
        <v>0</v>
      </c>
      <c r="W9">
        <v>0</v>
      </c>
      <c r="X9">
        <v>0</v>
      </c>
      <c r="Y9">
        <v>0</v>
      </c>
      <c r="Z9">
        <v>0</v>
      </c>
      <c r="AA9">
        <v>0</v>
      </c>
      <c r="AB9">
        <v>0</v>
      </c>
      <c r="AC9">
        <v>0</v>
      </c>
      <c r="AD9">
        <v>0</v>
      </c>
      <c r="AE9">
        <v>0</v>
      </c>
    </row>
    <row r="10" spans="1:31">
      <c r="A10" t="s">
        <v>83</v>
      </c>
      <c r="B10">
        <v>0</v>
      </c>
      <c r="C10">
        <v>0</v>
      </c>
      <c r="D10">
        <v>0</v>
      </c>
      <c r="E10">
        <v>0</v>
      </c>
      <c r="F10">
        <v>0</v>
      </c>
      <c r="G10">
        <v>0</v>
      </c>
      <c r="H10">
        <v>0</v>
      </c>
      <c r="I10">
        <v>0</v>
      </c>
      <c r="J10">
        <v>0</v>
      </c>
      <c r="K10">
        <v>0</v>
      </c>
      <c r="L10">
        <v>0</v>
      </c>
      <c r="M10">
        <v>0</v>
      </c>
      <c r="N10">
        <v>0</v>
      </c>
      <c r="O10">
        <v>0</v>
      </c>
      <c r="P10">
        <v>0</v>
      </c>
      <c r="Q10">
        <v>0</v>
      </c>
      <c r="R10">
        <v>0</v>
      </c>
      <c r="S10">
        <v>0</v>
      </c>
      <c r="T10">
        <v>0</v>
      </c>
      <c r="U10">
        <v>0</v>
      </c>
      <c r="V10">
        <v>0</v>
      </c>
      <c r="W10">
        <v>0</v>
      </c>
      <c r="X10">
        <v>0</v>
      </c>
      <c r="Y10">
        <v>0</v>
      </c>
      <c r="Z10">
        <v>0</v>
      </c>
      <c r="AA10">
        <v>0</v>
      </c>
      <c r="AB10">
        <v>0</v>
      </c>
      <c r="AC10">
        <v>0</v>
      </c>
      <c r="AD10">
        <v>0</v>
      </c>
      <c r="AE10">
        <v>0</v>
      </c>
    </row>
    <row r="11" spans="1:31">
      <c r="A11" t="s">
        <v>84</v>
      </c>
      <c r="B11">
        <v>0</v>
      </c>
      <c r="C11">
        <v>0</v>
      </c>
      <c r="D11">
        <v>0</v>
      </c>
      <c r="E11">
        <v>0</v>
      </c>
      <c r="F11">
        <v>0</v>
      </c>
      <c r="G11">
        <v>0</v>
      </c>
      <c r="H11">
        <v>0</v>
      </c>
      <c r="I11">
        <v>0</v>
      </c>
      <c r="J11">
        <v>0</v>
      </c>
      <c r="K11">
        <v>0</v>
      </c>
      <c r="L11">
        <v>0</v>
      </c>
      <c r="M11">
        <v>0</v>
      </c>
      <c r="N11">
        <v>0</v>
      </c>
      <c r="O11">
        <v>0</v>
      </c>
      <c r="P11">
        <v>0</v>
      </c>
      <c r="Q11">
        <v>0</v>
      </c>
      <c r="R11">
        <v>0</v>
      </c>
      <c r="S11">
        <v>0</v>
      </c>
      <c r="T11">
        <v>0</v>
      </c>
      <c r="U11">
        <v>0</v>
      </c>
      <c r="V11">
        <v>0</v>
      </c>
      <c r="W11">
        <v>0</v>
      </c>
      <c r="X11">
        <v>0</v>
      </c>
      <c r="Y11">
        <v>0</v>
      </c>
      <c r="Z11">
        <v>0</v>
      </c>
      <c r="AA11">
        <v>0</v>
      </c>
      <c r="AB11">
        <v>0</v>
      </c>
      <c r="AC11">
        <v>0</v>
      </c>
      <c r="AD11">
        <v>0</v>
      </c>
      <c r="AE11">
        <v>0</v>
      </c>
    </row>
  </sheetData>
  <pageMargins left="0.7" right="0.7" top="0.75" bottom="0.75" header="0.3" footer="0.3"/>
</worksheet>
</file>

<file path=xl/worksheets/sheet5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E00-000000000000}">
  <sheetPr>
    <tabColor theme="3"/>
  </sheetPr>
  <dimension ref="A1:AE11"/>
  <sheetViews>
    <sheetView workbookViewId="0"/>
  </sheetViews>
  <sheetFormatPr defaultRowHeight="14.25"/>
  <cols>
    <col min="1" max="1" width="22.53125" customWidth="1"/>
  </cols>
  <sheetData>
    <row r="1" spans="1:31" ht="28.5">
      <c r="A1" s="10" t="s">
        <v>85</v>
      </c>
      <c r="B1">
        <v>2021</v>
      </c>
      <c r="C1">
        <v>2022</v>
      </c>
      <c r="D1">
        <v>2023</v>
      </c>
      <c r="E1">
        <v>2024</v>
      </c>
      <c r="F1">
        <v>2025</v>
      </c>
      <c r="G1">
        <v>2026</v>
      </c>
      <c r="H1">
        <v>2027</v>
      </c>
      <c r="I1">
        <v>2028</v>
      </c>
      <c r="J1">
        <v>2029</v>
      </c>
      <c r="K1">
        <v>2030</v>
      </c>
      <c r="L1">
        <v>2031</v>
      </c>
      <c r="M1">
        <v>2032</v>
      </c>
      <c r="N1">
        <v>2033</v>
      </c>
      <c r="O1">
        <v>2034</v>
      </c>
      <c r="P1">
        <v>2035</v>
      </c>
      <c r="Q1">
        <v>2036</v>
      </c>
      <c r="R1">
        <v>2037</v>
      </c>
      <c r="S1">
        <v>2038</v>
      </c>
      <c r="T1">
        <v>2039</v>
      </c>
      <c r="U1">
        <v>2040</v>
      </c>
      <c r="V1">
        <v>2041</v>
      </c>
      <c r="W1">
        <v>2042</v>
      </c>
      <c r="X1">
        <v>2043</v>
      </c>
      <c r="Y1">
        <v>2044</v>
      </c>
      <c r="Z1">
        <v>2045</v>
      </c>
      <c r="AA1">
        <v>2046</v>
      </c>
      <c r="AB1">
        <v>2047</v>
      </c>
      <c r="AC1">
        <v>2048</v>
      </c>
      <c r="AD1">
        <v>2049</v>
      </c>
      <c r="AE1">
        <v>2050</v>
      </c>
    </row>
    <row r="2" spans="1:31">
      <c r="A2" t="s">
        <v>15</v>
      </c>
      <c r="B2">
        <v>0</v>
      </c>
      <c r="C2">
        <v>0</v>
      </c>
      <c r="D2">
        <v>0</v>
      </c>
      <c r="E2">
        <v>0</v>
      </c>
      <c r="F2">
        <v>0</v>
      </c>
      <c r="G2">
        <v>0</v>
      </c>
      <c r="H2">
        <v>0</v>
      </c>
      <c r="I2">
        <v>0</v>
      </c>
      <c r="J2">
        <v>0</v>
      </c>
      <c r="K2">
        <v>0</v>
      </c>
      <c r="L2">
        <v>0</v>
      </c>
      <c r="M2">
        <v>0</v>
      </c>
      <c r="N2">
        <v>0</v>
      </c>
      <c r="O2">
        <v>0</v>
      </c>
      <c r="P2">
        <v>0</v>
      </c>
      <c r="Q2">
        <v>0</v>
      </c>
      <c r="R2">
        <v>0</v>
      </c>
      <c r="S2">
        <v>0</v>
      </c>
      <c r="T2">
        <v>0</v>
      </c>
      <c r="U2">
        <v>0</v>
      </c>
      <c r="V2">
        <v>0</v>
      </c>
      <c r="W2">
        <v>0</v>
      </c>
      <c r="X2">
        <v>0</v>
      </c>
      <c r="Y2">
        <v>0</v>
      </c>
      <c r="Z2">
        <v>0</v>
      </c>
      <c r="AA2">
        <v>0</v>
      </c>
      <c r="AB2">
        <v>0</v>
      </c>
      <c r="AC2">
        <v>0</v>
      </c>
      <c r="AD2">
        <v>0</v>
      </c>
      <c r="AE2">
        <v>0</v>
      </c>
    </row>
    <row r="3" spans="1:31">
      <c r="A3" t="s">
        <v>16</v>
      </c>
      <c r="B3">
        <v>0</v>
      </c>
      <c r="C3">
        <v>0</v>
      </c>
      <c r="D3">
        <v>0</v>
      </c>
      <c r="E3">
        <v>0</v>
      </c>
      <c r="F3">
        <v>0</v>
      </c>
      <c r="G3">
        <v>0</v>
      </c>
      <c r="H3">
        <v>0</v>
      </c>
      <c r="I3">
        <v>0</v>
      </c>
      <c r="J3">
        <v>0</v>
      </c>
      <c r="K3">
        <v>0</v>
      </c>
      <c r="L3">
        <v>0</v>
      </c>
      <c r="M3">
        <v>0</v>
      </c>
      <c r="N3">
        <v>0</v>
      </c>
      <c r="O3">
        <v>0</v>
      </c>
      <c r="P3">
        <v>0</v>
      </c>
      <c r="Q3">
        <v>0</v>
      </c>
      <c r="R3">
        <v>0</v>
      </c>
      <c r="S3">
        <v>0</v>
      </c>
      <c r="T3">
        <v>0</v>
      </c>
      <c r="U3">
        <v>0</v>
      </c>
      <c r="V3">
        <v>0</v>
      </c>
      <c r="W3">
        <v>0</v>
      </c>
      <c r="X3">
        <v>0</v>
      </c>
      <c r="Y3">
        <v>0</v>
      </c>
      <c r="Z3">
        <v>0</v>
      </c>
      <c r="AA3">
        <v>0</v>
      </c>
      <c r="AB3">
        <v>0</v>
      </c>
      <c r="AC3">
        <v>0</v>
      </c>
      <c r="AD3">
        <v>0</v>
      </c>
      <c r="AE3">
        <v>0</v>
      </c>
    </row>
    <row r="4" spans="1:31">
      <c r="A4" t="s">
        <v>17</v>
      </c>
      <c r="B4">
        <v>1</v>
      </c>
      <c r="C4">
        <v>1</v>
      </c>
      <c r="D4">
        <v>1</v>
      </c>
      <c r="E4">
        <v>1</v>
      </c>
      <c r="F4">
        <v>1</v>
      </c>
      <c r="G4">
        <v>1</v>
      </c>
      <c r="H4">
        <v>1</v>
      </c>
      <c r="I4">
        <v>1</v>
      </c>
      <c r="J4">
        <v>1</v>
      </c>
      <c r="K4">
        <v>1</v>
      </c>
      <c r="L4">
        <v>1</v>
      </c>
      <c r="M4">
        <v>1</v>
      </c>
      <c r="N4">
        <v>1</v>
      </c>
      <c r="O4">
        <v>1</v>
      </c>
      <c r="P4">
        <v>1</v>
      </c>
      <c r="Q4">
        <v>1</v>
      </c>
      <c r="R4">
        <v>1</v>
      </c>
      <c r="S4">
        <v>1</v>
      </c>
      <c r="T4">
        <v>1</v>
      </c>
      <c r="U4">
        <v>1</v>
      </c>
      <c r="V4">
        <v>1</v>
      </c>
      <c r="W4">
        <v>1</v>
      </c>
      <c r="X4">
        <v>1</v>
      </c>
      <c r="Y4">
        <v>1</v>
      </c>
      <c r="Z4">
        <v>1</v>
      </c>
      <c r="AA4">
        <v>1</v>
      </c>
      <c r="AB4">
        <v>1</v>
      </c>
      <c r="AC4">
        <v>1</v>
      </c>
      <c r="AD4">
        <v>1</v>
      </c>
      <c r="AE4">
        <v>1</v>
      </c>
    </row>
    <row r="5" spans="1:31">
      <c r="A5" t="s">
        <v>18</v>
      </c>
      <c r="B5">
        <v>0</v>
      </c>
      <c r="C5">
        <v>0</v>
      </c>
      <c r="D5">
        <v>0</v>
      </c>
      <c r="E5">
        <v>0</v>
      </c>
      <c r="F5">
        <v>0</v>
      </c>
      <c r="G5">
        <v>0</v>
      </c>
      <c r="H5">
        <v>0</v>
      </c>
      <c r="I5">
        <v>0</v>
      </c>
      <c r="J5">
        <v>0</v>
      </c>
      <c r="K5">
        <v>0</v>
      </c>
      <c r="L5">
        <v>0</v>
      </c>
      <c r="M5">
        <v>0</v>
      </c>
      <c r="N5">
        <v>0</v>
      </c>
      <c r="O5">
        <v>0</v>
      </c>
      <c r="P5">
        <v>0</v>
      </c>
      <c r="Q5">
        <v>0</v>
      </c>
      <c r="R5">
        <v>0</v>
      </c>
      <c r="S5">
        <v>0</v>
      </c>
      <c r="T5">
        <v>0</v>
      </c>
      <c r="U5">
        <v>0</v>
      </c>
      <c r="V5">
        <v>0</v>
      </c>
      <c r="W5">
        <v>0</v>
      </c>
      <c r="X5">
        <v>0</v>
      </c>
      <c r="Y5">
        <v>0</v>
      </c>
      <c r="Z5">
        <v>0</v>
      </c>
      <c r="AA5">
        <v>0</v>
      </c>
      <c r="AB5">
        <v>0</v>
      </c>
      <c r="AC5">
        <v>0</v>
      </c>
      <c r="AD5">
        <v>0</v>
      </c>
      <c r="AE5">
        <v>0</v>
      </c>
    </row>
    <row r="6" spans="1:31">
      <c r="A6" t="s">
        <v>19</v>
      </c>
      <c r="B6">
        <v>0</v>
      </c>
      <c r="C6">
        <v>0</v>
      </c>
      <c r="D6">
        <v>0</v>
      </c>
      <c r="E6">
        <v>0</v>
      </c>
      <c r="F6">
        <v>0</v>
      </c>
      <c r="G6">
        <v>0</v>
      </c>
      <c r="H6">
        <v>0</v>
      </c>
      <c r="I6">
        <v>0</v>
      </c>
      <c r="J6">
        <v>0</v>
      </c>
      <c r="K6">
        <v>0</v>
      </c>
      <c r="L6">
        <v>0</v>
      </c>
      <c r="M6">
        <v>0</v>
      </c>
      <c r="N6">
        <v>0</v>
      </c>
      <c r="O6">
        <v>0</v>
      </c>
      <c r="P6">
        <v>0</v>
      </c>
      <c r="Q6">
        <v>0</v>
      </c>
      <c r="R6">
        <v>0</v>
      </c>
      <c r="S6">
        <v>0</v>
      </c>
      <c r="T6">
        <v>0</v>
      </c>
      <c r="U6">
        <v>0</v>
      </c>
      <c r="V6">
        <v>0</v>
      </c>
      <c r="W6">
        <v>0</v>
      </c>
      <c r="X6">
        <v>0</v>
      </c>
      <c r="Y6">
        <v>0</v>
      </c>
      <c r="Z6">
        <v>0</v>
      </c>
      <c r="AA6">
        <v>0</v>
      </c>
      <c r="AB6">
        <v>0</v>
      </c>
      <c r="AC6">
        <v>0</v>
      </c>
      <c r="AD6">
        <v>0</v>
      </c>
      <c r="AE6">
        <v>0</v>
      </c>
    </row>
    <row r="7" spans="1:31">
      <c r="A7" t="s">
        <v>21</v>
      </c>
      <c r="B7">
        <v>0</v>
      </c>
      <c r="C7">
        <v>0</v>
      </c>
      <c r="D7">
        <v>0</v>
      </c>
      <c r="E7">
        <v>0</v>
      </c>
      <c r="F7">
        <v>0</v>
      </c>
      <c r="G7">
        <v>0</v>
      </c>
      <c r="H7">
        <v>0</v>
      </c>
      <c r="I7">
        <v>0</v>
      </c>
      <c r="J7">
        <v>0</v>
      </c>
      <c r="K7">
        <v>0</v>
      </c>
      <c r="L7">
        <v>0</v>
      </c>
      <c r="M7">
        <v>0</v>
      </c>
      <c r="N7">
        <v>0</v>
      </c>
      <c r="O7">
        <v>0</v>
      </c>
      <c r="P7">
        <v>0</v>
      </c>
      <c r="Q7">
        <v>0</v>
      </c>
      <c r="R7">
        <v>0</v>
      </c>
      <c r="S7">
        <v>0</v>
      </c>
      <c r="T7">
        <v>0</v>
      </c>
      <c r="U7">
        <v>0</v>
      </c>
      <c r="V7">
        <v>0</v>
      </c>
      <c r="W7">
        <v>0</v>
      </c>
      <c r="X7">
        <v>0</v>
      </c>
      <c r="Y7">
        <v>0</v>
      </c>
      <c r="Z7">
        <v>0</v>
      </c>
      <c r="AA7">
        <v>0</v>
      </c>
      <c r="AB7">
        <v>0</v>
      </c>
      <c r="AC7">
        <v>0</v>
      </c>
      <c r="AD7">
        <v>0</v>
      </c>
      <c r="AE7">
        <v>0</v>
      </c>
    </row>
    <row r="8" spans="1:31">
      <c r="A8" t="s">
        <v>20</v>
      </c>
      <c r="B8">
        <v>0</v>
      </c>
      <c r="C8">
        <v>0</v>
      </c>
      <c r="D8">
        <v>0</v>
      </c>
      <c r="E8">
        <v>0</v>
      </c>
      <c r="F8">
        <v>0</v>
      </c>
      <c r="G8">
        <v>0</v>
      </c>
      <c r="H8">
        <v>0</v>
      </c>
      <c r="I8">
        <v>0</v>
      </c>
      <c r="J8">
        <v>0</v>
      </c>
      <c r="K8">
        <v>0</v>
      </c>
      <c r="L8">
        <v>0</v>
      </c>
      <c r="M8">
        <v>0</v>
      </c>
      <c r="N8">
        <v>0</v>
      </c>
      <c r="O8">
        <v>0</v>
      </c>
      <c r="P8">
        <v>0</v>
      </c>
      <c r="Q8">
        <v>0</v>
      </c>
      <c r="R8">
        <v>0</v>
      </c>
      <c r="S8">
        <v>0</v>
      </c>
      <c r="T8">
        <v>0</v>
      </c>
      <c r="U8">
        <v>0</v>
      </c>
      <c r="V8">
        <v>0</v>
      </c>
      <c r="W8">
        <v>0</v>
      </c>
      <c r="X8">
        <v>0</v>
      </c>
      <c r="Y8">
        <v>0</v>
      </c>
      <c r="Z8">
        <v>0</v>
      </c>
      <c r="AA8">
        <v>0</v>
      </c>
      <c r="AB8">
        <v>0</v>
      </c>
      <c r="AC8">
        <v>0</v>
      </c>
      <c r="AD8">
        <v>0</v>
      </c>
      <c r="AE8">
        <v>0</v>
      </c>
    </row>
    <row r="9" spans="1:31">
      <c r="A9" t="s">
        <v>82</v>
      </c>
      <c r="B9">
        <v>0</v>
      </c>
      <c r="C9">
        <v>0</v>
      </c>
      <c r="D9">
        <v>0</v>
      </c>
      <c r="E9">
        <v>0</v>
      </c>
      <c r="F9">
        <v>0</v>
      </c>
      <c r="G9">
        <v>0</v>
      </c>
      <c r="H9">
        <v>0</v>
      </c>
      <c r="I9">
        <v>0</v>
      </c>
      <c r="J9">
        <v>0</v>
      </c>
      <c r="K9">
        <v>0</v>
      </c>
      <c r="L9">
        <v>0</v>
      </c>
      <c r="M9">
        <v>0</v>
      </c>
      <c r="N9">
        <v>0</v>
      </c>
      <c r="O9">
        <v>0</v>
      </c>
      <c r="P9">
        <v>0</v>
      </c>
      <c r="Q9">
        <v>0</v>
      </c>
      <c r="R9">
        <v>0</v>
      </c>
      <c r="S9">
        <v>0</v>
      </c>
      <c r="T9">
        <v>0</v>
      </c>
      <c r="U9">
        <v>0</v>
      </c>
      <c r="V9">
        <v>0</v>
      </c>
      <c r="W9">
        <v>0</v>
      </c>
      <c r="X9">
        <v>0</v>
      </c>
      <c r="Y9">
        <v>0</v>
      </c>
      <c r="Z9">
        <v>0</v>
      </c>
      <c r="AA9">
        <v>0</v>
      </c>
      <c r="AB9">
        <v>0</v>
      </c>
      <c r="AC9">
        <v>0</v>
      </c>
      <c r="AD9">
        <v>0</v>
      </c>
      <c r="AE9">
        <v>0</v>
      </c>
    </row>
    <row r="10" spans="1:31">
      <c r="A10" t="s">
        <v>83</v>
      </c>
      <c r="B10">
        <v>0</v>
      </c>
      <c r="C10">
        <v>0</v>
      </c>
      <c r="D10">
        <v>0</v>
      </c>
      <c r="E10">
        <v>0</v>
      </c>
      <c r="F10">
        <v>0</v>
      </c>
      <c r="G10">
        <v>0</v>
      </c>
      <c r="H10">
        <v>0</v>
      </c>
      <c r="I10">
        <v>0</v>
      </c>
      <c r="J10">
        <v>0</v>
      </c>
      <c r="K10">
        <v>0</v>
      </c>
      <c r="L10">
        <v>0</v>
      </c>
      <c r="M10">
        <v>0</v>
      </c>
      <c r="N10">
        <v>0</v>
      </c>
      <c r="O10">
        <v>0</v>
      </c>
      <c r="P10">
        <v>0</v>
      </c>
      <c r="Q10">
        <v>0</v>
      </c>
      <c r="R10">
        <v>0</v>
      </c>
      <c r="S10">
        <v>0</v>
      </c>
      <c r="T10">
        <v>0</v>
      </c>
      <c r="U10">
        <v>0</v>
      </c>
      <c r="V10">
        <v>0</v>
      </c>
      <c r="W10">
        <v>0</v>
      </c>
      <c r="X10">
        <v>0</v>
      </c>
      <c r="Y10">
        <v>0</v>
      </c>
      <c r="Z10">
        <v>0</v>
      </c>
      <c r="AA10">
        <v>0</v>
      </c>
      <c r="AB10">
        <v>0</v>
      </c>
      <c r="AC10">
        <v>0</v>
      </c>
      <c r="AD10">
        <v>0</v>
      </c>
      <c r="AE10">
        <v>0</v>
      </c>
    </row>
    <row r="11" spans="1:31">
      <c r="A11" t="s">
        <v>84</v>
      </c>
      <c r="B11">
        <v>0</v>
      </c>
      <c r="C11">
        <v>0</v>
      </c>
      <c r="D11">
        <v>0</v>
      </c>
      <c r="E11">
        <v>0</v>
      </c>
      <c r="F11">
        <v>0</v>
      </c>
      <c r="G11">
        <v>0</v>
      </c>
      <c r="H11">
        <v>0</v>
      </c>
      <c r="I11">
        <v>0</v>
      </c>
      <c r="J11">
        <v>0</v>
      </c>
      <c r="K11">
        <v>0</v>
      </c>
      <c r="L11">
        <v>0</v>
      </c>
      <c r="M11">
        <v>0</v>
      </c>
      <c r="N11">
        <v>0</v>
      </c>
      <c r="O11">
        <v>0</v>
      </c>
      <c r="P11">
        <v>0</v>
      </c>
      <c r="Q11">
        <v>0</v>
      </c>
      <c r="R11">
        <v>0</v>
      </c>
      <c r="S11">
        <v>0</v>
      </c>
      <c r="T11">
        <v>0</v>
      </c>
      <c r="U11">
        <v>0</v>
      </c>
      <c r="V11">
        <v>0</v>
      </c>
      <c r="W11">
        <v>0</v>
      </c>
      <c r="X11">
        <v>0</v>
      </c>
      <c r="Y11">
        <v>0</v>
      </c>
      <c r="Z11">
        <v>0</v>
      </c>
      <c r="AA11">
        <v>0</v>
      </c>
      <c r="AB11">
        <v>0</v>
      </c>
      <c r="AC11">
        <v>0</v>
      </c>
      <c r="AD11">
        <v>0</v>
      </c>
      <c r="AE11">
        <v>0</v>
      </c>
    </row>
  </sheetData>
  <pageMargins left="0.7" right="0.7" top="0.75" bottom="0.75" header="0.3" footer="0.3"/>
</worksheet>
</file>

<file path=xl/worksheets/sheet5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F00-000000000000}">
  <sheetPr>
    <tabColor theme="3"/>
  </sheetPr>
  <dimension ref="A1:AE11"/>
  <sheetViews>
    <sheetView workbookViewId="0">
      <selection activeCell="A11" sqref="A11"/>
    </sheetView>
  </sheetViews>
  <sheetFormatPr defaultRowHeight="14.25"/>
  <cols>
    <col min="1" max="1" width="22.53125" customWidth="1"/>
  </cols>
  <sheetData>
    <row r="1" spans="1:31" ht="28.5">
      <c r="A1" s="10" t="s">
        <v>85</v>
      </c>
      <c r="B1">
        <v>2021</v>
      </c>
      <c r="C1">
        <v>2022</v>
      </c>
      <c r="D1">
        <v>2023</v>
      </c>
      <c r="E1">
        <v>2024</v>
      </c>
      <c r="F1">
        <v>2025</v>
      </c>
      <c r="G1">
        <v>2026</v>
      </c>
      <c r="H1">
        <v>2027</v>
      </c>
      <c r="I1">
        <v>2028</v>
      </c>
      <c r="J1">
        <v>2029</v>
      </c>
      <c r="K1">
        <v>2030</v>
      </c>
      <c r="L1">
        <v>2031</v>
      </c>
      <c r="M1">
        <v>2032</v>
      </c>
      <c r="N1">
        <v>2033</v>
      </c>
      <c r="O1">
        <v>2034</v>
      </c>
      <c r="P1">
        <v>2035</v>
      </c>
      <c r="Q1">
        <v>2036</v>
      </c>
      <c r="R1">
        <v>2037</v>
      </c>
      <c r="S1">
        <v>2038</v>
      </c>
      <c r="T1">
        <v>2039</v>
      </c>
      <c r="U1">
        <v>2040</v>
      </c>
      <c r="V1">
        <v>2041</v>
      </c>
      <c r="W1">
        <v>2042</v>
      </c>
      <c r="X1">
        <v>2043</v>
      </c>
      <c r="Y1">
        <v>2044</v>
      </c>
      <c r="Z1">
        <v>2045</v>
      </c>
      <c r="AA1">
        <v>2046</v>
      </c>
      <c r="AB1">
        <v>2047</v>
      </c>
      <c r="AC1">
        <v>2048</v>
      </c>
      <c r="AD1">
        <v>2049</v>
      </c>
      <c r="AE1">
        <v>2050</v>
      </c>
    </row>
    <row r="2" spans="1:31">
      <c r="A2" t="s">
        <v>15</v>
      </c>
      <c r="B2">
        <v>0</v>
      </c>
      <c r="C2">
        <v>0</v>
      </c>
      <c r="D2">
        <v>0</v>
      </c>
      <c r="E2">
        <v>0</v>
      </c>
      <c r="F2">
        <v>0</v>
      </c>
      <c r="G2">
        <v>0</v>
      </c>
      <c r="H2">
        <v>0</v>
      </c>
      <c r="I2">
        <v>0</v>
      </c>
      <c r="J2">
        <v>0</v>
      </c>
      <c r="K2">
        <v>0</v>
      </c>
      <c r="L2">
        <v>0</v>
      </c>
      <c r="M2">
        <v>0</v>
      </c>
      <c r="N2">
        <v>0</v>
      </c>
      <c r="O2">
        <v>0</v>
      </c>
      <c r="P2">
        <v>0</v>
      </c>
      <c r="Q2">
        <v>0</v>
      </c>
      <c r="R2">
        <v>0</v>
      </c>
      <c r="S2">
        <v>0</v>
      </c>
      <c r="T2">
        <v>0</v>
      </c>
      <c r="U2">
        <v>0</v>
      </c>
      <c r="V2">
        <v>0</v>
      </c>
      <c r="W2">
        <v>0</v>
      </c>
      <c r="X2">
        <v>0</v>
      </c>
      <c r="Y2">
        <v>0</v>
      </c>
      <c r="Z2">
        <v>0</v>
      </c>
      <c r="AA2">
        <v>0</v>
      </c>
      <c r="AB2">
        <v>0</v>
      </c>
      <c r="AC2">
        <v>0</v>
      </c>
      <c r="AD2">
        <v>0</v>
      </c>
      <c r="AE2">
        <v>0</v>
      </c>
    </row>
    <row r="3" spans="1:31">
      <c r="A3" t="s">
        <v>16</v>
      </c>
      <c r="B3">
        <v>0</v>
      </c>
      <c r="C3">
        <v>0</v>
      </c>
      <c r="D3">
        <v>0</v>
      </c>
      <c r="E3">
        <v>0</v>
      </c>
      <c r="F3">
        <v>0</v>
      </c>
      <c r="G3">
        <v>0</v>
      </c>
      <c r="H3">
        <v>0</v>
      </c>
      <c r="I3">
        <v>0</v>
      </c>
      <c r="J3">
        <v>0</v>
      </c>
      <c r="K3">
        <v>0</v>
      </c>
      <c r="L3">
        <v>0</v>
      </c>
      <c r="M3">
        <v>0</v>
      </c>
      <c r="N3">
        <v>0</v>
      </c>
      <c r="O3">
        <v>0</v>
      </c>
      <c r="P3">
        <v>0</v>
      </c>
      <c r="Q3">
        <v>0</v>
      </c>
      <c r="R3">
        <v>0</v>
      </c>
      <c r="S3">
        <v>0</v>
      </c>
      <c r="T3">
        <v>0</v>
      </c>
      <c r="U3">
        <v>0</v>
      </c>
      <c r="V3">
        <v>0</v>
      </c>
      <c r="W3">
        <v>0</v>
      </c>
      <c r="X3">
        <v>0</v>
      </c>
      <c r="Y3">
        <v>0</v>
      </c>
      <c r="Z3">
        <v>0</v>
      </c>
      <c r="AA3">
        <v>0</v>
      </c>
      <c r="AB3">
        <v>0</v>
      </c>
      <c r="AC3">
        <v>0</v>
      </c>
      <c r="AD3">
        <v>0</v>
      </c>
      <c r="AE3">
        <v>0</v>
      </c>
    </row>
    <row r="4" spans="1:31">
      <c r="A4" t="s">
        <v>17</v>
      </c>
      <c r="B4">
        <v>0</v>
      </c>
      <c r="C4">
        <v>0</v>
      </c>
      <c r="D4">
        <v>0</v>
      </c>
      <c r="E4">
        <v>0</v>
      </c>
      <c r="F4">
        <v>0</v>
      </c>
      <c r="G4">
        <v>0</v>
      </c>
      <c r="H4">
        <v>0</v>
      </c>
      <c r="I4">
        <v>0</v>
      </c>
      <c r="J4">
        <v>0</v>
      </c>
      <c r="K4">
        <v>0</v>
      </c>
      <c r="L4">
        <v>0</v>
      </c>
      <c r="M4">
        <v>0</v>
      </c>
      <c r="N4">
        <v>0</v>
      </c>
      <c r="O4">
        <v>0</v>
      </c>
      <c r="P4">
        <v>0</v>
      </c>
      <c r="Q4">
        <v>0</v>
      </c>
      <c r="R4">
        <v>0</v>
      </c>
      <c r="S4">
        <v>0</v>
      </c>
      <c r="T4">
        <v>0</v>
      </c>
      <c r="U4">
        <v>0</v>
      </c>
      <c r="V4">
        <v>0</v>
      </c>
      <c r="W4">
        <v>0</v>
      </c>
      <c r="X4">
        <v>0</v>
      </c>
      <c r="Y4">
        <v>0</v>
      </c>
      <c r="Z4">
        <v>0</v>
      </c>
      <c r="AA4">
        <v>0</v>
      </c>
      <c r="AB4">
        <v>0</v>
      </c>
      <c r="AC4">
        <v>0</v>
      </c>
      <c r="AD4">
        <v>0</v>
      </c>
      <c r="AE4">
        <v>0</v>
      </c>
    </row>
    <row r="5" spans="1:31">
      <c r="A5" t="s">
        <v>18</v>
      </c>
      <c r="B5">
        <v>0</v>
      </c>
      <c r="C5">
        <v>0</v>
      </c>
      <c r="D5">
        <v>0</v>
      </c>
      <c r="E5">
        <v>0</v>
      </c>
      <c r="F5">
        <v>0</v>
      </c>
      <c r="G5">
        <v>0</v>
      </c>
      <c r="H5">
        <v>0</v>
      </c>
      <c r="I5">
        <v>0</v>
      </c>
      <c r="J5">
        <v>0</v>
      </c>
      <c r="K5">
        <v>0</v>
      </c>
      <c r="L5">
        <v>0</v>
      </c>
      <c r="M5">
        <v>0</v>
      </c>
      <c r="N5">
        <v>0</v>
      </c>
      <c r="O5">
        <v>0</v>
      </c>
      <c r="P5">
        <v>0</v>
      </c>
      <c r="Q5">
        <v>0</v>
      </c>
      <c r="R5">
        <v>0</v>
      </c>
      <c r="S5">
        <v>0</v>
      </c>
      <c r="T5">
        <v>0</v>
      </c>
      <c r="U5">
        <v>0</v>
      </c>
      <c r="V5">
        <v>0</v>
      </c>
      <c r="W5">
        <v>0</v>
      </c>
      <c r="X5">
        <v>0</v>
      </c>
      <c r="Y5">
        <v>0</v>
      </c>
      <c r="Z5">
        <v>0</v>
      </c>
      <c r="AA5">
        <v>0</v>
      </c>
      <c r="AB5">
        <v>0</v>
      </c>
      <c r="AC5">
        <v>0</v>
      </c>
      <c r="AD5">
        <v>0</v>
      </c>
      <c r="AE5">
        <v>0</v>
      </c>
    </row>
    <row r="6" spans="1:31">
      <c r="A6" t="s">
        <v>19</v>
      </c>
      <c r="B6">
        <v>0</v>
      </c>
      <c r="C6">
        <v>0</v>
      </c>
      <c r="D6">
        <v>0</v>
      </c>
      <c r="E6">
        <v>0</v>
      </c>
      <c r="F6">
        <v>0</v>
      </c>
      <c r="G6">
        <v>0</v>
      </c>
      <c r="H6">
        <v>0</v>
      </c>
      <c r="I6">
        <v>0</v>
      </c>
      <c r="J6">
        <v>0</v>
      </c>
      <c r="K6">
        <v>0</v>
      </c>
      <c r="L6">
        <v>0</v>
      </c>
      <c r="M6">
        <v>0</v>
      </c>
      <c r="N6">
        <v>0</v>
      </c>
      <c r="O6">
        <v>0</v>
      </c>
      <c r="P6">
        <v>0</v>
      </c>
      <c r="Q6">
        <v>0</v>
      </c>
      <c r="R6">
        <v>0</v>
      </c>
      <c r="S6">
        <v>0</v>
      </c>
      <c r="T6">
        <v>0</v>
      </c>
      <c r="U6">
        <v>0</v>
      </c>
      <c r="V6">
        <v>0</v>
      </c>
      <c r="W6">
        <v>0</v>
      </c>
      <c r="X6">
        <v>0</v>
      </c>
      <c r="Y6">
        <v>0</v>
      </c>
      <c r="Z6">
        <v>0</v>
      </c>
      <c r="AA6">
        <v>0</v>
      </c>
      <c r="AB6">
        <v>0</v>
      </c>
      <c r="AC6">
        <v>0</v>
      </c>
      <c r="AD6">
        <v>0</v>
      </c>
      <c r="AE6">
        <v>0</v>
      </c>
    </row>
    <row r="7" spans="1:31">
      <c r="A7" t="s">
        <v>21</v>
      </c>
      <c r="B7">
        <v>0</v>
      </c>
      <c r="C7">
        <v>0</v>
      </c>
      <c r="D7">
        <v>0</v>
      </c>
      <c r="E7">
        <v>0</v>
      </c>
      <c r="F7">
        <v>0</v>
      </c>
      <c r="G7">
        <v>0</v>
      </c>
      <c r="H7">
        <v>0</v>
      </c>
      <c r="I7">
        <v>0</v>
      </c>
      <c r="J7">
        <v>0</v>
      </c>
      <c r="K7">
        <v>0</v>
      </c>
      <c r="L7">
        <v>0</v>
      </c>
      <c r="M7">
        <v>0</v>
      </c>
      <c r="N7">
        <v>0</v>
      </c>
      <c r="O7">
        <v>0</v>
      </c>
      <c r="P7">
        <v>0</v>
      </c>
      <c r="Q7">
        <v>0</v>
      </c>
      <c r="R7">
        <v>0</v>
      </c>
      <c r="S7">
        <v>0</v>
      </c>
      <c r="T7">
        <v>0</v>
      </c>
      <c r="U7">
        <v>0</v>
      </c>
      <c r="V7">
        <v>0</v>
      </c>
      <c r="W7">
        <v>0</v>
      </c>
      <c r="X7">
        <v>0</v>
      </c>
      <c r="Y7">
        <v>0</v>
      </c>
      <c r="Z7">
        <v>0</v>
      </c>
      <c r="AA7">
        <v>0</v>
      </c>
      <c r="AB7">
        <v>0</v>
      </c>
      <c r="AC7">
        <v>0</v>
      </c>
      <c r="AD7">
        <v>0</v>
      </c>
      <c r="AE7">
        <v>0</v>
      </c>
    </row>
    <row r="8" spans="1:31">
      <c r="A8" t="s">
        <v>20</v>
      </c>
      <c r="B8">
        <v>1</v>
      </c>
      <c r="C8">
        <v>1</v>
      </c>
      <c r="D8">
        <v>1</v>
      </c>
      <c r="E8">
        <v>1</v>
      </c>
      <c r="F8">
        <v>1</v>
      </c>
      <c r="G8">
        <v>1</v>
      </c>
      <c r="H8">
        <v>1</v>
      </c>
      <c r="I8">
        <v>1</v>
      </c>
      <c r="J8">
        <v>1</v>
      </c>
      <c r="K8">
        <v>1</v>
      </c>
      <c r="L8">
        <v>1</v>
      </c>
      <c r="M8">
        <v>1</v>
      </c>
      <c r="N8">
        <v>1</v>
      </c>
      <c r="O8">
        <v>1</v>
      </c>
      <c r="P8">
        <v>1</v>
      </c>
      <c r="Q8">
        <v>1</v>
      </c>
      <c r="R8">
        <v>1</v>
      </c>
      <c r="S8">
        <v>1</v>
      </c>
      <c r="T8">
        <v>1</v>
      </c>
      <c r="U8">
        <v>1</v>
      </c>
      <c r="V8">
        <v>1</v>
      </c>
      <c r="W8">
        <v>1</v>
      </c>
      <c r="X8">
        <v>1</v>
      </c>
      <c r="Y8">
        <v>1</v>
      </c>
      <c r="Z8">
        <v>1</v>
      </c>
      <c r="AA8">
        <v>1</v>
      </c>
      <c r="AB8">
        <v>1</v>
      </c>
      <c r="AC8">
        <v>1</v>
      </c>
      <c r="AD8">
        <v>1</v>
      </c>
      <c r="AE8">
        <v>1</v>
      </c>
    </row>
    <row r="9" spans="1:31">
      <c r="A9" t="s">
        <v>82</v>
      </c>
      <c r="B9">
        <v>0</v>
      </c>
      <c r="C9">
        <v>0</v>
      </c>
      <c r="D9">
        <v>0</v>
      </c>
      <c r="E9">
        <v>0</v>
      </c>
      <c r="F9">
        <v>0</v>
      </c>
      <c r="G9">
        <v>0</v>
      </c>
      <c r="H9">
        <v>0</v>
      </c>
      <c r="I9">
        <v>0</v>
      </c>
      <c r="J9">
        <v>0</v>
      </c>
      <c r="K9">
        <v>0</v>
      </c>
      <c r="L9">
        <v>0</v>
      </c>
      <c r="M9">
        <v>0</v>
      </c>
      <c r="N9">
        <v>0</v>
      </c>
      <c r="O9">
        <v>0</v>
      </c>
      <c r="P9">
        <v>0</v>
      </c>
      <c r="Q9">
        <v>0</v>
      </c>
      <c r="R9">
        <v>0</v>
      </c>
      <c r="S9">
        <v>0</v>
      </c>
      <c r="T9">
        <v>0</v>
      </c>
      <c r="U9">
        <v>0</v>
      </c>
      <c r="V9">
        <v>0</v>
      </c>
      <c r="W9">
        <v>0</v>
      </c>
      <c r="X9">
        <v>0</v>
      </c>
      <c r="Y9">
        <v>0</v>
      </c>
      <c r="Z9">
        <v>0</v>
      </c>
      <c r="AA9">
        <v>0</v>
      </c>
      <c r="AB9">
        <v>0</v>
      </c>
      <c r="AC9">
        <v>0</v>
      </c>
      <c r="AD9">
        <v>0</v>
      </c>
      <c r="AE9">
        <v>0</v>
      </c>
    </row>
    <row r="10" spans="1:31">
      <c r="A10" t="s">
        <v>83</v>
      </c>
      <c r="B10">
        <v>0</v>
      </c>
      <c r="C10">
        <v>0</v>
      </c>
      <c r="D10">
        <v>0</v>
      </c>
      <c r="E10">
        <v>0</v>
      </c>
      <c r="F10">
        <v>0</v>
      </c>
      <c r="G10">
        <v>0</v>
      </c>
      <c r="H10">
        <v>0</v>
      </c>
      <c r="I10">
        <v>0</v>
      </c>
      <c r="J10">
        <v>0</v>
      </c>
      <c r="K10">
        <v>0</v>
      </c>
      <c r="L10">
        <v>0</v>
      </c>
      <c r="M10">
        <v>0</v>
      </c>
      <c r="N10">
        <v>0</v>
      </c>
      <c r="O10">
        <v>0</v>
      </c>
      <c r="P10">
        <v>0</v>
      </c>
      <c r="Q10">
        <v>0</v>
      </c>
      <c r="R10">
        <v>0</v>
      </c>
      <c r="S10">
        <v>0</v>
      </c>
      <c r="T10">
        <v>0</v>
      </c>
      <c r="U10">
        <v>0</v>
      </c>
      <c r="V10">
        <v>0</v>
      </c>
      <c r="W10">
        <v>0</v>
      </c>
      <c r="X10">
        <v>0</v>
      </c>
      <c r="Y10">
        <v>0</v>
      </c>
      <c r="Z10">
        <v>0</v>
      </c>
      <c r="AA10">
        <v>0</v>
      </c>
      <c r="AB10">
        <v>0</v>
      </c>
      <c r="AC10">
        <v>0</v>
      </c>
      <c r="AD10">
        <v>0</v>
      </c>
      <c r="AE10">
        <v>0</v>
      </c>
    </row>
    <row r="11" spans="1:31">
      <c r="A11" t="s">
        <v>84</v>
      </c>
      <c r="B11">
        <v>0</v>
      </c>
      <c r="C11">
        <v>0</v>
      </c>
      <c r="D11">
        <v>0</v>
      </c>
      <c r="E11">
        <v>0</v>
      </c>
      <c r="F11">
        <v>0</v>
      </c>
      <c r="G11">
        <v>0</v>
      </c>
      <c r="H11">
        <v>0</v>
      </c>
      <c r="I11">
        <v>0</v>
      </c>
      <c r="J11">
        <v>0</v>
      </c>
      <c r="K11">
        <v>0</v>
      </c>
      <c r="L11">
        <v>0</v>
      </c>
      <c r="M11">
        <v>0</v>
      </c>
      <c r="N11">
        <v>0</v>
      </c>
      <c r="O11">
        <v>0</v>
      </c>
      <c r="P11">
        <v>0</v>
      </c>
      <c r="Q11">
        <v>0</v>
      </c>
      <c r="R11">
        <v>0</v>
      </c>
      <c r="S11">
        <v>0</v>
      </c>
      <c r="T11">
        <v>0</v>
      </c>
      <c r="U11">
        <v>0</v>
      </c>
      <c r="V11">
        <v>0</v>
      </c>
      <c r="W11">
        <v>0</v>
      </c>
      <c r="X11">
        <v>0</v>
      </c>
      <c r="Y11">
        <v>0</v>
      </c>
      <c r="Z11">
        <v>0</v>
      </c>
      <c r="AA11">
        <v>0</v>
      </c>
      <c r="AB11">
        <v>0</v>
      </c>
      <c r="AC11">
        <v>0</v>
      </c>
      <c r="AD11">
        <v>0</v>
      </c>
      <c r="AE11">
        <v>0</v>
      </c>
    </row>
  </sheetData>
  <pageMargins left="0.7" right="0.7" top="0.75" bottom="0.75" header="0.3" footer="0.3"/>
</worksheet>
</file>

<file path=xl/worksheets/sheet5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3000-000000000000}">
  <sheetPr>
    <tabColor theme="3"/>
  </sheetPr>
  <dimension ref="A1:AE11"/>
  <sheetViews>
    <sheetView workbookViewId="0"/>
  </sheetViews>
  <sheetFormatPr defaultRowHeight="14.25"/>
  <cols>
    <col min="1" max="1" width="22.53125" customWidth="1"/>
  </cols>
  <sheetData>
    <row r="1" spans="1:31" ht="28.5">
      <c r="A1" s="10" t="s">
        <v>85</v>
      </c>
      <c r="B1">
        <v>2021</v>
      </c>
      <c r="C1">
        <v>2022</v>
      </c>
      <c r="D1">
        <v>2023</v>
      </c>
      <c r="E1">
        <v>2024</v>
      </c>
      <c r="F1">
        <v>2025</v>
      </c>
      <c r="G1">
        <v>2026</v>
      </c>
      <c r="H1">
        <v>2027</v>
      </c>
      <c r="I1">
        <v>2028</v>
      </c>
      <c r="J1">
        <v>2029</v>
      </c>
      <c r="K1">
        <v>2030</v>
      </c>
      <c r="L1">
        <v>2031</v>
      </c>
      <c r="M1">
        <v>2032</v>
      </c>
      <c r="N1">
        <v>2033</v>
      </c>
      <c r="O1">
        <v>2034</v>
      </c>
      <c r="P1">
        <v>2035</v>
      </c>
      <c r="Q1">
        <v>2036</v>
      </c>
      <c r="R1">
        <v>2037</v>
      </c>
      <c r="S1">
        <v>2038</v>
      </c>
      <c r="T1">
        <v>2039</v>
      </c>
      <c r="U1">
        <v>2040</v>
      </c>
      <c r="V1">
        <v>2041</v>
      </c>
      <c r="W1">
        <v>2042</v>
      </c>
      <c r="X1">
        <v>2043</v>
      </c>
      <c r="Y1">
        <v>2044</v>
      </c>
      <c r="Z1">
        <v>2045</v>
      </c>
      <c r="AA1">
        <v>2046</v>
      </c>
      <c r="AB1">
        <v>2047</v>
      </c>
      <c r="AC1">
        <v>2048</v>
      </c>
      <c r="AD1">
        <v>2049</v>
      </c>
      <c r="AE1">
        <v>2050</v>
      </c>
    </row>
    <row r="2" spans="1:31">
      <c r="A2" t="s">
        <v>15</v>
      </c>
      <c r="B2">
        <v>0</v>
      </c>
      <c r="C2">
        <v>0</v>
      </c>
      <c r="D2">
        <v>0</v>
      </c>
      <c r="E2">
        <v>0</v>
      </c>
      <c r="F2">
        <v>0</v>
      </c>
      <c r="G2">
        <v>0</v>
      </c>
      <c r="H2">
        <v>0</v>
      </c>
      <c r="I2">
        <v>0</v>
      </c>
      <c r="J2">
        <v>0</v>
      </c>
      <c r="K2">
        <v>0</v>
      </c>
      <c r="L2">
        <v>0</v>
      </c>
      <c r="M2">
        <v>0</v>
      </c>
      <c r="N2">
        <v>0</v>
      </c>
      <c r="O2">
        <v>0</v>
      </c>
      <c r="P2">
        <v>0</v>
      </c>
      <c r="Q2">
        <v>0</v>
      </c>
      <c r="R2">
        <v>0</v>
      </c>
      <c r="S2">
        <v>0</v>
      </c>
      <c r="T2">
        <v>0</v>
      </c>
      <c r="U2">
        <v>0</v>
      </c>
      <c r="V2">
        <v>0</v>
      </c>
      <c r="W2">
        <v>0</v>
      </c>
      <c r="X2">
        <v>0</v>
      </c>
      <c r="Y2">
        <v>0</v>
      </c>
      <c r="Z2">
        <v>0</v>
      </c>
      <c r="AA2">
        <v>0</v>
      </c>
      <c r="AB2">
        <v>0</v>
      </c>
      <c r="AC2">
        <v>0</v>
      </c>
      <c r="AD2">
        <v>0</v>
      </c>
      <c r="AE2">
        <v>0</v>
      </c>
    </row>
    <row r="3" spans="1:31">
      <c r="A3" t="s">
        <v>16</v>
      </c>
      <c r="B3">
        <v>0</v>
      </c>
      <c r="C3">
        <v>0</v>
      </c>
      <c r="D3">
        <v>0</v>
      </c>
      <c r="E3">
        <v>0</v>
      </c>
      <c r="F3">
        <v>0</v>
      </c>
      <c r="G3">
        <v>0</v>
      </c>
      <c r="H3">
        <v>0</v>
      </c>
      <c r="I3">
        <v>0</v>
      </c>
      <c r="J3">
        <v>0</v>
      </c>
      <c r="K3">
        <v>0</v>
      </c>
      <c r="L3">
        <v>0</v>
      </c>
      <c r="M3">
        <v>0</v>
      </c>
      <c r="N3">
        <v>0</v>
      </c>
      <c r="O3">
        <v>0</v>
      </c>
      <c r="P3">
        <v>0</v>
      </c>
      <c r="Q3">
        <v>0</v>
      </c>
      <c r="R3">
        <v>0</v>
      </c>
      <c r="S3">
        <v>0</v>
      </c>
      <c r="T3">
        <v>0</v>
      </c>
      <c r="U3">
        <v>0</v>
      </c>
      <c r="V3">
        <v>0</v>
      </c>
      <c r="W3">
        <v>0</v>
      </c>
      <c r="X3">
        <v>0</v>
      </c>
      <c r="Y3">
        <v>0</v>
      </c>
      <c r="Z3">
        <v>0</v>
      </c>
      <c r="AA3">
        <v>0</v>
      </c>
      <c r="AB3">
        <v>0</v>
      </c>
      <c r="AC3">
        <v>0</v>
      </c>
      <c r="AD3">
        <v>0</v>
      </c>
      <c r="AE3">
        <v>0</v>
      </c>
    </row>
    <row r="4" spans="1:31">
      <c r="A4" t="s">
        <v>17</v>
      </c>
      <c r="B4">
        <v>0</v>
      </c>
      <c r="C4">
        <v>0</v>
      </c>
      <c r="D4">
        <v>0</v>
      </c>
      <c r="E4">
        <v>0</v>
      </c>
      <c r="F4">
        <v>0</v>
      </c>
      <c r="G4">
        <v>0</v>
      </c>
      <c r="H4">
        <v>0</v>
      </c>
      <c r="I4">
        <v>0</v>
      </c>
      <c r="J4">
        <v>0</v>
      </c>
      <c r="K4">
        <v>0</v>
      </c>
      <c r="L4">
        <v>0</v>
      </c>
      <c r="M4">
        <v>0</v>
      </c>
      <c r="N4">
        <v>0</v>
      </c>
      <c r="O4">
        <v>0</v>
      </c>
      <c r="P4">
        <v>0</v>
      </c>
      <c r="Q4">
        <v>0</v>
      </c>
      <c r="R4">
        <v>0</v>
      </c>
      <c r="S4">
        <v>0</v>
      </c>
      <c r="T4">
        <v>0</v>
      </c>
      <c r="U4">
        <v>0</v>
      </c>
      <c r="V4">
        <v>0</v>
      </c>
      <c r="W4">
        <v>0</v>
      </c>
      <c r="X4">
        <v>0</v>
      </c>
      <c r="Y4">
        <v>0</v>
      </c>
      <c r="Z4">
        <v>0</v>
      </c>
      <c r="AA4">
        <v>0</v>
      </c>
      <c r="AB4">
        <v>0</v>
      </c>
      <c r="AC4">
        <v>0</v>
      </c>
      <c r="AD4">
        <v>0</v>
      </c>
      <c r="AE4">
        <v>0</v>
      </c>
    </row>
    <row r="5" spans="1:31">
      <c r="A5" t="s">
        <v>18</v>
      </c>
      <c r="B5">
        <v>0</v>
      </c>
      <c r="C5">
        <v>0</v>
      </c>
      <c r="D5">
        <v>0</v>
      </c>
      <c r="E5">
        <v>0</v>
      </c>
      <c r="F5">
        <v>0</v>
      </c>
      <c r="G5">
        <v>0</v>
      </c>
      <c r="H5">
        <v>0</v>
      </c>
      <c r="I5">
        <v>0</v>
      </c>
      <c r="J5">
        <v>0</v>
      </c>
      <c r="K5">
        <v>0</v>
      </c>
      <c r="L5">
        <v>0</v>
      </c>
      <c r="M5">
        <v>0</v>
      </c>
      <c r="N5">
        <v>0</v>
      </c>
      <c r="O5">
        <v>0</v>
      </c>
      <c r="P5">
        <v>0</v>
      </c>
      <c r="Q5">
        <v>0</v>
      </c>
      <c r="R5">
        <v>0</v>
      </c>
      <c r="S5">
        <v>0</v>
      </c>
      <c r="T5">
        <v>0</v>
      </c>
      <c r="U5">
        <v>0</v>
      </c>
      <c r="V5">
        <v>0</v>
      </c>
      <c r="W5">
        <v>0</v>
      </c>
      <c r="X5">
        <v>0</v>
      </c>
      <c r="Y5">
        <v>0</v>
      </c>
      <c r="Z5">
        <v>0</v>
      </c>
      <c r="AA5">
        <v>0</v>
      </c>
      <c r="AB5">
        <v>0</v>
      </c>
      <c r="AC5">
        <v>0</v>
      </c>
      <c r="AD5">
        <v>0</v>
      </c>
      <c r="AE5">
        <v>0</v>
      </c>
    </row>
    <row r="6" spans="1:31">
      <c r="A6" t="s">
        <v>19</v>
      </c>
      <c r="B6">
        <v>0</v>
      </c>
      <c r="C6">
        <v>0</v>
      </c>
      <c r="D6">
        <v>0</v>
      </c>
      <c r="E6">
        <v>0</v>
      </c>
      <c r="F6">
        <v>0</v>
      </c>
      <c r="G6">
        <v>0</v>
      </c>
      <c r="H6">
        <v>0</v>
      </c>
      <c r="I6">
        <v>0</v>
      </c>
      <c r="J6">
        <v>0</v>
      </c>
      <c r="K6">
        <v>0</v>
      </c>
      <c r="L6">
        <v>0</v>
      </c>
      <c r="M6">
        <v>0</v>
      </c>
      <c r="N6">
        <v>0</v>
      </c>
      <c r="O6">
        <v>0</v>
      </c>
      <c r="P6">
        <v>0</v>
      </c>
      <c r="Q6">
        <v>0</v>
      </c>
      <c r="R6">
        <v>0</v>
      </c>
      <c r="S6">
        <v>0</v>
      </c>
      <c r="T6">
        <v>0</v>
      </c>
      <c r="U6">
        <v>0</v>
      </c>
      <c r="V6">
        <v>0</v>
      </c>
      <c r="W6">
        <v>0</v>
      </c>
      <c r="X6">
        <v>0</v>
      </c>
      <c r="Y6">
        <v>0</v>
      </c>
      <c r="Z6">
        <v>0</v>
      </c>
      <c r="AA6">
        <v>0</v>
      </c>
      <c r="AB6">
        <v>0</v>
      </c>
      <c r="AC6">
        <v>0</v>
      </c>
      <c r="AD6">
        <v>0</v>
      </c>
      <c r="AE6">
        <v>0</v>
      </c>
    </row>
    <row r="7" spans="1:31">
      <c r="A7" t="s">
        <v>21</v>
      </c>
      <c r="B7">
        <v>0</v>
      </c>
      <c r="C7">
        <v>0</v>
      </c>
      <c r="D7">
        <v>0</v>
      </c>
      <c r="E7">
        <v>0</v>
      </c>
      <c r="F7">
        <v>0</v>
      </c>
      <c r="G7">
        <v>0</v>
      </c>
      <c r="H7">
        <v>0</v>
      </c>
      <c r="I7">
        <v>0</v>
      </c>
      <c r="J7">
        <v>0</v>
      </c>
      <c r="K7">
        <v>0</v>
      </c>
      <c r="L7">
        <v>0</v>
      </c>
      <c r="M7">
        <v>0</v>
      </c>
      <c r="N7">
        <v>0</v>
      </c>
      <c r="O7">
        <v>0</v>
      </c>
      <c r="P7">
        <v>0</v>
      </c>
      <c r="Q7">
        <v>0</v>
      </c>
      <c r="R7">
        <v>0</v>
      </c>
      <c r="S7">
        <v>0</v>
      </c>
      <c r="T7">
        <v>0</v>
      </c>
      <c r="U7">
        <v>0</v>
      </c>
      <c r="V7">
        <v>0</v>
      </c>
      <c r="W7">
        <v>0</v>
      </c>
      <c r="X7">
        <v>0</v>
      </c>
      <c r="Y7">
        <v>0</v>
      </c>
      <c r="Z7">
        <v>0</v>
      </c>
      <c r="AA7">
        <v>0</v>
      </c>
      <c r="AB7">
        <v>0</v>
      </c>
      <c r="AC7">
        <v>0</v>
      </c>
      <c r="AD7">
        <v>0</v>
      </c>
      <c r="AE7">
        <v>0</v>
      </c>
    </row>
    <row r="8" spans="1:31">
      <c r="A8" t="s">
        <v>20</v>
      </c>
      <c r="B8">
        <v>0</v>
      </c>
      <c r="C8">
        <v>0</v>
      </c>
      <c r="D8">
        <v>0</v>
      </c>
      <c r="E8">
        <v>0</v>
      </c>
      <c r="F8">
        <v>0</v>
      </c>
      <c r="G8">
        <v>0</v>
      </c>
      <c r="H8">
        <v>0</v>
      </c>
      <c r="I8">
        <v>0</v>
      </c>
      <c r="J8">
        <v>0</v>
      </c>
      <c r="K8">
        <v>0</v>
      </c>
      <c r="L8">
        <v>0</v>
      </c>
      <c r="M8">
        <v>0</v>
      </c>
      <c r="N8">
        <v>0</v>
      </c>
      <c r="O8">
        <v>0</v>
      </c>
      <c r="P8">
        <v>0</v>
      </c>
      <c r="Q8">
        <v>0</v>
      </c>
      <c r="R8">
        <v>0</v>
      </c>
      <c r="S8">
        <v>0</v>
      </c>
      <c r="T8">
        <v>0</v>
      </c>
      <c r="U8">
        <v>0</v>
      </c>
      <c r="V8">
        <v>0</v>
      </c>
      <c r="W8">
        <v>0</v>
      </c>
      <c r="X8">
        <v>0</v>
      </c>
      <c r="Y8">
        <v>0</v>
      </c>
      <c r="Z8">
        <v>0</v>
      </c>
      <c r="AA8">
        <v>0</v>
      </c>
      <c r="AB8">
        <v>0</v>
      </c>
      <c r="AC8">
        <v>0</v>
      </c>
      <c r="AD8">
        <v>0</v>
      </c>
      <c r="AE8">
        <v>0</v>
      </c>
    </row>
    <row r="9" spans="1:31">
      <c r="A9" t="s">
        <v>82</v>
      </c>
      <c r="B9">
        <v>0</v>
      </c>
      <c r="C9">
        <v>0</v>
      </c>
      <c r="D9">
        <v>0</v>
      </c>
      <c r="E9">
        <v>0</v>
      </c>
      <c r="F9">
        <v>0</v>
      </c>
      <c r="G9">
        <v>0</v>
      </c>
      <c r="H9">
        <v>0</v>
      </c>
      <c r="I9">
        <v>0</v>
      </c>
      <c r="J9">
        <v>0</v>
      </c>
      <c r="K9">
        <v>0</v>
      </c>
      <c r="L9">
        <v>0</v>
      </c>
      <c r="M9">
        <v>0</v>
      </c>
      <c r="N9">
        <v>0</v>
      </c>
      <c r="O9">
        <v>0</v>
      </c>
      <c r="P9">
        <v>0</v>
      </c>
      <c r="Q9">
        <v>0</v>
      </c>
      <c r="R9">
        <v>0</v>
      </c>
      <c r="S9">
        <v>0</v>
      </c>
      <c r="T9">
        <v>0</v>
      </c>
      <c r="U9">
        <v>0</v>
      </c>
      <c r="V9">
        <v>0</v>
      </c>
      <c r="W9">
        <v>0</v>
      </c>
      <c r="X9">
        <v>0</v>
      </c>
      <c r="Y9">
        <v>0</v>
      </c>
      <c r="Z9">
        <v>0</v>
      </c>
      <c r="AA9">
        <v>0</v>
      </c>
      <c r="AB9">
        <v>0</v>
      </c>
      <c r="AC9">
        <v>0</v>
      </c>
      <c r="AD9">
        <v>0</v>
      </c>
      <c r="AE9">
        <v>0</v>
      </c>
    </row>
    <row r="10" spans="1:31">
      <c r="A10" t="s">
        <v>83</v>
      </c>
      <c r="B10">
        <v>0</v>
      </c>
      <c r="C10">
        <v>0</v>
      </c>
      <c r="D10">
        <v>0</v>
      </c>
      <c r="E10">
        <v>0</v>
      </c>
      <c r="F10">
        <v>0</v>
      </c>
      <c r="G10">
        <v>0</v>
      </c>
      <c r="H10">
        <v>0</v>
      </c>
      <c r="I10">
        <v>0</v>
      </c>
      <c r="J10">
        <v>0</v>
      </c>
      <c r="K10">
        <v>0</v>
      </c>
      <c r="L10">
        <v>0</v>
      </c>
      <c r="M10">
        <v>0</v>
      </c>
      <c r="N10">
        <v>0</v>
      </c>
      <c r="O10">
        <v>0</v>
      </c>
      <c r="P10">
        <v>0</v>
      </c>
      <c r="Q10">
        <v>0</v>
      </c>
      <c r="R10">
        <v>0</v>
      </c>
      <c r="S10">
        <v>0</v>
      </c>
      <c r="T10">
        <v>0</v>
      </c>
      <c r="U10">
        <v>0</v>
      </c>
      <c r="V10">
        <v>0</v>
      </c>
      <c r="W10">
        <v>0</v>
      </c>
      <c r="X10">
        <v>0</v>
      </c>
      <c r="Y10">
        <v>0</v>
      </c>
      <c r="Z10">
        <v>0</v>
      </c>
      <c r="AA10">
        <v>0</v>
      </c>
      <c r="AB10">
        <v>0</v>
      </c>
      <c r="AC10">
        <v>0</v>
      </c>
      <c r="AD10">
        <v>0</v>
      </c>
      <c r="AE10">
        <v>0</v>
      </c>
    </row>
    <row r="11" spans="1:31">
      <c r="A11" t="s">
        <v>84</v>
      </c>
      <c r="B11">
        <v>1</v>
      </c>
      <c r="C11">
        <v>1</v>
      </c>
      <c r="D11">
        <v>1</v>
      </c>
      <c r="E11">
        <v>1</v>
      </c>
      <c r="F11">
        <v>1</v>
      </c>
      <c r="G11">
        <v>1</v>
      </c>
      <c r="H11">
        <v>1</v>
      </c>
      <c r="I11">
        <v>1</v>
      </c>
      <c r="J11">
        <v>1</v>
      </c>
      <c r="K11">
        <v>1</v>
      </c>
      <c r="L11">
        <v>1</v>
      </c>
      <c r="M11">
        <v>1</v>
      </c>
      <c r="N11">
        <v>1</v>
      </c>
      <c r="O11">
        <v>1</v>
      </c>
      <c r="P11">
        <v>1</v>
      </c>
      <c r="Q11">
        <v>1</v>
      </c>
      <c r="R11">
        <v>1</v>
      </c>
      <c r="S11">
        <v>1</v>
      </c>
      <c r="T11">
        <v>1</v>
      </c>
      <c r="U11">
        <v>1</v>
      </c>
      <c r="V11">
        <v>1</v>
      </c>
      <c r="W11">
        <v>1</v>
      </c>
      <c r="X11">
        <v>1</v>
      </c>
      <c r="Y11">
        <v>1</v>
      </c>
      <c r="Z11">
        <v>1</v>
      </c>
      <c r="AA11">
        <v>1</v>
      </c>
      <c r="AB11">
        <v>1</v>
      </c>
      <c r="AC11">
        <v>1</v>
      </c>
      <c r="AD11">
        <v>1</v>
      </c>
      <c r="AE11">
        <v>1</v>
      </c>
    </row>
  </sheetData>
  <pageMargins left="0.7" right="0.7" top="0.75" bottom="0.75" header="0.3" footer="0.3"/>
</worksheet>
</file>

<file path=xl/worksheets/sheet6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3100-000000000000}">
  <sheetPr>
    <tabColor rgb="FFFF0000"/>
  </sheetPr>
  <dimension ref="A1"/>
  <sheetViews>
    <sheetView workbookViewId="0"/>
  </sheetViews>
  <sheetFormatPr defaultRowHeight="14.25"/>
  <sheetData/>
  <pageMargins left="0.7" right="0.7" top="0.75" bottom="0.75" header="0.3" footer="0.3"/>
</worksheet>
</file>

<file path=xl/worksheets/sheet6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3200-000000000000}">
  <sheetPr>
    <tabColor theme="3"/>
  </sheetPr>
  <dimension ref="A1:AE11"/>
  <sheetViews>
    <sheetView workbookViewId="0">
      <selection activeCell="A11" sqref="A11"/>
    </sheetView>
  </sheetViews>
  <sheetFormatPr defaultRowHeight="14.25"/>
  <cols>
    <col min="1" max="1" width="22.53125" customWidth="1"/>
  </cols>
  <sheetData>
    <row r="1" spans="1:31" ht="28.5">
      <c r="A1" s="10" t="s">
        <v>85</v>
      </c>
      <c r="B1">
        <v>2021</v>
      </c>
      <c r="C1">
        <v>2022</v>
      </c>
      <c r="D1">
        <v>2023</v>
      </c>
      <c r="E1">
        <v>2024</v>
      </c>
      <c r="F1">
        <v>2025</v>
      </c>
      <c r="G1">
        <v>2026</v>
      </c>
      <c r="H1">
        <v>2027</v>
      </c>
      <c r="I1">
        <v>2028</v>
      </c>
      <c r="J1">
        <v>2029</v>
      </c>
      <c r="K1">
        <v>2030</v>
      </c>
      <c r="L1">
        <v>2031</v>
      </c>
      <c r="M1">
        <v>2032</v>
      </c>
      <c r="N1">
        <v>2033</v>
      </c>
      <c r="O1">
        <v>2034</v>
      </c>
      <c r="P1">
        <v>2035</v>
      </c>
      <c r="Q1">
        <v>2036</v>
      </c>
      <c r="R1">
        <v>2037</v>
      </c>
      <c r="S1">
        <v>2038</v>
      </c>
      <c r="T1">
        <v>2039</v>
      </c>
      <c r="U1">
        <v>2040</v>
      </c>
      <c r="V1">
        <v>2041</v>
      </c>
      <c r="W1">
        <v>2042</v>
      </c>
      <c r="X1">
        <v>2043</v>
      </c>
      <c r="Y1">
        <v>2044</v>
      </c>
      <c r="Z1">
        <v>2045</v>
      </c>
      <c r="AA1">
        <v>2046</v>
      </c>
      <c r="AB1">
        <v>2047</v>
      </c>
      <c r="AC1">
        <v>2048</v>
      </c>
      <c r="AD1">
        <v>2049</v>
      </c>
      <c r="AE1">
        <v>2050</v>
      </c>
    </row>
    <row r="2" spans="1:31">
      <c r="A2" t="s">
        <v>15</v>
      </c>
      <c r="B2">
        <v>1</v>
      </c>
      <c r="C2">
        <v>1</v>
      </c>
      <c r="D2">
        <v>1</v>
      </c>
      <c r="E2">
        <v>1</v>
      </c>
      <c r="F2">
        <v>1</v>
      </c>
      <c r="G2">
        <v>1</v>
      </c>
      <c r="H2">
        <v>1</v>
      </c>
      <c r="I2">
        <v>1</v>
      </c>
      <c r="J2">
        <v>1</v>
      </c>
      <c r="K2">
        <v>1</v>
      </c>
      <c r="L2">
        <v>1</v>
      </c>
      <c r="M2">
        <v>1</v>
      </c>
      <c r="N2">
        <v>1</v>
      </c>
      <c r="O2">
        <v>1</v>
      </c>
      <c r="P2">
        <v>1</v>
      </c>
      <c r="Q2">
        <v>1</v>
      </c>
      <c r="R2">
        <v>1</v>
      </c>
      <c r="S2">
        <v>1</v>
      </c>
      <c r="T2">
        <v>1</v>
      </c>
      <c r="U2">
        <v>1</v>
      </c>
      <c r="V2">
        <v>1</v>
      </c>
      <c r="W2">
        <v>1</v>
      </c>
      <c r="X2">
        <v>1</v>
      </c>
      <c r="Y2">
        <v>1</v>
      </c>
      <c r="Z2">
        <v>1</v>
      </c>
      <c r="AA2">
        <v>1</v>
      </c>
      <c r="AB2">
        <v>1</v>
      </c>
      <c r="AC2">
        <v>1</v>
      </c>
      <c r="AD2">
        <v>1</v>
      </c>
      <c r="AE2">
        <v>1</v>
      </c>
    </row>
    <row r="3" spans="1:31">
      <c r="A3" t="s">
        <v>16</v>
      </c>
      <c r="B3">
        <v>0</v>
      </c>
      <c r="C3">
        <v>0</v>
      </c>
      <c r="D3">
        <v>0</v>
      </c>
      <c r="E3">
        <v>0</v>
      </c>
      <c r="F3">
        <v>0</v>
      </c>
      <c r="G3">
        <v>0</v>
      </c>
      <c r="H3">
        <v>0</v>
      </c>
      <c r="I3">
        <v>0</v>
      </c>
      <c r="J3">
        <v>0</v>
      </c>
      <c r="K3">
        <v>0</v>
      </c>
      <c r="L3">
        <v>0</v>
      </c>
      <c r="M3">
        <v>0</v>
      </c>
      <c r="N3">
        <v>0</v>
      </c>
      <c r="O3">
        <v>0</v>
      </c>
      <c r="P3">
        <v>0</v>
      </c>
      <c r="Q3">
        <v>0</v>
      </c>
      <c r="R3">
        <v>0</v>
      </c>
      <c r="S3">
        <v>0</v>
      </c>
      <c r="T3">
        <v>0</v>
      </c>
      <c r="U3">
        <v>0</v>
      </c>
      <c r="V3">
        <v>0</v>
      </c>
      <c r="W3">
        <v>0</v>
      </c>
      <c r="X3">
        <v>0</v>
      </c>
      <c r="Y3">
        <v>0</v>
      </c>
      <c r="Z3">
        <v>0</v>
      </c>
      <c r="AA3">
        <v>0</v>
      </c>
      <c r="AB3">
        <v>0</v>
      </c>
      <c r="AC3">
        <v>0</v>
      </c>
      <c r="AD3">
        <v>0</v>
      </c>
      <c r="AE3">
        <v>0</v>
      </c>
    </row>
    <row r="4" spans="1:31">
      <c r="A4" t="s">
        <v>17</v>
      </c>
      <c r="B4">
        <v>0</v>
      </c>
      <c r="C4">
        <v>0</v>
      </c>
      <c r="D4">
        <v>0</v>
      </c>
      <c r="E4">
        <v>0</v>
      </c>
      <c r="F4">
        <v>0</v>
      </c>
      <c r="G4">
        <v>0</v>
      </c>
      <c r="H4">
        <v>0</v>
      </c>
      <c r="I4">
        <v>0</v>
      </c>
      <c r="J4">
        <v>0</v>
      </c>
      <c r="K4">
        <v>0</v>
      </c>
      <c r="L4">
        <v>0</v>
      </c>
      <c r="M4">
        <v>0</v>
      </c>
      <c r="N4">
        <v>0</v>
      </c>
      <c r="O4">
        <v>0</v>
      </c>
      <c r="P4">
        <v>0</v>
      </c>
      <c r="Q4">
        <v>0</v>
      </c>
      <c r="R4">
        <v>0</v>
      </c>
      <c r="S4">
        <v>0</v>
      </c>
      <c r="T4">
        <v>0</v>
      </c>
      <c r="U4">
        <v>0</v>
      </c>
      <c r="V4">
        <v>0</v>
      </c>
      <c r="W4">
        <v>0</v>
      </c>
      <c r="X4">
        <v>0</v>
      </c>
      <c r="Y4">
        <v>0</v>
      </c>
      <c r="Z4">
        <v>0</v>
      </c>
      <c r="AA4">
        <v>0</v>
      </c>
      <c r="AB4">
        <v>0</v>
      </c>
      <c r="AC4">
        <v>0</v>
      </c>
      <c r="AD4">
        <v>0</v>
      </c>
      <c r="AE4">
        <v>0</v>
      </c>
    </row>
    <row r="5" spans="1:31">
      <c r="A5" t="s">
        <v>18</v>
      </c>
      <c r="B5">
        <v>0</v>
      </c>
      <c r="C5">
        <v>0</v>
      </c>
      <c r="D5">
        <v>0</v>
      </c>
      <c r="E5">
        <v>0</v>
      </c>
      <c r="F5">
        <v>0</v>
      </c>
      <c r="G5">
        <v>0</v>
      </c>
      <c r="H5">
        <v>0</v>
      </c>
      <c r="I5">
        <v>0</v>
      </c>
      <c r="J5">
        <v>0</v>
      </c>
      <c r="K5">
        <v>0</v>
      </c>
      <c r="L5">
        <v>0</v>
      </c>
      <c r="M5">
        <v>0</v>
      </c>
      <c r="N5">
        <v>0</v>
      </c>
      <c r="O5">
        <v>0</v>
      </c>
      <c r="P5">
        <v>0</v>
      </c>
      <c r="Q5">
        <v>0</v>
      </c>
      <c r="R5">
        <v>0</v>
      </c>
      <c r="S5">
        <v>0</v>
      </c>
      <c r="T5">
        <v>0</v>
      </c>
      <c r="U5">
        <v>0</v>
      </c>
      <c r="V5">
        <v>0</v>
      </c>
      <c r="W5">
        <v>0</v>
      </c>
      <c r="X5">
        <v>0</v>
      </c>
      <c r="Y5">
        <v>0</v>
      </c>
      <c r="Z5">
        <v>0</v>
      </c>
      <c r="AA5">
        <v>0</v>
      </c>
      <c r="AB5">
        <v>0</v>
      </c>
      <c r="AC5">
        <v>0</v>
      </c>
      <c r="AD5">
        <v>0</v>
      </c>
      <c r="AE5">
        <v>0</v>
      </c>
    </row>
    <row r="6" spans="1:31">
      <c r="A6" t="s">
        <v>19</v>
      </c>
      <c r="B6">
        <v>0</v>
      </c>
      <c r="C6">
        <v>0</v>
      </c>
      <c r="D6">
        <v>0</v>
      </c>
      <c r="E6">
        <v>0</v>
      </c>
      <c r="F6">
        <v>0</v>
      </c>
      <c r="G6">
        <v>0</v>
      </c>
      <c r="H6">
        <v>0</v>
      </c>
      <c r="I6">
        <v>0</v>
      </c>
      <c r="J6">
        <v>0</v>
      </c>
      <c r="K6">
        <v>0</v>
      </c>
      <c r="L6">
        <v>0</v>
      </c>
      <c r="M6">
        <v>0</v>
      </c>
      <c r="N6">
        <v>0</v>
      </c>
      <c r="O6">
        <v>0</v>
      </c>
      <c r="P6">
        <v>0</v>
      </c>
      <c r="Q6">
        <v>0</v>
      </c>
      <c r="R6">
        <v>0</v>
      </c>
      <c r="S6">
        <v>0</v>
      </c>
      <c r="T6">
        <v>0</v>
      </c>
      <c r="U6">
        <v>0</v>
      </c>
      <c r="V6">
        <v>0</v>
      </c>
      <c r="W6">
        <v>0</v>
      </c>
      <c r="X6">
        <v>0</v>
      </c>
      <c r="Y6">
        <v>0</v>
      </c>
      <c r="Z6">
        <v>0</v>
      </c>
      <c r="AA6">
        <v>0</v>
      </c>
      <c r="AB6">
        <v>0</v>
      </c>
      <c r="AC6">
        <v>0</v>
      </c>
      <c r="AD6">
        <v>0</v>
      </c>
      <c r="AE6">
        <v>0</v>
      </c>
    </row>
    <row r="7" spans="1:31">
      <c r="A7" t="s">
        <v>21</v>
      </c>
      <c r="B7">
        <v>0</v>
      </c>
      <c r="C7">
        <v>0</v>
      </c>
      <c r="D7">
        <v>0</v>
      </c>
      <c r="E7">
        <v>0</v>
      </c>
      <c r="F7">
        <v>0</v>
      </c>
      <c r="G7">
        <v>0</v>
      </c>
      <c r="H7">
        <v>0</v>
      </c>
      <c r="I7">
        <v>0</v>
      </c>
      <c r="J7">
        <v>0</v>
      </c>
      <c r="K7">
        <v>0</v>
      </c>
      <c r="L7">
        <v>0</v>
      </c>
      <c r="M7">
        <v>0</v>
      </c>
      <c r="N7">
        <v>0</v>
      </c>
      <c r="O7">
        <v>0</v>
      </c>
      <c r="P7">
        <v>0</v>
      </c>
      <c r="Q7">
        <v>0</v>
      </c>
      <c r="R7">
        <v>0</v>
      </c>
      <c r="S7">
        <v>0</v>
      </c>
      <c r="T7">
        <v>0</v>
      </c>
      <c r="U7">
        <v>0</v>
      </c>
      <c r="V7">
        <v>0</v>
      </c>
      <c r="W7">
        <v>0</v>
      </c>
      <c r="X7">
        <v>0</v>
      </c>
      <c r="Y7">
        <v>0</v>
      </c>
      <c r="Z7">
        <v>0</v>
      </c>
      <c r="AA7">
        <v>0</v>
      </c>
      <c r="AB7">
        <v>0</v>
      </c>
      <c r="AC7">
        <v>0</v>
      </c>
      <c r="AD7">
        <v>0</v>
      </c>
      <c r="AE7">
        <v>0</v>
      </c>
    </row>
    <row r="8" spans="1:31">
      <c r="A8" t="s">
        <v>20</v>
      </c>
      <c r="B8">
        <v>0</v>
      </c>
      <c r="C8">
        <v>0</v>
      </c>
      <c r="D8">
        <v>0</v>
      </c>
      <c r="E8">
        <v>0</v>
      </c>
      <c r="F8">
        <v>0</v>
      </c>
      <c r="G8">
        <v>0</v>
      </c>
      <c r="H8">
        <v>0</v>
      </c>
      <c r="I8">
        <v>0</v>
      </c>
      <c r="J8">
        <v>0</v>
      </c>
      <c r="K8">
        <v>0</v>
      </c>
      <c r="L8">
        <v>0</v>
      </c>
      <c r="M8">
        <v>0</v>
      </c>
      <c r="N8">
        <v>0</v>
      </c>
      <c r="O8">
        <v>0</v>
      </c>
      <c r="P8">
        <v>0</v>
      </c>
      <c r="Q8">
        <v>0</v>
      </c>
      <c r="R8">
        <v>0</v>
      </c>
      <c r="S8">
        <v>0</v>
      </c>
      <c r="T8">
        <v>0</v>
      </c>
      <c r="U8">
        <v>0</v>
      </c>
      <c r="V8">
        <v>0</v>
      </c>
      <c r="W8">
        <v>0</v>
      </c>
      <c r="X8">
        <v>0</v>
      </c>
      <c r="Y8">
        <v>0</v>
      </c>
      <c r="Z8">
        <v>0</v>
      </c>
      <c r="AA8">
        <v>0</v>
      </c>
      <c r="AB8">
        <v>0</v>
      </c>
      <c r="AC8">
        <v>0</v>
      </c>
      <c r="AD8">
        <v>0</v>
      </c>
      <c r="AE8">
        <v>0</v>
      </c>
    </row>
    <row r="9" spans="1:31">
      <c r="A9" t="s">
        <v>82</v>
      </c>
      <c r="B9">
        <v>0</v>
      </c>
      <c r="C9">
        <v>0</v>
      </c>
      <c r="D9">
        <v>0</v>
      </c>
      <c r="E9">
        <v>0</v>
      </c>
      <c r="F9">
        <v>0</v>
      </c>
      <c r="G9">
        <v>0</v>
      </c>
      <c r="H9">
        <v>0</v>
      </c>
      <c r="I9">
        <v>0</v>
      </c>
      <c r="J9">
        <v>0</v>
      </c>
      <c r="K9">
        <v>0</v>
      </c>
      <c r="L9">
        <v>0</v>
      </c>
      <c r="M9">
        <v>0</v>
      </c>
      <c r="N9">
        <v>0</v>
      </c>
      <c r="O9">
        <v>0</v>
      </c>
      <c r="P9">
        <v>0</v>
      </c>
      <c r="Q9">
        <v>0</v>
      </c>
      <c r="R9">
        <v>0</v>
      </c>
      <c r="S9">
        <v>0</v>
      </c>
      <c r="T9">
        <v>0</v>
      </c>
      <c r="U9">
        <v>0</v>
      </c>
      <c r="V9">
        <v>0</v>
      </c>
      <c r="W9">
        <v>0</v>
      </c>
      <c r="X9">
        <v>0</v>
      </c>
      <c r="Y9">
        <v>0</v>
      </c>
      <c r="Z9">
        <v>0</v>
      </c>
      <c r="AA9">
        <v>0</v>
      </c>
      <c r="AB9">
        <v>0</v>
      </c>
      <c r="AC9">
        <v>0</v>
      </c>
      <c r="AD9">
        <v>0</v>
      </c>
      <c r="AE9">
        <v>0</v>
      </c>
    </row>
    <row r="10" spans="1:31">
      <c r="A10" t="s">
        <v>83</v>
      </c>
      <c r="B10">
        <v>0</v>
      </c>
      <c r="C10">
        <v>0</v>
      </c>
      <c r="D10">
        <v>0</v>
      </c>
      <c r="E10">
        <v>0</v>
      </c>
      <c r="F10">
        <v>0</v>
      </c>
      <c r="G10">
        <v>0</v>
      </c>
      <c r="H10">
        <v>0</v>
      </c>
      <c r="I10">
        <v>0</v>
      </c>
      <c r="J10">
        <v>0</v>
      </c>
      <c r="K10">
        <v>0</v>
      </c>
      <c r="L10">
        <v>0</v>
      </c>
      <c r="M10">
        <v>0</v>
      </c>
      <c r="N10">
        <v>0</v>
      </c>
      <c r="O10">
        <v>0</v>
      </c>
      <c r="P10">
        <v>0</v>
      </c>
      <c r="Q10">
        <v>0</v>
      </c>
      <c r="R10">
        <v>0</v>
      </c>
      <c r="S10">
        <v>0</v>
      </c>
      <c r="T10">
        <v>0</v>
      </c>
      <c r="U10">
        <v>0</v>
      </c>
      <c r="V10">
        <v>0</v>
      </c>
      <c r="W10">
        <v>0</v>
      </c>
      <c r="X10">
        <v>0</v>
      </c>
      <c r="Y10">
        <v>0</v>
      </c>
      <c r="Z10">
        <v>0</v>
      </c>
      <c r="AA10">
        <v>0</v>
      </c>
      <c r="AB10">
        <v>0</v>
      </c>
      <c r="AC10">
        <v>0</v>
      </c>
      <c r="AD10">
        <v>0</v>
      </c>
      <c r="AE10">
        <v>0</v>
      </c>
    </row>
    <row r="11" spans="1:31">
      <c r="A11" t="s">
        <v>84</v>
      </c>
      <c r="B11">
        <v>0</v>
      </c>
      <c r="C11">
        <v>0</v>
      </c>
      <c r="D11">
        <v>0</v>
      </c>
      <c r="E11">
        <v>0</v>
      </c>
      <c r="F11">
        <v>0</v>
      </c>
      <c r="G11">
        <v>0</v>
      </c>
      <c r="H11">
        <v>0</v>
      </c>
      <c r="I11">
        <v>0</v>
      </c>
      <c r="J11">
        <v>0</v>
      </c>
      <c r="K11">
        <v>0</v>
      </c>
      <c r="L11">
        <v>0</v>
      </c>
      <c r="M11">
        <v>0</v>
      </c>
      <c r="N11">
        <v>0</v>
      </c>
      <c r="O11">
        <v>0</v>
      </c>
      <c r="P11">
        <v>0</v>
      </c>
      <c r="Q11">
        <v>0</v>
      </c>
      <c r="R11">
        <v>0</v>
      </c>
      <c r="S11">
        <v>0</v>
      </c>
      <c r="T11">
        <v>0</v>
      </c>
      <c r="U11">
        <v>0</v>
      </c>
      <c r="V11">
        <v>0</v>
      </c>
      <c r="W11">
        <v>0</v>
      </c>
      <c r="X11">
        <v>0</v>
      </c>
      <c r="Y11">
        <v>0</v>
      </c>
      <c r="Z11">
        <v>0</v>
      </c>
      <c r="AA11">
        <v>0</v>
      </c>
      <c r="AB11">
        <v>0</v>
      </c>
      <c r="AC11">
        <v>0</v>
      </c>
      <c r="AD11">
        <v>0</v>
      </c>
      <c r="AE11">
        <v>0</v>
      </c>
    </row>
  </sheetData>
  <pageMargins left="0.7" right="0.7" top="0.75" bottom="0.75" header="0.3" footer="0.3"/>
</worksheet>
</file>

<file path=xl/worksheets/sheet6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3300-000000000000}">
  <sheetPr>
    <tabColor theme="3"/>
  </sheetPr>
  <dimension ref="A1:AE11"/>
  <sheetViews>
    <sheetView workbookViewId="0"/>
  </sheetViews>
  <sheetFormatPr defaultRowHeight="14.25"/>
  <cols>
    <col min="1" max="1" width="22.53125" customWidth="1"/>
  </cols>
  <sheetData>
    <row r="1" spans="1:31" ht="28.5">
      <c r="A1" s="10" t="s">
        <v>85</v>
      </c>
      <c r="B1">
        <v>2021</v>
      </c>
      <c r="C1">
        <v>2022</v>
      </c>
      <c r="D1">
        <v>2023</v>
      </c>
      <c r="E1">
        <v>2024</v>
      </c>
      <c r="F1">
        <v>2025</v>
      </c>
      <c r="G1">
        <v>2026</v>
      </c>
      <c r="H1">
        <v>2027</v>
      </c>
      <c r="I1">
        <v>2028</v>
      </c>
      <c r="J1">
        <v>2029</v>
      </c>
      <c r="K1">
        <v>2030</v>
      </c>
      <c r="L1">
        <v>2031</v>
      </c>
      <c r="M1">
        <v>2032</v>
      </c>
      <c r="N1">
        <v>2033</v>
      </c>
      <c r="O1">
        <v>2034</v>
      </c>
      <c r="P1">
        <v>2035</v>
      </c>
      <c r="Q1">
        <v>2036</v>
      </c>
      <c r="R1">
        <v>2037</v>
      </c>
      <c r="S1">
        <v>2038</v>
      </c>
      <c r="T1">
        <v>2039</v>
      </c>
      <c r="U1">
        <v>2040</v>
      </c>
      <c r="V1">
        <v>2041</v>
      </c>
      <c r="W1">
        <v>2042</v>
      </c>
      <c r="X1">
        <v>2043</v>
      </c>
      <c r="Y1">
        <v>2044</v>
      </c>
      <c r="Z1">
        <v>2045</v>
      </c>
      <c r="AA1">
        <v>2046</v>
      </c>
      <c r="AB1">
        <v>2047</v>
      </c>
      <c r="AC1">
        <v>2048</v>
      </c>
      <c r="AD1">
        <v>2049</v>
      </c>
      <c r="AE1">
        <v>2050</v>
      </c>
    </row>
    <row r="2" spans="1:31">
      <c r="A2" t="s">
        <v>15</v>
      </c>
      <c r="B2">
        <v>0</v>
      </c>
      <c r="C2">
        <v>0</v>
      </c>
      <c r="D2">
        <v>0</v>
      </c>
      <c r="E2">
        <v>0</v>
      </c>
      <c r="F2">
        <v>0</v>
      </c>
      <c r="G2">
        <v>0</v>
      </c>
      <c r="H2">
        <v>0</v>
      </c>
      <c r="I2">
        <v>0</v>
      </c>
      <c r="J2">
        <v>0</v>
      </c>
      <c r="K2">
        <v>0</v>
      </c>
      <c r="L2">
        <v>0</v>
      </c>
      <c r="M2">
        <v>0</v>
      </c>
      <c r="N2">
        <v>0</v>
      </c>
      <c r="O2">
        <v>0</v>
      </c>
      <c r="P2">
        <v>0</v>
      </c>
      <c r="Q2">
        <v>0</v>
      </c>
      <c r="R2">
        <v>0</v>
      </c>
      <c r="S2">
        <v>0</v>
      </c>
      <c r="T2">
        <v>0</v>
      </c>
      <c r="U2">
        <v>0</v>
      </c>
      <c r="V2">
        <v>0</v>
      </c>
      <c r="W2">
        <v>0</v>
      </c>
      <c r="X2">
        <v>0</v>
      </c>
      <c r="Y2">
        <v>0</v>
      </c>
      <c r="Z2">
        <v>0</v>
      </c>
      <c r="AA2">
        <v>0</v>
      </c>
      <c r="AB2">
        <v>0</v>
      </c>
      <c r="AC2">
        <v>0</v>
      </c>
      <c r="AD2">
        <v>0</v>
      </c>
      <c r="AE2">
        <v>0</v>
      </c>
    </row>
    <row r="3" spans="1:31">
      <c r="A3" t="s">
        <v>16</v>
      </c>
      <c r="B3">
        <v>1</v>
      </c>
      <c r="C3">
        <v>1</v>
      </c>
      <c r="D3">
        <v>1</v>
      </c>
      <c r="E3">
        <v>1</v>
      </c>
      <c r="F3">
        <v>1</v>
      </c>
      <c r="G3">
        <v>1</v>
      </c>
      <c r="H3">
        <v>1</v>
      </c>
      <c r="I3">
        <v>1</v>
      </c>
      <c r="J3">
        <v>1</v>
      </c>
      <c r="K3">
        <v>1</v>
      </c>
      <c r="L3">
        <v>1</v>
      </c>
      <c r="M3">
        <v>1</v>
      </c>
      <c r="N3">
        <v>1</v>
      </c>
      <c r="O3">
        <v>1</v>
      </c>
      <c r="P3">
        <v>1</v>
      </c>
      <c r="Q3">
        <v>1</v>
      </c>
      <c r="R3">
        <v>1</v>
      </c>
      <c r="S3">
        <v>1</v>
      </c>
      <c r="T3">
        <v>1</v>
      </c>
      <c r="U3">
        <v>1</v>
      </c>
      <c r="V3">
        <v>1</v>
      </c>
      <c r="W3">
        <v>1</v>
      </c>
      <c r="X3">
        <v>1</v>
      </c>
      <c r="Y3">
        <v>1</v>
      </c>
      <c r="Z3">
        <v>1</v>
      </c>
      <c r="AA3">
        <v>1</v>
      </c>
      <c r="AB3">
        <v>1</v>
      </c>
      <c r="AC3">
        <v>1</v>
      </c>
      <c r="AD3">
        <v>1</v>
      </c>
      <c r="AE3">
        <v>1</v>
      </c>
    </row>
    <row r="4" spans="1:31">
      <c r="A4" t="s">
        <v>17</v>
      </c>
      <c r="B4">
        <v>0</v>
      </c>
      <c r="C4">
        <v>0</v>
      </c>
      <c r="D4">
        <v>0</v>
      </c>
      <c r="E4">
        <v>0</v>
      </c>
      <c r="F4">
        <v>0</v>
      </c>
      <c r="G4">
        <v>0</v>
      </c>
      <c r="H4">
        <v>0</v>
      </c>
      <c r="I4">
        <v>0</v>
      </c>
      <c r="J4">
        <v>0</v>
      </c>
      <c r="K4">
        <v>0</v>
      </c>
      <c r="L4">
        <v>0</v>
      </c>
      <c r="M4">
        <v>0</v>
      </c>
      <c r="N4">
        <v>0</v>
      </c>
      <c r="O4">
        <v>0</v>
      </c>
      <c r="P4">
        <v>0</v>
      </c>
      <c r="Q4">
        <v>0</v>
      </c>
      <c r="R4">
        <v>0</v>
      </c>
      <c r="S4">
        <v>0</v>
      </c>
      <c r="T4">
        <v>0</v>
      </c>
      <c r="U4">
        <v>0</v>
      </c>
      <c r="V4">
        <v>0</v>
      </c>
      <c r="W4">
        <v>0</v>
      </c>
      <c r="X4">
        <v>0</v>
      </c>
      <c r="Y4">
        <v>0</v>
      </c>
      <c r="Z4">
        <v>0</v>
      </c>
      <c r="AA4">
        <v>0</v>
      </c>
      <c r="AB4">
        <v>0</v>
      </c>
      <c r="AC4">
        <v>0</v>
      </c>
      <c r="AD4">
        <v>0</v>
      </c>
      <c r="AE4">
        <v>0</v>
      </c>
    </row>
    <row r="5" spans="1:31">
      <c r="A5" t="s">
        <v>18</v>
      </c>
      <c r="B5">
        <v>0</v>
      </c>
      <c r="C5">
        <v>0</v>
      </c>
      <c r="D5">
        <v>0</v>
      </c>
      <c r="E5">
        <v>0</v>
      </c>
      <c r="F5">
        <v>0</v>
      </c>
      <c r="G5">
        <v>0</v>
      </c>
      <c r="H5">
        <v>0</v>
      </c>
      <c r="I5">
        <v>0</v>
      </c>
      <c r="J5">
        <v>0</v>
      </c>
      <c r="K5">
        <v>0</v>
      </c>
      <c r="L5">
        <v>0</v>
      </c>
      <c r="M5">
        <v>0</v>
      </c>
      <c r="N5">
        <v>0</v>
      </c>
      <c r="O5">
        <v>0</v>
      </c>
      <c r="P5">
        <v>0</v>
      </c>
      <c r="Q5">
        <v>0</v>
      </c>
      <c r="R5">
        <v>0</v>
      </c>
      <c r="S5">
        <v>0</v>
      </c>
      <c r="T5">
        <v>0</v>
      </c>
      <c r="U5">
        <v>0</v>
      </c>
      <c r="V5">
        <v>0</v>
      </c>
      <c r="W5">
        <v>0</v>
      </c>
      <c r="X5">
        <v>0</v>
      </c>
      <c r="Y5">
        <v>0</v>
      </c>
      <c r="Z5">
        <v>0</v>
      </c>
      <c r="AA5">
        <v>0</v>
      </c>
      <c r="AB5">
        <v>0</v>
      </c>
      <c r="AC5">
        <v>0</v>
      </c>
      <c r="AD5">
        <v>0</v>
      </c>
      <c r="AE5">
        <v>0</v>
      </c>
    </row>
    <row r="6" spans="1:31">
      <c r="A6" t="s">
        <v>19</v>
      </c>
      <c r="B6">
        <v>0</v>
      </c>
      <c r="C6">
        <v>0</v>
      </c>
      <c r="D6">
        <v>0</v>
      </c>
      <c r="E6">
        <v>0</v>
      </c>
      <c r="F6">
        <v>0</v>
      </c>
      <c r="G6">
        <v>0</v>
      </c>
      <c r="H6">
        <v>0</v>
      </c>
      <c r="I6">
        <v>0</v>
      </c>
      <c r="J6">
        <v>0</v>
      </c>
      <c r="K6">
        <v>0</v>
      </c>
      <c r="L6">
        <v>0</v>
      </c>
      <c r="M6">
        <v>0</v>
      </c>
      <c r="N6">
        <v>0</v>
      </c>
      <c r="O6">
        <v>0</v>
      </c>
      <c r="P6">
        <v>0</v>
      </c>
      <c r="Q6">
        <v>0</v>
      </c>
      <c r="R6">
        <v>0</v>
      </c>
      <c r="S6">
        <v>0</v>
      </c>
      <c r="T6">
        <v>0</v>
      </c>
      <c r="U6">
        <v>0</v>
      </c>
      <c r="V6">
        <v>0</v>
      </c>
      <c r="W6">
        <v>0</v>
      </c>
      <c r="X6">
        <v>0</v>
      </c>
      <c r="Y6">
        <v>0</v>
      </c>
      <c r="Z6">
        <v>0</v>
      </c>
      <c r="AA6">
        <v>0</v>
      </c>
      <c r="AB6">
        <v>0</v>
      </c>
      <c r="AC6">
        <v>0</v>
      </c>
      <c r="AD6">
        <v>0</v>
      </c>
      <c r="AE6">
        <v>0</v>
      </c>
    </row>
    <row r="7" spans="1:31">
      <c r="A7" t="s">
        <v>21</v>
      </c>
      <c r="B7">
        <v>0</v>
      </c>
      <c r="C7">
        <v>0</v>
      </c>
      <c r="D7">
        <v>0</v>
      </c>
      <c r="E7">
        <v>0</v>
      </c>
      <c r="F7">
        <v>0</v>
      </c>
      <c r="G7">
        <v>0</v>
      </c>
      <c r="H7">
        <v>0</v>
      </c>
      <c r="I7">
        <v>0</v>
      </c>
      <c r="J7">
        <v>0</v>
      </c>
      <c r="K7">
        <v>0</v>
      </c>
      <c r="L7">
        <v>0</v>
      </c>
      <c r="M7">
        <v>0</v>
      </c>
      <c r="N7">
        <v>0</v>
      </c>
      <c r="O7">
        <v>0</v>
      </c>
      <c r="P7">
        <v>0</v>
      </c>
      <c r="Q7">
        <v>0</v>
      </c>
      <c r="R7">
        <v>0</v>
      </c>
      <c r="S7">
        <v>0</v>
      </c>
      <c r="T7">
        <v>0</v>
      </c>
      <c r="U7">
        <v>0</v>
      </c>
      <c r="V7">
        <v>0</v>
      </c>
      <c r="W7">
        <v>0</v>
      </c>
      <c r="X7">
        <v>0</v>
      </c>
      <c r="Y7">
        <v>0</v>
      </c>
      <c r="Z7">
        <v>0</v>
      </c>
      <c r="AA7">
        <v>0</v>
      </c>
      <c r="AB7">
        <v>0</v>
      </c>
      <c r="AC7">
        <v>0</v>
      </c>
      <c r="AD7">
        <v>0</v>
      </c>
      <c r="AE7">
        <v>0</v>
      </c>
    </row>
    <row r="8" spans="1:31">
      <c r="A8" t="s">
        <v>20</v>
      </c>
      <c r="B8">
        <v>0</v>
      </c>
      <c r="C8">
        <v>0</v>
      </c>
      <c r="D8">
        <v>0</v>
      </c>
      <c r="E8">
        <v>0</v>
      </c>
      <c r="F8">
        <v>0</v>
      </c>
      <c r="G8">
        <v>0</v>
      </c>
      <c r="H8">
        <v>0</v>
      </c>
      <c r="I8">
        <v>0</v>
      </c>
      <c r="J8">
        <v>0</v>
      </c>
      <c r="K8">
        <v>0</v>
      </c>
      <c r="L8">
        <v>0</v>
      </c>
      <c r="M8">
        <v>0</v>
      </c>
      <c r="N8">
        <v>0</v>
      </c>
      <c r="O8">
        <v>0</v>
      </c>
      <c r="P8">
        <v>0</v>
      </c>
      <c r="Q8">
        <v>0</v>
      </c>
      <c r="R8">
        <v>0</v>
      </c>
      <c r="S8">
        <v>0</v>
      </c>
      <c r="T8">
        <v>0</v>
      </c>
      <c r="U8">
        <v>0</v>
      </c>
      <c r="V8">
        <v>0</v>
      </c>
      <c r="W8">
        <v>0</v>
      </c>
      <c r="X8">
        <v>0</v>
      </c>
      <c r="Y8">
        <v>0</v>
      </c>
      <c r="Z8">
        <v>0</v>
      </c>
      <c r="AA8">
        <v>0</v>
      </c>
      <c r="AB8">
        <v>0</v>
      </c>
      <c r="AC8">
        <v>0</v>
      </c>
      <c r="AD8">
        <v>0</v>
      </c>
      <c r="AE8">
        <v>0</v>
      </c>
    </row>
    <row r="9" spans="1:31">
      <c r="A9" t="s">
        <v>82</v>
      </c>
      <c r="B9">
        <v>0</v>
      </c>
      <c r="C9">
        <v>0</v>
      </c>
      <c r="D9">
        <v>0</v>
      </c>
      <c r="E9">
        <v>0</v>
      </c>
      <c r="F9">
        <v>0</v>
      </c>
      <c r="G9">
        <v>0</v>
      </c>
      <c r="H9">
        <v>0</v>
      </c>
      <c r="I9">
        <v>0</v>
      </c>
      <c r="J9">
        <v>0</v>
      </c>
      <c r="K9">
        <v>0</v>
      </c>
      <c r="L9">
        <v>0</v>
      </c>
      <c r="M9">
        <v>0</v>
      </c>
      <c r="N9">
        <v>0</v>
      </c>
      <c r="O9">
        <v>0</v>
      </c>
      <c r="P9">
        <v>0</v>
      </c>
      <c r="Q9">
        <v>0</v>
      </c>
      <c r="R9">
        <v>0</v>
      </c>
      <c r="S9">
        <v>0</v>
      </c>
      <c r="T9">
        <v>0</v>
      </c>
      <c r="U9">
        <v>0</v>
      </c>
      <c r="V9">
        <v>0</v>
      </c>
      <c r="W9">
        <v>0</v>
      </c>
      <c r="X9">
        <v>0</v>
      </c>
      <c r="Y9">
        <v>0</v>
      </c>
      <c r="Z9">
        <v>0</v>
      </c>
      <c r="AA9">
        <v>0</v>
      </c>
      <c r="AB9">
        <v>0</v>
      </c>
      <c r="AC9">
        <v>0</v>
      </c>
      <c r="AD9">
        <v>0</v>
      </c>
      <c r="AE9">
        <v>0</v>
      </c>
    </row>
    <row r="10" spans="1:31">
      <c r="A10" t="s">
        <v>83</v>
      </c>
      <c r="B10">
        <v>0</v>
      </c>
      <c r="C10">
        <v>0</v>
      </c>
      <c r="D10">
        <v>0</v>
      </c>
      <c r="E10">
        <v>0</v>
      </c>
      <c r="F10">
        <v>0</v>
      </c>
      <c r="G10">
        <v>0</v>
      </c>
      <c r="H10">
        <v>0</v>
      </c>
      <c r="I10">
        <v>0</v>
      </c>
      <c r="J10">
        <v>0</v>
      </c>
      <c r="K10">
        <v>0</v>
      </c>
      <c r="L10">
        <v>0</v>
      </c>
      <c r="M10">
        <v>0</v>
      </c>
      <c r="N10">
        <v>0</v>
      </c>
      <c r="O10">
        <v>0</v>
      </c>
      <c r="P10">
        <v>0</v>
      </c>
      <c r="Q10">
        <v>0</v>
      </c>
      <c r="R10">
        <v>0</v>
      </c>
      <c r="S10">
        <v>0</v>
      </c>
      <c r="T10">
        <v>0</v>
      </c>
      <c r="U10">
        <v>0</v>
      </c>
      <c r="V10">
        <v>0</v>
      </c>
      <c r="W10">
        <v>0</v>
      </c>
      <c r="X10">
        <v>0</v>
      </c>
      <c r="Y10">
        <v>0</v>
      </c>
      <c r="Z10">
        <v>0</v>
      </c>
      <c r="AA10">
        <v>0</v>
      </c>
      <c r="AB10">
        <v>0</v>
      </c>
      <c r="AC10">
        <v>0</v>
      </c>
      <c r="AD10">
        <v>0</v>
      </c>
      <c r="AE10">
        <v>0</v>
      </c>
    </row>
    <row r="11" spans="1:31">
      <c r="A11" t="s">
        <v>84</v>
      </c>
      <c r="B11">
        <v>0</v>
      </c>
      <c r="C11">
        <v>0</v>
      </c>
      <c r="D11">
        <v>0</v>
      </c>
      <c r="E11">
        <v>0</v>
      </c>
      <c r="F11">
        <v>0</v>
      </c>
      <c r="G11">
        <v>0</v>
      </c>
      <c r="H11">
        <v>0</v>
      </c>
      <c r="I11">
        <v>0</v>
      </c>
      <c r="J11">
        <v>0</v>
      </c>
      <c r="K11">
        <v>0</v>
      </c>
      <c r="L11">
        <v>0</v>
      </c>
      <c r="M11">
        <v>0</v>
      </c>
      <c r="N11">
        <v>0</v>
      </c>
      <c r="O11">
        <v>0</v>
      </c>
      <c r="P11">
        <v>0</v>
      </c>
      <c r="Q11">
        <v>0</v>
      </c>
      <c r="R11">
        <v>0</v>
      </c>
      <c r="S11">
        <v>0</v>
      </c>
      <c r="T11">
        <v>0</v>
      </c>
      <c r="U11">
        <v>0</v>
      </c>
      <c r="V11">
        <v>0</v>
      </c>
      <c r="W11">
        <v>0</v>
      </c>
      <c r="X11">
        <v>0</v>
      </c>
      <c r="Y11">
        <v>0</v>
      </c>
      <c r="Z11">
        <v>0</v>
      </c>
      <c r="AA11">
        <v>0</v>
      </c>
      <c r="AB11">
        <v>0</v>
      </c>
      <c r="AC11">
        <v>0</v>
      </c>
      <c r="AD11">
        <v>0</v>
      </c>
      <c r="AE11">
        <v>0</v>
      </c>
    </row>
  </sheetData>
  <pageMargins left="0.7" right="0.7" top="0.75" bottom="0.75" header="0.3" footer="0.3"/>
</worksheet>
</file>

<file path=xl/worksheets/sheet6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3400-000000000000}">
  <sheetPr>
    <tabColor theme="3"/>
  </sheetPr>
  <dimension ref="A1:AE11"/>
  <sheetViews>
    <sheetView workbookViewId="0"/>
  </sheetViews>
  <sheetFormatPr defaultRowHeight="14.25"/>
  <cols>
    <col min="1" max="1" width="22.53125" customWidth="1"/>
  </cols>
  <sheetData>
    <row r="1" spans="1:31" ht="28.5">
      <c r="A1" s="10" t="s">
        <v>85</v>
      </c>
      <c r="B1">
        <v>2021</v>
      </c>
      <c r="C1">
        <v>2022</v>
      </c>
      <c r="D1">
        <v>2023</v>
      </c>
      <c r="E1">
        <v>2024</v>
      </c>
      <c r="F1">
        <v>2025</v>
      </c>
      <c r="G1">
        <v>2026</v>
      </c>
      <c r="H1">
        <v>2027</v>
      </c>
      <c r="I1">
        <v>2028</v>
      </c>
      <c r="J1">
        <v>2029</v>
      </c>
      <c r="K1">
        <v>2030</v>
      </c>
      <c r="L1">
        <v>2031</v>
      </c>
      <c r="M1">
        <v>2032</v>
      </c>
      <c r="N1">
        <v>2033</v>
      </c>
      <c r="O1">
        <v>2034</v>
      </c>
      <c r="P1">
        <v>2035</v>
      </c>
      <c r="Q1">
        <v>2036</v>
      </c>
      <c r="R1">
        <v>2037</v>
      </c>
      <c r="S1">
        <v>2038</v>
      </c>
      <c r="T1">
        <v>2039</v>
      </c>
      <c r="U1">
        <v>2040</v>
      </c>
      <c r="V1">
        <v>2041</v>
      </c>
      <c r="W1">
        <v>2042</v>
      </c>
      <c r="X1">
        <v>2043</v>
      </c>
      <c r="Y1">
        <v>2044</v>
      </c>
      <c r="Z1">
        <v>2045</v>
      </c>
      <c r="AA1">
        <v>2046</v>
      </c>
      <c r="AB1">
        <v>2047</v>
      </c>
      <c r="AC1">
        <v>2048</v>
      </c>
      <c r="AD1">
        <v>2049</v>
      </c>
      <c r="AE1">
        <v>2050</v>
      </c>
    </row>
    <row r="2" spans="1:31">
      <c r="A2" t="s">
        <v>15</v>
      </c>
      <c r="B2">
        <v>0</v>
      </c>
      <c r="C2">
        <v>0</v>
      </c>
      <c r="D2">
        <v>0</v>
      </c>
      <c r="E2">
        <v>0</v>
      </c>
      <c r="F2">
        <v>0</v>
      </c>
      <c r="G2">
        <v>0</v>
      </c>
      <c r="H2">
        <v>0</v>
      </c>
      <c r="I2">
        <v>0</v>
      </c>
      <c r="J2">
        <v>0</v>
      </c>
      <c r="K2">
        <v>0</v>
      </c>
      <c r="L2">
        <v>0</v>
      </c>
      <c r="M2">
        <v>0</v>
      </c>
      <c r="N2">
        <v>0</v>
      </c>
      <c r="O2">
        <v>0</v>
      </c>
      <c r="P2">
        <v>0</v>
      </c>
      <c r="Q2">
        <v>0</v>
      </c>
      <c r="R2">
        <v>0</v>
      </c>
      <c r="S2">
        <v>0</v>
      </c>
      <c r="T2">
        <v>0</v>
      </c>
      <c r="U2">
        <v>0</v>
      </c>
      <c r="V2">
        <v>0</v>
      </c>
      <c r="W2">
        <v>0</v>
      </c>
      <c r="X2">
        <v>0</v>
      </c>
      <c r="Y2">
        <v>0</v>
      </c>
      <c r="Z2">
        <v>0</v>
      </c>
      <c r="AA2">
        <v>0</v>
      </c>
      <c r="AB2">
        <v>0</v>
      </c>
      <c r="AC2">
        <v>0</v>
      </c>
      <c r="AD2">
        <v>0</v>
      </c>
      <c r="AE2">
        <v>0</v>
      </c>
    </row>
    <row r="3" spans="1:31">
      <c r="A3" t="s">
        <v>16</v>
      </c>
      <c r="B3">
        <v>0</v>
      </c>
      <c r="C3">
        <v>0</v>
      </c>
      <c r="D3">
        <v>0</v>
      </c>
      <c r="E3">
        <v>0</v>
      </c>
      <c r="F3">
        <v>0</v>
      </c>
      <c r="G3">
        <v>0</v>
      </c>
      <c r="H3">
        <v>0</v>
      </c>
      <c r="I3">
        <v>0</v>
      </c>
      <c r="J3">
        <v>0</v>
      </c>
      <c r="K3">
        <v>0</v>
      </c>
      <c r="L3">
        <v>0</v>
      </c>
      <c r="M3">
        <v>0</v>
      </c>
      <c r="N3">
        <v>0</v>
      </c>
      <c r="O3">
        <v>0</v>
      </c>
      <c r="P3">
        <v>0</v>
      </c>
      <c r="Q3">
        <v>0</v>
      </c>
      <c r="R3">
        <v>0</v>
      </c>
      <c r="S3">
        <v>0</v>
      </c>
      <c r="T3">
        <v>0</v>
      </c>
      <c r="U3">
        <v>0</v>
      </c>
      <c r="V3">
        <v>0</v>
      </c>
      <c r="W3">
        <v>0</v>
      </c>
      <c r="X3">
        <v>0</v>
      </c>
      <c r="Y3">
        <v>0</v>
      </c>
      <c r="Z3">
        <v>0</v>
      </c>
      <c r="AA3">
        <v>0</v>
      </c>
      <c r="AB3">
        <v>0</v>
      </c>
      <c r="AC3">
        <v>0</v>
      </c>
      <c r="AD3">
        <v>0</v>
      </c>
      <c r="AE3">
        <v>0</v>
      </c>
    </row>
    <row r="4" spans="1:31">
      <c r="A4" t="s">
        <v>17</v>
      </c>
      <c r="B4">
        <v>1</v>
      </c>
      <c r="C4">
        <v>1</v>
      </c>
      <c r="D4">
        <v>1</v>
      </c>
      <c r="E4">
        <v>1</v>
      </c>
      <c r="F4">
        <v>1</v>
      </c>
      <c r="G4">
        <v>1</v>
      </c>
      <c r="H4">
        <v>1</v>
      </c>
      <c r="I4">
        <v>1</v>
      </c>
      <c r="J4">
        <v>1</v>
      </c>
      <c r="K4">
        <v>1</v>
      </c>
      <c r="L4">
        <v>1</v>
      </c>
      <c r="M4">
        <v>1</v>
      </c>
      <c r="N4">
        <v>1</v>
      </c>
      <c r="O4">
        <v>1</v>
      </c>
      <c r="P4">
        <v>1</v>
      </c>
      <c r="Q4">
        <v>1</v>
      </c>
      <c r="R4">
        <v>1</v>
      </c>
      <c r="S4">
        <v>1</v>
      </c>
      <c r="T4">
        <v>1</v>
      </c>
      <c r="U4">
        <v>1</v>
      </c>
      <c r="V4">
        <v>1</v>
      </c>
      <c r="W4">
        <v>1</v>
      </c>
      <c r="X4">
        <v>1</v>
      </c>
      <c r="Y4">
        <v>1</v>
      </c>
      <c r="Z4">
        <v>1</v>
      </c>
      <c r="AA4">
        <v>1</v>
      </c>
      <c r="AB4">
        <v>1</v>
      </c>
      <c r="AC4">
        <v>1</v>
      </c>
      <c r="AD4">
        <v>1</v>
      </c>
      <c r="AE4">
        <v>1</v>
      </c>
    </row>
    <row r="5" spans="1:31">
      <c r="A5" t="s">
        <v>18</v>
      </c>
      <c r="B5">
        <v>0</v>
      </c>
      <c r="C5">
        <v>0</v>
      </c>
      <c r="D5">
        <v>0</v>
      </c>
      <c r="E5">
        <v>0</v>
      </c>
      <c r="F5">
        <v>0</v>
      </c>
      <c r="G5">
        <v>0</v>
      </c>
      <c r="H5">
        <v>0</v>
      </c>
      <c r="I5">
        <v>0</v>
      </c>
      <c r="J5">
        <v>0</v>
      </c>
      <c r="K5">
        <v>0</v>
      </c>
      <c r="L5">
        <v>0</v>
      </c>
      <c r="M5">
        <v>0</v>
      </c>
      <c r="N5">
        <v>0</v>
      </c>
      <c r="O5">
        <v>0</v>
      </c>
      <c r="P5">
        <v>0</v>
      </c>
      <c r="Q5">
        <v>0</v>
      </c>
      <c r="R5">
        <v>0</v>
      </c>
      <c r="S5">
        <v>0</v>
      </c>
      <c r="T5">
        <v>0</v>
      </c>
      <c r="U5">
        <v>0</v>
      </c>
      <c r="V5">
        <v>0</v>
      </c>
      <c r="W5">
        <v>0</v>
      </c>
      <c r="X5">
        <v>0</v>
      </c>
      <c r="Y5">
        <v>0</v>
      </c>
      <c r="Z5">
        <v>0</v>
      </c>
      <c r="AA5">
        <v>0</v>
      </c>
      <c r="AB5">
        <v>0</v>
      </c>
      <c r="AC5">
        <v>0</v>
      </c>
      <c r="AD5">
        <v>0</v>
      </c>
      <c r="AE5">
        <v>0</v>
      </c>
    </row>
    <row r="6" spans="1:31">
      <c r="A6" t="s">
        <v>19</v>
      </c>
      <c r="B6">
        <v>0</v>
      </c>
      <c r="C6">
        <v>0</v>
      </c>
      <c r="D6">
        <v>0</v>
      </c>
      <c r="E6">
        <v>0</v>
      </c>
      <c r="F6">
        <v>0</v>
      </c>
      <c r="G6">
        <v>0</v>
      </c>
      <c r="H6">
        <v>0</v>
      </c>
      <c r="I6">
        <v>0</v>
      </c>
      <c r="J6">
        <v>0</v>
      </c>
      <c r="K6">
        <v>0</v>
      </c>
      <c r="L6">
        <v>0</v>
      </c>
      <c r="M6">
        <v>0</v>
      </c>
      <c r="N6">
        <v>0</v>
      </c>
      <c r="O6">
        <v>0</v>
      </c>
      <c r="P6">
        <v>0</v>
      </c>
      <c r="Q6">
        <v>0</v>
      </c>
      <c r="R6">
        <v>0</v>
      </c>
      <c r="S6">
        <v>0</v>
      </c>
      <c r="T6">
        <v>0</v>
      </c>
      <c r="U6">
        <v>0</v>
      </c>
      <c r="V6">
        <v>0</v>
      </c>
      <c r="W6">
        <v>0</v>
      </c>
      <c r="X6">
        <v>0</v>
      </c>
      <c r="Y6">
        <v>0</v>
      </c>
      <c r="Z6">
        <v>0</v>
      </c>
      <c r="AA6">
        <v>0</v>
      </c>
      <c r="AB6">
        <v>0</v>
      </c>
      <c r="AC6">
        <v>0</v>
      </c>
      <c r="AD6">
        <v>0</v>
      </c>
      <c r="AE6">
        <v>0</v>
      </c>
    </row>
    <row r="7" spans="1:31">
      <c r="A7" t="s">
        <v>21</v>
      </c>
      <c r="B7">
        <v>0</v>
      </c>
      <c r="C7">
        <v>0</v>
      </c>
      <c r="D7">
        <v>0</v>
      </c>
      <c r="E7">
        <v>0</v>
      </c>
      <c r="F7">
        <v>0</v>
      </c>
      <c r="G7">
        <v>0</v>
      </c>
      <c r="H7">
        <v>0</v>
      </c>
      <c r="I7">
        <v>0</v>
      </c>
      <c r="J7">
        <v>0</v>
      </c>
      <c r="K7">
        <v>0</v>
      </c>
      <c r="L7">
        <v>0</v>
      </c>
      <c r="M7">
        <v>0</v>
      </c>
      <c r="N7">
        <v>0</v>
      </c>
      <c r="O7">
        <v>0</v>
      </c>
      <c r="P7">
        <v>0</v>
      </c>
      <c r="Q7">
        <v>0</v>
      </c>
      <c r="R7">
        <v>0</v>
      </c>
      <c r="S7">
        <v>0</v>
      </c>
      <c r="T7">
        <v>0</v>
      </c>
      <c r="U7">
        <v>0</v>
      </c>
      <c r="V7">
        <v>0</v>
      </c>
      <c r="W7">
        <v>0</v>
      </c>
      <c r="X7">
        <v>0</v>
      </c>
      <c r="Y7">
        <v>0</v>
      </c>
      <c r="Z7">
        <v>0</v>
      </c>
      <c r="AA7">
        <v>0</v>
      </c>
      <c r="AB7">
        <v>0</v>
      </c>
      <c r="AC7">
        <v>0</v>
      </c>
      <c r="AD7">
        <v>0</v>
      </c>
      <c r="AE7">
        <v>0</v>
      </c>
    </row>
    <row r="8" spans="1:31">
      <c r="A8" t="s">
        <v>20</v>
      </c>
      <c r="B8">
        <v>0</v>
      </c>
      <c r="C8">
        <v>0</v>
      </c>
      <c r="D8">
        <v>0</v>
      </c>
      <c r="E8">
        <v>0</v>
      </c>
      <c r="F8">
        <v>0</v>
      </c>
      <c r="G8">
        <v>0</v>
      </c>
      <c r="H8">
        <v>0</v>
      </c>
      <c r="I8">
        <v>0</v>
      </c>
      <c r="J8">
        <v>0</v>
      </c>
      <c r="K8">
        <v>0</v>
      </c>
      <c r="L8">
        <v>0</v>
      </c>
      <c r="M8">
        <v>0</v>
      </c>
      <c r="N8">
        <v>0</v>
      </c>
      <c r="O8">
        <v>0</v>
      </c>
      <c r="P8">
        <v>0</v>
      </c>
      <c r="Q8">
        <v>0</v>
      </c>
      <c r="R8">
        <v>0</v>
      </c>
      <c r="S8">
        <v>0</v>
      </c>
      <c r="T8">
        <v>0</v>
      </c>
      <c r="U8">
        <v>0</v>
      </c>
      <c r="V8">
        <v>0</v>
      </c>
      <c r="W8">
        <v>0</v>
      </c>
      <c r="X8">
        <v>0</v>
      </c>
      <c r="Y8">
        <v>0</v>
      </c>
      <c r="Z8">
        <v>0</v>
      </c>
      <c r="AA8">
        <v>0</v>
      </c>
      <c r="AB8">
        <v>0</v>
      </c>
      <c r="AC8">
        <v>0</v>
      </c>
      <c r="AD8">
        <v>0</v>
      </c>
      <c r="AE8">
        <v>0</v>
      </c>
    </row>
    <row r="9" spans="1:31">
      <c r="A9" t="s">
        <v>82</v>
      </c>
      <c r="B9">
        <v>0</v>
      </c>
      <c r="C9">
        <v>0</v>
      </c>
      <c r="D9">
        <v>0</v>
      </c>
      <c r="E9">
        <v>0</v>
      </c>
      <c r="F9">
        <v>0</v>
      </c>
      <c r="G9">
        <v>0</v>
      </c>
      <c r="H9">
        <v>0</v>
      </c>
      <c r="I9">
        <v>0</v>
      </c>
      <c r="J9">
        <v>0</v>
      </c>
      <c r="K9">
        <v>0</v>
      </c>
      <c r="L9">
        <v>0</v>
      </c>
      <c r="M9">
        <v>0</v>
      </c>
      <c r="N9">
        <v>0</v>
      </c>
      <c r="O9">
        <v>0</v>
      </c>
      <c r="P9">
        <v>0</v>
      </c>
      <c r="Q9">
        <v>0</v>
      </c>
      <c r="R9">
        <v>0</v>
      </c>
      <c r="S9">
        <v>0</v>
      </c>
      <c r="T9">
        <v>0</v>
      </c>
      <c r="U9">
        <v>0</v>
      </c>
      <c r="V9">
        <v>0</v>
      </c>
      <c r="W9">
        <v>0</v>
      </c>
      <c r="X9">
        <v>0</v>
      </c>
      <c r="Y9">
        <v>0</v>
      </c>
      <c r="Z9">
        <v>0</v>
      </c>
      <c r="AA9">
        <v>0</v>
      </c>
      <c r="AB9">
        <v>0</v>
      </c>
      <c r="AC9">
        <v>0</v>
      </c>
      <c r="AD9">
        <v>0</v>
      </c>
      <c r="AE9">
        <v>0</v>
      </c>
    </row>
    <row r="10" spans="1:31">
      <c r="A10" t="s">
        <v>83</v>
      </c>
      <c r="B10">
        <v>0</v>
      </c>
      <c r="C10">
        <v>0</v>
      </c>
      <c r="D10">
        <v>0</v>
      </c>
      <c r="E10">
        <v>0</v>
      </c>
      <c r="F10">
        <v>0</v>
      </c>
      <c r="G10">
        <v>0</v>
      </c>
      <c r="H10">
        <v>0</v>
      </c>
      <c r="I10">
        <v>0</v>
      </c>
      <c r="J10">
        <v>0</v>
      </c>
      <c r="K10">
        <v>0</v>
      </c>
      <c r="L10">
        <v>0</v>
      </c>
      <c r="M10">
        <v>0</v>
      </c>
      <c r="N10">
        <v>0</v>
      </c>
      <c r="O10">
        <v>0</v>
      </c>
      <c r="P10">
        <v>0</v>
      </c>
      <c r="Q10">
        <v>0</v>
      </c>
      <c r="R10">
        <v>0</v>
      </c>
      <c r="S10">
        <v>0</v>
      </c>
      <c r="T10">
        <v>0</v>
      </c>
      <c r="U10">
        <v>0</v>
      </c>
      <c r="V10">
        <v>0</v>
      </c>
      <c r="W10">
        <v>0</v>
      </c>
      <c r="X10">
        <v>0</v>
      </c>
      <c r="Y10">
        <v>0</v>
      </c>
      <c r="Z10">
        <v>0</v>
      </c>
      <c r="AA10">
        <v>0</v>
      </c>
      <c r="AB10">
        <v>0</v>
      </c>
      <c r="AC10">
        <v>0</v>
      </c>
      <c r="AD10">
        <v>0</v>
      </c>
      <c r="AE10">
        <v>0</v>
      </c>
    </row>
    <row r="11" spans="1:31">
      <c r="A11" t="s">
        <v>84</v>
      </c>
      <c r="B11">
        <v>0</v>
      </c>
      <c r="C11">
        <v>0</v>
      </c>
      <c r="D11">
        <v>0</v>
      </c>
      <c r="E11">
        <v>0</v>
      </c>
      <c r="F11">
        <v>0</v>
      </c>
      <c r="G11">
        <v>0</v>
      </c>
      <c r="H11">
        <v>0</v>
      </c>
      <c r="I11">
        <v>0</v>
      </c>
      <c r="J11">
        <v>0</v>
      </c>
      <c r="K11">
        <v>0</v>
      </c>
      <c r="L11">
        <v>0</v>
      </c>
      <c r="M11">
        <v>0</v>
      </c>
      <c r="N11">
        <v>0</v>
      </c>
      <c r="O11">
        <v>0</v>
      </c>
      <c r="P11">
        <v>0</v>
      </c>
      <c r="Q11">
        <v>0</v>
      </c>
      <c r="R11">
        <v>0</v>
      </c>
      <c r="S11">
        <v>0</v>
      </c>
      <c r="T11">
        <v>0</v>
      </c>
      <c r="U11">
        <v>0</v>
      </c>
      <c r="V11">
        <v>0</v>
      </c>
      <c r="W11">
        <v>0</v>
      </c>
      <c r="X11">
        <v>0</v>
      </c>
      <c r="Y11">
        <v>0</v>
      </c>
      <c r="Z11">
        <v>0</v>
      </c>
      <c r="AA11">
        <v>0</v>
      </c>
      <c r="AB11">
        <v>0</v>
      </c>
      <c r="AC11">
        <v>0</v>
      </c>
      <c r="AD11">
        <v>0</v>
      </c>
      <c r="AE11">
        <v>0</v>
      </c>
    </row>
  </sheetData>
  <pageMargins left="0.7" right="0.7" top="0.75" bottom="0.75" header="0.3" footer="0.3"/>
</worksheet>
</file>

<file path=xl/worksheets/sheet6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3500-000000000000}">
  <sheetPr>
    <tabColor theme="3"/>
  </sheetPr>
  <dimension ref="A1:AE11"/>
  <sheetViews>
    <sheetView workbookViewId="0">
      <selection activeCell="A11" sqref="A11"/>
    </sheetView>
  </sheetViews>
  <sheetFormatPr defaultRowHeight="14.25"/>
  <cols>
    <col min="1" max="1" width="22.53125" customWidth="1"/>
  </cols>
  <sheetData>
    <row r="1" spans="1:31" ht="28.5">
      <c r="A1" s="10" t="s">
        <v>85</v>
      </c>
      <c r="B1">
        <v>2021</v>
      </c>
      <c r="C1">
        <v>2022</v>
      </c>
      <c r="D1">
        <v>2023</v>
      </c>
      <c r="E1">
        <v>2024</v>
      </c>
      <c r="F1">
        <v>2025</v>
      </c>
      <c r="G1">
        <v>2026</v>
      </c>
      <c r="H1">
        <v>2027</v>
      </c>
      <c r="I1">
        <v>2028</v>
      </c>
      <c r="J1">
        <v>2029</v>
      </c>
      <c r="K1">
        <v>2030</v>
      </c>
      <c r="L1">
        <v>2031</v>
      </c>
      <c r="M1">
        <v>2032</v>
      </c>
      <c r="N1">
        <v>2033</v>
      </c>
      <c r="O1">
        <v>2034</v>
      </c>
      <c r="P1">
        <v>2035</v>
      </c>
      <c r="Q1">
        <v>2036</v>
      </c>
      <c r="R1">
        <v>2037</v>
      </c>
      <c r="S1">
        <v>2038</v>
      </c>
      <c r="T1">
        <v>2039</v>
      </c>
      <c r="U1">
        <v>2040</v>
      </c>
      <c r="V1">
        <v>2041</v>
      </c>
      <c r="W1">
        <v>2042</v>
      </c>
      <c r="X1">
        <v>2043</v>
      </c>
      <c r="Y1">
        <v>2044</v>
      </c>
      <c r="Z1">
        <v>2045</v>
      </c>
      <c r="AA1">
        <v>2046</v>
      </c>
      <c r="AB1">
        <v>2047</v>
      </c>
      <c r="AC1">
        <v>2048</v>
      </c>
      <c r="AD1">
        <v>2049</v>
      </c>
      <c r="AE1">
        <v>2050</v>
      </c>
    </row>
    <row r="2" spans="1:31">
      <c r="A2" t="s">
        <v>15</v>
      </c>
      <c r="B2">
        <v>0</v>
      </c>
      <c r="C2">
        <v>0</v>
      </c>
      <c r="D2">
        <v>0</v>
      </c>
      <c r="E2">
        <v>0</v>
      </c>
      <c r="F2">
        <v>0</v>
      </c>
      <c r="G2">
        <v>0</v>
      </c>
      <c r="H2">
        <v>0</v>
      </c>
      <c r="I2">
        <v>0</v>
      </c>
      <c r="J2">
        <v>0</v>
      </c>
      <c r="K2">
        <v>0</v>
      </c>
      <c r="L2">
        <v>0</v>
      </c>
      <c r="M2">
        <v>0</v>
      </c>
      <c r="N2">
        <v>0</v>
      </c>
      <c r="O2">
        <v>0</v>
      </c>
      <c r="P2">
        <v>0</v>
      </c>
      <c r="Q2">
        <v>0</v>
      </c>
      <c r="R2">
        <v>0</v>
      </c>
      <c r="S2">
        <v>0</v>
      </c>
      <c r="T2">
        <v>0</v>
      </c>
      <c r="U2">
        <v>0</v>
      </c>
      <c r="V2">
        <v>0</v>
      </c>
      <c r="W2">
        <v>0</v>
      </c>
      <c r="X2">
        <v>0</v>
      </c>
      <c r="Y2">
        <v>0</v>
      </c>
      <c r="Z2">
        <v>0</v>
      </c>
      <c r="AA2">
        <v>0</v>
      </c>
      <c r="AB2">
        <v>0</v>
      </c>
      <c r="AC2">
        <v>0</v>
      </c>
      <c r="AD2">
        <v>0</v>
      </c>
      <c r="AE2">
        <v>0</v>
      </c>
    </row>
    <row r="3" spans="1:31">
      <c r="A3" t="s">
        <v>16</v>
      </c>
      <c r="B3">
        <v>0</v>
      </c>
      <c r="C3">
        <v>0</v>
      </c>
      <c r="D3">
        <v>0</v>
      </c>
      <c r="E3">
        <v>0</v>
      </c>
      <c r="F3">
        <v>0</v>
      </c>
      <c r="G3">
        <v>0</v>
      </c>
      <c r="H3">
        <v>0</v>
      </c>
      <c r="I3">
        <v>0</v>
      </c>
      <c r="J3">
        <v>0</v>
      </c>
      <c r="K3">
        <v>0</v>
      </c>
      <c r="L3">
        <v>0</v>
      </c>
      <c r="M3">
        <v>0</v>
      </c>
      <c r="N3">
        <v>0</v>
      </c>
      <c r="O3">
        <v>0</v>
      </c>
      <c r="P3">
        <v>0</v>
      </c>
      <c r="Q3">
        <v>0</v>
      </c>
      <c r="R3">
        <v>0</v>
      </c>
      <c r="S3">
        <v>0</v>
      </c>
      <c r="T3">
        <v>0</v>
      </c>
      <c r="U3">
        <v>0</v>
      </c>
      <c r="V3">
        <v>0</v>
      </c>
      <c r="W3">
        <v>0</v>
      </c>
      <c r="X3">
        <v>0</v>
      </c>
      <c r="Y3">
        <v>0</v>
      </c>
      <c r="Z3">
        <v>0</v>
      </c>
      <c r="AA3">
        <v>0</v>
      </c>
      <c r="AB3">
        <v>0</v>
      </c>
      <c r="AC3">
        <v>0</v>
      </c>
      <c r="AD3">
        <v>0</v>
      </c>
      <c r="AE3">
        <v>0</v>
      </c>
    </row>
    <row r="4" spans="1:31">
      <c r="A4" t="s">
        <v>17</v>
      </c>
      <c r="B4">
        <v>0</v>
      </c>
      <c r="C4">
        <v>0</v>
      </c>
      <c r="D4">
        <v>0</v>
      </c>
      <c r="E4">
        <v>0</v>
      </c>
      <c r="F4">
        <v>0</v>
      </c>
      <c r="G4">
        <v>0</v>
      </c>
      <c r="H4">
        <v>0</v>
      </c>
      <c r="I4">
        <v>0</v>
      </c>
      <c r="J4">
        <v>0</v>
      </c>
      <c r="K4">
        <v>0</v>
      </c>
      <c r="L4">
        <v>0</v>
      </c>
      <c r="M4">
        <v>0</v>
      </c>
      <c r="N4">
        <v>0</v>
      </c>
      <c r="O4">
        <v>0</v>
      </c>
      <c r="P4">
        <v>0</v>
      </c>
      <c r="Q4">
        <v>0</v>
      </c>
      <c r="R4">
        <v>0</v>
      </c>
      <c r="S4">
        <v>0</v>
      </c>
      <c r="T4">
        <v>0</v>
      </c>
      <c r="U4">
        <v>0</v>
      </c>
      <c r="V4">
        <v>0</v>
      </c>
      <c r="W4">
        <v>0</v>
      </c>
      <c r="X4">
        <v>0</v>
      </c>
      <c r="Y4">
        <v>0</v>
      </c>
      <c r="Z4">
        <v>0</v>
      </c>
      <c r="AA4">
        <v>0</v>
      </c>
      <c r="AB4">
        <v>0</v>
      </c>
      <c r="AC4">
        <v>0</v>
      </c>
      <c r="AD4">
        <v>0</v>
      </c>
      <c r="AE4">
        <v>0</v>
      </c>
    </row>
    <row r="5" spans="1:31">
      <c r="A5" t="s">
        <v>18</v>
      </c>
      <c r="B5">
        <v>1</v>
      </c>
      <c r="C5">
        <v>1</v>
      </c>
      <c r="D5">
        <v>1</v>
      </c>
      <c r="E5">
        <v>1</v>
      </c>
      <c r="F5">
        <v>1</v>
      </c>
      <c r="G5">
        <v>1</v>
      </c>
      <c r="H5">
        <v>1</v>
      </c>
      <c r="I5">
        <v>1</v>
      </c>
      <c r="J5">
        <v>1</v>
      </c>
      <c r="K5">
        <v>1</v>
      </c>
      <c r="L5">
        <v>1</v>
      </c>
      <c r="M5">
        <v>1</v>
      </c>
      <c r="N5">
        <v>1</v>
      </c>
      <c r="O5">
        <v>1</v>
      </c>
      <c r="P5">
        <v>1</v>
      </c>
      <c r="Q5">
        <v>1</v>
      </c>
      <c r="R5">
        <v>1</v>
      </c>
      <c r="S5">
        <v>1</v>
      </c>
      <c r="T5">
        <v>1</v>
      </c>
      <c r="U5">
        <v>1</v>
      </c>
      <c r="V5">
        <v>1</v>
      </c>
      <c r="W5">
        <v>1</v>
      </c>
      <c r="X5">
        <v>1</v>
      </c>
      <c r="Y5">
        <v>1</v>
      </c>
      <c r="Z5">
        <v>1</v>
      </c>
      <c r="AA5">
        <v>1</v>
      </c>
      <c r="AB5">
        <v>1</v>
      </c>
      <c r="AC5">
        <v>1</v>
      </c>
      <c r="AD5">
        <v>1</v>
      </c>
      <c r="AE5">
        <v>1</v>
      </c>
    </row>
    <row r="6" spans="1:31">
      <c r="A6" t="s">
        <v>19</v>
      </c>
      <c r="B6">
        <v>0</v>
      </c>
      <c r="C6">
        <v>0</v>
      </c>
      <c r="D6">
        <v>0</v>
      </c>
      <c r="E6">
        <v>0</v>
      </c>
      <c r="F6">
        <v>0</v>
      </c>
      <c r="G6">
        <v>0</v>
      </c>
      <c r="H6">
        <v>0</v>
      </c>
      <c r="I6">
        <v>0</v>
      </c>
      <c r="J6">
        <v>0</v>
      </c>
      <c r="K6">
        <v>0</v>
      </c>
      <c r="L6">
        <v>0</v>
      </c>
      <c r="M6">
        <v>0</v>
      </c>
      <c r="N6">
        <v>0</v>
      </c>
      <c r="O6">
        <v>0</v>
      </c>
      <c r="P6">
        <v>0</v>
      </c>
      <c r="Q6">
        <v>0</v>
      </c>
      <c r="R6">
        <v>0</v>
      </c>
      <c r="S6">
        <v>0</v>
      </c>
      <c r="T6">
        <v>0</v>
      </c>
      <c r="U6">
        <v>0</v>
      </c>
      <c r="V6">
        <v>0</v>
      </c>
      <c r="W6">
        <v>0</v>
      </c>
      <c r="X6">
        <v>0</v>
      </c>
      <c r="Y6">
        <v>0</v>
      </c>
      <c r="Z6">
        <v>0</v>
      </c>
      <c r="AA6">
        <v>0</v>
      </c>
      <c r="AB6">
        <v>0</v>
      </c>
      <c r="AC6">
        <v>0</v>
      </c>
      <c r="AD6">
        <v>0</v>
      </c>
      <c r="AE6">
        <v>0</v>
      </c>
    </row>
    <row r="7" spans="1:31">
      <c r="A7" t="s">
        <v>21</v>
      </c>
      <c r="B7">
        <v>0</v>
      </c>
      <c r="C7">
        <v>0</v>
      </c>
      <c r="D7">
        <v>0</v>
      </c>
      <c r="E7">
        <v>0</v>
      </c>
      <c r="F7">
        <v>0</v>
      </c>
      <c r="G7">
        <v>0</v>
      </c>
      <c r="H7">
        <v>0</v>
      </c>
      <c r="I7">
        <v>0</v>
      </c>
      <c r="J7">
        <v>0</v>
      </c>
      <c r="K7">
        <v>0</v>
      </c>
      <c r="L7">
        <v>0</v>
      </c>
      <c r="M7">
        <v>0</v>
      </c>
      <c r="N7">
        <v>0</v>
      </c>
      <c r="O7">
        <v>0</v>
      </c>
      <c r="P7">
        <v>0</v>
      </c>
      <c r="Q7">
        <v>0</v>
      </c>
      <c r="R7">
        <v>0</v>
      </c>
      <c r="S7">
        <v>0</v>
      </c>
      <c r="T7">
        <v>0</v>
      </c>
      <c r="U7">
        <v>0</v>
      </c>
      <c r="V7">
        <v>0</v>
      </c>
      <c r="W7">
        <v>0</v>
      </c>
      <c r="X7">
        <v>0</v>
      </c>
      <c r="Y7">
        <v>0</v>
      </c>
      <c r="Z7">
        <v>0</v>
      </c>
      <c r="AA7">
        <v>0</v>
      </c>
      <c r="AB7">
        <v>0</v>
      </c>
      <c r="AC7">
        <v>0</v>
      </c>
      <c r="AD7">
        <v>0</v>
      </c>
      <c r="AE7">
        <v>0</v>
      </c>
    </row>
    <row r="8" spans="1:31">
      <c r="A8" t="s">
        <v>20</v>
      </c>
      <c r="B8">
        <v>0</v>
      </c>
      <c r="C8">
        <v>0</v>
      </c>
      <c r="D8">
        <v>0</v>
      </c>
      <c r="E8">
        <v>0</v>
      </c>
      <c r="F8">
        <v>0</v>
      </c>
      <c r="G8">
        <v>0</v>
      </c>
      <c r="H8">
        <v>0</v>
      </c>
      <c r="I8">
        <v>0</v>
      </c>
      <c r="J8">
        <v>0</v>
      </c>
      <c r="K8">
        <v>0</v>
      </c>
      <c r="L8">
        <v>0</v>
      </c>
      <c r="M8">
        <v>0</v>
      </c>
      <c r="N8">
        <v>0</v>
      </c>
      <c r="O8">
        <v>0</v>
      </c>
      <c r="P8">
        <v>0</v>
      </c>
      <c r="Q8">
        <v>0</v>
      </c>
      <c r="R8">
        <v>0</v>
      </c>
      <c r="S8">
        <v>0</v>
      </c>
      <c r="T8">
        <v>0</v>
      </c>
      <c r="U8">
        <v>0</v>
      </c>
      <c r="V8">
        <v>0</v>
      </c>
      <c r="W8">
        <v>0</v>
      </c>
      <c r="X8">
        <v>0</v>
      </c>
      <c r="Y8">
        <v>0</v>
      </c>
      <c r="Z8">
        <v>0</v>
      </c>
      <c r="AA8">
        <v>0</v>
      </c>
      <c r="AB8">
        <v>0</v>
      </c>
      <c r="AC8">
        <v>0</v>
      </c>
      <c r="AD8">
        <v>0</v>
      </c>
      <c r="AE8">
        <v>0</v>
      </c>
    </row>
    <row r="9" spans="1:31">
      <c r="A9" t="s">
        <v>82</v>
      </c>
      <c r="B9">
        <v>0</v>
      </c>
      <c r="C9">
        <v>0</v>
      </c>
      <c r="D9">
        <v>0</v>
      </c>
      <c r="E9">
        <v>0</v>
      </c>
      <c r="F9">
        <v>0</v>
      </c>
      <c r="G9">
        <v>0</v>
      </c>
      <c r="H9">
        <v>0</v>
      </c>
      <c r="I9">
        <v>0</v>
      </c>
      <c r="J9">
        <v>0</v>
      </c>
      <c r="K9">
        <v>0</v>
      </c>
      <c r="L9">
        <v>0</v>
      </c>
      <c r="M9">
        <v>0</v>
      </c>
      <c r="N9">
        <v>0</v>
      </c>
      <c r="O9">
        <v>0</v>
      </c>
      <c r="P9">
        <v>0</v>
      </c>
      <c r="Q9">
        <v>0</v>
      </c>
      <c r="R9">
        <v>0</v>
      </c>
      <c r="S9">
        <v>0</v>
      </c>
      <c r="T9">
        <v>0</v>
      </c>
      <c r="U9">
        <v>0</v>
      </c>
      <c r="V9">
        <v>0</v>
      </c>
      <c r="W9">
        <v>0</v>
      </c>
      <c r="X9">
        <v>0</v>
      </c>
      <c r="Y9">
        <v>0</v>
      </c>
      <c r="Z9">
        <v>0</v>
      </c>
      <c r="AA9">
        <v>0</v>
      </c>
      <c r="AB9">
        <v>0</v>
      </c>
      <c r="AC9">
        <v>0</v>
      </c>
      <c r="AD9">
        <v>0</v>
      </c>
      <c r="AE9">
        <v>0</v>
      </c>
    </row>
    <row r="10" spans="1:31">
      <c r="A10" t="s">
        <v>83</v>
      </c>
      <c r="B10">
        <v>0</v>
      </c>
      <c r="C10">
        <v>0</v>
      </c>
      <c r="D10">
        <v>0</v>
      </c>
      <c r="E10">
        <v>0</v>
      </c>
      <c r="F10">
        <v>0</v>
      </c>
      <c r="G10">
        <v>0</v>
      </c>
      <c r="H10">
        <v>0</v>
      </c>
      <c r="I10">
        <v>0</v>
      </c>
      <c r="J10">
        <v>0</v>
      </c>
      <c r="K10">
        <v>0</v>
      </c>
      <c r="L10">
        <v>0</v>
      </c>
      <c r="M10">
        <v>0</v>
      </c>
      <c r="N10">
        <v>0</v>
      </c>
      <c r="O10">
        <v>0</v>
      </c>
      <c r="P10">
        <v>0</v>
      </c>
      <c r="Q10">
        <v>0</v>
      </c>
      <c r="R10">
        <v>0</v>
      </c>
      <c r="S10">
        <v>0</v>
      </c>
      <c r="T10">
        <v>0</v>
      </c>
      <c r="U10">
        <v>0</v>
      </c>
      <c r="V10">
        <v>0</v>
      </c>
      <c r="W10">
        <v>0</v>
      </c>
      <c r="X10">
        <v>0</v>
      </c>
      <c r="Y10">
        <v>0</v>
      </c>
      <c r="Z10">
        <v>0</v>
      </c>
      <c r="AA10">
        <v>0</v>
      </c>
      <c r="AB10">
        <v>0</v>
      </c>
      <c r="AC10">
        <v>0</v>
      </c>
      <c r="AD10">
        <v>0</v>
      </c>
      <c r="AE10">
        <v>0</v>
      </c>
    </row>
    <row r="11" spans="1:31">
      <c r="A11" t="s">
        <v>84</v>
      </c>
      <c r="B11">
        <v>0</v>
      </c>
      <c r="C11">
        <v>0</v>
      </c>
      <c r="D11">
        <v>0</v>
      </c>
      <c r="E11">
        <v>0</v>
      </c>
      <c r="F11">
        <v>0</v>
      </c>
      <c r="G11">
        <v>0</v>
      </c>
      <c r="H11">
        <v>0</v>
      </c>
      <c r="I11">
        <v>0</v>
      </c>
      <c r="J11">
        <v>0</v>
      </c>
      <c r="K11">
        <v>0</v>
      </c>
      <c r="L11">
        <v>0</v>
      </c>
      <c r="M11">
        <v>0</v>
      </c>
      <c r="N11">
        <v>0</v>
      </c>
      <c r="O11">
        <v>0</v>
      </c>
      <c r="P11">
        <v>0</v>
      </c>
      <c r="Q11">
        <v>0</v>
      </c>
      <c r="R11">
        <v>0</v>
      </c>
      <c r="S11">
        <v>0</v>
      </c>
      <c r="T11">
        <v>0</v>
      </c>
      <c r="U11">
        <v>0</v>
      </c>
      <c r="V11">
        <v>0</v>
      </c>
      <c r="W11">
        <v>0</v>
      </c>
      <c r="X11">
        <v>0</v>
      </c>
      <c r="Y11">
        <v>0</v>
      </c>
      <c r="Z11">
        <v>0</v>
      </c>
      <c r="AA11">
        <v>0</v>
      </c>
      <c r="AB11">
        <v>0</v>
      </c>
      <c r="AC11">
        <v>0</v>
      </c>
      <c r="AD11">
        <v>0</v>
      </c>
      <c r="AE11">
        <v>0</v>
      </c>
    </row>
  </sheetData>
  <pageMargins left="0.7" right="0.7" top="0.75" bottom="0.75" header="0.3" footer="0.3"/>
</worksheet>
</file>

<file path=xl/worksheets/sheet6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3600-000000000000}">
  <sheetPr>
    <tabColor theme="3"/>
  </sheetPr>
  <dimension ref="A1:AE11"/>
  <sheetViews>
    <sheetView workbookViewId="0">
      <selection activeCell="A11" sqref="A11"/>
    </sheetView>
  </sheetViews>
  <sheetFormatPr defaultRowHeight="14.25"/>
  <cols>
    <col min="1" max="1" width="22.53125" customWidth="1"/>
  </cols>
  <sheetData>
    <row r="1" spans="1:31" ht="28.5">
      <c r="A1" s="10" t="s">
        <v>85</v>
      </c>
      <c r="B1">
        <v>2021</v>
      </c>
      <c r="C1">
        <v>2022</v>
      </c>
      <c r="D1">
        <v>2023</v>
      </c>
      <c r="E1">
        <v>2024</v>
      </c>
      <c r="F1">
        <v>2025</v>
      </c>
      <c r="G1">
        <v>2026</v>
      </c>
      <c r="H1">
        <v>2027</v>
      </c>
      <c r="I1">
        <v>2028</v>
      </c>
      <c r="J1">
        <v>2029</v>
      </c>
      <c r="K1">
        <v>2030</v>
      </c>
      <c r="L1">
        <v>2031</v>
      </c>
      <c r="M1">
        <v>2032</v>
      </c>
      <c r="N1">
        <v>2033</v>
      </c>
      <c r="O1">
        <v>2034</v>
      </c>
      <c r="P1">
        <v>2035</v>
      </c>
      <c r="Q1">
        <v>2036</v>
      </c>
      <c r="R1">
        <v>2037</v>
      </c>
      <c r="S1">
        <v>2038</v>
      </c>
      <c r="T1">
        <v>2039</v>
      </c>
      <c r="U1">
        <v>2040</v>
      </c>
      <c r="V1">
        <v>2041</v>
      </c>
      <c r="W1">
        <v>2042</v>
      </c>
      <c r="X1">
        <v>2043</v>
      </c>
      <c r="Y1">
        <v>2044</v>
      </c>
      <c r="Z1">
        <v>2045</v>
      </c>
      <c r="AA1">
        <v>2046</v>
      </c>
      <c r="AB1">
        <v>2047</v>
      </c>
      <c r="AC1">
        <v>2048</v>
      </c>
      <c r="AD1">
        <v>2049</v>
      </c>
      <c r="AE1">
        <v>2050</v>
      </c>
    </row>
    <row r="2" spans="1:31">
      <c r="A2" t="s">
        <v>15</v>
      </c>
      <c r="B2">
        <v>0</v>
      </c>
      <c r="C2">
        <v>0</v>
      </c>
      <c r="D2">
        <v>0</v>
      </c>
      <c r="E2">
        <v>0</v>
      </c>
      <c r="F2">
        <v>0</v>
      </c>
      <c r="G2">
        <v>0</v>
      </c>
      <c r="H2">
        <v>0</v>
      </c>
      <c r="I2">
        <v>0</v>
      </c>
      <c r="J2">
        <v>0</v>
      </c>
      <c r="K2">
        <v>0</v>
      </c>
      <c r="L2">
        <v>0</v>
      </c>
      <c r="M2">
        <v>0</v>
      </c>
      <c r="N2">
        <v>0</v>
      </c>
      <c r="O2">
        <v>0</v>
      </c>
      <c r="P2">
        <v>0</v>
      </c>
      <c r="Q2">
        <v>0</v>
      </c>
      <c r="R2">
        <v>0</v>
      </c>
      <c r="S2">
        <v>0</v>
      </c>
      <c r="T2">
        <v>0</v>
      </c>
      <c r="U2">
        <v>0</v>
      </c>
      <c r="V2">
        <v>0</v>
      </c>
      <c r="W2">
        <v>0</v>
      </c>
      <c r="X2">
        <v>0</v>
      </c>
      <c r="Y2">
        <v>0</v>
      </c>
      <c r="Z2">
        <v>0</v>
      </c>
      <c r="AA2">
        <v>0</v>
      </c>
      <c r="AB2">
        <v>0</v>
      </c>
      <c r="AC2">
        <v>0</v>
      </c>
      <c r="AD2">
        <v>0</v>
      </c>
      <c r="AE2">
        <v>0</v>
      </c>
    </row>
    <row r="3" spans="1:31">
      <c r="A3" t="s">
        <v>16</v>
      </c>
      <c r="B3">
        <v>0</v>
      </c>
      <c r="C3">
        <v>0</v>
      </c>
      <c r="D3">
        <v>0</v>
      </c>
      <c r="E3">
        <v>0</v>
      </c>
      <c r="F3">
        <v>0</v>
      </c>
      <c r="G3">
        <v>0</v>
      </c>
      <c r="H3">
        <v>0</v>
      </c>
      <c r="I3">
        <v>0</v>
      </c>
      <c r="J3">
        <v>0</v>
      </c>
      <c r="K3">
        <v>0</v>
      </c>
      <c r="L3">
        <v>0</v>
      </c>
      <c r="M3">
        <v>0</v>
      </c>
      <c r="N3">
        <v>0</v>
      </c>
      <c r="O3">
        <v>0</v>
      </c>
      <c r="P3">
        <v>0</v>
      </c>
      <c r="Q3">
        <v>0</v>
      </c>
      <c r="R3">
        <v>0</v>
      </c>
      <c r="S3">
        <v>0</v>
      </c>
      <c r="T3">
        <v>0</v>
      </c>
      <c r="U3">
        <v>0</v>
      </c>
      <c r="V3">
        <v>0</v>
      </c>
      <c r="W3">
        <v>0</v>
      </c>
      <c r="X3">
        <v>0</v>
      </c>
      <c r="Y3">
        <v>0</v>
      </c>
      <c r="Z3">
        <v>0</v>
      </c>
      <c r="AA3">
        <v>0</v>
      </c>
      <c r="AB3">
        <v>0</v>
      </c>
      <c r="AC3">
        <v>0</v>
      </c>
      <c r="AD3">
        <v>0</v>
      </c>
      <c r="AE3">
        <v>0</v>
      </c>
    </row>
    <row r="4" spans="1:31">
      <c r="A4" t="s">
        <v>17</v>
      </c>
      <c r="B4">
        <v>0</v>
      </c>
      <c r="C4">
        <v>0</v>
      </c>
      <c r="D4">
        <v>0</v>
      </c>
      <c r="E4">
        <v>0</v>
      </c>
      <c r="F4">
        <v>0</v>
      </c>
      <c r="G4">
        <v>0</v>
      </c>
      <c r="H4">
        <v>0</v>
      </c>
      <c r="I4">
        <v>0</v>
      </c>
      <c r="J4">
        <v>0</v>
      </c>
      <c r="K4">
        <v>0</v>
      </c>
      <c r="L4">
        <v>0</v>
      </c>
      <c r="M4">
        <v>0</v>
      </c>
      <c r="N4">
        <v>0</v>
      </c>
      <c r="O4">
        <v>0</v>
      </c>
      <c r="P4">
        <v>0</v>
      </c>
      <c r="Q4">
        <v>0</v>
      </c>
      <c r="R4">
        <v>0</v>
      </c>
      <c r="S4">
        <v>0</v>
      </c>
      <c r="T4">
        <v>0</v>
      </c>
      <c r="U4">
        <v>0</v>
      </c>
      <c r="V4">
        <v>0</v>
      </c>
      <c r="W4">
        <v>0</v>
      </c>
      <c r="X4">
        <v>0</v>
      </c>
      <c r="Y4">
        <v>0</v>
      </c>
      <c r="Z4">
        <v>0</v>
      </c>
      <c r="AA4">
        <v>0</v>
      </c>
      <c r="AB4">
        <v>0</v>
      </c>
      <c r="AC4">
        <v>0</v>
      </c>
      <c r="AD4">
        <v>0</v>
      </c>
      <c r="AE4">
        <v>0</v>
      </c>
    </row>
    <row r="5" spans="1:31">
      <c r="A5" t="s">
        <v>18</v>
      </c>
      <c r="B5">
        <v>0</v>
      </c>
      <c r="C5">
        <v>0</v>
      </c>
      <c r="D5">
        <v>0</v>
      </c>
      <c r="E5">
        <v>0</v>
      </c>
      <c r="F5">
        <v>0</v>
      </c>
      <c r="G5">
        <v>0</v>
      </c>
      <c r="H5">
        <v>0</v>
      </c>
      <c r="I5">
        <v>0</v>
      </c>
      <c r="J5">
        <v>0</v>
      </c>
      <c r="K5">
        <v>0</v>
      </c>
      <c r="L5">
        <v>0</v>
      </c>
      <c r="M5">
        <v>0</v>
      </c>
      <c r="N5">
        <v>0</v>
      </c>
      <c r="O5">
        <v>0</v>
      </c>
      <c r="P5">
        <v>0</v>
      </c>
      <c r="Q5">
        <v>0</v>
      </c>
      <c r="R5">
        <v>0</v>
      </c>
      <c r="S5">
        <v>0</v>
      </c>
      <c r="T5">
        <v>0</v>
      </c>
      <c r="U5">
        <v>0</v>
      </c>
      <c r="V5">
        <v>0</v>
      </c>
      <c r="W5">
        <v>0</v>
      </c>
      <c r="X5">
        <v>0</v>
      </c>
      <c r="Y5">
        <v>0</v>
      </c>
      <c r="Z5">
        <v>0</v>
      </c>
      <c r="AA5">
        <v>0</v>
      </c>
      <c r="AB5">
        <v>0</v>
      </c>
      <c r="AC5">
        <v>0</v>
      </c>
      <c r="AD5">
        <v>0</v>
      </c>
      <c r="AE5">
        <v>0</v>
      </c>
    </row>
    <row r="6" spans="1:31">
      <c r="A6" t="s">
        <v>19</v>
      </c>
      <c r="B6">
        <v>0</v>
      </c>
      <c r="C6">
        <v>0</v>
      </c>
      <c r="D6">
        <v>0</v>
      </c>
      <c r="E6">
        <v>0</v>
      </c>
      <c r="F6">
        <v>0</v>
      </c>
      <c r="G6">
        <v>0</v>
      </c>
      <c r="H6">
        <v>0</v>
      </c>
      <c r="I6">
        <v>0</v>
      </c>
      <c r="J6">
        <v>0</v>
      </c>
      <c r="K6">
        <v>0</v>
      </c>
      <c r="L6">
        <v>0</v>
      </c>
      <c r="M6">
        <v>0</v>
      </c>
      <c r="N6">
        <v>0</v>
      </c>
      <c r="O6">
        <v>0</v>
      </c>
      <c r="P6">
        <v>0</v>
      </c>
      <c r="Q6">
        <v>0</v>
      </c>
      <c r="R6">
        <v>0</v>
      </c>
      <c r="S6">
        <v>0</v>
      </c>
      <c r="T6">
        <v>0</v>
      </c>
      <c r="U6">
        <v>0</v>
      </c>
      <c r="V6">
        <v>0</v>
      </c>
      <c r="W6">
        <v>0</v>
      </c>
      <c r="X6">
        <v>0</v>
      </c>
      <c r="Y6">
        <v>0</v>
      </c>
      <c r="Z6">
        <v>0</v>
      </c>
      <c r="AA6">
        <v>0</v>
      </c>
      <c r="AB6">
        <v>0</v>
      </c>
      <c r="AC6">
        <v>0</v>
      </c>
      <c r="AD6">
        <v>0</v>
      </c>
      <c r="AE6">
        <v>0</v>
      </c>
    </row>
    <row r="7" spans="1:31">
      <c r="A7" t="s">
        <v>21</v>
      </c>
      <c r="B7">
        <v>0</v>
      </c>
      <c r="C7">
        <v>0</v>
      </c>
      <c r="D7">
        <v>0</v>
      </c>
      <c r="E7">
        <v>0</v>
      </c>
      <c r="F7">
        <v>0</v>
      </c>
      <c r="G7">
        <v>0</v>
      </c>
      <c r="H7">
        <v>0</v>
      </c>
      <c r="I7">
        <v>0</v>
      </c>
      <c r="J7">
        <v>0</v>
      </c>
      <c r="K7">
        <v>0</v>
      </c>
      <c r="L7">
        <v>0</v>
      </c>
      <c r="M7">
        <v>0</v>
      </c>
      <c r="N7">
        <v>0</v>
      </c>
      <c r="O7">
        <v>0</v>
      </c>
      <c r="P7">
        <v>0</v>
      </c>
      <c r="Q7">
        <v>0</v>
      </c>
      <c r="R7">
        <v>0</v>
      </c>
      <c r="S7">
        <v>0</v>
      </c>
      <c r="T7">
        <v>0</v>
      </c>
      <c r="U7">
        <v>0</v>
      </c>
      <c r="V7">
        <v>0</v>
      </c>
      <c r="W7">
        <v>0</v>
      </c>
      <c r="X7">
        <v>0</v>
      </c>
      <c r="Y7">
        <v>0</v>
      </c>
      <c r="Z7">
        <v>0</v>
      </c>
      <c r="AA7">
        <v>0</v>
      </c>
      <c r="AB7">
        <v>0</v>
      </c>
      <c r="AC7">
        <v>0</v>
      </c>
      <c r="AD7">
        <v>0</v>
      </c>
      <c r="AE7">
        <v>0</v>
      </c>
    </row>
    <row r="8" spans="1:31">
      <c r="A8" t="s">
        <v>20</v>
      </c>
      <c r="B8">
        <v>0</v>
      </c>
      <c r="C8">
        <v>0</v>
      </c>
      <c r="D8">
        <v>0</v>
      </c>
      <c r="E8">
        <v>0</v>
      </c>
      <c r="F8">
        <v>0</v>
      </c>
      <c r="G8">
        <v>0</v>
      </c>
      <c r="H8">
        <v>0</v>
      </c>
      <c r="I8">
        <v>0</v>
      </c>
      <c r="J8">
        <v>0</v>
      </c>
      <c r="K8">
        <v>0</v>
      </c>
      <c r="L8">
        <v>0</v>
      </c>
      <c r="M8">
        <v>0</v>
      </c>
      <c r="N8">
        <v>0</v>
      </c>
      <c r="O8">
        <v>0</v>
      </c>
      <c r="P8">
        <v>0</v>
      </c>
      <c r="Q8">
        <v>0</v>
      </c>
      <c r="R8">
        <v>0</v>
      </c>
      <c r="S8">
        <v>0</v>
      </c>
      <c r="T8">
        <v>0</v>
      </c>
      <c r="U8">
        <v>0</v>
      </c>
      <c r="V8">
        <v>0</v>
      </c>
      <c r="W8">
        <v>0</v>
      </c>
      <c r="X8">
        <v>0</v>
      </c>
      <c r="Y8">
        <v>0</v>
      </c>
      <c r="Z8">
        <v>0</v>
      </c>
      <c r="AA8">
        <v>0</v>
      </c>
      <c r="AB8">
        <v>0</v>
      </c>
      <c r="AC8">
        <v>0</v>
      </c>
      <c r="AD8">
        <v>0</v>
      </c>
      <c r="AE8">
        <v>0</v>
      </c>
    </row>
    <row r="9" spans="1:31">
      <c r="A9" t="s">
        <v>82</v>
      </c>
      <c r="B9">
        <v>0</v>
      </c>
      <c r="C9">
        <v>0</v>
      </c>
      <c r="D9">
        <v>0</v>
      </c>
      <c r="E9">
        <v>0</v>
      </c>
      <c r="F9">
        <v>0</v>
      </c>
      <c r="G9">
        <v>0</v>
      </c>
      <c r="H9">
        <v>0</v>
      </c>
      <c r="I9">
        <v>0</v>
      </c>
      <c r="J9">
        <v>0</v>
      </c>
      <c r="K9">
        <v>0</v>
      </c>
      <c r="L9">
        <v>0</v>
      </c>
      <c r="M9">
        <v>0</v>
      </c>
      <c r="N9">
        <v>0</v>
      </c>
      <c r="O9">
        <v>0</v>
      </c>
      <c r="P9">
        <v>0</v>
      </c>
      <c r="Q9">
        <v>0</v>
      </c>
      <c r="R9">
        <v>0</v>
      </c>
      <c r="S9">
        <v>0</v>
      </c>
      <c r="T9">
        <v>0</v>
      </c>
      <c r="U9">
        <v>0</v>
      </c>
      <c r="V9">
        <v>0</v>
      </c>
      <c r="W9">
        <v>0</v>
      </c>
      <c r="X9">
        <v>0</v>
      </c>
      <c r="Y9">
        <v>0</v>
      </c>
      <c r="Z9">
        <v>0</v>
      </c>
      <c r="AA9">
        <v>0</v>
      </c>
      <c r="AB9">
        <v>0</v>
      </c>
      <c r="AC9">
        <v>0</v>
      </c>
      <c r="AD9">
        <v>0</v>
      </c>
      <c r="AE9">
        <v>0</v>
      </c>
    </row>
    <row r="10" spans="1:31">
      <c r="A10" t="s">
        <v>83</v>
      </c>
      <c r="B10">
        <v>0</v>
      </c>
      <c r="C10">
        <v>0</v>
      </c>
      <c r="D10">
        <v>0</v>
      </c>
      <c r="E10">
        <v>0</v>
      </c>
      <c r="F10">
        <v>0</v>
      </c>
      <c r="G10">
        <v>0</v>
      </c>
      <c r="H10">
        <v>0</v>
      </c>
      <c r="I10">
        <v>0</v>
      </c>
      <c r="J10">
        <v>0</v>
      </c>
      <c r="K10">
        <v>0</v>
      </c>
      <c r="L10">
        <v>0</v>
      </c>
      <c r="M10">
        <v>0</v>
      </c>
      <c r="N10">
        <v>0</v>
      </c>
      <c r="O10">
        <v>0</v>
      </c>
      <c r="P10">
        <v>0</v>
      </c>
      <c r="Q10">
        <v>0</v>
      </c>
      <c r="R10">
        <v>0</v>
      </c>
      <c r="S10">
        <v>0</v>
      </c>
      <c r="T10">
        <v>0</v>
      </c>
      <c r="U10">
        <v>0</v>
      </c>
      <c r="V10">
        <v>0</v>
      </c>
      <c r="W10">
        <v>0</v>
      </c>
      <c r="X10">
        <v>0</v>
      </c>
      <c r="Y10">
        <v>0</v>
      </c>
      <c r="Z10">
        <v>0</v>
      </c>
      <c r="AA10">
        <v>0</v>
      </c>
      <c r="AB10">
        <v>0</v>
      </c>
      <c r="AC10">
        <v>0</v>
      </c>
      <c r="AD10">
        <v>0</v>
      </c>
      <c r="AE10">
        <v>0</v>
      </c>
    </row>
    <row r="11" spans="1:31">
      <c r="A11" t="s">
        <v>84</v>
      </c>
      <c r="B11">
        <v>1</v>
      </c>
      <c r="C11">
        <v>1</v>
      </c>
      <c r="D11">
        <v>1</v>
      </c>
      <c r="E11">
        <v>1</v>
      </c>
      <c r="F11">
        <v>1</v>
      </c>
      <c r="G11">
        <v>1</v>
      </c>
      <c r="H11">
        <v>1</v>
      </c>
      <c r="I11">
        <v>1</v>
      </c>
      <c r="J11">
        <v>1</v>
      </c>
      <c r="K11">
        <v>1</v>
      </c>
      <c r="L11">
        <v>1</v>
      </c>
      <c r="M11">
        <v>1</v>
      </c>
      <c r="N11">
        <v>1</v>
      </c>
      <c r="O11">
        <v>1</v>
      </c>
      <c r="P11">
        <v>1</v>
      </c>
      <c r="Q11">
        <v>1</v>
      </c>
      <c r="R11">
        <v>1</v>
      </c>
      <c r="S11">
        <v>1</v>
      </c>
      <c r="T11">
        <v>1</v>
      </c>
      <c r="U11">
        <v>1</v>
      </c>
      <c r="V11">
        <v>1</v>
      </c>
      <c r="W11">
        <v>1</v>
      </c>
      <c r="X11">
        <v>1</v>
      </c>
      <c r="Y11">
        <v>1</v>
      </c>
      <c r="Z11">
        <v>1</v>
      </c>
      <c r="AA11">
        <v>1</v>
      </c>
      <c r="AB11">
        <v>1</v>
      </c>
      <c r="AC11">
        <v>1</v>
      </c>
      <c r="AD11">
        <v>1</v>
      </c>
      <c r="AE11">
        <v>1</v>
      </c>
    </row>
  </sheetData>
  <pageMargins left="0.7" right="0.7" top="0.75" bottom="0.75" header="0.3" footer="0.3"/>
</worksheet>
</file>

<file path=xl/worksheets/sheet6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3700-000000000000}">
  <sheetPr>
    <tabColor rgb="FFFF0000"/>
  </sheetPr>
  <dimension ref="A1"/>
  <sheetViews>
    <sheetView workbookViewId="0"/>
  </sheetViews>
  <sheetFormatPr defaultRowHeight="14.25"/>
  <sheetData/>
  <pageMargins left="0.7" right="0.7" top="0.75" bottom="0.75" header="0.3" footer="0.3"/>
</worksheet>
</file>

<file path=xl/worksheets/sheet6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3800-000000000000}">
  <sheetPr>
    <tabColor theme="3"/>
  </sheetPr>
  <dimension ref="A1:AE11"/>
  <sheetViews>
    <sheetView workbookViewId="0"/>
  </sheetViews>
  <sheetFormatPr defaultRowHeight="14.25"/>
  <cols>
    <col min="1" max="1" width="22.53125" customWidth="1"/>
  </cols>
  <sheetData>
    <row r="1" spans="1:31" ht="28.5">
      <c r="A1" s="10" t="s">
        <v>85</v>
      </c>
      <c r="B1">
        <v>2021</v>
      </c>
      <c r="C1">
        <v>2022</v>
      </c>
      <c r="D1">
        <v>2023</v>
      </c>
      <c r="E1">
        <v>2024</v>
      </c>
      <c r="F1">
        <v>2025</v>
      </c>
      <c r="G1">
        <v>2026</v>
      </c>
      <c r="H1">
        <v>2027</v>
      </c>
      <c r="I1">
        <v>2028</v>
      </c>
      <c r="J1">
        <v>2029</v>
      </c>
      <c r="K1">
        <v>2030</v>
      </c>
      <c r="L1">
        <v>2031</v>
      </c>
      <c r="M1">
        <v>2032</v>
      </c>
      <c r="N1">
        <v>2033</v>
      </c>
      <c r="O1">
        <v>2034</v>
      </c>
      <c r="P1">
        <v>2035</v>
      </c>
      <c r="Q1">
        <v>2036</v>
      </c>
      <c r="R1">
        <v>2037</v>
      </c>
      <c r="S1">
        <v>2038</v>
      </c>
      <c r="T1">
        <v>2039</v>
      </c>
      <c r="U1">
        <v>2040</v>
      </c>
      <c r="V1">
        <v>2041</v>
      </c>
      <c r="W1">
        <v>2042</v>
      </c>
      <c r="X1">
        <v>2043</v>
      </c>
      <c r="Y1">
        <v>2044</v>
      </c>
      <c r="Z1">
        <v>2045</v>
      </c>
      <c r="AA1">
        <v>2046</v>
      </c>
      <c r="AB1">
        <v>2047</v>
      </c>
      <c r="AC1">
        <v>2048</v>
      </c>
      <c r="AD1">
        <v>2049</v>
      </c>
      <c r="AE1">
        <v>2050</v>
      </c>
    </row>
    <row r="2" spans="1:31">
      <c r="A2" t="s">
        <v>15</v>
      </c>
      <c r="B2">
        <v>1</v>
      </c>
      <c r="C2">
        <v>1</v>
      </c>
      <c r="D2">
        <v>1</v>
      </c>
      <c r="E2">
        <v>1</v>
      </c>
      <c r="F2">
        <v>1</v>
      </c>
      <c r="G2">
        <v>1</v>
      </c>
      <c r="H2">
        <v>1</v>
      </c>
      <c r="I2">
        <v>1</v>
      </c>
      <c r="J2">
        <v>1</v>
      </c>
      <c r="K2">
        <v>1</v>
      </c>
      <c r="L2">
        <v>1</v>
      </c>
      <c r="M2">
        <v>1</v>
      </c>
      <c r="N2">
        <v>1</v>
      </c>
      <c r="O2">
        <v>1</v>
      </c>
      <c r="P2">
        <v>1</v>
      </c>
      <c r="Q2">
        <v>1</v>
      </c>
      <c r="R2">
        <v>1</v>
      </c>
      <c r="S2">
        <v>1</v>
      </c>
      <c r="T2">
        <v>1</v>
      </c>
      <c r="U2">
        <v>1</v>
      </c>
      <c r="V2">
        <v>1</v>
      </c>
      <c r="W2">
        <v>1</v>
      </c>
      <c r="X2">
        <v>1</v>
      </c>
      <c r="Y2">
        <v>1</v>
      </c>
      <c r="Z2">
        <v>1</v>
      </c>
      <c r="AA2">
        <v>1</v>
      </c>
      <c r="AB2">
        <v>1</v>
      </c>
      <c r="AC2">
        <v>1</v>
      </c>
      <c r="AD2">
        <v>1</v>
      </c>
      <c r="AE2">
        <v>1</v>
      </c>
    </row>
    <row r="3" spans="1:31">
      <c r="A3" t="s">
        <v>16</v>
      </c>
      <c r="B3">
        <v>0</v>
      </c>
      <c r="C3">
        <v>0</v>
      </c>
      <c r="D3">
        <v>0</v>
      </c>
      <c r="E3">
        <v>0</v>
      </c>
      <c r="F3">
        <v>0</v>
      </c>
      <c r="G3">
        <v>0</v>
      </c>
      <c r="H3">
        <v>0</v>
      </c>
      <c r="I3">
        <v>0</v>
      </c>
      <c r="J3">
        <v>0</v>
      </c>
      <c r="K3">
        <v>0</v>
      </c>
      <c r="L3">
        <v>0</v>
      </c>
      <c r="M3">
        <v>0</v>
      </c>
      <c r="N3">
        <v>0</v>
      </c>
      <c r="O3">
        <v>0</v>
      </c>
      <c r="P3">
        <v>0</v>
      </c>
      <c r="Q3">
        <v>0</v>
      </c>
      <c r="R3">
        <v>0</v>
      </c>
      <c r="S3">
        <v>0</v>
      </c>
      <c r="T3">
        <v>0</v>
      </c>
      <c r="U3">
        <v>0</v>
      </c>
      <c r="V3">
        <v>0</v>
      </c>
      <c r="W3">
        <v>0</v>
      </c>
      <c r="X3">
        <v>0</v>
      </c>
      <c r="Y3">
        <v>0</v>
      </c>
      <c r="Z3">
        <v>0</v>
      </c>
      <c r="AA3">
        <v>0</v>
      </c>
      <c r="AB3">
        <v>0</v>
      </c>
      <c r="AC3">
        <v>0</v>
      </c>
      <c r="AD3">
        <v>0</v>
      </c>
      <c r="AE3">
        <v>0</v>
      </c>
    </row>
    <row r="4" spans="1:31">
      <c r="A4" t="s">
        <v>17</v>
      </c>
      <c r="B4">
        <v>0</v>
      </c>
      <c r="C4">
        <v>0</v>
      </c>
      <c r="D4">
        <v>0</v>
      </c>
      <c r="E4">
        <v>0</v>
      </c>
      <c r="F4">
        <v>0</v>
      </c>
      <c r="G4">
        <v>0</v>
      </c>
      <c r="H4">
        <v>0</v>
      </c>
      <c r="I4">
        <v>0</v>
      </c>
      <c r="J4">
        <v>0</v>
      </c>
      <c r="K4">
        <v>0</v>
      </c>
      <c r="L4">
        <v>0</v>
      </c>
      <c r="M4">
        <v>0</v>
      </c>
      <c r="N4">
        <v>0</v>
      </c>
      <c r="O4">
        <v>0</v>
      </c>
      <c r="P4">
        <v>0</v>
      </c>
      <c r="Q4">
        <v>0</v>
      </c>
      <c r="R4">
        <v>0</v>
      </c>
      <c r="S4">
        <v>0</v>
      </c>
      <c r="T4">
        <v>0</v>
      </c>
      <c r="U4">
        <v>0</v>
      </c>
      <c r="V4">
        <v>0</v>
      </c>
      <c r="W4">
        <v>0</v>
      </c>
      <c r="X4">
        <v>0</v>
      </c>
      <c r="Y4">
        <v>0</v>
      </c>
      <c r="Z4">
        <v>0</v>
      </c>
      <c r="AA4">
        <v>0</v>
      </c>
      <c r="AB4">
        <v>0</v>
      </c>
      <c r="AC4">
        <v>0</v>
      </c>
      <c r="AD4">
        <v>0</v>
      </c>
      <c r="AE4">
        <v>0</v>
      </c>
    </row>
    <row r="5" spans="1:31">
      <c r="A5" t="s">
        <v>18</v>
      </c>
      <c r="B5">
        <v>0</v>
      </c>
      <c r="C5">
        <v>0</v>
      </c>
      <c r="D5">
        <v>0</v>
      </c>
      <c r="E5">
        <v>0</v>
      </c>
      <c r="F5">
        <v>0</v>
      </c>
      <c r="G5">
        <v>0</v>
      </c>
      <c r="H5">
        <v>0</v>
      </c>
      <c r="I5">
        <v>0</v>
      </c>
      <c r="J5">
        <v>0</v>
      </c>
      <c r="K5">
        <v>0</v>
      </c>
      <c r="L5">
        <v>0</v>
      </c>
      <c r="M5">
        <v>0</v>
      </c>
      <c r="N5">
        <v>0</v>
      </c>
      <c r="O5">
        <v>0</v>
      </c>
      <c r="P5">
        <v>0</v>
      </c>
      <c r="Q5">
        <v>0</v>
      </c>
      <c r="R5">
        <v>0</v>
      </c>
      <c r="S5">
        <v>0</v>
      </c>
      <c r="T5">
        <v>0</v>
      </c>
      <c r="U5">
        <v>0</v>
      </c>
      <c r="V5">
        <v>0</v>
      </c>
      <c r="W5">
        <v>0</v>
      </c>
      <c r="X5">
        <v>0</v>
      </c>
      <c r="Y5">
        <v>0</v>
      </c>
      <c r="Z5">
        <v>0</v>
      </c>
      <c r="AA5">
        <v>0</v>
      </c>
      <c r="AB5">
        <v>0</v>
      </c>
      <c r="AC5">
        <v>0</v>
      </c>
      <c r="AD5">
        <v>0</v>
      </c>
      <c r="AE5">
        <v>0</v>
      </c>
    </row>
    <row r="6" spans="1:31">
      <c r="A6" t="s">
        <v>19</v>
      </c>
      <c r="B6">
        <v>0</v>
      </c>
      <c r="C6">
        <v>0</v>
      </c>
      <c r="D6">
        <v>0</v>
      </c>
      <c r="E6">
        <v>0</v>
      </c>
      <c r="F6">
        <v>0</v>
      </c>
      <c r="G6">
        <v>0</v>
      </c>
      <c r="H6">
        <v>0</v>
      </c>
      <c r="I6">
        <v>0</v>
      </c>
      <c r="J6">
        <v>0</v>
      </c>
      <c r="K6">
        <v>0</v>
      </c>
      <c r="L6">
        <v>0</v>
      </c>
      <c r="M6">
        <v>0</v>
      </c>
      <c r="N6">
        <v>0</v>
      </c>
      <c r="O6">
        <v>0</v>
      </c>
      <c r="P6">
        <v>0</v>
      </c>
      <c r="Q6">
        <v>0</v>
      </c>
      <c r="R6">
        <v>0</v>
      </c>
      <c r="S6">
        <v>0</v>
      </c>
      <c r="T6">
        <v>0</v>
      </c>
      <c r="U6">
        <v>0</v>
      </c>
      <c r="V6">
        <v>0</v>
      </c>
      <c r="W6">
        <v>0</v>
      </c>
      <c r="X6">
        <v>0</v>
      </c>
      <c r="Y6">
        <v>0</v>
      </c>
      <c r="Z6">
        <v>0</v>
      </c>
      <c r="AA6">
        <v>0</v>
      </c>
      <c r="AB6">
        <v>0</v>
      </c>
      <c r="AC6">
        <v>0</v>
      </c>
      <c r="AD6">
        <v>0</v>
      </c>
      <c r="AE6">
        <v>0</v>
      </c>
    </row>
    <row r="7" spans="1:31">
      <c r="A7" t="s">
        <v>21</v>
      </c>
      <c r="B7">
        <v>0</v>
      </c>
      <c r="C7">
        <v>0</v>
      </c>
      <c r="D7">
        <v>0</v>
      </c>
      <c r="E7">
        <v>0</v>
      </c>
      <c r="F7">
        <v>0</v>
      </c>
      <c r="G7">
        <v>0</v>
      </c>
      <c r="H7">
        <v>0</v>
      </c>
      <c r="I7">
        <v>0</v>
      </c>
      <c r="J7">
        <v>0</v>
      </c>
      <c r="K7">
        <v>0</v>
      </c>
      <c r="L7">
        <v>0</v>
      </c>
      <c r="M7">
        <v>0</v>
      </c>
      <c r="N7">
        <v>0</v>
      </c>
      <c r="O7">
        <v>0</v>
      </c>
      <c r="P7">
        <v>0</v>
      </c>
      <c r="Q7">
        <v>0</v>
      </c>
      <c r="R7">
        <v>0</v>
      </c>
      <c r="S7">
        <v>0</v>
      </c>
      <c r="T7">
        <v>0</v>
      </c>
      <c r="U7">
        <v>0</v>
      </c>
      <c r="V7">
        <v>0</v>
      </c>
      <c r="W7">
        <v>0</v>
      </c>
      <c r="X7">
        <v>0</v>
      </c>
      <c r="Y7">
        <v>0</v>
      </c>
      <c r="Z7">
        <v>0</v>
      </c>
      <c r="AA7">
        <v>0</v>
      </c>
      <c r="AB7">
        <v>0</v>
      </c>
      <c r="AC7">
        <v>0</v>
      </c>
      <c r="AD7">
        <v>0</v>
      </c>
      <c r="AE7">
        <v>0</v>
      </c>
    </row>
    <row r="8" spans="1:31">
      <c r="A8" t="s">
        <v>20</v>
      </c>
      <c r="B8">
        <v>0</v>
      </c>
      <c r="C8">
        <v>0</v>
      </c>
      <c r="D8">
        <v>0</v>
      </c>
      <c r="E8">
        <v>0</v>
      </c>
      <c r="F8">
        <v>0</v>
      </c>
      <c r="G8">
        <v>0</v>
      </c>
      <c r="H8">
        <v>0</v>
      </c>
      <c r="I8">
        <v>0</v>
      </c>
      <c r="J8">
        <v>0</v>
      </c>
      <c r="K8">
        <v>0</v>
      </c>
      <c r="L8">
        <v>0</v>
      </c>
      <c r="M8">
        <v>0</v>
      </c>
      <c r="N8">
        <v>0</v>
      </c>
      <c r="O8">
        <v>0</v>
      </c>
      <c r="P8">
        <v>0</v>
      </c>
      <c r="Q8">
        <v>0</v>
      </c>
      <c r="R8">
        <v>0</v>
      </c>
      <c r="S8">
        <v>0</v>
      </c>
      <c r="T8">
        <v>0</v>
      </c>
      <c r="U8">
        <v>0</v>
      </c>
      <c r="V8">
        <v>0</v>
      </c>
      <c r="W8">
        <v>0</v>
      </c>
      <c r="X8">
        <v>0</v>
      </c>
      <c r="Y8">
        <v>0</v>
      </c>
      <c r="Z8">
        <v>0</v>
      </c>
      <c r="AA8">
        <v>0</v>
      </c>
      <c r="AB8">
        <v>0</v>
      </c>
      <c r="AC8">
        <v>0</v>
      </c>
      <c r="AD8">
        <v>0</v>
      </c>
      <c r="AE8">
        <v>0</v>
      </c>
    </row>
    <row r="9" spans="1:31">
      <c r="A9" t="s">
        <v>82</v>
      </c>
      <c r="B9">
        <v>0</v>
      </c>
      <c r="C9">
        <v>0</v>
      </c>
      <c r="D9">
        <v>0</v>
      </c>
      <c r="E9">
        <v>0</v>
      </c>
      <c r="F9">
        <v>0</v>
      </c>
      <c r="G9">
        <v>0</v>
      </c>
      <c r="H9">
        <v>0</v>
      </c>
      <c r="I9">
        <v>0</v>
      </c>
      <c r="J9">
        <v>0</v>
      </c>
      <c r="K9">
        <v>0</v>
      </c>
      <c r="L9">
        <v>0</v>
      </c>
      <c r="M9">
        <v>0</v>
      </c>
      <c r="N9">
        <v>0</v>
      </c>
      <c r="O9">
        <v>0</v>
      </c>
      <c r="P9">
        <v>0</v>
      </c>
      <c r="Q9">
        <v>0</v>
      </c>
      <c r="R9">
        <v>0</v>
      </c>
      <c r="S9">
        <v>0</v>
      </c>
      <c r="T9">
        <v>0</v>
      </c>
      <c r="U9">
        <v>0</v>
      </c>
      <c r="V9">
        <v>0</v>
      </c>
      <c r="W9">
        <v>0</v>
      </c>
      <c r="X9">
        <v>0</v>
      </c>
      <c r="Y9">
        <v>0</v>
      </c>
      <c r="Z9">
        <v>0</v>
      </c>
      <c r="AA9">
        <v>0</v>
      </c>
      <c r="AB9">
        <v>0</v>
      </c>
      <c r="AC9">
        <v>0</v>
      </c>
      <c r="AD9">
        <v>0</v>
      </c>
      <c r="AE9">
        <v>0</v>
      </c>
    </row>
    <row r="10" spans="1:31">
      <c r="A10" t="s">
        <v>83</v>
      </c>
      <c r="B10">
        <v>0</v>
      </c>
      <c r="C10">
        <v>0</v>
      </c>
      <c r="D10">
        <v>0</v>
      </c>
      <c r="E10">
        <v>0</v>
      </c>
      <c r="F10">
        <v>0</v>
      </c>
      <c r="G10">
        <v>0</v>
      </c>
      <c r="H10">
        <v>0</v>
      </c>
      <c r="I10">
        <v>0</v>
      </c>
      <c r="J10">
        <v>0</v>
      </c>
      <c r="K10">
        <v>0</v>
      </c>
      <c r="L10">
        <v>0</v>
      </c>
      <c r="M10">
        <v>0</v>
      </c>
      <c r="N10">
        <v>0</v>
      </c>
      <c r="O10">
        <v>0</v>
      </c>
      <c r="P10">
        <v>0</v>
      </c>
      <c r="Q10">
        <v>0</v>
      </c>
      <c r="R10">
        <v>0</v>
      </c>
      <c r="S10">
        <v>0</v>
      </c>
      <c r="T10">
        <v>0</v>
      </c>
      <c r="U10">
        <v>0</v>
      </c>
      <c r="V10">
        <v>0</v>
      </c>
      <c r="W10">
        <v>0</v>
      </c>
      <c r="X10">
        <v>0</v>
      </c>
      <c r="Y10">
        <v>0</v>
      </c>
      <c r="Z10">
        <v>0</v>
      </c>
      <c r="AA10">
        <v>0</v>
      </c>
      <c r="AB10">
        <v>0</v>
      </c>
      <c r="AC10">
        <v>0</v>
      </c>
      <c r="AD10">
        <v>0</v>
      </c>
      <c r="AE10">
        <v>0</v>
      </c>
    </row>
    <row r="11" spans="1:31">
      <c r="A11" t="s">
        <v>84</v>
      </c>
      <c r="B11">
        <v>0</v>
      </c>
      <c r="C11">
        <v>0</v>
      </c>
      <c r="D11">
        <v>0</v>
      </c>
      <c r="E11">
        <v>0</v>
      </c>
      <c r="F11">
        <v>0</v>
      </c>
      <c r="G11">
        <v>0</v>
      </c>
      <c r="H11">
        <v>0</v>
      </c>
      <c r="I11">
        <v>0</v>
      </c>
      <c r="J11">
        <v>0</v>
      </c>
      <c r="K11">
        <v>0</v>
      </c>
      <c r="L11">
        <v>0</v>
      </c>
      <c r="M11">
        <v>0</v>
      </c>
      <c r="N11">
        <v>0</v>
      </c>
      <c r="O11">
        <v>0</v>
      </c>
      <c r="P11">
        <v>0</v>
      </c>
      <c r="Q11">
        <v>0</v>
      </c>
      <c r="R11">
        <v>0</v>
      </c>
      <c r="S11">
        <v>0</v>
      </c>
      <c r="T11">
        <v>0</v>
      </c>
      <c r="U11">
        <v>0</v>
      </c>
      <c r="V11">
        <v>0</v>
      </c>
      <c r="W11">
        <v>0</v>
      </c>
      <c r="X11">
        <v>0</v>
      </c>
      <c r="Y11">
        <v>0</v>
      </c>
      <c r="Z11">
        <v>0</v>
      </c>
      <c r="AA11">
        <v>0</v>
      </c>
      <c r="AB11">
        <v>0</v>
      </c>
      <c r="AC11">
        <v>0</v>
      </c>
      <c r="AD11">
        <v>0</v>
      </c>
      <c r="AE11">
        <v>0</v>
      </c>
    </row>
  </sheetData>
  <pageMargins left="0.7" right="0.7" top="0.75" bottom="0.75" header="0.3" footer="0.3"/>
</worksheet>
</file>

<file path=xl/worksheets/sheet6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3900-000000000000}">
  <sheetPr>
    <tabColor theme="3"/>
  </sheetPr>
  <dimension ref="A1:AE11"/>
  <sheetViews>
    <sheetView workbookViewId="0">
      <selection activeCell="A11" sqref="A11"/>
    </sheetView>
  </sheetViews>
  <sheetFormatPr defaultRowHeight="14.25"/>
  <cols>
    <col min="1" max="1" width="22.53125" customWidth="1"/>
  </cols>
  <sheetData>
    <row r="1" spans="1:31" ht="28.5">
      <c r="A1" s="10" t="s">
        <v>85</v>
      </c>
      <c r="B1">
        <v>2021</v>
      </c>
      <c r="C1">
        <v>2022</v>
      </c>
      <c r="D1">
        <v>2023</v>
      </c>
      <c r="E1">
        <v>2024</v>
      </c>
      <c r="F1">
        <v>2025</v>
      </c>
      <c r="G1">
        <v>2026</v>
      </c>
      <c r="H1">
        <v>2027</v>
      </c>
      <c r="I1">
        <v>2028</v>
      </c>
      <c r="J1">
        <v>2029</v>
      </c>
      <c r="K1">
        <v>2030</v>
      </c>
      <c r="L1">
        <v>2031</v>
      </c>
      <c r="M1">
        <v>2032</v>
      </c>
      <c r="N1">
        <v>2033</v>
      </c>
      <c r="O1">
        <v>2034</v>
      </c>
      <c r="P1">
        <v>2035</v>
      </c>
      <c r="Q1">
        <v>2036</v>
      </c>
      <c r="R1">
        <v>2037</v>
      </c>
      <c r="S1">
        <v>2038</v>
      </c>
      <c r="T1">
        <v>2039</v>
      </c>
      <c r="U1">
        <v>2040</v>
      </c>
      <c r="V1">
        <v>2041</v>
      </c>
      <c r="W1">
        <v>2042</v>
      </c>
      <c r="X1">
        <v>2043</v>
      </c>
      <c r="Y1">
        <v>2044</v>
      </c>
      <c r="Z1">
        <v>2045</v>
      </c>
      <c r="AA1">
        <v>2046</v>
      </c>
      <c r="AB1">
        <v>2047</v>
      </c>
      <c r="AC1">
        <v>2048</v>
      </c>
      <c r="AD1">
        <v>2049</v>
      </c>
      <c r="AE1">
        <v>2050</v>
      </c>
    </row>
    <row r="2" spans="1:31">
      <c r="A2" t="s">
        <v>15</v>
      </c>
      <c r="B2">
        <v>0</v>
      </c>
      <c r="C2">
        <v>0</v>
      </c>
      <c r="D2">
        <v>0</v>
      </c>
      <c r="E2">
        <v>0</v>
      </c>
      <c r="F2">
        <v>0</v>
      </c>
      <c r="G2">
        <v>0</v>
      </c>
      <c r="H2">
        <v>0</v>
      </c>
      <c r="I2">
        <v>0</v>
      </c>
      <c r="J2">
        <v>0</v>
      </c>
      <c r="K2">
        <v>0</v>
      </c>
      <c r="L2">
        <v>0</v>
      </c>
      <c r="M2">
        <v>0</v>
      </c>
      <c r="N2">
        <v>0</v>
      </c>
      <c r="O2">
        <v>0</v>
      </c>
      <c r="P2">
        <v>0</v>
      </c>
      <c r="Q2">
        <v>0</v>
      </c>
      <c r="R2">
        <v>0</v>
      </c>
      <c r="S2">
        <v>0</v>
      </c>
      <c r="T2">
        <v>0</v>
      </c>
      <c r="U2">
        <v>0</v>
      </c>
      <c r="V2">
        <v>0</v>
      </c>
      <c r="W2">
        <v>0</v>
      </c>
      <c r="X2">
        <v>0</v>
      </c>
      <c r="Y2">
        <v>0</v>
      </c>
      <c r="Z2">
        <v>0</v>
      </c>
      <c r="AA2">
        <v>0</v>
      </c>
      <c r="AB2">
        <v>0</v>
      </c>
      <c r="AC2">
        <v>0</v>
      </c>
      <c r="AD2">
        <v>0</v>
      </c>
      <c r="AE2">
        <v>0</v>
      </c>
    </row>
    <row r="3" spans="1:31">
      <c r="A3" t="s">
        <v>16</v>
      </c>
      <c r="B3">
        <v>1</v>
      </c>
      <c r="C3">
        <v>1</v>
      </c>
      <c r="D3">
        <v>1</v>
      </c>
      <c r="E3">
        <v>1</v>
      </c>
      <c r="F3">
        <v>1</v>
      </c>
      <c r="G3">
        <v>1</v>
      </c>
      <c r="H3">
        <v>1</v>
      </c>
      <c r="I3">
        <v>1</v>
      </c>
      <c r="J3">
        <v>1</v>
      </c>
      <c r="K3">
        <v>1</v>
      </c>
      <c r="L3">
        <v>1</v>
      </c>
      <c r="M3">
        <v>1</v>
      </c>
      <c r="N3">
        <v>1</v>
      </c>
      <c r="O3">
        <v>1</v>
      </c>
      <c r="P3">
        <v>1</v>
      </c>
      <c r="Q3">
        <v>1</v>
      </c>
      <c r="R3">
        <v>1</v>
      </c>
      <c r="S3">
        <v>1</v>
      </c>
      <c r="T3">
        <v>1</v>
      </c>
      <c r="U3">
        <v>1</v>
      </c>
      <c r="V3">
        <v>1</v>
      </c>
      <c r="W3">
        <v>1</v>
      </c>
      <c r="X3">
        <v>1</v>
      </c>
      <c r="Y3">
        <v>1</v>
      </c>
      <c r="Z3">
        <v>1</v>
      </c>
      <c r="AA3">
        <v>1</v>
      </c>
      <c r="AB3">
        <v>1</v>
      </c>
      <c r="AC3">
        <v>1</v>
      </c>
      <c r="AD3">
        <v>1</v>
      </c>
      <c r="AE3">
        <v>1</v>
      </c>
    </row>
    <row r="4" spans="1:31">
      <c r="A4" t="s">
        <v>17</v>
      </c>
      <c r="B4">
        <v>0</v>
      </c>
      <c r="C4">
        <v>0</v>
      </c>
      <c r="D4">
        <v>0</v>
      </c>
      <c r="E4">
        <v>0</v>
      </c>
      <c r="F4">
        <v>0</v>
      </c>
      <c r="G4">
        <v>0</v>
      </c>
      <c r="H4">
        <v>0</v>
      </c>
      <c r="I4">
        <v>0</v>
      </c>
      <c r="J4">
        <v>0</v>
      </c>
      <c r="K4">
        <v>0</v>
      </c>
      <c r="L4">
        <v>0</v>
      </c>
      <c r="M4">
        <v>0</v>
      </c>
      <c r="N4">
        <v>0</v>
      </c>
      <c r="O4">
        <v>0</v>
      </c>
      <c r="P4">
        <v>0</v>
      </c>
      <c r="Q4">
        <v>0</v>
      </c>
      <c r="R4">
        <v>0</v>
      </c>
      <c r="S4">
        <v>0</v>
      </c>
      <c r="T4">
        <v>0</v>
      </c>
      <c r="U4">
        <v>0</v>
      </c>
      <c r="V4">
        <v>0</v>
      </c>
      <c r="W4">
        <v>0</v>
      </c>
      <c r="X4">
        <v>0</v>
      </c>
      <c r="Y4">
        <v>0</v>
      </c>
      <c r="Z4">
        <v>0</v>
      </c>
      <c r="AA4">
        <v>0</v>
      </c>
      <c r="AB4">
        <v>0</v>
      </c>
      <c r="AC4">
        <v>0</v>
      </c>
      <c r="AD4">
        <v>0</v>
      </c>
      <c r="AE4">
        <v>0</v>
      </c>
    </row>
    <row r="5" spans="1:31">
      <c r="A5" t="s">
        <v>18</v>
      </c>
      <c r="B5">
        <v>0</v>
      </c>
      <c r="C5">
        <v>0</v>
      </c>
      <c r="D5">
        <v>0</v>
      </c>
      <c r="E5">
        <v>0</v>
      </c>
      <c r="F5">
        <v>0</v>
      </c>
      <c r="G5">
        <v>0</v>
      </c>
      <c r="H5">
        <v>0</v>
      </c>
      <c r="I5">
        <v>0</v>
      </c>
      <c r="J5">
        <v>0</v>
      </c>
      <c r="K5">
        <v>0</v>
      </c>
      <c r="L5">
        <v>0</v>
      </c>
      <c r="M5">
        <v>0</v>
      </c>
      <c r="N5">
        <v>0</v>
      </c>
      <c r="O5">
        <v>0</v>
      </c>
      <c r="P5">
        <v>0</v>
      </c>
      <c r="Q5">
        <v>0</v>
      </c>
      <c r="R5">
        <v>0</v>
      </c>
      <c r="S5">
        <v>0</v>
      </c>
      <c r="T5">
        <v>0</v>
      </c>
      <c r="U5">
        <v>0</v>
      </c>
      <c r="V5">
        <v>0</v>
      </c>
      <c r="W5">
        <v>0</v>
      </c>
      <c r="X5">
        <v>0</v>
      </c>
      <c r="Y5">
        <v>0</v>
      </c>
      <c r="Z5">
        <v>0</v>
      </c>
      <c r="AA5">
        <v>0</v>
      </c>
      <c r="AB5">
        <v>0</v>
      </c>
      <c r="AC5">
        <v>0</v>
      </c>
      <c r="AD5">
        <v>0</v>
      </c>
      <c r="AE5">
        <v>0</v>
      </c>
    </row>
    <row r="6" spans="1:31">
      <c r="A6" t="s">
        <v>19</v>
      </c>
      <c r="B6">
        <v>0</v>
      </c>
      <c r="C6">
        <v>0</v>
      </c>
      <c r="D6">
        <v>0</v>
      </c>
      <c r="E6">
        <v>0</v>
      </c>
      <c r="F6">
        <v>0</v>
      </c>
      <c r="G6">
        <v>0</v>
      </c>
      <c r="H6">
        <v>0</v>
      </c>
      <c r="I6">
        <v>0</v>
      </c>
      <c r="J6">
        <v>0</v>
      </c>
      <c r="K6">
        <v>0</v>
      </c>
      <c r="L6">
        <v>0</v>
      </c>
      <c r="M6">
        <v>0</v>
      </c>
      <c r="N6">
        <v>0</v>
      </c>
      <c r="O6">
        <v>0</v>
      </c>
      <c r="P6">
        <v>0</v>
      </c>
      <c r="Q6">
        <v>0</v>
      </c>
      <c r="R6">
        <v>0</v>
      </c>
      <c r="S6">
        <v>0</v>
      </c>
      <c r="T6">
        <v>0</v>
      </c>
      <c r="U6">
        <v>0</v>
      </c>
      <c r="V6">
        <v>0</v>
      </c>
      <c r="W6">
        <v>0</v>
      </c>
      <c r="X6">
        <v>0</v>
      </c>
      <c r="Y6">
        <v>0</v>
      </c>
      <c r="Z6">
        <v>0</v>
      </c>
      <c r="AA6">
        <v>0</v>
      </c>
      <c r="AB6">
        <v>0</v>
      </c>
      <c r="AC6">
        <v>0</v>
      </c>
      <c r="AD6">
        <v>0</v>
      </c>
      <c r="AE6">
        <v>0</v>
      </c>
    </row>
    <row r="7" spans="1:31">
      <c r="A7" t="s">
        <v>21</v>
      </c>
      <c r="B7">
        <v>0</v>
      </c>
      <c r="C7">
        <v>0</v>
      </c>
      <c r="D7">
        <v>0</v>
      </c>
      <c r="E7">
        <v>0</v>
      </c>
      <c r="F7">
        <v>0</v>
      </c>
      <c r="G7">
        <v>0</v>
      </c>
      <c r="H7">
        <v>0</v>
      </c>
      <c r="I7">
        <v>0</v>
      </c>
      <c r="J7">
        <v>0</v>
      </c>
      <c r="K7">
        <v>0</v>
      </c>
      <c r="L7">
        <v>0</v>
      </c>
      <c r="M7">
        <v>0</v>
      </c>
      <c r="N7">
        <v>0</v>
      </c>
      <c r="O7">
        <v>0</v>
      </c>
      <c r="P7">
        <v>0</v>
      </c>
      <c r="Q7">
        <v>0</v>
      </c>
      <c r="R7">
        <v>0</v>
      </c>
      <c r="S7">
        <v>0</v>
      </c>
      <c r="T7">
        <v>0</v>
      </c>
      <c r="U7">
        <v>0</v>
      </c>
      <c r="V7">
        <v>0</v>
      </c>
      <c r="W7">
        <v>0</v>
      </c>
      <c r="X7">
        <v>0</v>
      </c>
      <c r="Y7">
        <v>0</v>
      </c>
      <c r="Z7">
        <v>0</v>
      </c>
      <c r="AA7">
        <v>0</v>
      </c>
      <c r="AB7">
        <v>0</v>
      </c>
      <c r="AC7">
        <v>0</v>
      </c>
      <c r="AD7">
        <v>0</v>
      </c>
      <c r="AE7">
        <v>0</v>
      </c>
    </row>
    <row r="8" spans="1:31">
      <c r="A8" t="s">
        <v>20</v>
      </c>
      <c r="B8">
        <v>0</v>
      </c>
      <c r="C8">
        <v>0</v>
      </c>
      <c r="D8">
        <v>0</v>
      </c>
      <c r="E8">
        <v>0</v>
      </c>
      <c r="F8">
        <v>0</v>
      </c>
      <c r="G8">
        <v>0</v>
      </c>
      <c r="H8">
        <v>0</v>
      </c>
      <c r="I8">
        <v>0</v>
      </c>
      <c r="J8">
        <v>0</v>
      </c>
      <c r="K8">
        <v>0</v>
      </c>
      <c r="L8">
        <v>0</v>
      </c>
      <c r="M8">
        <v>0</v>
      </c>
      <c r="N8">
        <v>0</v>
      </c>
      <c r="O8">
        <v>0</v>
      </c>
      <c r="P8">
        <v>0</v>
      </c>
      <c r="Q8">
        <v>0</v>
      </c>
      <c r="R8">
        <v>0</v>
      </c>
      <c r="S8">
        <v>0</v>
      </c>
      <c r="T8">
        <v>0</v>
      </c>
      <c r="U8">
        <v>0</v>
      </c>
      <c r="V8">
        <v>0</v>
      </c>
      <c r="W8">
        <v>0</v>
      </c>
      <c r="X8">
        <v>0</v>
      </c>
      <c r="Y8">
        <v>0</v>
      </c>
      <c r="Z8">
        <v>0</v>
      </c>
      <c r="AA8">
        <v>0</v>
      </c>
      <c r="AB8">
        <v>0</v>
      </c>
      <c r="AC8">
        <v>0</v>
      </c>
      <c r="AD8">
        <v>0</v>
      </c>
      <c r="AE8">
        <v>0</v>
      </c>
    </row>
    <row r="9" spans="1:31">
      <c r="A9" t="s">
        <v>82</v>
      </c>
      <c r="B9">
        <v>0</v>
      </c>
      <c r="C9">
        <v>0</v>
      </c>
      <c r="D9">
        <v>0</v>
      </c>
      <c r="E9">
        <v>0</v>
      </c>
      <c r="F9">
        <v>0</v>
      </c>
      <c r="G9">
        <v>0</v>
      </c>
      <c r="H9">
        <v>0</v>
      </c>
      <c r="I9">
        <v>0</v>
      </c>
      <c r="J9">
        <v>0</v>
      </c>
      <c r="K9">
        <v>0</v>
      </c>
      <c r="L9">
        <v>0</v>
      </c>
      <c r="M9">
        <v>0</v>
      </c>
      <c r="N9">
        <v>0</v>
      </c>
      <c r="O9">
        <v>0</v>
      </c>
      <c r="P9">
        <v>0</v>
      </c>
      <c r="Q9">
        <v>0</v>
      </c>
      <c r="R9">
        <v>0</v>
      </c>
      <c r="S9">
        <v>0</v>
      </c>
      <c r="T9">
        <v>0</v>
      </c>
      <c r="U9">
        <v>0</v>
      </c>
      <c r="V9">
        <v>0</v>
      </c>
      <c r="W9">
        <v>0</v>
      </c>
      <c r="X9">
        <v>0</v>
      </c>
      <c r="Y9">
        <v>0</v>
      </c>
      <c r="Z9">
        <v>0</v>
      </c>
      <c r="AA9">
        <v>0</v>
      </c>
      <c r="AB9">
        <v>0</v>
      </c>
      <c r="AC9">
        <v>0</v>
      </c>
      <c r="AD9">
        <v>0</v>
      </c>
      <c r="AE9">
        <v>0</v>
      </c>
    </row>
    <row r="10" spans="1:31">
      <c r="A10" t="s">
        <v>83</v>
      </c>
      <c r="B10">
        <v>0</v>
      </c>
      <c r="C10">
        <v>0</v>
      </c>
      <c r="D10">
        <v>0</v>
      </c>
      <c r="E10">
        <v>0</v>
      </c>
      <c r="F10">
        <v>0</v>
      </c>
      <c r="G10">
        <v>0</v>
      </c>
      <c r="H10">
        <v>0</v>
      </c>
      <c r="I10">
        <v>0</v>
      </c>
      <c r="J10">
        <v>0</v>
      </c>
      <c r="K10">
        <v>0</v>
      </c>
      <c r="L10">
        <v>0</v>
      </c>
      <c r="M10">
        <v>0</v>
      </c>
      <c r="N10">
        <v>0</v>
      </c>
      <c r="O10">
        <v>0</v>
      </c>
      <c r="P10">
        <v>0</v>
      </c>
      <c r="Q10">
        <v>0</v>
      </c>
      <c r="R10">
        <v>0</v>
      </c>
      <c r="S10">
        <v>0</v>
      </c>
      <c r="T10">
        <v>0</v>
      </c>
      <c r="U10">
        <v>0</v>
      </c>
      <c r="V10">
        <v>0</v>
      </c>
      <c r="W10">
        <v>0</v>
      </c>
      <c r="X10">
        <v>0</v>
      </c>
      <c r="Y10">
        <v>0</v>
      </c>
      <c r="Z10">
        <v>0</v>
      </c>
      <c r="AA10">
        <v>0</v>
      </c>
      <c r="AB10">
        <v>0</v>
      </c>
      <c r="AC10">
        <v>0</v>
      </c>
      <c r="AD10">
        <v>0</v>
      </c>
      <c r="AE10">
        <v>0</v>
      </c>
    </row>
    <row r="11" spans="1:31">
      <c r="A11" t="s">
        <v>84</v>
      </c>
      <c r="B11">
        <v>0</v>
      </c>
      <c r="C11">
        <v>0</v>
      </c>
      <c r="D11">
        <v>0</v>
      </c>
      <c r="E11">
        <v>0</v>
      </c>
      <c r="F11">
        <v>0</v>
      </c>
      <c r="G11">
        <v>0</v>
      </c>
      <c r="H11">
        <v>0</v>
      </c>
      <c r="I11">
        <v>0</v>
      </c>
      <c r="J11">
        <v>0</v>
      </c>
      <c r="K11">
        <v>0</v>
      </c>
      <c r="L11">
        <v>0</v>
      </c>
      <c r="M11">
        <v>0</v>
      </c>
      <c r="N11">
        <v>0</v>
      </c>
      <c r="O11">
        <v>0</v>
      </c>
      <c r="P11">
        <v>0</v>
      </c>
      <c r="Q11">
        <v>0</v>
      </c>
      <c r="R11">
        <v>0</v>
      </c>
      <c r="S11">
        <v>0</v>
      </c>
      <c r="T11">
        <v>0</v>
      </c>
      <c r="U11">
        <v>0</v>
      </c>
      <c r="V11">
        <v>0</v>
      </c>
      <c r="W11">
        <v>0</v>
      </c>
      <c r="X11">
        <v>0</v>
      </c>
      <c r="Y11">
        <v>0</v>
      </c>
      <c r="Z11">
        <v>0</v>
      </c>
      <c r="AA11">
        <v>0</v>
      </c>
      <c r="AB11">
        <v>0</v>
      </c>
      <c r="AC11">
        <v>0</v>
      </c>
      <c r="AD11">
        <v>0</v>
      </c>
      <c r="AE11">
        <v>0</v>
      </c>
    </row>
  </sheetData>
  <pageMargins left="0.7" right="0.7" top="0.75" bottom="0.75" header="0.3" footer="0.3"/>
</worksheet>
</file>

<file path=xl/worksheets/sheet6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3A00-000000000000}">
  <sheetPr>
    <tabColor theme="3"/>
  </sheetPr>
  <dimension ref="A1:AE11"/>
  <sheetViews>
    <sheetView workbookViewId="0">
      <selection activeCell="A11" sqref="A11"/>
    </sheetView>
  </sheetViews>
  <sheetFormatPr defaultRowHeight="14.25"/>
  <cols>
    <col min="1" max="1" width="22.53125" customWidth="1"/>
  </cols>
  <sheetData>
    <row r="1" spans="1:31" ht="28.5">
      <c r="A1" s="10" t="s">
        <v>85</v>
      </c>
      <c r="B1">
        <v>2021</v>
      </c>
      <c r="C1">
        <v>2022</v>
      </c>
      <c r="D1">
        <v>2023</v>
      </c>
      <c r="E1">
        <v>2024</v>
      </c>
      <c r="F1">
        <v>2025</v>
      </c>
      <c r="G1">
        <v>2026</v>
      </c>
      <c r="H1">
        <v>2027</v>
      </c>
      <c r="I1">
        <v>2028</v>
      </c>
      <c r="J1">
        <v>2029</v>
      </c>
      <c r="K1">
        <v>2030</v>
      </c>
      <c r="L1">
        <v>2031</v>
      </c>
      <c r="M1">
        <v>2032</v>
      </c>
      <c r="N1">
        <v>2033</v>
      </c>
      <c r="O1">
        <v>2034</v>
      </c>
      <c r="P1">
        <v>2035</v>
      </c>
      <c r="Q1">
        <v>2036</v>
      </c>
      <c r="R1">
        <v>2037</v>
      </c>
      <c r="S1">
        <v>2038</v>
      </c>
      <c r="T1">
        <v>2039</v>
      </c>
      <c r="U1">
        <v>2040</v>
      </c>
      <c r="V1">
        <v>2041</v>
      </c>
      <c r="W1">
        <v>2042</v>
      </c>
      <c r="X1">
        <v>2043</v>
      </c>
      <c r="Y1">
        <v>2044</v>
      </c>
      <c r="Z1">
        <v>2045</v>
      </c>
      <c r="AA1">
        <v>2046</v>
      </c>
      <c r="AB1">
        <v>2047</v>
      </c>
      <c r="AC1">
        <v>2048</v>
      </c>
      <c r="AD1">
        <v>2049</v>
      </c>
      <c r="AE1">
        <v>2050</v>
      </c>
    </row>
    <row r="2" spans="1:31">
      <c r="A2" t="s">
        <v>15</v>
      </c>
      <c r="B2">
        <v>0</v>
      </c>
      <c r="C2">
        <v>0</v>
      </c>
      <c r="D2">
        <v>0</v>
      </c>
      <c r="E2">
        <v>0</v>
      </c>
      <c r="F2">
        <v>0</v>
      </c>
      <c r="G2">
        <v>0</v>
      </c>
      <c r="H2">
        <v>0</v>
      </c>
      <c r="I2">
        <v>0</v>
      </c>
      <c r="J2">
        <v>0</v>
      </c>
      <c r="K2">
        <v>0</v>
      </c>
      <c r="L2">
        <v>0</v>
      </c>
      <c r="M2">
        <v>0</v>
      </c>
      <c r="N2">
        <v>0</v>
      </c>
      <c r="O2">
        <v>0</v>
      </c>
      <c r="P2">
        <v>0</v>
      </c>
      <c r="Q2">
        <v>0</v>
      </c>
      <c r="R2">
        <v>0</v>
      </c>
      <c r="S2">
        <v>0</v>
      </c>
      <c r="T2">
        <v>0</v>
      </c>
      <c r="U2">
        <v>0</v>
      </c>
      <c r="V2">
        <v>0</v>
      </c>
      <c r="W2">
        <v>0</v>
      </c>
      <c r="X2">
        <v>0</v>
      </c>
      <c r="Y2">
        <v>0</v>
      </c>
      <c r="Z2">
        <v>0</v>
      </c>
      <c r="AA2">
        <v>0</v>
      </c>
      <c r="AB2">
        <v>0</v>
      </c>
      <c r="AC2">
        <v>0</v>
      </c>
      <c r="AD2">
        <v>0</v>
      </c>
      <c r="AE2">
        <v>0</v>
      </c>
    </row>
    <row r="3" spans="1:31">
      <c r="A3" t="s">
        <v>16</v>
      </c>
      <c r="B3">
        <v>0</v>
      </c>
      <c r="C3">
        <v>0</v>
      </c>
      <c r="D3">
        <v>0</v>
      </c>
      <c r="E3">
        <v>0</v>
      </c>
      <c r="F3">
        <v>0</v>
      </c>
      <c r="G3">
        <v>0</v>
      </c>
      <c r="H3">
        <v>0</v>
      </c>
      <c r="I3">
        <v>0</v>
      </c>
      <c r="J3">
        <v>0</v>
      </c>
      <c r="K3">
        <v>0</v>
      </c>
      <c r="L3">
        <v>0</v>
      </c>
      <c r="M3">
        <v>0</v>
      </c>
      <c r="N3">
        <v>0</v>
      </c>
      <c r="O3">
        <v>0</v>
      </c>
      <c r="P3">
        <v>0</v>
      </c>
      <c r="Q3">
        <v>0</v>
      </c>
      <c r="R3">
        <v>0</v>
      </c>
      <c r="S3">
        <v>0</v>
      </c>
      <c r="T3">
        <v>0</v>
      </c>
      <c r="U3">
        <v>0</v>
      </c>
      <c r="V3">
        <v>0</v>
      </c>
      <c r="W3">
        <v>0</v>
      </c>
      <c r="X3">
        <v>0</v>
      </c>
      <c r="Y3">
        <v>0</v>
      </c>
      <c r="Z3">
        <v>0</v>
      </c>
      <c r="AA3">
        <v>0</v>
      </c>
      <c r="AB3">
        <v>0</v>
      </c>
      <c r="AC3">
        <v>0</v>
      </c>
      <c r="AD3">
        <v>0</v>
      </c>
      <c r="AE3">
        <v>0</v>
      </c>
    </row>
    <row r="4" spans="1:31">
      <c r="A4" t="s">
        <v>17</v>
      </c>
      <c r="B4">
        <v>1</v>
      </c>
      <c r="C4">
        <v>1</v>
      </c>
      <c r="D4">
        <v>1</v>
      </c>
      <c r="E4">
        <v>1</v>
      </c>
      <c r="F4">
        <v>1</v>
      </c>
      <c r="G4">
        <v>1</v>
      </c>
      <c r="H4">
        <v>1</v>
      </c>
      <c r="I4">
        <v>1</v>
      </c>
      <c r="J4">
        <v>1</v>
      </c>
      <c r="K4">
        <v>1</v>
      </c>
      <c r="L4">
        <v>1</v>
      </c>
      <c r="M4">
        <v>1</v>
      </c>
      <c r="N4">
        <v>1</v>
      </c>
      <c r="O4">
        <v>1</v>
      </c>
      <c r="P4">
        <v>1</v>
      </c>
      <c r="Q4">
        <v>1</v>
      </c>
      <c r="R4">
        <v>1</v>
      </c>
      <c r="S4">
        <v>1</v>
      </c>
      <c r="T4">
        <v>1</v>
      </c>
      <c r="U4">
        <v>1</v>
      </c>
      <c r="V4">
        <v>1</v>
      </c>
      <c r="W4">
        <v>1</v>
      </c>
      <c r="X4">
        <v>1</v>
      </c>
      <c r="Y4">
        <v>1</v>
      </c>
      <c r="Z4">
        <v>1</v>
      </c>
      <c r="AA4">
        <v>1</v>
      </c>
      <c r="AB4">
        <v>1</v>
      </c>
      <c r="AC4">
        <v>1</v>
      </c>
      <c r="AD4">
        <v>1</v>
      </c>
      <c r="AE4">
        <v>1</v>
      </c>
    </row>
    <row r="5" spans="1:31">
      <c r="A5" t="s">
        <v>18</v>
      </c>
      <c r="B5">
        <v>0</v>
      </c>
      <c r="C5">
        <v>0</v>
      </c>
      <c r="D5">
        <v>0</v>
      </c>
      <c r="E5">
        <v>0</v>
      </c>
      <c r="F5">
        <v>0</v>
      </c>
      <c r="G5">
        <v>0</v>
      </c>
      <c r="H5">
        <v>0</v>
      </c>
      <c r="I5">
        <v>0</v>
      </c>
      <c r="J5">
        <v>0</v>
      </c>
      <c r="K5">
        <v>0</v>
      </c>
      <c r="L5">
        <v>0</v>
      </c>
      <c r="M5">
        <v>0</v>
      </c>
      <c r="N5">
        <v>0</v>
      </c>
      <c r="O5">
        <v>0</v>
      </c>
      <c r="P5">
        <v>0</v>
      </c>
      <c r="Q5">
        <v>0</v>
      </c>
      <c r="R5">
        <v>0</v>
      </c>
      <c r="S5">
        <v>0</v>
      </c>
      <c r="T5">
        <v>0</v>
      </c>
      <c r="U5">
        <v>0</v>
      </c>
      <c r="V5">
        <v>0</v>
      </c>
      <c r="W5">
        <v>0</v>
      </c>
      <c r="X5">
        <v>0</v>
      </c>
      <c r="Y5">
        <v>0</v>
      </c>
      <c r="Z5">
        <v>0</v>
      </c>
      <c r="AA5">
        <v>0</v>
      </c>
      <c r="AB5">
        <v>0</v>
      </c>
      <c r="AC5">
        <v>0</v>
      </c>
      <c r="AD5">
        <v>0</v>
      </c>
      <c r="AE5">
        <v>0</v>
      </c>
    </row>
    <row r="6" spans="1:31">
      <c r="A6" t="s">
        <v>19</v>
      </c>
      <c r="B6">
        <v>0</v>
      </c>
      <c r="C6">
        <v>0</v>
      </c>
      <c r="D6">
        <v>0</v>
      </c>
      <c r="E6">
        <v>0</v>
      </c>
      <c r="F6">
        <v>0</v>
      </c>
      <c r="G6">
        <v>0</v>
      </c>
      <c r="H6">
        <v>0</v>
      </c>
      <c r="I6">
        <v>0</v>
      </c>
      <c r="J6">
        <v>0</v>
      </c>
      <c r="K6">
        <v>0</v>
      </c>
      <c r="L6">
        <v>0</v>
      </c>
      <c r="M6">
        <v>0</v>
      </c>
      <c r="N6">
        <v>0</v>
      </c>
      <c r="O6">
        <v>0</v>
      </c>
      <c r="P6">
        <v>0</v>
      </c>
      <c r="Q6">
        <v>0</v>
      </c>
      <c r="R6">
        <v>0</v>
      </c>
      <c r="S6">
        <v>0</v>
      </c>
      <c r="T6">
        <v>0</v>
      </c>
      <c r="U6">
        <v>0</v>
      </c>
      <c r="V6">
        <v>0</v>
      </c>
      <c r="W6">
        <v>0</v>
      </c>
      <c r="X6">
        <v>0</v>
      </c>
      <c r="Y6">
        <v>0</v>
      </c>
      <c r="Z6">
        <v>0</v>
      </c>
      <c r="AA6">
        <v>0</v>
      </c>
      <c r="AB6">
        <v>0</v>
      </c>
      <c r="AC6">
        <v>0</v>
      </c>
      <c r="AD6">
        <v>0</v>
      </c>
      <c r="AE6">
        <v>0</v>
      </c>
    </row>
    <row r="7" spans="1:31">
      <c r="A7" t="s">
        <v>21</v>
      </c>
      <c r="B7">
        <v>0</v>
      </c>
      <c r="C7">
        <v>0</v>
      </c>
      <c r="D7">
        <v>0</v>
      </c>
      <c r="E7">
        <v>0</v>
      </c>
      <c r="F7">
        <v>0</v>
      </c>
      <c r="G7">
        <v>0</v>
      </c>
      <c r="H7">
        <v>0</v>
      </c>
      <c r="I7">
        <v>0</v>
      </c>
      <c r="J7">
        <v>0</v>
      </c>
      <c r="K7">
        <v>0</v>
      </c>
      <c r="L7">
        <v>0</v>
      </c>
      <c r="M7">
        <v>0</v>
      </c>
      <c r="N7">
        <v>0</v>
      </c>
      <c r="O7">
        <v>0</v>
      </c>
      <c r="P7">
        <v>0</v>
      </c>
      <c r="Q7">
        <v>0</v>
      </c>
      <c r="R7">
        <v>0</v>
      </c>
      <c r="S7">
        <v>0</v>
      </c>
      <c r="T7">
        <v>0</v>
      </c>
      <c r="U7">
        <v>0</v>
      </c>
      <c r="V7">
        <v>0</v>
      </c>
      <c r="W7">
        <v>0</v>
      </c>
      <c r="X7">
        <v>0</v>
      </c>
      <c r="Y7">
        <v>0</v>
      </c>
      <c r="Z7">
        <v>0</v>
      </c>
      <c r="AA7">
        <v>0</v>
      </c>
      <c r="AB7">
        <v>0</v>
      </c>
      <c r="AC7">
        <v>0</v>
      </c>
      <c r="AD7">
        <v>0</v>
      </c>
      <c r="AE7">
        <v>0</v>
      </c>
    </row>
    <row r="8" spans="1:31">
      <c r="A8" t="s">
        <v>20</v>
      </c>
      <c r="B8">
        <v>0</v>
      </c>
      <c r="C8">
        <v>0</v>
      </c>
      <c r="D8">
        <v>0</v>
      </c>
      <c r="E8">
        <v>0</v>
      </c>
      <c r="F8">
        <v>0</v>
      </c>
      <c r="G8">
        <v>0</v>
      </c>
      <c r="H8">
        <v>0</v>
      </c>
      <c r="I8">
        <v>0</v>
      </c>
      <c r="J8">
        <v>0</v>
      </c>
      <c r="K8">
        <v>0</v>
      </c>
      <c r="L8">
        <v>0</v>
      </c>
      <c r="M8">
        <v>0</v>
      </c>
      <c r="N8">
        <v>0</v>
      </c>
      <c r="O8">
        <v>0</v>
      </c>
      <c r="P8">
        <v>0</v>
      </c>
      <c r="Q8">
        <v>0</v>
      </c>
      <c r="R8">
        <v>0</v>
      </c>
      <c r="S8">
        <v>0</v>
      </c>
      <c r="T8">
        <v>0</v>
      </c>
      <c r="U8">
        <v>0</v>
      </c>
      <c r="V8">
        <v>0</v>
      </c>
      <c r="W8">
        <v>0</v>
      </c>
      <c r="X8">
        <v>0</v>
      </c>
      <c r="Y8">
        <v>0</v>
      </c>
      <c r="Z8">
        <v>0</v>
      </c>
      <c r="AA8">
        <v>0</v>
      </c>
      <c r="AB8">
        <v>0</v>
      </c>
      <c r="AC8">
        <v>0</v>
      </c>
      <c r="AD8">
        <v>0</v>
      </c>
      <c r="AE8">
        <v>0</v>
      </c>
    </row>
    <row r="9" spans="1:31">
      <c r="A9" t="s">
        <v>82</v>
      </c>
      <c r="B9">
        <v>0</v>
      </c>
      <c r="C9">
        <v>0</v>
      </c>
      <c r="D9">
        <v>0</v>
      </c>
      <c r="E9">
        <v>0</v>
      </c>
      <c r="F9">
        <v>0</v>
      </c>
      <c r="G9">
        <v>0</v>
      </c>
      <c r="H9">
        <v>0</v>
      </c>
      <c r="I9">
        <v>0</v>
      </c>
      <c r="J9">
        <v>0</v>
      </c>
      <c r="K9">
        <v>0</v>
      </c>
      <c r="L9">
        <v>0</v>
      </c>
      <c r="M9">
        <v>0</v>
      </c>
      <c r="N9">
        <v>0</v>
      </c>
      <c r="O9">
        <v>0</v>
      </c>
      <c r="P9">
        <v>0</v>
      </c>
      <c r="Q9">
        <v>0</v>
      </c>
      <c r="R9">
        <v>0</v>
      </c>
      <c r="S9">
        <v>0</v>
      </c>
      <c r="T9">
        <v>0</v>
      </c>
      <c r="U9">
        <v>0</v>
      </c>
      <c r="V9">
        <v>0</v>
      </c>
      <c r="W9">
        <v>0</v>
      </c>
      <c r="X9">
        <v>0</v>
      </c>
      <c r="Y9">
        <v>0</v>
      </c>
      <c r="Z9">
        <v>0</v>
      </c>
      <c r="AA9">
        <v>0</v>
      </c>
      <c r="AB9">
        <v>0</v>
      </c>
      <c r="AC9">
        <v>0</v>
      </c>
      <c r="AD9">
        <v>0</v>
      </c>
      <c r="AE9">
        <v>0</v>
      </c>
    </row>
    <row r="10" spans="1:31">
      <c r="A10" t="s">
        <v>83</v>
      </c>
      <c r="B10">
        <v>0</v>
      </c>
      <c r="C10">
        <v>0</v>
      </c>
      <c r="D10">
        <v>0</v>
      </c>
      <c r="E10">
        <v>0</v>
      </c>
      <c r="F10">
        <v>0</v>
      </c>
      <c r="G10">
        <v>0</v>
      </c>
      <c r="H10">
        <v>0</v>
      </c>
      <c r="I10">
        <v>0</v>
      </c>
      <c r="J10">
        <v>0</v>
      </c>
      <c r="K10">
        <v>0</v>
      </c>
      <c r="L10">
        <v>0</v>
      </c>
      <c r="M10">
        <v>0</v>
      </c>
      <c r="N10">
        <v>0</v>
      </c>
      <c r="O10">
        <v>0</v>
      </c>
      <c r="P10">
        <v>0</v>
      </c>
      <c r="Q10">
        <v>0</v>
      </c>
      <c r="R10">
        <v>0</v>
      </c>
      <c r="S10">
        <v>0</v>
      </c>
      <c r="T10">
        <v>0</v>
      </c>
      <c r="U10">
        <v>0</v>
      </c>
      <c r="V10">
        <v>0</v>
      </c>
      <c r="W10">
        <v>0</v>
      </c>
      <c r="X10">
        <v>0</v>
      </c>
      <c r="Y10">
        <v>0</v>
      </c>
      <c r="Z10">
        <v>0</v>
      </c>
      <c r="AA10">
        <v>0</v>
      </c>
      <c r="AB10">
        <v>0</v>
      </c>
      <c r="AC10">
        <v>0</v>
      </c>
      <c r="AD10">
        <v>0</v>
      </c>
      <c r="AE10">
        <v>0</v>
      </c>
    </row>
    <row r="11" spans="1:31">
      <c r="A11" t="s">
        <v>84</v>
      </c>
      <c r="B11">
        <v>0</v>
      </c>
      <c r="C11">
        <v>0</v>
      </c>
      <c r="D11">
        <v>0</v>
      </c>
      <c r="E11">
        <v>0</v>
      </c>
      <c r="F11">
        <v>0</v>
      </c>
      <c r="G11">
        <v>0</v>
      </c>
      <c r="H11">
        <v>0</v>
      </c>
      <c r="I11">
        <v>0</v>
      </c>
      <c r="J11">
        <v>0</v>
      </c>
      <c r="K11">
        <v>0</v>
      </c>
      <c r="L11">
        <v>0</v>
      </c>
      <c r="M11">
        <v>0</v>
      </c>
      <c r="N11">
        <v>0</v>
      </c>
      <c r="O11">
        <v>0</v>
      </c>
      <c r="P11">
        <v>0</v>
      </c>
      <c r="Q11">
        <v>0</v>
      </c>
      <c r="R11">
        <v>0</v>
      </c>
      <c r="S11">
        <v>0</v>
      </c>
      <c r="T11">
        <v>0</v>
      </c>
      <c r="U11">
        <v>0</v>
      </c>
      <c r="V11">
        <v>0</v>
      </c>
      <c r="W11">
        <v>0</v>
      </c>
      <c r="X11">
        <v>0</v>
      </c>
      <c r="Y11">
        <v>0</v>
      </c>
      <c r="Z11">
        <v>0</v>
      </c>
      <c r="AA11">
        <v>0</v>
      </c>
      <c r="AB11">
        <v>0</v>
      </c>
      <c r="AC11">
        <v>0</v>
      </c>
      <c r="AD11">
        <v>0</v>
      </c>
      <c r="AE11">
        <v>0</v>
      </c>
    </row>
  </sheetData>
  <pageMargins left="0.7" right="0.7" top="0.75" bottom="0.75" header="0.3" footer="0.3"/>
</worksheet>
</file>

<file path=xl/worksheets/sheet7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3B00-000000000000}">
  <sheetPr>
    <tabColor theme="3"/>
  </sheetPr>
  <dimension ref="A1:AE11"/>
  <sheetViews>
    <sheetView workbookViewId="0">
      <selection activeCell="A11" sqref="A11"/>
    </sheetView>
  </sheetViews>
  <sheetFormatPr defaultRowHeight="14.25"/>
  <cols>
    <col min="1" max="1" width="22.53125" customWidth="1"/>
  </cols>
  <sheetData>
    <row r="1" spans="1:31" ht="28.5">
      <c r="A1" s="10" t="s">
        <v>85</v>
      </c>
      <c r="B1">
        <v>2021</v>
      </c>
      <c r="C1">
        <v>2022</v>
      </c>
      <c r="D1">
        <v>2023</v>
      </c>
      <c r="E1">
        <v>2024</v>
      </c>
      <c r="F1">
        <v>2025</v>
      </c>
      <c r="G1">
        <v>2026</v>
      </c>
      <c r="H1">
        <v>2027</v>
      </c>
      <c r="I1">
        <v>2028</v>
      </c>
      <c r="J1">
        <v>2029</v>
      </c>
      <c r="K1">
        <v>2030</v>
      </c>
      <c r="L1">
        <v>2031</v>
      </c>
      <c r="M1">
        <v>2032</v>
      </c>
      <c r="N1">
        <v>2033</v>
      </c>
      <c r="O1">
        <v>2034</v>
      </c>
      <c r="P1">
        <v>2035</v>
      </c>
      <c r="Q1">
        <v>2036</v>
      </c>
      <c r="R1">
        <v>2037</v>
      </c>
      <c r="S1">
        <v>2038</v>
      </c>
      <c r="T1">
        <v>2039</v>
      </c>
      <c r="U1">
        <v>2040</v>
      </c>
      <c r="V1">
        <v>2041</v>
      </c>
      <c r="W1">
        <v>2042</v>
      </c>
      <c r="X1">
        <v>2043</v>
      </c>
      <c r="Y1">
        <v>2044</v>
      </c>
      <c r="Z1">
        <v>2045</v>
      </c>
      <c r="AA1">
        <v>2046</v>
      </c>
      <c r="AB1">
        <v>2047</v>
      </c>
      <c r="AC1">
        <v>2048</v>
      </c>
      <c r="AD1">
        <v>2049</v>
      </c>
      <c r="AE1">
        <v>2050</v>
      </c>
    </row>
    <row r="2" spans="1:31">
      <c r="A2" t="s">
        <v>15</v>
      </c>
      <c r="B2">
        <v>0</v>
      </c>
      <c r="C2">
        <v>0</v>
      </c>
      <c r="D2">
        <v>0</v>
      </c>
      <c r="E2">
        <v>0</v>
      </c>
      <c r="F2">
        <v>0</v>
      </c>
      <c r="G2">
        <v>0</v>
      </c>
      <c r="H2">
        <v>0</v>
      </c>
      <c r="I2">
        <v>0</v>
      </c>
      <c r="J2">
        <v>0</v>
      </c>
      <c r="K2">
        <v>0</v>
      </c>
      <c r="L2">
        <v>0</v>
      </c>
      <c r="M2">
        <v>0</v>
      </c>
      <c r="N2">
        <v>0</v>
      </c>
      <c r="O2">
        <v>0</v>
      </c>
      <c r="P2">
        <v>0</v>
      </c>
      <c r="Q2">
        <v>0</v>
      </c>
      <c r="R2">
        <v>0</v>
      </c>
      <c r="S2">
        <v>0</v>
      </c>
      <c r="T2">
        <v>0</v>
      </c>
      <c r="U2">
        <v>0</v>
      </c>
      <c r="V2">
        <v>0</v>
      </c>
      <c r="W2">
        <v>0</v>
      </c>
      <c r="X2">
        <v>0</v>
      </c>
      <c r="Y2">
        <v>0</v>
      </c>
      <c r="Z2">
        <v>0</v>
      </c>
      <c r="AA2">
        <v>0</v>
      </c>
      <c r="AB2">
        <v>0</v>
      </c>
      <c r="AC2">
        <v>0</v>
      </c>
      <c r="AD2">
        <v>0</v>
      </c>
      <c r="AE2">
        <v>0</v>
      </c>
    </row>
    <row r="3" spans="1:31">
      <c r="A3" t="s">
        <v>16</v>
      </c>
      <c r="B3">
        <v>0</v>
      </c>
      <c r="C3">
        <v>0</v>
      </c>
      <c r="D3">
        <v>0</v>
      </c>
      <c r="E3">
        <v>0</v>
      </c>
      <c r="F3">
        <v>0</v>
      </c>
      <c r="G3">
        <v>0</v>
      </c>
      <c r="H3">
        <v>0</v>
      </c>
      <c r="I3">
        <v>0</v>
      </c>
      <c r="J3">
        <v>0</v>
      </c>
      <c r="K3">
        <v>0</v>
      </c>
      <c r="L3">
        <v>0</v>
      </c>
      <c r="M3">
        <v>0</v>
      </c>
      <c r="N3">
        <v>0</v>
      </c>
      <c r="O3">
        <v>0</v>
      </c>
      <c r="P3">
        <v>0</v>
      </c>
      <c r="Q3">
        <v>0</v>
      </c>
      <c r="R3">
        <v>0</v>
      </c>
      <c r="S3">
        <v>0</v>
      </c>
      <c r="T3">
        <v>0</v>
      </c>
      <c r="U3">
        <v>0</v>
      </c>
      <c r="V3">
        <v>0</v>
      </c>
      <c r="W3">
        <v>0</v>
      </c>
      <c r="X3">
        <v>0</v>
      </c>
      <c r="Y3">
        <v>0</v>
      </c>
      <c r="Z3">
        <v>0</v>
      </c>
      <c r="AA3">
        <v>0</v>
      </c>
      <c r="AB3">
        <v>0</v>
      </c>
      <c r="AC3">
        <v>0</v>
      </c>
      <c r="AD3">
        <v>0</v>
      </c>
      <c r="AE3">
        <v>0</v>
      </c>
    </row>
    <row r="4" spans="1:31">
      <c r="A4" t="s">
        <v>17</v>
      </c>
      <c r="B4">
        <v>0</v>
      </c>
      <c r="C4">
        <v>0</v>
      </c>
      <c r="D4">
        <v>0</v>
      </c>
      <c r="E4">
        <v>0</v>
      </c>
      <c r="F4">
        <v>0</v>
      </c>
      <c r="G4">
        <v>0</v>
      </c>
      <c r="H4">
        <v>0</v>
      </c>
      <c r="I4">
        <v>0</v>
      </c>
      <c r="J4">
        <v>0</v>
      </c>
      <c r="K4">
        <v>0</v>
      </c>
      <c r="L4">
        <v>0</v>
      </c>
      <c r="M4">
        <v>0</v>
      </c>
      <c r="N4">
        <v>0</v>
      </c>
      <c r="O4">
        <v>0</v>
      </c>
      <c r="P4">
        <v>0</v>
      </c>
      <c r="Q4">
        <v>0</v>
      </c>
      <c r="R4">
        <v>0</v>
      </c>
      <c r="S4">
        <v>0</v>
      </c>
      <c r="T4">
        <v>0</v>
      </c>
      <c r="U4">
        <v>0</v>
      </c>
      <c r="V4">
        <v>0</v>
      </c>
      <c r="W4">
        <v>0</v>
      </c>
      <c r="X4">
        <v>0</v>
      </c>
      <c r="Y4">
        <v>0</v>
      </c>
      <c r="Z4">
        <v>0</v>
      </c>
      <c r="AA4">
        <v>0</v>
      </c>
      <c r="AB4">
        <v>0</v>
      </c>
      <c r="AC4">
        <v>0</v>
      </c>
      <c r="AD4">
        <v>0</v>
      </c>
      <c r="AE4">
        <v>0</v>
      </c>
    </row>
    <row r="5" spans="1:31">
      <c r="A5" t="s">
        <v>18</v>
      </c>
      <c r="B5">
        <v>1</v>
      </c>
      <c r="C5">
        <v>1</v>
      </c>
      <c r="D5">
        <v>1</v>
      </c>
      <c r="E5">
        <v>1</v>
      </c>
      <c r="F5">
        <v>1</v>
      </c>
      <c r="G5">
        <v>1</v>
      </c>
      <c r="H5">
        <v>1</v>
      </c>
      <c r="I5">
        <v>1</v>
      </c>
      <c r="J5">
        <v>1</v>
      </c>
      <c r="K5">
        <v>1</v>
      </c>
      <c r="L5">
        <v>1</v>
      </c>
      <c r="M5">
        <v>1</v>
      </c>
      <c r="N5">
        <v>1</v>
      </c>
      <c r="O5">
        <v>1</v>
      </c>
      <c r="P5">
        <v>1</v>
      </c>
      <c r="Q5">
        <v>1</v>
      </c>
      <c r="R5">
        <v>1</v>
      </c>
      <c r="S5">
        <v>1</v>
      </c>
      <c r="T5">
        <v>1</v>
      </c>
      <c r="U5">
        <v>1</v>
      </c>
      <c r="V5">
        <v>1</v>
      </c>
      <c r="W5">
        <v>1</v>
      </c>
      <c r="X5">
        <v>1</v>
      </c>
      <c r="Y5">
        <v>1</v>
      </c>
      <c r="Z5">
        <v>1</v>
      </c>
      <c r="AA5">
        <v>1</v>
      </c>
      <c r="AB5">
        <v>1</v>
      </c>
      <c r="AC5">
        <v>1</v>
      </c>
      <c r="AD5">
        <v>1</v>
      </c>
      <c r="AE5">
        <v>1</v>
      </c>
    </row>
    <row r="6" spans="1:31">
      <c r="A6" t="s">
        <v>19</v>
      </c>
      <c r="B6">
        <v>0</v>
      </c>
      <c r="C6">
        <v>0</v>
      </c>
      <c r="D6">
        <v>0</v>
      </c>
      <c r="E6">
        <v>0</v>
      </c>
      <c r="F6">
        <v>0</v>
      </c>
      <c r="G6">
        <v>0</v>
      </c>
      <c r="H6">
        <v>0</v>
      </c>
      <c r="I6">
        <v>0</v>
      </c>
      <c r="J6">
        <v>0</v>
      </c>
      <c r="K6">
        <v>0</v>
      </c>
      <c r="L6">
        <v>0</v>
      </c>
      <c r="M6">
        <v>0</v>
      </c>
      <c r="N6">
        <v>0</v>
      </c>
      <c r="O6">
        <v>0</v>
      </c>
      <c r="P6">
        <v>0</v>
      </c>
      <c r="Q6">
        <v>0</v>
      </c>
      <c r="R6">
        <v>0</v>
      </c>
      <c r="S6">
        <v>0</v>
      </c>
      <c r="T6">
        <v>0</v>
      </c>
      <c r="U6">
        <v>0</v>
      </c>
      <c r="V6">
        <v>0</v>
      </c>
      <c r="W6">
        <v>0</v>
      </c>
      <c r="X6">
        <v>0</v>
      </c>
      <c r="Y6">
        <v>0</v>
      </c>
      <c r="Z6">
        <v>0</v>
      </c>
      <c r="AA6">
        <v>0</v>
      </c>
      <c r="AB6">
        <v>0</v>
      </c>
      <c r="AC6">
        <v>0</v>
      </c>
      <c r="AD6">
        <v>0</v>
      </c>
      <c r="AE6">
        <v>0</v>
      </c>
    </row>
    <row r="7" spans="1:31">
      <c r="A7" t="s">
        <v>21</v>
      </c>
      <c r="B7">
        <v>0</v>
      </c>
      <c r="C7">
        <v>0</v>
      </c>
      <c r="D7">
        <v>0</v>
      </c>
      <c r="E7">
        <v>0</v>
      </c>
      <c r="F7">
        <v>0</v>
      </c>
      <c r="G7">
        <v>0</v>
      </c>
      <c r="H7">
        <v>0</v>
      </c>
      <c r="I7">
        <v>0</v>
      </c>
      <c r="J7">
        <v>0</v>
      </c>
      <c r="K7">
        <v>0</v>
      </c>
      <c r="L7">
        <v>0</v>
      </c>
      <c r="M7">
        <v>0</v>
      </c>
      <c r="N7">
        <v>0</v>
      </c>
      <c r="O7">
        <v>0</v>
      </c>
      <c r="P7">
        <v>0</v>
      </c>
      <c r="Q7">
        <v>0</v>
      </c>
      <c r="R7">
        <v>0</v>
      </c>
      <c r="S7">
        <v>0</v>
      </c>
      <c r="T7">
        <v>0</v>
      </c>
      <c r="U7">
        <v>0</v>
      </c>
      <c r="V7">
        <v>0</v>
      </c>
      <c r="W7">
        <v>0</v>
      </c>
      <c r="X7">
        <v>0</v>
      </c>
      <c r="Y7">
        <v>0</v>
      </c>
      <c r="Z7">
        <v>0</v>
      </c>
      <c r="AA7">
        <v>0</v>
      </c>
      <c r="AB7">
        <v>0</v>
      </c>
      <c r="AC7">
        <v>0</v>
      </c>
      <c r="AD7">
        <v>0</v>
      </c>
      <c r="AE7">
        <v>0</v>
      </c>
    </row>
    <row r="8" spans="1:31">
      <c r="A8" t="s">
        <v>20</v>
      </c>
      <c r="B8">
        <v>0</v>
      </c>
      <c r="C8">
        <v>0</v>
      </c>
      <c r="D8">
        <v>0</v>
      </c>
      <c r="E8">
        <v>0</v>
      </c>
      <c r="F8">
        <v>0</v>
      </c>
      <c r="G8">
        <v>0</v>
      </c>
      <c r="H8">
        <v>0</v>
      </c>
      <c r="I8">
        <v>0</v>
      </c>
      <c r="J8">
        <v>0</v>
      </c>
      <c r="K8">
        <v>0</v>
      </c>
      <c r="L8">
        <v>0</v>
      </c>
      <c r="M8">
        <v>0</v>
      </c>
      <c r="N8">
        <v>0</v>
      </c>
      <c r="O8">
        <v>0</v>
      </c>
      <c r="P8">
        <v>0</v>
      </c>
      <c r="Q8">
        <v>0</v>
      </c>
      <c r="R8">
        <v>0</v>
      </c>
      <c r="S8">
        <v>0</v>
      </c>
      <c r="T8">
        <v>0</v>
      </c>
      <c r="U8">
        <v>0</v>
      </c>
      <c r="V8">
        <v>0</v>
      </c>
      <c r="W8">
        <v>0</v>
      </c>
      <c r="X8">
        <v>0</v>
      </c>
      <c r="Y8">
        <v>0</v>
      </c>
      <c r="Z8">
        <v>0</v>
      </c>
      <c r="AA8">
        <v>0</v>
      </c>
      <c r="AB8">
        <v>0</v>
      </c>
      <c r="AC8">
        <v>0</v>
      </c>
      <c r="AD8">
        <v>0</v>
      </c>
      <c r="AE8">
        <v>0</v>
      </c>
    </row>
    <row r="9" spans="1:31">
      <c r="A9" t="s">
        <v>82</v>
      </c>
      <c r="B9">
        <v>0</v>
      </c>
      <c r="C9">
        <v>0</v>
      </c>
      <c r="D9">
        <v>0</v>
      </c>
      <c r="E9">
        <v>0</v>
      </c>
      <c r="F9">
        <v>0</v>
      </c>
      <c r="G9">
        <v>0</v>
      </c>
      <c r="H9">
        <v>0</v>
      </c>
      <c r="I9">
        <v>0</v>
      </c>
      <c r="J9">
        <v>0</v>
      </c>
      <c r="K9">
        <v>0</v>
      </c>
      <c r="L9">
        <v>0</v>
      </c>
      <c r="M9">
        <v>0</v>
      </c>
      <c r="N9">
        <v>0</v>
      </c>
      <c r="O9">
        <v>0</v>
      </c>
      <c r="P9">
        <v>0</v>
      </c>
      <c r="Q9">
        <v>0</v>
      </c>
      <c r="R9">
        <v>0</v>
      </c>
      <c r="S9">
        <v>0</v>
      </c>
      <c r="T9">
        <v>0</v>
      </c>
      <c r="U9">
        <v>0</v>
      </c>
      <c r="V9">
        <v>0</v>
      </c>
      <c r="W9">
        <v>0</v>
      </c>
      <c r="X9">
        <v>0</v>
      </c>
      <c r="Y9">
        <v>0</v>
      </c>
      <c r="Z9">
        <v>0</v>
      </c>
      <c r="AA9">
        <v>0</v>
      </c>
      <c r="AB9">
        <v>0</v>
      </c>
      <c r="AC9">
        <v>0</v>
      </c>
      <c r="AD9">
        <v>0</v>
      </c>
      <c r="AE9">
        <v>0</v>
      </c>
    </row>
    <row r="10" spans="1:31">
      <c r="A10" t="s">
        <v>83</v>
      </c>
      <c r="B10">
        <v>0</v>
      </c>
      <c r="C10">
        <v>0</v>
      </c>
      <c r="D10">
        <v>0</v>
      </c>
      <c r="E10">
        <v>0</v>
      </c>
      <c r="F10">
        <v>0</v>
      </c>
      <c r="G10">
        <v>0</v>
      </c>
      <c r="H10">
        <v>0</v>
      </c>
      <c r="I10">
        <v>0</v>
      </c>
      <c r="J10">
        <v>0</v>
      </c>
      <c r="K10">
        <v>0</v>
      </c>
      <c r="L10">
        <v>0</v>
      </c>
      <c r="M10">
        <v>0</v>
      </c>
      <c r="N10">
        <v>0</v>
      </c>
      <c r="O10">
        <v>0</v>
      </c>
      <c r="P10">
        <v>0</v>
      </c>
      <c r="Q10">
        <v>0</v>
      </c>
      <c r="R10">
        <v>0</v>
      </c>
      <c r="S10">
        <v>0</v>
      </c>
      <c r="T10">
        <v>0</v>
      </c>
      <c r="U10">
        <v>0</v>
      </c>
      <c r="V10">
        <v>0</v>
      </c>
      <c r="W10">
        <v>0</v>
      </c>
      <c r="X10">
        <v>0</v>
      </c>
      <c r="Y10">
        <v>0</v>
      </c>
      <c r="Z10">
        <v>0</v>
      </c>
      <c r="AA10">
        <v>0</v>
      </c>
      <c r="AB10">
        <v>0</v>
      </c>
      <c r="AC10">
        <v>0</v>
      </c>
      <c r="AD10">
        <v>0</v>
      </c>
      <c r="AE10">
        <v>0</v>
      </c>
    </row>
    <row r="11" spans="1:31">
      <c r="A11" t="s">
        <v>84</v>
      </c>
      <c r="B11">
        <v>0</v>
      </c>
      <c r="C11">
        <v>0</v>
      </c>
      <c r="D11">
        <v>0</v>
      </c>
      <c r="E11">
        <v>0</v>
      </c>
      <c r="F11">
        <v>0</v>
      </c>
      <c r="G11">
        <v>0</v>
      </c>
      <c r="H11">
        <v>0</v>
      </c>
      <c r="I11">
        <v>0</v>
      </c>
      <c r="J11">
        <v>0</v>
      </c>
      <c r="K11">
        <v>0</v>
      </c>
      <c r="L11">
        <v>0</v>
      </c>
      <c r="M11">
        <v>0</v>
      </c>
      <c r="N11">
        <v>0</v>
      </c>
      <c r="O11">
        <v>0</v>
      </c>
      <c r="P11">
        <v>0</v>
      </c>
      <c r="Q11">
        <v>0</v>
      </c>
      <c r="R11">
        <v>0</v>
      </c>
      <c r="S11">
        <v>0</v>
      </c>
      <c r="T11">
        <v>0</v>
      </c>
      <c r="U11">
        <v>0</v>
      </c>
      <c r="V11">
        <v>0</v>
      </c>
      <c r="W11">
        <v>0</v>
      </c>
      <c r="X11">
        <v>0</v>
      </c>
      <c r="Y11">
        <v>0</v>
      </c>
      <c r="Z11">
        <v>0</v>
      </c>
      <c r="AA11">
        <v>0</v>
      </c>
      <c r="AB11">
        <v>0</v>
      </c>
      <c r="AC11">
        <v>0</v>
      </c>
      <c r="AD11">
        <v>0</v>
      </c>
      <c r="AE11">
        <v>0</v>
      </c>
    </row>
  </sheetData>
  <pageMargins left="0.7" right="0.7" top="0.75" bottom="0.75" header="0.3" footer="0.3"/>
</worksheet>
</file>

<file path=xl/worksheets/sheet7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3C00-000000000000}">
  <sheetPr>
    <tabColor theme="3"/>
  </sheetPr>
  <dimension ref="A1:AE11"/>
  <sheetViews>
    <sheetView workbookViewId="0"/>
  </sheetViews>
  <sheetFormatPr defaultRowHeight="14.25"/>
  <cols>
    <col min="1" max="1" width="22.53125" customWidth="1"/>
  </cols>
  <sheetData>
    <row r="1" spans="1:31" ht="28.5">
      <c r="A1" s="10" t="s">
        <v>85</v>
      </c>
      <c r="B1">
        <v>2021</v>
      </c>
      <c r="C1">
        <v>2022</v>
      </c>
      <c r="D1">
        <v>2023</v>
      </c>
      <c r="E1">
        <v>2024</v>
      </c>
      <c r="F1">
        <v>2025</v>
      </c>
      <c r="G1">
        <v>2026</v>
      </c>
      <c r="H1">
        <v>2027</v>
      </c>
      <c r="I1">
        <v>2028</v>
      </c>
      <c r="J1">
        <v>2029</v>
      </c>
      <c r="K1">
        <v>2030</v>
      </c>
      <c r="L1">
        <v>2031</v>
      </c>
      <c r="M1">
        <v>2032</v>
      </c>
      <c r="N1">
        <v>2033</v>
      </c>
      <c r="O1">
        <v>2034</v>
      </c>
      <c r="P1">
        <v>2035</v>
      </c>
      <c r="Q1">
        <v>2036</v>
      </c>
      <c r="R1">
        <v>2037</v>
      </c>
      <c r="S1">
        <v>2038</v>
      </c>
      <c r="T1">
        <v>2039</v>
      </c>
      <c r="U1">
        <v>2040</v>
      </c>
      <c r="V1">
        <v>2041</v>
      </c>
      <c r="W1">
        <v>2042</v>
      </c>
      <c r="X1">
        <v>2043</v>
      </c>
      <c r="Y1">
        <v>2044</v>
      </c>
      <c r="Z1">
        <v>2045</v>
      </c>
      <c r="AA1">
        <v>2046</v>
      </c>
      <c r="AB1">
        <v>2047</v>
      </c>
      <c r="AC1">
        <v>2048</v>
      </c>
      <c r="AD1">
        <v>2049</v>
      </c>
      <c r="AE1">
        <v>2050</v>
      </c>
    </row>
    <row r="2" spans="1:31">
      <c r="A2" t="s">
        <v>15</v>
      </c>
      <c r="B2">
        <v>0</v>
      </c>
      <c r="C2">
        <v>0</v>
      </c>
      <c r="D2">
        <v>0</v>
      </c>
      <c r="E2">
        <v>0</v>
      </c>
      <c r="F2">
        <v>0</v>
      </c>
      <c r="G2">
        <v>0</v>
      </c>
      <c r="H2">
        <v>0</v>
      </c>
      <c r="I2">
        <v>0</v>
      </c>
      <c r="J2">
        <v>0</v>
      </c>
      <c r="K2">
        <v>0</v>
      </c>
      <c r="L2">
        <v>0</v>
      </c>
      <c r="M2">
        <v>0</v>
      </c>
      <c r="N2">
        <v>0</v>
      </c>
      <c r="O2">
        <v>0</v>
      </c>
      <c r="P2">
        <v>0</v>
      </c>
      <c r="Q2">
        <v>0</v>
      </c>
      <c r="R2">
        <v>0</v>
      </c>
      <c r="S2">
        <v>0</v>
      </c>
      <c r="T2">
        <v>0</v>
      </c>
      <c r="U2">
        <v>0</v>
      </c>
      <c r="V2">
        <v>0</v>
      </c>
      <c r="W2">
        <v>0</v>
      </c>
      <c r="X2">
        <v>0</v>
      </c>
      <c r="Y2">
        <v>0</v>
      </c>
      <c r="Z2">
        <v>0</v>
      </c>
      <c r="AA2">
        <v>0</v>
      </c>
      <c r="AB2">
        <v>0</v>
      </c>
      <c r="AC2">
        <v>0</v>
      </c>
      <c r="AD2">
        <v>0</v>
      </c>
      <c r="AE2">
        <v>0</v>
      </c>
    </row>
    <row r="3" spans="1:31">
      <c r="A3" t="s">
        <v>16</v>
      </c>
      <c r="B3">
        <v>0</v>
      </c>
      <c r="C3">
        <v>0</v>
      </c>
      <c r="D3">
        <v>0</v>
      </c>
      <c r="E3">
        <v>0</v>
      </c>
      <c r="F3">
        <v>0</v>
      </c>
      <c r="G3">
        <v>0</v>
      </c>
      <c r="H3">
        <v>0</v>
      </c>
      <c r="I3">
        <v>0</v>
      </c>
      <c r="J3">
        <v>0</v>
      </c>
      <c r="K3">
        <v>0</v>
      </c>
      <c r="L3">
        <v>0</v>
      </c>
      <c r="M3">
        <v>0</v>
      </c>
      <c r="N3">
        <v>0</v>
      </c>
      <c r="O3">
        <v>0</v>
      </c>
      <c r="P3">
        <v>0</v>
      </c>
      <c r="Q3">
        <v>0</v>
      </c>
      <c r="R3">
        <v>0</v>
      </c>
      <c r="S3">
        <v>0</v>
      </c>
      <c r="T3">
        <v>0</v>
      </c>
      <c r="U3">
        <v>0</v>
      </c>
      <c r="V3">
        <v>0</v>
      </c>
      <c r="W3">
        <v>0</v>
      </c>
      <c r="X3">
        <v>0</v>
      </c>
      <c r="Y3">
        <v>0</v>
      </c>
      <c r="Z3">
        <v>0</v>
      </c>
      <c r="AA3">
        <v>0</v>
      </c>
      <c r="AB3">
        <v>0</v>
      </c>
      <c r="AC3">
        <v>0</v>
      </c>
      <c r="AD3">
        <v>0</v>
      </c>
      <c r="AE3">
        <v>0</v>
      </c>
    </row>
    <row r="4" spans="1:31">
      <c r="A4" t="s">
        <v>17</v>
      </c>
      <c r="B4">
        <v>0</v>
      </c>
      <c r="C4">
        <v>0</v>
      </c>
      <c r="D4">
        <v>0</v>
      </c>
      <c r="E4">
        <v>0</v>
      </c>
      <c r="F4">
        <v>0</v>
      </c>
      <c r="G4">
        <v>0</v>
      </c>
      <c r="H4">
        <v>0</v>
      </c>
      <c r="I4">
        <v>0</v>
      </c>
      <c r="J4">
        <v>0</v>
      </c>
      <c r="K4">
        <v>0</v>
      </c>
      <c r="L4">
        <v>0</v>
      </c>
      <c r="M4">
        <v>0</v>
      </c>
      <c r="N4">
        <v>0</v>
      </c>
      <c r="O4">
        <v>0</v>
      </c>
      <c r="P4">
        <v>0</v>
      </c>
      <c r="Q4">
        <v>0</v>
      </c>
      <c r="R4">
        <v>0</v>
      </c>
      <c r="S4">
        <v>0</v>
      </c>
      <c r="T4">
        <v>0</v>
      </c>
      <c r="U4">
        <v>0</v>
      </c>
      <c r="V4">
        <v>0</v>
      </c>
      <c r="W4">
        <v>0</v>
      </c>
      <c r="X4">
        <v>0</v>
      </c>
      <c r="Y4">
        <v>0</v>
      </c>
      <c r="Z4">
        <v>0</v>
      </c>
      <c r="AA4">
        <v>0</v>
      </c>
      <c r="AB4">
        <v>0</v>
      </c>
      <c r="AC4">
        <v>0</v>
      </c>
      <c r="AD4">
        <v>0</v>
      </c>
      <c r="AE4">
        <v>0</v>
      </c>
    </row>
    <row r="5" spans="1:31">
      <c r="A5" t="s">
        <v>18</v>
      </c>
      <c r="B5">
        <v>0</v>
      </c>
      <c r="C5">
        <v>0</v>
      </c>
      <c r="D5">
        <v>0</v>
      </c>
      <c r="E5">
        <v>0</v>
      </c>
      <c r="F5">
        <v>0</v>
      </c>
      <c r="G5">
        <v>0</v>
      </c>
      <c r="H5">
        <v>0</v>
      </c>
      <c r="I5">
        <v>0</v>
      </c>
      <c r="J5">
        <v>0</v>
      </c>
      <c r="K5">
        <v>0</v>
      </c>
      <c r="L5">
        <v>0</v>
      </c>
      <c r="M5">
        <v>0</v>
      </c>
      <c r="N5">
        <v>0</v>
      </c>
      <c r="O5">
        <v>0</v>
      </c>
      <c r="P5">
        <v>0</v>
      </c>
      <c r="Q5">
        <v>0</v>
      </c>
      <c r="R5">
        <v>0</v>
      </c>
      <c r="S5">
        <v>0</v>
      </c>
      <c r="T5">
        <v>0</v>
      </c>
      <c r="U5">
        <v>0</v>
      </c>
      <c r="V5">
        <v>0</v>
      </c>
      <c r="W5">
        <v>0</v>
      </c>
      <c r="X5">
        <v>0</v>
      </c>
      <c r="Y5">
        <v>0</v>
      </c>
      <c r="Z5">
        <v>0</v>
      </c>
      <c r="AA5">
        <v>0</v>
      </c>
      <c r="AB5">
        <v>0</v>
      </c>
      <c r="AC5">
        <v>0</v>
      </c>
      <c r="AD5">
        <v>0</v>
      </c>
      <c r="AE5">
        <v>0</v>
      </c>
    </row>
    <row r="6" spans="1:31">
      <c r="A6" t="s">
        <v>19</v>
      </c>
      <c r="B6">
        <v>0</v>
      </c>
      <c r="C6">
        <v>0</v>
      </c>
      <c r="D6">
        <v>0</v>
      </c>
      <c r="E6">
        <v>0</v>
      </c>
      <c r="F6">
        <v>0</v>
      </c>
      <c r="G6">
        <v>0</v>
      </c>
      <c r="H6">
        <v>0</v>
      </c>
      <c r="I6">
        <v>0</v>
      </c>
      <c r="J6">
        <v>0</v>
      </c>
      <c r="K6">
        <v>0</v>
      </c>
      <c r="L6">
        <v>0</v>
      </c>
      <c r="M6">
        <v>0</v>
      </c>
      <c r="N6">
        <v>0</v>
      </c>
      <c r="O6">
        <v>0</v>
      </c>
      <c r="P6">
        <v>0</v>
      </c>
      <c r="Q6">
        <v>0</v>
      </c>
      <c r="R6">
        <v>0</v>
      </c>
      <c r="S6">
        <v>0</v>
      </c>
      <c r="T6">
        <v>0</v>
      </c>
      <c r="U6">
        <v>0</v>
      </c>
      <c r="V6">
        <v>0</v>
      </c>
      <c r="W6">
        <v>0</v>
      </c>
      <c r="X6">
        <v>0</v>
      </c>
      <c r="Y6">
        <v>0</v>
      </c>
      <c r="Z6">
        <v>0</v>
      </c>
      <c r="AA6">
        <v>0</v>
      </c>
      <c r="AB6">
        <v>0</v>
      </c>
      <c r="AC6">
        <v>0</v>
      </c>
      <c r="AD6">
        <v>0</v>
      </c>
      <c r="AE6">
        <v>0</v>
      </c>
    </row>
    <row r="7" spans="1:31">
      <c r="A7" t="s">
        <v>21</v>
      </c>
      <c r="B7">
        <v>0</v>
      </c>
      <c r="C7">
        <v>0</v>
      </c>
      <c r="D7">
        <v>0</v>
      </c>
      <c r="E7">
        <v>0</v>
      </c>
      <c r="F7">
        <v>0</v>
      </c>
      <c r="G7">
        <v>0</v>
      </c>
      <c r="H7">
        <v>0</v>
      </c>
      <c r="I7">
        <v>0</v>
      </c>
      <c r="J7">
        <v>0</v>
      </c>
      <c r="K7">
        <v>0</v>
      </c>
      <c r="L7">
        <v>0</v>
      </c>
      <c r="M7">
        <v>0</v>
      </c>
      <c r="N7">
        <v>0</v>
      </c>
      <c r="O7">
        <v>0</v>
      </c>
      <c r="P7">
        <v>0</v>
      </c>
      <c r="Q7">
        <v>0</v>
      </c>
      <c r="R7">
        <v>0</v>
      </c>
      <c r="S7">
        <v>0</v>
      </c>
      <c r="T7">
        <v>0</v>
      </c>
      <c r="U7">
        <v>0</v>
      </c>
      <c r="V7">
        <v>0</v>
      </c>
      <c r="W7">
        <v>0</v>
      </c>
      <c r="X7">
        <v>0</v>
      </c>
      <c r="Y7">
        <v>0</v>
      </c>
      <c r="Z7">
        <v>0</v>
      </c>
      <c r="AA7">
        <v>0</v>
      </c>
      <c r="AB7">
        <v>0</v>
      </c>
      <c r="AC7">
        <v>0</v>
      </c>
      <c r="AD7">
        <v>0</v>
      </c>
      <c r="AE7">
        <v>0</v>
      </c>
    </row>
    <row r="8" spans="1:31">
      <c r="A8" t="s">
        <v>20</v>
      </c>
      <c r="B8">
        <v>0</v>
      </c>
      <c r="C8">
        <v>0</v>
      </c>
      <c r="D8">
        <v>0</v>
      </c>
      <c r="E8">
        <v>0</v>
      </c>
      <c r="F8">
        <v>0</v>
      </c>
      <c r="G8">
        <v>0</v>
      </c>
      <c r="H8">
        <v>0</v>
      </c>
      <c r="I8">
        <v>0</v>
      </c>
      <c r="J8">
        <v>0</v>
      </c>
      <c r="K8">
        <v>0</v>
      </c>
      <c r="L8">
        <v>0</v>
      </c>
      <c r="M8">
        <v>0</v>
      </c>
      <c r="N8">
        <v>0</v>
      </c>
      <c r="O8">
        <v>0</v>
      </c>
      <c r="P8">
        <v>0</v>
      </c>
      <c r="Q8">
        <v>0</v>
      </c>
      <c r="R8">
        <v>0</v>
      </c>
      <c r="S8">
        <v>0</v>
      </c>
      <c r="T8">
        <v>0</v>
      </c>
      <c r="U8">
        <v>0</v>
      </c>
      <c r="V8">
        <v>0</v>
      </c>
      <c r="W8">
        <v>0</v>
      </c>
      <c r="X8">
        <v>0</v>
      </c>
      <c r="Y8">
        <v>0</v>
      </c>
      <c r="Z8">
        <v>0</v>
      </c>
      <c r="AA8">
        <v>0</v>
      </c>
      <c r="AB8">
        <v>0</v>
      </c>
      <c r="AC8">
        <v>0</v>
      </c>
      <c r="AD8">
        <v>0</v>
      </c>
      <c r="AE8">
        <v>0</v>
      </c>
    </row>
    <row r="9" spans="1:31">
      <c r="A9" t="s">
        <v>82</v>
      </c>
      <c r="B9">
        <v>0</v>
      </c>
      <c r="C9">
        <v>0</v>
      </c>
      <c r="D9">
        <v>0</v>
      </c>
      <c r="E9">
        <v>0</v>
      </c>
      <c r="F9">
        <v>0</v>
      </c>
      <c r="G9">
        <v>0</v>
      </c>
      <c r="H9">
        <v>0</v>
      </c>
      <c r="I9">
        <v>0</v>
      </c>
      <c r="J9">
        <v>0</v>
      </c>
      <c r="K9">
        <v>0</v>
      </c>
      <c r="L9">
        <v>0</v>
      </c>
      <c r="M9">
        <v>0</v>
      </c>
      <c r="N9">
        <v>0</v>
      </c>
      <c r="O9">
        <v>0</v>
      </c>
      <c r="P9">
        <v>0</v>
      </c>
      <c r="Q9">
        <v>0</v>
      </c>
      <c r="R9">
        <v>0</v>
      </c>
      <c r="S9">
        <v>0</v>
      </c>
      <c r="T9">
        <v>0</v>
      </c>
      <c r="U9">
        <v>0</v>
      </c>
      <c r="V9">
        <v>0</v>
      </c>
      <c r="W9">
        <v>0</v>
      </c>
      <c r="X9">
        <v>0</v>
      </c>
      <c r="Y9">
        <v>0</v>
      </c>
      <c r="Z9">
        <v>0</v>
      </c>
      <c r="AA9">
        <v>0</v>
      </c>
      <c r="AB9">
        <v>0</v>
      </c>
      <c r="AC9">
        <v>0</v>
      </c>
      <c r="AD9">
        <v>0</v>
      </c>
      <c r="AE9">
        <v>0</v>
      </c>
    </row>
    <row r="10" spans="1:31">
      <c r="A10" t="s">
        <v>83</v>
      </c>
      <c r="B10">
        <v>0</v>
      </c>
      <c r="C10">
        <v>0</v>
      </c>
      <c r="D10">
        <v>0</v>
      </c>
      <c r="E10">
        <v>0</v>
      </c>
      <c r="F10">
        <v>0</v>
      </c>
      <c r="G10">
        <v>0</v>
      </c>
      <c r="H10">
        <v>0</v>
      </c>
      <c r="I10">
        <v>0</v>
      </c>
      <c r="J10">
        <v>0</v>
      </c>
      <c r="K10">
        <v>0</v>
      </c>
      <c r="L10">
        <v>0</v>
      </c>
      <c r="M10">
        <v>0</v>
      </c>
      <c r="N10">
        <v>0</v>
      </c>
      <c r="O10">
        <v>0</v>
      </c>
      <c r="P10">
        <v>0</v>
      </c>
      <c r="Q10">
        <v>0</v>
      </c>
      <c r="R10">
        <v>0</v>
      </c>
      <c r="S10">
        <v>0</v>
      </c>
      <c r="T10">
        <v>0</v>
      </c>
      <c r="U10">
        <v>0</v>
      </c>
      <c r="V10">
        <v>0</v>
      </c>
      <c r="W10">
        <v>0</v>
      </c>
      <c r="X10">
        <v>0</v>
      </c>
      <c r="Y10">
        <v>0</v>
      </c>
      <c r="Z10">
        <v>0</v>
      </c>
      <c r="AA10">
        <v>0</v>
      </c>
      <c r="AB10">
        <v>0</v>
      </c>
      <c r="AC10">
        <v>0</v>
      </c>
      <c r="AD10">
        <v>0</v>
      </c>
      <c r="AE10">
        <v>0</v>
      </c>
    </row>
    <row r="11" spans="1:31">
      <c r="A11" t="s">
        <v>84</v>
      </c>
      <c r="B11">
        <v>1</v>
      </c>
      <c r="C11">
        <v>1</v>
      </c>
      <c r="D11">
        <v>1</v>
      </c>
      <c r="E11">
        <v>1</v>
      </c>
      <c r="F11">
        <v>1</v>
      </c>
      <c r="G11">
        <v>1</v>
      </c>
      <c r="H11">
        <v>1</v>
      </c>
      <c r="I11">
        <v>1</v>
      </c>
      <c r="J11">
        <v>1</v>
      </c>
      <c r="K11">
        <v>1</v>
      </c>
      <c r="L11">
        <v>1</v>
      </c>
      <c r="M11">
        <v>1</v>
      </c>
      <c r="N11">
        <v>1</v>
      </c>
      <c r="O11">
        <v>1</v>
      </c>
      <c r="P11">
        <v>1</v>
      </c>
      <c r="Q11">
        <v>1</v>
      </c>
      <c r="R11">
        <v>1</v>
      </c>
      <c r="S11">
        <v>1</v>
      </c>
      <c r="T11">
        <v>1</v>
      </c>
      <c r="U11">
        <v>1</v>
      </c>
      <c r="V11">
        <v>1</v>
      </c>
      <c r="W11">
        <v>1</v>
      </c>
      <c r="X11">
        <v>1</v>
      </c>
      <c r="Y11">
        <v>1</v>
      </c>
      <c r="Z11">
        <v>1</v>
      </c>
      <c r="AA11">
        <v>1</v>
      </c>
      <c r="AB11">
        <v>1</v>
      </c>
      <c r="AC11">
        <v>1</v>
      </c>
      <c r="AD11">
        <v>1</v>
      </c>
      <c r="AE11">
        <v>1</v>
      </c>
    </row>
  </sheetData>
  <pageMargins left="0.7" right="0.7" top="0.75" bottom="0.75" header="0.3" footer="0.3"/>
</worksheet>
</file>

<file path=xl/worksheets/sheet7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3D00-000000000000}">
  <sheetPr>
    <tabColor rgb="FFFF0000"/>
  </sheetPr>
  <dimension ref="A1"/>
  <sheetViews>
    <sheetView workbookViewId="0"/>
  </sheetViews>
  <sheetFormatPr defaultRowHeight="14.25"/>
  <sheetData/>
  <pageMargins left="0.7" right="0.7" top="0.75" bottom="0.75" header="0.3" footer="0.3"/>
</worksheet>
</file>

<file path=xl/worksheets/sheet7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3E00-000000000000}">
  <sheetPr>
    <tabColor theme="3"/>
  </sheetPr>
  <dimension ref="A1:AE11"/>
  <sheetViews>
    <sheetView workbookViewId="0"/>
  </sheetViews>
  <sheetFormatPr defaultRowHeight="14.25"/>
  <cols>
    <col min="1" max="1" width="22.53125" customWidth="1"/>
  </cols>
  <sheetData>
    <row r="1" spans="1:31" ht="28.5">
      <c r="A1" s="10" t="s">
        <v>85</v>
      </c>
      <c r="B1">
        <v>2021</v>
      </c>
      <c r="C1">
        <v>2022</v>
      </c>
      <c r="D1">
        <v>2023</v>
      </c>
      <c r="E1">
        <v>2024</v>
      </c>
      <c r="F1">
        <v>2025</v>
      </c>
      <c r="G1">
        <v>2026</v>
      </c>
      <c r="H1">
        <v>2027</v>
      </c>
      <c r="I1">
        <v>2028</v>
      </c>
      <c r="J1">
        <v>2029</v>
      </c>
      <c r="K1">
        <v>2030</v>
      </c>
      <c r="L1">
        <v>2031</v>
      </c>
      <c r="M1">
        <v>2032</v>
      </c>
      <c r="N1">
        <v>2033</v>
      </c>
      <c r="O1">
        <v>2034</v>
      </c>
      <c r="P1">
        <v>2035</v>
      </c>
      <c r="Q1">
        <v>2036</v>
      </c>
      <c r="R1">
        <v>2037</v>
      </c>
      <c r="S1">
        <v>2038</v>
      </c>
      <c r="T1">
        <v>2039</v>
      </c>
      <c r="U1">
        <v>2040</v>
      </c>
      <c r="V1">
        <v>2041</v>
      </c>
      <c r="W1">
        <v>2042</v>
      </c>
      <c r="X1">
        <v>2043</v>
      </c>
      <c r="Y1">
        <v>2044</v>
      </c>
      <c r="Z1">
        <v>2045</v>
      </c>
      <c r="AA1">
        <v>2046</v>
      </c>
      <c r="AB1">
        <v>2047</v>
      </c>
      <c r="AC1">
        <v>2048</v>
      </c>
      <c r="AD1">
        <v>2049</v>
      </c>
      <c r="AE1">
        <v>2050</v>
      </c>
    </row>
    <row r="2" spans="1:31">
      <c r="A2" t="s">
        <v>15</v>
      </c>
      <c r="B2">
        <v>1</v>
      </c>
      <c r="C2">
        <v>1</v>
      </c>
      <c r="D2">
        <v>1</v>
      </c>
      <c r="E2">
        <v>1</v>
      </c>
      <c r="F2">
        <v>1</v>
      </c>
      <c r="G2">
        <v>1</v>
      </c>
      <c r="H2">
        <v>1</v>
      </c>
      <c r="I2">
        <v>1</v>
      </c>
      <c r="J2">
        <v>1</v>
      </c>
      <c r="K2">
        <v>1</v>
      </c>
      <c r="L2">
        <v>1</v>
      </c>
      <c r="M2">
        <v>1</v>
      </c>
      <c r="N2">
        <v>1</v>
      </c>
      <c r="O2">
        <v>1</v>
      </c>
      <c r="P2">
        <v>1</v>
      </c>
      <c r="Q2">
        <v>1</v>
      </c>
      <c r="R2">
        <v>1</v>
      </c>
      <c r="S2">
        <v>1</v>
      </c>
      <c r="T2">
        <v>1</v>
      </c>
      <c r="U2">
        <v>1</v>
      </c>
      <c r="V2">
        <v>1</v>
      </c>
      <c r="W2">
        <v>1</v>
      </c>
      <c r="X2">
        <v>1</v>
      </c>
      <c r="Y2">
        <v>1</v>
      </c>
      <c r="Z2">
        <v>1</v>
      </c>
      <c r="AA2">
        <v>1</v>
      </c>
      <c r="AB2">
        <v>1</v>
      </c>
      <c r="AC2">
        <v>1</v>
      </c>
      <c r="AD2">
        <v>1</v>
      </c>
      <c r="AE2">
        <v>1</v>
      </c>
    </row>
    <row r="3" spans="1:31">
      <c r="A3" t="s">
        <v>16</v>
      </c>
      <c r="B3">
        <v>0</v>
      </c>
      <c r="C3">
        <v>0</v>
      </c>
      <c r="D3">
        <v>0</v>
      </c>
      <c r="E3">
        <v>0</v>
      </c>
      <c r="F3">
        <v>0</v>
      </c>
      <c r="G3">
        <v>0</v>
      </c>
      <c r="H3">
        <v>0</v>
      </c>
      <c r="I3">
        <v>0</v>
      </c>
      <c r="J3">
        <v>0</v>
      </c>
      <c r="K3">
        <v>0</v>
      </c>
      <c r="L3">
        <v>0</v>
      </c>
      <c r="M3">
        <v>0</v>
      </c>
      <c r="N3">
        <v>0</v>
      </c>
      <c r="O3">
        <v>0</v>
      </c>
      <c r="P3">
        <v>0</v>
      </c>
      <c r="Q3">
        <v>0</v>
      </c>
      <c r="R3">
        <v>0</v>
      </c>
      <c r="S3">
        <v>0</v>
      </c>
      <c r="T3">
        <v>0</v>
      </c>
      <c r="U3">
        <v>0</v>
      </c>
      <c r="V3">
        <v>0</v>
      </c>
      <c r="W3">
        <v>0</v>
      </c>
      <c r="X3">
        <v>0</v>
      </c>
      <c r="Y3">
        <v>0</v>
      </c>
      <c r="Z3">
        <v>0</v>
      </c>
      <c r="AA3">
        <v>0</v>
      </c>
      <c r="AB3">
        <v>0</v>
      </c>
      <c r="AC3">
        <v>0</v>
      </c>
      <c r="AD3">
        <v>0</v>
      </c>
      <c r="AE3">
        <v>0</v>
      </c>
    </row>
    <row r="4" spans="1:31">
      <c r="A4" t="s">
        <v>17</v>
      </c>
      <c r="B4">
        <v>0</v>
      </c>
      <c r="C4">
        <v>0</v>
      </c>
      <c r="D4">
        <v>0</v>
      </c>
      <c r="E4">
        <v>0</v>
      </c>
      <c r="F4">
        <v>0</v>
      </c>
      <c r="G4">
        <v>0</v>
      </c>
      <c r="H4">
        <v>0</v>
      </c>
      <c r="I4">
        <v>0</v>
      </c>
      <c r="J4">
        <v>0</v>
      </c>
      <c r="K4">
        <v>0</v>
      </c>
      <c r="L4">
        <v>0</v>
      </c>
      <c r="M4">
        <v>0</v>
      </c>
      <c r="N4">
        <v>0</v>
      </c>
      <c r="O4">
        <v>0</v>
      </c>
      <c r="P4">
        <v>0</v>
      </c>
      <c r="Q4">
        <v>0</v>
      </c>
      <c r="R4">
        <v>0</v>
      </c>
      <c r="S4">
        <v>0</v>
      </c>
      <c r="T4">
        <v>0</v>
      </c>
      <c r="U4">
        <v>0</v>
      </c>
      <c r="V4">
        <v>0</v>
      </c>
      <c r="W4">
        <v>0</v>
      </c>
      <c r="X4">
        <v>0</v>
      </c>
      <c r="Y4">
        <v>0</v>
      </c>
      <c r="Z4">
        <v>0</v>
      </c>
      <c r="AA4">
        <v>0</v>
      </c>
      <c r="AB4">
        <v>0</v>
      </c>
      <c r="AC4">
        <v>0</v>
      </c>
      <c r="AD4">
        <v>0</v>
      </c>
      <c r="AE4">
        <v>0</v>
      </c>
    </row>
    <row r="5" spans="1:31">
      <c r="A5" t="s">
        <v>18</v>
      </c>
      <c r="B5">
        <v>0</v>
      </c>
      <c r="C5">
        <v>0</v>
      </c>
      <c r="D5">
        <v>0</v>
      </c>
      <c r="E5">
        <v>0</v>
      </c>
      <c r="F5">
        <v>0</v>
      </c>
      <c r="G5">
        <v>0</v>
      </c>
      <c r="H5">
        <v>0</v>
      </c>
      <c r="I5">
        <v>0</v>
      </c>
      <c r="J5">
        <v>0</v>
      </c>
      <c r="K5">
        <v>0</v>
      </c>
      <c r="L5">
        <v>0</v>
      </c>
      <c r="M5">
        <v>0</v>
      </c>
      <c r="N5">
        <v>0</v>
      </c>
      <c r="O5">
        <v>0</v>
      </c>
      <c r="P5">
        <v>0</v>
      </c>
      <c r="Q5">
        <v>0</v>
      </c>
      <c r="R5">
        <v>0</v>
      </c>
      <c r="S5">
        <v>0</v>
      </c>
      <c r="T5">
        <v>0</v>
      </c>
      <c r="U5">
        <v>0</v>
      </c>
      <c r="V5">
        <v>0</v>
      </c>
      <c r="W5">
        <v>0</v>
      </c>
      <c r="X5">
        <v>0</v>
      </c>
      <c r="Y5">
        <v>0</v>
      </c>
      <c r="Z5">
        <v>0</v>
      </c>
      <c r="AA5">
        <v>0</v>
      </c>
      <c r="AB5">
        <v>0</v>
      </c>
      <c r="AC5">
        <v>0</v>
      </c>
      <c r="AD5">
        <v>0</v>
      </c>
      <c r="AE5">
        <v>0</v>
      </c>
    </row>
    <row r="6" spans="1:31">
      <c r="A6" t="s">
        <v>19</v>
      </c>
      <c r="B6">
        <v>0</v>
      </c>
      <c r="C6">
        <v>0</v>
      </c>
      <c r="D6">
        <v>0</v>
      </c>
      <c r="E6">
        <v>0</v>
      </c>
      <c r="F6">
        <v>0</v>
      </c>
      <c r="G6">
        <v>0</v>
      </c>
      <c r="H6">
        <v>0</v>
      </c>
      <c r="I6">
        <v>0</v>
      </c>
      <c r="J6">
        <v>0</v>
      </c>
      <c r="K6">
        <v>0</v>
      </c>
      <c r="L6">
        <v>0</v>
      </c>
      <c r="M6">
        <v>0</v>
      </c>
      <c r="N6">
        <v>0</v>
      </c>
      <c r="O6">
        <v>0</v>
      </c>
      <c r="P6">
        <v>0</v>
      </c>
      <c r="Q6">
        <v>0</v>
      </c>
      <c r="R6">
        <v>0</v>
      </c>
      <c r="S6">
        <v>0</v>
      </c>
      <c r="T6">
        <v>0</v>
      </c>
      <c r="U6">
        <v>0</v>
      </c>
      <c r="V6">
        <v>0</v>
      </c>
      <c r="W6">
        <v>0</v>
      </c>
      <c r="X6">
        <v>0</v>
      </c>
      <c r="Y6">
        <v>0</v>
      </c>
      <c r="Z6">
        <v>0</v>
      </c>
      <c r="AA6">
        <v>0</v>
      </c>
      <c r="AB6">
        <v>0</v>
      </c>
      <c r="AC6">
        <v>0</v>
      </c>
      <c r="AD6">
        <v>0</v>
      </c>
      <c r="AE6">
        <v>0</v>
      </c>
    </row>
    <row r="7" spans="1:31">
      <c r="A7" t="s">
        <v>21</v>
      </c>
      <c r="B7">
        <v>0</v>
      </c>
      <c r="C7">
        <v>0</v>
      </c>
      <c r="D7">
        <v>0</v>
      </c>
      <c r="E7">
        <v>0</v>
      </c>
      <c r="F7">
        <v>0</v>
      </c>
      <c r="G7">
        <v>0</v>
      </c>
      <c r="H7">
        <v>0</v>
      </c>
      <c r="I7">
        <v>0</v>
      </c>
      <c r="J7">
        <v>0</v>
      </c>
      <c r="K7">
        <v>0</v>
      </c>
      <c r="L7">
        <v>0</v>
      </c>
      <c r="M7">
        <v>0</v>
      </c>
      <c r="N7">
        <v>0</v>
      </c>
      <c r="O7">
        <v>0</v>
      </c>
      <c r="P7">
        <v>0</v>
      </c>
      <c r="Q7">
        <v>0</v>
      </c>
      <c r="R7">
        <v>0</v>
      </c>
      <c r="S7">
        <v>0</v>
      </c>
      <c r="T7">
        <v>0</v>
      </c>
      <c r="U7">
        <v>0</v>
      </c>
      <c r="V7">
        <v>0</v>
      </c>
      <c r="W7">
        <v>0</v>
      </c>
      <c r="X7">
        <v>0</v>
      </c>
      <c r="Y7">
        <v>0</v>
      </c>
      <c r="Z7">
        <v>0</v>
      </c>
      <c r="AA7">
        <v>0</v>
      </c>
      <c r="AB7">
        <v>0</v>
      </c>
      <c r="AC7">
        <v>0</v>
      </c>
      <c r="AD7">
        <v>0</v>
      </c>
      <c r="AE7">
        <v>0</v>
      </c>
    </row>
    <row r="8" spans="1:31">
      <c r="A8" t="s">
        <v>20</v>
      </c>
      <c r="B8">
        <v>0</v>
      </c>
      <c r="C8">
        <v>0</v>
      </c>
      <c r="D8">
        <v>0</v>
      </c>
      <c r="E8">
        <v>0</v>
      </c>
      <c r="F8">
        <v>0</v>
      </c>
      <c r="G8">
        <v>0</v>
      </c>
      <c r="H8">
        <v>0</v>
      </c>
      <c r="I8">
        <v>0</v>
      </c>
      <c r="J8">
        <v>0</v>
      </c>
      <c r="K8">
        <v>0</v>
      </c>
      <c r="L8">
        <v>0</v>
      </c>
      <c r="M8">
        <v>0</v>
      </c>
      <c r="N8">
        <v>0</v>
      </c>
      <c r="O8">
        <v>0</v>
      </c>
      <c r="P8">
        <v>0</v>
      </c>
      <c r="Q8">
        <v>0</v>
      </c>
      <c r="R8">
        <v>0</v>
      </c>
      <c r="S8">
        <v>0</v>
      </c>
      <c r="T8">
        <v>0</v>
      </c>
      <c r="U8">
        <v>0</v>
      </c>
      <c r="V8">
        <v>0</v>
      </c>
      <c r="W8">
        <v>0</v>
      </c>
      <c r="X8">
        <v>0</v>
      </c>
      <c r="Y8">
        <v>0</v>
      </c>
      <c r="Z8">
        <v>0</v>
      </c>
      <c r="AA8">
        <v>0</v>
      </c>
      <c r="AB8">
        <v>0</v>
      </c>
      <c r="AC8">
        <v>0</v>
      </c>
      <c r="AD8">
        <v>0</v>
      </c>
      <c r="AE8">
        <v>0</v>
      </c>
    </row>
    <row r="9" spans="1:31">
      <c r="A9" t="s">
        <v>82</v>
      </c>
      <c r="B9">
        <v>0</v>
      </c>
      <c r="C9">
        <v>0</v>
      </c>
      <c r="D9">
        <v>0</v>
      </c>
      <c r="E9">
        <v>0</v>
      </c>
      <c r="F9">
        <v>0</v>
      </c>
      <c r="G9">
        <v>0</v>
      </c>
      <c r="H9">
        <v>0</v>
      </c>
      <c r="I9">
        <v>0</v>
      </c>
      <c r="J9">
        <v>0</v>
      </c>
      <c r="K9">
        <v>0</v>
      </c>
      <c r="L9">
        <v>0</v>
      </c>
      <c r="M9">
        <v>0</v>
      </c>
      <c r="N9">
        <v>0</v>
      </c>
      <c r="O9">
        <v>0</v>
      </c>
      <c r="P9">
        <v>0</v>
      </c>
      <c r="Q9">
        <v>0</v>
      </c>
      <c r="R9">
        <v>0</v>
      </c>
      <c r="S9">
        <v>0</v>
      </c>
      <c r="T9">
        <v>0</v>
      </c>
      <c r="U9">
        <v>0</v>
      </c>
      <c r="V9">
        <v>0</v>
      </c>
      <c r="W9">
        <v>0</v>
      </c>
      <c r="X9">
        <v>0</v>
      </c>
      <c r="Y9">
        <v>0</v>
      </c>
      <c r="Z9">
        <v>0</v>
      </c>
      <c r="AA9">
        <v>0</v>
      </c>
      <c r="AB9">
        <v>0</v>
      </c>
      <c r="AC9">
        <v>0</v>
      </c>
      <c r="AD9">
        <v>0</v>
      </c>
      <c r="AE9">
        <v>0</v>
      </c>
    </row>
    <row r="10" spans="1:31">
      <c r="A10" t="s">
        <v>83</v>
      </c>
      <c r="B10">
        <v>0</v>
      </c>
      <c r="C10">
        <v>0</v>
      </c>
      <c r="D10">
        <v>0</v>
      </c>
      <c r="E10">
        <v>0</v>
      </c>
      <c r="F10">
        <v>0</v>
      </c>
      <c r="G10">
        <v>0</v>
      </c>
      <c r="H10">
        <v>0</v>
      </c>
      <c r="I10">
        <v>0</v>
      </c>
      <c r="J10">
        <v>0</v>
      </c>
      <c r="K10">
        <v>0</v>
      </c>
      <c r="L10">
        <v>0</v>
      </c>
      <c r="M10">
        <v>0</v>
      </c>
      <c r="N10">
        <v>0</v>
      </c>
      <c r="O10">
        <v>0</v>
      </c>
      <c r="P10">
        <v>0</v>
      </c>
      <c r="Q10">
        <v>0</v>
      </c>
      <c r="R10">
        <v>0</v>
      </c>
      <c r="S10">
        <v>0</v>
      </c>
      <c r="T10">
        <v>0</v>
      </c>
      <c r="U10">
        <v>0</v>
      </c>
      <c r="V10">
        <v>0</v>
      </c>
      <c r="W10">
        <v>0</v>
      </c>
      <c r="X10">
        <v>0</v>
      </c>
      <c r="Y10">
        <v>0</v>
      </c>
      <c r="Z10">
        <v>0</v>
      </c>
      <c r="AA10">
        <v>0</v>
      </c>
      <c r="AB10">
        <v>0</v>
      </c>
      <c r="AC10">
        <v>0</v>
      </c>
      <c r="AD10">
        <v>0</v>
      </c>
      <c r="AE10">
        <v>0</v>
      </c>
    </row>
    <row r="11" spans="1:31">
      <c r="A11" t="s">
        <v>84</v>
      </c>
      <c r="B11">
        <v>0</v>
      </c>
      <c r="C11">
        <v>0</v>
      </c>
      <c r="D11">
        <v>0</v>
      </c>
      <c r="E11">
        <v>0</v>
      </c>
      <c r="F11">
        <v>0</v>
      </c>
      <c r="G11">
        <v>0</v>
      </c>
      <c r="H11">
        <v>0</v>
      </c>
      <c r="I11">
        <v>0</v>
      </c>
      <c r="J11">
        <v>0</v>
      </c>
      <c r="K11">
        <v>0</v>
      </c>
      <c r="L11">
        <v>0</v>
      </c>
      <c r="M11">
        <v>0</v>
      </c>
      <c r="N11">
        <v>0</v>
      </c>
      <c r="O11">
        <v>0</v>
      </c>
      <c r="P11">
        <v>0</v>
      </c>
      <c r="Q11">
        <v>0</v>
      </c>
      <c r="R11">
        <v>0</v>
      </c>
      <c r="S11">
        <v>0</v>
      </c>
      <c r="T11">
        <v>0</v>
      </c>
      <c r="U11">
        <v>0</v>
      </c>
      <c r="V11">
        <v>0</v>
      </c>
      <c r="W11">
        <v>0</v>
      </c>
      <c r="X11">
        <v>0</v>
      </c>
      <c r="Y11">
        <v>0</v>
      </c>
      <c r="Z11">
        <v>0</v>
      </c>
      <c r="AA11">
        <v>0</v>
      </c>
      <c r="AB11">
        <v>0</v>
      </c>
      <c r="AC11">
        <v>0</v>
      </c>
      <c r="AD11">
        <v>0</v>
      </c>
      <c r="AE11">
        <v>0</v>
      </c>
    </row>
  </sheetData>
  <pageMargins left="0.7" right="0.7" top="0.75" bottom="0.75" header="0.3" footer="0.3"/>
</worksheet>
</file>

<file path=xl/worksheets/sheet7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3F00-000000000000}">
  <sheetPr>
    <tabColor theme="3"/>
  </sheetPr>
  <dimension ref="A1:AE11"/>
  <sheetViews>
    <sheetView workbookViewId="0"/>
  </sheetViews>
  <sheetFormatPr defaultRowHeight="14.25"/>
  <cols>
    <col min="1" max="1" width="22.53125" customWidth="1"/>
  </cols>
  <sheetData>
    <row r="1" spans="1:31" ht="28.5">
      <c r="A1" s="10" t="s">
        <v>85</v>
      </c>
      <c r="B1">
        <v>2021</v>
      </c>
      <c r="C1">
        <v>2022</v>
      </c>
      <c r="D1">
        <v>2023</v>
      </c>
      <c r="E1">
        <v>2024</v>
      </c>
      <c r="F1">
        <v>2025</v>
      </c>
      <c r="G1">
        <v>2026</v>
      </c>
      <c r="H1">
        <v>2027</v>
      </c>
      <c r="I1">
        <v>2028</v>
      </c>
      <c r="J1">
        <v>2029</v>
      </c>
      <c r="K1">
        <v>2030</v>
      </c>
      <c r="L1">
        <v>2031</v>
      </c>
      <c r="M1">
        <v>2032</v>
      </c>
      <c r="N1">
        <v>2033</v>
      </c>
      <c r="O1">
        <v>2034</v>
      </c>
      <c r="P1">
        <v>2035</v>
      </c>
      <c r="Q1">
        <v>2036</v>
      </c>
      <c r="R1">
        <v>2037</v>
      </c>
      <c r="S1">
        <v>2038</v>
      </c>
      <c r="T1">
        <v>2039</v>
      </c>
      <c r="U1">
        <v>2040</v>
      </c>
      <c r="V1">
        <v>2041</v>
      </c>
      <c r="W1">
        <v>2042</v>
      </c>
      <c r="X1">
        <v>2043</v>
      </c>
      <c r="Y1">
        <v>2044</v>
      </c>
      <c r="Z1">
        <v>2045</v>
      </c>
      <c r="AA1">
        <v>2046</v>
      </c>
      <c r="AB1">
        <v>2047</v>
      </c>
      <c r="AC1">
        <v>2048</v>
      </c>
      <c r="AD1">
        <v>2049</v>
      </c>
      <c r="AE1">
        <v>2050</v>
      </c>
    </row>
    <row r="2" spans="1:31">
      <c r="A2" t="s">
        <v>15</v>
      </c>
      <c r="B2">
        <v>0</v>
      </c>
      <c r="C2">
        <v>0</v>
      </c>
      <c r="D2">
        <v>0</v>
      </c>
      <c r="E2">
        <v>0</v>
      </c>
      <c r="F2">
        <v>0</v>
      </c>
      <c r="G2">
        <v>0</v>
      </c>
      <c r="H2">
        <v>0</v>
      </c>
      <c r="I2">
        <v>0</v>
      </c>
      <c r="J2">
        <v>0</v>
      </c>
      <c r="K2">
        <v>0</v>
      </c>
      <c r="L2">
        <v>0</v>
      </c>
      <c r="M2">
        <v>0</v>
      </c>
      <c r="N2">
        <v>0</v>
      </c>
      <c r="O2">
        <v>0</v>
      </c>
      <c r="P2">
        <v>0</v>
      </c>
      <c r="Q2">
        <v>0</v>
      </c>
      <c r="R2">
        <v>0</v>
      </c>
      <c r="S2">
        <v>0</v>
      </c>
      <c r="T2">
        <v>0</v>
      </c>
      <c r="U2">
        <v>0</v>
      </c>
      <c r="V2">
        <v>0</v>
      </c>
      <c r="W2">
        <v>0</v>
      </c>
      <c r="X2">
        <v>0</v>
      </c>
      <c r="Y2">
        <v>0</v>
      </c>
      <c r="Z2">
        <v>0</v>
      </c>
      <c r="AA2">
        <v>0</v>
      </c>
      <c r="AB2">
        <v>0</v>
      </c>
      <c r="AC2">
        <v>0</v>
      </c>
      <c r="AD2">
        <v>0</v>
      </c>
      <c r="AE2">
        <v>0</v>
      </c>
    </row>
    <row r="3" spans="1:31">
      <c r="A3" t="s">
        <v>16</v>
      </c>
      <c r="B3">
        <v>1</v>
      </c>
      <c r="C3">
        <v>1</v>
      </c>
      <c r="D3">
        <v>1</v>
      </c>
      <c r="E3">
        <v>1</v>
      </c>
      <c r="F3">
        <v>1</v>
      </c>
      <c r="G3">
        <v>1</v>
      </c>
      <c r="H3">
        <v>1</v>
      </c>
      <c r="I3">
        <v>1</v>
      </c>
      <c r="J3">
        <v>1</v>
      </c>
      <c r="K3">
        <v>1</v>
      </c>
      <c r="L3">
        <v>1</v>
      </c>
      <c r="M3">
        <v>1</v>
      </c>
      <c r="N3">
        <v>1</v>
      </c>
      <c r="O3">
        <v>1</v>
      </c>
      <c r="P3">
        <v>1</v>
      </c>
      <c r="Q3">
        <v>1</v>
      </c>
      <c r="R3">
        <v>1</v>
      </c>
      <c r="S3">
        <v>1</v>
      </c>
      <c r="T3">
        <v>1</v>
      </c>
      <c r="U3">
        <v>1</v>
      </c>
      <c r="V3">
        <v>1</v>
      </c>
      <c r="W3">
        <v>1</v>
      </c>
      <c r="X3">
        <v>1</v>
      </c>
      <c r="Y3">
        <v>1</v>
      </c>
      <c r="Z3">
        <v>1</v>
      </c>
      <c r="AA3">
        <v>1</v>
      </c>
      <c r="AB3">
        <v>1</v>
      </c>
      <c r="AC3">
        <v>1</v>
      </c>
      <c r="AD3">
        <v>1</v>
      </c>
      <c r="AE3">
        <v>1</v>
      </c>
    </row>
    <row r="4" spans="1:31">
      <c r="A4" t="s">
        <v>17</v>
      </c>
      <c r="B4">
        <v>0</v>
      </c>
      <c r="C4">
        <v>0</v>
      </c>
      <c r="D4">
        <v>0</v>
      </c>
      <c r="E4">
        <v>0</v>
      </c>
      <c r="F4">
        <v>0</v>
      </c>
      <c r="G4">
        <v>0</v>
      </c>
      <c r="H4">
        <v>0</v>
      </c>
      <c r="I4">
        <v>0</v>
      </c>
      <c r="J4">
        <v>0</v>
      </c>
      <c r="K4">
        <v>0</v>
      </c>
      <c r="L4">
        <v>0</v>
      </c>
      <c r="M4">
        <v>0</v>
      </c>
      <c r="N4">
        <v>0</v>
      </c>
      <c r="O4">
        <v>0</v>
      </c>
      <c r="P4">
        <v>0</v>
      </c>
      <c r="Q4">
        <v>0</v>
      </c>
      <c r="R4">
        <v>0</v>
      </c>
      <c r="S4">
        <v>0</v>
      </c>
      <c r="T4">
        <v>0</v>
      </c>
      <c r="U4">
        <v>0</v>
      </c>
      <c r="V4">
        <v>0</v>
      </c>
      <c r="W4">
        <v>0</v>
      </c>
      <c r="X4">
        <v>0</v>
      </c>
      <c r="Y4">
        <v>0</v>
      </c>
      <c r="Z4">
        <v>0</v>
      </c>
      <c r="AA4">
        <v>0</v>
      </c>
      <c r="AB4">
        <v>0</v>
      </c>
      <c r="AC4">
        <v>0</v>
      </c>
      <c r="AD4">
        <v>0</v>
      </c>
      <c r="AE4">
        <v>0</v>
      </c>
    </row>
    <row r="5" spans="1:31">
      <c r="A5" t="s">
        <v>18</v>
      </c>
      <c r="B5">
        <v>0</v>
      </c>
      <c r="C5">
        <v>0</v>
      </c>
      <c r="D5">
        <v>0</v>
      </c>
      <c r="E5">
        <v>0</v>
      </c>
      <c r="F5">
        <v>0</v>
      </c>
      <c r="G5">
        <v>0</v>
      </c>
      <c r="H5">
        <v>0</v>
      </c>
      <c r="I5">
        <v>0</v>
      </c>
      <c r="J5">
        <v>0</v>
      </c>
      <c r="K5">
        <v>0</v>
      </c>
      <c r="L5">
        <v>0</v>
      </c>
      <c r="M5">
        <v>0</v>
      </c>
      <c r="N5">
        <v>0</v>
      </c>
      <c r="O5">
        <v>0</v>
      </c>
      <c r="P5">
        <v>0</v>
      </c>
      <c r="Q5">
        <v>0</v>
      </c>
      <c r="R5">
        <v>0</v>
      </c>
      <c r="S5">
        <v>0</v>
      </c>
      <c r="T5">
        <v>0</v>
      </c>
      <c r="U5">
        <v>0</v>
      </c>
      <c r="V5">
        <v>0</v>
      </c>
      <c r="W5">
        <v>0</v>
      </c>
      <c r="X5">
        <v>0</v>
      </c>
      <c r="Y5">
        <v>0</v>
      </c>
      <c r="Z5">
        <v>0</v>
      </c>
      <c r="AA5">
        <v>0</v>
      </c>
      <c r="AB5">
        <v>0</v>
      </c>
      <c r="AC5">
        <v>0</v>
      </c>
      <c r="AD5">
        <v>0</v>
      </c>
      <c r="AE5">
        <v>0</v>
      </c>
    </row>
    <row r="6" spans="1:31">
      <c r="A6" t="s">
        <v>19</v>
      </c>
      <c r="B6">
        <v>0</v>
      </c>
      <c r="C6">
        <v>0</v>
      </c>
      <c r="D6">
        <v>0</v>
      </c>
      <c r="E6">
        <v>0</v>
      </c>
      <c r="F6">
        <v>0</v>
      </c>
      <c r="G6">
        <v>0</v>
      </c>
      <c r="H6">
        <v>0</v>
      </c>
      <c r="I6">
        <v>0</v>
      </c>
      <c r="J6">
        <v>0</v>
      </c>
      <c r="K6">
        <v>0</v>
      </c>
      <c r="L6">
        <v>0</v>
      </c>
      <c r="M6">
        <v>0</v>
      </c>
      <c r="N6">
        <v>0</v>
      </c>
      <c r="O6">
        <v>0</v>
      </c>
      <c r="P6">
        <v>0</v>
      </c>
      <c r="Q6">
        <v>0</v>
      </c>
      <c r="R6">
        <v>0</v>
      </c>
      <c r="S6">
        <v>0</v>
      </c>
      <c r="T6">
        <v>0</v>
      </c>
      <c r="U6">
        <v>0</v>
      </c>
      <c r="V6">
        <v>0</v>
      </c>
      <c r="W6">
        <v>0</v>
      </c>
      <c r="X6">
        <v>0</v>
      </c>
      <c r="Y6">
        <v>0</v>
      </c>
      <c r="Z6">
        <v>0</v>
      </c>
      <c r="AA6">
        <v>0</v>
      </c>
      <c r="AB6">
        <v>0</v>
      </c>
      <c r="AC6">
        <v>0</v>
      </c>
      <c r="AD6">
        <v>0</v>
      </c>
      <c r="AE6">
        <v>0</v>
      </c>
    </row>
    <row r="7" spans="1:31">
      <c r="A7" t="s">
        <v>21</v>
      </c>
      <c r="B7">
        <v>0</v>
      </c>
      <c r="C7">
        <v>0</v>
      </c>
      <c r="D7">
        <v>0</v>
      </c>
      <c r="E7">
        <v>0</v>
      </c>
      <c r="F7">
        <v>0</v>
      </c>
      <c r="G7">
        <v>0</v>
      </c>
      <c r="H7">
        <v>0</v>
      </c>
      <c r="I7">
        <v>0</v>
      </c>
      <c r="J7">
        <v>0</v>
      </c>
      <c r="K7">
        <v>0</v>
      </c>
      <c r="L7">
        <v>0</v>
      </c>
      <c r="M7">
        <v>0</v>
      </c>
      <c r="N7">
        <v>0</v>
      </c>
      <c r="O7">
        <v>0</v>
      </c>
      <c r="P7">
        <v>0</v>
      </c>
      <c r="Q7">
        <v>0</v>
      </c>
      <c r="R7">
        <v>0</v>
      </c>
      <c r="S7">
        <v>0</v>
      </c>
      <c r="T7">
        <v>0</v>
      </c>
      <c r="U7">
        <v>0</v>
      </c>
      <c r="V7">
        <v>0</v>
      </c>
      <c r="W7">
        <v>0</v>
      </c>
      <c r="X7">
        <v>0</v>
      </c>
      <c r="Y7">
        <v>0</v>
      </c>
      <c r="Z7">
        <v>0</v>
      </c>
      <c r="AA7">
        <v>0</v>
      </c>
      <c r="AB7">
        <v>0</v>
      </c>
      <c r="AC7">
        <v>0</v>
      </c>
      <c r="AD7">
        <v>0</v>
      </c>
      <c r="AE7">
        <v>0</v>
      </c>
    </row>
    <row r="8" spans="1:31">
      <c r="A8" t="s">
        <v>20</v>
      </c>
      <c r="B8">
        <v>0</v>
      </c>
      <c r="C8">
        <v>0</v>
      </c>
      <c r="D8">
        <v>0</v>
      </c>
      <c r="E8">
        <v>0</v>
      </c>
      <c r="F8">
        <v>0</v>
      </c>
      <c r="G8">
        <v>0</v>
      </c>
      <c r="H8">
        <v>0</v>
      </c>
      <c r="I8">
        <v>0</v>
      </c>
      <c r="J8">
        <v>0</v>
      </c>
      <c r="K8">
        <v>0</v>
      </c>
      <c r="L8">
        <v>0</v>
      </c>
      <c r="M8">
        <v>0</v>
      </c>
      <c r="N8">
        <v>0</v>
      </c>
      <c r="O8">
        <v>0</v>
      </c>
      <c r="P8">
        <v>0</v>
      </c>
      <c r="Q8">
        <v>0</v>
      </c>
      <c r="R8">
        <v>0</v>
      </c>
      <c r="S8">
        <v>0</v>
      </c>
      <c r="T8">
        <v>0</v>
      </c>
      <c r="U8">
        <v>0</v>
      </c>
      <c r="V8">
        <v>0</v>
      </c>
      <c r="W8">
        <v>0</v>
      </c>
      <c r="X8">
        <v>0</v>
      </c>
      <c r="Y8">
        <v>0</v>
      </c>
      <c r="Z8">
        <v>0</v>
      </c>
      <c r="AA8">
        <v>0</v>
      </c>
      <c r="AB8">
        <v>0</v>
      </c>
      <c r="AC8">
        <v>0</v>
      </c>
      <c r="AD8">
        <v>0</v>
      </c>
      <c r="AE8">
        <v>0</v>
      </c>
    </row>
    <row r="9" spans="1:31">
      <c r="A9" t="s">
        <v>82</v>
      </c>
      <c r="B9">
        <v>0</v>
      </c>
      <c r="C9">
        <v>0</v>
      </c>
      <c r="D9">
        <v>0</v>
      </c>
      <c r="E9">
        <v>0</v>
      </c>
      <c r="F9">
        <v>0</v>
      </c>
      <c r="G9">
        <v>0</v>
      </c>
      <c r="H9">
        <v>0</v>
      </c>
      <c r="I9">
        <v>0</v>
      </c>
      <c r="J9">
        <v>0</v>
      </c>
      <c r="K9">
        <v>0</v>
      </c>
      <c r="L9">
        <v>0</v>
      </c>
      <c r="M9">
        <v>0</v>
      </c>
      <c r="N9">
        <v>0</v>
      </c>
      <c r="O9">
        <v>0</v>
      </c>
      <c r="P9">
        <v>0</v>
      </c>
      <c r="Q9">
        <v>0</v>
      </c>
      <c r="R9">
        <v>0</v>
      </c>
      <c r="S9">
        <v>0</v>
      </c>
      <c r="T9">
        <v>0</v>
      </c>
      <c r="U9">
        <v>0</v>
      </c>
      <c r="V9">
        <v>0</v>
      </c>
      <c r="W9">
        <v>0</v>
      </c>
      <c r="X9">
        <v>0</v>
      </c>
      <c r="Y9">
        <v>0</v>
      </c>
      <c r="Z9">
        <v>0</v>
      </c>
      <c r="AA9">
        <v>0</v>
      </c>
      <c r="AB9">
        <v>0</v>
      </c>
      <c r="AC9">
        <v>0</v>
      </c>
      <c r="AD9">
        <v>0</v>
      </c>
      <c r="AE9">
        <v>0</v>
      </c>
    </row>
    <row r="10" spans="1:31">
      <c r="A10" t="s">
        <v>83</v>
      </c>
      <c r="B10">
        <v>0</v>
      </c>
      <c r="C10">
        <v>0</v>
      </c>
      <c r="D10">
        <v>0</v>
      </c>
      <c r="E10">
        <v>0</v>
      </c>
      <c r="F10">
        <v>0</v>
      </c>
      <c r="G10">
        <v>0</v>
      </c>
      <c r="H10">
        <v>0</v>
      </c>
      <c r="I10">
        <v>0</v>
      </c>
      <c r="J10">
        <v>0</v>
      </c>
      <c r="K10">
        <v>0</v>
      </c>
      <c r="L10">
        <v>0</v>
      </c>
      <c r="M10">
        <v>0</v>
      </c>
      <c r="N10">
        <v>0</v>
      </c>
      <c r="O10">
        <v>0</v>
      </c>
      <c r="P10">
        <v>0</v>
      </c>
      <c r="Q10">
        <v>0</v>
      </c>
      <c r="R10">
        <v>0</v>
      </c>
      <c r="S10">
        <v>0</v>
      </c>
      <c r="T10">
        <v>0</v>
      </c>
      <c r="U10">
        <v>0</v>
      </c>
      <c r="V10">
        <v>0</v>
      </c>
      <c r="W10">
        <v>0</v>
      </c>
      <c r="X10">
        <v>0</v>
      </c>
      <c r="Y10">
        <v>0</v>
      </c>
      <c r="Z10">
        <v>0</v>
      </c>
      <c r="AA10">
        <v>0</v>
      </c>
      <c r="AB10">
        <v>0</v>
      </c>
      <c r="AC10">
        <v>0</v>
      </c>
      <c r="AD10">
        <v>0</v>
      </c>
      <c r="AE10">
        <v>0</v>
      </c>
    </row>
    <row r="11" spans="1:31">
      <c r="A11" t="s">
        <v>84</v>
      </c>
      <c r="B11">
        <v>0</v>
      </c>
      <c r="C11">
        <v>0</v>
      </c>
      <c r="D11">
        <v>0</v>
      </c>
      <c r="E11">
        <v>0</v>
      </c>
      <c r="F11">
        <v>0</v>
      </c>
      <c r="G11">
        <v>0</v>
      </c>
      <c r="H11">
        <v>0</v>
      </c>
      <c r="I11">
        <v>0</v>
      </c>
      <c r="J11">
        <v>0</v>
      </c>
      <c r="K11">
        <v>0</v>
      </c>
      <c r="L11">
        <v>0</v>
      </c>
      <c r="M11">
        <v>0</v>
      </c>
      <c r="N11">
        <v>0</v>
      </c>
      <c r="O11">
        <v>0</v>
      </c>
      <c r="P11">
        <v>0</v>
      </c>
      <c r="Q11">
        <v>0</v>
      </c>
      <c r="R11">
        <v>0</v>
      </c>
      <c r="S11">
        <v>0</v>
      </c>
      <c r="T11">
        <v>0</v>
      </c>
      <c r="U11">
        <v>0</v>
      </c>
      <c r="V11">
        <v>0</v>
      </c>
      <c r="W11">
        <v>0</v>
      </c>
      <c r="X11">
        <v>0</v>
      </c>
      <c r="Y11">
        <v>0</v>
      </c>
      <c r="Z11">
        <v>0</v>
      </c>
      <c r="AA11">
        <v>0</v>
      </c>
      <c r="AB11">
        <v>0</v>
      </c>
      <c r="AC11">
        <v>0</v>
      </c>
      <c r="AD11">
        <v>0</v>
      </c>
      <c r="AE11">
        <v>0</v>
      </c>
    </row>
  </sheetData>
  <pageMargins left="0.7" right="0.7" top="0.75" bottom="0.75" header="0.3" footer="0.3"/>
</worksheet>
</file>

<file path=xl/worksheets/sheet7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4000-000000000000}">
  <sheetPr>
    <tabColor theme="3"/>
  </sheetPr>
  <dimension ref="A1:AE11"/>
  <sheetViews>
    <sheetView zoomScale="80" zoomScaleNormal="80" workbookViewId="0"/>
  </sheetViews>
  <sheetFormatPr defaultRowHeight="14.25"/>
  <cols>
    <col min="1" max="1" width="22.53125" customWidth="1"/>
  </cols>
  <sheetData>
    <row r="1" spans="1:31" ht="28.5">
      <c r="A1" s="10" t="s">
        <v>85</v>
      </c>
      <c r="B1">
        <v>2021</v>
      </c>
      <c r="C1">
        <v>2022</v>
      </c>
      <c r="D1">
        <v>2023</v>
      </c>
      <c r="E1">
        <v>2024</v>
      </c>
      <c r="F1">
        <v>2025</v>
      </c>
      <c r="G1">
        <v>2026</v>
      </c>
      <c r="H1">
        <v>2027</v>
      </c>
      <c r="I1">
        <v>2028</v>
      </c>
      <c r="J1">
        <v>2029</v>
      </c>
      <c r="K1">
        <v>2030</v>
      </c>
      <c r="L1">
        <v>2031</v>
      </c>
      <c r="M1">
        <v>2032</v>
      </c>
      <c r="N1">
        <v>2033</v>
      </c>
      <c r="O1">
        <v>2034</v>
      </c>
      <c r="P1">
        <v>2035</v>
      </c>
      <c r="Q1">
        <v>2036</v>
      </c>
      <c r="R1">
        <v>2037</v>
      </c>
      <c r="S1">
        <v>2038</v>
      </c>
      <c r="T1">
        <v>2039</v>
      </c>
      <c r="U1">
        <v>2040</v>
      </c>
      <c r="V1">
        <v>2041</v>
      </c>
      <c r="W1">
        <v>2042</v>
      </c>
      <c r="X1">
        <v>2043</v>
      </c>
      <c r="Y1">
        <v>2044</v>
      </c>
      <c r="Z1">
        <v>2045</v>
      </c>
      <c r="AA1">
        <v>2046</v>
      </c>
      <c r="AB1">
        <v>2047</v>
      </c>
      <c r="AC1">
        <v>2048</v>
      </c>
      <c r="AD1">
        <v>2049</v>
      </c>
      <c r="AE1">
        <v>2050</v>
      </c>
    </row>
    <row r="2" spans="1:31">
      <c r="A2" t="s">
        <v>15</v>
      </c>
      <c r="B2">
        <v>0</v>
      </c>
      <c r="C2">
        <v>0</v>
      </c>
      <c r="D2">
        <v>0</v>
      </c>
      <c r="E2">
        <v>0</v>
      </c>
      <c r="F2">
        <v>0</v>
      </c>
      <c r="G2">
        <v>0</v>
      </c>
      <c r="H2">
        <v>0</v>
      </c>
      <c r="I2">
        <v>0</v>
      </c>
      <c r="J2">
        <v>0</v>
      </c>
      <c r="K2">
        <v>0</v>
      </c>
      <c r="L2">
        <v>0</v>
      </c>
      <c r="M2">
        <v>0</v>
      </c>
      <c r="N2">
        <v>0</v>
      </c>
      <c r="O2">
        <v>0</v>
      </c>
      <c r="P2">
        <v>0</v>
      </c>
      <c r="Q2">
        <v>0</v>
      </c>
      <c r="R2">
        <v>0</v>
      </c>
      <c r="S2">
        <v>0</v>
      </c>
      <c r="T2">
        <v>0</v>
      </c>
      <c r="U2">
        <v>0</v>
      </c>
      <c r="V2">
        <v>0</v>
      </c>
      <c r="W2">
        <v>0</v>
      </c>
      <c r="X2">
        <v>0</v>
      </c>
      <c r="Y2">
        <v>0</v>
      </c>
      <c r="Z2">
        <v>0</v>
      </c>
      <c r="AA2">
        <v>0</v>
      </c>
      <c r="AB2">
        <v>0</v>
      </c>
      <c r="AC2">
        <v>0</v>
      </c>
      <c r="AD2">
        <v>0</v>
      </c>
      <c r="AE2">
        <v>0</v>
      </c>
    </row>
    <row r="3" spans="1:31">
      <c r="A3" t="s">
        <v>16</v>
      </c>
      <c r="B3">
        <v>0</v>
      </c>
      <c r="C3">
        <v>0</v>
      </c>
      <c r="D3">
        <v>0</v>
      </c>
      <c r="E3">
        <v>0</v>
      </c>
      <c r="F3">
        <v>0</v>
      </c>
      <c r="G3">
        <v>0</v>
      </c>
      <c r="H3">
        <v>0</v>
      </c>
      <c r="I3">
        <v>0</v>
      </c>
      <c r="J3">
        <v>0</v>
      </c>
      <c r="K3">
        <v>0</v>
      </c>
      <c r="L3">
        <v>0</v>
      </c>
      <c r="M3">
        <v>0</v>
      </c>
      <c r="N3">
        <v>0</v>
      </c>
      <c r="O3">
        <v>0</v>
      </c>
      <c r="P3">
        <v>0</v>
      </c>
      <c r="Q3">
        <v>0</v>
      </c>
      <c r="R3">
        <v>0</v>
      </c>
      <c r="S3">
        <v>0</v>
      </c>
      <c r="T3">
        <v>0</v>
      </c>
      <c r="U3">
        <v>0</v>
      </c>
      <c r="V3">
        <v>0</v>
      </c>
      <c r="W3">
        <v>0</v>
      </c>
      <c r="X3">
        <v>0</v>
      </c>
      <c r="Y3">
        <v>0</v>
      </c>
      <c r="Z3">
        <v>0</v>
      </c>
      <c r="AA3">
        <v>0</v>
      </c>
      <c r="AB3">
        <v>0</v>
      </c>
      <c r="AC3">
        <v>0</v>
      </c>
      <c r="AD3">
        <v>0</v>
      </c>
      <c r="AE3">
        <v>0</v>
      </c>
    </row>
    <row r="4" spans="1:31">
      <c r="A4" t="s">
        <v>17</v>
      </c>
      <c r="B4">
        <v>1</v>
      </c>
      <c r="C4">
        <v>1</v>
      </c>
      <c r="D4">
        <v>1</v>
      </c>
      <c r="E4">
        <v>1</v>
      </c>
      <c r="F4">
        <v>1</v>
      </c>
      <c r="G4">
        <v>1</v>
      </c>
      <c r="H4">
        <v>1</v>
      </c>
      <c r="I4">
        <v>1</v>
      </c>
      <c r="J4">
        <v>1</v>
      </c>
      <c r="K4">
        <v>1</v>
      </c>
      <c r="L4">
        <v>1</v>
      </c>
      <c r="M4">
        <v>1</v>
      </c>
      <c r="N4">
        <v>1</v>
      </c>
      <c r="O4">
        <v>1</v>
      </c>
      <c r="P4">
        <v>1</v>
      </c>
      <c r="Q4">
        <v>1</v>
      </c>
      <c r="R4">
        <v>1</v>
      </c>
      <c r="S4">
        <v>1</v>
      </c>
      <c r="T4">
        <v>1</v>
      </c>
      <c r="U4">
        <v>1</v>
      </c>
      <c r="V4">
        <v>1</v>
      </c>
      <c r="W4">
        <v>1</v>
      </c>
      <c r="X4">
        <v>1</v>
      </c>
      <c r="Y4">
        <v>1</v>
      </c>
      <c r="Z4">
        <v>1</v>
      </c>
      <c r="AA4">
        <v>1</v>
      </c>
      <c r="AB4">
        <v>1</v>
      </c>
      <c r="AC4">
        <v>1</v>
      </c>
      <c r="AD4">
        <v>1</v>
      </c>
      <c r="AE4">
        <v>1</v>
      </c>
    </row>
    <row r="5" spans="1:31">
      <c r="A5" t="s">
        <v>18</v>
      </c>
      <c r="B5">
        <v>0</v>
      </c>
      <c r="C5">
        <v>0</v>
      </c>
      <c r="D5">
        <v>0</v>
      </c>
      <c r="E5">
        <v>0</v>
      </c>
      <c r="F5">
        <v>0</v>
      </c>
      <c r="G5">
        <v>0</v>
      </c>
      <c r="H5">
        <v>0</v>
      </c>
      <c r="I5">
        <v>0</v>
      </c>
      <c r="J5">
        <v>0</v>
      </c>
      <c r="K5">
        <v>0</v>
      </c>
      <c r="L5">
        <v>0</v>
      </c>
      <c r="M5">
        <v>0</v>
      </c>
      <c r="N5">
        <v>0</v>
      </c>
      <c r="O5">
        <v>0</v>
      </c>
      <c r="P5">
        <v>0</v>
      </c>
      <c r="Q5">
        <v>0</v>
      </c>
      <c r="R5">
        <v>0</v>
      </c>
      <c r="S5">
        <v>0</v>
      </c>
      <c r="T5">
        <v>0</v>
      </c>
      <c r="U5">
        <v>0</v>
      </c>
      <c r="V5">
        <v>0</v>
      </c>
      <c r="W5">
        <v>0</v>
      </c>
      <c r="X5">
        <v>0</v>
      </c>
      <c r="Y5">
        <v>0</v>
      </c>
      <c r="Z5">
        <v>0</v>
      </c>
      <c r="AA5">
        <v>0</v>
      </c>
      <c r="AB5">
        <v>0</v>
      </c>
      <c r="AC5">
        <v>0</v>
      </c>
      <c r="AD5">
        <v>0</v>
      </c>
      <c r="AE5">
        <v>0</v>
      </c>
    </row>
    <row r="6" spans="1:31">
      <c r="A6" t="s">
        <v>19</v>
      </c>
      <c r="B6">
        <v>0</v>
      </c>
      <c r="C6">
        <v>0</v>
      </c>
      <c r="D6">
        <v>0</v>
      </c>
      <c r="E6">
        <v>0</v>
      </c>
      <c r="F6">
        <v>0</v>
      </c>
      <c r="G6">
        <v>0</v>
      </c>
      <c r="H6">
        <v>0</v>
      </c>
      <c r="I6">
        <v>0</v>
      </c>
      <c r="J6">
        <v>0</v>
      </c>
      <c r="K6">
        <v>0</v>
      </c>
      <c r="L6">
        <v>0</v>
      </c>
      <c r="M6">
        <v>0</v>
      </c>
      <c r="N6">
        <v>0</v>
      </c>
      <c r="O6">
        <v>0</v>
      </c>
      <c r="P6">
        <v>0</v>
      </c>
      <c r="Q6">
        <v>0</v>
      </c>
      <c r="R6">
        <v>0</v>
      </c>
      <c r="S6">
        <v>0</v>
      </c>
      <c r="T6">
        <v>0</v>
      </c>
      <c r="U6">
        <v>0</v>
      </c>
      <c r="V6">
        <v>0</v>
      </c>
      <c r="W6">
        <v>0</v>
      </c>
      <c r="X6">
        <v>0</v>
      </c>
      <c r="Y6">
        <v>0</v>
      </c>
      <c r="Z6">
        <v>0</v>
      </c>
      <c r="AA6">
        <v>0</v>
      </c>
      <c r="AB6">
        <v>0</v>
      </c>
      <c r="AC6">
        <v>0</v>
      </c>
      <c r="AD6">
        <v>0</v>
      </c>
      <c r="AE6">
        <v>0</v>
      </c>
    </row>
    <row r="7" spans="1:31">
      <c r="A7" t="s">
        <v>21</v>
      </c>
      <c r="B7">
        <v>0</v>
      </c>
      <c r="C7">
        <v>0</v>
      </c>
      <c r="D7">
        <v>0</v>
      </c>
      <c r="E7">
        <v>0</v>
      </c>
      <c r="F7">
        <v>0</v>
      </c>
      <c r="G7">
        <v>0</v>
      </c>
      <c r="H7">
        <v>0</v>
      </c>
      <c r="I7">
        <v>0</v>
      </c>
      <c r="J7">
        <v>0</v>
      </c>
      <c r="K7">
        <v>0</v>
      </c>
      <c r="L7">
        <v>0</v>
      </c>
      <c r="M7">
        <v>0</v>
      </c>
      <c r="N7">
        <v>0</v>
      </c>
      <c r="O7">
        <v>0</v>
      </c>
      <c r="P7">
        <v>0</v>
      </c>
      <c r="Q7">
        <v>0</v>
      </c>
      <c r="R7">
        <v>0</v>
      </c>
      <c r="S7">
        <v>0</v>
      </c>
      <c r="T7">
        <v>0</v>
      </c>
      <c r="U7">
        <v>0</v>
      </c>
      <c r="V7">
        <v>0</v>
      </c>
      <c r="W7">
        <v>0</v>
      </c>
      <c r="X7">
        <v>0</v>
      </c>
      <c r="Y7">
        <v>0</v>
      </c>
      <c r="Z7">
        <v>0</v>
      </c>
      <c r="AA7">
        <v>0</v>
      </c>
      <c r="AB7">
        <v>0</v>
      </c>
      <c r="AC7">
        <v>0</v>
      </c>
      <c r="AD7">
        <v>0</v>
      </c>
      <c r="AE7">
        <v>0</v>
      </c>
    </row>
    <row r="8" spans="1:31">
      <c r="A8" t="s">
        <v>20</v>
      </c>
      <c r="B8">
        <v>0</v>
      </c>
      <c r="C8">
        <v>0</v>
      </c>
      <c r="D8">
        <v>0</v>
      </c>
      <c r="E8">
        <v>0</v>
      </c>
      <c r="F8">
        <v>0</v>
      </c>
      <c r="G8">
        <v>0</v>
      </c>
      <c r="H8">
        <v>0</v>
      </c>
      <c r="I8">
        <v>0</v>
      </c>
      <c r="J8">
        <v>0</v>
      </c>
      <c r="K8">
        <v>0</v>
      </c>
      <c r="L8">
        <v>0</v>
      </c>
      <c r="M8">
        <v>0</v>
      </c>
      <c r="N8">
        <v>0</v>
      </c>
      <c r="O8">
        <v>0</v>
      </c>
      <c r="P8">
        <v>0</v>
      </c>
      <c r="Q8">
        <v>0</v>
      </c>
      <c r="R8">
        <v>0</v>
      </c>
      <c r="S8">
        <v>0</v>
      </c>
      <c r="T8">
        <v>0</v>
      </c>
      <c r="U8">
        <v>0</v>
      </c>
      <c r="V8">
        <v>0</v>
      </c>
      <c r="W8">
        <v>0</v>
      </c>
      <c r="X8">
        <v>0</v>
      </c>
      <c r="Y8">
        <v>0</v>
      </c>
      <c r="Z8">
        <v>0</v>
      </c>
      <c r="AA8">
        <v>0</v>
      </c>
      <c r="AB8">
        <v>0</v>
      </c>
      <c r="AC8">
        <v>0</v>
      </c>
      <c r="AD8">
        <v>0</v>
      </c>
      <c r="AE8">
        <v>0</v>
      </c>
    </row>
    <row r="9" spans="1:31">
      <c r="A9" t="s">
        <v>82</v>
      </c>
      <c r="B9">
        <v>0</v>
      </c>
      <c r="C9">
        <v>0</v>
      </c>
      <c r="D9">
        <v>0</v>
      </c>
      <c r="E9">
        <v>0</v>
      </c>
      <c r="F9">
        <v>0</v>
      </c>
      <c r="G9">
        <v>0</v>
      </c>
      <c r="H9">
        <v>0</v>
      </c>
      <c r="I9">
        <v>0</v>
      </c>
      <c r="J9">
        <v>0</v>
      </c>
      <c r="K9">
        <v>0</v>
      </c>
      <c r="L9">
        <v>0</v>
      </c>
      <c r="M9">
        <v>0</v>
      </c>
      <c r="N9">
        <v>0</v>
      </c>
      <c r="O9">
        <v>0</v>
      </c>
      <c r="P9">
        <v>0</v>
      </c>
      <c r="Q9">
        <v>0</v>
      </c>
      <c r="R9">
        <v>0</v>
      </c>
      <c r="S9">
        <v>0</v>
      </c>
      <c r="T9">
        <v>0</v>
      </c>
      <c r="U9">
        <v>0</v>
      </c>
      <c r="V9">
        <v>0</v>
      </c>
      <c r="W9">
        <v>0</v>
      </c>
      <c r="X9">
        <v>0</v>
      </c>
      <c r="Y9">
        <v>0</v>
      </c>
      <c r="Z9">
        <v>0</v>
      </c>
      <c r="AA9">
        <v>0</v>
      </c>
      <c r="AB9">
        <v>0</v>
      </c>
      <c r="AC9">
        <v>0</v>
      </c>
      <c r="AD9">
        <v>0</v>
      </c>
      <c r="AE9">
        <v>0</v>
      </c>
    </row>
    <row r="10" spans="1:31">
      <c r="A10" t="s">
        <v>83</v>
      </c>
      <c r="B10">
        <v>0</v>
      </c>
      <c r="C10">
        <v>0</v>
      </c>
      <c r="D10">
        <v>0</v>
      </c>
      <c r="E10">
        <v>0</v>
      </c>
      <c r="F10">
        <v>0</v>
      </c>
      <c r="G10">
        <v>0</v>
      </c>
      <c r="H10">
        <v>0</v>
      </c>
      <c r="I10">
        <v>0</v>
      </c>
      <c r="J10">
        <v>0</v>
      </c>
      <c r="K10">
        <v>0</v>
      </c>
      <c r="L10">
        <v>0</v>
      </c>
      <c r="M10">
        <v>0</v>
      </c>
      <c r="N10">
        <v>0</v>
      </c>
      <c r="O10">
        <v>0</v>
      </c>
      <c r="P10">
        <v>0</v>
      </c>
      <c r="Q10">
        <v>0</v>
      </c>
      <c r="R10">
        <v>0</v>
      </c>
      <c r="S10">
        <v>0</v>
      </c>
      <c r="T10">
        <v>0</v>
      </c>
      <c r="U10">
        <v>0</v>
      </c>
      <c r="V10">
        <v>0</v>
      </c>
      <c r="W10">
        <v>0</v>
      </c>
      <c r="X10">
        <v>0</v>
      </c>
      <c r="Y10">
        <v>0</v>
      </c>
      <c r="Z10">
        <v>0</v>
      </c>
      <c r="AA10">
        <v>0</v>
      </c>
      <c r="AB10">
        <v>0</v>
      </c>
      <c r="AC10">
        <v>0</v>
      </c>
      <c r="AD10">
        <v>0</v>
      </c>
      <c r="AE10">
        <v>0</v>
      </c>
    </row>
    <row r="11" spans="1:31">
      <c r="A11" t="s">
        <v>84</v>
      </c>
      <c r="B11">
        <v>0</v>
      </c>
      <c r="C11">
        <v>0</v>
      </c>
      <c r="D11">
        <v>0</v>
      </c>
      <c r="E11">
        <v>0</v>
      </c>
      <c r="F11">
        <v>0</v>
      </c>
      <c r="G11">
        <v>0</v>
      </c>
      <c r="H11">
        <v>0</v>
      </c>
      <c r="I11">
        <v>0</v>
      </c>
      <c r="J11">
        <v>0</v>
      </c>
      <c r="K11">
        <v>0</v>
      </c>
      <c r="L11">
        <v>0</v>
      </c>
      <c r="M11">
        <v>0</v>
      </c>
      <c r="N11">
        <v>0</v>
      </c>
      <c r="O11">
        <v>0</v>
      </c>
      <c r="P11">
        <v>0</v>
      </c>
      <c r="Q11">
        <v>0</v>
      </c>
      <c r="R11">
        <v>0</v>
      </c>
      <c r="S11">
        <v>0</v>
      </c>
      <c r="T11">
        <v>0</v>
      </c>
      <c r="U11">
        <v>0</v>
      </c>
      <c r="V11">
        <v>0</v>
      </c>
      <c r="W11">
        <v>0</v>
      </c>
      <c r="X11">
        <v>0</v>
      </c>
      <c r="Y11">
        <v>0</v>
      </c>
      <c r="Z11">
        <v>0</v>
      </c>
      <c r="AA11">
        <v>0</v>
      </c>
      <c r="AB11">
        <v>0</v>
      </c>
      <c r="AC11">
        <v>0</v>
      </c>
      <c r="AD11">
        <v>0</v>
      </c>
      <c r="AE11">
        <v>0</v>
      </c>
    </row>
  </sheetData>
  <pageMargins left="0.7" right="0.7" top="0.75" bottom="0.75" header="0.3" footer="0.3"/>
</worksheet>
</file>

<file path=xl/worksheets/sheet7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4100-000000000000}">
  <sheetPr>
    <tabColor theme="3"/>
  </sheetPr>
  <dimension ref="A1:AE11"/>
  <sheetViews>
    <sheetView workbookViewId="0"/>
  </sheetViews>
  <sheetFormatPr defaultRowHeight="14.25"/>
  <cols>
    <col min="1" max="1" width="22.53125" customWidth="1"/>
  </cols>
  <sheetData>
    <row r="1" spans="1:31" ht="28.5">
      <c r="A1" s="10" t="s">
        <v>85</v>
      </c>
      <c r="B1">
        <v>2021</v>
      </c>
      <c r="C1">
        <v>2022</v>
      </c>
      <c r="D1">
        <v>2023</v>
      </c>
      <c r="E1">
        <v>2024</v>
      </c>
      <c r="F1">
        <v>2025</v>
      </c>
      <c r="G1">
        <v>2026</v>
      </c>
      <c r="H1">
        <v>2027</v>
      </c>
      <c r="I1">
        <v>2028</v>
      </c>
      <c r="J1">
        <v>2029</v>
      </c>
      <c r="K1">
        <v>2030</v>
      </c>
      <c r="L1">
        <v>2031</v>
      </c>
      <c r="M1">
        <v>2032</v>
      </c>
      <c r="N1">
        <v>2033</v>
      </c>
      <c r="O1">
        <v>2034</v>
      </c>
      <c r="P1">
        <v>2035</v>
      </c>
      <c r="Q1">
        <v>2036</v>
      </c>
      <c r="R1">
        <v>2037</v>
      </c>
      <c r="S1">
        <v>2038</v>
      </c>
      <c r="T1">
        <v>2039</v>
      </c>
      <c r="U1">
        <v>2040</v>
      </c>
      <c r="V1">
        <v>2041</v>
      </c>
      <c r="W1">
        <v>2042</v>
      </c>
      <c r="X1">
        <v>2043</v>
      </c>
      <c r="Y1">
        <v>2044</v>
      </c>
      <c r="Z1">
        <v>2045</v>
      </c>
      <c r="AA1">
        <v>2046</v>
      </c>
      <c r="AB1">
        <v>2047</v>
      </c>
      <c r="AC1">
        <v>2048</v>
      </c>
      <c r="AD1">
        <v>2049</v>
      </c>
      <c r="AE1">
        <v>2050</v>
      </c>
    </row>
    <row r="2" spans="1:31">
      <c r="A2" t="s">
        <v>15</v>
      </c>
      <c r="B2">
        <v>0</v>
      </c>
      <c r="C2">
        <v>0</v>
      </c>
      <c r="D2">
        <v>0</v>
      </c>
      <c r="E2">
        <v>0</v>
      </c>
      <c r="F2">
        <v>0</v>
      </c>
      <c r="G2">
        <v>0</v>
      </c>
      <c r="H2">
        <v>0</v>
      </c>
      <c r="I2">
        <v>0</v>
      </c>
      <c r="J2">
        <v>0</v>
      </c>
      <c r="K2">
        <v>0</v>
      </c>
      <c r="L2">
        <v>0</v>
      </c>
      <c r="M2">
        <v>0</v>
      </c>
      <c r="N2">
        <v>0</v>
      </c>
      <c r="O2">
        <v>0</v>
      </c>
      <c r="P2">
        <v>0</v>
      </c>
      <c r="Q2">
        <v>0</v>
      </c>
      <c r="R2">
        <v>0</v>
      </c>
      <c r="S2">
        <v>0</v>
      </c>
      <c r="T2">
        <v>0</v>
      </c>
      <c r="U2">
        <v>0</v>
      </c>
      <c r="V2">
        <v>0</v>
      </c>
      <c r="W2">
        <v>0</v>
      </c>
      <c r="X2">
        <v>0</v>
      </c>
      <c r="Y2">
        <v>0</v>
      </c>
      <c r="Z2">
        <v>0</v>
      </c>
      <c r="AA2">
        <v>0</v>
      </c>
      <c r="AB2">
        <v>0</v>
      </c>
      <c r="AC2">
        <v>0</v>
      </c>
      <c r="AD2">
        <v>0</v>
      </c>
      <c r="AE2">
        <v>0</v>
      </c>
    </row>
    <row r="3" spans="1:31">
      <c r="A3" t="s">
        <v>16</v>
      </c>
      <c r="B3">
        <v>0</v>
      </c>
      <c r="C3">
        <v>0</v>
      </c>
      <c r="D3">
        <v>0</v>
      </c>
      <c r="E3">
        <v>0</v>
      </c>
      <c r="F3">
        <v>0</v>
      </c>
      <c r="G3">
        <v>0</v>
      </c>
      <c r="H3">
        <v>0</v>
      </c>
      <c r="I3">
        <v>0</v>
      </c>
      <c r="J3">
        <v>0</v>
      </c>
      <c r="K3">
        <v>0</v>
      </c>
      <c r="L3">
        <v>0</v>
      </c>
      <c r="M3">
        <v>0</v>
      </c>
      <c r="N3">
        <v>0</v>
      </c>
      <c r="O3">
        <v>0</v>
      </c>
      <c r="P3">
        <v>0</v>
      </c>
      <c r="Q3">
        <v>0</v>
      </c>
      <c r="R3">
        <v>0</v>
      </c>
      <c r="S3">
        <v>0</v>
      </c>
      <c r="T3">
        <v>0</v>
      </c>
      <c r="U3">
        <v>0</v>
      </c>
      <c r="V3">
        <v>0</v>
      </c>
      <c r="W3">
        <v>0</v>
      </c>
      <c r="X3">
        <v>0</v>
      </c>
      <c r="Y3">
        <v>0</v>
      </c>
      <c r="Z3">
        <v>0</v>
      </c>
      <c r="AA3">
        <v>0</v>
      </c>
      <c r="AB3">
        <v>0</v>
      </c>
      <c r="AC3">
        <v>0</v>
      </c>
      <c r="AD3">
        <v>0</v>
      </c>
      <c r="AE3">
        <v>0</v>
      </c>
    </row>
    <row r="4" spans="1:31">
      <c r="A4" t="s">
        <v>17</v>
      </c>
      <c r="B4">
        <v>0</v>
      </c>
      <c r="C4">
        <v>0</v>
      </c>
      <c r="D4">
        <v>0</v>
      </c>
      <c r="E4">
        <v>0</v>
      </c>
      <c r="F4">
        <v>0</v>
      </c>
      <c r="G4">
        <v>0</v>
      </c>
      <c r="H4">
        <v>0</v>
      </c>
      <c r="I4">
        <v>0</v>
      </c>
      <c r="J4">
        <v>0</v>
      </c>
      <c r="K4">
        <v>0</v>
      </c>
      <c r="L4">
        <v>0</v>
      </c>
      <c r="M4">
        <v>0</v>
      </c>
      <c r="N4">
        <v>0</v>
      </c>
      <c r="O4">
        <v>0</v>
      </c>
      <c r="P4">
        <v>0</v>
      </c>
      <c r="Q4">
        <v>0</v>
      </c>
      <c r="R4">
        <v>0</v>
      </c>
      <c r="S4">
        <v>0</v>
      </c>
      <c r="T4">
        <v>0</v>
      </c>
      <c r="U4">
        <v>0</v>
      </c>
      <c r="V4">
        <v>0</v>
      </c>
      <c r="W4">
        <v>0</v>
      </c>
      <c r="X4">
        <v>0</v>
      </c>
      <c r="Y4">
        <v>0</v>
      </c>
      <c r="Z4">
        <v>0</v>
      </c>
      <c r="AA4">
        <v>0</v>
      </c>
      <c r="AB4">
        <v>0</v>
      </c>
      <c r="AC4">
        <v>0</v>
      </c>
      <c r="AD4">
        <v>0</v>
      </c>
      <c r="AE4">
        <v>0</v>
      </c>
    </row>
    <row r="5" spans="1:31">
      <c r="A5" t="s">
        <v>18</v>
      </c>
      <c r="B5">
        <v>1</v>
      </c>
      <c r="C5">
        <v>1</v>
      </c>
      <c r="D5">
        <v>1</v>
      </c>
      <c r="E5">
        <v>1</v>
      </c>
      <c r="F5">
        <v>1</v>
      </c>
      <c r="G5">
        <v>1</v>
      </c>
      <c r="H5">
        <v>1</v>
      </c>
      <c r="I5">
        <v>1</v>
      </c>
      <c r="J5">
        <v>1</v>
      </c>
      <c r="K5">
        <v>1</v>
      </c>
      <c r="L5">
        <v>1</v>
      </c>
      <c r="M5">
        <v>1</v>
      </c>
      <c r="N5">
        <v>1</v>
      </c>
      <c r="O5">
        <v>1</v>
      </c>
      <c r="P5">
        <v>1</v>
      </c>
      <c r="Q5">
        <v>1</v>
      </c>
      <c r="R5">
        <v>1</v>
      </c>
      <c r="S5">
        <v>1</v>
      </c>
      <c r="T5">
        <v>1</v>
      </c>
      <c r="U5">
        <v>1</v>
      </c>
      <c r="V5">
        <v>1</v>
      </c>
      <c r="W5">
        <v>1</v>
      </c>
      <c r="X5">
        <v>1</v>
      </c>
      <c r="Y5">
        <v>1</v>
      </c>
      <c r="Z5">
        <v>1</v>
      </c>
      <c r="AA5">
        <v>1</v>
      </c>
      <c r="AB5">
        <v>1</v>
      </c>
      <c r="AC5">
        <v>1</v>
      </c>
      <c r="AD5">
        <v>1</v>
      </c>
      <c r="AE5">
        <v>1</v>
      </c>
    </row>
    <row r="6" spans="1:31">
      <c r="A6" t="s">
        <v>19</v>
      </c>
      <c r="B6">
        <v>0</v>
      </c>
      <c r="C6">
        <v>0</v>
      </c>
      <c r="D6">
        <v>0</v>
      </c>
      <c r="E6">
        <v>0</v>
      </c>
      <c r="F6">
        <v>0</v>
      </c>
      <c r="G6">
        <v>0</v>
      </c>
      <c r="H6">
        <v>0</v>
      </c>
      <c r="I6">
        <v>0</v>
      </c>
      <c r="J6">
        <v>0</v>
      </c>
      <c r="K6">
        <v>0</v>
      </c>
      <c r="L6">
        <v>0</v>
      </c>
      <c r="M6">
        <v>0</v>
      </c>
      <c r="N6">
        <v>0</v>
      </c>
      <c r="O6">
        <v>0</v>
      </c>
      <c r="P6">
        <v>0</v>
      </c>
      <c r="Q6">
        <v>0</v>
      </c>
      <c r="R6">
        <v>0</v>
      </c>
      <c r="S6">
        <v>0</v>
      </c>
      <c r="T6">
        <v>0</v>
      </c>
      <c r="U6">
        <v>0</v>
      </c>
      <c r="V6">
        <v>0</v>
      </c>
      <c r="W6">
        <v>0</v>
      </c>
      <c r="X6">
        <v>0</v>
      </c>
      <c r="Y6">
        <v>0</v>
      </c>
      <c r="Z6">
        <v>0</v>
      </c>
      <c r="AA6">
        <v>0</v>
      </c>
      <c r="AB6">
        <v>0</v>
      </c>
      <c r="AC6">
        <v>0</v>
      </c>
      <c r="AD6">
        <v>0</v>
      </c>
      <c r="AE6">
        <v>0</v>
      </c>
    </row>
    <row r="7" spans="1:31">
      <c r="A7" t="s">
        <v>21</v>
      </c>
      <c r="B7">
        <v>0</v>
      </c>
      <c r="C7">
        <v>0</v>
      </c>
      <c r="D7">
        <v>0</v>
      </c>
      <c r="E7">
        <v>0</v>
      </c>
      <c r="F7">
        <v>0</v>
      </c>
      <c r="G7">
        <v>0</v>
      </c>
      <c r="H7">
        <v>0</v>
      </c>
      <c r="I7">
        <v>0</v>
      </c>
      <c r="J7">
        <v>0</v>
      </c>
      <c r="K7">
        <v>0</v>
      </c>
      <c r="L7">
        <v>0</v>
      </c>
      <c r="M7">
        <v>0</v>
      </c>
      <c r="N7">
        <v>0</v>
      </c>
      <c r="O7">
        <v>0</v>
      </c>
      <c r="P7">
        <v>0</v>
      </c>
      <c r="Q7">
        <v>0</v>
      </c>
      <c r="R7">
        <v>0</v>
      </c>
      <c r="S7">
        <v>0</v>
      </c>
      <c r="T7">
        <v>0</v>
      </c>
      <c r="U7">
        <v>0</v>
      </c>
      <c r="V7">
        <v>0</v>
      </c>
      <c r="W7">
        <v>0</v>
      </c>
      <c r="X7">
        <v>0</v>
      </c>
      <c r="Y7">
        <v>0</v>
      </c>
      <c r="Z7">
        <v>0</v>
      </c>
      <c r="AA7">
        <v>0</v>
      </c>
      <c r="AB7">
        <v>0</v>
      </c>
      <c r="AC7">
        <v>0</v>
      </c>
      <c r="AD7">
        <v>0</v>
      </c>
      <c r="AE7">
        <v>0</v>
      </c>
    </row>
    <row r="8" spans="1:31">
      <c r="A8" t="s">
        <v>20</v>
      </c>
      <c r="B8">
        <v>0</v>
      </c>
      <c r="C8">
        <v>0</v>
      </c>
      <c r="D8">
        <v>0</v>
      </c>
      <c r="E8">
        <v>0</v>
      </c>
      <c r="F8">
        <v>0</v>
      </c>
      <c r="G8">
        <v>0</v>
      </c>
      <c r="H8">
        <v>0</v>
      </c>
      <c r="I8">
        <v>0</v>
      </c>
      <c r="J8">
        <v>0</v>
      </c>
      <c r="K8">
        <v>0</v>
      </c>
      <c r="L8">
        <v>0</v>
      </c>
      <c r="M8">
        <v>0</v>
      </c>
      <c r="N8">
        <v>0</v>
      </c>
      <c r="O8">
        <v>0</v>
      </c>
      <c r="P8">
        <v>0</v>
      </c>
      <c r="Q8">
        <v>0</v>
      </c>
      <c r="R8">
        <v>0</v>
      </c>
      <c r="S8">
        <v>0</v>
      </c>
      <c r="T8">
        <v>0</v>
      </c>
      <c r="U8">
        <v>0</v>
      </c>
      <c r="V8">
        <v>0</v>
      </c>
      <c r="W8">
        <v>0</v>
      </c>
      <c r="X8">
        <v>0</v>
      </c>
      <c r="Y8">
        <v>0</v>
      </c>
      <c r="Z8">
        <v>0</v>
      </c>
      <c r="AA8">
        <v>0</v>
      </c>
      <c r="AB8">
        <v>0</v>
      </c>
      <c r="AC8">
        <v>0</v>
      </c>
      <c r="AD8">
        <v>0</v>
      </c>
      <c r="AE8">
        <v>0</v>
      </c>
    </row>
    <row r="9" spans="1:31">
      <c r="A9" t="s">
        <v>82</v>
      </c>
      <c r="B9">
        <v>0</v>
      </c>
      <c r="C9">
        <v>0</v>
      </c>
      <c r="D9">
        <v>0</v>
      </c>
      <c r="E9">
        <v>0</v>
      </c>
      <c r="F9">
        <v>0</v>
      </c>
      <c r="G9">
        <v>0</v>
      </c>
      <c r="H9">
        <v>0</v>
      </c>
      <c r="I9">
        <v>0</v>
      </c>
      <c r="J9">
        <v>0</v>
      </c>
      <c r="K9">
        <v>0</v>
      </c>
      <c r="L9">
        <v>0</v>
      </c>
      <c r="M9">
        <v>0</v>
      </c>
      <c r="N9">
        <v>0</v>
      </c>
      <c r="O9">
        <v>0</v>
      </c>
      <c r="P9">
        <v>0</v>
      </c>
      <c r="Q9">
        <v>0</v>
      </c>
      <c r="R9">
        <v>0</v>
      </c>
      <c r="S9">
        <v>0</v>
      </c>
      <c r="T9">
        <v>0</v>
      </c>
      <c r="U9">
        <v>0</v>
      </c>
      <c r="V9">
        <v>0</v>
      </c>
      <c r="W9">
        <v>0</v>
      </c>
      <c r="X9">
        <v>0</v>
      </c>
      <c r="Y9">
        <v>0</v>
      </c>
      <c r="Z9">
        <v>0</v>
      </c>
      <c r="AA9">
        <v>0</v>
      </c>
      <c r="AB9">
        <v>0</v>
      </c>
      <c r="AC9">
        <v>0</v>
      </c>
      <c r="AD9">
        <v>0</v>
      </c>
      <c r="AE9">
        <v>0</v>
      </c>
    </row>
    <row r="10" spans="1:31">
      <c r="A10" t="s">
        <v>83</v>
      </c>
      <c r="B10">
        <v>0</v>
      </c>
      <c r="C10">
        <v>0</v>
      </c>
      <c r="D10">
        <v>0</v>
      </c>
      <c r="E10">
        <v>0</v>
      </c>
      <c r="F10">
        <v>0</v>
      </c>
      <c r="G10">
        <v>0</v>
      </c>
      <c r="H10">
        <v>0</v>
      </c>
      <c r="I10">
        <v>0</v>
      </c>
      <c r="J10">
        <v>0</v>
      </c>
      <c r="K10">
        <v>0</v>
      </c>
      <c r="L10">
        <v>0</v>
      </c>
      <c r="M10">
        <v>0</v>
      </c>
      <c r="N10">
        <v>0</v>
      </c>
      <c r="O10">
        <v>0</v>
      </c>
      <c r="P10">
        <v>0</v>
      </c>
      <c r="Q10">
        <v>0</v>
      </c>
      <c r="R10">
        <v>0</v>
      </c>
      <c r="S10">
        <v>0</v>
      </c>
      <c r="T10">
        <v>0</v>
      </c>
      <c r="U10">
        <v>0</v>
      </c>
      <c r="V10">
        <v>0</v>
      </c>
      <c r="W10">
        <v>0</v>
      </c>
      <c r="X10">
        <v>0</v>
      </c>
      <c r="Y10">
        <v>0</v>
      </c>
      <c r="Z10">
        <v>0</v>
      </c>
      <c r="AA10">
        <v>0</v>
      </c>
      <c r="AB10">
        <v>0</v>
      </c>
      <c r="AC10">
        <v>0</v>
      </c>
      <c r="AD10">
        <v>0</v>
      </c>
      <c r="AE10">
        <v>0</v>
      </c>
    </row>
    <row r="11" spans="1:31">
      <c r="A11" t="s">
        <v>84</v>
      </c>
      <c r="B11">
        <v>0</v>
      </c>
      <c r="C11">
        <v>0</v>
      </c>
      <c r="D11">
        <v>0</v>
      </c>
      <c r="E11">
        <v>0</v>
      </c>
      <c r="F11">
        <v>0</v>
      </c>
      <c r="G11">
        <v>0</v>
      </c>
      <c r="H11">
        <v>0</v>
      </c>
      <c r="I11">
        <v>0</v>
      </c>
      <c r="J11">
        <v>0</v>
      </c>
      <c r="K11">
        <v>0</v>
      </c>
      <c r="L11">
        <v>0</v>
      </c>
      <c r="M11">
        <v>0</v>
      </c>
      <c r="N11">
        <v>0</v>
      </c>
      <c r="O11">
        <v>0</v>
      </c>
      <c r="P11">
        <v>0</v>
      </c>
      <c r="Q11">
        <v>0</v>
      </c>
      <c r="R11">
        <v>0</v>
      </c>
      <c r="S11">
        <v>0</v>
      </c>
      <c r="T11">
        <v>0</v>
      </c>
      <c r="U11">
        <v>0</v>
      </c>
      <c r="V11">
        <v>0</v>
      </c>
      <c r="W11">
        <v>0</v>
      </c>
      <c r="X11">
        <v>0</v>
      </c>
      <c r="Y11">
        <v>0</v>
      </c>
      <c r="Z11">
        <v>0</v>
      </c>
      <c r="AA11">
        <v>0</v>
      </c>
      <c r="AB11">
        <v>0</v>
      </c>
      <c r="AC11">
        <v>0</v>
      </c>
      <c r="AD11">
        <v>0</v>
      </c>
      <c r="AE11">
        <v>0</v>
      </c>
    </row>
  </sheetData>
  <pageMargins left="0.7" right="0.7" top="0.75" bottom="0.75" header="0.3" footer="0.3"/>
</worksheet>
</file>

<file path=xl/worksheets/sheet7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4200-000000000000}">
  <sheetPr>
    <tabColor theme="3"/>
  </sheetPr>
  <dimension ref="A1:AE11"/>
  <sheetViews>
    <sheetView workbookViewId="0"/>
  </sheetViews>
  <sheetFormatPr defaultRowHeight="14.25"/>
  <cols>
    <col min="1" max="1" width="22.53125" customWidth="1"/>
  </cols>
  <sheetData>
    <row r="1" spans="1:31" ht="28.5">
      <c r="A1" s="10" t="s">
        <v>85</v>
      </c>
      <c r="B1">
        <v>2021</v>
      </c>
      <c r="C1">
        <v>2022</v>
      </c>
      <c r="D1">
        <v>2023</v>
      </c>
      <c r="E1">
        <v>2024</v>
      </c>
      <c r="F1">
        <v>2025</v>
      </c>
      <c r="G1">
        <v>2026</v>
      </c>
      <c r="H1">
        <v>2027</v>
      </c>
      <c r="I1">
        <v>2028</v>
      </c>
      <c r="J1">
        <v>2029</v>
      </c>
      <c r="K1">
        <v>2030</v>
      </c>
      <c r="L1">
        <v>2031</v>
      </c>
      <c r="M1">
        <v>2032</v>
      </c>
      <c r="N1">
        <v>2033</v>
      </c>
      <c r="O1">
        <v>2034</v>
      </c>
      <c r="P1">
        <v>2035</v>
      </c>
      <c r="Q1">
        <v>2036</v>
      </c>
      <c r="R1">
        <v>2037</v>
      </c>
      <c r="S1">
        <v>2038</v>
      </c>
      <c r="T1">
        <v>2039</v>
      </c>
      <c r="U1">
        <v>2040</v>
      </c>
      <c r="V1">
        <v>2041</v>
      </c>
      <c r="W1">
        <v>2042</v>
      </c>
      <c r="X1">
        <v>2043</v>
      </c>
      <c r="Y1">
        <v>2044</v>
      </c>
      <c r="Z1">
        <v>2045</v>
      </c>
      <c r="AA1">
        <v>2046</v>
      </c>
      <c r="AB1">
        <v>2047</v>
      </c>
      <c r="AC1">
        <v>2048</v>
      </c>
      <c r="AD1">
        <v>2049</v>
      </c>
      <c r="AE1">
        <v>2050</v>
      </c>
    </row>
    <row r="2" spans="1:31">
      <c r="A2" t="s">
        <v>15</v>
      </c>
      <c r="B2">
        <v>0</v>
      </c>
      <c r="C2">
        <v>0</v>
      </c>
      <c r="D2">
        <v>0</v>
      </c>
      <c r="E2">
        <v>0</v>
      </c>
      <c r="F2">
        <v>0</v>
      </c>
      <c r="G2">
        <v>0</v>
      </c>
      <c r="H2">
        <v>0</v>
      </c>
      <c r="I2">
        <v>0</v>
      </c>
      <c r="J2">
        <v>0</v>
      </c>
      <c r="K2">
        <v>0</v>
      </c>
      <c r="L2">
        <v>0</v>
      </c>
      <c r="M2">
        <v>0</v>
      </c>
      <c r="N2">
        <v>0</v>
      </c>
      <c r="O2">
        <v>0</v>
      </c>
      <c r="P2">
        <v>0</v>
      </c>
      <c r="Q2">
        <v>0</v>
      </c>
      <c r="R2">
        <v>0</v>
      </c>
      <c r="S2">
        <v>0</v>
      </c>
      <c r="T2">
        <v>0</v>
      </c>
      <c r="U2">
        <v>0</v>
      </c>
      <c r="V2">
        <v>0</v>
      </c>
      <c r="W2">
        <v>0</v>
      </c>
      <c r="X2">
        <v>0</v>
      </c>
      <c r="Y2">
        <v>0</v>
      </c>
      <c r="Z2">
        <v>0</v>
      </c>
      <c r="AA2">
        <v>0</v>
      </c>
      <c r="AB2">
        <v>0</v>
      </c>
      <c r="AC2">
        <v>0</v>
      </c>
      <c r="AD2">
        <v>0</v>
      </c>
      <c r="AE2">
        <v>0</v>
      </c>
    </row>
    <row r="3" spans="1:31">
      <c r="A3" t="s">
        <v>16</v>
      </c>
      <c r="B3">
        <v>0</v>
      </c>
      <c r="C3">
        <v>0</v>
      </c>
      <c r="D3">
        <v>0</v>
      </c>
      <c r="E3">
        <v>0</v>
      </c>
      <c r="F3">
        <v>0</v>
      </c>
      <c r="G3">
        <v>0</v>
      </c>
      <c r="H3">
        <v>0</v>
      </c>
      <c r="I3">
        <v>0</v>
      </c>
      <c r="J3">
        <v>0</v>
      </c>
      <c r="K3">
        <v>0</v>
      </c>
      <c r="L3">
        <v>0</v>
      </c>
      <c r="M3">
        <v>0</v>
      </c>
      <c r="N3">
        <v>0</v>
      </c>
      <c r="O3">
        <v>0</v>
      </c>
      <c r="P3">
        <v>0</v>
      </c>
      <c r="Q3">
        <v>0</v>
      </c>
      <c r="R3">
        <v>0</v>
      </c>
      <c r="S3">
        <v>0</v>
      </c>
      <c r="T3">
        <v>0</v>
      </c>
      <c r="U3">
        <v>0</v>
      </c>
      <c r="V3">
        <v>0</v>
      </c>
      <c r="W3">
        <v>0</v>
      </c>
      <c r="X3">
        <v>0</v>
      </c>
      <c r="Y3">
        <v>0</v>
      </c>
      <c r="Z3">
        <v>0</v>
      </c>
      <c r="AA3">
        <v>0</v>
      </c>
      <c r="AB3">
        <v>0</v>
      </c>
      <c r="AC3">
        <v>0</v>
      </c>
      <c r="AD3">
        <v>0</v>
      </c>
      <c r="AE3">
        <v>0</v>
      </c>
    </row>
    <row r="4" spans="1:31">
      <c r="A4" t="s">
        <v>17</v>
      </c>
      <c r="B4">
        <v>0</v>
      </c>
      <c r="C4">
        <v>0</v>
      </c>
      <c r="D4">
        <v>0</v>
      </c>
      <c r="E4">
        <v>0</v>
      </c>
      <c r="F4">
        <v>0</v>
      </c>
      <c r="G4">
        <v>0</v>
      </c>
      <c r="H4">
        <v>0</v>
      </c>
      <c r="I4">
        <v>0</v>
      </c>
      <c r="J4">
        <v>0</v>
      </c>
      <c r="K4">
        <v>0</v>
      </c>
      <c r="L4">
        <v>0</v>
      </c>
      <c r="M4">
        <v>0</v>
      </c>
      <c r="N4">
        <v>0</v>
      </c>
      <c r="O4">
        <v>0</v>
      </c>
      <c r="P4">
        <v>0</v>
      </c>
      <c r="Q4">
        <v>0</v>
      </c>
      <c r="R4">
        <v>0</v>
      </c>
      <c r="S4">
        <v>0</v>
      </c>
      <c r="T4">
        <v>0</v>
      </c>
      <c r="U4">
        <v>0</v>
      </c>
      <c r="V4">
        <v>0</v>
      </c>
      <c r="W4">
        <v>0</v>
      </c>
      <c r="X4">
        <v>0</v>
      </c>
      <c r="Y4">
        <v>0</v>
      </c>
      <c r="Z4">
        <v>0</v>
      </c>
      <c r="AA4">
        <v>0</v>
      </c>
      <c r="AB4">
        <v>0</v>
      </c>
      <c r="AC4">
        <v>0</v>
      </c>
      <c r="AD4">
        <v>0</v>
      </c>
      <c r="AE4">
        <v>0</v>
      </c>
    </row>
    <row r="5" spans="1:31">
      <c r="A5" t="s">
        <v>18</v>
      </c>
      <c r="B5">
        <v>0</v>
      </c>
      <c r="C5">
        <v>0</v>
      </c>
      <c r="D5">
        <v>0</v>
      </c>
      <c r="E5">
        <v>0</v>
      </c>
      <c r="F5">
        <v>0</v>
      </c>
      <c r="G5">
        <v>0</v>
      </c>
      <c r="H5">
        <v>0</v>
      </c>
      <c r="I5">
        <v>0</v>
      </c>
      <c r="J5">
        <v>0</v>
      </c>
      <c r="K5">
        <v>0</v>
      </c>
      <c r="L5">
        <v>0</v>
      </c>
      <c r="M5">
        <v>0</v>
      </c>
      <c r="N5">
        <v>0</v>
      </c>
      <c r="O5">
        <v>0</v>
      </c>
      <c r="P5">
        <v>0</v>
      </c>
      <c r="Q5">
        <v>0</v>
      </c>
      <c r="R5">
        <v>0</v>
      </c>
      <c r="S5">
        <v>0</v>
      </c>
      <c r="T5">
        <v>0</v>
      </c>
      <c r="U5">
        <v>0</v>
      </c>
      <c r="V5">
        <v>0</v>
      </c>
      <c r="W5">
        <v>0</v>
      </c>
      <c r="X5">
        <v>0</v>
      </c>
      <c r="Y5">
        <v>0</v>
      </c>
      <c r="Z5">
        <v>0</v>
      </c>
      <c r="AA5">
        <v>0</v>
      </c>
      <c r="AB5">
        <v>0</v>
      </c>
      <c r="AC5">
        <v>0</v>
      </c>
      <c r="AD5">
        <v>0</v>
      </c>
      <c r="AE5">
        <v>0</v>
      </c>
    </row>
    <row r="6" spans="1:31">
      <c r="A6" t="s">
        <v>19</v>
      </c>
      <c r="B6">
        <v>0</v>
      </c>
      <c r="C6">
        <v>0</v>
      </c>
      <c r="D6">
        <v>0</v>
      </c>
      <c r="E6">
        <v>0</v>
      </c>
      <c r="F6">
        <v>0</v>
      </c>
      <c r="G6">
        <v>0</v>
      </c>
      <c r="H6">
        <v>0</v>
      </c>
      <c r="I6">
        <v>0</v>
      </c>
      <c r="J6">
        <v>0</v>
      </c>
      <c r="K6">
        <v>0</v>
      </c>
      <c r="L6">
        <v>0</v>
      </c>
      <c r="M6">
        <v>0</v>
      </c>
      <c r="N6">
        <v>0</v>
      </c>
      <c r="O6">
        <v>0</v>
      </c>
      <c r="P6">
        <v>0</v>
      </c>
      <c r="Q6">
        <v>0</v>
      </c>
      <c r="R6">
        <v>0</v>
      </c>
      <c r="S6">
        <v>0</v>
      </c>
      <c r="T6">
        <v>0</v>
      </c>
      <c r="U6">
        <v>0</v>
      </c>
      <c r="V6">
        <v>0</v>
      </c>
      <c r="W6">
        <v>0</v>
      </c>
      <c r="X6">
        <v>0</v>
      </c>
      <c r="Y6">
        <v>0</v>
      </c>
      <c r="Z6">
        <v>0</v>
      </c>
      <c r="AA6">
        <v>0</v>
      </c>
      <c r="AB6">
        <v>0</v>
      </c>
      <c r="AC6">
        <v>0</v>
      </c>
      <c r="AD6">
        <v>0</v>
      </c>
      <c r="AE6">
        <v>0</v>
      </c>
    </row>
    <row r="7" spans="1:31">
      <c r="A7" t="s">
        <v>21</v>
      </c>
      <c r="B7">
        <v>0</v>
      </c>
      <c r="C7">
        <v>0</v>
      </c>
      <c r="D7">
        <v>0</v>
      </c>
      <c r="E7">
        <v>0</v>
      </c>
      <c r="F7">
        <v>0</v>
      </c>
      <c r="G7">
        <v>0</v>
      </c>
      <c r="H7">
        <v>0</v>
      </c>
      <c r="I7">
        <v>0</v>
      </c>
      <c r="J7">
        <v>0</v>
      </c>
      <c r="K7">
        <v>0</v>
      </c>
      <c r="L7">
        <v>0</v>
      </c>
      <c r="M7">
        <v>0</v>
      </c>
      <c r="N7">
        <v>0</v>
      </c>
      <c r="O7">
        <v>0</v>
      </c>
      <c r="P7">
        <v>0</v>
      </c>
      <c r="Q7">
        <v>0</v>
      </c>
      <c r="R7">
        <v>0</v>
      </c>
      <c r="S7">
        <v>0</v>
      </c>
      <c r="T7">
        <v>0</v>
      </c>
      <c r="U7">
        <v>0</v>
      </c>
      <c r="V7">
        <v>0</v>
      </c>
      <c r="W7">
        <v>0</v>
      </c>
      <c r="X7">
        <v>0</v>
      </c>
      <c r="Y7">
        <v>0</v>
      </c>
      <c r="Z7">
        <v>0</v>
      </c>
      <c r="AA7">
        <v>0</v>
      </c>
      <c r="AB7">
        <v>0</v>
      </c>
      <c r="AC7">
        <v>0</v>
      </c>
      <c r="AD7">
        <v>0</v>
      </c>
      <c r="AE7">
        <v>0</v>
      </c>
    </row>
    <row r="8" spans="1:31">
      <c r="A8" t="s">
        <v>20</v>
      </c>
      <c r="B8">
        <v>0</v>
      </c>
      <c r="C8">
        <v>0</v>
      </c>
      <c r="D8">
        <v>0</v>
      </c>
      <c r="E8">
        <v>0</v>
      </c>
      <c r="F8">
        <v>0</v>
      </c>
      <c r="G8">
        <v>0</v>
      </c>
      <c r="H8">
        <v>0</v>
      </c>
      <c r="I8">
        <v>0</v>
      </c>
      <c r="J8">
        <v>0</v>
      </c>
      <c r="K8">
        <v>0</v>
      </c>
      <c r="L8">
        <v>0</v>
      </c>
      <c r="M8">
        <v>0</v>
      </c>
      <c r="N8">
        <v>0</v>
      </c>
      <c r="O8">
        <v>0</v>
      </c>
      <c r="P8">
        <v>0</v>
      </c>
      <c r="Q8">
        <v>0</v>
      </c>
      <c r="R8">
        <v>0</v>
      </c>
      <c r="S8">
        <v>0</v>
      </c>
      <c r="T8">
        <v>0</v>
      </c>
      <c r="U8">
        <v>0</v>
      </c>
      <c r="V8">
        <v>0</v>
      </c>
      <c r="W8">
        <v>0</v>
      </c>
      <c r="X8">
        <v>0</v>
      </c>
      <c r="Y8">
        <v>0</v>
      </c>
      <c r="Z8">
        <v>0</v>
      </c>
      <c r="AA8">
        <v>0</v>
      </c>
      <c r="AB8">
        <v>0</v>
      </c>
      <c r="AC8">
        <v>0</v>
      </c>
      <c r="AD8">
        <v>0</v>
      </c>
      <c r="AE8">
        <v>0</v>
      </c>
    </row>
    <row r="9" spans="1:31">
      <c r="A9" t="s">
        <v>82</v>
      </c>
      <c r="B9">
        <v>0</v>
      </c>
      <c r="C9">
        <v>0</v>
      </c>
      <c r="D9">
        <v>0</v>
      </c>
      <c r="E9">
        <v>0</v>
      </c>
      <c r="F9">
        <v>0</v>
      </c>
      <c r="G9">
        <v>0</v>
      </c>
      <c r="H9">
        <v>0</v>
      </c>
      <c r="I9">
        <v>0</v>
      </c>
      <c r="J9">
        <v>0</v>
      </c>
      <c r="K9">
        <v>0</v>
      </c>
      <c r="L9">
        <v>0</v>
      </c>
      <c r="M9">
        <v>0</v>
      </c>
      <c r="N9">
        <v>0</v>
      </c>
      <c r="O9">
        <v>0</v>
      </c>
      <c r="P9">
        <v>0</v>
      </c>
      <c r="Q9">
        <v>0</v>
      </c>
      <c r="R9">
        <v>0</v>
      </c>
      <c r="S9">
        <v>0</v>
      </c>
      <c r="T9">
        <v>0</v>
      </c>
      <c r="U9">
        <v>0</v>
      </c>
      <c r="V9">
        <v>0</v>
      </c>
      <c r="W9">
        <v>0</v>
      </c>
      <c r="X9">
        <v>0</v>
      </c>
      <c r="Y9">
        <v>0</v>
      </c>
      <c r="Z9">
        <v>0</v>
      </c>
      <c r="AA9">
        <v>0</v>
      </c>
      <c r="AB9">
        <v>0</v>
      </c>
      <c r="AC9">
        <v>0</v>
      </c>
      <c r="AD9">
        <v>0</v>
      </c>
      <c r="AE9">
        <v>0</v>
      </c>
    </row>
    <row r="10" spans="1:31">
      <c r="A10" t="s">
        <v>83</v>
      </c>
      <c r="B10">
        <v>0</v>
      </c>
      <c r="C10">
        <v>0</v>
      </c>
      <c r="D10">
        <v>0</v>
      </c>
      <c r="E10">
        <v>0</v>
      </c>
      <c r="F10">
        <v>0</v>
      </c>
      <c r="G10">
        <v>0</v>
      </c>
      <c r="H10">
        <v>0</v>
      </c>
      <c r="I10">
        <v>0</v>
      </c>
      <c r="J10">
        <v>0</v>
      </c>
      <c r="K10">
        <v>0</v>
      </c>
      <c r="L10">
        <v>0</v>
      </c>
      <c r="M10">
        <v>0</v>
      </c>
      <c r="N10">
        <v>0</v>
      </c>
      <c r="O10">
        <v>0</v>
      </c>
      <c r="P10">
        <v>0</v>
      </c>
      <c r="Q10">
        <v>0</v>
      </c>
      <c r="R10">
        <v>0</v>
      </c>
      <c r="S10">
        <v>0</v>
      </c>
      <c r="T10">
        <v>0</v>
      </c>
      <c r="U10">
        <v>0</v>
      </c>
      <c r="V10">
        <v>0</v>
      </c>
      <c r="W10">
        <v>0</v>
      </c>
      <c r="X10">
        <v>0</v>
      </c>
      <c r="Y10">
        <v>0</v>
      </c>
      <c r="Z10">
        <v>0</v>
      </c>
      <c r="AA10">
        <v>0</v>
      </c>
      <c r="AB10">
        <v>0</v>
      </c>
      <c r="AC10">
        <v>0</v>
      </c>
      <c r="AD10">
        <v>0</v>
      </c>
      <c r="AE10">
        <v>0</v>
      </c>
    </row>
    <row r="11" spans="1:31">
      <c r="A11" t="s">
        <v>84</v>
      </c>
      <c r="B11">
        <v>1</v>
      </c>
      <c r="C11">
        <v>1</v>
      </c>
      <c r="D11">
        <v>1</v>
      </c>
      <c r="E11">
        <v>1</v>
      </c>
      <c r="F11">
        <v>1</v>
      </c>
      <c r="G11">
        <v>1</v>
      </c>
      <c r="H11">
        <v>1</v>
      </c>
      <c r="I11">
        <v>1</v>
      </c>
      <c r="J11">
        <v>1</v>
      </c>
      <c r="K11">
        <v>1</v>
      </c>
      <c r="L11">
        <v>1</v>
      </c>
      <c r="M11">
        <v>1</v>
      </c>
      <c r="N11">
        <v>1</v>
      </c>
      <c r="O11">
        <v>1</v>
      </c>
      <c r="P11">
        <v>1</v>
      </c>
      <c r="Q11">
        <v>1</v>
      </c>
      <c r="R11">
        <v>1</v>
      </c>
      <c r="S11">
        <v>1</v>
      </c>
      <c r="T11">
        <v>1</v>
      </c>
      <c r="U11">
        <v>1</v>
      </c>
      <c r="V11">
        <v>1</v>
      </c>
      <c r="W11">
        <v>1</v>
      </c>
      <c r="X11">
        <v>1</v>
      </c>
      <c r="Y11">
        <v>1</v>
      </c>
      <c r="Z11">
        <v>1</v>
      </c>
      <c r="AA11">
        <v>1</v>
      </c>
      <c r="AB11">
        <v>1</v>
      </c>
      <c r="AC11">
        <v>1</v>
      </c>
      <c r="AD11">
        <v>1</v>
      </c>
      <c r="AE11">
        <v>1</v>
      </c>
    </row>
  </sheetData>
  <pageMargins left="0.7" right="0.7" top="0.75" bottom="0.75" header="0.3" footer="0.3"/>
</worksheet>
</file>

<file path=xl/worksheets/sheet7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4300-000000000000}">
  <sheetPr>
    <tabColor rgb="FFFF0000"/>
  </sheetPr>
  <dimension ref="A1"/>
  <sheetViews>
    <sheetView workbookViewId="0"/>
  </sheetViews>
  <sheetFormatPr defaultRowHeight="14.25"/>
  <sheetData/>
  <pageMargins left="0.7" right="0.7" top="0.75" bottom="0.75" header="0.3" footer="0.3"/>
</worksheet>
</file>

<file path=xl/worksheets/sheet7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4400-000000000000}">
  <sheetPr>
    <tabColor theme="3"/>
  </sheetPr>
  <dimension ref="A1:AE11"/>
  <sheetViews>
    <sheetView workbookViewId="0">
      <selection activeCell="F13" sqref="F13"/>
    </sheetView>
  </sheetViews>
  <sheetFormatPr defaultRowHeight="14.25"/>
  <cols>
    <col min="1" max="1" width="22.53125" customWidth="1"/>
  </cols>
  <sheetData>
    <row r="1" spans="1:31" ht="28.5">
      <c r="A1" s="10" t="s">
        <v>85</v>
      </c>
      <c r="B1">
        <v>2021</v>
      </c>
      <c r="C1">
        <v>2022</v>
      </c>
      <c r="D1">
        <v>2023</v>
      </c>
      <c r="E1">
        <v>2024</v>
      </c>
      <c r="F1">
        <v>2025</v>
      </c>
      <c r="G1">
        <v>2026</v>
      </c>
      <c r="H1">
        <v>2027</v>
      </c>
      <c r="I1">
        <v>2028</v>
      </c>
      <c r="J1">
        <v>2029</v>
      </c>
      <c r="K1">
        <v>2030</v>
      </c>
      <c r="L1">
        <v>2031</v>
      </c>
      <c r="M1">
        <v>2032</v>
      </c>
      <c r="N1">
        <v>2033</v>
      </c>
      <c r="O1">
        <v>2034</v>
      </c>
      <c r="P1">
        <v>2035</v>
      </c>
      <c r="Q1">
        <v>2036</v>
      </c>
      <c r="R1">
        <v>2037</v>
      </c>
      <c r="S1">
        <v>2038</v>
      </c>
      <c r="T1">
        <v>2039</v>
      </c>
      <c r="U1">
        <v>2040</v>
      </c>
      <c r="V1">
        <v>2041</v>
      </c>
      <c r="W1">
        <v>2042</v>
      </c>
      <c r="X1">
        <v>2043</v>
      </c>
      <c r="Y1">
        <v>2044</v>
      </c>
      <c r="Z1">
        <v>2045</v>
      </c>
      <c r="AA1">
        <v>2046</v>
      </c>
      <c r="AB1">
        <v>2047</v>
      </c>
      <c r="AC1">
        <v>2048</v>
      </c>
      <c r="AD1">
        <v>2049</v>
      </c>
      <c r="AE1">
        <v>2050</v>
      </c>
    </row>
    <row r="2" spans="1:31">
      <c r="A2" t="s">
        <v>15</v>
      </c>
      <c r="B2">
        <v>1</v>
      </c>
      <c r="C2">
        <v>1</v>
      </c>
      <c r="D2">
        <v>1</v>
      </c>
      <c r="E2">
        <v>1</v>
      </c>
      <c r="F2">
        <v>1</v>
      </c>
      <c r="G2">
        <v>1</v>
      </c>
      <c r="H2">
        <v>1</v>
      </c>
      <c r="I2">
        <v>1</v>
      </c>
      <c r="J2">
        <v>1</v>
      </c>
      <c r="K2">
        <v>1</v>
      </c>
      <c r="L2">
        <v>1</v>
      </c>
      <c r="M2">
        <v>1</v>
      </c>
      <c r="N2">
        <v>1</v>
      </c>
      <c r="O2">
        <v>1</v>
      </c>
      <c r="P2">
        <v>1</v>
      </c>
      <c r="Q2">
        <v>1</v>
      </c>
      <c r="R2">
        <v>1</v>
      </c>
      <c r="S2">
        <v>1</v>
      </c>
      <c r="T2">
        <v>1</v>
      </c>
      <c r="U2">
        <v>1</v>
      </c>
      <c r="V2">
        <v>1</v>
      </c>
      <c r="W2">
        <v>1</v>
      </c>
      <c r="X2">
        <v>1</v>
      </c>
      <c r="Y2">
        <v>1</v>
      </c>
      <c r="Z2">
        <v>1</v>
      </c>
      <c r="AA2">
        <v>1</v>
      </c>
      <c r="AB2">
        <v>1</v>
      </c>
      <c r="AC2">
        <v>1</v>
      </c>
      <c r="AD2">
        <v>1</v>
      </c>
      <c r="AE2">
        <v>1</v>
      </c>
    </row>
    <row r="3" spans="1:31">
      <c r="A3" t="s">
        <v>16</v>
      </c>
      <c r="B3">
        <v>0</v>
      </c>
      <c r="C3">
        <v>0</v>
      </c>
      <c r="D3">
        <v>0</v>
      </c>
      <c r="E3">
        <v>0</v>
      </c>
      <c r="F3">
        <v>0</v>
      </c>
      <c r="G3">
        <v>0</v>
      </c>
      <c r="H3">
        <v>0</v>
      </c>
      <c r="I3">
        <v>0</v>
      </c>
      <c r="J3">
        <v>0</v>
      </c>
      <c r="K3">
        <v>0</v>
      </c>
      <c r="L3">
        <v>0</v>
      </c>
      <c r="M3">
        <v>0</v>
      </c>
      <c r="N3">
        <v>0</v>
      </c>
      <c r="O3">
        <v>0</v>
      </c>
      <c r="P3">
        <v>0</v>
      </c>
      <c r="Q3">
        <v>0</v>
      </c>
      <c r="R3">
        <v>0</v>
      </c>
      <c r="S3">
        <v>0</v>
      </c>
      <c r="T3">
        <v>0</v>
      </c>
      <c r="U3">
        <v>0</v>
      </c>
      <c r="V3">
        <v>0</v>
      </c>
      <c r="W3">
        <v>0</v>
      </c>
      <c r="X3">
        <v>0</v>
      </c>
      <c r="Y3">
        <v>0</v>
      </c>
      <c r="Z3">
        <v>0</v>
      </c>
      <c r="AA3">
        <v>0</v>
      </c>
      <c r="AB3">
        <v>0</v>
      </c>
      <c r="AC3">
        <v>0</v>
      </c>
      <c r="AD3">
        <v>0</v>
      </c>
      <c r="AE3">
        <v>0</v>
      </c>
    </row>
    <row r="4" spans="1:31">
      <c r="A4" t="s">
        <v>17</v>
      </c>
      <c r="B4">
        <v>0</v>
      </c>
      <c r="C4">
        <v>0</v>
      </c>
      <c r="D4">
        <v>0</v>
      </c>
      <c r="E4">
        <v>0</v>
      </c>
      <c r="F4">
        <v>0</v>
      </c>
      <c r="G4">
        <v>0</v>
      </c>
      <c r="H4">
        <v>0</v>
      </c>
      <c r="I4">
        <v>0</v>
      </c>
      <c r="J4">
        <v>0</v>
      </c>
      <c r="K4">
        <v>0</v>
      </c>
      <c r="L4">
        <v>0</v>
      </c>
      <c r="M4">
        <v>0</v>
      </c>
      <c r="N4">
        <v>0</v>
      </c>
      <c r="O4">
        <v>0</v>
      </c>
      <c r="P4">
        <v>0</v>
      </c>
      <c r="Q4">
        <v>0</v>
      </c>
      <c r="R4">
        <v>0</v>
      </c>
      <c r="S4">
        <v>0</v>
      </c>
      <c r="T4">
        <v>0</v>
      </c>
      <c r="U4">
        <v>0</v>
      </c>
      <c r="V4">
        <v>0</v>
      </c>
      <c r="W4">
        <v>0</v>
      </c>
      <c r="X4">
        <v>0</v>
      </c>
      <c r="Y4">
        <v>0</v>
      </c>
      <c r="Z4">
        <v>0</v>
      </c>
      <c r="AA4">
        <v>0</v>
      </c>
      <c r="AB4">
        <v>0</v>
      </c>
      <c r="AC4">
        <v>0</v>
      </c>
      <c r="AD4">
        <v>0</v>
      </c>
      <c r="AE4">
        <v>0</v>
      </c>
    </row>
    <row r="5" spans="1:31">
      <c r="A5" t="s">
        <v>18</v>
      </c>
      <c r="B5">
        <v>0</v>
      </c>
      <c r="C5">
        <v>0</v>
      </c>
      <c r="D5">
        <v>0</v>
      </c>
      <c r="E5">
        <v>0</v>
      </c>
      <c r="F5">
        <v>0</v>
      </c>
      <c r="G5">
        <v>0</v>
      </c>
      <c r="H5">
        <v>0</v>
      </c>
      <c r="I5">
        <v>0</v>
      </c>
      <c r="J5">
        <v>0</v>
      </c>
      <c r="K5">
        <v>0</v>
      </c>
      <c r="L5">
        <v>0</v>
      </c>
      <c r="M5">
        <v>0</v>
      </c>
      <c r="N5">
        <v>0</v>
      </c>
      <c r="O5">
        <v>0</v>
      </c>
      <c r="P5">
        <v>0</v>
      </c>
      <c r="Q5">
        <v>0</v>
      </c>
      <c r="R5">
        <v>0</v>
      </c>
      <c r="S5">
        <v>0</v>
      </c>
      <c r="T5">
        <v>0</v>
      </c>
      <c r="U5">
        <v>0</v>
      </c>
      <c r="V5">
        <v>0</v>
      </c>
      <c r="W5">
        <v>0</v>
      </c>
      <c r="X5">
        <v>0</v>
      </c>
      <c r="Y5">
        <v>0</v>
      </c>
      <c r="Z5">
        <v>0</v>
      </c>
      <c r="AA5">
        <v>0</v>
      </c>
      <c r="AB5">
        <v>0</v>
      </c>
      <c r="AC5">
        <v>0</v>
      </c>
      <c r="AD5">
        <v>0</v>
      </c>
      <c r="AE5">
        <v>0</v>
      </c>
    </row>
    <row r="6" spans="1:31">
      <c r="A6" t="s">
        <v>19</v>
      </c>
      <c r="B6">
        <v>0</v>
      </c>
      <c r="C6">
        <v>0</v>
      </c>
      <c r="D6">
        <v>0</v>
      </c>
      <c r="E6">
        <v>0</v>
      </c>
      <c r="F6">
        <v>0</v>
      </c>
      <c r="G6">
        <v>0</v>
      </c>
      <c r="H6">
        <v>0</v>
      </c>
      <c r="I6">
        <v>0</v>
      </c>
      <c r="J6">
        <v>0</v>
      </c>
      <c r="K6">
        <v>0</v>
      </c>
      <c r="L6">
        <v>0</v>
      </c>
      <c r="M6">
        <v>0</v>
      </c>
      <c r="N6">
        <v>0</v>
      </c>
      <c r="O6">
        <v>0</v>
      </c>
      <c r="P6">
        <v>0</v>
      </c>
      <c r="Q6">
        <v>0</v>
      </c>
      <c r="R6">
        <v>0</v>
      </c>
      <c r="S6">
        <v>0</v>
      </c>
      <c r="T6">
        <v>0</v>
      </c>
      <c r="U6">
        <v>0</v>
      </c>
      <c r="V6">
        <v>0</v>
      </c>
      <c r="W6">
        <v>0</v>
      </c>
      <c r="X6">
        <v>0</v>
      </c>
      <c r="Y6">
        <v>0</v>
      </c>
      <c r="Z6">
        <v>0</v>
      </c>
      <c r="AA6">
        <v>0</v>
      </c>
      <c r="AB6">
        <v>0</v>
      </c>
      <c r="AC6">
        <v>0</v>
      </c>
      <c r="AD6">
        <v>0</v>
      </c>
      <c r="AE6">
        <v>0</v>
      </c>
    </row>
    <row r="7" spans="1:31">
      <c r="A7" t="s">
        <v>21</v>
      </c>
      <c r="B7">
        <v>0</v>
      </c>
      <c r="C7">
        <v>0</v>
      </c>
      <c r="D7">
        <v>0</v>
      </c>
      <c r="E7">
        <v>0</v>
      </c>
      <c r="F7">
        <v>0</v>
      </c>
      <c r="G7">
        <v>0</v>
      </c>
      <c r="H7">
        <v>0</v>
      </c>
      <c r="I7">
        <v>0</v>
      </c>
      <c r="J7">
        <v>0</v>
      </c>
      <c r="K7">
        <v>0</v>
      </c>
      <c r="L7">
        <v>0</v>
      </c>
      <c r="M7">
        <v>0</v>
      </c>
      <c r="N7">
        <v>0</v>
      </c>
      <c r="O7">
        <v>0</v>
      </c>
      <c r="P7">
        <v>0</v>
      </c>
      <c r="Q7">
        <v>0</v>
      </c>
      <c r="R7">
        <v>0</v>
      </c>
      <c r="S7">
        <v>0</v>
      </c>
      <c r="T7">
        <v>0</v>
      </c>
      <c r="U7">
        <v>0</v>
      </c>
      <c r="V7">
        <v>0</v>
      </c>
      <c r="W7">
        <v>0</v>
      </c>
      <c r="X7">
        <v>0</v>
      </c>
      <c r="Y7">
        <v>0</v>
      </c>
      <c r="Z7">
        <v>0</v>
      </c>
      <c r="AA7">
        <v>0</v>
      </c>
      <c r="AB7">
        <v>0</v>
      </c>
      <c r="AC7">
        <v>0</v>
      </c>
      <c r="AD7">
        <v>0</v>
      </c>
      <c r="AE7">
        <v>0</v>
      </c>
    </row>
    <row r="8" spans="1:31">
      <c r="A8" t="s">
        <v>20</v>
      </c>
      <c r="B8">
        <v>0</v>
      </c>
      <c r="C8">
        <v>0</v>
      </c>
      <c r="D8">
        <v>0</v>
      </c>
      <c r="E8">
        <v>0</v>
      </c>
      <c r="F8">
        <v>0</v>
      </c>
      <c r="G8">
        <v>0</v>
      </c>
      <c r="H8">
        <v>0</v>
      </c>
      <c r="I8">
        <v>0</v>
      </c>
      <c r="J8">
        <v>0</v>
      </c>
      <c r="K8">
        <v>0</v>
      </c>
      <c r="L8">
        <v>0</v>
      </c>
      <c r="M8">
        <v>0</v>
      </c>
      <c r="N8">
        <v>0</v>
      </c>
      <c r="O8">
        <v>0</v>
      </c>
      <c r="P8">
        <v>0</v>
      </c>
      <c r="Q8">
        <v>0</v>
      </c>
      <c r="R8">
        <v>0</v>
      </c>
      <c r="S8">
        <v>0</v>
      </c>
      <c r="T8">
        <v>0</v>
      </c>
      <c r="U8">
        <v>0</v>
      </c>
      <c r="V8">
        <v>0</v>
      </c>
      <c r="W8">
        <v>0</v>
      </c>
      <c r="X8">
        <v>0</v>
      </c>
      <c r="Y8">
        <v>0</v>
      </c>
      <c r="Z8">
        <v>0</v>
      </c>
      <c r="AA8">
        <v>0</v>
      </c>
      <c r="AB8">
        <v>0</v>
      </c>
      <c r="AC8">
        <v>0</v>
      </c>
      <c r="AD8">
        <v>0</v>
      </c>
      <c r="AE8">
        <v>0</v>
      </c>
    </row>
    <row r="9" spans="1:31">
      <c r="A9" t="s">
        <v>82</v>
      </c>
      <c r="B9">
        <v>0</v>
      </c>
      <c r="C9">
        <v>0</v>
      </c>
      <c r="D9">
        <v>0</v>
      </c>
      <c r="E9">
        <v>0</v>
      </c>
      <c r="F9">
        <v>0</v>
      </c>
      <c r="G9">
        <v>0</v>
      </c>
      <c r="H9">
        <v>0</v>
      </c>
      <c r="I9">
        <v>0</v>
      </c>
      <c r="J9">
        <v>0</v>
      </c>
      <c r="K9">
        <v>0</v>
      </c>
      <c r="L9">
        <v>0</v>
      </c>
      <c r="M9">
        <v>0</v>
      </c>
      <c r="N9">
        <v>0</v>
      </c>
      <c r="O9">
        <v>0</v>
      </c>
      <c r="P9">
        <v>0</v>
      </c>
      <c r="Q9">
        <v>0</v>
      </c>
      <c r="R9">
        <v>0</v>
      </c>
      <c r="S9">
        <v>0</v>
      </c>
      <c r="T9">
        <v>0</v>
      </c>
      <c r="U9">
        <v>0</v>
      </c>
      <c r="V9">
        <v>0</v>
      </c>
      <c r="W9">
        <v>0</v>
      </c>
      <c r="X9">
        <v>0</v>
      </c>
      <c r="Y9">
        <v>0</v>
      </c>
      <c r="Z9">
        <v>0</v>
      </c>
      <c r="AA9">
        <v>0</v>
      </c>
      <c r="AB9">
        <v>0</v>
      </c>
      <c r="AC9">
        <v>0</v>
      </c>
      <c r="AD9">
        <v>0</v>
      </c>
      <c r="AE9">
        <v>0</v>
      </c>
    </row>
    <row r="10" spans="1:31">
      <c r="A10" t="s">
        <v>83</v>
      </c>
      <c r="B10">
        <v>0</v>
      </c>
      <c r="C10">
        <v>0</v>
      </c>
      <c r="D10">
        <v>0</v>
      </c>
      <c r="E10">
        <v>0</v>
      </c>
      <c r="F10">
        <v>0</v>
      </c>
      <c r="G10">
        <v>0</v>
      </c>
      <c r="H10">
        <v>0</v>
      </c>
      <c r="I10">
        <v>0</v>
      </c>
      <c r="J10">
        <v>0</v>
      </c>
      <c r="K10">
        <v>0</v>
      </c>
      <c r="L10">
        <v>0</v>
      </c>
      <c r="M10">
        <v>0</v>
      </c>
      <c r="N10">
        <v>0</v>
      </c>
      <c r="O10">
        <v>0</v>
      </c>
      <c r="P10">
        <v>0</v>
      </c>
      <c r="Q10">
        <v>0</v>
      </c>
      <c r="R10">
        <v>0</v>
      </c>
      <c r="S10">
        <v>0</v>
      </c>
      <c r="T10">
        <v>0</v>
      </c>
      <c r="U10">
        <v>0</v>
      </c>
      <c r="V10">
        <v>0</v>
      </c>
      <c r="W10">
        <v>0</v>
      </c>
      <c r="X10">
        <v>0</v>
      </c>
      <c r="Y10">
        <v>0</v>
      </c>
      <c r="Z10">
        <v>0</v>
      </c>
      <c r="AA10">
        <v>0</v>
      </c>
      <c r="AB10">
        <v>0</v>
      </c>
      <c r="AC10">
        <v>0</v>
      </c>
      <c r="AD10">
        <v>0</v>
      </c>
      <c r="AE10">
        <v>0</v>
      </c>
    </row>
    <row r="11" spans="1:31">
      <c r="A11" t="s">
        <v>84</v>
      </c>
      <c r="B11">
        <v>0</v>
      </c>
      <c r="C11">
        <v>0</v>
      </c>
      <c r="D11">
        <v>0</v>
      </c>
      <c r="E11">
        <v>0</v>
      </c>
      <c r="F11">
        <v>0</v>
      </c>
      <c r="G11">
        <v>0</v>
      </c>
      <c r="H11">
        <v>0</v>
      </c>
      <c r="I11">
        <v>0</v>
      </c>
      <c r="J11">
        <v>0</v>
      </c>
      <c r="K11">
        <v>0</v>
      </c>
      <c r="L11">
        <v>0</v>
      </c>
      <c r="M11">
        <v>0</v>
      </c>
      <c r="N11">
        <v>0</v>
      </c>
      <c r="O11">
        <v>0</v>
      </c>
      <c r="P11">
        <v>0</v>
      </c>
      <c r="Q11">
        <v>0</v>
      </c>
      <c r="R11">
        <v>0</v>
      </c>
      <c r="S11">
        <v>0</v>
      </c>
      <c r="T11">
        <v>0</v>
      </c>
      <c r="U11">
        <v>0</v>
      </c>
      <c r="V11">
        <v>0</v>
      </c>
      <c r="W11">
        <v>0</v>
      </c>
      <c r="X11">
        <v>0</v>
      </c>
      <c r="Y11">
        <v>0</v>
      </c>
      <c r="Z11">
        <v>0</v>
      </c>
      <c r="AA11">
        <v>0</v>
      </c>
      <c r="AB11">
        <v>0</v>
      </c>
      <c r="AC11">
        <v>0</v>
      </c>
      <c r="AD11">
        <v>0</v>
      </c>
      <c r="AE11">
        <v>0</v>
      </c>
    </row>
  </sheetData>
  <pageMargins left="0.7" right="0.7" top="0.75" bottom="0.75" header="0.3" footer="0.3"/>
</worksheet>
</file>

<file path=xl/worksheets/sheet8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4500-000000000000}">
  <sheetPr>
    <tabColor theme="3"/>
  </sheetPr>
  <dimension ref="A1:AE11"/>
  <sheetViews>
    <sheetView workbookViewId="0">
      <selection activeCell="B1" sqref="B1:C11"/>
    </sheetView>
  </sheetViews>
  <sheetFormatPr defaultRowHeight="14.25"/>
  <cols>
    <col min="1" max="1" width="22.53125" customWidth="1"/>
  </cols>
  <sheetData>
    <row r="1" spans="1:31" ht="28.5">
      <c r="A1" s="10" t="s">
        <v>85</v>
      </c>
      <c r="B1">
        <v>2021</v>
      </c>
      <c r="C1">
        <v>2022</v>
      </c>
      <c r="D1">
        <v>2023</v>
      </c>
      <c r="E1">
        <v>2024</v>
      </c>
      <c r="F1">
        <v>2025</v>
      </c>
      <c r="G1">
        <v>2026</v>
      </c>
      <c r="H1">
        <v>2027</v>
      </c>
      <c r="I1">
        <v>2028</v>
      </c>
      <c r="J1">
        <v>2029</v>
      </c>
      <c r="K1">
        <v>2030</v>
      </c>
      <c r="L1">
        <v>2031</v>
      </c>
      <c r="M1">
        <v>2032</v>
      </c>
      <c r="N1">
        <v>2033</v>
      </c>
      <c r="O1">
        <v>2034</v>
      </c>
      <c r="P1">
        <v>2035</v>
      </c>
      <c r="Q1">
        <v>2036</v>
      </c>
      <c r="R1">
        <v>2037</v>
      </c>
      <c r="S1">
        <v>2038</v>
      </c>
      <c r="T1">
        <v>2039</v>
      </c>
      <c r="U1">
        <v>2040</v>
      </c>
      <c r="V1">
        <v>2041</v>
      </c>
      <c r="W1">
        <v>2042</v>
      </c>
      <c r="X1">
        <v>2043</v>
      </c>
      <c r="Y1">
        <v>2044</v>
      </c>
      <c r="Z1">
        <v>2045</v>
      </c>
      <c r="AA1">
        <v>2046</v>
      </c>
      <c r="AB1">
        <v>2047</v>
      </c>
      <c r="AC1">
        <v>2048</v>
      </c>
      <c r="AD1">
        <v>2049</v>
      </c>
      <c r="AE1">
        <v>2050</v>
      </c>
    </row>
    <row r="2" spans="1:31">
      <c r="A2" t="s">
        <v>15</v>
      </c>
      <c r="B2">
        <v>0</v>
      </c>
      <c r="C2">
        <v>0</v>
      </c>
      <c r="D2">
        <v>0</v>
      </c>
      <c r="E2">
        <v>0</v>
      </c>
      <c r="F2">
        <v>0</v>
      </c>
      <c r="G2">
        <v>0</v>
      </c>
      <c r="H2">
        <v>0</v>
      </c>
      <c r="I2">
        <v>0</v>
      </c>
      <c r="J2">
        <v>0</v>
      </c>
      <c r="K2">
        <v>0</v>
      </c>
      <c r="L2">
        <v>0</v>
      </c>
      <c r="M2">
        <v>0</v>
      </c>
      <c r="N2">
        <v>0</v>
      </c>
      <c r="O2">
        <v>0</v>
      </c>
      <c r="P2">
        <v>0</v>
      </c>
      <c r="Q2">
        <v>0</v>
      </c>
      <c r="R2">
        <v>0</v>
      </c>
      <c r="S2">
        <v>0</v>
      </c>
      <c r="T2">
        <v>0</v>
      </c>
      <c r="U2">
        <v>0</v>
      </c>
      <c r="V2">
        <v>0</v>
      </c>
      <c r="W2">
        <v>0</v>
      </c>
      <c r="X2">
        <v>0</v>
      </c>
      <c r="Y2">
        <v>0</v>
      </c>
      <c r="Z2">
        <v>0</v>
      </c>
      <c r="AA2">
        <v>0</v>
      </c>
      <c r="AB2">
        <v>0</v>
      </c>
      <c r="AC2">
        <v>0</v>
      </c>
      <c r="AD2">
        <v>0</v>
      </c>
      <c r="AE2">
        <v>0</v>
      </c>
    </row>
    <row r="3" spans="1:31">
      <c r="A3" t="s">
        <v>16</v>
      </c>
      <c r="B3">
        <v>1</v>
      </c>
      <c r="C3">
        <v>1</v>
      </c>
      <c r="D3">
        <v>1</v>
      </c>
      <c r="E3">
        <v>1</v>
      </c>
      <c r="F3">
        <v>1</v>
      </c>
      <c r="G3">
        <v>1</v>
      </c>
      <c r="H3">
        <v>1</v>
      </c>
      <c r="I3">
        <v>1</v>
      </c>
      <c r="J3">
        <v>1</v>
      </c>
      <c r="K3">
        <v>1</v>
      </c>
      <c r="L3">
        <v>1</v>
      </c>
      <c r="M3">
        <v>1</v>
      </c>
      <c r="N3">
        <v>1</v>
      </c>
      <c r="O3">
        <v>1</v>
      </c>
      <c r="P3">
        <v>1</v>
      </c>
      <c r="Q3">
        <v>1</v>
      </c>
      <c r="R3">
        <v>1</v>
      </c>
      <c r="S3">
        <v>1</v>
      </c>
      <c r="T3">
        <v>1</v>
      </c>
      <c r="U3">
        <v>1</v>
      </c>
      <c r="V3">
        <v>1</v>
      </c>
      <c r="W3">
        <v>1</v>
      </c>
      <c r="X3">
        <v>1</v>
      </c>
      <c r="Y3">
        <v>1</v>
      </c>
      <c r="Z3">
        <v>1</v>
      </c>
      <c r="AA3">
        <v>1</v>
      </c>
      <c r="AB3">
        <v>1</v>
      </c>
      <c r="AC3">
        <v>1</v>
      </c>
      <c r="AD3">
        <v>1</v>
      </c>
      <c r="AE3">
        <v>1</v>
      </c>
    </row>
    <row r="4" spans="1:31">
      <c r="A4" t="s">
        <v>17</v>
      </c>
      <c r="B4">
        <v>0</v>
      </c>
      <c r="C4">
        <v>0</v>
      </c>
      <c r="D4">
        <v>0</v>
      </c>
      <c r="E4">
        <v>0</v>
      </c>
      <c r="F4">
        <v>0</v>
      </c>
      <c r="G4">
        <v>0</v>
      </c>
      <c r="H4">
        <v>0</v>
      </c>
      <c r="I4">
        <v>0</v>
      </c>
      <c r="J4">
        <v>0</v>
      </c>
      <c r="K4">
        <v>0</v>
      </c>
      <c r="L4">
        <v>0</v>
      </c>
      <c r="M4">
        <v>0</v>
      </c>
      <c r="N4">
        <v>0</v>
      </c>
      <c r="O4">
        <v>0</v>
      </c>
      <c r="P4">
        <v>0</v>
      </c>
      <c r="Q4">
        <v>0</v>
      </c>
      <c r="R4">
        <v>0</v>
      </c>
      <c r="S4">
        <v>0</v>
      </c>
      <c r="T4">
        <v>0</v>
      </c>
      <c r="U4">
        <v>0</v>
      </c>
      <c r="V4">
        <v>0</v>
      </c>
      <c r="W4">
        <v>0</v>
      </c>
      <c r="X4">
        <v>0</v>
      </c>
      <c r="Y4">
        <v>0</v>
      </c>
      <c r="Z4">
        <v>0</v>
      </c>
      <c r="AA4">
        <v>0</v>
      </c>
      <c r="AB4">
        <v>0</v>
      </c>
      <c r="AC4">
        <v>0</v>
      </c>
      <c r="AD4">
        <v>0</v>
      </c>
      <c r="AE4">
        <v>0</v>
      </c>
    </row>
    <row r="5" spans="1:31">
      <c r="A5" t="s">
        <v>18</v>
      </c>
      <c r="B5">
        <v>0</v>
      </c>
      <c r="C5">
        <v>0</v>
      </c>
      <c r="D5">
        <v>0</v>
      </c>
      <c r="E5">
        <v>0</v>
      </c>
      <c r="F5">
        <v>0</v>
      </c>
      <c r="G5">
        <v>0</v>
      </c>
      <c r="H5">
        <v>0</v>
      </c>
      <c r="I5">
        <v>0</v>
      </c>
      <c r="J5">
        <v>0</v>
      </c>
      <c r="K5">
        <v>0</v>
      </c>
      <c r="L5">
        <v>0</v>
      </c>
      <c r="M5">
        <v>0</v>
      </c>
      <c r="N5">
        <v>0</v>
      </c>
      <c r="O5">
        <v>0</v>
      </c>
      <c r="P5">
        <v>0</v>
      </c>
      <c r="Q5">
        <v>0</v>
      </c>
      <c r="R5">
        <v>0</v>
      </c>
      <c r="S5">
        <v>0</v>
      </c>
      <c r="T5">
        <v>0</v>
      </c>
      <c r="U5">
        <v>0</v>
      </c>
      <c r="V5">
        <v>0</v>
      </c>
      <c r="W5">
        <v>0</v>
      </c>
      <c r="X5">
        <v>0</v>
      </c>
      <c r="Y5">
        <v>0</v>
      </c>
      <c r="Z5">
        <v>0</v>
      </c>
      <c r="AA5">
        <v>0</v>
      </c>
      <c r="AB5">
        <v>0</v>
      </c>
      <c r="AC5">
        <v>0</v>
      </c>
      <c r="AD5">
        <v>0</v>
      </c>
      <c r="AE5">
        <v>0</v>
      </c>
    </row>
    <row r="6" spans="1:31">
      <c r="A6" t="s">
        <v>19</v>
      </c>
      <c r="B6">
        <v>0</v>
      </c>
      <c r="C6">
        <v>0</v>
      </c>
      <c r="D6">
        <v>0</v>
      </c>
      <c r="E6">
        <v>0</v>
      </c>
      <c r="F6">
        <v>0</v>
      </c>
      <c r="G6">
        <v>0</v>
      </c>
      <c r="H6">
        <v>0</v>
      </c>
      <c r="I6">
        <v>0</v>
      </c>
      <c r="J6">
        <v>0</v>
      </c>
      <c r="K6">
        <v>0</v>
      </c>
      <c r="L6">
        <v>0</v>
      </c>
      <c r="M6">
        <v>0</v>
      </c>
      <c r="N6">
        <v>0</v>
      </c>
      <c r="O6">
        <v>0</v>
      </c>
      <c r="P6">
        <v>0</v>
      </c>
      <c r="Q6">
        <v>0</v>
      </c>
      <c r="R6">
        <v>0</v>
      </c>
      <c r="S6">
        <v>0</v>
      </c>
      <c r="T6">
        <v>0</v>
      </c>
      <c r="U6">
        <v>0</v>
      </c>
      <c r="V6">
        <v>0</v>
      </c>
      <c r="W6">
        <v>0</v>
      </c>
      <c r="X6">
        <v>0</v>
      </c>
      <c r="Y6">
        <v>0</v>
      </c>
      <c r="Z6">
        <v>0</v>
      </c>
      <c r="AA6">
        <v>0</v>
      </c>
      <c r="AB6">
        <v>0</v>
      </c>
      <c r="AC6">
        <v>0</v>
      </c>
      <c r="AD6">
        <v>0</v>
      </c>
      <c r="AE6">
        <v>0</v>
      </c>
    </row>
    <row r="7" spans="1:31">
      <c r="A7" t="s">
        <v>21</v>
      </c>
      <c r="B7">
        <v>0</v>
      </c>
      <c r="C7">
        <v>0</v>
      </c>
      <c r="D7">
        <v>0</v>
      </c>
      <c r="E7">
        <v>0</v>
      </c>
      <c r="F7">
        <v>0</v>
      </c>
      <c r="G7">
        <v>0</v>
      </c>
      <c r="H7">
        <v>0</v>
      </c>
      <c r="I7">
        <v>0</v>
      </c>
      <c r="J7">
        <v>0</v>
      </c>
      <c r="K7">
        <v>0</v>
      </c>
      <c r="L7">
        <v>0</v>
      </c>
      <c r="M7">
        <v>0</v>
      </c>
      <c r="N7">
        <v>0</v>
      </c>
      <c r="O7">
        <v>0</v>
      </c>
      <c r="P7">
        <v>0</v>
      </c>
      <c r="Q7">
        <v>0</v>
      </c>
      <c r="R7">
        <v>0</v>
      </c>
      <c r="S7">
        <v>0</v>
      </c>
      <c r="T7">
        <v>0</v>
      </c>
      <c r="U7">
        <v>0</v>
      </c>
      <c r="V7">
        <v>0</v>
      </c>
      <c r="W7">
        <v>0</v>
      </c>
      <c r="X7">
        <v>0</v>
      </c>
      <c r="Y7">
        <v>0</v>
      </c>
      <c r="Z7">
        <v>0</v>
      </c>
      <c r="AA7">
        <v>0</v>
      </c>
      <c r="AB7">
        <v>0</v>
      </c>
      <c r="AC7">
        <v>0</v>
      </c>
      <c r="AD7">
        <v>0</v>
      </c>
      <c r="AE7">
        <v>0</v>
      </c>
    </row>
    <row r="8" spans="1:31">
      <c r="A8" t="s">
        <v>20</v>
      </c>
      <c r="B8">
        <v>0</v>
      </c>
      <c r="C8">
        <v>0</v>
      </c>
      <c r="D8">
        <v>0</v>
      </c>
      <c r="E8">
        <v>0</v>
      </c>
      <c r="F8">
        <v>0</v>
      </c>
      <c r="G8">
        <v>0</v>
      </c>
      <c r="H8">
        <v>0</v>
      </c>
      <c r="I8">
        <v>0</v>
      </c>
      <c r="J8">
        <v>0</v>
      </c>
      <c r="K8">
        <v>0</v>
      </c>
      <c r="L8">
        <v>0</v>
      </c>
      <c r="M8">
        <v>0</v>
      </c>
      <c r="N8">
        <v>0</v>
      </c>
      <c r="O8">
        <v>0</v>
      </c>
      <c r="P8">
        <v>0</v>
      </c>
      <c r="Q8">
        <v>0</v>
      </c>
      <c r="R8">
        <v>0</v>
      </c>
      <c r="S8">
        <v>0</v>
      </c>
      <c r="T8">
        <v>0</v>
      </c>
      <c r="U8">
        <v>0</v>
      </c>
      <c r="V8">
        <v>0</v>
      </c>
      <c r="W8">
        <v>0</v>
      </c>
      <c r="X8">
        <v>0</v>
      </c>
      <c r="Y8">
        <v>0</v>
      </c>
      <c r="Z8">
        <v>0</v>
      </c>
      <c r="AA8">
        <v>0</v>
      </c>
      <c r="AB8">
        <v>0</v>
      </c>
      <c r="AC8">
        <v>0</v>
      </c>
      <c r="AD8">
        <v>0</v>
      </c>
      <c r="AE8">
        <v>0</v>
      </c>
    </row>
    <row r="9" spans="1:31">
      <c r="A9" t="s">
        <v>82</v>
      </c>
      <c r="B9">
        <v>0</v>
      </c>
      <c r="C9">
        <v>0</v>
      </c>
      <c r="D9">
        <v>0</v>
      </c>
      <c r="E9">
        <v>0</v>
      </c>
      <c r="F9">
        <v>0</v>
      </c>
      <c r="G9">
        <v>0</v>
      </c>
      <c r="H9">
        <v>0</v>
      </c>
      <c r="I9">
        <v>0</v>
      </c>
      <c r="J9">
        <v>0</v>
      </c>
      <c r="K9">
        <v>0</v>
      </c>
      <c r="L9">
        <v>0</v>
      </c>
      <c r="M9">
        <v>0</v>
      </c>
      <c r="N9">
        <v>0</v>
      </c>
      <c r="O9">
        <v>0</v>
      </c>
      <c r="P9">
        <v>0</v>
      </c>
      <c r="Q9">
        <v>0</v>
      </c>
      <c r="R9">
        <v>0</v>
      </c>
      <c r="S9">
        <v>0</v>
      </c>
      <c r="T9">
        <v>0</v>
      </c>
      <c r="U9">
        <v>0</v>
      </c>
      <c r="V9">
        <v>0</v>
      </c>
      <c r="W9">
        <v>0</v>
      </c>
      <c r="X9">
        <v>0</v>
      </c>
      <c r="Y9">
        <v>0</v>
      </c>
      <c r="Z9">
        <v>0</v>
      </c>
      <c r="AA9">
        <v>0</v>
      </c>
      <c r="AB9">
        <v>0</v>
      </c>
      <c r="AC9">
        <v>0</v>
      </c>
      <c r="AD9">
        <v>0</v>
      </c>
      <c r="AE9">
        <v>0</v>
      </c>
    </row>
    <row r="10" spans="1:31">
      <c r="A10" t="s">
        <v>83</v>
      </c>
      <c r="B10">
        <v>0</v>
      </c>
      <c r="C10">
        <v>0</v>
      </c>
      <c r="D10">
        <v>0</v>
      </c>
      <c r="E10">
        <v>0</v>
      </c>
      <c r="F10">
        <v>0</v>
      </c>
      <c r="G10">
        <v>0</v>
      </c>
      <c r="H10">
        <v>0</v>
      </c>
      <c r="I10">
        <v>0</v>
      </c>
      <c r="J10">
        <v>0</v>
      </c>
      <c r="K10">
        <v>0</v>
      </c>
      <c r="L10">
        <v>0</v>
      </c>
      <c r="M10">
        <v>0</v>
      </c>
      <c r="N10">
        <v>0</v>
      </c>
      <c r="O10">
        <v>0</v>
      </c>
      <c r="P10">
        <v>0</v>
      </c>
      <c r="Q10">
        <v>0</v>
      </c>
      <c r="R10">
        <v>0</v>
      </c>
      <c r="S10">
        <v>0</v>
      </c>
      <c r="T10">
        <v>0</v>
      </c>
      <c r="U10">
        <v>0</v>
      </c>
      <c r="V10">
        <v>0</v>
      </c>
      <c r="W10">
        <v>0</v>
      </c>
      <c r="X10">
        <v>0</v>
      </c>
      <c r="Y10">
        <v>0</v>
      </c>
      <c r="Z10">
        <v>0</v>
      </c>
      <c r="AA10">
        <v>0</v>
      </c>
      <c r="AB10">
        <v>0</v>
      </c>
      <c r="AC10">
        <v>0</v>
      </c>
      <c r="AD10">
        <v>0</v>
      </c>
      <c r="AE10">
        <v>0</v>
      </c>
    </row>
    <row r="11" spans="1:31">
      <c r="A11" t="s">
        <v>84</v>
      </c>
      <c r="B11">
        <v>0</v>
      </c>
      <c r="C11">
        <v>0</v>
      </c>
      <c r="D11">
        <v>0</v>
      </c>
      <c r="E11">
        <v>0</v>
      </c>
      <c r="F11">
        <v>0</v>
      </c>
      <c r="G11">
        <v>0</v>
      </c>
      <c r="H11">
        <v>0</v>
      </c>
      <c r="I11">
        <v>0</v>
      </c>
      <c r="J11">
        <v>0</v>
      </c>
      <c r="K11">
        <v>0</v>
      </c>
      <c r="L11">
        <v>0</v>
      </c>
      <c r="M11">
        <v>0</v>
      </c>
      <c r="N11">
        <v>0</v>
      </c>
      <c r="O11">
        <v>0</v>
      </c>
      <c r="P11">
        <v>0</v>
      </c>
      <c r="Q11">
        <v>0</v>
      </c>
      <c r="R11">
        <v>0</v>
      </c>
      <c r="S11">
        <v>0</v>
      </c>
      <c r="T11">
        <v>0</v>
      </c>
      <c r="U11">
        <v>0</v>
      </c>
      <c r="V11">
        <v>0</v>
      </c>
      <c r="W11">
        <v>0</v>
      </c>
      <c r="X11">
        <v>0</v>
      </c>
      <c r="Y11">
        <v>0</v>
      </c>
      <c r="Z11">
        <v>0</v>
      </c>
      <c r="AA11">
        <v>0</v>
      </c>
      <c r="AB11">
        <v>0</v>
      </c>
      <c r="AC11">
        <v>0</v>
      </c>
      <c r="AD11">
        <v>0</v>
      </c>
      <c r="AE11">
        <v>0</v>
      </c>
    </row>
  </sheetData>
  <pageMargins left="0.7" right="0.7" top="0.75" bottom="0.75" header="0.3" footer="0.3"/>
</worksheet>
</file>

<file path=xl/worksheets/sheet8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4600-000000000000}">
  <sheetPr>
    <tabColor theme="3"/>
  </sheetPr>
  <dimension ref="A1:AE11"/>
  <sheetViews>
    <sheetView workbookViewId="0">
      <selection activeCell="B1" sqref="B1:C11"/>
    </sheetView>
  </sheetViews>
  <sheetFormatPr defaultRowHeight="14.25"/>
  <cols>
    <col min="1" max="1" width="22.53125" customWidth="1"/>
  </cols>
  <sheetData>
    <row r="1" spans="1:31" ht="28.5">
      <c r="A1" s="10" t="s">
        <v>85</v>
      </c>
      <c r="B1">
        <v>2021</v>
      </c>
      <c r="C1">
        <v>2022</v>
      </c>
      <c r="D1">
        <v>2023</v>
      </c>
      <c r="E1">
        <v>2024</v>
      </c>
      <c r="F1">
        <v>2025</v>
      </c>
      <c r="G1">
        <v>2026</v>
      </c>
      <c r="H1">
        <v>2027</v>
      </c>
      <c r="I1">
        <v>2028</v>
      </c>
      <c r="J1">
        <v>2029</v>
      </c>
      <c r="K1">
        <v>2030</v>
      </c>
      <c r="L1">
        <v>2031</v>
      </c>
      <c r="M1">
        <v>2032</v>
      </c>
      <c r="N1">
        <v>2033</v>
      </c>
      <c r="O1">
        <v>2034</v>
      </c>
      <c r="P1">
        <v>2035</v>
      </c>
      <c r="Q1">
        <v>2036</v>
      </c>
      <c r="R1">
        <v>2037</v>
      </c>
      <c r="S1">
        <v>2038</v>
      </c>
      <c r="T1">
        <v>2039</v>
      </c>
      <c r="U1">
        <v>2040</v>
      </c>
      <c r="V1">
        <v>2041</v>
      </c>
      <c r="W1">
        <v>2042</v>
      </c>
      <c r="X1">
        <v>2043</v>
      </c>
      <c r="Y1">
        <v>2044</v>
      </c>
      <c r="Z1">
        <v>2045</v>
      </c>
      <c r="AA1">
        <v>2046</v>
      </c>
      <c r="AB1">
        <v>2047</v>
      </c>
      <c r="AC1">
        <v>2048</v>
      </c>
      <c r="AD1">
        <v>2049</v>
      </c>
      <c r="AE1">
        <v>2050</v>
      </c>
    </row>
    <row r="2" spans="1:31">
      <c r="A2" t="s">
        <v>15</v>
      </c>
      <c r="B2">
        <v>0</v>
      </c>
      <c r="C2">
        <v>0</v>
      </c>
      <c r="D2">
        <v>0</v>
      </c>
      <c r="E2">
        <v>0</v>
      </c>
      <c r="F2">
        <v>0</v>
      </c>
      <c r="G2">
        <v>0</v>
      </c>
      <c r="H2">
        <v>0</v>
      </c>
      <c r="I2">
        <v>0</v>
      </c>
      <c r="J2">
        <v>0</v>
      </c>
      <c r="K2">
        <v>0</v>
      </c>
      <c r="L2">
        <v>0</v>
      </c>
      <c r="M2">
        <v>0</v>
      </c>
      <c r="N2">
        <v>0</v>
      </c>
      <c r="O2">
        <v>0</v>
      </c>
      <c r="P2">
        <v>0</v>
      </c>
      <c r="Q2">
        <v>0</v>
      </c>
      <c r="R2">
        <v>0</v>
      </c>
      <c r="S2">
        <v>0</v>
      </c>
      <c r="T2">
        <v>0</v>
      </c>
      <c r="U2">
        <v>0</v>
      </c>
      <c r="V2">
        <v>0</v>
      </c>
      <c r="W2">
        <v>0</v>
      </c>
      <c r="X2">
        <v>0</v>
      </c>
      <c r="Y2">
        <v>0</v>
      </c>
      <c r="Z2">
        <v>0</v>
      </c>
      <c r="AA2">
        <v>0</v>
      </c>
      <c r="AB2">
        <v>0</v>
      </c>
      <c r="AC2">
        <v>0</v>
      </c>
      <c r="AD2">
        <v>0</v>
      </c>
      <c r="AE2">
        <v>0</v>
      </c>
    </row>
    <row r="3" spans="1:31">
      <c r="A3" t="s">
        <v>16</v>
      </c>
      <c r="B3">
        <v>0</v>
      </c>
      <c r="C3">
        <v>0</v>
      </c>
      <c r="D3">
        <v>0</v>
      </c>
      <c r="E3">
        <v>0</v>
      </c>
      <c r="F3">
        <v>0</v>
      </c>
      <c r="G3">
        <v>0</v>
      </c>
      <c r="H3">
        <v>0</v>
      </c>
      <c r="I3">
        <v>0</v>
      </c>
      <c r="J3">
        <v>0</v>
      </c>
      <c r="K3">
        <v>0</v>
      </c>
      <c r="L3">
        <v>0</v>
      </c>
      <c r="M3">
        <v>0</v>
      </c>
      <c r="N3">
        <v>0</v>
      </c>
      <c r="O3">
        <v>0</v>
      </c>
      <c r="P3">
        <v>0</v>
      </c>
      <c r="Q3">
        <v>0</v>
      </c>
      <c r="R3">
        <v>0</v>
      </c>
      <c r="S3">
        <v>0</v>
      </c>
      <c r="T3">
        <v>0</v>
      </c>
      <c r="U3">
        <v>0</v>
      </c>
      <c r="V3">
        <v>0</v>
      </c>
      <c r="W3">
        <v>0</v>
      </c>
      <c r="X3">
        <v>0</v>
      </c>
      <c r="Y3">
        <v>0</v>
      </c>
      <c r="Z3">
        <v>0</v>
      </c>
      <c r="AA3">
        <v>0</v>
      </c>
      <c r="AB3">
        <v>0</v>
      </c>
      <c r="AC3">
        <v>0</v>
      </c>
      <c r="AD3">
        <v>0</v>
      </c>
      <c r="AE3">
        <v>0</v>
      </c>
    </row>
    <row r="4" spans="1:31">
      <c r="A4" t="s">
        <v>17</v>
      </c>
      <c r="B4">
        <v>1</v>
      </c>
      <c r="C4">
        <v>1</v>
      </c>
      <c r="D4">
        <v>1</v>
      </c>
      <c r="E4">
        <v>1</v>
      </c>
      <c r="F4">
        <v>1</v>
      </c>
      <c r="G4">
        <v>1</v>
      </c>
      <c r="H4">
        <v>1</v>
      </c>
      <c r="I4">
        <v>1</v>
      </c>
      <c r="J4">
        <v>1</v>
      </c>
      <c r="K4">
        <v>1</v>
      </c>
      <c r="L4">
        <v>1</v>
      </c>
      <c r="M4">
        <v>1</v>
      </c>
      <c r="N4">
        <v>1</v>
      </c>
      <c r="O4">
        <v>1</v>
      </c>
      <c r="P4">
        <v>1</v>
      </c>
      <c r="Q4">
        <v>1</v>
      </c>
      <c r="R4">
        <v>1</v>
      </c>
      <c r="S4">
        <v>1</v>
      </c>
      <c r="T4">
        <v>1</v>
      </c>
      <c r="U4">
        <v>1</v>
      </c>
      <c r="V4">
        <v>1</v>
      </c>
      <c r="W4">
        <v>1</v>
      </c>
      <c r="X4">
        <v>1</v>
      </c>
      <c r="Y4">
        <v>1</v>
      </c>
      <c r="Z4">
        <v>1</v>
      </c>
      <c r="AA4">
        <v>1</v>
      </c>
      <c r="AB4">
        <v>1</v>
      </c>
      <c r="AC4">
        <v>1</v>
      </c>
      <c r="AD4">
        <v>1</v>
      </c>
      <c r="AE4">
        <v>1</v>
      </c>
    </row>
    <row r="5" spans="1:31">
      <c r="A5" t="s">
        <v>18</v>
      </c>
      <c r="B5">
        <v>0</v>
      </c>
      <c r="C5">
        <v>0</v>
      </c>
      <c r="D5">
        <v>0</v>
      </c>
      <c r="E5">
        <v>0</v>
      </c>
      <c r="F5">
        <v>0</v>
      </c>
      <c r="G5">
        <v>0</v>
      </c>
      <c r="H5">
        <v>0</v>
      </c>
      <c r="I5">
        <v>0</v>
      </c>
      <c r="J5">
        <v>0</v>
      </c>
      <c r="K5">
        <v>0</v>
      </c>
      <c r="L5">
        <v>0</v>
      </c>
      <c r="M5">
        <v>0</v>
      </c>
      <c r="N5">
        <v>0</v>
      </c>
      <c r="O5">
        <v>0</v>
      </c>
      <c r="P5">
        <v>0</v>
      </c>
      <c r="Q5">
        <v>0</v>
      </c>
      <c r="R5">
        <v>0</v>
      </c>
      <c r="S5">
        <v>0</v>
      </c>
      <c r="T5">
        <v>0</v>
      </c>
      <c r="U5">
        <v>0</v>
      </c>
      <c r="V5">
        <v>0</v>
      </c>
      <c r="W5">
        <v>0</v>
      </c>
      <c r="X5">
        <v>0</v>
      </c>
      <c r="Y5">
        <v>0</v>
      </c>
      <c r="Z5">
        <v>0</v>
      </c>
      <c r="AA5">
        <v>0</v>
      </c>
      <c r="AB5">
        <v>0</v>
      </c>
      <c r="AC5">
        <v>0</v>
      </c>
      <c r="AD5">
        <v>0</v>
      </c>
      <c r="AE5">
        <v>0</v>
      </c>
    </row>
    <row r="6" spans="1:31">
      <c r="A6" t="s">
        <v>19</v>
      </c>
      <c r="B6">
        <v>0</v>
      </c>
      <c r="C6">
        <v>0</v>
      </c>
      <c r="D6">
        <v>0</v>
      </c>
      <c r="E6">
        <v>0</v>
      </c>
      <c r="F6">
        <v>0</v>
      </c>
      <c r="G6">
        <v>0</v>
      </c>
      <c r="H6">
        <v>0</v>
      </c>
      <c r="I6">
        <v>0</v>
      </c>
      <c r="J6">
        <v>0</v>
      </c>
      <c r="K6">
        <v>0</v>
      </c>
      <c r="L6">
        <v>0</v>
      </c>
      <c r="M6">
        <v>0</v>
      </c>
      <c r="N6">
        <v>0</v>
      </c>
      <c r="O6">
        <v>0</v>
      </c>
      <c r="P6">
        <v>0</v>
      </c>
      <c r="Q6">
        <v>0</v>
      </c>
      <c r="R6">
        <v>0</v>
      </c>
      <c r="S6">
        <v>0</v>
      </c>
      <c r="T6">
        <v>0</v>
      </c>
      <c r="U6">
        <v>0</v>
      </c>
      <c r="V6">
        <v>0</v>
      </c>
      <c r="W6">
        <v>0</v>
      </c>
      <c r="X6">
        <v>0</v>
      </c>
      <c r="Y6">
        <v>0</v>
      </c>
      <c r="Z6">
        <v>0</v>
      </c>
      <c r="AA6">
        <v>0</v>
      </c>
      <c r="AB6">
        <v>0</v>
      </c>
      <c r="AC6">
        <v>0</v>
      </c>
      <c r="AD6">
        <v>0</v>
      </c>
      <c r="AE6">
        <v>0</v>
      </c>
    </row>
    <row r="7" spans="1:31">
      <c r="A7" t="s">
        <v>21</v>
      </c>
      <c r="B7">
        <v>0</v>
      </c>
      <c r="C7">
        <v>0</v>
      </c>
      <c r="D7">
        <v>0</v>
      </c>
      <c r="E7">
        <v>0</v>
      </c>
      <c r="F7">
        <v>0</v>
      </c>
      <c r="G7">
        <v>0</v>
      </c>
      <c r="H7">
        <v>0</v>
      </c>
      <c r="I7">
        <v>0</v>
      </c>
      <c r="J7">
        <v>0</v>
      </c>
      <c r="K7">
        <v>0</v>
      </c>
      <c r="L7">
        <v>0</v>
      </c>
      <c r="M7">
        <v>0</v>
      </c>
      <c r="N7">
        <v>0</v>
      </c>
      <c r="O7">
        <v>0</v>
      </c>
      <c r="P7">
        <v>0</v>
      </c>
      <c r="Q7">
        <v>0</v>
      </c>
      <c r="R7">
        <v>0</v>
      </c>
      <c r="S7">
        <v>0</v>
      </c>
      <c r="T7">
        <v>0</v>
      </c>
      <c r="U7">
        <v>0</v>
      </c>
      <c r="V7">
        <v>0</v>
      </c>
      <c r="W7">
        <v>0</v>
      </c>
      <c r="X7">
        <v>0</v>
      </c>
      <c r="Y7">
        <v>0</v>
      </c>
      <c r="Z7">
        <v>0</v>
      </c>
      <c r="AA7">
        <v>0</v>
      </c>
      <c r="AB7">
        <v>0</v>
      </c>
      <c r="AC7">
        <v>0</v>
      </c>
      <c r="AD7">
        <v>0</v>
      </c>
      <c r="AE7">
        <v>0</v>
      </c>
    </row>
    <row r="8" spans="1:31">
      <c r="A8" t="s">
        <v>20</v>
      </c>
      <c r="B8">
        <v>0</v>
      </c>
      <c r="C8">
        <v>0</v>
      </c>
      <c r="D8">
        <v>0</v>
      </c>
      <c r="E8">
        <v>0</v>
      </c>
      <c r="F8">
        <v>0</v>
      </c>
      <c r="G8">
        <v>0</v>
      </c>
      <c r="H8">
        <v>0</v>
      </c>
      <c r="I8">
        <v>0</v>
      </c>
      <c r="J8">
        <v>0</v>
      </c>
      <c r="K8">
        <v>0</v>
      </c>
      <c r="L8">
        <v>0</v>
      </c>
      <c r="M8">
        <v>0</v>
      </c>
      <c r="N8">
        <v>0</v>
      </c>
      <c r="O8">
        <v>0</v>
      </c>
      <c r="P8">
        <v>0</v>
      </c>
      <c r="Q8">
        <v>0</v>
      </c>
      <c r="R8">
        <v>0</v>
      </c>
      <c r="S8">
        <v>0</v>
      </c>
      <c r="T8">
        <v>0</v>
      </c>
      <c r="U8">
        <v>0</v>
      </c>
      <c r="V8">
        <v>0</v>
      </c>
      <c r="W8">
        <v>0</v>
      </c>
      <c r="X8">
        <v>0</v>
      </c>
      <c r="Y8">
        <v>0</v>
      </c>
      <c r="Z8">
        <v>0</v>
      </c>
      <c r="AA8">
        <v>0</v>
      </c>
      <c r="AB8">
        <v>0</v>
      </c>
      <c r="AC8">
        <v>0</v>
      </c>
      <c r="AD8">
        <v>0</v>
      </c>
      <c r="AE8">
        <v>0</v>
      </c>
    </row>
    <row r="9" spans="1:31">
      <c r="A9" t="s">
        <v>82</v>
      </c>
      <c r="B9">
        <v>0</v>
      </c>
      <c r="C9">
        <v>0</v>
      </c>
      <c r="D9">
        <v>0</v>
      </c>
      <c r="E9">
        <v>0</v>
      </c>
      <c r="F9">
        <v>0</v>
      </c>
      <c r="G9">
        <v>0</v>
      </c>
      <c r="H9">
        <v>0</v>
      </c>
      <c r="I9">
        <v>0</v>
      </c>
      <c r="J9">
        <v>0</v>
      </c>
      <c r="K9">
        <v>0</v>
      </c>
      <c r="L9">
        <v>0</v>
      </c>
      <c r="M9">
        <v>0</v>
      </c>
      <c r="N9">
        <v>0</v>
      </c>
      <c r="O9">
        <v>0</v>
      </c>
      <c r="P9">
        <v>0</v>
      </c>
      <c r="Q9">
        <v>0</v>
      </c>
      <c r="R9">
        <v>0</v>
      </c>
      <c r="S9">
        <v>0</v>
      </c>
      <c r="T9">
        <v>0</v>
      </c>
      <c r="U9">
        <v>0</v>
      </c>
      <c r="V9">
        <v>0</v>
      </c>
      <c r="W9">
        <v>0</v>
      </c>
      <c r="X9">
        <v>0</v>
      </c>
      <c r="Y9">
        <v>0</v>
      </c>
      <c r="Z9">
        <v>0</v>
      </c>
      <c r="AA9">
        <v>0</v>
      </c>
      <c r="AB9">
        <v>0</v>
      </c>
      <c r="AC9">
        <v>0</v>
      </c>
      <c r="AD9">
        <v>0</v>
      </c>
      <c r="AE9">
        <v>0</v>
      </c>
    </row>
    <row r="10" spans="1:31">
      <c r="A10" t="s">
        <v>83</v>
      </c>
      <c r="B10">
        <v>0</v>
      </c>
      <c r="C10">
        <v>0</v>
      </c>
      <c r="D10">
        <v>0</v>
      </c>
      <c r="E10">
        <v>0</v>
      </c>
      <c r="F10">
        <v>0</v>
      </c>
      <c r="G10">
        <v>0</v>
      </c>
      <c r="H10">
        <v>0</v>
      </c>
      <c r="I10">
        <v>0</v>
      </c>
      <c r="J10">
        <v>0</v>
      </c>
      <c r="K10">
        <v>0</v>
      </c>
      <c r="L10">
        <v>0</v>
      </c>
      <c r="M10">
        <v>0</v>
      </c>
      <c r="N10">
        <v>0</v>
      </c>
      <c r="O10">
        <v>0</v>
      </c>
      <c r="P10">
        <v>0</v>
      </c>
      <c r="Q10">
        <v>0</v>
      </c>
      <c r="R10">
        <v>0</v>
      </c>
      <c r="S10">
        <v>0</v>
      </c>
      <c r="T10">
        <v>0</v>
      </c>
      <c r="U10">
        <v>0</v>
      </c>
      <c r="V10">
        <v>0</v>
      </c>
      <c r="W10">
        <v>0</v>
      </c>
      <c r="X10">
        <v>0</v>
      </c>
      <c r="Y10">
        <v>0</v>
      </c>
      <c r="Z10">
        <v>0</v>
      </c>
      <c r="AA10">
        <v>0</v>
      </c>
      <c r="AB10">
        <v>0</v>
      </c>
      <c r="AC10">
        <v>0</v>
      </c>
      <c r="AD10">
        <v>0</v>
      </c>
      <c r="AE10">
        <v>0</v>
      </c>
    </row>
    <row r="11" spans="1:31">
      <c r="A11" t="s">
        <v>84</v>
      </c>
      <c r="B11">
        <v>0</v>
      </c>
      <c r="C11">
        <v>0</v>
      </c>
      <c r="D11">
        <v>0</v>
      </c>
      <c r="E11">
        <v>0</v>
      </c>
      <c r="F11">
        <v>0</v>
      </c>
      <c r="G11">
        <v>0</v>
      </c>
      <c r="H11">
        <v>0</v>
      </c>
      <c r="I11">
        <v>0</v>
      </c>
      <c r="J11">
        <v>0</v>
      </c>
      <c r="K11">
        <v>0</v>
      </c>
      <c r="L11">
        <v>0</v>
      </c>
      <c r="M11">
        <v>0</v>
      </c>
      <c r="N11">
        <v>0</v>
      </c>
      <c r="O11">
        <v>0</v>
      </c>
      <c r="P11">
        <v>0</v>
      </c>
      <c r="Q11">
        <v>0</v>
      </c>
      <c r="R11">
        <v>0</v>
      </c>
      <c r="S11">
        <v>0</v>
      </c>
      <c r="T11">
        <v>0</v>
      </c>
      <c r="U11">
        <v>0</v>
      </c>
      <c r="V11">
        <v>0</v>
      </c>
      <c r="W11">
        <v>0</v>
      </c>
      <c r="X11">
        <v>0</v>
      </c>
      <c r="Y11">
        <v>0</v>
      </c>
      <c r="Z11">
        <v>0</v>
      </c>
      <c r="AA11">
        <v>0</v>
      </c>
      <c r="AB11">
        <v>0</v>
      </c>
      <c r="AC11">
        <v>0</v>
      </c>
      <c r="AD11">
        <v>0</v>
      </c>
      <c r="AE11">
        <v>0</v>
      </c>
    </row>
  </sheetData>
  <pageMargins left="0.7" right="0.7" top="0.75" bottom="0.75" header="0.3" footer="0.3"/>
</worksheet>
</file>

<file path=xl/worksheets/sheet8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4700-000000000000}">
  <sheetPr>
    <tabColor theme="3"/>
  </sheetPr>
  <dimension ref="A1:AF11"/>
  <sheetViews>
    <sheetView workbookViewId="0">
      <selection activeCell="B10" sqref="B10"/>
    </sheetView>
  </sheetViews>
  <sheetFormatPr defaultRowHeight="14.25"/>
  <cols>
    <col min="1" max="1" width="22.53125" customWidth="1"/>
    <col min="31" max="31" width="10.86328125" customWidth="1"/>
    <col min="32" max="32" width="9.53125" style="13" bestFit="1" customWidth="1"/>
  </cols>
  <sheetData>
    <row r="1" spans="1:31" ht="28.5">
      <c r="A1" s="10" t="s">
        <v>85</v>
      </c>
      <c r="B1">
        <v>2021</v>
      </c>
      <c r="C1">
        <v>2022</v>
      </c>
      <c r="D1">
        <v>2023</v>
      </c>
      <c r="E1">
        <v>2024</v>
      </c>
      <c r="F1">
        <v>2025</v>
      </c>
      <c r="G1">
        <v>2026</v>
      </c>
      <c r="H1">
        <v>2027</v>
      </c>
      <c r="I1">
        <v>2028</v>
      </c>
      <c r="J1">
        <v>2029</v>
      </c>
      <c r="K1">
        <v>2030</v>
      </c>
      <c r="L1">
        <v>2031</v>
      </c>
      <c r="M1">
        <v>2032</v>
      </c>
      <c r="N1">
        <v>2033</v>
      </c>
      <c r="O1">
        <v>2034</v>
      </c>
      <c r="P1">
        <v>2035</v>
      </c>
      <c r="Q1">
        <v>2036</v>
      </c>
      <c r="R1">
        <v>2037</v>
      </c>
      <c r="S1">
        <v>2038</v>
      </c>
      <c r="T1">
        <v>2039</v>
      </c>
      <c r="U1">
        <v>2040</v>
      </c>
      <c r="V1">
        <v>2041</v>
      </c>
      <c r="W1">
        <v>2042</v>
      </c>
      <c r="X1">
        <v>2043</v>
      </c>
      <c r="Y1">
        <v>2044</v>
      </c>
      <c r="Z1">
        <v>2045</v>
      </c>
      <c r="AA1">
        <v>2046</v>
      </c>
      <c r="AB1">
        <v>2047</v>
      </c>
      <c r="AC1">
        <v>2048</v>
      </c>
      <c r="AD1">
        <v>2049</v>
      </c>
      <c r="AE1" s="14">
        <v>2050</v>
      </c>
    </row>
    <row r="2" spans="1:31">
      <c r="A2" t="s">
        <v>15</v>
      </c>
      <c r="B2">
        <v>0</v>
      </c>
      <c r="C2">
        <v>0</v>
      </c>
      <c r="D2">
        <v>0</v>
      </c>
      <c r="E2">
        <v>0</v>
      </c>
      <c r="F2">
        <v>0</v>
      </c>
      <c r="G2">
        <v>0</v>
      </c>
      <c r="H2">
        <v>0</v>
      </c>
      <c r="I2">
        <v>0</v>
      </c>
      <c r="J2">
        <v>0</v>
      </c>
      <c r="K2">
        <v>0</v>
      </c>
      <c r="L2">
        <v>0</v>
      </c>
      <c r="M2">
        <v>0</v>
      </c>
      <c r="N2">
        <v>0</v>
      </c>
      <c r="O2">
        <v>0</v>
      </c>
      <c r="P2">
        <v>0</v>
      </c>
      <c r="Q2">
        <v>0</v>
      </c>
      <c r="R2">
        <v>0</v>
      </c>
      <c r="S2">
        <v>0</v>
      </c>
      <c r="T2">
        <v>0</v>
      </c>
      <c r="U2">
        <v>0</v>
      </c>
      <c r="V2">
        <v>0</v>
      </c>
      <c r="W2">
        <v>0</v>
      </c>
      <c r="X2">
        <v>0</v>
      </c>
      <c r="Y2">
        <v>0</v>
      </c>
      <c r="Z2">
        <v>0</v>
      </c>
      <c r="AA2">
        <v>0</v>
      </c>
      <c r="AB2">
        <v>0</v>
      </c>
      <c r="AC2">
        <v>0</v>
      </c>
      <c r="AD2">
        <v>0</v>
      </c>
      <c r="AE2">
        <v>0</v>
      </c>
    </row>
    <row r="3" spans="1:31">
      <c r="A3" t="s">
        <v>16</v>
      </c>
      <c r="B3">
        <v>0</v>
      </c>
      <c r="C3">
        <v>0</v>
      </c>
      <c r="D3">
        <v>0</v>
      </c>
      <c r="E3">
        <v>0</v>
      </c>
      <c r="F3">
        <v>0</v>
      </c>
      <c r="G3">
        <v>0</v>
      </c>
      <c r="H3">
        <v>0</v>
      </c>
      <c r="I3">
        <v>0</v>
      </c>
      <c r="J3">
        <v>0</v>
      </c>
      <c r="K3">
        <v>0</v>
      </c>
      <c r="L3">
        <v>0</v>
      </c>
      <c r="M3">
        <v>0</v>
      </c>
      <c r="N3">
        <v>0</v>
      </c>
      <c r="O3">
        <v>0</v>
      </c>
      <c r="P3">
        <v>0</v>
      </c>
      <c r="Q3">
        <v>0</v>
      </c>
      <c r="R3">
        <v>0</v>
      </c>
      <c r="S3">
        <v>0</v>
      </c>
      <c r="T3">
        <v>0</v>
      </c>
      <c r="U3">
        <v>0</v>
      </c>
      <c r="V3">
        <v>0</v>
      </c>
      <c r="W3">
        <v>0</v>
      </c>
      <c r="X3">
        <v>0</v>
      </c>
      <c r="Y3">
        <v>0</v>
      </c>
      <c r="Z3">
        <v>0</v>
      </c>
      <c r="AA3">
        <v>0</v>
      </c>
      <c r="AB3">
        <v>0</v>
      </c>
      <c r="AC3">
        <v>0</v>
      </c>
      <c r="AD3">
        <v>0</v>
      </c>
      <c r="AE3">
        <v>0</v>
      </c>
    </row>
    <row r="4" spans="1:31">
      <c r="A4" t="s">
        <v>17</v>
      </c>
      <c r="B4">
        <v>0</v>
      </c>
      <c r="C4">
        <v>0</v>
      </c>
      <c r="D4">
        <v>0</v>
      </c>
      <c r="E4">
        <v>0</v>
      </c>
      <c r="F4">
        <v>0</v>
      </c>
      <c r="G4">
        <v>0</v>
      </c>
      <c r="H4">
        <v>0</v>
      </c>
      <c r="I4">
        <v>0</v>
      </c>
      <c r="J4">
        <v>0</v>
      </c>
      <c r="K4">
        <v>0</v>
      </c>
      <c r="L4">
        <v>0</v>
      </c>
      <c r="M4">
        <v>0</v>
      </c>
      <c r="N4">
        <v>0</v>
      </c>
      <c r="O4">
        <v>0</v>
      </c>
      <c r="P4">
        <v>0</v>
      </c>
      <c r="Q4">
        <v>0</v>
      </c>
      <c r="R4">
        <v>0</v>
      </c>
      <c r="S4">
        <v>0</v>
      </c>
      <c r="T4">
        <v>0</v>
      </c>
      <c r="U4">
        <v>0</v>
      </c>
      <c r="V4">
        <v>0</v>
      </c>
      <c r="W4">
        <v>0</v>
      </c>
      <c r="X4">
        <v>0</v>
      </c>
      <c r="Y4">
        <v>0</v>
      </c>
      <c r="Z4">
        <v>0</v>
      </c>
      <c r="AA4">
        <v>0</v>
      </c>
      <c r="AB4">
        <v>0</v>
      </c>
      <c r="AC4">
        <v>0</v>
      </c>
      <c r="AD4">
        <v>0</v>
      </c>
      <c r="AE4">
        <v>0</v>
      </c>
    </row>
    <row r="5" spans="1:31">
      <c r="A5" t="s">
        <v>18</v>
      </c>
      <c r="B5">
        <f>'Freight Ships'!J3/SUM('Freight Ships'!J3:J4)</f>
        <v>0.2527003203514378</v>
      </c>
      <c r="C5">
        <f>B5</f>
        <v>0.2527003203514378</v>
      </c>
      <c r="D5">
        <f t="shared" ref="D5:AE5" si="0">C5</f>
        <v>0.2527003203514378</v>
      </c>
      <c r="E5">
        <f t="shared" si="0"/>
        <v>0.2527003203514378</v>
      </c>
      <c r="F5">
        <f t="shared" si="0"/>
        <v>0.2527003203514378</v>
      </c>
      <c r="G5">
        <f t="shared" si="0"/>
        <v>0.2527003203514378</v>
      </c>
      <c r="H5">
        <f t="shared" si="0"/>
        <v>0.2527003203514378</v>
      </c>
      <c r="I5">
        <f t="shared" si="0"/>
        <v>0.2527003203514378</v>
      </c>
      <c r="J5">
        <f t="shared" si="0"/>
        <v>0.2527003203514378</v>
      </c>
      <c r="K5">
        <f t="shared" si="0"/>
        <v>0.2527003203514378</v>
      </c>
      <c r="L5">
        <f t="shared" si="0"/>
        <v>0.2527003203514378</v>
      </c>
      <c r="M5">
        <f t="shared" si="0"/>
        <v>0.2527003203514378</v>
      </c>
      <c r="N5">
        <f t="shared" si="0"/>
        <v>0.2527003203514378</v>
      </c>
      <c r="O5">
        <f t="shared" si="0"/>
        <v>0.2527003203514378</v>
      </c>
      <c r="P5">
        <f t="shared" si="0"/>
        <v>0.2527003203514378</v>
      </c>
      <c r="Q5">
        <f t="shared" si="0"/>
        <v>0.2527003203514378</v>
      </c>
      <c r="R5">
        <f t="shared" si="0"/>
        <v>0.2527003203514378</v>
      </c>
      <c r="S5">
        <f t="shared" si="0"/>
        <v>0.2527003203514378</v>
      </c>
      <c r="T5">
        <f t="shared" si="0"/>
        <v>0.2527003203514378</v>
      </c>
      <c r="U5">
        <f t="shared" si="0"/>
        <v>0.2527003203514378</v>
      </c>
      <c r="V5">
        <f t="shared" si="0"/>
        <v>0.2527003203514378</v>
      </c>
      <c r="W5">
        <f t="shared" si="0"/>
        <v>0.2527003203514378</v>
      </c>
      <c r="X5">
        <f t="shared" si="0"/>
        <v>0.2527003203514378</v>
      </c>
      <c r="Y5">
        <f t="shared" si="0"/>
        <v>0.2527003203514378</v>
      </c>
      <c r="Z5">
        <f t="shared" si="0"/>
        <v>0.2527003203514378</v>
      </c>
      <c r="AA5">
        <f t="shared" si="0"/>
        <v>0.2527003203514378</v>
      </c>
      <c r="AB5">
        <f t="shared" si="0"/>
        <v>0.2527003203514378</v>
      </c>
      <c r="AC5">
        <f t="shared" si="0"/>
        <v>0.2527003203514378</v>
      </c>
      <c r="AD5">
        <f t="shared" si="0"/>
        <v>0.2527003203514378</v>
      </c>
      <c r="AE5">
        <f t="shared" si="0"/>
        <v>0.2527003203514378</v>
      </c>
    </row>
    <row r="6" spans="1:31">
      <c r="A6" t="s">
        <v>19</v>
      </c>
      <c r="B6">
        <v>0</v>
      </c>
      <c r="C6">
        <v>0</v>
      </c>
      <c r="D6">
        <v>0</v>
      </c>
      <c r="E6">
        <v>0</v>
      </c>
      <c r="F6">
        <v>0</v>
      </c>
      <c r="G6">
        <v>0</v>
      </c>
      <c r="H6">
        <v>0</v>
      </c>
      <c r="I6">
        <v>0</v>
      </c>
      <c r="J6">
        <v>0</v>
      </c>
      <c r="K6">
        <v>0</v>
      </c>
      <c r="L6">
        <v>0</v>
      </c>
      <c r="M6">
        <v>0</v>
      </c>
      <c r="N6">
        <v>0</v>
      </c>
      <c r="O6">
        <v>0</v>
      </c>
      <c r="P6">
        <v>0</v>
      </c>
      <c r="Q6">
        <v>0</v>
      </c>
      <c r="R6">
        <v>0</v>
      </c>
      <c r="S6">
        <v>0</v>
      </c>
      <c r="T6">
        <v>0</v>
      </c>
      <c r="U6">
        <v>0</v>
      </c>
      <c r="V6">
        <v>0</v>
      </c>
      <c r="W6">
        <v>0</v>
      </c>
      <c r="X6">
        <v>0</v>
      </c>
      <c r="Y6">
        <v>0</v>
      </c>
      <c r="Z6">
        <v>0</v>
      </c>
      <c r="AA6">
        <v>0</v>
      </c>
      <c r="AB6">
        <v>0</v>
      </c>
      <c r="AC6">
        <v>0</v>
      </c>
      <c r="AD6">
        <v>0</v>
      </c>
      <c r="AE6">
        <v>0</v>
      </c>
    </row>
    <row r="7" spans="1:31">
      <c r="A7" t="s">
        <v>21</v>
      </c>
      <c r="B7">
        <v>0</v>
      </c>
      <c r="C7">
        <v>0</v>
      </c>
      <c r="D7">
        <v>0</v>
      </c>
      <c r="E7">
        <v>0</v>
      </c>
      <c r="F7">
        <v>0</v>
      </c>
      <c r="G7">
        <v>0</v>
      </c>
      <c r="H7">
        <v>0</v>
      </c>
      <c r="I7">
        <v>0</v>
      </c>
      <c r="J7">
        <v>0</v>
      </c>
      <c r="K7">
        <v>0</v>
      </c>
      <c r="L7">
        <v>0</v>
      </c>
      <c r="M7">
        <v>0</v>
      </c>
      <c r="N7">
        <v>0</v>
      </c>
      <c r="O7">
        <v>0</v>
      </c>
      <c r="P7">
        <v>0</v>
      </c>
      <c r="Q7">
        <v>0</v>
      </c>
      <c r="R7">
        <v>0</v>
      </c>
      <c r="S7">
        <v>0</v>
      </c>
      <c r="T7">
        <v>0</v>
      </c>
      <c r="U7">
        <v>0</v>
      </c>
      <c r="V7">
        <v>0</v>
      </c>
      <c r="W7">
        <v>0</v>
      </c>
      <c r="X7">
        <v>0</v>
      </c>
      <c r="Y7">
        <v>0</v>
      </c>
      <c r="Z7">
        <v>0</v>
      </c>
      <c r="AA7">
        <v>0</v>
      </c>
      <c r="AB7">
        <v>0</v>
      </c>
      <c r="AC7">
        <v>0</v>
      </c>
      <c r="AD7">
        <v>0</v>
      </c>
      <c r="AE7">
        <v>0</v>
      </c>
    </row>
    <row r="8" spans="1:31">
      <c r="A8" t="s">
        <v>20</v>
      </c>
      <c r="B8">
        <v>0</v>
      </c>
      <c r="C8">
        <v>0</v>
      </c>
      <c r="D8">
        <v>0</v>
      </c>
      <c r="E8">
        <v>0</v>
      </c>
      <c r="F8">
        <v>0</v>
      </c>
      <c r="G8">
        <v>0</v>
      </c>
      <c r="H8">
        <v>0</v>
      </c>
      <c r="I8">
        <v>0</v>
      </c>
      <c r="J8">
        <v>0</v>
      </c>
      <c r="K8">
        <v>0</v>
      </c>
      <c r="L8">
        <v>0</v>
      </c>
      <c r="M8">
        <v>0</v>
      </c>
      <c r="N8">
        <v>0</v>
      </c>
      <c r="O8">
        <v>0</v>
      </c>
      <c r="P8">
        <v>0</v>
      </c>
      <c r="Q8">
        <v>0</v>
      </c>
      <c r="R8">
        <v>0</v>
      </c>
      <c r="S8">
        <v>0</v>
      </c>
      <c r="T8">
        <v>0</v>
      </c>
      <c r="U8">
        <v>0</v>
      </c>
      <c r="V8">
        <v>0</v>
      </c>
      <c r="W8">
        <v>0</v>
      </c>
      <c r="X8">
        <v>0</v>
      </c>
      <c r="Y8">
        <v>0</v>
      </c>
      <c r="Z8">
        <v>0</v>
      </c>
      <c r="AA8">
        <v>0</v>
      </c>
      <c r="AB8">
        <v>0</v>
      </c>
      <c r="AC8">
        <v>0</v>
      </c>
      <c r="AD8">
        <v>0</v>
      </c>
      <c r="AE8">
        <v>0</v>
      </c>
    </row>
    <row r="9" spans="1:31">
      <c r="A9" t="s">
        <v>82</v>
      </c>
      <c r="B9">
        <f>1-B5</f>
        <v>0.74729967964856225</v>
      </c>
      <c r="C9">
        <f>B9</f>
        <v>0.74729967964856225</v>
      </c>
      <c r="D9">
        <f t="shared" ref="D9:AE9" si="1">C9</f>
        <v>0.74729967964856225</v>
      </c>
      <c r="E9">
        <f t="shared" si="1"/>
        <v>0.74729967964856225</v>
      </c>
      <c r="F9">
        <f t="shared" si="1"/>
        <v>0.74729967964856225</v>
      </c>
      <c r="G9">
        <f t="shared" si="1"/>
        <v>0.74729967964856225</v>
      </c>
      <c r="H9">
        <f t="shared" si="1"/>
        <v>0.74729967964856225</v>
      </c>
      <c r="I9">
        <f t="shared" si="1"/>
        <v>0.74729967964856225</v>
      </c>
      <c r="J9">
        <f t="shared" si="1"/>
        <v>0.74729967964856225</v>
      </c>
      <c r="K9">
        <f t="shared" si="1"/>
        <v>0.74729967964856225</v>
      </c>
      <c r="L9">
        <f t="shared" si="1"/>
        <v>0.74729967964856225</v>
      </c>
      <c r="M9">
        <f t="shared" si="1"/>
        <v>0.74729967964856225</v>
      </c>
      <c r="N9">
        <f t="shared" si="1"/>
        <v>0.74729967964856225</v>
      </c>
      <c r="O9">
        <f t="shared" si="1"/>
        <v>0.74729967964856225</v>
      </c>
      <c r="P9">
        <f t="shared" si="1"/>
        <v>0.74729967964856225</v>
      </c>
      <c r="Q9">
        <f t="shared" si="1"/>
        <v>0.74729967964856225</v>
      </c>
      <c r="R9">
        <f t="shared" si="1"/>
        <v>0.74729967964856225</v>
      </c>
      <c r="S9">
        <f t="shared" si="1"/>
        <v>0.74729967964856225</v>
      </c>
      <c r="T9">
        <f t="shared" si="1"/>
        <v>0.74729967964856225</v>
      </c>
      <c r="U9">
        <f t="shared" si="1"/>
        <v>0.74729967964856225</v>
      </c>
      <c r="V9">
        <f t="shared" si="1"/>
        <v>0.74729967964856225</v>
      </c>
      <c r="W9">
        <f t="shared" si="1"/>
        <v>0.74729967964856225</v>
      </c>
      <c r="X9">
        <f t="shared" si="1"/>
        <v>0.74729967964856225</v>
      </c>
      <c r="Y9">
        <f t="shared" si="1"/>
        <v>0.74729967964856225</v>
      </c>
      <c r="Z9">
        <f t="shared" si="1"/>
        <v>0.74729967964856225</v>
      </c>
      <c r="AA9">
        <f t="shared" si="1"/>
        <v>0.74729967964856225</v>
      </c>
      <c r="AB9">
        <f t="shared" si="1"/>
        <v>0.74729967964856225</v>
      </c>
      <c r="AC9">
        <f t="shared" si="1"/>
        <v>0.74729967964856225</v>
      </c>
      <c r="AD9">
        <f t="shared" si="1"/>
        <v>0.74729967964856225</v>
      </c>
      <c r="AE9">
        <f t="shared" si="1"/>
        <v>0.74729967964856225</v>
      </c>
    </row>
    <row r="10" spans="1:31">
      <c r="A10" t="s">
        <v>83</v>
      </c>
      <c r="B10">
        <v>0</v>
      </c>
      <c r="C10">
        <v>0</v>
      </c>
      <c r="D10">
        <v>0</v>
      </c>
      <c r="E10">
        <v>0</v>
      </c>
      <c r="F10">
        <v>0</v>
      </c>
      <c r="G10">
        <v>0</v>
      </c>
      <c r="H10">
        <v>0</v>
      </c>
      <c r="I10">
        <v>0</v>
      </c>
      <c r="J10">
        <v>0</v>
      </c>
      <c r="K10">
        <v>0</v>
      </c>
      <c r="L10">
        <v>0</v>
      </c>
      <c r="M10">
        <v>0</v>
      </c>
      <c r="N10">
        <v>0</v>
      </c>
      <c r="O10">
        <v>0</v>
      </c>
      <c r="P10">
        <v>0</v>
      </c>
      <c r="Q10">
        <v>0</v>
      </c>
      <c r="R10">
        <v>0</v>
      </c>
      <c r="S10">
        <v>0</v>
      </c>
      <c r="T10">
        <v>0</v>
      </c>
      <c r="U10">
        <v>0</v>
      </c>
      <c r="V10">
        <v>0</v>
      </c>
      <c r="W10">
        <v>0</v>
      </c>
      <c r="X10">
        <v>0</v>
      </c>
      <c r="Y10">
        <v>0</v>
      </c>
      <c r="Z10">
        <v>0</v>
      </c>
      <c r="AA10">
        <v>0</v>
      </c>
      <c r="AB10">
        <v>0</v>
      </c>
      <c r="AC10">
        <v>0</v>
      </c>
      <c r="AD10">
        <v>0</v>
      </c>
      <c r="AE10">
        <v>0</v>
      </c>
    </row>
    <row r="11" spans="1:31">
      <c r="A11" t="s">
        <v>84</v>
      </c>
      <c r="B11">
        <v>0</v>
      </c>
      <c r="C11">
        <v>0</v>
      </c>
      <c r="D11">
        <v>0</v>
      </c>
      <c r="E11">
        <v>0</v>
      </c>
      <c r="F11">
        <v>0</v>
      </c>
      <c r="G11">
        <v>0</v>
      </c>
      <c r="H11">
        <v>0</v>
      </c>
      <c r="I11">
        <v>0</v>
      </c>
      <c r="J11">
        <v>0</v>
      </c>
      <c r="K11">
        <v>0</v>
      </c>
      <c r="L11">
        <v>0</v>
      </c>
      <c r="M11">
        <v>0</v>
      </c>
      <c r="N11">
        <v>0</v>
      </c>
      <c r="O11">
        <v>0</v>
      </c>
      <c r="P11">
        <v>0</v>
      </c>
      <c r="Q11">
        <v>0</v>
      </c>
      <c r="R11">
        <v>0</v>
      </c>
      <c r="S11">
        <v>0</v>
      </c>
      <c r="T11">
        <v>0</v>
      </c>
      <c r="U11">
        <v>0</v>
      </c>
      <c r="V11">
        <v>0</v>
      </c>
      <c r="W11">
        <v>0</v>
      </c>
      <c r="X11">
        <v>0</v>
      </c>
      <c r="Y11">
        <v>0</v>
      </c>
      <c r="Z11">
        <v>0</v>
      </c>
      <c r="AA11">
        <v>0</v>
      </c>
      <c r="AB11">
        <v>0</v>
      </c>
      <c r="AC11">
        <v>0</v>
      </c>
      <c r="AD11">
        <v>0</v>
      </c>
      <c r="AE11">
        <v>0</v>
      </c>
    </row>
  </sheetData>
  <pageMargins left="0.7" right="0.7" top="0.75" bottom="0.75" header="0.3" footer="0.3"/>
</worksheet>
</file>

<file path=xl/worksheets/sheet8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4800-000000000000}">
  <sheetPr>
    <tabColor theme="3"/>
  </sheetPr>
  <dimension ref="A1:AE11"/>
  <sheetViews>
    <sheetView workbookViewId="0">
      <selection activeCell="A11" sqref="A11"/>
    </sheetView>
  </sheetViews>
  <sheetFormatPr defaultRowHeight="14.25"/>
  <cols>
    <col min="1" max="1" width="22.53125" customWidth="1"/>
  </cols>
  <sheetData>
    <row r="1" spans="1:31" ht="28.5">
      <c r="A1" s="10" t="s">
        <v>85</v>
      </c>
      <c r="B1">
        <v>2021</v>
      </c>
      <c r="C1">
        <v>2022</v>
      </c>
      <c r="D1">
        <v>2023</v>
      </c>
      <c r="E1">
        <v>2024</v>
      </c>
      <c r="F1">
        <v>2025</v>
      </c>
      <c r="G1">
        <v>2026</v>
      </c>
      <c r="H1">
        <v>2027</v>
      </c>
      <c r="I1">
        <v>2028</v>
      </c>
      <c r="J1">
        <v>2029</v>
      </c>
      <c r="K1">
        <v>2030</v>
      </c>
      <c r="L1">
        <v>2031</v>
      </c>
      <c r="M1">
        <v>2032</v>
      </c>
      <c r="N1">
        <v>2033</v>
      </c>
      <c r="O1">
        <v>2034</v>
      </c>
      <c r="P1">
        <v>2035</v>
      </c>
      <c r="Q1">
        <v>2036</v>
      </c>
      <c r="R1">
        <v>2037</v>
      </c>
      <c r="S1">
        <v>2038</v>
      </c>
      <c r="T1">
        <v>2039</v>
      </c>
      <c r="U1">
        <v>2040</v>
      </c>
      <c r="V1">
        <v>2041</v>
      </c>
      <c r="W1">
        <v>2042</v>
      </c>
      <c r="X1">
        <v>2043</v>
      </c>
      <c r="Y1">
        <v>2044</v>
      </c>
      <c r="Z1">
        <v>2045</v>
      </c>
      <c r="AA1">
        <v>2046</v>
      </c>
      <c r="AB1">
        <v>2047</v>
      </c>
      <c r="AC1">
        <v>2048</v>
      </c>
      <c r="AD1">
        <v>2049</v>
      </c>
      <c r="AE1">
        <v>2050</v>
      </c>
    </row>
    <row r="2" spans="1:31">
      <c r="A2" t="s">
        <v>15</v>
      </c>
      <c r="B2">
        <v>0</v>
      </c>
      <c r="C2">
        <v>0</v>
      </c>
      <c r="D2">
        <v>0</v>
      </c>
      <c r="E2">
        <v>0</v>
      </c>
      <c r="F2">
        <v>0</v>
      </c>
      <c r="G2">
        <v>0</v>
      </c>
      <c r="H2">
        <v>0</v>
      </c>
      <c r="I2">
        <v>0</v>
      </c>
      <c r="J2">
        <v>0</v>
      </c>
      <c r="K2">
        <v>0</v>
      </c>
      <c r="L2">
        <v>0</v>
      </c>
      <c r="M2">
        <v>0</v>
      </c>
      <c r="N2">
        <v>0</v>
      </c>
      <c r="O2">
        <v>0</v>
      </c>
      <c r="P2">
        <v>0</v>
      </c>
      <c r="Q2">
        <v>0</v>
      </c>
      <c r="R2">
        <v>0</v>
      </c>
      <c r="S2">
        <v>0</v>
      </c>
      <c r="T2">
        <v>0</v>
      </c>
      <c r="U2">
        <v>0</v>
      </c>
      <c r="V2">
        <v>0</v>
      </c>
      <c r="W2">
        <v>0</v>
      </c>
      <c r="X2">
        <v>0</v>
      </c>
      <c r="Y2">
        <v>0</v>
      </c>
      <c r="Z2">
        <v>0</v>
      </c>
      <c r="AA2">
        <v>0</v>
      </c>
      <c r="AB2">
        <v>0</v>
      </c>
      <c r="AC2">
        <v>0</v>
      </c>
      <c r="AD2">
        <v>0</v>
      </c>
      <c r="AE2">
        <v>0</v>
      </c>
    </row>
    <row r="3" spans="1:31">
      <c r="A3" t="s">
        <v>16</v>
      </c>
      <c r="B3">
        <v>0</v>
      </c>
      <c r="C3">
        <v>0</v>
      </c>
      <c r="D3">
        <v>0</v>
      </c>
      <c r="E3">
        <v>0</v>
      </c>
      <c r="F3">
        <v>0</v>
      </c>
      <c r="G3">
        <v>0</v>
      </c>
      <c r="H3">
        <v>0</v>
      </c>
      <c r="I3">
        <v>0</v>
      </c>
      <c r="J3">
        <v>0</v>
      </c>
      <c r="K3">
        <v>0</v>
      </c>
      <c r="L3">
        <v>0</v>
      </c>
      <c r="M3">
        <v>0</v>
      </c>
      <c r="N3">
        <v>0</v>
      </c>
      <c r="O3">
        <v>0</v>
      </c>
      <c r="P3">
        <v>0</v>
      </c>
      <c r="Q3">
        <v>0</v>
      </c>
      <c r="R3">
        <v>0</v>
      </c>
      <c r="S3">
        <v>0</v>
      </c>
      <c r="T3">
        <v>0</v>
      </c>
      <c r="U3">
        <v>0</v>
      </c>
      <c r="V3">
        <v>0</v>
      </c>
      <c r="W3">
        <v>0</v>
      </c>
      <c r="X3">
        <v>0</v>
      </c>
      <c r="Y3">
        <v>0</v>
      </c>
      <c r="Z3">
        <v>0</v>
      </c>
      <c r="AA3">
        <v>0</v>
      </c>
      <c r="AB3">
        <v>0</v>
      </c>
      <c r="AC3">
        <v>0</v>
      </c>
      <c r="AD3">
        <v>0</v>
      </c>
      <c r="AE3">
        <v>0</v>
      </c>
    </row>
    <row r="4" spans="1:31">
      <c r="A4" t="s">
        <v>17</v>
      </c>
      <c r="B4">
        <v>0</v>
      </c>
      <c r="C4">
        <v>0</v>
      </c>
      <c r="D4">
        <v>0</v>
      </c>
      <c r="E4">
        <v>0</v>
      </c>
      <c r="F4">
        <v>0</v>
      </c>
      <c r="G4">
        <v>0</v>
      </c>
      <c r="H4">
        <v>0</v>
      </c>
      <c r="I4">
        <v>0</v>
      </c>
      <c r="J4">
        <v>0</v>
      </c>
      <c r="K4">
        <v>0</v>
      </c>
      <c r="L4">
        <v>0</v>
      </c>
      <c r="M4">
        <v>0</v>
      </c>
      <c r="N4">
        <v>0</v>
      </c>
      <c r="O4">
        <v>0</v>
      </c>
      <c r="P4">
        <v>0</v>
      </c>
      <c r="Q4">
        <v>0</v>
      </c>
      <c r="R4">
        <v>0</v>
      </c>
      <c r="S4">
        <v>0</v>
      </c>
      <c r="T4">
        <v>0</v>
      </c>
      <c r="U4">
        <v>0</v>
      </c>
      <c r="V4">
        <v>0</v>
      </c>
      <c r="W4">
        <v>0</v>
      </c>
      <c r="X4">
        <v>0</v>
      </c>
      <c r="Y4">
        <v>0</v>
      </c>
      <c r="Z4">
        <v>0</v>
      </c>
      <c r="AA4">
        <v>0</v>
      </c>
      <c r="AB4">
        <v>0</v>
      </c>
      <c r="AC4">
        <v>0</v>
      </c>
      <c r="AD4">
        <v>0</v>
      </c>
      <c r="AE4">
        <v>0</v>
      </c>
    </row>
    <row r="5" spans="1:31">
      <c r="A5" t="s">
        <v>18</v>
      </c>
      <c r="B5">
        <v>0</v>
      </c>
      <c r="C5">
        <v>0</v>
      </c>
      <c r="D5">
        <v>0</v>
      </c>
      <c r="E5">
        <v>0</v>
      </c>
      <c r="F5">
        <v>0</v>
      </c>
      <c r="G5">
        <v>0</v>
      </c>
      <c r="H5">
        <v>0</v>
      </c>
      <c r="I5">
        <v>0</v>
      </c>
      <c r="J5">
        <v>0</v>
      </c>
      <c r="K5">
        <v>0</v>
      </c>
      <c r="L5">
        <v>0</v>
      </c>
      <c r="M5">
        <v>0</v>
      </c>
      <c r="N5">
        <v>0</v>
      </c>
      <c r="O5">
        <v>0</v>
      </c>
      <c r="P5">
        <v>0</v>
      </c>
      <c r="Q5">
        <v>0</v>
      </c>
      <c r="R5">
        <v>0</v>
      </c>
      <c r="S5">
        <v>0</v>
      </c>
      <c r="T5">
        <v>0</v>
      </c>
      <c r="U5">
        <v>0</v>
      </c>
      <c r="V5">
        <v>0</v>
      </c>
      <c r="W5">
        <v>0</v>
      </c>
      <c r="X5">
        <v>0</v>
      </c>
      <c r="Y5">
        <v>0</v>
      </c>
      <c r="Z5">
        <v>0</v>
      </c>
      <c r="AA5">
        <v>0</v>
      </c>
      <c r="AB5">
        <v>0</v>
      </c>
      <c r="AC5">
        <v>0</v>
      </c>
      <c r="AD5">
        <v>0</v>
      </c>
      <c r="AE5">
        <v>0</v>
      </c>
    </row>
    <row r="6" spans="1:31">
      <c r="A6" t="s">
        <v>19</v>
      </c>
      <c r="B6">
        <v>0</v>
      </c>
      <c r="C6">
        <v>0</v>
      </c>
      <c r="D6">
        <v>0</v>
      </c>
      <c r="E6">
        <v>0</v>
      </c>
      <c r="F6">
        <v>0</v>
      </c>
      <c r="G6">
        <v>0</v>
      </c>
      <c r="H6">
        <v>0</v>
      </c>
      <c r="I6">
        <v>0</v>
      </c>
      <c r="J6">
        <v>0</v>
      </c>
      <c r="K6">
        <v>0</v>
      </c>
      <c r="L6">
        <v>0</v>
      </c>
      <c r="M6">
        <v>0</v>
      </c>
      <c r="N6">
        <v>0</v>
      </c>
      <c r="O6">
        <v>0</v>
      </c>
      <c r="P6">
        <v>0</v>
      </c>
      <c r="Q6">
        <v>0</v>
      </c>
      <c r="R6">
        <v>0</v>
      </c>
      <c r="S6">
        <v>0</v>
      </c>
      <c r="T6">
        <v>0</v>
      </c>
      <c r="U6">
        <v>0</v>
      </c>
      <c r="V6">
        <v>0</v>
      </c>
      <c r="W6">
        <v>0</v>
      </c>
      <c r="X6">
        <v>0</v>
      </c>
      <c r="Y6">
        <v>0</v>
      </c>
      <c r="Z6">
        <v>0</v>
      </c>
      <c r="AA6">
        <v>0</v>
      </c>
      <c r="AB6">
        <v>0</v>
      </c>
      <c r="AC6">
        <v>0</v>
      </c>
      <c r="AD6">
        <v>0</v>
      </c>
      <c r="AE6">
        <v>0</v>
      </c>
    </row>
    <row r="7" spans="1:31">
      <c r="A7" t="s">
        <v>21</v>
      </c>
      <c r="B7">
        <v>0</v>
      </c>
      <c r="C7">
        <v>0</v>
      </c>
      <c r="D7">
        <v>0</v>
      </c>
      <c r="E7">
        <v>0</v>
      </c>
      <c r="F7">
        <v>0</v>
      </c>
      <c r="G7">
        <v>0</v>
      </c>
      <c r="H7">
        <v>0</v>
      </c>
      <c r="I7">
        <v>0</v>
      </c>
      <c r="J7">
        <v>0</v>
      </c>
      <c r="K7">
        <v>0</v>
      </c>
      <c r="L7">
        <v>0</v>
      </c>
      <c r="M7">
        <v>0</v>
      </c>
      <c r="N7">
        <v>0</v>
      </c>
      <c r="O7">
        <v>0</v>
      </c>
      <c r="P7">
        <v>0</v>
      </c>
      <c r="Q7">
        <v>0</v>
      </c>
      <c r="R7">
        <v>0</v>
      </c>
      <c r="S7">
        <v>0</v>
      </c>
      <c r="T7">
        <v>0</v>
      </c>
      <c r="U7">
        <v>0</v>
      </c>
      <c r="V7">
        <v>0</v>
      </c>
      <c r="W7">
        <v>0</v>
      </c>
      <c r="X7">
        <v>0</v>
      </c>
      <c r="Y7">
        <v>0</v>
      </c>
      <c r="Z7">
        <v>0</v>
      </c>
      <c r="AA7">
        <v>0</v>
      </c>
      <c r="AB7">
        <v>0</v>
      </c>
      <c r="AC7">
        <v>0</v>
      </c>
      <c r="AD7">
        <v>0</v>
      </c>
      <c r="AE7">
        <v>0</v>
      </c>
    </row>
    <row r="8" spans="1:31">
      <c r="A8" t="s">
        <v>20</v>
      </c>
      <c r="B8">
        <v>0</v>
      </c>
      <c r="C8">
        <v>0</v>
      </c>
      <c r="D8">
        <v>0</v>
      </c>
      <c r="E8">
        <v>0</v>
      </c>
      <c r="F8">
        <v>0</v>
      </c>
      <c r="G8">
        <v>0</v>
      </c>
      <c r="H8">
        <v>0</v>
      </c>
      <c r="I8">
        <v>0</v>
      </c>
      <c r="J8">
        <v>0</v>
      </c>
      <c r="K8">
        <v>0</v>
      </c>
      <c r="L8">
        <v>0</v>
      </c>
      <c r="M8">
        <v>0</v>
      </c>
      <c r="N8">
        <v>0</v>
      </c>
      <c r="O8">
        <v>0</v>
      </c>
      <c r="P8">
        <v>0</v>
      </c>
      <c r="Q8">
        <v>0</v>
      </c>
      <c r="R8">
        <v>0</v>
      </c>
      <c r="S8">
        <v>0</v>
      </c>
      <c r="T8">
        <v>0</v>
      </c>
      <c r="U8">
        <v>0</v>
      </c>
      <c r="V8">
        <v>0</v>
      </c>
      <c r="W8">
        <v>0</v>
      </c>
      <c r="X8">
        <v>0</v>
      </c>
      <c r="Y8">
        <v>0</v>
      </c>
      <c r="Z8">
        <v>0</v>
      </c>
      <c r="AA8">
        <v>0</v>
      </c>
      <c r="AB8">
        <v>0</v>
      </c>
      <c r="AC8">
        <v>0</v>
      </c>
      <c r="AD8">
        <v>0</v>
      </c>
      <c r="AE8">
        <v>0</v>
      </c>
    </row>
    <row r="9" spans="1:31">
      <c r="A9" t="s">
        <v>82</v>
      </c>
      <c r="B9">
        <v>0</v>
      </c>
      <c r="C9">
        <v>0</v>
      </c>
      <c r="D9">
        <v>0</v>
      </c>
      <c r="E9">
        <v>0</v>
      </c>
      <c r="F9">
        <v>0</v>
      </c>
      <c r="G9">
        <v>0</v>
      </c>
      <c r="H9">
        <v>0</v>
      </c>
      <c r="I9">
        <v>0</v>
      </c>
      <c r="J9">
        <v>0</v>
      </c>
      <c r="K9">
        <v>0</v>
      </c>
      <c r="L9">
        <v>0</v>
      </c>
      <c r="M9">
        <v>0</v>
      </c>
      <c r="N9">
        <v>0</v>
      </c>
      <c r="O9">
        <v>0</v>
      </c>
      <c r="P9">
        <v>0</v>
      </c>
      <c r="Q9">
        <v>0</v>
      </c>
      <c r="R9">
        <v>0</v>
      </c>
      <c r="S9">
        <v>0</v>
      </c>
      <c r="T9">
        <v>0</v>
      </c>
      <c r="U9">
        <v>0</v>
      </c>
      <c r="V9">
        <v>0</v>
      </c>
      <c r="W9">
        <v>0</v>
      </c>
      <c r="X9">
        <v>0</v>
      </c>
      <c r="Y9">
        <v>0</v>
      </c>
      <c r="Z9">
        <v>0</v>
      </c>
      <c r="AA9">
        <v>0</v>
      </c>
      <c r="AB9">
        <v>0</v>
      </c>
      <c r="AC9">
        <v>0</v>
      </c>
      <c r="AD9">
        <v>0</v>
      </c>
      <c r="AE9">
        <v>0</v>
      </c>
    </row>
    <row r="10" spans="1:31">
      <c r="A10" t="s">
        <v>83</v>
      </c>
      <c r="B10">
        <v>0</v>
      </c>
      <c r="C10">
        <v>0</v>
      </c>
      <c r="D10">
        <v>0</v>
      </c>
      <c r="E10">
        <v>0</v>
      </c>
      <c r="F10">
        <v>0</v>
      </c>
      <c r="G10">
        <v>0</v>
      </c>
      <c r="H10">
        <v>0</v>
      </c>
      <c r="I10">
        <v>0</v>
      </c>
      <c r="J10">
        <v>0</v>
      </c>
      <c r="K10">
        <v>0</v>
      </c>
      <c r="L10">
        <v>0</v>
      </c>
      <c r="M10">
        <v>0</v>
      </c>
      <c r="N10">
        <v>0</v>
      </c>
      <c r="O10">
        <v>0</v>
      </c>
      <c r="P10">
        <v>0</v>
      </c>
      <c r="Q10">
        <v>0</v>
      </c>
      <c r="R10">
        <v>0</v>
      </c>
      <c r="S10">
        <v>0</v>
      </c>
      <c r="T10">
        <v>0</v>
      </c>
      <c r="U10">
        <v>0</v>
      </c>
      <c r="V10">
        <v>0</v>
      </c>
      <c r="W10">
        <v>0</v>
      </c>
      <c r="X10">
        <v>0</v>
      </c>
      <c r="Y10">
        <v>0</v>
      </c>
      <c r="Z10">
        <v>0</v>
      </c>
      <c r="AA10">
        <v>0</v>
      </c>
      <c r="AB10">
        <v>0</v>
      </c>
      <c r="AC10">
        <v>0</v>
      </c>
      <c r="AD10">
        <v>0</v>
      </c>
      <c r="AE10">
        <v>0</v>
      </c>
    </row>
    <row r="11" spans="1:31">
      <c r="A11" t="s">
        <v>84</v>
      </c>
      <c r="B11">
        <v>1</v>
      </c>
      <c r="C11">
        <v>1</v>
      </c>
      <c r="D11">
        <v>1</v>
      </c>
      <c r="E11">
        <v>1</v>
      </c>
      <c r="F11">
        <v>1</v>
      </c>
      <c r="G11">
        <v>1</v>
      </c>
      <c r="H11">
        <v>1</v>
      </c>
      <c r="I11">
        <v>1</v>
      </c>
      <c r="J11">
        <v>1</v>
      </c>
      <c r="K11">
        <v>1</v>
      </c>
      <c r="L11">
        <v>1</v>
      </c>
      <c r="M11">
        <v>1</v>
      </c>
      <c r="N11">
        <v>1</v>
      </c>
      <c r="O11">
        <v>1</v>
      </c>
      <c r="P11">
        <v>1</v>
      </c>
      <c r="Q11">
        <v>1</v>
      </c>
      <c r="R11">
        <v>1</v>
      </c>
      <c r="S11">
        <v>1</v>
      </c>
      <c r="T11">
        <v>1</v>
      </c>
      <c r="U11">
        <v>1</v>
      </c>
      <c r="V11">
        <v>1</v>
      </c>
      <c r="W11">
        <v>1</v>
      </c>
      <c r="X11">
        <v>1</v>
      </c>
      <c r="Y11">
        <v>1</v>
      </c>
      <c r="Z11">
        <v>1</v>
      </c>
      <c r="AA11">
        <v>1</v>
      </c>
      <c r="AB11">
        <v>1</v>
      </c>
      <c r="AC11">
        <v>1</v>
      </c>
      <c r="AD11">
        <v>1</v>
      </c>
      <c r="AE11">
        <v>1</v>
      </c>
    </row>
  </sheetData>
  <pageMargins left="0.7" right="0.7" top="0.75" bottom="0.75" header="0.3" footer="0.3"/>
</worksheet>
</file>

<file path=xl/worksheets/sheet8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4900-000000000000}">
  <sheetPr>
    <tabColor rgb="FFFF0000"/>
  </sheetPr>
  <dimension ref="A1"/>
  <sheetViews>
    <sheetView workbookViewId="0"/>
  </sheetViews>
  <sheetFormatPr defaultRowHeight="14.25"/>
  <sheetData/>
  <pageMargins left="0.7" right="0.7" top="0.75" bottom="0.75" header="0.3" footer="0.3"/>
</worksheet>
</file>

<file path=xl/worksheets/sheet8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4A00-000000000000}">
  <sheetPr>
    <tabColor theme="3"/>
  </sheetPr>
  <dimension ref="A1:AE11"/>
  <sheetViews>
    <sheetView workbookViewId="0">
      <selection activeCell="F14" sqref="F14"/>
    </sheetView>
  </sheetViews>
  <sheetFormatPr defaultRowHeight="14.25"/>
  <cols>
    <col min="1" max="1" width="22.53125" customWidth="1"/>
  </cols>
  <sheetData>
    <row r="1" spans="1:31" ht="28.5">
      <c r="A1" s="10" t="s">
        <v>85</v>
      </c>
      <c r="B1">
        <v>2021</v>
      </c>
      <c r="C1">
        <v>2022</v>
      </c>
      <c r="D1">
        <v>2023</v>
      </c>
      <c r="E1">
        <v>2024</v>
      </c>
      <c r="F1">
        <v>2025</v>
      </c>
      <c r="G1">
        <v>2026</v>
      </c>
      <c r="H1">
        <v>2027</v>
      </c>
      <c r="I1">
        <v>2028</v>
      </c>
      <c r="J1">
        <v>2029</v>
      </c>
      <c r="K1">
        <v>2030</v>
      </c>
      <c r="L1">
        <v>2031</v>
      </c>
      <c r="M1">
        <v>2032</v>
      </c>
      <c r="N1">
        <v>2033</v>
      </c>
      <c r="O1">
        <v>2034</v>
      </c>
      <c r="P1">
        <v>2035</v>
      </c>
      <c r="Q1">
        <v>2036</v>
      </c>
      <c r="R1">
        <v>2037</v>
      </c>
      <c r="S1">
        <v>2038</v>
      </c>
      <c r="T1">
        <v>2039</v>
      </c>
      <c r="U1">
        <v>2040</v>
      </c>
      <c r="V1">
        <v>2041</v>
      </c>
      <c r="W1">
        <v>2042</v>
      </c>
      <c r="X1">
        <v>2043</v>
      </c>
      <c r="Y1">
        <v>2044</v>
      </c>
      <c r="Z1">
        <v>2045</v>
      </c>
      <c r="AA1">
        <v>2046</v>
      </c>
      <c r="AB1">
        <v>2047</v>
      </c>
      <c r="AC1">
        <v>2048</v>
      </c>
      <c r="AD1">
        <v>2049</v>
      </c>
      <c r="AE1">
        <v>2050</v>
      </c>
    </row>
    <row r="2" spans="1:31">
      <c r="A2" t="s">
        <v>15</v>
      </c>
      <c r="B2">
        <v>1</v>
      </c>
      <c r="C2">
        <v>1</v>
      </c>
      <c r="D2">
        <v>1</v>
      </c>
      <c r="E2">
        <v>1</v>
      </c>
      <c r="F2">
        <v>1</v>
      </c>
      <c r="G2">
        <v>1</v>
      </c>
      <c r="H2">
        <v>1</v>
      </c>
      <c r="I2">
        <v>1</v>
      </c>
      <c r="J2">
        <v>1</v>
      </c>
      <c r="K2">
        <v>1</v>
      </c>
      <c r="L2">
        <v>1</v>
      </c>
      <c r="M2">
        <v>1</v>
      </c>
      <c r="N2">
        <v>1</v>
      </c>
      <c r="O2">
        <v>1</v>
      </c>
      <c r="P2">
        <v>1</v>
      </c>
      <c r="Q2">
        <v>1</v>
      </c>
      <c r="R2">
        <v>1</v>
      </c>
      <c r="S2">
        <v>1</v>
      </c>
      <c r="T2">
        <v>1</v>
      </c>
      <c r="U2">
        <v>1</v>
      </c>
      <c r="V2">
        <v>1</v>
      </c>
      <c r="W2">
        <v>1</v>
      </c>
      <c r="X2">
        <v>1</v>
      </c>
      <c r="Y2">
        <v>1</v>
      </c>
      <c r="Z2">
        <v>1</v>
      </c>
      <c r="AA2">
        <v>1</v>
      </c>
      <c r="AB2">
        <v>1</v>
      </c>
      <c r="AC2">
        <v>1</v>
      </c>
      <c r="AD2">
        <v>1</v>
      </c>
      <c r="AE2">
        <v>1</v>
      </c>
    </row>
    <row r="3" spans="1:31">
      <c r="A3" t="s">
        <v>16</v>
      </c>
      <c r="B3">
        <v>0</v>
      </c>
      <c r="C3">
        <v>0</v>
      </c>
      <c r="D3">
        <v>0</v>
      </c>
      <c r="E3">
        <v>0</v>
      </c>
      <c r="F3">
        <v>0</v>
      </c>
      <c r="G3">
        <v>0</v>
      </c>
      <c r="H3">
        <v>0</v>
      </c>
      <c r="I3">
        <v>0</v>
      </c>
      <c r="J3">
        <v>0</v>
      </c>
      <c r="K3">
        <v>0</v>
      </c>
      <c r="L3">
        <v>0</v>
      </c>
      <c r="M3">
        <v>0</v>
      </c>
      <c r="N3">
        <v>0</v>
      </c>
      <c r="O3">
        <v>0</v>
      </c>
      <c r="P3">
        <v>0</v>
      </c>
      <c r="Q3">
        <v>0</v>
      </c>
      <c r="R3">
        <v>0</v>
      </c>
      <c r="S3">
        <v>0</v>
      </c>
      <c r="T3">
        <v>0</v>
      </c>
      <c r="U3">
        <v>0</v>
      </c>
      <c r="V3">
        <v>0</v>
      </c>
      <c r="W3">
        <v>0</v>
      </c>
      <c r="X3">
        <v>0</v>
      </c>
      <c r="Y3">
        <v>0</v>
      </c>
      <c r="Z3">
        <v>0</v>
      </c>
      <c r="AA3">
        <v>0</v>
      </c>
      <c r="AB3">
        <v>0</v>
      </c>
      <c r="AC3">
        <v>0</v>
      </c>
      <c r="AD3">
        <v>0</v>
      </c>
      <c r="AE3">
        <v>0</v>
      </c>
    </row>
    <row r="4" spans="1:31">
      <c r="A4" t="s">
        <v>17</v>
      </c>
      <c r="B4">
        <v>0</v>
      </c>
      <c r="C4">
        <v>0</v>
      </c>
      <c r="D4">
        <v>0</v>
      </c>
      <c r="E4">
        <v>0</v>
      </c>
      <c r="F4">
        <v>0</v>
      </c>
      <c r="G4">
        <v>0</v>
      </c>
      <c r="H4">
        <v>0</v>
      </c>
      <c r="I4">
        <v>0</v>
      </c>
      <c r="J4">
        <v>0</v>
      </c>
      <c r="K4">
        <v>0</v>
      </c>
      <c r="L4">
        <v>0</v>
      </c>
      <c r="M4">
        <v>0</v>
      </c>
      <c r="N4">
        <v>0</v>
      </c>
      <c r="O4">
        <v>0</v>
      </c>
      <c r="P4">
        <v>0</v>
      </c>
      <c r="Q4">
        <v>0</v>
      </c>
      <c r="R4">
        <v>0</v>
      </c>
      <c r="S4">
        <v>0</v>
      </c>
      <c r="T4">
        <v>0</v>
      </c>
      <c r="U4">
        <v>0</v>
      </c>
      <c r="V4">
        <v>0</v>
      </c>
      <c r="W4">
        <v>0</v>
      </c>
      <c r="X4">
        <v>0</v>
      </c>
      <c r="Y4">
        <v>0</v>
      </c>
      <c r="Z4">
        <v>0</v>
      </c>
      <c r="AA4">
        <v>0</v>
      </c>
      <c r="AB4">
        <v>0</v>
      </c>
      <c r="AC4">
        <v>0</v>
      </c>
      <c r="AD4">
        <v>0</v>
      </c>
      <c r="AE4">
        <v>0</v>
      </c>
    </row>
    <row r="5" spans="1:31">
      <c r="A5" t="s">
        <v>18</v>
      </c>
      <c r="B5">
        <v>0</v>
      </c>
      <c r="C5">
        <v>0</v>
      </c>
      <c r="D5">
        <v>0</v>
      </c>
      <c r="E5">
        <v>0</v>
      </c>
      <c r="F5">
        <v>0</v>
      </c>
      <c r="G5">
        <v>0</v>
      </c>
      <c r="H5">
        <v>0</v>
      </c>
      <c r="I5">
        <v>0</v>
      </c>
      <c r="J5">
        <v>0</v>
      </c>
      <c r="K5">
        <v>0</v>
      </c>
      <c r="L5">
        <v>0</v>
      </c>
      <c r="M5">
        <v>0</v>
      </c>
      <c r="N5">
        <v>0</v>
      </c>
      <c r="O5">
        <v>0</v>
      </c>
      <c r="P5">
        <v>0</v>
      </c>
      <c r="Q5">
        <v>0</v>
      </c>
      <c r="R5">
        <v>0</v>
      </c>
      <c r="S5">
        <v>0</v>
      </c>
      <c r="T5">
        <v>0</v>
      </c>
      <c r="U5">
        <v>0</v>
      </c>
      <c r="V5">
        <v>0</v>
      </c>
      <c r="W5">
        <v>0</v>
      </c>
      <c r="X5">
        <v>0</v>
      </c>
      <c r="Y5">
        <v>0</v>
      </c>
      <c r="Z5">
        <v>0</v>
      </c>
      <c r="AA5">
        <v>0</v>
      </c>
      <c r="AB5">
        <v>0</v>
      </c>
      <c r="AC5">
        <v>0</v>
      </c>
      <c r="AD5">
        <v>0</v>
      </c>
      <c r="AE5">
        <v>0</v>
      </c>
    </row>
    <row r="6" spans="1:31">
      <c r="A6" t="s">
        <v>19</v>
      </c>
      <c r="B6">
        <v>0</v>
      </c>
      <c r="C6">
        <v>0</v>
      </c>
      <c r="D6">
        <v>0</v>
      </c>
      <c r="E6">
        <v>0</v>
      </c>
      <c r="F6">
        <v>0</v>
      </c>
      <c r="G6">
        <v>0</v>
      </c>
      <c r="H6">
        <v>0</v>
      </c>
      <c r="I6">
        <v>0</v>
      </c>
      <c r="J6">
        <v>0</v>
      </c>
      <c r="K6">
        <v>0</v>
      </c>
      <c r="L6">
        <v>0</v>
      </c>
      <c r="M6">
        <v>0</v>
      </c>
      <c r="N6">
        <v>0</v>
      </c>
      <c r="O6">
        <v>0</v>
      </c>
      <c r="P6">
        <v>0</v>
      </c>
      <c r="Q6">
        <v>0</v>
      </c>
      <c r="R6">
        <v>0</v>
      </c>
      <c r="S6">
        <v>0</v>
      </c>
      <c r="T6">
        <v>0</v>
      </c>
      <c r="U6">
        <v>0</v>
      </c>
      <c r="V6">
        <v>0</v>
      </c>
      <c r="W6">
        <v>0</v>
      </c>
      <c r="X6">
        <v>0</v>
      </c>
      <c r="Y6">
        <v>0</v>
      </c>
      <c r="Z6">
        <v>0</v>
      </c>
      <c r="AA6">
        <v>0</v>
      </c>
      <c r="AB6">
        <v>0</v>
      </c>
      <c r="AC6">
        <v>0</v>
      </c>
      <c r="AD6">
        <v>0</v>
      </c>
      <c r="AE6">
        <v>0</v>
      </c>
    </row>
    <row r="7" spans="1:31">
      <c r="A7" t="s">
        <v>21</v>
      </c>
      <c r="B7">
        <v>0</v>
      </c>
      <c r="C7">
        <v>0</v>
      </c>
      <c r="D7">
        <v>0</v>
      </c>
      <c r="E7">
        <v>0</v>
      </c>
      <c r="F7">
        <v>0</v>
      </c>
      <c r="G7">
        <v>0</v>
      </c>
      <c r="H7">
        <v>0</v>
      </c>
      <c r="I7">
        <v>0</v>
      </c>
      <c r="J7">
        <v>0</v>
      </c>
      <c r="K7">
        <v>0</v>
      </c>
      <c r="L7">
        <v>0</v>
      </c>
      <c r="M7">
        <v>0</v>
      </c>
      <c r="N7">
        <v>0</v>
      </c>
      <c r="O7">
        <v>0</v>
      </c>
      <c r="P7">
        <v>0</v>
      </c>
      <c r="Q7">
        <v>0</v>
      </c>
      <c r="R7">
        <v>0</v>
      </c>
      <c r="S7">
        <v>0</v>
      </c>
      <c r="T7">
        <v>0</v>
      </c>
      <c r="U7">
        <v>0</v>
      </c>
      <c r="V7">
        <v>0</v>
      </c>
      <c r="W7">
        <v>0</v>
      </c>
      <c r="X7">
        <v>0</v>
      </c>
      <c r="Y7">
        <v>0</v>
      </c>
      <c r="Z7">
        <v>0</v>
      </c>
      <c r="AA7">
        <v>0</v>
      </c>
      <c r="AB7">
        <v>0</v>
      </c>
      <c r="AC7">
        <v>0</v>
      </c>
      <c r="AD7">
        <v>0</v>
      </c>
      <c r="AE7">
        <v>0</v>
      </c>
    </row>
    <row r="8" spans="1:31">
      <c r="A8" t="s">
        <v>20</v>
      </c>
      <c r="B8">
        <v>0</v>
      </c>
      <c r="C8">
        <v>0</v>
      </c>
      <c r="D8">
        <v>0</v>
      </c>
      <c r="E8">
        <v>0</v>
      </c>
      <c r="F8">
        <v>0</v>
      </c>
      <c r="G8">
        <v>0</v>
      </c>
      <c r="H8">
        <v>0</v>
      </c>
      <c r="I8">
        <v>0</v>
      </c>
      <c r="J8">
        <v>0</v>
      </c>
      <c r="K8">
        <v>0</v>
      </c>
      <c r="L8">
        <v>0</v>
      </c>
      <c r="M8">
        <v>0</v>
      </c>
      <c r="N8">
        <v>0</v>
      </c>
      <c r="O8">
        <v>0</v>
      </c>
      <c r="P8">
        <v>0</v>
      </c>
      <c r="Q8">
        <v>0</v>
      </c>
      <c r="R8">
        <v>0</v>
      </c>
      <c r="S8">
        <v>0</v>
      </c>
      <c r="T8">
        <v>0</v>
      </c>
      <c r="U8">
        <v>0</v>
      </c>
      <c r="V8">
        <v>0</v>
      </c>
      <c r="W8">
        <v>0</v>
      </c>
      <c r="X8">
        <v>0</v>
      </c>
      <c r="Y8">
        <v>0</v>
      </c>
      <c r="Z8">
        <v>0</v>
      </c>
      <c r="AA8">
        <v>0</v>
      </c>
      <c r="AB8">
        <v>0</v>
      </c>
      <c r="AC8">
        <v>0</v>
      </c>
      <c r="AD8">
        <v>0</v>
      </c>
      <c r="AE8">
        <v>0</v>
      </c>
    </row>
    <row r="9" spans="1:31">
      <c r="A9" t="s">
        <v>82</v>
      </c>
      <c r="B9">
        <v>0</v>
      </c>
      <c r="C9">
        <v>0</v>
      </c>
      <c r="D9">
        <v>0</v>
      </c>
      <c r="E9">
        <v>0</v>
      </c>
      <c r="F9">
        <v>0</v>
      </c>
      <c r="G9">
        <v>0</v>
      </c>
      <c r="H9">
        <v>0</v>
      </c>
      <c r="I9">
        <v>0</v>
      </c>
      <c r="J9">
        <v>0</v>
      </c>
      <c r="K9">
        <v>0</v>
      </c>
      <c r="L9">
        <v>0</v>
      </c>
      <c r="M9">
        <v>0</v>
      </c>
      <c r="N9">
        <v>0</v>
      </c>
      <c r="O9">
        <v>0</v>
      </c>
      <c r="P9">
        <v>0</v>
      </c>
      <c r="Q9">
        <v>0</v>
      </c>
      <c r="R9">
        <v>0</v>
      </c>
      <c r="S9">
        <v>0</v>
      </c>
      <c r="T9">
        <v>0</v>
      </c>
      <c r="U9">
        <v>0</v>
      </c>
      <c r="V9">
        <v>0</v>
      </c>
      <c r="W9">
        <v>0</v>
      </c>
      <c r="X9">
        <v>0</v>
      </c>
      <c r="Y9">
        <v>0</v>
      </c>
      <c r="Z9">
        <v>0</v>
      </c>
      <c r="AA9">
        <v>0</v>
      </c>
      <c r="AB9">
        <v>0</v>
      </c>
      <c r="AC9">
        <v>0</v>
      </c>
      <c r="AD9">
        <v>0</v>
      </c>
      <c r="AE9">
        <v>0</v>
      </c>
    </row>
    <row r="10" spans="1:31">
      <c r="A10" t="s">
        <v>83</v>
      </c>
      <c r="B10">
        <v>0</v>
      </c>
      <c r="C10">
        <v>0</v>
      </c>
      <c r="D10">
        <v>0</v>
      </c>
      <c r="E10">
        <v>0</v>
      </c>
      <c r="F10">
        <v>0</v>
      </c>
      <c r="G10">
        <v>0</v>
      </c>
      <c r="H10">
        <v>0</v>
      </c>
      <c r="I10">
        <v>0</v>
      </c>
      <c r="J10">
        <v>0</v>
      </c>
      <c r="K10">
        <v>0</v>
      </c>
      <c r="L10">
        <v>0</v>
      </c>
      <c r="M10">
        <v>0</v>
      </c>
      <c r="N10">
        <v>0</v>
      </c>
      <c r="O10">
        <v>0</v>
      </c>
      <c r="P10">
        <v>0</v>
      </c>
      <c r="Q10">
        <v>0</v>
      </c>
      <c r="R10">
        <v>0</v>
      </c>
      <c r="S10">
        <v>0</v>
      </c>
      <c r="T10">
        <v>0</v>
      </c>
      <c r="U10">
        <v>0</v>
      </c>
      <c r="V10">
        <v>0</v>
      </c>
      <c r="W10">
        <v>0</v>
      </c>
      <c r="X10">
        <v>0</v>
      </c>
      <c r="Y10">
        <v>0</v>
      </c>
      <c r="Z10">
        <v>0</v>
      </c>
      <c r="AA10">
        <v>0</v>
      </c>
      <c r="AB10">
        <v>0</v>
      </c>
      <c r="AC10">
        <v>0</v>
      </c>
      <c r="AD10">
        <v>0</v>
      </c>
      <c r="AE10">
        <v>0</v>
      </c>
    </row>
    <row r="11" spans="1:31">
      <c r="A11" t="s">
        <v>84</v>
      </c>
      <c r="B11">
        <v>0</v>
      </c>
      <c r="C11">
        <v>0</v>
      </c>
      <c r="D11">
        <v>0</v>
      </c>
      <c r="E11">
        <v>0</v>
      </c>
      <c r="F11">
        <v>0</v>
      </c>
      <c r="G11">
        <v>0</v>
      </c>
      <c r="H11">
        <v>0</v>
      </c>
      <c r="I11">
        <v>0</v>
      </c>
      <c r="J11">
        <v>0</v>
      </c>
      <c r="K11">
        <v>0</v>
      </c>
      <c r="L11">
        <v>0</v>
      </c>
      <c r="M11">
        <v>0</v>
      </c>
      <c r="N11">
        <v>0</v>
      </c>
      <c r="O11">
        <v>0</v>
      </c>
      <c r="P11">
        <v>0</v>
      </c>
      <c r="Q11">
        <v>0</v>
      </c>
      <c r="R11">
        <v>0</v>
      </c>
      <c r="S11">
        <v>0</v>
      </c>
      <c r="T11">
        <v>0</v>
      </c>
      <c r="U11">
        <v>0</v>
      </c>
      <c r="V11">
        <v>0</v>
      </c>
      <c r="W11">
        <v>0</v>
      </c>
      <c r="X11">
        <v>0</v>
      </c>
      <c r="Y11">
        <v>0</v>
      </c>
      <c r="Z11">
        <v>0</v>
      </c>
      <c r="AA11">
        <v>0</v>
      </c>
      <c r="AB11">
        <v>0</v>
      </c>
      <c r="AC11">
        <v>0</v>
      </c>
      <c r="AD11">
        <v>0</v>
      </c>
      <c r="AE11">
        <v>0</v>
      </c>
    </row>
  </sheetData>
  <pageMargins left="0.7" right="0.7" top="0.75" bottom="0.75" header="0.3" footer="0.3"/>
</worksheet>
</file>

<file path=xl/worksheets/sheet8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4B00-000000000000}">
  <sheetPr>
    <tabColor theme="3"/>
  </sheetPr>
  <dimension ref="A1:AE11"/>
  <sheetViews>
    <sheetView topLeftCell="C1" workbookViewId="0">
      <selection activeCell="B1" sqref="B1:AE1"/>
    </sheetView>
  </sheetViews>
  <sheetFormatPr defaultRowHeight="14.25"/>
  <cols>
    <col min="1" max="1" width="22.53125" customWidth="1"/>
  </cols>
  <sheetData>
    <row r="1" spans="1:31" ht="28.5">
      <c r="A1" s="10" t="s">
        <v>85</v>
      </c>
      <c r="B1">
        <v>2021</v>
      </c>
      <c r="C1">
        <v>2022</v>
      </c>
      <c r="D1">
        <v>2023</v>
      </c>
      <c r="E1">
        <v>2024</v>
      </c>
      <c r="F1">
        <v>2025</v>
      </c>
      <c r="G1">
        <v>2026</v>
      </c>
      <c r="H1">
        <v>2027</v>
      </c>
      <c r="I1">
        <v>2028</v>
      </c>
      <c r="J1">
        <v>2029</v>
      </c>
      <c r="K1">
        <v>2030</v>
      </c>
      <c r="L1">
        <v>2031</v>
      </c>
      <c r="M1">
        <v>2032</v>
      </c>
      <c r="N1">
        <v>2033</v>
      </c>
      <c r="O1">
        <v>2034</v>
      </c>
      <c r="P1">
        <v>2035</v>
      </c>
      <c r="Q1">
        <v>2036</v>
      </c>
      <c r="R1">
        <v>2037</v>
      </c>
      <c r="S1">
        <v>2038</v>
      </c>
      <c r="T1">
        <v>2039</v>
      </c>
      <c r="U1">
        <v>2040</v>
      </c>
      <c r="V1">
        <v>2041</v>
      </c>
      <c r="W1">
        <v>2042</v>
      </c>
      <c r="X1">
        <v>2043</v>
      </c>
      <c r="Y1">
        <v>2044</v>
      </c>
      <c r="Z1">
        <v>2045</v>
      </c>
      <c r="AA1">
        <v>2046</v>
      </c>
      <c r="AB1">
        <v>2047</v>
      </c>
      <c r="AC1">
        <v>2048</v>
      </c>
      <c r="AD1">
        <v>2049</v>
      </c>
      <c r="AE1">
        <v>2050</v>
      </c>
    </row>
    <row r="2" spans="1:31">
      <c r="A2" t="s">
        <v>15</v>
      </c>
      <c r="B2">
        <v>0</v>
      </c>
      <c r="C2">
        <v>0</v>
      </c>
      <c r="D2">
        <v>0</v>
      </c>
      <c r="E2">
        <v>0</v>
      </c>
      <c r="F2">
        <v>0</v>
      </c>
      <c r="G2">
        <v>0</v>
      </c>
      <c r="H2">
        <v>0</v>
      </c>
      <c r="I2">
        <v>0</v>
      </c>
      <c r="J2">
        <v>0</v>
      </c>
      <c r="K2">
        <v>0</v>
      </c>
      <c r="L2">
        <v>0</v>
      </c>
      <c r="M2">
        <v>0</v>
      </c>
      <c r="N2">
        <v>0</v>
      </c>
      <c r="O2">
        <v>0</v>
      </c>
      <c r="P2">
        <v>0</v>
      </c>
      <c r="Q2">
        <v>0</v>
      </c>
      <c r="R2">
        <v>0</v>
      </c>
      <c r="S2">
        <v>0</v>
      </c>
      <c r="T2">
        <v>0</v>
      </c>
      <c r="U2">
        <v>0</v>
      </c>
      <c r="V2">
        <v>0</v>
      </c>
      <c r="W2">
        <v>0</v>
      </c>
      <c r="X2">
        <v>0</v>
      </c>
      <c r="Y2">
        <v>0</v>
      </c>
      <c r="Z2">
        <v>0</v>
      </c>
      <c r="AA2">
        <v>0</v>
      </c>
      <c r="AB2">
        <v>0</v>
      </c>
      <c r="AC2">
        <v>0</v>
      </c>
      <c r="AD2">
        <v>0</v>
      </c>
      <c r="AE2">
        <v>0</v>
      </c>
    </row>
    <row r="3" spans="1:31">
      <c r="A3" t="s">
        <v>16</v>
      </c>
      <c r="B3">
        <v>1</v>
      </c>
      <c r="C3">
        <v>1</v>
      </c>
      <c r="D3">
        <v>1</v>
      </c>
      <c r="E3">
        <v>1</v>
      </c>
      <c r="F3">
        <v>1</v>
      </c>
      <c r="G3">
        <v>1</v>
      </c>
      <c r="H3">
        <v>1</v>
      </c>
      <c r="I3">
        <v>1</v>
      </c>
      <c r="J3">
        <v>1</v>
      </c>
      <c r="K3">
        <v>1</v>
      </c>
      <c r="L3">
        <v>1</v>
      </c>
      <c r="M3">
        <v>1</v>
      </c>
      <c r="N3">
        <v>1</v>
      </c>
      <c r="O3">
        <v>1</v>
      </c>
      <c r="P3">
        <v>1</v>
      </c>
      <c r="Q3">
        <v>1</v>
      </c>
      <c r="R3">
        <v>1</v>
      </c>
      <c r="S3">
        <v>1</v>
      </c>
      <c r="T3">
        <v>1</v>
      </c>
      <c r="U3">
        <v>1</v>
      </c>
      <c r="V3">
        <v>1</v>
      </c>
      <c r="W3">
        <v>1</v>
      </c>
      <c r="X3">
        <v>1</v>
      </c>
      <c r="Y3">
        <v>1</v>
      </c>
      <c r="Z3">
        <v>1</v>
      </c>
      <c r="AA3">
        <v>1</v>
      </c>
      <c r="AB3">
        <v>1</v>
      </c>
      <c r="AC3">
        <v>1</v>
      </c>
      <c r="AD3">
        <v>1</v>
      </c>
      <c r="AE3">
        <v>1</v>
      </c>
    </row>
    <row r="4" spans="1:31">
      <c r="A4" t="s">
        <v>17</v>
      </c>
      <c r="B4">
        <v>0</v>
      </c>
      <c r="C4">
        <v>0</v>
      </c>
      <c r="D4">
        <v>0</v>
      </c>
      <c r="E4">
        <v>0</v>
      </c>
      <c r="F4">
        <v>0</v>
      </c>
      <c r="G4">
        <v>0</v>
      </c>
      <c r="H4">
        <v>0</v>
      </c>
      <c r="I4">
        <v>0</v>
      </c>
      <c r="J4">
        <v>0</v>
      </c>
      <c r="K4">
        <v>0</v>
      </c>
      <c r="L4">
        <v>0</v>
      </c>
      <c r="M4">
        <v>0</v>
      </c>
      <c r="N4">
        <v>0</v>
      </c>
      <c r="O4">
        <v>0</v>
      </c>
      <c r="P4">
        <v>0</v>
      </c>
      <c r="Q4">
        <v>0</v>
      </c>
      <c r="R4">
        <v>0</v>
      </c>
      <c r="S4">
        <v>0</v>
      </c>
      <c r="T4">
        <v>0</v>
      </c>
      <c r="U4">
        <v>0</v>
      </c>
      <c r="V4">
        <v>0</v>
      </c>
      <c r="W4">
        <v>0</v>
      </c>
      <c r="X4">
        <v>0</v>
      </c>
      <c r="Y4">
        <v>0</v>
      </c>
      <c r="Z4">
        <v>0</v>
      </c>
      <c r="AA4">
        <v>0</v>
      </c>
      <c r="AB4">
        <v>0</v>
      </c>
      <c r="AC4">
        <v>0</v>
      </c>
      <c r="AD4">
        <v>0</v>
      </c>
      <c r="AE4">
        <v>0</v>
      </c>
    </row>
    <row r="5" spans="1:31">
      <c r="A5" t="s">
        <v>18</v>
      </c>
      <c r="B5">
        <v>0</v>
      </c>
      <c r="C5">
        <v>0</v>
      </c>
      <c r="D5">
        <v>0</v>
      </c>
      <c r="E5">
        <v>0</v>
      </c>
      <c r="F5">
        <v>0</v>
      </c>
      <c r="G5">
        <v>0</v>
      </c>
      <c r="H5">
        <v>0</v>
      </c>
      <c r="I5">
        <v>0</v>
      </c>
      <c r="J5">
        <v>0</v>
      </c>
      <c r="K5">
        <v>0</v>
      </c>
      <c r="L5">
        <v>0</v>
      </c>
      <c r="M5">
        <v>0</v>
      </c>
      <c r="N5">
        <v>0</v>
      </c>
      <c r="O5">
        <v>0</v>
      </c>
      <c r="P5">
        <v>0</v>
      </c>
      <c r="Q5">
        <v>0</v>
      </c>
      <c r="R5">
        <v>0</v>
      </c>
      <c r="S5">
        <v>0</v>
      </c>
      <c r="T5">
        <v>0</v>
      </c>
      <c r="U5">
        <v>0</v>
      </c>
      <c r="V5">
        <v>0</v>
      </c>
      <c r="W5">
        <v>0</v>
      </c>
      <c r="X5">
        <v>0</v>
      </c>
      <c r="Y5">
        <v>0</v>
      </c>
      <c r="Z5">
        <v>0</v>
      </c>
      <c r="AA5">
        <v>0</v>
      </c>
      <c r="AB5">
        <v>0</v>
      </c>
      <c r="AC5">
        <v>0</v>
      </c>
      <c r="AD5">
        <v>0</v>
      </c>
      <c r="AE5">
        <v>0</v>
      </c>
    </row>
    <row r="6" spans="1:31">
      <c r="A6" t="s">
        <v>19</v>
      </c>
      <c r="B6">
        <v>0</v>
      </c>
      <c r="C6">
        <v>0</v>
      </c>
      <c r="D6">
        <v>0</v>
      </c>
      <c r="E6">
        <v>0</v>
      </c>
      <c r="F6">
        <v>0</v>
      </c>
      <c r="G6">
        <v>0</v>
      </c>
      <c r="H6">
        <v>0</v>
      </c>
      <c r="I6">
        <v>0</v>
      </c>
      <c r="J6">
        <v>0</v>
      </c>
      <c r="K6">
        <v>0</v>
      </c>
      <c r="L6">
        <v>0</v>
      </c>
      <c r="M6">
        <v>0</v>
      </c>
      <c r="N6">
        <v>0</v>
      </c>
      <c r="O6">
        <v>0</v>
      </c>
      <c r="P6">
        <v>0</v>
      </c>
      <c r="Q6">
        <v>0</v>
      </c>
      <c r="R6">
        <v>0</v>
      </c>
      <c r="S6">
        <v>0</v>
      </c>
      <c r="T6">
        <v>0</v>
      </c>
      <c r="U6">
        <v>0</v>
      </c>
      <c r="V6">
        <v>0</v>
      </c>
      <c r="W6">
        <v>0</v>
      </c>
      <c r="X6">
        <v>0</v>
      </c>
      <c r="Y6">
        <v>0</v>
      </c>
      <c r="Z6">
        <v>0</v>
      </c>
      <c r="AA6">
        <v>0</v>
      </c>
      <c r="AB6">
        <v>0</v>
      </c>
      <c r="AC6">
        <v>0</v>
      </c>
      <c r="AD6">
        <v>0</v>
      </c>
      <c r="AE6">
        <v>0</v>
      </c>
    </row>
    <row r="7" spans="1:31">
      <c r="A7" t="s">
        <v>21</v>
      </c>
      <c r="B7">
        <v>0</v>
      </c>
      <c r="C7">
        <v>0</v>
      </c>
      <c r="D7">
        <v>0</v>
      </c>
      <c r="E7">
        <v>0</v>
      </c>
      <c r="F7">
        <v>0</v>
      </c>
      <c r="G7">
        <v>0</v>
      </c>
      <c r="H7">
        <v>0</v>
      </c>
      <c r="I7">
        <v>0</v>
      </c>
      <c r="J7">
        <v>0</v>
      </c>
      <c r="K7">
        <v>0</v>
      </c>
      <c r="L7">
        <v>0</v>
      </c>
      <c r="M7">
        <v>0</v>
      </c>
      <c r="N7">
        <v>0</v>
      </c>
      <c r="O7">
        <v>0</v>
      </c>
      <c r="P7">
        <v>0</v>
      </c>
      <c r="Q7">
        <v>0</v>
      </c>
      <c r="R7">
        <v>0</v>
      </c>
      <c r="S7">
        <v>0</v>
      </c>
      <c r="T7">
        <v>0</v>
      </c>
      <c r="U7">
        <v>0</v>
      </c>
      <c r="V7">
        <v>0</v>
      </c>
      <c r="W7">
        <v>0</v>
      </c>
      <c r="X7">
        <v>0</v>
      </c>
      <c r="Y7">
        <v>0</v>
      </c>
      <c r="Z7">
        <v>0</v>
      </c>
      <c r="AA7">
        <v>0</v>
      </c>
      <c r="AB7">
        <v>0</v>
      </c>
      <c r="AC7">
        <v>0</v>
      </c>
      <c r="AD7">
        <v>0</v>
      </c>
      <c r="AE7">
        <v>0</v>
      </c>
    </row>
    <row r="8" spans="1:31">
      <c r="A8" t="s">
        <v>20</v>
      </c>
      <c r="B8">
        <v>0</v>
      </c>
      <c r="C8">
        <v>0</v>
      </c>
      <c r="D8">
        <v>0</v>
      </c>
      <c r="E8">
        <v>0</v>
      </c>
      <c r="F8">
        <v>0</v>
      </c>
      <c r="G8">
        <v>0</v>
      </c>
      <c r="H8">
        <v>0</v>
      </c>
      <c r="I8">
        <v>0</v>
      </c>
      <c r="J8">
        <v>0</v>
      </c>
      <c r="K8">
        <v>0</v>
      </c>
      <c r="L8">
        <v>0</v>
      </c>
      <c r="M8">
        <v>0</v>
      </c>
      <c r="N8">
        <v>0</v>
      </c>
      <c r="O8">
        <v>0</v>
      </c>
      <c r="P8">
        <v>0</v>
      </c>
      <c r="Q8">
        <v>0</v>
      </c>
      <c r="R8">
        <v>0</v>
      </c>
      <c r="S8">
        <v>0</v>
      </c>
      <c r="T8">
        <v>0</v>
      </c>
      <c r="U8">
        <v>0</v>
      </c>
      <c r="V8">
        <v>0</v>
      </c>
      <c r="W8">
        <v>0</v>
      </c>
      <c r="X8">
        <v>0</v>
      </c>
      <c r="Y8">
        <v>0</v>
      </c>
      <c r="Z8">
        <v>0</v>
      </c>
      <c r="AA8">
        <v>0</v>
      </c>
      <c r="AB8">
        <v>0</v>
      </c>
      <c r="AC8">
        <v>0</v>
      </c>
      <c r="AD8">
        <v>0</v>
      </c>
      <c r="AE8">
        <v>0</v>
      </c>
    </row>
    <row r="9" spans="1:31">
      <c r="A9" t="s">
        <v>82</v>
      </c>
      <c r="B9">
        <v>0</v>
      </c>
      <c r="C9">
        <v>0</v>
      </c>
      <c r="D9">
        <v>0</v>
      </c>
      <c r="E9">
        <v>0</v>
      </c>
      <c r="F9">
        <v>0</v>
      </c>
      <c r="G9">
        <v>0</v>
      </c>
      <c r="H9">
        <v>0</v>
      </c>
      <c r="I9">
        <v>0</v>
      </c>
      <c r="J9">
        <v>0</v>
      </c>
      <c r="K9">
        <v>0</v>
      </c>
      <c r="L9">
        <v>0</v>
      </c>
      <c r="M9">
        <v>0</v>
      </c>
      <c r="N9">
        <v>0</v>
      </c>
      <c r="O9">
        <v>0</v>
      </c>
      <c r="P9">
        <v>0</v>
      </c>
      <c r="Q9">
        <v>0</v>
      </c>
      <c r="R9">
        <v>0</v>
      </c>
      <c r="S9">
        <v>0</v>
      </c>
      <c r="T9">
        <v>0</v>
      </c>
      <c r="U9">
        <v>0</v>
      </c>
      <c r="V9">
        <v>0</v>
      </c>
      <c r="W9">
        <v>0</v>
      </c>
      <c r="X9">
        <v>0</v>
      </c>
      <c r="Y9">
        <v>0</v>
      </c>
      <c r="Z9">
        <v>0</v>
      </c>
      <c r="AA9">
        <v>0</v>
      </c>
      <c r="AB9">
        <v>0</v>
      </c>
      <c r="AC9">
        <v>0</v>
      </c>
      <c r="AD9">
        <v>0</v>
      </c>
      <c r="AE9">
        <v>0</v>
      </c>
    </row>
    <row r="10" spans="1:31">
      <c r="A10" t="s">
        <v>83</v>
      </c>
      <c r="B10">
        <v>0</v>
      </c>
      <c r="C10">
        <v>0</v>
      </c>
      <c r="D10">
        <v>0</v>
      </c>
      <c r="E10">
        <v>0</v>
      </c>
      <c r="F10">
        <v>0</v>
      </c>
      <c r="G10">
        <v>0</v>
      </c>
      <c r="H10">
        <v>0</v>
      </c>
      <c r="I10">
        <v>0</v>
      </c>
      <c r="J10">
        <v>0</v>
      </c>
      <c r="K10">
        <v>0</v>
      </c>
      <c r="L10">
        <v>0</v>
      </c>
      <c r="M10">
        <v>0</v>
      </c>
      <c r="N10">
        <v>0</v>
      </c>
      <c r="O10">
        <v>0</v>
      </c>
      <c r="P10">
        <v>0</v>
      </c>
      <c r="Q10">
        <v>0</v>
      </c>
      <c r="R10">
        <v>0</v>
      </c>
      <c r="S10">
        <v>0</v>
      </c>
      <c r="T10">
        <v>0</v>
      </c>
      <c r="U10">
        <v>0</v>
      </c>
      <c r="V10">
        <v>0</v>
      </c>
      <c r="W10">
        <v>0</v>
      </c>
      <c r="X10">
        <v>0</v>
      </c>
      <c r="Y10">
        <v>0</v>
      </c>
      <c r="Z10">
        <v>0</v>
      </c>
      <c r="AA10">
        <v>0</v>
      </c>
      <c r="AB10">
        <v>0</v>
      </c>
      <c r="AC10">
        <v>0</v>
      </c>
      <c r="AD10">
        <v>0</v>
      </c>
      <c r="AE10">
        <v>0</v>
      </c>
    </row>
    <row r="11" spans="1:31">
      <c r="A11" t="s">
        <v>84</v>
      </c>
      <c r="B11">
        <v>0</v>
      </c>
      <c r="C11">
        <v>0</v>
      </c>
      <c r="D11">
        <v>0</v>
      </c>
      <c r="E11">
        <v>0</v>
      </c>
      <c r="F11">
        <v>0</v>
      </c>
      <c r="G11">
        <v>0</v>
      </c>
      <c r="H11">
        <v>0</v>
      </c>
      <c r="I11">
        <v>0</v>
      </c>
      <c r="J11">
        <v>0</v>
      </c>
      <c r="K11">
        <v>0</v>
      </c>
      <c r="L11">
        <v>0</v>
      </c>
      <c r="M11">
        <v>0</v>
      </c>
      <c r="N11">
        <v>0</v>
      </c>
      <c r="O11">
        <v>0</v>
      </c>
      <c r="P11">
        <v>0</v>
      </c>
      <c r="Q11">
        <v>0</v>
      </c>
      <c r="R11">
        <v>0</v>
      </c>
      <c r="S11">
        <v>0</v>
      </c>
      <c r="T11">
        <v>0</v>
      </c>
      <c r="U11">
        <v>0</v>
      </c>
      <c r="V11">
        <v>0</v>
      </c>
      <c r="W11">
        <v>0</v>
      </c>
      <c r="X11">
        <v>0</v>
      </c>
      <c r="Y11">
        <v>0</v>
      </c>
      <c r="Z11">
        <v>0</v>
      </c>
      <c r="AA11">
        <v>0</v>
      </c>
      <c r="AB11">
        <v>0</v>
      </c>
      <c r="AC11">
        <v>0</v>
      </c>
      <c r="AD11">
        <v>0</v>
      </c>
      <c r="AE11">
        <v>0</v>
      </c>
    </row>
  </sheetData>
  <pageMargins left="0.7" right="0.7" top="0.75" bottom="0.75" header="0.3" footer="0.3"/>
</worksheet>
</file>

<file path=xl/worksheets/sheet8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4C00-000000000000}">
  <sheetPr>
    <tabColor theme="3"/>
  </sheetPr>
  <dimension ref="A1:AI11"/>
  <sheetViews>
    <sheetView workbookViewId="0">
      <selection activeCell="B1" sqref="B1:AE1"/>
    </sheetView>
  </sheetViews>
  <sheetFormatPr defaultRowHeight="14.25"/>
  <cols>
    <col min="1" max="1" width="22.53125" customWidth="1"/>
  </cols>
  <sheetData>
    <row r="1" spans="1:35" ht="28.5">
      <c r="A1" s="10" t="s">
        <v>85</v>
      </c>
      <c r="B1">
        <v>2021</v>
      </c>
      <c r="C1">
        <v>2022</v>
      </c>
      <c r="D1">
        <v>2023</v>
      </c>
      <c r="E1">
        <v>2024</v>
      </c>
      <c r="F1">
        <v>2025</v>
      </c>
      <c r="G1">
        <v>2026</v>
      </c>
      <c r="H1">
        <v>2027</v>
      </c>
      <c r="I1">
        <v>2028</v>
      </c>
      <c r="J1">
        <v>2029</v>
      </c>
      <c r="K1">
        <v>2030</v>
      </c>
      <c r="L1">
        <v>2031</v>
      </c>
      <c r="M1">
        <v>2032</v>
      </c>
      <c r="N1">
        <v>2033</v>
      </c>
      <c r="O1">
        <v>2034</v>
      </c>
      <c r="P1">
        <v>2035</v>
      </c>
      <c r="Q1">
        <v>2036</v>
      </c>
      <c r="R1">
        <v>2037</v>
      </c>
      <c r="S1">
        <v>2038</v>
      </c>
      <c r="T1">
        <v>2039</v>
      </c>
      <c r="U1">
        <v>2040</v>
      </c>
      <c r="V1">
        <v>2041</v>
      </c>
      <c r="W1">
        <v>2042</v>
      </c>
      <c r="X1">
        <v>2043</v>
      </c>
      <c r="Y1">
        <v>2044</v>
      </c>
      <c r="Z1">
        <v>2045</v>
      </c>
      <c r="AA1">
        <v>2046</v>
      </c>
      <c r="AB1">
        <v>2047</v>
      </c>
      <c r="AC1">
        <v>2048</v>
      </c>
      <c r="AD1">
        <v>2049</v>
      </c>
      <c r="AE1">
        <v>2050</v>
      </c>
    </row>
    <row r="2" spans="1:35">
      <c r="A2" t="s">
        <v>15</v>
      </c>
      <c r="B2">
        <v>0</v>
      </c>
      <c r="C2">
        <v>0</v>
      </c>
      <c r="D2">
        <v>0</v>
      </c>
      <c r="E2">
        <v>0</v>
      </c>
      <c r="F2">
        <v>0</v>
      </c>
      <c r="G2">
        <v>0</v>
      </c>
      <c r="H2">
        <v>0</v>
      </c>
      <c r="I2">
        <v>0</v>
      </c>
      <c r="J2">
        <v>0</v>
      </c>
      <c r="K2">
        <v>0</v>
      </c>
      <c r="L2">
        <v>0</v>
      </c>
      <c r="M2">
        <v>0</v>
      </c>
      <c r="N2">
        <v>0</v>
      </c>
      <c r="O2">
        <v>0</v>
      </c>
      <c r="P2">
        <v>0</v>
      </c>
      <c r="Q2">
        <v>0</v>
      </c>
      <c r="R2">
        <v>0</v>
      </c>
      <c r="S2">
        <v>0</v>
      </c>
      <c r="T2">
        <v>0</v>
      </c>
      <c r="U2">
        <v>0</v>
      </c>
      <c r="V2">
        <v>0</v>
      </c>
      <c r="W2">
        <v>0</v>
      </c>
      <c r="X2">
        <v>0</v>
      </c>
      <c r="Y2">
        <v>0</v>
      </c>
      <c r="Z2">
        <v>0</v>
      </c>
      <c r="AA2">
        <v>0</v>
      </c>
      <c r="AB2">
        <v>0</v>
      </c>
      <c r="AC2">
        <v>0</v>
      </c>
      <c r="AD2">
        <v>0</v>
      </c>
      <c r="AE2">
        <v>0</v>
      </c>
    </row>
    <row r="3" spans="1:35">
      <c r="A3" t="s">
        <v>16</v>
      </c>
      <c r="B3">
        <v>0</v>
      </c>
      <c r="C3">
        <v>0</v>
      </c>
      <c r="D3">
        <v>0</v>
      </c>
      <c r="E3">
        <v>0</v>
      </c>
      <c r="F3">
        <v>0</v>
      </c>
      <c r="G3">
        <v>0</v>
      </c>
      <c r="H3">
        <v>0</v>
      </c>
      <c r="I3">
        <v>0</v>
      </c>
      <c r="J3">
        <v>0</v>
      </c>
      <c r="K3">
        <v>0</v>
      </c>
      <c r="L3">
        <v>0</v>
      </c>
      <c r="M3">
        <v>0</v>
      </c>
      <c r="N3">
        <v>0</v>
      </c>
      <c r="O3">
        <v>0</v>
      </c>
      <c r="P3">
        <v>0</v>
      </c>
      <c r="Q3">
        <v>0</v>
      </c>
      <c r="R3">
        <v>0</v>
      </c>
      <c r="S3">
        <v>0</v>
      </c>
      <c r="T3">
        <v>0</v>
      </c>
      <c r="U3">
        <v>0</v>
      </c>
      <c r="V3">
        <v>0</v>
      </c>
      <c r="W3">
        <v>0</v>
      </c>
      <c r="X3">
        <v>0</v>
      </c>
      <c r="Y3">
        <v>0</v>
      </c>
      <c r="Z3">
        <v>0</v>
      </c>
      <c r="AA3">
        <v>0</v>
      </c>
      <c r="AB3">
        <v>0</v>
      </c>
      <c r="AC3">
        <v>0</v>
      </c>
      <c r="AD3">
        <v>0</v>
      </c>
      <c r="AE3">
        <v>0</v>
      </c>
    </row>
    <row r="4" spans="1:35">
      <c r="A4" t="s">
        <v>17</v>
      </c>
      <c r="B4" s="2">
        <f>1-B6</f>
        <v>0.89800000000000002</v>
      </c>
      <c r="C4" s="2">
        <f t="shared" ref="C4:AE4" si="0">1-C6</f>
        <v>0.89800000000000002</v>
      </c>
      <c r="D4" s="2">
        <f t="shared" si="0"/>
        <v>0.89800000000000002</v>
      </c>
      <c r="E4" s="2">
        <f t="shared" si="0"/>
        <v>0.89800000000000002</v>
      </c>
      <c r="F4" s="2">
        <f t="shared" si="0"/>
        <v>0.89800000000000002</v>
      </c>
      <c r="G4" s="2">
        <f t="shared" si="0"/>
        <v>0.89800000000000002</v>
      </c>
      <c r="H4" s="2">
        <f t="shared" si="0"/>
        <v>0.89800000000000002</v>
      </c>
      <c r="I4" s="2">
        <f t="shared" si="0"/>
        <v>0.89800000000000002</v>
      </c>
      <c r="J4" s="2">
        <f t="shared" si="0"/>
        <v>0.89800000000000002</v>
      </c>
      <c r="K4" s="2">
        <f t="shared" si="0"/>
        <v>0.89800000000000002</v>
      </c>
      <c r="L4" s="2">
        <f t="shared" si="0"/>
        <v>0.89800000000000002</v>
      </c>
      <c r="M4" s="2">
        <f t="shared" si="0"/>
        <v>0.89800000000000002</v>
      </c>
      <c r="N4" s="2">
        <f t="shared" si="0"/>
        <v>0.89800000000000002</v>
      </c>
      <c r="O4" s="2">
        <f t="shared" si="0"/>
        <v>0.89800000000000002</v>
      </c>
      <c r="P4" s="2">
        <f t="shared" si="0"/>
        <v>0.89800000000000002</v>
      </c>
      <c r="Q4" s="2">
        <f t="shared" si="0"/>
        <v>0.89800000000000002</v>
      </c>
      <c r="R4" s="2">
        <f t="shared" si="0"/>
        <v>0.89800000000000002</v>
      </c>
      <c r="S4" s="2">
        <f t="shared" si="0"/>
        <v>0.89800000000000002</v>
      </c>
      <c r="T4" s="2">
        <f t="shared" si="0"/>
        <v>0.89800000000000002</v>
      </c>
      <c r="U4" s="2">
        <f t="shared" si="0"/>
        <v>0.89800000000000002</v>
      </c>
      <c r="V4" s="2">
        <f t="shared" si="0"/>
        <v>0.89800000000000002</v>
      </c>
      <c r="W4" s="2">
        <f t="shared" si="0"/>
        <v>0.89800000000000002</v>
      </c>
      <c r="X4" s="2">
        <f t="shared" si="0"/>
        <v>0.89800000000000002</v>
      </c>
      <c r="Y4" s="2">
        <f t="shared" si="0"/>
        <v>0.89800000000000002</v>
      </c>
      <c r="Z4" s="2">
        <f t="shared" si="0"/>
        <v>0.89800000000000002</v>
      </c>
      <c r="AA4" s="2">
        <f t="shared" si="0"/>
        <v>0.89800000000000002</v>
      </c>
      <c r="AB4" s="2">
        <f t="shared" si="0"/>
        <v>0.89800000000000002</v>
      </c>
      <c r="AC4" s="2">
        <f t="shared" si="0"/>
        <v>0.89800000000000002</v>
      </c>
      <c r="AD4" s="2">
        <f t="shared" si="0"/>
        <v>0.89800000000000002</v>
      </c>
      <c r="AE4" s="2">
        <f t="shared" si="0"/>
        <v>0.89800000000000002</v>
      </c>
      <c r="AF4" s="2"/>
      <c r="AG4" s="2"/>
      <c r="AH4" s="2"/>
      <c r="AI4" s="2"/>
    </row>
    <row r="5" spans="1:35">
      <c r="A5" t="s">
        <v>18</v>
      </c>
      <c r="B5">
        <v>0</v>
      </c>
      <c r="C5">
        <v>0</v>
      </c>
      <c r="D5">
        <v>0</v>
      </c>
      <c r="E5">
        <v>0</v>
      </c>
      <c r="F5">
        <v>0</v>
      </c>
      <c r="G5">
        <v>0</v>
      </c>
      <c r="H5">
        <v>0</v>
      </c>
      <c r="I5">
        <v>0</v>
      </c>
      <c r="J5">
        <v>0</v>
      </c>
      <c r="K5">
        <v>0</v>
      </c>
      <c r="L5">
        <v>0</v>
      </c>
      <c r="M5">
        <v>0</v>
      </c>
      <c r="N5">
        <v>0</v>
      </c>
      <c r="O5">
        <v>0</v>
      </c>
      <c r="P5">
        <v>0</v>
      </c>
      <c r="Q5">
        <v>0</v>
      </c>
      <c r="R5">
        <v>0</v>
      </c>
      <c r="S5">
        <v>0</v>
      </c>
      <c r="T5">
        <v>0</v>
      </c>
      <c r="U5">
        <v>0</v>
      </c>
      <c r="V5">
        <v>0</v>
      </c>
      <c r="W5">
        <v>0</v>
      </c>
      <c r="X5">
        <v>0</v>
      </c>
      <c r="Y5">
        <v>0</v>
      </c>
      <c r="Z5">
        <v>0</v>
      </c>
      <c r="AA5">
        <v>0</v>
      </c>
      <c r="AB5">
        <v>0</v>
      </c>
      <c r="AC5">
        <v>0</v>
      </c>
      <c r="AD5">
        <v>0</v>
      </c>
      <c r="AE5">
        <v>0</v>
      </c>
    </row>
    <row r="6" spans="1:35">
      <c r="A6" t="s">
        <v>19</v>
      </c>
      <c r="B6" s="2">
        <f>'EIA-fuel-ethanol-motor-gasoline'!$C$46/100</f>
        <v>0.10199999999999999</v>
      </c>
      <c r="C6" s="2">
        <f>'EIA-fuel-ethanol-motor-gasoline'!$C$46/100</f>
        <v>0.10199999999999999</v>
      </c>
      <c r="D6" s="2">
        <f>'EIA-fuel-ethanol-motor-gasoline'!$C$46/100</f>
        <v>0.10199999999999999</v>
      </c>
      <c r="E6" s="2">
        <f>'EIA-fuel-ethanol-motor-gasoline'!$C$46/100</f>
        <v>0.10199999999999999</v>
      </c>
      <c r="F6" s="2">
        <f>'EIA-fuel-ethanol-motor-gasoline'!$C$46/100</f>
        <v>0.10199999999999999</v>
      </c>
      <c r="G6" s="2">
        <f>'EIA-fuel-ethanol-motor-gasoline'!$C$46/100</f>
        <v>0.10199999999999999</v>
      </c>
      <c r="H6" s="2">
        <f>'EIA-fuel-ethanol-motor-gasoline'!$C$46/100</f>
        <v>0.10199999999999999</v>
      </c>
      <c r="I6" s="2">
        <f>'EIA-fuel-ethanol-motor-gasoline'!$C$46/100</f>
        <v>0.10199999999999999</v>
      </c>
      <c r="J6" s="2">
        <f>'EIA-fuel-ethanol-motor-gasoline'!$C$46/100</f>
        <v>0.10199999999999999</v>
      </c>
      <c r="K6" s="2">
        <f>'EIA-fuel-ethanol-motor-gasoline'!$C$46/100</f>
        <v>0.10199999999999999</v>
      </c>
      <c r="L6" s="2">
        <f>'EIA-fuel-ethanol-motor-gasoline'!$C$46/100</f>
        <v>0.10199999999999999</v>
      </c>
      <c r="M6" s="2">
        <f>'EIA-fuel-ethanol-motor-gasoline'!$C$46/100</f>
        <v>0.10199999999999999</v>
      </c>
      <c r="N6" s="2">
        <f>'EIA-fuel-ethanol-motor-gasoline'!$C$46/100</f>
        <v>0.10199999999999999</v>
      </c>
      <c r="O6" s="2">
        <f>'EIA-fuel-ethanol-motor-gasoline'!$C$46/100</f>
        <v>0.10199999999999999</v>
      </c>
      <c r="P6" s="2">
        <f>'EIA-fuel-ethanol-motor-gasoline'!$C$46/100</f>
        <v>0.10199999999999999</v>
      </c>
      <c r="Q6" s="2">
        <f>'EIA-fuel-ethanol-motor-gasoline'!$C$46/100</f>
        <v>0.10199999999999999</v>
      </c>
      <c r="R6" s="2">
        <f>'EIA-fuel-ethanol-motor-gasoline'!$C$46/100</f>
        <v>0.10199999999999999</v>
      </c>
      <c r="S6" s="2">
        <f>'EIA-fuel-ethanol-motor-gasoline'!$C$46/100</f>
        <v>0.10199999999999999</v>
      </c>
      <c r="T6" s="2">
        <f>'EIA-fuel-ethanol-motor-gasoline'!$C$46/100</f>
        <v>0.10199999999999999</v>
      </c>
      <c r="U6" s="2">
        <f>'EIA-fuel-ethanol-motor-gasoline'!$C$46/100</f>
        <v>0.10199999999999999</v>
      </c>
      <c r="V6" s="2">
        <f>'EIA-fuel-ethanol-motor-gasoline'!$C$46/100</f>
        <v>0.10199999999999999</v>
      </c>
      <c r="W6" s="2">
        <f>'EIA-fuel-ethanol-motor-gasoline'!$C$46/100</f>
        <v>0.10199999999999999</v>
      </c>
      <c r="X6" s="2">
        <f>'EIA-fuel-ethanol-motor-gasoline'!$C$46/100</f>
        <v>0.10199999999999999</v>
      </c>
      <c r="Y6" s="2">
        <f>'EIA-fuel-ethanol-motor-gasoline'!$C$46/100</f>
        <v>0.10199999999999999</v>
      </c>
      <c r="Z6" s="2">
        <f>'EIA-fuel-ethanol-motor-gasoline'!$C$46/100</f>
        <v>0.10199999999999999</v>
      </c>
      <c r="AA6" s="2">
        <f>'EIA-fuel-ethanol-motor-gasoline'!$C$46/100</f>
        <v>0.10199999999999999</v>
      </c>
      <c r="AB6" s="2">
        <f>'EIA-fuel-ethanol-motor-gasoline'!$C$46/100</f>
        <v>0.10199999999999999</v>
      </c>
      <c r="AC6" s="2">
        <f>'EIA-fuel-ethanol-motor-gasoline'!$C$46/100</f>
        <v>0.10199999999999999</v>
      </c>
      <c r="AD6" s="2">
        <f>'EIA-fuel-ethanol-motor-gasoline'!$C$46/100</f>
        <v>0.10199999999999999</v>
      </c>
      <c r="AE6" s="2">
        <f>'EIA-fuel-ethanol-motor-gasoline'!$C$46/100</f>
        <v>0.10199999999999999</v>
      </c>
      <c r="AF6" s="2"/>
      <c r="AG6" s="2"/>
      <c r="AH6" s="2"/>
      <c r="AI6" s="2"/>
    </row>
    <row r="7" spans="1:35">
      <c r="A7" t="s">
        <v>21</v>
      </c>
      <c r="B7">
        <v>0</v>
      </c>
      <c r="C7">
        <v>0</v>
      </c>
      <c r="D7">
        <v>0</v>
      </c>
      <c r="E7">
        <v>0</v>
      </c>
      <c r="F7">
        <v>0</v>
      </c>
      <c r="G7">
        <v>0</v>
      </c>
      <c r="H7">
        <v>0</v>
      </c>
      <c r="I7">
        <v>0</v>
      </c>
      <c r="J7">
        <v>0</v>
      </c>
      <c r="K7">
        <v>0</v>
      </c>
      <c r="L7">
        <v>0</v>
      </c>
      <c r="M7">
        <v>0</v>
      </c>
      <c r="N7">
        <v>0</v>
      </c>
      <c r="O7">
        <v>0</v>
      </c>
      <c r="P7">
        <v>0</v>
      </c>
      <c r="Q7">
        <v>0</v>
      </c>
      <c r="R7">
        <v>0</v>
      </c>
      <c r="S7">
        <v>0</v>
      </c>
      <c r="T7">
        <v>0</v>
      </c>
      <c r="U7">
        <v>0</v>
      </c>
      <c r="V7">
        <v>0</v>
      </c>
      <c r="W7">
        <v>0</v>
      </c>
      <c r="X7">
        <v>0</v>
      </c>
      <c r="Y7">
        <v>0</v>
      </c>
      <c r="Z7">
        <v>0</v>
      </c>
      <c r="AA7">
        <v>0</v>
      </c>
      <c r="AB7">
        <v>0</v>
      </c>
      <c r="AC7">
        <v>0</v>
      </c>
      <c r="AD7">
        <v>0</v>
      </c>
      <c r="AE7">
        <v>0</v>
      </c>
    </row>
    <row r="8" spans="1:35">
      <c r="A8" t="s">
        <v>20</v>
      </c>
      <c r="B8">
        <v>0</v>
      </c>
      <c r="C8">
        <v>0</v>
      </c>
      <c r="D8">
        <v>0</v>
      </c>
      <c r="E8">
        <v>0</v>
      </c>
      <c r="F8">
        <v>0</v>
      </c>
      <c r="G8">
        <v>0</v>
      </c>
      <c r="H8">
        <v>0</v>
      </c>
      <c r="I8">
        <v>0</v>
      </c>
      <c r="J8">
        <v>0</v>
      </c>
      <c r="K8">
        <v>0</v>
      </c>
      <c r="L8">
        <v>0</v>
      </c>
      <c r="M8">
        <v>0</v>
      </c>
      <c r="N8">
        <v>0</v>
      </c>
      <c r="O8">
        <v>0</v>
      </c>
      <c r="P8">
        <v>0</v>
      </c>
      <c r="Q8">
        <v>0</v>
      </c>
      <c r="R8">
        <v>0</v>
      </c>
      <c r="S8">
        <v>0</v>
      </c>
      <c r="T8">
        <v>0</v>
      </c>
      <c r="U8">
        <v>0</v>
      </c>
      <c r="V8">
        <v>0</v>
      </c>
      <c r="W8">
        <v>0</v>
      </c>
      <c r="X8">
        <v>0</v>
      </c>
      <c r="Y8">
        <v>0</v>
      </c>
      <c r="Z8">
        <v>0</v>
      </c>
      <c r="AA8">
        <v>0</v>
      </c>
      <c r="AB8">
        <v>0</v>
      </c>
      <c r="AC8">
        <v>0</v>
      </c>
      <c r="AD8">
        <v>0</v>
      </c>
      <c r="AE8">
        <v>0</v>
      </c>
    </row>
    <row r="9" spans="1:35">
      <c r="A9" t="s">
        <v>82</v>
      </c>
      <c r="B9">
        <v>0</v>
      </c>
      <c r="C9">
        <v>0</v>
      </c>
      <c r="D9">
        <v>0</v>
      </c>
      <c r="E9">
        <v>0</v>
      </c>
      <c r="F9">
        <v>0</v>
      </c>
      <c r="G9">
        <v>0</v>
      </c>
      <c r="H9">
        <v>0</v>
      </c>
      <c r="I9">
        <v>0</v>
      </c>
      <c r="J9">
        <v>0</v>
      </c>
      <c r="K9">
        <v>0</v>
      </c>
      <c r="L9">
        <v>0</v>
      </c>
      <c r="M9">
        <v>0</v>
      </c>
      <c r="N9">
        <v>0</v>
      </c>
      <c r="O9">
        <v>0</v>
      </c>
      <c r="P9">
        <v>0</v>
      </c>
      <c r="Q9">
        <v>0</v>
      </c>
      <c r="R9">
        <v>0</v>
      </c>
      <c r="S9">
        <v>0</v>
      </c>
      <c r="T9">
        <v>0</v>
      </c>
      <c r="U9">
        <v>0</v>
      </c>
      <c r="V9">
        <v>0</v>
      </c>
      <c r="W9">
        <v>0</v>
      </c>
      <c r="X9">
        <v>0</v>
      </c>
      <c r="Y9">
        <v>0</v>
      </c>
      <c r="Z9">
        <v>0</v>
      </c>
      <c r="AA9">
        <v>0</v>
      </c>
      <c r="AB9">
        <v>0</v>
      </c>
      <c r="AC9">
        <v>0</v>
      </c>
      <c r="AD9">
        <v>0</v>
      </c>
      <c r="AE9">
        <v>0</v>
      </c>
    </row>
    <row r="10" spans="1:35">
      <c r="A10" t="s">
        <v>83</v>
      </c>
      <c r="B10">
        <v>0</v>
      </c>
      <c r="C10">
        <v>0</v>
      </c>
      <c r="D10">
        <v>0</v>
      </c>
      <c r="E10">
        <v>0</v>
      </c>
      <c r="F10">
        <v>0</v>
      </c>
      <c r="G10">
        <v>0</v>
      </c>
      <c r="H10">
        <v>0</v>
      </c>
      <c r="I10">
        <v>0</v>
      </c>
      <c r="J10">
        <v>0</v>
      </c>
      <c r="K10">
        <v>0</v>
      </c>
      <c r="L10">
        <v>0</v>
      </c>
      <c r="M10">
        <v>0</v>
      </c>
      <c r="N10">
        <v>0</v>
      </c>
      <c r="O10">
        <v>0</v>
      </c>
      <c r="P10">
        <v>0</v>
      </c>
      <c r="Q10">
        <v>0</v>
      </c>
      <c r="R10">
        <v>0</v>
      </c>
      <c r="S10">
        <v>0</v>
      </c>
      <c r="T10">
        <v>0</v>
      </c>
      <c r="U10">
        <v>0</v>
      </c>
      <c r="V10">
        <v>0</v>
      </c>
      <c r="W10">
        <v>0</v>
      </c>
      <c r="X10">
        <v>0</v>
      </c>
      <c r="Y10">
        <v>0</v>
      </c>
      <c r="Z10">
        <v>0</v>
      </c>
      <c r="AA10">
        <v>0</v>
      </c>
      <c r="AB10">
        <v>0</v>
      </c>
      <c r="AC10">
        <v>0</v>
      </c>
      <c r="AD10">
        <v>0</v>
      </c>
      <c r="AE10">
        <v>0</v>
      </c>
    </row>
    <row r="11" spans="1:35">
      <c r="A11" t="s">
        <v>84</v>
      </c>
      <c r="B11">
        <v>0</v>
      </c>
      <c r="C11">
        <v>0</v>
      </c>
      <c r="D11">
        <v>0</v>
      </c>
      <c r="E11">
        <v>0</v>
      </c>
      <c r="F11">
        <v>0</v>
      </c>
      <c r="G11">
        <v>0</v>
      </c>
      <c r="H11">
        <v>0</v>
      </c>
      <c r="I11">
        <v>0</v>
      </c>
      <c r="J11">
        <v>0</v>
      </c>
      <c r="K11">
        <v>0</v>
      </c>
      <c r="L11">
        <v>0</v>
      </c>
      <c r="M11">
        <v>0</v>
      </c>
      <c r="N11">
        <v>0</v>
      </c>
      <c r="O11">
        <v>0</v>
      </c>
      <c r="P11">
        <v>0</v>
      </c>
      <c r="Q11">
        <v>0</v>
      </c>
      <c r="R11">
        <v>0</v>
      </c>
      <c r="S11">
        <v>0</v>
      </c>
      <c r="T11">
        <v>0</v>
      </c>
      <c r="U11">
        <v>0</v>
      </c>
      <c r="V11">
        <v>0</v>
      </c>
      <c r="W11">
        <v>0</v>
      </c>
      <c r="X11">
        <v>0</v>
      </c>
      <c r="Y11">
        <v>0</v>
      </c>
      <c r="Z11">
        <v>0</v>
      </c>
      <c r="AA11">
        <v>0</v>
      </c>
      <c r="AB11">
        <v>0</v>
      </c>
      <c r="AC11">
        <v>0</v>
      </c>
      <c r="AD11">
        <v>0</v>
      </c>
      <c r="AE11">
        <v>0</v>
      </c>
    </row>
  </sheetData>
  <pageMargins left="0.7" right="0.7" top="0.75" bottom="0.75" header="0.3" footer="0.3"/>
</worksheet>
</file>

<file path=xl/worksheets/sheet8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4D00-000000000000}">
  <sheetPr>
    <tabColor theme="3"/>
  </sheetPr>
  <dimension ref="A1:AC11"/>
  <sheetViews>
    <sheetView workbookViewId="0">
      <selection activeCell="B1" sqref="B1"/>
    </sheetView>
  </sheetViews>
  <sheetFormatPr defaultRowHeight="14.25"/>
  <cols>
    <col min="1" max="1" width="22.53125" customWidth="1"/>
  </cols>
  <sheetData>
    <row r="1" spans="1:29" ht="28.5">
      <c r="A1" s="10" t="s">
        <v>85</v>
      </c>
      <c r="B1">
        <f>'Biodiesel Fraction'!D6</f>
        <v>2023</v>
      </c>
      <c r="C1">
        <f>'Biodiesel Fraction'!E6</f>
        <v>2024</v>
      </c>
      <c r="D1">
        <f>'Biodiesel Fraction'!F6</f>
        <v>2025</v>
      </c>
      <c r="E1">
        <f>'Biodiesel Fraction'!G6</f>
        <v>2026</v>
      </c>
      <c r="F1">
        <f>'Biodiesel Fraction'!H6</f>
        <v>2027</v>
      </c>
      <c r="G1">
        <f>'Biodiesel Fraction'!I6</f>
        <v>2028</v>
      </c>
      <c r="H1">
        <f>'Biodiesel Fraction'!J6</f>
        <v>2029</v>
      </c>
      <c r="I1">
        <f>'Biodiesel Fraction'!K6</f>
        <v>2030</v>
      </c>
      <c r="J1">
        <f>'Biodiesel Fraction'!L6</f>
        <v>2031</v>
      </c>
      <c r="K1">
        <f>'Biodiesel Fraction'!M6</f>
        <v>2032</v>
      </c>
      <c r="L1">
        <f>'Biodiesel Fraction'!N6</f>
        <v>2033</v>
      </c>
      <c r="M1">
        <f>'Biodiesel Fraction'!O6</f>
        <v>2034</v>
      </c>
      <c r="N1">
        <f>'Biodiesel Fraction'!P6</f>
        <v>2035</v>
      </c>
      <c r="O1">
        <f>'Biodiesel Fraction'!Q6</f>
        <v>2036</v>
      </c>
      <c r="P1">
        <f>'Biodiesel Fraction'!R6</f>
        <v>2037</v>
      </c>
      <c r="Q1">
        <f>'Biodiesel Fraction'!S6</f>
        <v>2038</v>
      </c>
      <c r="R1">
        <f>'Biodiesel Fraction'!T6</f>
        <v>2039</v>
      </c>
      <c r="S1">
        <f>'Biodiesel Fraction'!U6</f>
        <v>2040</v>
      </c>
      <c r="T1">
        <f>'Biodiesel Fraction'!V6</f>
        <v>2041</v>
      </c>
      <c r="U1">
        <f>'Biodiesel Fraction'!W6</f>
        <v>2042</v>
      </c>
      <c r="V1">
        <f>'Biodiesel Fraction'!X6</f>
        <v>2043</v>
      </c>
      <c r="W1">
        <f>'Biodiesel Fraction'!Y6</f>
        <v>2044</v>
      </c>
      <c r="X1">
        <f>'Biodiesel Fraction'!Z6</f>
        <v>2045</v>
      </c>
      <c r="Y1">
        <f>'Biodiesel Fraction'!AA6</f>
        <v>2046</v>
      </c>
      <c r="Z1">
        <f>'Biodiesel Fraction'!AB6</f>
        <v>2047</v>
      </c>
      <c r="AA1">
        <f>'Biodiesel Fraction'!AC6</f>
        <v>2048</v>
      </c>
      <c r="AB1">
        <f>'Biodiesel Fraction'!AD6</f>
        <v>2049</v>
      </c>
      <c r="AC1">
        <f>'Biodiesel Fraction'!AE6</f>
        <v>2050</v>
      </c>
    </row>
    <row r="2" spans="1:29">
      <c r="A2" t="s">
        <v>15</v>
      </c>
      <c r="B2">
        <v>0</v>
      </c>
      <c r="C2">
        <v>0</v>
      </c>
      <c r="D2">
        <v>0</v>
      </c>
      <c r="E2">
        <v>0</v>
      </c>
      <c r="F2">
        <v>0</v>
      </c>
      <c r="G2">
        <v>0</v>
      </c>
      <c r="H2">
        <v>0</v>
      </c>
      <c r="I2">
        <v>0</v>
      </c>
      <c r="J2">
        <v>0</v>
      </c>
      <c r="K2">
        <v>0</v>
      </c>
      <c r="L2">
        <v>0</v>
      </c>
      <c r="M2">
        <v>0</v>
      </c>
      <c r="N2">
        <v>0</v>
      </c>
      <c r="O2">
        <v>0</v>
      </c>
      <c r="P2">
        <v>0</v>
      </c>
      <c r="Q2">
        <v>0</v>
      </c>
      <c r="R2">
        <v>0</v>
      </c>
      <c r="S2">
        <v>0</v>
      </c>
      <c r="T2">
        <v>0</v>
      </c>
      <c r="U2">
        <v>0</v>
      </c>
      <c r="V2">
        <v>0</v>
      </c>
      <c r="W2">
        <v>0</v>
      </c>
      <c r="X2">
        <v>0</v>
      </c>
      <c r="Y2">
        <v>0</v>
      </c>
      <c r="Z2">
        <v>0</v>
      </c>
      <c r="AA2">
        <v>0</v>
      </c>
      <c r="AB2">
        <v>0</v>
      </c>
      <c r="AC2">
        <v>0</v>
      </c>
    </row>
    <row r="3" spans="1:29">
      <c r="A3" t="s">
        <v>16</v>
      </c>
      <c r="B3">
        <v>0</v>
      </c>
      <c r="C3">
        <v>0</v>
      </c>
      <c r="D3">
        <v>0</v>
      </c>
      <c r="E3">
        <v>0</v>
      </c>
      <c r="F3">
        <v>0</v>
      </c>
      <c r="G3">
        <v>0</v>
      </c>
      <c r="H3">
        <v>0</v>
      </c>
      <c r="I3">
        <v>0</v>
      </c>
      <c r="J3">
        <v>0</v>
      </c>
      <c r="K3">
        <v>0</v>
      </c>
      <c r="L3">
        <v>0</v>
      </c>
      <c r="M3">
        <v>0</v>
      </c>
      <c r="N3">
        <v>0</v>
      </c>
      <c r="O3">
        <v>0</v>
      </c>
      <c r="P3">
        <v>0</v>
      </c>
      <c r="Q3">
        <v>0</v>
      </c>
      <c r="R3">
        <v>0</v>
      </c>
      <c r="S3">
        <v>0</v>
      </c>
      <c r="T3">
        <v>0</v>
      </c>
      <c r="U3">
        <v>0</v>
      </c>
      <c r="V3">
        <v>0</v>
      </c>
      <c r="W3">
        <v>0</v>
      </c>
      <c r="X3">
        <v>0</v>
      </c>
      <c r="Y3">
        <v>0</v>
      </c>
      <c r="Z3">
        <v>0</v>
      </c>
      <c r="AA3">
        <v>0</v>
      </c>
      <c r="AB3">
        <v>0</v>
      </c>
      <c r="AC3">
        <v>0</v>
      </c>
    </row>
    <row r="4" spans="1:29">
      <c r="A4" t="s">
        <v>17</v>
      </c>
      <c r="B4">
        <v>0</v>
      </c>
      <c r="C4">
        <v>0</v>
      </c>
      <c r="D4">
        <v>0</v>
      </c>
      <c r="E4">
        <v>0</v>
      </c>
      <c r="F4">
        <v>0</v>
      </c>
      <c r="G4">
        <v>0</v>
      </c>
      <c r="H4">
        <v>0</v>
      </c>
      <c r="I4">
        <v>0</v>
      </c>
      <c r="J4">
        <v>0</v>
      </c>
      <c r="K4">
        <v>0</v>
      </c>
      <c r="L4">
        <v>0</v>
      </c>
      <c r="M4">
        <v>0</v>
      </c>
      <c r="N4">
        <v>0</v>
      </c>
      <c r="O4">
        <v>0</v>
      </c>
      <c r="P4">
        <v>0</v>
      </c>
      <c r="Q4">
        <v>0</v>
      </c>
      <c r="R4">
        <v>0</v>
      </c>
      <c r="S4">
        <v>0</v>
      </c>
      <c r="T4">
        <v>0</v>
      </c>
      <c r="U4">
        <v>0</v>
      </c>
      <c r="V4">
        <v>0</v>
      </c>
      <c r="W4">
        <v>0</v>
      </c>
      <c r="X4">
        <v>0</v>
      </c>
      <c r="Y4">
        <v>0</v>
      </c>
      <c r="Z4">
        <v>0</v>
      </c>
      <c r="AA4">
        <v>0</v>
      </c>
      <c r="AB4">
        <v>0</v>
      </c>
      <c r="AC4">
        <v>0</v>
      </c>
    </row>
    <row r="5" spans="1:29">
      <c r="A5" t="s">
        <v>18</v>
      </c>
      <c r="B5">
        <f>IF('Biodiesel Fraction'!$B18,1-'Biodiesel Fraction'!B30,1)</f>
        <v>0.96756119768275339</v>
      </c>
      <c r="C5">
        <f>IF('Biodiesel Fraction'!$B18,1-'Biodiesel Fraction'!C30,1)</f>
        <v>0.96041416638410693</v>
      </c>
      <c r="D5">
        <f>IF('Biodiesel Fraction'!$B18,1-'Biodiesel Fraction'!D30,1)</f>
        <v>0.97373256429929333</v>
      </c>
      <c r="E5">
        <f>IF('Biodiesel Fraction'!$B18,1-'Biodiesel Fraction'!E30,1)</f>
        <v>0.96837869027778645</v>
      </c>
      <c r="F5">
        <f>IF('Biodiesel Fraction'!$B18,1-'Biodiesel Fraction'!F30,1)</f>
        <v>0.96966376381580111</v>
      </c>
      <c r="G5">
        <f>IF('Biodiesel Fraction'!$B18,1-'Biodiesel Fraction'!G30,1)</f>
        <v>0.96865854353538616</v>
      </c>
      <c r="H5">
        <f>IF('Biodiesel Fraction'!$B18,1-'Biodiesel Fraction'!H30,1)</f>
        <v>0.96792764653725427</v>
      </c>
      <c r="I5">
        <f>IF('Biodiesel Fraction'!$B18,1-'Biodiesel Fraction'!I30,1)</f>
        <v>0.97331643318672201</v>
      </c>
      <c r="J5">
        <f>IF('Biodiesel Fraction'!$B18,1-'Biodiesel Fraction'!J30,1)</f>
        <v>0.9718891175234271</v>
      </c>
      <c r="K5">
        <f>IF('Biodiesel Fraction'!$B18,1-'Biodiesel Fraction'!K30,1)</f>
        <v>0.97112755680124419</v>
      </c>
      <c r="L5">
        <f>IF('Biodiesel Fraction'!$B18,1-'Biodiesel Fraction'!L30,1)</f>
        <v>0.96953215672773896</v>
      </c>
      <c r="M5">
        <f>IF('Biodiesel Fraction'!$B18,1-'Biodiesel Fraction'!M30,1)</f>
        <v>0.96878215000290413</v>
      </c>
      <c r="N5">
        <f>IF('Biodiesel Fraction'!$B18,1-'Biodiesel Fraction'!N30,1)</f>
        <v>0.96812465179023832</v>
      </c>
      <c r="O5">
        <f>IF('Biodiesel Fraction'!$B18,1-'Biodiesel Fraction'!O30,1)</f>
        <v>0.96986559390838423</v>
      </c>
      <c r="P5">
        <f>IF('Biodiesel Fraction'!$B18,1-'Biodiesel Fraction'!P30,1)</f>
        <v>0.96826904520338963</v>
      </c>
      <c r="Q5">
        <f>IF('Biodiesel Fraction'!$B18,1-'Biodiesel Fraction'!Q30,1)</f>
        <v>0.96839488555451003</v>
      </c>
      <c r="R5">
        <f>IF('Biodiesel Fraction'!$B18,1-'Biodiesel Fraction'!R30,1)</f>
        <v>0.96870670002527937</v>
      </c>
      <c r="S5">
        <f>IF('Biodiesel Fraction'!$B18,1-'Biodiesel Fraction'!S30,1)</f>
        <v>0.96905933663555699</v>
      </c>
      <c r="T5">
        <f>IF('Biodiesel Fraction'!$B18,1-'Biodiesel Fraction'!T30,1)</f>
        <v>0.96946160326764974</v>
      </c>
      <c r="U5">
        <f>IF('Biodiesel Fraction'!$B18,1-'Biodiesel Fraction'!U30,1)</f>
        <v>0.96987423251102012</v>
      </c>
      <c r="V5">
        <f>IF('Biodiesel Fraction'!$B18,1-'Biodiesel Fraction'!V30,1)</f>
        <v>0.97031048712680901</v>
      </c>
      <c r="W5">
        <f>IF('Biodiesel Fraction'!$B18,1-'Biodiesel Fraction'!W30,1)</f>
        <v>0.97078974782181038</v>
      </c>
      <c r="X5">
        <f>IF('Biodiesel Fraction'!$B18,1-'Biodiesel Fraction'!X30,1)</f>
        <v>0.97134811027621315</v>
      </c>
      <c r="Y5">
        <f>IF('Biodiesel Fraction'!$B18,1-'Biodiesel Fraction'!Y30,1)</f>
        <v>0.97195157869542803</v>
      </c>
      <c r="Z5">
        <f>IF('Biodiesel Fraction'!$B18,1-'Biodiesel Fraction'!Z30,1)</f>
        <v>0.97249434040966198</v>
      </c>
      <c r="AA5">
        <f>IF('Biodiesel Fraction'!$B18,1-'Biodiesel Fraction'!AA30,1)</f>
        <v>0.97312409878794037</v>
      </c>
      <c r="AB5">
        <f>IF('Biodiesel Fraction'!$B18,1-'Biodiesel Fraction'!AB30,1)</f>
        <v>0.97379379073714167</v>
      </c>
      <c r="AC5">
        <f>IF('Biodiesel Fraction'!$B18,1-'Biodiesel Fraction'!AC30,1)</f>
        <v>0.97448716941846381</v>
      </c>
    </row>
    <row r="6" spans="1:29">
      <c r="A6" t="s">
        <v>19</v>
      </c>
      <c r="B6">
        <v>0</v>
      </c>
      <c r="C6">
        <v>0</v>
      </c>
      <c r="D6">
        <v>0</v>
      </c>
      <c r="E6">
        <v>0</v>
      </c>
      <c r="F6">
        <v>0</v>
      </c>
      <c r="G6">
        <v>0</v>
      </c>
      <c r="H6">
        <v>0</v>
      </c>
      <c r="I6">
        <v>0</v>
      </c>
      <c r="J6">
        <v>0</v>
      </c>
      <c r="K6">
        <v>0</v>
      </c>
      <c r="L6">
        <v>0</v>
      </c>
      <c r="M6">
        <v>0</v>
      </c>
      <c r="N6">
        <v>0</v>
      </c>
      <c r="O6">
        <v>0</v>
      </c>
      <c r="P6">
        <v>0</v>
      </c>
      <c r="Q6">
        <v>0</v>
      </c>
      <c r="R6">
        <v>0</v>
      </c>
      <c r="S6">
        <v>0</v>
      </c>
      <c r="T6">
        <v>0</v>
      </c>
      <c r="U6">
        <v>0</v>
      </c>
      <c r="V6">
        <v>0</v>
      </c>
      <c r="W6">
        <v>0</v>
      </c>
      <c r="X6">
        <v>0</v>
      </c>
      <c r="Y6">
        <v>0</v>
      </c>
      <c r="Z6">
        <v>0</v>
      </c>
      <c r="AA6">
        <v>0</v>
      </c>
      <c r="AB6">
        <v>0</v>
      </c>
      <c r="AC6">
        <v>0</v>
      </c>
    </row>
    <row r="7" spans="1:29">
      <c r="A7" t="s">
        <v>21</v>
      </c>
      <c r="B7">
        <f>IF('Biodiesel Fraction'!$B18,'Biodiesel Fraction'!B30,0)</f>
        <v>3.2438802317246634E-2</v>
      </c>
      <c r="C7">
        <f>IF('Biodiesel Fraction'!$B18,'Biodiesel Fraction'!C30,0)</f>
        <v>3.9585833615893101E-2</v>
      </c>
      <c r="D7">
        <f>IF('Biodiesel Fraction'!$B18,'Biodiesel Fraction'!D30,0)</f>
        <v>2.6267435700706714E-2</v>
      </c>
      <c r="E7">
        <f>IF('Biodiesel Fraction'!$B18,'Biodiesel Fraction'!E30,0)</f>
        <v>3.1621309722213581E-2</v>
      </c>
      <c r="F7">
        <f>IF('Biodiesel Fraction'!$B18,'Biodiesel Fraction'!F30,0)</f>
        <v>3.033623618419894E-2</v>
      </c>
      <c r="G7">
        <f>IF('Biodiesel Fraction'!$B18,'Biodiesel Fraction'!G30,0)</f>
        <v>3.1341456464613789E-2</v>
      </c>
      <c r="H7">
        <f>IF('Biodiesel Fraction'!$B18,'Biodiesel Fraction'!H30,0)</f>
        <v>3.2072353462745715E-2</v>
      </c>
      <c r="I7">
        <f>IF('Biodiesel Fraction'!$B18,'Biodiesel Fraction'!I30,0)</f>
        <v>2.6683566813277972E-2</v>
      </c>
      <c r="J7">
        <f>IF('Biodiesel Fraction'!$B18,'Biodiesel Fraction'!J30,0)</f>
        <v>2.8110882476572851E-2</v>
      </c>
      <c r="K7">
        <f>IF('Biodiesel Fraction'!$B18,'Biodiesel Fraction'!K30,0)</f>
        <v>2.8872443198755857E-2</v>
      </c>
      <c r="L7">
        <f>IF('Biodiesel Fraction'!$B18,'Biodiesel Fraction'!L30,0)</f>
        <v>3.046784327226101E-2</v>
      </c>
      <c r="M7">
        <f>IF('Biodiesel Fraction'!$B18,'Biodiesel Fraction'!M30,0)</f>
        <v>3.1217849997095815E-2</v>
      </c>
      <c r="N7">
        <f>IF('Biodiesel Fraction'!$B18,'Biodiesel Fraction'!N30,0)</f>
        <v>3.1875348209761699E-2</v>
      </c>
      <c r="O7">
        <f>IF('Biodiesel Fraction'!$B18,'Biodiesel Fraction'!O30,0)</f>
        <v>3.0134406091615811E-2</v>
      </c>
      <c r="P7">
        <f>IF('Biodiesel Fraction'!$B18,'Biodiesel Fraction'!P30,0)</f>
        <v>3.1730954796610401E-2</v>
      </c>
      <c r="Q7">
        <f>IF('Biodiesel Fraction'!$B18,'Biodiesel Fraction'!Q30,0)</f>
        <v>3.1605114445489989E-2</v>
      </c>
      <c r="R7">
        <f>IF('Biodiesel Fraction'!$B18,'Biodiesel Fraction'!R30,0)</f>
        <v>3.1293299974720641E-2</v>
      </c>
      <c r="S7">
        <f>IF('Biodiesel Fraction'!$B18,'Biodiesel Fraction'!S30,0)</f>
        <v>3.0940663364443025E-2</v>
      </c>
      <c r="T7">
        <f>IF('Biodiesel Fraction'!$B18,'Biodiesel Fraction'!T30,0)</f>
        <v>3.0538396732350235E-2</v>
      </c>
      <c r="U7">
        <f>IF('Biodiesel Fraction'!$B18,'Biodiesel Fraction'!U30,0)</f>
        <v>3.0125767488979882E-2</v>
      </c>
      <c r="V7">
        <f>IF('Biodiesel Fraction'!$B18,'Biodiesel Fraction'!V30,0)</f>
        <v>2.9689512873191E-2</v>
      </c>
      <c r="W7">
        <f>IF('Biodiesel Fraction'!$B18,'Biodiesel Fraction'!W30,0)</f>
        <v>2.9210252178189615E-2</v>
      </c>
      <c r="X7">
        <f>IF('Biodiesel Fraction'!$B18,'Biodiesel Fraction'!X30,0)</f>
        <v>2.8651889723786874E-2</v>
      </c>
      <c r="Y7">
        <f>IF('Biodiesel Fraction'!$B18,'Biodiesel Fraction'!Y30,0)</f>
        <v>2.8048421304572007E-2</v>
      </c>
      <c r="Z7">
        <f>IF('Biodiesel Fraction'!$B18,'Biodiesel Fraction'!Z30,0)</f>
        <v>2.7505659590338054E-2</v>
      </c>
      <c r="AA7">
        <f>IF('Biodiesel Fraction'!$B18,'Biodiesel Fraction'!AA30,0)</f>
        <v>2.6875901212059638E-2</v>
      </c>
      <c r="AB7">
        <f>IF('Biodiesel Fraction'!$B18,'Biodiesel Fraction'!AB30,0)</f>
        <v>2.6206209262858382E-2</v>
      </c>
      <c r="AC7">
        <f>IF('Biodiesel Fraction'!$B18,'Biodiesel Fraction'!AC30,0)</f>
        <v>2.5512830581536149E-2</v>
      </c>
    </row>
    <row r="8" spans="1:29">
      <c r="A8" t="s">
        <v>20</v>
      </c>
      <c r="B8">
        <v>0</v>
      </c>
      <c r="C8">
        <v>0</v>
      </c>
      <c r="D8">
        <v>0</v>
      </c>
      <c r="E8">
        <v>0</v>
      </c>
      <c r="F8">
        <v>0</v>
      </c>
      <c r="G8">
        <v>0</v>
      </c>
      <c r="H8">
        <v>0</v>
      </c>
      <c r="I8">
        <v>0</v>
      </c>
      <c r="J8">
        <v>0</v>
      </c>
      <c r="K8">
        <v>0</v>
      </c>
      <c r="L8">
        <v>0</v>
      </c>
      <c r="M8">
        <v>0</v>
      </c>
      <c r="N8">
        <v>0</v>
      </c>
      <c r="O8">
        <v>0</v>
      </c>
      <c r="P8">
        <v>0</v>
      </c>
      <c r="Q8">
        <v>0</v>
      </c>
      <c r="R8">
        <v>0</v>
      </c>
      <c r="S8">
        <v>0</v>
      </c>
      <c r="T8">
        <v>0</v>
      </c>
      <c r="U8">
        <v>0</v>
      </c>
      <c r="V8">
        <v>0</v>
      </c>
      <c r="W8">
        <v>0</v>
      </c>
      <c r="X8">
        <v>0</v>
      </c>
      <c r="Y8">
        <v>0</v>
      </c>
      <c r="Z8">
        <v>0</v>
      </c>
      <c r="AA8">
        <v>0</v>
      </c>
      <c r="AB8">
        <v>0</v>
      </c>
      <c r="AC8">
        <v>0</v>
      </c>
    </row>
    <row r="9" spans="1:29">
      <c r="A9" t="s">
        <v>82</v>
      </c>
      <c r="B9">
        <v>0</v>
      </c>
      <c r="C9">
        <v>0</v>
      </c>
      <c r="D9">
        <v>0</v>
      </c>
      <c r="E9">
        <v>0</v>
      </c>
      <c r="F9">
        <v>0</v>
      </c>
      <c r="G9">
        <v>0</v>
      </c>
      <c r="H9">
        <v>0</v>
      </c>
      <c r="I9">
        <v>0</v>
      </c>
      <c r="J9">
        <v>0</v>
      </c>
      <c r="K9">
        <v>0</v>
      </c>
      <c r="L9">
        <v>0</v>
      </c>
      <c r="M9">
        <v>0</v>
      </c>
      <c r="N9">
        <v>0</v>
      </c>
      <c r="O9">
        <v>0</v>
      </c>
      <c r="P9">
        <v>0</v>
      </c>
      <c r="Q9">
        <v>0</v>
      </c>
      <c r="R9">
        <v>0</v>
      </c>
      <c r="S9">
        <v>0</v>
      </c>
      <c r="T9">
        <v>0</v>
      </c>
      <c r="U9">
        <v>0</v>
      </c>
      <c r="V9">
        <v>0</v>
      </c>
      <c r="W9">
        <v>0</v>
      </c>
      <c r="X9">
        <v>0</v>
      </c>
      <c r="Y9">
        <v>0</v>
      </c>
      <c r="Z9">
        <v>0</v>
      </c>
      <c r="AA9">
        <v>0</v>
      </c>
      <c r="AB9">
        <v>0</v>
      </c>
      <c r="AC9">
        <v>0</v>
      </c>
    </row>
    <row r="10" spans="1:29">
      <c r="A10" t="s">
        <v>83</v>
      </c>
      <c r="B10">
        <v>0</v>
      </c>
      <c r="C10">
        <v>0</v>
      </c>
      <c r="D10">
        <v>0</v>
      </c>
      <c r="E10">
        <v>0</v>
      </c>
      <c r="F10">
        <v>0</v>
      </c>
      <c r="G10">
        <v>0</v>
      </c>
      <c r="H10">
        <v>0</v>
      </c>
      <c r="I10">
        <v>0</v>
      </c>
      <c r="J10">
        <v>0</v>
      </c>
      <c r="K10">
        <v>0</v>
      </c>
      <c r="L10">
        <v>0</v>
      </c>
      <c r="M10">
        <v>0</v>
      </c>
      <c r="N10">
        <v>0</v>
      </c>
      <c r="O10">
        <v>0</v>
      </c>
      <c r="P10">
        <v>0</v>
      </c>
      <c r="Q10">
        <v>0</v>
      </c>
      <c r="R10">
        <v>0</v>
      </c>
      <c r="S10">
        <v>0</v>
      </c>
      <c r="T10">
        <v>0</v>
      </c>
      <c r="U10">
        <v>0</v>
      </c>
      <c r="V10">
        <v>0</v>
      </c>
      <c r="W10">
        <v>0</v>
      </c>
      <c r="X10">
        <v>0</v>
      </c>
      <c r="Y10">
        <v>0</v>
      </c>
      <c r="Z10">
        <v>0</v>
      </c>
      <c r="AA10">
        <v>0</v>
      </c>
      <c r="AB10">
        <v>0</v>
      </c>
      <c r="AC10">
        <v>0</v>
      </c>
    </row>
    <row r="11" spans="1:29">
      <c r="A11" t="s">
        <v>84</v>
      </c>
      <c r="B11">
        <v>0</v>
      </c>
      <c r="C11">
        <v>0</v>
      </c>
      <c r="D11">
        <v>0</v>
      </c>
      <c r="E11">
        <v>0</v>
      </c>
      <c r="F11">
        <v>0</v>
      </c>
      <c r="G11">
        <v>0</v>
      </c>
      <c r="H11">
        <v>0</v>
      </c>
      <c r="I11">
        <v>0</v>
      </c>
      <c r="J11">
        <v>0</v>
      </c>
      <c r="K11">
        <v>0</v>
      </c>
      <c r="L11">
        <v>0</v>
      </c>
      <c r="M11">
        <v>0</v>
      </c>
      <c r="N11">
        <v>0</v>
      </c>
      <c r="O11">
        <v>0</v>
      </c>
      <c r="P11">
        <v>0</v>
      </c>
      <c r="Q11">
        <v>0</v>
      </c>
      <c r="R11">
        <v>0</v>
      </c>
      <c r="S11">
        <v>0</v>
      </c>
      <c r="T11">
        <v>0</v>
      </c>
      <c r="U11">
        <v>0</v>
      </c>
      <c r="V11">
        <v>0</v>
      </c>
      <c r="W11">
        <v>0</v>
      </c>
      <c r="X11">
        <v>0</v>
      </c>
      <c r="Y11">
        <v>0</v>
      </c>
      <c r="Z11">
        <v>0</v>
      </c>
      <c r="AA11">
        <v>0</v>
      </c>
      <c r="AB11">
        <v>0</v>
      </c>
      <c r="AC11">
        <v>0</v>
      </c>
    </row>
  </sheetData>
  <pageMargins left="0.7" right="0.7" top="0.75" bottom="0.75" header="0.3" footer="0.3"/>
</worksheet>
</file>

<file path=xl/worksheets/sheet8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4E00-000000000000}">
  <sheetPr>
    <tabColor theme="3"/>
  </sheetPr>
  <dimension ref="A1:AH11"/>
  <sheetViews>
    <sheetView topLeftCell="B1" workbookViewId="0">
      <selection activeCell="B1" sqref="B1:AD1"/>
    </sheetView>
  </sheetViews>
  <sheetFormatPr defaultRowHeight="14.25"/>
  <cols>
    <col min="1" max="1" width="22.53125" customWidth="1"/>
  </cols>
  <sheetData>
    <row r="1" spans="1:34" ht="28.5">
      <c r="A1" s="10" t="s">
        <v>85</v>
      </c>
      <c r="B1">
        <v>2022</v>
      </c>
      <c r="C1">
        <v>2023</v>
      </c>
      <c r="D1">
        <v>2024</v>
      </c>
      <c r="E1">
        <v>2025</v>
      </c>
      <c r="F1">
        <v>2026</v>
      </c>
      <c r="G1">
        <v>2027</v>
      </c>
      <c r="H1">
        <v>2028</v>
      </c>
      <c r="I1">
        <v>2029</v>
      </c>
      <c r="J1">
        <v>2030</v>
      </c>
      <c r="K1">
        <v>2031</v>
      </c>
      <c r="L1">
        <v>2032</v>
      </c>
      <c r="M1">
        <v>2033</v>
      </c>
      <c r="N1">
        <v>2034</v>
      </c>
      <c r="O1">
        <v>2035</v>
      </c>
      <c r="P1">
        <v>2036</v>
      </c>
      <c r="Q1">
        <v>2037</v>
      </c>
      <c r="R1">
        <v>2038</v>
      </c>
      <c r="S1">
        <v>2039</v>
      </c>
      <c r="T1">
        <v>2040</v>
      </c>
      <c r="U1">
        <v>2041</v>
      </c>
      <c r="V1">
        <v>2042</v>
      </c>
      <c r="W1">
        <v>2043</v>
      </c>
      <c r="X1">
        <v>2044</v>
      </c>
      <c r="Y1">
        <v>2045</v>
      </c>
      <c r="Z1">
        <v>2046</v>
      </c>
      <c r="AA1">
        <v>2047</v>
      </c>
      <c r="AB1">
        <v>2048</v>
      </c>
      <c r="AC1">
        <v>2049</v>
      </c>
      <c r="AD1">
        <v>2050</v>
      </c>
    </row>
    <row r="2" spans="1:34">
      <c r="A2" t="s">
        <v>15</v>
      </c>
      <c r="B2">
        <f>'Plug-in Hybrid Elec Fraction'!$A5</f>
        <v>0.55000000000000004</v>
      </c>
      <c r="C2">
        <f>'Plug-in Hybrid Elec Fraction'!$A5</f>
        <v>0.55000000000000004</v>
      </c>
      <c r="D2">
        <f>'Plug-in Hybrid Elec Fraction'!$A5</f>
        <v>0.55000000000000004</v>
      </c>
      <c r="E2">
        <f>'Plug-in Hybrid Elec Fraction'!$A5</f>
        <v>0.55000000000000004</v>
      </c>
      <c r="F2">
        <f>'Plug-in Hybrid Elec Fraction'!$A5</f>
        <v>0.55000000000000004</v>
      </c>
      <c r="G2">
        <f>'Plug-in Hybrid Elec Fraction'!$A5</f>
        <v>0.55000000000000004</v>
      </c>
      <c r="H2">
        <f>'Plug-in Hybrid Elec Fraction'!$A5</f>
        <v>0.55000000000000004</v>
      </c>
      <c r="I2">
        <f>'Plug-in Hybrid Elec Fraction'!$A5</f>
        <v>0.55000000000000004</v>
      </c>
      <c r="J2">
        <f>'Plug-in Hybrid Elec Fraction'!$A5</f>
        <v>0.55000000000000004</v>
      </c>
      <c r="K2">
        <f>'Plug-in Hybrid Elec Fraction'!$A5</f>
        <v>0.55000000000000004</v>
      </c>
      <c r="L2">
        <f>'Plug-in Hybrid Elec Fraction'!$A5</f>
        <v>0.55000000000000004</v>
      </c>
      <c r="M2">
        <f>'Plug-in Hybrid Elec Fraction'!$A5</f>
        <v>0.55000000000000004</v>
      </c>
      <c r="N2">
        <f>'Plug-in Hybrid Elec Fraction'!$A5</f>
        <v>0.55000000000000004</v>
      </c>
      <c r="O2">
        <f>'Plug-in Hybrid Elec Fraction'!$A5</f>
        <v>0.55000000000000004</v>
      </c>
      <c r="P2">
        <f>'Plug-in Hybrid Elec Fraction'!$A5</f>
        <v>0.55000000000000004</v>
      </c>
      <c r="Q2">
        <f>'Plug-in Hybrid Elec Fraction'!$A5</f>
        <v>0.55000000000000004</v>
      </c>
      <c r="R2">
        <f>'Plug-in Hybrid Elec Fraction'!$A5</f>
        <v>0.55000000000000004</v>
      </c>
      <c r="S2">
        <f>'Plug-in Hybrid Elec Fraction'!$A5</f>
        <v>0.55000000000000004</v>
      </c>
      <c r="T2">
        <f>'Plug-in Hybrid Elec Fraction'!$A5</f>
        <v>0.55000000000000004</v>
      </c>
      <c r="U2">
        <f>'Plug-in Hybrid Elec Fraction'!$A5</f>
        <v>0.55000000000000004</v>
      </c>
      <c r="V2">
        <f>'Plug-in Hybrid Elec Fraction'!$A5</f>
        <v>0.55000000000000004</v>
      </c>
      <c r="W2">
        <f>'Plug-in Hybrid Elec Fraction'!$A5</f>
        <v>0.55000000000000004</v>
      </c>
      <c r="X2">
        <f>'Plug-in Hybrid Elec Fraction'!$A5</f>
        <v>0.55000000000000004</v>
      </c>
      <c r="Y2">
        <f>'Plug-in Hybrid Elec Fraction'!$A5</f>
        <v>0.55000000000000004</v>
      </c>
      <c r="Z2">
        <f>'Plug-in Hybrid Elec Fraction'!$A5</f>
        <v>0.55000000000000004</v>
      </c>
      <c r="AA2">
        <f>'Plug-in Hybrid Elec Fraction'!$A5</f>
        <v>0.55000000000000004</v>
      </c>
      <c r="AB2">
        <f>'Plug-in Hybrid Elec Fraction'!$A5</f>
        <v>0.55000000000000004</v>
      </c>
      <c r="AC2">
        <f>'Plug-in Hybrid Elec Fraction'!$A5</f>
        <v>0.55000000000000004</v>
      </c>
      <c r="AD2">
        <f>'Plug-in Hybrid Elec Fraction'!$A5</f>
        <v>0.55000000000000004</v>
      </c>
    </row>
    <row r="3" spans="1:34">
      <c r="A3" t="s">
        <v>16</v>
      </c>
      <c r="B3">
        <v>0</v>
      </c>
      <c r="C3">
        <v>0</v>
      </c>
      <c r="D3">
        <v>0</v>
      </c>
      <c r="E3">
        <v>0</v>
      </c>
      <c r="F3">
        <v>0</v>
      </c>
      <c r="G3">
        <v>0</v>
      </c>
      <c r="H3">
        <v>0</v>
      </c>
      <c r="I3">
        <v>0</v>
      </c>
      <c r="J3">
        <v>0</v>
      </c>
      <c r="K3">
        <v>0</v>
      </c>
      <c r="L3">
        <v>0</v>
      </c>
      <c r="M3">
        <v>0</v>
      </c>
      <c r="N3">
        <v>0</v>
      </c>
      <c r="O3">
        <v>0</v>
      </c>
      <c r="P3">
        <v>0</v>
      </c>
      <c r="Q3">
        <v>0</v>
      </c>
      <c r="R3">
        <v>0</v>
      </c>
      <c r="S3">
        <v>0</v>
      </c>
      <c r="T3">
        <v>0</v>
      </c>
      <c r="U3">
        <v>0</v>
      </c>
      <c r="V3">
        <v>0</v>
      </c>
      <c r="W3">
        <v>0</v>
      </c>
      <c r="X3">
        <v>0</v>
      </c>
      <c r="Y3">
        <v>0</v>
      </c>
      <c r="Z3">
        <v>0</v>
      </c>
      <c r="AA3">
        <v>0</v>
      </c>
      <c r="AB3">
        <v>0</v>
      </c>
      <c r="AC3">
        <v>0</v>
      </c>
      <c r="AD3">
        <v>0</v>
      </c>
    </row>
    <row r="4" spans="1:34">
      <c r="A4" t="s">
        <v>17</v>
      </c>
      <c r="B4" s="2">
        <f>'AEO 2023 Table 36 Raw'!F7/SUM('AEO 2023 Table 36 Raw'!F7:F8)*(1-B2)</f>
        <v>0.44903090794324652</v>
      </c>
      <c r="C4" s="2">
        <f>'AEO 2023 Table 36 Raw'!G7/SUM('AEO 2023 Table 36 Raw'!G7:G8)*(1-C2)</f>
        <v>0.44901641030474015</v>
      </c>
      <c r="D4" s="2">
        <f>'AEO 2023 Table 36 Raw'!H7/SUM('AEO 2023 Table 36 Raw'!H7:H8)*(1-D2)</f>
        <v>0.44907014634923614</v>
      </c>
      <c r="E4" s="2">
        <f>'AEO 2023 Table 36 Raw'!I7/SUM('AEO 2023 Table 36 Raw'!I7:I8)*(1-E2)</f>
        <v>0.44905728586452914</v>
      </c>
      <c r="F4" s="2">
        <f>'AEO 2023 Table 36 Raw'!J7/SUM('AEO 2023 Table 36 Raw'!J7:J8)*(1-F2)</f>
        <v>0.44906619405886128</v>
      </c>
      <c r="G4" s="2">
        <f>'AEO 2023 Table 36 Raw'!K7/SUM('AEO 2023 Table 36 Raw'!K7:K8)*(1-G2)</f>
        <v>0.44907918788558054</v>
      </c>
      <c r="H4" s="2">
        <f>'AEO 2023 Table 36 Raw'!L7/SUM('AEO 2023 Table 36 Raw'!L7:L8)*(1-H2)</f>
        <v>0.44909582893136263</v>
      </c>
      <c r="I4" s="2">
        <f>'AEO 2023 Table 36 Raw'!M7/SUM('AEO 2023 Table 36 Raw'!M7:M8)*(1-I2)</f>
        <v>0.44911496437710824</v>
      </c>
      <c r="J4" s="2">
        <f>'AEO 2023 Table 36 Raw'!N7/SUM('AEO 2023 Table 36 Raw'!N7:N8)*(1-J2)</f>
        <v>0.44913546096854412</v>
      </c>
      <c r="K4" s="2">
        <f>'AEO 2023 Table 36 Raw'!O7/SUM('AEO 2023 Table 36 Raw'!O7:O8)*(1-K2)</f>
        <v>0.44915682790667982</v>
      </c>
      <c r="L4" s="2">
        <f>'AEO 2023 Table 36 Raw'!P7/SUM('AEO 2023 Table 36 Raw'!P7:P8)*(1-L2)</f>
        <v>0.44917819055639702</v>
      </c>
      <c r="M4" s="2">
        <f>'AEO 2023 Table 36 Raw'!Q7/SUM('AEO 2023 Table 36 Raw'!Q7:Q8)*(1-M2)</f>
        <v>0.44919904275753453</v>
      </c>
      <c r="N4" s="2">
        <f>'AEO 2023 Table 36 Raw'!R7/SUM('AEO 2023 Table 36 Raw'!R7:R8)*(1-N2)</f>
        <v>0.4492184473356986</v>
      </c>
      <c r="O4" s="2">
        <f>'AEO 2023 Table 36 Raw'!S7/SUM('AEO 2023 Table 36 Raw'!S7:S8)*(1-O2)</f>
        <v>0.44923499311725906</v>
      </c>
      <c r="P4" s="2">
        <f>'AEO 2023 Table 36 Raw'!T7/SUM('AEO 2023 Table 36 Raw'!T7:T8)*(1-P2)</f>
        <v>0.44925048481808927</v>
      </c>
      <c r="Q4" s="2">
        <f>'AEO 2023 Table 36 Raw'!U7/SUM('AEO 2023 Table 36 Raw'!U7:U8)*(1-Q2)</f>
        <v>0.44926038506300203</v>
      </c>
      <c r="R4" s="2">
        <f>'AEO 2023 Table 36 Raw'!V7/SUM('AEO 2023 Table 36 Raw'!V7:V8)*(1-R2)</f>
        <v>0.44926643522378323</v>
      </c>
      <c r="S4" s="2">
        <f>'AEO 2023 Table 36 Raw'!W7/SUM('AEO 2023 Table 36 Raw'!W7:W8)*(1-S2)</f>
        <v>0.44926824376400976</v>
      </c>
      <c r="T4" s="2">
        <f>'AEO 2023 Table 36 Raw'!X7/SUM('AEO 2023 Table 36 Raw'!X7:X8)*(1-T2)</f>
        <v>0.44926669553836307</v>
      </c>
      <c r="U4" s="2">
        <f>'AEO 2023 Table 36 Raw'!Y7/SUM('AEO 2023 Table 36 Raw'!Y7:Y8)*(1-U2)</f>
        <v>0.44926316168124414</v>
      </c>
      <c r="V4" s="2">
        <f>'AEO 2023 Table 36 Raw'!Z7/SUM('AEO 2023 Table 36 Raw'!Z7:Z8)*(1-V2)</f>
        <v>0.44925805438935312</v>
      </c>
      <c r="W4" s="2">
        <f>'AEO 2023 Table 36 Raw'!AA7/SUM('AEO 2023 Table 36 Raw'!AA7:AA8)*(1-W2)</f>
        <v>0.44925018640576531</v>
      </c>
      <c r="X4" s="2">
        <f>'AEO 2023 Table 36 Raw'!AB7/SUM('AEO 2023 Table 36 Raw'!AB7:AB8)*(1-X2)</f>
        <v>0.44924352565773945</v>
      </c>
      <c r="Y4" s="2">
        <f>'AEO 2023 Table 36 Raw'!AC7/SUM('AEO 2023 Table 36 Raw'!AC7:AC8)*(1-Y2)</f>
        <v>0.44923645684598268</v>
      </c>
      <c r="Z4" s="2">
        <f>'AEO 2023 Table 36 Raw'!AD7/SUM('AEO 2023 Table 36 Raw'!AD7:AD8)*(1-Z2)</f>
        <v>0.4492314694333458</v>
      </c>
      <c r="AA4" s="2">
        <f>'AEO 2023 Table 36 Raw'!AE7/SUM('AEO 2023 Table 36 Raw'!AE7:AE8)*(1-AA2)</f>
        <v>0.44922378198109159</v>
      </c>
      <c r="AB4" s="2">
        <f>'AEO 2023 Table 36 Raw'!AF7/SUM('AEO 2023 Table 36 Raw'!AF7:AF8)*(1-AB2)</f>
        <v>0.44921792253441456</v>
      </c>
      <c r="AC4" s="2">
        <f>'AEO 2023 Table 36 Raw'!AG7/SUM('AEO 2023 Table 36 Raw'!AG7:AG8)*(1-AC2)</f>
        <v>0.44921021800824235</v>
      </c>
      <c r="AD4" s="2">
        <f>'AEO 2023 Table 36 Raw'!AH7/SUM('AEO 2023 Table 36 Raw'!AH7:AH8)*(1-AD2)</f>
        <v>0.44920449239135835</v>
      </c>
      <c r="AE4" s="2"/>
      <c r="AF4" s="2"/>
      <c r="AG4" s="2"/>
      <c r="AH4" s="2"/>
    </row>
    <row r="5" spans="1:34">
      <c r="A5" t="s">
        <v>18</v>
      </c>
      <c r="B5">
        <v>0</v>
      </c>
      <c r="C5">
        <v>0</v>
      </c>
      <c r="D5">
        <v>0</v>
      </c>
      <c r="E5">
        <v>0</v>
      </c>
      <c r="F5">
        <v>0</v>
      </c>
      <c r="G5">
        <v>0</v>
      </c>
      <c r="H5">
        <v>0</v>
      </c>
      <c r="I5">
        <v>0</v>
      </c>
      <c r="J5">
        <v>0</v>
      </c>
      <c r="K5">
        <v>0</v>
      </c>
      <c r="L5">
        <v>0</v>
      </c>
      <c r="M5">
        <v>0</v>
      </c>
      <c r="N5">
        <v>0</v>
      </c>
      <c r="O5">
        <v>0</v>
      </c>
      <c r="P5">
        <v>0</v>
      </c>
      <c r="Q5">
        <v>0</v>
      </c>
      <c r="R5">
        <v>0</v>
      </c>
      <c r="S5">
        <v>0</v>
      </c>
      <c r="T5">
        <v>0</v>
      </c>
      <c r="U5">
        <v>0</v>
      </c>
      <c r="V5">
        <v>0</v>
      </c>
      <c r="W5">
        <v>0</v>
      </c>
      <c r="X5">
        <v>0</v>
      </c>
      <c r="Y5">
        <v>0</v>
      </c>
      <c r="Z5">
        <v>0</v>
      </c>
      <c r="AA5">
        <v>0</v>
      </c>
      <c r="AB5">
        <v>0</v>
      </c>
      <c r="AC5">
        <v>0</v>
      </c>
      <c r="AD5">
        <v>0</v>
      </c>
    </row>
    <row r="6" spans="1:34">
      <c r="A6" t="s">
        <v>19</v>
      </c>
      <c r="B6" s="2">
        <f>'AEO 2023 Table 36 Raw'!F8/SUM('AEO 2023 Table 36 Raw'!F7:F8)*(1-B2)</f>
        <v>9.6909205675343383E-4</v>
      </c>
      <c r="C6" s="2">
        <f>'AEO 2023 Table 36 Raw'!G8/SUM('AEO 2023 Table 36 Raw'!G7:G8)*(1-C2)</f>
        <v>9.8358969525984665E-4</v>
      </c>
      <c r="D6" s="2">
        <f>'AEO 2023 Table 36 Raw'!H8/SUM('AEO 2023 Table 36 Raw'!H7:H8)*(1-D2)</f>
        <v>9.2985365076385786E-4</v>
      </c>
      <c r="E6" s="2">
        <f>'AEO 2023 Table 36 Raw'!I8/SUM('AEO 2023 Table 36 Raw'!I7:I8)*(1-E2)</f>
        <v>9.4271413547086281E-4</v>
      </c>
      <c r="F6" s="2">
        <f>'AEO 2023 Table 36 Raw'!J8/SUM('AEO 2023 Table 36 Raw'!J7:J8)*(1-F2)</f>
        <v>9.3380594113868457E-4</v>
      </c>
      <c r="G6" s="2">
        <f>'AEO 2023 Table 36 Raw'!K8/SUM('AEO 2023 Table 36 Raw'!K7:K8)*(1-G2)</f>
        <v>9.2081211441941016E-4</v>
      </c>
      <c r="H6" s="2">
        <f>'AEO 2023 Table 36 Raw'!L8/SUM('AEO 2023 Table 36 Raw'!L7:L8)*(1-H2)</f>
        <v>9.0417106863733849E-4</v>
      </c>
      <c r="I6" s="2">
        <f>'AEO 2023 Table 36 Raw'!M8/SUM('AEO 2023 Table 36 Raw'!M7:M8)*(1-I2)</f>
        <v>8.8503562289174215E-4</v>
      </c>
      <c r="J6" s="2">
        <f>'AEO 2023 Table 36 Raw'!N8/SUM('AEO 2023 Table 36 Raw'!N7:N8)*(1-J2)</f>
        <v>8.6453903145585745E-4</v>
      </c>
      <c r="K6" s="2">
        <f>'AEO 2023 Table 36 Raw'!O8/SUM('AEO 2023 Table 36 Raw'!O7:O8)*(1-K2)</f>
        <v>8.4317209332012831E-4</v>
      </c>
      <c r="L6" s="2">
        <f>'AEO 2023 Table 36 Raw'!P8/SUM('AEO 2023 Table 36 Raw'!P7:P8)*(1-L2)</f>
        <v>8.2180944360294719E-4</v>
      </c>
      <c r="M6" s="2">
        <f>'AEO 2023 Table 36 Raw'!Q8/SUM('AEO 2023 Table 36 Raw'!Q7:Q8)*(1-M2)</f>
        <v>8.0095724246540467E-4</v>
      </c>
      <c r="N6" s="2">
        <f>'AEO 2023 Table 36 Raw'!R8/SUM('AEO 2023 Table 36 Raw'!R7:R8)*(1-N2)</f>
        <v>7.8155266430136004E-4</v>
      </c>
      <c r="O6" s="2">
        <f>'AEO 2023 Table 36 Raw'!S8/SUM('AEO 2023 Table 36 Raw'!S7:S8)*(1-O2)</f>
        <v>7.6500688274090645E-4</v>
      </c>
      <c r="P6" s="2">
        <f>'AEO 2023 Table 36 Raw'!T8/SUM('AEO 2023 Table 36 Raw'!T7:T8)*(1-P2)</f>
        <v>7.4951518191071671E-4</v>
      </c>
      <c r="Q6" s="2">
        <f>'AEO 2023 Table 36 Raw'!U8/SUM('AEO 2023 Table 36 Raw'!U7:U8)*(1-Q2)</f>
        <v>7.3961493699790503E-4</v>
      </c>
      <c r="R6" s="2">
        <f>'AEO 2023 Table 36 Raw'!V8/SUM('AEO 2023 Table 36 Raw'!V7:V8)*(1-R2)</f>
        <v>7.3356477621667202E-4</v>
      </c>
      <c r="S6" s="2">
        <f>'AEO 2023 Table 36 Raw'!W8/SUM('AEO 2023 Table 36 Raw'!W7:W8)*(1-S2)</f>
        <v>7.3175623599016281E-4</v>
      </c>
      <c r="T6" s="2">
        <f>'AEO 2023 Table 36 Raw'!X8/SUM('AEO 2023 Table 36 Raw'!X7:X8)*(1-T2)</f>
        <v>7.3330446163693023E-4</v>
      </c>
      <c r="U6" s="2">
        <f>'AEO 2023 Table 36 Raw'!Y8/SUM('AEO 2023 Table 36 Raw'!Y7:Y8)*(1-U2)</f>
        <v>7.3683831875582737E-4</v>
      </c>
      <c r="V6" s="2">
        <f>'AEO 2023 Table 36 Raw'!Z8/SUM('AEO 2023 Table 36 Raw'!Z7:Z8)*(1-V2)</f>
        <v>7.4194561064679131E-4</v>
      </c>
      <c r="W6" s="2">
        <f>'AEO 2023 Table 36 Raw'!AA8/SUM('AEO 2023 Table 36 Raw'!AA7:AA8)*(1-W2)</f>
        <v>7.4981359423463827E-4</v>
      </c>
      <c r="X6" s="2">
        <f>'AEO 2023 Table 36 Raw'!AB8/SUM('AEO 2023 Table 36 Raw'!AB7:AB8)*(1-X2)</f>
        <v>7.564743422604893E-4</v>
      </c>
      <c r="Y6" s="2">
        <f>'AEO 2023 Table 36 Raw'!AC8/SUM('AEO 2023 Table 36 Raw'!AC7:AC8)*(1-Y2)</f>
        <v>7.6354315401729674E-4</v>
      </c>
      <c r="Z6" s="2">
        <f>'AEO 2023 Table 36 Raw'!AD8/SUM('AEO 2023 Table 36 Raw'!AD7:AD8)*(1-Z2)</f>
        <v>7.6853056665414593E-4</v>
      </c>
      <c r="AA6" s="2">
        <f>'AEO 2023 Table 36 Raw'!AE8/SUM('AEO 2023 Table 36 Raw'!AE7:AE8)*(1-AA2)</f>
        <v>7.7621801890835813E-4</v>
      </c>
      <c r="AB6" s="2">
        <f>'AEO 2023 Table 36 Raw'!AF8/SUM('AEO 2023 Table 36 Raw'!AF7:AF8)*(1-AB2)</f>
        <v>7.8207746558535797E-4</v>
      </c>
      <c r="AC6" s="2">
        <f>'AEO 2023 Table 36 Raw'!AG8/SUM('AEO 2023 Table 36 Raw'!AG7:AG8)*(1-AC2)</f>
        <v>7.8978199175759752E-4</v>
      </c>
      <c r="AD6" s="2">
        <f>'AEO 2023 Table 36 Raw'!AH8/SUM('AEO 2023 Table 36 Raw'!AH7:AH8)*(1-AD2)</f>
        <v>7.9550760864159826E-4</v>
      </c>
      <c r="AE6" s="2"/>
      <c r="AF6" s="2"/>
      <c r="AG6" s="2"/>
      <c r="AH6" s="2"/>
    </row>
    <row r="7" spans="1:34">
      <c r="A7" t="s">
        <v>21</v>
      </c>
      <c r="B7">
        <v>0</v>
      </c>
      <c r="C7">
        <v>0</v>
      </c>
      <c r="D7">
        <v>0</v>
      </c>
      <c r="E7">
        <v>0</v>
      </c>
      <c r="F7">
        <v>0</v>
      </c>
      <c r="G7">
        <v>0</v>
      </c>
      <c r="H7">
        <v>0</v>
      </c>
      <c r="I7">
        <v>0</v>
      </c>
      <c r="J7">
        <v>0</v>
      </c>
      <c r="K7">
        <v>0</v>
      </c>
      <c r="L7">
        <v>0</v>
      </c>
      <c r="M7">
        <v>0</v>
      </c>
      <c r="N7">
        <v>0</v>
      </c>
      <c r="O7">
        <v>0</v>
      </c>
      <c r="P7">
        <v>0</v>
      </c>
      <c r="Q7">
        <v>0</v>
      </c>
      <c r="R7">
        <v>0</v>
      </c>
      <c r="S7">
        <v>0</v>
      </c>
      <c r="T7">
        <v>0</v>
      </c>
      <c r="U7">
        <v>0</v>
      </c>
      <c r="V7">
        <v>0</v>
      </c>
      <c r="W7">
        <v>0</v>
      </c>
      <c r="X7">
        <v>0</v>
      </c>
      <c r="Y7">
        <v>0</v>
      </c>
      <c r="Z7">
        <v>0</v>
      </c>
      <c r="AA7">
        <v>0</v>
      </c>
      <c r="AB7">
        <v>0</v>
      </c>
      <c r="AC7">
        <v>0</v>
      </c>
      <c r="AD7">
        <v>0</v>
      </c>
    </row>
    <row r="8" spans="1:34">
      <c r="A8" t="s">
        <v>20</v>
      </c>
      <c r="B8">
        <v>0</v>
      </c>
      <c r="C8">
        <v>0</v>
      </c>
      <c r="D8">
        <v>0</v>
      </c>
      <c r="E8">
        <v>0</v>
      </c>
      <c r="F8">
        <v>0</v>
      </c>
      <c r="G8">
        <v>0</v>
      </c>
      <c r="H8">
        <v>0</v>
      </c>
      <c r="I8">
        <v>0</v>
      </c>
      <c r="J8">
        <v>0</v>
      </c>
      <c r="K8">
        <v>0</v>
      </c>
      <c r="L8">
        <v>0</v>
      </c>
      <c r="M8">
        <v>0</v>
      </c>
      <c r="N8">
        <v>0</v>
      </c>
      <c r="O8">
        <v>0</v>
      </c>
      <c r="P8">
        <v>0</v>
      </c>
      <c r="Q8">
        <v>0</v>
      </c>
      <c r="R8">
        <v>0</v>
      </c>
      <c r="S8">
        <v>0</v>
      </c>
      <c r="T8">
        <v>0</v>
      </c>
      <c r="U8">
        <v>0</v>
      </c>
      <c r="V8">
        <v>0</v>
      </c>
      <c r="W8">
        <v>0</v>
      </c>
      <c r="X8">
        <v>0</v>
      </c>
      <c r="Y8">
        <v>0</v>
      </c>
      <c r="Z8">
        <v>0</v>
      </c>
      <c r="AA8">
        <v>0</v>
      </c>
      <c r="AB8">
        <v>0</v>
      </c>
      <c r="AC8">
        <v>0</v>
      </c>
      <c r="AD8">
        <v>0</v>
      </c>
    </row>
    <row r="9" spans="1:34">
      <c r="A9" t="s">
        <v>82</v>
      </c>
      <c r="B9">
        <v>0</v>
      </c>
      <c r="C9">
        <v>0</v>
      </c>
      <c r="D9">
        <v>0</v>
      </c>
      <c r="E9">
        <v>0</v>
      </c>
      <c r="F9">
        <v>0</v>
      </c>
      <c r="G9">
        <v>0</v>
      </c>
      <c r="H9">
        <v>0</v>
      </c>
      <c r="I9">
        <v>0</v>
      </c>
      <c r="J9">
        <v>0</v>
      </c>
      <c r="K9">
        <v>0</v>
      </c>
      <c r="L9">
        <v>0</v>
      </c>
      <c r="M9">
        <v>0</v>
      </c>
      <c r="N9">
        <v>0</v>
      </c>
      <c r="O9">
        <v>0</v>
      </c>
      <c r="P9">
        <v>0</v>
      </c>
      <c r="Q9">
        <v>0</v>
      </c>
      <c r="R9">
        <v>0</v>
      </c>
      <c r="S9">
        <v>0</v>
      </c>
      <c r="T9">
        <v>0</v>
      </c>
      <c r="U9">
        <v>0</v>
      </c>
      <c r="V9">
        <v>0</v>
      </c>
      <c r="W9">
        <v>0</v>
      </c>
      <c r="X9">
        <v>0</v>
      </c>
      <c r="Y9">
        <v>0</v>
      </c>
      <c r="Z9">
        <v>0</v>
      </c>
      <c r="AA9">
        <v>0</v>
      </c>
      <c r="AB9">
        <v>0</v>
      </c>
      <c r="AC9">
        <v>0</v>
      </c>
      <c r="AD9">
        <v>0</v>
      </c>
    </row>
    <row r="10" spans="1:34">
      <c r="A10" t="s">
        <v>83</v>
      </c>
      <c r="B10">
        <v>0</v>
      </c>
      <c r="C10">
        <v>0</v>
      </c>
      <c r="D10">
        <v>0</v>
      </c>
      <c r="E10">
        <v>0</v>
      </c>
      <c r="F10">
        <v>0</v>
      </c>
      <c r="G10">
        <v>0</v>
      </c>
      <c r="H10">
        <v>0</v>
      </c>
      <c r="I10">
        <v>0</v>
      </c>
      <c r="J10">
        <v>0</v>
      </c>
      <c r="K10">
        <v>0</v>
      </c>
      <c r="L10">
        <v>0</v>
      </c>
      <c r="M10">
        <v>0</v>
      </c>
      <c r="N10">
        <v>0</v>
      </c>
      <c r="O10">
        <v>0</v>
      </c>
      <c r="P10">
        <v>0</v>
      </c>
      <c r="Q10">
        <v>0</v>
      </c>
      <c r="R10">
        <v>0</v>
      </c>
      <c r="S10">
        <v>0</v>
      </c>
      <c r="T10">
        <v>0</v>
      </c>
      <c r="U10">
        <v>0</v>
      </c>
      <c r="V10">
        <v>0</v>
      </c>
      <c r="W10">
        <v>0</v>
      </c>
      <c r="X10">
        <v>0</v>
      </c>
      <c r="Y10">
        <v>0</v>
      </c>
      <c r="Z10">
        <v>0</v>
      </c>
      <c r="AA10">
        <v>0</v>
      </c>
      <c r="AB10">
        <v>0</v>
      </c>
      <c r="AC10">
        <v>0</v>
      </c>
      <c r="AD10">
        <v>0</v>
      </c>
    </row>
    <row r="11" spans="1:34">
      <c r="A11" t="s">
        <v>84</v>
      </c>
      <c r="B11">
        <v>0</v>
      </c>
      <c r="C11">
        <v>0</v>
      </c>
      <c r="D11">
        <v>0</v>
      </c>
      <c r="E11">
        <v>0</v>
      </c>
      <c r="F11">
        <v>0</v>
      </c>
      <c r="G11">
        <v>0</v>
      </c>
      <c r="H11">
        <v>0</v>
      </c>
      <c r="I11">
        <v>0</v>
      </c>
      <c r="J11">
        <v>0</v>
      </c>
      <c r="K11">
        <v>0</v>
      </c>
      <c r="L11">
        <v>0</v>
      </c>
      <c r="M11">
        <v>0</v>
      </c>
      <c r="N11">
        <v>0</v>
      </c>
      <c r="O11">
        <v>0</v>
      </c>
      <c r="P11">
        <v>0</v>
      </c>
      <c r="Q11">
        <v>0</v>
      </c>
      <c r="R11">
        <v>0</v>
      </c>
      <c r="S11">
        <v>0</v>
      </c>
      <c r="T11">
        <v>0</v>
      </c>
      <c r="U11">
        <v>0</v>
      </c>
      <c r="V11">
        <v>0</v>
      </c>
      <c r="W11">
        <v>0</v>
      </c>
      <c r="X11">
        <v>0</v>
      </c>
      <c r="Y11">
        <v>0</v>
      </c>
      <c r="Z11">
        <v>0</v>
      </c>
      <c r="AA11">
        <v>0</v>
      </c>
      <c r="AB11">
        <v>0</v>
      </c>
      <c r="AC11">
        <v>0</v>
      </c>
      <c r="AD11">
        <v>0</v>
      </c>
    </row>
  </sheetData>
  <pageMargins left="0.7" right="0.7" top="0.75" bottom="0.75" header="0.3" footer="0.3"/>
</worksheet>
</file>

<file path=xl/worksheets/sheet9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4F00-000000000000}">
  <sheetPr>
    <tabColor theme="3"/>
  </sheetPr>
  <dimension ref="A1:AI11"/>
  <sheetViews>
    <sheetView topLeftCell="C1" workbookViewId="0">
      <selection activeCell="B1" sqref="B1:AE1"/>
    </sheetView>
  </sheetViews>
  <sheetFormatPr defaultRowHeight="14.25"/>
  <cols>
    <col min="1" max="1" width="22.53125" customWidth="1"/>
  </cols>
  <sheetData>
    <row r="1" spans="1:35" ht="28.5">
      <c r="A1" s="10" t="s">
        <v>85</v>
      </c>
      <c r="B1">
        <v>2021</v>
      </c>
      <c r="C1">
        <v>2022</v>
      </c>
      <c r="D1">
        <v>2023</v>
      </c>
      <c r="E1">
        <v>2024</v>
      </c>
      <c r="F1">
        <v>2025</v>
      </c>
      <c r="G1">
        <v>2026</v>
      </c>
      <c r="H1">
        <v>2027</v>
      </c>
      <c r="I1">
        <v>2028</v>
      </c>
      <c r="J1">
        <v>2029</v>
      </c>
      <c r="K1">
        <v>2030</v>
      </c>
      <c r="L1">
        <v>2031</v>
      </c>
      <c r="M1">
        <v>2032</v>
      </c>
      <c r="N1">
        <v>2033</v>
      </c>
      <c r="O1">
        <v>2034</v>
      </c>
      <c r="P1">
        <v>2035</v>
      </c>
      <c r="Q1">
        <v>2036</v>
      </c>
      <c r="R1">
        <v>2037</v>
      </c>
      <c r="S1">
        <v>2038</v>
      </c>
      <c r="T1">
        <v>2039</v>
      </c>
      <c r="U1">
        <v>2040</v>
      </c>
      <c r="V1">
        <v>2041</v>
      </c>
      <c r="W1">
        <v>2042</v>
      </c>
      <c r="X1">
        <v>2043</v>
      </c>
      <c r="Y1">
        <v>2044</v>
      </c>
      <c r="Z1">
        <v>2045</v>
      </c>
      <c r="AA1">
        <v>2046</v>
      </c>
      <c r="AB1">
        <v>2047</v>
      </c>
      <c r="AC1">
        <v>2048</v>
      </c>
      <c r="AD1">
        <v>2049</v>
      </c>
      <c r="AE1">
        <v>2050</v>
      </c>
    </row>
    <row r="2" spans="1:35">
      <c r="A2" t="s">
        <v>15</v>
      </c>
      <c r="B2">
        <v>0</v>
      </c>
      <c r="C2">
        <v>0</v>
      </c>
      <c r="D2">
        <v>0</v>
      </c>
      <c r="E2">
        <v>0</v>
      </c>
      <c r="F2">
        <v>0</v>
      </c>
      <c r="G2">
        <v>0</v>
      </c>
      <c r="H2">
        <v>0</v>
      </c>
      <c r="I2">
        <v>0</v>
      </c>
      <c r="J2">
        <v>0</v>
      </c>
      <c r="K2">
        <v>0</v>
      </c>
      <c r="L2">
        <v>0</v>
      </c>
      <c r="M2">
        <v>0</v>
      </c>
      <c r="N2">
        <v>0</v>
      </c>
      <c r="O2">
        <v>0</v>
      </c>
      <c r="P2">
        <v>0</v>
      </c>
      <c r="Q2">
        <v>0</v>
      </c>
      <c r="R2">
        <v>0</v>
      </c>
      <c r="S2">
        <v>0</v>
      </c>
      <c r="T2">
        <v>0</v>
      </c>
      <c r="U2">
        <v>0</v>
      </c>
      <c r="V2">
        <v>0</v>
      </c>
      <c r="W2">
        <v>0</v>
      </c>
      <c r="X2">
        <v>0</v>
      </c>
      <c r="Y2">
        <v>0</v>
      </c>
      <c r="Z2">
        <v>0</v>
      </c>
      <c r="AA2">
        <v>0</v>
      </c>
      <c r="AB2">
        <v>0</v>
      </c>
      <c r="AC2">
        <v>0</v>
      </c>
      <c r="AD2">
        <v>0</v>
      </c>
      <c r="AE2">
        <v>0</v>
      </c>
    </row>
    <row r="3" spans="1:35">
      <c r="A3" t="s">
        <v>16</v>
      </c>
      <c r="B3">
        <v>0</v>
      </c>
      <c r="C3">
        <v>0</v>
      </c>
      <c r="D3">
        <v>0</v>
      </c>
      <c r="E3">
        <v>0</v>
      </c>
      <c r="F3">
        <v>0</v>
      </c>
      <c r="G3">
        <v>0</v>
      </c>
      <c r="H3">
        <v>0</v>
      </c>
      <c r="I3">
        <v>0</v>
      </c>
      <c r="J3">
        <v>0</v>
      </c>
      <c r="K3">
        <v>0</v>
      </c>
      <c r="L3">
        <v>0</v>
      </c>
      <c r="M3">
        <v>0</v>
      </c>
      <c r="N3">
        <v>0</v>
      </c>
      <c r="O3">
        <v>0</v>
      </c>
      <c r="P3">
        <v>0</v>
      </c>
      <c r="Q3">
        <v>0</v>
      </c>
      <c r="R3">
        <v>0</v>
      </c>
      <c r="S3">
        <v>0</v>
      </c>
      <c r="T3">
        <v>0</v>
      </c>
      <c r="U3">
        <v>0</v>
      </c>
      <c r="V3">
        <v>0</v>
      </c>
      <c r="W3">
        <v>0</v>
      </c>
      <c r="X3">
        <v>0</v>
      </c>
      <c r="Y3">
        <v>0</v>
      </c>
      <c r="Z3">
        <v>0</v>
      </c>
      <c r="AA3">
        <v>0</v>
      </c>
      <c r="AB3">
        <v>0</v>
      </c>
      <c r="AC3">
        <v>0</v>
      </c>
      <c r="AD3">
        <v>0</v>
      </c>
      <c r="AE3">
        <v>0</v>
      </c>
    </row>
    <row r="4" spans="1:35">
      <c r="A4" t="s">
        <v>17</v>
      </c>
      <c r="B4">
        <v>0</v>
      </c>
      <c r="C4">
        <v>0</v>
      </c>
      <c r="D4">
        <v>0</v>
      </c>
      <c r="E4">
        <v>0</v>
      </c>
      <c r="F4">
        <v>0</v>
      </c>
      <c r="G4">
        <v>0</v>
      </c>
      <c r="H4">
        <v>0</v>
      </c>
      <c r="I4">
        <v>0</v>
      </c>
      <c r="J4">
        <v>0</v>
      </c>
      <c r="K4">
        <v>0</v>
      </c>
      <c r="L4">
        <v>0</v>
      </c>
      <c r="M4">
        <v>0</v>
      </c>
      <c r="N4">
        <v>0</v>
      </c>
      <c r="O4">
        <v>0</v>
      </c>
      <c r="P4">
        <v>0</v>
      </c>
      <c r="Q4">
        <v>0</v>
      </c>
      <c r="R4">
        <v>0</v>
      </c>
      <c r="S4">
        <v>0</v>
      </c>
      <c r="T4">
        <v>0</v>
      </c>
      <c r="U4">
        <v>0</v>
      </c>
      <c r="V4">
        <v>0</v>
      </c>
      <c r="W4">
        <v>0</v>
      </c>
      <c r="X4">
        <v>0</v>
      </c>
      <c r="Y4">
        <v>0</v>
      </c>
      <c r="Z4">
        <v>0</v>
      </c>
      <c r="AA4">
        <v>0</v>
      </c>
      <c r="AB4">
        <v>0</v>
      </c>
      <c r="AC4">
        <v>0</v>
      </c>
      <c r="AD4">
        <v>0</v>
      </c>
      <c r="AE4">
        <v>0</v>
      </c>
      <c r="AI4" s="2"/>
    </row>
    <row r="5" spans="1:35">
      <c r="A5" t="s">
        <v>18</v>
      </c>
      <c r="B5">
        <v>0</v>
      </c>
      <c r="C5">
        <v>0</v>
      </c>
      <c r="D5">
        <v>0</v>
      </c>
      <c r="E5">
        <v>0</v>
      </c>
      <c r="F5">
        <v>0</v>
      </c>
      <c r="G5">
        <v>0</v>
      </c>
      <c r="H5">
        <v>0</v>
      </c>
      <c r="I5">
        <v>0</v>
      </c>
      <c r="J5">
        <v>0</v>
      </c>
      <c r="K5">
        <v>0</v>
      </c>
      <c r="L5">
        <v>0</v>
      </c>
      <c r="M5">
        <v>0</v>
      </c>
      <c r="N5">
        <v>0</v>
      </c>
      <c r="O5">
        <v>0</v>
      </c>
      <c r="P5">
        <v>0</v>
      </c>
      <c r="Q5">
        <v>0</v>
      </c>
      <c r="R5">
        <v>0</v>
      </c>
      <c r="S5">
        <v>0</v>
      </c>
      <c r="T5">
        <v>0</v>
      </c>
      <c r="U5">
        <v>0</v>
      </c>
      <c r="V5">
        <v>0</v>
      </c>
      <c r="W5">
        <v>0</v>
      </c>
      <c r="X5">
        <v>0</v>
      </c>
      <c r="Y5">
        <v>0</v>
      </c>
      <c r="Z5">
        <v>0</v>
      </c>
      <c r="AA5">
        <v>0</v>
      </c>
      <c r="AB5">
        <v>0</v>
      </c>
      <c r="AC5">
        <v>0</v>
      </c>
      <c r="AD5">
        <v>0</v>
      </c>
      <c r="AE5">
        <v>0</v>
      </c>
    </row>
    <row r="6" spans="1:35">
      <c r="A6" t="s">
        <v>19</v>
      </c>
      <c r="B6">
        <v>0</v>
      </c>
      <c r="C6">
        <v>0</v>
      </c>
      <c r="D6">
        <v>0</v>
      </c>
      <c r="E6">
        <v>0</v>
      </c>
      <c r="F6">
        <v>0</v>
      </c>
      <c r="G6">
        <v>0</v>
      </c>
      <c r="H6">
        <v>0</v>
      </c>
      <c r="I6">
        <v>0</v>
      </c>
      <c r="J6">
        <v>0</v>
      </c>
      <c r="K6">
        <v>0</v>
      </c>
      <c r="L6">
        <v>0</v>
      </c>
      <c r="M6">
        <v>0</v>
      </c>
      <c r="N6">
        <v>0</v>
      </c>
      <c r="O6">
        <v>0</v>
      </c>
      <c r="P6">
        <v>0</v>
      </c>
      <c r="Q6">
        <v>0</v>
      </c>
      <c r="R6">
        <v>0</v>
      </c>
      <c r="S6">
        <v>0</v>
      </c>
      <c r="T6">
        <v>0</v>
      </c>
      <c r="U6">
        <v>0</v>
      </c>
      <c r="V6">
        <v>0</v>
      </c>
      <c r="W6">
        <v>0</v>
      </c>
      <c r="X6">
        <v>0</v>
      </c>
      <c r="Y6">
        <v>0</v>
      </c>
      <c r="Z6">
        <v>0</v>
      </c>
      <c r="AA6">
        <v>0</v>
      </c>
      <c r="AB6">
        <v>0</v>
      </c>
      <c r="AC6">
        <v>0</v>
      </c>
      <c r="AD6">
        <v>0</v>
      </c>
      <c r="AE6">
        <v>0</v>
      </c>
      <c r="AI6" s="2"/>
    </row>
    <row r="7" spans="1:35">
      <c r="A7" t="s">
        <v>21</v>
      </c>
      <c r="B7">
        <v>0</v>
      </c>
      <c r="C7">
        <v>0</v>
      </c>
      <c r="D7">
        <v>0</v>
      </c>
      <c r="E7">
        <v>0</v>
      </c>
      <c r="F7">
        <v>0</v>
      </c>
      <c r="G7">
        <v>0</v>
      </c>
      <c r="H7">
        <v>0</v>
      </c>
      <c r="I7">
        <v>0</v>
      </c>
      <c r="J7">
        <v>0</v>
      </c>
      <c r="K7">
        <v>0</v>
      </c>
      <c r="L7">
        <v>0</v>
      </c>
      <c r="M7">
        <v>0</v>
      </c>
      <c r="N7">
        <v>0</v>
      </c>
      <c r="O7">
        <v>0</v>
      </c>
      <c r="P7">
        <v>0</v>
      </c>
      <c r="Q7">
        <v>0</v>
      </c>
      <c r="R7">
        <v>0</v>
      </c>
      <c r="S7">
        <v>0</v>
      </c>
      <c r="T7">
        <v>0</v>
      </c>
      <c r="U7">
        <v>0</v>
      </c>
      <c r="V7">
        <v>0</v>
      </c>
      <c r="W7">
        <v>0</v>
      </c>
      <c r="X7">
        <v>0</v>
      </c>
      <c r="Y7">
        <v>0</v>
      </c>
      <c r="Z7">
        <v>0</v>
      </c>
      <c r="AA7">
        <v>0</v>
      </c>
      <c r="AB7">
        <v>0</v>
      </c>
      <c r="AC7">
        <v>0</v>
      </c>
      <c r="AD7">
        <v>0</v>
      </c>
      <c r="AE7">
        <v>0</v>
      </c>
    </row>
    <row r="8" spans="1:35">
      <c r="A8" t="s">
        <v>20</v>
      </c>
      <c r="B8">
        <v>0</v>
      </c>
      <c r="C8">
        <v>0</v>
      </c>
      <c r="D8">
        <v>0</v>
      </c>
      <c r="E8">
        <v>0</v>
      </c>
      <c r="F8">
        <v>0</v>
      </c>
      <c r="G8">
        <v>0</v>
      </c>
      <c r="H8">
        <v>0</v>
      </c>
      <c r="I8">
        <v>0</v>
      </c>
      <c r="J8">
        <v>0</v>
      </c>
      <c r="K8">
        <v>0</v>
      </c>
      <c r="L8">
        <v>0</v>
      </c>
      <c r="M8">
        <v>0</v>
      </c>
      <c r="N8">
        <v>0</v>
      </c>
      <c r="O8">
        <v>0</v>
      </c>
      <c r="P8">
        <v>0</v>
      </c>
      <c r="Q8">
        <v>0</v>
      </c>
      <c r="R8">
        <v>0</v>
      </c>
      <c r="S8">
        <v>0</v>
      </c>
      <c r="T8">
        <v>0</v>
      </c>
      <c r="U8">
        <v>0</v>
      </c>
      <c r="V8">
        <v>0</v>
      </c>
      <c r="W8">
        <v>0</v>
      </c>
      <c r="X8">
        <v>0</v>
      </c>
      <c r="Y8">
        <v>0</v>
      </c>
      <c r="Z8">
        <v>0</v>
      </c>
      <c r="AA8">
        <v>0</v>
      </c>
      <c r="AB8">
        <v>0</v>
      </c>
      <c r="AC8">
        <v>0</v>
      </c>
      <c r="AD8">
        <v>0</v>
      </c>
      <c r="AE8">
        <v>0</v>
      </c>
    </row>
    <row r="9" spans="1:35">
      <c r="A9" t="s">
        <v>82</v>
      </c>
      <c r="B9">
        <v>0</v>
      </c>
      <c r="C9">
        <v>0</v>
      </c>
      <c r="D9">
        <v>0</v>
      </c>
      <c r="E9">
        <v>0</v>
      </c>
      <c r="F9">
        <v>0</v>
      </c>
      <c r="G9">
        <v>0</v>
      </c>
      <c r="H9">
        <v>0</v>
      </c>
      <c r="I9">
        <v>0</v>
      </c>
      <c r="J9">
        <v>0</v>
      </c>
      <c r="K9">
        <v>0</v>
      </c>
      <c r="L9">
        <v>0</v>
      </c>
      <c r="M9">
        <v>0</v>
      </c>
      <c r="N9">
        <v>0</v>
      </c>
      <c r="O9">
        <v>0</v>
      </c>
      <c r="P9">
        <v>0</v>
      </c>
      <c r="Q9">
        <v>0</v>
      </c>
      <c r="R9">
        <v>0</v>
      </c>
      <c r="S9">
        <v>0</v>
      </c>
      <c r="T9">
        <v>0</v>
      </c>
      <c r="U9">
        <v>0</v>
      </c>
      <c r="V9">
        <v>0</v>
      </c>
      <c r="W9">
        <v>0</v>
      </c>
      <c r="X9">
        <v>0</v>
      </c>
      <c r="Y9">
        <v>0</v>
      </c>
      <c r="Z9">
        <v>0</v>
      </c>
      <c r="AA9">
        <v>0</v>
      </c>
      <c r="AB9">
        <v>0</v>
      </c>
      <c r="AC9">
        <v>0</v>
      </c>
      <c r="AD9">
        <v>0</v>
      </c>
      <c r="AE9">
        <v>0</v>
      </c>
    </row>
    <row r="10" spans="1:35">
      <c r="A10" t="s">
        <v>83</v>
      </c>
      <c r="B10">
        <v>1</v>
      </c>
      <c r="C10">
        <v>1</v>
      </c>
      <c r="D10">
        <v>1</v>
      </c>
      <c r="E10">
        <v>1</v>
      </c>
      <c r="F10">
        <v>1</v>
      </c>
      <c r="G10">
        <v>1</v>
      </c>
      <c r="H10">
        <v>1</v>
      </c>
      <c r="I10">
        <v>1</v>
      </c>
      <c r="J10">
        <v>1</v>
      </c>
      <c r="K10">
        <v>1</v>
      </c>
      <c r="L10">
        <v>1</v>
      </c>
      <c r="M10">
        <v>1</v>
      </c>
      <c r="N10">
        <v>1</v>
      </c>
      <c r="O10">
        <v>1</v>
      </c>
      <c r="P10">
        <v>1</v>
      </c>
      <c r="Q10">
        <v>1</v>
      </c>
      <c r="R10">
        <v>1</v>
      </c>
      <c r="S10">
        <v>1</v>
      </c>
      <c r="T10">
        <v>1</v>
      </c>
      <c r="U10">
        <v>1</v>
      </c>
      <c r="V10">
        <v>1</v>
      </c>
      <c r="W10">
        <v>1</v>
      </c>
      <c r="X10">
        <v>1</v>
      </c>
      <c r="Y10">
        <v>1</v>
      </c>
      <c r="Z10">
        <v>1</v>
      </c>
      <c r="AA10">
        <v>1</v>
      </c>
      <c r="AB10">
        <v>1</v>
      </c>
      <c r="AC10">
        <v>1</v>
      </c>
      <c r="AD10">
        <v>1</v>
      </c>
      <c r="AE10">
        <v>1</v>
      </c>
    </row>
    <row r="11" spans="1:35">
      <c r="A11" t="s">
        <v>84</v>
      </c>
      <c r="B11">
        <v>0</v>
      </c>
      <c r="C11">
        <v>0</v>
      </c>
      <c r="D11">
        <v>0</v>
      </c>
      <c r="E11">
        <v>0</v>
      </c>
      <c r="F11">
        <v>0</v>
      </c>
      <c r="G11">
        <v>0</v>
      </c>
      <c r="H11">
        <v>0</v>
      </c>
      <c r="I11">
        <v>0</v>
      </c>
      <c r="J11">
        <v>0</v>
      </c>
      <c r="K11">
        <v>0</v>
      </c>
      <c r="L11">
        <v>0</v>
      </c>
      <c r="M11">
        <v>0</v>
      </c>
      <c r="N11">
        <v>0</v>
      </c>
      <c r="O11">
        <v>0</v>
      </c>
      <c r="P11">
        <v>0</v>
      </c>
      <c r="Q11">
        <v>0</v>
      </c>
      <c r="R11">
        <v>0</v>
      </c>
      <c r="S11">
        <v>0</v>
      </c>
      <c r="T11">
        <v>0</v>
      </c>
      <c r="U11">
        <v>0</v>
      </c>
      <c r="V11">
        <v>0</v>
      </c>
      <c r="W11">
        <v>0</v>
      </c>
      <c r="X11">
        <v>0</v>
      </c>
      <c r="Y11">
        <v>0</v>
      </c>
      <c r="Z11">
        <v>0</v>
      </c>
      <c r="AA11">
        <v>0</v>
      </c>
      <c r="AB11">
        <v>0</v>
      </c>
      <c r="AC11">
        <v>0</v>
      </c>
      <c r="AD11">
        <v>0</v>
      </c>
      <c r="AE11">
        <v>0</v>
      </c>
    </row>
  </sheetData>
  <pageMargins left="0.7" right="0.7" top="0.75" bottom="0.75" header="0.3" footer="0.3"/>
</worksheet>
</file>

<file path=xl/worksheets/sheet9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5000-000000000000}">
  <sheetPr>
    <tabColor theme="3"/>
  </sheetPr>
  <dimension ref="A1:AI11"/>
  <sheetViews>
    <sheetView workbookViewId="0">
      <selection activeCell="B1" sqref="B1:AE1"/>
    </sheetView>
  </sheetViews>
  <sheetFormatPr defaultRowHeight="14.25"/>
  <cols>
    <col min="1" max="1" width="22.53125" customWidth="1"/>
  </cols>
  <sheetData>
    <row r="1" spans="1:35" ht="28.5">
      <c r="A1" s="10" t="s">
        <v>85</v>
      </c>
      <c r="B1">
        <v>2021</v>
      </c>
      <c r="C1">
        <v>2022</v>
      </c>
      <c r="D1">
        <v>2023</v>
      </c>
      <c r="E1">
        <v>2024</v>
      </c>
      <c r="F1">
        <v>2025</v>
      </c>
      <c r="G1">
        <v>2026</v>
      </c>
      <c r="H1">
        <v>2027</v>
      </c>
      <c r="I1">
        <v>2028</v>
      </c>
      <c r="J1">
        <v>2029</v>
      </c>
      <c r="K1">
        <v>2030</v>
      </c>
      <c r="L1">
        <v>2031</v>
      </c>
      <c r="M1">
        <v>2032</v>
      </c>
      <c r="N1">
        <v>2033</v>
      </c>
      <c r="O1">
        <v>2034</v>
      </c>
      <c r="P1">
        <v>2035</v>
      </c>
      <c r="Q1">
        <v>2036</v>
      </c>
      <c r="R1">
        <v>2037</v>
      </c>
      <c r="S1">
        <v>2038</v>
      </c>
      <c r="T1">
        <v>2039</v>
      </c>
      <c r="U1">
        <v>2040</v>
      </c>
      <c r="V1">
        <v>2041</v>
      </c>
      <c r="W1">
        <v>2042</v>
      </c>
      <c r="X1">
        <v>2043</v>
      </c>
      <c r="Y1">
        <v>2044</v>
      </c>
      <c r="Z1">
        <v>2045</v>
      </c>
      <c r="AA1">
        <v>2046</v>
      </c>
      <c r="AB1">
        <v>2047</v>
      </c>
      <c r="AC1">
        <v>2048</v>
      </c>
      <c r="AD1">
        <v>2049</v>
      </c>
      <c r="AE1">
        <v>2050</v>
      </c>
    </row>
    <row r="2" spans="1:35">
      <c r="A2" t="s">
        <v>15</v>
      </c>
      <c r="B2">
        <v>0</v>
      </c>
      <c r="C2">
        <v>0</v>
      </c>
      <c r="D2">
        <v>0</v>
      </c>
      <c r="E2">
        <v>0</v>
      </c>
      <c r="F2">
        <v>0</v>
      </c>
      <c r="G2">
        <v>0</v>
      </c>
      <c r="H2">
        <v>0</v>
      </c>
      <c r="I2">
        <v>0</v>
      </c>
      <c r="J2">
        <v>0</v>
      </c>
      <c r="K2">
        <v>0</v>
      </c>
      <c r="L2">
        <v>0</v>
      </c>
      <c r="M2">
        <v>0</v>
      </c>
      <c r="N2">
        <v>0</v>
      </c>
      <c r="O2">
        <v>0</v>
      </c>
      <c r="P2">
        <v>0</v>
      </c>
      <c r="Q2">
        <v>0</v>
      </c>
      <c r="R2">
        <v>0</v>
      </c>
      <c r="S2">
        <v>0</v>
      </c>
      <c r="T2">
        <v>0</v>
      </c>
      <c r="U2">
        <v>0</v>
      </c>
      <c r="V2">
        <v>0</v>
      </c>
      <c r="W2">
        <v>0</v>
      </c>
      <c r="X2">
        <v>0</v>
      </c>
      <c r="Y2">
        <v>0</v>
      </c>
      <c r="Z2">
        <v>0</v>
      </c>
      <c r="AA2">
        <v>0</v>
      </c>
      <c r="AB2">
        <v>0</v>
      </c>
      <c r="AC2">
        <v>0</v>
      </c>
      <c r="AD2">
        <v>0</v>
      </c>
      <c r="AE2">
        <v>0</v>
      </c>
    </row>
    <row r="3" spans="1:35">
      <c r="A3" t="s">
        <v>16</v>
      </c>
      <c r="B3">
        <v>0</v>
      </c>
      <c r="C3">
        <v>0</v>
      </c>
      <c r="D3">
        <v>0</v>
      </c>
      <c r="E3">
        <v>0</v>
      </c>
      <c r="F3">
        <v>0</v>
      </c>
      <c r="G3">
        <v>0</v>
      </c>
      <c r="H3">
        <v>0</v>
      </c>
      <c r="I3">
        <v>0</v>
      </c>
      <c r="J3">
        <v>0</v>
      </c>
      <c r="K3">
        <v>0</v>
      </c>
      <c r="L3">
        <v>0</v>
      </c>
      <c r="M3">
        <v>0</v>
      </c>
      <c r="N3">
        <v>0</v>
      </c>
      <c r="O3">
        <v>0</v>
      </c>
      <c r="P3">
        <v>0</v>
      </c>
      <c r="Q3">
        <v>0</v>
      </c>
      <c r="R3">
        <v>0</v>
      </c>
      <c r="S3">
        <v>0</v>
      </c>
      <c r="T3">
        <v>0</v>
      </c>
      <c r="U3">
        <v>0</v>
      </c>
      <c r="V3">
        <v>0</v>
      </c>
      <c r="W3">
        <v>0</v>
      </c>
      <c r="X3">
        <v>0</v>
      </c>
      <c r="Y3">
        <v>0</v>
      </c>
      <c r="Z3">
        <v>0</v>
      </c>
      <c r="AA3">
        <v>0</v>
      </c>
      <c r="AB3">
        <v>0</v>
      </c>
      <c r="AC3">
        <v>0</v>
      </c>
      <c r="AD3">
        <v>0</v>
      </c>
      <c r="AE3">
        <v>0</v>
      </c>
    </row>
    <row r="4" spans="1:35">
      <c r="A4" t="s">
        <v>17</v>
      </c>
      <c r="B4">
        <v>0</v>
      </c>
      <c r="C4">
        <v>0</v>
      </c>
      <c r="D4">
        <v>0</v>
      </c>
      <c r="E4">
        <v>0</v>
      </c>
      <c r="F4">
        <v>0</v>
      </c>
      <c r="G4">
        <v>0</v>
      </c>
      <c r="H4">
        <v>0</v>
      </c>
      <c r="I4">
        <v>0</v>
      </c>
      <c r="J4">
        <v>0</v>
      </c>
      <c r="K4">
        <v>0</v>
      </c>
      <c r="L4">
        <v>0</v>
      </c>
      <c r="M4">
        <v>0</v>
      </c>
      <c r="N4">
        <v>0</v>
      </c>
      <c r="O4">
        <v>0</v>
      </c>
      <c r="P4">
        <v>0</v>
      </c>
      <c r="Q4">
        <v>0</v>
      </c>
      <c r="R4">
        <v>0</v>
      </c>
      <c r="S4">
        <v>0</v>
      </c>
      <c r="T4">
        <v>0</v>
      </c>
      <c r="U4">
        <v>0</v>
      </c>
      <c r="V4">
        <v>0</v>
      </c>
      <c r="W4">
        <v>0</v>
      </c>
      <c r="X4">
        <v>0</v>
      </c>
      <c r="Y4">
        <v>0</v>
      </c>
      <c r="Z4">
        <v>0</v>
      </c>
      <c r="AA4">
        <v>0</v>
      </c>
      <c r="AB4">
        <v>0</v>
      </c>
      <c r="AC4">
        <v>0</v>
      </c>
      <c r="AD4">
        <v>0</v>
      </c>
      <c r="AE4">
        <v>0</v>
      </c>
      <c r="AI4" s="2"/>
    </row>
    <row r="5" spans="1:35">
      <c r="A5" t="s">
        <v>18</v>
      </c>
      <c r="B5">
        <v>0</v>
      </c>
      <c r="C5">
        <v>0</v>
      </c>
      <c r="D5">
        <v>0</v>
      </c>
      <c r="E5">
        <v>0</v>
      </c>
      <c r="F5">
        <v>0</v>
      </c>
      <c r="G5">
        <v>0</v>
      </c>
      <c r="H5">
        <v>0</v>
      </c>
      <c r="I5">
        <v>0</v>
      </c>
      <c r="J5">
        <v>0</v>
      </c>
      <c r="K5">
        <v>0</v>
      </c>
      <c r="L5">
        <v>0</v>
      </c>
      <c r="M5">
        <v>0</v>
      </c>
      <c r="N5">
        <v>0</v>
      </c>
      <c r="O5">
        <v>0</v>
      </c>
      <c r="P5">
        <v>0</v>
      </c>
      <c r="Q5">
        <v>0</v>
      </c>
      <c r="R5">
        <v>0</v>
      </c>
      <c r="S5">
        <v>0</v>
      </c>
      <c r="T5">
        <v>0</v>
      </c>
      <c r="U5">
        <v>0</v>
      </c>
      <c r="V5">
        <v>0</v>
      </c>
      <c r="W5">
        <v>0</v>
      </c>
      <c r="X5">
        <v>0</v>
      </c>
      <c r="Y5">
        <v>0</v>
      </c>
      <c r="Z5">
        <v>0</v>
      </c>
      <c r="AA5">
        <v>0</v>
      </c>
      <c r="AB5">
        <v>0</v>
      </c>
      <c r="AC5">
        <v>0</v>
      </c>
      <c r="AD5">
        <v>0</v>
      </c>
      <c r="AE5">
        <v>0</v>
      </c>
    </row>
    <row r="6" spans="1:35">
      <c r="A6" t="s">
        <v>19</v>
      </c>
      <c r="B6">
        <v>0</v>
      </c>
      <c r="C6">
        <v>0</v>
      </c>
      <c r="D6">
        <v>0</v>
      </c>
      <c r="E6">
        <v>0</v>
      </c>
      <c r="F6">
        <v>0</v>
      </c>
      <c r="G6">
        <v>0</v>
      </c>
      <c r="H6">
        <v>0</v>
      </c>
      <c r="I6">
        <v>0</v>
      </c>
      <c r="J6">
        <v>0</v>
      </c>
      <c r="K6">
        <v>0</v>
      </c>
      <c r="L6">
        <v>0</v>
      </c>
      <c r="M6">
        <v>0</v>
      </c>
      <c r="N6">
        <v>0</v>
      </c>
      <c r="O6">
        <v>0</v>
      </c>
      <c r="P6">
        <v>0</v>
      </c>
      <c r="Q6">
        <v>0</v>
      </c>
      <c r="R6">
        <v>0</v>
      </c>
      <c r="S6">
        <v>0</v>
      </c>
      <c r="T6">
        <v>0</v>
      </c>
      <c r="U6">
        <v>0</v>
      </c>
      <c r="V6">
        <v>0</v>
      </c>
      <c r="W6">
        <v>0</v>
      </c>
      <c r="X6">
        <v>0</v>
      </c>
      <c r="Y6">
        <v>0</v>
      </c>
      <c r="Z6">
        <v>0</v>
      </c>
      <c r="AA6">
        <v>0</v>
      </c>
      <c r="AB6">
        <v>0</v>
      </c>
      <c r="AC6">
        <v>0</v>
      </c>
      <c r="AD6">
        <v>0</v>
      </c>
      <c r="AE6">
        <v>0</v>
      </c>
      <c r="AI6" s="2"/>
    </row>
    <row r="7" spans="1:35">
      <c r="A7" t="s">
        <v>21</v>
      </c>
      <c r="B7">
        <v>0</v>
      </c>
      <c r="C7">
        <v>0</v>
      </c>
      <c r="D7">
        <v>0</v>
      </c>
      <c r="E7">
        <v>0</v>
      </c>
      <c r="F7">
        <v>0</v>
      </c>
      <c r="G7">
        <v>0</v>
      </c>
      <c r="H7">
        <v>0</v>
      </c>
      <c r="I7">
        <v>0</v>
      </c>
      <c r="J7">
        <v>0</v>
      </c>
      <c r="K7">
        <v>0</v>
      </c>
      <c r="L7">
        <v>0</v>
      </c>
      <c r="M7">
        <v>0</v>
      </c>
      <c r="N7">
        <v>0</v>
      </c>
      <c r="O7">
        <v>0</v>
      </c>
      <c r="P7">
        <v>0</v>
      </c>
      <c r="Q7">
        <v>0</v>
      </c>
      <c r="R7">
        <v>0</v>
      </c>
      <c r="S7">
        <v>0</v>
      </c>
      <c r="T7">
        <v>0</v>
      </c>
      <c r="U7">
        <v>0</v>
      </c>
      <c r="V7">
        <v>0</v>
      </c>
      <c r="W7">
        <v>0</v>
      </c>
      <c r="X7">
        <v>0</v>
      </c>
      <c r="Y7">
        <v>0</v>
      </c>
      <c r="Z7">
        <v>0</v>
      </c>
      <c r="AA7">
        <v>0</v>
      </c>
      <c r="AB7">
        <v>0</v>
      </c>
      <c r="AC7">
        <v>0</v>
      </c>
      <c r="AD7">
        <v>0</v>
      </c>
      <c r="AE7">
        <v>0</v>
      </c>
    </row>
    <row r="8" spans="1:35">
      <c r="A8" t="s">
        <v>20</v>
      </c>
      <c r="B8">
        <v>0</v>
      </c>
      <c r="C8">
        <v>0</v>
      </c>
      <c r="D8">
        <v>0</v>
      </c>
      <c r="E8">
        <v>0</v>
      </c>
      <c r="F8">
        <v>0</v>
      </c>
      <c r="G8">
        <v>0</v>
      </c>
      <c r="H8">
        <v>0</v>
      </c>
      <c r="I8">
        <v>0</v>
      </c>
      <c r="J8">
        <v>0</v>
      </c>
      <c r="K8">
        <v>0</v>
      </c>
      <c r="L8">
        <v>0</v>
      </c>
      <c r="M8">
        <v>0</v>
      </c>
      <c r="N8">
        <v>0</v>
      </c>
      <c r="O8">
        <v>0</v>
      </c>
      <c r="P8">
        <v>0</v>
      </c>
      <c r="Q8">
        <v>0</v>
      </c>
      <c r="R8">
        <v>0</v>
      </c>
      <c r="S8">
        <v>0</v>
      </c>
      <c r="T8">
        <v>0</v>
      </c>
      <c r="U8">
        <v>0</v>
      </c>
      <c r="V8">
        <v>0</v>
      </c>
      <c r="W8">
        <v>0</v>
      </c>
      <c r="X8">
        <v>0</v>
      </c>
      <c r="Y8">
        <v>0</v>
      </c>
      <c r="Z8">
        <v>0</v>
      </c>
      <c r="AA8">
        <v>0</v>
      </c>
      <c r="AB8">
        <v>0</v>
      </c>
      <c r="AC8">
        <v>0</v>
      </c>
      <c r="AD8">
        <v>0</v>
      </c>
      <c r="AE8">
        <v>0</v>
      </c>
    </row>
    <row r="9" spans="1:35">
      <c r="A9" t="s">
        <v>82</v>
      </c>
      <c r="B9">
        <v>0</v>
      </c>
      <c r="C9">
        <v>0</v>
      </c>
      <c r="D9">
        <v>0</v>
      </c>
      <c r="E9">
        <v>0</v>
      </c>
      <c r="F9">
        <v>0</v>
      </c>
      <c r="G9">
        <v>0</v>
      </c>
      <c r="H9">
        <v>0</v>
      </c>
      <c r="I9">
        <v>0</v>
      </c>
      <c r="J9">
        <v>0</v>
      </c>
      <c r="K9">
        <v>0</v>
      </c>
      <c r="L9">
        <v>0</v>
      </c>
      <c r="M9">
        <v>0</v>
      </c>
      <c r="N9">
        <v>0</v>
      </c>
      <c r="O9">
        <v>0</v>
      </c>
      <c r="P9">
        <v>0</v>
      </c>
      <c r="Q9">
        <v>0</v>
      </c>
      <c r="R9">
        <v>0</v>
      </c>
      <c r="S9">
        <v>0</v>
      </c>
      <c r="T9">
        <v>0</v>
      </c>
      <c r="U9">
        <v>0</v>
      </c>
      <c r="V9">
        <v>0</v>
      </c>
      <c r="W9">
        <v>0</v>
      </c>
      <c r="X9">
        <v>0</v>
      </c>
      <c r="Y9">
        <v>0</v>
      </c>
      <c r="Z9">
        <v>0</v>
      </c>
      <c r="AA9">
        <v>0</v>
      </c>
      <c r="AB9">
        <v>0</v>
      </c>
      <c r="AC9">
        <v>0</v>
      </c>
      <c r="AD9">
        <v>0</v>
      </c>
      <c r="AE9">
        <v>0</v>
      </c>
    </row>
    <row r="10" spans="1:35">
      <c r="A10" t="s">
        <v>83</v>
      </c>
      <c r="B10">
        <v>0</v>
      </c>
      <c r="C10">
        <v>0</v>
      </c>
      <c r="D10">
        <v>0</v>
      </c>
      <c r="E10">
        <v>0</v>
      </c>
      <c r="F10">
        <v>0</v>
      </c>
      <c r="G10">
        <v>0</v>
      </c>
      <c r="H10">
        <v>0</v>
      </c>
      <c r="I10">
        <v>0</v>
      </c>
      <c r="J10">
        <v>0</v>
      </c>
      <c r="K10">
        <v>0</v>
      </c>
      <c r="L10">
        <v>0</v>
      </c>
      <c r="M10">
        <v>0</v>
      </c>
      <c r="N10">
        <v>0</v>
      </c>
      <c r="O10">
        <v>0</v>
      </c>
      <c r="P10">
        <v>0</v>
      </c>
      <c r="Q10">
        <v>0</v>
      </c>
      <c r="R10">
        <v>0</v>
      </c>
      <c r="S10">
        <v>0</v>
      </c>
      <c r="T10">
        <v>0</v>
      </c>
      <c r="U10">
        <v>0</v>
      </c>
      <c r="V10">
        <v>0</v>
      </c>
      <c r="W10">
        <v>0</v>
      </c>
      <c r="X10">
        <v>0</v>
      </c>
      <c r="Y10">
        <v>0</v>
      </c>
      <c r="Z10">
        <v>0</v>
      </c>
      <c r="AA10">
        <v>0</v>
      </c>
      <c r="AB10">
        <v>0</v>
      </c>
      <c r="AC10">
        <v>0</v>
      </c>
      <c r="AD10">
        <v>0</v>
      </c>
      <c r="AE10">
        <v>0</v>
      </c>
    </row>
    <row r="11" spans="1:35">
      <c r="A11" t="s">
        <v>84</v>
      </c>
      <c r="B11">
        <v>1</v>
      </c>
      <c r="C11">
        <v>1</v>
      </c>
      <c r="D11">
        <v>1</v>
      </c>
      <c r="E11">
        <v>1</v>
      </c>
      <c r="F11">
        <v>1</v>
      </c>
      <c r="G11">
        <v>1</v>
      </c>
      <c r="H11">
        <v>1</v>
      </c>
      <c r="I11">
        <v>1</v>
      </c>
      <c r="J11">
        <v>1</v>
      </c>
      <c r="K11">
        <v>1</v>
      </c>
      <c r="L11">
        <v>1</v>
      </c>
      <c r="M11">
        <v>1</v>
      </c>
      <c r="N11">
        <v>1</v>
      </c>
      <c r="O11">
        <v>1</v>
      </c>
      <c r="P11">
        <v>1</v>
      </c>
      <c r="Q11">
        <v>1</v>
      </c>
      <c r="R11">
        <v>1</v>
      </c>
      <c r="S11">
        <v>1</v>
      </c>
      <c r="T11">
        <v>1</v>
      </c>
      <c r="U11">
        <v>1</v>
      </c>
      <c r="V11">
        <v>1</v>
      </c>
      <c r="W11">
        <v>1</v>
      </c>
      <c r="X11">
        <v>1</v>
      </c>
      <c r="Y11">
        <v>1</v>
      </c>
      <c r="Z11">
        <v>1</v>
      </c>
      <c r="AA11">
        <v>1</v>
      </c>
      <c r="AB11">
        <v>1</v>
      </c>
      <c r="AC11">
        <v>1</v>
      </c>
      <c r="AD11">
        <v>1</v>
      </c>
      <c r="AE11">
        <v>1</v>
      </c>
    </row>
  </sheetData>
  <pageMargins left="0.7" right="0.7" top="0.75" bottom="0.75" header="0.3" footer="0.3"/>
</worksheet>
</file>

<file path=xl/worksheets/sheet9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5100-000000000000}">
  <sheetPr>
    <tabColor rgb="FFFF0000"/>
  </sheetPr>
  <dimension ref="A1"/>
  <sheetViews>
    <sheetView workbookViewId="0"/>
  </sheetViews>
  <sheetFormatPr defaultRowHeight="14.25"/>
  <sheetData/>
  <pageMargins left="0.7" right="0.7" top="0.75" bottom="0.75" header="0.3" footer="0.3"/>
</worksheet>
</file>

<file path=xl/worksheets/sheet9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5200-000000000000}">
  <sheetPr>
    <tabColor theme="3"/>
  </sheetPr>
  <dimension ref="A1:AE11"/>
  <sheetViews>
    <sheetView workbookViewId="0"/>
  </sheetViews>
  <sheetFormatPr defaultRowHeight="14.25"/>
  <cols>
    <col min="1" max="1" width="22.53125" customWidth="1"/>
  </cols>
  <sheetData>
    <row r="1" spans="1:31" ht="28.5">
      <c r="A1" s="10" t="s">
        <v>85</v>
      </c>
      <c r="B1">
        <v>2021</v>
      </c>
      <c r="C1">
        <v>2022</v>
      </c>
      <c r="D1">
        <v>2023</v>
      </c>
      <c r="E1">
        <v>2024</v>
      </c>
      <c r="F1">
        <v>2025</v>
      </c>
      <c r="G1">
        <v>2026</v>
      </c>
      <c r="H1">
        <v>2027</v>
      </c>
      <c r="I1">
        <v>2028</v>
      </c>
      <c r="J1">
        <v>2029</v>
      </c>
      <c r="K1">
        <v>2030</v>
      </c>
      <c r="L1">
        <v>2031</v>
      </c>
      <c r="M1">
        <v>2032</v>
      </c>
      <c r="N1">
        <v>2033</v>
      </c>
      <c r="O1">
        <v>2034</v>
      </c>
      <c r="P1">
        <v>2035</v>
      </c>
      <c r="Q1">
        <v>2036</v>
      </c>
      <c r="R1">
        <v>2037</v>
      </c>
      <c r="S1">
        <v>2038</v>
      </c>
      <c r="T1">
        <v>2039</v>
      </c>
      <c r="U1">
        <v>2040</v>
      </c>
      <c r="V1">
        <v>2041</v>
      </c>
      <c r="W1">
        <v>2042</v>
      </c>
      <c r="X1">
        <v>2043</v>
      </c>
      <c r="Y1">
        <v>2044</v>
      </c>
      <c r="Z1">
        <v>2045</v>
      </c>
      <c r="AA1">
        <v>2046</v>
      </c>
      <c r="AB1">
        <v>2047</v>
      </c>
      <c r="AC1">
        <v>2048</v>
      </c>
      <c r="AD1">
        <v>2049</v>
      </c>
      <c r="AE1">
        <v>2050</v>
      </c>
    </row>
    <row r="2" spans="1:31">
      <c r="A2" t="s">
        <v>15</v>
      </c>
      <c r="B2">
        <v>1</v>
      </c>
      <c r="C2">
        <v>1</v>
      </c>
      <c r="D2">
        <v>1</v>
      </c>
      <c r="E2">
        <v>1</v>
      </c>
      <c r="F2">
        <v>1</v>
      </c>
      <c r="G2">
        <v>1</v>
      </c>
      <c r="H2">
        <v>1</v>
      </c>
      <c r="I2">
        <v>1</v>
      </c>
      <c r="J2">
        <v>1</v>
      </c>
      <c r="K2">
        <v>1</v>
      </c>
      <c r="L2">
        <v>1</v>
      </c>
      <c r="M2">
        <v>1</v>
      </c>
      <c r="N2">
        <v>1</v>
      </c>
      <c r="O2">
        <v>1</v>
      </c>
      <c r="P2">
        <v>1</v>
      </c>
      <c r="Q2">
        <v>1</v>
      </c>
      <c r="R2">
        <v>1</v>
      </c>
      <c r="S2">
        <v>1</v>
      </c>
      <c r="T2">
        <v>1</v>
      </c>
      <c r="U2">
        <v>1</v>
      </c>
      <c r="V2">
        <v>1</v>
      </c>
      <c r="W2">
        <v>1</v>
      </c>
      <c r="X2">
        <v>1</v>
      </c>
      <c r="Y2">
        <v>1</v>
      </c>
      <c r="Z2">
        <v>1</v>
      </c>
      <c r="AA2">
        <v>1</v>
      </c>
      <c r="AB2">
        <v>1</v>
      </c>
      <c r="AC2">
        <v>1</v>
      </c>
      <c r="AD2">
        <v>1</v>
      </c>
      <c r="AE2">
        <v>1</v>
      </c>
    </row>
    <row r="3" spans="1:31">
      <c r="A3" t="s">
        <v>16</v>
      </c>
      <c r="B3">
        <v>0</v>
      </c>
      <c r="C3">
        <v>0</v>
      </c>
      <c r="D3">
        <v>0</v>
      </c>
      <c r="E3">
        <v>0</v>
      </c>
      <c r="F3">
        <v>0</v>
      </c>
      <c r="G3">
        <v>0</v>
      </c>
      <c r="H3">
        <v>0</v>
      </c>
      <c r="I3">
        <v>0</v>
      </c>
      <c r="J3">
        <v>0</v>
      </c>
      <c r="K3">
        <v>0</v>
      </c>
      <c r="L3">
        <v>0</v>
      </c>
      <c r="M3">
        <v>0</v>
      </c>
      <c r="N3">
        <v>0</v>
      </c>
      <c r="O3">
        <v>0</v>
      </c>
      <c r="P3">
        <v>0</v>
      </c>
      <c r="Q3">
        <v>0</v>
      </c>
      <c r="R3">
        <v>0</v>
      </c>
      <c r="S3">
        <v>0</v>
      </c>
      <c r="T3">
        <v>0</v>
      </c>
      <c r="U3">
        <v>0</v>
      </c>
      <c r="V3">
        <v>0</v>
      </c>
      <c r="W3">
        <v>0</v>
      </c>
      <c r="X3">
        <v>0</v>
      </c>
      <c r="Y3">
        <v>0</v>
      </c>
      <c r="Z3">
        <v>0</v>
      </c>
      <c r="AA3">
        <v>0</v>
      </c>
      <c r="AB3">
        <v>0</v>
      </c>
      <c r="AC3">
        <v>0</v>
      </c>
      <c r="AD3">
        <v>0</v>
      </c>
      <c r="AE3">
        <v>0</v>
      </c>
    </row>
    <row r="4" spans="1:31">
      <c r="A4" t="s">
        <v>17</v>
      </c>
      <c r="B4">
        <v>0</v>
      </c>
      <c r="C4">
        <v>0</v>
      </c>
      <c r="D4">
        <v>0</v>
      </c>
      <c r="E4">
        <v>0</v>
      </c>
      <c r="F4">
        <v>0</v>
      </c>
      <c r="G4">
        <v>0</v>
      </c>
      <c r="H4">
        <v>0</v>
      </c>
      <c r="I4">
        <v>0</v>
      </c>
      <c r="J4">
        <v>0</v>
      </c>
      <c r="K4">
        <v>0</v>
      </c>
      <c r="L4">
        <v>0</v>
      </c>
      <c r="M4">
        <v>0</v>
      </c>
      <c r="N4">
        <v>0</v>
      </c>
      <c r="O4">
        <v>0</v>
      </c>
      <c r="P4">
        <v>0</v>
      </c>
      <c r="Q4">
        <v>0</v>
      </c>
      <c r="R4">
        <v>0</v>
      </c>
      <c r="S4">
        <v>0</v>
      </c>
      <c r="T4">
        <v>0</v>
      </c>
      <c r="U4">
        <v>0</v>
      </c>
      <c r="V4">
        <v>0</v>
      </c>
      <c r="W4">
        <v>0</v>
      </c>
      <c r="X4">
        <v>0</v>
      </c>
      <c r="Y4">
        <v>0</v>
      </c>
      <c r="Z4">
        <v>0</v>
      </c>
      <c r="AA4">
        <v>0</v>
      </c>
      <c r="AB4">
        <v>0</v>
      </c>
      <c r="AC4">
        <v>0</v>
      </c>
      <c r="AD4">
        <v>0</v>
      </c>
      <c r="AE4">
        <v>0</v>
      </c>
    </row>
    <row r="5" spans="1:31">
      <c r="A5" t="s">
        <v>18</v>
      </c>
      <c r="B5">
        <v>0</v>
      </c>
      <c r="C5">
        <v>0</v>
      </c>
      <c r="D5">
        <v>0</v>
      </c>
      <c r="E5">
        <v>0</v>
      </c>
      <c r="F5">
        <v>0</v>
      </c>
      <c r="G5">
        <v>0</v>
      </c>
      <c r="H5">
        <v>0</v>
      </c>
      <c r="I5">
        <v>0</v>
      </c>
      <c r="J5">
        <v>0</v>
      </c>
      <c r="K5">
        <v>0</v>
      </c>
      <c r="L5">
        <v>0</v>
      </c>
      <c r="M5">
        <v>0</v>
      </c>
      <c r="N5">
        <v>0</v>
      </c>
      <c r="O5">
        <v>0</v>
      </c>
      <c r="P5">
        <v>0</v>
      </c>
      <c r="Q5">
        <v>0</v>
      </c>
      <c r="R5">
        <v>0</v>
      </c>
      <c r="S5">
        <v>0</v>
      </c>
      <c r="T5">
        <v>0</v>
      </c>
      <c r="U5">
        <v>0</v>
      </c>
      <c r="V5">
        <v>0</v>
      </c>
      <c r="W5">
        <v>0</v>
      </c>
      <c r="X5">
        <v>0</v>
      </c>
      <c r="Y5">
        <v>0</v>
      </c>
      <c r="Z5">
        <v>0</v>
      </c>
      <c r="AA5">
        <v>0</v>
      </c>
      <c r="AB5">
        <v>0</v>
      </c>
      <c r="AC5">
        <v>0</v>
      </c>
      <c r="AD5">
        <v>0</v>
      </c>
      <c r="AE5">
        <v>0</v>
      </c>
    </row>
    <row r="6" spans="1:31">
      <c r="A6" t="s">
        <v>19</v>
      </c>
      <c r="B6">
        <v>0</v>
      </c>
      <c r="C6">
        <v>0</v>
      </c>
      <c r="D6">
        <v>0</v>
      </c>
      <c r="E6">
        <v>0</v>
      </c>
      <c r="F6">
        <v>0</v>
      </c>
      <c r="G6">
        <v>0</v>
      </c>
      <c r="H6">
        <v>0</v>
      </c>
      <c r="I6">
        <v>0</v>
      </c>
      <c r="J6">
        <v>0</v>
      </c>
      <c r="K6">
        <v>0</v>
      </c>
      <c r="L6">
        <v>0</v>
      </c>
      <c r="M6">
        <v>0</v>
      </c>
      <c r="N6">
        <v>0</v>
      </c>
      <c r="O6">
        <v>0</v>
      </c>
      <c r="P6">
        <v>0</v>
      </c>
      <c r="Q6">
        <v>0</v>
      </c>
      <c r="R6">
        <v>0</v>
      </c>
      <c r="S6">
        <v>0</v>
      </c>
      <c r="T6">
        <v>0</v>
      </c>
      <c r="U6">
        <v>0</v>
      </c>
      <c r="V6">
        <v>0</v>
      </c>
      <c r="W6">
        <v>0</v>
      </c>
      <c r="X6">
        <v>0</v>
      </c>
      <c r="Y6">
        <v>0</v>
      </c>
      <c r="Z6">
        <v>0</v>
      </c>
      <c r="AA6">
        <v>0</v>
      </c>
      <c r="AB6">
        <v>0</v>
      </c>
      <c r="AC6">
        <v>0</v>
      </c>
      <c r="AD6">
        <v>0</v>
      </c>
      <c r="AE6">
        <v>0</v>
      </c>
    </row>
    <row r="7" spans="1:31">
      <c r="A7" t="s">
        <v>21</v>
      </c>
      <c r="B7">
        <v>0</v>
      </c>
      <c r="C7">
        <v>0</v>
      </c>
      <c r="D7">
        <v>0</v>
      </c>
      <c r="E7">
        <v>0</v>
      </c>
      <c r="F7">
        <v>0</v>
      </c>
      <c r="G7">
        <v>0</v>
      </c>
      <c r="H7">
        <v>0</v>
      </c>
      <c r="I7">
        <v>0</v>
      </c>
      <c r="J7">
        <v>0</v>
      </c>
      <c r="K7">
        <v>0</v>
      </c>
      <c r="L7">
        <v>0</v>
      </c>
      <c r="M7">
        <v>0</v>
      </c>
      <c r="N7">
        <v>0</v>
      </c>
      <c r="O7">
        <v>0</v>
      </c>
      <c r="P7">
        <v>0</v>
      </c>
      <c r="Q7">
        <v>0</v>
      </c>
      <c r="R7">
        <v>0</v>
      </c>
      <c r="S7">
        <v>0</v>
      </c>
      <c r="T7">
        <v>0</v>
      </c>
      <c r="U7">
        <v>0</v>
      </c>
      <c r="V7">
        <v>0</v>
      </c>
      <c r="W7">
        <v>0</v>
      </c>
      <c r="X7">
        <v>0</v>
      </c>
      <c r="Y7">
        <v>0</v>
      </c>
      <c r="Z7">
        <v>0</v>
      </c>
      <c r="AA7">
        <v>0</v>
      </c>
      <c r="AB7">
        <v>0</v>
      </c>
      <c r="AC7">
        <v>0</v>
      </c>
      <c r="AD7">
        <v>0</v>
      </c>
      <c r="AE7">
        <v>0</v>
      </c>
    </row>
    <row r="8" spans="1:31">
      <c r="A8" t="s">
        <v>20</v>
      </c>
      <c r="B8">
        <v>0</v>
      </c>
      <c r="C8">
        <v>0</v>
      </c>
      <c r="D8">
        <v>0</v>
      </c>
      <c r="E8">
        <v>0</v>
      </c>
      <c r="F8">
        <v>0</v>
      </c>
      <c r="G8">
        <v>0</v>
      </c>
      <c r="H8">
        <v>0</v>
      </c>
      <c r="I8">
        <v>0</v>
      </c>
      <c r="J8">
        <v>0</v>
      </c>
      <c r="K8">
        <v>0</v>
      </c>
      <c r="L8">
        <v>0</v>
      </c>
      <c r="M8">
        <v>0</v>
      </c>
      <c r="N8">
        <v>0</v>
      </c>
      <c r="O8">
        <v>0</v>
      </c>
      <c r="P8">
        <v>0</v>
      </c>
      <c r="Q8">
        <v>0</v>
      </c>
      <c r="R8">
        <v>0</v>
      </c>
      <c r="S8">
        <v>0</v>
      </c>
      <c r="T8">
        <v>0</v>
      </c>
      <c r="U8">
        <v>0</v>
      </c>
      <c r="V8">
        <v>0</v>
      </c>
      <c r="W8">
        <v>0</v>
      </c>
      <c r="X8">
        <v>0</v>
      </c>
      <c r="Y8">
        <v>0</v>
      </c>
      <c r="Z8">
        <v>0</v>
      </c>
      <c r="AA8">
        <v>0</v>
      </c>
      <c r="AB8">
        <v>0</v>
      </c>
      <c r="AC8">
        <v>0</v>
      </c>
      <c r="AD8">
        <v>0</v>
      </c>
      <c r="AE8">
        <v>0</v>
      </c>
    </row>
    <row r="9" spans="1:31">
      <c r="A9" t="s">
        <v>82</v>
      </c>
      <c r="B9">
        <v>0</v>
      </c>
      <c r="C9">
        <v>0</v>
      </c>
      <c r="D9">
        <v>0</v>
      </c>
      <c r="E9">
        <v>0</v>
      </c>
      <c r="F9">
        <v>0</v>
      </c>
      <c r="G9">
        <v>0</v>
      </c>
      <c r="H9">
        <v>0</v>
      </c>
      <c r="I9">
        <v>0</v>
      </c>
      <c r="J9">
        <v>0</v>
      </c>
      <c r="K9">
        <v>0</v>
      </c>
      <c r="L9">
        <v>0</v>
      </c>
      <c r="M9">
        <v>0</v>
      </c>
      <c r="N9">
        <v>0</v>
      </c>
      <c r="O9">
        <v>0</v>
      </c>
      <c r="P9">
        <v>0</v>
      </c>
      <c r="Q9">
        <v>0</v>
      </c>
      <c r="R9">
        <v>0</v>
      </c>
      <c r="S9">
        <v>0</v>
      </c>
      <c r="T9">
        <v>0</v>
      </c>
      <c r="U9">
        <v>0</v>
      </c>
      <c r="V9">
        <v>0</v>
      </c>
      <c r="W9">
        <v>0</v>
      </c>
      <c r="X9">
        <v>0</v>
      </c>
      <c r="Y9">
        <v>0</v>
      </c>
      <c r="Z9">
        <v>0</v>
      </c>
      <c r="AA9">
        <v>0</v>
      </c>
      <c r="AB9">
        <v>0</v>
      </c>
      <c r="AC9">
        <v>0</v>
      </c>
      <c r="AD9">
        <v>0</v>
      </c>
      <c r="AE9">
        <v>0</v>
      </c>
    </row>
    <row r="10" spans="1:31">
      <c r="A10" t="s">
        <v>83</v>
      </c>
      <c r="B10">
        <v>0</v>
      </c>
      <c r="C10">
        <v>0</v>
      </c>
      <c r="D10">
        <v>0</v>
      </c>
      <c r="E10">
        <v>0</v>
      </c>
      <c r="F10">
        <v>0</v>
      </c>
      <c r="G10">
        <v>0</v>
      </c>
      <c r="H10">
        <v>0</v>
      </c>
      <c r="I10">
        <v>0</v>
      </c>
      <c r="J10">
        <v>0</v>
      </c>
      <c r="K10">
        <v>0</v>
      </c>
      <c r="L10">
        <v>0</v>
      </c>
      <c r="M10">
        <v>0</v>
      </c>
      <c r="N10">
        <v>0</v>
      </c>
      <c r="O10">
        <v>0</v>
      </c>
      <c r="P10">
        <v>0</v>
      </c>
      <c r="Q10">
        <v>0</v>
      </c>
      <c r="R10">
        <v>0</v>
      </c>
      <c r="S10">
        <v>0</v>
      </c>
      <c r="T10">
        <v>0</v>
      </c>
      <c r="U10">
        <v>0</v>
      </c>
      <c r="V10">
        <v>0</v>
      </c>
      <c r="W10">
        <v>0</v>
      </c>
      <c r="X10">
        <v>0</v>
      </c>
      <c r="Y10">
        <v>0</v>
      </c>
      <c r="Z10">
        <v>0</v>
      </c>
      <c r="AA10">
        <v>0</v>
      </c>
      <c r="AB10">
        <v>0</v>
      </c>
      <c r="AC10">
        <v>0</v>
      </c>
      <c r="AD10">
        <v>0</v>
      </c>
      <c r="AE10">
        <v>0</v>
      </c>
    </row>
    <row r="11" spans="1:31">
      <c r="A11" t="s">
        <v>84</v>
      </c>
      <c r="B11">
        <v>0</v>
      </c>
      <c r="C11">
        <v>0</v>
      </c>
      <c r="D11">
        <v>0</v>
      </c>
      <c r="E11">
        <v>0</v>
      </c>
      <c r="F11">
        <v>0</v>
      </c>
      <c r="G11">
        <v>0</v>
      </c>
      <c r="H11">
        <v>0</v>
      </c>
      <c r="I11">
        <v>0</v>
      </c>
      <c r="J11">
        <v>0</v>
      </c>
      <c r="K11">
        <v>0</v>
      </c>
      <c r="L11">
        <v>0</v>
      </c>
      <c r="M11">
        <v>0</v>
      </c>
      <c r="N11">
        <v>0</v>
      </c>
      <c r="O11">
        <v>0</v>
      </c>
      <c r="P11">
        <v>0</v>
      </c>
      <c r="Q11">
        <v>0</v>
      </c>
      <c r="R11">
        <v>0</v>
      </c>
      <c r="S11">
        <v>0</v>
      </c>
      <c r="T11">
        <v>0</v>
      </c>
      <c r="U11">
        <v>0</v>
      </c>
      <c r="V11">
        <v>0</v>
      </c>
      <c r="W11">
        <v>0</v>
      </c>
      <c r="X11">
        <v>0</v>
      </c>
      <c r="Y11">
        <v>0</v>
      </c>
      <c r="Z11">
        <v>0</v>
      </c>
      <c r="AA11">
        <v>0</v>
      </c>
      <c r="AB11">
        <v>0</v>
      </c>
      <c r="AC11">
        <v>0</v>
      </c>
      <c r="AD11">
        <v>0</v>
      </c>
      <c r="AE11">
        <v>0</v>
      </c>
    </row>
  </sheetData>
  <pageMargins left="0.7" right="0.7" top="0.75" bottom="0.75" header="0.3" footer="0.3"/>
</worksheet>
</file>

<file path=xl/worksheets/sheet9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5300-000000000000}">
  <sheetPr>
    <tabColor theme="3"/>
  </sheetPr>
  <dimension ref="A1:AE11"/>
  <sheetViews>
    <sheetView workbookViewId="0">
      <selection activeCell="A11" sqref="A11"/>
    </sheetView>
  </sheetViews>
  <sheetFormatPr defaultRowHeight="14.25"/>
  <cols>
    <col min="1" max="1" width="22.53125" customWidth="1"/>
  </cols>
  <sheetData>
    <row r="1" spans="1:31" ht="28.5">
      <c r="A1" s="10" t="s">
        <v>85</v>
      </c>
      <c r="B1">
        <v>2021</v>
      </c>
      <c r="C1">
        <v>2022</v>
      </c>
      <c r="D1">
        <v>2023</v>
      </c>
      <c r="E1">
        <v>2024</v>
      </c>
      <c r="F1">
        <v>2025</v>
      </c>
      <c r="G1">
        <v>2026</v>
      </c>
      <c r="H1">
        <v>2027</v>
      </c>
      <c r="I1">
        <v>2028</v>
      </c>
      <c r="J1">
        <v>2029</v>
      </c>
      <c r="K1">
        <v>2030</v>
      </c>
      <c r="L1">
        <v>2031</v>
      </c>
      <c r="M1">
        <v>2032</v>
      </c>
      <c r="N1">
        <v>2033</v>
      </c>
      <c r="O1">
        <v>2034</v>
      </c>
      <c r="P1">
        <v>2035</v>
      </c>
      <c r="Q1">
        <v>2036</v>
      </c>
      <c r="R1">
        <v>2037</v>
      </c>
      <c r="S1">
        <v>2038</v>
      </c>
      <c r="T1">
        <v>2039</v>
      </c>
      <c r="U1">
        <v>2040</v>
      </c>
      <c r="V1">
        <v>2041</v>
      </c>
      <c r="W1">
        <v>2042</v>
      </c>
      <c r="X1">
        <v>2043</v>
      </c>
      <c r="Y1">
        <v>2044</v>
      </c>
      <c r="Z1">
        <v>2045</v>
      </c>
      <c r="AA1">
        <v>2046</v>
      </c>
      <c r="AB1">
        <v>2047</v>
      </c>
      <c r="AC1">
        <v>2048</v>
      </c>
      <c r="AD1">
        <v>2049</v>
      </c>
      <c r="AE1">
        <v>2050</v>
      </c>
    </row>
    <row r="2" spans="1:31">
      <c r="A2" t="s">
        <v>15</v>
      </c>
      <c r="B2">
        <v>0</v>
      </c>
      <c r="C2">
        <v>0</v>
      </c>
      <c r="D2">
        <v>0</v>
      </c>
      <c r="E2">
        <v>0</v>
      </c>
      <c r="F2">
        <v>0</v>
      </c>
      <c r="G2">
        <v>0</v>
      </c>
      <c r="H2">
        <v>0</v>
      </c>
      <c r="I2">
        <v>0</v>
      </c>
      <c r="J2">
        <v>0</v>
      </c>
      <c r="K2">
        <v>0</v>
      </c>
      <c r="L2">
        <v>0</v>
      </c>
      <c r="M2">
        <v>0</v>
      </c>
      <c r="N2">
        <v>0</v>
      </c>
      <c r="O2">
        <v>0</v>
      </c>
      <c r="P2">
        <v>0</v>
      </c>
      <c r="Q2">
        <v>0</v>
      </c>
      <c r="R2">
        <v>0</v>
      </c>
      <c r="S2">
        <v>0</v>
      </c>
      <c r="T2">
        <v>0</v>
      </c>
      <c r="U2">
        <v>0</v>
      </c>
      <c r="V2">
        <v>0</v>
      </c>
      <c r="W2">
        <v>0</v>
      </c>
      <c r="X2">
        <v>0</v>
      </c>
      <c r="Y2">
        <v>0</v>
      </c>
      <c r="Z2">
        <v>0</v>
      </c>
      <c r="AA2">
        <v>0</v>
      </c>
      <c r="AB2">
        <v>0</v>
      </c>
      <c r="AC2">
        <v>0</v>
      </c>
      <c r="AD2">
        <v>0</v>
      </c>
      <c r="AE2">
        <v>0</v>
      </c>
    </row>
    <row r="3" spans="1:31">
      <c r="A3" t="s">
        <v>16</v>
      </c>
      <c r="B3">
        <v>1</v>
      </c>
      <c r="C3">
        <v>1</v>
      </c>
      <c r="D3">
        <v>1</v>
      </c>
      <c r="E3">
        <v>1</v>
      </c>
      <c r="F3">
        <v>1</v>
      </c>
      <c r="G3">
        <v>1</v>
      </c>
      <c r="H3">
        <v>1</v>
      </c>
      <c r="I3">
        <v>1</v>
      </c>
      <c r="J3">
        <v>1</v>
      </c>
      <c r="K3">
        <v>1</v>
      </c>
      <c r="L3">
        <v>1</v>
      </c>
      <c r="M3">
        <v>1</v>
      </c>
      <c r="N3">
        <v>1</v>
      </c>
      <c r="O3">
        <v>1</v>
      </c>
      <c r="P3">
        <v>1</v>
      </c>
      <c r="Q3">
        <v>1</v>
      </c>
      <c r="R3">
        <v>1</v>
      </c>
      <c r="S3">
        <v>1</v>
      </c>
      <c r="T3">
        <v>1</v>
      </c>
      <c r="U3">
        <v>1</v>
      </c>
      <c r="V3">
        <v>1</v>
      </c>
      <c r="W3">
        <v>1</v>
      </c>
      <c r="X3">
        <v>1</v>
      </c>
      <c r="Y3">
        <v>1</v>
      </c>
      <c r="Z3">
        <v>1</v>
      </c>
      <c r="AA3">
        <v>1</v>
      </c>
      <c r="AB3">
        <v>1</v>
      </c>
      <c r="AC3">
        <v>1</v>
      </c>
      <c r="AD3">
        <v>1</v>
      </c>
      <c r="AE3">
        <v>1</v>
      </c>
    </row>
    <row r="4" spans="1:31">
      <c r="A4" t="s">
        <v>17</v>
      </c>
      <c r="B4">
        <v>0</v>
      </c>
      <c r="C4">
        <v>0</v>
      </c>
      <c r="D4">
        <v>0</v>
      </c>
      <c r="E4">
        <v>0</v>
      </c>
      <c r="F4">
        <v>0</v>
      </c>
      <c r="G4">
        <v>0</v>
      </c>
      <c r="H4">
        <v>0</v>
      </c>
      <c r="I4">
        <v>0</v>
      </c>
      <c r="J4">
        <v>0</v>
      </c>
      <c r="K4">
        <v>0</v>
      </c>
      <c r="L4">
        <v>0</v>
      </c>
      <c r="M4">
        <v>0</v>
      </c>
      <c r="N4">
        <v>0</v>
      </c>
      <c r="O4">
        <v>0</v>
      </c>
      <c r="P4">
        <v>0</v>
      </c>
      <c r="Q4">
        <v>0</v>
      </c>
      <c r="R4">
        <v>0</v>
      </c>
      <c r="S4">
        <v>0</v>
      </c>
      <c r="T4">
        <v>0</v>
      </c>
      <c r="U4">
        <v>0</v>
      </c>
      <c r="V4">
        <v>0</v>
      </c>
      <c r="W4">
        <v>0</v>
      </c>
      <c r="X4">
        <v>0</v>
      </c>
      <c r="Y4">
        <v>0</v>
      </c>
      <c r="Z4">
        <v>0</v>
      </c>
      <c r="AA4">
        <v>0</v>
      </c>
      <c r="AB4">
        <v>0</v>
      </c>
      <c r="AC4">
        <v>0</v>
      </c>
      <c r="AD4">
        <v>0</v>
      </c>
      <c r="AE4">
        <v>0</v>
      </c>
    </row>
    <row r="5" spans="1:31">
      <c r="A5" t="s">
        <v>18</v>
      </c>
      <c r="B5">
        <v>0</v>
      </c>
      <c r="C5">
        <v>0</v>
      </c>
      <c r="D5">
        <v>0</v>
      </c>
      <c r="E5">
        <v>0</v>
      </c>
      <c r="F5">
        <v>0</v>
      </c>
      <c r="G5">
        <v>0</v>
      </c>
      <c r="H5">
        <v>0</v>
      </c>
      <c r="I5">
        <v>0</v>
      </c>
      <c r="J5">
        <v>0</v>
      </c>
      <c r="K5">
        <v>0</v>
      </c>
      <c r="L5">
        <v>0</v>
      </c>
      <c r="M5">
        <v>0</v>
      </c>
      <c r="N5">
        <v>0</v>
      </c>
      <c r="O5">
        <v>0</v>
      </c>
      <c r="P5">
        <v>0</v>
      </c>
      <c r="Q5">
        <v>0</v>
      </c>
      <c r="R5">
        <v>0</v>
      </c>
      <c r="S5">
        <v>0</v>
      </c>
      <c r="T5">
        <v>0</v>
      </c>
      <c r="U5">
        <v>0</v>
      </c>
      <c r="V5">
        <v>0</v>
      </c>
      <c r="W5">
        <v>0</v>
      </c>
      <c r="X5">
        <v>0</v>
      </c>
      <c r="Y5">
        <v>0</v>
      </c>
      <c r="Z5">
        <v>0</v>
      </c>
      <c r="AA5">
        <v>0</v>
      </c>
      <c r="AB5">
        <v>0</v>
      </c>
      <c r="AC5">
        <v>0</v>
      </c>
      <c r="AD5">
        <v>0</v>
      </c>
      <c r="AE5">
        <v>0</v>
      </c>
    </row>
    <row r="6" spans="1:31">
      <c r="A6" t="s">
        <v>19</v>
      </c>
      <c r="B6">
        <v>0</v>
      </c>
      <c r="C6">
        <v>0</v>
      </c>
      <c r="D6">
        <v>0</v>
      </c>
      <c r="E6">
        <v>0</v>
      </c>
      <c r="F6">
        <v>0</v>
      </c>
      <c r="G6">
        <v>0</v>
      </c>
      <c r="H6">
        <v>0</v>
      </c>
      <c r="I6">
        <v>0</v>
      </c>
      <c r="J6">
        <v>0</v>
      </c>
      <c r="K6">
        <v>0</v>
      </c>
      <c r="L6">
        <v>0</v>
      </c>
      <c r="M6">
        <v>0</v>
      </c>
      <c r="N6">
        <v>0</v>
      </c>
      <c r="O6">
        <v>0</v>
      </c>
      <c r="P6">
        <v>0</v>
      </c>
      <c r="Q6">
        <v>0</v>
      </c>
      <c r="R6">
        <v>0</v>
      </c>
      <c r="S6">
        <v>0</v>
      </c>
      <c r="T6">
        <v>0</v>
      </c>
      <c r="U6">
        <v>0</v>
      </c>
      <c r="V6">
        <v>0</v>
      </c>
      <c r="W6">
        <v>0</v>
      </c>
      <c r="X6">
        <v>0</v>
      </c>
      <c r="Y6">
        <v>0</v>
      </c>
      <c r="Z6">
        <v>0</v>
      </c>
      <c r="AA6">
        <v>0</v>
      </c>
      <c r="AB6">
        <v>0</v>
      </c>
      <c r="AC6">
        <v>0</v>
      </c>
      <c r="AD6">
        <v>0</v>
      </c>
      <c r="AE6">
        <v>0</v>
      </c>
    </row>
    <row r="7" spans="1:31">
      <c r="A7" t="s">
        <v>21</v>
      </c>
      <c r="B7">
        <v>0</v>
      </c>
      <c r="C7">
        <v>0</v>
      </c>
      <c r="D7">
        <v>0</v>
      </c>
      <c r="E7">
        <v>0</v>
      </c>
      <c r="F7">
        <v>0</v>
      </c>
      <c r="G7">
        <v>0</v>
      </c>
      <c r="H7">
        <v>0</v>
      </c>
      <c r="I7">
        <v>0</v>
      </c>
      <c r="J7">
        <v>0</v>
      </c>
      <c r="K7">
        <v>0</v>
      </c>
      <c r="L7">
        <v>0</v>
      </c>
      <c r="M7">
        <v>0</v>
      </c>
      <c r="N7">
        <v>0</v>
      </c>
      <c r="O7">
        <v>0</v>
      </c>
      <c r="P7">
        <v>0</v>
      </c>
      <c r="Q7">
        <v>0</v>
      </c>
      <c r="R7">
        <v>0</v>
      </c>
      <c r="S7">
        <v>0</v>
      </c>
      <c r="T7">
        <v>0</v>
      </c>
      <c r="U7">
        <v>0</v>
      </c>
      <c r="V7">
        <v>0</v>
      </c>
      <c r="W7">
        <v>0</v>
      </c>
      <c r="X7">
        <v>0</v>
      </c>
      <c r="Y7">
        <v>0</v>
      </c>
      <c r="Z7">
        <v>0</v>
      </c>
      <c r="AA7">
        <v>0</v>
      </c>
      <c r="AB7">
        <v>0</v>
      </c>
      <c r="AC7">
        <v>0</v>
      </c>
      <c r="AD7">
        <v>0</v>
      </c>
      <c r="AE7">
        <v>0</v>
      </c>
    </row>
    <row r="8" spans="1:31">
      <c r="A8" t="s">
        <v>20</v>
      </c>
      <c r="B8">
        <v>0</v>
      </c>
      <c r="C8">
        <v>0</v>
      </c>
      <c r="D8">
        <v>0</v>
      </c>
      <c r="E8">
        <v>0</v>
      </c>
      <c r="F8">
        <v>0</v>
      </c>
      <c r="G8">
        <v>0</v>
      </c>
      <c r="H8">
        <v>0</v>
      </c>
      <c r="I8">
        <v>0</v>
      </c>
      <c r="J8">
        <v>0</v>
      </c>
      <c r="K8">
        <v>0</v>
      </c>
      <c r="L8">
        <v>0</v>
      </c>
      <c r="M8">
        <v>0</v>
      </c>
      <c r="N8">
        <v>0</v>
      </c>
      <c r="O8">
        <v>0</v>
      </c>
      <c r="P8">
        <v>0</v>
      </c>
      <c r="Q8">
        <v>0</v>
      </c>
      <c r="R8">
        <v>0</v>
      </c>
      <c r="S8">
        <v>0</v>
      </c>
      <c r="T8">
        <v>0</v>
      </c>
      <c r="U8">
        <v>0</v>
      </c>
      <c r="V8">
        <v>0</v>
      </c>
      <c r="W8">
        <v>0</v>
      </c>
      <c r="X8">
        <v>0</v>
      </c>
      <c r="Y8">
        <v>0</v>
      </c>
      <c r="Z8">
        <v>0</v>
      </c>
      <c r="AA8">
        <v>0</v>
      </c>
      <c r="AB8">
        <v>0</v>
      </c>
      <c r="AC8">
        <v>0</v>
      </c>
      <c r="AD8">
        <v>0</v>
      </c>
      <c r="AE8">
        <v>0</v>
      </c>
    </row>
    <row r="9" spans="1:31">
      <c r="A9" t="s">
        <v>82</v>
      </c>
      <c r="B9">
        <v>0</v>
      </c>
      <c r="C9">
        <v>0</v>
      </c>
      <c r="D9">
        <v>0</v>
      </c>
      <c r="E9">
        <v>0</v>
      </c>
      <c r="F9">
        <v>0</v>
      </c>
      <c r="G9">
        <v>0</v>
      </c>
      <c r="H9">
        <v>0</v>
      </c>
      <c r="I9">
        <v>0</v>
      </c>
      <c r="J9">
        <v>0</v>
      </c>
      <c r="K9">
        <v>0</v>
      </c>
      <c r="L9">
        <v>0</v>
      </c>
      <c r="M9">
        <v>0</v>
      </c>
      <c r="N9">
        <v>0</v>
      </c>
      <c r="O9">
        <v>0</v>
      </c>
      <c r="P9">
        <v>0</v>
      </c>
      <c r="Q9">
        <v>0</v>
      </c>
      <c r="R9">
        <v>0</v>
      </c>
      <c r="S9">
        <v>0</v>
      </c>
      <c r="T9">
        <v>0</v>
      </c>
      <c r="U9">
        <v>0</v>
      </c>
      <c r="V9">
        <v>0</v>
      </c>
      <c r="W9">
        <v>0</v>
      </c>
      <c r="X9">
        <v>0</v>
      </c>
      <c r="Y9">
        <v>0</v>
      </c>
      <c r="Z9">
        <v>0</v>
      </c>
      <c r="AA9">
        <v>0</v>
      </c>
      <c r="AB9">
        <v>0</v>
      </c>
      <c r="AC9">
        <v>0</v>
      </c>
      <c r="AD9">
        <v>0</v>
      </c>
      <c r="AE9">
        <v>0</v>
      </c>
    </row>
    <row r="10" spans="1:31">
      <c r="A10" t="s">
        <v>83</v>
      </c>
      <c r="B10">
        <v>0</v>
      </c>
      <c r="C10">
        <v>0</v>
      </c>
      <c r="D10">
        <v>0</v>
      </c>
      <c r="E10">
        <v>0</v>
      </c>
      <c r="F10">
        <v>0</v>
      </c>
      <c r="G10">
        <v>0</v>
      </c>
      <c r="H10">
        <v>0</v>
      </c>
      <c r="I10">
        <v>0</v>
      </c>
      <c r="J10">
        <v>0</v>
      </c>
      <c r="K10">
        <v>0</v>
      </c>
      <c r="L10">
        <v>0</v>
      </c>
      <c r="M10">
        <v>0</v>
      </c>
      <c r="N10">
        <v>0</v>
      </c>
      <c r="O10">
        <v>0</v>
      </c>
      <c r="P10">
        <v>0</v>
      </c>
      <c r="Q10">
        <v>0</v>
      </c>
      <c r="R10">
        <v>0</v>
      </c>
      <c r="S10">
        <v>0</v>
      </c>
      <c r="T10">
        <v>0</v>
      </c>
      <c r="U10">
        <v>0</v>
      </c>
      <c r="V10">
        <v>0</v>
      </c>
      <c r="W10">
        <v>0</v>
      </c>
      <c r="X10">
        <v>0</v>
      </c>
      <c r="Y10">
        <v>0</v>
      </c>
      <c r="Z10">
        <v>0</v>
      </c>
      <c r="AA10">
        <v>0</v>
      </c>
      <c r="AB10">
        <v>0</v>
      </c>
      <c r="AC10">
        <v>0</v>
      </c>
      <c r="AD10">
        <v>0</v>
      </c>
      <c r="AE10">
        <v>0</v>
      </c>
    </row>
    <row r="11" spans="1:31">
      <c r="A11" t="s">
        <v>84</v>
      </c>
      <c r="B11">
        <v>0</v>
      </c>
      <c r="C11">
        <v>0</v>
      </c>
      <c r="D11">
        <v>0</v>
      </c>
      <c r="E11">
        <v>0</v>
      </c>
      <c r="F11">
        <v>0</v>
      </c>
      <c r="G11">
        <v>0</v>
      </c>
      <c r="H11">
        <v>0</v>
      </c>
      <c r="I11">
        <v>0</v>
      </c>
      <c r="J11">
        <v>0</v>
      </c>
      <c r="K11">
        <v>0</v>
      </c>
      <c r="L11">
        <v>0</v>
      </c>
      <c r="M11">
        <v>0</v>
      </c>
      <c r="N11">
        <v>0</v>
      </c>
      <c r="O11">
        <v>0</v>
      </c>
      <c r="P11">
        <v>0</v>
      </c>
      <c r="Q11">
        <v>0</v>
      </c>
      <c r="R11">
        <v>0</v>
      </c>
      <c r="S11">
        <v>0</v>
      </c>
      <c r="T11">
        <v>0</v>
      </c>
      <c r="U11">
        <v>0</v>
      </c>
      <c r="V11">
        <v>0</v>
      </c>
      <c r="W11">
        <v>0</v>
      </c>
      <c r="X11">
        <v>0</v>
      </c>
      <c r="Y11">
        <v>0</v>
      </c>
      <c r="Z11">
        <v>0</v>
      </c>
      <c r="AA11">
        <v>0</v>
      </c>
      <c r="AB11">
        <v>0</v>
      </c>
      <c r="AC11">
        <v>0</v>
      </c>
      <c r="AD11">
        <v>0</v>
      </c>
      <c r="AE11">
        <v>0</v>
      </c>
    </row>
  </sheetData>
  <pageMargins left="0.7" right="0.7" top="0.75" bottom="0.75" header="0.3" footer="0.3"/>
</worksheet>
</file>

<file path=xl/worksheets/sheet9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5400-000000000000}">
  <sheetPr>
    <tabColor theme="3"/>
  </sheetPr>
  <dimension ref="A1:AE11"/>
  <sheetViews>
    <sheetView topLeftCell="C1" workbookViewId="0">
      <selection activeCell="B1" sqref="B1:AE1"/>
    </sheetView>
  </sheetViews>
  <sheetFormatPr defaultRowHeight="14.25"/>
  <cols>
    <col min="1" max="1" width="22.53125" customWidth="1"/>
  </cols>
  <sheetData>
    <row r="1" spans="1:31" ht="28.5">
      <c r="A1" s="10" t="s">
        <v>85</v>
      </c>
      <c r="B1">
        <f>'BPoEFUbVT-mtrbks-psgr-gasveh'!B1</f>
        <v>2021</v>
      </c>
      <c r="C1">
        <f>'BPoEFUbVT-mtrbks-psgr-gasveh'!C1</f>
        <v>2022</v>
      </c>
      <c r="D1">
        <f>'BPoEFUbVT-mtrbks-psgr-gasveh'!D1</f>
        <v>2023</v>
      </c>
      <c r="E1">
        <f>'BPoEFUbVT-mtrbks-psgr-gasveh'!E1</f>
        <v>2024</v>
      </c>
      <c r="F1">
        <f>'BPoEFUbVT-mtrbks-psgr-gasveh'!F1</f>
        <v>2025</v>
      </c>
      <c r="G1">
        <f>'BPoEFUbVT-mtrbks-psgr-gasveh'!G1</f>
        <v>2026</v>
      </c>
      <c r="H1">
        <f>'BPoEFUbVT-mtrbks-psgr-gasveh'!H1</f>
        <v>2027</v>
      </c>
      <c r="I1">
        <f>'BPoEFUbVT-mtrbks-psgr-gasveh'!I1</f>
        <v>2028</v>
      </c>
      <c r="J1">
        <f>'BPoEFUbVT-mtrbks-psgr-gasveh'!J1</f>
        <v>2029</v>
      </c>
      <c r="K1">
        <f>'BPoEFUbVT-mtrbks-psgr-gasveh'!K1</f>
        <v>2030</v>
      </c>
      <c r="L1">
        <f>'BPoEFUbVT-mtrbks-psgr-gasveh'!L1</f>
        <v>2031</v>
      </c>
      <c r="M1">
        <f>'BPoEFUbVT-mtrbks-psgr-gasveh'!M1</f>
        <v>2032</v>
      </c>
      <c r="N1">
        <f>'BPoEFUbVT-mtrbks-psgr-gasveh'!N1</f>
        <v>2033</v>
      </c>
      <c r="O1">
        <f>'BPoEFUbVT-mtrbks-psgr-gasveh'!O1</f>
        <v>2034</v>
      </c>
      <c r="P1">
        <f>'BPoEFUbVT-mtrbks-psgr-gasveh'!P1</f>
        <v>2035</v>
      </c>
      <c r="Q1">
        <f>'BPoEFUbVT-mtrbks-psgr-gasveh'!Q1</f>
        <v>2036</v>
      </c>
      <c r="R1">
        <f>'BPoEFUbVT-mtrbks-psgr-gasveh'!R1</f>
        <v>2037</v>
      </c>
      <c r="S1">
        <f>'BPoEFUbVT-mtrbks-psgr-gasveh'!S1</f>
        <v>2038</v>
      </c>
      <c r="T1">
        <f>'BPoEFUbVT-mtrbks-psgr-gasveh'!T1</f>
        <v>2039</v>
      </c>
      <c r="U1">
        <f>'BPoEFUbVT-mtrbks-psgr-gasveh'!U1</f>
        <v>2040</v>
      </c>
      <c r="V1">
        <f>'BPoEFUbVT-mtrbks-psgr-gasveh'!V1</f>
        <v>2041</v>
      </c>
      <c r="W1">
        <f>'BPoEFUbVT-mtrbks-psgr-gasveh'!W1</f>
        <v>2042</v>
      </c>
      <c r="X1">
        <f>'BPoEFUbVT-mtrbks-psgr-gasveh'!X1</f>
        <v>2043</v>
      </c>
      <c r="Y1">
        <f>'BPoEFUbVT-mtrbks-psgr-gasveh'!Y1</f>
        <v>2044</v>
      </c>
      <c r="Z1">
        <f>'BPoEFUbVT-mtrbks-psgr-gasveh'!Z1</f>
        <v>2045</v>
      </c>
      <c r="AA1">
        <f>'BPoEFUbVT-mtrbks-psgr-gasveh'!AA1</f>
        <v>2046</v>
      </c>
      <c r="AB1">
        <f>'BPoEFUbVT-mtrbks-psgr-gasveh'!AB1</f>
        <v>2047</v>
      </c>
      <c r="AC1">
        <f>'BPoEFUbVT-mtrbks-psgr-gasveh'!AC1</f>
        <v>2048</v>
      </c>
      <c r="AD1">
        <f>'BPoEFUbVT-mtrbks-psgr-gasveh'!AD1</f>
        <v>2049</v>
      </c>
      <c r="AE1">
        <f>'BPoEFUbVT-mtrbks-psgr-gasveh'!AE1</f>
        <v>2050</v>
      </c>
    </row>
    <row r="2" spans="1:31">
      <c r="A2" t="s">
        <v>15</v>
      </c>
      <c r="B2">
        <f>'BPoEFUbVT-mtrbks-psgr-gasveh'!B2</f>
        <v>0</v>
      </c>
      <c r="C2">
        <f>'BPoEFUbVT-mtrbks-psgr-gasveh'!C2</f>
        <v>0</v>
      </c>
      <c r="D2">
        <f>'BPoEFUbVT-mtrbks-psgr-gasveh'!D2</f>
        <v>0</v>
      </c>
      <c r="E2">
        <f>'BPoEFUbVT-mtrbks-psgr-gasveh'!E2</f>
        <v>0</v>
      </c>
      <c r="F2">
        <f>'BPoEFUbVT-mtrbks-psgr-gasveh'!F2</f>
        <v>0</v>
      </c>
      <c r="G2">
        <f>'BPoEFUbVT-mtrbks-psgr-gasveh'!G2</f>
        <v>0</v>
      </c>
      <c r="H2">
        <f>'BPoEFUbVT-mtrbks-psgr-gasveh'!H2</f>
        <v>0</v>
      </c>
      <c r="I2">
        <f>'BPoEFUbVT-mtrbks-psgr-gasveh'!I2</f>
        <v>0</v>
      </c>
      <c r="J2">
        <f>'BPoEFUbVT-mtrbks-psgr-gasveh'!J2</f>
        <v>0</v>
      </c>
      <c r="K2">
        <f>'BPoEFUbVT-mtrbks-psgr-gasveh'!K2</f>
        <v>0</v>
      </c>
      <c r="L2">
        <f>'BPoEFUbVT-mtrbks-psgr-gasveh'!L2</f>
        <v>0</v>
      </c>
      <c r="M2">
        <f>'BPoEFUbVT-mtrbks-psgr-gasveh'!M2</f>
        <v>0</v>
      </c>
      <c r="N2">
        <f>'BPoEFUbVT-mtrbks-psgr-gasveh'!N2</f>
        <v>0</v>
      </c>
      <c r="O2">
        <f>'BPoEFUbVT-mtrbks-psgr-gasveh'!O2</f>
        <v>0</v>
      </c>
      <c r="P2">
        <f>'BPoEFUbVT-mtrbks-psgr-gasveh'!P2</f>
        <v>0</v>
      </c>
      <c r="Q2">
        <f>'BPoEFUbVT-mtrbks-psgr-gasveh'!Q2</f>
        <v>0</v>
      </c>
      <c r="R2">
        <f>'BPoEFUbVT-mtrbks-psgr-gasveh'!R2</f>
        <v>0</v>
      </c>
      <c r="S2">
        <f>'BPoEFUbVT-mtrbks-psgr-gasveh'!S2</f>
        <v>0</v>
      </c>
      <c r="T2">
        <f>'BPoEFUbVT-mtrbks-psgr-gasveh'!T2</f>
        <v>0</v>
      </c>
      <c r="U2">
        <f>'BPoEFUbVT-mtrbks-psgr-gasveh'!U2</f>
        <v>0</v>
      </c>
      <c r="V2">
        <f>'BPoEFUbVT-mtrbks-psgr-gasveh'!V2</f>
        <v>0</v>
      </c>
      <c r="W2">
        <f>'BPoEFUbVT-mtrbks-psgr-gasveh'!W2</f>
        <v>0</v>
      </c>
      <c r="X2">
        <f>'BPoEFUbVT-mtrbks-psgr-gasveh'!X2</f>
        <v>0</v>
      </c>
      <c r="Y2">
        <f>'BPoEFUbVT-mtrbks-psgr-gasveh'!Y2</f>
        <v>0</v>
      </c>
      <c r="Z2">
        <f>'BPoEFUbVT-mtrbks-psgr-gasveh'!Z2</f>
        <v>0</v>
      </c>
      <c r="AA2">
        <f>'BPoEFUbVT-mtrbks-psgr-gasveh'!AA2</f>
        <v>0</v>
      </c>
      <c r="AB2">
        <f>'BPoEFUbVT-mtrbks-psgr-gasveh'!AB2</f>
        <v>0</v>
      </c>
      <c r="AC2">
        <f>'BPoEFUbVT-mtrbks-psgr-gasveh'!AC2</f>
        <v>0</v>
      </c>
      <c r="AD2">
        <f>'BPoEFUbVT-mtrbks-psgr-gasveh'!AD2</f>
        <v>0</v>
      </c>
      <c r="AE2">
        <f>'BPoEFUbVT-mtrbks-psgr-gasveh'!AE2</f>
        <v>0</v>
      </c>
    </row>
    <row r="3" spans="1:31">
      <c r="A3" t="s">
        <v>16</v>
      </c>
      <c r="B3">
        <f>'BPoEFUbVT-mtrbks-psgr-gasveh'!B3</f>
        <v>0</v>
      </c>
      <c r="C3">
        <f>'BPoEFUbVT-mtrbks-psgr-gasveh'!C3</f>
        <v>0</v>
      </c>
      <c r="D3">
        <f>'BPoEFUbVT-mtrbks-psgr-gasveh'!D3</f>
        <v>0</v>
      </c>
      <c r="E3">
        <f>'BPoEFUbVT-mtrbks-psgr-gasveh'!E3</f>
        <v>0</v>
      </c>
      <c r="F3">
        <f>'BPoEFUbVT-mtrbks-psgr-gasveh'!F3</f>
        <v>0</v>
      </c>
      <c r="G3">
        <f>'BPoEFUbVT-mtrbks-psgr-gasveh'!G3</f>
        <v>0</v>
      </c>
      <c r="H3">
        <f>'BPoEFUbVT-mtrbks-psgr-gasveh'!H3</f>
        <v>0</v>
      </c>
      <c r="I3">
        <f>'BPoEFUbVT-mtrbks-psgr-gasveh'!I3</f>
        <v>0</v>
      </c>
      <c r="J3">
        <f>'BPoEFUbVT-mtrbks-psgr-gasveh'!J3</f>
        <v>0</v>
      </c>
      <c r="K3">
        <f>'BPoEFUbVT-mtrbks-psgr-gasveh'!K3</f>
        <v>0</v>
      </c>
      <c r="L3">
        <f>'BPoEFUbVT-mtrbks-psgr-gasveh'!L3</f>
        <v>0</v>
      </c>
      <c r="M3">
        <f>'BPoEFUbVT-mtrbks-psgr-gasveh'!M3</f>
        <v>0</v>
      </c>
      <c r="N3">
        <f>'BPoEFUbVT-mtrbks-psgr-gasveh'!N3</f>
        <v>0</v>
      </c>
      <c r="O3">
        <f>'BPoEFUbVT-mtrbks-psgr-gasveh'!O3</f>
        <v>0</v>
      </c>
      <c r="P3">
        <f>'BPoEFUbVT-mtrbks-psgr-gasveh'!P3</f>
        <v>0</v>
      </c>
      <c r="Q3">
        <f>'BPoEFUbVT-mtrbks-psgr-gasveh'!Q3</f>
        <v>0</v>
      </c>
      <c r="R3">
        <f>'BPoEFUbVT-mtrbks-psgr-gasveh'!R3</f>
        <v>0</v>
      </c>
      <c r="S3">
        <f>'BPoEFUbVT-mtrbks-psgr-gasveh'!S3</f>
        <v>0</v>
      </c>
      <c r="T3">
        <f>'BPoEFUbVT-mtrbks-psgr-gasveh'!T3</f>
        <v>0</v>
      </c>
      <c r="U3">
        <f>'BPoEFUbVT-mtrbks-psgr-gasveh'!U3</f>
        <v>0</v>
      </c>
      <c r="V3">
        <f>'BPoEFUbVT-mtrbks-psgr-gasveh'!V3</f>
        <v>0</v>
      </c>
      <c r="W3">
        <f>'BPoEFUbVT-mtrbks-psgr-gasveh'!W3</f>
        <v>0</v>
      </c>
      <c r="X3">
        <f>'BPoEFUbVT-mtrbks-psgr-gasveh'!X3</f>
        <v>0</v>
      </c>
      <c r="Y3">
        <f>'BPoEFUbVT-mtrbks-psgr-gasveh'!Y3</f>
        <v>0</v>
      </c>
      <c r="Z3">
        <f>'BPoEFUbVT-mtrbks-psgr-gasveh'!Z3</f>
        <v>0</v>
      </c>
      <c r="AA3">
        <f>'BPoEFUbVT-mtrbks-psgr-gasveh'!AA3</f>
        <v>0</v>
      </c>
      <c r="AB3">
        <f>'BPoEFUbVT-mtrbks-psgr-gasveh'!AB3</f>
        <v>0</v>
      </c>
      <c r="AC3">
        <f>'BPoEFUbVT-mtrbks-psgr-gasveh'!AC3</f>
        <v>0</v>
      </c>
      <c r="AD3">
        <f>'BPoEFUbVT-mtrbks-psgr-gasveh'!AD3</f>
        <v>0</v>
      </c>
      <c r="AE3">
        <f>'BPoEFUbVT-mtrbks-psgr-gasveh'!AE3</f>
        <v>0</v>
      </c>
    </row>
    <row r="4" spans="1:31">
      <c r="A4" t="s">
        <v>17</v>
      </c>
      <c r="B4">
        <f>'BPoEFUbVT-mtrbks-psgr-gasveh'!B4</f>
        <v>0.89800000000000002</v>
      </c>
      <c r="C4">
        <f>'BPoEFUbVT-mtrbks-psgr-gasveh'!C4</f>
        <v>0.89800000000000002</v>
      </c>
      <c r="D4">
        <f>'BPoEFUbVT-mtrbks-psgr-gasveh'!D4</f>
        <v>0.89800000000000002</v>
      </c>
      <c r="E4">
        <f>'BPoEFUbVT-mtrbks-psgr-gasveh'!E4</f>
        <v>0.89800000000000002</v>
      </c>
      <c r="F4">
        <f>'BPoEFUbVT-mtrbks-psgr-gasveh'!F4</f>
        <v>0.89800000000000002</v>
      </c>
      <c r="G4">
        <f>'BPoEFUbVT-mtrbks-psgr-gasveh'!G4</f>
        <v>0.89800000000000002</v>
      </c>
      <c r="H4">
        <f>'BPoEFUbVT-mtrbks-psgr-gasveh'!H4</f>
        <v>0.89800000000000002</v>
      </c>
      <c r="I4">
        <f>'BPoEFUbVT-mtrbks-psgr-gasveh'!I4</f>
        <v>0.89800000000000002</v>
      </c>
      <c r="J4">
        <f>'BPoEFUbVT-mtrbks-psgr-gasveh'!J4</f>
        <v>0.89800000000000002</v>
      </c>
      <c r="K4">
        <f>'BPoEFUbVT-mtrbks-psgr-gasveh'!K4</f>
        <v>0.89800000000000002</v>
      </c>
      <c r="L4">
        <f>'BPoEFUbVT-mtrbks-psgr-gasveh'!L4</f>
        <v>0.89800000000000002</v>
      </c>
      <c r="M4">
        <f>'BPoEFUbVT-mtrbks-psgr-gasveh'!M4</f>
        <v>0.89800000000000002</v>
      </c>
      <c r="N4">
        <f>'BPoEFUbVT-mtrbks-psgr-gasveh'!N4</f>
        <v>0.89800000000000002</v>
      </c>
      <c r="O4">
        <f>'BPoEFUbVT-mtrbks-psgr-gasveh'!O4</f>
        <v>0.89800000000000002</v>
      </c>
      <c r="P4">
        <f>'BPoEFUbVT-mtrbks-psgr-gasveh'!P4</f>
        <v>0.89800000000000002</v>
      </c>
      <c r="Q4">
        <f>'BPoEFUbVT-mtrbks-psgr-gasveh'!Q4</f>
        <v>0.89800000000000002</v>
      </c>
      <c r="R4">
        <f>'BPoEFUbVT-mtrbks-psgr-gasveh'!R4</f>
        <v>0.89800000000000002</v>
      </c>
      <c r="S4">
        <f>'BPoEFUbVT-mtrbks-psgr-gasveh'!S4</f>
        <v>0.89800000000000002</v>
      </c>
      <c r="T4">
        <f>'BPoEFUbVT-mtrbks-psgr-gasveh'!T4</f>
        <v>0.89800000000000002</v>
      </c>
      <c r="U4">
        <f>'BPoEFUbVT-mtrbks-psgr-gasveh'!U4</f>
        <v>0.89800000000000002</v>
      </c>
      <c r="V4">
        <f>'BPoEFUbVT-mtrbks-psgr-gasveh'!V4</f>
        <v>0.89800000000000002</v>
      </c>
      <c r="W4">
        <f>'BPoEFUbVT-mtrbks-psgr-gasveh'!W4</f>
        <v>0.89800000000000002</v>
      </c>
      <c r="X4">
        <f>'BPoEFUbVT-mtrbks-psgr-gasveh'!X4</f>
        <v>0.89800000000000002</v>
      </c>
      <c r="Y4">
        <f>'BPoEFUbVT-mtrbks-psgr-gasveh'!Y4</f>
        <v>0.89800000000000002</v>
      </c>
      <c r="Z4">
        <f>'BPoEFUbVT-mtrbks-psgr-gasveh'!Z4</f>
        <v>0.89800000000000002</v>
      </c>
      <c r="AA4">
        <f>'BPoEFUbVT-mtrbks-psgr-gasveh'!AA4</f>
        <v>0.89800000000000002</v>
      </c>
      <c r="AB4">
        <f>'BPoEFUbVT-mtrbks-psgr-gasveh'!AB4</f>
        <v>0.89800000000000002</v>
      </c>
      <c r="AC4">
        <f>'BPoEFUbVT-mtrbks-psgr-gasveh'!AC4</f>
        <v>0.89800000000000002</v>
      </c>
      <c r="AD4">
        <f>'BPoEFUbVT-mtrbks-psgr-gasveh'!AD4</f>
        <v>0.89800000000000002</v>
      </c>
      <c r="AE4">
        <f>'BPoEFUbVT-mtrbks-psgr-gasveh'!AE4</f>
        <v>0.89800000000000002</v>
      </c>
    </row>
    <row r="5" spans="1:31">
      <c r="A5" t="s">
        <v>18</v>
      </c>
      <c r="B5">
        <f>'BPoEFUbVT-mtrbks-psgr-gasveh'!B5</f>
        <v>0</v>
      </c>
      <c r="C5">
        <f>'BPoEFUbVT-mtrbks-psgr-gasveh'!C5</f>
        <v>0</v>
      </c>
      <c r="D5">
        <f>'BPoEFUbVT-mtrbks-psgr-gasveh'!D5</f>
        <v>0</v>
      </c>
      <c r="E5">
        <f>'BPoEFUbVT-mtrbks-psgr-gasveh'!E5</f>
        <v>0</v>
      </c>
      <c r="F5">
        <f>'BPoEFUbVT-mtrbks-psgr-gasveh'!F5</f>
        <v>0</v>
      </c>
      <c r="G5">
        <f>'BPoEFUbVT-mtrbks-psgr-gasveh'!G5</f>
        <v>0</v>
      </c>
      <c r="H5">
        <f>'BPoEFUbVT-mtrbks-psgr-gasveh'!H5</f>
        <v>0</v>
      </c>
      <c r="I5">
        <f>'BPoEFUbVT-mtrbks-psgr-gasveh'!I5</f>
        <v>0</v>
      </c>
      <c r="J5">
        <f>'BPoEFUbVT-mtrbks-psgr-gasveh'!J5</f>
        <v>0</v>
      </c>
      <c r="K5">
        <f>'BPoEFUbVT-mtrbks-psgr-gasveh'!K5</f>
        <v>0</v>
      </c>
      <c r="L5">
        <f>'BPoEFUbVT-mtrbks-psgr-gasveh'!L5</f>
        <v>0</v>
      </c>
      <c r="M5">
        <f>'BPoEFUbVT-mtrbks-psgr-gasveh'!M5</f>
        <v>0</v>
      </c>
      <c r="N5">
        <f>'BPoEFUbVT-mtrbks-psgr-gasveh'!N5</f>
        <v>0</v>
      </c>
      <c r="O5">
        <f>'BPoEFUbVT-mtrbks-psgr-gasveh'!O5</f>
        <v>0</v>
      </c>
      <c r="P5">
        <f>'BPoEFUbVT-mtrbks-psgr-gasveh'!P5</f>
        <v>0</v>
      </c>
      <c r="Q5">
        <f>'BPoEFUbVT-mtrbks-psgr-gasveh'!Q5</f>
        <v>0</v>
      </c>
      <c r="R5">
        <f>'BPoEFUbVT-mtrbks-psgr-gasveh'!R5</f>
        <v>0</v>
      </c>
      <c r="S5">
        <f>'BPoEFUbVT-mtrbks-psgr-gasveh'!S5</f>
        <v>0</v>
      </c>
      <c r="T5">
        <f>'BPoEFUbVT-mtrbks-psgr-gasveh'!T5</f>
        <v>0</v>
      </c>
      <c r="U5">
        <f>'BPoEFUbVT-mtrbks-psgr-gasveh'!U5</f>
        <v>0</v>
      </c>
      <c r="V5">
        <f>'BPoEFUbVT-mtrbks-psgr-gasveh'!V5</f>
        <v>0</v>
      </c>
      <c r="W5">
        <f>'BPoEFUbVT-mtrbks-psgr-gasveh'!W5</f>
        <v>0</v>
      </c>
      <c r="X5">
        <f>'BPoEFUbVT-mtrbks-psgr-gasveh'!X5</f>
        <v>0</v>
      </c>
      <c r="Y5">
        <f>'BPoEFUbVT-mtrbks-psgr-gasveh'!Y5</f>
        <v>0</v>
      </c>
      <c r="Z5">
        <f>'BPoEFUbVT-mtrbks-psgr-gasveh'!Z5</f>
        <v>0</v>
      </c>
      <c r="AA5">
        <f>'BPoEFUbVT-mtrbks-psgr-gasveh'!AA5</f>
        <v>0</v>
      </c>
      <c r="AB5">
        <f>'BPoEFUbVT-mtrbks-psgr-gasveh'!AB5</f>
        <v>0</v>
      </c>
      <c r="AC5">
        <f>'BPoEFUbVT-mtrbks-psgr-gasveh'!AC5</f>
        <v>0</v>
      </c>
      <c r="AD5">
        <f>'BPoEFUbVT-mtrbks-psgr-gasveh'!AD5</f>
        <v>0</v>
      </c>
      <c r="AE5">
        <f>'BPoEFUbVT-mtrbks-psgr-gasveh'!AE5</f>
        <v>0</v>
      </c>
    </row>
    <row r="6" spans="1:31">
      <c r="A6" t="s">
        <v>19</v>
      </c>
      <c r="B6">
        <f>'BPoEFUbVT-mtrbks-psgr-gasveh'!B6</f>
        <v>0.10199999999999999</v>
      </c>
      <c r="C6">
        <f>'BPoEFUbVT-mtrbks-psgr-gasveh'!C6</f>
        <v>0.10199999999999999</v>
      </c>
      <c r="D6">
        <f>'BPoEFUbVT-mtrbks-psgr-gasveh'!D6</f>
        <v>0.10199999999999999</v>
      </c>
      <c r="E6">
        <f>'BPoEFUbVT-mtrbks-psgr-gasveh'!E6</f>
        <v>0.10199999999999999</v>
      </c>
      <c r="F6">
        <f>'BPoEFUbVT-mtrbks-psgr-gasveh'!F6</f>
        <v>0.10199999999999999</v>
      </c>
      <c r="G6">
        <f>'BPoEFUbVT-mtrbks-psgr-gasveh'!G6</f>
        <v>0.10199999999999999</v>
      </c>
      <c r="H6">
        <f>'BPoEFUbVT-mtrbks-psgr-gasveh'!H6</f>
        <v>0.10199999999999999</v>
      </c>
      <c r="I6">
        <f>'BPoEFUbVT-mtrbks-psgr-gasveh'!I6</f>
        <v>0.10199999999999999</v>
      </c>
      <c r="J6">
        <f>'BPoEFUbVT-mtrbks-psgr-gasveh'!J6</f>
        <v>0.10199999999999999</v>
      </c>
      <c r="K6">
        <f>'BPoEFUbVT-mtrbks-psgr-gasveh'!K6</f>
        <v>0.10199999999999999</v>
      </c>
      <c r="L6">
        <f>'BPoEFUbVT-mtrbks-psgr-gasveh'!L6</f>
        <v>0.10199999999999999</v>
      </c>
      <c r="M6">
        <f>'BPoEFUbVT-mtrbks-psgr-gasveh'!M6</f>
        <v>0.10199999999999999</v>
      </c>
      <c r="N6">
        <f>'BPoEFUbVT-mtrbks-psgr-gasveh'!N6</f>
        <v>0.10199999999999999</v>
      </c>
      <c r="O6">
        <f>'BPoEFUbVT-mtrbks-psgr-gasveh'!O6</f>
        <v>0.10199999999999999</v>
      </c>
      <c r="P6">
        <f>'BPoEFUbVT-mtrbks-psgr-gasveh'!P6</f>
        <v>0.10199999999999999</v>
      </c>
      <c r="Q6">
        <f>'BPoEFUbVT-mtrbks-psgr-gasveh'!Q6</f>
        <v>0.10199999999999999</v>
      </c>
      <c r="R6">
        <f>'BPoEFUbVT-mtrbks-psgr-gasveh'!R6</f>
        <v>0.10199999999999999</v>
      </c>
      <c r="S6">
        <f>'BPoEFUbVT-mtrbks-psgr-gasveh'!S6</f>
        <v>0.10199999999999999</v>
      </c>
      <c r="T6">
        <f>'BPoEFUbVT-mtrbks-psgr-gasveh'!T6</f>
        <v>0.10199999999999999</v>
      </c>
      <c r="U6">
        <f>'BPoEFUbVT-mtrbks-psgr-gasveh'!U6</f>
        <v>0.10199999999999999</v>
      </c>
      <c r="V6">
        <f>'BPoEFUbVT-mtrbks-psgr-gasveh'!V6</f>
        <v>0.10199999999999999</v>
      </c>
      <c r="W6">
        <f>'BPoEFUbVT-mtrbks-psgr-gasveh'!W6</f>
        <v>0.10199999999999999</v>
      </c>
      <c r="X6">
        <f>'BPoEFUbVT-mtrbks-psgr-gasveh'!X6</f>
        <v>0.10199999999999999</v>
      </c>
      <c r="Y6">
        <f>'BPoEFUbVT-mtrbks-psgr-gasveh'!Y6</f>
        <v>0.10199999999999999</v>
      </c>
      <c r="Z6">
        <f>'BPoEFUbVT-mtrbks-psgr-gasveh'!Z6</f>
        <v>0.10199999999999999</v>
      </c>
      <c r="AA6">
        <f>'BPoEFUbVT-mtrbks-psgr-gasveh'!AA6</f>
        <v>0.10199999999999999</v>
      </c>
      <c r="AB6">
        <f>'BPoEFUbVT-mtrbks-psgr-gasveh'!AB6</f>
        <v>0.10199999999999999</v>
      </c>
      <c r="AC6">
        <f>'BPoEFUbVT-mtrbks-psgr-gasveh'!AC6</f>
        <v>0.10199999999999999</v>
      </c>
      <c r="AD6">
        <f>'BPoEFUbVT-mtrbks-psgr-gasveh'!AD6</f>
        <v>0.10199999999999999</v>
      </c>
      <c r="AE6">
        <f>'BPoEFUbVT-mtrbks-psgr-gasveh'!AE6</f>
        <v>0.10199999999999999</v>
      </c>
    </row>
    <row r="7" spans="1:31">
      <c r="A7" t="s">
        <v>21</v>
      </c>
      <c r="B7">
        <f>'BPoEFUbVT-mtrbks-psgr-gasveh'!B7</f>
        <v>0</v>
      </c>
      <c r="C7">
        <f>'BPoEFUbVT-mtrbks-psgr-gasveh'!C7</f>
        <v>0</v>
      </c>
      <c r="D7">
        <f>'BPoEFUbVT-mtrbks-psgr-gasveh'!D7</f>
        <v>0</v>
      </c>
      <c r="E7">
        <f>'BPoEFUbVT-mtrbks-psgr-gasveh'!E7</f>
        <v>0</v>
      </c>
      <c r="F7">
        <f>'BPoEFUbVT-mtrbks-psgr-gasveh'!F7</f>
        <v>0</v>
      </c>
      <c r="G7">
        <f>'BPoEFUbVT-mtrbks-psgr-gasveh'!G7</f>
        <v>0</v>
      </c>
      <c r="H7">
        <f>'BPoEFUbVT-mtrbks-psgr-gasveh'!H7</f>
        <v>0</v>
      </c>
      <c r="I7">
        <f>'BPoEFUbVT-mtrbks-psgr-gasveh'!I7</f>
        <v>0</v>
      </c>
      <c r="J7">
        <f>'BPoEFUbVT-mtrbks-psgr-gasveh'!J7</f>
        <v>0</v>
      </c>
      <c r="K7">
        <f>'BPoEFUbVT-mtrbks-psgr-gasveh'!K7</f>
        <v>0</v>
      </c>
      <c r="L7">
        <f>'BPoEFUbVT-mtrbks-psgr-gasveh'!L7</f>
        <v>0</v>
      </c>
      <c r="M7">
        <f>'BPoEFUbVT-mtrbks-psgr-gasveh'!M7</f>
        <v>0</v>
      </c>
      <c r="N7">
        <f>'BPoEFUbVT-mtrbks-psgr-gasveh'!N7</f>
        <v>0</v>
      </c>
      <c r="O7">
        <f>'BPoEFUbVT-mtrbks-psgr-gasveh'!O7</f>
        <v>0</v>
      </c>
      <c r="P7">
        <f>'BPoEFUbVT-mtrbks-psgr-gasveh'!P7</f>
        <v>0</v>
      </c>
      <c r="Q7">
        <f>'BPoEFUbVT-mtrbks-psgr-gasveh'!Q7</f>
        <v>0</v>
      </c>
      <c r="R7">
        <f>'BPoEFUbVT-mtrbks-psgr-gasveh'!R7</f>
        <v>0</v>
      </c>
      <c r="S7">
        <f>'BPoEFUbVT-mtrbks-psgr-gasveh'!S7</f>
        <v>0</v>
      </c>
      <c r="T7">
        <f>'BPoEFUbVT-mtrbks-psgr-gasveh'!T7</f>
        <v>0</v>
      </c>
      <c r="U7">
        <f>'BPoEFUbVT-mtrbks-psgr-gasveh'!U7</f>
        <v>0</v>
      </c>
      <c r="V7">
        <f>'BPoEFUbVT-mtrbks-psgr-gasveh'!V7</f>
        <v>0</v>
      </c>
      <c r="W7">
        <f>'BPoEFUbVT-mtrbks-psgr-gasveh'!W7</f>
        <v>0</v>
      </c>
      <c r="X7">
        <f>'BPoEFUbVT-mtrbks-psgr-gasveh'!X7</f>
        <v>0</v>
      </c>
      <c r="Y7">
        <f>'BPoEFUbVT-mtrbks-psgr-gasveh'!Y7</f>
        <v>0</v>
      </c>
      <c r="Z7">
        <f>'BPoEFUbVT-mtrbks-psgr-gasveh'!Z7</f>
        <v>0</v>
      </c>
      <c r="AA7">
        <f>'BPoEFUbVT-mtrbks-psgr-gasveh'!AA7</f>
        <v>0</v>
      </c>
      <c r="AB7">
        <f>'BPoEFUbVT-mtrbks-psgr-gasveh'!AB7</f>
        <v>0</v>
      </c>
      <c r="AC7">
        <f>'BPoEFUbVT-mtrbks-psgr-gasveh'!AC7</f>
        <v>0</v>
      </c>
      <c r="AD7">
        <f>'BPoEFUbVT-mtrbks-psgr-gasveh'!AD7</f>
        <v>0</v>
      </c>
      <c r="AE7">
        <f>'BPoEFUbVT-mtrbks-psgr-gasveh'!AE7</f>
        <v>0</v>
      </c>
    </row>
    <row r="8" spans="1:31">
      <c r="A8" t="s">
        <v>20</v>
      </c>
      <c r="B8">
        <f>'BPoEFUbVT-mtrbks-psgr-gasveh'!B8</f>
        <v>0</v>
      </c>
      <c r="C8">
        <f>'BPoEFUbVT-mtrbks-psgr-gasveh'!C8</f>
        <v>0</v>
      </c>
      <c r="D8">
        <f>'BPoEFUbVT-mtrbks-psgr-gasveh'!D8</f>
        <v>0</v>
      </c>
      <c r="E8">
        <f>'BPoEFUbVT-mtrbks-psgr-gasveh'!E8</f>
        <v>0</v>
      </c>
      <c r="F8">
        <f>'BPoEFUbVT-mtrbks-psgr-gasveh'!F8</f>
        <v>0</v>
      </c>
      <c r="G8">
        <f>'BPoEFUbVT-mtrbks-psgr-gasveh'!G8</f>
        <v>0</v>
      </c>
      <c r="H8">
        <f>'BPoEFUbVT-mtrbks-psgr-gasveh'!H8</f>
        <v>0</v>
      </c>
      <c r="I8">
        <f>'BPoEFUbVT-mtrbks-psgr-gasveh'!I8</f>
        <v>0</v>
      </c>
      <c r="J8">
        <f>'BPoEFUbVT-mtrbks-psgr-gasveh'!J8</f>
        <v>0</v>
      </c>
      <c r="K8">
        <f>'BPoEFUbVT-mtrbks-psgr-gasveh'!K8</f>
        <v>0</v>
      </c>
      <c r="L8">
        <f>'BPoEFUbVT-mtrbks-psgr-gasveh'!L8</f>
        <v>0</v>
      </c>
      <c r="M8">
        <f>'BPoEFUbVT-mtrbks-psgr-gasveh'!M8</f>
        <v>0</v>
      </c>
      <c r="N8">
        <f>'BPoEFUbVT-mtrbks-psgr-gasveh'!N8</f>
        <v>0</v>
      </c>
      <c r="O8">
        <f>'BPoEFUbVT-mtrbks-psgr-gasveh'!O8</f>
        <v>0</v>
      </c>
      <c r="P8">
        <f>'BPoEFUbVT-mtrbks-psgr-gasveh'!P8</f>
        <v>0</v>
      </c>
      <c r="Q8">
        <f>'BPoEFUbVT-mtrbks-psgr-gasveh'!Q8</f>
        <v>0</v>
      </c>
      <c r="R8">
        <f>'BPoEFUbVT-mtrbks-psgr-gasveh'!R8</f>
        <v>0</v>
      </c>
      <c r="S8">
        <f>'BPoEFUbVT-mtrbks-psgr-gasveh'!S8</f>
        <v>0</v>
      </c>
      <c r="T8">
        <f>'BPoEFUbVT-mtrbks-psgr-gasveh'!T8</f>
        <v>0</v>
      </c>
      <c r="U8">
        <f>'BPoEFUbVT-mtrbks-psgr-gasveh'!U8</f>
        <v>0</v>
      </c>
      <c r="V8">
        <f>'BPoEFUbVT-mtrbks-psgr-gasveh'!V8</f>
        <v>0</v>
      </c>
      <c r="W8">
        <f>'BPoEFUbVT-mtrbks-psgr-gasveh'!W8</f>
        <v>0</v>
      </c>
      <c r="X8">
        <f>'BPoEFUbVT-mtrbks-psgr-gasveh'!X8</f>
        <v>0</v>
      </c>
      <c r="Y8">
        <f>'BPoEFUbVT-mtrbks-psgr-gasveh'!Y8</f>
        <v>0</v>
      </c>
      <c r="Z8">
        <f>'BPoEFUbVT-mtrbks-psgr-gasveh'!Z8</f>
        <v>0</v>
      </c>
      <c r="AA8">
        <f>'BPoEFUbVT-mtrbks-psgr-gasveh'!AA8</f>
        <v>0</v>
      </c>
      <c r="AB8">
        <f>'BPoEFUbVT-mtrbks-psgr-gasveh'!AB8</f>
        <v>0</v>
      </c>
      <c r="AC8">
        <f>'BPoEFUbVT-mtrbks-psgr-gasveh'!AC8</f>
        <v>0</v>
      </c>
      <c r="AD8">
        <f>'BPoEFUbVT-mtrbks-psgr-gasveh'!AD8</f>
        <v>0</v>
      </c>
      <c r="AE8">
        <f>'BPoEFUbVT-mtrbks-psgr-gasveh'!AE8</f>
        <v>0</v>
      </c>
    </row>
    <row r="9" spans="1:31">
      <c r="A9" t="s">
        <v>82</v>
      </c>
      <c r="B9">
        <v>0</v>
      </c>
      <c r="C9">
        <v>0</v>
      </c>
      <c r="D9">
        <v>0</v>
      </c>
      <c r="E9">
        <v>0</v>
      </c>
      <c r="F9">
        <v>0</v>
      </c>
      <c r="G9">
        <v>0</v>
      </c>
      <c r="H9">
        <v>0</v>
      </c>
      <c r="I9">
        <v>0</v>
      </c>
      <c r="J9">
        <v>0</v>
      </c>
      <c r="K9">
        <v>0</v>
      </c>
      <c r="L9">
        <v>0</v>
      </c>
      <c r="M9">
        <v>0</v>
      </c>
      <c r="N9">
        <v>0</v>
      </c>
      <c r="O9">
        <v>0</v>
      </c>
      <c r="P9">
        <v>0</v>
      </c>
      <c r="Q9">
        <v>0</v>
      </c>
      <c r="R9">
        <v>0</v>
      </c>
      <c r="S9">
        <v>0</v>
      </c>
      <c r="T9">
        <v>0</v>
      </c>
      <c r="U9">
        <v>0</v>
      </c>
      <c r="V9">
        <v>0</v>
      </c>
      <c r="W9">
        <v>0</v>
      </c>
      <c r="X9">
        <v>0</v>
      </c>
      <c r="Y9">
        <v>0</v>
      </c>
      <c r="Z9">
        <v>0</v>
      </c>
      <c r="AA9">
        <v>0</v>
      </c>
      <c r="AB9">
        <v>0</v>
      </c>
      <c r="AC9">
        <v>0</v>
      </c>
      <c r="AD9">
        <v>0</v>
      </c>
      <c r="AE9">
        <v>0</v>
      </c>
    </row>
    <row r="10" spans="1:31">
      <c r="A10" t="s">
        <v>83</v>
      </c>
      <c r="B10">
        <v>0</v>
      </c>
      <c r="C10">
        <v>0</v>
      </c>
      <c r="D10">
        <v>0</v>
      </c>
      <c r="E10">
        <v>0</v>
      </c>
      <c r="F10">
        <v>0</v>
      </c>
      <c r="G10">
        <v>0</v>
      </c>
      <c r="H10">
        <v>0</v>
      </c>
      <c r="I10">
        <v>0</v>
      </c>
      <c r="J10">
        <v>0</v>
      </c>
      <c r="K10">
        <v>0</v>
      </c>
      <c r="L10">
        <v>0</v>
      </c>
      <c r="M10">
        <v>0</v>
      </c>
      <c r="N10">
        <v>0</v>
      </c>
      <c r="O10">
        <v>0</v>
      </c>
      <c r="P10">
        <v>0</v>
      </c>
      <c r="Q10">
        <v>0</v>
      </c>
      <c r="R10">
        <v>0</v>
      </c>
      <c r="S10">
        <v>0</v>
      </c>
      <c r="T10">
        <v>0</v>
      </c>
      <c r="U10">
        <v>0</v>
      </c>
      <c r="V10">
        <v>0</v>
      </c>
      <c r="W10">
        <v>0</v>
      </c>
      <c r="X10">
        <v>0</v>
      </c>
      <c r="Y10">
        <v>0</v>
      </c>
      <c r="Z10">
        <v>0</v>
      </c>
      <c r="AA10">
        <v>0</v>
      </c>
      <c r="AB10">
        <v>0</v>
      </c>
      <c r="AC10">
        <v>0</v>
      </c>
      <c r="AD10">
        <v>0</v>
      </c>
      <c r="AE10">
        <v>0</v>
      </c>
    </row>
    <row r="11" spans="1:31">
      <c r="A11" t="s">
        <v>84</v>
      </c>
      <c r="B11">
        <v>0</v>
      </c>
      <c r="C11">
        <v>0</v>
      </c>
      <c r="D11">
        <v>0</v>
      </c>
      <c r="E11">
        <v>0</v>
      </c>
      <c r="F11">
        <v>0</v>
      </c>
      <c r="G11">
        <v>0</v>
      </c>
      <c r="H11">
        <v>0</v>
      </c>
      <c r="I11">
        <v>0</v>
      </c>
      <c r="J11">
        <v>0</v>
      </c>
      <c r="K11">
        <v>0</v>
      </c>
      <c r="L11">
        <v>0</v>
      </c>
      <c r="M11">
        <v>0</v>
      </c>
      <c r="N11">
        <v>0</v>
      </c>
      <c r="O11">
        <v>0</v>
      </c>
      <c r="P11">
        <v>0</v>
      </c>
      <c r="Q11">
        <v>0</v>
      </c>
      <c r="R11">
        <v>0</v>
      </c>
      <c r="S11">
        <v>0</v>
      </c>
      <c r="T11">
        <v>0</v>
      </c>
      <c r="U11">
        <v>0</v>
      </c>
      <c r="V11">
        <v>0</v>
      </c>
      <c r="W11">
        <v>0</v>
      </c>
      <c r="X11">
        <v>0</v>
      </c>
      <c r="Y11">
        <v>0</v>
      </c>
      <c r="Z11">
        <v>0</v>
      </c>
      <c r="AA11">
        <v>0</v>
      </c>
      <c r="AB11">
        <v>0</v>
      </c>
      <c r="AC11">
        <v>0</v>
      </c>
      <c r="AD11">
        <v>0</v>
      </c>
      <c r="AE11">
        <v>0</v>
      </c>
    </row>
  </sheetData>
  <pageMargins left="0.7" right="0.7" top="0.75" bottom="0.75" header="0.3" footer="0.3"/>
</worksheet>
</file>

<file path=xl/worksheets/sheet9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5500-000000000000}">
  <sheetPr>
    <tabColor theme="3"/>
  </sheetPr>
  <dimension ref="A1:AC11"/>
  <sheetViews>
    <sheetView workbookViewId="0">
      <selection activeCell="B1" sqref="B1"/>
    </sheetView>
  </sheetViews>
  <sheetFormatPr defaultRowHeight="14.25"/>
  <cols>
    <col min="1" max="1" width="22.53125" customWidth="1"/>
  </cols>
  <sheetData>
    <row r="1" spans="1:29" ht="28.5">
      <c r="A1" s="10" t="s">
        <v>85</v>
      </c>
      <c r="B1">
        <f>'BPoEFUbVT-mtrbks-psgr-dslveh'!B1</f>
        <v>2023</v>
      </c>
      <c r="C1">
        <f>'BPoEFUbVT-mtrbks-psgr-dslveh'!C1</f>
        <v>2024</v>
      </c>
      <c r="D1">
        <f>'BPoEFUbVT-mtrbks-psgr-dslveh'!D1</f>
        <v>2025</v>
      </c>
      <c r="E1">
        <f>'BPoEFUbVT-mtrbks-psgr-dslveh'!E1</f>
        <v>2026</v>
      </c>
      <c r="F1">
        <f>'BPoEFUbVT-mtrbks-psgr-dslveh'!F1</f>
        <v>2027</v>
      </c>
      <c r="G1">
        <f>'BPoEFUbVT-mtrbks-psgr-dslveh'!G1</f>
        <v>2028</v>
      </c>
      <c r="H1">
        <f>'BPoEFUbVT-mtrbks-psgr-dslveh'!H1</f>
        <v>2029</v>
      </c>
      <c r="I1">
        <f>'BPoEFUbVT-mtrbks-psgr-dslveh'!I1</f>
        <v>2030</v>
      </c>
      <c r="J1">
        <f>'BPoEFUbVT-mtrbks-psgr-dslveh'!J1</f>
        <v>2031</v>
      </c>
      <c r="K1">
        <f>'BPoEFUbVT-mtrbks-psgr-dslveh'!K1</f>
        <v>2032</v>
      </c>
      <c r="L1">
        <f>'BPoEFUbVT-mtrbks-psgr-dslveh'!L1</f>
        <v>2033</v>
      </c>
      <c r="M1">
        <f>'BPoEFUbVT-mtrbks-psgr-dslveh'!M1</f>
        <v>2034</v>
      </c>
      <c r="N1">
        <f>'BPoEFUbVT-mtrbks-psgr-dslveh'!N1</f>
        <v>2035</v>
      </c>
      <c r="O1">
        <f>'BPoEFUbVT-mtrbks-psgr-dslveh'!O1</f>
        <v>2036</v>
      </c>
      <c r="P1">
        <f>'BPoEFUbVT-mtrbks-psgr-dslveh'!P1</f>
        <v>2037</v>
      </c>
      <c r="Q1">
        <f>'BPoEFUbVT-mtrbks-psgr-dslveh'!Q1</f>
        <v>2038</v>
      </c>
      <c r="R1">
        <f>'BPoEFUbVT-mtrbks-psgr-dslveh'!R1</f>
        <v>2039</v>
      </c>
      <c r="S1">
        <f>'BPoEFUbVT-mtrbks-psgr-dslveh'!S1</f>
        <v>2040</v>
      </c>
      <c r="T1">
        <f>'BPoEFUbVT-mtrbks-psgr-dslveh'!T1</f>
        <v>2041</v>
      </c>
      <c r="U1">
        <f>'BPoEFUbVT-mtrbks-psgr-dslveh'!U1</f>
        <v>2042</v>
      </c>
      <c r="V1">
        <f>'BPoEFUbVT-mtrbks-psgr-dslveh'!V1</f>
        <v>2043</v>
      </c>
      <c r="W1">
        <f>'BPoEFUbVT-mtrbks-psgr-dslveh'!W1</f>
        <v>2044</v>
      </c>
      <c r="X1">
        <f>'BPoEFUbVT-mtrbks-psgr-dslveh'!X1</f>
        <v>2045</v>
      </c>
      <c r="Y1">
        <f>'BPoEFUbVT-mtrbks-psgr-dslveh'!Y1</f>
        <v>2046</v>
      </c>
      <c r="Z1">
        <f>'BPoEFUbVT-mtrbks-psgr-dslveh'!Z1</f>
        <v>2047</v>
      </c>
      <c r="AA1">
        <f>'BPoEFUbVT-mtrbks-psgr-dslveh'!AA1</f>
        <v>2048</v>
      </c>
      <c r="AB1">
        <f>'BPoEFUbVT-mtrbks-psgr-dslveh'!AB1</f>
        <v>2049</v>
      </c>
      <c r="AC1">
        <f>'BPoEFUbVT-mtrbks-psgr-dslveh'!AC1</f>
        <v>2050</v>
      </c>
    </row>
    <row r="2" spans="1:29">
      <c r="A2" t="s">
        <v>15</v>
      </c>
      <c r="B2">
        <f>'BPoEFUbVT-mtrbks-psgr-dslveh'!B2</f>
        <v>0</v>
      </c>
      <c r="C2">
        <f>'BPoEFUbVT-mtrbks-psgr-dslveh'!C2</f>
        <v>0</v>
      </c>
      <c r="D2">
        <f>'BPoEFUbVT-mtrbks-psgr-dslveh'!D2</f>
        <v>0</v>
      </c>
      <c r="E2">
        <f>'BPoEFUbVT-mtrbks-psgr-dslveh'!E2</f>
        <v>0</v>
      </c>
      <c r="F2">
        <f>'BPoEFUbVT-mtrbks-psgr-dslveh'!F2</f>
        <v>0</v>
      </c>
      <c r="G2">
        <f>'BPoEFUbVT-mtrbks-psgr-dslveh'!G2</f>
        <v>0</v>
      </c>
      <c r="H2">
        <f>'BPoEFUbVT-mtrbks-psgr-dslveh'!H2</f>
        <v>0</v>
      </c>
      <c r="I2">
        <f>'BPoEFUbVT-mtrbks-psgr-dslveh'!I2</f>
        <v>0</v>
      </c>
      <c r="J2">
        <f>'BPoEFUbVT-mtrbks-psgr-dslveh'!J2</f>
        <v>0</v>
      </c>
      <c r="K2">
        <f>'BPoEFUbVT-mtrbks-psgr-dslveh'!K2</f>
        <v>0</v>
      </c>
      <c r="L2">
        <f>'BPoEFUbVT-mtrbks-psgr-dslveh'!L2</f>
        <v>0</v>
      </c>
      <c r="M2">
        <f>'BPoEFUbVT-mtrbks-psgr-dslveh'!M2</f>
        <v>0</v>
      </c>
      <c r="N2">
        <f>'BPoEFUbVT-mtrbks-psgr-dslveh'!N2</f>
        <v>0</v>
      </c>
      <c r="O2">
        <f>'BPoEFUbVT-mtrbks-psgr-dslveh'!O2</f>
        <v>0</v>
      </c>
      <c r="P2">
        <f>'BPoEFUbVT-mtrbks-psgr-dslveh'!P2</f>
        <v>0</v>
      </c>
      <c r="Q2">
        <f>'BPoEFUbVT-mtrbks-psgr-dslveh'!Q2</f>
        <v>0</v>
      </c>
      <c r="R2">
        <f>'BPoEFUbVT-mtrbks-psgr-dslveh'!R2</f>
        <v>0</v>
      </c>
      <c r="S2">
        <f>'BPoEFUbVT-mtrbks-psgr-dslveh'!S2</f>
        <v>0</v>
      </c>
      <c r="T2">
        <f>'BPoEFUbVT-mtrbks-psgr-dslveh'!T2</f>
        <v>0</v>
      </c>
      <c r="U2">
        <f>'BPoEFUbVT-mtrbks-psgr-dslveh'!U2</f>
        <v>0</v>
      </c>
      <c r="V2">
        <f>'BPoEFUbVT-mtrbks-psgr-dslveh'!V2</f>
        <v>0</v>
      </c>
      <c r="W2">
        <f>'BPoEFUbVT-mtrbks-psgr-dslveh'!W2</f>
        <v>0</v>
      </c>
      <c r="X2">
        <f>'BPoEFUbVT-mtrbks-psgr-dslveh'!X2</f>
        <v>0</v>
      </c>
      <c r="Y2">
        <f>'BPoEFUbVT-mtrbks-psgr-dslveh'!Y2</f>
        <v>0</v>
      </c>
      <c r="Z2">
        <f>'BPoEFUbVT-mtrbks-psgr-dslveh'!Z2</f>
        <v>0</v>
      </c>
      <c r="AA2">
        <f>'BPoEFUbVT-mtrbks-psgr-dslveh'!AA2</f>
        <v>0</v>
      </c>
      <c r="AB2">
        <f>'BPoEFUbVT-mtrbks-psgr-dslveh'!AB2</f>
        <v>0</v>
      </c>
      <c r="AC2">
        <f>'BPoEFUbVT-mtrbks-psgr-dslveh'!AC2</f>
        <v>0</v>
      </c>
    </row>
    <row r="3" spans="1:29">
      <c r="A3" t="s">
        <v>16</v>
      </c>
      <c r="B3">
        <f>'BPoEFUbVT-mtrbks-psgr-dslveh'!B3</f>
        <v>0</v>
      </c>
      <c r="C3">
        <f>'BPoEFUbVT-mtrbks-psgr-dslveh'!C3</f>
        <v>0</v>
      </c>
      <c r="D3">
        <f>'BPoEFUbVT-mtrbks-psgr-dslveh'!D3</f>
        <v>0</v>
      </c>
      <c r="E3">
        <f>'BPoEFUbVT-mtrbks-psgr-dslveh'!E3</f>
        <v>0</v>
      </c>
      <c r="F3">
        <f>'BPoEFUbVT-mtrbks-psgr-dslveh'!F3</f>
        <v>0</v>
      </c>
      <c r="G3">
        <f>'BPoEFUbVT-mtrbks-psgr-dslveh'!G3</f>
        <v>0</v>
      </c>
      <c r="H3">
        <f>'BPoEFUbVT-mtrbks-psgr-dslveh'!H3</f>
        <v>0</v>
      </c>
      <c r="I3">
        <f>'BPoEFUbVT-mtrbks-psgr-dslveh'!I3</f>
        <v>0</v>
      </c>
      <c r="J3">
        <f>'BPoEFUbVT-mtrbks-psgr-dslveh'!J3</f>
        <v>0</v>
      </c>
      <c r="K3">
        <f>'BPoEFUbVT-mtrbks-psgr-dslveh'!K3</f>
        <v>0</v>
      </c>
      <c r="L3">
        <f>'BPoEFUbVT-mtrbks-psgr-dslveh'!L3</f>
        <v>0</v>
      </c>
      <c r="M3">
        <f>'BPoEFUbVT-mtrbks-psgr-dslveh'!M3</f>
        <v>0</v>
      </c>
      <c r="N3">
        <f>'BPoEFUbVT-mtrbks-psgr-dslveh'!N3</f>
        <v>0</v>
      </c>
      <c r="O3">
        <f>'BPoEFUbVT-mtrbks-psgr-dslveh'!O3</f>
        <v>0</v>
      </c>
      <c r="P3">
        <f>'BPoEFUbVT-mtrbks-psgr-dslveh'!P3</f>
        <v>0</v>
      </c>
      <c r="Q3">
        <f>'BPoEFUbVT-mtrbks-psgr-dslveh'!Q3</f>
        <v>0</v>
      </c>
      <c r="R3">
        <f>'BPoEFUbVT-mtrbks-psgr-dslveh'!R3</f>
        <v>0</v>
      </c>
      <c r="S3">
        <f>'BPoEFUbVT-mtrbks-psgr-dslveh'!S3</f>
        <v>0</v>
      </c>
      <c r="T3">
        <f>'BPoEFUbVT-mtrbks-psgr-dslveh'!T3</f>
        <v>0</v>
      </c>
      <c r="U3">
        <f>'BPoEFUbVT-mtrbks-psgr-dslveh'!U3</f>
        <v>0</v>
      </c>
      <c r="V3">
        <f>'BPoEFUbVT-mtrbks-psgr-dslveh'!V3</f>
        <v>0</v>
      </c>
      <c r="W3">
        <f>'BPoEFUbVT-mtrbks-psgr-dslveh'!W3</f>
        <v>0</v>
      </c>
      <c r="X3">
        <f>'BPoEFUbVT-mtrbks-psgr-dslveh'!X3</f>
        <v>0</v>
      </c>
      <c r="Y3">
        <f>'BPoEFUbVT-mtrbks-psgr-dslveh'!Y3</f>
        <v>0</v>
      </c>
      <c r="Z3">
        <f>'BPoEFUbVT-mtrbks-psgr-dslveh'!Z3</f>
        <v>0</v>
      </c>
      <c r="AA3">
        <f>'BPoEFUbVT-mtrbks-psgr-dslveh'!AA3</f>
        <v>0</v>
      </c>
      <c r="AB3">
        <f>'BPoEFUbVT-mtrbks-psgr-dslveh'!AB3</f>
        <v>0</v>
      </c>
      <c r="AC3">
        <f>'BPoEFUbVT-mtrbks-psgr-dslveh'!AC3</f>
        <v>0</v>
      </c>
    </row>
    <row r="4" spans="1:29">
      <c r="A4" t="s">
        <v>17</v>
      </c>
      <c r="B4">
        <f>'BPoEFUbVT-mtrbks-psgr-dslveh'!B4</f>
        <v>0</v>
      </c>
      <c r="C4">
        <f>'BPoEFUbVT-mtrbks-psgr-dslveh'!C4</f>
        <v>0</v>
      </c>
      <c r="D4">
        <f>'BPoEFUbVT-mtrbks-psgr-dslveh'!D4</f>
        <v>0</v>
      </c>
      <c r="E4">
        <f>'BPoEFUbVT-mtrbks-psgr-dslveh'!E4</f>
        <v>0</v>
      </c>
      <c r="F4">
        <f>'BPoEFUbVT-mtrbks-psgr-dslveh'!F4</f>
        <v>0</v>
      </c>
      <c r="G4">
        <f>'BPoEFUbVT-mtrbks-psgr-dslveh'!G4</f>
        <v>0</v>
      </c>
      <c r="H4">
        <f>'BPoEFUbVT-mtrbks-psgr-dslveh'!H4</f>
        <v>0</v>
      </c>
      <c r="I4">
        <f>'BPoEFUbVT-mtrbks-psgr-dslveh'!I4</f>
        <v>0</v>
      </c>
      <c r="J4">
        <f>'BPoEFUbVT-mtrbks-psgr-dslveh'!J4</f>
        <v>0</v>
      </c>
      <c r="K4">
        <f>'BPoEFUbVT-mtrbks-psgr-dslveh'!K4</f>
        <v>0</v>
      </c>
      <c r="L4">
        <f>'BPoEFUbVT-mtrbks-psgr-dslveh'!L4</f>
        <v>0</v>
      </c>
      <c r="M4">
        <f>'BPoEFUbVT-mtrbks-psgr-dslveh'!M4</f>
        <v>0</v>
      </c>
      <c r="N4">
        <f>'BPoEFUbVT-mtrbks-psgr-dslveh'!N4</f>
        <v>0</v>
      </c>
      <c r="O4">
        <f>'BPoEFUbVT-mtrbks-psgr-dslveh'!O4</f>
        <v>0</v>
      </c>
      <c r="P4">
        <f>'BPoEFUbVT-mtrbks-psgr-dslveh'!P4</f>
        <v>0</v>
      </c>
      <c r="Q4">
        <f>'BPoEFUbVT-mtrbks-psgr-dslveh'!Q4</f>
        <v>0</v>
      </c>
      <c r="R4">
        <f>'BPoEFUbVT-mtrbks-psgr-dslveh'!R4</f>
        <v>0</v>
      </c>
      <c r="S4">
        <f>'BPoEFUbVT-mtrbks-psgr-dslveh'!S4</f>
        <v>0</v>
      </c>
      <c r="T4">
        <f>'BPoEFUbVT-mtrbks-psgr-dslveh'!T4</f>
        <v>0</v>
      </c>
      <c r="U4">
        <f>'BPoEFUbVT-mtrbks-psgr-dslveh'!U4</f>
        <v>0</v>
      </c>
      <c r="V4">
        <f>'BPoEFUbVT-mtrbks-psgr-dslveh'!V4</f>
        <v>0</v>
      </c>
      <c r="W4">
        <f>'BPoEFUbVT-mtrbks-psgr-dslveh'!W4</f>
        <v>0</v>
      </c>
      <c r="X4">
        <f>'BPoEFUbVT-mtrbks-psgr-dslveh'!X4</f>
        <v>0</v>
      </c>
      <c r="Y4">
        <f>'BPoEFUbVT-mtrbks-psgr-dslveh'!Y4</f>
        <v>0</v>
      </c>
      <c r="Z4">
        <f>'BPoEFUbVT-mtrbks-psgr-dslveh'!Z4</f>
        <v>0</v>
      </c>
      <c r="AA4">
        <f>'BPoEFUbVT-mtrbks-psgr-dslveh'!AA4</f>
        <v>0</v>
      </c>
      <c r="AB4">
        <f>'BPoEFUbVT-mtrbks-psgr-dslveh'!AB4</f>
        <v>0</v>
      </c>
      <c r="AC4">
        <f>'BPoEFUbVT-mtrbks-psgr-dslveh'!AC4</f>
        <v>0</v>
      </c>
    </row>
    <row r="5" spans="1:29">
      <c r="A5" t="s">
        <v>18</v>
      </c>
      <c r="B5">
        <f>'BPoEFUbVT-mtrbks-psgr-dslveh'!B5</f>
        <v>0.96756119768275339</v>
      </c>
      <c r="C5">
        <f>'BPoEFUbVT-mtrbks-psgr-dslveh'!C5</f>
        <v>0.96041416638410693</v>
      </c>
      <c r="D5">
        <f>'BPoEFUbVT-mtrbks-psgr-dslveh'!D5</f>
        <v>0.97373256429929333</v>
      </c>
      <c r="E5">
        <f>'BPoEFUbVT-mtrbks-psgr-dslveh'!E5</f>
        <v>0.96837869027778645</v>
      </c>
      <c r="F5">
        <f>'BPoEFUbVT-mtrbks-psgr-dslveh'!F5</f>
        <v>0.96966376381580111</v>
      </c>
      <c r="G5">
        <f>'BPoEFUbVT-mtrbks-psgr-dslveh'!G5</f>
        <v>0.96865854353538616</v>
      </c>
      <c r="H5">
        <f>'BPoEFUbVT-mtrbks-psgr-dslveh'!H5</f>
        <v>0.96792764653725427</v>
      </c>
      <c r="I5">
        <f>'BPoEFUbVT-mtrbks-psgr-dslveh'!I5</f>
        <v>0.97331643318672201</v>
      </c>
      <c r="J5">
        <f>'BPoEFUbVT-mtrbks-psgr-dslveh'!J5</f>
        <v>0.9718891175234271</v>
      </c>
      <c r="K5">
        <f>'BPoEFUbVT-mtrbks-psgr-dslveh'!K5</f>
        <v>0.97112755680124419</v>
      </c>
      <c r="L5">
        <f>'BPoEFUbVT-mtrbks-psgr-dslveh'!L5</f>
        <v>0.96953215672773896</v>
      </c>
      <c r="M5">
        <f>'BPoEFUbVT-mtrbks-psgr-dslveh'!M5</f>
        <v>0.96878215000290413</v>
      </c>
      <c r="N5">
        <f>'BPoEFUbVT-mtrbks-psgr-dslveh'!N5</f>
        <v>0.96812465179023832</v>
      </c>
      <c r="O5">
        <f>'BPoEFUbVT-mtrbks-psgr-dslveh'!O5</f>
        <v>0.96986559390838423</v>
      </c>
      <c r="P5">
        <f>'BPoEFUbVT-mtrbks-psgr-dslveh'!P5</f>
        <v>0.96826904520338963</v>
      </c>
      <c r="Q5">
        <f>'BPoEFUbVT-mtrbks-psgr-dslveh'!Q5</f>
        <v>0.96839488555451003</v>
      </c>
      <c r="R5">
        <f>'BPoEFUbVT-mtrbks-psgr-dslveh'!R5</f>
        <v>0.96870670002527937</v>
      </c>
      <c r="S5">
        <f>'BPoEFUbVT-mtrbks-psgr-dslveh'!S5</f>
        <v>0.96905933663555699</v>
      </c>
      <c r="T5">
        <f>'BPoEFUbVT-mtrbks-psgr-dslveh'!T5</f>
        <v>0.96946160326764974</v>
      </c>
      <c r="U5">
        <f>'BPoEFUbVT-mtrbks-psgr-dslveh'!U5</f>
        <v>0.96987423251102012</v>
      </c>
      <c r="V5">
        <f>'BPoEFUbVT-mtrbks-psgr-dslveh'!V5</f>
        <v>0.97031048712680901</v>
      </c>
      <c r="W5">
        <f>'BPoEFUbVT-mtrbks-psgr-dslveh'!W5</f>
        <v>0.97078974782181038</v>
      </c>
      <c r="X5">
        <f>'BPoEFUbVT-mtrbks-psgr-dslveh'!X5</f>
        <v>0.97134811027621315</v>
      </c>
      <c r="Y5">
        <f>'BPoEFUbVT-mtrbks-psgr-dslveh'!Y5</f>
        <v>0.97195157869542803</v>
      </c>
      <c r="Z5">
        <f>'BPoEFUbVT-mtrbks-psgr-dslveh'!Z5</f>
        <v>0.97249434040966198</v>
      </c>
      <c r="AA5">
        <f>'BPoEFUbVT-mtrbks-psgr-dslveh'!AA5</f>
        <v>0.97312409878794037</v>
      </c>
      <c r="AB5">
        <f>'BPoEFUbVT-mtrbks-psgr-dslveh'!AB5</f>
        <v>0.97379379073714167</v>
      </c>
      <c r="AC5">
        <f>'BPoEFUbVT-mtrbks-psgr-dslveh'!AC5</f>
        <v>0.97448716941846381</v>
      </c>
    </row>
    <row r="6" spans="1:29">
      <c r="A6" t="s">
        <v>19</v>
      </c>
      <c r="B6">
        <f>'BPoEFUbVT-mtrbks-psgr-dslveh'!B6</f>
        <v>0</v>
      </c>
      <c r="C6">
        <f>'BPoEFUbVT-mtrbks-psgr-dslveh'!C6</f>
        <v>0</v>
      </c>
      <c r="D6">
        <f>'BPoEFUbVT-mtrbks-psgr-dslveh'!D6</f>
        <v>0</v>
      </c>
      <c r="E6">
        <f>'BPoEFUbVT-mtrbks-psgr-dslveh'!E6</f>
        <v>0</v>
      </c>
      <c r="F6">
        <f>'BPoEFUbVT-mtrbks-psgr-dslveh'!F6</f>
        <v>0</v>
      </c>
      <c r="G6">
        <f>'BPoEFUbVT-mtrbks-psgr-dslveh'!G6</f>
        <v>0</v>
      </c>
      <c r="H6">
        <f>'BPoEFUbVT-mtrbks-psgr-dslveh'!H6</f>
        <v>0</v>
      </c>
      <c r="I6">
        <f>'BPoEFUbVT-mtrbks-psgr-dslveh'!I6</f>
        <v>0</v>
      </c>
      <c r="J6">
        <f>'BPoEFUbVT-mtrbks-psgr-dslveh'!J6</f>
        <v>0</v>
      </c>
      <c r="K6">
        <f>'BPoEFUbVT-mtrbks-psgr-dslveh'!K6</f>
        <v>0</v>
      </c>
      <c r="L6">
        <f>'BPoEFUbVT-mtrbks-psgr-dslveh'!L6</f>
        <v>0</v>
      </c>
      <c r="M6">
        <f>'BPoEFUbVT-mtrbks-psgr-dslveh'!M6</f>
        <v>0</v>
      </c>
      <c r="N6">
        <f>'BPoEFUbVT-mtrbks-psgr-dslveh'!N6</f>
        <v>0</v>
      </c>
      <c r="O6">
        <f>'BPoEFUbVT-mtrbks-psgr-dslveh'!O6</f>
        <v>0</v>
      </c>
      <c r="P6">
        <f>'BPoEFUbVT-mtrbks-psgr-dslveh'!P6</f>
        <v>0</v>
      </c>
      <c r="Q6">
        <f>'BPoEFUbVT-mtrbks-psgr-dslveh'!Q6</f>
        <v>0</v>
      </c>
      <c r="R6">
        <f>'BPoEFUbVT-mtrbks-psgr-dslveh'!R6</f>
        <v>0</v>
      </c>
      <c r="S6">
        <f>'BPoEFUbVT-mtrbks-psgr-dslveh'!S6</f>
        <v>0</v>
      </c>
      <c r="T6">
        <f>'BPoEFUbVT-mtrbks-psgr-dslveh'!T6</f>
        <v>0</v>
      </c>
      <c r="U6">
        <f>'BPoEFUbVT-mtrbks-psgr-dslveh'!U6</f>
        <v>0</v>
      </c>
      <c r="V6">
        <f>'BPoEFUbVT-mtrbks-psgr-dslveh'!V6</f>
        <v>0</v>
      </c>
      <c r="W6">
        <f>'BPoEFUbVT-mtrbks-psgr-dslveh'!W6</f>
        <v>0</v>
      </c>
      <c r="X6">
        <f>'BPoEFUbVT-mtrbks-psgr-dslveh'!X6</f>
        <v>0</v>
      </c>
      <c r="Y6">
        <f>'BPoEFUbVT-mtrbks-psgr-dslveh'!Y6</f>
        <v>0</v>
      </c>
      <c r="Z6">
        <f>'BPoEFUbVT-mtrbks-psgr-dslveh'!Z6</f>
        <v>0</v>
      </c>
      <c r="AA6">
        <f>'BPoEFUbVT-mtrbks-psgr-dslveh'!AA6</f>
        <v>0</v>
      </c>
      <c r="AB6">
        <f>'BPoEFUbVT-mtrbks-psgr-dslveh'!AB6</f>
        <v>0</v>
      </c>
      <c r="AC6">
        <f>'BPoEFUbVT-mtrbks-psgr-dslveh'!AC6</f>
        <v>0</v>
      </c>
    </row>
    <row r="7" spans="1:29">
      <c r="A7" t="s">
        <v>21</v>
      </c>
      <c r="B7">
        <f>'BPoEFUbVT-mtrbks-psgr-dslveh'!B7</f>
        <v>3.2438802317246634E-2</v>
      </c>
      <c r="C7">
        <f>'BPoEFUbVT-mtrbks-psgr-dslveh'!C7</f>
        <v>3.9585833615893101E-2</v>
      </c>
      <c r="D7">
        <f>'BPoEFUbVT-mtrbks-psgr-dslveh'!D7</f>
        <v>2.6267435700706714E-2</v>
      </c>
      <c r="E7">
        <f>'BPoEFUbVT-mtrbks-psgr-dslveh'!E7</f>
        <v>3.1621309722213581E-2</v>
      </c>
      <c r="F7">
        <f>'BPoEFUbVT-mtrbks-psgr-dslveh'!F7</f>
        <v>3.033623618419894E-2</v>
      </c>
      <c r="G7">
        <f>'BPoEFUbVT-mtrbks-psgr-dslveh'!G7</f>
        <v>3.1341456464613789E-2</v>
      </c>
      <c r="H7">
        <f>'BPoEFUbVT-mtrbks-psgr-dslveh'!H7</f>
        <v>3.2072353462745715E-2</v>
      </c>
      <c r="I7">
        <f>'BPoEFUbVT-mtrbks-psgr-dslveh'!I7</f>
        <v>2.6683566813277972E-2</v>
      </c>
      <c r="J7">
        <f>'BPoEFUbVT-mtrbks-psgr-dslveh'!J7</f>
        <v>2.8110882476572851E-2</v>
      </c>
      <c r="K7">
        <f>'BPoEFUbVT-mtrbks-psgr-dslveh'!K7</f>
        <v>2.8872443198755857E-2</v>
      </c>
      <c r="L7">
        <f>'BPoEFUbVT-mtrbks-psgr-dslveh'!L7</f>
        <v>3.046784327226101E-2</v>
      </c>
      <c r="M7">
        <f>'BPoEFUbVT-mtrbks-psgr-dslveh'!M7</f>
        <v>3.1217849997095815E-2</v>
      </c>
      <c r="N7">
        <f>'BPoEFUbVT-mtrbks-psgr-dslveh'!N7</f>
        <v>3.1875348209761699E-2</v>
      </c>
      <c r="O7">
        <f>'BPoEFUbVT-mtrbks-psgr-dslveh'!O7</f>
        <v>3.0134406091615811E-2</v>
      </c>
      <c r="P7">
        <f>'BPoEFUbVT-mtrbks-psgr-dslveh'!P7</f>
        <v>3.1730954796610401E-2</v>
      </c>
      <c r="Q7">
        <f>'BPoEFUbVT-mtrbks-psgr-dslveh'!Q7</f>
        <v>3.1605114445489989E-2</v>
      </c>
      <c r="R7">
        <f>'BPoEFUbVT-mtrbks-psgr-dslveh'!R7</f>
        <v>3.1293299974720641E-2</v>
      </c>
      <c r="S7">
        <f>'BPoEFUbVT-mtrbks-psgr-dslveh'!S7</f>
        <v>3.0940663364443025E-2</v>
      </c>
      <c r="T7">
        <f>'BPoEFUbVT-mtrbks-psgr-dslveh'!T7</f>
        <v>3.0538396732350235E-2</v>
      </c>
      <c r="U7">
        <f>'BPoEFUbVT-mtrbks-psgr-dslveh'!U7</f>
        <v>3.0125767488979882E-2</v>
      </c>
      <c r="V7">
        <f>'BPoEFUbVT-mtrbks-psgr-dslveh'!V7</f>
        <v>2.9689512873191E-2</v>
      </c>
      <c r="W7">
        <f>'BPoEFUbVT-mtrbks-psgr-dslveh'!W7</f>
        <v>2.9210252178189615E-2</v>
      </c>
      <c r="X7">
        <f>'BPoEFUbVT-mtrbks-psgr-dslveh'!X7</f>
        <v>2.8651889723786874E-2</v>
      </c>
      <c r="Y7">
        <f>'BPoEFUbVT-mtrbks-psgr-dslveh'!Y7</f>
        <v>2.8048421304572007E-2</v>
      </c>
      <c r="Z7">
        <f>'BPoEFUbVT-mtrbks-psgr-dslveh'!Z7</f>
        <v>2.7505659590338054E-2</v>
      </c>
      <c r="AA7">
        <f>'BPoEFUbVT-mtrbks-psgr-dslveh'!AA7</f>
        <v>2.6875901212059638E-2</v>
      </c>
      <c r="AB7">
        <f>'BPoEFUbVT-mtrbks-psgr-dslveh'!AB7</f>
        <v>2.6206209262858382E-2</v>
      </c>
      <c r="AC7">
        <f>'BPoEFUbVT-mtrbks-psgr-dslveh'!AC7</f>
        <v>2.5512830581536149E-2</v>
      </c>
    </row>
    <row r="8" spans="1:29">
      <c r="A8" t="s">
        <v>20</v>
      </c>
      <c r="B8">
        <f>'BPoEFUbVT-mtrbks-psgr-dslveh'!B8</f>
        <v>0</v>
      </c>
      <c r="C8">
        <f>'BPoEFUbVT-mtrbks-psgr-dslveh'!C8</f>
        <v>0</v>
      </c>
      <c r="D8">
        <f>'BPoEFUbVT-mtrbks-psgr-dslveh'!D8</f>
        <v>0</v>
      </c>
      <c r="E8">
        <f>'BPoEFUbVT-mtrbks-psgr-dslveh'!E8</f>
        <v>0</v>
      </c>
      <c r="F8">
        <f>'BPoEFUbVT-mtrbks-psgr-dslveh'!F8</f>
        <v>0</v>
      </c>
      <c r="G8">
        <f>'BPoEFUbVT-mtrbks-psgr-dslveh'!G8</f>
        <v>0</v>
      </c>
      <c r="H8">
        <f>'BPoEFUbVT-mtrbks-psgr-dslveh'!H8</f>
        <v>0</v>
      </c>
      <c r="I8">
        <f>'BPoEFUbVT-mtrbks-psgr-dslveh'!I8</f>
        <v>0</v>
      </c>
      <c r="J8">
        <f>'BPoEFUbVT-mtrbks-psgr-dslveh'!J8</f>
        <v>0</v>
      </c>
      <c r="K8">
        <f>'BPoEFUbVT-mtrbks-psgr-dslveh'!K8</f>
        <v>0</v>
      </c>
      <c r="L8">
        <f>'BPoEFUbVT-mtrbks-psgr-dslveh'!L8</f>
        <v>0</v>
      </c>
      <c r="M8">
        <f>'BPoEFUbVT-mtrbks-psgr-dslveh'!M8</f>
        <v>0</v>
      </c>
      <c r="N8">
        <f>'BPoEFUbVT-mtrbks-psgr-dslveh'!N8</f>
        <v>0</v>
      </c>
      <c r="O8">
        <f>'BPoEFUbVT-mtrbks-psgr-dslveh'!O8</f>
        <v>0</v>
      </c>
      <c r="P8">
        <f>'BPoEFUbVT-mtrbks-psgr-dslveh'!P8</f>
        <v>0</v>
      </c>
      <c r="Q8">
        <f>'BPoEFUbVT-mtrbks-psgr-dslveh'!Q8</f>
        <v>0</v>
      </c>
      <c r="R8">
        <f>'BPoEFUbVT-mtrbks-psgr-dslveh'!R8</f>
        <v>0</v>
      </c>
      <c r="S8">
        <f>'BPoEFUbVT-mtrbks-psgr-dslveh'!S8</f>
        <v>0</v>
      </c>
      <c r="T8">
        <f>'BPoEFUbVT-mtrbks-psgr-dslveh'!T8</f>
        <v>0</v>
      </c>
      <c r="U8">
        <f>'BPoEFUbVT-mtrbks-psgr-dslveh'!U8</f>
        <v>0</v>
      </c>
      <c r="V8">
        <f>'BPoEFUbVT-mtrbks-psgr-dslveh'!V8</f>
        <v>0</v>
      </c>
      <c r="W8">
        <f>'BPoEFUbVT-mtrbks-psgr-dslveh'!W8</f>
        <v>0</v>
      </c>
      <c r="X8">
        <f>'BPoEFUbVT-mtrbks-psgr-dslveh'!X8</f>
        <v>0</v>
      </c>
      <c r="Y8">
        <f>'BPoEFUbVT-mtrbks-psgr-dslveh'!Y8</f>
        <v>0</v>
      </c>
      <c r="Z8">
        <f>'BPoEFUbVT-mtrbks-psgr-dslveh'!Z8</f>
        <v>0</v>
      </c>
      <c r="AA8">
        <f>'BPoEFUbVT-mtrbks-psgr-dslveh'!AA8</f>
        <v>0</v>
      </c>
      <c r="AB8">
        <f>'BPoEFUbVT-mtrbks-psgr-dslveh'!AB8</f>
        <v>0</v>
      </c>
      <c r="AC8">
        <f>'BPoEFUbVT-mtrbks-psgr-dslveh'!AC8</f>
        <v>0</v>
      </c>
    </row>
    <row r="9" spans="1:29">
      <c r="A9" t="s">
        <v>82</v>
      </c>
      <c r="B9">
        <v>0</v>
      </c>
      <c r="C9">
        <v>0</v>
      </c>
      <c r="D9">
        <v>0</v>
      </c>
      <c r="E9">
        <v>0</v>
      </c>
      <c r="F9">
        <v>0</v>
      </c>
      <c r="G9">
        <v>0</v>
      </c>
      <c r="H9">
        <v>0</v>
      </c>
      <c r="I9">
        <v>0</v>
      </c>
      <c r="J9">
        <v>0</v>
      </c>
      <c r="K9">
        <v>0</v>
      </c>
      <c r="L9">
        <v>0</v>
      </c>
      <c r="M9">
        <v>0</v>
      </c>
      <c r="N9">
        <v>0</v>
      </c>
      <c r="O9">
        <v>0</v>
      </c>
      <c r="P9">
        <v>0</v>
      </c>
      <c r="Q9">
        <v>0</v>
      </c>
      <c r="R9">
        <v>0</v>
      </c>
      <c r="S9">
        <v>0</v>
      </c>
      <c r="T9">
        <v>0</v>
      </c>
      <c r="U9">
        <v>0</v>
      </c>
      <c r="V9">
        <v>0</v>
      </c>
      <c r="W9">
        <v>0</v>
      </c>
      <c r="X9">
        <v>0</v>
      </c>
      <c r="Y9">
        <v>0</v>
      </c>
      <c r="Z9">
        <v>0</v>
      </c>
      <c r="AA9">
        <v>0</v>
      </c>
      <c r="AB9">
        <v>0</v>
      </c>
      <c r="AC9">
        <v>0</v>
      </c>
    </row>
    <row r="10" spans="1:29">
      <c r="A10" t="s">
        <v>83</v>
      </c>
      <c r="B10">
        <v>0</v>
      </c>
      <c r="C10">
        <v>0</v>
      </c>
      <c r="D10">
        <v>0</v>
      </c>
      <c r="E10">
        <v>0</v>
      </c>
      <c r="F10">
        <v>0</v>
      </c>
      <c r="G10">
        <v>0</v>
      </c>
      <c r="H10">
        <v>0</v>
      </c>
      <c r="I10">
        <v>0</v>
      </c>
      <c r="J10">
        <v>0</v>
      </c>
      <c r="K10">
        <v>0</v>
      </c>
      <c r="L10">
        <v>0</v>
      </c>
      <c r="M10">
        <v>0</v>
      </c>
      <c r="N10">
        <v>0</v>
      </c>
      <c r="O10">
        <v>0</v>
      </c>
      <c r="P10">
        <v>0</v>
      </c>
      <c r="Q10">
        <v>0</v>
      </c>
      <c r="R10">
        <v>0</v>
      </c>
      <c r="S10">
        <v>0</v>
      </c>
      <c r="T10">
        <v>0</v>
      </c>
      <c r="U10">
        <v>0</v>
      </c>
      <c r="V10">
        <v>0</v>
      </c>
      <c r="W10">
        <v>0</v>
      </c>
      <c r="X10">
        <v>0</v>
      </c>
      <c r="Y10">
        <v>0</v>
      </c>
      <c r="Z10">
        <v>0</v>
      </c>
      <c r="AA10">
        <v>0</v>
      </c>
      <c r="AB10">
        <v>0</v>
      </c>
      <c r="AC10">
        <v>0</v>
      </c>
    </row>
    <row r="11" spans="1:29">
      <c r="A11" t="s">
        <v>84</v>
      </c>
      <c r="B11">
        <v>0</v>
      </c>
      <c r="C11">
        <v>0</v>
      </c>
      <c r="D11">
        <v>0</v>
      </c>
      <c r="E11">
        <v>0</v>
      </c>
      <c r="F11">
        <v>0</v>
      </c>
      <c r="G11">
        <v>0</v>
      </c>
      <c r="H11">
        <v>0</v>
      </c>
      <c r="I11">
        <v>0</v>
      </c>
      <c r="J11">
        <v>0</v>
      </c>
      <c r="K11">
        <v>0</v>
      </c>
      <c r="L11">
        <v>0</v>
      </c>
      <c r="M11">
        <v>0</v>
      </c>
      <c r="N11">
        <v>0</v>
      </c>
      <c r="O11">
        <v>0</v>
      </c>
      <c r="P11">
        <v>0</v>
      </c>
      <c r="Q11">
        <v>0</v>
      </c>
      <c r="R11">
        <v>0</v>
      </c>
      <c r="S11">
        <v>0</v>
      </c>
      <c r="T11">
        <v>0</v>
      </c>
      <c r="U11">
        <v>0</v>
      </c>
      <c r="V11">
        <v>0</v>
      </c>
      <c r="W11">
        <v>0</v>
      </c>
      <c r="X11">
        <v>0</v>
      </c>
      <c r="Y11">
        <v>0</v>
      </c>
      <c r="Z11">
        <v>0</v>
      </c>
      <c r="AA11">
        <v>0</v>
      </c>
      <c r="AB11">
        <v>0</v>
      </c>
      <c r="AC11">
        <v>0</v>
      </c>
    </row>
  </sheetData>
  <pageMargins left="0.7" right="0.7" top="0.75" bottom="0.75" header="0.3" footer="0.3"/>
</worksheet>
</file>

<file path=xl/worksheets/sheet9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5600-000000000000}">
  <sheetPr>
    <tabColor theme="3"/>
  </sheetPr>
  <dimension ref="A1:AD11"/>
  <sheetViews>
    <sheetView workbookViewId="0">
      <selection activeCell="B1" sqref="B1"/>
    </sheetView>
  </sheetViews>
  <sheetFormatPr defaultRowHeight="14.25"/>
  <cols>
    <col min="1" max="1" width="22.53125" customWidth="1"/>
  </cols>
  <sheetData>
    <row r="1" spans="1:30" ht="28.5">
      <c r="A1" s="10" t="s">
        <v>85</v>
      </c>
      <c r="B1">
        <f>'BPoEFUbVT-mtrbks-psgr-plghyb'!B1</f>
        <v>2022</v>
      </c>
      <c r="C1">
        <f>'BPoEFUbVT-mtrbks-psgr-plghyb'!C1</f>
        <v>2023</v>
      </c>
      <c r="D1">
        <f>'BPoEFUbVT-mtrbks-psgr-plghyb'!D1</f>
        <v>2024</v>
      </c>
      <c r="E1">
        <f>'BPoEFUbVT-mtrbks-psgr-plghyb'!E1</f>
        <v>2025</v>
      </c>
      <c r="F1">
        <f>'BPoEFUbVT-mtrbks-psgr-plghyb'!F1</f>
        <v>2026</v>
      </c>
      <c r="G1">
        <f>'BPoEFUbVT-mtrbks-psgr-plghyb'!G1</f>
        <v>2027</v>
      </c>
      <c r="H1">
        <f>'BPoEFUbVT-mtrbks-psgr-plghyb'!H1</f>
        <v>2028</v>
      </c>
      <c r="I1">
        <f>'BPoEFUbVT-mtrbks-psgr-plghyb'!I1</f>
        <v>2029</v>
      </c>
      <c r="J1">
        <f>'BPoEFUbVT-mtrbks-psgr-plghyb'!J1</f>
        <v>2030</v>
      </c>
      <c r="K1">
        <f>'BPoEFUbVT-mtrbks-psgr-plghyb'!K1</f>
        <v>2031</v>
      </c>
      <c r="L1">
        <f>'BPoEFUbVT-mtrbks-psgr-plghyb'!L1</f>
        <v>2032</v>
      </c>
      <c r="M1">
        <f>'BPoEFUbVT-mtrbks-psgr-plghyb'!M1</f>
        <v>2033</v>
      </c>
      <c r="N1">
        <f>'BPoEFUbVT-mtrbks-psgr-plghyb'!N1</f>
        <v>2034</v>
      </c>
      <c r="O1">
        <f>'BPoEFUbVT-mtrbks-psgr-plghyb'!O1</f>
        <v>2035</v>
      </c>
      <c r="P1">
        <f>'BPoEFUbVT-mtrbks-psgr-plghyb'!P1</f>
        <v>2036</v>
      </c>
      <c r="Q1">
        <f>'BPoEFUbVT-mtrbks-psgr-plghyb'!Q1</f>
        <v>2037</v>
      </c>
      <c r="R1">
        <f>'BPoEFUbVT-mtrbks-psgr-plghyb'!R1</f>
        <v>2038</v>
      </c>
      <c r="S1">
        <f>'BPoEFUbVT-mtrbks-psgr-plghyb'!S1</f>
        <v>2039</v>
      </c>
      <c r="T1">
        <f>'BPoEFUbVT-mtrbks-psgr-plghyb'!T1</f>
        <v>2040</v>
      </c>
      <c r="U1">
        <f>'BPoEFUbVT-mtrbks-psgr-plghyb'!U1</f>
        <v>2041</v>
      </c>
      <c r="V1">
        <f>'BPoEFUbVT-mtrbks-psgr-plghyb'!V1</f>
        <v>2042</v>
      </c>
      <c r="W1">
        <f>'BPoEFUbVT-mtrbks-psgr-plghyb'!W1</f>
        <v>2043</v>
      </c>
      <c r="X1">
        <f>'BPoEFUbVT-mtrbks-psgr-plghyb'!X1</f>
        <v>2044</v>
      </c>
      <c r="Y1">
        <f>'BPoEFUbVT-mtrbks-psgr-plghyb'!Y1</f>
        <v>2045</v>
      </c>
      <c r="Z1">
        <f>'BPoEFUbVT-mtrbks-psgr-plghyb'!Z1</f>
        <v>2046</v>
      </c>
      <c r="AA1">
        <f>'BPoEFUbVT-mtrbks-psgr-plghyb'!AA1</f>
        <v>2047</v>
      </c>
      <c r="AB1">
        <f>'BPoEFUbVT-mtrbks-psgr-plghyb'!AB1</f>
        <v>2048</v>
      </c>
      <c r="AC1">
        <f>'BPoEFUbVT-mtrbks-psgr-plghyb'!AC1</f>
        <v>2049</v>
      </c>
      <c r="AD1">
        <f>'BPoEFUbVT-mtrbks-psgr-plghyb'!AD1</f>
        <v>2050</v>
      </c>
    </row>
    <row r="2" spans="1:30">
      <c r="A2" t="s">
        <v>15</v>
      </c>
      <c r="B2">
        <f>'BPoEFUbVT-mtrbks-psgr-plghyb'!B2</f>
        <v>0.55000000000000004</v>
      </c>
      <c r="C2">
        <f>'BPoEFUbVT-mtrbks-psgr-plghyb'!C2</f>
        <v>0.55000000000000004</v>
      </c>
      <c r="D2">
        <f>'BPoEFUbVT-mtrbks-psgr-plghyb'!D2</f>
        <v>0.55000000000000004</v>
      </c>
      <c r="E2">
        <f>'BPoEFUbVT-mtrbks-psgr-plghyb'!E2</f>
        <v>0.55000000000000004</v>
      </c>
      <c r="F2">
        <f>'BPoEFUbVT-mtrbks-psgr-plghyb'!F2</f>
        <v>0.55000000000000004</v>
      </c>
      <c r="G2">
        <f>'BPoEFUbVT-mtrbks-psgr-plghyb'!G2</f>
        <v>0.55000000000000004</v>
      </c>
      <c r="H2">
        <f>'BPoEFUbVT-mtrbks-psgr-plghyb'!H2</f>
        <v>0.55000000000000004</v>
      </c>
      <c r="I2">
        <f>'BPoEFUbVT-mtrbks-psgr-plghyb'!I2</f>
        <v>0.55000000000000004</v>
      </c>
      <c r="J2">
        <f>'BPoEFUbVT-mtrbks-psgr-plghyb'!J2</f>
        <v>0.55000000000000004</v>
      </c>
      <c r="K2">
        <f>'BPoEFUbVT-mtrbks-psgr-plghyb'!K2</f>
        <v>0.55000000000000004</v>
      </c>
      <c r="L2">
        <f>'BPoEFUbVT-mtrbks-psgr-plghyb'!L2</f>
        <v>0.55000000000000004</v>
      </c>
      <c r="M2">
        <f>'BPoEFUbVT-mtrbks-psgr-plghyb'!M2</f>
        <v>0.55000000000000004</v>
      </c>
      <c r="N2">
        <f>'BPoEFUbVT-mtrbks-psgr-plghyb'!N2</f>
        <v>0.55000000000000004</v>
      </c>
      <c r="O2">
        <f>'BPoEFUbVT-mtrbks-psgr-plghyb'!O2</f>
        <v>0.55000000000000004</v>
      </c>
      <c r="P2">
        <f>'BPoEFUbVT-mtrbks-psgr-plghyb'!P2</f>
        <v>0.55000000000000004</v>
      </c>
      <c r="Q2">
        <f>'BPoEFUbVT-mtrbks-psgr-plghyb'!Q2</f>
        <v>0.55000000000000004</v>
      </c>
      <c r="R2">
        <f>'BPoEFUbVT-mtrbks-psgr-plghyb'!R2</f>
        <v>0.55000000000000004</v>
      </c>
      <c r="S2">
        <f>'BPoEFUbVT-mtrbks-psgr-plghyb'!S2</f>
        <v>0.55000000000000004</v>
      </c>
      <c r="T2">
        <f>'BPoEFUbVT-mtrbks-psgr-plghyb'!T2</f>
        <v>0.55000000000000004</v>
      </c>
      <c r="U2">
        <f>'BPoEFUbVT-mtrbks-psgr-plghyb'!U2</f>
        <v>0.55000000000000004</v>
      </c>
      <c r="V2">
        <f>'BPoEFUbVT-mtrbks-psgr-plghyb'!V2</f>
        <v>0.55000000000000004</v>
      </c>
      <c r="W2">
        <f>'BPoEFUbVT-mtrbks-psgr-plghyb'!W2</f>
        <v>0.55000000000000004</v>
      </c>
      <c r="X2">
        <f>'BPoEFUbVT-mtrbks-psgr-plghyb'!X2</f>
        <v>0.55000000000000004</v>
      </c>
      <c r="Y2">
        <f>'BPoEFUbVT-mtrbks-psgr-plghyb'!Y2</f>
        <v>0.55000000000000004</v>
      </c>
      <c r="Z2">
        <f>'BPoEFUbVT-mtrbks-psgr-plghyb'!Z2</f>
        <v>0.55000000000000004</v>
      </c>
      <c r="AA2">
        <f>'BPoEFUbVT-mtrbks-psgr-plghyb'!AA2</f>
        <v>0.55000000000000004</v>
      </c>
      <c r="AB2">
        <f>'BPoEFUbVT-mtrbks-psgr-plghyb'!AB2</f>
        <v>0.55000000000000004</v>
      </c>
      <c r="AC2">
        <f>'BPoEFUbVT-mtrbks-psgr-plghyb'!AC2</f>
        <v>0.55000000000000004</v>
      </c>
      <c r="AD2">
        <f>'BPoEFUbVT-mtrbks-psgr-plghyb'!AD2</f>
        <v>0.55000000000000004</v>
      </c>
    </row>
    <row r="3" spans="1:30">
      <c r="A3" t="s">
        <v>16</v>
      </c>
      <c r="B3">
        <f>'BPoEFUbVT-mtrbks-psgr-plghyb'!B3</f>
        <v>0</v>
      </c>
      <c r="C3">
        <f>'BPoEFUbVT-mtrbks-psgr-plghyb'!C3</f>
        <v>0</v>
      </c>
      <c r="D3">
        <f>'BPoEFUbVT-mtrbks-psgr-plghyb'!D3</f>
        <v>0</v>
      </c>
      <c r="E3">
        <f>'BPoEFUbVT-mtrbks-psgr-plghyb'!E3</f>
        <v>0</v>
      </c>
      <c r="F3">
        <f>'BPoEFUbVT-mtrbks-psgr-plghyb'!F3</f>
        <v>0</v>
      </c>
      <c r="G3">
        <f>'BPoEFUbVT-mtrbks-psgr-plghyb'!G3</f>
        <v>0</v>
      </c>
      <c r="H3">
        <f>'BPoEFUbVT-mtrbks-psgr-plghyb'!H3</f>
        <v>0</v>
      </c>
      <c r="I3">
        <f>'BPoEFUbVT-mtrbks-psgr-plghyb'!I3</f>
        <v>0</v>
      </c>
      <c r="J3">
        <f>'BPoEFUbVT-mtrbks-psgr-plghyb'!J3</f>
        <v>0</v>
      </c>
      <c r="K3">
        <f>'BPoEFUbVT-mtrbks-psgr-plghyb'!K3</f>
        <v>0</v>
      </c>
      <c r="L3">
        <f>'BPoEFUbVT-mtrbks-psgr-plghyb'!L3</f>
        <v>0</v>
      </c>
      <c r="M3">
        <f>'BPoEFUbVT-mtrbks-psgr-plghyb'!M3</f>
        <v>0</v>
      </c>
      <c r="N3">
        <f>'BPoEFUbVT-mtrbks-psgr-plghyb'!N3</f>
        <v>0</v>
      </c>
      <c r="O3">
        <f>'BPoEFUbVT-mtrbks-psgr-plghyb'!O3</f>
        <v>0</v>
      </c>
      <c r="P3">
        <f>'BPoEFUbVT-mtrbks-psgr-plghyb'!P3</f>
        <v>0</v>
      </c>
      <c r="Q3">
        <f>'BPoEFUbVT-mtrbks-psgr-plghyb'!Q3</f>
        <v>0</v>
      </c>
      <c r="R3">
        <f>'BPoEFUbVT-mtrbks-psgr-plghyb'!R3</f>
        <v>0</v>
      </c>
      <c r="S3">
        <f>'BPoEFUbVT-mtrbks-psgr-plghyb'!S3</f>
        <v>0</v>
      </c>
      <c r="T3">
        <f>'BPoEFUbVT-mtrbks-psgr-plghyb'!T3</f>
        <v>0</v>
      </c>
      <c r="U3">
        <f>'BPoEFUbVT-mtrbks-psgr-plghyb'!U3</f>
        <v>0</v>
      </c>
      <c r="V3">
        <f>'BPoEFUbVT-mtrbks-psgr-plghyb'!V3</f>
        <v>0</v>
      </c>
      <c r="W3">
        <f>'BPoEFUbVT-mtrbks-psgr-plghyb'!W3</f>
        <v>0</v>
      </c>
      <c r="X3">
        <f>'BPoEFUbVT-mtrbks-psgr-plghyb'!X3</f>
        <v>0</v>
      </c>
      <c r="Y3">
        <f>'BPoEFUbVT-mtrbks-psgr-plghyb'!Y3</f>
        <v>0</v>
      </c>
      <c r="Z3">
        <f>'BPoEFUbVT-mtrbks-psgr-plghyb'!Z3</f>
        <v>0</v>
      </c>
      <c r="AA3">
        <f>'BPoEFUbVT-mtrbks-psgr-plghyb'!AA3</f>
        <v>0</v>
      </c>
      <c r="AB3">
        <f>'BPoEFUbVT-mtrbks-psgr-plghyb'!AB3</f>
        <v>0</v>
      </c>
      <c r="AC3">
        <f>'BPoEFUbVT-mtrbks-psgr-plghyb'!AC3</f>
        <v>0</v>
      </c>
      <c r="AD3">
        <f>'BPoEFUbVT-mtrbks-psgr-plghyb'!AD3</f>
        <v>0</v>
      </c>
    </row>
    <row r="4" spans="1:30">
      <c r="A4" t="s">
        <v>17</v>
      </c>
      <c r="B4">
        <f>'BPoEFUbVT-mtrbks-psgr-plghyb'!B4</f>
        <v>0.44903090794324652</v>
      </c>
      <c r="C4">
        <f>'BPoEFUbVT-mtrbks-psgr-plghyb'!C4</f>
        <v>0.44901641030474015</v>
      </c>
      <c r="D4">
        <f>'BPoEFUbVT-mtrbks-psgr-plghyb'!D4</f>
        <v>0.44907014634923614</v>
      </c>
      <c r="E4">
        <f>'BPoEFUbVT-mtrbks-psgr-plghyb'!E4</f>
        <v>0.44905728586452914</v>
      </c>
      <c r="F4">
        <f>'BPoEFUbVT-mtrbks-psgr-plghyb'!F4</f>
        <v>0.44906619405886128</v>
      </c>
      <c r="G4">
        <f>'BPoEFUbVT-mtrbks-psgr-plghyb'!G4</f>
        <v>0.44907918788558054</v>
      </c>
      <c r="H4">
        <f>'BPoEFUbVT-mtrbks-psgr-plghyb'!H4</f>
        <v>0.44909582893136263</v>
      </c>
      <c r="I4">
        <f>'BPoEFUbVT-mtrbks-psgr-plghyb'!I4</f>
        <v>0.44911496437710824</v>
      </c>
      <c r="J4">
        <f>'BPoEFUbVT-mtrbks-psgr-plghyb'!J4</f>
        <v>0.44913546096854412</v>
      </c>
      <c r="K4">
        <f>'BPoEFUbVT-mtrbks-psgr-plghyb'!K4</f>
        <v>0.44915682790667982</v>
      </c>
      <c r="L4">
        <f>'BPoEFUbVT-mtrbks-psgr-plghyb'!L4</f>
        <v>0.44917819055639702</v>
      </c>
      <c r="M4">
        <f>'BPoEFUbVT-mtrbks-psgr-plghyb'!M4</f>
        <v>0.44919904275753453</v>
      </c>
      <c r="N4">
        <f>'BPoEFUbVT-mtrbks-psgr-plghyb'!N4</f>
        <v>0.4492184473356986</v>
      </c>
      <c r="O4">
        <f>'BPoEFUbVT-mtrbks-psgr-plghyb'!O4</f>
        <v>0.44923499311725906</v>
      </c>
      <c r="P4">
        <f>'BPoEFUbVT-mtrbks-psgr-plghyb'!P4</f>
        <v>0.44925048481808927</v>
      </c>
      <c r="Q4">
        <f>'BPoEFUbVT-mtrbks-psgr-plghyb'!Q4</f>
        <v>0.44926038506300203</v>
      </c>
      <c r="R4">
        <f>'BPoEFUbVT-mtrbks-psgr-plghyb'!R4</f>
        <v>0.44926643522378323</v>
      </c>
      <c r="S4">
        <f>'BPoEFUbVT-mtrbks-psgr-plghyb'!S4</f>
        <v>0.44926824376400976</v>
      </c>
      <c r="T4">
        <f>'BPoEFUbVT-mtrbks-psgr-plghyb'!T4</f>
        <v>0.44926669553836307</v>
      </c>
      <c r="U4">
        <f>'BPoEFUbVT-mtrbks-psgr-plghyb'!U4</f>
        <v>0.44926316168124414</v>
      </c>
      <c r="V4">
        <f>'BPoEFUbVT-mtrbks-psgr-plghyb'!V4</f>
        <v>0.44925805438935312</v>
      </c>
      <c r="W4">
        <f>'BPoEFUbVT-mtrbks-psgr-plghyb'!W4</f>
        <v>0.44925018640576531</v>
      </c>
      <c r="X4">
        <f>'BPoEFUbVT-mtrbks-psgr-plghyb'!X4</f>
        <v>0.44924352565773945</v>
      </c>
      <c r="Y4">
        <f>'BPoEFUbVT-mtrbks-psgr-plghyb'!Y4</f>
        <v>0.44923645684598268</v>
      </c>
      <c r="Z4">
        <f>'BPoEFUbVT-mtrbks-psgr-plghyb'!Z4</f>
        <v>0.4492314694333458</v>
      </c>
      <c r="AA4">
        <f>'BPoEFUbVT-mtrbks-psgr-plghyb'!AA4</f>
        <v>0.44922378198109159</v>
      </c>
      <c r="AB4">
        <f>'BPoEFUbVT-mtrbks-psgr-plghyb'!AB4</f>
        <v>0.44921792253441456</v>
      </c>
      <c r="AC4">
        <f>'BPoEFUbVT-mtrbks-psgr-plghyb'!AC4</f>
        <v>0.44921021800824235</v>
      </c>
      <c r="AD4">
        <f>'BPoEFUbVT-mtrbks-psgr-plghyb'!AD4</f>
        <v>0.44920449239135835</v>
      </c>
    </row>
    <row r="5" spans="1:30">
      <c r="A5" t="s">
        <v>18</v>
      </c>
      <c r="B5">
        <f>'BPoEFUbVT-mtrbks-psgr-plghyb'!B5</f>
        <v>0</v>
      </c>
      <c r="C5">
        <f>'BPoEFUbVT-mtrbks-psgr-plghyb'!C5</f>
        <v>0</v>
      </c>
      <c r="D5">
        <f>'BPoEFUbVT-mtrbks-psgr-plghyb'!D5</f>
        <v>0</v>
      </c>
      <c r="E5">
        <f>'BPoEFUbVT-mtrbks-psgr-plghyb'!E5</f>
        <v>0</v>
      </c>
      <c r="F5">
        <f>'BPoEFUbVT-mtrbks-psgr-plghyb'!F5</f>
        <v>0</v>
      </c>
      <c r="G5">
        <f>'BPoEFUbVT-mtrbks-psgr-plghyb'!G5</f>
        <v>0</v>
      </c>
      <c r="H5">
        <f>'BPoEFUbVT-mtrbks-psgr-plghyb'!H5</f>
        <v>0</v>
      </c>
      <c r="I5">
        <f>'BPoEFUbVT-mtrbks-psgr-plghyb'!I5</f>
        <v>0</v>
      </c>
      <c r="J5">
        <f>'BPoEFUbVT-mtrbks-psgr-plghyb'!J5</f>
        <v>0</v>
      </c>
      <c r="K5">
        <f>'BPoEFUbVT-mtrbks-psgr-plghyb'!K5</f>
        <v>0</v>
      </c>
      <c r="L5">
        <f>'BPoEFUbVT-mtrbks-psgr-plghyb'!L5</f>
        <v>0</v>
      </c>
      <c r="M5">
        <f>'BPoEFUbVT-mtrbks-psgr-plghyb'!M5</f>
        <v>0</v>
      </c>
      <c r="N5">
        <f>'BPoEFUbVT-mtrbks-psgr-plghyb'!N5</f>
        <v>0</v>
      </c>
      <c r="O5">
        <f>'BPoEFUbVT-mtrbks-psgr-plghyb'!O5</f>
        <v>0</v>
      </c>
      <c r="P5">
        <f>'BPoEFUbVT-mtrbks-psgr-plghyb'!P5</f>
        <v>0</v>
      </c>
      <c r="Q5">
        <f>'BPoEFUbVT-mtrbks-psgr-plghyb'!Q5</f>
        <v>0</v>
      </c>
      <c r="R5">
        <f>'BPoEFUbVT-mtrbks-psgr-plghyb'!R5</f>
        <v>0</v>
      </c>
      <c r="S5">
        <f>'BPoEFUbVT-mtrbks-psgr-plghyb'!S5</f>
        <v>0</v>
      </c>
      <c r="T5">
        <f>'BPoEFUbVT-mtrbks-psgr-plghyb'!T5</f>
        <v>0</v>
      </c>
      <c r="U5">
        <f>'BPoEFUbVT-mtrbks-psgr-plghyb'!U5</f>
        <v>0</v>
      </c>
      <c r="V5">
        <f>'BPoEFUbVT-mtrbks-psgr-plghyb'!V5</f>
        <v>0</v>
      </c>
      <c r="W5">
        <f>'BPoEFUbVT-mtrbks-psgr-plghyb'!W5</f>
        <v>0</v>
      </c>
      <c r="X5">
        <f>'BPoEFUbVT-mtrbks-psgr-plghyb'!X5</f>
        <v>0</v>
      </c>
      <c r="Y5">
        <f>'BPoEFUbVT-mtrbks-psgr-plghyb'!Y5</f>
        <v>0</v>
      </c>
      <c r="Z5">
        <f>'BPoEFUbVT-mtrbks-psgr-plghyb'!Z5</f>
        <v>0</v>
      </c>
      <c r="AA5">
        <f>'BPoEFUbVT-mtrbks-psgr-plghyb'!AA5</f>
        <v>0</v>
      </c>
      <c r="AB5">
        <f>'BPoEFUbVT-mtrbks-psgr-plghyb'!AB5</f>
        <v>0</v>
      </c>
      <c r="AC5">
        <f>'BPoEFUbVT-mtrbks-psgr-plghyb'!AC5</f>
        <v>0</v>
      </c>
      <c r="AD5">
        <f>'BPoEFUbVT-mtrbks-psgr-plghyb'!AD5</f>
        <v>0</v>
      </c>
    </row>
    <row r="6" spans="1:30">
      <c r="A6" t="s">
        <v>19</v>
      </c>
      <c r="B6">
        <f>'BPoEFUbVT-mtrbks-psgr-plghyb'!B6</f>
        <v>9.6909205675343383E-4</v>
      </c>
      <c r="C6">
        <f>'BPoEFUbVT-mtrbks-psgr-plghyb'!C6</f>
        <v>9.8358969525984665E-4</v>
      </c>
      <c r="D6">
        <f>'BPoEFUbVT-mtrbks-psgr-plghyb'!D6</f>
        <v>9.2985365076385786E-4</v>
      </c>
      <c r="E6">
        <f>'BPoEFUbVT-mtrbks-psgr-plghyb'!E6</f>
        <v>9.4271413547086281E-4</v>
      </c>
      <c r="F6">
        <f>'BPoEFUbVT-mtrbks-psgr-plghyb'!F6</f>
        <v>9.3380594113868457E-4</v>
      </c>
      <c r="G6">
        <f>'BPoEFUbVT-mtrbks-psgr-plghyb'!G6</f>
        <v>9.2081211441941016E-4</v>
      </c>
      <c r="H6">
        <f>'BPoEFUbVT-mtrbks-psgr-plghyb'!H6</f>
        <v>9.0417106863733849E-4</v>
      </c>
      <c r="I6">
        <f>'BPoEFUbVT-mtrbks-psgr-plghyb'!I6</f>
        <v>8.8503562289174215E-4</v>
      </c>
      <c r="J6">
        <f>'BPoEFUbVT-mtrbks-psgr-plghyb'!J6</f>
        <v>8.6453903145585745E-4</v>
      </c>
      <c r="K6">
        <f>'BPoEFUbVT-mtrbks-psgr-plghyb'!K6</f>
        <v>8.4317209332012831E-4</v>
      </c>
      <c r="L6">
        <f>'BPoEFUbVT-mtrbks-psgr-plghyb'!L6</f>
        <v>8.2180944360294719E-4</v>
      </c>
      <c r="M6">
        <f>'BPoEFUbVT-mtrbks-psgr-plghyb'!M6</f>
        <v>8.0095724246540467E-4</v>
      </c>
      <c r="N6">
        <f>'BPoEFUbVT-mtrbks-psgr-plghyb'!N6</f>
        <v>7.8155266430136004E-4</v>
      </c>
      <c r="O6">
        <f>'BPoEFUbVT-mtrbks-psgr-plghyb'!O6</f>
        <v>7.6500688274090645E-4</v>
      </c>
      <c r="P6">
        <f>'BPoEFUbVT-mtrbks-psgr-plghyb'!P6</f>
        <v>7.4951518191071671E-4</v>
      </c>
      <c r="Q6">
        <f>'BPoEFUbVT-mtrbks-psgr-plghyb'!Q6</f>
        <v>7.3961493699790503E-4</v>
      </c>
      <c r="R6">
        <f>'BPoEFUbVT-mtrbks-psgr-plghyb'!R6</f>
        <v>7.3356477621667202E-4</v>
      </c>
      <c r="S6">
        <f>'BPoEFUbVT-mtrbks-psgr-plghyb'!S6</f>
        <v>7.3175623599016281E-4</v>
      </c>
      <c r="T6">
        <f>'BPoEFUbVT-mtrbks-psgr-plghyb'!T6</f>
        <v>7.3330446163693023E-4</v>
      </c>
      <c r="U6">
        <f>'BPoEFUbVT-mtrbks-psgr-plghyb'!U6</f>
        <v>7.3683831875582737E-4</v>
      </c>
      <c r="V6">
        <f>'BPoEFUbVT-mtrbks-psgr-plghyb'!V6</f>
        <v>7.4194561064679131E-4</v>
      </c>
      <c r="W6">
        <f>'BPoEFUbVT-mtrbks-psgr-plghyb'!W6</f>
        <v>7.4981359423463827E-4</v>
      </c>
      <c r="X6">
        <f>'BPoEFUbVT-mtrbks-psgr-plghyb'!X6</f>
        <v>7.564743422604893E-4</v>
      </c>
      <c r="Y6">
        <f>'BPoEFUbVT-mtrbks-psgr-plghyb'!Y6</f>
        <v>7.6354315401729674E-4</v>
      </c>
      <c r="Z6">
        <f>'BPoEFUbVT-mtrbks-psgr-plghyb'!Z6</f>
        <v>7.6853056665414593E-4</v>
      </c>
      <c r="AA6">
        <f>'BPoEFUbVT-mtrbks-psgr-plghyb'!AA6</f>
        <v>7.7621801890835813E-4</v>
      </c>
      <c r="AB6">
        <f>'BPoEFUbVT-mtrbks-psgr-plghyb'!AB6</f>
        <v>7.8207746558535797E-4</v>
      </c>
      <c r="AC6">
        <f>'BPoEFUbVT-mtrbks-psgr-plghyb'!AC6</f>
        <v>7.8978199175759752E-4</v>
      </c>
      <c r="AD6">
        <f>'BPoEFUbVT-mtrbks-psgr-plghyb'!AD6</f>
        <v>7.9550760864159826E-4</v>
      </c>
    </row>
    <row r="7" spans="1:30">
      <c r="A7" t="s">
        <v>21</v>
      </c>
      <c r="B7">
        <f>'BPoEFUbVT-mtrbks-psgr-plghyb'!B7</f>
        <v>0</v>
      </c>
      <c r="C7">
        <f>'BPoEFUbVT-mtrbks-psgr-plghyb'!C7</f>
        <v>0</v>
      </c>
      <c r="D7">
        <f>'BPoEFUbVT-mtrbks-psgr-plghyb'!D7</f>
        <v>0</v>
      </c>
      <c r="E7">
        <f>'BPoEFUbVT-mtrbks-psgr-plghyb'!E7</f>
        <v>0</v>
      </c>
      <c r="F7">
        <f>'BPoEFUbVT-mtrbks-psgr-plghyb'!F7</f>
        <v>0</v>
      </c>
      <c r="G7">
        <f>'BPoEFUbVT-mtrbks-psgr-plghyb'!G7</f>
        <v>0</v>
      </c>
      <c r="H7">
        <f>'BPoEFUbVT-mtrbks-psgr-plghyb'!H7</f>
        <v>0</v>
      </c>
      <c r="I7">
        <f>'BPoEFUbVT-mtrbks-psgr-plghyb'!I7</f>
        <v>0</v>
      </c>
      <c r="J7">
        <f>'BPoEFUbVT-mtrbks-psgr-plghyb'!J7</f>
        <v>0</v>
      </c>
      <c r="K7">
        <f>'BPoEFUbVT-mtrbks-psgr-plghyb'!K7</f>
        <v>0</v>
      </c>
      <c r="L7">
        <f>'BPoEFUbVT-mtrbks-psgr-plghyb'!L7</f>
        <v>0</v>
      </c>
      <c r="M7">
        <f>'BPoEFUbVT-mtrbks-psgr-plghyb'!M7</f>
        <v>0</v>
      </c>
      <c r="N7">
        <f>'BPoEFUbVT-mtrbks-psgr-plghyb'!N7</f>
        <v>0</v>
      </c>
      <c r="O7">
        <f>'BPoEFUbVT-mtrbks-psgr-plghyb'!O7</f>
        <v>0</v>
      </c>
      <c r="P7">
        <f>'BPoEFUbVT-mtrbks-psgr-plghyb'!P7</f>
        <v>0</v>
      </c>
      <c r="Q7">
        <f>'BPoEFUbVT-mtrbks-psgr-plghyb'!Q7</f>
        <v>0</v>
      </c>
      <c r="R7">
        <f>'BPoEFUbVT-mtrbks-psgr-plghyb'!R7</f>
        <v>0</v>
      </c>
      <c r="S7">
        <f>'BPoEFUbVT-mtrbks-psgr-plghyb'!S7</f>
        <v>0</v>
      </c>
      <c r="T7">
        <f>'BPoEFUbVT-mtrbks-psgr-plghyb'!T7</f>
        <v>0</v>
      </c>
      <c r="U7">
        <f>'BPoEFUbVT-mtrbks-psgr-plghyb'!U7</f>
        <v>0</v>
      </c>
      <c r="V7">
        <f>'BPoEFUbVT-mtrbks-psgr-plghyb'!V7</f>
        <v>0</v>
      </c>
      <c r="W7">
        <f>'BPoEFUbVT-mtrbks-psgr-plghyb'!W7</f>
        <v>0</v>
      </c>
      <c r="X7">
        <f>'BPoEFUbVT-mtrbks-psgr-plghyb'!X7</f>
        <v>0</v>
      </c>
      <c r="Y7">
        <f>'BPoEFUbVT-mtrbks-psgr-plghyb'!Y7</f>
        <v>0</v>
      </c>
      <c r="Z7">
        <f>'BPoEFUbVT-mtrbks-psgr-plghyb'!Z7</f>
        <v>0</v>
      </c>
      <c r="AA7">
        <f>'BPoEFUbVT-mtrbks-psgr-plghyb'!AA7</f>
        <v>0</v>
      </c>
      <c r="AB7">
        <f>'BPoEFUbVT-mtrbks-psgr-plghyb'!AB7</f>
        <v>0</v>
      </c>
      <c r="AC7">
        <f>'BPoEFUbVT-mtrbks-psgr-plghyb'!AC7</f>
        <v>0</v>
      </c>
      <c r="AD7">
        <f>'BPoEFUbVT-mtrbks-psgr-plghyb'!AD7</f>
        <v>0</v>
      </c>
    </row>
    <row r="8" spans="1:30">
      <c r="A8" t="s">
        <v>20</v>
      </c>
      <c r="B8">
        <f>'BPoEFUbVT-mtrbks-psgr-plghyb'!B8</f>
        <v>0</v>
      </c>
      <c r="C8">
        <f>'BPoEFUbVT-mtrbks-psgr-plghyb'!C8</f>
        <v>0</v>
      </c>
      <c r="D8">
        <f>'BPoEFUbVT-mtrbks-psgr-plghyb'!D8</f>
        <v>0</v>
      </c>
      <c r="E8">
        <f>'BPoEFUbVT-mtrbks-psgr-plghyb'!E8</f>
        <v>0</v>
      </c>
      <c r="F8">
        <f>'BPoEFUbVT-mtrbks-psgr-plghyb'!F8</f>
        <v>0</v>
      </c>
      <c r="G8">
        <f>'BPoEFUbVT-mtrbks-psgr-plghyb'!G8</f>
        <v>0</v>
      </c>
      <c r="H8">
        <f>'BPoEFUbVT-mtrbks-psgr-plghyb'!H8</f>
        <v>0</v>
      </c>
      <c r="I8">
        <f>'BPoEFUbVT-mtrbks-psgr-plghyb'!I8</f>
        <v>0</v>
      </c>
      <c r="J8">
        <f>'BPoEFUbVT-mtrbks-psgr-plghyb'!J8</f>
        <v>0</v>
      </c>
      <c r="K8">
        <f>'BPoEFUbVT-mtrbks-psgr-plghyb'!K8</f>
        <v>0</v>
      </c>
      <c r="L8">
        <f>'BPoEFUbVT-mtrbks-psgr-plghyb'!L8</f>
        <v>0</v>
      </c>
      <c r="M8">
        <f>'BPoEFUbVT-mtrbks-psgr-plghyb'!M8</f>
        <v>0</v>
      </c>
      <c r="N8">
        <f>'BPoEFUbVT-mtrbks-psgr-plghyb'!N8</f>
        <v>0</v>
      </c>
      <c r="O8">
        <f>'BPoEFUbVT-mtrbks-psgr-plghyb'!O8</f>
        <v>0</v>
      </c>
      <c r="P8">
        <f>'BPoEFUbVT-mtrbks-psgr-plghyb'!P8</f>
        <v>0</v>
      </c>
      <c r="Q8">
        <f>'BPoEFUbVT-mtrbks-psgr-plghyb'!Q8</f>
        <v>0</v>
      </c>
      <c r="R8">
        <f>'BPoEFUbVT-mtrbks-psgr-plghyb'!R8</f>
        <v>0</v>
      </c>
      <c r="S8">
        <f>'BPoEFUbVT-mtrbks-psgr-plghyb'!S8</f>
        <v>0</v>
      </c>
      <c r="T8">
        <f>'BPoEFUbVT-mtrbks-psgr-plghyb'!T8</f>
        <v>0</v>
      </c>
      <c r="U8">
        <f>'BPoEFUbVT-mtrbks-psgr-plghyb'!U8</f>
        <v>0</v>
      </c>
      <c r="V8">
        <f>'BPoEFUbVT-mtrbks-psgr-plghyb'!V8</f>
        <v>0</v>
      </c>
      <c r="W8">
        <f>'BPoEFUbVT-mtrbks-psgr-plghyb'!W8</f>
        <v>0</v>
      </c>
      <c r="X8">
        <f>'BPoEFUbVT-mtrbks-psgr-plghyb'!X8</f>
        <v>0</v>
      </c>
      <c r="Y8">
        <f>'BPoEFUbVT-mtrbks-psgr-plghyb'!Y8</f>
        <v>0</v>
      </c>
      <c r="Z8">
        <f>'BPoEFUbVT-mtrbks-psgr-plghyb'!Z8</f>
        <v>0</v>
      </c>
      <c r="AA8">
        <f>'BPoEFUbVT-mtrbks-psgr-plghyb'!AA8</f>
        <v>0</v>
      </c>
      <c r="AB8">
        <f>'BPoEFUbVT-mtrbks-psgr-plghyb'!AB8</f>
        <v>0</v>
      </c>
      <c r="AC8">
        <f>'BPoEFUbVT-mtrbks-psgr-plghyb'!AC8</f>
        <v>0</v>
      </c>
      <c r="AD8">
        <f>'BPoEFUbVT-mtrbks-psgr-plghyb'!AD8</f>
        <v>0</v>
      </c>
    </row>
    <row r="9" spans="1:30">
      <c r="A9" t="s">
        <v>82</v>
      </c>
      <c r="B9">
        <v>0</v>
      </c>
      <c r="C9">
        <v>0</v>
      </c>
      <c r="D9">
        <v>0</v>
      </c>
      <c r="E9">
        <v>0</v>
      </c>
      <c r="F9">
        <v>0</v>
      </c>
      <c r="G9">
        <v>0</v>
      </c>
      <c r="H9">
        <v>0</v>
      </c>
      <c r="I9">
        <v>0</v>
      </c>
      <c r="J9">
        <v>0</v>
      </c>
      <c r="K9">
        <v>0</v>
      </c>
      <c r="L9">
        <v>0</v>
      </c>
      <c r="M9">
        <v>0</v>
      </c>
      <c r="N9">
        <v>0</v>
      </c>
      <c r="O9">
        <v>0</v>
      </c>
      <c r="P9">
        <v>0</v>
      </c>
      <c r="Q9">
        <v>0</v>
      </c>
      <c r="R9">
        <v>0</v>
      </c>
      <c r="S9">
        <v>0</v>
      </c>
      <c r="T9">
        <v>0</v>
      </c>
      <c r="U9">
        <v>0</v>
      </c>
      <c r="V9">
        <v>0</v>
      </c>
      <c r="W9">
        <v>0</v>
      </c>
      <c r="X9">
        <v>0</v>
      </c>
      <c r="Y9">
        <v>0</v>
      </c>
      <c r="Z9">
        <v>0</v>
      </c>
      <c r="AA9">
        <v>0</v>
      </c>
      <c r="AB9">
        <v>0</v>
      </c>
      <c r="AC9">
        <v>0</v>
      </c>
      <c r="AD9">
        <v>0</v>
      </c>
    </row>
    <row r="10" spans="1:30">
      <c r="A10" t="s">
        <v>83</v>
      </c>
      <c r="B10">
        <v>0</v>
      </c>
      <c r="C10">
        <v>0</v>
      </c>
      <c r="D10">
        <v>0</v>
      </c>
      <c r="E10">
        <v>0</v>
      </c>
      <c r="F10">
        <v>0</v>
      </c>
      <c r="G10">
        <v>0</v>
      </c>
      <c r="H10">
        <v>0</v>
      </c>
      <c r="I10">
        <v>0</v>
      </c>
      <c r="J10">
        <v>0</v>
      </c>
      <c r="K10">
        <v>0</v>
      </c>
      <c r="L10">
        <v>0</v>
      </c>
      <c r="M10">
        <v>0</v>
      </c>
      <c r="N10">
        <v>0</v>
      </c>
      <c r="O10">
        <v>0</v>
      </c>
      <c r="P10">
        <v>0</v>
      </c>
      <c r="Q10">
        <v>0</v>
      </c>
      <c r="R10">
        <v>0</v>
      </c>
      <c r="S10">
        <v>0</v>
      </c>
      <c r="T10">
        <v>0</v>
      </c>
      <c r="U10">
        <v>0</v>
      </c>
      <c r="V10">
        <v>0</v>
      </c>
      <c r="W10">
        <v>0</v>
      </c>
      <c r="X10">
        <v>0</v>
      </c>
      <c r="Y10">
        <v>0</v>
      </c>
      <c r="Z10">
        <v>0</v>
      </c>
      <c r="AA10">
        <v>0</v>
      </c>
      <c r="AB10">
        <v>0</v>
      </c>
      <c r="AC10">
        <v>0</v>
      </c>
      <c r="AD10">
        <v>0</v>
      </c>
    </row>
    <row r="11" spans="1:30">
      <c r="A11" t="s">
        <v>84</v>
      </c>
      <c r="B11">
        <v>0</v>
      </c>
      <c r="C11">
        <v>0</v>
      </c>
      <c r="D11">
        <v>0</v>
      </c>
      <c r="E11">
        <v>0</v>
      </c>
      <c r="F11">
        <v>0</v>
      </c>
      <c r="G11">
        <v>0</v>
      </c>
      <c r="H11">
        <v>0</v>
      </c>
      <c r="I11">
        <v>0</v>
      </c>
      <c r="J11">
        <v>0</v>
      </c>
      <c r="K11">
        <v>0</v>
      </c>
      <c r="L11">
        <v>0</v>
      </c>
      <c r="M11">
        <v>0</v>
      </c>
      <c r="N11">
        <v>0</v>
      </c>
      <c r="O11">
        <v>0</v>
      </c>
      <c r="P11">
        <v>0</v>
      </c>
      <c r="Q11">
        <v>0</v>
      </c>
      <c r="R11">
        <v>0</v>
      </c>
      <c r="S11">
        <v>0</v>
      </c>
      <c r="T11">
        <v>0</v>
      </c>
      <c r="U11">
        <v>0</v>
      </c>
      <c r="V11">
        <v>0</v>
      </c>
      <c r="W11">
        <v>0</v>
      </c>
      <c r="X11">
        <v>0</v>
      </c>
      <c r="Y11">
        <v>0</v>
      </c>
      <c r="Z11">
        <v>0</v>
      </c>
      <c r="AA11">
        <v>0</v>
      </c>
      <c r="AB11">
        <v>0</v>
      </c>
      <c r="AC11">
        <v>0</v>
      </c>
      <c r="AD11">
        <v>0</v>
      </c>
    </row>
  </sheetData>
  <pageMargins left="0.7" right="0.7" top="0.75" bottom="0.75" header="0.3" footer="0.3"/>
</worksheet>
</file>

<file path=xl/worksheets/sheet9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5700-000000000000}">
  <sheetPr>
    <tabColor theme="3"/>
  </sheetPr>
  <dimension ref="A1:AI11"/>
  <sheetViews>
    <sheetView workbookViewId="0">
      <selection activeCell="B1" sqref="B1:AE1"/>
    </sheetView>
  </sheetViews>
  <sheetFormatPr defaultRowHeight="14.25"/>
  <cols>
    <col min="1" max="1" width="22.53125" customWidth="1"/>
  </cols>
  <sheetData>
    <row r="1" spans="1:35" ht="28.5">
      <c r="A1" s="10" t="s">
        <v>85</v>
      </c>
      <c r="B1">
        <f>'BPoEFUbVT-mtrbks-psgr-gasveh'!B1</f>
        <v>2021</v>
      </c>
      <c r="C1">
        <f>'BPoEFUbVT-mtrbks-psgr-gasveh'!C1</f>
        <v>2022</v>
      </c>
      <c r="D1">
        <f>'BPoEFUbVT-mtrbks-psgr-gasveh'!D1</f>
        <v>2023</v>
      </c>
      <c r="E1">
        <f>'BPoEFUbVT-mtrbks-psgr-gasveh'!E1</f>
        <v>2024</v>
      </c>
      <c r="F1">
        <f>'BPoEFUbVT-mtrbks-psgr-gasveh'!F1</f>
        <v>2025</v>
      </c>
      <c r="G1">
        <f>'BPoEFUbVT-mtrbks-psgr-gasveh'!G1</f>
        <v>2026</v>
      </c>
      <c r="H1">
        <f>'BPoEFUbVT-mtrbks-psgr-gasveh'!H1</f>
        <v>2027</v>
      </c>
      <c r="I1">
        <f>'BPoEFUbVT-mtrbks-psgr-gasveh'!I1</f>
        <v>2028</v>
      </c>
      <c r="J1">
        <f>'BPoEFUbVT-mtrbks-psgr-gasveh'!J1</f>
        <v>2029</v>
      </c>
      <c r="K1">
        <f>'BPoEFUbVT-mtrbks-psgr-gasveh'!K1</f>
        <v>2030</v>
      </c>
      <c r="L1">
        <f>'BPoEFUbVT-mtrbks-psgr-gasveh'!L1</f>
        <v>2031</v>
      </c>
      <c r="M1">
        <f>'BPoEFUbVT-mtrbks-psgr-gasveh'!M1</f>
        <v>2032</v>
      </c>
      <c r="N1">
        <f>'BPoEFUbVT-mtrbks-psgr-gasveh'!N1</f>
        <v>2033</v>
      </c>
      <c r="O1">
        <f>'BPoEFUbVT-mtrbks-psgr-gasveh'!O1</f>
        <v>2034</v>
      </c>
      <c r="P1">
        <f>'BPoEFUbVT-mtrbks-psgr-gasveh'!P1</f>
        <v>2035</v>
      </c>
      <c r="Q1">
        <f>'BPoEFUbVT-mtrbks-psgr-gasveh'!Q1</f>
        <v>2036</v>
      </c>
      <c r="R1">
        <f>'BPoEFUbVT-mtrbks-psgr-gasveh'!R1</f>
        <v>2037</v>
      </c>
      <c r="S1">
        <f>'BPoEFUbVT-mtrbks-psgr-gasveh'!S1</f>
        <v>2038</v>
      </c>
      <c r="T1">
        <f>'BPoEFUbVT-mtrbks-psgr-gasveh'!T1</f>
        <v>2039</v>
      </c>
      <c r="U1">
        <f>'BPoEFUbVT-mtrbks-psgr-gasveh'!U1</f>
        <v>2040</v>
      </c>
      <c r="V1">
        <f>'BPoEFUbVT-mtrbks-psgr-gasveh'!V1</f>
        <v>2041</v>
      </c>
      <c r="W1">
        <f>'BPoEFUbVT-mtrbks-psgr-gasveh'!W1</f>
        <v>2042</v>
      </c>
      <c r="X1">
        <f>'BPoEFUbVT-mtrbks-psgr-gasveh'!X1</f>
        <v>2043</v>
      </c>
      <c r="Y1">
        <f>'BPoEFUbVT-mtrbks-psgr-gasveh'!Y1</f>
        <v>2044</v>
      </c>
      <c r="Z1">
        <f>'BPoEFUbVT-mtrbks-psgr-gasveh'!Z1</f>
        <v>2045</v>
      </c>
      <c r="AA1">
        <f>'BPoEFUbVT-mtrbks-psgr-gasveh'!AA1</f>
        <v>2046</v>
      </c>
      <c r="AB1">
        <f>'BPoEFUbVT-mtrbks-psgr-gasveh'!AB1</f>
        <v>2047</v>
      </c>
      <c r="AC1">
        <f>'BPoEFUbVT-mtrbks-psgr-gasveh'!AC1</f>
        <v>2048</v>
      </c>
      <c r="AD1">
        <f>'BPoEFUbVT-mtrbks-psgr-gasveh'!AD1</f>
        <v>2049</v>
      </c>
      <c r="AE1">
        <f>'BPoEFUbVT-mtrbks-psgr-gasveh'!AE1</f>
        <v>2050</v>
      </c>
    </row>
    <row r="2" spans="1:35">
      <c r="A2" t="s">
        <v>15</v>
      </c>
      <c r="B2">
        <v>0</v>
      </c>
      <c r="C2">
        <v>0</v>
      </c>
      <c r="D2">
        <v>0</v>
      </c>
      <c r="E2">
        <v>0</v>
      </c>
      <c r="F2">
        <v>0</v>
      </c>
      <c r="G2">
        <v>0</v>
      </c>
      <c r="H2">
        <v>0</v>
      </c>
      <c r="I2">
        <v>0</v>
      </c>
      <c r="J2">
        <v>0</v>
      </c>
      <c r="K2">
        <v>0</v>
      </c>
      <c r="L2">
        <v>0</v>
      </c>
      <c r="M2">
        <v>0</v>
      </c>
      <c r="N2">
        <v>0</v>
      </c>
      <c r="O2">
        <v>0</v>
      </c>
      <c r="P2">
        <v>0</v>
      </c>
      <c r="Q2">
        <v>0</v>
      </c>
      <c r="R2">
        <v>0</v>
      </c>
      <c r="S2">
        <v>0</v>
      </c>
      <c r="T2">
        <v>0</v>
      </c>
      <c r="U2">
        <v>0</v>
      </c>
      <c r="V2">
        <v>0</v>
      </c>
      <c r="W2">
        <v>0</v>
      </c>
      <c r="X2">
        <v>0</v>
      </c>
      <c r="Y2">
        <v>0</v>
      </c>
      <c r="Z2">
        <v>0</v>
      </c>
      <c r="AA2">
        <v>0</v>
      </c>
      <c r="AB2">
        <v>0</v>
      </c>
      <c r="AC2">
        <v>0</v>
      </c>
      <c r="AD2">
        <v>0</v>
      </c>
      <c r="AE2">
        <v>0</v>
      </c>
    </row>
    <row r="3" spans="1:35">
      <c r="A3" t="s">
        <v>16</v>
      </c>
      <c r="B3">
        <v>0</v>
      </c>
      <c r="C3">
        <v>0</v>
      </c>
      <c r="D3">
        <v>0</v>
      </c>
      <c r="E3">
        <v>0</v>
      </c>
      <c r="F3">
        <v>0</v>
      </c>
      <c r="G3">
        <v>0</v>
      </c>
      <c r="H3">
        <v>0</v>
      </c>
      <c r="I3">
        <v>0</v>
      </c>
      <c r="J3">
        <v>0</v>
      </c>
      <c r="K3">
        <v>0</v>
      </c>
      <c r="L3">
        <v>0</v>
      </c>
      <c r="M3">
        <v>0</v>
      </c>
      <c r="N3">
        <v>0</v>
      </c>
      <c r="O3">
        <v>0</v>
      </c>
      <c r="P3">
        <v>0</v>
      </c>
      <c r="Q3">
        <v>0</v>
      </c>
      <c r="R3">
        <v>0</v>
      </c>
      <c r="S3">
        <v>0</v>
      </c>
      <c r="T3">
        <v>0</v>
      </c>
      <c r="U3">
        <v>0</v>
      </c>
      <c r="V3">
        <v>0</v>
      </c>
      <c r="W3">
        <v>0</v>
      </c>
      <c r="X3">
        <v>0</v>
      </c>
      <c r="Y3">
        <v>0</v>
      </c>
      <c r="Z3">
        <v>0</v>
      </c>
      <c r="AA3">
        <v>0</v>
      </c>
      <c r="AB3">
        <v>0</v>
      </c>
      <c r="AC3">
        <v>0</v>
      </c>
      <c r="AD3">
        <v>0</v>
      </c>
      <c r="AE3">
        <v>0</v>
      </c>
    </row>
    <row r="4" spans="1:35">
      <c r="A4" t="s">
        <v>17</v>
      </c>
      <c r="B4">
        <v>0</v>
      </c>
      <c r="C4">
        <v>0</v>
      </c>
      <c r="D4">
        <v>0</v>
      </c>
      <c r="E4">
        <v>0</v>
      </c>
      <c r="F4">
        <v>0</v>
      </c>
      <c r="G4">
        <v>0</v>
      </c>
      <c r="H4">
        <v>0</v>
      </c>
      <c r="I4">
        <v>0</v>
      </c>
      <c r="J4">
        <v>0</v>
      </c>
      <c r="K4">
        <v>0</v>
      </c>
      <c r="L4">
        <v>0</v>
      </c>
      <c r="M4">
        <v>0</v>
      </c>
      <c r="N4">
        <v>0</v>
      </c>
      <c r="O4">
        <v>0</v>
      </c>
      <c r="P4">
        <v>0</v>
      </c>
      <c r="Q4">
        <v>0</v>
      </c>
      <c r="R4">
        <v>0</v>
      </c>
      <c r="S4">
        <v>0</v>
      </c>
      <c r="T4">
        <v>0</v>
      </c>
      <c r="U4">
        <v>0</v>
      </c>
      <c r="V4">
        <v>0</v>
      </c>
      <c r="W4">
        <v>0</v>
      </c>
      <c r="X4">
        <v>0</v>
      </c>
      <c r="Y4">
        <v>0</v>
      </c>
      <c r="Z4">
        <v>0</v>
      </c>
      <c r="AA4">
        <v>0</v>
      </c>
      <c r="AB4">
        <v>0</v>
      </c>
      <c r="AC4">
        <v>0</v>
      </c>
      <c r="AD4">
        <v>0</v>
      </c>
      <c r="AE4">
        <v>0</v>
      </c>
      <c r="AI4" s="2"/>
    </row>
    <row r="5" spans="1:35">
      <c r="A5" t="s">
        <v>18</v>
      </c>
      <c r="B5">
        <v>0</v>
      </c>
      <c r="C5">
        <v>0</v>
      </c>
      <c r="D5">
        <v>0</v>
      </c>
      <c r="E5">
        <v>0</v>
      </c>
      <c r="F5">
        <v>0</v>
      </c>
      <c r="G5">
        <v>0</v>
      </c>
      <c r="H5">
        <v>0</v>
      </c>
      <c r="I5">
        <v>0</v>
      </c>
      <c r="J5">
        <v>0</v>
      </c>
      <c r="K5">
        <v>0</v>
      </c>
      <c r="L5">
        <v>0</v>
      </c>
      <c r="M5">
        <v>0</v>
      </c>
      <c r="N5">
        <v>0</v>
      </c>
      <c r="O5">
        <v>0</v>
      </c>
      <c r="P5">
        <v>0</v>
      </c>
      <c r="Q5">
        <v>0</v>
      </c>
      <c r="R5">
        <v>0</v>
      </c>
      <c r="S5">
        <v>0</v>
      </c>
      <c r="T5">
        <v>0</v>
      </c>
      <c r="U5">
        <v>0</v>
      </c>
      <c r="V5">
        <v>0</v>
      </c>
      <c r="W5">
        <v>0</v>
      </c>
      <c r="X5">
        <v>0</v>
      </c>
      <c r="Y5">
        <v>0</v>
      </c>
      <c r="Z5">
        <v>0</v>
      </c>
      <c r="AA5">
        <v>0</v>
      </c>
      <c r="AB5">
        <v>0</v>
      </c>
      <c r="AC5">
        <v>0</v>
      </c>
      <c r="AD5">
        <v>0</v>
      </c>
      <c r="AE5">
        <v>0</v>
      </c>
    </row>
    <row r="6" spans="1:35">
      <c r="A6" t="s">
        <v>19</v>
      </c>
      <c r="B6">
        <v>0</v>
      </c>
      <c r="C6">
        <v>0</v>
      </c>
      <c r="D6">
        <v>0</v>
      </c>
      <c r="E6">
        <v>0</v>
      </c>
      <c r="F6">
        <v>0</v>
      </c>
      <c r="G6">
        <v>0</v>
      </c>
      <c r="H6">
        <v>0</v>
      </c>
      <c r="I6">
        <v>0</v>
      </c>
      <c r="J6">
        <v>0</v>
      </c>
      <c r="K6">
        <v>0</v>
      </c>
      <c r="L6">
        <v>0</v>
      </c>
      <c r="M6">
        <v>0</v>
      </c>
      <c r="N6">
        <v>0</v>
      </c>
      <c r="O6">
        <v>0</v>
      </c>
      <c r="P6">
        <v>0</v>
      </c>
      <c r="Q6">
        <v>0</v>
      </c>
      <c r="R6">
        <v>0</v>
      </c>
      <c r="S6">
        <v>0</v>
      </c>
      <c r="T6">
        <v>0</v>
      </c>
      <c r="U6">
        <v>0</v>
      </c>
      <c r="V6">
        <v>0</v>
      </c>
      <c r="W6">
        <v>0</v>
      </c>
      <c r="X6">
        <v>0</v>
      </c>
      <c r="Y6">
        <v>0</v>
      </c>
      <c r="Z6">
        <v>0</v>
      </c>
      <c r="AA6">
        <v>0</v>
      </c>
      <c r="AB6">
        <v>0</v>
      </c>
      <c r="AC6">
        <v>0</v>
      </c>
      <c r="AD6">
        <v>0</v>
      </c>
      <c r="AE6">
        <v>0</v>
      </c>
      <c r="AI6" s="2"/>
    </row>
    <row r="7" spans="1:35">
      <c r="A7" t="s">
        <v>21</v>
      </c>
      <c r="B7">
        <v>0</v>
      </c>
      <c r="C7">
        <v>0</v>
      </c>
      <c r="D7">
        <v>0</v>
      </c>
      <c r="E7">
        <v>0</v>
      </c>
      <c r="F7">
        <v>0</v>
      </c>
      <c r="G7">
        <v>0</v>
      </c>
      <c r="H7">
        <v>0</v>
      </c>
      <c r="I7">
        <v>0</v>
      </c>
      <c r="J7">
        <v>0</v>
      </c>
      <c r="K7">
        <v>0</v>
      </c>
      <c r="L7">
        <v>0</v>
      </c>
      <c r="M7">
        <v>0</v>
      </c>
      <c r="N7">
        <v>0</v>
      </c>
      <c r="O7">
        <v>0</v>
      </c>
      <c r="P7">
        <v>0</v>
      </c>
      <c r="Q7">
        <v>0</v>
      </c>
      <c r="R7">
        <v>0</v>
      </c>
      <c r="S7">
        <v>0</v>
      </c>
      <c r="T7">
        <v>0</v>
      </c>
      <c r="U7">
        <v>0</v>
      </c>
      <c r="V7">
        <v>0</v>
      </c>
      <c r="W7">
        <v>0</v>
      </c>
      <c r="X7">
        <v>0</v>
      </c>
      <c r="Y7">
        <v>0</v>
      </c>
      <c r="Z7">
        <v>0</v>
      </c>
      <c r="AA7">
        <v>0</v>
      </c>
      <c r="AB7">
        <v>0</v>
      </c>
      <c r="AC7">
        <v>0</v>
      </c>
      <c r="AD7">
        <v>0</v>
      </c>
      <c r="AE7">
        <v>0</v>
      </c>
    </row>
    <row r="8" spans="1:35">
      <c r="A8" t="s">
        <v>20</v>
      </c>
      <c r="B8">
        <v>0</v>
      </c>
      <c r="C8">
        <v>0</v>
      </c>
      <c r="D8">
        <v>0</v>
      </c>
      <c r="E8">
        <v>0</v>
      </c>
      <c r="F8">
        <v>0</v>
      </c>
      <c r="G8">
        <v>0</v>
      </c>
      <c r="H8">
        <v>0</v>
      </c>
      <c r="I8">
        <v>0</v>
      </c>
      <c r="J8">
        <v>0</v>
      </c>
      <c r="K8">
        <v>0</v>
      </c>
      <c r="L8">
        <v>0</v>
      </c>
      <c r="M8">
        <v>0</v>
      </c>
      <c r="N8">
        <v>0</v>
      </c>
      <c r="O8">
        <v>0</v>
      </c>
      <c r="P8">
        <v>0</v>
      </c>
      <c r="Q8">
        <v>0</v>
      </c>
      <c r="R8">
        <v>0</v>
      </c>
      <c r="S8">
        <v>0</v>
      </c>
      <c r="T8">
        <v>0</v>
      </c>
      <c r="U8">
        <v>0</v>
      </c>
      <c r="V8">
        <v>0</v>
      </c>
      <c r="W8">
        <v>0</v>
      </c>
      <c r="X8">
        <v>0</v>
      </c>
      <c r="Y8">
        <v>0</v>
      </c>
      <c r="Z8">
        <v>0</v>
      </c>
      <c r="AA8">
        <v>0</v>
      </c>
      <c r="AB8">
        <v>0</v>
      </c>
      <c r="AC8">
        <v>0</v>
      </c>
      <c r="AD8">
        <v>0</v>
      </c>
      <c r="AE8">
        <v>0</v>
      </c>
    </row>
    <row r="9" spans="1:35">
      <c r="A9" t="s">
        <v>82</v>
      </c>
      <c r="B9">
        <v>0</v>
      </c>
      <c r="C9">
        <v>0</v>
      </c>
      <c r="D9">
        <v>0</v>
      </c>
      <c r="E9">
        <v>0</v>
      </c>
      <c r="F9">
        <v>0</v>
      </c>
      <c r="G9">
        <v>0</v>
      </c>
      <c r="H9">
        <v>0</v>
      </c>
      <c r="I9">
        <v>0</v>
      </c>
      <c r="J9">
        <v>0</v>
      </c>
      <c r="K9">
        <v>0</v>
      </c>
      <c r="L9">
        <v>0</v>
      </c>
      <c r="M9">
        <v>0</v>
      </c>
      <c r="N9">
        <v>0</v>
      </c>
      <c r="O9">
        <v>0</v>
      </c>
      <c r="P9">
        <v>0</v>
      </c>
      <c r="Q9">
        <v>0</v>
      </c>
      <c r="R9">
        <v>0</v>
      </c>
      <c r="S9">
        <v>0</v>
      </c>
      <c r="T9">
        <v>0</v>
      </c>
      <c r="U9">
        <v>0</v>
      </c>
      <c r="V9">
        <v>0</v>
      </c>
      <c r="W9">
        <v>0</v>
      </c>
      <c r="X9">
        <v>0</v>
      </c>
      <c r="Y9">
        <v>0</v>
      </c>
      <c r="Z9">
        <v>0</v>
      </c>
      <c r="AA9">
        <v>0</v>
      </c>
      <c r="AB9">
        <v>0</v>
      </c>
      <c r="AC9">
        <v>0</v>
      </c>
      <c r="AD9">
        <v>0</v>
      </c>
      <c r="AE9">
        <v>0</v>
      </c>
    </row>
    <row r="10" spans="1:35">
      <c r="A10" t="s">
        <v>83</v>
      </c>
      <c r="B10">
        <v>1</v>
      </c>
      <c r="C10">
        <v>1</v>
      </c>
      <c r="D10">
        <v>1</v>
      </c>
      <c r="E10">
        <v>1</v>
      </c>
      <c r="F10">
        <v>1</v>
      </c>
      <c r="G10">
        <v>1</v>
      </c>
      <c r="H10">
        <v>1</v>
      </c>
      <c r="I10">
        <v>1</v>
      </c>
      <c r="J10">
        <v>1</v>
      </c>
      <c r="K10">
        <v>1</v>
      </c>
      <c r="L10">
        <v>1</v>
      </c>
      <c r="M10">
        <v>1</v>
      </c>
      <c r="N10">
        <v>1</v>
      </c>
      <c r="O10">
        <v>1</v>
      </c>
      <c r="P10">
        <v>1</v>
      </c>
      <c r="Q10">
        <v>1</v>
      </c>
      <c r="R10">
        <v>1</v>
      </c>
      <c r="S10">
        <v>1</v>
      </c>
      <c r="T10">
        <v>1</v>
      </c>
      <c r="U10">
        <v>1</v>
      </c>
      <c r="V10">
        <v>1</v>
      </c>
      <c r="W10">
        <v>1</v>
      </c>
      <c r="X10">
        <v>1</v>
      </c>
      <c r="Y10">
        <v>1</v>
      </c>
      <c r="Z10">
        <v>1</v>
      </c>
      <c r="AA10">
        <v>1</v>
      </c>
      <c r="AB10">
        <v>1</v>
      </c>
      <c r="AC10">
        <v>1</v>
      </c>
      <c r="AD10">
        <v>1</v>
      </c>
      <c r="AE10">
        <v>1</v>
      </c>
    </row>
    <row r="11" spans="1:35">
      <c r="A11" t="s">
        <v>84</v>
      </c>
      <c r="B11">
        <v>0</v>
      </c>
      <c r="C11">
        <v>0</v>
      </c>
      <c r="D11">
        <v>0</v>
      </c>
      <c r="E11">
        <v>0</v>
      </c>
      <c r="F11">
        <v>0</v>
      </c>
      <c r="G11">
        <v>0</v>
      </c>
      <c r="H11">
        <v>0</v>
      </c>
      <c r="I11">
        <v>0</v>
      </c>
      <c r="J11">
        <v>0</v>
      </c>
      <c r="K11">
        <v>0</v>
      </c>
      <c r="L11">
        <v>0</v>
      </c>
      <c r="M11">
        <v>0</v>
      </c>
      <c r="N11">
        <v>0</v>
      </c>
      <c r="O11">
        <v>0</v>
      </c>
      <c r="P11">
        <v>0</v>
      </c>
      <c r="Q11">
        <v>0</v>
      </c>
      <c r="R11">
        <v>0</v>
      </c>
      <c r="S11">
        <v>0</v>
      </c>
      <c r="T11">
        <v>0</v>
      </c>
      <c r="U11">
        <v>0</v>
      </c>
      <c r="V11">
        <v>0</v>
      </c>
      <c r="W11">
        <v>0</v>
      </c>
      <c r="X11">
        <v>0</v>
      </c>
      <c r="Y11">
        <v>0</v>
      </c>
      <c r="Z11">
        <v>0</v>
      </c>
      <c r="AA11">
        <v>0</v>
      </c>
      <c r="AB11">
        <v>0</v>
      </c>
      <c r="AC11">
        <v>0</v>
      </c>
      <c r="AD11">
        <v>0</v>
      </c>
      <c r="AE11">
        <v>0</v>
      </c>
    </row>
  </sheetData>
  <pageMargins left="0.7" right="0.7" top="0.75" bottom="0.75" header="0.3" footer="0.3"/>
</worksheet>
</file>

<file path=xl/worksheets/sheet9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5800-000000000000}">
  <sheetPr>
    <tabColor theme="3"/>
  </sheetPr>
  <dimension ref="A1:AI11"/>
  <sheetViews>
    <sheetView workbookViewId="0">
      <selection activeCell="B2" sqref="B2"/>
    </sheetView>
  </sheetViews>
  <sheetFormatPr defaultRowHeight="14.25"/>
  <cols>
    <col min="1" max="1" width="22.53125" customWidth="1"/>
  </cols>
  <sheetData>
    <row r="1" spans="1:35" ht="28.5">
      <c r="A1" s="10" t="s">
        <v>85</v>
      </c>
      <c r="B1">
        <f>'BPoEFUbVT-mtrbks-psgr-gasveh'!B1</f>
        <v>2021</v>
      </c>
      <c r="C1">
        <f>'BPoEFUbVT-mtrbks-psgr-gasveh'!C1</f>
        <v>2022</v>
      </c>
      <c r="D1">
        <f>'BPoEFUbVT-mtrbks-psgr-gasveh'!D1</f>
        <v>2023</v>
      </c>
      <c r="E1">
        <f>'BPoEFUbVT-mtrbks-psgr-gasveh'!E1</f>
        <v>2024</v>
      </c>
      <c r="F1">
        <f>'BPoEFUbVT-mtrbks-psgr-gasveh'!F1</f>
        <v>2025</v>
      </c>
      <c r="G1">
        <f>'BPoEFUbVT-mtrbks-psgr-gasveh'!G1</f>
        <v>2026</v>
      </c>
      <c r="H1">
        <f>'BPoEFUbVT-mtrbks-psgr-gasveh'!H1</f>
        <v>2027</v>
      </c>
      <c r="I1">
        <f>'BPoEFUbVT-mtrbks-psgr-gasveh'!I1</f>
        <v>2028</v>
      </c>
      <c r="J1">
        <f>'BPoEFUbVT-mtrbks-psgr-gasveh'!J1</f>
        <v>2029</v>
      </c>
      <c r="K1">
        <f>'BPoEFUbVT-mtrbks-psgr-gasveh'!K1</f>
        <v>2030</v>
      </c>
      <c r="L1">
        <f>'BPoEFUbVT-mtrbks-psgr-gasveh'!L1</f>
        <v>2031</v>
      </c>
      <c r="M1">
        <f>'BPoEFUbVT-mtrbks-psgr-gasveh'!M1</f>
        <v>2032</v>
      </c>
      <c r="N1">
        <f>'BPoEFUbVT-mtrbks-psgr-gasveh'!N1</f>
        <v>2033</v>
      </c>
      <c r="O1">
        <f>'BPoEFUbVT-mtrbks-psgr-gasveh'!O1</f>
        <v>2034</v>
      </c>
      <c r="P1">
        <f>'BPoEFUbVT-mtrbks-psgr-gasveh'!P1</f>
        <v>2035</v>
      </c>
      <c r="Q1">
        <f>'BPoEFUbVT-mtrbks-psgr-gasveh'!Q1</f>
        <v>2036</v>
      </c>
      <c r="R1">
        <f>'BPoEFUbVT-mtrbks-psgr-gasveh'!R1</f>
        <v>2037</v>
      </c>
      <c r="S1">
        <f>'BPoEFUbVT-mtrbks-psgr-gasveh'!S1</f>
        <v>2038</v>
      </c>
      <c r="T1">
        <f>'BPoEFUbVT-mtrbks-psgr-gasveh'!T1</f>
        <v>2039</v>
      </c>
      <c r="U1">
        <f>'BPoEFUbVT-mtrbks-psgr-gasveh'!U1</f>
        <v>2040</v>
      </c>
      <c r="V1">
        <f>'BPoEFUbVT-mtrbks-psgr-gasveh'!V1</f>
        <v>2041</v>
      </c>
      <c r="W1">
        <f>'BPoEFUbVT-mtrbks-psgr-gasveh'!W1</f>
        <v>2042</v>
      </c>
      <c r="X1">
        <f>'BPoEFUbVT-mtrbks-psgr-gasveh'!X1</f>
        <v>2043</v>
      </c>
      <c r="Y1">
        <f>'BPoEFUbVT-mtrbks-psgr-gasveh'!Y1</f>
        <v>2044</v>
      </c>
      <c r="Z1">
        <f>'BPoEFUbVT-mtrbks-psgr-gasveh'!Z1</f>
        <v>2045</v>
      </c>
      <c r="AA1">
        <f>'BPoEFUbVT-mtrbks-psgr-gasveh'!AA1</f>
        <v>2046</v>
      </c>
      <c r="AB1">
        <f>'BPoEFUbVT-mtrbks-psgr-gasveh'!AB1</f>
        <v>2047</v>
      </c>
      <c r="AC1">
        <f>'BPoEFUbVT-mtrbks-psgr-gasveh'!AC1</f>
        <v>2048</v>
      </c>
      <c r="AD1">
        <f>'BPoEFUbVT-mtrbks-psgr-gasveh'!AD1</f>
        <v>2049</v>
      </c>
      <c r="AE1">
        <f>'BPoEFUbVT-mtrbks-psgr-gasveh'!AE1</f>
        <v>2050</v>
      </c>
    </row>
    <row r="2" spans="1:35">
      <c r="A2" t="s">
        <v>15</v>
      </c>
      <c r="B2">
        <v>0</v>
      </c>
      <c r="C2">
        <v>0</v>
      </c>
      <c r="D2">
        <v>0</v>
      </c>
      <c r="E2">
        <v>0</v>
      </c>
      <c r="F2">
        <v>0</v>
      </c>
      <c r="G2">
        <v>0</v>
      </c>
      <c r="H2">
        <v>0</v>
      </c>
      <c r="I2">
        <v>0</v>
      </c>
      <c r="J2">
        <v>0</v>
      </c>
      <c r="K2">
        <v>0</v>
      </c>
      <c r="L2">
        <v>0</v>
      </c>
      <c r="M2">
        <v>0</v>
      </c>
      <c r="N2">
        <v>0</v>
      </c>
      <c r="O2">
        <v>0</v>
      </c>
      <c r="P2">
        <v>0</v>
      </c>
      <c r="Q2">
        <v>0</v>
      </c>
      <c r="R2">
        <v>0</v>
      </c>
      <c r="S2">
        <v>0</v>
      </c>
      <c r="T2">
        <v>0</v>
      </c>
      <c r="U2">
        <v>0</v>
      </c>
      <c r="V2">
        <v>0</v>
      </c>
      <c r="W2">
        <v>0</v>
      </c>
      <c r="X2">
        <v>0</v>
      </c>
      <c r="Y2">
        <v>0</v>
      </c>
      <c r="Z2">
        <v>0</v>
      </c>
      <c r="AA2">
        <v>0</v>
      </c>
      <c r="AB2">
        <v>0</v>
      </c>
      <c r="AC2">
        <v>0</v>
      </c>
      <c r="AD2">
        <v>0</v>
      </c>
      <c r="AE2">
        <v>0</v>
      </c>
    </row>
    <row r="3" spans="1:35">
      <c r="A3" t="s">
        <v>16</v>
      </c>
      <c r="B3">
        <v>0</v>
      </c>
      <c r="C3">
        <v>0</v>
      </c>
      <c r="D3">
        <v>0</v>
      </c>
      <c r="E3">
        <v>0</v>
      </c>
      <c r="F3">
        <v>0</v>
      </c>
      <c r="G3">
        <v>0</v>
      </c>
      <c r="H3">
        <v>0</v>
      </c>
      <c r="I3">
        <v>0</v>
      </c>
      <c r="J3">
        <v>0</v>
      </c>
      <c r="K3">
        <v>0</v>
      </c>
      <c r="L3">
        <v>0</v>
      </c>
      <c r="M3">
        <v>0</v>
      </c>
      <c r="N3">
        <v>0</v>
      </c>
      <c r="O3">
        <v>0</v>
      </c>
      <c r="P3">
        <v>0</v>
      </c>
      <c r="Q3">
        <v>0</v>
      </c>
      <c r="R3">
        <v>0</v>
      </c>
      <c r="S3">
        <v>0</v>
      </c>
      <c r="T3">
        <v>0</v>
      </c>
      <c r="U3">
        <v>0</v>
      </c>
      <c r="V3">
        <v>0</v>
      </c>
      <c r="W3">
        <v>0</v>
      </c>
      <c r="X3">
        <v>0</v>
      </c>
      <c r="Y3">
        <v>0</v>
      </c>
      <c r="Z3">
        <v>0</v>
      </c>
      <c r="AA3">
        <v>0</v>
      </c>
      <c r="AB3">
        <v>0</v>
      </c>
      <c r="AC3">
        <v>0</v>
      </c>
      <c r="AD3">
        <v>0</v>
      </c>
      <c r="AE3">
        <v>0</v>
      </c>
    </row>
    <row r="4" spans="1:35">
      <c r="A4" t="s">
        <v>17</v>
      </c>
      <c r="B4">
        <v>0</v>
      </c>
      <c r="C4">
        <v>0</v>
      </c>
      <c r="D4">
        <v>0</v>
      </c>
      <c r="E4">
        <v>0</v>
      </c>
      <c r="F4">
        <v>0</v>
      </c>
      <c r="G4">
        <v>0</v>
      </c>
      <c r="H4">
        <v>0</v>
      </c>
      <c r="I4">
        <v>0</v>
      </c>
      <c r="J4">
        <v>0</v>
      </c>
      <c r="K4">
        <v>0</v>
      </c>
      <c r="L4">
        <v>0</v>
      </c>
      <c r="M4">
        <v>0</v>
      </c>
      <c r="N4">
        <v>0</v>
      </c>
      <c r="O4">
        <v>0</v>
      </c>
      <c r="P4">
        <v>0</v>
      </c>
      <c r="Q4">
        <v>0</v>
      </c>
      <c r="R4">
        <v>0</v>
      </c>
      <c r="S4">
        <v>0</v>
      </c>
      <c r="T4">
        <v>0</v>
      </c>
      <c r="U4">
        <v>0</v>
      </c>
      <c r="V4">
        <v>0</v>
      </c>
      <c r="W4">
        <v>0</v>
      </c>
      <c r="X4">
        <v>0</v>
      </c>
      <c r="Y4">
        <v>0</v>
      </c>
      <c r="Z4">
        <v>0</v>
      </c>
      <c r="AA4">
        <v>0</v>
      </c>
      <c r="AB4">
        <v>0</v>
      </c>
      <c r="AC4">
        <v>0</v>
      </c>
      <c r="AD4">
        <v>0</v>
      </c>
      <c r="AE4">
        <v>0</v>
      </c>
      <c r="AI4" s="2"/>
    </row>
    <row r="5" spans="1:35">
      <c r="A5" t="s">
        <v>18</v>
      </c>
      <c r="B5">
        <v>0</v>
      </c>
      <c r="C5">
        <v>0</v>
      </c>
      <c r="D5">
        <v>0</v>
      </c>
      <c r="E5">
        <v>0</v>
      </c>
      <c r="F5">
        <v>0</v>
      </c>
      <c r="G5">
        <v>0</v>
      </c>
      <c r="H5">
        <v>0</v>
      </c>
      <c r="I5">
        <v>0</v>
      </c>
      <c r="J5">
        <v>0</v>
      </c>
      <c r="K5">
        <v>0</v>
      </c>
      <c r="L5">
        <v>0</v>
      </c>
      <c r="M5">
        <v>0</v>
      </c>
      <c r="N5">
        <v>0</v>
      </c>
      <c r="O5">
        <v>0</v>
      </c>
      <c r="P5">
        <v>0</v>
      </c>
      <c r="Q5">
        <v>0</v>
      </c>
      <c r="R5">
        <v>0</v>
      </c>
      <c r="S5">
        <v>0</v>
      </c>
      <c r="T5">
        <v>0</v>
      </c>
      <c r="U5">
        <v>0</v>
      </c>
      <c r="V5">
        <v>0</v>
      </c>
      <c r="W5">
        <v>0</v>
      </c>
      <c r="X5">
        <v>0</v>
      </c>
      <c r="Y5">
        <v>0</v>
      </c>
      <c r="Z5">
        <v>0</v>
      </c>
      <c r="AA5">
        <v>0</v>
      </c>
      <c r="AB5">
        <v>0</v>
      </c>
      <c r="AC5">
        <v>0</v>
      </c>
      <c r="AD5">
        <v>0</v>
      </c>
      <c r="AE5">
        <v>0</v>
      </c>
    </row>
    <row r="6" spans="1:35">
      <c r="A6" t="s">
        <v>19</v>
      </c>
      <c r="B6">
        <v>0</v>
      </c>
      <c r="C6">
        <v>0</v>
      </c>
      <c r="D6">
        <v>0</v>
      </c>
      <c r="E6">
        <v>0</v>
      </c>
      <c r="F6">
        <v>0</v>
      </c>
      <c r="G6">
        <v>0</v>
      </c>
      <c r="H6">
        <v>0</v>
      </c>
      <c r="I6">
        <v>0</v>
      </c>
      <c r="J6">
        <v>0</v>
      </c>
      <c r="K6">
        <v>0</v>
      </c>
      <c r="L6">
        <v>0</v>
      </c>
      <c r="M6">
        <v>0</v>
      </c>
      <c r="N6">
        <v>0</v>
      </c>
      <c r="O6">
        <v>0</v>
      </c>
      <c r="P6">
        <v>0</v>
      </c>
      <c r="Q6">
        <v>0</v>
      </c>
      <c r="R6">
        <v>0</v>
      </c>
      <c r="S6">
        <v>0</v>
      </c>
      <c r="T6">
        <v>0</v>
      </c>
      <c r="U6">
        <v>0</v>
      </c>
      <c r="V6">
        <v>0</v>
      </c>
      <c r="W6">
        <v>0</v>
      </c>
      <c r="X6">
        <v>0</v>
      </c>
      <c r="Y6">
        <v>0</v>
      </c>
      <c r="Z6">
        <v>0</v>
      </c>
      <c r="AA6">
        <v>0</v>
      </c>
      <c r="AB6">
        <v>0</v>
      </c>
      <c r="AC6">
        <v>0</v>
      </c>
      <c r="AD6">
        <v>0</v>
      </c>
      <c r="AE6">
        <v>0</v>
      </c>
      <c r="AI6" s="2"/>
    </row>
    <row r="7" spans="1:35">
      <c r="A7" t="s">
        <v>21</v>
      </c>
      <c r="B7">
        <v>0</v>
      </c>
      <c r="C7">
        <v>0</v>
      </c>
      <c r="D7">
        <v>0</v>
      </c>
      <c r="E7">
        <v>0</v>
      </c>
      <c r="F7">
        <v>0</v>
      </c>
      <c r="G7">
        <v>0</v>
      </c>
      <c r="H7">
        <v>0</v>
      </c>
      <c r="I7">
        <v>0</v>
      </c>
      <c r="J7">
        <v>0</v>
      </c>
      <c r="K7">
        <v>0</v>
      </c>
      <c r="L7">
        <v>0</v>
      </c>
      <c r="M7">
        <v>0</v>
      </c>
      <c r="N7">
        <v>0</v>
      </c>
      <c r="O7">
        <v>0</v>
      </c>
      <c r="P7">
        <v>0</v>
      </c>
      <c r="Q7">
        <v>0</v>
      </c>
      <c r="R7">
        <v>0</v>
      </c>
      <c r="S7">
        <v>0</v>
      </c>
      <c r="T7">
        <v>0</v>
      </c>
      <c r="U7">
        <v>0</v>
      </c>
      <c r="V7">
        <v>0</v>
      </c>
      <c r="W7">
        <v>0</v>
      </c>
      <c r="X7">
        <v>0</v>
      </c>
      <c r="Y7">
        <v>0</v>
      </c>
      <c r="Z7">
        <v>0</v>
      </c>
      <c r="AA7">
        <v>0</v>
      </c>
      <c r="AB7">
        <v>0</v>
      </c>
      <c r="AC7">
        <v>0</v>
      </c>
      <c r="AD7">
        <v>0</v>
      </c>
      <c r="AE7">
        <v>0</v>
      </c>
    </row>
    <row r="8" spans="1:35">
      <c r="A8" t="s">
        <v>20</v>
      </c>
      <c r="B8">
        <v>0</v>
      </c>
      <c r="C8">
        <v>0</v>
      </c>
      <c r="D8">
        <v>0</v>
      </c>
      <c r="E8">
        <v>0</v>
      </c>
      <c r="F8">
        <v>0</v>
      </c>
      <c r="G8">
        <v>0</v>
      </c>
      <c r="H8">
        <v>0</v>
      </c>
      <c r="I8">
        <v>0</v>
      </c>
      <c r="J8">
        <v>0</v>
      </c>
      <c r="K8">
        <v>0</v>
      </c>
      <c r="L8">
        <v>0</v>
      </c>
      <c r="M8">
        <v>0</v>
      </c>
      <c r="N8">
        <v>0</v>
      </c>
      <c r="O8">
        <v>0</v>
      </c>
      <c r="P8">
        <v>0</v>
      </c>
      <c r="Q8">
        <v>0</v>
      </c>
      <c r="R8">
        <v>0</v>
      </c>
      <c r="S8">
        <v>0</v>
      </c>
      <c r="T8">
        <v>0</v>
      </c>
      <c r="U8">
        <v>0</v>
      </c>
      <c r="V8">
        <v>0</v>
      </c>
      <c r="W8">
        <v>0</v>
      </c>
      <c r="X8">
        <v>0</v>
      </c>
      <c r="Y8">
        <v>0</v>
      </c>
      <c r="Z8">
        <v>0</v>
      </c>
      <c r="AA8">
        <v>0</v>
      </c>
      <c r="AB8">
        <v>0</v>
      </c>
      <c r="AC8">
        <v>0</v>
      </c>
      <c r="AD8">
        <v>0</v>
      </c>
      <c r="AE8">
        <v>0</v>
      </c>
    </row>
    <row r="9" spans="1:35">
      <c r="A9" t="s">
        <v>82</v>
      </c>
      <c r="B9">
        <v>0</v>
      </c>
      <c r="C9">
        <v>0</v>
      </c>
      <c r="D9">
        <v>0</v>
      </c>
      <c r="E9">
        <v>0</v>
      </c>
      <c r="F9">
        <v>0</v>
      </c>
      <c r="G9">
        <v>0</v>
      </c>
      <c r="H9">
        <v>0</v>
      </c>
      <c r="I9">
        <v>0</v>
      </c>
      <c r="J9">
        <v>0</v>
      </c>
      <c r="K9">
        <v>0</v>
      </c>
      <c r="L9">
        <v>0</v>
      </c>
      <c r="M9">
        <v>0</v>
      </c>
      <c r="N9">
        <v>0</v>
      </c>
      <c r="O9">
        <v>0</v>
      </c>
      <c r="P9">
        <v>0</v>
      </c>
      <c r="Q9">
        <v>0</v>
      </c>
      <c r="R9">
        <v>0</v>
      </c>
      <c r="S9">
        <v>0</v>
      </c>
      <c r="T9">
        <v>0</v>
      </c>
      <c r="U9">
        <v>0</v>
      </c>
      <c r="V9">
        <v>0</v>
      </c>
      <c r="W9">
        <v>0</v>
      </c>
      <c r="X9">
        <v>0</v>
      </c>
      <c r="Y9">
        <v>0</v>
      </c>
      <c r="Z9">
        <v>0</v>
      </c>
      <c r="AA9">
        <v>0</v>
      </c>
      <c r="AB9">
        <v>0</v>
      </c>
      <c r="AC9">
        <v>0</v>
      </c>
      <c r="AD9">
        <v>0</v>
      </c>
      <c r="AE9">
        <v>0</v>
      </c>
    </row>
    <row r="10" spans="1:35">
      <c r="A10" t="s">
        <v>83</v>
      </c>
      <c r="B10">
        <v>0</v>
      </c>
      <c r="C10">
        <v>0</v>
      </c>
      <c r="D10">
        <v>0</v>
      </c>
      <c r="E10">
        <v>0</v>
      </c>
      <c r="F10">
        <v>0</v>
      </c>
      <c r="G10">
        <v>0</v>
      </c>
      <c r="H10">
        <v>0</v>
      </c>
      <c r="I10">
        <v>0</v>
      </c>
      <c r="J10">
        <v>0</v>
      </c>
      <c r="K10">
        <v>0</v>
      </c>
      <c r="L10">
        <v>0</v>
      </c>
      <c r="M10">
        <v>0</v>
      </c>
      <c r="N10">
        <v>0</v>
      </c>
      <c r="O10">
        <v>0</v>
      </c>
      <c r="P10">
        <v>0</v>
      </c>
      <c r="Q10">
        <v>0</v>
      </c>
      <c r="R10">
        <v>0</v>
      </c>
      <c r="S10">
        <v>0</v>
      </c>
      <c r="T10">
        <v>0</v>
      </c>
      <c r="U10">
        <v>0</v>
      </c>
      <c r="V10">
        <v>0</v>
      </c>
      <c r="W10">
        <v>0</v>
      </c>
      <c r="X10">
        <v>0</v>
      </c>
      <c r="Y10">
        <v>0</v>
      </c>
      <c r="Z10">
        <v>0</v>
      </c>
      <c r="AA10">
        <v>0</v>
      </c>
      <c r="AB10">
        <v>0</v>
      </c>
      <c r="AC10">
        <v>0</v>
      </c>
      <c r="AD10">
        <v>0</v>
      </c>
      <c r="AE10">
        <v>0</v>
      </c>
    </row>
    <row r="11" spans="1:35">
      <c r="A11" t="s">
        <v>84</v>
      </c>
      <c r="B11">
        <v>1</v>
      </c>
      <c r="C11">
        <v>1</v>
      </c>
      <c r="D11">
        <v>1</v>
      </c>
      <c r="E11">
        <v>1</v>
      </c>
      <c r="F11">
        <v>1</v>
      </c>
      <c r="G11">
        <v>1</v>
      </c>
      <c r="H11">
        <v>1</v>
      </c>
      <c r="I11">
        <v>1</v>
      </c>
      <c r="J11">
        <v>1</v>
      </c>
      <c r="K11">
        <v>1</v>
      </c>
      <c r="L11">
        <v>1</v>
      </c>
      <c r="M11">
        <v>1</v>
      </c>
      <c r="N11">
        <v>1</v>
      </c>
      <c r="O11">
        <v>1</v>
      </c>
      <c r="P11">
        <v>1</v>
      </c>
      <c r="Q11">
        <v>1</v>
      </c>
      <c r="R11">
        <v>1</v>
      </c>
      <c r="S11">
        <v>1</v>
      </c>
      <c r="T11">
        <v>1</v>
      </c>
      <c r="U11">
        <v>1</v>
      </c>
      <c r="V11">
        <v>1</v>
      </c>
      <c r="W11">
        <v>1</v>
      </c>
      <c r="X11">
        <v>1</v>
      </c>
      <c r="Y11">
        <v>1</v>
      </c>
      <c r="Z11">
        <v>1</v>
      </c>
      <c r="AA11">
        <v>1</v>
      </c>
      <c r="AB11">
        <v>1</v>
      </c>
      <c r="AC11">
        <v>1</v>
      </c>
      <c r="AD11">
        <v>1</v>
      </c>
      <c r="AE11">
        <v>1</v>
      </c>
    </row>
  </sheetData>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99</vt:i4>
      </vt:variant>
    </vt:vector>
  </HeadingPairs>
  <TitlesOfParts>
    <vt:vector size="99" baseType="lpstr">
      <vt:lpstr>About</vt:lpstr>
      <vt:lpstr>source data&gt;</vt:lpstr>
      <vt:lpstr>EIA-fuel-ethanol-motor-gasoline</vt:lpstr>
      <vt:lpstr>AEO Table 73</vt:lpstr>
      <vt:lpstr>ethanol content</vt:lpstr>
      <vt:lpstr>AEO 2023 Table 17</vt:lpstr>
      <vt:lpstr>AEO 2023 Table 36 Raw</vt:lpstr>
      <vt:lpstr>AEO 2023 Table 36 </vt:lpstr>
      <vt:lpstr>AEO 2025 Table 17</vt:lpstr>
      <vt:lpstr>AEO 2026 Table 17</vt:lpstr>
      <vt:lpstr>AEO 2025 Table 36</vt:lpstr>
      <vt:lpstr>AEO 2026 Table 36</vt:lpstr>
      <vt:lpstr>Biodiesel Fraction</vt:lpstr>
      <vt:lpstr>Plug-in Hybrid Elec Fraction</vt:lpstr>
      <vt:lpstr>Freight Ships</vt:lpstr>
      <vt:lpstr>LDVs-psgr</vt:lpstr>
      <vt:lpstr>BPoEFUbVT-LDVs-psgr-batelc</vt:lpstr>
      <vt:lpstr>BPoEFUbVT-LDVs-psgr-natgas</vt:lpstr>
      <vt:lpstr>BPoEFUbVT-LDVs-psgr-gasveh</vt:lpstr>
      <vt:lpstr>BPoEFUbVT-LDVs-psgr-dslveh</vt:lpstr>
      <vt:lpstr>BPoEFUbVT-LDVs-psgr-plghyb</vt:lpstr>
      <vt:lpstr>BPoEFUbVT-LDVs-psgr-LPG</vt:lpstr>
      <vt:lpstr>BPoEFUbVT-LDVs-psgr-hydgn</vt:lpstr>
      <vt:lpstr>LDVs-frgt</vt:lpstr>
      <vt:lpstr>BPoEFUbVT-LDVs-frgt-batelc</vt:lpstr>
      <vt:lpstr>BPoEFUbVT-LDVs-frgt-natgas</vt:lpstr>
      <vt:lpstr>BPoEFUbVT-LDVs-frgt-gasveh</vt:lpstr>
      <vt:lpstr>BPoEFUbVT-LDVs-frgt-dslveh</vt:lpstr>
      <vt:lpstr>BPoEFUbVT-LDVs-frgt-plghyb</vt:lpstr>
      <vt:lpstr>BPoEFUbVT-LDVs-frgt-LPG</vt:lpstr>
      <vt:lpstr>BPoEFUbVT-LDVs-frgt-hydgn</vt:lpstr>
      <vt:lpstr>HDVs-psgr</vt:lpstr>
      <vt:lpstr>BPoEFUbVT-HDVs-psgr-batelc</vt:lpstr>
      <vt:lpstr>BPoEFUbVT-HDVs-psgr-natgas</vt:lpstr>
      <vt:lpstr>BPoEFUbVT-HDVs-psgr-gasveh</vt:lpstr>
      <vt:lpstr>BPoEFUbVT-HDVs-psgr-dslveh</vt:lpstr>
      <vt:lpstr>BPoEFUbVT-HDVs-psgr-plghyb</vt:lpstr>
      <vt:lpstr>BPoEFUbVT-HDVs-psgr-LPG</vt:lpstr>
      <vt:lpstr>BPoEFUbVT-HDVs-psgr-hydgn</vt:lpstr>
      <vt:lpstr>HDVs-frgt</vt:lpstr>
      <vt:lpstr>BPoEFUbVT-HDVs-frgt-batelc</vt:lpstr>
      <vt:lpstr>BPoEFUbVT-HDVs-frgt-natgas</vt:lpstr>
      <vt:lpstr>BPoEFUbVT-HDVs-frgt-gasveh</vt:lpstr>
      <vt:lpstr>BPoEFUbVT-HDVs-frgt-dslveh</vt:lpstr>
      <vt:lpstr>BPoEFUbVT-HDVs-frgt-plghyb</vt:lpstr>
      <vt:lpstr>BPoEFUbVT-HDVs-frgt-LPG</vt:lpstr>
      <vt:lpstr>BPoEFUbVT-HDVs-frgt-hydgn</vt:lpstr>
      <vt:lpstr>aircraft-psgr</vt:lpstr>
      <vt:lpstr>BPoEFUbVT-aircraft-psgr-batelc</vt:lpstr>
      <vt:lpstr>BPoEFUbVT-aircraft-psgr-natgas</vt:lpstr>
      <vt:lpstr>BPoEFUbVT-aircraft-psgr-gasveh</vt:lpstr>
      <vt:lpstr>BPoEFUbVT-aircraft-psgr-dslveh</vt:lpstr>
      <vt:lpstr>BPoEFUbVT-aircraft-psgr-hydgn</vt:lpstr>
      <vt:lpstr>aircraft-frgt</vt:lpstr>
      <vt:lpstr>BPoEFUbVT-aircraft-frgt-batelc</vt:lpstr>
      <vt:lpstr>BPoEFUbVT-aircraft-frgt-natgas</vt:lpstr>
      <vt:lpstr>BPoEFUbVT-aircraft-frgt-gasveh</vt:lpstr>
      <vt:lpstr>BPoEFUbVT-aircraft-frgt-dslveh</vt:lpstr>
      <vt:lpstr>BPoEFUbVT-aircraft-frgt-hydgn</vt:lpstr>
      <vt:lpstr>rail-psgr</vt:lpstr>
      <vt:lpstr>BPoEFUbVT-rail-psgr-batelc</vt:lpstr>
      <vt:lpstr>BPoEFUbVT-rail-psgr-natgas</vt:lpstr>
      <vt:lpstr>BPoEFUbVT-rail-psgr-gasveh</vt:lpstr>
      <vt:lpstr>BPoEFUbVT-rail-psgr-dslveh</vt:lpstr>
      <vt:lpstr>BPoEFUbVT-rail-psgr-hydgn</vt:lpstr>
      <vt:lpstr>rail-frgt</vt:lpstr>
      <vt:lpstr>BPoEFUbVT-rail-frgt-batelc</vt:lpstr>
      <vt:lpstr>BPoEFUbVT-rail-frgt-natgas</vt:lpstr>
      <vt:lpstr>BPoEFUbVT-rail-frgt-gasveh</vt:lpstr>
      <vt:lpstr>BPoEFUbVT-rail-frgt-dslveh</vt:lpstr>
      <vt:lpstr>BPoEFUbVT-rail-frgt-hydgn</vt:lpstr>
      <vt:lpstr>ships-psgr</vt:lpstr>
      <vt:lpstr>BPoEFUbVT-ships-psgr-batelc</vt:lpstr>
      <vt:lpstr>BPoEFUbVT-ships-psgr-natgas</vt:lpstr>
      <vt:lpstr>BPoEFUbVT-ships-psgr-gasveh</vt:lpstr>
      <vt:lpstr>BPoEFUbVT-ships-psgr-dslveh</vt:lpstr>
      <vt:lpstr>BPoEFUbVT-ships-psgr-hydgn</vt:lpstr>
      <vt:lpstr>ships-frgt</vt:lpstr>
      <vt:lpstr>BPoEFUbVT-ships-frgt-batelc</vt:lpstr>
      <vt:lpstr>BPoEFUbVT-ships-frgt-natgas</vt:lpstr>
      <vt:lpstr>BPoEFUbVT-ships-frgt-gasveh</vt:lpstr>
      <vt:lpstr>BPoEFUbVT-ships-frgt-dslveh</vt:lpstr>
      <vt:lpstr>BPoEFUbVT-ships-frgt-hydgn</vt:lpstr>
      <vt:lpstr>mtrbks-psgr</vt:lpstr>
      <vt:lpstr>BPoEFUbVT-mtrbks-psgr-batelc</vt:lpstr>
      <vt:lpstr>BPoEFUbVT-mtrbks-psgr-natgas</vt:lpstr>
      <vt:lpstr>BPoEFUbVT-mtrbks-psgr-gasveh</vt:lpstr>
      <vt:lpstr>BPoEFUbVT-mtrbks-psgr-dslveh</vt:lpstr>
      <vt:lpstr>BPoEFUbVT-mtrbks-psgr-plghyb</vt:lpstr>
      <vt:lpstr>BPoEFUbVT-mtrbks-psgr-LPG</vt:lpstr>
      <vt:lpstr>BPoEFUbVT-mtrbks-psgr-hydgn</vt:lpstr>
      <vt:lpstr>mtrbks-frgt</vt:lpstr>
      <vt:lpstr>BPoEFUbVT-mtrbks-frgt-batelc</vt:lpstr>
      <vt:lpstr>BPoEFUbVT-mtrbks-frgt-natgas</vt:lpstr>
      <vt:lpstr>BPoEFUbVT-mtrbks-frgt-gasveh</vt:lpstr>
      <vt:lpstr>BPoEFUbVT-mtrbks-frgt-dslveh</vt:lpstr>
      <vt:lpstr>BPoEFUbVT-mtrbks-frgt-plghyb</vt:lpstr>
      <vt:lpstr>BPoEFUbVT-mtrbks-frgt-LPG</vt:lpstr>
      <vt:lpstr>BPoEFUbVT-mtrbks-frgt-hydgn</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Jeffrey Rissman</dc:creator>
  <cp:lastModifiedBy>Olivia Ashmoore</cp:lastModifiedBy>
  <dcterms:created xsi:type="dcterms:W3CDTF">2017-06-23T20:50:52Z</dcterms:created>
  <dcterms:modified xsi:type="dcterms:W3CDTF">2026-05-08T16:47:54Z</dcterms:modified>
</cp:coreProperties>
</file>