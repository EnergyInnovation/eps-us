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OliviaAshmoore\Documents\Github Repos\eps-us\InputData\trans\BPoEFUbVT\"/>
    </mc:Choice>
  </mc:AlternateContent>
  <xr:revisionPtr revIDLastSave="0" documentId="13_ncr:1_{4882082E-1092-479F-8F37-2ADD271CD45B}" xr6:coauthVersionLast="47" xr6:coauthVersionMax="47" xr10:uidLastSave="{00000000-0000-0000-0000-000000000000}"/>
  <bookViews>
    <workbookView xWindow="-98" yWindow="-98" windowWidth="21795" windowHeight="12975" xr2:uid="{00000000-000D-0000-FFFF-FFFF00000000}"/>
  </bookViews>
  <sheets>
    <sheet name="About" sheetId="1" r:id="rId1"/>
    <sheet name="source data&gt;" sheetId="106" r:id="rId2"/>
    <sheet name="EIA-fuel-ethanol-motor-gasoline" sheetId="97" r:id="rId3"/>
    <sheet name="AEO Table 73" sheetId="103" r:id="rId4"/>
    <sheet name="ethanol content" sheetId="102" r:id="rId5"/>
    <sheet name="AEO 2023 Table 17" sheetId="98" r:id="rId6"/>
    <sheet name="AEO 2023 Table 36 Raw" sheetId="100" r:id="rId7"/>
    <sheet name="AEO 2023 Table 36 " sheetId="99" r:id="rId8"/>
    <sheet name="AEO 2025 Table 17" sheetId="104" r:id="rId9"/>
    <sheet name="AEO 2026 Table 17" sheetId="107" r:id="rId10"/>
    <sheet name="AEO 2025 Table 36" sheetId="105" r:id="rId11"/>
    <sheet name="AEO 2026 Table 36" sheetId="108" r:id="rId12"/>
    <sheet name="Biodiesel Fraction" sheetId="10" r:id="rId13"/>
    <sheet name="Plug-in Hybrid Elec Fraction" sheetId="11" r:id="rId14"/>
    <sheet name="Freight Ships" sheetId="101" r:id="rId15"/>
    <sheet name="LDVs-psgr" sheetId="17" r:id="rId16"/>
    <sheet name="BPoEFUbVT-LDVs-psgr-batelc" sheetId="2" r:id="rId17"/>
    <sheet name="BPoEFUbVT-LDVs-psgr-natgas" sheetId="3" r:id="rId18"/>
    <sheet name="BPoEFUbVT-LDVs-psgr-gasveh" sheetId="5" r:id="rId19"/>
    <sheet name="BPoEFUbVT-LDVs-psgr-dslveh" sheetId="6" r:id="rId20"/>
    <sheet name="BPoEFUbVT-LDVs-psgr-plghyb" sheetId="7" r:id="rId21"/>
    <sheet name="BPoEFUbVT-LDVs-psgr-LPG" sheetId="50" r:id="rId22"/>
    <sheet name="BPoEFUbVT-LDVs-psgr-hydgn" sheetId="51" r:id="rId23"/>
    <sheet name="LDVs-frgt" sheetId="18" r:id="rId24"/>
    <sheet name="BPoEFUbVT-LDVs-frgt-batelc" sheetId="12" r:id="rId25"/>
    <sheet name="BPoEFUbVT-LDVs-frgt-natgas" sheetId="13" r:id="rId26"/>
    <sheet name="BPoEFUbVT-LDVs-frgt-gasveh" sheetId="14" r:id="rId27"/>
    <sheet name="BPoEFUbVT-LDVs-frgt-dslveh" sheetId="15" r:id="rId28"/>
    <sheet name="BPoEFUbVT-LDVs-frgt-plghyb" sheetId="16" r:id="rId29"/>
    <sheet name="BPoEFUbVT-LDVs-frgt-LPG" sheetId="52" r:id="rId30"/>
    <sheet name="BPoEFUbVT-LDVs-frgt-hydgn" sheetId="53" r:id="rId31"/>
    <sheet name="HDVs-psgr" sheetId="24" r:id="rId32"/>
    <sheet name="BPoEFUbVT-HDVs-psgr-batelc" sheetId="19" r:id="rId33"/>
    <sheet name="BPoEFUbVT-HDVs-psgr-natgas" sheetId="20" r:id="rId34"/>
    <sheet name="BPoEFUbVT-HDVs-psgr-gasveh" sheetId="21" r:id="rId35"/>
    <sheet name="BPoEFUbVT-HDVs-psgr-dslveh" sheetId="22" r:id="rId36"/>
    <sheet name="BPoEFUbVT-HDVs-psgr-plghyb" sheetId="23" r:id="rId37"/>
    <sheet name="BPoEFUbVT-HDVs-psgr-LPG" sheetId="54" r:id="rId38"/>
    <sheet name="BPoEFUbVT-HDVs-psgr-hydgn" sheetId="55" r:id="rId39"/>
    <sheet name="HDVs-frgt" sheetId="25" r:id="rId40"/>
    <sheet name="BPoEFUbVT-HDVs-frgt-batelc" sheetId="26" r:id="rId41"/>
    <sheet name="BPoEFUbVT-HDVs-frgt-natgas" sheetId="27" r:id="rId42"/>
    <sheet name="BPoEFUbVT-HDVs-frgt-gasveh" sheetId="28" r:id="rId43"/>
    <sheet name="BPoEFUbVT-HDVs-frgt-dslveh" sheetId="29" r:id="rId44"/>
    <sheet name="BPoEFUbVT-HDVs-frgt-plghyb" sheetId="30" r:id="rId45"/>
    <sheet name="BPoEFUbVT-HDVs-frgt-LPG" sheetId="56" r:id="rId46"/>
    <sheet name="BPoEFUbVT-HDVs-frgt-hydgn" sheetId="57" r:id="rId47"/>
    <sheet name="aircraft-psgr" sheetId="31" r:id="rId48"/>
    <sheet name="BPoEFUbVT-aircraft-psgr-batelc" sheetId="62" r:id="rId49"/>
    <sheet name="BPoEFUbVT-aircraft-psgr-natgas" sheetId="65" r:id="rId50"/>
    <sheet name="BPoEFUbVT-aircraft-psgr-gasveh" sheetId="75" r:id="rId51"/>
    <sheet name="BPoEFUbVT-aircraft-psgr-dslveh" sheetId="63" r:id="rId52"/>
    <sheet name="BPoEFUbVT-aircraft-psgr-hydgn" sheetId="64" r:id="rId53"/>
    <sheet name="aircraft-frgt" sheetId="66" r:id="rId54"/>
    <sheet name="BPoEFUbVT-aircraft-frgt-batelc" sheetId="67" r:id="rId55"/>
    <sheet name="BPoEFUbVT-aircraft-frgt-natgas" sheetId="68" r:id="rId56"/>
    <sheet name="BPoEFUbVT-aircraft-frgt-gasveh" sheetId="76" r:id="rId57"/>
    <sheet name="BPoEFUbVT-aircraft-frgt-dslveh" sheetId="69" r:id="rId58"/>
    <sheet name="BPoEFUbVT-aircraft-frgt-hydgn" sheetId="70" r:id="rId59"/>
    <sheet name="rail-psgr" sheetId="71" r:id="rId60"/>
    <sheet name="BPoEFUbVT-rail-psgr-batelc" sheetId="77" r:id="rId61"/>
    <sheet name="BPoEFUbVT-rail-psgr-natgas" sheetId="78" r:id="rId62"/>
    <sheet name="BPoEFUbVT-rail-psgr-gasveh" sheetId="79" r:id="rId63"/>
    <sheet name="BPoEFUbVT-rail-psgr-dslveh" sheetId="80" r:id="rId64"/>
    <sheet name="BPoEFUbVT-rail-psgr-hydgn" sheetId="81" r:id="rId65"/>
    <sheet name="rail-frgt" sheetId="72" r:id="rId66"/>
    <sheet name="BPoEFUbVT-rail-frgt-batelc" sheetId="82" r:id="rId67"/>
    <sheet name="BPoEFUbVT-rail-frgt-natgas" sheetId="83" r:id="rId68"/>
    <sheet name="BPoEFUbVT-rail-frgt-gasveh" sheetId="84" r:id="rId69"/>
    <sheet name="BPoEFUbVT-rail-frgt-dslveh" sheetId="85" r:id="rId70"/>
    <sheet name="BPoEFUbVT-rail-frgt-hydgn" sheetId="86" r:id="rId71"/>
    <sheet name="ships-psgr" sheetId="73" r:id="rId72"/>
    <sheet name="BPoEFUbVT-ships-psgr-batelc" sheetId="87" r:id="rId73"/>
    <sheet name="BPoEFUbVT-ships-psgr-natgas" sheetId="88" r:id="rId74"/>
    <sheet name="BPoEFUbVT-ships-psgr-gasveh" sheetId="89" r:id="rId75"/>
    <sheet name="BPoEFUbVT-ships-psgr-dslveh" sheetId="90" r:id="rId76"/>
    <sheet name="BPoEFUbVT-ships-psgr-hydgn" sheetId="91" r:id="rId77"/>
    <sheet name="ships-frgt" sheetId="74" r:id="rId78"/>
    <sheet name="BPoEFUbVT-ships-frgt-batelc" sheetId="92" r:id="rId79"/>
    <sheet name="BPoEFUbVT-ships-frgt-natgas" sheetId="93" r:id="rId80"/>
    <sheet name="BPoEFUbVT-ships-frgt-gasveh" sheetId="94" r:id="rId81"/>
    <sheet name="BPoEFUbVT-ships-frgt-dslveh" sheetId="95" r:id="rId82"/>
    <sheet name="BPoEFUbVT-ships-frgt-hydgn" sheetId="96" r:id="rId83"/>
    <sheet name="mtrbks-psgr" sheetId="38" r:id="rId84"/>
    <sheet name="BPoEFUbVT-mtrbks-psgr-batelc" sheetId="39" r:id="rId85"/>
    <sheet name="BPoEFUbVT-mtrbks-psgr-natgas" sheetId="40" r:id="rId86"/>
    <sheet name="BPoEFUbVT-mtrbks-psgr-gasveh" sheetId="41" r:id="rId87"/>
    <sheet name="BPoEFUbVT-mtrbks-psgr-dslveh" sheetId="42" r:id="rId88"/>
    <sheet name="BPoEFUbVT-mtrbks-psgr-plghyb" sheetId="43" r:id="rId89"/>
    <sheet name="BPoEFUbVT-mtrbks-psgr-LPG" sheetId="60" r:id="rId90"/>
    <sheet name="BPoEFUbVT-mtrbks-psgr-hydgn" sheetId="61" r:id="rId91"/>
    <sheet name="mtrbks-frgt" sheetId="44" r:id="rId92"/>
    <sheet name="BPoEFUbVT-mtrbks-frgt-batelc" sheetId="45" r:id="rId93"/>
    <sheet name="BPoEFUbVT-mtrbks-frgt-natgas" sheetId="46" r:id="rId94"/>
    <sheet name="BPoEFUbVT-mtrbks-frgt-gasveh" sheetId="47" r:id="rId95"/>
    <sheet name="BPoEFUbVT-mtrbks-frgt-dslveh" sheetId="48" r:id="rId96"/>
    <sheet name="BPoEFUbVT-mtrbks-frgt-plghyb" sheetId="49" r:id="rId97"/>
    <sheet name="BPoEFUbVT-mtrbks-frgt-LPG" sheetId="58" r:id="rId98"/>
    <sheet name="BPoEFUbVT-mtrbks-frgt-hydgn" sheetId="59" r:id="rId99"/>
  </sheets>
  <externalReferences>
    <externalReference r:id="rId100"/>
    <externalReference r:id="rId101"/>
  </externalReferences>
  <definedNames>
    <definedName name="CH4_Ar4_to_AR5">#REF!</definedName>
    <definedName name="gal_per_barrel" localSheetId="3">[1]About!$A$75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E15" i="10" l="1"/>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AE9" i="10"/>
  <c r="AD9" i="10"/>
  <c r="AC9" i="10"/>
  <c r="AB9" i="10"/>
  <c r="AA9" i="10"/>
  <c r="Z9" i="10"/>
  <c r="Y9" i="10"/>
  <c r="X9" i="10"/>
  <c r="W9" i="10"/>
  <c r="V9" i="10"/>
  <c r="U9" i="10"/>
  <c r="T9" i="10"/>
  <c r="S9" i="10"/>
  <c r="R9" i="10"/>
  <c r="Q9" i="10"/>
  <c r="P9" i="10"/>
  <c r="O9" i="10"/>
  <c r="N9" i="10"/>
  <c r="M9" i="10"/>
  <c r="L9" i="10"/>
  <c r="K9" i="10"/>
  <c r="J9" i="10"/>
  <c r="I9" i="10"/>
  <c r="H9" i="10"/>
  <c r="G9" i="10"/>
  <c r="F9" i="10"/>
  <c r="AE8" i="10"/>
  <c r="AD8" i="10"/>
  <c r="AC8" i="10"/>
  <c r="AB8" i="10"/>
  <c r="AA8" i="10"/>
  <c r="Z8" i="10"/>
  <c r="Y8" i="10"/>
  <c r="X8" i="10"/>
  <c r="W8" i="10"/>
  <c r="V8" i="10"/>
  <c r="U8" i="10"/>
  <c r="T8" i="10"/>
  <c r="S8" i="10"/>
  <c r="R8" i="10"/>
  <c r="Q8" i="10"/>
  <c r="P8" i="10"/>
  <c r="O8" i="10"/>
  <c r="N8" i="10"/>
  <c r="M8" i="10"/>
  <c r="L8" i="10"/>
  <c r="K8" i="10"/>
  <c r="J8" i="10"/>
  <c r="I8" i="10"/>
  <c r="H8" i="10"/>
  <c r="G8" i="10"/>
  <c r="F8" i="10"/>
  <c r="AE7" i="10"/>
  <c r="AD7" i="10"/>
  <c r="AC7" i="10"/>
  <c r="AB7" i="10"/>
  <c r="AA7" i="10"/>
  <c r="Z7" i="10"/>
  <c r="Y7" i="10"/>
  <c r="X7" i="10"/>
  <c r="W7" i="10"/>
  <c r="V7" i="10"/>
  <c r="U7" i="10"/>
  <c r="T7" i="10"/>
  <c r="S7" i="10"/>
  <c r="R7" i="10"/>
  <c r="Q7" i="10"/>
  <c r="P7" i="10"/>
  <c r="O7" i="10"/>
  <c r="N7" i="10"/>
  <c r="M7" i="10"/>
  <c r="L7" i="10"/>
  <c r="K7" i="10"/>
  <c r="J7" i="10"/>
  <c r="I7" i="10"/>
  <c r="H7" i="10"/>
  <c r="G7" i="10"/>
  <c r="F7" i="10"/>
  <c r="AE1" i="59"/>
  <c r="AD1" i="59"/>
  <c r="AC1" i="59"/>
  <c r="AB1" i="59"/>
  <c r="AA1" i="59"/>
  <c r="Z1" i="59"/>
  <c r="Y1" i="59"/>
  <c r="X1" i="59"/>
  <c r="W1" i="59"/>
  <c r="V1" i="59"/>
  <c r="U1" i="59"/>
  <c r="T1" i="59"/>
  <c r="S1" i="59"/>
  <c r="R1" i="59"/>
  <c r="Q1" i="59"/>
  <c r="P1" i="59"/>
  <c r="O1" i="59"/>
  <c r="N1" i="59"/>
  <c r="M1" i="59"/>
  <c r="L1" i="59"/>
  <c r="K1" i="59"/>
  <c r="J1" i="59"/>
  <c r="I1" i="59"/>
  <c r="H1" i="59"/>
  <c r="G1" i="59"/>
  <c r="F1" i="59"/>
  <c r="E1" i="59"/>
  <c r="D1" i="59"/>
  <c r="C1" i="59"/>
  <c r="B1" i="59"/>
  <c r="AE1" i="58"/>
  <c r="AD1" i="58"/>
  <c r="AC1" i="58"/>
  <c r="AB1" i="58"/>
  <c r="AA1" i="58"/>
  <c r="Z1" i="58"/>
  <c r="Y1" i="58"/>
  <c r="X1" i="58"/>
  <c r="W1" i="58"/>
  <c r="V1" i="58"/>
  <c r="U1" i="58"/>
  <c r="T1" i="58"/>
  <c r="S1" i="58"/>
  <c r="R1" i="58"/>
  <c r="Q1" i="58"/>
  <c r="P1" i="58"/>
  <c r="O1" i="58"/>
  <c r="N1" i="58"/>
  <c r="M1" i="58"/>
  <c r="L1" i="58"/>
  <c r="K1" i="58"/>
  <c r="J1" i="58"/>
  <c r="I1" i="58"/>
  <c r="H1" i="58"/>
  <c r="G1" i="58"/>
  <c r="F1" i="58"/>
  <c r="E1" i="58"/>
  <c r="D1" i="58"/>
  <c r="C1" i="58"/>
  <c r="B1" i="58"/>
  <c r="D15" i="10"/>
  <c r="E15" i="10"/>
  <c r="E14" i="10"/>
  <c r="E13" i="10"/>
  <c r="E12" i="10"/>
  <c r="E11" i="10"/>
  <c r="E10" i="10"/>
  <c r="E9" i="10"/>
  <c r="E8" i="10"/>
  <c r="E7" i="10"/>
  <c r="J3" i="102"/>
  <c r="J7" i="102"/>
  <c r="J8" i="102" s="1"/>
  <c r="J6" i="102"/>
  <c r="J5" i="102"/>
  <c r="S6" i="14"/>
  <c r="F9" i="103"/>
  <c r="C9" i="103"/>
  <c r="B6" i="28"/>
  <c r="V6" i="28" s="1"/>
  <c r="B6" i="21"/>
  <c r="L6" i="21" s="1"/>
  <c r="D6" i="16"/>
  <c r="I6" i="16"/>
  <c r="L6" i="16"/>
  <c r="M6" i="16"/>
  <c r="P6" i="16"/>
  <c r="Q6" i="16"/>
  <c r="T6" i="16"/>
  <c r="V6" i="16"/>
  <c r="W6" i="16"/>
  <c r="X6" i="16"/>
  <c r="Z6" i="16"/>
  <c r="B6" i="16"/>
  <c r="N6" i="16" s="1"/>
  <c r="C6" i="14"/>
  <c r="D6" i="14"/>
  <c r="E6" i="14"/>
  <c r="F6" i="14"/>
  <c r="G6" i="14"/>
  <c r="H6" i="14"/>
  <c r="I6" i="14"/>
  <c r="J6" i="14"/>
  <c r="K6" i="14"/>
  <c r="L6" i="14"/>
  <c r="M6" i="14"/>
  <c r="N6" i="14"/>
  <c r="O6" i="14"/>
  <c r="P6" i="14"/>
  <c r="Q6" i="14"/>
  <c r="R6" i="14"/>
  <c r="T6" i="14"/>
  <c r="U6" i="14"/>
  <c r="V6" i="14"/>
  <c r="W6" i="14"/>
  <c r="X6" i="14"/>
  <c r="Y6" i="14"/>
  <c r="Z6" i="14"/>
  <c r="AA6" i="14"/>
  <c r="AB6" i="14"/>
  <c r="AC6" i="14"/>
  <c r="AD6" i="14"/>
  <c r="AE6" i="14"/>
  <c r="B6" i="14"/>
  <c r="B6" i="5"/>
  <c r="K6" i="5" s="1"/>
  <c r="D30" i="10" l="1"/>
  <c r="C30" i="10"/>
  <c r="W6" i="5"/>
  <c r="U6" i="5"/>
  <c r="T6" i="5"/>
  <c r="Q6" i="5"/>
  <c r="K6" i="16"/>
  <c r="N6" i="5"/>
  <c r="J6" i="16"/>
  <c r="V6" i="5"/>
  <c r="J6" i="5"/>
  <c r="I6" i="5"/>
  <c r="H6" i="5"/>
  <c r="H6" i="21"/>
  <c r="E6" i="5"/>
  <c r="AC6" i="16"/>
  <c r="AB6" i="16"/>
  <c r="B6" i="7"/>
  <c r="E6" i="7" s="1"/>
  <c r="AA6" i="16"/>
  <c r="X6" i="5"/>
  <c r="Z6" i="5"/>
  <c r="Y6" i="5"/>
  <c r="G6" i="5"/>
  <c r="F6" i="5"/>
  <c r="Y6" i="16"/>
  <c r="AE6" i="21"/>
  <c r="E6" i="21"/>
  <c r="AC6" i="21"/>
  <c r="AA6" i="21"/>
  <c r="Z6" i="21"/>
  <c r="U6" i="28"/>
  <c r="Y6" i="21"/>
  <c r="T6" i="28"/>
  <c r="X6" i="21"/>
  <c r="S6" i="28"/>
  <c r="G6" i="21"/>
  <c r="F6" i="21"/>
  <c r="AD6" i="21"/>
  <c r="D6" i="21"/>
  <c r="AB6" i="21"/>
  <c r="AB6" i="28"/>
  <c r="W6" i="21"/>
  <c r="R6" i="28"/>
  <c r="V6" i="21"/>
  <c r="Q6" i="28"/>
  <c r="U6" i="21"/>
  <c r="P6" i="28"/>
  <c r="T6" i="21"/>
  <c r="O6" i="28"/>
  <c r="R6" i="21"/>
  <c r="N6" i="28"/>
  <c r="D6" i="5"/>
  <c r="O6" i="21"/>
  <c r="M6" i="28"/>
  <c r="AD6" i="5"/>
  <c r="H6" i="16"/>
  <c r="N6" i="21"/>
  <c r="H6" i="28"/>
  <c r="AC6" i="5"/>
  <c r="C6" i="16"/>
  <c r="G6" i="16"/>
  <c r="K6" i="21"/>
  <c r="AB6" i="5"/>
  <c r="AE6" i="16"/>
  <c r="F6" i="16"/>
  <c r="J6" i="21"/>
  <c r="AA6" i="5"/>
  <c r="AD6" i="16"/>
  <c r="E6" i="16"/>
  <c r="I6" i="21"/>
  <c r="C6" i="28"/>
  <c r="L6" i="28"/>
  <c r="AE6" i="28"/>
  <c r="K6" i="28"/>
  <c r="S6" i="5"/>
  <c r="AD6" i="28"/>
  <c r="J6" i="28"/>
  <c r="R6" i="5"/>
  <c r="U6" i="16"/>
  <c r="S6" i="21"/>
  <c r="AC6" i="28"/>
  <c r="I6" i="28"/>
  <c r="P6" i="5"/>
  <c r="S6" i="16"/>
  <c r="Q6" i="21"/>
  <c r="AA6" i="28"/>
  <c r="G6" i="28"/>
  <c r="O6" i="5"/>
  <c r="R6" i="16"/>
  <c r="P6" i="21"/>
  <c r="Z6" i="28"/>
  <c r="F6" i="28"/>
  <c r="Y6" i="28"/>
  <c r="X6" i="28"/>
  <c r="C6" i="5"/>
  <c r="W6" i="28"/>
  <c r="E6" i="28"/>
  <c r="M6" i="5"/>
  <c r="D6" i="28"/>
  <c r="L6" i="5"/>
  <c r="O6" i="16"/>
  <c r="M6" i="21"/>
  <c r="AE6" i="5"/>
  <c r="B4" i="16"/>
  <c r="C6" i="21"/>
  <c r="B9" i="95"/>
  <c r="B5" i="95"/>
  <c r="J4" i="101"/>
  <c r="J3" i="101"/>
  <c r="I4" i="101"/>
  <c r="I3" i="101"/>
  <c r="L6" i="7" l="1"/>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M4" i="7"/>
  <c r="V4" i="7"/>
  <c r="D4" i="7"/>
  <c r="AE4" i="7"/>
  <c r="D5" i="95"/>
  <c r="E5" i="95"/>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5" i="95"/>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D4" i="7" l="1"/>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G4" i="5"/>
  <c r="H4" i="5"/>
  <c r="P4" i="5"/>
  <c r="X4" i="5"/>
  <c r="AE4" i="5"/>
  <c r="B4" i="5"/>
  <c r="C4" i="5"/>
  <c r="D4" i="5"/>
  <c r="E4" i="5"/>
  <c r="F4" i="5"/>
  <c r="I4" i="5"/>
  <c r="J4" i="5"/>
  <c r="K4" i="5"/>
  <c r="L4" i="5"/>
  <c r="M4" i="5"/>
  <c r="N4" i="5"/>
  <c r="O4" i="5"/>
  <c r="Q4" i="5"/>
  <c r="R4" i="5"/>
  <c r="S4" i="5"/>
  <c r="T4" i="5"/>
  <c r="U4" i="5"/>
  <c r="V4" i="5"/>
  <c r="W4" i="5"/>
  <c r="Y4" i="5"/>
  <c r="Z4" i="5"/>
  <c r="AA4" i="5"/>
  <c r="AB4" i="5"/>
  <c r="AC4" i="5"/>
  <c r="AD4" i="5"/>
  <c r="B1" i="49" l="1"/>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Q29" i="10" l="1"/>
  <c r="O29" i="10"/>
  <c r="N29" i="10"/>
  <c r="G29" i="10"/>
  <c r="F29" i="10"/>
  <c r="W29" i="10"/>
  <c r="V29" i="10"/>
  <c r="D12" i="10"/>
  <c r="D7" i="10"/>
  <c r="D14" i="10"/>
  <c r="D8" i="10"/>
  <c r="D9" i="10"/>
  <c r="D13" i="10"/>
  <c r="D10" i="10"/>
  <c r="D11" i="10"/>
  <c r="U1" i="29"/>
  <c r="U1" i="15"/>
  <c r="U1" i="30"/>
  <c r="U1" i="22"/>
  <c r="U1" i="6"/>
  <c r="U1" i="23"/>
  <c r="U1" i="42"/>
  <c r="U1" i="48" s="1"/>
  <c r="Z1" i="29"/>
  <c r="Z1" i="6"/>
  <c r="Z1" i="42"/>
  <c r="Z1" i="48" s="1"/>
  <c r="Z1" i="15"/>
  <c r="Z1" i="23"/>
  <c r="Z1" i="30"/>
  <c r="Z1" i="22"/>
  <c r="D1" i="30"/>
  <c r="D1" i="22"/>
  <c r="D1" i="23"/>
  <c r="D1" i="29"/>
  <c r="D1" i="6"/>
  <c r="D1" i="42"/>
  <c r="D1" i="48" s="1"/>
  <c r="D1" i="15"/>
  <c r="J1" i="29"/>
  <c r="J1" i="6"/>
  <c r="J1" i="30"/>
  <c r="J1" i="22"/>
  <c r="J1" i="42"/>
  <c r="J1" i="48" s="1"/>
  <c r="J1" i="15"/>
  <c r="J1" i="23"/>
  <c r="AC1" i="6"/>
  <c r="AC1" i="30"/>
  <c r="AC1" i="22"/>
  <c r="AC1" i="29"/>
  <c r="AC1" i="15"/>
  <c r="AC1" i="42"/>
  <c r="AC1" i="48" s="1"/>
  <c r="AC1" i="23"/>
  <c r="E1" i="6"/>
  <c r="E1" i="30"/>
  <c r="E1" i="22"/>
  <c r="E1" i="23"/>
  <c r="E1" i="29"/>
  <c r="E1" i="42"/>
  <c r="E1" i="48" s="1"/>
  <c r="E1" i="15"/>
  <c r="AB1" i="30"/>
  <c r="AB1" i="22"/>
  <c r="AB1" i="23"/>
  <c r="AB1" i="29"/>
  <c r="AB1" i="6"/>
  <c r="AB1" i="42"/>
  <c r="AB1" i="48" s="1"/>
  <c r="AB1" i="15"/>
  <c r="L1" i="30"/>
  <c r="L1" i="22"/>
  <c r="L1" i="29"/>
  <c r="L1" i="6"/>
  <c r="L1" i="42"/>
  <c r="L1" i="48" s="1"/>
  <c r="L1" i="15"/>
  <c r="L1" i="23"/>
  <c r="AA1" i="29"/>
  <c r="AA1" i="6"/>
  <c r="AA1" i="15"/>
  <c r="AA1" i="42"/>
  <c r="AA1" i="48" s="1"/>
  <c r="AA1" i="23"/>
  <c r="AA1" i="30"/>
  <c r="AA1" i="22"/>
  <c r="K1" i="15"/>
  <c r="K1" i="23"/>
  <c r="K1" i="30"/>
  <c r="K1" i="29"/>
  <c r="K1" i="6"/>
  <c r="K1" i="42"/>
  <c r="K1" i="48" s="1"/>
  <c r="K1" i="22"/>
  <c r="AC29" i="10"/>
  <c r="E29" i="10"/>
  <c r="R1" i="29"/>
  <c r="R1" i="6"/>
  <c r="R1" i="30"/>
  <c r="R1" i="22"/>
  <c r="R1" i="42"/>
  <c r="R1" i="48" s="1"/>
  <c r="R1" i="15"/>
  <c r="R1" i="23"/>
  <c r="AB29" i="10"/>
  <c r="L29" i="10"/>
  <c r="Y1" i="23"/>
  <c r="Y1" i="42"/>
  <c r="Y1" i="48" s="1"/>
  <c r="Y1" i="15"/>
  <c r="Y1" i="29"/>
  <c r="Y1" i="30"/>
  <c r="Y1" i="22"/>
  <c r="Y1" i="6"/>
  <c r="I1" i="30"/>
  <c r="I1" i="22"/>
  <c r="I1" i="29"/>
  <c r="I1" i="42"/>
  <c r="I1" i="48" s="1"/>
  <c r="I1" i="15"/>
  <c r="I1" i="23"/>
  <c r="I1" i="6"/>
  <c r="AA29" i="10"/>
  <c r="K29" i="10"/>
  <c r="X1" i="42"/>
  <c r="X1" i="48" s="1"/>
  <c r="X1" i="15"/>
  <c r="X1" i="29"/>
  <c r="X1" i="23"/>
  <c r="X1" i="30"/>
  <c r="X1" i="22"/>
  <c r="X1" i="6"/>
  <c r="H1" i="42"/>
  <c r="H1" i="48" s="1"/>
  <c r="H1" i="15"/>
  <c r="H1" i="23"/>
  <c r="H1" i="29"/>
  <c r="H1" i="30"/>
  <c r="H1" i="22"/>
  <c r="H1" i="6"/>
  <c r="Z29" i="10"/>
  <c r="J29" i="10"/>
  <c r="W1" i="23"/>
  <c r="W1" i="30"/>
  <c r="W1" i="22"/>
  <c r="W1" i="29"/>
  <c r="W1" i="6"/>
  <c r="W1" i="42"/>
  <c r="W1" i="48" s="1"/>
  <c r="W1" i="15"/>
  <c r="O1" i="22"/>
  <c r="O1" i="29"/>
  <c r="O1" i="42"/>
  <c r="O1" i="48" s="1"/>
  <c r="O1" i="23"/>
  <c r="O1" i="6"/>
  <c r="O1" i="30"/>
  <c r="O1" i="15"/>
  <c r="G1" i="30"/>
  <c r="G1" i="6"/>
  <c r="G1" i="23"/>
  <c r="G1" i="22"/>
  <c r="G1" i="42"/>
  <c r="G1" i="48" s="1"/>
  <c r="G1" i="29"/>
  <c r="G1" i="15"/>
  <c r="Y29" i="10"/>
  <c r="I29" i="10"/>
  <c r="M1" i="23"/>
  <c r="M1" i="30"/>
  <c r="M1" i="22"/>
  <c r="M1" i="29"/>
  <c r="M1" i="15"/>
  <c r="M1" i="6"/>
  <c r="M1" i="42"/>
  <c r="M1" i="48" s="1"/>
  <c r="T1" i="30"/>
  <c r="T1" i="22"/>
  <c r="T1" i="23"/>
  <c r="T1" i="29"/>
  <c r="T1" i="6"/>
  <c r="T1" i="42"/>
  <c r="T1" i="48" s="1"/>
  <c r="T1" i="15"/>
  <c r="S1" i="29"/>
  <c r="S1" i="6"/>
  <c r="S1" i="15"/>
  <c r="S1" i="42"/>
  <c r="S1" i="48" s="1"/>
  <c r="S1" i="23"/>
  <c r="S1" i="30"/>
  <c r="S1" i="22"/>
  <c r="C1" i="29"/>
  <c r="C1" i="6"/>
  <c r="C1" i="42"/>
  <c r="C1" i="48" s="1"/>
  <c r="C1" i="15"/>
  <c r="C1" i="23"/>
  <c r="C1" i="30"/>
  <c r="C1" i="22"/>
  <c r="U29" i="10"/>
  <c r="M29" i="10"/>
  <c r="B1" i="29"/>
  <c r="B1" i="6"/>
  <c r="B1" i="42"/>
  <c r="B1" i="48" s="1"/>
  <c r="B1" i="15"/>
  <c r="B1" i="30"/>
  <c r="B1" i="22"/>
  <c r="B1" i="23"/>
  <c r="T29" i="10"/>
  <c r="D29" i="10"/>
  <c r="Q1" i="22"/>
  <c r="Q1" i="42"/>
  <c r="Q1" i="48" s="1"/>
  <c r="Q1" i="15"/>
  <c r="Q1" i="23"/>
  <c r="Q1" i="30"/>
  <c r="Q1" i="29"/>
  <c r="Q1" i="6"/>
  <c r="S29" i="10"/>
  <c r="C29" i="10"/>
  <c r="P1" i="42"/>
  <c r="P1" i="48" s="1"/>
  <c r="P1" i="15"/>
  <c r="P1" i="6"/>
  <c r="P1" i="23"/>
  <c r="P1" i="29"/>
  <c r="P1" i="30"/>
  <c r="P1" i="22"/>
  <c r="R29" i="10"/>
  <c r="B29" i="10"/>
  <c r="V1" i="23"/>
  <c r="V1" i="42"/>
  <c r="V1" i="48" s="1"/>
  <c r="V1" i="30"/>
  <c r="V1" i="22"/>
  <c r="V1" i="15"/>
  <c r="V1" i="29"/>
  <c r="V1" i="6"/>
  <c r="N1" i="23"/>
  <c r="N1" i="42"/>
  <c r="N1" i="48" s="1"/>
  <c r="N1" i="30"/>
  <c r="N1" i="22"/>
  <c r="N1" i="15"/>
  <c r="N1" i="29"/>
  <c r="N1" i="6"/>
  <c r="F1" i="23"/>
  <c r="F1" i="15"/>
  <c r="F1" i="30"/>
  <c r="F1" i="22"/>
  <c r="F1" i="29"/>
  <c r="F1" i="6"/>
  <c r="F1" i="42"/>
  <c r="F1" i="48" s="1"/>
  <c r="X29" i="10"/>
  <c r="P29" i="10"/>
  <c r="H29" i="10"/>
  <c r="E30" i="10" l="1"/>
  <c r="B3" i="49"/>
  <c r="C3" i="49"/>
  <c r="D3" i="49"/>
  <c r="E3" i="49"/>
  <c r="F3" i="49"/>
  <c r="G3" i="49"/>
  <c r="H3" i="49"/>
  <c r="I3" i="49"/>
  <c r="J3" i="49"/>
  <c r="K3" i="49"/>
  <c r="L3" i="49"/>
  <c r="M3" i="49"/>
  <c r="N3" i="49"/>
  <c r="O3" i="49"/>
  <c r="P3" i="49"/>
  <c r="Q3" i="49"/>
  <c r="R3" i="49"/>
  <c r="S3" i="49"/>
  <c r="T3" i="49"/>
  <c r="U3" i="49"/>
  <c r="V3" i="49"/>
  <c r="W3" i="49"/>
  <c r="X3" i="49"/>
  <c r="Y3" i="49"/>
  <c r="Z3" i="49"/>
  <c r="AA3" i="49"/>
  <c r="AB3" i="49"/>
  <c r="AC3" i="49"/>
  <c r="AD3" i="49"/>
  <c r="B5"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B7"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B8"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C2" i="43"/>
  <c r="D2" i="43"/>
  <c r="E2" i="43"/>
  <c r="F2" i="43"/>
  <c r="G2" i="43"/>
  <c r="H2" i="43"/>
  <c r="I2" i="43"/>
  <c r="J2" i="43"/>
  <c r="K2" i="43"/>
  <c r="L2" i="43"/>
  <c r="M2" i="43"/>
  <c r="N2" i="43"/>
  <c r="O2" i="43"/>
  <c r="P2" i="43"/>
  <c r="Q2" i="43"/>
  <c r="R2" i="43"/>
  <c r="S2" i="43"/>
  <c r="T2" i="43"/>
  <c r="U2" i="43"/>
  <c r="V2" i="43"/>
  <c r="W2" i="43"/>
  <c r="X2" i="43"/>
  <c r="Y2" i="43"/>
  <c r="Z2" i="43"/>
  <c r="AA2" i="43"/>
  <c r="AB2" i="43"/>
  <c r="AC2" i="43"/>
  <c r="AD2" i="43"/>
  <c r="B2" i="43"/>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W2" i="49" l="1"/>
  <c r="W6" i="43"/>
  <c r="W4" i="43"/>
  <c r="F6" i="43"/>
  <c r="F4" i="43"/>
  <c r="F4" i="49" s="1"/>
  <c r="AC2" i="49"/>
  <c r="AC4" i="43"/>
  <c r="AC4" i="49" s="1"/>
  <c r="AC6" i="43"/>
  <c r="AC6" i="49" s="1"/>
  <c r="U2" i="49"/>
  <c r="U4" i="43"/>
  <c r="U4" i="49" s="1"/>
  <c r="U6" i="43"/>
  <c r="U6" i="49" s="1"/>
  <c r="M2" i="49"/>
  <c r="M4" i="43"/>
  <c r="M6" i="43"/>
  <c r="E2" i="49"/>
  <c r="E4" i="43"/>
  <c r="E4" i="49" s="1"/>
  <c r="E6" i="43"/>
  <c r="E6" i="49" s="1"/>
  <c r="AD6" i="43"/>
  <c r="AD4" i="43"/>
  <c r="AD4" i="49" s="1"/>
  <c r="AA2" i="49"/>
  <c r="AA4" i="43"/>
  <c r="AA6" i="43"/>
  <c r="AA6" i="49" s="1"/>
  <c r="S2" i="49"/>
  <c r="S4" i="43"/>
  <c r="S4" i="49" s="1"/>
  <c r="S6" i="43"/>
  <c r="S6" i="49" s="1"/>
  <c r="K2" i="49"/>
  <c r="K4" i="43"/>
  <c r="K6" i="43"/>
  <c r="K6" i="49" s="1"/>
  <c r="C2" i="49"/>
  <c r="C4" i="43"/>
  <c r="C4" i="49" s="1"/>
  <c r="C6" i="43"/>
  <c r="C6" i="49" s="1"/>
  <c r="O6" i="43"/>
  <c r="O6" i="49" s="1"/>
  <c r="O4" i="43"/>
  <c r="O4" i="49" s="1"/>
  <c r="V6" i="43"/>
  <c r="V4" i="43"/>
  <c r="V4" i="49" s="1"/>
  <c r="T2" i="49"/>
  <c r="T4" i="43"/>
  <c r="T4" i="49" s="1"/>
  <c r="T6" i="43"/>
  <c r="L2" i="49"/>
  <c r="L4" i="43"/>
  <c r="L4" i="49" s="1"/>
  <c r="L6" i="43"/>
  <c r="Z4" i="43"/>
  <c r="Z4" i="49" s="1"/>
  <c r="Z6" i="43"/>
  <c r="Z6" i="49" s="1"/>
  <c r="R4" i="43"/>
  <c r="R4" i="49" s="1"/>
  <c r="R6" i="43"/>
  <c r="R6" i="49" s="1"/>
  <c r="J4" i="43"/>
  <c r="J4" i="49" s="1"/>
  <c r="J6" i="43"/>
  <c r="J6" i="49" s="1"/>
  <c r="B2" i="49"/>
  <c r="B6" i="43"/>
  <c r="B6" i="49" s="1"/>
  <c r="B4" i="43"/>
  <c r="B4" i="49" s="1"/>
  <c r="Y2" i="49"/>
  <c r="Y6" i="43"/>
  <c r="Y4" i="43"/>
  <c r="Q6" i="43"/>
  <c r="Q6" i="49" s="1"/>
  <c r="Q4" i="43"/>
  <c r="Q4" i="49" s="1"/>
  <c r="I2" i="49"/>
  <c r="I6" i="43"/>
  <c r="I6" i="49" s="1"/>
  <c r="I4" i="43"/>
  <c r="I4" i="49" s="1"/>
  <c r="G6" i="43"/>
  <c r="G4" i="43"/>
  <c r="G4" i="49" s="1"/>
  <c r="N6" i="43"/>
  <c r="N6" i="49" s="1"/>
  <c r="N4" i="43"/>
  <c r="N4" i="49" s="1"/>
  <c r="AB2" i="49"/>
  <c r="AB4" i="43"/>
  <c r="AB4" i="49" s="1"/>
  <c r="AB6" i="43"/>
  <c r="AB6" i="49" s="1"/>
  <c r="D2" i="49"/>
  <c r="D4" i="43"/>
  <c r="D6" i="43"/>
  <c r="D6" i="49" s="1"/>
  <c r="X6" i="43"/>
  <c r="X6" i="49" s="1"/>
  <c r="X4" i="43"/>
  <c r="X4" i="49" s="1"/>
  <c r="P6" i="43"/>
  <c r="P6" i="49" s="1"/>
  <c r="P4" i="43"/>
  <c r="P4" i="49" s="1"/>
  <c r="H6" i="43"/>
  <c r="H6" i="49" s="1"/>
  <c r="H4" i="43"/>
  <c r="H4" i="49" s="1"/>
  <c r="Y6" i="49"/>
  <c r="W6" i="49"/>
  <c r="M4" i="49"/>
  <c r="L6" i="49"/>
  <c r="T6" i="49"/>
  <c r="AA4" i="49"/>
  <c r="D4" i="49"/>
  <c r="M6" i="49"/>
  <c r="K4" i="49"/>
  <c r="W4" i="49"/>
  <c r="V2" i="49"/>
  <c r="Q2" i="49"/>
  <c r="Y4" i="49"/>
  <c r="O2" i="49"/>
  <c r="N2" i="49"/>
  <c r="AD2" i="49"/>
  <c r="G2" i="49"/>
  <c r="F2" i="49"/>
  <c r="X2" i="49"/>
  <c r="P2" i="49"/>
  <c r="H2" i="49"/>
  <c r="G6" i="49"/>
  <c r="Z2" i="49"/>
  <c r="R2" i="49"/>
  <c r="J2" i="49"/>
  <c r="AD6" i="49"/>
  <c r="V6" i="49"/>
  <c r="F6" i="49"/>
  <c r="B2" i="23"/>
  <c r="C2" i="23"/>
  <c r="D2" i="23"/>
  <c r="E2" i="23"/>
  <c r="F2" i="23"/>
  <c r="G2" i="23"/>
  <c r="H2" i="23"/>
  <c r="I2" i="23"/>
  <c r="J2" i="23"/>
  <c r="K2" i="23"/>
  <c r="L2" i="23"/>
  <c r="M2" i="23"/>
  <c r="N2" i="23"/>
  <c r="O2" i="23"/>
  <c r="P2" i="23"/>
  <c r="Q2" i="23"/>
  <c r="R2" i="23"/>
  <c r="S2" i="23"/>
  <c r="T2" i="23"/>
  <c r="U2" i="23"/>
  <c r="V2" i="23"/>
  <c r="W2" i="23"/>
  <c r="X2" i="23"/>
  <c r="Y2" i="23"/>
  <c r="Z2" i="23"/>
  <c r="AA2" i="23"/>
  <c r="AB2" i="23"/>
  <c r="AC2" i="23"/>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V30" i="10" l="1"/>
  <c r="V5" i="22" s="1"/>
  <c r="R30" i="10"/>
  <c r="R7" i="6" s="1"/>
  <c r="J30" i="10"/>
  <c r="J5" i="15" s="1"/>
  <c r="B30" i="10"/>
  <c r="B5" i="23" s="1"/>
  <c r="Z30" i="10"/>
  <c r="Z7" i="22" s="1"/>
  <c r="N30" i="10"/>
  <c r="N7" i="30" s="1"/>
  <c r="F30" i="10"/>
  <c r="F7" i="42" s="1"/>
  <c r="F7" i="48" s="1"/>
  <c r="AC30" i="10"/>
  <c r="AC5" i="15" s="1"/>
  <c r="Y30" i="10"/>
  <c r="Y7" i="22" s="1"/>
  <c r="U30" i="10"/>
  <c r="U7" i="22" s="1"/>
  <c r="Q30" i="10"/>
  <c r="Q7" i="6" s="1"/>
  <c r="M30" i="10"/>
  <c r="M7" i="42" s="1"/>
  <c r="M7" i="48" s="1"/>
  <c r="I30" i="10"/>
  <c r="I5" i="42" s="1"/>
  <c r="I5" i="48" s="1"/>
  <c r="E5" i="15"/>
  <c r="AA30" i="10"/>
  <c r="AA5" i="6" s="1"/>
  <c r="W30" i="10"/>
  <c r="W7" i="29" s="1"/>
  <c r="S30" i="10"/>
  <c r="S7" i="6" s="1"/>
  <c r="O30" i="10"/>
  <c r="O5" i="30" s="1"/>
  <c r="K30" i="10"/>
  <c r="K5" i="6" s="1"/>
  <c r="G30" i="10"/>
  <c r="G5" i="42" s="1"/>
  <c r="G5" i="48" s="1"/>
  <c r="C7" i="22"/>
  <c r="AB30" i="10"/>
  <c r="AB7" i="15" s="1"/>
  <c r="X30" i="10"/>
  <c r="X5" i="23" s="1"/>
  <c r="T30" i="10"/>
  <c r="T7" i="6" s="1"/>
  <c r="P30" i="10"/>
  <c r="P7" i="42" s="1"/>
  <c r="P7" i="48" s="1"/>
  <c r="L30" i="10"/>
  <c r="L7" i="15" s="1"/>
  <c r="H30" i="10"/>
  <c r="H7" i="15" s="1"/>
  <c r="D5" i="6"/>
  <c r="AC7" i="23" l="1"/>
  <c r="F7" i="22"/>
  <c r="F5" i="6"/>
  <c r="F5" i="15"/>
  <c r="Z5" i="42"/>
  <c r="Z5" i="48" s="1"/>
  <c r="F5" i="30"/>
  <c r="F7" i="23"/>
  <c r="F7" i="30"/>
  <c r="M7" i="29"/>
  <c r="M5" i="23"/>
  <c r="M5" i="29"/>
  <c r="M5" i="15"/>
  <c r="O7" i="15"/>
  <c r="O7" i="22"/>
  <c r="O7" i="29"/>
  <c r="O5" i="15"/>
  <c r="M5" i="6"/>
  <c r="Z7" i="15"/>
  <c r="Z5" i="22"/>
  <c r="Z5" i="23"/>
  <c r="Z5" i="15"/>
  <c r="Z7" i="29"/>
  <c r="Z5" i="29"/>
  <c r="P5" i="42"/>
  <c r="P5" i="48" s="1"/>
  <c r="O5" i="6"/>
  <c r="M7" i="22"/>
  <c r="O7" i="23"/>
  <c r="P5" i="15"/>
  <c r="G7" i="15"/>
  <c r="M5" i="30"/>
  <c r="Z5" i="6"/>
  <c r="O5" i="23"/>
  <c r="H7" i="22"/>
  <c r="H7" i="42"/>
  <c r="H7" i="48" s="1"/>
  <c r="G7" i="23"/>
  <c r="H7" i="23"/>
  <c r="R5" i="29"/>
  <c r="E7" i="15"/>
  <c r="P5" i="30"/>
  <c r="P5" i="22"/>
  <c r="P7" i="6"/>
  <c r="P5" i="6"/>
  <c r="X7" i="22"/>
  <c r="U5" i="29"/>
  <c r="Q7" i="30"/>
  <c r="X7" i="15"/>
  <c r="W5" i="6"/>
  <c r="S5" i="29"/>
  <c r="B5" i="15"/>
  <c r="S5" i="42"/>
  <c r="S5" i="48" s="1"/>
  <c r="T5" i="29"/>
  <c r="Q5" i="23"/>
  <c r="T5" i="42"/>
  <c r="T5" i="48" s="1"/>
  <c r="B7" i="23"/>
  <c r="S7" i="23"/>
  <c r="R7" i="29"/>
  <c r="Q7" i="29"/>
  <c r="T7" i="42"/>
  <c r="T7" i="48" s="1"/>
  <c r="R7" i="22"/>
  <c r="Q7" i="15"/>
  <c r="R7" i="23"/>
  <c r="Q7" i="23"/>
  <c r="Q5" i="42"/>
  <c r="Q5" i="48" s="1"/>
  <c r="S5" i="30"/>
  <c r="X7" i="29"/>
  <c r="B5" i="6"/>
  <c r="B7" i="30"/>
  <c r="H5" i="22"/>
  <c r="F5" i="29"/>
  <c r="B7" i="15"/>
  <c r="X5" i="15"/>
  <c r="H5" i="42"/>
  <c r="H5" i="48" s="1"/>
  <c r="X7" i="23"/>
  <c r="F5" i="42"/>
  <c r="F5" i="48" s="1"/>
  <c r="X5" i="42"/>
  <c r="X5" i="48" s="1"/>
  <c r="E5" i="42"/>
  <c r="E5" i="48" s="1"/>
  <c r="B7" i="42"/>
  <c r="B7" i="48" s="1"/>
  <c r="B5" i="22"/>
  <c r="X5" i="6"/>
  <c r="H5" i="15"/>
  <c r="B7" i="29"/>
  <c r="B5" i="42"/>
  <c r="B5" i="48" s="1"/>
  <c r="W5" i="29"/>
  <c r="U5" i="6"/>
  <c r="B5" i="30"/>
  <c r="B7" i="6"/>
  <c r="H5" i="23"/>
  <c r="F5" i="23"/>
  <c r="X5" i="22"/>
  <c r="G7" i="6"/>
  <c r="W5" i="15"/>
  <c r="G7" i="30"/>
  <c r="D5" i="22"/>
  <c r="T7" i="29"/>
  <c r="T5" i="6"/>
  <c r="S7" i="15"/>
  <c r="S7" i="29"/>
  <c r="T5" i="23"/>
  <c r="B5" i="29"/>
  <c r="V5" i="23"/>
  <c r="T7" i="23"/>
  <c r="F7" i="6"/>
  <c r="D7" i="6"/>
  <c r="X5" i="30"/>
  <c r="X7" i="6"/>
  <c r="E5" i="22"/>
  <c r="Q5" i="6"/>
  <c r="S5" i="23"/>
  <c r="H7" i="29"/>
  <c r="T5" i="15"/>
  <c r="T7" i="15"/>
  <c r="S5" i="22"/>
  <c r="S5" i="6"/>
  <c r="H5" i="29"/>
  <c r="S7" i="42"/>
  <c r="S7" i="48" s="1"/>
  <c r="V7" i="29"/>
  <c r="V5" i="6"/>
  <c r="H7" i="6"/>
  <c r="V7" i="22"/>
  <c r="F5" i="22"/>
  <c r="F7" i="15"/>
  <c r="X5" i="29"/>
  <c r="X7" i="42"/>
  <c r="X7" i="48" s="1"/>
  <c r="Q5" i="22"/>
  <c r="Q7" i="22"/>
  <c r="H5" i="30"/>
  <c r="H5" i="6"/>
  <c r="T7" i="30"/>
  <c r="C5" i="29"/>
  <c r="S7" i="22"/>
  <c r="U5" i="15"/>
  <c r="V7" i="23"/>
  <c r="D7" i="29"/>
  <c r="V7" i="42"/>
  <c r="V7" i="48" s="1"/>
  <c r="Q7" i="42"/>
  <c r="Q7" i="48" s="1"/>
  <c r="T5" i="30"/>
  <c r="F7" i="29"/>
  <c r="B7" i="22"/>
  <c r="Q5" i="30"/>
  <c r="X7" i="30"/>
  <c r="G5" i="30"/>
  <c r="Q5" i="29"/>
  <c r="Q5" i="15"/>
  <c r="H7" i="30"/>
  <c r="T7" i="22"/>
  <c r="C7" i="42"/>
  <c r="C7" i="48" s="1"/>
  <c r="S5" i="15"/>
  <c r="T5" i="22"/>
  <c r="S7" i="30"/>
  <c r="D5" i="29"/>
  <c r="D7" i="15"/>
  <c r="C7" i="30"/>
  <c r="C5" i="15"/>
  <c r="AC5" i="22"/>
  <c r="R5" i="15"/>
  <c r="D5" i="30"/>
  <c r="D7" i="42"/>
  <c r="D7" i="48" s="1"/>
  <c r="C7" i="15"/>
  <c r="C5" i="42"/>
  <c r="C5" i="48" s="1"/>
  <c r="AC7" i="29"/>
  <c r="D7" i="23"/>
  <c r="V5" i="29"/>
  <c r="D5" i="23"/>
  <c r="V5" i="15"/>
  <c r="D7" i="30"/>
  <c r="C5" i="30"/>
  <c r="C7" i="6"/>
  <c r="AC7" i="15"/>
  <c r="AC7" i="30"/>
  <c r="V5" i="42"/>
  <c r="V5" i="48" s="1"/>
  <c r="V7" i="30"/>
  <c r="D7" i="22"/>
  <c r="C5" i="23"/>
  <c r="C7" i="29"/>
  <c r="AC7" i="42"/>
  <c r="AC7" i="48" s="1"/>
  <c r="C7" i="23"/>
  <c r="V7" i="6"/>
  <c r="R7" i="30"/>
  <c r="D5" i="42"/>
  <c r="D5" i="48" s="1"/>
  <c r="C5" i="22"/>
  <c r="C5" i="6"/>
  <c r="AC5" i="42"/>
  <c r="AC5" i="48" s="1"/>
  <c r="V7" i="15"/>
  <c r="V5" i="30"/>
  <c r="R5" i="6"/>
  <c r="D5" i="15"/>
  <c r="Z7" i="23"/>
  <c r="Z5" i="30"/>
  <c r="R5" i="30"/>
  <c r="M7" i="30"/>
  <c r="Z7" i="30"/>
  <c r="R7" i="15"/>
  <c r="R5" i="42"/>
  <c r="R5" i="48" s="1"/>
  <c r="Z7" i="42"/>
  <c r="Z7" i="48" s="1"/>
  <c r="Z7" i="6"/>
  <c r="P5" i="23"/>
  <c r="P7" i="29"/>
  <c r="P7" i="15"/>
  <c r="O5" i="22"/>
  <c r="O5" i="42"/>
  <c r="O5" i="48" s="1"/>
  <c r="M5" i="22"/>
  <c r="M7" i="15"/>
  <c r="M5" i="42"/>
  <c r="M5" i="48" s="1"/>
  <c r="AC5" i="29"/>
  <c r="AC7" i="6"/>
  <c r="AC7" i="22"/>
  <c r="M7" i="23"/>
  <c r="AC5" i="30"/>
  <c r="R5" i="22"/>
  <c r="P7" i="23"/>
  <c r="O7" i="30"/>
  <c r="R5" i="23"/>
  <c r="R7" i="42"/>
  <c r="R7" i="48" s="1"/>
  <c r="P5" i="29"/>
  <c r="P7" i="30"/>
  <c r="P7" i="22"/>
  <c r="O7" i="42"/>
  <c r="O7" i="48" s="1"/>
  <c r="O5" i="29"/>
  <c r="O7" i="6"/>
  <c r="AA5" i="42"/>
  <c r="AA5" i="48" s="1"/>
  <c r="I5" i="29"/>
  <c r="M7" i="6"/>
  <c r="AC5" i="23"/>
  <c r="AC5" i="6"/>
  <c r="N5" i="15"/>
  <c r="K5" i="29"/>
  <c r="Y7" i="6"/>
  <c r="K5" i="42"/>
  <c r="K5" i="48" s="1"/>
  <c r="I7" i="42"/>
  <c r="I7" i="48" s="1"/>
  <c r="Y5" i="6"/>
  <c r="N7" i="23"/>
  <c r="J7" i="15"/>
  <c r="L5" i="15"/>
  <c r="AA7" i="30"/>
  <c r="Y5" i="15"/>
  <c r="N5" i="6"/>
  <c r="J7" i="30"/>
  <c r="J5" i="42"/>
  <c r="J5" i="48" s="1"/>
  <c r="AB7" i="42"/>
  <c r="AB7" i="48" s="1"/>
  <c r="K5" i="23"/>
  <c r="AA5" i="29"/>
  <c r="J5" i="22"/>
  <c r="N7" i="15"/>
  <c r="N5" i="42"/>
  <c r="N5" i="48" s="1"/>
  <c r="J5" i="29"/>
  <c r="K7" i="23"/>
  <c r="Y5" i="30"/>
  <c r="I5" i="30"/>
  <c r="J7" i="42"/>
  <c r="J7" i="48" s="1"/>
  <c r="J7" i="6"/>
  <c r="K5" i="30"/>
  <c r="L7" i="42"/>
  <c r="L7" i="48" s="1"/>
  <c r="K7" i="30"/>
  <c r="K7" i="15"/>
  <c r="K7" i="6"/>
  <c r="AA7" i="42"/>
  <c r="AA7" i="48" s="1"/>
  <c r="AA7" i="15"/>
  <c r="AA7" i="6"/>
  <c r="I5" i="22"/>
  <c r="I7" i="29"/>
  <c r="I7" i="22"/>
  <c r="Y5" i="23"/>
  <c r="Y7" i="15"/>
  <c r="Y5" i="42"/>
  <c r="Y5" i="48" s="1"/>
  <c r="J7" i="23"/>
  <c r="J5" i="30"/>
  <c r="L5" i="23"/>
  <c r="N5" i="30"/>
  <c r="N7" i="42"/>
  <c r="N7" i="48" s="1"/>
  <c r="N7" i="6"/>
  <c r="AA7" i="23"/>
  <c r="Y7" i="30"/>
  <c r="I7" i="30"/>
  <c r="J5" i="23"/>
  <c r="J7" i="22"/>
  <c r="I7" i="23"/>
  <c r="AB7" i="22"/>
  <c r="K7" i="42"/>
  <c r="K7" i="48" s="1"/>
  <c r="K7" i="22"/>
  <c r="K7" i="29"/>
  <c r="AA5" i="23"/>
  <c r="AA7" i="22"/>
  <c r="AA7" i="29"/>
  <c r="I5" i="23"/>
  <c r="I5" i="6"/>
  <c r="I5" i="15"/>
  <c r="Y7" i="29"/>
  <c r="Y7" i="23"/>
  <c r="Y7" i="42"/>
  <c r="Y7" i="48" s="1"/>
  <c r="N5" i="29"/>
  <c r="N7" i="29"/>
  <c r="N5" i="22"/>
  <c r="N5" i="23"/>
  <c r="N7" i="22"/>
  <c r="J5" i="6"/>
  <c r="J7" i="29"/>
  <c r="AA5" i="30"/>
  <c r="L5" i="30"/>
  <c r="AB7" i="29"/>
  <c r="K5" i="22"/>
  <c r="K5" i="15"/>
  <c r="AA5" i="22"/>
  <c r="AA5" i="15"/>
  <c r="I7" i="6"/>
  <c r="I7" i="15"/>
  <c r="Y5" i="22"/>
  <c r="Y5" i="29"/>
  <c r="W5" i="23"/>
  <c r="AB7" i="23"/>
  <c r="G5" i="22"/>
  <c r="G7" i="22"/>
  <c r="G7" i="29"/>
  <c r="W7" i="42"/>
  <c r="W7" i="48" s="1"/>
  <c r="W5" i="42"/>
  <c r="W5" i="48" s="1"/>
  <c r="E5" i="23"/>
  <c r="E7" i="6"/>
  <c r="E7" i="42"/>
  <c r="E7" i="48" s="1"/>
  <c r="W7" i="30"/>
  <c r="L5" i="29"/>
  <c r="L7" i="30"/>
  <c r="L7" i="6"/>
  <c r="AB5" i="22"/>
  <c r="AB5" i="42"/>
  <c r="AB5" i="48" s="1"/>
  <c r="AB7" i="6"/>
  <c r="U7" i="6"/>
  <c r="U7" i="15"/>
  <c r="U5" i="42"/>
  <c r="U5" i="48" s="1"/>
  <c r="AB5" i="23"/>
  <c r="U5" i="30"/>
  <c r="E5" i="30"/>
  <c r="U7" i="23"/>
  <c r="G5" i="29"/>
  <c r="G5" i="15"/>
  <c r="G5" i="6"/>
  <c r="W5" i="30"/>
  <c r="W7" i="15"/>
  <c r="W7" i="6"/>
  <c r="E7" i="23"/>
  <c r="E7" i="29"/>
  <c r="E7" i="22"/>
  <c r="L5" i="22"/>
  <c r="L7" i="22"/>
  <c r="L5" i="6"/>
  <c r="AB5" i="29"/>
  <c r="AB7" i="30"/>
  <c r="AB5" i="6"/>
  <c r="U5" i="22"/>
  <c r="U7" i="42"/>
  <c r="U7" i="48" s="1"/>
  <c r="G5" i="23"/>
  <c r="W7" i="23"/>
  <c r="U7" i="30"/>
  <c r="E7" i="30"/>
  <c r="L7" i="23"/>
  <c r="G7" i="42"/>
  <c r="G7" i="48" s="1"/>
  <c r="W5" i="22"/>
  <c r="W7" i="22"/>
  <c r="E5" i="29"/>
  <c r="E5" i="6"/>
  <c r="L7" i="29"/>
  <c r="L5" i="42"/>
  <c r="L5" i="48" s="1"/>
  <c r="AB5" i="30"/>
  <c r="AB5" i="15"/>
  <c r="U5" i="23"/>
  <c r="U7" i="29"/>
</calcChain>
</file>

<file path=xl/sharedStrings.xml><?xml version="1.0" encoding="utf-8"?>
<sst xmlns="http://schemas.openxmlformats.org/spreadsheetml/2006/main" count="3045" uniqueCount="1390">
  <si>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</si>
  <si>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</si>
  <si>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</si>
  <si>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</si>
  <si>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</si>
  <si>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</si>
  <si>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</si>
  <si>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</si>
  <si>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</si>
  <si>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</si>
  <si>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</si>
  <si>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</si>
  <si>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</si>
  <si>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</si>
  <si>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</si>
  <si>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</si>
  <si>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</si>
  <si>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</si>
  <si>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</si>
  <si>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</si>
  <si>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</si>
  <si>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</si>
  <si>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</si>
  <si>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</si>
  <si>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</si>
  <si>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</si>
  <si>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</si>
  <si>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</si>
  <si>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</si>
  <si>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</si>
  <si>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</si>
  <si>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</si>
  <si>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</si>
  <si>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</si>
  <si>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</si>
  <si>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</si>
  <si>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</si>
  <si>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</si>
  <si>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</si>
  <si>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</si>
  <si>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</si>
  <si>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</si>
  <si>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</si>
  <si>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</si>
  <si>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</si>
  <si>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</si>
  <si>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</si>
  <si>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</si>
  <si>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</si>
  <si>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</si>
  <si>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</si>
  <si>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</si>
  <si>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</si>
  <si>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</si>
  <si>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</si>
  <si>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</si>
  <si>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</si>
  <si>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</si>
  <si>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</si>
  <si>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</si>
  <si>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</si>
  <si>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</si>
  <si>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</si>
  <si>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</si>
  <si>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</si>
  <si>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</si>
  <si>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</si>
  <si>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</si>
  <si>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</si>
  <si>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</si>
  <si>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</si>
  <si>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</si>
  <si>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</si>
  <si>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</si>
  <si>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</si>
  <si>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</si>
  <si>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</si>
  <si>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</si>
  <si>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</si>
  <si>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</si>
  <si>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</si>
  <si>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</si>
  <si>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</si>
  <si>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</si>
  <si>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</si>
  <si>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</si>
  <si>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</si>
  <si>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</si>
  <si>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</si>
  <si>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</si>
  <si>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</si>
  <si>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</si>
  <si>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</si>
  <si>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</si>
  <si>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</si>
  <si>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</si>
  <si>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</si>
  <si>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</si>
  <si>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</si>
  <si>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</si>
  <si>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</si>
  <si>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</si>
  <si>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</si>
  <si>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</si>
  <si>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</si>
  <si>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</si>
  <si>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</si>
  <si>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</si>
  <si>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</si>
  <si>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</si>
  <si>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</si>
  <si>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</si>
  <si>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</si>
  <si>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</si>
  <si>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</si>
  <si>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</si>
  <si>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</si>
  <si>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</si>
  <si>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</si>
  <si>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</si>
  <si>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</si>
  <si>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</si>
  <si>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</si>
  <si>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</si>
  <si>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</si>
  <si>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</si>
  <si>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</si>
  <si>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</si>
  <si>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</si>
  <si>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</si>
  <si>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</si>
  <si>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</si>
  <si>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</si>
  <si>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</si>
  <si>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</si>
  <si>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</si>
  <si>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</si>
  <si>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</si>
  <si>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</si>
  <si>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</si>
  <si>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</si>
  <si>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</si>
  <si>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</si>
  <si>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</si>
  <si>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</si>
  <si>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</si>
  <si>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</si>
  <si>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</si>
  <si>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</si>
  <si>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</si>
  <si>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</si>
  <si>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</si>
  <si>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Commercial</t>
  </si>
  <si>
    <t>quads</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</si>
  <si>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</si>
  <si>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</si>
  <si>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</si>
  <si>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</si>
  <si>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</si>
  <si>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</si>
  <si>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</si>
  <si>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</si>
  <si>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</si>
  <si>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</si>
  <si>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</si>
  <si>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</si>
  <si>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</si>
  <si>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</si>
  <si>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</si>
  <si>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</si>
  <si>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</si>
  <si>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</si>
  <si>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</si>
  <si>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</si>
  <si>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</si>
  <si>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</si>
  <si>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</si>
  <si>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</si>
  <si>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</si>
  <si>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</si>
  <si>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</si>
  <si>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</si>
  <si>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</si>
  <si>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</si>
  <si>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</si>
  <si>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</si>
  <si>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</si>
  <si>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</si>
  <si>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</si>
  <si>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</si>
  <si>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</si>
  <si>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</si>
  <si>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</si>
  <si>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</si>
  <si>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</si>
  <si>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</si>
  <si>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</si>
  <si>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</si>
  <si>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</si>
  <si>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</si>
  <si>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</si>
  <si>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</si>
  <si>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</si>
  <si>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</si>
  <si>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</si>
  <si>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</si>
  <si>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</si>
  <si>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</si>
  <si>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</si>
  <si>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</si>
  <si>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</si>
  <si>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</si>
  <si>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</si>
  <si>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</si>
  <si>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</si>
  <si>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</si>
  <si>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</si>
  <si>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</si>
  <si>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</si>
  <si>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</si>
  <si>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</si>
  <si>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</si>
  <si>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</si>
  <si>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</si>
  <si>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</si>
  <si>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</si>
  <si>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</si>
  <si>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</si>
  <si>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</si>
  <si>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</si>
  <si>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</si>
  <si>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</si>
  <si>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</si>
  <si>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</si>
  <si>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</si>
  <si>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</si>
  <si>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</si>
  <si>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</si>
  <si>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</si>
  <si>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</si>
  <si>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</si>
  <si>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</si>
  <si>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</si>
  <si>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</si>
  <si>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</si>
  <si>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</si>
  <si>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</si>
  <si>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</si>
  <si>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</si>
  <si>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</si>
  <si>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</si>
  <si>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</si>
  <si>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</si>
  <si>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</si>
  <si>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</si>
  <si>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</si>
  <si>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</si>
  <si>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</si>
  <si>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</si>
  <si>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</si>
  <si>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</si>
  <si>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</si>
  <si>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</si>
  <si>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</si>
  <si>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</si>
  <si>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</si>
  <si>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</si>
  <si>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</si>
  <si>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</si>
  <si>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</si>
  <si>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</si>
  <si>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</si>
  <si>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</si>
  <si>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</si>
  <si>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</si>
  <si>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</si>
  <si>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</si>
  <si>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</si>
  <si>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</si>
  <si>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</si>
  <si>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</si>
  <si>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</si>
  <si>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</si>
  <si>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</si>
  <si>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</si>
  <si>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</si>
  <si>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</si>
  <si>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</si>
  <si>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</si>
  <si>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</si>
  <si>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</si>
  <si>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</si>
  <si>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</si>
  <si>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</si>
  <si>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</si>
  <si>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</si>
  <si>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</si>
  <si>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</si>
  <si>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</si>
  <si>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</si>
  <si>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</si>
  <si>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</si>
  <si>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</si>
  <si>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</si>
  <si>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</si>
  <si>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</si>
  <si>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</si>
  <si>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</si>
  <si>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</si>
  <si>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</si>
  <si>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</si>
  <si>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</si>
  <si>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</si>
  <si>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</si>
  <si>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</si>
  <si>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</si>
  <si>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</si>
  <si>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</si>
  <si>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</si>
  <si>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</si>
  <si>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</si>
  <si>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</si>
  <si>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</si>
  <si>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</si>
  <si>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</si>
  <si>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</si>
  <si>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</si>
  <si>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</si>
  <si>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</si>
  <si>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</si>
  <si>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</si>
  <si>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</si>
  <si>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</si>
  <si>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</si>
  <si>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</si>
  <si>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</si>
  <si>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</si>
  <si>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</si>
  <si>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</si>
  <si>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</si>
  <si>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</si>
  <si>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</si>
  <si>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</si>
  <si>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</si>
  <si>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</si>
  <si>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</si>
  <si>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</si>
  <si>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</si>
  <si>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</si>
  <si>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</si>
  <si>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</si>
  <si>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</si>
  <si>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</si>
  <si>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</si>
  <si>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</si>
  <si>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</si>
  <si>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</si>
  <si>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</si>
  <si>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</si>
  <si>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</si>
  <si>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</si>
  <si>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</si>
  <si>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</si>
  <si>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</si>
  <si>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</si>
  <si>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</si>
  <si>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</si>
  <si>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</si>
  <si>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</si>
  <si>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</si>
  <si>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</si>
  <si>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</si>
  <si>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</si>
  <si>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</si>
  <si>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</si>
  <si>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</si>
  <si>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</si>
  <si>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</si>
  <si>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</si>
  <si>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</si>
  <si>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</si>
  <si>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</si>
  <si>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</si>
  <si>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</si>
  <si>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</si>
  <si>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</si>
  <si>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</si>
  <si>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</si>
  <si>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</si>
  <si>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</si>
  <si>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</si>
  <si>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</si>
  <si>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</si>
  <si>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</si>
  <si>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</si>
  <si>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</si>
  <si>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</si>
  <si>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</si>
  <si>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</si>
  <si>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</si>
  <si>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</si>
  <si>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</si>
  <si>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</si>
  <si>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</si>
  <si>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</si>
  <si>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</si>
  <si>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</si>
  <si>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</si>
  <si>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</si>
  <si>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</si>
  <si>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</si>
  <si>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</si>
  <si>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</si>
  <si>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</si>
  <si>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</si>
  <si>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</si>
  <si>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</si>
  <si>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</si>
  <si>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</si>
  <si>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</si>
  <si>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</si>
  <si>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</si>
  <si>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</si>
  <si>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</si>
  <si>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</si>
  <si>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</si>
  <si>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</si>
  <si>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</si>
  <si>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</si>
  <si>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</si>
  <si>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</si>
  <si>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</si>
  <si>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</si>
  <si>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</si>
  <si>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</si>
  <si>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</si>
  <si>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</si>
  <si>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</si>
  <si>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</si>
  <si>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</si>
  <si>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</si>
  <si>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</si>
  <si>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</si>
  <si>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</si>
  <si>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</si>
  <si>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</si>
  <si>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</si>
  <si>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</si>
  <si>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</si>
  <si>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</si>
  <si>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</si>
  <si>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</si>
  <si>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</si>
  <si>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</si>
  <si>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</si>
  <si>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</si>
  <si>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</si>
  <si>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</si>
  <si>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</si>
  <si>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</si>
  <si>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</si>
  <si>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</si>
  <si>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</si>
  <si>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</si>
  <si>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</si>
  <si>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</si>
  <si>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</si>
  <si>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</si>
  <si>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</si>
  <si>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</si>
  <si>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</si>
  <si>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</si>
  <si>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</si>
  <si>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</si>
  <si>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</si>
  <si>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</si>
  <si>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</si>
  <si>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</si>
  <si>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</si>
  <si>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</si>
  <si>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</si>
  <si>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</si>
  <si>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</si>
  <si>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</si>
  <si>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</si>
  <si>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</si>
  <si>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</si>
  <si>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</si>
  <si>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</si>
  <si>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</si>
  <si>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</si>
  <si>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</si>
  <si>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</si>
  <si>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</si>
  <si>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</si>
  <si>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</si>
  <si>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</si>
  <si>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</si>
  <si>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</si>
  <si>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</si>
  <si>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</si>
  <si>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</si>
  <si>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</si>
  <si>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</si>
  <si>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</si>
  <si>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</si>
  <si>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</si>
  <si>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</si>
  <si>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</si>
  <si>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</si>
  <si>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</si>
  <si>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</si>
  <si>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</si>
  <si>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</si>
  <si>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</si>
  <si>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</si>
  <si>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</si>
  <si>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</si>
  <si>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</si>
  <si>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</si>
  <si>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</si>
  <si>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</si>
  <si>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</si>
  <si>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</si>
  <si>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</si>
  <si>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</si>
  <si>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</si>
  <si>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</si>
  <si>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</si>
  <si>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</si>
  <si>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</si>
  <si>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</si>
  <si>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</si>
  <si>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</si>
  <si>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</si>
  <si>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</si>
  <si>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</si>
  <si>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</si>
  <si>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</si>
  <si>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</si>
  <si>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</si>
  <si>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</si>
  <si>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</si>
  <si>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</si>
  <si>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</si>
  <si>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</si>
  <si>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</si>
  <si>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</si>
  <si>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</si>
  <si>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</si>
  <si>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</si>
  <si>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</si>
  <si>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</si>
  <si>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</si>
  <si>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</si>
  <si>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</si>
  <si>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</si>
  <si>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</si>
  <si>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</si>
  <si>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</si>
  <si>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</si>
  <si>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</si>
  <si>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</si>
  <si>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</si>
  <si>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</si>
  <si>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</si>
  <si>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</si>
  <si>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</si>
  <si>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</si>
  <si>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</si>
  <si>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</si>
  <si>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</si>
  <si>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</si>
  <si>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</si>
  <si>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</si>
  <si>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</si>
  <si>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</si>
  <si>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</si>
  <si>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</si>
  <si>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</si>
  <si>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</si>
  <si>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</si>
  <si>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</si>
  <si>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</si>
  <si>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</si>
  <si>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</si>
  <si>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</si>
  <si>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</si>
  <si>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</si>
  <si>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</si>
  <si>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</si>
  <si>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</si>
  <si>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</si>
  <si>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</si>
  <si>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</si>
  <si>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</si>
  <si>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</si>
  <si>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</si>
  <si>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</si>
  <si>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</si>
  <si>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</si>
  <si>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</si>
  <si>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</si>
  <si>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</si>
  <si>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</si>
  <si>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</si>
  <si>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</si>
  <si>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</si>
  <si>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</si>
  <si>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</si>
  <si>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</si>
  <si>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</si>
  <si>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</si>
  <si>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</si>
  <si>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</si>
  <si>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</si>
  <si>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</si>
  <si>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</si>
  <si>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</si>
  <si>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</si>
  <si>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</si>
  <si>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</si>
  <si>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</si>
  <si>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</si>
  <si>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</si>
  <si>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</si>
  <si>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</si>
  <si>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</si>
  <si>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</si>
  <si>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</si>
  <si>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</si>
  <si>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</si>
  <si>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</si>
  <si>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</si>
  <si>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</si>
  <si>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</si>
  <si>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</si>
  <si>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</si>
  <si>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</si>
  <si>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</si>
  <si>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</si>
  <si>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</si>
  <si>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</si>
  <si>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</si>
  <si>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</si>
  <si>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</si>
  <si>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</si>
  <si>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</si>
  <si>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</si>
  <si>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</si>
  <si>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</si>
  <si>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</si>
  <si>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</si>
  <si>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</si>
  <si>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</si>
  <si>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</si>
  <si>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</si>
  <si>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</si>
  <si>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</si>
  <si>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</si>
  <si>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</si>
  <si>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</si>
  <si>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</si>
  <si>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</si>
  <si>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</si>
  <si>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</si>
  <si>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</si>
  <si>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</si>
  <si>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</si>
  <si>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</si>
  <si>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</si>
  <si>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</si>
  <si>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</si>
  <si>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</si>
  <si>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</si>
  <si>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</si>
  <si>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</si>
  <si>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</si>
  <si>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</si>
  <si>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</si>
  <si>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</si>
  <si>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</si>
  <si>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</si>
  <si>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</si>
  <si>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</si>
  <si>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</si>
  <si>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</si>
  <si>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</si>
  <si>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</si>
  <si>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</si>
  <si>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</si>
  <si>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</si>
  <si>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</si>
  <si>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</si>
  <si>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</si>
  <si>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</si>
  <si>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</si>
  <si>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</si>
  <si>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</si>
  <si>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</si>
  <si>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</si>
  <si>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</si>
  <si>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</si>
  <si>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</si>
  <si>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</si>
  <si>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</si>
  <si>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</si>
  <si>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</si>
  <si>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</si>
  <si>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</si>
  <si>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</si>
  <si>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</si>
  <si>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</si>
  <si>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</si>
  <si>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</si>
  <si>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</si>
  <si>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</si>
  <si>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</si>
  <si>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</si>
  <si>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</si>
  <si>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</si>
  <si>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</si>
  <si>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</si>
  <si>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</si>
  <si>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</si>
  <si>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</si>
  <si>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</si>
  <si>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</si>
  <si>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</si>
  <si>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</si>
  <si>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</si>
  <si>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</si>
  <si>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</si>
  <si>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</si>
  <si>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</si>
  <si>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</si>
  <si>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</si>
  <si>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</si>
  <si>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</si>
  <si>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</si>
  <si>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</si>
  <si>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</si>
  <si>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</si>
  <si>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</si>
  <si>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</si>
  <si>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</si>
  <si>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</si>
  <si>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</si>
  <si>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</si>
  <si>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</si>
  <si>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</si>
  <si>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</si>
  <si>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</si>
  <si>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</si>
  <si>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</si>
  <si>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</si>
  <si>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</si>
  <si>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</si>
  <si>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</si>
  <si>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</si>
  <si>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</si>
  <si>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</si>
  <si>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</si>
  <si>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</si>
  <si>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</si>
  <si>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</si>
  <si>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</si>
  <si>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</si>
  <si>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</si>
  <si>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</si>
  <si>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</si>
  <si>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</si>
  <si>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</si>
  <si>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</si>
  <si>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</si>
  <si>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</si>
  <si>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</si>
  <si>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</si>
  <si>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</si>
  <si>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</si>
  <si>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</si>
  <si>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</si>
  <si>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</si>
  <si>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</si>
  <si>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</si>
  <si>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</si>
  <si>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</si>
  <si>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</si>
  <si>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</si>
  <si>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</si>
  <si>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</si>
  <si>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</si>
  <si>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</si>
  <si>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</si>
  <si>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</si>
  <si>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</si>
  <si>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</si>
  <si>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</si>
  <si>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</si>
  <si>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</si>
  <si>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</si>
  <si>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</si>
  <si>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</si>
  <si>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</si>
  <si>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</si>
  <si>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</si>
  <si>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</si>
  <si>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</si>
  <si>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</si>
  <si>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</si>
  <si>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</si>
  <si>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</si>
  <si>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</si>
  <si>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</si>
  <si>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</si>
  <si>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</si>
  <si>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</si>
  <si>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</si>
  <si>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</si>
  <si>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</si>
  <si>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</si>
  <si>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</si>
  <si>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</si>
  <si>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</si>
  <si>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</si>
  <si>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</si>
  <si>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</si>
  <si>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</si>
  <si>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</si>
  <si>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</si>
  <si>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</si>
  <si>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</si>
  <si>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</si>
  <si>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</si>
  <si>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</si>
  <si>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</si>
  <si>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</si>
  <si>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</si>
  <si>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</si>
  <si>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</si>
  <si>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</si>
  <si>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</si>
  <si>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</si>
  <si>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</si>
  <si>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</si>
  <si>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</si>
  <si>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</si>
  <si>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</si>
  <si>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</si>
  <si>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</si>
  <si>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</si>
  <si>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</si>
  <si>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</si>
  <si>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</si>
  <si>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</si>
  <si>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</si>
  <si>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</si>
  <si>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</si>
  <si>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</si>
  <si>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</si>
  <si>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</si>
  <si>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</si>
  <si>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</si>
  <si>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</si>
  <si>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</si>
  <si>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</si>
  <si>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</si>
  <si>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</si>
  <si>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</si>
  <si>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</si>
  <si>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</si>
  <si>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</si>
  <si>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</si>
  <si>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</si>
  <si>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</si>
  <si>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</si>
  <si>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</si>
  <si>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</si>
  <si>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</si>
  <si>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AEO.2025.ALTTRNP.CNSM_NA_COMM_NA_WND_NA_NA_QBTU.A</t>
  </si>
  <si>
    <t>Renewable Energy: Nonmarketed Selected Use: Commercial: Wind: Alternative Transportation</t>
  </si>
  <si>
    <t>AEO.2025.ALTTRNP.CNSM_NA_COMM_NA_SLR_PHTVL_NA_QBTU.A</t>
  </si>
  <si>
    <t>Renewable Energy: Nonmarketed Selected Use: Commercial: Solar Photovoltaic: Alternative Transportation</t>
  </si>
  <si>
    <t>AEO.2025.ALTTRNP.CNSM_NA_COMM_NA_SLR_THERM_NA_QBTU.A</t>
  </si>
  <si>
    <t>Renewable Energy: Nonmarketed Selected Use: Commercial: Solar Thermal: Alternative Transportation</t>
  </si>
  <si>
    <t>AEO.2025.ALTTRNP.CNSM_NA_COMM_NA_NA_NA_NA_QBTU.A</t>
  </si>
  <si>
    <t>Renewable Energy: Nonmarketed Selected Use: Commercial: Alternative Transportation</t>
  </si>
  <si>
    <t>AEO.2025.ALTTRNP.CNSM_NA_RESD_NA_WND_NA_NA_QBTU.A</t>
  </si>
  <si>
    <t>Renewable Energy: Nonmarketed Selected Use: Residential: Wind: Alternative Transportation</t>
  </si>
  <si>
    <t>AEO.2025.ALTTRNP.CNSM_NA_RESD_NA_SLR_PHTVL_NA_QBTU.A</t>
  </si>
  <si>
    <t>Renewable Energy: Nonmarketed Selected Use: Residential: Solar Photovoltaic: Alternative Transportation</t>
  </si>
  <si>
    <t>AEO.2025.ALTTRNP.CNSM_NA_RESD_NA_SHW_NA_NA_QBTU.A</t>
  </si>
  <si>
    <t>Renewable Energy: Nonmarketed Selected Use: Residential: Solar Hot Water Heating: Alternative Transportation</t>
  </si>
  <si>
    <t>AEO.2025.ALTTRNP.CNSM_NA_RESD_NA_NA_NA_NA_QBTU.A</t>
  </si>
  <si>
    <t>Renewable Energy: Nonmarketed Selected Use: Residential: Alternative Transportation</t>
  </si>
  <si>
    <t>AEO.2025.ALTTRNP.SUP_NA_NA_NA_ETH_NA_NA_QBTU.A</t>
  </si>
  <si>
    <t>Renewable Energy: Total U.S. Supply of Ethanol: Alternative Transportation</t>
  </si>
  <si>
    <t>AEO.2025.ALTTRNP.SUP_NETIMP_NA_NA_ETH_NA_NA_QBTU.A</t>
  </si>
  <si>
    <t>Renewable Energy: Sources of Ethanol: Net Imports: Alternative Transportation</t>
  </si>
  <si>
    <t>AEO.2025.ALTTRNP.SUP_PRD_FCE_NA_ETH_NA_NA_QBTU.A</t>
  </si>
  <si>
    <t>Renewable Energy: Sources of Ethanol: From Cellulose: Alternative Transportation</t>
  </si>
  <si>
    <t>AEO.2025.ALTTRNP.SUP_PRD_FCO_NA_ETH_NA_NA_QBTU.A</t>
  </si>
  <si>
    <t>Renewable Energy: Sources of Ethanol: From Corn: Alternative Transportation</t>
  </si>
  <si>
    <t>AEO.2025.ALTTRNP.CNSM_NA_NA_NA_NA_NA_NA_QBTU.A</t>
  </si>
  <si>
    <t>Renewable Energy: Total Marketed Renewable Energy Use: Alternative Transportation</t>
  </si>
  <si>
    <t>AEO.2025.ALTTRNP.CNSM_NA_ELEP_NA_WND_NA_NA_QBTU.A</t>
  </si>
  <si>
    <t>Renewable Energy: Marketed Use: Electric Power: Wind: Alternative Transportation</t>
  </si>
  <si>
    <t>AEO.2025.ALTTRNP.CNSM_NA_ELEP_NA_SLR_PHTVL_NA_QBTU.A</t>
  </si>
  <si>
    <t>Renewable Energy: Marketed Use: Electric Power: Solar Photovoltaic: Alternative Transportation</t>
  </si>
  <si>
    <t>AEO.2025.ALTTRNP.CNSM_NA_ELEP_NA_SLR_THERM_NA_QBTU.A</t>
  </si>
  <si>
    <t>Renewable Energy: Marketed Use: Electric Power: Solar Thermal: Alternative Transportation</t>
  </si>
  <si>
    <t>AEO.2025.ALTTRNP.CNSM_NA_ELEP_NA_CFR_NA_NA_QBTU.A</t>
  </si>
  <si>
    <t>Renewable Energy: Marketed Use: Electric Power: Biomass: Cofiring: Alternative Transportation</t>
  </si>
  <si>
    <t>AEO.2025.ALTTRNP.CNSM_NA_ELEP_NA_DPE_NA_NA_QBTU.A</t>
  </si>
  <si>
    <t>Renewable Energy: Marketed Use: Electric Power: Biomass: Dedicated Plants: Alternative Transportation</t>
  </si>
  <si>
    <t>AEO.2025.ALTTRNP.CNSM_NA_ELEP_NA_BMS_NA_NA_QBTU.A</t>
  </si>
  <si>
    <t>Renewable Energy: Marketed Use: Electric Power: Biomass: Alternative Transportation</t>
  </si>
  <si>
    <t>AEO.2025.ALTTRNP.CNSM_NA_ELEP_NA_BGM_NA_NA_QBTU.A</t>
  </si>
  <si>
    <t>Renewable Energy: Marketed Use: Electric Power: Biogenic Municipal Waste: Alternative Transportation</t>
  </si>
  <si>
    <t>AEO.2025.ALTTRNP.CNSM_NA_ELEP_NA_GEOTHM_NA_NA_QBTU.A</t>
  </si>
  <si>
    <t>Renewable Energy: Marketed Use: Electric Power: Geothermal: Alternative Transportation</t>
  </si>
  <si>
    <t>AEO.2025.ALTTRNP.CNSM_NA_ELEP_NA_HYD_CNV_NA_QBTU.A</t>
  </si>
  <si>
    <t>Renewable Energy: Marketed Use: Electric Power: Hydropower: Alternative Transportation</t>
  </si>
  <si>
    <t>AEO.2025.ALTTRNP.CNSM_NA_ELEP_NA_NA_NA_NA_QBTU.A</t>
  </si>
  <si>
    <t>Renewable Energy: Marketed Use: Electric Power: Alternative Transportation</t>
  </si>
  <si>
    <t>AEO.2025.ALTTRNP.CNSM_NA_TRN_NA_GLQ_NA_NA_QBTU.A</t>
  </si>
  <si>
    <t>Renewable Energy: Marketed Use: Transportation: Green Liquids: Alternative Transportation</t>
  </si>
  <si>
    <t>AEO.2025.ALTTRNP.CNSM_NA_TRN_NA_LFB_NA_NA_QBTU.A</t>
  </si>
  <si>
    <t>Renewable Energy: Marketed Use: Transportation: Liquids from Biomass: Alternative Transportation</t>
  </si>
  <si>
    <t>AEO.2025.ALTTRNP.CNSM_NA_TRN_NA_BIOB_NA_NA_NA.A</t>
  </si>
  <si>
    <t>Renewable Energy: Marketed Use: Transportation: Biobutanol: Alternative Transportation</t>
  </si>
  <si>
    <t>AEO.2025.ALTTRNP.CNSM_NA_TRN_NA_BUD_NA_NA_QBTU.A</t>
  </si>
  <si>
    <t>Renewable Energy: Marketed Use: Transportation: Biodiesel used in Distillate Blending: Alternative Transportation</t>
  </si>
  <si>
    <t>AEO.2025.ALTTRNP.CNSM_NA_TRN_NA_EBL_NA_NA_QBTU.A</t>
  </si>
  <si>
    <t>Renewable Energy: Marketed Use: Transportation: Ethanol used in Gasoline Blending: Alternative Transportation</t>
  </si>
  <si>
    <t>AEO.2025.ALTTRNP.CNSM_NA_TRN_NA_ETE_NA_NA_QBTU.A</t>
  </si>
  <si>
    <t>Renewable Energy: Marketed Use: Transportation: Ethanol used in E85: Alternative Transportation</t>
  </si>
  <si>
    <t>AEO.2025.ALTTRNP.CNSM_NA_TRN_NA_NA_NA_NA_QBTU.A</t>
  </si>
  <si>
    <t>Renewable Energy: Marketed Use: Transportation: Alternative Transportation</t>
  </si>
  <si>
    <t>AEO.2025.ALTTRNP.CNSM_NA_IDAL_NA_BFH_NA_NA_QBTU.A</t>
  </si>
  <si>
    <t>Renewable Energy: Marketed Use: Industrial: Biofuels Heat and Coproducts: Alternative Transportation</t>
  </si>
  <si>
    <t>AEO.2025.ALTTRNP.CNSM_NA_IDAL_NA_BMS_NA_NA_QBTU.A</t>
  </si>
  <si>
    <t>Renewable Energy: Marketed Use: Industrial: Biomass: Alternative Transportation</t>
  </si>
  <si>
    <t>AEO.2025.ALTTRNP.CNSM_NA_IDAL_NA_MUNWST_NA_NA_QBTU.A</t>
  </si>
  <si>
    <t>Renewable Energy: Marketed Use: Industrial: Municipal Waste: Alternative Transportation</t>
  </si>
  <si>
    <t>AEO.2025.ALTTRNP.CNSM_NA_IDAL_NA_HYD_CNV_NA_QBTU.A</t>
  </si>
  <si>
    <t>Renewable Energy: Marketed Use: Industrial: Hydropower: Alternative Transportation</t>
  </si>
  <si>
    <t>AEO.2025.ALTTRNP.CNSM_NA_IDAL_NA_MRE_NA_NA_QBTU.A</t>
  </si>
  <si>
    <t>Renewable Energy: Marketed Use: Industrial: Alternative Transportation</t>
  </si>
  <si>
    <t>AEO.2025.ALTTRNP.CNSM_NA_COMM_NA_BMS_NA_NA_QBTU.A</t>
  </si>
  <si>
    <t>Renewable Energy: Marketed Use: Commercial: Biomass: Alternative Transportation</t>
  </si>
  <si>
    <t>AEO.2025.ALTTRNP.CNSM_NA_RESD_NA_BMS_NA_NA_QBTU.A</t>
  </si>
  <si>
    <t>Renewable Energy: Marketed Use: Residential: Wood: Alternative Transportation</t>
  </si>
  <si>
    <t>Growth (2024-2050)</t>
  </si>
  <si>
    <t>Fri Dec 05 2025 14:44:26 GMT-0800 (Pacific Standard Time)</t>
  </si>
  <si>
    <t>https://www.eia.gov/outlooks/aeo/data/browser/#/?id=24-AEO2025&amp;cases=alttrnp&amp;sourcekey=0</t>
  </si>
  <si>
    <t>AEO.2025.ALTTRNP.CNSM_NA_TRN_NA_NA_NA_NA_TRLBTU.A</t>
  </si>
  <si>
    <t>Transportation Energy Use: Total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</si>
  <si>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</si>
  <si>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</si>
  <si>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</si>
  <si>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</si>
  <si>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AEO.2025.ALTTRNP.CNSM_NA_TRN_NA_LBC_NA_NA_TRLBTU.A</t>
  </si>
  <si>
    <t>Transportation Energy Use: Lubricants: Alternative Transportation</t>
  </si>
  <si>
    <t>AEO.2025.ALTTRNP.CNSM_NA_TRN_RCB_DFO_NA_NA_TRLBTU.A</t>
  </si>
  <si>
    <t>Transportation Energy Use: Recreation Boats: Distillate Fuel Oil: Alternative Transportation</t>
  </si>
  <si>
    <t>AEO.2025.ALTTRNP.CNSM_NA_TRN_RCB_GSL_NA_NA_TRLBTU.A</t>
  </si>
  <si>
    <t>Transportation Energy Use: Recreation Boats: Motor Gasoline: Alternative Transportation</t>
  </si>
  <si>
    <t>AEO.2025.ALTTRNP.CNSM_NA_TRN_RCB_NA_NA_NA_TRLBTU.A</t>
  </si>
  <si>
    <t>Transportation Energy Use: Recreation Boats: Alternative Transportation</t>
  </si>
  <si>
    <t>AEO.2025.ALTTRNP.CNSM_NA_TRN_CRAIL_LNG_NA_NA_TRLBTU.A</t>
  </si>
  <si>
    <t>Transportation Energy Use: Rail: Commuter Rail: LNG: Alternative Transportation</t>
  </si>
  <si>
    <t>AEO.2025.ALTTRNP.CNSM_NA_TRN_CRAIL_CNG_NA_NA_TRLBTU.A</t>
  </si>
  <si>
    <t>Transportation Energy Use: Rail: Commuter Rail: CNG: Alternative Transportation</t>
  </si>
  <si>
    <t>AEO.2025.ALTTRNP.CNSM_NA_TRN_CRAIL_DSL_NA_NA_TRLBTU.A</t>
  </si>
  <si>
    <t>Transportation Energy Use: Rail: Commuter Rail: Diesel: Alternative Transportation</t>
  </si>
  <si>
    <t>AEO.2025.ALTTRNP.CNSM_NA_TRN_CRAIL_ELC_NA_NA_TRLBTU.A</t>
  </si>
  <si>
    <t>Transportation Energy Use: Rail: Commuter Rail: Electricity: Alternative Transportation</t>
  </si>
  <si>
    <t>AEO.2025.ALTTRNP.CNSM_NA_TRN_CRAIL_NA_NA_NA_TRLBTU.A</t>
  </si>
  <si>
    <t>Transportation Energy Use: Rail: Commuter Rail: Alternative Transportation</t>
  </si>
  <si>
    <t>AEO.2025.ALTTRNP.CNSM_NA_TRN_TRAIL_ELC_NA_NA_TRLBTU.A</t>
  </si>
  <si>
    <t>Transportation Energy Use: Rail: Transit Rail: Electricity: Alternative Transportation</t>
  </si>
  <si>
    <t>AEO.2025.ALTTRNP.CNSM_NA_TRN_TRAIL_NA_NA_NA_TRLBTU.A</t>
  </si>
  <si>
    <t>Transportation Energy Use: Rail: Transit Rail: Alternative Transportation</t>
  </si>
  <si>
    <t>AEO.2025.ALTTRNP.CNSM_NA_TRN_IRAIL_LNG_NA_NA_TRLBTU.A</t>
  </si>
  <si>
    <t>Transportation Energy Use: Rail: Intercity Rail: LNG: Alternative Transportation</t>
  </si>
  <si>
    <t>AEO.2025.ALTTRNP.CNSM_NA_TRN_IRAIL_CNG_NA_NA_TRLBTU.A</t>
  </si>
  <si>
    <t>Transportation Energy Use: Rail: Intercity Rail: CNG: Alternative Transportation</t>
  </si>
  <si>
    <t>AEO.2025.ALTTRNP.CNSM_NA_TRN_IRAIL_DSL_NA_NA_TRLBTU.A</t>
  </si>
  <si>
    <t>Transportation Energy Use: Rail: Intercity Rail: Diesel: Alternative Transportation</t>
  </si>
  <si>
    <t>AEO.2025.ALTTRNP.CNSM_NA_TRN_IRAIL_ELC_NA_NA_TRLBTU.A</t>
  </si>
  <si>
    <t>Transportation Energy Use: Rail: Intercity Rail: Electricity: Alternative Transportation</t>
  </si>
  <si>
    <t>AEO.2025.ALTTRNP.CNSM_NA_TRN_IRAIL_NA_NA_NA_TRLBTU.A</t>
  </si>
  <si>
    <t>Transportation Energy Use: Rail: Intercity Rail: Alternative Transportation</t>
  </si>
  <si>
    <t>AEO.2025.ALTTRNP.CNSM_NA_TRN_RAIL_NA_NA_NA_TRLBTU.A</t>
  </si>
  <si>
    <t>Transportation Energy Use: Rail: Alternative Transportation</t>
  </si>
  <si>
    <t>AEO.2025.ALTTRNP.CNSM_NA_TRN_LSRC_HDG_NA_NA_TRLBTU.A</t>
  </si>
  <si>
    <t>Transportation Energy Use: Bus: School Bus: Hydrogen: Alternative Transportation</t>
  </si>
  <si>
    <t>AEO.2025.ALTTRNP.CNSM_NA_TRN_LSRC_ELC_NA_NA_TRLBTU.A</t>
  </si>
  <si>
    <t>Transportation Energy Use: Bus: School Bus: Electricity: Alternative Transportation</t>
  </si>
  <si>
    <t>AEO.2025.ALTTRNP.CNSM_NA_TRN_LSRC_LPG_NA_NA_TRLBTU.A</t>
  </si>
  <si>
    <t>Transportation Energy Use: Bus: School Bus: Propane: Alternative Transportation</t>
  </si>
  <si>
    <t>AEO.2025.ALTTRNP.CNSM_NA_TRN_LSRC_NG_NA_NA_TRLBTU.A</t>
  </si>
  <si>
    <t>Transportation Energy Use: Bus: School Bus: Natural Gas: Alternative Transportation</t>
  </si>
  <si>
    <t>AEO.2025.ALTTRNP.CNSM_NA_TRN_LSRC_DFO_NA_NA_TRLBTU.A</t>
  </si>
  <si>
    <t>Transportation Energy Use: Bus: School Bus: Distillate Fuel Oil: Alternative Transportation</t>
  </si>
  <si>
    <t>AEO.2025.ALTTRNP.CNSM_NA_TRN_LSRC_E85_NA_NA_TRLBTU.A</t>
  </si>
  <si>
    <t>Transportation Energy Use: Bus: School Bus: E85: Alternative Transportation</t>
  </si>
  <si>
    <t>AEO.2025.ALTTRNP.CNSM_NA_TRN_LSRC_MGS_NA_NA_TRLBTU.A</t>
  </si>
  <si>
    <t>Transportation Energy Use: Bus: School Bus: Motor Gasoline: Alternative Transportation</t>
  </si>
  <si>
    <t>AEO.2025.ALTTRNP.CNSM_NA_TRN_LSRC_NA_NA_NA_TRLBTU.A</t>
  </si>
  <si>
    <t>Transportation Energy Use: Bus: School Bus: Alternative Transportation</t>
  </si>
  <si>
    <t>AEO.2025.ALTTRNP.CNSM_NA_TRN_IBUS_HDG_NA_NA_TRLBTU.A</t>
  </si>
  <si>
    <t>Transportation Energy Use: Bus: Intercity Bus: Hydrogen: Alternative Transportation</t>
  </si>
  <si>
    <t>AEO.2025.ALTTRNP.CNSM_NA_TRN_IBUS_ELC_NA_NA_TRLBTU.A</t>
  </si>
  <si>
    <t>Transportation Energy Use: Bus: Intercity Bus: Electricity: Alternative Transportation</t>
  </si>
  <si>
    <t>AEO.2025.ALTTRNP.CNSM_NA_TRN_IBUS_LPG_NA_NA_TRLBTU.A</t>
  </si>
  <si>
    <t>Transportation Energy Use: Bus: Intercity Bus: Propane: Alternative Transportation</t>
  </si>
  <si>
    <t>AEO.2025.ALTTRNP.CNSM_NA_TRN_IBUS_NG_NA_NA_TRLBTU.A</t>
  </si>
  <si>
    <t>Transportation Energy Use: Bus: Intercity Bus: Natural Gas: Alternative Transportation</t>
  </si>
  <si>
    <t>AEO.2025.ALTTRNP.CNSM_NA_TRN_IBUS_DFO_NA_NA_TRLBTU.A</t>
  </si>
  <si>
    <t>Transportation Energy Use: Bus: Intercity Bus: Distillate Fuel Oil: Alternative Transportation</t>
  </si>
  <si>
    <t>AEO.2025.ALTTRNP.CNSM_NA_TRN_IBUS_E85_NA_NA_TRLBTU.A</t>
  </si>
  <si>
    <t>Transportation Energy Use: Bus: Intercity Bus: E85: Alternative Transportation</t>
  </si>
  <si>
    <t>AEO.2025.ALTTRNP.CNSM_NA_TRN_IBUS_MGS_NA_NA_TRLBTU.A</t>
  </si>
  <si>
    <t>Transportation Energy Use: Bus: Intercity Bus: Motor Gasoline: Alternative Transportation</t>
  </si>
  <si>
    <t>AEO.2025.ALTTRNP.CNSM_NA_TRN_IBUS_NA_NA_NA_TRLBTU.A</t>
  </si>
  <si>
    <t>Transportation Energy Use: Bus: Intercity Bus: Alternative Transportation</t>
  </si>
  <si>
    <t>AEO.2025.ALTTRNP.CNSM_NA_TRN_TBUS_HDG_NA_NA_TRLBTU.A</t>
  </si>
  <si>
    <t>Transportation Energy Use: Bus: Transit Bus: Hydrogen: Alternative Transportation</t>
  </si>
  <si>
    <t>AEO.2025.ALTTRNP.CNSM_NA_TRN_TBUS_ELC_NA_NA_TRLBTU.A</t>
  </si>
  <si>
    <t>Transportation Energy Use: Bus: Transit Bus: Electricity: Alternative Transportation</t>
  </si>
  <si>
    <t>AEO.2025.ALTTRNP.CNSM_NA_TRN_TBUS_LPG_NA_NA_TRLBTU.A</t>
  </si>
  <si>
    <t>Transportation Energy Use: Bus: Transit Bus: Propane: Alternative Transportation</t>
  </si>
  <si>
    <t>AEO.2025.ALTTRNP.CNSM_NA_TRN_TBUS_NG_NA_NA_TRLBTU.A</t>
  </si>
  <si>
    <t>Transportation Energy Use: Bus: Transit Bus: Natural Gas: Alternative Transportation</t>
  </si>
  <si>
    <t>AEO.2025.ALTTRNP.CNSM_NA_TRN_TBUS_DFO_NA_NA_TRLBTU.A</t>
  </si>
  <si>
    <t>Transportation Energy Use: Bus: Transit Bus: Distillate Fuel Oil: Alternative Transportation</t>
  </si>
  <si>
    <t>AEO.2025.ALTTRNP.CNSM_NA_TRN_TBUS_E85_NA_NA_TRLBTU.A</t>
  </si>
  <si>
    <t>Transportation Energy Use: Bus: Transit Bus: E85: Alternative Transportation</t>
  </si>
  <si>
    <t>AEO.2025.ALTTRNP.CNSM_NA_TRN_TBUS_MGS_NA_NA_TRLBTU.A</t>
  </si>
  <si>
    <t>Transportation Energy Use: Bus: Transit Bus: Motor Gasoline: Alternative Transportation</t>
  </si>
  <si>
    <t>AEO.2025.ALTTRNP.CNSM_NA_TRN_TBUS_NA_NA_NA_TRLBTU.A</t>
  </si>
  <si>
    <t>Transportation Energy Use: Bus: Transit Bus: Alternative Transportation</t>
  </si>
  <si>
    <t>AEO.2025.ALTTRNP.CNSM_NA_TRN_BUS_NA_NA_NA_TRLBTU.A</t>
  </si>
  <si>
    <t>Transportation Energy Use: Bus: Alternative Transportation</t>
  </si>
  <si>
    <t>AEO.2025.ALTTRNP.CNSM_NA_TRN_MILT_DFO_NA_NA_TRLBTU.A</t>
  </si>
  <si>
    <t>Transportation Energy Use: Military: Distillate Fuel Oil: Alternative Transportation</t>
  </si>
  <si>
    <t>AEO.2025.ALTTRNP.CNSM_NA_TRN_MILT_RFO_NA_NA_TRLBTU.A</t>
  </si>
  <si>
    <t>Transportation Energy Use: Military: Residual Fuel Oil: Alternative Transportation</t>
  </si>
  <si>
    <t>AEO.2025.ALTTRNP.CNSM_NA_TRN_MILT_JFL_NA_NA_TRLBTU.A</t>
  </si>
  <si>
    <t>Transportation Energy Use: Military: Jet Fuel: Alternative Transportation</t>
  </si>
  <si>
    <t>AEO.2025.ALTTRNP.CNSM_NA_TRN_MILT_NA_NA_NA_TRLBTU.A</t>
  </si>
  <si>
    <t>Transportation Energy Use: Military: Total: Alternative Transportation</t>
  </si>
  <si>
    <t>AEO.2025.ALTTRNP.CNSM_NA_TRN_AIR_AVGA_NA_NA_TRLBTU.A</t>
  </si>
  <si>
    <t>Transportation Energy Use: Air: Aviation Gasoline: Alternative Transportation</t>
  </si>
  <si>
    <t>AEO.2025.ALTTRNP.CNSM_NA_TRN_AIR_JFL_NA_NA_TRLBTU.A</t>
  </si>
  <si>
    <t>Transportation Energy Use: Air: Jet Fuel: Alternative Transportation</t>
  </si>
  <si>
    <t>AEO.2025.ALTTRNP.CNSM_NA_TRN_AIR_NA_NA_NA_TRLBTU.A</t>
  </si>
  <si>
    <t>Transportation Energy Use: Air: Total: Alternative Transportation</t>
  </si>
  <si>
    <t>AEO.2025.ALTTRNP.CNSM_NA_TRN_INTS_LNG_NA_NA_TRLBTU.A</t>
  </si>
  <si>
    <t>Transportation Energy Use: International Shipping: LNG: Alternative Transportation</t>
  </si>
  <si>
    <t>AEO.2025.ALTTRNP.CNSM_NA_TRN_INTS_CNG_NA_NA_TRLBTU.A</t>
  </si>
  <si>
    <t>Transportation Energy Use: International Shipping: CNG: Alternative Transportation</t>
  </si>
  <si>
    <t>AEO.2025.ALTTRNP.CNSM_NA_TRN_INTS_RFO_NA_NA_TRLBTU.A</t>
  </si>
  <si>
    <t>Transportation Energy Use: International Shipping: Residual Oil: Alternative Transportation</t>
  </si>
  <si>
    <t>AEO.2025.ALTTRNP.CNSM_NA_TRN_INTS_DFO_NA_NA_TRLBTU.A</t>
  </si>
  <si>
    <t>Transportation Energy Use: International Shipping: Distillate Fuel Oil: Alternative Transportation</t>
  </si>
  <si>
    <t>AEO.2025.ALTTRNP.CNSM_NA_TRN_INTS_NA_NA_NA_TRLBTU.A</t>
  </si>
  <si>
    <t>Transportation Energy Use: International Shipping: Total: Alternative Transportation</t>
  </si>
  <si>
    <t>AEO.2025.ALTTRNP.CNSM_NA_TRN_DMT_LNG_NA_NA_TRLBTU.A</t>
  </si>
  <si>
    <t>Transportation Energy Use: Domestic Shipping: LNG: Alternative Transportation</t>
  </si>
  <si>
    <t>AEO.2025.ALTTRNP.CNSM_NA_TRN_DMT_CNG_NA_NA_TRLBTU.A</t>
  </si>
  <si>
    <t>Transportation Energy Use: Domestic Shipping: CNG: Alternative Transportation</t>
  </si>
  <si>
    <t>AEO.2025.ALTTRNP.CNSM_NA_TRN_DMT_RFO_NA_NA_TRLBTU.A</t>
  </si>
  <si>
    <t>Transportation Energy Use: Domestic Shipping: Residual Oil: Alternative Transportation</t>
  </si>
  <si>
    <t>AEO.2025.ALTTRNP.CNSM_NA_TRN_DMT_DFO_NA_NA_TRLBTU.A</t>
  </si>
  <si>
    <t>Transportation Energy Use: Domestic Shipping: Distillate Fuel Oil: Alternative Transportation</t>
  </si>
  <si>
    <t>AEO.2025.ALTTRNP.CNSM_NA_TRN_DMT_NA_NA_NA_TRLBTU.A</t>
  </si>
  <si>
    <t>Transportation Energy Use: Domestic Shipping: Total: Alternative Transportation</t>
  </si>
  <si>
    <t>AEO.2025.ALTTRNP.CNSM_NA_TRN_FRAIL_LNG_NA_NA_TRLBTU.A</t>
  </si>
  <si>
    <t>Transportation Energy Use: Freight Rail: LNG: Alternative Transportation</t>
  </si>
  <si>
    <t>AEO.2025.ALTTRNP.CNSM_NA_TRN_FRAIL_CNG_NA_NA_TRLBTU.A</t>
  </si>
  <si>
    <t>Transportation Energy Use: Freight Rail: CNG: Alternative Transportation</t>
  </si>
  <si>
    <t>AEO.2025.ALTTRNP.CNSM_NA_TRN_FRAIL_RFO_NA_NA_TRLBTU.A</t>
  </si>
  <si>
    <t>Transportation Energy Use: Freight Rail: Residual Fuel Oil: Alternative Transportation</t>
  </si>
  <si>
    <t>AEO.2025.ALTTRNP.CNSM_NA_TRN_FRAIL_DFO_NA_NA_TRLBTU.A</t>
  </si>
  <si>
    <t>Transportation Energy Use: Freight Rail: Distillate Fuel Oil: Alternative Transportation</t>
  </si>
  <si>
    <t>AEO.2025.ALTTRNP.CNSM_NA_TRN_FRAIL_NA_NA_NA_TRLBTU.A</t>
  </si>
  <si>
    <t>Transportation Energy Use: Freight Rail: Total: Alternative Transportation</t>
  </si>
  <si>
    <t>AEO.2025.ALTTRNP.CNSM_NA_TRN_FRTT_HDG_NA_NA_TRLBTU.A</t>
  </si>
  <si>
    <t>Transportation Energy Use: Freight Trucks: Hydrogen: Alternative Transportation</t>
  </si>
  <si>
    <t>AEO.2025.ALTTRNP.CNSM_NA_TRN_FRTT_ELC_NA_NA_TRLBTU.A</t>
  </si>
  <si>
    <t>Transportation Energy Use: Freight Trucks: Electricity: Alternative Transportation</t>
  </si>
  <si>
    <t>AEO.2025.ALTTRNP.CNSM_NA_TRN_FRTT_E85_NA_NA_TRLBTU.A</t>
  </si>
  <si>
    <t>Transportation Energy Use: Freight Trucks: E85: Alternative Transportation</t>
  </si>
  <si>
    <t>AEO.2025.ALTTRNP.CNSM_NA_TRN_FRTT_LPG_NA_NA_TRLBTU.A</t>
  </si>
  <si>
    <t>Transportation Energy Use: Freight Trucks: Propane: Alternative Transportation</t>
  </si>
  <si>
    <t>AEO.2025.ALTTRNP.CNSM_NA_TRN_FRTT_NG_NA_NA_TRLBTU.A</t>
  </si>
  <si>
    <t>Transportation Energy Use: Freight Trucks: Natural Gas: Alternative Transportation</t>
  </si>
  <si>
    <t>AEO.2025.ALTTRNP.CNSM_NA_TRN_FRTT_DFO_NA_NA_TRLBTU.A</t>
  </si>
  <si>
    <t>Transportation Energy Use: Freight Trucks: Distillate Fuel Oil: Alternative Transportation</t>
  </si>
  <si>
    <t>AEO.2025.ALTTRNP.CNSM_NA_TRN_FRTT_MGS_NA_NA_TRLBTU.A</t>
  </si>
  <si>
    <t>Transportation Energy Use: Freight Trucks: Motor Gasoline: Alternative Transportation</t>
  </si>
  <si>
    <t>AEO.2025.ALTTRNP.CNSM_NA_TRN_FRTT_NA_NA_NA_TRLBTU.A</t>
  </si>
  <si>
    <t>Transportation Energy Use: Freight Trucks: Total: Alternative Transportation</t>
  </si>
  <si>
    <t>AEO.2025.ALTTRNP.CNSM_NA_TRN_CLTR_HDG_NA_NA_TRLBTU.A</t>
  </si>
  <si>
    <t>Transportation Energy Use: Commercial Light Trucks: Hydrogen: Alternative Transportation</t>
  </si>
  <si>
    <t>AEO.2025.ALTTRNP.CNSM_NA_TRN_CLTR_ELC_NA_NA_TRLBTU.A</t>
  </si>
  <si>
    <t>Transportation Energy Use: Commercial Light Trucks: Electricity: Alternative Transportation</t>
  </si>
  <si>
    <t>AEO.2025.ALTTRNP.CNSM_NA_TRN_CLTR_NG_NA_NA_TRLBTU.A</t>
  </si>
  <si>
    <t>Transportation Energy Use: Commercial Light Trucks: Natural Gas: Alternative Transportation</t>
  </si>
  <si>
    <t>AEO.2025.ALTTRNP.CNSM_NA_TRN_CLTR_PROP_NA_NA_TRLBTU.A</t>
  </si>
  <si>
    <t>Transportation Energy Use: Commercial Light Trucks: Propane: Alternative Transportation</t>
  </si>
  <si>
    <t>AEO.2025.ALTTRNP.CNSM_NA_TRN_CLTR_DFO_NA_NA_TRLBTU.A</t>
  </si>
  <si>
    <t>Transportation Energy Use: Commercial Light Trucks: Distillate Fuel Oil: Alternative Transportation</t>
  </si>
  <si>
    <t>AEO.2025.ALTTRNP.CNSM_NA_TRN_CLTR_E85_NA_NA_TRLBTU.A</t>
  </si>
  <si>
    <t>Transportation Energy Use: Commercial Light Trucks: E85: Alternative Transportation</t>
  </si>
  <si>
    <t>AEO.2025.ALTTRNP.CNSM_NA_TRN_CLTR_MGS_NA_NA_TRLBTU.A</t>
  </si>
  <si>
    <t>Transportation Energy Use: Commercial Light Trucks: Motor Gasoline: Alternative Transportation</t>
  </si>
  <si>
    <t>AEO.2025.ALTTRNP.CNSM_NA_TRN_CLTR_NA_NA_NA_TRLBTU.A</t>
  </si>
  <si>
    <t>Transportation Energy Use: Commercial Light Trucks: Total: Alternative Transportation</t>
  </si>
  <si>
    <t>AEO.2025.ALTTRNP.CNSM_NA_TRN_LDTY_HDG_NA_NA_TRLBTU.A</t>
  </si>
  <si>
    <t>Transportation Energy Use: Light-Duty Vehicle: Hydrogen: Alternative Transportation</t>
  </si>
  <si>
    <t>AEO.2025.ALTTRNP.CNSM_NA_TRN_LDTY_ELC_NA_NA_TRLBTU.A</t>
  </si>
  <si>
    <t>Transportation Energy Use: Light-Duty Vehicle: Electricity: Alternative Transportation</t>
  </si>
  <si>
    <t>AEO.2025.ALTTRNP.CNSM_NA_TRN_LDTY_PROP_NA_NA_TRLBTU.A</t>
  </si>
  <si>
    <t>Transportation Energy Use: Light-Duty Vehicle: Propane: Alternative Transportation</t>
  </si>
  <si>
    <t>AEO.2025.ALTTRNP.CNSM_NA_TRN_LDTY_NG_NA_NA_TRLBTU.A</t>
  </si>
  <si>
    <t>Transportation Energy Use: Light-Duty Vehicle: Natural Gas: Alternative Transportation</t>
  </si>
  <si>
    <t>AEO.2025.ALTTRNP.CNSM_NA_TRN_LDTY_DFO_NA_NA_TRLBTU.A</t>
  </si>
  <si>
    <t>Transportation Energy Use: Light-Duty Vehicle: Distillate Fuel Oil: Alternative Transportation</t>
  </si>
  <si>
    <t>AEO.2025.ALTTRNP.CNSM_NA_TRN_LDTY_ETH_NA_NA_TRLBTU.A</t>
  </si>
  <si>
    <t>Transportation Energy Use: Light-Duty Vehicle: Ethanol: Alternative Transportation</t>
  </si>
  <si>
    <t>AEO.2025.ALTTRNP.CNSM_NA_TRN_LDTY_MGS_NA_NA_TRLBTU.A</t>
  </si>
  <si>
    <t>Transportation Energy Use: Light-Duty Vehicle: Motor Gasoline: Alternative Transportation</t>
  </si>
  <si>
    <t>AEO.2025.ALTTRNP.CNSM_NA_TRN_LDTY_NA_NA_NA_TRLBTU.A</t>
  </si>
  <si>
    <t>Transportation Energy Use: Light-Duty Vehicle: Total: Alternative Transportation</t>
  </si>
  <si>
    <t>Fri Dec 05 2025 14:49:10 GMT-0800 (Pacific Standard Time)</t>
  </si>
  <si>
    <t>https://www.eia.gov/outlooks/aeo/data/browser/#/?id=46-AEO2025&amp;cases=alttrnp&amp;sourcekey=0</t>
  </si>
  <si>
    <t>Table 36, Table 17</t>
  </si>
  <si>
    <t>U.S. Energy Information Administration</t>
  </si>
  <si>
    <t>https://www.eia.gov/outlooks/aeo/tables_side_xls.php</t>
  </si>
  <si>
    <t>https://www.eia.gov/outlooks/aeo/data/browser/#/?id=24-AEO2026&amp;cases=electrnp&amp;sourcekey=0</t>
  </si>
  <si>
    <t>Thu Apr 23 2026 14:59:47 GMT-0700 (Pacific Daylight Time)</t>
  </si>
  <si>
    <t>Growth (2025-2050)</t>
  </si>
  <si>
    <t>Renewable Energy: Marketed Use: Residential: Wood: Alternative Electricity and Transportation</t>
  </si>
  <si>
    <t>AEO.2026.ELECTRNP.CNSM_NA_RESD_NA_BMS_NA_NA_QBTU.A</t>
  </si>
  <si>
    <t>Renewable Energy: Marketed Use: Commercial: Biomass: Alternative Electricity and Transportation</t>
  </si>
  <si>
    <t>AEO.2026.ELECTRNP.CNSM_NA_COMM_NA_BMS_NA_NA_QBTU.A</t>
  </si>
  <si>
    <t>Renewable Energy: Marketed Use: Industrial: Alternative Electricity and Transportation</t>
  </si>
  <si>
    <t>AEO.2026.ELECTRNP.CNSM_NA_IDAL_NA_MRE_NA_NA_QBTU.A</t>
  </si>
  <si>
    <t>Renewable Energy: Marketed Use: Industrial: Hydropower: Alternative Electricity and Transportation</t>
  </si>
  <si>
    <t>AEO.2026.ELECTRNP.CNSM_NA_IDAL_NA_HYD_CNV_NA_QBTU.A</t>
  </si>
  <si>
    <t>Renewable Energy: Marketed Use: Industrial: Municipal Waste: Alternative Electricity and Transportation</t>
  </si>
  <si>
    <t>AEO.2026.ELECTRNP.CNSM_NA_IDAL_NA_MUNWST_NA_NA_QBTU.A</t>
  </si>
  <si>
    <t>Renewable Energy: Marketed Use: Industrial: Biomass: Alternative Electricity and Transportation</t>
  </si>
  <si>
    <t>AEO.2026.ELECTRNP.CNSM_NA_IDAL_NA_BMS_NA_NA_QBTU.A</t>
  </si>
  <si>
    <t>Renewable Energy: Marketed Use: Industrial: Biofuels Heat and Coproducts: Alternative Electricity and Transportation</t>
  </si>
  <si>
    <t>AEO.2026.ELECTRNP.CNSM_NA_IDAL_NA_BFH_NA_NA_QBTU.A</t>
  </si>
  <si>
    <t>Renewable Energy: Marketed Use: Transportation: Alternative Electricity and Transportation</t>
  </si>
  <si>
    <t>AEO.2026.ELECTRNP.CNSM_NA_TRN_NA_NA_NA_NA_QBTU.A</t>
  </si>
  <si>
    <t>Renewable Energy: Marketed Use: Transportation: Ethanol used in E85: Alternative Electricity and Transportation</t>
  </si>
  <si>
    <t>AEO.2026.ELECTRNP.CNSM_NA_TRN_NA_ETE_NA_NA_QBTU.A</t>
  </si>
  <si>
    <t>Renewable Energy: Marketed Use: Transportation: Ethanol used in Gasoline Blending: Alternative Electricity and Transportation</t>
  </si>
  <si>
    <t>AEO.2026.ELECTRNP.CNSM_NA_TRN_NA_EBL_NA_NA_QBTU.A</t>
  </si>
  <si>
    <t>Renewable Energy: Marketed Use: Transportation: Biodiesel used in Distillate Blending: Alternative Electricity and Transportation</t>
  </si>
  <si>
    <t>AEO.2026.ELECTRNP.CNSM_NA_TRN_NA_BUD_NA_NA_QBTU.A</t>
  </si>
  <si>
    <t>Renewable Energy: Marketed Use: Transportation: Biobutanol: Alternative Electricity and Transportation</t>
  </si>
  <si>
    <t>AEO.2026.ELECTRNP.CNSM_NA_TRN_NA_BIOB_NA_NA_NA.A</t>
  </si>
  <si>
    <t>Renewable Energy: Marketed Use: Transportation: Liquids from Biomass: Alternative Electricity and Transportation</t>
  </si>
  <si>
    <t>AEO.2026.ELECTRNP.CNSM_NA_TRN_NA_LFB_NA_NA_QBTU.A</t>
  </si>
  <si>
    <t>Renewable Energy: Marketed Use: Transportation: Green Liquids: Alternative Electricity and Transportation</t>
  </si>
  <si>
    <t>AEO.2026.ELECTRNP.CNSM_NA_TRN_NA_GLQ_NA_NA_QBTU.A</t>
  </si>
  <si>
    <t>Renewable Energy: Marketed Use: Electric Power: Alternative Electricity and Transportation</t>
  </si>
  <si>
    <t>AEO.2026.ELECTRNP.CNSM_NA_ELEP_NA_NA_NA_NA_QBTU.A</t>
  </si>
  <si>
    <t>Renewable Energy: Marketed Use: Electric Power: Hydropower: Alternative Electricity and Transportation</t>
  </si>
  <si>
    <t>AEO.2026.ELECTRNP.CNSM_NA_ELEP_NA_HYD_CNV_NA_QBTU.A</t>
  </si>
  <si>
    <t>Renewable Energy: Marketed Use: Electric Power: Geothermal: Alternative Electricity and Transportation</t>
  </si>
  <si>
    <t>AEO.2026.ELECTRNP.CNSM_NA_ELEP_NA_GEOTHM_NA_NA_QBTU.A</t>
  </si>
  <si>
    <t>Renewable Energy: Marketed Use: Electric Power: Biogenic Municipal Waste: Alternative Electricity and Transportation</t>
  </si>
  <si>
    <t>AEO.2026.ELECTRNP.CNSM_NA_ELEP_NA_BGM_NA_NA_QBTU.A</t>
  </si>
  <si>
    <t>Renewable Energy: Marketed Use: Electric Power: Biomass: Alternative Electricity and Transportation</t>
  </si>
  <si>
    <t>AEO.2026.ELECTRNP.CNSM_NA_ELEP_NA_BMS_NA_NA_QBTU.A</t>
  </si>
  <si>
    <t>Renewable Energy: Marketed Use: Electric Power: Solar Thermal: Alternative Electricity and Transportation</t>
  </si>
  <si>
    <t>AEO.2026.ELECTRNP.CNSM_NA_ELEP_NA_SLR_THERM_NA_QBTU.A</t>
  </si>
  <si>
    <t>Renewable Energy: Marketed Use: Electric Power: Solar Photovoltaic: Alternative Electricity and Transportation</t>
  </si>
  <si>
    <t>AEO.2026.ELECTRNP.CNSM_NA_ELEP_NA_SLR_PHTVL_NA_QBTU.A</t>
  </si>
  <si>
    <t>Renewable Energy: Marketed Use: Electric Power: Wind: Alternative Electricity and Transportation</t>
  </si>
  <si>
    <t>AEO.2026.ELECTRNP.CNSM_NA_ELEP_NA_WND_NA_NA_QBTU.A</t>
  </si>
  <si>
    <t>Renewable Energy: Total Marketed Renewable Energy Use: Alternative Electricity and Transportation</t>
  </si>
  <si>
    <t>AEO.2026.ELECTRNP.CNSM_NA_NA_NA_NA_NA_NA_QBTU.A</t>
  </si>
  <si>
    <t>Renewable Energy: Sources of Ethanol: From Corn: Alternative Electricity and Transportation</t>
  </si>
  <si>
    <t>AEO.2026.ELECTRNP.SUP_PRD_FCO_NA_ETH_NA_NA_QBTU.A</t>
  </si>
  <si>
    <t>Renewable Energy: Sources of Ethanol: From Cellulose: Alternative Electricity and Transportation</t>
  </si>
  <si>
    <t>AEO.2026.ELECTRNP.SUP_PRD_FCE_NA_ETH_NA_NA_QBTU.A</t>
  </si>
  <si>
    <t>Renewable Energy: Sources of Ethanol: Net Imports: Alternative Electricity and Transportation</t>
  </si>
  <si>
    <t>AEO.2026.ELECTRNP.SUP_NETIMP_NA_NA_ETH_NA_NA_QBTU.A</t>
  </si>
  <si>
    <t>Renewable Energy: Total U.S. Supply of Ethanol: Alternative Electricity and Transportation</t>
  </si>
  <si>
    <t>AEO.2026.ELECTRNP.SUP_NA_NA_NA_ETH_NA_NA_QBTU.A</t>
  </si>
  <si>
    <t>Renewable Energy: Nonmarketed Selected Use: Residential: Alternative Electricity and Transportation</t>
  </si>
  <si>
    <t>AEO.2026.ELECTRNP.CNSM_NA_RESD_NA_NA_NA_NA_QBTU.A</t>
  </si>
  <si>
    <t>Renewable Energy: Nonmarketed Selected Use: Residential: Solar Hot Water Heating: Alternative Electricity and Transportation</t>
  </si>
  <si>
    <t>AEO.2026.ELECTRNP.CNSM_NA_RESD_NA_SHW_NA_NA_QBTU.A</t>
  </si>
  <si>
    <t>Renewable Energy: Nonmarketed Selected Use: Residential: Solar Photovoltaic: Alternative Electricity and Transportation</t>
  </si>
  <si>
    <t>AEO.2026.ELECTRNP.CNSM_NA_RESD_NA_SLR_PHTVL_NA_QBTU.A</t>
  </si>
  <si>
    <t>Renewable Energy: Nonmarketed Selected Use: Residential: Wind: Alternative Electricity and Transportation</t>
  </si>
  <si>
    <t>AEO.2026.ELECTRNP.CNSM_NA_RESD_NA_WND_NA_NA_QBTU.A</t>
  </si>
  <si>
    <t>Renewable Energy: Nonmarketed Selected Use: Commercial: Alternative Electricity and Transportation</t>
  </si>
  <si>
    <t>AEO.2026.ELECTRNP.CNSM_NA_COMM_NA_NA_NA_NA_QBTU.A</t>
  </si>
  <si>
    <t>Renewable Energy: Nonmarketed Selected Use: Commercial: Solar Thermal: Alternative Electricity and Transportation</t>
  </si>
  <si>
    <t>AEO.2026.ELECTRNP.CNSM_NA_COMM_NA_SLR_THERM_NA_QBTU.A</t>
  </si>
  <si>
    <t>Renewable Energy: Nonmarketed Selected Use: Commercial: Solar Photovoltaic: Alternative Electricity and Transportation</t>
  </si>
  <si>
    <t>AEO.2026.ELECTRNP.CNSM_NA_COMM_NA_SLR_PHTVL_NA_QBTU.A</t>
  </si>
  <si>
    <t>Renewable Energy: Nonmarketed Selected Use: Commercial: Wind: Alternative Electricity and Transportation</t>
  </si>
  <si>
    <t>AEO.2026.ELECTRNP.CNSM_NA_COMM_NA_WND_NA_NA_QBTU.A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</si>
  <si>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</si>
  <si>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</si>
  <si>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</si>
  <si>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</si>
  <si>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</si>
  <si>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</si>
  <si>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Transportation Energy Use: Light-Duty Vehicle: Ethanol: Alternative Electricity and Transportation</t>
  </si>
  <si>
    <t>AEO.2026.ELECTRNP.CNSM_NA_TRN_LDTY_ETH_NA_NA_TRLBTU.A</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</si>
  <si>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</si>
  <si>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</si>
  <si>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</si>
  <si>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</si>
  <si>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Transportation Energy Use: Light-Duty Vehicle: Propane: Alternative Electricity and Transportation</t>
  </si>
  <si>
    <t>AEO.2026.ELECTRNP.CNSM_NA_TRN_LDTY_PROP_NA_NA_TRLBTU.A</t>
  </si>
  <si>
    <t>Transportation Energy Use: Light-Duty Vehicle: Electricity: Alternative Electricity and Transportation</t>
  </si>
  <si>
    <t>AEO.2026.ELECTRNP.CNSM_NA_TRN_LDTY_ELC_NA_NA_TRLBTU.A</t>
  </si>
  <si>
    <t>Transportation Energy Use: Light-Duty Vehicle: Hydrogen: Alternative Electricity and Transportation</t>
  </si>
  <si>
    <t>AEO.2026.ELECTRNP.CNSM_NA_TRN_LDTY_HDG_NA_NA_TRLBTU.A</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</si>
  <si>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</si>
  <si>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</si>
  <si>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</si>
  <si>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</si>
  <si>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</si>
  <si>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</si>
  <si>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Transportation Energy Use: Commercial Light Trucks: Distillate Fuel Oil: Alternative Electricity and Transportation</t>
  </si>
  <si>
    <t>AEO.2026.ELECTRNP.CNSM_NA_TRN_CLTR_DFO_NA_NA_TRLBTU.A</t>
  </si>
  <si>
    <t>Transportation Energy Use: Commercial Light Trucks: Propane: Alternative Electricity and Transportation</t>
  </si>
  <si>
    <t>AEO.2026.ELECTRNP.CNSM_NA_TRN_CLTR_PROP_NA_NA_TRLBTU.A</t>
  </si>
  <si>
    <t>Transportation Energy Use: Commercial Light Trucks: Natural Gas: Alternative Electricity and Transportation</t>
  </si>
  <si>
    <t>AEO.2026.ELECTRNP.CNSM_NA_TRN_CLTR_NG_NA_NA_TRLBTU.A</t>
  </si>
  <si>
    <t>Transportation Energy Use: Commercial Light Trucks: Electricity: Alternative Electricity and Transportation</t>
  </si>
  <si>
    <t>AEO.2026.ELECTRNP.CNSM_NA_TRN_CLTR_ELC_NA_NA_TRLBTU.A</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</si>
  <si>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</si>
  <si>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</si>
  <si>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</si>
  <si>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</si>
  <si>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</si>
  <si>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</si>
  <si>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</si>
  <si>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</si>
  <si>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</si>
  <si>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</si>
  <si>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</si>
  <si>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</si>
  <si>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</si>
  <si>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</si>
  <si>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</si>
  <si>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</si>
  <si>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</si>
  <si>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</si>
  <si>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</si>
  <si>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</si>
  <si>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</si>
  <si>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</si>
  <si>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</si>
  <si>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</si>
  <si>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</si>
  <si>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</si>
  <si>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</si>
  <si>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</si>
  <si>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Transportation Energy Use: Domestic Shipping: Residual Oil: Alternative Electricity and Transportation</t>
  </si>
  <si>
    <t>AEO.2026.ELECTRNP.CNSM_NA_TRN_DMT_RFO_NA_NA_TRLBTU.A</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</si>
  <si>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</si>
  <si>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</si>
  <si>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</si>
  <si>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</si>
  <si>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</si>
  <si>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</si>
  <si>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</si>
  <si>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</si>
  <si>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</si>
  <si>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</si>
  <si>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</si>
  <si>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</si>
  <si>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</si>
  <si>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</si>
  <si>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</si>
  <si>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</si>
  <si>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</si>
  <si>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</si>
  <si>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</si>
  <si>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</si>
  <si>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</si>
  <si>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</si>
  <si>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</si>
  <si>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</si>
  <si>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</si>
  <si>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</si>
  <si>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</si>
  <si>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</si>
  <si>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</si>
  <si>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</si>
  <si>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</si>
  <si>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</si>
  <si>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</si>
  <si>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</si>
  <si>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</si>
  <si>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</si>
  <si>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</si>
  <si>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</si>
  <si>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</si>
  <si>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</si>
  <si>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</si>
  <si>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</si>
  <si>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</si>
  <si>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</si>
  <si>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</si>
  <si>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</si>
  <si>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</si>
  <si>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</si>
  <si>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</si>
  <si>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</si>
  <si>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</si>
  <si>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</si>
  <si>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</si>
  <si>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</si>
  <si>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</si>
  <si>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</si>
  <si>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</si>
  <si>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</si>
  <si>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</si>
  <si>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</si>
  <si>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</si>
  <si>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</si>
  <si>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</si>
  <si>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</si>
  <si>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Transportation Energy Use: Bus: School Bus: Motor Gasoline: Alternative Electricity and Transportation</t>
  </si>
  <si>
    <t>AEO.2026.ELECTRNP.CNSM_NA_TRN_LSRC_MGS_NA_NA_TRLBTU.A</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</si>
  <si>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</si>
  <si>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</si>
  <si>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</si>
  <si>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</si>
  <si>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</si>
  <si>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</si>
  <si>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</si>
  <si>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</si>
  <si>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</si>
  <si>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</si>
  <si>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</si>
  <si>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</si>
  <si>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</si>
  <si>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</si>
  <si>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</si>
  <si>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</si>
  <si>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</si>
  <si>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</si>
  <si>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</si>
  <si>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</si>
  <si>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</si>
  <si>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</si>
  <si>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</si>
  <si>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</si>
  <si>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</si>
  <si>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</si>
  <si>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</si>
  <si>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</si>
  <si>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</si>
  <si>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</si>
  <si>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</si>
  <si>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</si>
  <si>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</si>
  <si>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</si>
  <si>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</si>
  <si>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</si>
  <si>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</si>
  <si>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</si>
  <si>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</si>
  <si>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</si>
  <si>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</si>
  <si>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</si>
  <si>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</si>
  <si>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</si>
  <si>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Annual Energy Outlook 2026</t>
  </si>
  <si>
    <t>Alternative Electricity and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</si>
</sst>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
    <numFmt numFmtId="166" formatCode="#,##0.000"/>
  </numFmts>
  <fonts count="2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249977111117893"/>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115">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1" fontId="0" fillId="5" borderId="0" xfId="0" applyNumberFormat="1" applyFill="1"/>
    <xf numFmtId="3" fontId="0" fillId="5" borderId="0" xfId="0" applyNumberFormat="1" applyFill="1"/>
    <xf numFmtId="0" fontId="0" fillId="5" borderId="0" xfId="0" applyFill="1"/>
    <xf numFmtId="10" fontId="0" fillId="5" borderId="0" xfId="0" applyNumberFormat="1" applyFill="1"/>
    <xf numFmtId="0" fontId="9" fillId="5" borderId="0" xfId="0" applyFont="1" applyFill="1"/>
    <xf numFmtId="0" fontId="0" fillId="5" borderId="3" xfId="4" applyFont="1" applyFill="1">
      <alignment wrapText="1"/>
    </xf>
    <xf numFmtId="3" fontId="3" fillId="5" borderId="2" xfId="3" applyNumberFormat="1" applyFill="1" applyAlignment="1">
      <alignment horizontal="right" wrapText="1"/>
    </xf>
    <xf numFmtId="165" fontId="3" fillId="5" borderId="2" xfId="10" applyNumberFormat="1" applyFont="1" applyFill="1" applyBorder="1" applyAlignment="1">
      <alignment horizontal="right" wrapText="1"/>
    </xf>
    <xf numFmtId="0" fontId="9" fillId="3" borderId="0" xfId="0" applyFont="1" applyFill="1"/>
    <xf numFmtId="0" fontId="0" fillId="3" borderId="3" xfId="4" applyFont="1" applyFill="1">
      <alignment wrapText="1"/>
    </xf>
    <xf numFmtId="3" fontId="3" fillId="3" borderId="2" xfId="3" applyNumberFormat="1" applyFill="1" applyAlignment="1">
      <alignment horizontal="right" wrapText="1"/>
    </xf>
    <xf numFmtId="165" fontId="3" fillId="3" borderId="2" xfId="10" applyNumberFormat="1" applyFont="1" applyFill="1" applyBorder="1" applyAlignment="1">
      <alignment horizontal="right" wrapText="1"/>
    </xf>
    <xf numFmtId="3" fontId="0" fillId="6" borderId="0" xfId="0" applyNumberFormat="1" applyFill="1"/>
    <xf numFmtId="0" fontId="9" fillId="7" borderId="0" xfId="0" applyFont="1" applyFill="1"/>
    <xf numFmtId="0" fontId="0" fillId="7" borderId="3" xfId="4" applyFont="1" applyFill="1">
      <alignment wrapText="1"/>
    </xf>
    <xf numFmtId="3" fontId="3" fillId="7" borderId="2" xfId="3" applyNumberFormat="1" applyFill="1" applyAlignment="1">
      <alignment horizontal="right" wrapText="1"/>
    </xf>
    <xf numFmtId="165" fontId="3" fillId="7" borderId="2" xfId="10" applyNumberFormat="1" applyFont="1" applyFill="1" applyBorder="1" applyAlignment="1">
      <alignment horizontal="right" wrapText="1"/>
    </xf>
    <xf numFmtId="0" fontId="0" fillId="7" borderId="0" xfId="0" applyFill="1"/>
    <xf numFmtId="0" fontId="9" fillId="8" borderId="0" xfId="0" applyFont="1" applyFill="1"/>
    <xf numFmtId="0" fontId="0" fillId="8" borderId="3" xfId="4" applyFont="1" applyFill="1">
      <alignment wrapText="1"/>
    </xf>
    <xf numFmtId="3" fontId="3" fillId="8" borderId="2" xfId="3" applyNumberFormat="1" applyFill="1" applyAlignment="1">
      <alignment horizontal="right" wrapText="1"/>
    </xf>
    <xf numFmtId="165" fontId="3" fillId="8" borderId="2" xfId="10" applyNumberFormat="1" applyFont="1" applyFill="1" applyBorder="1" applyAlignment="1">
      <alignment horizontal="right" wrapText="1"/>
    </xf>
    <xf numFmtId="0" fontId="0" fillId="8" borderId="0" xfId="0" applyFill="1"/>
    <xf numFmtId="10" fontId="1" fillId="0" borderId="0" xfId="0" applyNumberFormat="1" applyFon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xml"/><Relationship Id="rId105"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workbookViewId="0">
      <selection activeCell="B7" sqref="B7"/>
    </sheetView>
  </sheetViews>
  <sheetFormatPr defaultRowHeight="14.25"/>
  <cols>
    <col min="2" max="2" width="69.265625" customWidth="1"/>
  </cols>
  <sheetData>
    <row r="1" spans="1:2">
      <c r="A1" s="1" t="s">
        <v>0</v>
      </c>
    </row>
    <row r="3" spans="1:2">
      <c r="A3" s="1" t="s">
        <v>1</v>
      </c>
      <c r="B3" s="6" t="s">
        <v>47</v>
      </c>
    </row>
    <row r="4" spans="1:2">
      <c r="B4" t="s">
        <v>1141</v>
      </c>
    </row>
    <row r="5" spans="1:2">
      <c r="B5" s="8">
        <v>2026</v>
      </c>
    </row>
    <row r="6" spans="1:2">
      <c r="B6" t="s">
        <v>1388</v>
      </c>
    </row>
    <row r="7" spans="1:2">
      <c r="B7" t="s">
        <v>1389</v>
      </c>
    </row>
    <row r="8" spans="1:2">
      <c r="B8" t="s">
        <v>1142</v>
      </c>
    </row>
    <row r="9" spans="1:2">
      <c r="B9" t="s">
        <v>1140</v>
      </c>
    </row>
    <row r="11" spans="1:2">
      <c r="B11" s="6" t="s">
        <v>49</v>
      </c>
    </row>
    <row r="12" spans="1:2">
      <c r="B12" t="s">
        <v>50</v>
      </c>
    </row>
    <row r="13" spans="1:2">
      <c r="B13" t="s">
        <v>51</v>
      </c>
    </row>
    <row r="14" spans="1:2">
      <c r="B14" t="s">
        <v>52</v>
      </c>
    </row>
    <row r="15" spans="1:2">
      <c r="B15" t="s">
        <v>53</v>
      </c>
    </row>
    <row r="16" spans="1:2">
      <c r="B16" t="s">
        <v>54</v>
      </c>
    </row>
    <row r="18" spans="1:2">
      <c r="B18" s="6" t="s">
        <v>155</v>
      </c>
    </row>
    <row r="19" spans="1:2">
      <c r="B19" t="s">
        <v>48</v>
      </c>
    </row>
    <row r="20" spans="1:2">
      <c r="B20" s="8">
        <v>2020</v>
      </c>
    </row>
    <row r="21" spans="1:2">
      <c r="B21" t="s">
        <v>156</v>
      </c>
    </row>
    <row r="22" spans="1:2">
      <c r="B22" s="11" t="s">
        <v>154</v>
      </c>
    </row>
    <row r="25" spans="1:2">
      <c r="A25" s="1" t="s">
        <v>14</v>
      </c>
    </row>
    <row r="26" spans="1:2">
      <c r="A26" t="s">
        <v>63</v>
      </c>
    </row>
    <row r="27" spans="1:2">
      <c r="A27" t="s">
        <v>64</v>
      </c>
    </row>
    <row r="28" spans="1:2">
      <c r="A28" t="s">
        <v>65</v>
      </c>
    </row>
    <row r="29" spans="1:2">
      <c r="A29" t="s">
        <v>67</v>
      </c>
    </row>
    <row r="30" spans="1:2">
      <c r="A30" t="s">
        <v>66</v>
      </c>
    </row>
    <row r="31" spans="1:2">
      <c r="A31" t="s">
        <v>71</v>
      </c>
    </row>
    <row r="32" spans="1:2">
      <c r="A32" t="s">
        <v>68</v>
      </c>
    </row>
    <row r="33" spans="1:1">
      <c r="A33" t="s">
        <v>69</v>
      </c>
    </row>
    <row r="34" spans="1:1">
      <c r="A34" t="s">
        <v>70</v>
      </c>
    </row>
    <row r="36" spans="1:1">
      <c r="A36" t="s">
        <v>59</v>
      </c>
    </row>
    <row r="37" spans="1:1">
      <c r="A37" t="s">
        <v>60</v>
      </c>
    </row>
    <row r="38" spans="1:1">
      <c r="A38" t="s">
        <v>61</v>
      </c>
    </row>
    <row r="39" spans="1:1">
      <c r="A39" t="s">
        <v>62</v>
      </c>
    </row>
    <row r="41" spans="1:1">
      <c r="A41" t="s">
        <v>72</v>
      </c>
    </row>
    <row r="42" spans="1:1">
      <c r="A42" t="s">
        <v>73</v>
      </c>
    </row>
    <row r="43" spans="1:1">
      <c r="A43" t="s">
        <v>74</v>
      </c>
    </row>
    <row r="44" spans="1:1">
      <c r="A44" t="s">
        <v>75</v>
      </c>
    </row>
    <row r="46" spans="1:1">
      <c r="A46" t="s">
        <v>80</v>
      </c>
    </row>
    <row r="47" spans="1:1">
      <c r="A47" t="s">
        <v>81</v>
      </c>
    </row>
    <row r="49" spans="1:1">
      <c r="A49" t="s">
        <v>76</v>
      </c>
    </row>
    <row r="50" spans="1:1">
      <c r="A50" t="s">
        <v>77</v>
      </c>
    </row>
    <row r="51" spans="1:1">
      <c r="A51" t="s">
        <v>78</v>
      </c>
    </row>
    <row r="52" spans="1:1">
      <c r="A52" t="s">
        <v>79</v>
      </c>
    </row>
  </sheetData>
  <hyperlinks>
    <hyperlink ref="B22"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CFEE0-A2D8-457C-BB2B-99EB52DD15D5}">
  <sheetPr>
    <tabColor theme="0" tint="-0.34998626667073579"/>
  </sheetPr>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163</v>
      </c>
    </row>
    <row r="2" spans="1:3">
      <c r="A2" t="s">
        <v>162</v>
      </c>
    </row>
    <row r="3" spans="1:3">
      <c r="A3" t="s">
        <v>161</v>
      </c>
    </row>
    <row r="4" spans="1:3">
      <c r="A4" t="s">
        <v>160</v>
      </c>
    </row>
    <row r="5" spans="1:3">
      <c r="A5" t="s">
        <v>159</v>
      </c>
    </row>
    <row r="7" spans="1:3">
      <c r="B7" t="s">
        <v>158</v>
      </c>
      <c r="C7" t="s">
        <v>157</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747</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165</v>
      </c>
      <c r="D3" s="68" t="s">
        <v>748</v>
      </c>
      <c r="E3" s="68"/>
      <c r="F3" s="68"/>
      <c r="G3" s="68"/>
    </row>
    <row r="4" spans="1:37" ht="15" customHeight="1">
      <c r="C4" s="68" t="s">
        <v>166</v>
      </c>
      <c r="D4" s="68" t="s">
        <v>749</v>
      </c>
      <c r="E4" s="68"/>
      <c r="F4" s="68"/>
      <c r="G4" s="68" t="s">
        <v>750</v>
      </c>
    </row>
    <row r="5" spans="1:37" ht="15" customHeight="1">
      <c r="C5" s="68" t="s">
        <v>168</v>
      </c>
      <c r="D5" s="68" t="s">
        <v>751</v>
      </c>
      <c r="E5" s="68"/>
      <c r="F5" s="68"/>
      <c r="G5" s="68"/>
    </row>
    <row r="6" spans="1:37" ht="15" customHeight="1">
      <c r="C6" s="68" t="s">
        <v>169</v>
      </c>
      <c r="D6" s="68"/>
      <c r="E6" s="68" t="s">
        <v>752</v>
      </c>
      <c r="F6" s="68"/>
      <c r="G6" s="68"/>
    </row>
    <row r="9" spans="1:37" ht="15" customHeight="1">
      <c r="C9" s="65">
        <f>C32/C35</f>
        <v>0.9682826275113553</v>
      </c>
      <c r="F9" s="65">
        <f>(C33-((1-0.102)*C35))/0.102</f>
        <v>3.5983878431372611</v>
      </c>
    </row>
    <row r="10" spans="1:37" ht="15" customHeight="1">
      <c r="A10" s="69" t="s">
        <v>753</v>
      </c>
      <c r="B10" s="70" t="s">
        <v>754</v>
      </c>
    </row>
    <row r="11" spans="1:37" ht="15" customHeight="1">
      <c r="B11" s="66" t="s">
        <v>755</v>
      </c>
    </row>
    <row r="12" spans="1:37" ht="15" customHeight="1">
      <c r="B12" s="66" t="s">
        <v>756</v>
      </c>
      <c r="C12" s="71" t="s">
        <v>756</v>
      </c>
      <c r="D12" s="71" t="s">
        <v>756</v>
      </c>
      <c r="E12" s="71" t="s">
        <v>756</v>
      </c>
      <c r="F12" s="71" t="s">
        <v>756</v>
      </c>
      <c r="G12" s="71" t="s">
        <v>756</v>
      </c>
      <c r="H12" s="71" t="s">
        <v>756</v>
      </c>
      <c r="I12" s="71" t="s">
        <v>756</v>
      </c>
      <c r="J12" s="71" t="s">
        <v>756</v>
      </c>
      <c r="K12" s="71" t="s">
        <v>756</v>
      </c>
      <c r="L12" s="71" t="s">
        <v>756</v>
      </c>
      <c r="M12" s="71" t="s">
        <v>756</v>
      </c>
      <c r="N12" s="71" t="s">
        <v>756</v>
      </c>
      <c r="O12" s="71" t="s">
        <v>756</v>
      </c>
      <c r="P12" s="71" t="s">
        <v>756</v>
      </c>
      <c r="Q12" s="71" t="s">
        <v>756</v>
      </c>
      <c r="R12" s="71" t="s">
        <v>756</v>
      </c>
      <c r="S12" s="71" t="s">
        <v>756</v>
      </c>
      <c r="T12" s="71" t="s">
        <v>756</v>
      </c>
      <c r="U12" s="71" t="s">
        <v>756</v>
      </c>
      <c r="V12" s="71" t="s">
        <v>756</v>
      </c>
      <c r="W12" s="71" t="s">
        <v>756</v>
      </c>
      <c r="X12" s="71" t="s">
        <v>756</v>
      </c>
      <c r="Y12" s="71" t="s">
        <v>756</v>
      </c>
      <c r="Z12" s="71" t="s">
        <v>756</v>
      </c>
      <c r="AA12" s="71" t="s">
        <v>756</v>
      </c>
      <c r="AB12" s="71" t="s">
        <v>756</v>
      </c>
      <c r="AC12" s="71" t="s">
        <v>756</v>
      </c>
      <c r="AD12" s="71" t="s">
        <v>756</v>
      </c>
      <c r="AE12" s="71" t="s">
        <v>756</v>
      </c>
      <c r="AF12" s="71" t="s">
        <v>756</v>
      </c>
      <c r="AG12" s="71" t="s">
        <v>756</v>
      </c>
      <c r="AH12" s="71" t="s">
        <v>756</v>
      </c>
      <c r="AI12" s="71" t="s">
        <v>756</v>
      </c>
      <c r="AJ12" s="71" t="s">
        <v>756</v>
      </c>
      <c r="AK12" s="71" t="s">
        <v>757</v>
      </c>
    </row>
    <row r="13" spans="1:37" ht="15" customHeight="1" thickBot="1">
      <c r="B13" s="67" t="s">
        <v>756</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758</v>
      </c>
    </row>
    <row r="15" spans="1:37" ht="15" customHeight="1">
      <c r="B15" s="72" t="s">
        <v>759</v>
      </c>
    </row>
    <row r="16" spans="1:37" ht="15" customHeight="1">
      <c r="A16" s="69" t="s">
        <v>760</v>
      </c>
      <c r="B16" s="73" t="s">
        <v>761</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762</v>
      </c>
      <c r="B17" s="73" t="s">
        <v>327</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763</v>
      </c>
      <c r="B18" s="73" t="s">
        <v>764</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765</v>
      </c>
      <c r="B19" s="73" t="s">
        <v>766</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767</v>
      </c>
      <c r="B20" s="73" t="s">
        <v>768</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769</v>
      </c>
      <c r="B21" s="73" t="s">
        <v>770</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771</v>
      </c>
      <c r="B22" s="73" t="s">
        <v>772</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773</v>
      </c>
      <c r="B23" s="73" t="s">
        <v>774</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775</v>
      </c>
      <c r="B24" s="73" t="s">
        <v>776</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777</v>
      </c>
      <c r="B25" s="73" t="s">
        <v>778</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779</v>
      </c>
      <c r="B26" s="73" t="s">
        <v>780</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781</v>
      </c>
      <c r="B27" s="73" t="s">
        <v>782</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783</v>
      </c>
      <c r="B28" s="73" t="s">
        <v>784</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785</v>
      </c>
      <c r="B29" s="73" t="s">
        <v>300</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786</v>
      </c>
      <c r="B30" s="73" t="s">
        <v>787</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788</v>
      </c>
      <c r="B31" s="73" t="s">
        <v>789</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790</v>
      </c>
      <c r="B32" s="73" t="s">
        <v>791</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792</v>
      </c>
      <c r="B33" s="73" t="s">
        <v>793</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794</v>
      </c>
      <c r="B34" s="73" t="s">
        <v>795</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796</v>
      </c>
      <c r="B35" s="73" t="s">
        <v>797</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798</v>
      </c>
      <c r="B36" s="73" t="s">
        <v>799</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800</v>
      </c>
      <c r="B37" s="73" t="s">
        <v>801</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802</v>
      </c>
      <c r="B38" s="73" t="s">
        <v>803</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804</v>
      </c>
      <c r="B39" s="73" t="s">
        <v>805</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806</v>
      </c>
      <c r="B40" s="73" t="s">
        <v>807</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808</v>
      </c>
      <c r="B41" s="73" t="s">
        <v>809</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810</v>
      </c>
      <c r="B42" s="73" t="s">
        <v>811</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812</v>
      </c>
      <c r="B43" s="73" t="s">
        <v>813</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814</v>
      </c>
      <c r="B44" s="73" t="s">
        <v>815</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816</v>
      </c>
      <c r="B45" s="73" t="s">
        <v>817</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818</v>
      </c>
      <c r="B46" s="73" t="s">
        <v>819</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820</v>
      </c>
    </row>
    <row r="48" spans="1:37" ht="15" customHeight="1">
      <c r="A48" s="69" t="s">
        <v>821</v>
      </c>
      <c r="B48" s="73" t="s">
        <v>822</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823</v>
      </c>
      <c r="B49" s="73" t="s">
        <v>824</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825</v>
      </c>
      <c r="B50" s="73" t="s">
        <v>826</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827</v>
      </c>
      <c r="B51" s="73" t="s">
        <v>828</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829</v>
      </c>
    </row>
    <row r="54" spans="1:37" ht="15" customHeight="1">
      <c r="A54" s="69" t="s">
        <v>830</v>
      </c>
      <c r="B54" s="73" t="s">
        <v>831</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832</v>
      </c>
      <c r="B55" s="73" t="s">
        <v>833</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834</v>
      </c>
      <c r="B56" s="73" t="s">
        <v>835</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836</v>
      </c>
      <c r="B57" s="73" t="s">
        <v>837</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838</v>
      </c>
      <c r="B58" s="73" t="s">
        <v>839</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840</v>
      </c>
      <c r="B59" s="73" t="s">
        <v>841</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842</v>
      </c>
      <c r="B60" s="73" t="s">
        <v>276</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843</v>
      </c>
    </row>
    <row r="63" spans="1:37" ht="15" customHeight="1">
      <c r="A63" s="69" t="s">
        <v>844</v>
      </c>
      <c r="B63" s="73" t="s">
        <v>837</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845</v>
      </c>
      <c r="B64" s="73" t="s">
        <v>846</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847</v>
      </c>
      <c r="B65" s="73" t="s">
        <v>848</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849</v>
      </c>
      <c r="B66" s="73" t="s">
        <v>831</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850</v>
      </c>
      <c r="B67" s="73" t="s">
        <v>851</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852</v>
      </c>
      <c r="B68" s="73" t="s">
        <v>853</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854</v>
      </c>
      <c r="B69" s="73" t="s">
        <v>855</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856</v>
      </c>
      <c r="B70" s="73" t="s">
        <v>857</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858</v>
      </c>
      <c r="B71" s="73" t="s">
        <v>839</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859</v>
      </c>
      <c r="B72" s="73" t="s">
        <v>841</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860</v>
      </c>
      <c r="B73" s="73" t="s">
        <v>861</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862</v>
      </c>
      <c r="B74" s="73" t="s">
        <v>863</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864</v>
      </c>
      <c r="B76" s="72" t="s">
        <v>865</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105" t="s">
        <v>866</v>
      </c>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row>
    <row r="79" spans="1:37" ht="15" customHeight="1">
      <c r="B79" s="80" t="s">
        <v>867</v>
      </c>
    </row>
    <row r="80" spans="1:37" ht="15" customHeight="1">
      <c r="B80" s="80" t="s">
        <v>868</v>
      </c>
    </row>
    <row r="81" spans="2:2" ht="15" customHeight="1">
      <c r="B81" s="80" t="s">
        <v>869</v>
      </c>
    </row>
    <row r="82" spans="2:2" ht="15" customHeight="1">
      <c r="B82" s="80" t="s">
        <v>870</v>
      </c>
    </row>
    <row r="83" spans="2:2" ht="15" customHeight="1">
      <c r="B83" s="80" t="s">
        <v>871</v>
      </c>
    </row>
    <row r="84" spans="2:2" ht="15" customHeight="1">
      <c r="B84" s="80" t="s">
        <v>872</v>
      </c>
    </row>
    <row r="85" spans="2:2" ht="15" customHeight="1">
      <c r="B85" s="80" t="s">
        <v>873</v>
      </c>
    </row>
  </sheetData>
  <mergeCells count="1">
    <mergeCell ref="B78:AK78"/>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8" sqref="J8"/>
    </sheetView>
  </sheetViews>
  <sheetFormatPr defaultRowHeight="14.25"/>
  <cols>
    <col min="9" max="9" width="28.73046875" customWidth="1"/>
  </cols>
  <sheetData>
    <row r="1" spans="1:10">
      <c r="A1" t="s">
        <v>660</v>
      </c>
    </row>
    <row r="3" spans="1:10" ht="28.5">
      <c r="A3" s="107" t="s">
        <v>661</v>
      </c>
      <c r="B3" s="108"/>
      <c r="C3" s="108"/>
      <c r="D3" s="108"/>
      <c r="E3" s="108"/>
      <c r="I3" s="64" t="s">
        <v>878</v>
      </c>
      <c r="J3">
        <f>1-J8</f>
        <v>7.2894654417960836E-2</v>
      </c>
    </row>
    <row r="4" spans="1:10" ht="24.75">
      <c r="A4" s="56"/>
      <c r="B4" s="57" t="s">
        <v>662</v>
      </c>
      <c r="C4" s="57" t="s">
        <v>663</v>
      </c>
      <c r="D4" s="57" t="s">
        <v>662</v>
      </c>
      <c r="E4" s="57" t="s">
        <v>663</v>
      </c>
      <c r="I4" s="64"/>
    </row>
    <row r="5" spans="1:10" ht="49.15" thickBot="1">
      <c r="A5" s="58" t="s">
        <v>664</v>
      </c>
      <c r="B5" s="59" t="s">
        <v>665</v>
      </c>
      <c r="C5" s="59" t="s">
        <v>665</v>
      </c>
      <c r="D5" s="59" t="s">
        <v>666</v>
      </c>
      <c r="E5" s="59" t="s">
        <v>666</v>
      </c>
      <c r="I5" s="64" t="s">
        <v>874</v>
      </c>
      <c r="J5">
        <f>'AEO Table 73'!C32</f>
        <v>5.0566430000000002</v>
      </c>
    </row>
    <row r="6" spans="1:10" ht="29.25" thickTop="1" thickBot="1">
      <c r="A6" s="109" t="s">
        <v>667</v>
      </c>
      <c r="B6" s="109"/>
      <c r="C6" s="109"/>
      <c r="D6" s="109"/>
      <c r="E6" s="109"/>
      <c r="I6" s="64" t="s">
        <v>875</v>
      </c>
      <c r="J6">
        <f>'AEO Table 73'!C35</f>
        <v>5.2222799999999996</v>
      </c>
    </row>
    <row r="7" spans="1:10" ht="28.9" thickBot="1">
      <c r="A7" s="60" t="s">
        <v>93</v>
      </c>
      <c r="B7" s="61" t="s">
        <v>668</v>
      </c>
      <c r="C7" s="61" t="s">
        <v>669</v>
      </c>
      <c r="D7" s="61">
        <v>138.63</v>
      </c>
      <c r="E7" s="61">
        <v>62.88</v>
      </c>
      <c r="I7" s="64" t="s">
        <v>876</v>
      </c>
      <c r="J7">
        <f>J6*(1-'EIA-fuel-ethanol-motor-gasoline'!C47/100)</f>
        <v>4.6880407559999995</v>
      </c>
    </row>
    <row r="8" spans="1:10" ht="81.75" thickBot="1">
      <c r="A8" s="60" t="s">
        <v>670</v>
      </c>
      <c r="B8" s="61" t="s">
        <v>671</v>
      </c>
      <c r="C8" s="61" t="s">
        <v>672</v>
      </c>
      <c r="D8" s="61">
        <v>163.44999999999999</v>
      </c>
      <c r="E8" s="61">
        <v>74.14</v>
      </c>
      <c r="I8" s="64" t="s">
        <v>877</v>
      </c>
      <c r="J8">
        <f>J7/J5</f>
        <v>0.92710534558203916</v>
      </c>
    </row>
    <row r="9" spans="1:10" ht="23.65" thickBot="1">
      <c r="A9" s="60" t="s">
        <v>673</v>
      </c>
      <c r="B9" s="61" t="s">
        <v>674</v>
      </c>
      <c r="C9" s="61" t="s">
        <v>675</v>
      </c>
      <c r="D9" s="61">
        <v>161.35</v>
      </c>
      <c r="E9" s="61">
        <v>73.19</v>
      </c>
      <c r="I9" s="64"/>
    </row>
    <row r="10" spans="1:10" ht="23.65" thickBot="1">
      <c r="A10" s="60" t="s">
        <v>676</v>
      </c>
      <c r="B10" s="61" t="s">
        <v>677</v>
      </c>
      <c r="C10" s="61" t="s">
        <v>678</v>
      </c>
      <c r="D10" s="61">
        <v>211.47</v>
      </c>
      <c r="E10" s="61">
        <v>95.92</v>
      </c>
    </row>
    <row r="11" spans="1:10" ht="35.25" thickBot="1">
      <c r="A11" s="60" t="s">
        <v>679</v>
      </c>
      <c r="B11" s="61" t="s">
        <v>680</v>
      </c>
      <c r="C11" s="61" t="s">
        <v>681</v>
      </c>
      <c r="D11" s="61">
        <v>116.65</v>
      </c>
      <c r="E11" s="61">
        <v>52.91</v>
      </c>
    </row>
    <row r="12" spans="1:10" ht="37.5" thickBot="1">
      <c r="A12" s="60" t="s">
        <v>682</v>
      </c>
      <c r="B12" s="61" t="s">
        <v>683</v>
      </c>
      <c r="C12" s="61" t="s">
        <v>684</v>
      </c>
      <c r="D12" s="61">
        <v>148.57</v>
      </c>
      <c r="E12" s="61">
        <v>67.39</v>
      </c>
    </row>
    <row r="13" spans="1:10" ht="23.65" thickBot="1">
      <c r="A13" s="60" t="s">
        <v>98</v>
      </c>
      <c r="B13" s="61" t="s">
        <v>685</v>
      </c>
      <c r="C13" s="61" t="s">
        <v>686</v>
      </c>
      <c r="D13" s="61">
        <v>155.77000000000001</v>
      </c>
      <c r="E13" s="61">
        <v>70.66</v>
      </c>
    </row>
    <row r="14" spans="1:10" ht="58.5" thickBot="1">
      <c r="A14" s="60" t="s">
        <v>687</v>
      </c>
      <c r="B14" s="61" t="s">
        <v>688</v>
      </c>
      <c r="C14" s="61" t="s">
        <v>689</v>
      </c>
      <c r="D14" s="61">
        <v>165.55</v>
      </c>
      <c r="E14" s="61">
        <v>75.09</v>
      </c>
    </row>
    <row r="15" spans="1:10" ht="14.65" thickBot="1">
      <c r="A15" s="106" t="s">
        <v>690</v>
      </c>
      <c r="B15" s="106"/>
      <c r="C15" s="106"/>
      <c r="D15" s="106"/>
      <c r="E15" s="106"/>
    </row>
    <row r="16" spans="1:10" ht="23.65" thickBot="1">
      <c r="A16" s="60" t="s">
        <v>104</v>
      </c>
      <c r="B16" s="61" t="s">
        <v>691</v>
      </c>
      <c r="C16" s="61" t="s">
        <v>692</v>
      </c>
      <c r="D16" s="61">
        <v>159.25</v>
      </c>
      <c r="E16" s="61">
        <v>72.23</v>
      </c>
    </row>
    <row r="17" spans="1:5" ht="23.65" thickBot="1">
      <c r="A17" s="60" t="s">
        <v>693</v>
      </c>
      <c r="B17" s="61" t="s">
        <v>694</v>
      </c>
      <c r="C17" s="61" t="s">
        <v>695</v>
      </c>
      <c r="D17" s="61">
        <v>152.46</v>
      </c>
      <c r="E17" s="61">
        <v>69.150000000000006</v>
      </c>
    </row>
    <row r="18" spans="1:5" ht="14.65" thickBot="1">
      <c r="A18" s="106" t="s">
        <v>696</v>
      </c>
      <c r="B18" s="106"/>
      <c r="C18" s="106"/>
      <c r="D18" s="106"/>
      <c r="E18" s="106"/>
    </row>
    <row r="19" spans="1:5" ht="23.65" thickBot="1">
      <c r="A19" s="60" t="s">
        <v>697</v>
      </c>
      <c r="B19" s="61" t="s">
        <v>698</v>
      </c>
      <c r="C19" s="61" t="s">
        <v>699</v>
      </c>
      <c r="D19" s="61">
        <v>225.13</v>
      </c>
      <c r="E19" s="61">
        <v>102.12</v>
      </c>
    </row>
    <row r="20" spans="1:5" ht="14.65" thickBot="1">
      <c r="A20" s="106" t="s">
        <v>700</v>
      </c>
      <c r="B20" s="106"/>
      <c r="C20" s="106"/>
      <c r="D20" s="106"/>
      <c r="E20" s="106"/>
    </row>
    <row r="21" spans="1:5" ht="35.25" thickBot="1">
      <c r="A21" s="60" t="s">
        <v>701</v>
      </c>
      <c r="B21" s="61" t="s">
        <v>702</v>
      </c>
      <c r="C21" s="61" t="s">
        <v>703</v>
      </c>
      <c r="D21" s="61">
        <v>166.12</v>
      </c>
      <c r="E21" s="61">
        <v>75.349999999999994</v>
      </c>
    </row>
    <row r="22" spans="1:5" ht="23.65" thickBot="1">
      <c r="A22" s="60" t="s">
        <v>4</v>
      </c>
      <c r="B22" s="61" t="s">
        <v>704</v>
      </c>
      <c r="C22" s="61" t="s">
        <v>705</v>
      </c>
      <c r="D22" s="61">
        <v>163.29</v>
      </c>
      <c r="E22" s="61">
        <v>74.069999999999993</v>
      </c>
    </row>
    <row r="23" spans="1:5" ht="70.150000000000006" thickBot="1">
      <c r="A23" s="60" t="s">
        <v>706</v>
      </c>
      <c r="B23" s="61" t="s">
        <v>707</v>
      </c>
      <c r="C23" s="61" t="s">
        <v>708</v>
      </c>
      <c r="D23" s="61">
        <v>149.94999999999999</v>
      </c>
      <c r="E23" s="61">
        <v>68.02</v>
      </c>
    </row>
    <row r="24" spans="1:5" ht="70.150000000000006" thickBot="1">
      <c r="A24" s="60" t="s">
        <v>709</v>
      </c>
      <c r="B24" s="61" t="s">
        <v>710</v>
      </c>
      <c r="C24" s="61" t="s">
        <v>711</v>
      </c>
      <c r="D24" s="61">
        <v>163.05000000000001</v>
      </c>
      <c r="E24" s="61">
        <v>73.959999999999994</v>
      </c>
    </row>
    <row r="25" spans="1:5" ht="35.25" thickBot="1">
      <c r="A25" s="60" t="s">
        <v>712</v>
      </c>
      <c r="B25" s="61" t="s">
        <v>713</v>
      </c>
      <c r="C25" s="61" t="s">
        <v>714</v>
      </c>
      <c r="D25" s="61">
        <v>159.57</v>
      </c>
      <c r="E25" s="61">
        <v>72.38</v>
      </c>
    </row>
    <row r="26" spans="1:5" ht="23.65" thickBot="1">
      <c r="A26" s="60" t="s">
        <v>715</v>
      </c>
      <c r="B26" s="61" t="s">
        <v>716</v>
      </c>
      <c r="C26" s="61" t="s">
        <v>717</v>
      </c>
      <c r="D26" s="61">
        <v>160.06</v>
      </c>
      <c r="E26" s="61">
        <v>72.599999999999994</v>
      </c>
    </row>
    <row r="27" spans="1:5" ht="14.65" thickBot="1">
      <c r="A27" s="106" t="s">
        <v>718</v>
      </c>
      <c r="B27" s="106"/>
      <c r="C27" s="106"/>
      <c r="D27" s="106"/>
      <c r="E27" s="106"/>
    </row>
    <row r="28" spans="1:5" ht="23.65" thickBot="1">
      <c r="A28" s="60" t="s">
        <v>719</v>
      </c>
      <c r="B28" s="61" t="s">
        <v>720</v>
      </c>
      <c r="C28" s="61" t="s">
        <v>721</v>
      </c>
      <c r="D28" s="61">
        <v>228.6</v>
      </c>
      <c r="E28" s="61">
        <v>103.69</v>
      </c>
    </row>
    <row r="29" spans="1:5" ht="23.65" thickBot="1">
      <c r="A29" s="60" t="s">
        <v>722</v>
      </c>
      <c r="B29" s="61" t="s">
        <v>723</v>
      </c>
      <c r="C29" s="61" t="s">
        <v>724</v>
      </c>
      <c r="D29" s="61">
        <v>205.57</v>
      </c>
      <c r="E29" s="61">
        <v>93.24</v>
      </c>
    </row>
    <row r="30" spans="1:5" ht="23.65" thickBot="1">
      <c r="A30" s="60" t="s">
        <v>725</v>
      </c>
      <c r="B30" s="61" t="s">
        <v>726</v>
      </c>
      <c r="C30" s="61" t="s">
        <v>727</v>
      </c>
      <c r="D30" s="61">
        <v>214.13</v>
      </c>
      <c r="E30" s="61">
        <v>97.13</v>
      </c>
    </row>
    <row r="31" spans="1:5" ht="23.65" thickBot="1">
      <c r="A31" s="60" t="s">
        <v>728</v>
      </c>
      <c r="B31" s="61" t="s">
        <v>729</v>
      </c>
      <c r="C31" s="61" t="s">
        <v>730</v>
      </c>
      <c r="D31" s="61">
        <v>216.64</v>
      </c>
      <c r="E31" s="61">
        <v>98.27</v>
      </c>
    </row>
    <row r="32" spans="1:5" ht="23.65" thickBot="1">
      <c r="A32" s="60" t="s">
        <v>731</v>
      </c>
      <c r="B32" s="61" t="s">
        <v>732</v>
      </c>
      <c r="C32" s="61" t="s">
        <v>733</v>
      </c>
      <c r="D32" s="61">
        <v>250.59</v>
      </c>
      <c r="E32" s="61">
        <v>113.67</v>
      </c>
    </row>
    <row r="33" spans="1:5" ht="14.65" thickBot="1">
      <c r="A33" s="106" t="s">
        <v>734</v>
      </c>
      <c r="B33" s="106"/>
      <c r="C33" s="106"/>
      <c r="D33" s="106"/>
      <c r="E33" s="106"/>
    </row>
    <row r="34" spans="1:5" ht="35.25" thickBot="1">
      <c r="A34" s="60" t="s">
        <v>735</v>
      </c>
      <c r="B34" s="61" t="s">
        <v>736</v>
      </c>
      <c r="C34" s="61" t="s">
        <v>736</v>
      </c>
      <c r="D34" s="61">
        <v>26.03</v>
      </c>
      <c r="E34" s="61">
        <v>11.81</v>
      </c>
    </row>
    <row r="35" spans="1:5" ht="46.9" thickBot="1">
      <c r="A35" s="60" t="s">
        <v>737</v>
      </c>
      <c r="B35" s="61" t="s">
        <v>736</v>
      </c>
      <c r="C35" s="61" t="s">
        <v>736</v>
      </c>
      <c r="D35" s="61">
        <v>0</v>
      </c>
      <c r="E35" s="61">
        <v>0</v>
      </c>
    </row>
    <row r="36" spans="1:5" ht="37.5" thickBot="1">
      <c r="A36" s="60" t="s">
        <v>738</v>
      </c>
      <c r="B36" s="61" t="s">
        <v>739</v>
      </c>
      <c r="C36" s="61" t="s">
        <v>740</v>
      </c>
      <c r="D36" s="61">
        <v>109.98</v>
      </c>
      <c r="E36" s="61">
        <v>49.89</v>
      </c>
    </row>
    <row r="37" spans="1:5" ht="37.5" thickBot="1">
      <c r="A37" s="60" t="s">
        <v>741</v>
      </c>
      <c r="B37" s="61" t="s">
        <v>742</v>
      </c>
      <c r="C37" s="61" t="s">
        <v>743</v>
      </c>
      <c r="D37" s="61">
        <v>189.53</v>
      </c>
      <c r="E37" s="61">
        <v>85.97</v>
      </c>
    </row>
    <row r="38" spans="1:5" ht="25.5">
      <c r="A38" s="62" t="s">
        <v>744</v>
      </c>
      <c r="B38" s="63" t="s">
        <v>745</v>
      </c>
      <c r="C38" s="63" t="s">
        <v>746</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3" workbookViewId="0">
      <selection activeCell="B31" sqref="B31"/>
    </sheetView>
  </sheetViews>
  <sheetFormatPr defaultRowHeight="14.25"/>
  <cols>
    <col min="1" max="1" width="21.3984375" hidden="1" customWidth="1"/>
    <col min="2" max="2" width="46.73046875" customWidth="1"/>
  </cols>
  <sheetData>
    <row r="1" spans="1:33" ht="15" customHeight="1" thickBot="1">
      <c r="A1" s="31"/>
      <c r="B1" s="32" t="s">
        <v>402</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165</v>
      </c>
      <c r="D3" s="49" t="s">
        <v>403</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166</v>
      </c>
      <c r="D4" s="49" t="s">
        <v>404</v>
      </c>
      <c r="E4" s="36"/>
      <c r="F4" s="36"/>
      <c r="G4" s="49" t="s">
        <v>167</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168</v>
      </c>
      <c r="D5" s="49" t="s">
        <v>405</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169</v>
      </c>
      <c r="D6" s="36"/>
      <c r="E6" s="49" t="s">
        <v>406</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170</v>
      </c>
      <c r="B10" s="37" t="s">
        <v>171</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172</v>
      </c>
      <c r="AG10" s="35"/>
    </row>
    <row r="11" spans="1:33" ht="15" customHeight="1">
      <c r="A11" s="31"/>
      <c r="B11" s="39" t="s">
        <v>173</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174</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175</v>
      </c>
      <c r="AG12" s="35"/>
    </row>
    <row r="13" spans="1:33" ht="15" customHeight="1" thickBot="1">
      <c r="A13" s="31"/>
      <c r="B13" s="41" t="s">
        <v>176</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407</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178</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179</v>
      </c>
      <c r="B17" s="43" t="s">
        <v>180</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181</v>
      </c>
      <c r="B19" s="43" t="s">
        <v>182</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183</v>
      </c>
      <c r="B21" s="43" t="s">
        <v>184</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185</v>
      </c>
      <c r="B22" s="44" t="s">
        <v>186</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187</v>
      </c>
      <c r="B23" s="44" t="s">
        <v>188</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189</v>
      </c>
      <c r="B24" s="44" t="s">
        <v>190</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191</v>
      </c>
      <c r="B25" s="44" t="s">
        <v>192</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193</v>
      </c>
      <c r="B27" s="43" t="s">
        <v>194</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195</v>
      </c>
      <c r="B28" s="44" t="s">
        <v>196</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197</v>
      </c>
      <c r="B29" s="44" t="s">
        <v>198</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199</v>
      </c>
      <c r="B30" s="44" t="s">
        <v>200</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201</v>
      </c>
      <c r="B31" s="44" t="s">
        <v>202</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203</v>
      </c>
      <c r="AG31" s="35"/>
    </row>
    <row r="32" spans="1:33">
      <c r="A32" s="34" t="s">
        <v>204</v>
      </c>
      <c r="B32" s="44" t="s">
        <v>205</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206</v>
      </c>
      <c r="B33" s="44" t="s">
        <v>207</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208</v>
      </c>
      <c r="B35" s="43" t="s">
        <v>209</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210</v>
      </c>
      <c r="B36" s="44" t="s">
        <v>186</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211</v>
      </c>
      <c r="B37" s="44" t="s">
        <v>212</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213</v>
      </c>
      <c r="B38" s="44" t="s">
        <v>214</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215</v>
      </c>
      <c r="B39" s="44" t="s">
        <v>190</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216</v>
      </c>
      <c r="B40" s="44" t="s">
        <v>217</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218</v>
      </c>
      <c r="B41" s="44" t="s">
        <v>219</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220</v>
      </c>
      <c r="B42" s="44" t="s">
        <v>221</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222</v>
      </c>
      <c r="B43" s="44" t="s">
        <v>408</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223</v>
      </c>
      <c r="B44" s="44" t="s">
        <v>224</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225</v>
      </c>
      <c r="B46" s="43" t="s">
        <v>226</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227</v>
      </c>
      <c r="B49" s="44" t="s">
        <v>228</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229</v>
      </c>
      <c r="B50" s="44" t="s">
        <v>230</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231</v>
      </c>
      <c r="B51" s="44" t="s">
        <v>232</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233</v>
      </c>
      <c r="B52" s="43" t="s">
        <v>234</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409</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235</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236</v>
      </c>
      <c r="B58" s="43" t="s">
        <v>237</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238</v>
      </c>
      <c r="B59" s="44" t="s">
        <v>239</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240</v>
      </c>
      <c r="B60" s="44" t="s">
        <v>241</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242</v>
      </c>
      <c r="B61" s="44" t="s">
        <v>408</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243</v>
      </c>
      <c r="B62" s="44" t="s">
        <v>224</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244</v>
      </c>
      <c r="B64" s="43" t="s">
        <v>245</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246</v>
      </c>
      <c r="B65" s="44" t="s">
        <v>221</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247</v>
      </c>
      <c r="B66" s="44" t="s">
        <v>408</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248</v>
      </c>
      <c r="B67" s="44" t="s">
        <v>224</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111" t="s">
        <v>249</v>
      </c>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30"/>
    </row>
    <row r="70" spans="1:34" ht="15" customHeight="1">
      <c r="A70" s="31"/>
      <c r="B70" s="35" t="s">
        <v>250</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410</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251</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252</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411</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253</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254</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255</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256</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412</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257</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258</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413</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414</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259</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260</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261</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262</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263</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415</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416</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110"/>
      <c r="C1101" s="110"/>
      <c r="D1101" s="110"/>
      <c r="E1101" s="110"/>
      <c r="F1101" s="110"/>
      <c r="G1101" s="110"/>
      <c r="H1101" s="110"/>
      <c r="I1101" s="110"/>
      <c r="J1101" s="110"/>
      <c r="K1101" s="110"/>
      <c r="L1101" s="110"/>
      <c r="M1101" s="110"/>
      <c r="N1101" s="110"/>
      <c r="O1101" s="110"/>
      <c r="P1101" s="110"/>
      <c r="Q1101" s="110"/>
      <c r="R1101" s="110"/>
      <c r="S1101" s="110"/>
      <c r="T1101" s="110"/>
      <c r="U1101" s="110"/>
      <c r="V1101" s="110"/>
      <c r="W1101" s="110"/>
      <c r="X1101" s="110"/>
      <c r="Y1101" s="110"/>
      <c r="Z1101" s="110"/>
      <c r="AA1101" s="110"/>
      <c r="AB1101" s="110"/>
      <c r="AC1101" s="110"/>
      <c r="AD1101" s="110"/>
      <c r="AE1101" s="110"/>
      <c r="AF1101" s="110"/>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110"/>
      <c r="C1229" s="110"/>
      <c r="D1229" s="110"/>
      <c r="E1229" s="110"/>
      <c r="F1229" s="110"/>
      <c r="G1229" s="110"/>
      <c r="H1229" s="110"/>
      <c r="I1229" s="110"/>
      <c r="J1229" s="110"/>
      <c r="K1229" s="110"/>
      <c r="L1229" s="110"/>
      <c r="M1229" s="110"/>
      <c r="N1229" s="110"/>
      <c r="O1229" s="110"/>
      <c r="P1229" s="110"/>
      <c r="Q1229" s="110"/>
      <c r="R1229" s="110"/>
      <c r="S1229" s="110"/>
      <c r="T1229" s="110"/>
      <c r="U1229" s="110"/>
      <c r="V1229" s="110"/>
      <c r="W1229" s="110"/>
      <c r="X1229" s="110"/>
      <c r="Y1229" s="110"/>
      <c r="Z1229" s="110"/>
      <c r="AA1229" s="110"/>
      <c r="AB1229" s="110"/>
      <c r="AC1229" s="110"/>
      <c r="AD1229" s="110"/>
      <c r="AE1229" s="110"/>
      <c r="AF1229" s="110"/>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110"/>
      <c r="C1390" s="110"/>
      <c r="D1390" s="110"/>
      <c r="E1390" s="110"/>
      <c r="F1390" s="110"/>
      <c r="G1390" s="110"/>
      <c r="H1390" s="110"/>
      <c r="I1390" s="110"/>
      <c r="J1390" s="110"/>
      <c r="K1390" s="110"/>
      <c r="L1390" s="110"/>
      <c r="M1390" s="110"/>
      <c r="N1390" s="110"/>
      <c r="O1390" s="110"/>
      <c r="P1390" s="110"/>
      <c r="Q1390" s="110"/>
      <c r="R1390" s="110"/>
      <c r="S1390" s="110"/>
      <c r="T1390" s="110"/>
      <c r="U1390" s="110"/>
      <c r="V1390" s="110"/>
      <c r="W1390" s="110"/>
      <c r="X1390" s="110"/>
      <c r="Y1390" s="110"/>
      <c r="Z1390" s="110"/>
      <c r="AA1390" s="110"/>
      <c r="AB1390" s="110"/>
      <c r="AC1390" s="110"/>
      <c r="AD1390" s="110"/>
      <c r="AE1390" s="110"/>
      <c r="AF1390" s="110"/>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110"/>
      <c r="C1502" s="110"/>
      <c r="D1502" s="110"/>
      <c r="E1502" s="110"/>
      <c r="F1502" s="110"/>
      <c r="G1502" s="110"/>
      <c r="H1502" s="110"/>
      <c r="I1502" s="110"/>
      <c r="J1502" s="110"/>
      <c r="K1502" s="110"/>
      <c r="L1502" s="110"/>
      <c r="M1502" s="110"/>
      <c r="N1502" s="110"/>
      <c r="O1502" s="110"/>
      <c r="P1502" s="110"/>
      <c r="Q1502" s="110"/>
      <c r="R1502" s="110"/>
      <c r="S1502" s="110"/>
      <c r="T1502" s="110"/>
      <c r="U1502" s="110"/>
      <c r="V1502" s="110"/>
      <c r="W1502" s="110"/>
      <c r="X1502" s="110"/>
      <c r="Y1502" s="110"/>
      <c r="Z1502" s="110"/>
      <c r="AA1502" s="110"/>
      <c r="AB1502" s="110"/>
      <c r="AC1502" s="110"/>
      <c r="AD1502" s="110"/>
      <c r="AE1502" s="110"/>
      <c r="AF1502" s="110"/>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110"/>
      <c r="C1604" s="110"/>
      <c r="D1604" s="110"/>
      <c r="E1604" s="110"/>
      <c r="F1604" s="110"/>
      <c r="G1604" s="110"/>
      <c r="H1604" s="110"/>
      <c r="I1604" s="110"/>
      <c r="J1604" s="110"/>
      <c r="K1604" s="110"/>
      <c r="L1604" s="110"/>
      <c r="M1604" s="110"/>
      <c r="N1604" s="110"/>
      <c r="O1604" s="110"/>
      <c r="P1604" s="110"/>
      <c r="Q1604" s="110"/>
      <c r="R1604" s="110"/>
      <c r="S1604" s="110"/>
      <c r="T1604" s="110"/>
      <c r="U1604" s="110"/>
      <c r="V1604" s="110"/>
      <c r="W1604" s="110"/>
      <c r="X1604" s="110"/>
      <c r="Y1604" s="110"/>
      <c r="Z1604" s="110"/>
      <c r="AA1604" s="110"/>
      <c r="AB1604" s="110"/>
      <c r="AC1604" s="110"/>
      <c r="AD1604" s="110"/>
      <c r="AE1604" s="110"/>
      <c r="AF1604" s="110"/>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110"/>
      <c r="C1699" s="110"/>
      <c r="D1699" s="110"/>
      <c r="E1699" s="110"/>
      <c r="F1699" s="110"/>
      <c r="G1699" s="110"/>
      <c r="H1699" s="110"/>
      <c r="I1699" s="110"/>
      <c r="J1699" s="110"/>
      <c r="K1699" s="110"/>
      <c r="L1699" s="110"/>
      <c r="M1699" s="110"/>
      <c r="N1699" s="110"/>
      <c r="O1699" s="110"/>
      <c r="P1699" s="110"/>
      <c r="Q1699" s="110"/>
      <c r="R1699" s="110"/>
      <c r="S1699" s="110"/>
      <c r="T1699" s="110"/>
      <c r="U1699" s="110"/>
      <c r="V1699" s="110"/>
      <c r="W1699" s="110"/>
      <c r="X1699" s="110"/>
      <c r="Y1699" s="110"/>
      <c r="Z1699" s="110"/>
      <c r="AA1699" s="110"/>
      <c r="AB1699" s="110"/>
      <c r="AC1699" s="110"/>
      <c r="AD1699" s="110"/>
      <c r="AE1699" s="110"/>
      <c r="AF1699" s="110"/>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110"/>
      <c r="C1945" s="110"/>
      <c r="D1945" s="110"/>
      <c r="E1945" s="110"/>
      <c r="F1945" s="110"/>
      <c r="G1945" s="110"/>
      <c r="H1945" s="110"/>
      <c r="I1945" s="110"/>
      <c r="J1945" s="110"/>
      <c r="K1945" s="110"/>
      <c r="L1945" s="110"/>
      <c r="M1945" s="110"/>
      <c r="N1945" s="110"/>
      <c r="O1945" s="110"/>
      <c r="P1945" s="110"/>
      <c r="Q1945" s="110"/>
      <c r="R1945" s="110"/>
      <c r="S1945" s="110"/>
      <c r="T1945" s="110"/>
      <c r="U1945" s="110"/>
      <c r="V1945" s="110"/>
      <c r="W1945" s="110"/>
      <c r="X1945" s="110"/>
      <c r="Y1945" s="110"/>
      <c r="Z1945" s="110"/>
      <c r="AA1945" s="110"/>
      <c r="AB1945" s="110"/>
      <c r="AC1945" s="110"/>
      <c r="AD1945" s="110"/>
      <c r="AE1945" s="110"/>
      <c r="AF1945" s="110"/>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110"/>
      <c r="C2031" s="110"/>
      <c r="D2031" s="110"/>
      <c r="E2031" s="110"/>
      <c r="F2031" s="110"/>
      <c r="G2031" s="110"/>
      <c r="H2031" s="110"/>
      <c r="I2031" s="110"/>
      <c r="J2031" s="110"/>
      <c r="K2031" s="110"/>
      <c r="L2031" s="110"/>
      <c r="M2031" s="110"/>
      <c r="N2031" s="110"/>
      <c r="O2031" s="110"/>
      <c r="P2031" s="110"/>
      <c r="Q2031" s="110"/>
      <c r="R2031" s="110"/>
      <c r="S2031" s="110"/>
      <c r="T2031" s="110"/>
      <c r="U2031" s="110"/>
      <c r="V2031" s="110"/>
      <c r="W2031" s="110"/>
      <c r="X2031" s="110"/>
      <c r="Y2031" s="110"/>
      <c r="Z2031" s="110"/>
      <c r="AA2031" s="110"/>
      <c r="AB2031" s="110"/>
      <c r="AC2031" s="110"/>
      <c r="AD2031" s="110"/>
      <c r="AE2031" s="110"/>
      <c r="AF2031" s="110"/>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110"/>
      <c r="C2153" s="110"/>
      <c r="D2153" s="110"/>
      <c r="E2153" s="110"/>
      <c r="F2153" s="110"/>
      <c r="G2153" s="110"/>
      <c r="H2153" s="110"/>
      <c r="I2153" s="110"/>
      <c r="J2153" s="110"/>
      <c r="K2153" s="110"/>
      <c r="L2153" s="110"/>
      <c r="M2153" s="110"/>
      <c r="N2153" s="110"/>
      <c r="O2153" s="110"/>
      <c r="P2153" s="110"/>
      <c r="Q2153" s="110"/>
      <c r="R2153" s="110"/>
      <c r="S2153" s="110"/>
      <c r="T2153" s="110"/>
      <c r="U2153" s="110"/>
      <c r="V2153" s="110"/>
      <c r="W2153" s="110"/>
      <c r="X2153" s="110"/>
      <c r="Y2153" s="110"/>
      <c r="Z2153" s="110"/>
      <c r="AA2153" s="110"/>
      <c r="AB2153" s="110"/>
      <c r="AC2153" s="110"/>
      <c r="AD2153" s="110"/>
      <c r="AE2153" s="110"/>
      <c r="AF2153" s="110"/>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110"/>
      <c r="C2317" s="110"/>
      <c r="D2317" s="110"/>
      <c r="E2317" s="110"/>
      <c r="F2317" s="110"/>
      <c r="G2317" s="110"/>
      <c r="H2317" s="110"/>
      <c r="I2317" s="110"/>
      <c r="J2317" s="110"/>
      <c r="K2317" s="110"/>
      <c r="L2317" s="110"/>
      <c r="M2317" s="110"/>
      <c r="N2317" s="110"/>
      <c r="O2317" s="110"/>
      <c r="P2317" s="110"/>
      <c r="Q2317" s="110"/>
      <c r="R2317" s="110"/>
      <c r="S2317" s="110"/>
      <c r="T2317" s="110"/>
      <c r="U2317" s="110"/>
      <c r="V2317" s="110"/>
      <c r="W2317" s="110"/>
      <c r="X2317" s="110"/>
      <c r="Y2317" s="110"/>
      <c r="Z2317" s="110"/>
      <c r="AA2317" s="110"/>
      <c r="AB2317" s="110"/>
      <c r="AC2317" s="110"/>
      <c r="AD2317" s="110"/>
      <c r="AE2317" s="110"/>
      <c r="AF2317" s="110"/>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110"/>
      <c r="C2419" s="110"/>
      <c r="D2419" s="110"/>
      <c r="E2419" s="110"/>
      <c r="F2419" s="110"/>
      <c r="G2419" s="110"/>
      <c r="H2419" s="110"/>
      <c r="I2419" s="110"/>
      <c r="J2419" s="110"/>
      <c r="K2419" s="110"/>
      <c r="L2419" s="110"/>
      <c r="M2419" s="110"/>
      <c r="N2419" s="110"/>
      <c r="O2419" s="110"/>
      <c r="P2419" s="110"/>
      <c r="Q2419" s="110"/>
      <c r="R2419" s="110"/>
      <c r="S2419" s="110"/>
      <c r="T2419" s="110"/>
      <c r="U2419" s="110"/>
      <c r="V2419" s="110"/>
      <c r="W2419" s="110"/>
      <c r="X2419" s="110"/>
      <c r="Y2419" s="110"/>
      <c r="Z2419" s="110"/>
      <c r="AA2419" s="110"/>
      <c r="AB2419" s="110"/>
      <c r="AC2419" s="110"/>
      <c r="AD2419" s="110"/>
      <c r="AE2419" s="110"/>
      <c r="AF2419" s="110"/>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110"/>
      <c r="C2509" s="110"/>
      <c r="D2509" s="110"/>
      <c r="E2509" s="110"/>
      <c r="F2509" s="110"/>
      <c r="G2509" s="110"/>
      <c r="H2509" s="110"/>
      <c r="I2509" s="110"/>
      <c r="J2509" s="110"/>
      <c r="K2509" s="110"/>
      <c r="L2509" s="110"/>
      <c r="M2509" s="110"/>
      <c r="N2509" s="110"/>
      <c r="O2509" s="110"/>
      <c r="P2509" s="110"/>
      <c r="Q2509" s="110"/>
      <c r="R2509" s="110"/>
      <c r="S2509" s="110"/>
      <c r="T2509" s="110"/>
      <c r="U2509" s="110"/>
      <c r="V2509" s="110"/>
      <c r="W2509" s="110"/>
      <c r="X2509" s="110"/>
      <c r="Y2509" s="110"/>
      <c r="Z2509" s="110"/>
      <c r="AA2509" s="110"/>
      <c r="AB2509" s="110"/>
      <c r="AC2509" s="110"/>
      <c r="AD2509" s="110"/>
      <c r="AE2509" s="110"/>
      <c r="AF2509" s="110"/>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110"/>
      <c r="C2598" s="110"/>
      <c r="D2598" s="110"/>
      <c r="E2598" s="110"/>
      <c r="F2598" s="110"/>
      <c r="G2598" s="110"/>
      <c r="H2598" s="110"/>
      <c r="I2598" s="110"/>
      <c r="J2598" s="110"/>
      <c r="K2598" s="110"/>
      <c r="L2598" s="110"/>
      <c r="M2598" s="110"/>
      <c r="N2598" s="110"/>
      <c r="O2598" s="110"/>
      <c r="P2598" s="110"/>
      <c r="Q2598" s="110"/>
      <c r="R2598" s="110"/>
      <c r="S2598" s="110"/>
      <c r="T2598" s="110"/>
      <c r="U2598" s="110"/>
      <c r="V2598" s="110"/>
      <c r="W2598" s="110"/>
      <c r="X2598" s="110"/>
      <c r="Y2598" s="110"/>
      <c r="Z2598" s="110"/>
      <c r="AA2598" s="110"/>
      <c r="AB2598" s="110"/>
      <c r="AC2598" s="110"/>
      <c r="AD2598" s="110"/>
      <c r="AE2598" s="110"/>
      <c r="AF2598" s="110"/>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110"/>
      <c r="C2719" s="110"/>
      <c r="D2719" s="110"/>
      <c r="E2719" s="110"/>
      <c r="F2719" s="110"/>
      <c r="G2719" s="110"/>
      <c r="H2719" s="110"/>
      <c r="I2719" s="110"/>
      <c r="J2719" s="110"/>
      <c r="K2719" s="110"/>
      <c r="L2719" s="110"/>
      <c r="M2719" s="110"/>
      <c r="N2719" s="110"/>
      <c r="O2719" s="110"/>
      <c r="P2719" s="110"/>
      <c r="Q2719" s="110"/>
      <c r="R2719" s="110"/>
      <c r="S2719" s="110"/>
      <c r="T2719" s="110"/>
      <c r="U2719" s="110"/>
      <c r="V2719" s="110"/>
      <c r="W2719" s="110"/>
      <c r="X2719" s="110"/>
      <c r="Y2719" s="110"/>
      <c r="Z2719" s="110"/>
      <c r="AA2719" s="110"/>
      <c r="AB2719" s="110"/>
      <c r="AC2719" s="110"/>
      <c r="AD2719" s="110"/>
      <c r="AE2719" s="110"/>
      <c r="AF2719" s="110"/>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110"/>
      <c r="C2837" s="110"/>
      <c r="D2837" s="110"/>
      <c r="E2837" s="110"/>
      <c r="F2837" s="110"/>
      <c r="G2837" s="110"/>
      <c r="H2837" s="110"/>
      <c r="I2837" s="110"/>
      <c r="J2837" s="110"/>
      <c r="K2837" s="110"/>
      <c r="L2837" s="110"/>
      <c r="M2837" s="110"/>
      <c r="N2837" s="110"/>
      <c r="O2837" s="110"/>
      <c r="P2837" s="110"/>
      <c r="Q2837" s="110"/>
      <c r="R2837" s="110"/>
      <c r="S2837" s="110"/>
      <c r="T2837" s="110"/>
      <c r="U2837" s="110"/>
      <c r="V2837" s="110"/>
      <c r="W2837" s="110"/>
      <c r="X2837" s="110"/>
      <c r="Y2837" s="110"/>
      <c r="Z2837" s="110"/>
      <c r="AA2837" s="110"/>
      <c r="AB2837" s="110"/>
      <c r="AC2837" s="110"/>
      <c r="AD2837" s="110"/>
      <c r="AE2837" s="110"/>
      <c r="AF2837" s="110"/>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86</v>
      </c>
    </row>
    <row r="2" spans="1:35">
      <c r="A2" t="s">
        <v>417</v>
      </c>
    </row>
    <row r="3" spans="1:35">
      <c r="A3" t="s">
        <v>418</v>
      </c>
    </row>
    <row r="4" spans="1:35">
      <c r="A4" t="s">
        <v>87</v>
      </c>
    </row>
    <row r="5" spans="1:35">
      <c r="B5" t="s">
        <v>88</v>
      </c>
      <c r="C5" t="s">
        <v>116</v>
      </c>
      <c r="D5" t="s">
        <v>117</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419</v>
      </c>
    </row>
    <row r="6" spans="1:35">
      <c r="A6" t="s">
        <v>13</v>
      </c>
      <c r="B6" t="s">
        <v>420</v>
      </c>
      <c r="C6" t="s">
        <v>421</v>
      </c>
      <c r="D6" t="s">
        <v>118</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89</v>
      </c>
      <c r="B7" t="s">
        <v>422</v>
      </c>
      <c r="C7" t="s">
        <v>423</v>
      </c>
      <c r="D7" t="s">
        <v>118</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90</v>
      </c>
      <c r="B8" t="s">
        <v>424</v>
      </c>
      <c r="C8" t="s">
        <v>425</v>
      </c>
      <c r="D8" t="s">
        <v>118</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91</v>
      </c>
      <c r="B9" t="s">
        <v>426</v>
      </c>
      <c r="C9" t="s">
        <v>427</v>
      </c>
      <c r="D9" t="s">
        <v>118</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92</v>
      </c>
      <c r="B10" t="s">
        <v>428</v>
      </c>
      <c r="C10" t="s">
        <v>429</v>
      </c>
      <c r="D10" t="s">
        <v>118</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93</v>
      </c>
      <c r="B11" t="s">
        <v>430</v>
      </c>
      <c r="C11" t="s">
        <v>431</v>
      </c>
      <c r="D11" t="s">
        <v>118</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94</v>
      </c>
      <c r="B12" t="s">
        <v>432</v>
      </c>
      <c r="C12" t="s">
        <v>433</v>
      </c>
      <c r="D12" t="s">
        <v>118</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95</v>
      </c>
      <c r="B13" t="s">
        <v>434</v>
      </c>
      <c r="C13" t="s">
        <v>435</v>
      </c>
      <c r="D13" t="s">
        <v>118</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96</v>
      </c>
      <c r="B14" t="s">
        <v>436</v>
      </c>
      <c r="C14" t="s">
        <v>437</v>
      </c>
      <c r="D14" t="s">
        <v>118</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89</v>
      </c>
      <c r="B15" t="s">
        <v>438</v>
      </c>
      <c r="C15" t="s">
        <v>439</v>
      </c>
      <c r="D15" t="s">
        <v>118</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90</v>
      </c>
      <c r="B16" t="s">
        <v>440</v>
      </c>
      <c r="C16" t="s">
        <v>441</v>
      </c>
      <c r="D16" t="s">
        <v>118</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91</v>
      </c>
      <c r="B17" t="s">
        <v>442</v>
      </c>
      <c r="C17" t="s">
        <v>443</v>
      </c>
      <c r="D17" t="s">
        <v>118</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93</v>
      </c>
      <c r="B18" t="s">
        <v>444</v>
      </c>
      <c r="C18" t="s">
        <v>445</v>
      </c>
      <c r="D18" t="s">
        <v>118</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92</v>
      </c>
      <c r="B19" t="s">
        <v>446</v>
      </c>
      <c r="C19" t="s">
        <v>447</v>
      </c>
      <c r="D19" t="s">
        <v>118</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94</v>
      </c>
      <c r="B20" t="s">
        <v>448</v>
      </c>
      <c r="C20" t="s">
        <v>449</v>
      </c>
      <c r="D20" t="s">
        <v>118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95</v>
      </c>
      <c r="B21" t="s">
        <v>450</v>
      </c>
      <c r="C21" t="s">
        <v>451</v>
      </c>
      <c r="D21" t="s">
        <v>118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97</v>
      </c>
      <c r="B22" t="s">
        <v>452</v>
      </c>
      <c r="C22" t="s">
        <v>453</v>
      </c>
      <c r="D22" t="s">
        <v>118</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98</v>
      </c>
      <c r="B23" t="s">
        <v>454</v>
      </c>
      <c r="C23" t="s">
        <v>455</v>
      </c>
      <c r="D23" t="s">
        <v>118</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91</v>
      </c>
      <c r="B24" t="s">
        <v>456</v>
      </c>
      <c r="C24" t="s">
        <v>457</v>
      </c>
      <c r="D24" t="s">
        <v>118</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92</v>
      </c>
      <c r="B25" t="s">
        <v>458</v>
      </c>
      <c r="C25" t="s">
        <v>459</v>
      </c>
      <c r="D25" t="s">
        <v>118</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93</v>
      </c>
      <c r="B26" t="s">
        <v>460</v>
      </c>
      <c r="C26" t="s">
        <v>461</v>
      </c>
      <c r="D26" t="s">
        <v>118</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90</v>
      </c>
      <c r="B27" t="s">
        <v>462</v>
      </c>
      <c r="C27" t="s">
        <v>463</v>
      </c>
      <c r="D27" t="s">
        <v>118</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94</v>
      </c>
      <c r="B28" t="s">
        <v>464</v>
      </c>
      <c r="C28" t="s">
        <v>465</v>
      </c>
      <c r="D28" t="s">
        <v>118</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95</v>
      </c>
      <c r="B29" t="s">
        <v>466</v>
      </c>
      <c r="C29" t="s">
        <v>467</v>
      </c>
      <c r="D29" t="s">
        <v>118</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99</v>
      </c>
      <c r="B30" t="s">
        <v>468</v>
      </c>
      <c r="C30" t="s">
        <v>469</v>
      </c>
      <c r="D30" t="s">
        <v>118</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91</v>
      </c>
      <c r="B31" t="s">
        <v>470</v>
      </c>
      <c r="C31" t="s">
        <v>471</v>
      </c>
      <c r="D31" t="s">
        <v>118</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100</v>
      </c>
      <c r="B32" t="s">
        <v>472</v>
      </c>
      <c r="C32" t="s">
        <v>473</v>
      </c>
      <c r="D32" t="s">
        <v>118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101</v>
      </c>
      <c r="B33" t="s">
        <v>474</v>
      </c>
      <c r="C33" t="s">
        <v>475</v>
      </c>
      <c r="D33" t="s">
        <v>118</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102</v>
      </c>
      <c r="B34" t="s">
        <v>476</v>
      </c>
      <c r="C34" t="s">
        <v>477</v>
      </c>
      <c r="D34" t="s">
        <v>118</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478</v>
      </c>
      <c r="C35" t="s">
        <v>479</v>
      </c>
      <c r="D35" t="s">
        <v>118</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91</v>
      </c>
      <c r="B36" t="s">
        <v>480</v>
      </c>
      <c r="C36" t="s">
        <v>481</v>
      </c>
      <c r="D36" t="s">
        <v>118</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103</v>
      </c>
      <c r="B37" t="s">
        <v>482</v>
      </c>
      <c r="C37" t="s">
        <v>483</v>
      </c>
      <c r="D37" t="s">
        <v>118</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101</v>
      </c>
      <c r="B38" t="s">
        <v>484</v>
      </c>
      <c r="C38" t="s">
        <v>485</v>
      </c>
      <c r="D38" t="s">
        <v>118</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102</v>
      </c>
      <c r="B39" t="s">
        <v>486</v>
      </c>
      <c r="C39" t="s">
        <v>487</v>
      </c>
      <c r="D39" t="s">
        <v>118</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488</v>
      </c>
      <c r="C40" t="s">
        <v>489</v>
      </c>
      <c r="D40" t="s">
        <v>118</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91</v>
      </c>
      <c r="B41" t="s">
        <v>490</v>
      </c>
      <c r="C41" t="s">
        <v>491</v>
      </c>
      <c r="D41" t="s">
        <v>118</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103</v>
      </c>
      <c r="B42" t="s">
        <v>492</v>
      </c>
      <c r="C42" t="s">
        <v>493</v>
      </c>
      <c r="D42" t="s">
        <v>118</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101</v>
      </c>
      <c r="B43" t="s">
        <v>494</v>
      </c>
      <c r="C43" t="s">
        <v>495</v>
      </c>
      <c r="D43" t="s">
        <v>118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102</v>
      </c>
      <c r="B44" t="s">
        <v>496</v>
      </c>
      <c r="C44" t="s">
        <v>497</v>
      </c>
      <c r="D44" t="s">
        <v>118</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498</v>
      </c>
      <c r="C45" t="s">
        <v>499</v>
      </c>
      <c r="D45" t="s">
        <v>118</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104</v>
      </c>
      <c r="B46" t="s">
        <v>500</v>
      </c>
      <c r="C46" t="s">
        <v>501</v>
      </c>
      <c r="D46" t="s">
        <v>118</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105</v>
      </c>
      <c r="B47" t="s">
        <v>502</v>
      </c>
      <c r="C47" t="s">
        <v>503</v>
      </c>
      <c r="D47" t="s">
        <v>118</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504</v>
      </c>
      <c r="C48" t="s">
        <v>505</v>
      </c>
      <c r="D48" t="s">
        <v>118</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106</v>
      </c>
      <c r="B49" t="s">
        <v>506</v>
      </c>
      <c r="C49" t="s">
        <v>507</v>
      </c>
      <c r="D49" t="s">
        <v>118</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100</v>
      </c>
      <c r="B50" t="s">
        <v>508</v>
      </c>
      <c r="C50" t="s">
        <v>509</v>
      </c>
      <c r="D50" t="s">
        <v>118</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107</v>
      </c>
      <c r="B51" t="s">
        <v>510</v>
      </c>
      <c r="C51" t="s">
        <v>511</v>
      </c>
      <c r="D51" t="s">
        <v>118</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512</v>
      </c>
      <c r="C52" t="s">
        <v>513</v>
      </c>
      <c r="D52" t="s">
        <v>118</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108</v>
      </c>
      <c r="B53" t="s">
        <v>514</v>
      </c>
      <c r="C53" t="s">
        <v>515</v>
      </c>
      <c r="D53" t="s">
        <v>118</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98</v>
      </c>
      <c r="B54" t="s">
        <v>516</v>
      </c>
      <c r="C54" t="s">
        <v>517</v>
      </c>
      <c r="D54" t="s">
        <v>118</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90</v>
      </c>
      <c r="B55" t="s">
        <v>518</v>
      </c>
      <c r="C55" t="s">
        <v>519</v>
      </c>
      <c r="D55" t="s">
        <v>118</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91</v>
      </c>
      <c r="B56" t="s">
        <v>520</v>
      </c>
      <c r="C56" t="s">
        <v>521</v>
      </c>
      <c r="D56" t="s">
        <v>118</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92</v>
      </c>
      <c r="B57" t="s">
        <v>522</v>
      </c>
      <c r="C57" t="s">
        <v>523</v>
      </c>
      <c r="D57" t="s">
        <v>118</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93</v>
      </c>
      <c r="B58" t="s">
        <v>524</v>
      </c>
      <c r="C58" t="s">
        <v>525</v>
      </c>
      <c r="D58" t="s">
        <v>118</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94</v>
      </c>
      <c r="B59" t="s">
        <v>526</v>
      </c>
      <c r="C59" t="s">
        <v>527</v>
      </c>
      <c r="D59" t="s">
        <v>118</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95</v>
      </c>
      <c r="B60" t="s">
        <v>528</v>
      </c>
      <c r="C60" t="s">
        <v>529</v>
      </c>
      <c r="D60" t="s">
        <v>118</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109</v>
      </c>
      <c r="B61" t="s">
        <v>530</v>
      </c>
      <c r="C61" t="s">
        <v>531</v>
      </c>
      <c r="D61" t="s">
        <v>118</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98</v>
      </c>
      <c r="B62" t="s">
        <v>532</v>
      </c>
      <c r="C62" t="s">
        <v>533</v>
      </c>
      <c r="D62" t="s">
        <v>118</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90</v>
      </c>
      <c r="B63" t="s">
        <v>534</v>
      </c>
      <c r="C63" t="s">
        <v>535</v>
      </c>
      <c r="D63" t="s">
        <v>118</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91</v>
      </c>
      <c r="B64" t="s">
        <v>536</v>
      </c>
      <c r="C64" t="s">
        <v>537</v>
      </c>
      <c r="D64" t="s">
        <v>118</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92</v>
      </c>
      <c r="B65" t="s">
        <v>538</v>
      </c>
      <c r="C65" t="s">
        <v>539</v>
      </c>
      <c r="D65" t="s">
        <v>118</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93</v>
      </c>
      <c r="B66" t="s">
        <v>540</v>
      </c>
      <c r="C66" t="s">
        <v>541</v>
      </c>
      <c r="D66" t="s">
        <v>118</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94</v>
      </c>
      <c r="B67" t="s">
        <v>542</v>
      </c>
      <c r="C67" t="s">
        <v>543</v>
      </c>
      <c r="D67" t="s">
        <v>118</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95</v>
      </c>
      <c r="B68" t="s">
        <v>544</v>
      </c>
      <c r="C68" t="s">
        <v>545</v>
      </c>
      <c r="D68" t="s">
        <v>118</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110</v>
      </c>
      <c r="B69" t="s">
        <v>546</v>
      </c>
      <c r="C69" t="s">
        <v>547</v>
      </c>
      <c r="D69" t="s">
        <v>118</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98</v>
      </c>
      <c r="B70" t="s">
        <v>548</v>
      </c>
      <c r="C70" t="s">
        <v>549</v>
      </c>
      <c r="D70" t="s">
        <v>118</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90</v>
      </c>
      <c r="B71" t="s">
        <v>550</v>
      </c>
      <c r="C71" t="s">
        <v>551</v>
      </c>
      <c r="D71" t="s">
        <v>118</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91</v>
      </c>
      <c r="B72" t="s">
        <v>552</v>
      </c>
      <c r="C72" t="s">
        <v>553</v>
      </c>
      <c r="D72" t="s">
        <v>118</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92</v>
      </c>
      <c r="B73" t="s">
        <v>554</v>
      </c>
      <c r="C73" t="s">
        <v>555</v>
      </c>
      <c r="D73" t="s">
        <v>118</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93</v>
      </c>
      <c r="B74" t="s">
        <v>556</v>
      </c>
      <c r="C74" t="s">
        <v>557</v>
      </c>
      <c r="D74" t="s">
        <v>118</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94</v>
      </c>
      <c r="B75" t="s">
        <v>558</v>
      </c>
      <c r="C75" t="s">
        <v>559</v>
      </c>
      <c r="D75" t="s">
        <v>118</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95</v>
      </c>
      <c r="B76" t="s">
        <v>560</v>
      </c>
      <c r="C76" t="s">
        <v>561</v>
      </c>
      <c r="D76" t="s">
        <v>118</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562</v>
      </c>
      <c r="C77" t="s">
        <v>563</v>
      </c>
      <c r="D77" t="s">
        <v>118</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111</v>
      </c>
      <c r="B78" t="s">
        <v>564</v>
      </c>
      <c r="C78" t="s">
        <v>565</v>
      </c>
      <c r="D78" t="s">
        <v>118</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94</v>
      </c>
      <c r="B79" t="s">
        <v>566</v>
      </c>
      <c r="C79" t="s">
        <v>567</v>
      </c>
      <c r="D79" t="s">
        <v>118</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112</v>
      </c>
      <c r="B80" t="s">
        <v>568</v>
      </c>
      <c r="C80" t="s">
        <v>569</v>
      </c>
      <c r="D80" t="s">
        <v>118</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101</v>
      </c>
      <c r="B81" t="s">
        <v>570</v>
      </c>
      <c r="C81" t="s">
        <v>571</v>
      </c>
      <c r="D81" t="s">
        <v>118</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102</v>
      </c>
      <c r="B82" t="s">
        <v>572</v>
      </c>
      <c r="C82" t="s">
        <v>573</v>
      </c>
      <c r="D82" t="s">
        <v>118</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113</v>
      </c>
      <c r="B83" t="s">
        <v>574</v>
      </c>
      <c r="C83" t="s">
        <v>575</v>
      </c>
      <c r="D83" t="s">
        <v>118</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94</v>
      </c>
      <c r="B84" t="s">
        <v>576</v>
      </c>
      <c r="C84" t="s">
        <v>577</v>
      </c>
      <c r="D84" t="s">
        <v>118</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114</v>
      </c>
      <c r="B85" t="s">
        <v>578</v>
      </c>
      <c r="C85" t="s">
        <v>579</v>
      </c>
      <c r="D85" t="s">
        <v>118</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94</v>
      </c>
      <c r="B86" t="s">
        <v>580</v>
      </c>
      <c r="C86" t="s">
        <v>581</v>
      </c>
      <c r="D86" t="s">
        <v>118</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112</v>
      </c>
      <c r="B87" t="s">
        <v>582</v>
      </c>
      <c r="C87" t="s">
        <v>583</v>
      </c>
      <c r="D87" t="s">
        <v>118</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101</v>
      </c>
      <c r="B88" t="s">
        <v>584</v>
      </c>
      <c r="C88" t="s">
        <v>585</v>
      </c>
      <c r="D88" t="s">
        <v>118</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102</v>
      </c>
      <c r="B89" t="s">
        <v>586</v>
      </c>
      <c r="C89" t="s">
        <v>587</v>
      </c>
      <c r="D89" t="s">
        <v>118</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588</v>
      </c>
      <c r="C90" t="s">
        <v>589</v>
      </c>
      <c r="D90" t="s">
        <v>118</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115</v>
      </c>
      <c r="B91" t="s">
        <v>590</v>
      </c>
      <c r="C91" t="s">
        <v>591</v>
      </c>
      <c r="D91" t="s">
        <v>118</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91</v>
      </c>
      <c r="B92" t="s">
        <v>592</v>
      </c>
      <c r="C92" t="s">
        <v>593</v>
      </c>
      <c r="D92" t="s">
        <v>118</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594</v>
      </c>
      <c r="C93" t="s">
        <v>595</v>
      </c>
      <c r="D93" t="s">
        <v>118</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596</v>
      </c>
      <c r="C94" t="s">
        <v>597</v>
      </c>
      <c r="D94" t="s">
        <v>118</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598</v>
      </c>
      <c r="B95" t="s">
        <v>599</v>
      </c>
      <c r="C95" t="s">
        <v>600</v>
      </c>
      <c r="D95" t="s">
        <v>118</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601</v>
      </c>
      <c r="C96" t="s">
        <v>602</v>
      </c>
      <c r="D96" t="s">
        <v>118</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56" workbookViewId="0">
      <selection activeCell="B90" sqref="A90:XFD90"/>
    </sheetView>
  </sheetViews>
  <sheetFormatPr defaultRowHeight="14.25"/>
  <cols>
    <col min="1" max="1" width="21.3984375" hidden="1" customWidth="1"/>
    <col min="2" max="2" width="46.73046875" customWidth="1"/>
    <col min="32" max="32" width="8.73046875" style="50"/>
  </cols>
  <sheetData>
    <row r="1" spans="1:32" ht="15" customHeight="1">
      <c r="B1" s="15" t="s">
        <v>164</v>
      </c>
    </row>
    <row r="2" spans="1:32" ht="15" customHeight="1"/>
    <row r="3" spans="1:32" ht="15" customHeight="1">
      <c r="C3" s="23" t="s">
        <v>165</v>
      </c>
      <c r="D3" s="23"/>
      <c r="E3" s="17"/>
      <c r="F3" s="17"/>
      <c r="G3" s="17"/>
    </row>
    <row r="4" spans="1:32" ht="15" customHeight="1">
      <c r="C4" s="23" t="s">
        <v>166</v>
      </c>
      <c r="D4" s="23"/>
      <c r="E4" s="17"/>
      <c r="F4" s="17"/>
      <c r="G4" s="23" t="s">
        <v>167</v>
      </c>
    </row>
    <row r="5" spans="1:32" ht="15" customHeight="1">
      <c r="C5" s="23" t="s">
        <v>168</v>
      </c>
      <c r="D5" s="23"/>
      <c r="E5" s="17"/>
      <c r="F5" s="17"/>
      <c r="G5" s="17"/>
    </row>
    <row r="6" spans="1:32" ht="15" customHeight="1">
      <c r="C6" s="23" t="s">
        <v>169</v>
      </c>
      <c r="D6" s="17"/>
      <c r="E6" s="23"/>
      <c r="F6" s="17"/>
      <c r="G6" s="17"/>
    </row>
    <row r="7" spans="1:32" ht="12" customHeight="1"/>
    <row r="8" spans="1:32" ht="12" customHeight="1"/>
    <row r="9" spans="1:32" ht="12" customHeight="1"/>
    <row r="10" spans="1:32" ht="15" customHeight="1">
      <c r="A10" s="18" t="s">
        <v>264</v>
      </c>
      <c r="B10" s="19" t="s">
        <v>265</v>
      </c>
      <c r="AF10" s="51" t="s">
        <v>172</v>
      </c>
    </row>
    <row r="11" spans="1:32" ht="15" customHeight="1">
      <c r="B11" s="15" t="s">
        <v>266</v>
      </c>
      <c r="AF11" s="51" t="s">
        <v>174</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175</v>
      </c>
    </row>
    <row r="13" spans="1:32" ht="15" customHeight="1" thickBot="1">
      <c r="B13" s="16" t="s">
        <v>267</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177</v>
      </c>
    </row>
    <row r="14" spans="1:32" ht="15" customHeight="1" thickTop="1"/>
    <row r="15" spans="1:32" ht="15" customHeight="1">
      <c r="A15" s="18" t="s">
        <v>268</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269</v>
      </c>
      <c r="B16" s="21" t="s">
        <v>270</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271</v>
      </c>
      <c r="B17" s="21" t="s">
        <v>272</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273</v>
      </c>
      <c r="B18" s="21" t="s">
        <v>274</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275</v>
      </c>
      <c r="B19" s="21" t="s">
        <v>276</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277</v>
      </c>
      <c r="B20" s="21" t="s">
        <v>278</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279</v>
      </c>
      <c r="B21" s="21" t="s">
        <v>280</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281</v>
      </c>
      <c r="B22" s="21" t="s">
        <v>282</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283</v>
      </c>
      <c r="B24" s="20" t="s">
        <v>284</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285</v>
      </c>
      <c r="B25" s="21" t="s">
        <v>270</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286</v>
      </c>
      <c r="B26" s="21" t="s">
        <v>272</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287</v>
      </c>
      <c r="B27" s="21" t="s">
        <v>274</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288</v>
      </c>
      <c r="B28" s="21" t="s">
        <v>278</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289</v>
      </c>
      <c r="B29" s="21" t="s">
        <v>276</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290</v>
      </c>
      <c r="B30" s="21" t="s">
        <v>280</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291</v>
      </c>
      <c r="B31" s="21" t="s">
        <v>282</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292</v>
      </c>
      <c r="B33" s="20" t="s">
        <v>293</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294</v>
      </c>
      <c r="B34" s="21" t="s">
        <v>295</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296</v>
      </c>
      <c r="B35" s="21" t="s">
        <v>274</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297</v>
      </c>
      <c r="B36" s="21" t="s">
        <v>276</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298</v>
      </c>
      <c r="B37" s="21" t="s">
        <v>278</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299</v>
      </c>
      <c r="B38" s="21" t="s">
        <v>300</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301</v>
      </c>
      <c r="B39" s="21" t="s">
        <v>280</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302</v>
      </c>
      <c r="B40" s="21" t="s">
        <v>282</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303</v>
      </c>
      <c r="B43" s="20" t="s">
        <v>304</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s="98" customFormat="1" ht="15" customHeight="1">
      <c r="A44" s="94" t="s">
        <v>305</v>
      </c>
      <c r="B44" s="95" t="s">
        <v>274</v>
      </c>
      <c r="C44" s="96">
        <f>'AEO 2023 Table 36 Raw'!F31</f>
        <v>480.86654700000003</v>
      </c>
      <c r="D44" s="96">
        <f>'AEO 2023 Table 36 Raw'!G31</f>
        <v>473.79251099999999</v>
      </c>
      <c r="E44" s="96">
        <f>'AEO 2023 Table 36 Raw'!H31</f>
        <v>492.51501500000001</v>
      </c>
      <c r="F44" s="96">
        <f>'AEO 2023 Table 36 Raw'!I31</f>
        <v>480.10034200000001</v>
      </c>
      <c r="G44" s="96">
        <f>'AEO 2023 Table 36 Raw'!J31</f>
        <v>459.17535400000003</v>
      </c>
      <c r="H44" s="96">
        <f>'AEO 2023 Table 36 Raw'!K31</f>
        <v>442.59573399999999</v>
      </c>
      <c r="I44" s="96">
        <f>'AEO 2023 Table 36 Raw'!L31</f>
        <v>435.204926</v>
      </c>
      <c r="J44" s="96">
        <f>'AEO 2023 Table 36 Raw'!M31</f>
        <v>438.61608899999999</v>
      </c>
      <c r="K44" s="96">
        <f>'AEO 2023 Table 36 Raw'!N31</f>
        <v>434.49127199999998</v>
      </c>
      <c r="L44" s="96">
        <f>'AEO 2023 Table 36 Raw'!O31</f>
        <v>434.25302099999999</v>
      </c>
      <c r="M44" s="96">
        <f>'AEO 2023 Table 36 Raw'!P31</f>
        <v>435.99301100000002</v>
      </c>
      <c r="N44" s="96">
        <f>'AEO 2023 Table 36 Raw'!Q31</f>
        <v>436.48690800000003</v>
      </c>
      <c r="O44" s="96">
        <f>'AEO 2023 Table 36 Raw'!R31</f>
        <v>435.37204000000003</v>
      </c>
      <c r="P44" s="96">
        <f>'AEO 2023 Table 36 Raw'!S31</f>
        <v>434.60772700000001</v>
      </c>
      <c r="Q44" s="96">
        <f>'AEO 2023 Table 36 Raw'!T31</f>
        <v>431.05429099999998</v>
      </c>
      <c r="R44" s="96">
        <f>'AEO 2023 Table 36 Raw'!U31</f>
        <v>427.65039100000001</v>
      </c>
      <c r="S44" s="96">
        <f>'AEO 2023 Table 36 Raw'!V31</f>
        <v>424.25372299999998</v>
      </c>
      <c r="T44" s="96">
        <f>'AEO 2023 Table 36 Raw'!W31</f>
        <v>418.55365</v>
      </c>
      <c r="U44" s="96">
        <f>'AEO 2023 Table 36 Raw'!X31</f>
        <v>413.58151199999998</v>
      </c>
      <c r="V44" s="96">
        <f>'AEO 2023 Table 36 Raw'!Y31</f>
        <v>410.946777</v>
      </c>
      <c r="W44" s="96">
        <f>'AEO 2023 Table 36 Raw'!Z31</f>
        <v>407.33846999999997</v>
      </c>
      <c r="X44" s="96">
        <f>'AEO 2023 Table 36 Raw'!AA31</f>
        <v>401.121399</v>
      </c>
      <c r="Y44" s="96">
        <f>'AEO 2023 Table 36 Raw'!AB31</f>
        <v>394.29074100000003</v>
      </c>
      <c r="Z44" s="96">
        <f>'AEO 2023 Table 36 Raw'!AC31</f>
        <v>387.06680299999999</v>
      </c>
      <c r="AA44" s="96">
        <f>'AEO 2023 Table 36 Raw'!AD31</f>
        <v>380.52633700000001</v>
      </c>
      <c r="AB44" s="96">
        <f>'AEO 2023 Table 36 Raw'!AE31</f>
        <v>373.70101899999997</v>
      </c>
      <c r="AC44" s="96">
        <f>'AEO 2023 Table 36 Raw'!AF31</f>
        <v>367.609375</v>
      </c>
      <c r="AD44" s="96">
        <f>'AEO 2023 Table 36 Raw'!AG31</f>
        <v>360.13336199999998</v>
      </c>
      <c r="AE44" s="96">
        <f>'AEO 2023 Table 36 Raw'!AH31</f>
        <v>354.19946299999998</v>
      </c>
      <c r="AF44" s="97">
        <f>'AEO 2023 Table 36 Raw'!AI31</f>
        <v>-1.0999999999999999E-2</v>
      </c>
    </row>
    <row r="45" spans="1:32" ht="15" customHeight="1">
      <c r="A45" s="18" t="s">
        <v>306</v>
      </c>
      <c r="B45" s="21" t="s">
        <v>307</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308</v>
      </c>
      <c r="B46" s="21" t="s">
        <v>309</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310</v>
      </c>
      <c r="B47" s="21" t="s">
        <v>311</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312</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s="98" customFormat="1" ht="15" customHeight="1">
      <c r="A50" s="94" t="s">
        <v>313</v>
      </c>
      <c r="B50" s="95" t="s">
        <v>274</v>
      </c>
      <c r="C50" s="96">
        <f>'AEO 2023 Table 36 Raw'!F36</f>
        <v>95.724982999999995</v>
      </c>
      <c r="D50" s="96">
        <f>'AEO 2023 Table 36 Raw'!G36</f>
        <v>96.410872999999995</v>
      </c>
      <c r="E50" s="96">
        <f>'AEO 2023 Table 36 Raw'!H36</f>
        <v>95.648369000000002</v>
      </c>
      <c r="F50" s="96">
        <f>'AEO 2023 Table 36 Raw'!I36</f>
        <v>94.922400999999994</v>
      </c>
      <c r="G50" s="96">
        <f>'AEO 2023 Table 36 Raw'!J36</f>
        <v>94.299674999999993</v>
      </c>
      <c r="H50" s="96">
        <f>'AEO 2023 Table 36 Raw'!K36</f>
        <v>93.480141000000003</v>
      </c>
      <c r="I50" s="96">
        <f>'AEO 2023 Table 36 Raw'!L36</f>
        <v>92.663535999999993</v>
      </c>
      <c r="J50" s="96">
        <f>'AEO 2023 Table 36 Raw'!M36</f>
        <v>91.636002000000005</v>
      </c>
      <c r="K50" s="96">
        <f>'AEO 2023 Table 36 Raw'!N36</f>
        <v>90.709732000000002</v>
      </c>
      <c r="L50" s="96">
        <f>'AEO 2023 Table 36 Raw'!O36</f>
        <v>89.864052000000001</v>
      </c>
      <c r="M50" s="96">
        <f>'AEO 2023 Table 36 Raw'!P36</f>
        <v>89.271820000000005</v>
      </c>
      <c r="N50" s="96">
        <f>'AEO 2023 Table 36 Raw'!Q36</f>
        <v>88.583907999999994</v>
      </c>
      <c r="O50" s="96">
        <f>'AEO 2023 Table 36 Raw'!R36</f>
        <v>87.881882000000004</v>
      </c>
      <c r="P50" s="96">
        <f>'AEO 2023 Table 36 Raw'!S36</f>
        <v>87.154610000000005</v>
      </c>
      <c r="Q50" s="96">
        <f>'AEO 2023 Table 36 Raw'!T36</f>
        <v>86.355025999999995</v>
      </c>
      <c r="R50" s="96">
        <f>'AEO 2023 Table 36 Raw'!U36</f>
        <v>85.672011999999995</v>
      </c>
      <c r="S50" s="96">
        <f>'AEO 2023 Table 36 Raw'!V36</f>
        <v>84.929305999999997</v>
      </c>
      <c r="T50" s="96">
        <f>'AEO 2023 Table 36 Raw'!W36</f>
        <v>84.290549999999996</v>
      </c>
      <c r="U50" s="96">
        <f>'AEO 2023 Table 36 Raw'!X36</f>
        <v>83.598647999999997</v>
      </c>
      <c r="V50" s="96">
        <f>'AEO 2023 Table 36 Raw'!Y36</f>
        <v>82.885955999999993</v>
      </c>
      <c r="W50" s="96">
        <f>'AEO 2023 Table 36 Raw'!Z36</f>
        <v>82.221778999999998</v>
      </c>
      <c r="X50" s="96">
        <f>'AEO 2023 Table 36 Raw'!AA36</f>
        <v>81.555756000000002</v>
      </c>
      <c r="Y50" s="96">
        <f>'AEO 2023 Table 36 Raw'!AB36</f>
        <v>80.850998000000004</v>
      </c>
      <c r="Z50" s="96">
        <f>'AEO 2023 Table 36 Raw'!AC36</f>
        <v>80.058989999999994</v>
      </c>
      <c r="AA50" s="96">
        <f>'AEO 2023 Table 36 Raw'!AD36</f>
        <v>79.380050999999995</v>
      </c>
      <c r="AB50" s="96">
        <f>'AEO 2023 Table 36 Raw'!AE36</f>
        <v>78.650115999999997</v>
      </c>
      <c r="AC50" s="96">
        <f>'AEO 2023 Table 36 Raw'!AF36</f>
        <v>77.846335999999994</v>
      </c>
      <c r="AD50" s="96">
        <f>'AEO 2023 Table 36 Raw'!AG36</f>
        <v>77.124741</v>
      </c>
      <c r="AE50" s="96">
        <f>'AEO 2023 Table 36 Raw'!AH36</f>
        <v>76.572761999999997</v>
      </c>
      <c r="AF50" s="97">
        <f>'AEO 2023 Table 36 Raw'!AI36</f>
        <v>-8.0000000000000002E-3</v>
      </c>
    </row>
    <row r="51" spans="1:32" ht="15" customHeight="1">
      <c r="A51" s="18" t="s">
        <v>314</v>
      </c>
      <c r="B51" s="21" t="s">
        <v>315</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316</v>
      </c>
      <c r="B52" s="21" t="s">
        <v>309</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317</v>
      </c>
      <c r="B53" s="21" t="s">
        <v>311</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318</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s="98" customFormat="1" ht="15" customHeight="1">
      <c r="A56" s="94" t="s">
        <v>319</v>
      </c>
      <c r="B56" s="95" t="s">
        <v>274</v>
      </c>
      <c r="C56" s="96">
        <f>'AEO 2023 Table 36 Raw'!F41</f>
        <v>222.93867499999999</v>
      </c>
      <c r="D56" s="96">
        <f>'AEO 2023 Table 36 Raw'!G41</f>
        <v>318.21374500000002</v>
      </c>
      <c r="E56" s="96">
        <f>'AEO 2023 Table 36 Raw'!H41</f>
        <v>318.50683600000002</v>
      </c>
      <c r="F56" s="96">
        <f>'AEO 2023 Table 36 Raw'!I41</f>
        <v>321.42748999999998</v>
      </c>
      <c r="G56" s="96">
        <f>'AEO 2023 Table 36 Raw'!J41</f>
        <v>326.40893599999998</v>
      </c>
      <c r="H56" s="96">
        <f>'AEO 2023 Table 36 Raw'!K41</f>
        <v>331.75039700000002</v>
      </c>
      <c r="I56" s="96">
        <f>'AEO 2023 Table 36 Raw'!L41</f>
        <v>339.13262900000001</v>
      </c>
      <c r="J56" s="96">
        <f>'AEO 2023 Table 36 Raw'!M41</f>
        <v>343.65380900000002</v>
      </c>
      <c r="K56" s="96">
        <f>'AEO 2023 Table 36 Raw'!N41</f>
        <v>348.44000199999999</v>
      </c>
      <c r="L56" s="96">
        <f>'AEO 2023 Table 36 Raw'!O41</f>
        <v>348.61184700000001</v>
      </c>
      <c r="M56" s="96">
        <f>'AEO 2023 Table 36 Raw'!P41</f>
        <v>349.93618800000002</v>
      </c>
      <c r="N56" s="96">
        <f>'AEO 2023 Table 36 Raw'!Q41</f>
        <v>351.71850599999999</v>
      </c>
      <c r="O56" s="96">
        <f>'AEO 2023 Table 36 Raw'!R41</f>
        <v>354.40063500000002</v>
      </c>
      <c r="P56" s="96">
        <f>'AEO 2023 Table 36 Raw'!S41</f>
        <v>355.17700200000002</v>
      </c>
      <c r="Q56" s="96">
        <f>'AEO 2023 Table 36 Raw'!T41</f>
        <v>356.67022700000001</v>
      </c>
      <c r="R56" s="96">
        <f>'AEO 2023 Table 36 Raw'!U41</f>
        <v>356.87670900000001</v>
      </c>
      <c r="S56" s="96">
        <f>'AEO 2023 Table 36 Raw'!V41</f>
        <v>358.82894900000002</v>
      </c>
      <c r="T56" s="96">
        <f>'AEO 2023 Table 36 Raw'!W41</f>
        <v>358.93920900000001</v>
      </c>
      <c r="U56" s="96">
        <f>'AEO 2023 Table 36 Raw'!X41</f>
        <v>360.572205</v>
      </c>
      <c r="V56" s="96">
        <f>'AEO 2023 Table 36 Raw'!Y41</f>
        <v>361.26196299999998</v>
      </c>
      <c r="W56" s="96">
        <f>'AEO 2023 Table 36 Raw'!Z41</f>
        <v>361.28478999999999</v>
      </c>
      <c r="X56" s="96">
        <f>'AEO 2023 Table 36 Raw'!AA41</f>
        <v>360.64623999999998</v>
      </c>
      <c r="Y56" s="96">
        <f>'AEO 2023 Table 36 Raw'!AB41</f>
        <v>360.38775600000002</v>
      </c>
      <c r="Z56" s="96">
        <f>'AEO 2023 Table 36 Raw'!AC41</f>
        <v>360.05560300000002</v>
      </c>
      <c r="AA56" s="96">
        <f>'AEO 2023 Table 36 Raw'!AD41</f>
        <v>358.46176100000002</v>
      </c>
      <c r="AB56" s="96">
        <f>'AEO 2023 Table 36 Raw'!AE41</f>
        <v>357.26376299999998</v>
      </c>
      <c r="AC56" s="96">
        <f>'AEO 2023 Table 36 Raw'!AF41</f>
        <v>357.07412699999998</v>
      </c>
      <c r="AD56" s="96">
        <f>'AEO 2023 Table 36 Raw'!AG41</f>
        <v>355.22808800000001</v>
      </c>
      <c r="AE56" s="96">
        <f>'AEO 2023 Table 36 Raw'!AH41</f>
        <v>354.51147500000002</v>
      </c>
      <c r="AF56" s="97">
        <f>'AEO 2023 Table 36 Raw'!AI41</f>
        <v>1.7000000000000001E-2</v>
      </c>
    </row>
    <row r="57" spans="1:32" s="98" customFormat="1" ht="15" customHeight="1">
      <c r="A57" s="94" t="s">
        <v>320</v>
      </c>
      <c r="B57" s="95" t="s">
        <v>315</v>
      </c>
      <c r="C57" s="96">
        <f>'AEO 2023 Table 36 Raw'!F42</f>
        <v>685.66516100000001</v>
      </c>
      <c r="D57" s="96">
        <f>'AEO 2023 Table 36 Raw'!G42</f>
        <v>532.149719</v>
      </c>
      <c r="E57" s="96">
        <f>'AEO 2023 Table 36 Raw'!H42</f>
        <v>519.35320999999999</v>
      </c>
      <c r="F57" s="96">
        <f>'AEO 2023 Table 36 Raw'!I42</f>
        <v>520.34844999999996</v>
      </c>
      <c r="G57" s="96">
        <f>'AEO 2023 Table 36 Raw'!J42</f>
        <v>497.46441700000003</v>
      </c>
      <c r="H57" s="96">
        <f>'AEO 2023 Table 36 Raw'!K42</f>
        <v>487.75363199999998</v>
      </c>
      <c r="I57" s="96">
        <f>'AEO 2023 Table 36 Raw'!L42</f>
        <v>469.75631700000002</v>
      </c>
      <c r="J57" s="96">
        <f>'AEO 2023 Table 36 Raw'!M42</f>
        <v>458.26986699999998</v>
      </c>
      <c r="K57" s="96">
        <f>'AEO 2023 Table 36 Raw'!N42</f>
        <v>449.82733200000001</v>
      </c>
      <c r="L57" s="96">
        <f>'AEO 2023 Table 36 Raw'!O42</f>
        <v>449.95632899999998</v>
      </c>
      <c r="M57" s="96">
        <f>'AEO 2023 Table 36 Raw'!P42</f>
        <v>449.27517699999999</v>
      </c>
      <c r="N57" s="96">
        <f>'AEO 2023 Table 36 Raw'!Q42</f>
        <v>449.44375600000001</v>
      </c>
      <c r="O57" s="96">
        <f>'AEO 2023 Table 36 Raw'!R42</f>
        <v>447.34497099999999</v>
      </c>
      <c r="P57" s="96">
        <f>'AEO 2023 Table 36 Raw'!S42</f>
        <v>447.23684700000001</v>
      </c>
      <c r="Q57" s="96">
        <f>'AEO 2023 Table 36 Raw'!T42</f>
        <v>444.02316300000001</v>
      </c>
      <c r="R57" s="96">
        <f>'AEO 2023 Table 36 Raw'!U42</f>
        <v>442.96899400000001</v>
      </c>
      <c r="S57" s="96">
        <f>'AEO 2023 Table 36 Raw'!V42</f>
        <v>441.815674</v>
      </c>
      <c r="T57" s="96">
        <f>'AEO 2023 Table 36 Raw'!W42</f>
        <v>439.63165300000003</v>
      </c>
      <c r="U57" s="96">
        <f>'AEO 2023 Table 36 Raw'!X42</f>
        <v>437.97662400000002</v>
      </c>
      <c r="V57" s="96">
        <f>'AEO 2023 Table 36 Raw'!Y42</f>
        <v>436.76757800000001</v>
      </c>
      <c r="W57" s="96">
        <f>'AEO 2023 Table 36 Raw'!Z42</f>
        <v>436.80938700000002</v>
      </c>
      <c r="X57" s="96">
        <f>'AEO 2023 Table 36 Raw'!AA42</f>
        <v>435.24386600000003</v>
      </c>
      <c r="Y57" s="96">
        <f>'AEO 2023 Table 36 Raw'!AB42</f>
        <v>434.29315200000002</v>
      </c>
      <c r="Z57" s="96">
        <f>'AEO 2023 Table 36 Raw'!AC42</f>
        <v>432.733093</v>
      </c>
      <c r="AA57" s="96">
        <f>'AEO 2023 Table 36 Raw'!AD42</f>
        <v>438.45755000000003</v>
      </c>
      <c r="AB57" s="96">
        <f>'AEO 2023 Table 36 Raw'!AE42</f>
        <v>437.70047</v>
      </c>
      <c r="AC57" s="96">
        <f>'AEO 2023 Table 36 Raw'!AF42</f>
        <v>432.92089800000002</v>
      </c>
      <c r="AD57" s="96">
        <f>'AEO 2023 Table 36 Raw'!AG42</f>
        <v>429.24749800000001</v>
      </c>
      <c r="AE57" s="96">
        <f>'AEO 2023 Table 36 Raw'!AH42</f>
        <v>424.56079099999999</v>
      </c>
      <c r="AF57" s="97">
        <f>'AEO 2023 Table 36 Raw'!AI42</f>
        <v>-1.7000000000000001E-2</v>
      </c>
    </row>
    <row r="58" spans="1:32" ht="15" customHeight="1">
      <c r="A58" s="18" t="s">
        <v>321</v>
      </c>
      <c r="B58" s="21" t="s">
        <v>309</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322</v>
      </c>
      <c r="B59" s="21" t="s">
        <v>311</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323</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324</v>
      </c>
      <c r="B62" s="21" t="s">
        <v>325</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326</v>
      </c>
      <c r="B63" s="21" t="s">
        <v>327</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328</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329</v>
      </c>
      <c r="B66" s="21" t="s">
        <v>330</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331</v>
      </c>
      <c r="B67" s="21" t="s">
        <v>307</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332</v>
      </c>
      <c r="B68" s="21" t="s">
        <v>333</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334</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335</v>
      </c>
      <c r="B71" s="21" t="s">
        <v>336</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337</v>
      </c>
      <c r="B72" s="21" t="s">
        <v>338</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339</v>
      </c>
      <c r="B73" s="21" t="s">
        <v>340</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s="83" customFormat="1" ht="15" customHeight="1">
      <c r="A74" s="85" t="s">
        <v>341</v>
      </c>
      <c r="B74" s="86" t="s">
        <v>342</v>
      </c>
      <c r="C74" s="87">
        <f>'AEO 2023 Table 36 Raw'!F56</f>
        <v>52.012611</v>
      </c>
      <c r="D74" s="87">
        <f>'AEO 2023 Table 36 Raw'!G56</f>
        <v>54.015754999999999</v>
      </c>
      <c r="E74" s="87">
        <f>'AEO 2023 Table 36 Raw'!H56</f>
        <v>55.245651000000002</v>
      </c>
      <c r="F74" s="87">
        <f>'AEO 2023 Table 36 Raw'!I56</f>
        <v>55.522506999999997</v>
      </c>
      <c r="G74" s="87">
        <f>'AEO 2023 Table 36 Raw'!J56</f>
        <v>56.047764000000001</v>
      </c>
      <c r="H74" s="87">
        <f>'AEO 2023 Table 36 Raw'!K56</f>
        <v>56.442497000000003</v>
      </c>
      <c r="I74" s="87">
        <f>'AEO 2023 Table 36 Raw'!L56</f>
        <v>56.754584999999999</v>
      </c>
      <c r="J74" s="87">
        <f>'AEO 2023 Table 36 Raw'!M56</f>
        <v>56.903236</v>
      </c>
      <c r="K74" s="87">
        <f>'AEO 2023 Table 36 Raw'!N56</f>
        <v>56.888607</v>
      </c>
      <c r="L74" s="87">
        <f>'AEO 2023 Table 36 Raw'!O56</f>
        <v>56.712851999999998</v>
      </c>
      <c r="M74" s="87">
        <f>'AEO 2023 Table 36 Raw'!P56</f>
        <v>56.517417999999999</v>
      </c>
      <c r="N74" s="87">
        <f>'AEO 2023 Table 36 Raw'!Q56</f>
        <v>56.260185</v>
      </c>
      <c r="O74" s="87">
        <f>'AEO 2023 Table 36 Raw'!R56</f>
        <v>56.054282999999998</v>
      </c>
      <c r="P74" s="87">
        <f>'AEO 2023 Table 36 Raw'!S56</f>
        <v>55.704571000000001</v>
      </c>
      <c r="Q74" s="87">
        <f>'AEO 2023 Table 36 Raw'!T56</f>
        <v>55.261519999999997</v>
      </c>
      <c r="R74" s="87">
        <f>'AEO 2023 Table 36 Raw'!U56</f>
        <v>54.562843000000001</v>
      </c>
      <c r="S74" s="87">
        <f>'AEO 2023 Table 36 Raw'!V56</f>
        <v>54.018444000000002</v>
      </c>
      <c r="T74" s="87">
        <f>'AEO 2023 Table 36 Raw'!W56</f>
        <v>53.439864999999998</v>
      </c>
      <c r="U74" s="87">
        <f>'AEO 2023 Table 36 Raw'!X56</f>
        <v>52.799095000000001</v>
      </c>
      <c r="V74" s="87">
        <f>'AEO 2023 Table 36 Raw'!Y56</f>
        <v>52.084651999999998</v>
      </c>
      <c r="W74" s="87">
        <f>'AEO 2023 Table 36 Raw'!Z56</f>
        <v>51.363410999999999</v>
      </c>
      <c r="X74" s="87">
        <f>'AEO 2023 Table 36 Raw'!AA56</f>
        <v>50.487484000000002</v>
      </c>
      <c r="Y74" s="87">
        <f>'AEO 2023 Table 36 Raw'!AB56</f>
        <v>49.676124999999999</v>
      </c>
      <c r="Z74" s="87">
        <f>'AEO 2023 Table 36 Raw'!AC56</f>
        <v>48.788139000000001</v>
      </c>
      <c r="AA74" s="87">
        <f>'AEO 2023 Table 36 Raw'!AD56</f>
        <v>48.012000999999998</v>
      </c>
      <c r="AB74" s="87">
        <f>'AEO 2023 Table 36 Raw'!AE56</f>
        <v>46.925766000000003</v>
      </c>
      <c r="AC74" s="87">
        <f>'AEO 2023 Table 36 Raw'!AF56</f>
        <v>45.703896</v>
      </c>
      <c r="AD74" s="87">
        <f>'AEO 2023 Table 36 Raw'!AG56</f>
        <v>44.05574</v>
      </c>
      <c r="AE74" s="87">
        <f>'AEO 2023 Table 36 Raw'!AH56</f>
        <v>42.693801999999998</v>
      </c>
      <c r="AF74" s="88">
        <f>'AEO 2023 Table 36 Raw'!AI56</f>
        <v>-7.0000000000000001E-3</v>
      </c>
    </row>
    <row r="75" spans="1:32" ht="15" customHeight="1">
      <c r="A75" s="18" t="s">
        <v>343</v>
      </c>
      <c r="B75" s="21" t="s">
        <v>344</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345</v>
      </c>
      <c r="B76" s="21" t="s">
        <v>346</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347</v>
      </c>
      <c r="B77" s="21" t="s">
        <v>348</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349</v>
      </c>
      <c r="B78" s="21" t="s">
        <v>350</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351</v>
      </c>
      <c r="B79" s="21" t="s">
        <v>352</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353</v>
      </c>
      <c r="B80" s="21" t="s">
        <v>338</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354</v>
      </c>
      <c r="B81" s="21" t="s">
        <v>340</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s="7" customFormat="1" ht="15" customHeight="1">
      <c r="A82" s="89" t="s">
        <v>355</v>
      </c>
      <c r="B82" s="90" t="s">
        <v>342</v>
      </c>
      <c r="C82" s="91">
        <f>'AEO 2023 Table 36 Raw'!F64</f>
        <v>26.118862</v>
      </c>
      <c r="D82" s="91">
        <f>'AEO 2023 Table 36 Raw'!G64</f>
        <v>28.024412000000002</v>
      </c>
      <c r="E82" s="91">
        <f>'AEO 2023 Table 36 Raw'!H64</f>
        <v>29.477226000000002</v>
      </c>
      <c r="F82" s="91">
        <f>'AEO 2023 Table 36 Raw'!I64</f>
        <v>30.571621</v>
      </c>
      <c r="G82" s="91">
        <f>'AEO 2023 Table 36 Raw'!J64</f>
        <v>31.3964</v>
      </c>
      <c r="H82" s="91">
        <f>'AEO 2023 Table 36 Raw'!K64</f>
        <v>32.010112999999997</v>
      </c>
      <c r="I82" s="91">
        <f>'AEO 2023 Table 36 Raw'!L64</f>
        <v>32.464531000000001</v>
      </c>
      <c r="J82" s="91">
        <f>'AEO 2023 Table 36 Raw'!M64</f>
        <v>32.799759000000002</v>
      </c>
      <c r="K82" s="91">
        <f>'AEO 2023 Table 36 Raw'!N64</f>
        <v>33.046233999999998</v>
      </c>
      <c r="L82" s="91">
        <f>'AEO 2023 Table 36 Raw'!O64</f>
        <v>33.226050999999998</v>
      </c>
      <c r="M82" s="91">
        <f>'AEO 2023 Table 36 Raw'!P64</f>
        <v>33.352477999999998</v>
      </c>
      <c r="N82" s="91">
        <f>'AEO 2023 Table 36 Raw'!Q64</f>
        <v>33.43018</v>
      </c>
      <c r="O82" s="91">
        <f>'AEO 2023 Table 36 Raw'!R64</f>
        <v>33.466476</v>
      </c>
      <c r="P82" s="91">
        <f>'AEO 2023 Table 36 Raw'!S64</f>
        <v>33.469250000000002</v>
      </c>
      <c r="Q82" s="91">
        <f>'AEO 2023 Table 36 Raw'!T64</f>
        <v>33.445160000000001</v>
      </c>
      <c r="R82" s="91">
        <f>'AEO 2023 Table 36 Raw'!U64</f>
        <v>33.397396000000001</v>
      </c>
      <c r="S82" s="91">
        <f>'AEO 2023 Table 36 Raw'!V64</f>
        <v>33.349758000000001</v>
      </c>
      <c r="T82" s="91">
        <f>'AEO 2023 Table 36 Raw'!W64</f>
        <v>33.294384000000001</v>
      </c>
      <c r="U82" s="91">
        <f>'AEO 2023 Table 36 Raw'!X64</f>
        <v>33.234276000000001</v>
      </c>
      <c r="V82" s="91">
        <f>'AEO 2023 Table 36 Raw'!Y64</f>
        <v>33.167285999999997</v>
      </c>
      <c r="W82" s="91">
        <f>'AEO 2023 Table 36 Raw'!Z64</f>
        <v>33.096901000000003</v>
      </c>
      <c r="X82" s="91">
        <f>'AEO 2023 Table 36 Raw'!AA64</f>
        <v>33.025081999999998</v>
      </c>
      <c r="Y82" s="91">
        <f>'AEO 2023 Table 36 Raw'!AB64</f>
        <v>32.951076999999998</v>
      </c>
      <c r="Z82" s="91">
        <f>'AEO 2023 Table 36 Raw'!AC64</f>
        <v>32.875145000000003</v>
      </c>
      <c r="AA82" s="91">
        <f>'AEO 2023 Table 36 Raw'!AD64</f>
        <v>32.799278000000001</v>
      </c>
      <c r="AB82" s="91">
        <f>'AEO 2023 Table 36 Raw'!AE64</f>
        <v>32.723492</v>
      </c>
      <c r="AC82" s="91">
        <f>'AEO 2023 Table 36 Raw'!AF64</f>
        <v>32.646706000000002</v>
      </c>
      <c r="AD82" s="91">
        <f>'AEO 2023 Table 36 Raw'!AG64</f>
        <v>32.569450000000003</v>
      </c>
      <c r="AE82" s="91">
        <f>'AEO 2023 Table 36 Raw'!AH64</f>
        <v>32.494362000000002</v>
      </c>
      <c r="AF82" s="92">
        <f>'AEO 2023 Table 36 Raw'!AI64</f>
        <v>8.0000000000000002E-3</v>
      </c>
    </row>
    <row r="83" spans="1:32" ht="15" customHeight="1">
      <c r="A83" s="18" t="s">
        <v>356</v>
      </c>
      <c r="B83" s="21" t="s">
        <v>344</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357</v>
      </c>
      <c r="B84" s="21" t="s">
        <v>346</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358</v>
      </c>
      <c r="B85" s="21" t="s">
        <v>348</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359</v>
      </c>
      <c r="B86" s="21" t="s">
        <v>350</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360</v>
      </c>
      <c r="B87" s="21" t="s">
        <v>361</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362</v>
      </c>
      <c r="B88" s="21" t="s">
        <v>338</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363</v>
      </c>
      <c r="B89" s="21" t="s">
        <v>340</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s="83" customFormat="1" ht="15" customHeight="1">
      <c r="A90" s="85" t="s">
        <v>364</v>
      </c>
      <c r="B90" s="86" t="s">
        <v>342</v>
      </c>
      <c r="C90" s="87">
        <f>'AEO 2023 Table 36 Raw'!F72</f>
        <v>75.219893999999996</v>
      </c>
      <c r="D90" s="87">
        <f>'AEO 2023 Table 36 Raw'!G72</f>
        <v>78.605819999999994</v>
      </c>
      <c r="E90" s="87">
        <f>'AEO 2023 Table 36 Raw'!H72</f>
        <v>78.857498000000007</v>
      </c>
      <c r="F90" s="87">
        <f>'AEO 2023 Table 36 Raw'!I72</f>
        <v>78.076453999999998</v>
      </c>
      <c r="G90" s="87">
        <f>'AEO 2023 Table 36 Raw'!J72</f>
        <v>76.964111000000003</v>
      </c>
      <c r="H90" s="87">
        <f>'AEO 2023 Table 36 Raw'!K72</f>
        <v>76.079750000000004</v>
      </c>
      <c r="I90" s="87">
        <f>'AEO 2023 Table 36 Raw'!L72</f>
        <v>75.233322000000001</v>
      </c>
      <c r="J90" s="87">
        <f>'AEO 2023 Table 36 Raw'!M72</f>
        <v>74.338866999999993</v>
      </c>
      <c r="K90" s="87">
        <f>'AEO 2023 Table 36 Raw'!N72</f>
        <v>73.430572999999995</v>
      </c>
      <c r="L90" s="87">
        <f>'AEO 2023 Table 36 Raw'!O72</f>
        <v>72.491912999999997</v>
      </c>
      <c r="M90" s="87">
        <f>'AEO 2023 Table 36 Raw'!P72</f>
        <v>71.594031999999999</v>
      </c>
      <c r="N90" s="87">
        <f>'AEO 2023 Table 36 Raw'!Q72</f>
        <v>71.837708000000006</v>
      </c>
      <c r="O90" s="87">
        <f>'AEO 2023 Table 36 Raw'!R72</f>
        <v>71.512496999999996</v>
      </c>
      <c r="P90" s="87">
        <f>'AEO 2023 Table 36 Raw'!S72</f>
        <v>71.239052000000001</v>
      </c>
      <c r="Q90" s="87">
        <f>'AEO 2023 Table 36 Raw'!T72</f>
        <v>70.989593999999997</v>
      </c>
      <c r="R90" s="87">
        <f>'AEO 2023 Table 36 Raw'!U72</f>
        <v>70.790924000000004</v>
      </c>
      <c r="S90" s="87">
        <f>'AEO 2023 Table 36 Raw'!V72</f>
        <v>70.163764999999998</v>
      </c>
      <c r="T90" s="87">
        <f>'AEO 2023 Table 36 Raw'!W72</f>
        <v>69.442642000000006</v>
      </c>
      <c r="U90" s="87">
        <f>'AEO 2023 Table 36 Raw'!X72</f>
        <v>68.681884999999994</v>
      </c>
      <c r="V90" s="87">
        <f>'AEO 2023 Table 36 Raw'!Y72</f>
        <v>67.900276000000005</v>
      </c>
      <c r="W90" s="87">
        <f>'AEO 2023 Table 36 Raw'!Z72</f>
        <v>67.010056000000006</v>
      </c>
      <c r="X90" s="87">
        <f>'AEO 2023 Table 36 Raw'!AA72</f>
        <v>66.063095000000004</v>
      </c>
      <c r="Y90" s="87">
        <f>'AEO 2023 Table 36 Raw'!AB72</f>
        <v>65.078491</v>
      </c>
      <c r="Z90" s="87">
        <f>'AEO 2023 Table 36 Raw'!AC72</f>
        <v>64.041968999999995</v>
      </c>
      <c r="AA90" s="87">
        <f>'AEO 2023 Table 36 Raw'!AD72</f>
        <v>62.83419</v>
      </c>
      <c r="AB90" s="87">
        <f>'AEO 2023 Table 36 Raw'!AE72</f>
        <v>61.602939999999997</v>
      </c>
      <c r="AC90" s="87">
        <f>'AEO 2023 Table 36 Raw'!AF72</f>
        <v>60.321541000000003</v>
      </c>
      <c r="AD90" s="87">
        <f>'AEO 2023 Table 36 Raw'!AG72</f>
        <v>58.979691000000003</v>
      </c>
      <c r="AE90" s="87">
        <f>'AEO 2023 Table 36 Raw'!AH72</f>
        <v>57.607379999999999</v>
      </c>
      <c r="AF90" s="88">
        <f>'AEO 2023 Table 36 Raw'!AI72</f>
        <v>-8.9999999999999993E-3</v>
      </c>
    </row>
    <row r="91" spans="1:32" ht="15" customHeight="1">
      <c r="A91" s="18" t="s">
        <v>365</v>
      </c>
      <c r="B91" s="21" t="s">
        <v>344</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366</v>
      </c>
      <c r="B92" s="21" t="s">
        <v>346</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367</v>
      </c>
      <c r="B93" s="21" t="s">
        <v>348</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368</v>
      </c>
      <c r="B94" s="21" t="s">
        <v>350</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369</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370</v>
      </c>
      <c r="B96" s="21" t="s">
        <v>371</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372</v>
      </c>
      <c r="B97" s="21" t="s">
        <v>348</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s="98" customFormat="1" ht="15" customHeight="1">
      <c r="A98" s="94" t="s">
        <v>373</v>
      </c>
      <c r="B98" s="95" t="s">
        <v>374</v>
      </c>
      <c r="C98" s="96">
        <f>'AEO 2023 Table 36 Raw'!F80</f>
        <v>6.6714880000000001</v>
      </c>
      <c r="D98" s="96">
        <f>'AEO 2023 Table 36 Raw'!G80</f>
        <v>7.2654709999999998</v>
      </c>
      <c r="E98" s="96">
        <f>'AEO 2023 Table 36 Raw'!H80</f>
        <v>7.7406600000000001</v>
      </c>
      <c r="F98" s="96">
        <f>'AEO 2023 Table 36 Raw'!I80</f>
        <v>8.1190700000000007</v>
      </c>
      <c r="G98" s="96">
        <f>'AEO 2023 Table 36 Raw'!J80</f>
        <v>8.4234919999999995</v>
      </c>
      <c r="H98" s="96">
        <f>'AEO 2023 Table 36 Raw'!K80</f>
        <v>8.6713430000000002</v>
      </c>
      <c r="I98" s="96">
        <f>'AEO 2023 Table 36 Raw'!L80</f>
        <v>8.8768399999999996</v>
      </c>
      <c r="J98" s="96">
        <f>'AEO 2023 Table 36 Raw'!M80</f>
        <v>9.0509690000000003</v>
      </c>
      <c r="K98" s="96">
        <f>'AEO 2023 Table 36 Raw'!N80</f>
        <v>9.2017959999999999</v>
      </c>
      <c r="L98" s="96">
        <f>'AEO 2023 Table 36 Raw'!O80</f>
        <v>9.3344020000000008</v>
      </c>
      <c r="M98" s="96">
        <f>'AEO 2023 Table 36 Raw'!P80</f>
        <v>9.451174</v>
      </c>
      <c r="N98" s="96">
        <f>'AEO 2023 Table 36 Raw'!Q80</f>
        <v>9.5536139999999996</v>
      </c>
      <c r="O98" s="96">
        <f>'AEO 2023 Table 36 Raw'!R80</f>
        <v>9.6445030000000003</v>
      </c>
      <c r="P98" s="96">
        <f>'AEO 2023 Table 36 Raw'!S80</f>
        <v>9.7258639999999996</v>
      </c>
      <c r="Q98" s="96">
        <f>'AEO 2023 Table 36 Raw'!T80</f>
        <v>9.7989709999999999</v>
      </c>
      <c r="R98" s="96">
        <f>'AEO 2023 Table 36 Raw'!U80</f>
        <v>9.8646600000000007</v>
      </c>
      <c r="S98" s="96">
        <f>'AEO 2023 Table 36 Raw'!V80</f>
        <v>9.9305540000000008</v>
      </c>
      <c r="T98" s="96">
        <f>'AEO 2023 Table 36 Raw'!W80</f>
        <v>9.9942869999999999</v>
      </c>
      <c r="U98" s="96">
        <f>'AEO 2023 Table 36 Raw'!X80</f>
        <v>10.05583</v>
      </c>
      <c r="V98" s="96">
        <f>'AEO 2023 Table 36 Raw'!Y80</f>
        <v>10.115524000000001</v>
      </c>
      <c r="W98" s="96">
        <f>'AEO 2023 Table 36 Raw'!Z80</f>
        <v>10.174401</v>
      </c>
      <c r="X98" s="96">
        <f>'AEO 2023 Table 36 Raw'!AA80</f>
        <v>10.232915</v>
      </c>
      <c r="Y98" s="96">
        <f>'AEO 2023 Table 36 Raw'!AB80</f>
        <v>10.291131999999999</v>
      </c>
      <c r="Z98" s="96">
        <f>'AEO 2023 Table 36 Raw'!AC80</f>
        <v>10.349038</v>
      </c>
      <c r="AA98" s="96">
        <f>'AEO 2023 Table 36 Raw'!AD80</f>
        <v>10.406974999999999</v>
      </c>
      <c r="AB98" s="96">
        <f>'AEO 2023 Table 36 Raw'!AE80</f>
        <v>10.464753</v>
      </c>
      <c r="AC98" s="96">
        <f>'AEO 2023 Table 36 Raw'!AF80</f>
        <v>10.522335999999999</v>
      </c>
      <c r="AD98" s="96">
        <f>'AEO 2023 Table 36 Raw'!AG80</f>
        <v>10.579936</v>
      </c>
      <c r="AE98" s="96">
        <f>'AEO 2023 Table 36 Raw'!AH80</f>
        <v>10.637527</v>
      </c>
      <c r="AF98" s="97">
        <f>'AEO 2023 Table 36 Raw'!AI80</f>
        <v>1.7000000000000001E-2</v>
      </c>
    </row>
    <row r="99" spans="1:32" ht="15" customHeight="1">
      <c r="A99" s="18" t="s">
        <v>375</v>
      </c>
      <c r="B99" s="21" t="s">
        <v>376</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377</v>
      </c>
      <c r="B100" s="21" t="s">
        <v>378</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379</v>
      </c>
      <c r="B101" s="21" t="s">
        <v>380</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381</v>
      </c>
      <c r="B102" s="21" t="s">
        <v>348</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382</v>
      </c>
      <c r="B103" s="21" t="s">
        <v>383</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384</v>
      </c>
      <c r="B104" s="21" t="s">
        <v>348</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s="103" customFormat="1" ht="15" customHeight="1">
      <c r="A105" s="99" t="s">
        <v>385</v>
      </c>
      <c r="B105" s="100" t="s">
        <v>374</v>
      </c>
      <c r="C105" s="101">
        <f>'AEO 2023 Table 36 Raw'!F87</f>
        <v>12.319345</v>
      </c>
      <c r="D105" s="101">
        <f>'AEO 2023 Table 36 Raw'!G87</f>
        <v>12.754084000000001</v>
      </c>
      <c r="E105" s="101">
        <f>'AEO 2023 Table 36 Raw'!H87</f>
        <v>12.951098999999999</v>
      </c>
      <c r="F105" s="101">
        <f>'AEO 2023 Table 36 Raw'!I87</f>
        <v>13.0875</v>
      </c>
      <c r="G105" s="101">
        <f>'AEO 2023 Table 36 Raw'!J87</f>
        <v>13.247013000000001</v>
      </c>
      <c r="H105" s="101">
        <f>'AEO 2023 Table 36 Raw'!K87</f>
        <v>13.374840000000001</v>
      </c>
      <c r="I105" s="101">
        <f>'AEO 2023 Table 36 Raw'!L87</f>
        <v>13.485250000000001</v>
      </c>
      <c r="J105" s="101">
        <f>'AEO 2023 Table 36 Raw'!M87</f>
        <v>13.650337</v>
      </c>
      <c r="K105" s="101">
        <f>'AEO 2023 Table 36 Raw'!N87</f>
        <v>13.778123000000001</v>
      </c>
      <c r="L105" s="101">
        <f>'AEO 2023 Table 36 Raw'!O87</f>
        <v>13.919407</v>
      </c>
      <c r="M105" s="101">
        <f>'AEO 2023 Table 36 Raw'!P87</f>
        <v>14.086574000000001</v>
      </c>
      <c r="N105" s="101">
        <f>'AEO 2023 Table 36 Raw'!Q87</f>
        <v>14.269936</v>
      </c>
      <c r="O105" s="101">
        <f>'AEO 2023 Table 36 Raw'!R87</f>
        <v>14.47296</v>
      </c>
      <c r="P105" s="101">
        <f>'AEO 2023 Table 36 Raw'!S87</f>
        <v>14.65319</v>
      </c>
      <c r="Q105" s="101">
        <f>'AEO 2023 Table 36 Raw'!T87</f>
        <v>14.821736</v>
      </c>
      <c r="R105" s="101">
        <f>'AEO 2023 Table 36 Raw'!U87</f>
        <v>14.990353000000001</v>
      </c>
      <c r="S105" s="101">
        <f>'AEO 2023 Table 36 Raw'!V87</f>
        <v>15.164637000000001</v>
      </c>
      <c r="T105" s="101">
        <f>'AEO 2023 Table 36 Raw'!W87</f>
        <v>15.334455</v>
      </c>
      <c r="U105" s="101">
        <f>'AEO 2023 Table 36 Raw'!X87</f>
        <v>15.528098999999999</v>
      </c>
      <c r="V105" s="101">
        <f>'AEO 2023 Table 36 Raw'!Y87</f>
        <v>15.708705999999999</v>
      </c>
      <c r="W105" s="101">
        <f>'AEO 2023 Table 36 Raw'!Z87</f>
        <v>15.896927</v>
      </c>
      <c r="X105" s="101">
        <f>'AEO 2023 Table 36 Raw'!AA87</f>
        <v>16.064747000000001</v>
      </c>
      <c r="Y105" s="101">
        <f>'AEO 2023 Table 36 Raw'!AB87</f>
        <v>16.249043</v>
      </c>
      <c r="Z105" s="101">
        <f>'AEO 2023 Table 36 Raw'!AC87</f>
        <v>16.435102000000001</v>
      </c>
      <c r="AA105" s="101">
        <f>'AEO 2023 Table 36 Raw'!AD87</f>
        <v>16.682510000000001</v>
      </c>
      <c r="AB105" s="101">
        <f>'AEO 2023 Table 36 Raw'!AE87</f>
        <v>16.901668999999998</v>
      </c>
      <c r="AC105" s="101">
        <f>'AEO 2023 Table 36 Raw'!AF87</f>
        <v>17.137882000000001</v>
      </c>
      <c r="AD105" s="101">
        <f>'AEO 2023 Table 36 Raw'!AG87</f>
        <v>17.355803999999999</v>
      </c>
      <c r="AE105" s="101">
        <f>'AEO 2023 Table 36 Raw'!AH87</f>
        <v>17.614474999999999</v>
      </c>
      <c r="AF105" s="102">
        <f>'AEO 2023 Table 36 Raw'!AI87</f>
        <v>1.2999999999999999E-2</v>
      </c>
    </row>
    <row r="106" spans="1:32" ht="15" customHeight="1">
      <c r="A106" s="18" t="s">
        <v>386</v>
      </c>
      <c r="B106" s="21" t="s">
        <v>376</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387</v>
      </c>
      <c r="B107" s="21" t="s">
        <v>378</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388</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389</v>
      </c>
      <c r="B110" s="21" t="s">
        <v>390</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391</v>
      </c>
      <c r="B111" s="21" t="s">
        <v>274</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392</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393</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394</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113" t="s">
        <v>395</v>
      </c>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row>
    <row r="119" spans="1:32" ht="15" customHeight="1">
      <c r="B119" s="22" t="s">
        <v>396</v>
      </c>
    </row>
    <row r="120" spans="1:32" ht="15" customHeight="1">
      <c r="B120" s="22" t="s">
        <v>397</v>
      </c>
    </row>
    <row r="121" spans="1:32" ht="15" customHeight="1">
      <c r="B121" s="22" t="s">
        <v>398</v>
      </c>
    </row>
    <row r="122" spans="1:32" ht="15" customHeight="1">
      <c r="B122" s="22" t="s">
        <v>399</v>
      </c>
    </row>
    <row r="123" spans="1:32" ht="15" customHeight="1">
      <c r="B123" s="22" t="s">
        <v>262</v>
      </c>
    </row>
    <row r="124" spans="1:32" ht="15" customHeight="1">
      <c r="B124" s="22" t="s">
        <v>261</v>
      </c>
    </row>
    <row r="125" spans="1:32" ht="15" customHeight="1">
      <c r="B125" s="22" t="s">
        <v>400</v>
      </c>
    </row>
    <row r="126" spans="1:32" ht="15" customHeight="1">
      <c r="B126" s="22" t="s">
        <v>401</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c r="AC557" s="108"/>
      <c r="AD557" s="108"/>
      <c r="AE557" s="108"/>
      <c r="AF557" s="108"/>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c r="AC638" s="108"/>
      <c r="AD638" s="108"/>
      <c r="AE638" s="108"/>
      <c r="AF638" s="108"/>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c r="AC710" s="108"/>
      <c r="AD710" s="108"/>
      <c r="AE710" s="108"/>
      <c r="AF710" s="108"/>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c r="AB969" s="108"/>
      <c r="AC969" s="108"/>
      <c r="AD969" s="108"/>
      <c r="AE969" s="108"/>
      <c r="AF969" s="108"/>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108"/>
      <c r="C1071" s="108"/>
      <c r="D1071" s="108"/>
      <c r="E1071" s="108"/>
      <c r="F1071" s="108"/>
      <c r="G1071" s="108"/>
      <c r="H1071" s="108"/>
      <c r="I1071" s="108"/>
      <c r="J1071" s="108"/>
      <c r="K1071" s="108"/>
      <c r="L1071" s="108"/>
      <c r="M1071" s="108"/>
      <c r="N1071" s="108"/>
      <c r="O1071" s="108"/>
      <c r="P1071" s="108"/>
      <c r="Q1071" s="108"/>
      <c r="R1071" s="108"/>
      <c r="S1071" s="108"/>
      <c r="T1071" s="108"/>
      <c r="U1071" s="108"/>
      <c r="V1071" s="108"/>
      <c r="W1071" s="108"/>
      <c r="X1071" s="108"/>
      <c r="Y1071" s="108"/>
      <c r="Z1071" s="108"/>
      <c r="AA1071" s="108"/>
      <c r="AB1071" s="108"/>
      <c r="AC1071" s="108"/>
      <c r="AD1071" s="108"/>
      <c r="AE1071" s="108"/>
      <c r="AF1071" s="108"/>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108"/>
      <c r="C1169" s="108"/>
      <c r="D1169" s="108"/>
      <c r="E1169" s="108"/>
      <c r="F1169" s="108"/>
      <c r="G1169" s="108"/>
      <c r="H1169" s="108"/>
      <c r="I1169" s="108"/>
      <c r="J1169" s="108"/>
      <c r="K1169" s="108"/>
      <c r="L1169" s="108"/>
      <c r="M1169" s="108"/>
      <c r="N1169" s="108"/>
      <c r="O1169" s="108"/>
      <c r="P1169" s="108"/>
      <c r="Q1169" s="108"/>
      <c r="R1169" s="108"/>
      <c r="S1169" s="108"/>
      <c r="T1169" s="108"/>
      <c r="U1169" s="108"/>
      <c r="V1169" s="108"/>
      <c r="W1169" s="108"/>
      <c r="X1169" s="108"/>
      <c r="Y1169" s="108"/>
      <c r="Z1169" s="108"/>
      <c r="AA1169" s="108"/>
      <c r="AB1169" s="108"/>
      <c r="AC1169" s="108"/>
      <c r="AD1169" s="108"/>
      <c r="AE1169" s="108"/>
      <c r="AF1169" s="108"/>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108"/>
      <c r="C1269" s="108"/>
      <c r="D1269" s="108"/>
      <c r="E1269" s="108"/>
      <c r="F1269" s="108"/>
      <c r="G1269" s="108"/>
      <c r="H1269" s="108"/>
      <c r="I1269" s="108"/>
      <c r="J1269" s="108"/>
      <c r="K1269" s="108"/>
      <c r="L1269" s="108"/>
      <c r="M1269" s="108"/>
      <c r="N1269" s="108"/>
      <c r="O1269" s="108"/>
      <c r="P1269" s="108"/>
      <c r="Q1269" s="108"/>
      <c r="R1269" s="108"/>
      <c r="S1269" s="108"/>
      <c r="T1269" s="108"/>
      <c r="U1269" s="108"/>
      <c r="V1269" s="108"/>
      <c r="W1269" s="108"/>
      <c r="X1269" s="108"/>
      <c r="Y1269" s="108"/>
      <c r="Z1269" s="108"/>
      <c r="AA1269" s="108"/>
      <c r="AB1269" s="108"/>
      <c r="AC1269" s="108"/>
      <c r="AD1269" s="108"/>
      <c r="AE1269" s="108"/>
      <c r="AF1269" s="108"/>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108"/>
      <c r="C1484" s="108"/>
      <c r="D1484" s="108"/>
      <c r="E1484" s="108"/>
      <c r="F1484" s="108"/>
      <c r="G1484" s="108"/>
      <c r="H1484" s="108"/>
      <c r="I1484" s="108"/>
      <c r="J1484" s="108"/>
      <c r="K1484" s="108"/>
      <c r="L1484" s="108"/>
      <c r="M1484" s="108"/>
      <c r="N1484" s="108"/>
      <c r="O1484" s="108"/>
      <c r="P1484" s="108"/>
      <c r="Q1484" s="108"/>
      <c r="R1484" s="108"/>
      <c r="S1484" s="108"/>
      <c r="T1484" s="108"/>
      <c r="U1484" s="108"/>
      <c r="V1484" s="108"/>
      <c r="W1484" s="108"/>
      <c r="X1484" s="108"/>
      <c r="Y1484" s="108"/>
      <c r="Z1484" s="108"/>
      <c r="AA1484" s="108"/>
      <c r="AB1484" s="108"/>
      <c r="AC1484" s="108"/>
      <c r="AD1484" s="108"/>
      <c r="AE1484" s="108"/>
      <c r="AF1484" s="108"/>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108"/>
      <c r="C1713" s="108"/>
      <c r="D1713" s="108"/>
      <c r="E1713" s="108"/>
      <c r="F1713" s="108"/>
      <c r="G1713" s="108"/>
      <c r="H1713" s="108"/>
      <c r="I1713" s="108"/>
      <c r="J1713" s="108"/>
      <c r="K1713" s="108"/>
      <c r="L1713" s="108"/>
      <c r="M1713" s="108"/>
      <c r="N1713" s="108"/>
      <c r="O1713" s="108"/>
      <c r="P1713" s="108"/>
      <c r="Q1713" s="108"/>
      <c r="R1713" s="108"/>
      <c r="S1713" s="108"/>
      <c r="T1713" s="108"/>
      <c r="U1713" s="108"/>
      <c r="V1713" s="108"/>
      <c r="W1713" s="108"/>
      <c r="X1713" s="108"/>
      <c r="Y1713" s="108"/>
      <c r="Z1713" s="108"/>
      <c r="AA1713" s="108"/>
      <c r="AB1713" s="108"/>
      <c r="AC1713" s="108"/>
      <c r="AD1713" s="108"/>
      <c r="AE1713" s="108"/>
      <c r="AF1713" s="108"/>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108"/>
      <c r="C1990" s="108"/>
      <c r="D1990" s="108"/>
      <c r="E1990" s="108"/>
      <c r="F1990" s="108"/>
      <c r="G1990" s="108"/>
      <c r="H1990" s="108"/>
      <c r="I1990" s="108"/>
      <c r="J1990" s="108"/>
      <c r="K1990" s="108"/>
      <c r="L1990" s="108"/>
      <c r="M1990" s="108"/>
      <c r="N1990" s="108"/>
      <c r="O1990" s="108"/>
      <c r="P1990" s="108"/>
      <c r="Q1990" s="108"/>
      <c r="R1990" s="108"/>
      <c r="S1990" s="108"/>
      <c r="T1990" s="108"/>
      <c r="U1990" s="108"/>
      <c r="V1990" s="108"/>
      <c r="W1990" s="108"/>
      <c r="X1990" s="108"/>
      <c r="Y1990" s="108"/>
      <c r="Z1990" s="108"/>
      <c r="AA1990" s="108"/>
      <c r="AB1990" s="108"/>
      <c r="AC1990" s="108"/>
      <c r="AD1990" s="108"/>
      <c r="AE1990" s="108"/>
      <c r="AF1990" s="108"/>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108"/>
      <c r="C2325" s="108"/>
      <c r="D2325" s="108"/>
      <c r="E2325" s="108"/>
      <c r="F2325" s="108"/>
      <c r="G2325" s="108"/>
      <c r="H2325" s="108"/>
      <c r="I2325" s="108"/>
      <c r="J2325" s="108"/>
      <c r="K2325" s="108"/>
      <c r="L2325" s="108"/>
      <c r="M2325" s="108"/>
      <c r="N2325" s="108"/>
      <c r="O2325" s="108"/>
      <c r="P2325" s="108"/>
      <c r="Q2325" s="108"/>
      <c r="R2325" s="108"/>
      <c r="S2325" s="108"/>
      <c r="T2325" s="108"/>
      <c r="U2325" s="108"/>
      <c r="V2325" s="108"/>
      <c r="W2325" s="108"/>
      <c r="X2325" s="108"/>
      <c r="Y2325" s="108"/>
      <c r="Z2325" s="108"/>
      <c r="AA2325" s="108"/>
      <c r="AB2325" s="108"/>
      <c r="AC2325" s="108"/>
      <c r="AD2325" s="108"/>
      <c r="AE2325" s="108"/>
      <c r="AF2325" s="108"/>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108"/>
      <c r="C2645" s="108"/>
      <c r="D2645" s="108"/>
      <c r="E2645" s="108"/>
      <c r="F2645" s="108"/>
      <c r="G2645" s="108"/>
      <c r="H2645" s="108"/>
      <c r="I2645" s="108"/>
      <c r="J2645" s="108"/>
      <c r="K2645" s="108"/>
      <c r="L2645" s="108"/>
      <c r="M2645" s="108"/>
      <c r="N2645" s="108"/>
      <c r="O2645" s="108"/>
      <c r="P2645" s="108"/>
      <c r="Q2645" s="108"/>
      <c r="R2645" s="108"/>
      <c r="S2645" s="108"/>
      <c r="T2645" s="108"/>
      <c r="U2645" s="108"/>
      <c r="V2645" s="108"/>
      <c r="W2645" s="108"/>
      <c r="X2645" s="108"/>
      <c r="Y2645" s="108"/>
      <c r="Z2645" s="108"/>
      <c r="AA2645" s="108"/>
      <c r="AB2645" s="108"/>
      <c r="AC2645" s="108"/>
      <c r="AD2645" s="108"/>
      <c r="AE2645" s="108"/>
      <c r="AF2645" s="108"/>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108"/>
      <c r="C2971" s="108"/>
      <c r="D2971" s="108"/>
      <c r="E2971" s="108"/>
      <c r="F2971" s="108"/>
      <c r="G2971" s="108"/>
      <c r="H2971" s="108"/>
      <c r="I2971" s="108"/>
      <c r="J2971" s="108"/>
      <c r="K2971" s="108"/>
      <c r="L2971" s="108"/>
      <c r="M2971" s="108"/>
      <c r="N2971" s="108"/>
      <c r="O2971" s="108"/>
      <c r="P2971" s="108"/>
      <c r="Q2971" s="108"/>
      <c r="R2971" s="108"/>
      <c r="S2971" s="108"/>
      <c r="T2971" s="108"/>
      <c r="U2971" s="108"/>
      <c r="V2971" s="108"/>
      <c r="W2971" s="108"/>
      <c r="X2971" s="108"/>
      <c r="Y2971" s="108"/>
      <c r="Z2971" s="108"/>
      <c r="AA2971" s="108"/>
      <c r="AB2971" s="108"/>
      <c r="AC2971" s="108"/>
      <c r="AD2971" s="108"/>
      <c r="AE2971" s="108"/>
      <c r="AF2971" s="108"/>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108"/>
      <c r="C3293" s="108"/>
      <c r="D3293" s="108"/>
      <c r="E3293" s="108"/>
      <c r="F3293" s="108"/>
      <c r="G3293" s="108"/>
      <c r="H3293" s="108"/>
      <c r="I3293" s="108"/>
      <c r="J3293" s="108"/>
      <c r="K3293" s="108"/>
      <c r="L3293" s="108"/>
      <c r="M3293" s="108"/>
      <c r="N3293" s="108"/>
      <c r="O3293" s="108"/>
      <c r="P3293" s="108"/>
      <c r="Q3293" s="108"/>
      <c r="R3293" s="108"/>
      <c r="S3293" s="108"/>
      <c r="T3293" s="108"/>
      <c r="U3293" s="108"/>
      <c r="V3293" s="108"/>
      <c r="W3293" s="108"/>
      <c r="X3293" s="108"/>
      <c r="Y3293" s="108"/>
      <c r="Z3293" s="108"/>
      <c r="AA3293" s="108"/>
      <c r="AB3293" s="108"/>
      <c r="AC3293" s="108"/>
      <c r="AD3293" s="108"/>
      <c r="AE3293" s="108"/>
      <c r="AF3293" s="108"/>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108"/>
      <c r="C3402" s="108"/>
      <c r="D3402" s="108"/>
      <c r="E3402" s="108"/>
      <c r="F3402" s="108"/>
      <c r="G3402" s="108"/>
      <c r="H3402" s="108"/>
      <c r="I3402" s="108"/>
      <c r="J3402" s="108"/>
      <c r="K3402" s="108"/>
      <c r="L3402" s="108"/>
      <c r="M3402" s="108"/>
      <c r="N3402" s="108"/>
      <c r="O3402" s="108"/>
      <c r="P3402" s="108"/>
      <c r="Q3402" s="108"/>
      <c r="R3402" s="108"/>
      <c r="S3402" s="108"/>
      <c r="T3402" s="108"/>
      <c r="U3402" s="108"/>
      <c r="V3402" s="108"/>
      <c r="W3402" s="108"/>
      <c r="X3402" s="108"/>
      <c r="Y3402" s="108"/>
      <c r="Z3402" s="108"/>
      <c r="AA3402" s="108"/>
      <c r="AB3402" s="108"/>
      <c r="AC3402" s="108"/>
      <c r="AD3402" s="108"/>
      <c r="AE3402" s="108"/>
      <c r="AF3402" s="108"/>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108"/>
      <c r="C3527" s="108"/>
      <c r="D3527" s="108"/>
      <c r="E3527" s="108"/>
      <c r="F3527" s="108"/>
      <c r="G3527" s="108"/>
      <c r="H3527" s="108"/>
      <c r="I3527" s="108"/>
      <c r="J3527" s="108"/>
      <c r="K3527" s="108"/>
      <c r="L3527" s="108"/>
      <c r="M3527" s="108"/>
      <c r="N3527" s="108"/>
      <c r="O3527" s="108"/>
      <c r="P3527" s="108"/>
      <c r="Q3527" s="108"/>
      <c r="R3527" s="108"/>
      <c r="S3527" s="108"/>
      <c r="T3527" s="108"/>
      <c r="U3527" s="108"/>
      <c r="V3527" s="108"/>
      <c r="W3527" s="108"/>
      <c r="X3527" s="108"/>
      <c r="Y3527" s="108"/>
      <c r="Z3527" s="108"/>
      <c r="AA3527" s="108"/>
      <c r="AB3527" s="108"/>
      <c r="AC3527" s="108"/>
      <c r="AD3527" s="108"/>
      <c r="AE3527" s="108"/>
      <c r="AF3527" s="108"/>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108"/>
      <c r="C3652" s="108"/>
      <c r="D3652" s="108"/>
      <c r="E3652" s="108"/>
      <c r="F3652" s="108"/>
      <c r="G3652" s="108"/>
      <c r="H3652" s="108"/>
      <c r="I3652" s="108"/>
      <c r="J3652" s="108"/>
      <c r="K3652" s="108"/>
      <c r="L3652" s="108"/>
      <c r="M3652" s="108"/>
      <c r="N3652" s="108"/>
      <c r="O3652" s="108"/>
      <c r="P3652" s="108"/>
      <c r="Q3652" s="108"/>
      <c r="R3652" s="108"/>
      <c r="S3652" s="108"/>
      <c r="T3652" s="108"/>
      <c r="U3652" s="108"/>
      <c r="V3652" s="108"/>
      <c r="W3652" s="108"/>
      <c r="X3652" s="108"/>
      <c r="Y3652" s="108"/>
      <c r="Z3652" s="108"/>
      <c r="AA3652" s="108"/>
      <c r="AB3652" s="108"/>
      <c r="AC3652" s="108"/>
      <c r="AD3652" s="108"/>
      <c r="AE3652" s="108"/>
      <c r="AF3652" s="108"/>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108"/>
      <c r="C3777" s="108"/>
      <c r="D3777" s="108"/>
      <c r="E3777" s="108"/>
      <c r="F3777" s="108"/>
      <c r="G3777" s="108"/>
      <c r="H3777" s="108"/>
      <c r="I3777" s="108"/>
      <c r="J3777" s="108"/>
      <c r="K3777" s="108"/>
      <c r="L3777" s="108"/>
      <c r="M3777" s="108"/>
      <c r="N3777" s="108"/>
      <c r="O3777" s="108"/>
      <c r="P3777" s="108"/>
      <c r="Q3777" s="108"/>
      <c r="R3777" s="108"/>
      <c r="S3777" s="108"/>
      <c r="T3777" s="108"/>
      <c r="U3777" s="108"/>
      <c r="V3777" s="108"/>
      <c r="W3777" s="108"/>
      <c r="X3777" s="108"/>
      <c r="Y3777" s="108"/>
      <c r="Z3777" s="108"/>
      <c r="AA3777" s="108"/>
      <c r="AB3777" s="108"/>
      <c r="AC3777" s="108"/>
      <c r="AD3777" s="108"/>
      <c r="AE3777" s="108"/>
      <c r="AF3777" s="108"/>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108"/>
      <c r="C3902" s="108"/>
      <c r="D3902" s="108"/>
      <c r="E3902" s="108"/>
      <c r="F3902" s="108"/>
      <c r="G3902" s="108"/>
      <c r="H3902" s="108"/>
      <c r="I3902" s="108"/>
      <c r="J3902" s="108"/>
      <c r="K3902" s="108"/>
      <c r="L3902" s="108"/>
      <c r="M3902" s="108"/>
      <c r="N3902" s="108"/>
      <c r="O3902" s="108"/>
      <c r="P3902" s="108"/>
      <c r="Q3902" s="108"/>
      <c r="R3902" s="108"/>
      <c r="S3902" s="108"/>
      <c r="T3902" s="108"/>
      <c r="U3902" s="108"/>
      <c r="V3902" s="108"/>
      <c r="W3902" s="108"/>
      <c r="X3902" s="108"/>
      <c r="Y3902" s="108"/>
      <c r="Z3902" s="108"/>
      <c r="AA3902" s="108"/>
      <c r="AB3902" s="108"/>
      <c r="AC3902" s="108"/>
      <c r="AD3902" s="108"/>
      <c r="AE3902" s="108"/>
      <c r="AF3902" s="108"/>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108"/>
      <c r="C4027" s="108"/>
      <c r="D4027" s="108"/>
      <c r="E4027" s="108"/>
      <c r="F4027" s="108"/>
      <c r="G4027" s="108"/>
      <c r="H4027" s="108"/>
      <c r="I4027" s="108"/>
      <c r="J4027" s="108"/>
      <c r="K4027" s="108"/>
      <c r="L4027" s="108"/>
      <c r="M4027" s="108"/>
      <c r="N4027" s="108"/>
      <c r="O4027" s="108"/>
      <c r="P4027" s="108"/>
      <c r="Q4027" s="108"/>
      <c r="R4027" s="108"/>
      <c r="S4027" s="108"/>
      <c r="T4027" s="108"/>
      <c r="U4027" s="108"/>
      <c r="V4027" s="108"/>
      <c r="W4027" s="108"/>
      <c r="X4027" s="108"/>
      <c r="Y4027" s="108"/>
      <c r="Z4027" s="108"/>
      <c r="AA4027" s="108"/>
      <c r="AB4027" s="108"/>
      <c r="AC4027" s="108"/>
      <c r="AD4027" s="108"/>
      <c r="AE4027" s="108"/>
      <c r="AF4027" s="108"/>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108"/>
      <c r="C4152" s="108"/>
      <c r="D4152" s="108"/>
      <c r="E4152" s="108"/>
      <c r="F4152" s="108"/>
      <c r="G4152" s="108"/>
      <c r="H4152" s="108"/>
      <c r="I4152" s="108"/>
      <c r="J4152" s="108"/>
      <c r="K4152" s="108"/>
      <c r="L4152" s="108"/>
      <c r="M4152" s="108"/>
      <c r="N4152" s="108"/>
      <c r="O4152" s="108"/>
      <c r="P4152" s="108"/>
      <c r="Q4152" s="108"/>
      <c r="R4152" s="108"/>
      <c r="S4152" s="108"/>
      <c r="T4152" s="108"/>
      <c r="U4152" s="108"/>
      <c r="V4152" s="108"/>
      <c r="W4152" s="108"/>
      <c r="X4152" s="108"/>
      <c r="Y4152" s="108"/>
      <c r="Z4152" s="108"/>
      <c r="AA4152" s="108"/>
      <c r="AB4152" s="108"/>
      <c r="AC4152" s="108"/>
      <c r="AD4152" s="108"/>
      <c r="AE4152" s="108"/>
      <c r="AF4152" s="108"/>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108"/>
      <c r="C4277" s="108"/>
      <c r="D4277" s="108"/>
      <c r="E4277" s="108"/>
      <c r="F4277" s="108"/>
      <c r="G4277" s="108"/>
      <c r="H4277" s="108"/>
      <c r="I4277" s="108"/>
      <c r="J4277" s="108"/>
      <c r="K4277" s="108"/>
      <c r="L4277" s="108"/>
      <c r="M4277" s="108"/>
      <c r="N4277" s="108"/>
      <c r="O4277" s="108"/>
      <c r="P4277" s="108"/>
      <c r="Q4277" s="108"/>
      <c r="R4277" s="108"/>
      <c r="S4277" s="108"/>
      <c r="T4277" s="108"/>
      <c r="U4277" s="108"/>
      <c r="V4277" s="108"/>
      <c r="W4277" s="108"/>
      <c r="X4277" s="108"/>
      <c r="Y4277" s="108"/>
      <c r="Z4277" s="108"/>
      <c r="AA4277" s="108"/>
      <c r="AB4277" s="108"/>
      <c r="AC4277" s="108"/>
      <c r="AD4277" s="108"/>
      <c r="AE4277" s="108"/>
      <c r="AF4277" s="108"/>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108"/>
      <c r="C4402" s="108"/>
      <c r="D4402" s="108"/>
      <c r="E4402" s="108"/>
      <c r="F4402" s="108"/>
      <c r="G4402" s="108"/>
      <c r="H4402" s="108"/>
      <c r="I4402" s="108"/>
      <c r="J4402" s="108"/>
      <c r="K4402" s="108"/>
      <c r="L4402" s="108"/>
      <c r="M4402" s="108"/>
      <c r="N4402" s="108"/>
      <c r="O4402" s="108"/>
      <c r="P4402" s="108"/>
      <c r="Q4402" s="108"/>
      <c r="R4402" s="108"/>
      <c r="S4402" s="108"/>
      <c r="T4402" s="108"/>
      <c r="U4402" s="108"/>
      <c r="V4402" s="108"/>
      <c r="W4402" s="108"/>
      <c r="X4402" s="108"/>
      <c r="Y4402" s="108"/>
      <c r="Z4402" s="108"/>
      <c r="AA4402" s="108"/>
      <c r="AB4402" s="108"/>
      <c r="AC4402" s="108"/>
      <c r="AD4402" s="108"/>
      <c r="AE4402" s="108"/>
      <c r="AF4402" s="108"/>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1197-588B-468B-8F24-E8FB95D48A17}">
  <dimension ref="A1:AG46"/>
  <sheetViews>
    <sheetView workbookViewId="0">
      <selection activeCell="F17" sqref="F17"/>
    </sheetView>
  </sheetViews>
  <sheetFormatPr defaultRowHeight="14.25"/>
  <cols>
    <col min="1" max="1" width="90.265625" bestFit="1" customWidth="1"/>
  </cols>
  <sheetData>
    <row r="1" spans="1:33">
      <c r="A1" t="s">
        <v>119</v>
      </c>
    </row>
    <row r="2" spans="1:33">
      <c r="A2" t="s">
        <v>955</v>
      </c>
    </row>
    <row r="3" spans="1:33">
      <c r="A3" t="s">
        <v>954</v>
      </c>
    </row>
    <row r="4" spans="1:33">
      <c r="A4" t="s">
        <v>87</v>
      </c>
    </row>
    <row r="5" spans="1:33">
      <c r="B5" t="s">
        <v>88</v>
      </c>
      <c r="C5" t="s">
        <v>116</v>
      </c>
      <c r="D5" t="s">
        <v>117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953</v>
      </c>
    </row>
    <row r="6" spans="1:33">
      <c r="A6" t="s">
        <v>120</v>
      </c>
    </row>
    <row r="7" spans="1:33">
      <c r="A7" t="s">
        <v>121</v>
      </c>
      <c r="B7" t="s">
        <v>952</v>
      </c>
      <c r="C7" t="s">
        <v>951</v>
      </c>
      <c r="D7" t="s">
        <v>153</v>
      </c>
      <c r="F7">
        <v>0.35758400000000001</v>
      </c>
      <c r="G7">
        <v>0.36508400000000002</v>
      </c>
      <c r="H7">
        <v>0.352908</v>
      </c>
      <c r="I7">
        <v>0.34767999999999999</v>
      </c>
      <c r="J7">
        <v>0.346055</v>
      </c>
      <c r="K7">
        <v>0.34590900000000002</v>
      </c>
      <c r="L7">
        <v>0.34611999999999998</v>
      </c>
      <c r="M7">
        <v>0.344416</v>
      </c>
      <c r="N7">
        <v>0.33970899999999998</v>
      </c>
      <c r="O7">
        <v>0.33490599999999998</v>
      </c>
      <c r="P7">
        <v>0.33075399999999999</v>
      </c>
      <c r="Q7">
        <v>0.32654899999999998</v>
      </c>
      <c r="R7">
        <v>0.32150299999999998</v>
      </c>
      <c r="S7">
        <v>0.31681100000000001</v>
      </c>
      <c r="T7">
        <v>0.31244499999999997</v>
      </c>
      <c r="U7">
        <v>0.30824000000000001</v>
      </c>
      <c r="V7">
        <v>0.30391499999999999</v>
      </c>
      <c r="W7">
        <v>0.29924699999999999</v>
      </c>
      <c r="X7">
        <v>0.29442400000000002</v>
      </c>
      <c r="Y7">
        <v>0.29009600000000002</v>
      </c>
      <c r="Z7">
        <v>0.28606100000000001</v>
      </c>
      <c r="AA7">
        <v>0.28284300000000001</v>
      </c>
      <c r="AB7">
        <v>0.27987899999999999</v>
      </c>
      <c r="AC7">
        <v>0.27653</v>
      </c>
      <c r="AD7">
        <v>0.273142</v>
      </c>
      <c r="AE7">
        <v>0.27020300000000003</v>
      </c>
      <c r="AF7">
        <v>0.267818</v>
      </c>
      <c r="AG7" s="12">
        <v>-1.0999999999999999E-2</v>
      </c>
    </row>
    <row r="8" spans="1:33">
      <c r="A8" t="s">
        <v>122</v>
      </c>
      <c r="B8" t="s">
        <v>950</v>
      </c>
      <c r="C8" t="s">
        <v>949</v>
      </c>
      <c r="D8" t="s">
        <v>153</v>
      </c>
      <c r="F8">
        <v>0.15810399999999999</v>
      </c>
      <c r="G8">
        <v>0.15810399999999999</v>
      </c>
      <c r="H8">
        <v>0.15810399999999999</v>
      </c>
      <c r="I8">
        <v>0.15810399999999999</v>
      </c>
      <c r="J8">
        <v>0.15810399999999999</v>
      </c>
      <c r="K8">
        <v>0.15810399999999999</v>
      </c>
      <c r="L8">
        <v>0.15810399999999999</v>
      </c>
      <c r="M8">
        <v>0.15810399999999999</v>
      </c>
      <c r="N8">
        <v>0.15810399999999999</v>
      </c>
      <c r="O8">
        <v>0.15810399999999999</v>
      </c>
      <c r="P8">
        <v>0.15810399999999999</v>
      </c>
      <c r="Q8">
        <v>0.15810399999999999</v>
      </c>
      <c r="R8">
        <v>0.15810399999999999</v>
      </c>
      <c r="S8">
        <v>0.15810399999999999</v>
      </c>
      <c r="T8">
        <v>0.15810399999999999</v>
      </c>
      <c r="U8">
        <v>0.15810399999999999</v>
      </c>
      <c r="V8">
        <v>0.15810399999999999</v>
      </c>
      <c r="W8">
        <v>0.15810399999999999</v>
      </c>
      <c r="X8">
        <v>0.15810399999999999</v>
      </c>
      <c r="Y8">
        <v>0.15810399999999999</v>
      </c>
      <c r="Z8">
        <v>0.15810399999999999</v>
      </c>
      <c r="AA8">
        <v>0.15810399999999999</v>
      </c>
      <c r="AB8">
        <v>0.15810399999999999</v>
      </c>
      <c r="AC8">
        <v>0.15810399999999999</v>
      </c>
      <c r="AD8">
        <v>0.15810399999999999</v>
      </c>
      <c r="AE8">
        <v>0.15810399999999999</v>
      </c>
      <c r="AF8">
        <v>0.15810399999999999</v>
      </c>
      <c r="AG8" s="12">
        <v>0</v>
      </c>
    </row>
    <row r="9" spans="1:33">
      <c r="A9" t="s">
        <v>123</v>
      </c>
      <c r="B9" t="s">
        <v>948</v>
      </c>
      <c r="C9" t="s">
        <v>947</v>
      </c>
      <c r="D9" t="s">
        <v>153</v>
      </c>
      <c r="F9">
        <v>2.2979759999999998</v>
      </c>
      <c r="G9">
        <v>2.3399939999999999</v>
      </c>
      <c r="H9">
        <v>2.3604579999999999</v>
      </c>
      <c r="I9">
        <v>2.3647659999999999</v>
      </c>
      <c r="J9">
        <v>2.367289</v>
      </c>
      <c r="K9">
        <v>2.3915989999999998</v>
      </c>
      <c r="L9">
        <v>2.4109129999999999</v>
      </c>
      <c r="M9">
        <v>2.4325329999999998</v>
      </c>
      <c r="N9">
        <v>2.4494790000000002</v>
      </c>
      <c r="O9">
        <v>2.4596119999999999</v>
      </c>
      <c r="P9">
        <v>2.4729670000000001</v>
      </c>
      <c r="Q9">
        <v>2.4876079999999998</v>
      </c>
      <c r="R9">
        <v>2.5197889999999998</v>
      </c>
      <c r="S9">
        <v>2.541722</v>
      </c>
      <c r="T9">
        <v>2.558646</v>
      </c>
      <c r="U9">
        <v>2.5798299999999998</v>
      </c>
      <c r="V9">
        <v>2.594392</v>
      </c>
      <c r="W9">
        <v>2.5935950000000001</v>
      </c>
      <c r="X9">
        <v>2.5951559999999998</v>
      </c>
      <c r="Y9">
        <v>2.5986570000000002</v>
      </c>
      <c r="Z9">
        <v>2.6012040000000001</v>
      </c>
      <c r="AA9">
        <v>2.6157759999999999</v>
      </c>
      <c r="AB9">
        <v>2.6268539999999998</v>
      </c>
      <c r="AC9">
        <v>2.6530469999999999</v>
      </c>
      <c r="AD9">
        <v>2.6796319999999998</v>
      </c>
      <c r="AE9">
        <v>2.7063009999999998</v>
      </c>
      <c r="AF9">
        <v>2.725619</v>
      </c>
      <c r="AG9" s="12">
        <v>7.0000000000000001E-3</v>
      </c>
    </row>
    <row r="10" spans="1:33">
      <c r="A10" t="s">
        <v>124</v>
      </c>
      <c r="B10" t="s">
        <v>946</v>
      </c>
      <c r="C10" t="s">
        <v>945</v>
      </c>
      <c r="D10" t="s">
        <v>153</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t="s">
        <v>6</v>
      </c>
    </row>
    <row r="11" spans="1:33">
      <c r="A11" t="s">
        <v>125</v>
      </c>
      <c r="B11" t="s">
        <v>944</v>
      </c>
      <c r="C11" t="s">
        <v>943</v>
      </c>
      <c r="D11" t="s">
        <v>153</v>
      </c>
      <c r="F11">
        <v>0.15371499999999999</v>
      </c>
      <c r="G11">
        <v>0.15761700000000001</v>
      </c>
      <c r="H11">
        <v>0.162138</v>
      </c>
      <c r="I11">
        <v>0.16675000000000001</v>
      </c>
      <c r="J11">
        <v>0.17074300000000001</v>
      </c>
      <c r="K11">
        <v>0.17504600000000001</v>
      </c>
      <c r="L11">
        <v>0.179064</v>
      </c>
      <c r="M11">
        <v>0.182534</v>
      </c>
      <c r="N11">
        <v>0.18581400000000001</v>
      </c>
      <c r="O11">
        <v>0.18872</v>
      </c>
      <c r="P11">
        <v>0.19150600000000001</v>
      </c>
      <c r="Q11">
        <v>0.19395799999999999</v>
      </c>
      <c r="R11">
        <v>0.196074</v>
      </c>
      <c r="S11">
        <v>0.19785</v>
      </c>
      <c r="T11">
        <v>0.19963</v>
      </c>
      <c r="U11">
        <v>0.20146800000000001</v>
      </c>
      <c r="V11">
        <v>0.203181</v>
      </c>
      <c r="W11">
        <v>0.20488600000000001</v>
      </c>
      <c r="X11">
        <v>0.20667199999999999</v>
      </c>
      <c r="Y11">
        <v>0.20837600000000001</v>
      </c>
      <c r="Z11">
        <v>0.21005599999999999</v>
      </c>
      <c r="AA11">
        <v>0.21170900000000001</v>
      </c>
      <c r="AB11">
        <v>0.213369</v>
      </c>
      <c r="AC11">
        <v>0.21509500000000001</v>
      </c>
      <c r="AD11">
        <v>0.216808</v>
      </c>
      <c r="AE11">
        <v>0.218557</v>
      </c>
      <c r="AF11">
        <v>0.22029799999999999</v>
      </c>
      <c r="AG11" s="12">
        <v>1.4E-2</v>
      </c>
    </row>
    <row r="12" spans="1:33">
      <c r="A12" t="s">
        <v>126</v>
      </c>
      <c r="B12" t="s">
        <v>942</v>
      </c>
      <c r="C12" t="s">
        <v>941</v>
      </c>
      <c r="D12" t="s">
        <v>153</v>
      </c>
      <c r="F12">
        <v>1.250399</v>
      </c>
      <c r="G12">
        <v>1.266635</v>
      </c>
      <c r="H12">
        <v>1.2824549999999999</v>
      </c>
      <c r="I12">
        <v>1.2809140000000001</v>
      </c>
      <c r="J12">
        <v>1.2802770000000001</v>
      </c>
      <c r="K12">
        <v>1.29914</v>
      </c>
      <c r="L12">
        <v>1.3148880000000001</v>
      </c>
      <c r="M12">
        <v>1.333216</v>
      </c>
      <c r="N12">
        <v>1.3467739999999999</v>
      </c>
      <c r="O12">
        <v>1.3532550000000001</v>
      </c>
      <c r="P12">
        <v>1.3633820000000001</v>
      </c>
      <c r="Q12">
        <v>1.3758980000000001</v>
      </c>
      <c r="R12">
        <v>1.404156</v>
      </c>
      <c r="S12">
        <v>1.4220029999999999</v>
      </c>
      <c r="T12">
        <v>1.436598</v>
      </c>
      <c r="U12">
        <v>1.4522139999999999</v>
      </c>
      <c r="V12">
        <v>1.459797</v>
      </c>
      <c r="W12">
        <v>1.454925</v>
      </c>
      <c r="X12">
        <v>1.4531160000000001</v>
      </c>
      <c r="Y12">
        <v>1.4439230000000001</v>
      </c>
      <c r="Z12">
        <v>1.4408810000000001</v>
      </c>
      <c r="AA12">
        <v>1.4493339999999999</v>
      </c>
      <c r="AB12">
        <v>1.455303</v>
      </c>
      <c r="AC12">
        <v>1.4743820000000001</v>
      </c>
      <c r="AD12">
        <v>1.495274</v>
      </c>
      <c r="AE12">
        <v>1.515387</v>
      </c>
      <c r="AF12">
        <v>1.5325610000000001</v>
      </c>
      <c r="AG12" s="12">
        <v>8.0000000000000002E-3</v>
      </c>
    </row>
    <row r="13" spans="1:33">
      <c r="A13" t="s">
        <v>127</v>
      </c>
      <c r="B13" t="s">
        <v>940</v>
      </c>
      <c r="C13" t="s">
        <v>939</v>
      </c>
      <c r="D13" t="s">
        <v>153</v>
      </c>
      <c r="F13">
        <v>0.89386100000000002</v>
      </c>
      <c r="G13">
        <v>0.91574199999999994</v>
      </c>
      <c r="H13">
        <v>0.91586500000000004</v>
      </c>
      <c r="I13">
        <v>0.91710199999999997</v>
      </c>
      <c r="J13">
        <v>0.916269</v>
      </c>
      <c r="K13">
        <v>0.91741399999999995</v>
      </c>
      <c r="L13">
        <v>0.91696</v>
      </c>
      <c r="M13">
        <v>0.91678300000000001</v>
      </c>
      <c r="N13">
        <v>0.91689100000000001</v>
      </c>
      <c r="O13">
        <v>0.91763799999999995</v>
      </c>
      <c r="P13">
        <v>0.91807899999999998</v>
      </c>
      <c r="Q13">
        <v>0.91775300000000004</v>
      </c>
      <c r="R13">
        <v>0.91955900000000002</v>
      </c>
      <c r="S13">
        <v>0.92186900000000005</v>
      </c>
      <c r="T13">
        <v>0.92241799999999996</v>
      </c>
      <c r="U13">
        <v>0.92614799999999997</v>
      </c>
      <c r="V13">
        <v>0.93141399999999996</v>
      </c>
      <c r="W13">
        <v>0.93378399999999995</v>
      </c>
      <c r="X13">
        <v>0.93536799999999998</v>
      </c>
      <c r="Y13">
        <v>0.946357</v>
      </c>
      <c r="Z13">
        <v>0.95026699999999997</v>
      </c>
      <c r="AA13">
        <v>0.95473300000000005</v>
      </c>
      <c r="AB13">
        <v>0.95818199999999998</v>
      </c>
      <c r="AC13">
        <v>0.96357000000000004</v>
      </c>
      <c r="AD13">
        <v>0.96755100000000005</v>
      </c>
      <c r="AE13">
        <v>0.97235700000000003</v>
      </c>
      <c r="AF13">
        <v>0.97275900000000004</v>
      </c>
      <c r="AG13" s="12">
        <v>3.0000000000000001E-3</v>
      </c>
    </row>
    <row r="14" spans="1:33">
      <c r="A14" t="s">
        <v>128</v>
      </c>
      <c r="B14" t="s">
        <v>938</v>
      </c>
      <c r="C14" t="s">
        <v>937</v>
      </c>
      <c r="D14" t="s">
        <v>153</v>
      </c>
      <c r="F14">
        <v>1.7789740000000001</v>
      </c>
      <c r="G14">
        <v>1.759161</v>
      </c>
      <c r="H14">
        <v>1.799855</v>
      </c>
      <c r="I14">
        <v>1.7780860000000001</v>
      </c>
      <c r="J14">
        <v>1.6544190000000001</v>
      </c>
      <c r="K14">
        <v>1.654129</v>
      </c>
      <c r="L14">
        <v>1.653265</v>
      </c>
      <c r="M14">
        <v>1.652377</v>
      </c>
      <c r="N14">
        <v>1.651233</v>
      </c>
      <c r="O14">
        <v>1.650358</v>
      </c>
      <c r="P14">
        <v>1.7022900000000001</v>
      </c>
      <c r="Q14">
        <v>1.7087049999999999</v>
      </c>
      <c r="R14">
        <v>1.6824509999999999</v>
      </c>
      <c r="S14">
        <v>1.6602539999999999</v>
      </c>
      <c r="T14">
        <v>1.700701</v>
      </c>
      <c r="U14">
        <v>1.697608</v>
      </c>
      <c r="V14">
        <v>1.6867030000000001</v>
      </c>
      <c r="W14">
        <v>1.6828989999999999</v>
      </c>
      <c r="X14">
        <v>1.6812119999999999</v>
      </c>
      <c r="Y14">
        <v>1.6780790000000001</v>
      </c>
      <c r="Z14">
        <v>1.678045</v>
      </c>
      <c r="AA14">
        <v>1.682606</v>
      </c>
      <c r="AB14">
        <v>1.6994009999999999</v>
      </c>
      <c r="AC14">
        <v>1.7268190000000001</v>
      </c>
      <c r="AD14">
        <v>1.732302</v>
      </c>
      <c r="AE14">
        <v>1.7536210000000001</v>
      </c>
      <c r="AF14">
        <v>1.7783070000000001</v>
      </c>
      <c r="AG14" s="12">
        <v>0</v>
      </c>
    </row>
    <row r="15" spans="1:33">
      <c r="A15" t="s">
        <v>129</v>
      </c>
      <c r="B15" t="s">
        <v>936</v>
      </c>
      <c r="C15" t="s">
        <v>935</v>
      </c>
      <c r="D15" t="s">
        <v>153</v>
      </c>
      <c r="F15">
        <v>2.4780000000000002E-3</v>
      </c>
      <c r="G15">
        <v>2.2899999999999999E-3</v>
      </c>
      <c r="H15">
        <v>2.0969999999999999E-3</v>
      </c>
      <c r="I15">
        <v>1.877E-3</v>
      </c>
      <c r="J15">
        <v>1.817E-3</v>
      </c>
      <c r="K15">
        <v>1.774E-3</v>
      </c>
      <c r="L15">
        <v>1.6980000000000001E-3</v>
      </c>
      <c r="M15">
        <v>1.56E-3</v>
      </c>
      <c r="N15">
        <v>1.457E-3</v>
      </c>
      <c r="O15">
        <v>1.3550000000000001E-3</v>
      </c>
      <c r="P15">
        <v>1.2689999999999999E-3</v>
      </c>
      <c r="Q15">
        <v>1.1919999999999999E-3</v>
      </c>
      <c r="R15">
        <v>1.1199999999999999E-3</v>
      </c>
      <c r="S15">
        <v>1.0820000000000001E-3</v>
      </c>
      <c r="T15">
        <v>9.990000000000001E-4</v>
      </c>
      <c r="U15">
        <v>9.7199999999999999E-4</v>
      </c>
      <c r="V15">
        <v>9.5299999999999996E-4</v>
      </c>
      <c r="W15">
        <v>9.3599999999999998E-4</v>
      </c>
      <c r="X15">
        <v>9.1500000000000001E-4</v>
      </c>
      <c r="Y15">
        <v>8.9400000000000005E-4</v>
      </c>
      <c r="Z15">
        <v>8.9599999999999999E-4</v>
      </c>
      <c r="AA15">
        <v>8.6899999999999998E-4</v>
      </c>
      <c r="AB15">
        <v>8.61E-4</v>
      </c>
      <c r="AC15">
        <v>8.7699999999999996E-4</v>
      </c>
      <c r="AD15">
        <v>8.7100000000000003E-4</v>
      </c>
      <c r="AE15">
        <v>8.6399999999999997E-4</v>
      </c>
      <c r="AF15">
        <v>8.4999999999999995E-4</v>
      </c>
      <c r="AG15" s="12">
        <v>-0.04</v>
      </c>
    </row>
    <row r="16" spans="1:33">
      <c r="A16" t="s">
        <v>130</v>
      </c>
      <c r="B16" t="s">
        <v>934</v>
      </c>
      <c r="C16" t="s">
        <v>933</v>
      </c>
      <c r="D16" t="s">
        <v>153</v>
      </c>
      <c r="F16">
        <v>1.159605</v>
      </c>
      <c r="G16">
        <v>1.1654150000000001</v>
      </c>
      <c r="H16">
        <v>1.1891879999999999</v>
      </c>
      <c r="I16">
        <v>1.192747</v>
      </c>
      <c r="J16">
        <v>1.1886890000000001</v>
      </c>
      <c r="K16">
        <v>1.182857</v>
      </c>
      <c r="L16">
        <v>1.175494</v>
      </c>
      <c r="M16">
        <v>1.1705669999999999</v>
      </c>
      <c r="N16">
        <v>1.163861</v>
      </c>
      <c r="O16">
        <v>1.158693</v>
      </c>
      <c r="P16">
        <v>1.1551720000000001</v>
      </c>
      <c r="Q16">
        <v>1.1513930000000001</v>
      </c>
      <c r="R16">
        <v>1.144156</v>
      </c>
      <c r="S16">
        <v>1.1372119999999999</v>
      </c>
      <c r="T16">
        <v>1.1325240000000001</v>
      </c>
      <c r="U16">
        <v>1.127766</v>
      </c>
      <c r="V16">
        <v>1.124725</v>
      </c>
      <c r="W16">
        <v>1.122018</v>
      </c>
      <c r="X16">
        <v>1.117999</v>
      </c>
      <c r="Y16">
        <v>1.1168499999999999</v>
      </c>
      <c r="Z16">
        <v>1.1142749999999999</v>
      </c>
      <c r="AA16">
        <v>1.113737</v>
      </c>
      <c r="AB16">
        <v>1.112255</v>
      </c>
      <c r="AC16">
        <v>1.1133569999999999</v>
      </c>
      <c r="AD16">
        <v>1.1117459999999999</v>
      </c>
      <c r="AE16">
        <v>1.112687</v>
      </c>
      <c r="AF16">
        <v>1.1165449999999999</v>
      </c>
      <c r="AG16" s="12">
        <v>-1E-3</v>
      </c>
    </row>
    <row r="17" spans="1:33">
      <c r="A17" t="s">
        <v>131</v>
      </c>
      <c r="B17" t="s">
        <v>932</v>
      </c>
      <c r="C17" t="s">
        <v>931</v>
      </c>
      <c r="D17" t="s">
        <v>153</v>
      </c>
      <c r="F17">
        <v>0.237456</v>
      </c>
      <c r="G17">
        <v>0.19763700000000001</v>
      </c>
      <c r="H17">
        <v>0.20088800000000001</v>
      </c>
      <c r="I17">
        <v>0.18940599999999999</v>
      </c>
      <c r="J17">
        <v>0.115795</v>
      </c>
      <c r="K17">
        <v>0.135879</v>
      </c>
      <c r="L17">
        <v>0.14164599999999999</v>
      </c>
      <c r="M17">
        <v>0.14424799999999999</v>
      </c>
      <c r="N17">
        <v>0.14546700000000001</v>
      </c>
      <c r="O17">
        <v>0.151586</v>
      </c>
      <c r="P17">
        <v>0.16537399999999999</v>
      </c>
      <c r="Q17">
        <v>0.175206</v>
      </c>
      <c r="R17">
        <v>0.17380300000000001</v>
      </c>
      <c r="S17">
        <v>0.182533</v>
      </c>
      <c r="T17">
        <v>0.181898</v>
      </c>
      <c r="U17">
        <v>0.179373</v>
      </c>
      <c r="V17">
        <v>0.17672599999999999</v>
      </c>
      <c r="W17">
        <v>0.173953</v>
      </c>
      <c r="X17">
        <v>0.17105300000000001</v>
      </c>
      <c r="Y17">
        <v>0.16802300000000001</v>
      </c>
      <c r="Z17">
        <v>0.16537099999999999</v>
      </c>
      <c r="AA17">
        <v>0.16207199999999999</v>
      </c>
      <c r="AB17">
        <v>0.158636</v>
      </c>
      <c r="AC17">
        <v>0.155059</v>
      </c>
      <c r="AD17">
        <v>0.151338</v>
      </c>
      <c r="AE17">
        <v>0.14747099999999999</v>
      </c>
      <c r="AF17">
        <v>0.143454</v>
      </c>
      <c r="AG17" s="12">
        <v>-1.9E-2</v>
      </c>
    </row>
    <row r="18" spans="1:33">
      <c r="A18" t="s">
        <v>132</v>
      </c>
      <c r="B18" t="s">
        <v>930</v>
      </c>
      <c r="C18" t="s">
        <v>929</v>
      </c>
      <c r="D18" t="s">
        <v>153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6</v>
      </c>
    </row>
    <row r="19" spans="1:33">
      <c r="A19" t="s">
        <v>133</v>
      </c>
      <c r="B19" t="s">
        <v>928</v>
      </c>
      <c r="C19" t="s">
        <v>927</v>
      </c>
      <c r="D19" t="s">
        <v>153</v>
      </c>
      <c r="F19">
        <v>3.0860000000000002E-3</v>
      </c>
      <c r="G19">
        <v>4.2420000000000001E-3</v>
      </c>
      <c r="H19">
        <v>4.2389999999999997E-3</v>
      </c>
      <c r="I19">
        <v>4.228E-3</v>
      </c>
      <c r="J19">
        <v>4.2490000000000002E-3</v>
      </c>
      <c r="K19">
        <v>4.2490000000000002E-3</v>
      </c>
      <c r="L19">
        <v>4.2490000000000002E-3</v>
      </c>
      <c r="M19">
        <v>4.2490000000000002E-3</v>
      </c>
      <c r="N19">
        <v>4.2500000000000003E-3</v>
      </c>
      <c r="O19">
        <v>4.2500000000000003E-3</v>
      </c>
      <c r="P19">
        <v>4.2500000000000003E-3</v>
      </c>
      <c r="Q19">
        <v>4.2500000000000003E-3</v>
      </c>
      <c r="R19">
        <v>4.2500000000000003E-3</v>
      </c>
      <c r="S19">
        <v>4.2509999999999996E-3</v>
      </c>
      <c r="T19">
        <v>4.2509999999999996E-3</v>
      </c>
      <c r="U19">
        <v>4.2509999999999996E-3</v>
      </c>
      <c r="V19">
        <v>4.2509999999999996E-3</v>
      </c>
      <c r="W19">
        <v>4.2509999999999996E-3</v>
      </c>
      <c r="X19">
        <v>4.2519999999999997E-3</v>
      </c>
      <c r="Y19">
        <v>4.2519999999999997E-3</v>
      </c>
      <c r="Z19">
        <v>4.2519999999999997E-3</v>
      </c>
      <c r="AA19">
        <v>4.2519999999999997E-3</v>
      </c>
      <c r="AB19">
        <v>4.2519999999999997E-3</v>
      </c>
      <c r="AC19">
        <v>4.2519999999999997E-3</v>
      </c>
      <c r="AD19">
        <v>4.2529999999999998E-3</v>
      </c>
      <c r="AE19">
        <v>4.2529999999999998E-3</v>
      </c>
      <c r="AF19">
        <v>4.2529999999999998E-3</v>
      </c>
      <c r="AG19" s="12">
        <v>1.2E-2</v>
      </c>
    </row>
    <row r="20" spans="1:33">
      <c r="A20" t="s">
        <v>134</v>
      </c>
      <c r="B20" t="s">
        <v>926</v>
      </c>
      <c r="C20" t="s">
        <v>925</v>
      </c>
      <c r="D20" t="s">
        <v>153</v>
      </c>
      <c r="F20">
        <v>0.37634899999999999</v>
      </c>
      <c r="G20">
        <v>0.38957700000000001</v>
      </c>
      <c r="H20">
        <v>0.403443</v>
      </c>
      <c r="I20">
        <v>0.38982800000000001</v>
      </c>
      <c r="J20">
        <v>0.34387000000000001</v>
      </c>
      <c r="K20">
        <v>0.32937</v>
      </c>
      <c r="L20">
        <v>0.33017800000000003</v>
      </c>
      <c r="M20">
        <v>0.33175300000000002</v>
      </c>
      <c r="N20">
        <v>0.336198</v>
      </c>
      <c r="O20">
        <v>0.33447500000000002</v>
      </c>
      <c r="P20">
        <v>0.376226</v>
      </c>
      <c r="Q20">
        <v>0.376664</v>
      </c>
      <c r="R20">
        <v>0.359122</v>
      </c>
      <c r="S20">
        <v>0.33517599999999997</v>
      </c>
      <c r="T20">
        <v>0.38102900000000001</v>
      </c>
      <c r="U20">
        <v>0.38524599999999998</v>
      </c>
      <c r="V20">
        <v>0.38004900000000003</v>
      </c>
      <c r="W20">
        <v>0.38174000000000002</v>
      </c>
      <c r="X20">
        <v>0.38699299999999998</v>
      </c>
      <c r="Y20">
        <v>0.38806000000000002</v>
      </c>
      <c r="Z20">
        <v>0.39325199999999999</v>
      </c>
      <c r="AA20">
        <v>0.40167599999999998</v>
      </c>
      <c r="AB20">
        <v>0.42339700000000002</v>
      </c>
      <c r="AC20">
        <v>0.45327299999999998</v>
      </c>
      <c r="AD20">
        <v>0.46409400000000001</v>
      </c>
      <c r="AE20">
        <v>0.488346</v>
      </c>
      <c r="AF20">
        <v>0.51320500000000002</v>
      </c>
      <c r="AG20" s="12">
        <v>1.2E-2</v>
      </c>
    </row>
    <row r="21" spans="1:33">
      <c r="A21" t="s">
        <v>135</v>
      </c>
      <c r="B21" t="s">
        <v>924</v>
      </c>
      <c r="C21" t="s">
        <v>923</v>
      </c>
      <c r="D21" t="s">
        <v>153</v>
      </c>
      <c r="F21">
        <v>3.4089610000000001</v>
      </c>
      <c r="G21">
        <v>3.8012649999999999</v>
      </c>
      <c r="H21">
        <v>4.3839610000000002</v>
      </c>
      <c r="I21">
        <v>4.7130270000000003</v>
      </c>
      <c r="J21">
        <v>4.8958620000000002</v>
      </c>
      <c r="K21">
        <v>5.2369219999999999</v>
      </c>
      <c r="L21">
        <v>5.6777030000000002</v>
      </c>
      <c r="M21">
        <v>6.1833179999999999</v>
      </c>
      <c r="N21">
        <v>6.7968820000000001</v>
      </c>
      <c r="O21">
        <v>7.3846509999999999</v>
      </c>
      <c r="P21">
        <v>8.0275560000000006</v>
      </c>
      <c r="Q21">
        <v>8.6695670000000007</v>
      </c>
      <c r="R21">
        <v>9.329504</v>
      </c>
      <c r="S21">
        <v>9.8697780000000002</v>
      </c>
      <c r="T21">
        <v>10.215384999999999</v>
      </c>
      <c r="U21">
        <v>10.659146</v>
      </c>
      <c r="V21">
        <v>10.981565</v>
      </c>
      <c r="W21">
        <v>11.158401</v>
      </c>
      <c r="X21">
        <v>11.315016</v>
      </c>
      <c r="Y21">
        <v>11.468982</v>
      </c>
      <c r="Z21">
        <v>11.629298</v>
      </c>
      <c r="AA21">
        <v>11.848853999999999</v>
      </c>
      <c r="AB21">
        <v>12.060473999999999</v>
      </c>
      <c r="AC21">
        <v>12.320989000000001</v>
      </c>
      <c r="AD21">
        <v>12.592124999999999</v>
      </c>
      <c r="AE21">
        <v>12.886576</v>
      </c>
      <c r="AF21">
        <v>13.147625</v>
      </c>
      <c r="AG21" s="12">
        <v>5.2999999999999999E-2</v>
      </c>
    </row>
    <row r="22" spans="1:33">
      <c r="A22" t="s">
        <v>124</v>
      </c>
      <c r="B22" t="s">
        <v>922</v>
      </c>
      <c r="C22" t="s">
        <v>921</v>
      </c>
      <c r="D22" t="s">
        <v>153</v>
      </c>
      <c r="F22">
        <v>0.82673799999999997</v>
      </c>
      <c r="G22">
        <v>0.89713500000000002</v>
      </c>
      <c r="H22">
        <v>0.93154300000000001</v>
      </c>
      <c r="I22">
        <v>0.96592900000000004</v>
      </c>
      <c r="J22">
        <v>0.96586000000000005</v>
      </c>
      <c r="K22">
        <v>0.96587599999999996</v>
      </c>
      <c r="L22">
        <v>0.96630300000000002</v>
      </c>
      <c r="M22">
        <v>0.96634299999999995</v>
      </c>
      <c r="N22">
        <v>0.96801599999999999</v>
      </c>
      <c r="O22">
        <v>0.96530099999999996</v>
      </c>
      <c r="P22">
        <v>0.96179599999999998</v>
      </c>
      <c r="Q22">
        <v>0.95052700000000001</v>
      </c>
      <c r="R22">
        <v>0.94846299999999995</v>
      </c>
      <c r="S22">
        <v>0.94750100000000004</v>
      </c>
      <c r="T22">
        <v>0.94209699999999996</v>
      </c>
      <c r="U22">
        <v>0.93090099999999998</v>
      </c>
      <c r="V22">
        <v>0.93122099999999997</v>
      </c>
      <c r="W22">
        <v>0.93847199999999997</v>
      </c>
      <c r="X22">
        <v>0.939299</v>
      </c>
      <c r="Y22">
        <v>0.93390899999999999</v>
      </c>
      <c r="Z22">
        <v>0.92494299999999996</v>
      </c>
      <c r="AA22">
        <v>0.92375600000000002</v>
      </c>
      <c r="AB22">
        <v>0.91442800000000002</v>
      </c>
      <c r="AC22">
        <v>0.906192</v>
      </c>
      <c r="AD22">
        <v>0.91056400000000004</v>
      </c>
      <c r="AE22">
        <v>0.90995899999999996</v>
      </c>
      <c r="AF22">
        <v>0.91156599999999999</v>
      </c>
      <c r="AG22" s="12">
        <v>4.0000000000000001E-3</v>
      </c>
    </row>
    <row r="23" spans="1:33">
      <c r="A23" t="s">
        <v>136</v>
      </c>
      <c r="B23" t="s">
        <v>920</v>
      </c>
      <c r="C23" t="s">
        <v>919</v>
      </c>
      <c r="D23" t="s">
        <v>153</v>
      </c>
      <c r="F23">
        <v>5.4584000000000001E-2</v>
      </c>
      <c r="G23">
        <v>5.2604999999999999E-2</v>
      </c>
      <c r="H23">
        <v>5.7382000000000002E-2</v>
      </c>
      <c r="I23">
        <v>5.9903999999999999E-2</v>
      </c>
      <c r="J23">
        <v>6.3532000000000005E-2</v>
      </c>
      <c r="K23">
        <v>6.8226999999999996E-2</v>
      </c>
      <c r="L23">
        <v>7.3581999999999995E-2</v>
      </c>
      <c r="M23">
        <v>7.8935000000000005E-2</v>
      </c>
      <c r="N23">
        <v>8.7332000000000007E-2</v>
      </c>
      <c r="O23">
        <v>9.4089999999999993E-2</v>
      </c>
      <c r="P23">
        <v>0.101714</v>
      </c>
      <c r="Q23">
        <v>0.109155</v>
      </c>
      <c r="R23">
        <v>0.116052</v>
      </c>
      <c r="S23">
        <v>0.122573</v>
      </c>
      <c r="T23">
        <v>0.12940699999999999</v>
      </c>
      <c r="U23">
        <v>0.13793</v>
      </c>
      <c r="V23">
        <v>0.146006</v>
      </c>
      <c r="W23">
        <v>0.152922</v>
      </c>
      <c r="X23">
        <v>0.15891</v>
      </c>
      <c r="Y23">
        <v>0.164662</v>
      </c>
      <c r="Z23">
        <v>0.169769</v>
      </c>
      <c r="AA23">
        <v>0.17407700000000001</v>
      </c>
      <c r="AB23">
        <v>0.17772399999999999</v>
      </c>
      <c r="AC23">
        <v>0.18113899999999999</v>
      </c>
      <c r="AD23">
        <v>0.18399499999999999</v>
      </c>
      <c r="AE23">
        <v>0.18574299999999999</v>
      </c>
      <c r="AF23">
        <v>0.18751699999999999</v>
      </c>
      <c r="AG23" s="12">
        <v>4.9000000000000002E-2</v>
      </c>
    </row>
    <row r="24" spans="1:33">
      <c r="A24" t="s">
        <v>137</v>
      </c>
      <c r="B24" t="s">
        <v>918</v>
      </c>
      <c r="C24" t="s">
        <v>917</v>
      </c>
      <c r="D24" t="s">
        <v>153</v>
      </c>
      <c r="F24">
        <v>0.140012</v>
      </c>
      <c r="G24">
        <v>0.14896499999999999</v>
      </c>
      <c r="H24">
        <v>0.15889500000000001</v>
      </c>
      <c r="I24">
        <v>0.166519</v>
      </c>
      <c r="J24">
        <v>0.170403</v>
      </c>
      <c r="K24">
        <v>0.177566</v>
      </c>
      <c r="L24">
        <v>0.18054600000000001</v>
      </c>
      <c r="M24">
        <v>0.18739</v>
      </c>
      <c r="N24">
        <v>0.195247</v>
      </c>
      <c r="O24">
        <v>0.20310800000000001</v>
      </c>
      <c r="P24">
        <v>0.208978</v>
      </c>
      <c r="Q24">
        <v>0.21029100000000001</v>
      </c>
      <c r="R24">
        <v>0.216747</v>
      </c>
      <c r="S24">
        <v>0.22294</v>
      </c>
      <c r="T24">
        <v>0.231348</v>
      </c>
      <c r="U24">
        <v>0.23567199999999999</v>
      </c>
      <c r="V24">
        <v>0.241007</v>
      </c>
      <c r="W24">
        <v>0.251419</v>
      </c>
      <c r="X24">
        <v>0.25957799999999998</v>
      </c>
      <c r="Y24">
        <v>0.26622400000000002</v>
      </c>
      <c r="Z24">
        <v>0.27033099999999999</v>
      </c>
      <c r="AA24">
        <v>0.27518900000000002</v>
      </c>
      <c r="AB24">
        <v>0.27833400000000003</v>
      </c>
      <c r="AC24">
        <v>0.28129599999999999</v>
      </c>
      <c r="AD24">
        <v>0.28270099999999998</v>
      </c>
      <c r="AE24">
        <v>0.28176899999999999</v>
      </c>
      <c r="AF24">
        <v>0.28175899999999998</v>
      </c>
      <c r="AG24" s="12">
        <v>2.7E-2</v>
      </c>
    </row>
    <row r="25" spans="1:33">
      <c r="A25" t="s">
        <v>126</v>
      </c>
      <c r="B25" t="s">
        <v>916</v>
      </c>
      <c r="C25" t="s">
        <v>915</v>
      </c>
      <c r="D25" t="s">
        <v>153</v>
      </c>
      <c r="F25">
        <v>0.167182</v>
      </c>
      <c r="G25">
        <v>0.16625400000000001</v>
      </c>
      <c r="H25">
        <v>0.16639999999999999</v>
      </c>
      <c r="I25">
        <v>0.16606799999999999</v>
      </c>
      <c r="J25">
        <v>0.15571699999999999</v>
      </c>
      <c r="K25">
        <v>0.15524399999999999</v>
      </c>
      <c r="L25">
        <v>0.156698</v>
      </c>
      <c r="M25">
        <v>0.15350800000000001</v>
      </c>
      <c r="N25">
        <v>0.15673300000000001</v>
      </c>
      <c r="O25">
        <v>0.157447</v>
      </c>
      <c r="P25">
        <v>0.156527</v>
      </c>
      <c r="Q25">
        <v>0.156527</v>
      </c>
      <c r="R25">
        <v>0.15692600000000001</v>
      </c>
      <c r="S25">
        <v>0.15528700000000001</v>
      </c>
      <c r="T25">
        <v>0.154694</v>
      </c>
      <c r="U25">
        <v>0.15443499999999999</v>
      </c>
      <c r="V25">
        <v>0.155837</v>
      </c>
      <c r="W25">
        <v>0.156749</v>
      </c>
      <c r="X25">
        <v>0.157413</v>
      </c>
      <c r="Y25">
        <v>0.157419</v>
      </c>
      <c r="Z25">
        <v>0.15798699999999999</v>
      </c>
      <c r="AA25">
        <v>0.1573</v>
      </c>
      <c r="AB25">
        <v>0.158133</v>
      </c>
      <c r="AC25">
        <v>0.15864600000000001</v>
      </c>
      <c r="AD25">
        <v>0.162274</v>
      </c>
      <c r="AE25">
        <v>0.163246</v>
      </c>
      <c r="AF25">
        <v>0.16087699999999999</v>
      </c>
      <c r="AG25" s="12">
        <v>-1E-3</v>
      </c>
    </row>
    <row r="26" spans="1:33">
      <c r="A26" t="s">
        <v>138</v>
      </c>
      <c r="B26" t="s">
        <v>914</v>
      </c>
      <c r="C26" t="s">
        <v>913</v>
      </c>
      <c r="D26" t="s">
        <v>153</v>
      </c>
      <c r="F26">
        <v>0.13592399999999999</v>
      </c>
      <c r="G26">
        <v>0.13561200000000001</v>
      </c>
      <c r="H26">
        <v>0.13617099999999999</v>
      </c>
      <c r="I26">
        <v>0.135905</v>
      </c>
      <c r="J26">
        <v>0.12787200000000001</v>
      </c>
      <c r="K26">
        <v>0.12797</v>
      </c>
      <c r="L26">
        <v>0.12910199999999999</v>
      </c>
      <c r="M26">
        <v>0.12610099999999999</v>
      </c>
      <c r="N26">
        <v>0.129963</v>
      </c>
      <c r="O26">
        <v>0.130414</v>
      </c>
      <c r="P26">
        <v>0.12878300000000001</v>
      </c>
      <c r="Q26">
        <v>0.12876099999999999</v>
      </c>
      <c r="R26">
        <v>0.12908700000000001</v>
      </c>
      <c r="S26">
        <v>0.12774099999999999</v>
      </c>
      <c r="T26">
        <v>0.127195</v>
      </c>
      <c r="U26">
        <v>0.12707199999999999</v>
      </c>
      <c r="V26">
        <v>0.12878800000000001</v>
      </c>
      <c r="W26">
        <v>0.129498</v>
      </c>
      <c r="X26">
        <v>0.13011800000000001</v>
      </c>
      <c r="Y26">
        <v>0.13012199999999999</v>
      </c>
      <c r="Z26">
        <v>0.13063</v>
      </c>
      <c r="AA26">
        <v>0.13004199999999999</v>
      </c>
      <c r="AB26">
        <v>0.130824</v>
      </c>
      <c r="AC26">
        <v>0.13145000000000001</v>
      </c>
      <c r="AD26">
        <v>0.13184699999999999</v>
      </c>
      <c r="AE26">
        <v>0.13325899999999999</v>
      </c>
      <c r="AF26">
        <v>0.132718</v>
      </c>
      <c r="AG26" s="12">
        <v>-1E-3</v>
      </c>
    </row>
    <row r="27" spans="1:33">
      <c r="A27" t="s">
        <v>139</v>
      </c>
      <c r="B27" t="s">
        <v>912</v>
      </c>
      <c r="C27" t="s">
        <v>911</v>
      </c>
      <c r="D27" t="s">
        <v>153</v>
      </c>
      <c r="F27">
        <v>3.1258000000000001E-2</v>
      </c>
      <c r="G27">
        <v>3.0641000000000002E-2</v>
      </c>
      <c r="H27">
        <v>3.0228999999999999E-2</v>
      </c>
      <c r="I27">
        <v>3.0162999999999999E-2</v>
      </c>
      <c r="J27">
        <v>2.7844000000000001E-2</v>
      </c>
      <c r="K27">
        <v>2.7275000000000001E-2</v>
      </c>
      <c r="L27">
        <v>2.7595999999999999E-2</v>
      </c>
      <c r="M27">
        <v>2.7407000000000001E-2</v>
      </c>
      <c r="N27">
        <v>2.6769000000000001E-2</v>
      </c>
      <c r="O27">
        <v>2.7033000000000001E-2</v>
      </c>
      <c r="P27">
        <v>2.7744000000000001E-2</v>
      </c>
      <c r="Q27">
        <v>2.7765999999999999E-2</v>
      </c>
      <c r="R27">
        <v>2.7838999999999999E-2</v>
      </c>
      <c r="S27">
        <v>2.7546000000000001E-2</v>
      </c>
      <c r="T27">
        <v>2.7498999999999999E-2</v>
      </c>
      <c r="U27">
        <v>2.7362000000000001E-2</v>
      </c>
      <c r="V27">
        <v>2.7050000000000001E-2</v>
      </c>
      <c r="W27">
        <v>2.725E-2</v>
      </c>
      <c r="X27">
        <v>2.7295E-2</v>
      </c>
      <c r="Y27">
        <v>2.7297999999999999E-2</v>
      </c>
      <c r="Z27">
        <v>2.7358E-2</v>
      </c>
      <c r="AA27">
        <v>2.7258000000000001E-2</v>
      </c>
      <c r="AB27">
        <v>2.7309E-2</v>
      </c>
      <c r="AC27">
        <v>2.7196000000000001E-2</v>
      </c>
      <c r="AD27">
        <v>3.0426000000000002E-2</v>
      </c>
      <c r="AE27">
        <v>2.9988000000000001E-2</v>
      </c>
      <c r="AF27">
        <v>2.8159E-2</v>
      </c>
      <c r="AG27" s="12">
        <v>-4.0000000000000001E-3</v>
      </c>
    </row>
    <row r="28" spans="1:33">
      <c r="A28" t="s">
        <v>140</v>
      </c>
      <c r="B28" t="s">
        <v>910</v>
      </c>
      <c r="C28" t="s">
        <v>909</v>
      </c>
      <c r="D28" t="s">
        <v>153</v>
      </c>
      <c r="F28">
        <v>9.1750000000000009E-3</v>
      </c>
      <c r="G28">
        <v>8.6870000000000003E-3</v>
      </c>
      <c r="H28">
        <v>9.6880000000000004E-3</v>
      </c>
      <c r="I28">
        <v>9.6740000000000003E-3</v>
      </c>
      <c r="J28">
        <v>9.691E-3</v>
      </c>
      <c r="K28">
        <v>9.6769999999999998E-3</v>
      </c>
      <c r="L28">
        <v>9.6810000000000004E-3</v>
      </c>
      <c r="M28">
        <v>9.6869999999999994E-3</v>
      </c>
      <c r="N28">
        <v>9.6810000000000004E-3</v>
      </c>
      <c r="O28">
        <v>9.672E-3</v>
      </c>
      <c r="P28">
        <v>9.5449999999999997E-3</v>
      </c>
      <c r="Q28">
        <v>9.0290000000000006E-3</v>
      </c>
      <c r="R28">
        <v>7.5339999999999999E-3</v>
      </c>
      <c r="S28">
        <v>6.4669999999999997E-3</v>
      </c>
      <c r="T28">
        <v>6.463E-3</v>
      </c>
      <c r="U28">
        <v>7.4520000000000003E-3</v>
      </c>
      <c r="V28">
        <v>7.4980000000000003E-3</v>
      </c>
      <c r="W28">
        <v>7.7549999999999997E-3</v>
      </c>
      <c r="X28">
        <v>8.9359999999999995E-3</v>
      </c>
      <c r="Y28">
        <v>7.5519999999999997E-3</v>
      </c>
      <c r="Z28">
        <v>7.5240000000000003E-3</v>
      </c>
      <c r="AA28">
        <v>9.2560000000000003E-3</v>
      </c>
      <c r="AB28">
        <v>9.1140000000000006E-3</v>
      </c>
      <c r="AC28">
        <v>8.9020000000000002E-3</v>
      </c>
      <c r="AD28">
        <v>9.0939999999999997E-3</v>
      </c>
      <c r="AE28">
        <v>9.1599999999999997E-3</v>
      </c>
      <c r="AF28">
        <v>9.2040000000000004E-3</v>
      </c>
      <c r="AG28" s="12">
        <v>0</v>
      </c>
    </row>
    <row r="29" spans="1:33">
      <c r="A29" t="s">
        <v>141</v>
      </c>
      <c r="B29" t="s">
        <v>908</v>
      </c>
      <c r="C29" t="s">
        <v>907</v>
      </c>
      <c r="D29" t="s">
        <v>153</v>
      </c>
      <c r="F29">
        <v>0.68615300000000001</v>
      </c>
      <c r="G29">
        <v>0.93048500000000001</v>
      </c>
      <c r="H29">
        <v>1.2610330000000001</v>
      </c>
      <c r="I29">
        <v>1.3598429999999999</v>
      </c>
      <c r="J29">
        <v>1.415033</v>
      </c>
      <c r="K29">
        <v>1.6002320000000001</v>
      </c>
      <c r="L29">
        <v>1.8484320000000001</v>
      </c>
      <c r="M29">
        <v>2.1320480000000002</v>
      </c>
      <c r="N29">
        <v>2.4913850000000002</v>
      </c>
      <c r="O29">
        <v>2.7691439999999998</v>
      </c>
      <c r="P29">
        <v>3.0268969999999999</v>
      </c>
      <c r="Q29">
        <v>3.242969</v>
      </c>
      <c r="R29">
        <v>3.384646</v>
      </c>
      <c r="S29">
        <v>3.5037780000000001</v>
      </c>
      <c r="T29">
        <v>3.6106509999999998</v>
      </c>
      <c r="U29">
        <v>3.746191</v>
      </c>
      <c r="V29">
        <v>3.8279139999999998</v>
      </c>
      <c r="W29">
        <v>3.9016329999999999</v>
      </c>
      <c r="X29">
        <v>3.9871080000000001</v>
      </c>
      <c r="Y29">
        <v>4.080622</v>
      </c>
      <c r="Z29">
        <v>4.1858589999999998</v>
      </c>
      <c r="AA29">
        <v>4.3243499999999999</v>
      </c>
      <c r="AB29">
        <v>4.4897999999999998</v>
      </c>
      <c r="AC29">
        <v>4.6728500000000004</v>
      </c>
      <c r="AD29">
        <v>4.855118</v>
      </c>
      <c r="AE29">
        <v>5.0042229999999996</v>
      </c>
      <c r="AF29">
        <v>5.151821</v>
      </c>
      <c r="AG29" s="12">
        <v>8.1000000000000003E-2</v>
      </c>
    </row>
    <row r="30" spans="1:33">
      <c r="A30" t="s">
        <v>142</v>
      </c>
      <c r="B30" t="s">
        <v>906</v>
      </c>
      <c r="C30" t="s">
        <v>905</v>
      </c>
      <c r="D30" t="s">
        <v>153</v>
      </c>
      <c r="F30">
        <v>1.5251170000000001</v>
      </c>
      <c r="G30">
        <v>1.5971340000000001</v>
      </c>
      <c r="H30">
        <v>1.7990200000000001</v>
      </c>
      <c r="I30">
        <v>1.98509</v>
      </c>
      <c r="J30">
        <v>2.1156259999999998</v>
      </c>
      <c r="K30">
        <v>2.2601019999999998</v>
      </c>
      <c r="L30">
        <v>2.4424610000000002</v>
      </c>
      <c r="M30">
        <v>2.6554060000000002</v>
      </c>
      <c r="N30">
        <v>2.88849</v>
      </c>
      <c r="O30">
        <v>3.1858900000000001</v>
      </c>
      <c r="P30">
        <v>3.5620989999999999</v>
      </c>
      <c r="Q30">
        <v>3.9910700000000001</v>
      </c>
      <c r="R30">
        <v>4.499136</v>
      </c>
      <c r="S30">
        <v>4.911232</v>
      </c>
      <c r="T30">
        <v>5.1407239999999996</v>
      </c>
      <c r="U30">
        <v>5.4465649999999997</v>
      </c>
      <c r="V30">
        <v>5.6720810000000004</v>
      </c>
      <c r="W30">
        <v>5.7494509999999996</v>
      </c>
      <c r="X30">
        <v>5.8037710000000002</v>
      </c>
      <c r="Y30">
        <v>5.8585940000000001</v>
      </c>
      <c r="Z30">
        <v>5.9128850000000002</v>
      </c>
      <c r="AA30">
        <v>5.9849259999999997</v>
      </c>
      <c r="AB30">
        <v>6.03294</v>
      </c>
      <c r="AC30">
        <v>6.1119630000000003</v>
      </c>
      <c r="AD30">
        <v>6.1883780000000002</v>
      </c>
      <c r="AE30">
        <v>6.3324749999999996</v>
      </c>
      <c r="AF30">
        <v>6.4448809999999996</v>
      </c>
      <c r="AG30" s="12">
        <v>5.7000000000000002E-2</v>
      </c>
    </row>
    <row r="31" spans="1:33">
      <c r="A31" t="s">
        <v>143</v>
      </c>
      <c r="B31" t="s">
        <v>904</v>
      </c>
      <c r="C31" t="s">
        <v>903</v>
      </c>
      <c r="D31" t="s">
        <v>153</v>
      </c>
      <c r="F31">
        <v>8.0015979999999995</v>
      </c>
      <c r="G31">
        <v>8.4236090000000008</v>
      </c>
      <c r="H31">
        <v>9.0552849999999996</v>
      </c>
      <c r="I31">
        <v>9.3616620000000008</v>
      </c>
      <c r="J31">
        <v>9.4217300000000002</v>
      </c>
      <c r="K31">
        <v>9.786664</v>
      </c>
      <c r="L31">
        <v>10.246105</v>
      </c>
      <c r="M31">
        <v>10.770749</v>
      </c>
      <c r="N31">
        <v>11.395408</v>
      </c>
      <c r="O31">
        <v>11.987632</v>
      </c>
      <c r="P31">
        <v>12.691672000000001</v>
      </c>
      <c r="Q31">
        <v>13.350533</v>
      </c>
      <c r="R31">
        <v>14.011350999999999</v>
      </c>
      <c r="S31">
        <v>14.546669</v>
      </c>
      <c r="T31">
        <v>14.945281</v>
      </c>
      <c r="U31">
        <v>15.402927999999999</v>
      </c>
      <c r="V31">
        <v>15.724679999999999</v>
      </c>
      <c r="W31">
        <v>15.892244</v>
      </c>
      <c r="X31">
        <v>16.043911000000001</v>
      </c>
      <c r="Y31">
        <v>16.193916999999999</v>
      </c>
      <c r="Z31">
        <v>16.352712</v>
      </c>
      <c r="AA31">
        <v>16.588183000000001</v>
      </c>
      <c r="AB31">
        <v>16.824712999999999</v>
      </c>
      <c r="AC31">
        <v>17.135487999999999</v>
      </c>
      <c r="AD31">
        <v>17.435305</v>
      </c>
      <c r="AE31">
        <v>17.774804</v>
      </c>
      <c r="AF31">
        <v>18.077473000000001</v>
      </c>
      <c r="AG31" s="12">
        <v>3.2000000000000001E-2</v>
      </c>
    </row>
    <row r="32" spans="1:33">
      <c r="A32" t="s">
        <v>22</v>
      </c>
    </row>
    <row r="33" spans="1:33">
      <c r="A33" t="s">
        <v>144</v>
      </c>
      <c r="B33" t="s">
        <v>902</v>
      </c>
      <c r="C33" t="s">
        <v>901</v>
      </c>
      <c r="D33" t="s">
        <v>153</v>
      </c>
      <c r="F33">
        <v>1.319796</v>
      </c>
      <c r="G33">
        <v>1.32233</v>
      </c>
      <c r="H33">
        <v>1.342438</v>
      </c>
      <c r="I33">
        <v>1.3444799999999999</v>
      </c>
      <c r="J33">
        <v>1.3445240000000001</v>
      </c>
      <c r="K33">
        <v>1.345372</v>
      </c>
      <c r="L33">
        <v>1.3445119999999999</v>
      </c>
      <c r="M33">
        <v>1.343896</v>
      </c>
      <c r="N33">
        <v>1.3436239999999999</v>
      </c>
      <c r="O33">
        <v>1.3442700000000001</v>
      </c>
      <c r="P33">
        <v>1.344401</v>
      </c>
      <c r="Q33">
        <v>1.343453</v>
      </c>
      <c r="R33">
        <v>1.345574</v>
      </c>
      <c r="S33">
        <v>1.348238</v>
      </c>
      <c r="T33">
        <v>1.348768</v>
      </c>
      <c r="U33">
        <v>1.3539870000000001</v>
      </c>
      <c r="V33">
        <v>1.3615010000000001</v>
      </c>
      <c r="W33">
        <v>1.364714</v>
      </c>
      <c r="X33">
        <v>1.3667530000000001</v>
      </c>
      <c r="Y33">
        <v>1.382163</v>
      </c>
      <c r="Z33">
        <v>1.387529</v>
      </c>
      <c r="AA33">
        <v>1.393813</v>
      </c>
      <c r="AB33">
        <v>1.3993390000000001</v>
      </c>
      <c r="AC33">
        <v>1.407653</v>
      </c>
      <c r="AD33">
        <v>1.4133979999999999</v>
      </c>
      <c r="AE33">
        <v>1.421891</v>
      </c>
      <c r="AF33">
        <v>1.4257960000000001</v>
      </c>
      <c r="AG33" s="12">
        <v>3.0000000000000001E-3</v>
      </c>
    </row>
    <row r="34" spans="1:33">
      <c r="A34" t="s">
        <v>145</v>
      </c>
      <c r="B34" t="s">
        <v>900</v>
      </c>
      <c r="C34" t="s">
        <v>899</v>
      </c>
      <c r="D34" t="s">
        <v>153</v>
      </c>
      <c r="F34">
        <v>1.493E-3</v>
      </c>
      <c r="G34">
        <v>1.4790000000000001E-3</v>
      </c>
      <c r="H34">
        <v>1.4679999999999999E-3</v>
      </c>
      <c r="I34">
        <v>1.4679999999999999E-3</v>
      </c>
      <c r="J34">
        <v>1.4679999999999999E-3</v>
      </c>
      <c r="K34">
        <v>1.4679999999999999E-3</v>
      </c>
      <c r="L34">
        <v>1.4679999999999999E-3</v>
      </c>
      <c r="M34">
        <v>1.4679999999999999E-3</v>
      </c>
      <c r="N34">
        <v>1.4679999999999999E-3</v>
      </c>
      <c r="O34">
        <v>1.4679999999999999E-3</v>
      </c>
      <c r="P34">
        <v>1.4679999999999999E-3</v>
      </c>
      <c r="Q34">
        <v>1.4679999999999999E-3</v>
      </c>
      <c r="R34">
        <v>1.4679999999999999E-3</v>
      </c>
      <c r="S34">
        <v>1.4679999999999999E-3</v>
      </c>
      <c r="T34">
        <v>1.4679999999999999E-3</v>
      </c>
      <c r="U34">
        <v>1.4679999999999999E-3</v>
      </c>
      <c r="V34">
        <v>1.4679999999999999E-3</v>
      </c>
      <c r="W34">
        <v>1.4679999999999999E-3</v>
      </c>
      <c r="X34">
        <v>1.4679999999999999E-3</v>
      </c>
      <c r="Y34">
        <v>1.4679999999999999E-3</v>
      </c>
      <c r="Z34">
        <v>1.4679999999999999E-3</v>
      </c>
      <c r="AA34">
        <v>1.4679999999999999E-3</v>
      </c>
      <c r="AB34">
        <v>1.4679999999999999E-3</v>
      </c>
      <c r="AC34">
        <v>1.4679999999999999E-3</v>
      </c>
      <c r="AD34">
        <v>1.4679999999999999E-3</v>
      </c>
      <c r="AE34">
        <v>1.4679999999999999E-3</v>
      </c>
      <c r="AF34">
        <v>1.4679999999999999E-3</v>
      </c>
      <c r="AG34" s="12">
        <v>-1E-3</v>
      </c>
    </row>
    <row r="35" spans="1:33">
      <c r="A35" t="s">
        <v>146</v>
      </c>
      <c r="B35" t="s">
        <v>898</v>
      </c>
      <c r="C35" t="s">
        <v>897</v>
      </c>
      <c r="D35" t="s">
        <v>153</v>
      </c>
      <c r="F35">
        <v>-0.15920599999999999</v>
      </c>
      <c r="G35">
        <v>-0.15610399999999999</v>
      </c>
      <c r="H35">
        <v>-0.15262100000000001</v>
      </c>
      <c r="I35">
        <v>-0.15132499999999999</v>
      </c>
      <c r="J35">
        <v>-0.15548699999999999</v>
      </c>
      <c r="K35">
        <v>-0.16220999999999999</v>
      </c>
      <c r="L35">
        <v>-0.16878799999999999</v>
      </c>
      <c r="M35">
        <v>-0.173237</v>
      </c>
      <c r="N35">
        <v>-0.17977399999999999</v>
      </c>
      <c r="O35">
        <v>-0.18569099999999999</v>
      </c>
      <c r="P35">
        <v>-0.18942899999999999</v>
      </c>
      <c r="Q35">
        <v>-0.19233600000000001</v>
      </c>
      <c r="R35">
        <v>-0.201766</v>
      </c>
      <c r="S35">
        <v>-0.21141199999999999</v>
      </c>
      <c r="T35">
        <v>-0.21671299999999999</v>
      </c>
      <c r="U35">
        <v>-0.226717</v>
      </c>
      <c r="V35">
        <v>-0.237292</v>
      </c>
      <c r="W35">
        <v>-0.243228</v>
      </c>
      <c r="X35">
        <v>-0.249306</v>
      </c>
      <c r="Y35">
        <v>-0.26588699999999998</v>
      </c>
      <c r="Z35">
        <v>-0.27382600000000001</v>
      </c>
      <c r="AA35">
        <v>-0.28067599999999998</v>
      </c>
      <c r="AB35">
        <v>-0.28769099999999997</v>
      </c>
      <c r="AC35">
        <v>-0.29488700000000001</v>
      </c>
      <c r="AD35">
        <v>-0.30224899999999999</v>
      </c>
      <c r="AE35">
        <v>-0.30980799999999997</v>
      </c>
      <c r="AF35">
        <v>-0.30986799999999998</v>
      </c>
      <c r="AG35" s="12">
        <v>2.5999999999999999E-2</v>
      </c>
    </row>
    <row r="36" spans="1:33">
      <c r="A36" t="s">
        <v>147</v>
      </c>
      <c r="B36" t="s">
        <v>896</v>
      </c>
      <c r="C36" t="s">
        <v>895</v>
      </c>
      <c r="D36" t="s">
        <v>153</v>
      </c>
      <c r="F36">
        <v>1.162083</v>
      </c>
      <c r="G36">
        <v>1.1677059999999999</v>
      </c>
      <c r="H36">
        <v>1.1912849999999999</v>
      </c>
      <c r="I36">
        <v>1.194623</v>
      </c>
      <c r="J36">
        <v>1.1905049999999999</v>
      </c>
      <c r="K36">
        <v>1.1846300000000001</v>
      </c>
      <c r="L36">
        <v>1.177192</v>
      </c>
      <c r="M36">
        <v>1.1721269999999999</v>
      </c>
      <c r="N36">
        <v>1.1653180000000001</v>
      </c>
      <c r="O36">
        <v>1.160048</v>
      </c>
      <c r="P36">
        <v>1.1564410000000001</v>
      </c>
      <c r="Q36">
        <v>1.152585</v>
      </c>
      <c r="R36">
        <v>1.145276</v>
      </c>
      <c r="S36">
        <v>1.1382939999999999</v>
      </c>
      <c r="T36">
        <v>1.1335230000000001</v>
      </c>
      <c r="U36">
        <v>1.1287370000000001</v>
      </c>
      <c r="V36">
        <v>1.125677</v>
      </c>
      <c r="W36">
        <v>1.122954</v>
      </c>
      <c r="X36">
        <v>1.118914</v>
      </c>
      <c r="Y36">
        <v>1.1177440000000001</v>
      </c>
      <c r="Z36">
        <v>1.11517</v>
      </c>
      <c r="AA36">
        <v>1.1146050000000001</v>
      </c>
      <c r="AB36">
        <v>1.113116</v>
      </c>
      <c r="AC36">
        <v>1.1142339999999999</v>
      </c>
      <c r="AD36">
        <v>1.112617</v>
      </c>
      <c r="AE36">
        <v>1.113551</v>
      </c>
      <c r="AF36">
        <v>1.1173960000000001</v>
      </c>
      <c r="AG36" s="12">
        <v>-2E-3</v>
      </c>
    </row>
    <row r="37" spans="1:33">
      <c r="A37" t="s">
        <v>148</v>
      </c>
    </row>
    <row r="38" spans="1:33">
      <c r="A38" t="s">
        <v>149</v>
      </c>
    </row>
    <row r="39" spans="1:33">
      <c r="A39" t="s">
        <v>150</v>
      </c>
      <c r="B39" t="s">
        <v>894</v>
      </c>
      <c r="C39" t="s">
        <v>893</v>
      </c>
      <c r="D39" t="s">
        <v>153</v>
      </c>
      <c r="F39">
        <v>0.25074299999999999</v>
      </c>
      <c r="G39">
        <v>0.28741800000000001</v>
      </c>
      <c r="H39">
        <v>0.32524900000000001</v>
      </c>
      <c r="I39">
        <v>0.35926799999999998</v>
      </c>
      <c r="J39">
        <v>0.39427200000000001</v>
      </c>
      <c r="K39">
        <v>0.42646600000000001</v>
      </c>
      <c r="L39">
        <v>0.46103499999999997</v>
      </c>
      <c r="M39">
        <v>0.49767400000000001</v>
      </c>
      <c r="N39">
        <v>0.53414399999999995</v>
      </c>
      <c r="O39">
        <v>0.56779400000000002</v>
      </c>
      <c r="P39">
        <v>0.60184199999999999</v>
      </c>
      <c r="Q39">
        <v>0.62786900000000001</v>
      </c>
      <c r="R39">
        <v>0.65475099999999997</v>
      </c>
      <c r="S39">
        <v>0.68227800000000005</v>
      </c>
      <c r="T39">
        <v>0.71080900000000002</v>
      </c>
      <c r="U39">
        <v>0.73968800000000001</v>
      </c>
      <c r="V39">
        <v>0.76835900000000001</v>
      </c>
      <c r="W39">
        <v>0.79810599999999998</v>
      </c>
      <c r="X39">
        <v>0.82866099999999998</v>
      </c>
      <c r="Y39">
        <v>0.85952600000000001</v>
      </c>
      <c r="Z39">
        <v>0.89091399999999998</v>
      </c>
      <c r="AA39">
        <v>0.92310300000000001</v>
      </c>
      <c r="AB39">
        <v>0.95589400000000002</v>
      </c>
      <c r="AC39">
        <v>0.98935200000000001</v>
      </c>
      <c r="AD39">
        <v>1.0238860000000001</v>
      </c>
      <c r="AE39">
        <v>1.0587310000000001</v>
      </c>
      <c r="AF39">
        <v>1.0941080000000001</v>
      </c>
      <c r="AG39" s="12">
        <v>5.8000000000000003E-2</v>
      </c>
    </row>
    <row r="40" spans="1:33">
      <c r="A40" t="s">
        <v>151</v>
      </c>
      <c r="B40" t="s">
        <v>892</v>
      </c>
      <c r="C40" t="s">
        <v>891</v>
      </c>
      <c r="D40" t="s">
        <v>153</v>
      </c>
      <c r="F40">
        <v>3.5527000000000003E-2</v>
      </c>
      <c r="G40">
        <v>4.2164E-2</v>
      </c>
      <c r="H40">
        <v>4.9453999999999998E-2</v>
      </c>
      <c r="I40">
        <v>5.5135999999999998E-2</v>
      </c>
      <c r="J40">
        <v>6.1081999999999997E-2</v>
      </c>
      <c r="K40">
        <v>6.3460000000000003E-2</v>
      </c>
      <c r="L40">
        <v>6.6100000000000006E-2</v>
      </c>
      <c r="M40">
        <v>6.8594000000000002E-2</v>
      </c>
      <c r="N40">
        <v>7.1124000000000007E-2</v>
      </c>
      <c r="O40">
        <v>7.0597999999999994E-2</v>
      </c>
      <c r="P40">
        <v>7.1290999999999993E-2</v>
      </c>
      <c r="Q40">
        <v>7.1442000000000005E-2</v>
      </c>
      <c r="R40">
        <v>7.1725999999999998E-2</v>
      </c>
      <c r="S40">
        <v>7.1845000000000006E-2</v>
      </c>
      <c r="T40">
        <v>7.2013999999999995E-2</v>
      </c>
      <c r="U40">
        <v>7.2104000000000001E-2</v>
      </c>
      <c r="V40">
        <v>7.1609999999999993E-2</v>
      </c>
      <c r="W40">
        <v>7.1702000000000002E-2</v>
      </c>
      <c r="X40">
        <v>7.1763999999999994E-2</v>
      </c>
      <c r="Y40">
        <v>7.1766999999999997E-2</v>
      </c>
      <c r="Z40">
        <v>7.1850999999999998E-2</v>
      </c>
      <c r="AA40">
        <v>7.1776999999999994E-2</v>
      </c>
      <c r="AB40">
        <v>7.1899000000000005E-2</v>
      </c>
      <c r="AC40">
        <v>7.1695999999999996E-2</v>
      </c>
      <c r="AD40">
        <v>7.1936E-2</v>
      </c>
      <c r="AE40">
        <v>7.1868000000000001E-2</v>
      </c>
      <c r="AF40">
        <v>7.2137999999999994E-2</v>
      </c>
      <c r="AG40" s="12">
        <v>2.8000000000000001E-2</v>
      </c>
    </row>
    <row r="41" spans="1:33">
      <c r="A41" t="s">
        <v>141</v>
      </c>
      <c r="B41" t="s">
        <v>890</v>
      </c>
      <c r="C41" t="s">
        <v>889</v>
      </c>
      <c r="D41" t="s">
        <v>153</v>
      </c>
      <c r="F41">
        <v>0.21395500000000001</v>
      </c>
      <c r="G41">
        <v>0.243113</v>
      </c>
      <c r="H41">
        <v>0.272787</v>
      </c>
      <c r="I41">
        <v>0.30072500000000002</v>
      </c>
      <c r="J41">
        <v>0.32933600000000002</v>
      </c>
      <c r="K41">
        <v>0.35830899999999999</v>
      </c>
      <c r="L41">
        <v>0.38930999999999999</v>
      </c>
      <c r="M41">
        <v>0.422234</v>
      </c>
      <c r="N41">
        <v>0.45493499999999998</v>
      </c>
      <c r="O41">
        <v>0.48869000000000001</v>
      </c>
      <c r="P41">
        <v>0.52184900000000001</v>
      </c>
      <c r="Q41">
        <v>0.54771800000000004</v>
      </c>
      <c r="R41">
        <v>0.57430800000000004</v>
      </c>
      <c r="S41">
        <v>0.60170699999999999</v>
      </c>
      <c r="T41">
        <v>0.63005800000000001</v>
      </c>
      <c r="U41">
        <v>0.65883599999999998</v>
      </c>
      <c r="V41">
        <v>0.68798899999999996</v>
      </c>
      <c r="W41">
        <v>0.71763200000000005</v>
      </c>
      <c r="X41">
        <v>0.74811099999999997</v>
      </c>
      <c r="Y41">
        <v>0.77895999999999999</v>
      </c>
      <c r="Z41">
        <v>0.810249</v>
      </c>
      <c r="AA41">
        <v>0.84249799999999997</v>
      </c>
      <c r="AB41">
        <v>0.87515299999999996</v>
      </c>
      <c r="AC41">
        <v>0.90879900000000002</v>
      </c>
      <c r="AD41">
        <v>0.94307700000000005</v>
      </c>
      <c r="AE41">
        <v>0.97797299999999998</v>
      </c>
      <c r="AF41">
        <v>1.013064</v>
      </c>
      <c r="AG41" s="12">
        <v>6.2E-2</v>
      </c>
    </row>
    <row r="42" spans="1:33">
      <c r="A42" t="s">
        <v>142</v>
      </c>
      <c r="B42" t="s">
        <v>888</v>
      </c>
      <c r="C42" t="s">
        <v>887</v>
      </c>
      <c r="D42" t="s">
        <v>153</v>
      </c>
      <c r="F42">
        <v>1.2600000000000001E-3</v>
      </c>
      <c r="G42">
        <v>2.1410000000000001E-3</v>
      </c>
      <c r="H42">
        <v>3.0070000000000001E-3</v>
      </c>
      <c r="I42">
        <v>3.4069999999999999E-3</v>
      </c>
      <c r="J42">
        <v>3.8549999999999999E-3</v>
      </c>
      <c r="K42">
        <v>4.6969999999999998E-3</v>
      </c>
      <c r="L42">
        <v>5.6249999999999998E-3</v>
      </c>
      <c r="M42">
        <v>6.8459999999999997E-3</v>
      </c>
      <c r="N42">
        <v>8.0850000000000002E-3</v>
      </c>
      <c r="O42">
        <v>8.5070000000000007E-3</v>
      </c>
      <c r="P42">
        <v>8.7030000000000007E-3</v>
      </c>
      <c r="Q42">
        <v>8.7089999999999997E-3</v>
      </c>
      <c r="R42">
        <v>8.7170000000000008E-3</v>
      </c>
      <c r="S42">
        <v>8.7259999999999994E-3</v>
      </c>
      <c r="T42">
        <v>8.737E-3</v>
      </c>
      <c r="U42">
        <v>8.7480000000000006E-3</v>
      </c>
      <c r="V42">
        <v>8.7600000000000004E-3</v>
      </c>
      <c r="W42">
        <v>8.7729999999999995E-3</v>
      </c>
      <c r="X42">
        <v>8.7860000000000004E-3</v>
      </c>
      <c r="Y42">
        <v>8.7989999999999995E-3</v>
      </c>
      <c r="Z42">
        <v>8.8129999999999997E-3</v>
      </c>
      <c r="AA42">
        <v>8.8269999999999998E-3</v>
      </c>
      <c r="AB42">
        <v>8.8419999999999992E-3</v>
      </c>
      <c r="AC42">
        <v>8.8579999999999996E-3</v>
      </c>
      <c r="AD42">
        <v>8.8730000000000007E-3</v>
      </c>
      <c r="AE42">
        <v>8.8900000000000003E-3</v>
      </c>
      <c r="AF42">
        <v>8.907E-3</v>
      </c>
      <c r="AG42" s="12">
        <v>7.8E-2</v>
      </c>
    </row>
    <row r="43" spans="1:33">
      <c r="A43" t="s">
        <v>152</v>
      </c>
      <c r="B43" t="s">
        <v>886</v>
      </c>
      <c r="C43" t="s">
        <v>885</v>
      </c>
      <c r="D43" t="s">
        <v>153</v>
      </c>
      <c r="F43">
        <v>0.20818700000000001</v>
      </c>
      <c r="G43">
        <v>0.22262299999999999</v>
      </c>
      <c r="H43">
        <v>0.23933299999999999</v>
      </c>
      <c r="I43">
        <v>0.24512</v>
      </c>
      <c r="J43">
        <v>0.25116899999999998</v>
      </c>
      <c r="K43">
        <v>0.26085900000000001</v>
      </c>
      <c r="L43">
        <v>0.27288800000000002</v>
      </c>
      <c r="M43">
        <v>0.28668100000000002</v>
      </c>
      <c r="N43">
        <v>0.29902800000000002</v>
      </c>
      <c r="O43">
        <v>0.312087</v>
      </c>
      <c r="P43">
        <v>0.32226100000000002</v>
      </c>
      <c r="Q43">
        <v>0.32997799999999999</v>
      </c>
      <c r="R43">
        <v>0.336752</v>
      </c>
      <c r="S43">
        <v>0.34578100000000001</v>
      </c>
      <c r="T43">
        <v>0.3523</v>
      </c>
      <c r="U43">
        <v>0.35697000000000001</v>
      </c>
      <c r="V43">
        <v>0.36337799999999998</v>
      </c>
      <c r="W43">
        <v>0.37340000000000001</v>
      </c>
      <c r="X43">
        <v>0.382718</v>
      </c>
      <c r="Y43">
        <v>0.391652</v>
      </c>
      <c r="Z43">
        <v>0.40115600000000001</v>
      </c>
      <c r="AA43">
        <v>0.41025</v>
      </c>
      <c r="AB43">
        <v>0.41951899999999998</v>
      </c>
      <c r="AC43">
        <v>0.42825099999999999</v>
      </c>
      <c r="AD43">
        <v>0.435228</v>
      </c>
      <c r="AE43">
        <v>0.44208599999999998</v>
      </c>
      <c r="AF43">
        <v>0.44732300000000003</v>
      </c>
      <c r="AG43" s="12">
        <v>0.03</v>
      </c>
    </row>
    <row r="44" spans="1:33">
      <c r="A44" t="s">
        <v>140</v>
      </c>
      <c r="B44" t="s">
        <v>884</v>
      </c>
      <c r="C44" t="s">
        <v>883</v>
      </c>
      <c r="D44" t="s">
        <v>153</v>
      </c>
      <c r="F44">
        <v>6.5970000000000001E-2</v>
      </c>
      <c r="G44">
        <v>6.3522999999999996E-2</v>
      </c>
      <c r="H44">
        <v>6.3758999999999996E-2</v>
      </c>
      <c r="I44">
        <v>6.2554999999999999E-2</v>
      </c>
      <c r="J44">
        <v>6.1929999999999999E-2</v>
      </c>
      <c r="K44">
        <v>6.1544000000000001E-2</v>
      </c>
      <c r="L44">
        <v>6.1365000000000003E-2</v>
      </c>
      <c r="M44">
        <v>6.0719000000000002E-2</v>
      </c>
      <c r="N44">
        <v>6.0527999999999998E-2</v>
      </c>
      <c r="O44">
        <v>5.8022999999999998E-2</v>
      </c>
      <c r="P44">
        <v>5.7785999999999997E-2</v>
      </c>
      <c r="Q44">
        <v>5.7960999999999999E-2</v>
      </c>
      <c r="R44">
        <v>5.8395000000000002E-2</v>
      </c>
      <c r="S44">
        <v>5.8285000000000003E-2</v>
      </c>
      <c r="T44">
        <v>5.8208000000000003E-2</v>
      </c>
      <c r="U44">
        <v>5.8202999999999998E-2</v>
      </c>
      <c r="V44">
        <v>5.7064999999999998E-2</v>
      </c>
      <c r="W44">
        <v>5.7070999999999997E-2</v>
      </c>
      <c r="X44">
        <v>5.7076000000000002E-2</v>
      </c>
      <c r="Y44">
        <v>5.6996999999999999E-2</v>
      </c>
      <c r="Z44">
        <v>5.7015000000000003E-2</v>
      </c>
      <c r="AA44">
        <v>5.6936E-2</v>
      </c>
      <c r="AB44">
        <v>5.7097000000000002E-2</v>
      </c>
      <c r="AC44">
        <v>5.6811E-2</v>
      </c>
      <c r="AD44">
        <v>5.6854000000000002E-2</v>
      </c>
      <c r="AE44">
        <v>5.6737000000000003E-2</v>
      </c>
      <c r="AF44">
        <v>5.6786999999999997E-2</v>
      </c>
      <c r="AG44" s="12">
        <v>-6.0000000000000001E-3</v>
      </c>
    </row>
    <row r="45" spans="1:33">
      <c r="A45" t="s">
        <v>141</v>
      </c>
      <c r="B45" t="s">
        <v>882</v>
      </c>
      <c r="C45" t="s">
        <v>881</v>
      </c>
      <c r="D45" t="s">
        <v>153</v>
      </c>
      <c r="F45">
        <v>0.13968800000000001</v>
      </c>
      <c r="G45">
        <v>0.15656900000000001</v>
      </c>
      <c r="H45">
        <v>0.173044</v>
      </c>
      <c r="I45">
        <v>0.180036</v>
      </c>
      <c r="J45">
        <v>0.18670900000000001</v>
      </c>
      <c r="K45">
        <v>0.19677900000000001</v>
      </c>
      <c r="L45">
        <v>0.208981</v>
      </c>
      <c r="M45">
        <v>0.223414</v>
      </c>
      <c r="N45">
        <v>0.23594399999999999</v>
      </c>
      <c r="O45">
        <v>0.25150099999999997</v>
      </c>
      <c r="P45">
        <v>0.26190999999999998</v>
      </c>
      <c r="Q45">
        <v>0.26944899999999999</v>
      </c>
      <c r="R45">
        <v>0.27578799999999998</v>
      </c>
      <c r="S45">
        <v>0.28492400000000001</v>
      </c>
      <c r="T45">
        <v>0.29151899999999997</v>
      </c>
      <c r="U45">
        <v>0.29619200000000001</v>
      </c>
      <c r="V45">
        <v>0.303734</v>
      </c>
      <c r="W45">
        <v>0.313745</v>
      </c>
      <c r="X45">
        <v>0.32305200000000001</v>
      </c>
      <c r="Y45">
        <v>0.332063</v>
      </c>
      <c r="Z45">
        <v>0.34154499999999999</v>
      </c>
      <c r="AA45">
        <v>0.35071600000000003</v>
      </c>
      <c r="AB45">
        <v>0.359819</v>
      </c>
      <c r="AC45">
        <v>0.368834</v>
      </c>
      <c r="AD45">
        <v>0.37576599999999999</v>
      </c>
      <c r="AE45">
        <v>0.38273800000000002</v>
      </c>
      <c r="AF45">
        <v>0.38792500000000002</v>
      </c>
      <c r="AG45" s="12">
        <v>0.04</v>
      </c>
    </row>
    <row r="46" spans="1:33">
      <c r="A46" t="s">
        <v>142</v>
      </c>
      <c r="B46" t="s">
        <v>880</v>
      </c>
      <c r="C46" t="s">
        <v>879</v>
      </c>
      <c r="D46" t="s">
        <v>153</v>
      </c>
      <c r="F46">
        <v>2.529E-3</v>
      </c>
      <c r="G46">
        <v>2.5309999999999998E-3</v>
      </c>
      <c r="H46">
        <v>2.5300000000000001E-3</v>
      </c>
      <c r="I46">
        <v>2.5300000000000001E-3</v>
      </c>
      <c r="J46">
        <v>2.5300000000000001E-3</v>
      </c>
      <c r="K46">
        <v>2.5360000000000001E-3</v>
      </c>
      <c r="L46">
        <v>2.5409999999999999E-3</v>
      </c>
      <c r="M46">
        <v>2.5479999999999999E-3</v>
      </c>
      <c r="N46">
        <v>2.5560000000000001E-3</v>
      </c>
      <c r="O46">
        <v>2.5630000000000002E-3</v>
      </c>
      <c r="P46">
        <v>2.565E-3</v>
      </c>
      <c r="Q46">
        <v>2.568E-3</v>
      </c>
      <c r="R46">
        <v>2.5690000000000001E-3</v>
      </c>
      <c r="S46">
        <v>2.5720000000000001E-3</v>
      </c>
      <c r="T46">
        <v>2.5730000000000002E-3</v>
      </c>
      <c r="U46">
        <v>2.575E-3</v>
      </c>
      <c r="V46">
        <v>2.578E-3</v>
      </c>
      <c r="W46">
        <v>2.5839999999999999E-3</v>
      </c>
      <c r="X46">
        <v>2.5890000000000002E-3</v>
      </c>
      <c r="Y46">
        <v>2.5920000000000001E-3</v>
      </c>
      <c r="Z46">
        <v>2.5959999999999998E-3</v>
      </c>
      <c r="AA46">
        <v>2.5990000000000002E-3</v>
      </c>
      <c r="AB46">
        <v>2.6029999999999998E-3</v>
      </c>
      <c r="AC46">
        <v>2.6059999999999998E-3</v>
      </c>
      <c r="AD46">
        <v>2.6080000000000001E-3</v>
      </c>
      <c r="AE46">
        <v>2.6099999999999999E-3</v>
      </c>
      <c r="AF46">
        <v>2.611E-3</v>
      </c>
      <c r="AG46" s="12">
        <v>1E-3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AF05-F0B2-449E-A995-C19529DD18BF}">
  <dimension ref="A1:AE44"/>
  <sheetViews>
    <sheetView workbookViewId="0"/>
  </sheetViews>
  <sheetFormatPr defaultRowHeight="14.25"/>
  <sheetData>
    <row r="1" spans="1:31">
      <c r="A1" t="s">
        <v>119</v>
      </c>
    </row>
    <row r="2" spans="1:31">
      <c r="A2" t="s">
        <v>1143</v>
      </c>
    </row>
    <row r="3" spans="1:31">
      <c r="A3" t="s">
        <v>1144</v>
      </c>
    </row>
    <row r="4" spans="1:31">
      <c r="A4" t="s">
        <v>87</v>
      </c>
    </row>
    <row r="5" spans="1:31">
      <c r="B5" t="s">
        <v>88</v>
      </c>
      <c r="C5" t="s">
        <v>116</v>
      </c>
      <c r="D5" t="s">
        <v>117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1145</v>
      </c>
    </row>
    <row r="6" spans="1:31">
      <c r="A6" t="s">
        <v>120</v>
      </c>
    </row>
    <row r="7" spans="1:31">
      <c r="A7" t="s">
        <v>121</v>
      </c>
      <c r="B7" t="s">
        <v>1146</v>
      </c>
      <c r="C7" t="s">
        <v>1147</v>
      </c>
      <c r="D7" t="s">
        <v>153</v>
      </c>
      <c r="E7">
        <v>0.37138700000000002</v>
      </c>
      <c r="F7">
        <v>0.34290100000000001</v>
      </c>
      <c r="G7">
        <v>0.33499000000000001</v>
      </c>
      <c r="H7">
        <v>0.33120500000000003</v>
      </c>
      <c r="I7">
        <v>0.32895400000000002</v>
      </c>
      <c r="J7">
        <v>0.323627</v>
      </c>
      <c r="K7">
        <v>0.31936900000000001</v>
      </c>
      <c r="L7">
        <v>0.31564300000000001</v>
      </c>
      <c r="M7">
        <v>0.31281199999999998</v>
      </c>
      <c r="N7">
        <v>0.30912600000000001</v>
      </c>
      <c r="O7">
        <v>0.30582900000000002</v>
      </c>
      <c r="P7">
        <v>0.302008</v>
      </c>
      <c r="Q7">
        <v>0.29809400000000003</v>
      </c>
      <c r="R7">
        <v>0.29419899999999999</v>
      </c>
      <c r="S7">
        <v>0.28995399999999999</v>
      </c>
      <c r="T7">
        <v>0.28553800000000001</v>
      </c>
      <c r="U7">
        <v>0.28127000000000002</v>
      </c>
      <c r="V7">
        <v>0.27737800000000001</v>
      </c>
      <c r="W7">
        <v>0.27363100000000001</v>
      </c>
      <c r="X7">
        <v>0.27007799999999998</v>
      </c>
      <c r="Y7">
        <v>0.26697399999999999</v>
      </c>
      <c r="Z7">
        <v>0.26397799999999999</v>
      </c>
      <c r="AA7">
        <v>0.26129000000000002</v>
      </c>
      <c r="AB7">
        <v>0.258824</v>
      </c>
      <c r="AC7">
        <v>0.25657600000000003</v>
      </c>
      <c r="AD7">
        <v>0.254137</v>
      </c>
      <c r="AE7" s="12">
        <v>-1.4999999999999999E-2</v>
      </c>
    </row>
    <row r="8" spans="1:31">
      <c r="A8" t="s">
        <v>122</v>
      </c>
      <c r="B8" t="s">
        <v>1148</v>
      </c>
      <c r="C8" t="s">
        <v>1149</v>
      </c>
      <c r="D8" t="s">
        <v>153</v>
      </c>
      <c r="E8">
        <v>0.143682</v>
      </c>
      <c r="F8">
        <v>0.143682</v>
      </c>
      <c r="G8">
        <v>0.143682</v>
      </c>
      <c r="H8">
        <v>0.143682</v>
      </c>
      <c r="I8">
        <v>0.143682</v>
      </c>
      <c r="J8">
        <v>0.143682</v>
      </c>
      <c r="K8">
        <v>0.143682</v>
      </c>
      <c r="L8">
        <v>0.143682</v>
      </c>
      <c r="M8">
        <v>0.143682</v>
      </c>
      <c r="N8">
        <v>0.143682</v>
      </c>
      <c r="O8">
        <v>0.143682</v>
      </c>
      <c r="P8">
        <v>0.143682</v>
      </c>
      <c r="Q8">
        <v>0.143682</v>
      </c>
      <c r="R8">
        <v>0.143682</v>
      </c>
      <c r="S8">
        <v>0.143682</v>
      </c>
      <c r="T8">
        <v>0.143682</v>
      </c>
      <c r="U8">
        <v>0.143682</v>
      </c>
      <c r="V8">
        <v>0.143682</v>
      </c>
      <c r="W8">
        <v>0.143682</v>
      </c>
      <c r="X8">
        <v>0.143682</v>
      </c>
      <c r="Y8">
        <v>0.143682</v>
      </c>
      <c r="Z8">
        <v>0.143682</v>
      </c>
      <c r="AA8">
        <v>0.143682</v>
      </c>
      <c r="AB8">
        <v>0.143682</v>
      </c>
      <c r="AC8">
        <v>0.143682</v>
      </c>
      <c r="AD8">
        <v>0.143682</v>
      </c>
      <c r="AE8" s="12">
        <v>0</v>
      </c>
    </row>
    <row r="9" spans="1:31">
      <c r="A9" t="s">
        <v>123</v>
      </c>
      <c r="B9" t="s">
        <v>1150</v>
      </c>
      <c r="C9" t="s">
        <v>1151</v>
      </c>
      <c r="D9" t="s">
        <v>153</v>
      </c>
      <c r="E9">
        <v>2.4069060000000002</v>
      </c>
      <c r="F9">
        <v>2.5317059999999998</v>
      </c>
      <c r="G9">
        <v>2.505957</v>
      </c>
      <c r="H9">
        <v>2.4923129999999998</v>
      </c>
      <c r="I9">
        <v>2.4818850000000001</v>
      </c>
      <c r="J9">
        <v>2.4542060000000001</v>
      </c>
      <c r="K9">
        <v>2.4168080000000001</v>
      </c>
      <c r="L9">
        <v>2.3940510000000002</v>
      </c>
      <c r="M9">
        <v>2.3815379999999999</v>
      </c>
      <c r="N9">
        <v>2.3853420000000001</v>
      </c>
      <c r="O9">
        <v>2.3908740000000002</v>
      </c>
      <c r="P9">
        <v>2.407575</v>
      </c>
      <c r="Q9">
        <v>2.4173300000000002</v>
      </c>
      <c r="R9">
        <v>2.4407299999999998</v>
      </c>
      <c r="S9">
        <v>2.4664000000000001</v>
      </c>
      <c r="T9">
        <v>2.4899239999999998</v>
      </c>
      <c r="U9">
        <v>2.4980259999999999</v>
      </c>
      <c r="V9">
        <v>2.5188929999999998</v>
      </c>
      <c r="W9">
        <v>2.5303079999999998</v>
      </c>
      <c r="X9">
        <v>2.5456409999999998</v>
      </c>
      <c r="Y9">
        <v>2.5707689999999999</v>
      </c>
      <c r="Z9">
        <v>2.59334</v>
      </c>
      <c r="AA9">
        <v>2.6230419999999999</v>
      </c>
      <c r="AB9">
        <v>2.652539</v>
      </c>
      <c r="AC9">
        <v>2.6837620000000002</v>
      </c>
      <c r="AD9">
        <v>2.7152810000000001</v>
      </c>
      <c r="AE9" s="12">
        <v>5.0000000000000001E-3</v>
      </c>
    </row>
    <row r="10" spans="1:31">
      <c r="A10" t="s">
        <v>124</v>
      </c>
      <c r="B10" t="s">
        <v>1152</v>
      </c>
      <c r="C10" t="s">
        <v>1153</v>
      </c>
      <c r="D10" t="s">
        <v>153</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t="s">
        <v>6</v>
      </c>
    </row>
    <row r="11" spans="1:31">
      <c r="A11" t="s">
        <v>125</v>
      </c>
      <c r="B11" t="s">
        <v>1154</v>
      </c>
      <c r="C11" t="s">
        <v>1155</v>
      </c>
      <c r="D11" t="s">
        <v>153</v>
      </c>
      <c r="E11">
        <v>0.151724</v>
      </c>
      <c r="F11">
        <v>0.15004999999999999</v>
      </c>
      <c r="G11">
        <v>0.151278</v>
      </c>
      <c r="H11">
        <v>0.153696</v>
      </c>
      <c r="I11">
        <v>0.15482699999999999</v>
      </c>
      <c r="J11">
        <v>0.15648599999999999</v>
      </c>
      <c r="K11">
        <v>0.15731300000000001</v>
      </c>
      <c r="L11">
        <v>0.15829699999999999</v>
      </c>
      <c r="M11">
        <v>0.15828300000000001</v>
      </c>
      <c r="N11">
        <v>0.160437</v>
      </c>
      <c r="O11">
        <v>0.16273299999999999</v>
      </c>
      <c r="P11">
        <v>0.165324</v>
      </c>
      <c r="Q11">
        <v>0.16812299999999999</v>
      </c>
      <c r="R11">
        <v>0.171071</v>
      </c>
      <c r="S11">
        <v>0.174035</v>
      </c>
      <c r="T11">
        <v>0.17685200000000001</v>
      </c>
      <c r="U11">
        <v>0.17968000000000001</v>
      </c>
      <c r="V11">
        <v>0.18253800000000001</v>
      </c>
      <c r="W11">
        <v>0.18546000000000001</v>
      </c>
      <c r="X11">
        <v>0.18840499999999999</v>
      </c>
      <c r="Y11">
        <v>0.191217</v>
      </c>
      <c r="Z11">
        <v>0.19414200000000001</v>
      </c>
      <c r="AA11">
        <v>0.19710900000000001</v>
      </c>
      <c r="AB11">
        <v>0.20010500000000001</v>
      </c>
      <c r="AC11">
        <v>0.20313500000000001</v>
      </c>
      <c r="AD11">
        <v>0.20624700000000001</v>
      </c>
      <c r="AE11" s="12">
        <v>1.2E-2</v>
      </c>
    </row>
    <row r="12" spans="1:31">
      <c r="A12" t="s">
        <v>126</v>
      </c>
      <c r="B12" t="s">
        <v>1156</v>
      </c>
      <c r="C12" t="s">
        <v>1157</v>
      </c>
      <c r="D12" t="s">
        <v>153</v>
      </c>
      <c r="E12">
        <v>1.3462639999999999</v>
      </c>
      <c r="F12">
        <v>1.4570510000000001</v>
      </c>
      <c r="G12">
        <v>1.417581</v>
      </c>
      <c r="H12">
        <v>1.3969309999999999</v>
      </c>
      <c r="I12">
        <v>1.3884970000000001</v>
      </c>
      <c r="J12">
        <v>1.357526</v>
      </c>
      <c r="K12">
        <v>1.3224100000000001</v>
      </c>
      <c r="L12">
        <v>1.299795</v>
      </c>
      <c r="M12">
        <v>1.288664</v>
      </c>
      <c r="N12">
        <v>1.288181</v>
      </c>
      <c r="O12">
        <v>1.2897909999999999</v>
      </c>
      <c r="P12">
        <v>1.2976829999999999</v>
      </c>
      <c r="Q12">
        <v>1.3050390000000001</v>
      </c>
      <c r="R12">
        <v>1.324708</v>
      </c>
      <c r="S12">
        <v>1.34642</v>
      </c>
      <c r="T12">
        <v>1.364517</v>
      </c>
      <c r="U12">
        <v>1.367038</v>
      </c>
      <c r="V12">
        <v>1.3752120000000001</v>
      </c>
      <c r="W12">
        <v>1.379794</v>
      </c>
      <c r="X12">
        <v>1.3895139999999999</v>
      </c>
      <c r="Y12">
        <v>1.4110180000000001</v>
      </c>
      <c r="Z12">
        <v>1.4306319999999999</v>
      </c>
      <c r="AA12">
        <v>1.453076</v>
      </c>
      <c r="AB12">
        <v>1.473516</v>
      </c>
      <c r="AC12">
        <v>1.499001</v>
      </c>
      <c r="AD12">
        <v>1.5229790000000001</v>
      </c>
      <c r="AE12" s="12">
        <v>5.0000000000000001E-3</v>
      </c>
    </row>
    <row r="13" spans="1:31">
      <c r="A13" t="s">
        <v>127</v>
      </c>
      <c r="B13" t="s">
        <v>1158</v>
      </c>
      <c r="C13" t="s">
        <v>1159</v>
      </c>
      <c r="D13" t="s">
        <v>153</v>
      </c>
      <c r="E13">
        <v>0.90891699999999997</v>
      </c>
      <c r="F13">
        <v>0.92460600000000004</v>
      </c>
      <c r="G13">
        <v>0.93709799999999999</v>
      </c>
      <c r="H13">
        <v>0.94168600000000002</v>
      </c>
      <c r="I13">
        <v>0.93855999999999995</v>
      </c>
      <c r="J13">
        <v>0.940195</v>
      </c>
      <c r="K13">
        <v>0.93708499999999995</v>
      </c>
      <c r="L13">
        <v>0.93595899999999999</v>
      </c>
      <c r="M13">
        <v>0.93459099999999995</v>
      </c>
      <c r="N13">
        <v>0.93672299999999997</v>
      </c>
      <c r="O13">
        <v>0.93835000000000002</v>
      </c>
      <c r="P13">
        <v>0.94456799999999996</v>
      </c>
      <c r="Q13">
        <v>0.94416800000000001</v>
      </c>
      <c r="R13">
        <v>0.94495200000000001</v>
      </c>
      <c r="S13">
        <v>0.94594599999999995</v>
      </c>
      <c r="T13">
        <v>0.94855500000000004</v>
      </c>
      <c r="U13">
        <v>0.95130800000000004</v>
      </c>
      <c r="V13">
        <v>0.961144</v>
      </c>
      <c r="W13">
        <v>0.96505399999999997</v>
      </c>
      <c r="X13">
        <v>0.96772100000000005</v>
      </c>
      <c r="Y13">
        <v>0.96853299999999998</v>
      </c>
      <c r="Z13">
        <v>0.96856500000000001</v>
      </c>
      <c r="AA13">
        <v>0.97285699999999997</v>
      </c>
      <c r="AB13">
        <v>0.97891799999999995</v>
      </c>
      <c r="AC13">
        <v>0.981626</v>
      </c>
      <c r="AD13">
        <v>0.98605500000000001</v>
      </c>
      <c r="AE13" s="12">
        <v>3.0000000000000001E-3</v>
      </c>
    </row>
    <row r="14" spans="1:31">
      <c r="A14" t="s">
        <v>128</v>
      </c>
      <c r="B14" t="s">
        <v>1160</v>
      </c>
      <c r="C14" t="s">
        <v>1161</v>
      </c>
      <c r="D14" t="s">
        <v>153</v>
      </c>
      <c r="E14">
        <v>1.7078800000000001</v>
      </c>
      <c r="F14">
        <v>1.738308</v>
      </c>
      <c r="G14">
        <v>1.7696609999999999</v>
      </c>
      <c r="H14">
        <v>1.7823359999999999</v>
      </c>
      <c r="I14">
        <v>1.7761009999999999</v>
      </c>
      <c r="J14">
        <v>1.714539</v>
      </c>
      <c r="K14">
        <v>1.714677</v>
      </c>
      <c r="L14">
        <v>1.714626</v>
      </c>
      <c r="M14">
        <v>1.7147159999999999</v>
      </c>
      <c r="N14">
        <v>1.714594</v>
      </c>
      <c r="O14">
        <v>1.714504</v>
      </c>
      <c r="P14">
        <v>1.713527</v>
      </c>
      <c r="Q14">
        <v>1.7151320000000001</v>
      </c>
      <c r="R14">
        <v>1.71343</v>
      </c>
      <c r="S14">
        <v>1.7150190000000001</v>
      </c>
      <c r="T14">
        <v>1.7207749999999999</v>
      </c>
      <c r="U14">
        <v>1.721565</v>
      </c>
      <c r="V14">
        <v>1.730307</v>
      </c>
      <c r="W14">
        <v>1.735295</v>
      </c>
      <c r="X14">
        <v>1.7357229999999999</v>
      </c>
      <c r="Y14">
        <v>1.7365820000000001</v>
      </c>
      <c r="Z14">
        <v>1.7386170000000001</v>
      </c>
      <c r="AA14">
        <v>1.739908</v>
      </c>
      <c r="AB14">
        <v>1.7478689999999999</v>
      </c>
      <c r="AC14">
        <v>1.774405</v>
      </c>
      <c r="AD14">
        <v>1.777692</v>
      </c>
      <c r="AE14" s="12">
        <v>2E-3</v>
      </c>
    </row>
    <row r="15" spans="1:31">
      <c r="A15" t="s">
        <v>129</v>
      </c>
      <c r="B15" t="s">
        <v>1162</v>
      </c>
      <c r="C15" t="s">
        <v>1163</v>
      </c>
      <c r="D15" t="s">
        <v>153</v>
      </c>
      <c r="E15">
        <v>2.6120000000000001E-2</v>
      </c>
      <c r="F15">
        <v>2.0856E-2</v>
      </c>
      <c r="G15">
        <v>1.9786000000000002E-2</v>
      </c>
      <c r="H15">
        <v>1.8522E-2</v>
      </c>
      <c r="I15">
        <v>1.7025999999999999E-2</v>
      </c>
      <c r="J15">
        <v>1.7676000000000001E-2</v>
      </c>
      <c r="K15">
        <v>1.5172E-2</v>
      </c>
      <c r="L15">
        <v>1.3871E-2</v>
      </c>
      <c r="M15">
        <v>1.2638E-2</v>
      </c>
      <c r="N15">
        <v>1.1721000000000001E-2</v>
      </c>
      <c r="O15">
        <v>1.0539E-2</v>
      </c>
      <c r="P15">
        <v>9.5449999999999997E-3</v>
      </c>
      <c r="Q15">
        <v>8.5640000000000004E-3</v>
      </c>
      <c r="R15">
        <v>7.7730000000000004E-3</v>
      </c>
      <c r="S15">
        <v>7.0879999999999997E-3</v>
      </c>
      <c r="T15">
        <v>6.5570000000000003E-3</v>
      </c>
      <c r="U15">
        <v>5.9569999999999996E-3</v>
      </c>
      <c r="V15">
        <v>5.6080000000000001E-3</v>
      </c>
      <c r="W15">
        <v>5.2659999999999998E-3</v>
      </c>
      <c r="X15">
        <v>5.0299999999999997E-3</v>
      </c>
      <c r="Y15">
        <v>4.5539999999999999E-3</v>
      </c>
      <c r="Z15">
        <v>4.3829999999999997E-3</v>
      </c>
      <c r="AA15">
        <v>4.3429999999999996E-3</v>
      </c>
      <c r="AB15">
        <v>4.4710000000000001E-3</v>
      </c>
      <c r="AC15">
        <v>4.143E-3</v>
      </c>
      <c r="AD15">
        <v>3.9459999999999999E-3</v>
      </c>
      <c r="AE15" s="12">
        <v>-7.2999999999999995E-2</v>
      </c>
    </row>
    <row r="16" spans="1:31">
      <c r="A16" t="s">
        <v>130</v>
      </c>
      <c r="B16" t="s">
        <v>1164</v>
      </c>
      <c r="C16" t="s">
        <v>1165</v>
      </c>
      <c r="D16" t="s">
        <v>153</v>
      </c>
      <c r="E16">
        <v>1.141321</v>
      </c>
      <c r="F16">
        <v>1.1446750000000001</v>
      </c>
      <c r="G16">
        <v>1.160822</v>
      </c>
      <c r="H16">
        <v>1.155661</v>
      </c>
      <c r="I16">
        <v>1.148128</v>
      </c>
      <c r="J16">
        <v>1.1377649999999999</v>
      </c>
      <c r="K16">
        <v>1.1308689999999999</v>
      </c>
      <c r="L16">
        <v>1.1254599999999999</v>
      </c>
      <c r="M16">
        <v>1.1190230000000001</v>
      </c>
      <c r="N16">
        <v>1.1177410000000001</v>
      </c>
      <c r="O16">
        <v>1.115767</v>
      </c>
      <c r="P16">
        <v>1.109883</v>
      </c>
      <c r="Q16">
        <v>1.1041529999999999</v>
      </c>
      <c r="R16">
        <v>1.099969</v>
      </c>
      <c r="S16">
        <v>1.0958840000000001</v>
      </c>
      <c r="T16">
        <v>1.0937539999999999</v>
      </c>
      <c r="U16">
        <v>1.091755</v>
      </c>
      <c r="V16">
        <v>1.0874299999999999</v>
      </c>
      <c r="W16">
        <v>1.086257</v>
      </c>
      <c r="X16">
        <v>1.0838429999999999</v>
      </c>
      <c r="Y16">
        <v>1.082705</v>
      </c>
      <c r="Z16">
        <v>1.080268</v>
      </c>
      <c r="AA16">
        <v>1.0787409999999999</v>
      </c>
      <c r="AB16">
        <v>1.0744610000000001</v>
      </c>
      <c r="AC16">
        <v>1.0704849999999999</v>
      </c>
      <c r="AD16">
        <v>1.0686929999999999</v>
      </c>
      <c r="AE16" s="12">
        <v>-3.0000000000000001E-3</v>
      </c>
    </row>
    <row r="17" spans="1:31">
      <c r="A17" t="s">
        <v>131</v>
      </c>
      <c r="B17" t="s">
        <v>1166</v>
      </c>
      <c r="C17" t="s">
        <v>1167</v>
      </c>
      <c r="D17" t="s">
        <v>153</v>
      </c>
      <c r="E17">
        <v>0.147984</v>
      </c>
      <c r="F17">
        <v>0.17835000000000001</v>
      </c>
      <c r="G17">
        <v>0.17033000000000001</v>
      </c>
      <c r="H17">
        <v>0.17543300000000001</v>
      </c>
      <c r="I17">
        <v>0.17863699999999999</v>
      </c>
      <c r="J17">
        <v>0.14730699999999999</v>
      </c>
      <c r="K17">
        <v>0.15440799999999999</v>
      </c>
      <c r="L17">
        <v>0.157498</v>
      </c>
      <c r="M17">
        <v>0.16486300000000001</v>
      </c>
      <c r="N17">
        <v>0.16775899999999999</v>
      </c>
      <c r="O17">
        <v>0.170187</v>
      </c>
      <c r="P17">
        <v>0.15951099999999999</v>
      </c>
      <c r="Q17">
        <v>0.16719200000000001</v>
      </c>
      <c r="R17">
        <v>0.16550899999999999</v>
      </c>
      <c r="S17">
        <v>0.16288800000000001</v>
      </c>
      <c r="T17">
        <v>0.160219</v>
      </c>
      <c r="U17">
        <v>0.157276</v>
      </c>
      <c r="V17">
        <v>0.15435399999999999</v>
      </c>
      <c r="W17">
        <v>0.15130399999999999</v>
      </c>
      <c r="X17">
        <v>0.148122</v>
      </c>
      <c r="Y17">
        <v>0.14480499999999999</v>
      </c>
      <c r="Z17">
        <v>0.14135200000000001</v>
      </c>
      <c r="AA17">
        <v>0.13827</v>
      </c>
      <c r="AB17">
        <v>0.13453499999999999</v>
      </c>
      <c r="AC17">
        <v>0.13065499999999999</v>
      </c>
      <c r="AD17">
        <v>0.12662599999999999</v>
      </c>
      <c r="AE17" s="12">
        <v>-6.0000000000000001E-3</v>
      </c>
    </row>
    <row r="18" spans="1:31">
      <c r="A18" t="s">
        <v>132</v>
      </c>
      <c r="B18" t="s">
        <v>1168</v>
      </c>
      <c r="C18" t="s">
        <v>1169</v>
      </c>
      <c r="D18" t="s">
        <v>153</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6</v>
      </c>
    </row>
    <row r="19" spans="1:31">
      <c r="A19" t="s">
        <v>133</v>
      </c>
      <c r="B19" t="s">
        <v>1170</v>
      </c>
      <c r="C19" t="s">
        <v>1171</v>
      </c>
      <c r="D19" t="s">
        <v>153</v>
      </c>
      <c r="E19">
        <v>2.745E-3</v>
      </c>
      <c r="F19">
        <v>2.745E-3</v>
      </c>
      <c r="G19">
        <v>2.745E-3</v>
      </c>
      <c r="H19">
        <v>2.745E-3</v>
      </c>
      <c r="I19">
        <v>2.745E-3</v>
      </c>
      <c r="J19">
        <v>2.745E-3</v>
      </c>
      <c r="K19">
        <v>2.745E-3</v>
      </c>
      <c r="L19">
        <v>2.745E-3</v>
      </c>
      <c r="M19">
        <v>2.745E-3</v>
      </c>
      <c r="N19">
        <v>2.745E-3</v>
      </c>
      <c r="O19">
        <v>2.745E-3</v>
      </c>
      <c r="P19">
        <v>2.745E-3</v>
      </c>
      <c r="Q19">
        <v>2.745E-3</v>
      </c>
      <c r="R19">
        <v>2.745E-3</v>
      </c>
      <c r="S19">
        <v>2.745E-3</v>
      </c>
      <c r="T19">
        <v>2.745E-3</v>
      </c>
      <c r="U19">
        <v>2.745E-3</v>
      </c>
      <c r="V19">
        <v>2.745E-3</v>
      </c>
      <c r="W19">
        <v>2.745E-3</v>
      </c>
      <c r="X19">
        <v>2.745E-3</v>
      </c>
      <c r="Y19">
        <v>2.745E-3</v>
      </c>
      <c r="Z19">
        <v>2.745E-3</v>
      </c>
      <c r="AA19">
        <v>2.745E-3</v>
      </c>
      <c r="AB19">
        <v>2.745E-3</v>
      </c>
      <c r="AC19">
        <v>2.745E-3</v>
      </c>
      <c r="AD19">
        <v>2.745E-3</v>
      </c>
      <c r="AE19" s="12">
        <v>0</v>
      </c>
    </row>
    <row r="20" spans="1:31">
      <c r="A20" t="s">
        <v>134</v>
      </c>
      <c r="B20" t="s">
        <v>1172</v>
      </c>
      <c r="C20" t="s">
        <v>1173</v>
      </c>
      <c r="D20" t="s">
        <v>153</v>
      </c>
      <c r="E20">
        <v>0.38970900000000003</v>
      </c>
      <c r="F20">
        <v>0.39168199999999997</v>
      </c>
      <c r="G20">
        <v>0.41597800000000001</v>
      </c>
      <c r="H20">
        <v>0.42997400000000002</v>
      </c>
      <c r="I20">
        <v>0.429566</v>
      </c>
      <c r="J20">
        <v>0.40904600000000002</v>
      </c>
      <c r="K20">
        <v>0.41148299999999999</v>
      </c>
      <c r="L20">
        <v>0.41505199999999998</v>
      </c>
      <c r="M20">
        <v>0.41544700000000001</v>
      </c>
      <c r="N20">
        <v>0.414628</v>
      </c>
      <c r="O20">
        <v>0.415267</v>
      </c>
      <c r="P20">
        <v>0.43184299999999998</v>
      </c>
      <c r="Q20">
        <v>0.43247799999999997</v>
      </c>
      <c r="R20">
        <v>0.43743500000000002</v>
      </c>
      <c r="S20">
        <v>0.44641399999999998</v>
      </c>
      <c r="T20">
        <v>0.45749899999999999</v>
      </c>
      <c r="U20">
        <v>0.46383200000000002</v>
      </c>
      <c r="V20">
        <v>0.48016999999999999</v>
      </c>
      <c r="W20">
        <v>0.48972300000000002</v>
      </c>
      <c r="X20">
        <v>0.49598300000000001</v>
      </c>
      <c r="Y20">
        <v>0.50177300000000002</v>
      </c>
      <c r="Z20">
        <v>0.50986900000000002</v>
      </c>
      <c r="AA20">
        <v>0.51580899999999996</v>
      </c>
      <c r="AB20">
        <v>0.53165799999999996</v>
      </c>
      <c r="AC20">
        <v>0.56637700000000002</v>
      </c>
      <c r="AD20">
        <v>0.57568200000000003</v>
      </c>
      <c r="AE20" s="12">
        <v>1.6E-2</v>
      </c>
    </row>
    <row r="21" spans="1:31">
      <c r="A21" t="s">
        <v>135</v>
      </c>
      <c r="B21" t="s">
        <v>1174</v>
      </c>
      <c r="C21" t="s">
        <v>1175</v>
      </c>
      <c r="D21" t="s">
        <v>153</v>
      </c>
      <c r="E21">
        <v>3.7178689999999999</v>
      </c>
      <c r="F21">
        <v>4.061839</v>
      </c>
      <c r="G21">
        <v>4.6683320000000004</v>
      </c>
      <c r="H21">
        <v>5.0635289999999999</v>
      </c>
      <c r="I21">
        <v>5.2825160000000002</v>
      </c>
      <c r="J21">
        <v>5.4468189999999996</v>
      </c>
      <c r="K21">
        <v>5.604444</v>
      </c>
      <c r="L21">
        <v>5.702966</v>
      </c>
      <c r="M21">
        <v>5.8290319999999998</v>
      </c>
      <c r="N21">
        <v>6.0055370000000003</v>
      </c>
      <c r="O21">
        <v>6.2057219999999997</v>
      </c>
      <c r="P21">
        <v>6.4115919999999997</v>
      </c>
      <c r="Q21">
        <v>6.5583939999999998</v>
      </c>
      <c r="R21">
        <v>6.6782380000000003</v>
      </c>
      <c r="S21">
        <v>6.8023439999999997</v>
      </c>
      <c r="T21">
        <v>6.9194620000000002</v>
      </c>
      <c r="U21">
        <v>7.0199670000000003</v>
      </c>
      <c r="V21">
        <v>7.0632570000000001</v>
      </c>
      <c r="W21">
        <v>7.0810190000000004</v>
      </c>
      <c r="X21">
        <v>7.0953609999999996</v>
      </c>
      <c r="Y21">
        <v>7.1070950000000002</v>
      </c>
      <c r="Z21">
        <v>7.1224100000000004</v>
      </c>
      <c r="AA21">
        <v>7.1448809999999998</v>
      </c>
      <c r="AB21">
        <v>7.1607750000000001</v>
      </c>
      <c r="AC21">
        <v>7.1858320000000004</v>
      </c>
      <c r="AD21">
        <v>7.3960900000000001</v>
      </c>
      <c r="AE21" s="12">
        <v>2.8000000000000001E-2</v>
      </c>
    </row>
    <row r="22" spans="1:31">
      <c r="A22" t="s">
        <v>124</v>
      </c>
      <c r="B22" t="s">
        <v>1176</v>
      </c>
      <c r="C22" t="s">
        <v>1177</v>
      </c>
      <c r="D22" t="s">
        <v>153</v>
      </c>
      <c r="E22">
        <v>0.83338599999999996</v>
      </c>
      <c r="F22">
        <v>0.89370700000000003</v>
      </c>
      <c r="G22">
        <v>0.914331</v>
      </c>
      <c r="H22">
        <v>0.93328299999999997</v>
      </c>
      <c r="I22">
        <v>0.938944</v>
      </c>
      <c r="J22">
        <v>0.93991499999999994</v>
      </c>
      <c r="K22">
        <v>0.94094699999999998</v>
      </c>
      <c r="L22">
        <v>0.94073799999999996</v>
      </c>
      <c r="M22">
        <v>0.94101599999999996</v>
      </c>
      <c r="N22">
        <v>0.94160500000000003</v>
      </c>
      <c r="O22">
        <v>0.94186899999999996</v>
      </c>
      <c r="P22">
        <v>0.94176199999999999</v>
      </c>
      <c r="Q22">
        <v>0.943859</v>
      </c>
      <c r="R22">
        <v>0.94409200000000004</v>
      </c>
      <c r="S22">
        <v>0.94402900000000001</v>
      </c>
      <c r="T22">
        <v>0.94357800000000003</v>
      </c>
      <c r="U22">
        <v>0.94409900000000002</v>
      </c>
      <c r="V22">
        <v>0.944191</v>
      </c>
      <c r="W22">
        <v>0.94418199999999997</v>
      </c>
      <c r="X22">
        <v>0.94419600000000004</v>
      </c>
      <c r="Y22">
        <v>0.94408999999999998</v>
      </c>
      <c r="Z22">
        <v>0.94428500000000004</v>
      </c>
      <c r="AA22">
        <v>0.94435599999999997</v>
      </c>
      <c r="AB22">
        <v>0.94456499999999999</v>
      </c>
      <c r="AC22">
        <v>0.94456300000000004</v>
      </c>
      <c r="AD22">
        <v>0.94437400000000005</v>
      </c>
      <c r="AE22" s="12">
        <v>5.0000000000000001E-3</v>
      </c>
    </row>
    <row r="23" spans="1:31">
      <c r="A23" t="s">
        <v>136</v>
      </c>
      <c r="B23" t="s">
        <v>1178</v>
      </c>
      <c r="C23" t="s">
        <v>1179</v>
      </c>
      <c r="D23" t="s">
        <v>153</v>
      </c>
      <c r="E23">
        <v>5.3645999999999999E-2</v>
      </c>
      <c r="F23">
        <v>5.3927999999999997E-2</v>
      </c>
      <c r="G23">
        <v>5.7680000000000002E-2</v>
      </c>
      <c r="H23">
        <v>5.9186999999999997E-2</v>
      </c>
      <c r="I23">
        <v>6.7804000000000003E-2</v>
      </c>
      <c r="J23">
        <v>7.7784000000000006E-2</v>
      </c>
      <c r="K23">
        <v>8.7637000000000007E-2</v>
      </c>
      <c r="L23">
        <v>9.7931000000000004E-2</v>
      </c>
      <c r="M23">
        <v>0.108794</v>
      </c>
      <c r="N23">
        <v>0.117951</v>
      </c>
      <c r="O23">
        <v>0.126332</v>
      </c>
      <c r="P23">
        <v>0.13506799999999999</v>
      </c>
      <c r="Q23">
        <v>0.14341499999999999</v>
      </c>
      <c r="R23">
        <v>0.15082499999999999</v>
      </c>
      <c r="S23">
        <v>0.156912</v>
      </c>
      <c r="T23">
        <v>0.16081000000000001</v>
      </c>
      <c r="U23">
        <v>0.16448099999999999</v>
      </c>
      <c r="V23">
        <v>0.16814999999999999</v>
      </c>
      <c r="W23">
        <v>0.171566</v>
      </c>
      <c r="X23">
        <v>0.17457600000000001</v>
      </c>
      <c r="Y23">
        <v>0.17737600000000001</v>
      </c>
      <c r="Z23">
        <v>0.17993600000000001</v>
      </c>
      <c r="AA23">
        <v>0.18224699999999999</v>
      </c>
      <c r="AB23">
        <v>0.18428900000000001</v>
      </c>
      <c r="AC23">
        <v>0.18595300000000001</v>
      </c>
      <c r="AD23">
        <v>0.18627199999999999</v>
      </c>
      <c r="AE23" s="12">
        <v>5.0999999999999997E-2</v>
      </c>
    </row>
    <row r="24" spans="1:31">
      <c r="A24" t="s">
        <v>137</v>
      </c>
      <c r="B24" t="s">
        <v>1180</v>
      </c>
      <c r="C24" t="s">
        <v>1181</v>
      </c>
      <c r="D24" t="s">
        <v>153</v>
      </c>
      <c r="E24">
        <v>0.15339800000000001</v>
      </c>
      <c r="F24">
        <v>0.15873100000000001</v>
      </c>
      <c r="G24">
        <v>0.16755</v>
      </c>
      <c r="H24">
        <v>0.17227100000000001</v>
      </c>
      <c r="I24">
        <v>0.17935000000000001</v>
      </c>
      <c r="J24">
        <v>0.18254000000000001</v>
      </c>
      <c r="K24">
        <v>0.18807299999999999</v>
      </c>
      <c r="L24">
        <v>0.19449900000000001</v>
      </c>
      <c r="M24">
        <v>0.201432</v>
      </c>
      <c r="N24">
        <v>0.20957799999999999</v>
      </c>
      <c r="O24">
        <v>0.21651899999999999</v>
      </c>
      <c r="P24">
        <v>0.22373100000000001</v>
      </c>
      <c r="Q24">
        <v>0.231484</v>
      </c>
      <c r="R24">
        <v>0.239009</v>
      </c>
      <c r="S24">
        <v>0.24593899999999999</v>
      </c>
      <c r="T24">
        <v>0.25118200000000002</v>
      </c>
      <c r="U24">
        <v>0.25774799999999998</v>
      </c>
      <c r="V24">
        <v>0.26282800000000001</v>
      </c>
      <c r="W24">
        <v>0.269592</v>
      </c>
      <c r="X24">
        <v>0.275254</v>
      </c>
      <c r="Y24">
        <v>0.27831299999999998</v>
      </c>
      <c r="Z24">
        <v>0.28125499999999998</v>
      </c>
      <c r="AA24">
        <v>0.28453800000000001</v>
      </c>
      <c r="AB24">
        <v>0.28748400000000002</v>
      </c>
      <c r="AC24">
        <v>0.29014400000000001</v>
      </c>
      <c r="AD24">
        <v>0.28993000000000002</v>
      </c>
      <c r="AE24" s="12">
        <v>2.5999999999999999E-2</v>
      </c>
    </row>
    <row r="25" spans="1:31">
      <c r="A25" t="s">
        <v>126</v>
      </c>
      <c r="B25" t="s">
        <v>1182</v>
      </c>
      <c r="C25" t="s">
        <v>1183</v>
      </c>
      <c r="D25" t="s">
        <v>153</v>
      </c>
      <c r="E25">
        <v>0.15549499999999999</v>
      </c>
      <c r="F25">
        <v>0.151948</v>
      </c>
      <c r="G25">
        <v>0.157636</v>
      </c>
      <c r="H25">
        <v>0.15756999999999999</v>
      </c>
      <c r="I25">
        <v>0.15623699999999999</v>
      </c>
      <c r="J25">
        <v>0.15870699999999999</v>
      </c>
      <c r="K25">
        <v>0.15919700000000001</v>
      </c>
      <c r="L25">
        <v>0.15901999999999999</v>
      </c>
      <c r="M25">
        <v>0.16006100000000001</v>
      </c>
      <c r="N25">
        <v>0.160604</v>
      </c>
      <c r="O25">
        <v>0.16219800000000001</v>
      </c>
      <c r="P25">
        <v>0.16433</v>
      </c>
      <c r="Q25">
        <v>0.16678599999999999</v>
      </c>
      <c r="R25">
        <v>0.16563800000000001</v>
      </c>
      <c r="S25">
        <v>0.165685</v>
      </c>
      <c r="T25">
        <v>0.16642999999999999</v>
      </c>
      <c r="U25">
        <v>0.16378499999999999</v>
      </c>
      <c r="V25">
        <v>0.16347100000000001</v>
      </c>
      <c r="W25">
        <v>0.16353599999999999</v>
      </c>
      <c r="X25">
        <v>0.16398599999999999</v>
      </c>
      <c r="Y25">
        <v>0.163968</v>
      </c>
      <c r="Z25">
        <v>0.16295499999999999</v>
      </c>
      <c r="AA25">
        <v>0.16399900000000001</v>
      </c>
      <c r="AB25">
        <v>0.16883500000000001</v>
      </c>
      <c r="AC25">
        <v>0.168179</v>
      </c>
      <c r="AD25">
        <v>0.34975299999999998</v>
      </c>
      <c r="AE25" s="12">
        <v>3.3000000000000002E-2</v>
      </c>
    </row>
    <row r="26" spans="1:31">
      <c r="A26" t="s">
        <v>140</v>
      </c>
      <c r="B26" t="s">
        <v>1184</v>
      </c>
      <c r="C26" t="s">
        <v>1185</v>
      </c>
      <c r="D26" t="s">
        <v>153</v>
      </c>
      <c r="E26">
        <v>9.8539999999999999E-3</v>
      </c>
      <c r="F26">
        <v>9.2569999999999996E-3</v>
      </c>
      <c r="G26">
        <v>9.9590000000000008E-3</v>
      </c>
      <c r="H26">
        <v>9.953E-3</v>
      </c>
      <c r="I26">
        <v>9.9430000000000004E-3</v>
      </c>
      <c r="J26">
        <v>9.9550000000000003E-3</v>
      </c>
      <c r="K26">
        <v>9.9600000000000001E-3</v>
      </c>
      <c r="L26">
        <v>9.9319999999999999E-3</v>
      </c>
      <c r="M26">
        <v>9.9270000000000001E-3</v>
      </c>
      <c r="N26">
        <v>9.9349999999999994E-3</v>
      </c>
      <c r="O26">
        <v>9.9430000000000004E-3</v>
      </c>
      <c r="P26">
        <v>9.9410000000000002E-3</v>
      </c>
      <c r="Q26">
        <v>9.9480000000000002E-3</v>
      </c>
      <c r="R26">
        <v>9.9489999999999995E-3</v>
      </c>
      <c r="S26">
        <v>9.9469999999999992E-3</v>
      </c>
      <c r="T26">
        <v>9.9480000000000002E-3</v>
      </c>
      <c r="U26">
        <v>9.9520000000000008E-3</v>
      </c>
      <c r="V26">
        <v>9.946E-3</v>
      </c>
      <c r="W26">
        <v>9.946E-3</v>
      </c>
      <c r="X26">
        <v>9.9469999999999992E-3</v>
      </c>
      <c r="Y26">
        <v>9.9480000000000002E-3</v>
      </c>
      <c r="Z26">
        <v>9.9690000000000004E-3</v>
      </c>
      <c r="AA26">
        <v>9.9579999999999998E-3</v>
      </c>
      <c r="AB26">
        <v>9.9489999999999995E-3</v>
      </c>
      <c r="AC26">
        <v>9.9520000000000008E-3</v>
      </c>
      <c r="AD26">
        <v>9.9570000000000006E-3</v>
      </c>
      <c r="AE26" s="12">
        <v>0</v>
      </c>
    </row>
    <row r="27" spans="1:31">
      <c r="A27" t="s">
        <v>141</v>
      </c>
      <c r="B27" t="s">
        <v>1186</v>
      </c>
      <c r="C27" t="s">
        <v>1187</v>
      </c>
      <c r="D27" t="s">
        <v>153</v>
      </c>
      <c r="E27">
        <v>0.92931399999999997</v>
      </c>
      <c r="F27">
        <v>1.133521</v>
      </c>
      <c r="G27">
        <v>1.554765</v>
      </c>
      <c r="H27">
        <v>1.8603860000000001</v>
      </c>
      <c r="I27">
        <v>1.9059109999999999</v>
      </c>
      <c r="J27">
        <v>1.9097930000000001</v>
      </c>
      <c r="K27">
        <v>1.926283</v>
      </c>
      <c r="L27">
        <v>1.932431</v>
      </c>
      <c r="M27">
        <v>1.939554</v>
      </c>
      <c r="N27">
        <v>1.954037</v>
      </c>
      <c r="O27">
        <v>1.9716290000000001</v>
      </c>
      <c r="P27">
        <v>1.983284</v>
      </c>
      <c r="Q27">
        <v>1.989144</v>
      </c>
      <c r="R27">
        <v>1.9972259999999999</v>
      </c>
      <c r="S27">
        <v>2.0171480000000002</v>
      </c>
      <c r="T27">
        <v>2.0411429999999999</v>
      </c>
      <c r="U27">
        <v>2.0545529999999999</v>
      </c>
      <c r="V27">
        <v>2.060905</v>
      </c>
      <c r="W27">
        <v>2.061944</v>
      </c>
      <c r="X27">
        <v>2.0639370000000001</v>
      </c>
      <c r="Y27">
        <v>2.0656349999999999</v>
      </c>
      <c r="Z27">
        <v>2.0668440000000001</v>
      </c>
      <c r="AA27">
        <v>2.0686360000000001</v>
      </c>
      <c r="AB27">
        <v>2.0685799999999999</v>
      </c>
      <c r="AC27">
        <v>2.0697549999999998</v>
      </c>
      <c r="AD27">
        <v>2.0704129999999998</v>
      </c>
      <c r="AE27" s="12">
        <v>3.3000000000000002E-2</v>
      </c>
    </row>
    <row r="28" spans="1:31">
      <c r="A28" t="s">
        <v>142</v>
      </c>
      <c r="B28" t="s">
        <v>1188</v>
      </c>
      <c r="C28" t="s">
        <v>1189</v>
      </c>
      <c r="D28" t="s">
        <v>153</v>
      </c>
      <c r="E28">
        <v>1.582776</v>
      </c>
      <c r="F28">
        <v>1.6607460000000001</v>
      </c>
      <c r="G28">
        <v>1.806411</v>
      </c>
      <c r="H28">
        <v>1.870878</v>
      </c>
      <c r="I28">
        <v>2.024327</v>
      </c>
      <c r="J28">
        <v>2.168126</v>
      </c>
      <c r="K28">
        <v>2.2923460000000002</v>
      </c>
      <c r="L28">
        <v>2.3684159999999999</v>
      </c>
      <c r="M28">
        <v>2.4682490000000001</v>
      </c>
      <c r="N28">
        <v>2.6118290000000002</v>
      </c>
      <c r="O28">
        <v>2.7772329999999998</v>
      </c>
      <c r="P28">
        <v>2.9534769999999999</v>
      </c>
      <c r="Q28">
        <v>3.0737580000000002</v>
      </c>
      <c r="R28">
        <v>3.1714989999999998</v>
      </c>
      <c r="S28">
        <v>3.2626849999999998</v>
      </c>
      <c r="T28">
        <v>3.3463699999999998</v>
      </c>
      <c r="U28">
        <v>3.4253499999999999</v>
      </c>
      <c r="V28">
        <v>3.4537650000000002</v>
      </c>
      <c r="W28">
        <v>3.4602529999999998</v>
      </c>
      <c r="X28">
        <v>3.4634649999999998</v>
      </c>
      <c r="Y28">
        <v>3.4677630000000002</v>
      </c>
      <c r="Z28">
        <v>3.4771649999999998</v>
      </c>
      <c r="AA28">
        <v>3.4911469999999998</v>
      </c>
      <c r="AB28">
        <v>3.497074</v>
      </c>
      <c r="AC28">
        <v>3.5172859999999999</v>
      </c>
      <c r="AD28">
        <v>3.545391</v>
      </c>
      <c r="AE28" s="12">
        <v>3.3000000000000002E-2</v>
      </c>
    </row>
    <row r="29" spans="1:31">
      <c r="A29" t="s">
        <v>143</v>
      </c>
      <c r="B29" t="s">
        <v>1190</v>
      </c>
      <c r="C29" t="s">
        <v>1191</v>
      </c>
      <c r="D29" t="s">
        <v>153</v>
      </c>
      <c r="E29">
        <v>8.3477230000000002</v>
      </c>
      <c r="F29">
        <v>8.8184360000000002</v>
      </c>
      <c r="G29">
        <v>9.4226209999999995</v>
      </c>
      <c r="H29">
        <v>9.8130640000000007</v>
      </c>
      <c r="I29">
        <v>10.013138</v>
      </c>
      <c r="J29">
        <v>10.082872999999999</v>
      </c>
      <c r="K29">
        <v>10.198980000000001</v>
      </c>
      <c r="L29">
        <v>10.270967000000001</v>
      </c>
      <c r="M29">
        <v>10.381779</v>
      </c>
      <c r="N29">
        <v>10.558280999999999</v>
      </c>
      <c r="O29">
        <v>10.760611000000001</v>
      </c>
      <c r="P29">
        <v>10.978382999999999</v>
      </c>
      <c r="Q29">
        <v>11.132631999999999</v>
      </c>
      <c r="R29">
        <v>11.27028</v>
      </c>
      <c r="S29">
        <v>11.417399</v>
      </c>
      <c r="T29">
        <v>11.559381</v>
      </c>
      <c r="U29">
        <v>11.66451</v>
      </c>
      <c r="V29">
        <v>11.733516</v>
      </c>
      <c r="W29">
        <v>11.763935</v>
      </c>
      <c r="X29">
        <v>11.790483999999999</v>
      </c>
      <c r="Y29">
        <v>11.825101</v>
      </c>
      <c r="Z29">
        <v>11.862026999999999</v>
      </c>
      <c r="AA29">
        <v>11.912801999999999</v>
      </c>
      <c r="AB29">
        <v>11.96369</v>
      </c>
      <c r="AC29">
        <v>12.044257</v>
      </c>
      <c r="AD29">
        <v>12.286882</v>
      </c>
      <c r="AE29" s="12">
        <v>1.6E-2</v>
      </c>
    </row>
    <row r="30" spans="1:31">
      <c r="A30" t="s">
        <v>22</v>
      </c>
    </row>
    <row r="31" spans="1:31">
      <c r="A31" t="s">
        <v>144</v>
      </c>
      <c r="B31" t="s">
        <v>1192</v>
      </c>
      <c r="C31" t="s">
        <v>1193</v>
      </c>
      <c r="D31" t="s">
        <v>153</v>
      </c>
      <c r="E31">
        <v>1.3421289999999999</v>
      </c>
      <c r="F31">
        <v>1.3459110000000001</v>
      </c>
      <c r="G31">
        <v>1.3366370000000001</v>
      </c>
      <c r="H31">
        <v>1.342422</v>
      </c>
      <c r="I31">
        <v>1.3376570000000001</v>
      </c>
      <c r="J31">
        <v>1.3402419999999999</v>
      </c>
      <c r="K31">
        <v>1.3354839999999999</v>
      </c>
      <c r="L31">
        <v>1.333526</v>
      </c>
      <c r="M31">
        <v>1.330719</v>
      </c>
      <c r="N31">
        <v>1.3335090000000001</v>
      </c>
      <c r="O31">
        <v>1.3354680000000001</v>
      </c>
      <c r="P31">
        <v>1.3436030000000001</v>
      </c>
      <c r="Q31">
        <v>1.3425210000000001</v>
      </c>
      <c r="R31">
        <v>1.3433059999999999</v>
      </c>
      <c r="S31">
        <v>1.3444290000000001</v>
      </c>
      <c r="T31">
        <v>1.3478250000000001</v>
      </c>
      <c r="U31">
        <v>1.351432</v>
      </c>
      <c r="V31">
        <v>1.364444</v>
      </c>
      <c r="W31">
        <v>1.3697330000000001</v>
      </c>
      <c r="X31">
        <v>1.374042</v>
      </c>
      <c r="Y31">
        <v>1.375246</v>
      </c>
      <c r="Z31">
        <v>1.3752059999999999</v>
      </c>
      <c r="AA31">
        <v>1.385507</v>
      </c>
      <c r="AB31">
        <v>1.3937580000000001</v>
      </c>
      <c r="AC31">
        <v>1.3973420000000001</v>
      </c>
      <c r="AD31">
        <v>1.403448</v>
      </c>
      <c r="AE31" s="12">
        <v>2E-3</v>
      </c>
    </row>
    <row r="32" spans="1:31">
      <c r="A32" t="s">
        <v>145</v>
      </c>
      <c r="B32" t="s">
        <v>1194</v>
      </c>
      <c r="C32" t="s">
        <v>1195</v>
      </c>
      <c r="D32" t="s">
        <v>153</v>
      </c>
      <c r="E32">
        <v>5.7399999999999997E-4</v>
      </c>
      <c r="F32">
        <v>5.6999999999999998E-4</v>
      </c>
      <c r="G32">
        <v>5.6400000000000005E-4</v>
      </c>
      <c r="H32">
        <v>5.6400000000000005E-4</v>
      </c>
      <c r="I32">
        <v>5.6400000000000005E-4</v>
      </c>
      <c r="J32">
        <v>5.6400000000000005E-4</v>
      </c>
      <c r="K32">
        <v>5.6400000000000005E-4</v>
      </c>
      <c r="L32">
        <v>5.6400000000000005E-4</v>
      </c>
      <c r="M32">
        <v>5.6400000000000005E-4</v>
      </c>
      <c r="N32">
        <v>5.6400000000000005E-4</v>
      </c>
      <c r="O32">
        <v>5.6400000000000005E-4</v>
      </c>
      <c r="P32">
        <v>5.6400000000000005E-4</v>
      </c>
      <c r="Q32">
        <v>5.6400000000000005E-4</v>
      </c>
      <c r="R32">
        <v>5.6400000000000005E-4</v>
      </c>
      <c r="S32">
        <v>5.6400000000000005E-4</v>
      </c>
      <c r="T32">
        <v>5.6400000000000005E-4</v>
      </c>
      <c r="U32">
        <v>5.6400000000000005E-4</v>
      </c>
      <c r="V32">
        <v>5.6400000000000005E-4</v>
      </c>
      <c r="W32">
        <v>5.6400000000000005E-4</v>
      </c>
      <c r="X32">
        <v>5.6400000000000005E-4</v>
      </c>
      <c r="Y32">
        <v>5.6400000000000005E-4</v>
      </c>
      <c r="Z32">
        <v>5.6400000000000005E-4</v>
      </c>
      <c r="AA32">
        <v>5.6400000000000005E-4</v>
      </c>
      <c r="AB32">
        <v>5.6400000000000005E-4</v>
      </c>
      <c r="AC32">
        <v>5.6400000000000005E-4</v>
      </c>
      <c r="AD32">
        <v>5.6400000000000005E-4</v>
      </c>
      <c r="AE32" s="12">
        <v>-1E-3</v>
      </c>
    </row>
    <row r="33" spans="1:31">
      <c r="A33" t="s">
        <v>146</v>
      </c>
      <c r="B33" t="s">
        <v>1196</v>
      </c>
      <c r="C33" t="s">
        <v>1197</v>
      </c>
      <c r="D33" t="s">
        <v>153</v>
      </c>
      <c r="E33">
        <v>-0.175261</v>
      </c>
      <c r="F33">
        <v>-0.18095</v>
      </c>
      <c r="G33">
        <v>-0.15659300000000001</v>
      </c>
      <c r="H33">
        <v>-0.16880200000000001</v>
      </c>
      <c r="I33">
        <v>-0.173067</v>
      </c>
      <c r="J33">
        <v>-0.185365</v>
      </c>
      <c r="K33">
        <v>-0.19000700000000001</v>
      </c>
      <c r="L33">
        <v>-0.19475899999999999</v>
      </c>
      <c r="M33">
        <v>-0.19962199999999999</v>
      </c>
      <c r="N33">
        <v>-0.20461099999999999</v>
      </c>
      <c r="O33">
        <v>-0.209726</v>
      </c>
      <c r="P33">
        <v>-0.22473899999999999</v>
      </c>
      <c r="Q33">
        <v>-0.23036699999999999</v>
      </c>
      <c r="R33">
        <v>-0.236128</v>
      </c>
      <c r="S33">
        <v>-0.24202000000000001</v>
      </c>
      <c r="T33">
        <v>-0.24807799999999999</v>
      </c>
      <c r="U33">
        <v>-0.25428400000000001</v>
      </c>
      <c r="V33">
        <v>-0.27197100000000002</v>
      </c>
      <c r="W33">
        <v>-0.27877400000000002</v>
      </c>
      <c r="X33">
        <v>-0.28573199999999999</v>
      </c>
      <c r="Y33">
        <v>-0.288551</v>
      </c>
      <c r="Z33">
        <v>-0.29111900000000002</v>
      </c>
      <c r="AA33">
        <v>-0.30298700000000001</v>
      </c>
      <c r="AB33">
        <v>-0.31539</v>
      </c>
      <c r="AC33">
        <v>-0.32327800000000001</v>
      </c>
      <c r="AD33">
        <v>-0.33137299999999997</v>
      </c>
      <c r="AE33" s="12">
        <v>2.5999999999999999E-2</v>
      </c>
    </row>
    <row r="34" spans="1:31">
      <c r="A34" t="s">
        <v>147</v>
      </c>
      <c r="B34" t="s">
        <v>1198</v>
      </c>
      <c r="C34" t="s">
        <v>1199</v>
      </c>
      <c r="D34" t="s">
        <v>153</v>
      </c>
      <c r="E34">
        <v>1.167441</v>
      </c>
      <c r="F34">
        <v>1.1655310000000001</v>
      </c>
      <c r="G34">
        <v>1.1806080000000001</v>
      </c>
      <c r="H34">
        <v>1.174183</v>
      </c>
      <c r="I34">
        <v>1.165154</v>
      </c>
      <c r="J34">
        <v>1.1554409999999999</v>
      </c>
      <c r="K34">
        <v>1.1460410000000001</v>
      </c>
      <c r="L34">
        <v>1.1393310000000001</v>
      </c>
      <c r="M34">
        <v>1.1316600000000001</v>
      </c>
      <c r="N34">
        <v>1.129462</v>
      </c>
      <c r="O34">
        <v>1.1263049999999999</v>
      </c>
      <c r="P34">
        <v>1.1194269999999999</v>
      </c>
      <c r="Q34">
        <v>1.112717</v>
      </c>
      <c r="R34">
        <v>1.107742</v>
      </c>
      <c r="S34">
        <v>1.102973</v>
      </c>
      <c r="T34">
        <v>1.100311</v>
      </c>
      <c r="U34">
        <v>1.097712</v>
      </c>
      <c r="V34">
        <v>1.093037</v>
      </c>
      <c r="W34">
        <v>1.091523</v>
      </c>
      <c r="X34">
        <v>1.0888739999999999</v>
      </c>
      <c r="Y34">
        <v>1.087259</v>
      </c>
      <c r="Z34">
        <v>1.084651</v>
      </c>
      <c r="AA34">
        <v>1.0830839999999999</v>
      </c>
      <c r="AB34">
        <v>1.078932</v>
      </c>
      <c r="AC34">
        <v>1.0746279999999999</v>
      </c>
      <c r="AD34">
        <v>1.072638</v>
      </c>
      <c r="AE34" s="12">
        <v>-3.0000000000000001E-3</v>
      </c>
    </row>
    <row r="35" spans="1:31">
      <c r="A35" t="s">
        <v>148</v>
      </c>
    </row>
    <row r="36" spans="1:31">
      <c r="A36" t="s">
        <v>149</v>
      </c>
    </row>
    <row r="37" spans="1:31">
      <c r="A37" t="s">
        <v>150</v>
      </c>
      <c r="B37" t="s">
        <v>1200</v>
      </c>
      <c r="C37" t="s">
        <v>1201</v>
      </c>
      <c r="D37" t="s">
        <v>153</v>
      </c>
      <c r="E37">
        <v>0.27465800000000001</v>
      </c>
      <c r="F37">
        <v>0.28657500000000002</v>
      </c>
      <c r="G37">
        <v>0.30164000000000002</v>
      </c>
      <c r="H37">
        <v>0.31602799999999998</v>
      </c>
      <c r="I37">
        <v>0.32961200000000002</v>
      </c>
      <c r="J37">
        <v>0.34403499999999998</v>
      </c>
      <c r="K37">
        <v>0.35966399999999998</v>
      </c>
      <c r="L37">
        <v>0.37496000000000002</v>
      </c>
      <c r="M37">
        <v>0.39128400000000002</v>
      </c>
      <c r="N37">
        <v>0.40867900000000001</v>
      </c>
      <c r="O37">
        <v>0.42710399999999998</v>
      </c>
      <c r="P37">
        <v>0.446461</v>
      </c>
      <c r="Q37">
        <v>0.467306</v>
      </c>
      <c r="R37">
        <v>0.48915999999999998</v>
      </c>
      <c r="S37">
        <v>0.512127</v>
      </c>
      <c r="T37">
        <v>0.53596699999999997</v>
      </c>
      <c r="U37">
        <v>0.56050999999999995</v>
      </c>
      <c r="V37">
        <v>0.58584400000000003</v>
      </c>
      <c r="W37">
        <v>0.61185599999999996</v>
      </c>
      <c r="X37">
        <v>0.63892599999999999</v>
      </c>
      <c r="Y37">
        <v>0.66666700000000001</v>
      </c>
      <c r="Z37">
        <v>0.69531799999999999</v>
      </c>
      <c r="AA37">
        <v>0.72470199999999996</v>
      </c>
      <c r="AB37">
        <v>0.75541700000000001</v>
      </c>
      <c r="AC37">
        <v>0.786555</v>
      </c>
      <c r="AD37">
        <v>0.81872999999999996</v>
      </c>
      <c r="AE37" s="12">
        <v>4.4999999999999998E-2</v>
      </c>
    </row>
    <row r="38" spans="1:31">
      <c r="A38" t="s">
        <v>151</v>
      </c>
      <c r="B38" t="s">
        <v>1202</v>
      </c>
      <c r="C38" t="s">
        <v>1203</v>
      </c>
      <c r="D38" t="s">
        <v>153</v>
      </c>
      <c r="E38">
        <v>4.9686000000000001E-2</v>
      </c>
      <c r="F38">
        <v>4.8801999999999998E-2</v>
      </c>
      <c r="G38">
        <v>4.9417000000000003E-2</v>
      </c>
      <c r="H38">
        <v>4.8901E-2</v>
      </c>
      <c r="I38">
        <v>4.8594999999999999E-2</v>
      </c>
      <c r="J38">
        <v>4.8425999999999997E-2</v>
      </c>
      <c r="K38">
        <v>4.8259000000000003E-2</v>
      </c>
      <c r="L38">
        <v>4.7826E-2</v>
      </c>
      <c r="M38">
        <v>4.7667000000000001E-2</v>
      </c>
      <c r="N38">
        <v>4.7592000000000002E-2</v>
      </c>
      <c r="O38">
        <v>4.7390000000000002E-2</v>
      </c>
      <c r="P38">
        <v>4.7232999999999997E-2</v>
      </c>
      <c r="Q38">
        <v>4.7174000000000001E-2</v>
      </c>
      <c r="R38">
        <v>4.7140000000000001E-2</v>
      </c>
      <c r="S38">
        <v>4.7048E-2</v>
      </c>
      <c r="T38">
        <v>4.7018999999999998E-2</v>
      </c>
      <c r="U38">
        <v>4.6747999999999998E-2</v>
      </c>
      <c r="V38">
        <v>4.6573000000000003E-2</v>
      </c>
      <c r="W38">
        <v>4.6286000000000001E-2</v>
      </c>
      <c r="X38">
        <v>4.6039999999999998E-2</v>
      </c>
      <c r="Y38">
        <v>4.5849000000000001E-2</v>
      </c>
      <c r="Z38">
        <v>4.5747999999999997E-2</v>
      </c>
      <c r="AA38">
        <v>4.5539999999999997E-2</v>
      </c>
      <c r="AB38">
        <v>4.5422999999999998E-2</v>
      </c>
      <c r="AC38">
        <v>4.5241000000000003E-2</v>
      </c>
      <c r="AD38">
        <v>4.4974E-2</v>
      </c>
      <c r="AE38" s="12">
        <v>-4.0000000000000001E-3</v>
      </c>
    </row>
    <row r="39" spans="1:31">
      <c r="A39" t="s">
        <v>141</v>
      </c>
      <c r="B39" t="s">
        <v>1204</v>
      </c>
      <c r="C39" t="s">
        <v>1205</v>
      </c>
      <c r="D39" t="s">
        <v>153</v>
      </c>
      <c r="E39">
        <v>0.224384</v>
      </c>
      <c r="F39">
        <v>0.23718500000000001</v>
      </c>
      <c r="G39">
        <v>0.25163400000000002</v>
      </c>
      <c r="H39">
        <v>0.26653700000000002</v>
      </c>
      <c r="I39">
        <v>0.28042699999999998</v>
      </c>
      <c r="J39">
        <v>0.29501699999999997</v>
      </c>
      <c r="K39">
        <v>0.31080999999999998</v>
      </c>
      <c r="L39">
        <v>0.32653300000000002</v>
      </c>
      <c r="M39">
        <v>0.34300900000000001</v>
      </c>
      <c r="N39">
        <v>0.36046800000000001</v>
      </c>
      <c r="O39">
        <v>0.37908199999999997</v>
      </c>
      <c r="P39">
        <v>0.39858300000000002</v>
      </c>
      <c r="Q39">
        <v>0.41947099999999998</v>
      </c>
      <c r="R39">
        <v>0.44134200000000001</v>
      </c>
      <c r="S39">
        <v>0.46438400000000002</v>
      </c>
      <c r="T39">
        <v>0.48823499999999997</v>
      </c>
      <c r="U39">
        <v>0.51302899999999996</v>
      </c>
      <c r="V39">
        <v>0.53851700000000002</v>
      </c>
      <c r="W39">
        <v>0.56479400000000002</v>
      </c>
      <c r="X39">
        <v>0.59208700000000003</v>
      </c>
      <c r="Y39">
        <v>0.61999599999999999</v>
      </c>
      <c r="Z39">
        <v>0.64872200000000002</v>
      </c>
      <c r="AA39">
        <v>0.67828999999999995</v>
      </c>
      <c r="AB39">
        <v>0.70909100000000003</v>
      </c>
      <c r="AC39">
        <v>0.74038099999999996</v>
      </c>
      <c r="AD39">
        <v>0.77279299999999995</v>
      </c>
      <c r="AE39" s="12">
        <v>5.0999999999999997E-2</v>
      </c>
    </row>
    <row r="40" spans="1:31">
      <c r="A40" t="s">
        <v>142</v>
      </c>
      <c r="B40" t="s">
        <v>1206</v>
      </c>
      <c r="C40" t="s">
        <v>1207</v>
      </c>
      <c r="D40" t="s">
        <v>153</v>
      </c>
      <c r="E40">
        <v>5.8799999999999998E-4</v>
      </c>
      <c r="F40">
        <v>5.8799999999999998E-4</v>
      </c>
      <c r="G40">
        <v>5.8900000000000001E-4</v>
      </c>
      <c r="H40">
        <v>5.9000000000000003E-4</v>
      </c>
      <c r="I40">
        <v>5.9100000000000005E-4</v>
      </c>
      <c r="J40">
        <v>5.9199999999999997E-4</v>
      </c>
      <c r="K40">
        <v>5.9599999999999996E-4</v>
      </c>
      <c r="L40">
        <v>6.0099999999999997E-4</v>
      </c>
      <c r="M40">
        <v>6.0800000000000003E-4</v>
      </c>
      <c r="N40">
        <v>6.1899999999999998E-4</v>
      </c>
      <c r="O40">
        <v>6.3199999999999997E-4</v>
      </c>
      <c r="P40">
        <v>6.4599999999999998E-4</v>
      </c>
      <c r="Q40">
        <v>6.6200000000000005E-4</v>
      </c>
      <c r="R40">
        <v>6.78E-4</v>
      </c>
      <c r="S40">
        <v>6.9499999999999998E-4</v>
      </c>
      <c r="T40">
        <v>7.1299999999999998E-4</v>
      </c>
      <c r="U40">
        <v>7.3300000000000004E-4</v>
      </c>
      <c r="V40">
        <v>7.54E-4</v>
      </c>
      <c r="W40">
        <v>7.76E-4</v>
      </c>
      <c r="X40">
        <v>7.9900000000000001E-4</v>
      </c>
      <c r="Y40">
        <v>8.2200000000000003E-4</v>
      </c>
      <c r="Z40">
        <v>8.4699999999999999E-4</v>
      </c>
      <c r="AA40">
        <v>8.7299999999999997E-4</v>
      </c>
      <c r="AB40">
        <v>9.0300000000000005E-4</v>
      </c>
      <c r="AC40">
        <v>9.3300000000000002E-4</v>
      </c>
      <c r="AD40">
        <v>9.6299999999999999E-4</v>
      </c>
      <c r="AE40" s="12">
        <v>0.02</v>
      </c>
    </row>
    <row r="41" spans="1:31">
      <c r="A41" t="s">
        <v>152</v>
      </c>
      <c r="B41" t="s">
        <v>1208</v>
      </c>
      <c r="C41" t="s">
        <v>1209</v>
      </c>
      <c r="D41" t="s">
        <v>153</v>
      </c>
      <c r="E41">
        <v>0.22559299999999999</v>
      </c>
      <c r="F41">
        <v>0.24240100000000001</v>
      </c>
      <c r="G41">
        <v>0.25879000000000002</v>
      </c>
      <c r="H41">
        <v>0.26552399999999998</v>
      </c>
      <c r="I41">
        <v>0.26949800000000002</v>
      </c>
      <c r="J41">
        <v>0.27449099999999999</v>
      </c>
      <c r="K41">
        <v>0.27805099999999999</v>
      </c>
      <c r="L41">
        <v>0.28001399999999999</v>
      </c>
      <c r="M41">
        <v>0.28334700000000002</v>
      </c>
      <c r="N41">
        <v>0.28869299999999998</v>
      </c>
      <c r="O41">
        <v>0.29260799999999998</v>
      </c>
      <c r="P41">
        <v>0.29586899999999999</v>
      </c>
      <c r="Q41">
        <v>0.30219499999999999</v>
      </c>
      <c r="R41">
        <v>0.30844100000000002</v>
      </c>
      <c r="S41">
        <v>0.31606099999999998</v>
      </c>
      <c r="T41">
        <v>0.32268999999999998</v>
      </c>
      <c r="U41">
        <v>0.32603500000000002</v>
      </c>
      <c r="V41">
        <v>0.33121699999999998</v>
      </c>
      <c r="W41">
        <v>0.333756</v>
      </c>
      <c r="X41">
        <v>0.33660000000000001</v>
      </c>
      <c r="Y41">
        <v>0.33891900000000003</v>
      </c>
      <c r="Z41">
        <v>0.34271400000000002</v>
      </c>
      <c r="AA41">
        <v>0.34756599999999999</v>
      </c>
      <c r="AB41">
        <v>0.35250900000000002</v>
      </c>
      <c r="AC41">
        <v>0.356213</v>
      </c>
      <c r="AD41">
        <v>0.36099100000000001</v>
      </c>
      <c r="AE41" s="12">
        <v>1.9E-2</v>
      </c>
    </row>
    <row r="42" spans="1:31">
      <c r="A42" t="s">
        <v>140</v>
      </c>
      <c r="B42" t="s">
        <v>1210</v>
      </c>
      <c r="C42" t="s">
        <v>1211</v>
      </c>
      <c r="D42" t="s">
        <v>153</v>
      </c>
      <c r="E42">
        <v>6.5494999999999998E-2</v>
      </c>
      <c r="F42">
        <v>6.3335000000000002E-2</v>
      </c>
      <c r="G42">
        <v>6.3611000000000001E-2</v>
      </c>
      <c r="H42">
        <v>6.2602000000000005E-2</v>
      </c>
      <c r="I42">
        <v>6.1894999999999999E-2</v>
      </c>
      <c r="J42">
        <v>6.1556E-2</v>
      </c>
      <c r="K42">
        <v>6.1001E-2</v>
      </c>
      <c r="L42">
        <v>5.9719000000000001E-2</v>
      </c>
      <c r="M42">
        <v>5.9400000000000001E-2</v>
      </c>
      <c r="N42">
        <v>5.9207999999999997E-2</v>
      </c>
      <c r="O42">
        <v>5.8635E-2</v>
      </c>
      <c r="P42">
        <v>5.8118999999999997E-2</v>
      </c>
      <c r="Q42">
        <v>5.7820999999999997E-2</v>
      </c>
      <c r="R42">
        <v>5.7597000000000002E-2</v>
      </c>
      <c r="S42">
        <v>5.7361000000000002E-2</v>
      </c>
      <c r="T42">
        <v>5.7211999999999999E-2</v>
      </c>
      <c r="U42">
        <v>5.6903000000000002E-2</v>
      </c>
      <c r="V42">
        <v>5.6644E-2</v>
      </c>
      <c r="W42">
        <v>5.6244000000000002E-2</v>
      </c>
      <c r="X42">
        <v>5.5780999999999997E-2</v>
      </c>
      <c r="Y42">
        <v>5.5392999999999998E-2</v>
      </c>
      <c r="Z42">
        <v>5.4973000000000001E-2</v>
      </c>
      <c r="AA42">
        <v>5.4613000000000002E-2</v>
      </c>
      <c r="AB42">
        <v>5.4244000000000001E-2</v>
      </c>
      <c r="AC42">
        <v>5.3925000000000001E-2</v>
      </c>
      <c r="AD42">
        <v>5.3518999999999997E-2</v>
      </c>
      <c r="AE42" s="12">
        <v>-8.0000000000000002E-3</v>
      </c>
    </row>
    <row r="43" spans="1:31">
      <c r="A43" t="s">
        <v>141</v>
      </c>
      <c r="B43" t="s">
        <v>1212</v>
      </c>
      <c r="C43" t="s">
        <v>1213</v>
      </c>
      <c r="D43" t="s">
        <v>153</v>
      </c>
      <c r="E43">
        <v>0.15757299999999999</v>
      </c>
      <c r="F43">
        <v>0.176538</v>
      </c>
      <c r="G43">
        <v>0.19264600000000001</v>
      </c>
      <c r="H43">
        <v>0.20038900000000001</v>
      </c>
      <c r="I43">
        <v>0.205067</v>
      </c>
      <c r="J43">
        <v>0.210395</v>
      </c>
      <c r="K43">
        <v>0.21450900000000001</v>
      </c>
      <c r="L43">
        <v>0.21775</v>
      </c>
      <c r="M43">
        <v>0.22139800000000001</v>
      </c>
      <c r="N43">
        <v>0.226933</v>
      </c>
      <c r="O43">
        <v>0.23141999999999999</v>
      </c>
      <c r="P43">
        <v>0.23519699999999999</v>
      </c>
      <c r="Q43">
        <v>0.24181900000000001</v>
      </c>
      <c r="R43">
        <v>0.24828800000000001</v>
      </c>
      <c r="S43">
        <v>0.25614199999999998</v>
      </c>
      <c r="T43">
        <v>0.26291700000000001</v>
      </c>
      <c r="U43">
        <v>0.266571</v>
      </c>
      <c r="V43">
        <v>0.27200800000000003</v>
      </c>
      <c r="W43">
        <v>0.27494499999999999</v>
      </c>
      <c r="X43">
        <v>0.27825100000000003</v>
      </c>
      <c r="Y43">
        <v>0.28095700000000001</v>
      </c>
      <c r="Z43">
        <v>0.28517100000000001</v>
      </c>
      <c r="AA43">
        <v>0.29038199999999997</v>
      </c>
      <c r="AB43">
        <v>0.29569099999999998</v>
      </c>
      <c r="AC43">
        <v>0.29971399999999998</v>
      </c>
      <c r="AD43">
        <v>0.30489699999999997</v>
      </c>
      <c r="AE43" s="12">
        <v>2.7E-2</v>
      </c>
    </row>
    <row r="44" spans="1:31">
      <c r="A44" t="s">
        <v>142</v>
      </c>
      <c r="B44" t="s">
        <v>1214</v>
      </c>
      <c r="C44" t="s">
        <v>1215</v>
      </c>
      <c r="D44" t="s">
        <v>153</v>
      </c>
      <c r="E44">
        <v>2.5240000000000002E-3</v>
      </c>
      <c r="F44">
        <v>2.5270000000000002E-3</v>
      </c>
      <c r="G44">
        <v>2.5330000000000001E-3</v>
      </c>
      <c r="H44">
        <v>2.5330000000000001E-3</v>
      </c>
      <c r="I44">
        <v>2.5360000000000001E-3</v>
      </c>
      <c r="J44">
        <v>2.5400000000000002E-3</v>
      </c>
      <c r="K44">
        <v>2.542E-3</v>
      </c>
      <c r="L44">
        <v>2.545E-3</v>
      </c>
      <c r="M44">
        <v>2.5490000000000001E-3</v>
      </c>
      <c r="N44">
        <v>2.552E-3</v>
      </c>
      <c r="O44">
        <v>2.5530000000000001E-3</v>
      </c>
      <c r="P44">
        <v>2.5539999999999998E-3</v>
      </c>
      <c r="Q44">
        <v>2.555E-3</v>
      </c>
      <c r="R44">
        <v>2.5569999999999998E-3</v>
      </c>
      <c r="S44">
        <v>2.5579999999999999E-3</v>
      </c>
      <c r="T44">
        <v>2.5600000000000002E-3</v>
      </c>
      <c r="U44">
        <v>2.5609999999999999E-3</v>
      </c>
      <c r="V44">
        <v>2.565E-3</v>
      </c>
      <c r="W44">
        <v>2.5660000000000001E-3</v>
      </c>
      <c r="X44">
        <v>2.568E-3</v>
      </c>
      <c r="Y44">
        <v>2.568E-3</v>
      </c>
      <c r="Z44">
        <v>2.5690000000000001E-3</v>
      </c>
      <c r="AA44">
        <v>2.5720000000000001E-3</v>
      </c>
      <c r="AB44">
        <v>2.5730000000000002E-3</v>
      </c>
      <c r="AC44">
        <v>2.5739999999999999E-3</v>
      </c>
      <c r="AD44">
        <v>2.575E-3</v>
      </c>
      <c r="AE44" s="12">
        <v>1E-3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4EBAE-E995-4337-B6A5-FE165203F8EB}">
  <dimension ref="A1:AG96"/>
  <sheetViews>
    <sheetView workbookViewId="0">
      <selection activeCell="A17" sqref="A17:XFD17"/>
    </sheetView>
  </sheetViews>
  <sheetFormatPr defaultRowHeight="14.25"/>
  <cols>
    <col min="1" max="1" width="37.53125" customWidth="1"/>
  </cols>
  <sheetData>
    <row r="1" spans="1:33">
      <c r="A1" t="s">
        <v>86</v>
      </c>
    </row>
    <row r="2" spans="1:33">
      <c r="A2" t="s">
        <v>1139</v>
      </c>
    </row>
    <row r="3" spans="1:33">
      <c r="A3" t="s">
        <v>1138</v>
      </c>
    </row>
    <row r="4" spans="1:33">
      <c r="A4" t="s">
        <v>87</v>
      </c>
    </row>
    <row r="5" spans="1:33">
      <c r="B5" t="s">
        <v>88</v>
      </c>
      <c r="C5" t="s">
        <v>116</v>
      </c>
      <c r="D5" t="s">
        <v>117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953</v>
      </c>
    </row>
    <row r="6" spans="1:33">
      <c r="A6" t="s">
        <v>13</v>
      </c>
      <c r="B6" t="s">
        <v>1137</v>
      </c>
      <c r="C6" t="s">
        <v>1136</v>
      </c>
      <c r="D6" t="s">
        <v>118</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12">
        <v>-8.0000000000000002E-3</v>
      </c>
    </row>
    <row r="7" spans="1:33">
      <c r="A7" t="s">
        <v>89</v>
      </c>
      <c r="B7" t="s">
        <v>1135</v>
      </c>
      <c r="C7" t="s">
        <v>1134</v>
      </c>
      <c r="D7" t="s">
        <v>118</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12">
        <v>-1.2E-2</v>
      </c>
    </row>
    <row r="8" spans="1:33">
      <c r="A8" t="s">
        <v>90</v>
      </c>
      <c r="B8" t="s">
        <v>1133</v>
      </c>
      <c r="C8" t="s">
        <v>1132</v>
      </c>
      <c r="D8" t="s">
        <v>118</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12">
        <v>-5.3999999999999999E-2</v>
      </c>
    </row>
    <row r="9" spans="1:33">
      <c r="A9" t="s">
        <v>91</v>
      </c>
      <c r="B9" t="s">
        <v>1131</v>
      </c>
      <c r="C9" t="s">
        <v>1130</v>
      </c>
      <c r="D9" t="s">
        <v>118</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12">
        <v>2.1000000000000001E-2</v>
      </c>
    </row>
    <row r="10" spans="1:33">
      <c r="A10" t="s">
        <v>92</v>
      </c>
      <c r="B10" t="s">
        <v>1129</v>
      </c>
      <c r="C10" t="s">
        <v>1128</v>
      </c>
      <c r="D10" t="s">
        <v>118</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12">
        <v>-8.2000000000000003E-2</v>
      </c>
    </row>
    <row r="11" spans="1:33">
      <c r="A11" t="s">
        <v>93</v>
      </c>
      <c r="B11" t="s">
        <v>1127</v>
      </c>
      <c r="C11" t="s">
        <v>1126</v>
      </c>
      <c r="D11" t="s">
        <v>118</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12">
        <v>-6.7000000000000004E-2</v>
      </c>
    </row>
    <row r="12" spans="1:33">
      <c r="A12" t="s">
        <v>94</v>
      </c>
      <c r="B12" t="s">
        <v>1125</v>
      </c>
      <c r="C12" t="s">
        <v>1124</v>
      </c>
      <c r="D12" t="s">
        <v>118</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12">
        <v>0.11799999999999999</v>
      </c>
    </row>
    <row r="13" spans="1:33">
      <c r="A13" t="s">
        <v>95</v>
      </c>
      <c r="B13" t="s">
        <v>1123</v>
      </c>
      <c r="C13" t="s">
        <v>1122</v>
      </c>
      <c r="D13" t="s">
        <v>118</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12">
        <v>-0.05</v>
      </c>
    </row>
    <row r="14" spans="1:33">
      <c r="A14" t="s">
        <v>96</v>
      </c>
      <c r="B14" t="s">
        <v>1121</v>
      </c>
      <c r="C14" t="s">
        <v>1120</v>
      </c>
      <c r="D14" t="s">
        <v>118</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12">
        <v>-1.4999999999999999E-2</v>
      </c>
    </row>
    <row r="15" spans="1:33">
      <c r="A15" t="s">
        <v>89</v>
      </c>
      <c r="B15" t="s">
        <v>1119</v>
      </c>
      <c r="C15" t="s">
        <v>1118</v>
      </c>
      <c r="D15" t="s">
        <v>118</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12">
        <v>-8.0000000000000002E-3</v>
      </c>
    </row>
    <row r="16" spans="1:33">
      <c r="A16" t="s">
        <v>90</v>
      </c>
      <c r="B16" t="s">
        <v>1117</v>
      </c>
      <c r="C16" t="s">
        <v>1116</v>
      </c>
      <c r="D16" t="s">
        <v>118</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12">
        <v>6.0000000000000001E-3</v>
      </c>
    </row>
    <row r="17" spans="1:33" s="83" customFormat="1">
      <c r="A17" s="83" t="s">
        <v>91</v>
      </c>
      <c r="B17" s="83" t="s">
        <v>1115</v>
      </c>
      <c r="C17" s="83" t="s">
        <v>1114</v>
      </c>
      <c r="D17" s="83" t="s">
        <v>118</v>
      </c>
      <c r="F17" s="83">
        <v>259.73095699999999</v>
      </c>
      <c r="G17" s="83">
        <v>246.746262</v>
      </c>
      <c r="H17" s="83">
        <v>233.65933200000001</v>
      </c>
      <c r="I17" s="83">
        <v>222.639511</v>
      </c>
      <c r="J17" s="83">
        <v>210.52593999999999</v>
      </c>
      <c r="K17" s="83">
        <v>198.44125399999999</v>
      </c>
      <c r="L17" s="83">
        <v>187.82809399999999</v>
      </c>
      <c r="M17" s="83">
        <v>176.83654799999999</v>
      </c>
      <c r="N17" s="83">
        <v>165.995453</v>
      </c>
      <c r="O17" s="83">
        <v>155.707672</v>
      </c>
      <c r="P17" s="83">
        <v>145.472443</v>
      </c>
      <c r="Q17" s="83">
        <v>135.48971599999999</v>
      </c>
      <c r="R17" s="83">
        <v>125.976921</v>
      </c>
      <c r="S17" s="83">
        <v>117.19341300000001</v>
      </c>
      <c r="T17" s="83">
        <v>109.041771</v>
      </c>
      <c r="U17" s="83">
        <v>101.510696</v>
      </c>
      <c r="V17" s="83">
        <v>94.802504999999996</v>
      </c>
      <c r="W17" s="83">
        <v>87.939010999999994</v>
      </c>
      <c r="X17" s="83">
        <v>81.827179000000001</v>
      </c>
      <c r="Y17" s="83">
        <v>76.176422000000002</v>
      </c>
      <c r="Z17" s="83">
        <v>70.805824000000001</v>
      </c>
      <c r="AA17" s="83">
        <v>65.785888999999997</v>
      </c>
      <c r="AB17" s="83">
        <v>61.069122</v>
      </c>
      <c r="AC17" s="83">
        <v>56.668498999999997</v>
      </c>
      <c r="AD17" s="83">
        <v>52.409759999999999</v>
      </c>
      <c r="AE17" s="83">
        <v>48.369202000000001</v>
      </c>
      <c r="AF17" s="83">
        <v>44.395896999999998</v>
      </c>
      <c r="AG17" s="84">
        <v>-6.6000000000000003E-2</v>
      </c>
    </row>
    <row r="18" spans="1:33">
      <c r="A18" t="s">
        <v>93</v>
      </c>
      <c r="B18" t="s">
        <v>1113</v>
      </c>
      <c r="C18" t="s">
        <v>1112</v>
      </c>
      <c r="D18" t="s">
        <v>118</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12">
        <v>7.0999999999999994E-2</v>
      </c>
    </row>
    <row r="19" spans="1:33">
      <c r="A19" t="s">
        <v>92</v>
      </c>
      <c r="B19" t="s">
        <v>1111</v>
      </c>
      <c r="C19" t="s">
        <v>1110</v>
      </c>
      <c r="D19" t="s">
        <v>118</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12">
        <v>0.107</v>
      </c>
    </row>
    <row r="20" spans="1:33">
      <c r="A20" t="s">
        <v>94</v>
      </c>
      <c r="B20" t="s">
        <v>1109</v>
      </c>
      <c r="C20" t="s">
        <v>1108</v>
      </c>
      <c r="D20" t="s">
        <v>118</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12">
        <v>0.127</v>
      </c>
    </row>
    <row r="21" spans="1:33">
      <c r="A21" t="s">
        <v>95</v>
      </c>
      <c r="B21" t="s">
        <v>1107</v>
      </c>
      <c r="C21" t="s">
        <v>1106</v>
      </c>
      <c r="D21" t="s">
        <v>118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6</v>
      </c>
    </row>
    <row r="22" spans="1:33">
      <c r="A22" t="s">
        <v>97</v>
      </c>
      <c r="B22" t="s">
        <v>1105</v>
      </c>
      <c r="C22" t="s">
        <v>1104</v>
      </c>
      <c r="D22" t="s">
        <v>118</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12">
        <v>-1E-3</v>
      </c>
    </row>
    <row r="23" spans="1:33">
      <c r="A23" t="s">
        <v>98</v>
      </c>
      <c r="B23" t="s">
        <v>1103</v>
      </c>
      <c r="C23" t="s">
        <v>1102</v>
      </c>
      <c r="D23" t="s">
        <v>118</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12">
        <v>2.1999999999999999E-2</v>
      </c>
    </row>
    <row r="24" spans="1:33">
      <c r="A24" t="s">
        <v>91</v>
      </c>
      <c r="B24" t="s">
        <v>1101</v>
      </c>
      <c r="C24" t="s">
        <v>1100</v>
      </c>
      <c r="D24" t="s">
        <v>118</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12">
        <v>-6.0000000000000001E-3</v>
      </c>
    </row>
    <row r="25" spans="1:33">
      <c r="A25" t="s">
        <v>92</v>
      </c>
      <c r="B25" t="s">
        <v>1099</v>
      </c>
      <c r="C25" t="s">
        <v>1098</v>
      </c>
      <c r="D25" t="s">
        <v>118</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12">
        <v>3.4000000000000002E-2</v>
      </c>
    </row>
    <row r="26" spans="1:33">
      <c r="A26" t="s">
        <v>93</v>
      </c>
      <c r="B26" t="s">
        <v>1097</v>
      </c>
      <c r="C26" t="s">
        <v>1096</v>
      </c>
      <c r="D26" t="s">
        <v>118</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12">
        <v>1.4E-2</v>
      </c>
    </row>
    <row r="27" spans="1:33">
      <c r="A27" t="s">
        <v>90</v>
      </c>
      <c r="B27" t="s">
        <v>1095</v>
      </c>
      <c r="C27" t="s">
        <v>1094</v>
      </c>
      <c r="D27" t="s">
        <v>118</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12">
        <v>-9.5000000000000001E-2</v>
      </c>
    </row>
    <row r="28" spans="1:33">
      <c r="A28" t="s">
        <v>94</v>
      </c>
      <c r="B28" t="s">
        <v>1093</v>
      </c>
      <c r="C28" t="s">
        <v>1092</v>
      </c>
      <c r="D28" t="s">
        <v>118</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12">
        <v>0.14099999999999999</v>
      </c>
    </row>
    <row r="29" spans="1:33">
      <c r="A29" t="s">
        <v>95</v>
      </c>
      <c r="B29" t="s">
        <v>1091</v>
      </c>
      <c r="C29" t="s">
        <v>1090</v>
      </c>
      <c r="D29" t="s">
        <v>118</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6</v>
      </c>
    </row>
    <row r="30" spans="1:33">
      <c r="A30" t="s">
        <v>99</v>
      </c>
      <c r="B30" t="s">
        <v>1089</v>
      </c>
      <c r="C30" t="s">
        <v>1088</v>
      </c>
      <c r="D30" t="s">
        <v>118</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12">
        <v>-3.0000000000000001E-3</v>
      </c>
    </row>
    <row r="31" spans="1:33">
      <c r="A31" t="s">
        <v>91</v>
      </c>
      <c r="B31" t="s">
        <v>1087</v>
      </c>
      <c r="C31" t="s">
        <v>1086</v>
      </c>
      <c r="D31" t="s">
        <v>118</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12">
        <v>-3.0000000000000001E-3</v>
      </c>
    </row>
    <row r="32" spans="1:33">
      <c r="A32" t="s">
        <v>100</v>
      </c>
      <c r="B32" t="s">
        <v>1085</v>
      </c>
      <c r="C32" t="s">
        <v>1084</v>
      </c>
      <c r="D32" t="s">
        <v>118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6</v>
      </c>
    </row>
    <row r="33" spans="1:33">
      <c r="A33" t="s">
        <v>101</v>
      </c>
      <c r="B33" t="s">
        <v>1083</v>
      </c>
      <c r="C33" t="s">
        <v>1082</v>
      </c>
      <c r="D33" t="s">
        <v>118</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6</v>
      </c>
    </row>
    <row r="34" spans="1:33">
      <c r="A34" t="s">
        <v>102</v>
      </c>
      <c r="B34" t="s">
        <v>1081</v>
      </c>
      <c r="C34" t="s">
        <v>1080</v>
      </c>
      <c r="D34" t="s">
        <v>118</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6</v>
      </c>
    </row>
    <row r="35" spans="1:33" s="1" customFormat="1">
      <c r="A35" s="1" t="s">
        <v>12</v>
      </c>
      <c r="B35" s="1" t="s">
        <v>1079</v>
      </c>
      <c r="C35" s="1" t="s">
        <v>1078</v>
      </c>
      <c r="D35" s="1" t="s">
        <v>118</v>
      </c>
      <c r="F35" s="1">
        <v>94.440971000000005</v>
      </c>
      <c r="G35" s="1">
        <v>95.330078</v>
      </c>
      <c r="H35" s="1">
        <v>94.566444000000004</v>
      </c>
      <c r="I35" s="1">
        <v>93.798164</v>
      </c>
      <c r="J35" s="1">
        <v>93.107506000000001</v>
      </c>
      <c r="K35" s="1">
        <v>92.339127000000005</v>
      </c>
      <c r="L35" s="1">
        <v>91.480575999999999</v>
      </c>
      <c r="M35" s="1">
        <v>90.543334999999999</v>
      </c>
      <c r="N35" s="1">
        <v>89.462424999999996</v>
      </c>
      <c r="O35" s="1">
        <v>88.707656999999998</v>
      </c>
      <c r="P35" s="1">
        <v>88.034156999999993</v>
      </c>
      <c r="Q35" s="1">
        <v>87.319710000000001</v>
      </c>
      <c r="R35" s="1">
        <v>86.579650999999998</v>
      </c>
      <c r="S35" s="1">
        <v>85.944571999999994</v>
      </c>
      <c r="T35" s="1">
        <v>85.341614000000007</v>
      </c>
      <c r="U35" s="1">
        <v>84.675208999999995</v>
      </c>
      <c r="V35" s="1">
        <v>84.112099000000001</v>
      </c>
      <c r="W35" s="1">
        <v>83.540062000000006</v>
      </c>
      <c r="X35" s="1">
        <v>82.973929999999996</v>
      </c>
      <c r="Y35" s="1">
        <v>82.355484000000004</v>
      </c>
      <c r="Z35" s="1">
        <v>81.679946999999999</v>
      </c>
      <c r="AA35" s="1">
        <v>81.034569000000005</v>
      </c>
      <c r="AB35" s="1">
        <v>80.382202000000007</v>
      </c>
      <c r="AC35" s="1">
        <v>79.953879999999998</v>
      </c>
      <c r="AD35" s="1">
        <v>79.430321000000006</v>
      </c>
      <c r="AE35" s="1">
        <v>78.866470000000007</v>
      </c>
      <c r="AF35" s="1">
        <v>78.277953999999994</v>
      </c>
      <c r="AG35" s="104">
        <v>-7.0000000000000001E-3</v>
      </c>
    </row>
    <row r="36" spans="1:33" s="83" customFormat="1">
      <c r="A36" s="83" t="s">
        <v>91</v>
      </c>
      <c r="B36" s="83" t="s">
        <v>1077</v>
      </c>
      <c r="C36" s="83" t="s">
        <v>1076</v>
      </c>
      <c r="D36" s="83" t="s">
        <v>118</v>
      </c>
      <c r="F36" s="83">
        <v>92.332252999999994</v>
      </c>
      <c r="G36" s="83">
        <v>93.278983999999994</v>
      </c>
      <c r="H36" s="83">
        <v>92.539314000000005</v>
      </c>
      <c r="I36" s="83">
        <v>91.795044000000004</v>
      </c>
      <c r="J36" s="83">
        <v>91.125641000000002</v>
      </c>
      <c r="K36" s="83">
        <v>90.379990000000006</v>
      </c>
      <c r="L36" s="83">
        <v>89.546463000000003</v>
      </c>
      <c r="M36" s="83">
        <v>88.635925</v>
      </c>
      <c r="N36" s="83">
        <v>87.584746999999993</v>
      </c>
      <c r="O36" s="83">
        <v>86.852417000000003</v>
      </c>
      <c r="P36" s="83">
        <v>86.199318000000005</v>
      </c>
      <c r="Q36" s="83">
        <v>85.505904999999998</v>
      </c>
      <c r="R36" s="83">
        <v>84.786452999999995</v>
      </c>
      <c r="S36" s="83">
        <v>84.170158000000001</v>
      </c>
      <c r="T36" s="83">
        <v>83.586044000000001</v>
      </c>
      <c r="U36" s="83">
        <v>82.940169999999995</v>
      </c>
      <c r="V36" s="83">
        <v>82.351212000000004</v>
      </c>
      <c r="W36" s="83">
        <v>81.693588000000005</v>
      </c>
      <c r="X36" s="83">
        <v>81.036438000000004</v>
      </c>
      <c r="Y36" s="83">
        <v>80.322616999999994</v>
      </c>
      <c r="Z36" s="83">
        <v>79.547393999999997</v>
      </c>
      <c r="AA36" s="83">
        <v>78.795531999999994</v>
      </c>
      <c r="AB36" s="83">
        <v>78.030472000000003</v>
      </c>
      <c r="AC36" s="83">
        <v>77.475707999999997</v>
      </c>
      <c r="AD36" s="83">
        <v>76.820853999999997</v>
      </c>
      <c r="AE36" s="83">
        <v>76.119011</v>
      </c>
      <c r="AF36" s="83">
        <v>75.385009999999994</v>
      </c>
      <c r="AG36" s="84">
        <v>-8.0000000000000002E-3</v>
      </c>
    </row>
    <row r="37" spans="1:33" s="83" customFormat="1">
      <c r="A37" s="83" t="s">
        <v>103</v>
      </c>
      <c r="B37" s="83" t="s">
        <v>1075</v>
      </c>
      <c r="C37" s="83" t="s">
        <v>1074</v>
      </c>
      <c r="D37" s="83" t="s">
        <v>118</v>
      </c>
      <c r="F37" s="83">
        <v>1.3822049999999999</v>
      </c>
      <c r="G37" s="83">
        <v>1.2632559999999999</v>
      </c>
      <c r="H37" s="83">
        <v>1.198018</v>
      </c>
      <c r="I37" s="83">
        <v>1.1309709999999999</v>
      </c>
      <c r="J37" s="83">
        <v>1.0674129999999999</v>
      </c>
      <c r="K37" s="83">
        <v>1.0042279999999999</v>
      </c>
      <c r="L37" s="83">
        <v>0.937581</v>
      </c>
      <c r="M37" s="83">
        <v>0.868587</v>
      </c>
      <c r="N37" s="83">
        <v>0.80069400000000002</v>
      </c>
      <c r="O37" s="83">
        <v>0.73563800000000001</v>
      </c>
      <c r="P37" s="83">
        <v>0.673956</v>
      </c>
      <c r="Q37" s="83">
        <v>0.61449699999999996</v>
      </c>
      <c r="R37" s="83">
        <v>0.56326799999999999</v>
      </c>
      <c r="S37" s="83">
        <v>0.50884700000000005</v>
      </c>
      <c r="T37" s="83">
        <v>0.44785000000000003</v>
      </c>
      <c r="U37" s="83">
        <v>0.38284099999999999</v>
      </c>
      <c r="V37" s="83">
        <v>0.32558700000000002</v>
      </c>
      <c r="W37" s="83">
        <v>0.32329599999999997</v>
      </c>
      <c r="X37" s="83">
        <v>0.321021</v>
      </c>
      <c r="Y37" s="83">
        <v>0.31855600000000001</v>
      </c>
      <c r="Z37" s="83">
        <v>0.31585600000000003</v>
      </c>
      <c r="AA37" s="83">
        <v>0.31325799999999998</v>
      </c>
      <c r="AB37" s="83">
        <v>0.310612</v>
      </c>
      <c r="AC37" s="83">
        <v>0.30888199999999999</v>
      </c>
      <c r="AD37" s="83">
        <v>0.306782</v>
      </c>
      <c r="AE37" s="83">
        <v>0.30452499999999999</v>
      </c>
      <c r="AF37" s="83">
        <v>0.302176</v>
      </c>
      <c r="AG37" s="84">
        <v>-5.7000000000000002E-2</v>
      </c>
    </row>
    <row r="38" spans="1:33">
      <c r="A38" t="s">
        <v>101</v>
      </c>
      <c r="B38" t="s">
        <v>1073</v>
      </c>
      <c r="C38" t="s">
        <v>1072</v>
      </c>
      <c r="D38" t="s">
        <v>118</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6</v>
      </c>
    </row>
    <row r="39" spans="1:33">
      <c r="A39" t="s">
        <v>102</v>
      </c>
      <c r="B39" t="s">
        <v>1071</v>
      </c>
      <c r="C39" t="s">
        <v>1070</v>
      </c>
      <c r="D39" t="s">
        <v>118</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12">
        <v>0.05</v>
      </c>
    </row>
    <row r="40" spans="1:33">
      <c r="A40" t="s">
        <v>11</v>
      </c>
      <c r="B40" t="s">
        <v>1069</v>
      </c>
      <c r="C40" t="s">
        <v>1068</v>
      </c>
      <c r="D40" t="s">
        <v>118</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12">
        <v>8.9999999999999993E-3</v>
      </c>
    </row>
    <row r="41" spans="1:33" s="83" customFormat="1">
      <c r="A41" s="83" t="s">
        <v>91</v>
      </c>
      <c r="B41" s="83" t="s">
        <v>1067</v>
      </c>
      <c r="C41" s="83" t="s">
        <v>1066</v>
      </c>
      <c r="D41" s="83" t="s">
        <v>118</v>
      </c>
      <c r="F41" s="83">
        <v>195.74534600000001</v>
      </c>
      <c r="G41" s="83">
        <v>212.661835</v>
      </c>
      <c r="H41" s="83">
        <v>224.314606</v>
      </c>
      <c r="I41" s="83">
        <v>228.064087</v>
      </c>
      <c r="J41" s="83">
        <v>233.18679800000001</v>
      </c>
      <c r="K41" s="83">
        <v>235.61990399999999</v>
      </c>
      <c r="L41" s="83">
        <v>238.52423099999999</v>
      </c>
      <c r="M41" s="83">
        <v>242.35704000000001</v>
      </c>
      <c r="N41" s="83">
        <v>248.63774100000001</v>
      </c>
      <c r="O41" s="83">
        <v>254.948486</v>
      </c>
      <c r="P41" s="83">
        <v>261.07586700000002</v>
      </c>
      <c r="Q41" s="83">
        <v>263.98260499999998</v>
      </c>
      <c r="R41" s="83">
        <v>266.61132800000001</v>
      </c>
      <c r="S41" s="83">
        <v>268.03750600000001</v>
      </c>
      <c r="T41" s="83">
        <v>270.21701000000002</v>
      </c>
      <c r="U41" s="83">
        <v>272.002228</v>
      </c>
      <c r="V41" s="83">
        <v>273.95889299999999</v>
      </c>
      <c r="W41" s="83">
        <v>276.39965799999999</v>
      </c>
      <c r="X41" s="83">
        <v>278.885986</v>
      </c>
      <c r="Y41" s="83">
        <v>280.99075299999998</v>
      </c>
      <c r="Z41" s="83">
        <v>283.009094</v>
      </c>
      <c r="AA41" s="83">
        <v>284.52014200000002</v>
      </c>
      <c r="AB41" s="83">
        <v>284.75753800000001</v>
      </c>
      <c r="AC41" s="83">
        <v>286.24276700000001</v>
      </c>
      <c r="AD41" s="83">
        <v>288.10394300000002</v>
      </c>
      <c r="AE41" s="83">
        <v>290.23345899999998</v>
      </c>
      <c r="AF41" s="83">
        <v>292.11120599999998</v>
      </c>
      <c r="AG41" s="84">
        <v>1.6E-2</v>
      </c>
    </row>
    <row r="42" spans="1:33" s="83" customFormat="1">
      <c r="A42" s="83" t="s">
        <v>103</v>
      </c>
      <c r="B42" s="83" t="s">
        <v>1065</v>
      </c>
      <c r="C42" s="83" t="s">
        <v>1064</v>
      </c>
      <c r="D42" s="83" t="s">
        <v>118</v>
      </c>
      <c r="F42" s="83">
        <v>550.43896500000005</v>
      </c>
      <c r="G42" s="83">
        <v>514.18347200000005</v>
      </c>
      <c r="H42" s="83">
        <v>510.80633499999999</v>
      </c>
      <c r="I42" s="83">
        <v>520.583618</v>
      </c>
      <c r="J42" s="83">
        <v>526.08252000000005</v>
      </c>
      <c r="K42" s="83">
        <v>535.16064500000005</v>
      </c>
      <c r="L42" s="83">
        <v>543.52642800000001</v>
      </c>
      <c r="M42" s="83">
        <v>549.77069100000006</v>
      </c>
      <c r="N42" s="83">
        <v>554.768372</v>
      </c>
      <c r="O42" s="83">
        <v>559.316101</v>
      </c>
      <c r="P42" s="83">
        <v>564.45159899999999</v>
      </c>
      <c r="Q42" s="83">
        <v>570.71923800000002</v>
      </c>
      <c r="R42" s="83">
        <v>575.59594700000002</v>
      </c>
      <c r="S42" s="83">
        <v>581.43194600000004</v>
      </c>
      <c r="T42" s="83">
        <v>585.571777</v>
      </c>
      <c r="U42" s="83">
        <v>590.16540499999996</v>
      </c>
      <c r="V42" s="83">
        <v>593.91705300000001</v>
      </c>
      <c r="W42" s="83">
        <v>597.12823500000002</v>
      </c>
      <c r="X42" s="83">
        <v>600.45532200000002</v>
      </c>
      <c r="Y42" s="83">
        <v>603.99230999999997</v>
      </c>
      <c r="Z42" s="83">
        <v>607.38354500000003</v>
      </c>
      <c r="AA42" s="83">
        <v>610.92431599999998</v>
      </c>
      <c r="AB42" s="83">
        <v>615.06170699999996</v>
      </c>
      <c r="AC42" s="83">
        <v>619.51269500000001</v>
      </c>
      <c r="AD42" s="83">
        <v>624.67334000000005</v>
      </c>
      <c r="AE42" s="83">
        <v>629.26171899999997</v>
      </c>
      <c r="AF42" s="83">
        <v>633.68322799999999</v>
      </c>
      <c r="AG42" s="84">
        <v>5.0000000000000001E-3</v>
      </c>
    </row>
    <row r="43" spans="1:33">
      <c r="A43" t="s">
        <v>101</v>
      </c>
      <c r="B43" t="s">
        <v>1063</v>
      </c>
      <c r="C43" t="s">
        <v>1062</v>
      </c>
      <c r="D43" t="s">
        <v>118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6</v>
      </c>
    </row>
    <row r="44" spans="1:33">
      <c r="A44" t="s">
        <v>102</v>
      </c>
      <c r="B44" t="s">
        <v>1061</v>
      </c>
      <c r="C44" t="s">
        <v>1060</v>
      </c>
      <c r="D44" t="s">
        <v>118</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12">
        <v>2.5999999999999999E-2</v>
      </c>
    </row>
    <row r="45" spans="1:33">
      <c r="A45" t="s">
        <v>10</v>
      </c>
      <c r="B45" t="s">
        <v>1059</v>
      </c>
      <c r="C45" t="s">
        <v>1058</v>
      </c>
      <c r="D45" t="s">
        <v>118</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12">
        <v>8.9999999999999993E-3</v>
      </c>
    </row>
    <row r="46" spans="1:33">
      <c r="A46" t="s">
        <v>104</v>
      </c>
      <c r="B46" t="s">
        <v>1057</v>
      </c>
      <c r="C46" t="s">
        <v>1056</v>
      </c>
      <c r="D46" t="s">
        <v>118</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12">
        <v>8.9999999999999993E-3</v>
      </c>
    </row>
    <row r="47" spans="1:33">
      <c r="A47" t="s">
        <v>105</v>
      </c>
      <c r="B47" t="s">
        <v>1055</v>
      </c>
      <c r="C47" t="s">
        <v>1054</v>
      </c>
      <c r="D47" t="s">
        <v>118</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12">
        <v>0</v>
      </c>
    </row>
    <row r="48" spans="1:33">
      <c r="A48" t="s">
        <v>9</v>
      </c>
      <c r="B48" t="s">
        <v>1053</v>
      </c>
      <c r="C48" t="s">
        <v>1052</v>
      </c>
      <c r="D48" t="s">
        <v>118</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12">
        <v>2E-3</v>
      </c>
    </row>
    <row r="49" spans="1:33">
      <c r="A49" t="s">
        <v>106</v>
      </c>
      <c r="B49" t="s">
        <v>1051</v>
      </c>
      <c r="C49" t="s">
        <v>1050</v>
      </c>
      <c r="D49" t="s">
        <v>118</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12">
        <v>2E-3</v>
      </c>
    </row>
    <row r="50" spans="1:33">
      <c r="A50" t="s">
        <v>100</v>
      </c>
      <c r="B50" t="s">
        <v>1049</v>
      </c>
      <c r="C50" t="s">
        <v>1048</v>
      </c>
      <c r="D50" t="s">
        <v>118</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6</v>
      </c>
    </row>
    <row r="51" spans="1:33">
      <c r="A51" t="s">
        <v>107</v>
      </c>
      <c r="B51" t="s">
        <v>1047</v>
      </c>
      <c r="C51" t="s">
        <v>1046</v>
      </c>
      <c r="D51" t="s">
        <v>118</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12">
        <v>2E-3</v>
      </c>
    </row>
    <row r="52" spans="1:33">
      <c r="A52" t="s">
        <v>8</v>
      </c>
      <c r="B52" t="s">
        <v>1045</v>
      </c>
      <c r="C52" t="s">
        <v>1044</v>
      </c>
      <c r="D52" t="s">
        <v>118</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12">
        <v>-5.0000000000000001E-3</v>
      </c>
    </row>
    <row r="53" spans="1:33">
      <c r="A53" t="s">
        <v>108</v>
      </c>
      <c r="B53" t="s">
        <v>1043</v>
      </c>
      <c r="C53" t="s">
        <v>1042</v>
      </c>
      <c r="D53" t="s">
        <v>118</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12">
        <v>0</v>
      </c>
    </row>
    <row r="54" spans="1:33">
      <c r="A54" t="s">
        <v>98</v>
      </c>
      <c r="B54" t="s">
        <v>1041</v>
      </c>
      <c r="C54" t="s">
        <v>1040</v>
      </c>
      <c r="D54" t="s">
        <v>118</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12">
        <v>-3.0000000000000001E-3</v>
      </c>
    </row>
    <row r="55" spans="1:33">
      <c r="A55" t="s">
        <v>90</v>
      </c>
      <c r="B55" t="s">
        <v>1039</v>
      </c>
      <c r="C55" t="s">
        <v>1038</v>
      </c>
      <c r="D55" t="s">
        <v>118</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6</v>
      </c>
    </row>
    <row r="56" spans="1:33" s="83" customFormat="1">
      <c r="A56" s="83" t="s">
        <v>91</v>
      </c>
      <c r="B56" s="83" t="s">
        <v>1037</v>
      </c>
      <c r="C56" s="83" t="s">
        <v>1036</v>
      </c>
      <c r="D56" s="83" t="s">
        <v>118</v>
      </c>
      <c r="F56" s="83">
        <v>40.625771</v>
      </c>
      <c r="G56" s="83">
        <v>43.015372999999997</v>
      </c>
      <c r="H56" s="83">
        <v>44.437289999999997</v>
      </c>
      <c r="I56" s="83">
        <v>45.333485000000003</v>
      </c>
      <c r="J56" s="83">
        <v>45.963813999999999</v>
      </c>
      <c r="K56" s="83">
        <v>46.444603000000001</v>
      </c>
      <c r="L56" s="83">
        <v>46.903049000000003</v>
      </c>
      <c r="M56" s="83">
        <v>46.919742999999997</v>
      </c>
      <c r="N56" s="83">
        <v>46.674880999999999</v>
      </c>
      <c r="O56" s="83">
        <v>46.334845999999999</v>
      </c>
      <c r="P56" s="83">
        <v>46.093288000000001</v>
      </c>
      <c r="Q56" s="83">
        <v>45.718204</v>
      </c>
      <c r="R56" s="83">
        <v>45.301796000000003</v>
      </c>
      <c r="S56" s="83">
        <v>44.889698000000003</v>
      </c>
      <c r="T56" s="83">
        <v>44.538803000000001</v>
      </c>
      <c r="U56" s="83">
        <v>44.157210999999997</v>
      </c>
      <c r="V56" s="83">
        <v>43.730533999999999</v>
      </c>
      <c r="W56" s="83">
        <v>43.270508</v>
      </c>
      <c r="X56" s="83">
        <v>42.771523000000002</v>
      </c>
      <c r="Y56" s="83">
        <v>42.300243000000002</v>
      </c>
      <c r="Z56" s="83">
        <v>41.791203000000003</v>
      </c>
      <c r="AA56" s="83">
        <v>41.328612999999997</v>
      </c>
      <c r="AB56" s="83">
        <v>40.801394999999999</v>
      </c>
      <c r="AC56" s="83">
        <v>40.232635000000002</v>
      </c>
      <c r="AD56" s="83">
        <v>39.711196999999999</v>
      </c>
      <c r="AE56" s="83">
        <v>39.214508000000002</v>
      </c>
      <c r="AF56" s="83">
        <v>38.856288999999997</v>
      </c>
      <c r="AG56" s="84">
        <v>-2E-3</v>
      </c>
    </row>
    <row r="57" spans="1:33">
      <c r="A57" t="s">
        <v>92</v>
      </c>
      <c r="B57" t="s">
        <v>1035</v>
      </c>
      <c r="C57" t="s">
        <v>1034</v>
      </c>
      <c r="D57" t="s">
        <v>118</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12">
        <v>-6.0000000000000001E-3</v>
      </c>
    </row>
    <row r="58" spans="1:33">
      <c r="A58" t="s">
        <v>93</v>
      </c>
      <c r="B58" t="s">
        <v>1033</v>
      </c>
      <c r="C58" t="s">
        <v>1032</v>
      </c>
      <c r="D58" t="s">
        <v>118</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12">
        <v>4.0000000000000001E-3</v>
      </c>
    </row>
    <row r="59" spans="1:33">
      <c r="A59" t="s">
        <v>94</v>
      </c>
      <c r="B59" t="s">
        <v>1031</v>
      </c>
      <c r="C59" t="s">
        <v>1030</v>
      </c>
      <c r="D59" t="s">
        <v>118</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12">
        <v>4.5999999999999999E-2</v>
      </c>
    </row>
    <row r="60" spans="1:33">
      <c r="A60" t="s">
        <v>95</v>
      </c>
      <c r="B60" t="s">
        <v>1029</v>
      </c>
      <c r="C60" t="s">
        <v>1028</v>
      </c>
      <c r="D60" t="s">
        <v>118</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12">
        <v>-1.0999999999999999E-2</v>
      </c>
    </row>
    <row r="61" spans="1:33">
      <c r="A61" t="s">
        <v>109</v>
      </c>
      <c r="B61" t="s">
        <v>1027</v>
      </c>
      <c r="C61" t="s">
        <v>1026</v>
      </c>
      <c r="D61" t="s">
        <v>118</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12">
        <v>3.0000000000000001E-3</v>
      </c>
    </row>
    <row r="62" spans="1:33">
      <c r="A62" t="s">
        <v>98</v>
      </c>
      <c r="B62" t="s">
        <v>1025</v>
      </c>
      <c r="C62" t="s">
        <v>1024</v>
      </c>
      <c r="D62" t="s">
        <v>118</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6</v>
      </c>
    </row>
    <row r="63" spans="1:33">
      <c r="A63" t="s">
        <v>90</v>
      </c>
      <c r="B63" t="s">
        <v>1023</v>
      </c>
      <c r="C63" t="s">
        <v>1022</v>
      </c>
      <c r="D63" t="s">
        <v>118</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6</v>
      </c>
    </row>
    <row r="64" spans="1:33" s="83" customFormat="1">
      <c r="A64" s="83" t="s">
        <v>91</v>
      </c>
      <c r="B64" s="83" t="s">
        <v>1021</v>
      </c>
      <c r="C64" s="83" t="s">
        <v>1020</v>
      </c>
      <c r="D64" s="83" t="s">
        <v>118</v>
      </c>
      <c r="F64" s="83">
        <v>30.108592999999999</v>
      </c>
      <c r="G64" s="83">
        <v>31.324183000000001</v>
      </c>
      <c r="H64" s="83">
        <v>32.204268999999996</v>
      </c>
      <c r="I64" s="83">
        <v>32.814284999999998</v>
      </c>
      <c r="J64" s="83">
        <v>33.256686999999999</v>
      </c>
      <c r="K64" s="83">
        <v>33.580925000000001</v>
      </c>
      <c r="L64" s="83">
        <v>33.812759</v>
      </c>
      <c r="M64" s="83">
        <v>33.971854999999998</v>
      </c>
      <c r="N64" s="83">
        <v>34.074733999999999</v>
      </c>
      <c r="O64" s="83">
        <v>34.127521999999999</v>
      </c>
      <c r="P64" s="83">
        <v>34.138331999999998</v>
      </c>
      <c r="Q64" s="83">
        <v>34.117863</v>
      </c>
      <c r="R64" s="83">
        <v>34.071151999999998</v>
      </c>
      <c r="S64" s="83">
        <v>34.002563000000002</v>
      </c>
      <c r="T64" s="83">
        <v>33.932445999999999</v>
      </c>
      <c r="U64" s="83">
        <v>33.850540000000002</v>
      </c>
      <c r="V64" s="83">
        <v>33.759456999999998</v>
      </c>
      <c r="W64" s="83">
        <v>33.660358000000002</v>
      </c>
      <c r="X64" s="83">
        <v>33.556801</v>
      </c>
      <c r="Y64" s="83">
        <v>33.447479000000001</v>
      </c>
      <c r="Z64" s="83">
        <v>33.332580999999998</v>
      </c>
      <c r="AA64" s="83">
        <v>33.213673</v>
      </c>
      <c r="AB64" s="83">
        <v>33.091960999999998</v>
      </c>
      <c r="AC64" s="83">
        <v>32.971535000000003</v>
      </c>
      <c r="AD64" s="83">
        <v>32.850974999999998</v>
      </c>
      <c r="AE64" s="83">
        <v>32.727406000000002</v>
      </c>
      <c r="AF64" s="83">
        <v>32.602530999999999</v>
      </c>
      <c r="AG64" s="84">
        <v>3.0000000000000001E-3</v>
      </c>
    </row>
    <row r="65" spans="1:33">
      <c r="A65" t="s">
        <v>92</v>
      </c>
      <c r="B65" t="s">
        <v>1019</v>
      </c>
      <c r="C65" t="s">
        <v>1018</v>
      </c>
      <c r="D65" t="s">
        <v>118</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6</v>
      </c>
    </row>
    <row r="66" spans="1:33">
      <c r="A66" t="s">
        <v>93</v>
      </c>
      <c r="B66" t="s">
        <v>1017</v>
      </c>
      <c r="C66" t="s">
        <v>1016</v>
      </c>
      <c r="D66" t="s">
        <v>118</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6</v>
      </c>
    </row>
    <row r="67" spans="1:33">
      <c r="A67" t="s">
        <v>94</v>
      </c>
      <c r="B67" t="s">
        <v>1015</v>
      </c>
      <c r="C67" t="s">
        <v>1014</v>
      </c>
      <c r="D67" t="s">
        <v>118</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6</v>
      </c>
    </row>
    <row r="68" spans="1:33">
      <c r="A68" t="s">
        <v>95</v>
      </c>
      <c r="B68" t="s">
        <v>1013</v>
      </c>
      <c r="C68" t="s">
        <v>1012</v>
      </c>
      <c r="D68" t="s">
        <v>118</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6</v>
      </c>
    </row>
    <row r="69" spans="1:33">
      <c r="A69" t="s">
        <v>110</v>
      </c>
      <c r="B69" t="s">
        <v>1011</v>
      </c>
      <c r="C69" t="s">
        <v>1010</v>
      </c>
      <c r="D69" t="s">
        <v>118</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12">
        <v>-1.2999999999999999E-2</v>
      </c>
    </row>
    <row r="70" spans="1:33">
      <c r="A70" t="s">
        <v>98</v>
      </c>
      <c r="B70" t="s">
        <v>1009</v>
      </c>
      <c r="C70" t="s">
        <v>1008</v>
      </c>
      <c r="D70" t="s">
        <v>118</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12">
        <v>-1.6E-2</v>
      </c>
    </row>
    <row r="71" spans="1:33">
      <c r="A71" t="s">
        <v>90</v>
      </c>
      <c r="B71" t="s">
        <v>1007</v>
      </c>
      <c r="C71" t="s">
        <v>1006</v>
      </c>
      <c r="D71" t="s">
        <v>118</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6</v>
      </c>
    </row>
    <row r="72" spans="1:33" s="83" customFormat="1">
      <c r="A72" s="83" t="s">
        <v>91</v>
      </c>
      <c r="B72" s="83" t="s">
        <v>1005</v>
      </c>
      <c r="C72" s="83" t="s">
        <v>1004</v>
      </c>
      <c r="D72" s="83" t="s">
        <v>118</v>
      </c>
      <c r="F72" s="83">
        <v>81.477958999999998</v>
      </c>
      <c r="G72" s="83">
        <v>81.093315000000004</v>
      </c>
      <c r="H72" s="83">
        <v>80.154510000000002</v>
      </c>
      <c r="I72" s="83">
        <v>78.937209999999993</v>
      </c>
      <c r="J72" s="83">
        <v>77.701949999999997</v>
      </c>
      <c r="K72" s="83">
        <v>76.437241</v>
      </c>
      <c r="L72" s="83">
        <v>75.144149999999996</v>
      </c>
      <c r="M72" s="83">
        <v>73.840141000000003</v>
      </c>
      <c r="N72" s="83">
        <v>72.595862999999994</v>
      </c>
      <c r="O72" s="83">
        <v>71.452445999999995</v>
      </c>
      <c r="P72" s="83">
        <v>70.394264000000007</v>
      </c>
      <c r="Q72" s="83">
        <v>69.385695999999996</v>
      </c>
      <c r="R72" s="83">
        <v>68.423064999999994</v>
      </c>
      <c r="S72" s="83">
        <v>67.518416999999999</v>
      </c>
      <c r="T72" s="83">
        <v>66.499297999999996</v>
      </c>
      <c r="U72" s="83">
        <v>65.475020999999998</v>
      </c>
      <c r="V72" s="83">
        <v>64.446776999999997</v>
      </c>
      <c r="W72" s="83">
        <v>63.412239</v>
      </c>
      <c r="X72" s="83">
        <v>62.361404</v>
      </c>
      <c r="Y72" s="83">
        <v>61.303871000000001</v>
      </c>
      <c r="Z72" s="83">
        <v>60.239207999999998</v>
      </c>
      <c r="AA72" s="83">
        <v>59.170093999999999</v>
      </c>
      <c r="AB72" s="83">
        <v>58.090964999999997</v>
      </c>
      <c r="AC72" s="83">
        <v>57.008719999999997</v>
      </c>
      <c r="AD72" s="83">
        <v>55.921512999999997</v>
      </c>
      <c r="AE72" s="83">
        <v>54.843356999999997</v>
      </c>
      <c r="AF72" s="83">
        <v>53.770729000000003</v>
      </c>
      <c r="AG72" s="84">
        <v>-1.6E-2</v>
      </c>
    </row>
    <row r="73" spans="1:33">
      <c r="A73" t="s">
        <v>92</v>
      </c>
      <c r="B73" t="s">
        <v>1003</v>
      </c>
      <c r="C73" t="s">
        <v>1002</v>
      </c>
      <c r="D73" t="s">
        <v>118</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12">
        <v>8.0000000000000002E-3</v>
      </c>
    </row>
    <row r="74" spans="1:33">
      <c r="A74" t="s">
        <v>93</v>
      </c>
      <c r="B74" t="s">
        <v>1001</v>
      </c>
      <c r="C74" t="s">
        <v>1000</v>
      </c>
      <c r="D74" t="s">
        <v>118</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12">
        <v>-1.6E-2</v>
      </c>
    </row>
    <row r="75" spans="1:33">
      <c r="A75" t="s">
        <v>94</v>
      </c>
      <c r="B75" t="s">
        <v>999</v>
      </c>
      <c r="C75" t="s">
        <v>998</v>
      </c>
      <c r="D75" t="s">
        <v>118</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12">
        <v>0.10100000000000001</v>
      </c>
    </row>
    <row r="76" spans="1:33">
      <c r="A76" t="s">
        <v>95</v>
      </c>
      <c r="B76" t="s">
        <v>997</v>
      </c>
      <c r="C76" t="s">
        <v>996</v>
      </c>
      <c r="D76" t="s">
        <v>118</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6</v>
      </c>
    </row>
    <row r="77" spans="1:33" s="1" customFormat="1">
      <c r="A77" s="1" t="s">
        <v>7</v>
      </c>
      <c r="B77" s="1" t="s">
        <v>995</v>
      </c>
      <c r="C77" s="1" t="s">
        <v>994</v>
      </c>
      <c r="D77" s="1" t="s">
        <v>118</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104">
        <v>1.0999999999999999E-2</v>
      </c>
    </row>
    <row r="78" spans="1:33">
      <c r="A78" t="s">
        <v>111</v>
      </c>
      <c r="B78" t="s">
        <v>993</v>
      </c>
      <c r="C78" t="s">
        <v>992</v>
      </c>
      <c r="D78" t="s">
        <v>118</v>
      </c>
      <c r="F78">
        <v>8.7423819999999992</v>
      </c>
      <c r="G78">
        <v>9.3800589999999993</v>
      </c>
      <c r="H78">
        <v>9.8378320000000006</v>
      </c>
      <c r="I78">
        <v>10.165743000000001</v>
      </c>
      <c r="J78">
        <v>10.415087</v>
      </c>
      <c r="K78">
        <v>10.611311000000001</v>
      </c>
      <c r="L78">
        <v>10.771235000000001</v>
      </c>
      <c r="M78">
        <v>10.905773999999999</v>
      </c>
      <c r="N78">
        <v>11.020588</v>
      </c>
      <c r="O78">
        <v>11.119541</v>
      </c>
      <c r="P78">
        <v>11.206322</v>
      </c>
      <c r="Q78">
        <v>11.283692</v>
      </c>
      <c r="R78">
        <v>11.353813000000001</v>
      </c>
      <c r="S78">
        <v>11.417555</v>
      </c>
      <c r="T78">
        <v>11.481839000000001</v>
      </c>
      <c r="U78">
        <v>11.543386999999999</v>
      </c>
      <c r="V78">
        <v>11.602665</v>
      </c>
      <c r="W78">
        <v>11.660023000000001</v>
      </c>
      <c r="X78">
        <v>11.716011999999999</v>
      </c>
      <c r="Y78">
        <v>11.770652999999999</v>
      </c>
      <c r="Z78">
        <v>11.824216</v>
      </c>
      <c r="AA78">
        <v>11.876847</v>
      </c>
      <c r="AB78">
        <v>11.928874</v>
      </c>
      <c r="AC78">
        <v>11.980318</v>
      </c>
      <c r="AD78">
        <v>12.031491000000001</v>
      </c>
      <c r="AE78">
        <v>12.082007000000001</v>
      </c>
      <c r="AF78">
        <v>12.132166</v>
      </c>
      <c r="AG78" s="12">
        <v>1.2999999999999999E-2</v>
      </c>
    </row>
    <row r="79" spans="1:33">
      <c r="A79" t="s">
        <v>94</v>
      </c>
      <c r="B79" t="s">
        <v>991</v>
      </c>
      <c r="C79" t="s">
        <v>990</v>
      </c>
      <c r="D79" t="s">
        <v>118</v>
      </c>
      <c r="F79">
        <v>1.0626599999999999</v>
      </c>
      <c r="G79">
        <v>1.140172</v>
      </c>
      <c r="H79">
        <v>1.1958150000000001</v>
      </c>
      <c r="I79">
        <v>1.2356739999999999</v>
      </c>
      <c r="J79">
        <v>1.2659819999999999</v>
      </c>
      <c r="K79">
        <v>1.2898339999999999</v>
      </c>
      <c r="L79">
        <v>1.3092729999999999</v>
      </c>
      <c r="M79">
        <v>1.325626</v>
      </c>
      <c r="N79">
        <v>1.3395820000000001</v>
      </c>
      <c r="O79">
        <v>1.35161</v>
      </c>
      <c r="P79">
        <v>1.3621589999999999</v>
      </c>
      <c r="Q79">
        <v>1.3715630000000001</v>
      </c>
      <c r="R79">
        <v>1.3800870000000001</v>
      </c>
      <c r="S79">
        <v>1.3878349999999999</v>
      </c>
      <c r="T79">
        <v>1.3956489999999999</v>
      </c>
      <c r="U79">
        <v>1.40313</v>
      </c>
      <c r="V79">
        <v>1.410336</v>
      </c>
      <c r="W79">
        <v>1.4173070000000001</v>
      </c>
      <c r="X79">
        <v>1.424113</v>
      </c>
      <c r="Y79">
        <v>1.430755</v>
      </c>
      <c r="Z79">
        <v>1.437265</v>
      </c>
      <c r="AA79">
        <v>1.4436629999999999</v>
      </c>
      <c r="AB79">
        <v>1.449986</v>
      </c>
      <c r="AC79">
        <v>1.45624</v>
      </c>
      <c r="AD79">
        <v>1.462461</v>
      </c>
      <c r="AE79">
        <v>1.4685999999999999</v>
      </c>
      <c r="AF79">
        <v>1.4746980000000001</v>
      </c>
      <c r="AG79" s="12">
        <v>1.2999999999999999E-2</v>
      </c>
    </row>
    <row r="80" spans="1:33" s="83" customFormat="1">
      <c r="A80" s="83" t="s">
        <v>112</v>
      </c>
      <c r="B80" s="83" t="s">
        <v>989</v>
      </c>
      <c r="C80" s="83" t="s">
        <v>988</v>
      </c>
      <c r="D80" s="83" t="s">
        <v>118</v>
      </c>
      <c r="F80" s="83">
        <v>7.6797219999999999</v>
      </c>
      <c r="G80" s="83">
        <v>8.2398869999999995</v>
      </c>
      <c r="H80" s="83">
        <v>8.6420169999999992</v>
      </c>
      <c r="I80" s="83">
        <v>8.9300689999999996</v>
      </c>
      <c r="J80" s="83">
        <v>9.1491050000000005</v>
      </c>
      <c r="K80" s="83">
        <v>9.3214769999999998</v>
      </c>
      <c r="L80" s="83">
        <v>9.4619630000000008</v>
      </c>
      <c r="M80" s="83">
        <v>9.5801479999999994</v>
      </c>
      <c r="N80" s="83">
        <v>9.6810050000000007</v>
      </c>
      <c r="O80" s="83">
        <v>9.7679310000000008</v>
      </c>
      <c r="P80" s="83">
        <v>9.844163</v>
      </c>
      <c r="Q80" s="83">
        <v>9.9121290000000002</v>
      </c>
      <c r="R80" s="83">
        <v>9.9737259999999992</v>
      </c>
      <c r="S80" s="83">
        <v>10.029719999999999</v>
      </c>
      <c r="T80" s="83">
        <v>10.08619</v>
      </c>
      <c r="U80" s="83">
        <v>10.140257999999999</v>
      </c>
      <c r="V80" s="83">
        <v>10.192329000000001</v>
      </c>
      <c r="W80" s="83">
        <v>10.242716</v>
      </c>
      <c r="X80" s="83">
        <v>10.291899000000001</v>
      </c>
      <c r="Y80" s="83">
        <v>10.339898</v>
      </c>
      <c r="Z80" s="83">
        <v>10.386950000000001</v>
      </c>
      <c r="AA80" s="83">
        <v>10.433185</v>
      </c>
      <c r="AB80" s="83">
        <v>10.478888</v>
      </c>
      <c r="AC80" s="83">
        <v>10.524077999999999</v>
      </c>
      <c r="AD80" s="83">
        <v>10.569031000000001</v>
      </c>
      <c r="AE80" s="83">
        <v>10.613407</v>
      </c>
      <c r="AF80" s="83">
        <v>10.657468</v>
      </c>
      <c r="AG80" s="84">
        <v>1.2999999999999999E-2</v>
      </c>
    </row>
    <row r="81" spans="1:33">
      <c r="A81" t="s">
        <v>101</v>
      </c>
      <c r="B81" t="s">
        <v>987</v>
      </c>
      <c r="C81" t="s">
        <v>986</v>
      </c>
      <c r="D81" t="s">
        <v>118</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6</v>
      </c>
    </row>
    <row r="82" spans="1:33">
      <c r="A82" t="s">
        <v>102</v>
      </c>
      <c r="B82" t="s">
        <v>985</v>
      </c>
      <c r="C82" t="s">
        <v>984</v>
      </c>
      <c r="D82" t="s">
        <v>118</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6</v>
      </c>
    </row>
    <row r="83" spans="1:33">
      <c r="A83" t="s">
        <v>113</v>
      </c>
      <c r="B83" t="s">
        <v>983</v>
      </c>
      <c r="C83" t="s">
        <v>982</v>
      </c>
      <c r="D83" t="s">
        <v>118</v>
      </c>
      <c r="F83">
        <v>14.508388999999999</v>
      </c>
      <c r="G83">
        <v>15.421035</v>
      </c>
      <c r="H83">
        <v>16.002700999999998</v>
      </c>
      <c r="I83">
        <v>16.428796999999999</v>
      </c>
      <c r="J83">
        <v>16.870525000000001</v>
      </c>
      <c r="K83">
        <v>17.287436</v>
      </c>
      <c r="L83">
        <v>17.607780000000002</v>
      </c>
      <c r="M83">
        <v>17.836908000000001</v>
      </c>
      <c r="N83">
        <v>18.041525</v>
      </c>
      <c r="O83">
        <v>18.197558999999998</v>
      </c>
      <c r="P83">
        <v>18.347023</v>
      </c>
      <c r="Q83">
        <v>18.543555999999999</v>
      </c>
      <c r="R83">
        <v>18.732952000000001</v>
      </c>
      <c r="S83">
        <v>18.925523999999999</v>
      </c>
      <c r="T83">
        <v>19.122789000000001</v>
      </c>
      <c r="U83">
        <v>19.294951999999999</v>
      </c>
      <c r="V83">
        <v>19.444386000000002</v>
      </c>
      <c r="W83">
        <v>19.568449000000001</v>
      </c>
      <c r="X83">
        <v>19.677353</v>
      </c>
      <c r="Y83">
        <v>19.784870000000002</v>
      </c>
      <c r="Z83">
        <v>19.860029000000001</v>
      </c>
      <c r="AA83">
        <v>19.946988999999999</v>
      </c>
      <c r="AB83">
        <v>19.998484000000001</v>
      </c>
      <c r="AC83">
        <v>20.058503999999999</v>
      </c>
      <c r="AD83">
        <v>20.148382000000002</v>
      </c>
      <c r="AE83">
        <v>20.242802000000001</v>
      </c>
      <c r="AF83">
        <v>20.400482</v>
      </c>
      <c r="AG83" s="12">
        <v>1.2999999999999999E-2</v>
      </c>
    </row>
    <row r="84" spans="1:33">
      <c r="A84" t="s">
        <v>94</v>
      </c>
      <c r="B84" t="s">
        <v>981</v>
      </c>
      <c r="C84" t="s">
        <v>980</v>
      </c>
      <c r="D84" t="s">
        <v>118</v>
      </c>
      <c r="F84">
        <v>14.508388999999999</v>
      </c>
      <c r="G84">
        <v>15.421035</v>
      </c>
      <c r="H84">
        <v>16.002700999999998</v>
      </c>
      <c r="I84">
        <v>16.428796999999999</v>
      </c>
      <c r="J84">
        <v>16.870525000000001</v>
      </c>
      <c r="K84">
        <v>17.287436</v>
      </c>
      <c r="L84">
        <v>17.607780000000002</v>
      </c>
      <c r="M84">
        <v>17.836908000000001</v>
      </c>
      <c r="N84">
        <v>18.041525</v>
      </c>
      <c r="O84">
        <v>18.197558999999998</v>
      </c>
      <c r="P84">
        <v>18.347023</v>
      </c>
      <c r="Q84">
        <v>18.543555999999999</v>
      </c>
      <c r="R84">
        <v>18.732952000000001</v>
      </c>
      <c r="S84">
        <v>18.925523999999999</v>
      </c>
      <c r="T84">
        <v>19.122789000000001</v>
      </c>
      <c r="U84">
        <v>19.294951999999999</v>
      </c>
      <c r="V84">
        <v>19.444386000000002</v>
      </c>
      <c r="W84">
        <v>19.568449000000001</v>
      </c>
      <c r="X84">
        <v>19.677353</v>
      </c>
      <c r="Y84">
        <v>19.784870000000002</v>
      </c>
      <c r="Z84">
        <v>19.860029000000001</v>
      </c>
      <c r="AA84">
        <v>19.946988999999999</v>
      </c>
      <c r="AB84">
        <v>19.998484000000001</v>
      </c>
      <c r="AC84">
        <v>20.058503999999999</v>
      </c>
      <c r="AD84">
        <v>20.148382000000002</v>
      </c>
      <c r="AE84">
        <v>20.242802000000001</v>
      </c>
      <c r="AF84">
        <v>20.400482</v>
      </c>
      <c r="AG84" s="12">
        <v>1.2999999999999999E-2</v>
      </c>
    </row>
    <row r="85" spans="1:33">
      <c r="A85" t="s">
        <v>114</v>
      </c>
      <c r="B85" t="s">
        <v>979</v>
      </c>
      <c r="C85" t="s">
        <v>978</v>
      </c>
      <c r="D85" t="s">
        <v>118</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12">
        <v>8.9999999999999993E-3</v>
      </c>
    </row>
    <row r="86" spans="1:33">
      <c r="A86" t="s">
        <v>94</v>
      </c>
      <c r="B86" t="s">
        <v>977</v>
      </c>
      <c r="C86" t="s">
        <v>976</v>
      </c>
      <c r="D86" t="s">
        <v>118</v>
      </c>
      <c r="F86">
        <v>7.5111889999999999</v>
      </c>
      <c r="G86">
        <v>7.855988</v>
      </c>
      <c r="H86">
        <v>8.0141960000000001</v>
      </c>
      <c r="I86">
        <v>8.0560130000000001</v>
      </c>
      <c r="J86">
        <v>8.0277329999999996</v>
      </c>
      <c r="K86">
        <v>8.0724560000000007</v>
      </c>
      <c r="L86">
        <v>8.107094</v>
      </c>
      <c r="M86">
        <v>8.1060300000000005</v>
      </c>
      <c r="N86">
        <v>8.1130739999999992</v>
      </c>
      <c r="O86">
        <v>8.1194109999999995</v>
      </c>
      <c r="P86">
        <v>8.102843</v>
      </c>
      <c r="Q86">
        <v>8.1355620000000002</v>
      </c>
      <c r="R86">
        <v>8.2269900000000007</v>
      </c>
      <c r="S86">
        <v>8.3286890000000007</v>
      </c>
      <c r="T86">
        <v>8.4335880000000003</v>
      </c>
      <c r="U86">
        <v>8.5265900000000006</v>
      </c>
      <c r="V86">
        <v>8.6186360000000004</v>
      </c>
      <c r="W86">
        <v>8.7029239999999994</v>
      </c>
      <c r="X86">
        <v>8.7860029999999991</v>
      </c>
      <c r="Y86">
        <v>8.8617150000000002</v>
      </c>
      <c r="Z86">
        <v>8.9281100000000002</v>
      </c>
      <c r="AA86">
        <v>8.9928310000000007</v>
      </c>
      <c r="AB86">
        <v>9.0486979999999999</v>
      </c>
      <c r="AC86">
        <v>9.1163530000000002</v>
      </c>
      <c r="AD86">
        <v>9.1924899999999994</v>
      </c>
      <c r="AE86">
        <v>9.2656609999999997</v>
      </c>
      <c r="AF86">
        <v>9.3441930000000006</v>
      </c>
      <c r="AG86" s="12">
        <v>8.0000000000000002E-3</v>
      </c>
    </row>
    <row r="87" spans="1:33" s="83" customFormat="1">
      <c r="A87" s="83" t="s">
        <v>112</v>
      </c>
      <c r="B87" s="83" t="s">
        <v>975</v>
      </c>
      <c r="C87" s="83" t="s">
        <v>974</v>
      </c>
      <c r="D87" s="83" t="s">
        <v>118</v>
      </c>
      <c r="F87" s="83">
        <v>13.130245</v>
      </c>
      <c r="G87" s="83">
        <v>13.833631</v>
      </c>
      <c r="H87" s="83">
        <v>14.074153000000001</v>
      </c>
      <c r="I87" s="83">
        <v>14.060656</v>
      </c>
      <c r="J87" s="83">
        <v>13.918488</v>
      </c>
      <c r="K87" s="83">
        <v>13.802433000000001</v>
      </c>
      <c r="L87" s="83">
        <v>13.907870000000001</v>
      </c>
      <c r="M87" s="83">
        <v>13.998201</v>
      </c>
      <c r="N87" s="83">
        <v>14.074781</v>
      </c>
      <c r="O87" s="83">
        <v>14.141977000000001</v>
      </c>
      <c r="P87" s="83">
        <v>14.202476000000001</v>
      </c>
      <c r="Q87" s="83">
        <v>14.320842000000001</v>
      </c>
      <c r="R87" s="83">
        <v>14.507265</v>
      </c>
      <c r="S87" s="83">
        <v>14.698584</v>
      </c>
      <c r="T87" s="83">
        <v>14.898256999999999</v>
      </c>
      <c r="U87" s="83">
        <v>15.084148000000001</v>
      </c>
      <c r="V87" s="83">
        <v>15.25428</v>
      </c>
      <c r="W87" s="83">
        <v>15.408915</v>
      </c>
      <c r="X87" s="83">
        <v>15.5579</v>
      </c>
      <c r="Y87" s="83">
        <v>15.712101000000001</v>
      </c>
      <c r="Z87" s="83">
        <v>15.842644</v>
      </c>
      <c r="AA87" s="83">
        <v>15.988101</v>
      </c>
      <c r="AB87" s="83">
        <v>16.107088000000001</v>
      </c>
      <c r="AC87" s="83">
        <v>16.237375</v>
      </c>
      <c r="AD87" s="83">
        <v>16.392468999999998</v>
      </c>
      <c r="AE87" s="83">
        <v>16.546282000000001</v>
      </c>
      <c r="AF87" s="83">
        <v>16.748464999999999</v>
      </c>
      <c r="AG87" s="84">
        <v>8.9999999999999993E-3</v>
      </c>
    </row>
    <row r="88" spans="1:33">
      <c r="A88" t="s">
        <v>101</v>
      </c>
      <c r="B88" t="s">
        <v>973</v>
      </c>
      <c r="C88" t="s">
        <v>972</v>
      </c>
      <c r="D88" t="s">
        <v>118</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6</v>
      </c>
    </row>
    <row r="89" spans="1:33">
      <c r="A89" t="s">
        <v>102</v>
      </c>
      <c r="B89" t="s">
        <v>971</v>
      </c>
      <c r="C89" t="s">
        <v>970</v>
      </c>
      <c r="D89" t="s">
        <v>118</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6</v>
      </c>
    </row>
    <row r="90" spans="1:33">
      <c r="A90" t="s">
        <v>5</v>
      </c>
      <c r="B90" t="s">
        <v>969</v>
      </c>
      <c r="C90" t="s">
        <v>968</v>
      </c>
      <c r="D90" t="s">
        <v>118</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12">
        <v>-5.0000000000000001E-3</v>
      </c>
    </row>
    <row r="91" spans="1:33">
      <c r="A91" t="s">
        <v>115</v>
      </c>
      <c r="B91" t="s">
        <v>967</v>
      </c>
      <c r="C91" t="s">
        <v>966</v>
      </c>
      <c r="D91" t="s">
        <v>118</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12">
        <v>-7.0000000000000001E-3</v>
      </c>
    </row>
    <row r="92" spans="1:33" s="83" customFormat="1">
      <c r="A92" s="83" t="s">
        <v>91</v>
      </c>
      <c r="B92" s="83" t="s">
        <v>965</v>
      </c>
      <c r="C92" s="83" t="s">
        <v>964</v>
      </c>
      <c r="D92" s="83" t="s">
        <v>118</v>
      </c>
      <c r="F92" s="83">
        <v>40.690426000000002</v>
      </c>
      <c r="G92" s="83">
        <v>40.654781</v>
      </c>
      <c r="H92" s="83">
        <v>40.768794999999997</v>
      </c>
      <c r="I92" s="83">
        <v>40.877197000000002</v>
      </c>
      <c r="J92" s="83">
        <v>40.889881000000003</v>
      </c>
      <c r="K92" s="83">
        <v>40.946841999999997</v>
      </c>
      <c r="L92" s="83">
        <v>40.946728</v>
      </c>
      <c r="M92" s="83">
        <v>40.871284000000003</v>
      </c>
      <c r="N92" s="83">
        <v>40.863349999999997</v>
      </c>
      <c r="O92" s="83">
        <v>40.880088999999998</v>
      </c>
      <c r="P92" s="83">
        <v>40.887752999999996</v>
      </c>
      <c r="Q92" s="83">
        <v>40.942219000000001</v>
      </c>
      <c r="R92" s="83">
        <v>41.006045999999998</v>
      </c>
      <c r="S92" s="83">
        <v>41.100960000000001</v>
      </c>
      <c r="T92" s="83">
        <v>41.208027000000001</v>
      </c>
      <c r="U92" s="83">
        <v>41.304946999999999</v>
      </c>
      <c r="V92" s="83">
        <v>41.404350000000001</v>
      </c>
      <c r="W92" s="83">
        <v>41.496921999999998</v>
      </c>
      <c r="X92" s="83">
        <v>41.611457999999999</v>
      </c>
      <c r="Y92" s="83">
        <v>41.712508999999997</v>
      </c>
      <c r="Z92" s="83">
        <v>41.782890000000002</v>
      </c>
      <c r="AA92" s="83">
        <v>41.839492999999997</v>
      </c>
      <c r="AB92" s="83">
        <v>41.88306</v>
      </c>
      <c r="AC92" s="83">
        <v>41.986381999999999</v>
      </c>
      <c r="AD92" s="83">
        <v>42.102791000000003</v>
      </c>
      <c r="AE92" s="83">
        <v>42.195900000000002</v>
      </c>
      <c r="AF92" s="83">
        <v>42.280914000000003</v>
      </c>
      <c r="AG92" s="84">
        <v>1E-3</v>
      </c>
    </row>
    <row r="93" spans="1:33">
      <c r="A93" t="s">
        <v>4</v>
      </c>
      <c r="B93" t="s">
        <v>963</v>
      </c>
      <c r="C93" t="s">
        <v>962</v>
      </c>
      <c r="D93" t="s">
        <v>118</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12">
        <v>0</v>
      </c>
    </row>
    <row r="94" spans="1:33">
      <c r="A94" t="s">
        <v>3</v>
      </c>
      <c r="B94" t="s">
        <v>961</v>
      </c>
      <c r="C94" t="s">
        <v>960</v>
      </c>
      <c r="D94" t="s">
        <v>118</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12">
        <v>-4.0000000000000001E-3</v>
      </c>
    </row>
    <row r="95" spans="1:33">
      <c r="A95" t="s">
        <v>598</v>
      </c>
      <c r="B95" t="s">
        <v>959</v>
      </c>
      <c r="C95" t="s">
        <v>958</v>
      </c>
      <c r="D95" t="s">
        <v>118</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12">
        <v>3.6999999999999998E-2</v>
      </c>
    </row>
    <row r="96" spans="1:33">
      <c r="A96" t="s">
        <v>2</v>
      </c>
      <c r="B96" t="s">
        <v>957</v>
      </c>
      <c r="C96" t="s">
        <v>956</v>
      </c>
      <c r="D96" t="s">
        <v>118</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12">
        <v>-3.0000000000000001E-3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602A-C4A0-410A-BDA8-D507C17CA9F9}">
  <dimension ref="A1:AE90"/>
  <sheetViews>
    <sheetView workbookViewId="0"/>
  </sheetViews>
  <sheetFormatPr defaultRowHeight="14.25"/>
  <sheetData>
    <row r="1" spans="1:31">
      <c r="A1" t="s">
        <v>86</v>
      </c>
    </row>
    <row r="2" spans="1:31">
      <c r="A2" t="s">
        <v>1216</v>
      </c>
    </row>
    <row r="3" spans="1:31">
      <c r="A3" t="s">
        <v>1217</v>
      </c>
    </row>
    <row r="4" spans="1:31">
      <c r="A4" t="s">
        <v>87</v>
      </c>
    </row>
    <row r="5" spans="1:31">
      <c r="B5" t="s">
        <v>88</v>
      </c>
      <c r="C5" t="s">
        <v>116</v>
      </c>
      <c r="D5" t="s">
        <v>117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1145</v>
      </c>
    </row>
    <row r="6" spans="1:31">
      <c r="A6" t="s">
        <v>13</v>
      </c>
      <c r="B6" t="s">
        <v>1218</v>
      </c>
      <c r="C6" t="s">
        <v>1219</v>
      </c>
      <c r="D6" t="s">
        <v>118</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s="12">
        <v>-1.0999999999999999E-2</v>
      </c>
    </row>
    <row r="7" spans="1:31">
      <c r="A7" t="s">
        <v>89</v>
      </c>
      <c r="B7" t="s">
        <v>1220</v>
      </c>
      <c r="C7" t="s">
        <v>1221</v>
      </c>
      <c r="D7" t="s">
        <v>118</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s="12">
        <v>-1.2999999999999999E-2</v>
      </c>
    </row>
    <row r="8" spans="1:31">
      <c r="A8" t="s">
        <v>90</v>
      </c>
      <c r="B8" t="s">
        <v>1222</v>
      </c>
      <c r="C8" t="s">
        <v>1223</v>
      </c>
      <c r="D8" t="s">
        <v>118</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s="12">
        <v>-7.1999999999999995E-2</v>
      </c>
    </row>
    <row r="9" spans="1:31">
      <c r="A9" t="s">
        <v>91</v>
      </c>
      <c r="B9" t="s">
        <v>1224</v>
      </c>
      <c r="C9" t="s">
        <v>1225</v>
      </c>
      <c r="D9" t="s">
        <v>118</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s="12">
        <v>5.0000000000000001E-3</v>
      </c>
    </row>
    <row r="10" spans="1:31">
      <c r="A10" t="s">
        <v>92</v>
      </c>
      <c r="B10" t="s">
        <v>1226</v>
      </c>
      <c r="C10" t="s">
        <v>1227</v>
      </c>
      <c r="D10" t="s">
        <v>118</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s="12">
        <v>-8.2000000000000003E-2</v>
      </c>
    </row>
    <row r="11" spans="1:31">
      <c r="A11" t="s">
        <v>93</v>
      </c>
      <c r="B11" t="s">
        <v>1228</v>
      </c>
      <c r="C11" t="s">
        <v>1229</v>
      </c>
      <c r="D11" t="s">
        <v>118</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s="12">
        <v>-6.4000000000000001E-2</v>
      </c>
    </row>
    <row r="12" spans="1:31">
      <c r="A12" t="s">
        <v>94</v>
      </c>
      <c r="B12" t="s">
        <v>1230</v>
      </c>
      <c r="C12" t="s">
        <v>1231</v>
      </c>
      <c r="D12" t="s">
        <v>118</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s="12">
        <v>9.5000000000000001E-2</v>
      </c>
    </row>
    <row r="13" spans="1:31">
      <c r="A13" t="s">
        <v>95</v>
      </c>
      <c r="B13" t="s">
        <v>1232</v>
      </c>
      <c r="C13" t="s">
        <v>1233</v>
      </c>
      <c r="D13" t="s">
        <v>118</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s="12">
        <v>-9.1999999999999998E-2</v>
      </c>
    </row>
    <row r="14" spans="1:31">
      <c r="A14" t="s">
        <v>96</v>
      </c>
      <c r="B14" t="s">
        <v>1234</v>
      </c>
      <c r="C14" t="s">
        <v>1235</v>
      </c>
      <c r="D14" t="s">
        <v>118</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s="12">
        <v>1E-3</v>
      </c>
    </row>
    <row r="15" spans="1:31">
      <c r="A15" t="s">
        <v>89</v>
      </c>
      <c r="B15" t="s">
        <v>1236</v>
      </c>
      <c r="C15" t="s">
        <v>1237</v>
      </c>
      <c r="D15" t="s">
        <v>118</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s="12">
        <v>0.01</v>
      </c>
    </row>
    <row r="16" spans="1:31">
      <c r="A16" t="s">
        <v>90</v>
      </c>
      <c r="B16" t="s">
        <v>1238</v>
      </c>
      <c r="C16" t="s">
        <v>1239</v>
      </c>
      <c r="D16" t="s">
        <v>118</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s="12">
        <v>-0.08</v>
      </c>
    </row>
    <row r="17" spans="1:31">
      <c r="A17" t="s">
        <v>91</v>
      </c>
      <c r="B17" t="s">
        <v>1240</v>
      </c>
      <c r="C17" t="s">
        <v>1241</v>
      </c>
      <c r="D17" t="s">
        <v>118</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s="12">
        <v>-3.7999999999999999E-2</v>
      </c>
    </row>
    <row r="18" spans="1:31">
      <c r="A18" t="s">
        <v>93</v>
      </c>
      <c r="B18" t="s">
        <v>1242</v>
      </c>
      <c r="C18" t="s">
        <v>1243</v>
      </c>
      <c r="D18" t="s">
        <v>118</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s="12">
        <v>8.3000000000000004E-2</v>
      </c>
    </row>
    <row r="19" spans="1:31">
      <c r="A19" t="s">
        <v>92</v>
      </c>
      <c r="B19" t="s">
        <v>1244</v>
      </c>
      <c r="C19" t="s">
        <v>1245</v>
      </c>
      <c r="D19" t="s">
        <v>118</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s="12">
        <v>0.123</v>
      </c>
    </row>
    <row r="20" spans="1:31">
      <c r="A20" t="s">
        <v>94</v>
      </c>
      <c r="B20" t="s">
        <v>1246</v>
      </c>
      <c r="C20" t="s">
        <v>1247</v>
      </c>
      <c r="D20" t="s">
        <v>118</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s="12">
        <v>9.2999999999999999E-2</v>
      </c>
    </row>
    <row r="21" spans="1:31">
      <c r="A21" t="s">
        <v>95</v>
      </c>
      <c r="B21" t="s">
        <v>1248</v>
      </c>
      <c r="C21" t="s">
        <v>1249</v>
      </c>
      <c r="D21" t="s">
        <v>118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6</v>
      </c>
    </row>
    <row r="22" spans="1:31">
      <c r="A22" t="s">
        <v>97</v>
      </c>
      <c r="B22" t="s">
        <v>1250</v>
      </c>
      <c r="C22" t="s">
        <v>1251</v>
      </c>
      <c r="D22" t="s">
        <v>118</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s="12">
        <v>1E-3</v>
      </c>
    </row>
    <row r="23" spans="1:31">
      <c r="A23" t="s">
        <v>98</v>
      </c>
      <c r="B23" t="s">
        <v>1252</v>
      </c>
      <c r="C23" t="s">
        <v>1253</v>
      </c>
      <c r="D23" t="s">
        <v>118</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s="12">
        <v>0.02</v>
      </c>
    </row>
    <row r="24" spans="1:31">
      <c r="A24" t="s">
        <v>91</v>
      </c>
      <c r="B24" t="s">
        <v>1254</v>
      </c>
      <c r="C24" t="s">
        <v>1255</v>
      </c>
      <c r="D24" t="s">
        <v>118</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s="12">
        <v>-4.0000000000000001E-3</v>
      </c>
    </row>
    <row r="25" spans="1:31">
      <c r="A25" t="s">
        <v>92</v>
      </c>
      <c r="B25" t="s">
        <v>1256</v>
      </c>
      <c r="C25" t="s">
        <v>1257</v>
      </c>
      <c r="D25" t="s">
        <v>118</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s="12">
        <v>3.7999999999999999E-2</v>
      </c>
    </row>
    <row r="26" spans="1:31">
      <c r="A26" t="s">
        <v>93</v>
      </c>
      <c r="B26" t="s">
        <v>1258</v>
      </c>
      <c r="C26" t="s">
        <v>1259</v>
      </c>
      <c r="D26" t="s">
        <v>118</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s="12">
        <v>-9.1999999999999998E-2</v>
      </c>
    </row>
    <row r="27" spans="1:31">
      <c r="A27" t="s">
        <v>90</v>
      </c>
      <c r="B27" t="s">
        <v>1260</v>
      </c>
      <c r="C27" t="s">
        <v>1261</v>
      </c>
      <c r="D27" t="s">
        <v>118</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s="12">
        <v>-0.1</v>
      </c>
    </row>
    <row r="28" spans="1:31">
      <c r="A28" t="s">
        <v>94</v>
      </c>
      <c r="B28" t="s">
        <v>1262</v>
      </c>
      <c r="C28" t="s">
        <v>1263</v>
      </c>
      <c r="D28" t="s">
        <v>118</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s="12">
        <v>0.123</v>
      </c>
    </row>
    <row r="29" spans="1:31">
      <c r="A29" t="s">
        <v>95</v>
      </c>
      <c r="B29" t="s">
        <v>1264</v>
      </c>
      <c r="C29" t="s">
        <v>1265</v>
      </c>
      <c r="D29" t="s">
        <v>118</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6</v>
      </c>
    </row>
    <row r="30" spans="1:31">
      <c r="A30" t="s">
        <v>99</v>
      </c>
      <c r="B30" t="s">
        <v>1266</v>
      </c>
      <c r="C30" t="s">
        <v>1267</v>
      </c>
      <c r="D30" t="s">
        <v>118</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s="12">
        <v>-1E-3</v>
      </c>
    </row>
    <row r="31" spans="1:31">
      <c r="A31" t="s">
        <v>91</v>
      </c>
      <c r="B31" t="s">
        <v>1268</v>
      </c>
      <c r="C31" t="s">
        <v>1269</v>
      </c>
      <c r="D31" t="s">
        <v>118</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s="12">
        <v>-1E-3</v>
      </c>
    </row>
    <row r="32" spans="1:31">
      <c r="A32" t="s">
        <v>102</v>
      </c>
      <c r="B32" t="s">
        <v>1270</v>
      </c>
      <c r="C32" t="s">
        <v>1271</v>
      </c>
      <c r="D32" t="s">
        <v>118</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6</v>
      </c>
    </row>
    <row r="33" spans="1:31">
      <c r="A33" t="s">
        <v>12</v>
      </c>
      <c r="B33" t="s">
        <v>1272</v>
      </c>
      <c r="C33" t="s">
        <v>1273</v>
      </c>
      <c r="D33" t="s">
        <v>118</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s="12">
        <v>-6.0000000000000001E-3</v>
      </c>
    </row>
    <row r="34" spans="1:31">
      <c r="A34" t="s">
        <v>91</v>
      </c>
      <c r="B34" t="s">
        <v>1274</v>
      </c>
      <c r="C34" t="s">
        <v>1275</v>
      </c>
      <c r="D34" t="s">
        <v>118</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s="12">
        <v>-7.0000000000000001E-3</v>
      </c>
    </row>
    <row r="35" spans="1:31">
      <c r="A35" t="s">
        <v>103</v>
      </c>
      <c r="B35" t="s">
        <v>1276</v>
      </c>
      <c r="C35" t="s">
        <v>1277</v>
      </c>
      <c r="D35" t="s">
        <v>118</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s="12">
        <v>-5.3999999999999999E-2</v>
      </c>
    </row>
    <row r="36" spans="1:31">
      <c r="A36" t="s">
        <v>101</v>
      </c>
      <c r="B36" t="s">
        <v>1278</v>
      </c>
      <c r="C36" t="s">
        <v>1279</v>
      </c>
      <c r="D36" t="s">
        <v>118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6</v>
      </c>
    </row>
    <row r="37" spans="1:31">
      <c r="A37" t="s">
        <v>102</v>
      </c>
      <c r="B37" t="s">
        <v>1280</v>
      </c>
      <c r="C37" t="s">
        <v>1281</v>
      </c>
      <c r="D37" t="s">
        <v>118</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s="12">
        <v>5.0999999999999997E-2</v>
      </c>
    </row>
    <row r="38" spans="1:31">
      <c r="A38" t="s">
        <v>11</v>
      </c>
      <c r="B38" t="s">
        <v>1282</v>
      </c>
      <c r="C38" t="s">
        <v>1283</v>
      </c>
      <c r="D38" t="s">
        <v>118</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s="12">
        <v>1.2E-2</v>
      </c>
    </row>
    <row r="39" spans="1:31">
      <c r="A39" t="s">
        <v>91</v>
      </c>
      <c r="B39" t="s">
        <v>1284</v>
      </c>
      <c r="C39" t="s">
        <v>1285</v>
      </c>
      <c r="D39" t="s">
        <v>118</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s="12">
        <v>1.4999999999999999E-2</v>
      </c>
    </row>
    <row r="40" spans="1:31">
      <c r="A40" t="s">
        <v>103</v>
      </c>
      <c r="B40" t="s">
        <v>1286</v>
      </c>
      <c r="C40" t="s">
        <v>1287</v>
      </c>
      <c r="D40" t="s">
        <v>118</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s="12">
        <v>0.01</v>
      </c>
    </row>
    <row r="41" spans="1:31">
      <c r="A41" t="s">
        <v>101</v>
      </c>
      <c r="B41" t="s">
        <v>1288</v>
      </c>
      <c r="C41" t="s">
        <v>1289</v>
      </c>
      <c r="D41" t="s">
        <v>118</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6</v>
      </c>
    </row>
    <row r="42" spans="1:31">
      <c r="A42" t="s">
        <v>102</v>
      </c>
      <c r="B42" t="s">
        <v>1290</v>
      </c>
      <c r="C42" t="s">
        <v>1291</v>
      </c>
      <c r="D42" t="s">
        <v>118</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s="12">
        <v>2.5000000000000001E-2</v>
      </c>
    </row>
    <row r="43" spans="1:31">
      <c r="A43" t="s">
        <v>10</v>
      </c>
      <c r="B43" t="s">
        <v>1292</v>
      </c>
      <c r="C43" t="s">
        <v>1293</v>
      </c>
      <c r="D43" t="s">
        <v>118</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s="12">
        <v>8.9999999999999993E-3</v>
      </c>
    </row>
    <row r="44" spans="1:31">
      <c r="A44" t="s">
        <v>104</v>
      </c>
      <c r="B44" t="s">
        <v>1294</v>
      </c>
      <c r="C44" t="s">
        <v>1295</v>
      </c>
      <c r="D44" t="s">
        <v>118</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s="12">
        <v>8.9999999999999993E-3</v>
      </c>
    </row>
    <row r="45" spans="1:31">
      <c r="A45" t="s">
        <v>105</v>
      </c>
      <c r="B45" t="s">
        <v>1296</v>
      </c>
      <c r="C45" t="s">
        <v>1297</v>
      </c>
      <c r="D45" t="s">
        <v>118</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s="12">
        <v>0</v>
      </c>
    </row>
    <row r="46" spans="1:31">
      <c r="A46" t="s">
        <v>9</v>
      </c>
      <c r="B46" t="s">
        <v>1298</v>
      </c>
      <c r="C46" t="s">
        <v>1299</v>
      </c>
      <c r="D46" t="s">
        <v>118</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s="12">
        <v>1E-3</v>
      </c>
    </row>
    <row r="47" spans="1:31">
      <c r="A47" t="s">
        <v>106</v>
      </c>
      <c r="B47" t="s">
        <v>1300</v>
      </c>
      <c r="C47" t="s">
        <v>1301</v>
      </c>
      <c r="D47" t="s">
        <v>118</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s="12">
        <v>1E-3</v>
      </c>
    </row>
    <row r="48" spans="1:31">
      <c r="A48" t="s">
        <v>100</v>
      </c>
      <c r="B48" t="s">
        <v>1302</v>
      </c>
      <c r="C48" t="s">
        <v>1303</v>
      </c>
      <c r="D48" t="s">
        <v>118</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s="12">
        <v>1E-3</v>
      </c>
    </row>
    <row r="49" spans="1:31">
      <c r="A49" t="s">
        <v>107</v>
      </c>
      <c r="B49" t="s">
        <v>1304</v>
      </c>
      <c r="C49" t="s">
        <v>1305</v>
      </c>
      <c r="D49" t="s">
        <v>118</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s="12">
        <v>1E-3</v>
      </c>
    </row>
    <row r="50" spans="1:31">
      <c r="A50" t="s">
        <v>8</v>
      </c>
      <c r="B50" t="s">
        <v>1306</v>
      </c>
      <c r="C50" t="s">
        <v>1307</v>
      </c>
      <c r="D50" t="s">
        <v>118</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s="12">
        <v>-5.0000000000000001E-3</v>
      </c>
    </row>
    <row r="51" spans="1:31">
      <c r="A51" t="s">
        <v>108</v>
      </c>
      <c r="B51" t="s">
        <v>1308</v>
      </c>
      <c r="C51" t="s">
        <v>1309</v>
      </c>
      <c r="D51" t="s">
        <v>118</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s="12">
        <v>-5.0000000000000001E-3</v>
      </c>
    </row>
    <row r="52" spans="1:31">
      <c r="A52" t="s">
        <v>98</v>
      </c>
      <c r="B52" t="s">
        <v>1310</v>
      </c>
      <c r="C52" t="s">
        <v>1311</v>
      </c>
      <c r="D52" t="s">
        <v>118</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s="12">
        <v>-8.0000000000000002E-3</v>
      </c>
    </row>
    <row r="53" spans="1:31">
      <c r="A53" t="s">
        <v>90</v>
      </c>
      <c r="B53" t="s">
        <v>1312</v>
      </c>
      <c r="C53" t="s">
        <v>1313</v>
      </c>
      <c r="D53" t="s">
        <v>118</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6</v>
      </c>
    </row>
    <row r="54" spans="1:31">
      <c r="A54" t="s">
        <v>91</v>
      </c>
      <c r="B54" t="s">
        <v>1314</v>
      </c>
      <c r="C54" t="s">
        <v>1315</v>
      </c>
      <c r="D54" t="s">
        <v>118</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s="12">
        <v>-6.0000000000000001E-3</v>
      </c>
    </row>
    <row r="55" spans="1:31">
      <c r="A55" t="s">
        <v>92</v>
      </c>
      <c r="B55" t="s">
        <v>1316</v>
      </c>
      <c r="C55" t="s">
        <v>1317</v>
      </c>
      <c r="D55" t="s">
        <v>118</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s="12">
        <v>-0.01</v>
      </c>
    </row>
    <row r="56" spans="1:31">
      <c r="A56" t="s">
        <v>93</v>
      </c>
      <c r="B56" t="s">
        <v>1318</v>
      </c>
      <c r="C56" t="s">
        <v>1319</v>
      </c>
      <c r="D56" t="s">
        <v>118</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s="12">
        <v>-4.0000000000000001E-3</v>
      </c>
    </row>
    <row r="57" spans="1:31">
      <c r="A57" t="s">
        <v>94</v>
      </c>
      <c r="B57" t="s">
        <v>1320</v>
      </c>
      <c r="C57" t="s">
        <v>1321</v>
      </c>
      <c r="D57" t="s">
        <v>118</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s="12">
        <v>4.1000000000000002E-2</v>
      </c>
    </row>
    <row r="58" spans="1:31">
      <c r="A58" t="s">
        <v>95</v>
      </c>
      <c r="B58" t="s">
        <v>1322</v>
      </c>
      <c r="C58" t="s">
        <v>1323</v>
      </c>
      <c r="D58" t="s">
        <v>118</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s="12">
        <v>-1.4999999999999999E-2</v>
      </c>
    </row>
    <row r="59" spans="1:31">
      <c r="A59" t="s">
        <v>109</v>
      </c>
      <c r="B59" t="s">
        <v>1324</v>
      </c>
      <c r="C59" t="s">
        <v>1325</v>
      </c>
      <c r="D59" t="s">
        <v>118</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s="12">
        <v>8.0000000000000002E-3</v>
      </c>
    </row>
    <row r="60" spans="1:31">
      <c r="A60" t="s">
        <v>98</v>
      </c>
      <c r="B60" t="s">
        <v>1326</v>
      </c>
      <c r="C60" t="s">
        <v>1327</v>
      </c>
      <c r="D60" t="s">
        <v>118</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6</v>
      </c>
    </row>
    <row r="61" spans="1:31">
      <c r="A61" t="s">
        <v>90</v>
      </c>
      <c r="B61" t="s">
        <v>1328</v>
      </c>
      <c r="C61" t="s">
        <v>1329</v>
      </c>
      <c r="D61" t="s">
        <v>118</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6</v>
      </c>
    </row>
    <row r="62" spans="1:31">
      <c r="A62" t="s">
        <v>91</v>
      </c>
      <c r="B62" t="s">
        <v>1330</v>
      </c>
      <c r="C62" t="s">
        <v>1331</v>
      </c>
      <c r="D62" t="s">
        <v>118</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s="12">
        <v>8.0000000000000002E-3</v>
      </c>
    </row>
    <row r="63" spans="1:31">
      <c r="A63" t="s">
        <v>92</v>
      </c>
      <c r="B63" t="s">
        <v>1332</v>
      </c>
      <c r="C63" t="s">
        <v>1333</v>
      </c>
      <c r="D63" t="s">
        <v>118</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6</v>
      </c>
    </row>
    <row r="64" spans="1:31">
      <c r="A64" t="s">
        <v>93</v>
      </c>
      <c r="B64" t="s">
        <v>1334</v>
      </c>
      <c r="C64" t="s">
        <v>1335</v>
      </c>
      <c r="D64" t="s">
        <v>118</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6</v>
      </c>
    </row>
    <row r="65" spans="1:31">
      <c r="A65" t="s">
        <v>94</v>
      </c>
      <c r="B65" t="s">
        <v>1336</v>
      </c>
      <c r="C65" t="s">
        <v>1337</v>
      </c>
      <c r="D65" t="s">
        <v>118</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6</v>
      </c>
    </row>
    <row r="66" spans="1:31">
      <c r="A66" t="s">
        <v>95</v>
      </c>
      <c r="B66" t="s">
        <v>1338</v>
      </c>
      <c r="C66" t="s">
        <v>1339</v>
      </c>
      <c r="D66" t="s">
        <v>118</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6</v>
      </c>
    </row>
    <row r="67" spans="1:31">
      <c r="A67" t="s">
        <v>110</v>
      </c>
      <c r="B67" t="s">
        <v>1340</v>
      </c>
      <c r="C67" t="s">
        <v>1341</v>
      </c>
      <c r="D67" t="s">
        <v>118</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s="12">
        <v>-8.9999999999999993E-3</v>
      </c>
    </row>
    <row r="68" spans="1:31">
      <c r="A68" t="s">
        <v>98</v>
      </c>
      <c r="B68" t="s">
        <v>1342</v>
      </c>
      <c r="C68" t="s">
        <v>1343</v>
      </c>
      <c r="D68" t="s">
        <v>118</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s="12">
        <v>-1.2E-2</v>
      </c>
    </row>
    <row r="69" spans="1:31">
      <c r="A69" t="s">
        <v>90</v>
      </c>
      <c r="B69" t="s">
        <v>1344</v>
      </c>
      <c r="C69" t="s">
        <v>1345</v>
      </c>
      <c r="D69" t="s">
        <v>118</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6</v>
      </c>
    </row>
    <row r="70" spans="1:31">
      <c r="A70" t="s">
        <v>91</v>
      </c>
      <c r="B70" t="s">
        <v>1346</v>
      </c>
      <c r="C70" t="s">
        <v>1347</v>
      </c>
      <c r="D70" t="s">
        <v>118</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s="12">
        <v>-1.2E-2</v>
      </c>
    </row>
    <row r="71" spans="1:31">
      <c r="A71" t="s">
        <v>92</v>
      </c>
      <c r="B71" t="s">
        <v>1348</v>
      </c>
      <c r="C71" t="s">
        <v>1349</v>
      </c>
      <c r="D71" t="s">
        <v>118</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s="12">
        <v>2E-3</v>
      </c>
    </row>
    <row r="72" spans="1:31">
      <c r="A72" t="s">
        <v>93</v>
      </c>
      <c r="B72" t="s">
        <v>1350</v>
      </c>
      <c r="C72" t="s">
        <v>1351</v>
      </c>
      <c r="D72" t="s">
        <v>118</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s="12">
        <v>-1.2E-2</v>
      </c>
    </row>
    <row r="73" spans="1:31">
      <c r="A73" t="s">
        <v>94</v>
      </c>
      <c r="B73" t="s">
        <v>1352</v>
      </c>
      <c r="C73" t="s">
        <v>1353</v>
      </c>
      <c r="D73" t="s">
        <v>118</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s="12">
        <v>9.2999999999999999E-2</v>
      </c>
    </row>
    <row r="74" spans="1:31">
      <c r="A74" t="s">
        <v>95</v>
      </c>
      <c r="B74" t="s">
        <v>1354</v>
      </c>
      <c r="C74" t="s">
        <v>1355</v>
      </c>
      <c r="D74" t="s">
        <v>118</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6</v>
      </c>
    </row>
    <row r="75" spans="1:31">
      <c r="A75" t="s">
        <v>7</v>
      </c>
      <c r="B75" t="s">
        <v>1356</v>
      </c>
      <c r="C75" t="s">
        <v>1357</v>
      </c>
      <c r="D75" t="s">
        <v>118</v>
      </c>
      <c r="E75">
        <v>47.797958000000001</v>
      </c>
      <c r="F75">
        <v>48.922688000000001</v>
      </c>
      <c r="G75">
        <v>49.568466000000001</v>
      </c>
      <c r="H75">
        <v>50.014668</v>
      </c>
      <c r="I75">
        <v>50.306564000000002</v>
      </c>
      <c r="J75">
        <v>50.546627000000001</v>
      </c>
      <c r="K75">
        <v>50.750252000000003</v>
      </c>
      <c r="L75">
        <v>51.031433</v>
      </c>
      <c r="M75">
        <v>51.405346000000002</v>
      </c>
      <c r="N75">
        <v>51.750042000000001</v>
      </c>
      <c r="O75">
        <v>52.312030999999998</v>
      </c>
      <c r="P75">
        <v>52.873978000000001</v>
      </c>
      <c r="Q75">
        <v>53.476790999999999</v>
      </c>
      <c r="R75">
        <v>54.024281000000002</v>
      </c>
      <c r="S75">
        <v>54.461295999999997</v>
      </c>
      <c r="T75">
        <v>54.907093000000003</v>
      </c>
      <c r="U75">
        <v>55.303341000000003</v>
      </c>
      <c r="V75">
        <v>55.704666000000003</v>
      </c>
      <c r="W75">
        <v>56.041279000000003</v>
      </c>
      <c r="X75">
        <v>56.408630000000002</v>
      </c>
      <c r="Y75">
        <v>56.804091999999997</v>
      </c>
      <c r="Z75">
        <v>57.137211000000001</v>
      </c>
      <c r="AA75">
        <v>57.507964999999999</v>
      </c>
      <c r="AB75">
        <v>57.785682999999999</v>
      </c>
      <c r="AC75">
        <v>58.048088</v>
      </c>
      <c r="AD75">
        <v>58.288898000000003</v>
      </c>
      <c r="AE75" s="12">
        <v>8.0000000000000002E-3</v>
      </c>
    </row>
    <row r="76" spans="1:31">
      <c r="A76" t="s">
        <v>111</v>
      </c>
      <c r="B76" t="s">
        <v>1358</v>
      </c>
      <c r="C76" t="s">
        <v>1359</v>
      </c>
      <c r="D76" t="s">
        <v>118</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s="12">
        <v>6.0000000000000001E-3</v>
      </c>
    </row>
    <row r="77" spans="1:31">
      <c r="A77" t="s">
        <v>94</v>
      </c>
      <c r="B77" t="s">
        <v>1360</v>
      </c>
      <c r="C77" t="s">
        <v>1361</v>
      </c>
      <c r="D77" t="s">
        <v>118</v>
      </c>
      <c r="E77">
        <v>1.502035</v>
      </c>
      <c r="F77">
        <v>1.5143260000000001</v>
      </c>
      <c r="G77">
        <v>1.526119</v>
      </c>
      <c r="H77">
        <v>1.538249</v>
      </c>
      <c r="I77">
        <v>1.550837</v>
      </c>
      <c r="J77">
        <v>1.563237</v>
      </c>
      <c r="K77">
        <v>1.5754109999999999</v>
      </c>
      <c r="L77">
        <v>1.587019</v>
      </c>
      <c r="M77">
        <v>1.597906</v>
      </c>
      <c r="N77">
        <v>1.6081369999999999</v>
      </c>
      <c r="O77">
        <v>1.617793</v>
      </c>
      <c r="P77">
        <v>1.626719</v>
      </c>
      <c r="Q77">
        <v>1.63517</v>
      </c>
      <c r="R77">
        <v>1.643605</v>
      </c>
      <c r="S77">
        <v>1.65133</v>
      </c>
      <c r="T77">
        <v>1.6587639999999999</v>
      </c>
      <c r="U77">
        <v>1.66638</v>
      </c>
      <c r="V77">
        <v>1.673821</v>
      </c>
      <c r="W77">
        <v>1.681165</v>
      </c>
      <c r="X77">
        <v>1.6884399999999999</v>
      </c>
      <c r="Y77">
        <v>1.6956310000000001</v>
      </c>
      <c r="Z77">
        <v>1.70272</v>
      </c>
      <c r="AA77">
        <v>1.7097279999999999</v>
      </c>
      <c r="AB77">
        <v>1.7166699999999999</v>
      </c>
      <c r="AC77">
        <v>1.72357</v>
      </c>
      <c r="AD77">
        <v>1.7304660000000001</v>
      </c>
      <c r="AE77" s="12">
        <v>6.0000000000000001E-3</v>
      </c>
    </row>
    <row r="78" spans="1:31">
      <c r="A78" t="s">
        <v>112</v>
      </c>
      <c r="B78" t="s">
        <v>1362</v>
      </c>
      <c r="C78" t="s">
        <v>1363</v>
      </c>
      <c r="D78" t="s">
        <v>118</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s="12">
        <v>6.0000000000000001E-3</v>
      </c>
    </row>
    <row r="79" spans="1:31">
      <c r="A79" t="s">
        <v>113</v>
      </c>
      <c r="B79" t="s">
        <v>1364</v>
      </c>
      <c r="C79" t="s">
        <v>1365</v>
      </c>
      <c r="D79" t="s">
        <v>118</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s="12">
        <v>1.4E-2</v>
      </c>
    </row>
    <row r="80" spans="1:31">
      <c r="A80" t="s">
        <v>94</v>
      </c>
      <c r="B80" t="s">
        <v>1366</v>
      </c>
      <c r="C80" t="s">
        <v>1367</v>
      </c>
      <c r="D80" t="s">
        <v>118</v>
      </c>
      <c r="E80">
        <v>15.340902</v>
      </c>
      <c r="F80">
        <v>15.924714</v>
      </c>
      <c r="G80">
        <v>16.390450999999999</v>
      </c>
      <c r="H80">
        <v>16.871880000000001</v>
      </c>
      <c r="I80">
        <v>17.291449</v>
      </c>
      <c r="J80">
        <v>17.680021</v>
      </c>
      <c r="K80">
        <v>17.998669</v>
      </c>
      <c r="L80">
        <v>18.281811000000001</v>
      </c>
      <c r="M80">
        <v>18.585245</v>
      </c>
      <c r="N80">
        <v>18.822433</v>
      </c>
      <c r="O80">
        <v>19.134668000000001</v>
      </c>
      <c r="P80">
        <v>19.403853999999999</v>
      </c>
      <c r="Q80">
        <v>19.701650999999998</v>
      </c>
      <c r="R80">
        <v>19.970364</v>
      </c>
      <c r="S80">
        <v>20.185044999999999</v>
      </c>
      <c r="T80">
        <v>20.403708000000002</v>
      </c>
      <c r="U80">
        <v>20.590519</v>
      </c>
      <c r="V80">
        <v>20.78002</v>
      </c>
      <c r="W80">
        <v>20.931851999999999</v>
      </c>
      <c r="X80">
        <v>21.098742000000001</v>
      </c>
      <c r="Y80">
        <v>21.280412999999999</v>
      </c>
      <c r="Z80">
        <v>21.426705999999999</v>
      </c>
      <c r="AA80">
        <v>21.598884999999999</v>
      </c>
      <c r="AB80">
        <v>21.721876000000002</v>
      </c>
      <c r="AC80">
        <v>21.843810999999999</v>
      </c>
      <c r="AD80">
        <v>21.961637</v>
      </c>
      <c r="AE80" s="12">
        <v>1.4E-2</v>
      </c>
    </row>
    <row r="81" spans="1:31">
      <c r="A81" t="s">
        <v>114</v>
      </c>
      <c r="B81" t="s">
        <v>1368</v>
      </c>
      <c r="C81" t="s">
        <v>1369</v>
      </c>
      <c r="D81" t="s">
        <v>118</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s="12">
        <v>4.0000000000000001E-3</v>
      </c>
    </row>
    <row r="82" spans="1:31">
      <c r="A82" t="s">
        <v>94</v>
      </c>
      <c r="B82" t="s">
        <v>1370</v>
      </c>
      <c r="C82" t="s">
        <v>1371</v>
      </c>
      <c r="D82" t="s">
        <v>118</v>
      </c>
      <c r="E82">
        <v>7.7307170000000003</v>
      </c>
      <c r="F82">
        <v>7.908595</v>
      </c>
      <c r="G82">
        <v>7.9704259999999998</v>
      </c>
      <c r="H82">
        <v>7.9522690000000003</v>
      </c>
      <c r="I82">
        <v>7.8903990000000004</v>
      </c>
      <c r="J82">
        <v>7.811064</v>
      </c>
      <c r="K82">
        <v>7.7212870000000002</v>
      </c>
      <c r="L82">
        <v>7.6663509999999997</v>
      </c>
      <c r="M82">
        <v>7.6092370000000003</v>
      </c>
      <c r="N82">
        <v>7.5968689999999999</v>
      </c>
      <c r="O82">
        <v>7.6361160000000003</v>
      </c>
      <c r="P82">
        <v>7.7052350000000001</v>
      </c>
      <c r="Q82">
        <v>7.7767419999999996</v>
      </c>
      <c r="R82">
        <v>7.8408680000000004</v>
      </c>
      <c r="S82">
        <v>7.8899629999999998</v>
      </c>
      <c r="T82">
        <v>7.9406850000000002</v>
      </c>
      <c r="U82">
        <v>7.9817900000000002</v>
      </c>
      <c r="V82">
        <v>8.0197450000000003</v>
      </c>
      <c r="W82">
        <v>8.0528040000000001</v>
      </c>
      <c r="X82">
        <v>8.0899859999999997</v>
      </c>
      <c r="Y82">
        <v>8.1287839999999996</v>
      </c>
      <c r="Z82">
        <v>8.1610209999999999</v>
      </c>
      <c r="AA82">
        <v>8.1877220000000008</v>
      </c>
      <c r="AB82">
        <v>8.2046320000000001</v>
      </c>
      <c r="AC82">
        <v>8.2139039999999994</v>
      </c>
      <c r="AD82">
        <v>8.2204619999999995</v>
      </c>
      <c r="AE82" s="12">
        <v>2E-3</v>
      </c>
    </row>
    <row r="83" spans="1:31">
      <c r="A83" t="s">
        <v>112</v>
      </c>
      <c r="B83" t="s">
        <v>1372</v>
      </c>
      <c r="C83" t="s">
        <v>1373</v>
      </c>
      <c r="D83" t="s">
        <v>118</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s="12">
        <v>5.0000000000000001E-3</v>
      </c>
    </row>
    <row r="84" spans="1:31">
      <c r="A84" t="s">
        <v>5</v>
      </c>
      <c r="B84" t="s">
        <v>1374</v>
      </c>
      <c r="C84" t="s">
        <v>1375</v>
      </c>
      <c r="D84" t="s">
        <v>118</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s="12">
        <v>-4.0000000000000001E-3</v>
      </c>
    </row>
    <row r="85" spans="1:31">
      <c r="A85" t="s">
        <v>115</v>
      </c>
      <c r="B85" t="s">
        <v>1376</v>
      </c>
      <c r="C85" t="s">
        <v>1377</v>
      </c>
      <c r="D85" t="s">
        <v>118</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s="12">
        <v>-5.0000000000000001E-3</v>
      </c>
    </row>
    <row r="86" spans="1:31">
      <c r="A86" t="s">
        <v>91</v>
      </c>
      <c r="B86" t="s">
        <v>1378</v>
      </c>
      <c r="C86" t="s">
        <v>1379</v>
      </c>
      <c r="D86" t="s">
        <v>118</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s="12">
        <v>2E-3</v>
      </c>
    </row>
    <row r="87" spans="1:31">
      <c r="A87" t="s">
        <v>4</v>
      </c>
      <c r="B87" t="s">
        <v>1380</v>
      </c>
      <c r="C87" t="s">
        <v>1381</v>
      </c>
      <c r="D87" t="s">
        <v>118</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s="12">
        <v>2E-3</v>
      </c>
    </row>
    <row r="88" spans="1:31">
      <c r="A88" t="s">
        <v>3</v>
      </c>
      <c r="B88" t="s">
        <v>1382</v>
      </c>
      <c r="C88" t="s">
        <v>1383</v>
      </c>
      <c r="D88" t="s">
        <v>118</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s="12">
        <v>1.2E-2</v>
      </c>
    </row>
    <row r="89" spans="1:31">
      <c r="A89" t="s">
        <v>598</v>
      </c>
      <c r="B89" t="s">
        <v>1384</v>
      </c>
      <c r="C89" t="s">
        <v>1385</v>
      </c>
      <c r="D89" t="s">
        <v>118</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s="12">
        <v>3.7999999999999999E-2</v>
      </c>
    </row>
    <row r="90" spans="1:31">
      <c r="A90" t="s">
        <v>2</v>
      </c>
      <c r="B90" t="s">
        <v>1386</v>
      </c>
      <c r="C90" t="s">
        <v>1387</v>
      </c>
      <c r="D90" t="s">
        <v>118</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s="12">
        <v>-2E-3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topLeftCell="A4" workbookViewId="0">
      <selection activeCell="H7" sqref="H7"/>
    </sheetView>
  </sheetViews>
  <sheetFormatPr defaultRowHeight="14.25"/>
  <cols>
    <col min="1" max="1" width="19.265625" customWidth="1"/>
    <col min="2" max="2" width="24.265625" customWidth="1"/>
    <col min="3" max="3" width="14.265625" customWidth="1"/>
    <col min="4" max="4" width="18.53125" customWidth="1"/>
  </cols>
  <sheetData>
    <row r="1" spans="1:34">
      <c r="A1" t="s">
        <v>24</v>
      </c>
    </row>
    <row r="2" spans="1:34">
      <c r="A2" t="s">
        <v>41</v>
      </c>
    </row>
    <row r="3" spans="1:34">
      <c r="A3" t="s">
        <v>42</v>
      </c>
    </row>
    <row r="4" spans="1:34">
      <c r="A4" t="s">
        <v>43</v>
      </c>
    </row>
    <row r="6" spans="1:34" s="1" customFormat="1">
      <c r="A6" s="6" t="s">
        <v>26</v>
      </c>
      <c r="B6" s="6" t="s">
        <v>27</v>
      </c>
      <c r="C6" s="6"/>
      <c r="D6" s="6">
        <v>2023</v>
      </c>
      <c r="E6" s="6">
        <v>2024</v>
      </c>
      <c r="F6" s="6">
        <v>2025</v>
      </c>
      <c r="G6" s="6">
        <v>2026</v>
      </c>
      <c r="H6" s="6">
        <v>2027</v>
      </c>
      <c r="I6" s="6">
        <v>2028</v>
      </c>
      <c r="J6" s="6">
        <v>2029</v>
      </c>
      <c r="K6" s="6">
        <v>2030</v>
      </c>
      <c r="L6" s="6">
        <v>2031</v>
      </c>
      <c r="M6" s="6">
        <v>2032</v>
      </c>
      <c r="N6" s="6">
        <v>2033</v>
      </c>
      <c r="O6" s="6">
        <v>2034</v>
      </c>
      <c r="P6" s="6">
        <v>2035</v>
      </c>
      <c r="Q6" s="6">
        <v>2036</v>
      </c>
      <c r="R6" s="6">
        <v>2037</v>
      </c>
      <c r="S6" s="6">
        <v>2038</v>
      </c>
      <c r="T6" s="6">
        <v>2039</v>
      </c>
      <c r="U6" s="6">
        <v>2040</v>
      </c>
      <c r="V6" s="6">
        <v>2041</v>
      </c>
      <c r="W6" s="6">
        <v>2042</v>
      </c>
      <c r="X6" s="6">
        <v>2043</v>
      </c>
      <c r="Y6" s="6">
        <v>2044</v>
      </c>
      <c r="Z6" s="6">
        <v>2045</v>
      </c>
      <c r="AA6" s="6">
        <v>2046</v>
      </c>
      <c r="AB6" s="6">
        <v>2047</v>
      </c>
      <c r="AC6" s="6">
        <v>2048</v>
      </c>
      <c r="AD6" s="6">
        <v>2049</v>
      </c>
      <c r="AE6" s="6">
        <v>2050</v>
      </c>
      <c r="AF6" s="6"/>
      <c r="AG6" s="6"/>
      <c r="AH6" s="6"/>
    </row>
    <row r="7" spans="1:34">
      <c r="A7" t="s">
        <v>32</v>
      </c>
      <c r="B7" t="s">
        <v>28</v>
      </c>
      <c r="C7" t="s">
        <v>25</v>
      </c>
      <c r="D7" s="4">
        <f>INDEX('AEO 2023 Table 17'!30:30,MATCH(D$6,'AEO 2023 Table 17'!$1:$1,0))*1000</f>
        <v>189.84</v>
      </c>
      <c r="E7" s="81">
        <f>INDEX('AEO 2025 Table 17'!17:17,MATCH(E6,'AEO 2025 Table 17'!5:5,0))*1000</f>
        <v>237.45599999999999</v>
      </c>
      <c r="F7" s="81">
        <f>INDEX('AEO 2026 Table 17'!17:17,MATCH(F6,'AEO 2026 Table 17'!5:5,0))*1000</f>
        <v>147.98400000000001</v>
      </c>
      <c r="G7" s="81">
        <f>INDEX('AEO 2026 Table 17'!17:17,MATCH(G6,'AEO 2026 Table 17'!5:5,0))*1000</f>
        <v>178.35000000000002</v>
      </c>
      <c r="H7" s="81">
        <f>INDEX('AEO 2026 Table 17'!17:17,MATCH(H6,'AEO 2026 Table 17'!5:5,0))*1000</f>
        <v>170.33</v>
      </c>
      <c r="I7" s="81">
        <f>INDEX('AEO 2026 Table 17'!17:17,MATCH(I6,'AEO 2026 Table 17'!5:5,0))*1000</f>
        <v>175.43299999999999</v>
      </c>
      <c r="J7" s="81">
        <f>INDEX('AEO 2026 Table 17'!17:17,MATCH(J6,'AEO 2026 Table 17'!5:5,0))*1000</f>
        <v>178.637</v>
      </c>
      <c r="K7" s="81">
        <f>INDEX('AEO 2026 Table 17'!17:17,MATCH(K6,'AEO 2026 Table 17'!5:5,0))*1000</f>
        <v>147.30699999999999</v>
      </c>
      <c r="L7" s="81">
        <f>INDEX('AEO 2026 Table 17'!17:17,MATCH(L6,'AEO 2026 Table 17'!5:5,0))*1000</f>
        <v>154.40799999999999</v>
      </c>
      <c r="M7" s="81">
        <f>INDEX('AEO 2026 Table 17'!17:17,MATCH(M6,'AEO 2026 Table 17'!5:5,0))*1000</f>
        <v>157.49799999999999</v>
      </c>
      <c r="N7" s="81">
        <f>INDEX('AEO 2026 Table 17'!17:17,MATCH(N6,'AEO 2026 Table 17'!5:5,0))*1000</f>
        <v>164.863</v>
      </c>
      <c r="O7" s="81">
        <f>INDEX('AEO 2026 Table 17'!17:17,MATCH(O6,'AEO 2026 Table 17'!5:5,0))*1000</f>
        <v>167.75899999999999</v>
      </c>
      <c r="P7" s="81">
        <f>INDEX('AEO 2026 Table 17'!17:17,MATCH(P6,'AEO 2026 Table 17'!5:5,0))*1000</f>
        <v>170.18700000000001</v>
      </c>
      <c r="Q7" s="81">
        <f>INDEX('AEO 2026 Table 17'!17:17,MATCH(Q6,'AEO 2026 Table 17'!5:5,0))*1000</f>
        <v>159.511</v>
      </c>
      <c r="R7" s="81">
        <f>INDEX('AEO 2026 Table 17'!17:17,MATCH(R6,'AEO 2026 Table 17'!5:5,0))*1000</f>
        <v>167.19200000000001</v>
      </c>
      <c r="S7" s="81">
        <f>INDEX('AEO 2026 Table 17'!17:17,MATCH(S6,'AEO 2026 Table 17'!5:5,0))*1000</f>
        <v>165.50899999999999</v>
      </c>
      <c r="T7" s="81">
        <f>INDEX('AEO 2026 Table 17'!17:17,MATCH(T6,'AEO 2026 Table 17'!5:5,0))*1000</f>
        <v>162.88800000000001</v>
      </c>
      <c r="U7" s="81">
        <f>INDEX('AEO 2026 Table 17'!17:17,MATCH(U6,'AEO 2026 Table 17'!5:5,0))*1000</f>
        <v>160.21899999999999</v>
      </c>
      <c r="V7" s="81">
        <f>INDEX('AEO 2026 Table 17'!17:17,MATCH(V6,'AEO 2026 Table 17'!5:5,0))*1000</f>
        <v>157.27600000000001</v>
      </c>
      <c r="W7" s="81">
        <f>INDEX('AEO 2026 Table 17'!17:17,MATCH(W6,'AEO 2026 Table 17'!5:5,0))*1000</f>
        <v>154.35399999999998</v>
      </c>
      <c r="X7" s="81">
        <f>INDEX('AEO 2026 Table 17'!17:17,MATCH(X6,'AEO 2026 Table 17'!5:5,0))*1000</f>
        <v>151.304</v>
      </c>
      <c r="Y7" s="81">
        <f>INDEX('AEO 2026 Table 17'!17:17,MATCH(Y6,'AEO 2026 Table 17'!5:5,0))*1000</f>
        <v>148.12200000000001</v>
      </c>
      <c r="Z7" s="81">
        <f>INDEX('AEO 2026 Table 17'!17:17,MATCH(Z6,'AEO 2026 Table 17'!5:5,0))*1000</f>
        <v>144.80499999999998</v>
      </c>
      <c r="AA7" s="81">
        <f>INDEX('AEO 2026 Table 17'!17:17,MATCH(AA6,'AEO 2026 Table 17'!5:5,0))*1000</f>
        <v>141.352</v>
      </c>
      <c r="AB7" s="81">
        <f>INDEX('AEO 2026 Table 17'!17:17,MATCH(AB6,'AEO 2026 Table 17'!5:5,0))*1000</f>
        <v>138.27000000000001</v>
      </c>
      <c r="AC7" s="81">
        <f>INDEX('AEO 2026 Table 17'!17:17,MATCH(AC6,'AEO 2026 Table 17'!5:5,0))*1000</f>
        <v>134.535</v>
      </c>
      <c r="AD7" s="81">
        <f>INDEX('AEO 2026 Table 17'!17:17,MATCH(AD6,'AEO 2026 Table 17'!5:5,0))*1000</f>
        <v>130.655</v>
      </c>
      <c r="AE7" s="81">
        <f>INDEX('AEO 2026 Table 17'!17:17,MATCH(AE6,'AEO 2026 Table 17'!5:5,0))*1000</f>
        <v>126.62599999999999</v>
      </c>
      <c r="AF7" s="4"/>
      <c r="AG7" s="4"/>
      <c r="AH7" s="4"/>
    </row>
    <row r="8" spans="1:34">
      <c r="A8" t="s">
        <v>31</v>
      </c>
      <c r="B8" t="s">
        <v>29</v>
      </c>
      <c r="C8" t="s">
        <v>25</v>
      </c>
      <c r="D8" s="3">
        <f>INDEX('AEO 2023 Table 36 '!18:18,MATCH(D$6,'AEO 2023 Table 36 '!$13:$13,0))</f>
        <v>64.699020000000004</v>
      </c>
      <c r="E8" s="82">
        <f>INDEX('AEO 2025 Table 36'!9:9,MATCH(E6,'AEO 2025 Table 36'!5:5,0))</f>
        <v>87.055556999999993</v>
      </c>
      <c r="F8" s="82">
        <f>INDEX('AEO 2026 Table 36'!9:9,MATCH(F6,'AEO 2026 Table 36'!5:5,0))</f>
        <v>87.695785999999998</v>
      </c>
      <c r="G8" s="82">
        <f>INDEX('AEO 2026 Table 36'!9:9,MATCH(G6,'AEO 2026 Table 36'!5:5,0))</f>
        <v>89.859122999999997</v>
      </c>
      <c r="H8" s="82">
        <f>INDEX('AEO 2026 Table 36'!9:9,MATCH(H6,'AEO 2026 Table 36'!5:5,0))</f>
        <v>91.274383999999998</v>
      </c>
      <c r="I8" s="82">
        <f>INDEX('AEO 2026 Table 36'!9:9,MATCH(I6,'AEO 2026 Table 36'!5:5,0))</f>
        <v>92.507019</v>
      </c>
      <c r="J8" s="82">
        <f>INDEX('AEO 2026 Table 36'!9:9,MATCH(J6,'AEO 2026 Table 36'!5:5,0))</f>
        <v>94.025024000000002</v>
      </c>
      <c r="K8" s="82">
        <f>INDEX('AEO 2026 Table 36'!9:9,MATCH(K6,'AEO 2026 Table 36'!5:5,0))</f>
        <v>95.384506000000002</v>
      </c>
      <c r="L8" s="82">
        <f>INDEX('AEO 2026 Table 36'!9:9,MATCH(L6,'AEO 2026 Table 36'!5:5,0))</f>
        <v>96.679039000000003</v>
      </c>
      <c r="M8" s="82">
        <f>INDEX('AEO 2026 Table 36'!9:9,MATCH(M6,'AEO 2026 Table 36'!5:5,0))</f>
        <v>97.190246999999999</v>
      </c>
      <c r="N8" s="82">
        <f>INDEX('AEO 2026 Table 36'!9:9,MATCH(N6,'AEO 2026 Table 36'!5:5,0))</f>
        <v>97.186310000000006</v>
      </c>
      <c r="O8" s="82">
        <f>INDEX('AEO 2026 Table 36'!9:9,MATCH(O6,'AEO 2026 Table 36'!5:5,0))</f>
        <v>98.185883000000004</v>
      </c>
      <c r="P8" s="82">
        <f>INDEX('AEO 2026 Table 36'!9:9,MATCH(P6,'AEO 2026 Table 36'!5:5,0))</f>
        <v>98.702483999999998</v>
      </c>
      <c r="Q8" s="82">
        <f>INDEX('AEO 2026 Table 36'!9:9,MATCH(Q6,'AEO 2026 Table 36'!5:5,0))</f>
        <v>98.972831999999997</v>
      </c>
      <c r="R8" s="82">
        <f>INDEX('AEO 2026 Table 36'!9:9,MATCH(R6,'AEO 2026 Table 36'!5:5,0))</f>
        <v>99.315505999999999</v>
      </c>
      <c r="S8" s="82">
        <f>INDEX('AEO 2026 Table 36'!9:9,MATCH(S6,'AEO 2026 Table 36'!5:5,0))</f>
        <v>99.693588000000005</v>
      </c>
      <c r="T8" s="82">
        <f>INDEX('AEO 2026 Table 36'!9:9,MATCH(T6,'AEO 2026 Table 36'!5:5,0))</f>
        <v>99.923843000000005</v>
      </c>
      <c r="U8" s="82">
        <f>INDEX('AEO 2026 Table 36'!9:9,MATCH(U6,'AEO 2026 Table 36'!5:5,0))</f>
        <v>100.389343</v>
      </c>
      <c r="V8" s="82">
        <f>INDEX('AEO 2026 Table 36'!9:9,MATCH(V6,'AEO 2026 Table 36'!5:5,0))</f>
        <v>100.061111</v>
      </c>
      <c r="W8" s="82">
        <f>INDEX('AEO 2026 Table 36'!9:9,MATCH(W6,'AEO 2026 Table 36'!5:5,0))</f>
        <v>100.06064600000001</v>
      </c>
      <c r="X8" s="82">
        <f>INDEX('AEO 2026 Table 36'!9:9,MATCH(X6,'AEO 2026 Table 36'!5:5,0))</f>
        <v>100.44982899999999</v>
      </c>
      <c r="Y8" s="82">
        <f>INDEX('AEO 2026 Table 36'!9:9,MATCH(Y6,'AEO 2026 Table 36'!5:5,0))</f>
        <v>100.452271</v>
      </c>
      <c r="Z8" s="82">
        <f>INDEX('AEO 2026 Table 36'!9:9,MATCH(Z6,'AEO 2026 Table 36'!5:5,0))</f>
        <v>100.467659</v>
      </c>
      <c r="AA8" s="82">
        <f>INDEX('AEO 2026 Table 36'!9:9,MATCH(AA6,'AEO 2026 Table 36'!5:5,0))</f>
        <v>100.442627</v>
      </c>
      <c r="AB8" s="82">
        <f>INDEX('AEO 2026 Table 36'!9:9,MATCH(AB6,'AEO 2026 Table 36'!5:5,0))</f>
        <v>100.247101</v>
      </c>
      <c r="AC8" s="82">
        <f>INDEX('AEO 2026 Table 36'!9:9,MATCH(AC6,'AEO 2026 Table 36'!5:5,0))</f>
        <v>99.610923999999997</v>
      </c>
      <c r="AD8" s="82">
        <f>INDEX('AEO 2026 Table 36'!9:9,MATCH(AD6,'AEO 2026 Table 36'!5:5,0))</f>
        <v>99.613799999999998</v>
      </c>
      <c r="AE8" s="82">
        <f>INDEX('AEO 2026 Table 36'!9:9,MATCH(AE6,'AEO 2026 Table 36'!5:5,0))</f>
        <v>99.622253000000001</v>
      </c>
      <c r="AF8" s="3"/>
      <c r="AG8" s="3"/>
      <c r="AH8" s="3"/>
    </row>
    <row r="9" spans="1:34">
      <c r="A9" t="s">
        <v>31</v>
      </c>
      <c r="B9" t="s">
        <v>30</v>
      </c>
      <c r="C9" t="s">
        <v>25</v>
      </c>
      <c r="D9" s="3">
        <f>INDEX('AEO 2023 Table 36 '!27:27,MATCH(D$6,'AEO 2023 Table 36 '!$13:$13,0))</f>
        <v>286.82144199999999</v>
      </c>
      <c r="E9" s="82">
        <f>INDEX('AEO 2025 Table 36'!17:17,MATCH(E6,'AEO 2025 Table 36'!5:5,0))</f>
        <v>259.73095699999999</v>
      </c>
      <c r="F9" s="82">
        <f>INDEX('AEO 2026 Table 36'!17:17,MATCH(F6,'AEO 2026 Table 36'!5:5,0))</f>
        <v>299.291809</v>
      </c>
      <c r="G9" s="82">
        <f>INDEX('AEO 2026 Table 36'!17:17,MATCH(G6,'AEO 2026 Table 36'!5:5,0))</f>
        <v>293.97872899999999</v>
      </c>
      <c r="H9" s="82">
        <f>INDEX('AEO 2026 Table 36'!17:17,MATCH(H6,'AEO 2026 Table 36'!5:5,0))</f>
        <v>290.41101099999997</v>
      </c>
      <c r="I9" s="82">
        <f>INDEX('AEO 2026 Table 36'!17:17,MATCH(I6,'AEO 2026 Table 36'!5:5,0))</f>
        <v>284.13113399999997</v>
      </c>
      <c r="J9" s="82">
        <f>INDEX('AEO 2026 Table 36'!17:17,MATCH(J6,'AEO 2026 Table 36'!5:5,0))</f>
        <v>277.12383999999997</v>
      </c>
      <c r="K9" s="82">
        <f>INDEX('AEO 2026 Table 36'!17:17,MATCH(K6,'AEO 2026 Table 36'!5:5,0))</f>
        <v>269.96878099999998</v>
      </c>
      <c r="L9" s="82">
        <f>INDEX('AEO 2026 Table 36'!17:17,MATCH(L6,'AEO 2026 Table 36'!5:5,0))</f>
        <v>261.87439000000001</v>
      </c>
      <c r="M9" s="82">
        <f>INDEX('AEO 2026 Table 36'!17:17,MATCH(M6,'AEO 2026 Table 36'!5:5,0))</f>
        <v>254.13043200000001</v>
      </c>
      <c r="N9" s="82">
        <f>INDEX('AEO 2026 Table 36'!17:17,MATCH(N6,'AEO 2026 Table 36'!5:5,0))</f>
        <v>246.181015</v>
      </c>
      <c r="O9" s="82">
        <f>INDEX('AEO 2026 Table 36'!17:17,MATCH(O6,'AEO 2026 Table 36'!5:5,0))</f>
        <v>238.214584</v>
      </c>
      <c r="P9" s="82">
        <f>INDEX('AEO 2026 Table 36'!17:17,MATCH(P6,'AEO 2026 Table 36'!5:5,0))</f>
        <v>229.89151000000001</v>
      </c>
      <c r="Q9" s="82">
        <f>INDEX('AEO 2026 Table 36'!17:17,MATCH(Q6,'AEO 2026 Table 36'!5:5,0))</f>
        <v>221.6362</v>
      </c>
      <c r="R9" s="82">
        <f>INDEX('AEO 2026 Table 36'!17:17,MATCH(R6,'AEO 2026 Table 36'!5:5,0))</f>
        <v>213.491837</v>
      </c>
      <c r="S9" s="82">
        <f>INDEX('AEO 2026 Table 36'!17:17,MATCH(S6,'AEO 2026 Table 36'!5:5,0))</f>
        <v>205.51565600000001</v>
      </c>
      <c r="T9" s="82">
        <f>INDEX('AEO 2026 Table 36'!17:17,MATCH(T6,'AEO 2026 Table 36'!5:5,0))</f>
        <v>197.549881</v>
      </c>
      <c r="U9" s="82">
        <f>INDEX('AEO 2026 Table 36'!17:17,MATCH(U6,'AEO 2026 Table 36'!5:5,0))</f>
        <v>189.86331200000001</v>
      </c>
      <c r="V9" s="82">
        <f>INDEX('AEO 2026 Table 36'!17:17,MATCH(V6,'AEO 2026 Table 36'!5:5,0))</f>
        <v>180.72155799999999</v>
      </c>
      <c r="W9" s="82">
        <f>INDEX('AEO 2026 Table 36'!17:17,MATCH(W6,'AEO 2026 Table 36'!5:5,0))</f>
        <v>171.83938599999999</v>
      </c>
      <c r="X9" s="82">
        <f>INDEX('AEO 2026 Table 36'!17:17,MATCH(X6,'AEO 2026 Table 36'!5:5,0))</f>
        <v>163.37292500000001</v>
      </c>
      <c r="Y9" s="82">
        <f>INDEX('AEO 2026 Table 36'!17:17,MATCH(Y6,'AEO 2026 Table 36'!5:5,0))</f>
        <v>154.797943</v>
      </c>
      <c r="Z9" s="82">
        <f>INDEX('AEO 2026 Table 36'!17:17,MATCH(Z6,'AEO 2026 Table 36'!5:5,0))</f>
        <v>147.02720600000001</v>
      </c>
      <c r="AA9" s="82">
        <f>INDEX('AEO 2026 Table 36'!17:17,MATCH(AA6,'AEO 2026 Table 36'!5:5,0))</f>
        <v>139.39381399999999</v>
      </c>
      <c r="AB9" s="82">
        <f>INDEX('AEO 2026 Table 36'!17:17,MATCH(AB6,'AEO 2026 Table 36'!5:5,0))</f>
        <v>132.756516</v>
      </c>
      <c r="AC9" s="82">
        <f>INDEX('AEO 2026 Table 36'!17:17,MATCH(AC6,'AEO 2026 Table 36'!5:5,0))</f>
        <v>125.813301</v>
      </c>
      <c r="AD9" s="82">
        <f>INDEX('AEO 2026 Table 36'!17:17,MATCH(AD6,'AEO 2026 Table 36'!5:5,0))</f>
        <v>119.022667</v>
      </c>
      <c r="AE9" s="82">
        <f>INDEX('AEO 2026 Table 36'!17:17,MATCH(AE6,'AEO 2026 Table 36'!5:5,0))</f>
        <v>112.49728399999999</v>
      </c>
      <c r="AF9" s="3"/>
      <c r="AG9" s="3"/>
      <c r="AH9" s="3"/>
    </row>
    <row r="10" spans="1:34">
      <c r="A10" t="s">
        <v>31</v>
      </c>
      <c r="B10" t="s">
        <v>33</v>
      </c>
      <c r="C10" t="s">
        <v>25</v>
      </c>
      <c r="D10" s="3">
        <f>SUM(INDEX('AEO 2023 Table 36 '!74:74,MATCH(D$6,'AEO 2023 Table 36 '!$13:$13,0)),INDEX('AEO 2023 Table 36 '!82:82,MATCH(D$6,'AEO 2023 Table 36 '!$13:$13,0)),INDEX('AEO 2023 Table 36 '!90:90,MATCH(D$6,'AEO 2023 Table 36 '!$13:$13,0)))</f>
        <v>160.64598699999999</v>
      </c>
      <c r="E10" s="82">
        <f>SUM('AEO 2025 Table 36'!F56,'AEO 2025 Table 36'!F64,'AEO 2025 Table 36'!F72)</f>
        <v>152.212323</v>
      </c>
      <c r="F10" s="82">
        <f>SUM('AEO 2026 Table 36'!G56,'AEO 2026 Table 36'!G64,'AEO 2026 Table 36'!G72)</f>
        <v>8.6419309999999996</v>
      </c>
      <c r="G10" s="82">
        <f>SUM('AEO 2026 Table 36'!H56,'AEO 2026 Table 36'!H64,'AEO 2026 Table 36'!H72)</f>
        <v>8.5467949999999995</v>
      </c>
      <c r="H10" s="82">
        <f>SUM('AEO 2026 Table 36'!I56,'AEO 2026 Table 36'!I64,'AEO 2026 Table 36'!I72)</f>
        <v>8.4501249999999999</v>
      </c>
      <c r="I10" s="82">
        <f>SUM('AEO 2026 Table 36'!J56,'AEO 2026 Table 36'!J64,'AEO 2026 Table 36'!J72)</f>
        <v>8.3467210000000005</v>
      </c>
      <c r="J10" s="82">
        <f>SUM('AEO 2026 Table 36'!K56,'AEO 2026 Table 36'!K64,'AEO 2026 Table 36'!K72)</f>
        <v>8.2363669999999995</v>
      </c>
      <c r="K10" s="82">
        <f>SUM('AEO 2026 Table 36'!L56,'AEO 2026 Table 36'!L64,'AEO 2026 Table 36'!L72)</f>
        <v>8.1258850000000002</v>
      </c>
      <c r="L10" s="82">
        <f>SUM('AEO 2026 Table 36'!M56,'AEO 2026 Table 36'!M64,'AEO 2026 Table 36'!M72)</f>
        <v>8.0303350000000009</v>
      </c>
      <c r="M10" s="82">
        <f>SUM('AEO 2026 Table 36'!N56,'AEO 2026 Table 36'!N64,'AEO 2026 Table 36'!N72)</f>
        <v>7.9364129999999999</v>
      </c>
      <c r="N10" s="82">
        <f>SUM('AEO 2026 Table 36'!O56,'AEO 2026 Table 36'!O64,'AEO 2026 Table 36'!O72)</f>
        <v>7.8509140000000004</v>
      </c>
      <c r="O10" s="82">
        <f>SUM('AEO 2026 Table 36'!P56,'AEO 2026 Table 36'!P64,'AEO 2026 Table 36'!P72)</f>
        <v>7.775798</v>
      </c>
      <c r="P10" s="82">
        <f>SUM('AEO 2026 Table 36'!Q56,'AEO 2026 Table 36'!Q64,'AEO 2026 Table 36'!Q72)</f>
        <v>7.706817</v>
      </c>
      <c r="Q10" s="82">
        <f>SUM('AEO 2026 Table 36'!R56,'AEO 2026 Table 36'!R64,'AEO 2026 Table 36'!R72)</f>
        <v>7.6335220000000001</v>
      </c>
      <c r="R10" s="82">
        <f>SUM('AEO 2026 Table 36'!S56,'AEO 2026 Table 36'!S64,'AEO 2026 Table 36'!S72)</f>
        <v>7.5670480000000007</v>
      </c>
      <c r="S10" s="82">
        <f>SUM('AEO 2026 Table 36'!T56,'AEO 2026 Table 36'!T64,'AEO 2026 Table 36'!T72)</f>
        <v>7.5018569999999993</v>
      </c>
      <c r="T10" s="82">
        <f>SUM('AEO 2026 Table 36'!U56,'AEO 2026 Table 36'!U64,'AEO 2026 Table 36'!U72)</f>
        <v>7.4288369999999997</v>
      </c>
      <c r="U10" s="82">
        <f>SUM('AEO 2026 Table 36'!V56,'AEO 2026 Table 36'!V64,'AEO 2026 Table 36'!V72)</f>
        <v>7.355232</v>
      </c>
      <c r="V10" s="82">
        <f>SUM('AEO 2026 Table 36'!W56,'AEO 2026 Table 36'!W64,'AEO 2026 Table 36'!W72)</f>
        <v>7.2773499999999993</v>
      </c>
      <c r="W10" s="82">
        <f>SUM('AEO 2026 Table 36'!X56,'AEO 2026 Table 36'!X64,'AEO 2026 Table 36'!X72)</f>
        <v>7.1983070000000007</v>
      </c>
      <c r="X10" s="82">
        <f>SUM('AEO 2026 Table 36'!Y56,'AEO 2026 Table 36'!Y64,'AEO 2026 Table 36'!Y72)</f>
        <v>7.1185980000000004</v>
      </c>
      <c r="Y10" s="82">
        <f>SUM('AEO 2026 Table 36'!Z56,'AEO 2026 Table 36'!Z64,'AEO 2026 Table 36'!Z72)</f>
        <v>7.0369660000000005</v>
      </c>
      <c r="Z10" s="82">
        <f>SUM('AEO 2026 Table 36'!AA56,'AEO 2026 Table 36'!AA64,'AEO 2026 Table 36'!AA72)</f>
        <v>6.9574420000000003</v>
      </c>
      <c r="AA10" s="82">
        <f>SUM('AEO 2026 Table 36'!AB56,'AEO 2026 Table 36'!AB64,'AEO 2026 Table 36'!AB72)</f>
        <v>6.8747419999999995</v>
      </c>
      <c r="AB10" s="82">
        <f>SUM('AEO 2026 Table 36'!AC56,'AEO 2026 Table 36'!AC64,'AEO 2026 Table 36'!AC72)</f>
        <v>6.7921259999999997</v>
      </c>
      <c r="AC10" s="82">
        <f>SUM('AEO 2026 Table 36'!AD56,'AEO 2026 Table 36'!AD64,'AEO 2026 Table 36'!AD72)</f>
        <v>6.7077530000000003</v>
      </c>
      <c r="AD10" s="82">
        <f>SUM('AEO 2026 Table 36'!AE56,'AEO 2026 Table 36'!AE64,'AEO 2026 Table 36'!AE72)</f>
        <v>-1.6E-2</v>
      </c>
      <c r="AE10" s="82">
        <f>SUM('AEO 2026 Table 36'!AF56,'AEO 2026 Table 36'!AF64,'AEO 2026 Table 36'!AF72)</f>
        <v>0</v>
      </c>
      <c r="AF10" s="3"/>
      <c r="AG10" s="3"/>
      <c r="AH10" s="3"/>
    </row>
    <row r="11" spans="1:34">
      <c r="A11" t="s">
        <v>31</v>
      </c>
      <c r="B11" t="s">
        <v>34</v>
      </c>
      <c r="C11" t="s">
        <v>25</v>
      </c>
      <c r="D11" s="3">
        <f>INDEX('AEO 2023 Table 36 '!35:35,MATCH(D$6,'AEO 2023 Table 36 '!$13:$13,0))</f>
        <v>5150.2441410000001</v>
      </c>
      <c r="E11" s="93">
        <f>'AEO 2025 Table 36'!F24</f>
        <v>5262.0546880000002</v>
      </c>
      <c r="F11" s="93">
        <f>'AEO 2026 Table 36'!G24</f>
        <v>5054.080078</v>
      </c>
      <c r="G11" s="93">
        <f>'AEO 2026 Table 36'!H24</f>
        <v>5036.8564450000003</v>
      </c>
      <c r="H11" s="93">
        <f>'AEO 2026 Table 36'!I24</f>
        <v>5011.5766599999997</v>
      </c>
      <c r="I11" s="93">
        <f>'AEO 2026 Table 36'!J24</f>
        <v>4999.5068359999996</v>
      </c>
      <c r="J11" s="93">
        <f>'AEO 2026 Table 36'!K24</f>
        <v>4971.6215819999998</v>
      </c>
      <c r="K11" s="93">
        <f>'AEO 2026 Table 36'!L24</f>
        <v>4938.0146480000003</v>
      </c>
      <c r="L11" s="93">
        <f>'AEO 2026 Table 36'!M24</f>
        <v>4894.7885740000002</v>
      </c>
      <c r="M11" s="93">
        <f>'AEO 2026 Table 36'!N24</f>
        <v>4861.720703</v>
      </c>
      <c r="N11" s="93">
        <f>'AEO 2026 Table 36'!O24</f>
        <v>4832.5097660000001</v>
      </c>
      <c r="O11" s="93">
        <f>'AEO 2026 Table 36'!P24</f>
        <v>4805.4223629999997</v>
      </c>
      <c r="P11" s="93">
        <f>'AEO 2026 Table 36'!Q24</f>
        <v>4781.3442379999997</v>
      </c>
      <c r="Q11" s="93">
        <f>'AEO 2026 Table 36'!R24</f>
        <v>4758.4272460000002</v>
      </c>
      <c r="R11" s="93">
        <f>'AEO 2026 Table 36'!S24</f>
        <v>4737.2749020000001</v>
      </c>
      <c r="S11" s="93">
        <f>'AEO 2026 Table 36'!T24</f>
        <v>4720.2929690000001</v>
      </c>
      <c r="T11" s="93">
        <f>'AEO 2026 Table 36'!U24</f>
        <v>4704.6191410000001</v>
      </c>
      <c r="U11" s="93">
        <f>'AEO 2026 Table 36'!V24</f>
        <v>4690.0444340000004</v>
      </c>
      <c r="V11" s="93">
        <f>'AEO 2026 Table 36'!W24</f>
        <v>4673.8061520000001</v>
      </c>
      <c r="W11" s="93">
        <f>'AEO 2026 Table 36'!X24</f>
        <v>4660.3203119999998</v>
      </c>
      <c r="X11" s="93">
        <f>'AEO 2026 Table 36'!Y24</f>
        <v>4654.5239259999998</v>
      </c>
      <c r="Y11" s="93">
        <f>'AEO 2026 Table 36'!Z24</f>
        <v>4651.3452150000003</v>
      </c>
      <c r="Z11" s="93">
        <f>'AEO 2026 Table 36'!AA24</f>
        <v>4648.734375</v>
      </c>
      <c r="AA11" s="93">
        <f>'AEO 2026 Table 36'!AB24</f>
        <v>4638.9516599999997</v>
      </c>
      <c r="AB11" s="93">
        <f>'AEO 2026 Table 36'!AC24</f>
        <v>4629.5668949999999</v>
      </c>
      <c r="AC11" s="93">
        <f>'AEO 2026 Table 36'!AD24</f>
        <v>4617.7749020000001</v>
      </c>
      <c r="AD11" s="93">
        <f>'AEO 2026 Table 36'!AE24</f>
        <v>-4.0000000000000001E-3</v>
      </c>
      <c r="AE11" s="93">
        <f>'AEO 2026 Table 36'!AF24</f>
        <v>0</v>
      </c>
      <c r="AF11" s="3"/>
      <c r="AG11" s="3"/>
      <c r="AH11" s="3"/>
    </row>
    <row r="12" spans="1:34">
      <c r="A12" t="s">
        <v>31</v>
      </c>
      <c r="B12" t="s">
        <v>35</v>
      </c>
      <c r="C12" t="s">
        <v>25</v>
      </c>
      <c r="D12" s="3">
        <f>SUM(INDEX('AEO 2023 Table 36 '!98:98,MATCH(D$6,'AEO 2023 Table 36 '!$13:$13,0)),INDEX('AEO 2023 Table 36 '!105:105,MATCH(D$6,'AEO 2023 Table 36 '!$13:$13,0)))</f>
        <v>20.019555</v>
      </c>
      <c r="E12" s="82">
        <f>SUM('AEO 2025 Table 36'!F80,'AEO 2025 Table 36'!F87)</f>
        <v>20.809967</v>
      </c>
      <c r="F12" s="82">
        <f>SUM('AEO 2026 Table 36'!G80,'AEO 2026 Table 36'!G87)</f>
        <v>105.827112</v>
      </c>
      <c r="G12" s="82">
        <f>SUM('AEO 2026 Table 36'!H80,'AEO 2026 Table 36'!H87)</f>
        <v>106.49281400000001</v>
      </c>
      <c r="H12" s="82">
        <f>SUM('AEO 2026 Table 36'!I80,'AEO 2026 Table 36'!I87)</f>
        <v>107.12651700000001</v>
      </c>
      <c r="I12" s="82">
        <f>SUM('AEO 2026 Table 36'!J80,'AEO 2026 Table 36'!J87)</f>
        <v>107.807829</v>
      </c>
      <c r="J12" s="82">
        <f>SUM('AEO 2026 Table 36'!K80,'AEO 2026 Table 36'!K87)</f>
        <v>108.387631</v>
      </c>
      <c r="K12" s="82">
        <f>SUM('AEO 2026 Table 36'!L80,'AEO 2026 Table 36'!L87)</f>
        <v>108.92840200000001</v>
      </c>
      <c r="L12" s="82">
        <f>SUM('AEO 2026 Table 36'!M80,'AEO 2026 Table 36'!M87)</f>
        <v>109.459253</v>
      </c>
      <c r="M12" s="82">
        <f>SUM('AEO 2026 Table 36'!N80,'AEO 2026 Table 36'!N87)</f>
        <v>109.92746700000001</v>
      </c>
      <c r="N12" s="82">
        <f>SUM('AEO 2026 Table 36'!O80,'AEO 2026 Table 36'!O87)</f>
        <v>110.46048900000001</v>
      </c>
      <c r="O12" s="82">
        <f>SUM('AEO 2026 Table 36'!P80,'AEO 2026 Table 36'!P87)</f>
        <v>110.907173</v>
      </c>
      <c r="P12" s="82">
        <f>SUM('AEO 2026 Table 36'!Q80,'AEO 2026 Table 36'!Q87)</f>
        <v>111.378432</v>
      </c>
      <c r="Q12" s="82">
        <f>SUM('AEO 2026 Table 36'!R80,'AEO 2026 Table 36'!R87)</f>
        <v>111.815945</v>
      </c>
      <c r="R12" s="82">
        <f>SUM('AEO 2026 Table 36'!S80,'AEO 2026 Table 36'!S87)</f>
        <v>112.191202</v>
      </c>
      <c r="S12" s="82">
        <f>SUM('AEO 2026 Table 36'!T80,'AEO 2026 Table 36'!T87)</f>
        <v>112.56690800000001</v>
      </c>
      <c r="T12" s="82">
        <f>SUM('AEO 2026 Table 36'!U80,'AEO 2026 Table 36'!U87)</f>
        <v>112.88892800000001</v>
      </c>
      <c r="U12" s="82">
        <f>SUM('AEO 2026 Table 36'!V80,'AEO 2026 Table 36'!V87)</f>
        <v>113.19380799999999</v>
      </c>
      <c r="V12" s="82">
        <f>SUM('AEO 2026 Table 36'!W80,'AEO 2026 Table 36'!W87)</f>
        <v>113.43830600000001</v>
      </c>
      <c r="W12" s="82">
        <f>SUM('AEO 2026 Table 36'!X80,'AEO 2026 Table 36'!X87)</f>
        <v>113.691981</v>
      </c>
      <c r="X12" s="82">
        <f>SUM('AEO 2026 Table 36'!Y80,'AEO 2026 Table 36'!Y87)</f>
        <v>113.977434</v>
      </c>
      <c r="Y12" s="82">
        <f>SUM('AEO 2026 Table 36'!Z80,'AEO 2026 Table 36'!Z87)</f>
        <v>114.226495</v>
      </c>
      <c r="Z12" s="82">
        <f>SUM('AEO 2026 Table 36'!AA80,'AEO 2026 Table 36'!AA87)</f>
        <v>114.50417399999999</v>
      </c>
      <c r="AA12" s="82">
        <f>SUM('AEO 2026 Table 36'!AB80,'AEO 2026 Table 36'!AB87)</f>
        <v>114.70642599999999</v>
      </c>
      <c r="AB12" s="82">
        <f>SUM('AEO 2026 Table 36'!AC80,'AEO 2026 Table 36'!AC87)</f>
        <v>114.901894</v>
      </c>
      <c r="AC12" s="82">
        <f>SUM('AEO 2026 Table 36'!AD80,'AEO 2026 Table 36'!AD87)</f>
        <v>115.06717399999999</v>
      </c>
      <c r="AD12" s="82">
        <f>SUM('AEO 2026 Table 36'!AE80,'AEO 2026 Table 36'!AE87)</f>
        <v>1.6E-2</v>
      </c>
      <c r="AE12" s="82">
        <f>SUM('AEO 2026 Table 36'!AF80,'AEO 2026 Table 36'!AF87)</f>
        <v>0</v>
      </c>
      <c r="AF12" s="3"/>
      <c r="AG12" s="3"/>
      <c r="AH12" s="3"/>
    </row>
    <row r="13" spans="1:34">
      <c r="A13" t="s">
        <v>31</v>
      </c>
      <c r="B13" t="s">
        <v>36</v>
      </c>
      <c r="C13" t="s">
        <v>25</v>
      </c>
      <c r="D13" s="3">
        <f>INDEX('AEO 2023 Table 36 '!44:44,MATCH(D$6,'AEO 2023 Table 36 '!$13:$13,0))</f>
        <v>473.79251099999999</v>
      </c>
      <c r="E13" s="93">
        <f>'AEO 2025 Table 36'!F31</f>
        <v>434.230682</v>
      </c>
      <c r="F13" s="93">
        <f>'AEO 2026 Table 36'!G31</f>
        <v>473.03973400000001</v>
      </c>
      <c r="G13" s="93">
        <f>'AEO 2026 Table 36'!H31</f>
        <v>463.32836900000001</v>
      </c>
      <c r="H13" s="93">
        <f>'AEO 2026 Table 36'!I31</f>
        <v>459.65716600000002</v>
      </c>
      <c r="I13" s="93">
        <f>'AEO 2026 Table 36'!J31</f>
        <v>462.70059199999997</v>
      </c>
      <c r="J13" s="93">
        <f>'AEO 2026 Table 36'!K31</f>
        <v>450.84088100000002</v>
      </c>
      <c r="K13" s="93">
        <f>'AEO 2026 Table 36'!L31</f>
        <v>452.73818999999997</v>
      </c>
      <c r="L13" s="93">
        <f>'AEO 2026 Table 36'!M31</f>
        <v>454.70459</v>
      </c>
      <c r="M13" s="93">
        <f>'AEO 2026 Table 36'!N31</f>
        <v>453.41677900000002</v>
      </c>
      <c r="N13" s="93">
        <f>'AEO 2026 Table 36'!O31</f>
        <v>454.898865</v>
      </c>
      <c r="O13" s="93">
        <f>'AEO 2026 Table 36'!P31</f>
        <v>455.97616599999998</v>
      </c>
      <c r="P13" s="93">
        <f>'AEO 2026 Table 36'!Q31</f>
        <v>457.70022599999999</v>
      </c>
      <c r="Q13" s="93">
        <f>'AEO 2026 Table 36'!R31</f>
        <v>457.88241599999998</v>
      </c>
      <c r="R13" s="93">
        <f>'AEO 2026 Table 36'!S31</f>
        <v>458.80032299999999</v>
      </c>
      <c r="S13" s="93">
        <f>'AEO 2026 Table 36'!T31</f>
        <v>459.24939000000001</v>
      </c>
      <c r="T13" s="93">
        <f>'AEO 2026 Table 36'!U31</f>
        <v>458.83017000000001</v>
      </c>
      <c r="U13" s="93">
        <f>'AEO 2026 Table 36'!V31</f>
        <v>457.40924100000001</v>
      </c>
      <c r="V13" s="93">
        <f>'AEO 2026 Table 36'!W31</f>
        <v>456.28689600000001</v>
      </c>
      <c r="W13" s="93">
        <f>'AEO 2026 Table 36'!X31</f>
        <v>456.329407</v>
      </c>
      <c r="X13" s="93">
        <f>'AEO 2026 Table 36'!Y31</f>
        <v>456.08932499999997</v>
      </c>
      <c r="Y13" s="93">
        <f>'AEO 2026 Table 36'!Z31</f>
        <v>457.03701799999999</v>
      </c>
      <c r="Z13" s="93">
        <f>'AEO 2026 Table 36'!AA31</f>
        <v>459.72207600000002</v>
      </c>
      <c r="AA13" s="93">
        <f>'AEO 2026 Table 36'!AB31</f>
        <v>461.17038000000002</v>
      </c>
      <c r="AB13" s="93">
        <f>'AEO 2026 Table 36'!AC31</f>
        <v>459.84771699999999</v>
      </c>
      <c r="AC13" s="93">
        <f>'AEO 2026 Table 36'!AD31</f>
        <v>458.83840900000001</v>
      </c>
      <c r="AD13" s="93">
        <f>'AEO 2026 Table 36'!AE31</f>
        <v>-1E-3</v>
      </c>
      <c r="AE13" s="93">
        <f>'AEO 2026 Table 36'!AF31</f>
        <v>0</v>
      </c>
      <c r="AF13" s="3"/>
      <c r="AG13" s="3"/>
      <c r="AH13" s="3"/>
    </row>
    <row r="14" spans="1:34">
      <c r="A14" t="s">
        <v>31</v>
      </c>
      <c r="B14" t="s">
        <v>37</v>
      </c>
      <c r="C14" t="s">
        <v>25</v>
      </c>
      <c r="D14" s="3">
        <f>INDEX('AEO 2023 Table 36 '!111:111,MATCH(D$6,'AEO 2023 Table 36 '!$13:$13,0))</f>
        <v>38.775948</v>
      </c>
      <c r="E14" s="82">
        <f>'AEO 2025 Table 36'!F92</f>
        <v>40.690426000000002</v>
      </c>
      <c r="F14" s="82">
        <f>'AEO 2026 Table 36'!G92</f>
        <v>0</v>
      </c>
      <c r="G14" s="82">
        <f>'AEO 2026 Table 36'!H92</f>
        <v>0</v>
      </c>
      <c r="H14" s="82">
        <f>'AEO 2026 Table 36'!I92</f>
        <v>0</v>
      </c>
      <c r="I14" s="82">
        <f>'AEO 2026 Table 36'!J92</f>
        <v>0</v>
      </c>
      <c r="J14" s="82">
        <f>'AEO 2026 Table 36'!K92</f>
        <v>0</v>
      </c>
      <c r="K14" s="82">
        <f>'AEO 2026 Table 36'!L92</f>
        <v>0</v>
      </c>
      <c r="L14" s="82">
        <f>'AEO 2026 Table 36'!M92</f>
        <v>0</v>
      </c>
      <c r="M14" s="82">
        <f>'AEO 2026 Table 36'!N92</f>
        <v>0</v>
      </c>
      <c r="N14" s="82">
        <f>'AEO 2026 Table 36'!O92</f>
        <v>0</v>
      </c>
      <c r="O14" s="82">
        <f>'AEO 2026 Table 36'!P92</f>
        <v>0</v>
      </c>
      <c r="P14" s="82">
        <f>'AEO 2026 Table 36'!Q92</f>
        <v>0</v>
      </c>
      <c r="Q14" s="82">
        <f>'AEO 2026 Table 36'!R92</f>
        <v>0</v>
      </c>
      <c r="R14" s="82">
        <f>'AEO 2026 Table 36'!S92</f>
        <v>0</v>
      </c>
      <c r="S14" s="82">
        <f>'AEO 2026 Table 36'!T92</f>
        <v>0</v>
      </c>
      <c r="T14" s="82">
        <f>'AEO 2026 Table 36'!U92</f>
        <v>0</v>
      </c>
      <c r="U14" s="82">
        <f>'AEO 2026 Table 36'!V92</f>
        <v>0</v>
      </c>
      <c r="V14" s="82">
        <f>'AEO 2026 Table 36'!W92</f>
        <v>0</v>
      </c>
      <c r="W14" s="82">
        <f>'AEO 2026 Table 36'!X92</f>
        <v>0</v>
      </c>
      <c r="X14" s="82">
        <f>'AEO 2026 Table 36'!Y92</f>
        <v>0</v>
      </c>
      <c r="Y14" s="82">
        <f>'AEO 2026 Table 36'!Z92</f>
        <v>0</v>
      </c>
      <c r="Z14" s="82">
        <f>'AEO 2026 Table 36'!AA92</f>
        <v>0</v>
      </c>
      <c r="AA14" s="82">
        <f>'AEO 2026 Table 36'!AB92</f>
        <v>0</v>
      </c>
      <c r="AB14" s="82">
        <f>'AEO 2026 Table 36'!AC92</f>
        <v>0</v>
      </c>
      <c r="AC14" s="82">
        <f>'AEO 2026 Table 36'!AD92</f>
        <v>0</v>
      </c>
      <c r="AD14" s="82">
        <f>'AEO 2026 Table 36'!AE92</f>
        <v>0</v>
      </c>
      <c r="AE14" s="82">
        <f>'AEO 2026 Table 36'!AF92</f>
        <v>0</v>
      </c>
      <c r="AF14" s="3"/>
      <c r="AG14" s="3"/>
      <c r="AH14" s="3"/>
    </row>
    <row r="15" spans="1:34">
      <c r="A15" t="s">
        <v>31</v>
      </c>
      <c r="B15" t="s">
        <v>38</v>
      </c>
      <c r="C15" t="s">
        <v>25</v>
      </c>
      <c r="D15" s="3">
        <f>SUM(INDEX('AEO 2023 Table 36 '!50:50,MATCH(D$6,'AEO 2023 Table 36 '!$13:$13,0)),INDEX('AEO 2023 Table 36 '!56:56,MATCH(D$6,'AEO 2023 Table 36 '!$13:$13,0)))</f>
        <v>414.624618</v>
      </c>
      <c r="E15" s="3">
        <f>SUM('AEO 2025 Table 36'!F36,'AEO 2025 Table 36'!F41)</f>
        <v>288.07759900000002</v>
      </c>
      <c r="F15" s="3">
        <f>SUM('AEO 2026 Table 36'!G36,'AEO 2026 Table 36'!G41)</f>
        <v>0</v>
      </c>
      <c r="G15" s="3">
        <f>SUM('AEO 2026 Table 36'!H36,'AEO 2026 Table 36'!H41)</f>
        <v>0</v>
      </c>
      <c r="H15" s="3">
        <f>SUM('AEO 2026 Table 36'!I36,'AEO 2026 Table 36'!I41)</f>
        <v>0</v>
      </c>
      <c r="I15" s="3">
        <f>SUM('AEO 2026 Table 36'!J36,'AEO 2026 Table 36'!J41)</f>
        <v>0</v>
      </c>
      <c r="J15" s="3">
        <f>SUM('AEO 2026 Table 36'!K36,'AEO 2026 Table 36'!K41)</f>
        <v>0</v>
      </c>
      <c r="K15" s="3">
        <f>SUM('AEO 2026 Table 36'!L36,'AEO 2026 Table 36'!L41)</f>
        <v>0</v>
      </c>
      <c r="L15" s="3">
        <f>SUM('AEO 2026 Table 36'!M36,'AEO 2026 Table 36'!M41)</f>
        <v>0</v>
      </c>
      <c r="M15" s="3">
        <f>SUM('AEO 2026 Table 36'!N36,'AEO 2026 Table 36'!N41)</f>
        <v>0</v>
      </c>
      <c r="N15" s="3">
        <f>SUM('AEO 2026 Table 36'!O36,'AEO 2026 Table 36'!O41)</f>
        <v>0</v>
      </c>
      <c r="O15" s="3">
        <f>SUM('AEO 2026 Table 36'!P36,'AEO 2026 Table 36'!P41)</f>
        <v>0</v>
      </c>
      <c r="P15" s="3">
        <f>SUM('AEO 2026 Table 36'!Q36,'AEO 2026 Table 36'!Q41)</f>
        <v>0</v>
      </c>
      <c r="Q15" s="3">
        <f>SUM('AEO 2026 Table 36'!R36,'AEO 2026 Table 36'!R41)</f>
        <v>0</v>
      </c>
      <c r="R15" s="3">
        <f>SUM('AEO 2026 Table 36'!S36,'AEO 2026 Table 36'!S41)</f>
        <v>0</v>
      </c>
      <c r="S15" s="3">
        <f>SUM('AEO 2026 Table 36'!T36,'AEO 2026 Table 36'!T41)</f>
        <v>0</v>
      </c>
      <c r="T15" s="3">
        <f>SUM('AEO 2026 Table 36'!U36,'AEO 2026 Table 36'!U41)</f>
        <v>0</v>
      </c>
      <c r="U15" s="3">
        <f>SUM('AEO 2026 Table 36'!V36,'AEO 2026 Table 36'!V41)</f>
        <v>0</v>
      </c>
      <c r="V15" s="3">
        <f>SUM('AEO 2026 Table 36'!W36,'AEO 2026 Table 36'!W41)</f>
        <v>0</v>
      </c>
      <c r="W15" s="3">
        <f>SUM('AEO 2026 Table 36'!X36,'AEO 2026 Table 36'!X41)</f>
        <v>0</v>
      </c>
      <c r="X15" s="3">
        <f>SUM('AEO 2026 Table 36'!Y36,'AEO 2026 Table 36'!Y41)</f>
        <v>0</v>
      </c>
      <c r="Y15" s="3">
        <f>SUM('AEO 2026 Table 36'!Z36,'AEO 2026 Table 36'!Z41)</f>
        <v>0</v>
      </c>
      <c r="Z15" s="3">
        <f>SUM('AEO 2026 Table 36'!AA36,'AEO 2026 Table 36'!AA41)</f>
        <v>0</v>
      </c>
      <c r="AA15" s="3">
        <f>SUM('AEO 2026 Table 36'!AB36,'AEO 2026 Table 36'!AB41)</f>
        <v>0</v>
      </c>
      <c r="AB15" s="3">
        <f>SUM('AEO 2026 Table 36'!AC36,'AEO 2026 Table 36'!AC41)</f>
        <v>0</v>
      </c>
      <c r="AC15" s="3">
        <f>SUM('AEO 2026 Table 36'!AD36,'AEO 2026 Table 36'!AD41)</f>
        <v>0</v>
      </c>
      <c r="AD15" s="3">
        <f>SUM('AEO 2026 Table 36'!AE36,'AEO 2026 Table 36'!AE41)</f>
        <v>0</v>
      </c>
      <c r="AE15" s="3">
        <f>SUM('AEO 2026 Table 36'!AF36,'AEO 2026 Table 36'!AF41)</f>
        <v>0</v>
      </c>
      <c r="AF15" s="3"/>
      <c r="AG15" s="3"/>
      <c r="AH15" s="3"/>
    </row>
    <row r="17" spans="1:36">
      <c r="A17" s="6" t="s">
        <v>39</v>
      </c>
      <c r="B17" s="7"/>
    </row>
    <row r="18" spans="1:36">
      <c r="A18" t="s">
        <v>29</v>
      </c>
      <c r="B18" s="5" t="b">
        <v>1</v>
      </c>
    </row>
    <row r="19" spans="1:36">
      <c r="A19" t="s">
        <v>30</v>
      </c>
      <c r="B19" s="5" t="b">
        <v>1</v>
      </c>
    </row>
    <row r="20" spans="1:36">
      <c r="A20" t="s">
        <v>33</v>
      </c>
      <c r="B20" s="5" t="b">
        <v>1</v>
      </c>
    </row>
    <row r="21" spans="1:36">
      <c r="A21" t="s">
        <v>34</v>
      </c>
      <c r="B21" s="5" t="b">
        <v>1</v>
      </c>
    </row>
    <row r="22" spans="1:36">
      <c r="A22" t="s">
        <v>35</v>
      </c>
      <c r="B22" s="5" t="b">
        <v>0</v>
      </c>
    </row>
    <row r="23" spans="1:36">
      <c r="A23" t="s">
        <v>36</v>
      </c>
      <c r="B23" s="5" t="b">
        <v>0</v>
      </c>
    </row>
    <row r="24" spans="1:36">
      <c r="A24" t="s">
        <v>37</v>
      </c>
      <c r="B24" s="5" t="b">
        <v>0</v>
      </c>
    </row>
    <row r="25" spans="1:36">
      <c r="A25" t="s">
        <v>38</v>
      </c>
      <c r="B25" s="5" t="b">
        <v>0</v>
      </c>
    </row>
    <row r="28" spans="1:36">
      <c r="A28" s="6" t="s">
        <v>40</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C29" si="0">D6</f>
        <v>2023</v>
      </c>
      <c r="C29">
        <f t="shared" si="0"/>
        <v>2024</v>
      </c>
      <c r="D29">
        <f t="shared" si="0"/>
        <v>2025</v>
      </c>
      <c r="E29">
        <f t="shared" si="0"/>
        <v>2026</v>
      </c>
      <c r="F29">
        <f t="shared" si="0"/>
        <v>2027</v>
      </c>
      <c r="G29">
        <f t="shared" si="0"/>
        <v>2028</v>
      </c>
      <c r="H29">
        <f t="shared" si="0"/>
        <v>2029</v>
      </c>
      <c r="I29">
        <f t="shared" si="0"/>
        <v>2030</v>
      </c>
      <c r="J29">
        <f t="shared" si="0"/>
        <v>2031</v>
      </c>
      <c r="K29">
        <f t="shared" si="0"/>
        <v>2032</v>
      </c>
      <c r="L29">
        <f t="shared" si="0"/>
        <v>2033</v>
      </c>
      <c r="M29">
        <f t="shared" si="0"/>
        <v>2034</v>
      </c>
      <c r="N29">
        <f t="shared" si="0"/>
        <v>2035</v>
      </c>
      <c r="O29">
        <f t="shared" si="0"/>
        <v>2036</v>
      </c>
      <c r="P29">
        <f t="shared" si="0"/>
        <v>2037</v>
      </c>
      <c r="Q29">
        <f t="shared" si="0"/>
        <v>2038</v>
      </c>
      <c r="R29">
        <f t="shared" si="0"/>
        <v>2039</v>
      </c>
      <c r="S29">
        <f t="shared" si="0"/>
        <v>2040</v>
      </c>
      <c r="T29">
        <f t="shared" si="0"/>
        <v>2041</v>
      </c>
      <c r="U29">
        <f t="shared" si="0"/>
        <v>2042</v>
      </c>
      <c r="V29">
        <f t="shared" si="0"/>
        <v>2043</v>
      </c>
      <c r="W29">
        <f t="shared" si="0"/>
        <v>2044</v>
      </c>
      <c r="X29">
        <f t="shared" si="0"/>
        <v>2045</v>
      </c>
      <c r="Y29">
        <f t="shared" si="0"/>
        <v>2046</v>
      </c>
      <c r="Z29">
        <f t="shared" si="0"/>
        <v>2047</v>
      </c>
      <c r="AA29">
        <f t="shared" si="0"/>
        <v>2048</v>
      </c>
      <c r="AB29">
        <f t="shared" si="0"/>
        <v>2049</v>
      </c>
      <c r="AC29">
        <f t="shared" si="0"/>
        <v>2050</v>
      </c>
    </row>
    <row r="30" spans="1:36">
      <c r="A30" s="1" t="s">
        <v>23</v>
      </c>
      <c r="B30" s="2">
        <f t="shared" ref="B30:AC30" si="1">D7/(SUMIFS(D8:D15,$B18:$B25,TRUE)+D7)</f>
        <v>3.2438802317246634E-2</v>
      </c>
      <c r="C30" s="2">
        <f t="shared" si="1"/>
        <v>3.9585833615893101E-2</v>
      </c>
      <c r="D30" s="2">
        <f t="shared" si="1"/>
        <v>2.6436602370350101E-2</v>
      </c>
      <c r="E30" s="2">
        <f t="shared" si="1"/>
        <v>3.1805100813153228E-2</v>
      </c>
      <c r="F30" s="2">
        <f t="shared" si="1"/>
        <v>3.0568684603891498E-2</v>
      </c>
      <c r="G30" s="2">
        <f t="shared" si="1"/>
        <v>3.1553125114170841E-2</v>
      </c>
      <c r="H30" s="2">
        <f t="shared" si="1"/>
        <v>3.2305335757798835E-2</v>
      </c>
      <c r="I30" s="2">
        <f t="shared" si="1"/>
        <v>2.6985230796532339E-2</v>
      </c>
      <c r="J30" s="2">
        <f t="shared" si="1"/>
        <v>2.8510757520313589E-2</v>
      </c>
      <c r="K30" s="2">
        <f t="shared" si="1"/>
        <v>2.928301734599514E-2</v>
      </c>
      <c r="L30" s="2">
        <f t="shared" si="1"/>
        <v>3.0823631839840031E-2</v>
      </c>
      <c r="M30" s="2">
        <f t="shared" si="1"/>
        <v>3.154931673518048E-2</v>
      </c>
      <c r="N30" s="2">
        <f t="shared" si="1"/>
        <v>3.2184645507450385E-2</v>
      </c>
      <c r="O30" s="2">
        <f t="shared" si="1"/>
        <v>3.040516636407193E-2</v>
      </c>
      <c r="P30" s="2">
        <f t="shared" si="1"/>
        <v>3.1999440867992696E-2</v>
      </c>
      <c r="Q30" s="2">
        <f t="shared" si="1"/>
        <v>3.1837757791767944E-2</v>
      </c>
      <c r="R30" s="2">
        <f t="shared" si="1"/>
        <v>3.1491704908259026E-2</v>
      </c>
      <c r="S30" s="2">
        <f t="shared" si="1"/>
        <v>3.1123349829357549E-2</v>
      </c>
      <c r="T30" s="2">
        <f t="shared" si="1"/>
        <v>3.0723116246110606E-2</v>
      </c>
      <c r="U30" s="2">
        <f t="shared" si="1"/>
        <v>3.0302491017084848E-2</v>
      </c>
      <c r="V30" s="2">
        <f t="shared" si="1"/>
        <v>2.980320588049383E-2</v>
      </c>
      <c r="W30" s="2">
        <f t="shared" si="1"/>
        <v>2.9262976517848212E-2</v>
      </c>
      <c r="X30" s="2">
        <f t="shared" si="1"/>
        <v>2.8685665334263914E-2</v>
      </c>
      <c r="Y30" s="2">
        <f t="shared" si="1"/>
        <v>2.8118476753023584E-2</v>
      </c>
      <c r="Z30" s="2">
        <f t="shared" si="1"/>
        <v>2.7611849749270688E-2</v>
      </c>
      <c r="AA30" s="2">
        <f t="shared" si="1"/>
        <v>2.6990985799196437E-2</v>
      </c>
      <c r="AB30" s="2">
        <f t="shared" si="1"/>
        <v>0.37407865326714473</v>
      </c>
      <c r="AC30" s="2">
        <f t="shared" si="1"/>
        <v>0.37380861493091794</v>
      </c>
      <c r="AD30" s="2"/>
      <c r="AE30" s="2"/>
      <c r="AF30" s="2"/>
      <c r="AG3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A5" sqref="A5"/>
    </sheetView>
  </sheetViews>
  <sheetFormatPr defaultRowHeight="14.25"/>
  <sheetData>
    <row r="1" spans="1:1">
      <c r="A1" t="s">
        <v>44</v>
      </c>
    </row>
    <row r="2" spans="1:1">
      <c r="A2" t="s">
        <v>45</v>
      </c>
    </row>
    <row r="4" spans="1:1">
      <c r="A4" t="s">
        <v>46</v>
      </c>
    </row>
    <row r="5" spans="1:1">
      <c r="A5">
        <v>0.55000000000000004</v>
      </c>
    </row>
    <row r="7" spans="1:1">
      <c r="A7" t="s">
        <v>55</v>
      </c>
    </row>
    <row r="8" spans="1:1">
      <c r="A8" t="s">
        <v>56</v>
      </c>
    </row>
    <row r="9" spans="1:1">
      <c r="A9" t="s">
        <v>57</v>
      </c>
    </row>
    <row r="11" spans="1:1">
      <c r="A11" s="9" t="s">
        <v>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B1" workbookViewId="0">
      <selection activeCell="R11" sqref="R11"/>
    </sheetView>
  </sheetViews>
  <sheetFormatPr defaultRowHeight="14.25"/>
  <cols>
    <col min="1" max="1" width="50.1328125" customWidth="1"/>
    <col min="2" max="3" width="41.265625" customWidth="1"/>
    <col min="8" max="8" width="25.1328125" customWidth="1"/>
    <col min="10" max="10" width="12" bestFit="1" customWidth="1"/>
  </cols>
  <sheetData>
    <row r="1" spans="1:18">
      <c r="A1" t="s">
        <v>603</v>
      </c>
    </row>
    <row r="2" spans="1:18">
      <c r="I2" t="s">
        <v>645</v>
      </c>
      <c r="J2" t="s">
        <v>646</v>
      </c>
    </row>
    <row r="3" spans="1:18">
      <c r="A3" t="s">
        <v>604</v>
      </c>
      <c r="B3">
        <v>2019</v>
      </c>
      <c r="C3">
        <v>2020</v>
      </c>
      <c r="D3">
        <v>2021</v>
      </c>
      <c r="H3" t="s">
        <v>643</v>
      </c>
      <c r="I3">
        <f>D18</f>
        <v>8</v>
      </c>
      <c r="J3">
        <f>I3*10^12/L10</f>
        <v>107793479781726.61</v>
      </c>
    </row>
    <row r="4" spans="1:18">
      <c r="A4" s="1" t="s">
        <v>605</v>
      </c>
      <c r="B4" s="55">
        <v>1087</v>
      </c>
      <c r="C4">
        <v>937</v>
      </c>
      <c r="D4" s="55">
        <v>1029</v>
      </c>
      <c r="H4" t="s">
        <v>644</v>
      </c>
      <c r="I4">
        <f>D29</f>
        <v>24</v>
      </c>
      <c r="J4">
        <f>I4*10^12/P10</f>
        <v>318772975028520.69</v>
      </c>
    </row>
    <row r="5" spans="1:18">
      <c r="A5" t="s">
        <v>606</v>
      </c>
      <c r="B5">
        <v>380</v>
      </c>
      <c r="C5">
        <v>328</v>
      </c>
      <c r="D5">
        <v>361</v>
      </c>
    </row>
    <row r="6" spans="1:18">
      <c r="A6" t="s">
        <v>607</v>
      </c>
      <c r="B6">
        <v>659</v>
      </c>
      <c r="C6">
        <v>566</v>
      </c>
      <c r="D6">
        <v>620</v>
      </c>
    </row>
    <row r="7" spans="1:18">
      <c r="A7" t="s">
        <v>608</v>
      </c>
      <c r="B7">
        <v>27</v>
      </c>
      <c r="C7">
        <v>24</v>
      </c>
      <c r="D7">
        <v>27</v>
      </c>
    </row>
    <row r="8" spans="1:18">
      <c r="A8" t="s">
        <v>609</v>
      </c>
      <c r="B8">
        <v>3</v>
      </c>
      <c r="C8">
        <v>3</v>
      </c>
      <c r="D8">
        <v>3</v>
      </c>
    </row>
    <row r="9" spans="1:18">
      <c r="A9" t="s">
        <v>610</v>
      </c>
      <c r="B9">
        <v>7</v>
      </c>
      <c r="C9">
        <v>7</v>
      </c>
      <c r="D9">
        <v>7</v>
      </c>
      <c r="H9" t="s">
        <v>647</v>
      </c>
      <c r="I9" t="s">
        <v>15</v>
      </c>
      <c r="J9" t="s">
        <v>16</v>
      </c>
      <c r="K9" t="s">
        <v>17</v>
      </c>
      <c r="L9" t="s">
        <v>18</v>
      </c>
      <c r="M9" t="s">
        <v>19</v>
      </c>
      <c r="N9" t="s">
        <v>21</v>
      </c>
      <c r="O9" t="s">
        <v>20</v>
      </c>
      <c r="P9" t="s">
        <v>82</v>
      </c>
      <c r="Q9" t="s">
        <v>83</v>
      </c>
      <c r="R9" t="s">
        <v>84</v>
      </c>
    </row>
    <row r="10" spans="1:18">
      <c r="A10" t="s">
        <v>611</v>
      </c>
      <c r="B10">
        <v>11</v>
      </c>
      <c r="C10">
        <v>10</v>
      </c>
      <c r="D10">
        <v>11</v>
      </c>
      <c r="H10" t="s">
        <v>648</v>
      </c>
      <c r="I10">
        <v>0</v>
      </c>
      <c r="J10">
        <v>5.2751937984496129E-2</v>
      </c>
      <c r="K10">
        <v>7.2920703974688528E-2</v>
      </c>
      <c r="L10">
        <v>7.4215991692627201E-2</v>
      </c>
      <c r="M10">
        <v>0</v>
      </c>
      <c r="N10">
        <v>0</v>
      </c>
      <c r="O10">
        <v>0</v>
      </c>
      <c r="P10">
        <v>7.5288690949578504E-2</v>
      </c>
      <c r="Q10">
        <v>6.7030064624894622E-2</v>
      </c>
      <c r="R10">
        <v>0</v>
      </c>
    </row>
    <row r="11" spans="1:18">
      <c r="A11" s="1" t="s">
        <v>612</v>
      </c>
      <c r="B11">
        <v>484</v>
      </c>
      <c r="C11">
        <v>455</v>
      </c>
      <c r="D11">
        <v>488</v>
      </c>
      <c r="H11" t="s">
        <v>649</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606</v>
      </c>
      <c r="B12">
        <v>3</v>
      </c>
      <c r="C12">
        <v>3</v>
      </c>
      <c r="D12">
        <v>3</v>
      </c>
      <c r="H12" t="s">
        <v>650</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607</v>
      </c>
      <c r="B13">
        <v>31</v>
      </c>
      <c r="C13">
        <v>30</v>
      </c>
      <c r="D13">
        <v>33</v>
      </c>
      <c r="H13" t="s">
        <v>651</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608</v>
      </c>
      <c r="B14">
        <v>373</v>
      </c>
      <c r="C14">
        <v>353</v>
      </c>
      <c r="D14">
        <v>380</v>
      </c>
      <c r="H14" t="s">
        <v>652</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609</v>
      </c>
      <c r="B15">
        <v>21</v>
      </c>
      <c r="C15">
        <v>20</v>
      </c>
      <c r="D15">
        <v>21</v>
      </c>
      <c r="H15" t="s">
        <v>653</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613</v>
      </c>
      <c r="B16">
        <v>36</v>
      </c>
      <c r="C16">
        <v>31</v>
      </c>
      <c r="D16">
        <v>32</v>
      </c>
      <c r="H16" t="s">
        <v>654</v>
      </c>
      <c r="I16">
        <v>0</v>
      </c>
      <c r="J16">
        <v>2.4242424242424244E-7</v>
      </c>
      <c r="K16">
        <v>4.2501798364698814E-7</v>
      </c>
      <c r="L16">
        <v>1.4983881920767892E-4</v>
      </c>
      <c r="M16">
        <v>0</v>
      </c>
      <c r="N16">
        <v>1.4983881920767892E-4</v>
      </c>
      <c r="O16">
        <v>0</v>
      </c>
      <c r="P16">
        <v>1.4983881920767892E-4</v>
      </c>
      <c r="Q16">
        <v>0</v>
      </c>
      <c r="R16">
        <v>0</v>
      </c>
    </row>
    <row r="17" spans="1:18">
      <c r="A17" t="s">
        <v>611</v>
      </c>
      <c r="B17">
        <v>3</v>
      </c>
      <c r="C17">
        <v>3</v>
      </c>
      <c r="D17">
        <v>3</v>
      </c>
      <c r="H17" t="s">
        <v>655</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614</v>
      </c>
      <c r="B18">
        <v>7</v>
      </c>
      <c r="C18">
        <v>8</v>
      </c>
      <c r="D18">
        <v>8</v>
      </c>
      <c r="H18" t="s">
        <v>656</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615</v>
      </c>
      <c r="B19">
        <v>10</v>
      </c>
      <c r="C19">
        <v>8</v>
      </c>
      <c r="D19">
        <v>7</v>
      </c>
      <c r="H19" t="s">
        <v>657</v>
      </c>
      <c r="I19">
        <v>0</v>
      </c>
      <c r="J19">
        <v>9.9999999999999995E-7</v>
      </c>
      <c r="K19">
        <v>3.0000000000000001E-6</v>
      </c>
      <c r="L19">
        <v>3.0000000000000001E-6</v>
      </c>
      <c r="M19">
        <v>0</v>
      </c>
      <c r="N19">
        <v>0</v>
      </c>
      <c r="O19">
        <v>0</v>
      </c>
      <c r="P19">
        <v>3.0000000000000001E-6</v>
      </c>
      <c r="Q19">
        <v>3.0000000000000001E-6</v>
      </c>
      <c r="R19">
        <v>0</v>
      </c>
    </row>
    <row r="20" spans="1:18">
      <c r="A20" s="1" t="s">
        <v>104</v>
      </c>
      <c r="B20">
        <v>259</v>
      </c>
      <c r="C20">
        <v>160</v>
      </c>
      <c r="D20">
        <v>203</v>
      </c>
      <c r="H20" t="s">
        <v>658</v>
      </c>
      <c r="I20">
        <v>0</v>
      </c>
      <c r="J20">
        <v>1.0000000000000001E-7</v>
      </c>
      <c r="K20">
        <v>5.9999999999999997E-7</v>
      </c>
      <c r="L20">
        <v>5.9999999999999997E-7</v>
      </c>
      <c r="M20">
        <v>0</v>
      </c>
      <c r="N20">
        <v>0</v>
      </c>
      <c r="O20">
        <v>0</v>
      </c>
      <c r="P20">
        <v>5.9999999999999997E-7</v>
      </c>
      <c r="Q20">
        <v>5.9999999999999997E-7</v>
      </c>
      <c r="R20">
        <v>0</v>
      </c>
    </row>
    <row r="21" spans="1:18">
      <c r="A21" t="s">
        <v>616</v>
      </c>
      <c r="B21">
        <v>137</v>
      </c>
      <c r="C21">
        <v>91</v>
      </c>
      <c r="D21">
        <v>119</v>
      </c>
      <c r="H21" t="s">
        <v>659</v>
      </c>
      <c r="I21">
        <v>0</v>
      </c>
      <c r="J21">
        <v>0</v>
      </c>
      <c r="K21">
        <v>0</v>
      </c>
      <c r="L21">
        <v>0</v>
      </c>
      <c r="M21">
        <v>0</v>
      </c>
      <c r="N21">
        <v>0</v>
      </c>
      <c r="O21">
        <v>0</v>
      </c>
      <c r="P21">
        <v>0</v>
      </c>
      <c r="Q21">
        <v>0</v>
      </c>
      <c r="R21">
        <v>0</v>
      </c>
    </row>
    <row r="22" spans="1:18">
      <c r="A22" t="s">
        <v>617</v>
      </c>
      <c r="B22">
        <v>12</v>
      </c>
      <c r="C22">
        <v>12</v>
      </c>
      <c r="D22">
        <v>13</v>
      </c>
    </row>
    <row r="23" spans="1:18">
      <c r="A23" t="s">
        <v>618</v>
      </c>
      <c r="B23">
        <v>31</v>
      </c>
      <c r="C23">
        <v>18</v>
      </c>
      <c r="D23">
        <v>21</v>
      </c>
    </row>
    <row r="24" spans="1:18">
      <c r="A24" t="s">
        <v>615</v>
      </c>
      <c r="B24">
        <v>78</v>
      </c>
      <c r="C24">
        <v>40</v>
      </c>
      <c r="D24">
        <v>51</v>
      </c>
    </row>
    <row r="25" spans="1:18">
      <c r="A25" t="s">
        <v>619</v>
      </c>
      <c r="B25">
        <v>75</v>
      </c>
      <c r="C25">
        <v>37</v>
      </c>
      <c r="D25">
        <v>48</v>
      </c>
    </row>
    <row r="26" spans="1:18">
      <c r="A26" s="1" t="s">
        <v>105</v>
      </c>
      <c r="B26">
        <v>2</v>
      </c>
      <c r="C26">
        <v>1</v>
      </c>
      <c r="D26">
        <v>1</v>
      </c>
    </row>
    <row r="27" spans="1:18">
      <c r="A27" t="s">
        <v>618</v>
      </c>
      <c r="B27">
        <v>2</v>
      </c>
      <c r="C27">
        <v>1</v>
      </c>
      <c r="D27">
        <v>1</v>
      </c>
    </row>
    <row r="28" spans="1:18">
      <c r="A28" s="1" t="s">
        <v>100</v>
      </c>
      <c r="B28">
        <v>40</v>
      </c>
      <c r="C28">
        <v>29</v>
      </c>
      <c r="D28">
        <v>46</v>
      </c>
    </row>
    <row r="29" spans="1:18">
      <c r="A29" t="s">
        <v>620</v>
      </c>
      <c r="B29">
        <v>14</v>
      </c>
      <c r="C29">
        <v>7</v>
      </c>
      <c r="D29">
        <v>24</v>
      </c>
    </row>
    <row r="30" spans="1:18">
      <c r="A30" t="s">
        <v>615</v>
      </c>
      <c r="B30">
        <v>25</v>
      </c>
      <c r="C30">
        <v>22</v>
      </c>
      <c r="D30">
        <v>22</v>
      </c>
    </row>
    <row r="31" spans="1:18">
      <c r="A31" s="1" t="s">
        <v>621</v>
      </c>
      <c r="B31">
        <v>59</v>
      </c>
      <c r="C31">
        <v>59</v>
      </c>
      <c r="D31">
        <v>65</v>
      </c>
    </row>
    <row r="32" spans="1:18">
      <c r="A32" t="s">
        <v>606</v>
      </c>
      <c r="B32">
        <v>0</v>
      </c>
      <c r="C32">
        <v>0</v>
      </c>
      <c r="D32">
        <v>0</v>
      </c>
    </row>
    <row r="33" spans="1:4">
      <c r="A33" t="s">
        <v>607</v>
      </c>
      <c r="B33">
        <v>0</v>
      </c>
      <c r="C33">
        <v>0</v>
      </c>
      <c r="D33">
        <v>0</v>
      </c>
    </row>
    <row r="34" spans="1:4">
      <c r="A34" t="s">
        <v>622</v>
      </c>
      <c r="B34">
        <v>0</v>
      </c>
      <c r="C34">
        <v>0</v>
      </c>
      <c r="D34">
        <v>0</v>
      </c>
    </row>
    <row r="35" spans="1:4">
      <c r="A35" t="s">
        <v>609</v>
      </c>
      <c r="B35">
        <v>1</v>
      </c>
      <c r="C35">
        <v>1</v>
      </c>
      <c r="D35">
        <v>1</v>
      </c>
    </row>
    <row r="36" spans="1:4">
      <c r="A36" t="s">
        <v>623</v>
      </c>
      <c r="B36">
        <v>58</v>
      </c>
      <c r="C36">
        <v>58</v>
      </c>
      <c r="D36">
        <v>64</v>
      </c>
    </row>
    <row r="37" spans="1:4">
      <c r="A37" s="1" t="s">
        <v>624</v>
      </c>
      <c r="B37">
        <v>1</v>
      </c>
      <c r="C37">
        <v>0</v>
      </c>
      <c r="D37">
        <v>0</v>
      </c>
    </row>
    <row r="38" spans="1:4">
      <c r="A38" t="s">
        <v>606</v>
      </c>
      <c r="B38">
        <v>0</v>
      </c>
      <c r="C38">
        <v>0</v>
      </c>
      <c r="D38">
        <v>0</v>
      </c>
    </row>
    <row r="39" spans="1:4">
      <c r="A39" t="s">
        <v>607</v>
      </c>
      <c r="B39">
        <v>0</v>
      </c>
      <c r="C39">
        <v>0</v>
      </c>
      <c r="D39">
        <v>0</v>
      </c>
    </row>
    <row r="40" spans="1:4">
      <c r="A40" t="s">
        <v>608</v>
      </c>
      <c r="B40">
        <v>0</v>
      </c>
      <c r="C40">
        <v>0</v>
      </c>
      <c r="D40">
        <v>0</v>
      </c>
    </row>
    <row r="41" spans="1:4">
      <c r="A41" t="s">
        <v>609</v>
      </c>
      <c r="B41">
        <v>0</v>
      </c>
      <c r="C41">
        <v>0</v>
      </c>
      <c r="D41">
        <v>0</v>
      </c>
    </row>
    <row r="42" spans="1:4">
      <c r="A42" s="1" t="s">
        <v>625</v>
      </c>
      <c r="B42">
        <v>5</v>
      </c>
      <c r="C42">
        <v>4</v>
      </c>
      <c r="D42">
        <v>5</v>
      </c>
    </row>
    <row r="43" spans="1:4">
      <c r="A43" t="s">
        <v>606</v>
      </c>
      <c r="B43">
        <v>1</v>
      </c>
      <c r="C43">
        <v>1</v>
      </c>
      <c r="D43">
        <v>2</v>
      </c>
    </row>
    <row r="44" spans="1:4">
      <c r="A44" t="s">
        <v>607</v>
      </c>
      <c r="B44">
        <v>0</v>
      </c>
      <c r="C44">
        <v>0</v>
      </c>
      <c r="D44">
        <v>1</v>
      </c>
    </row>
    <row r="45" spans="1:4">
      <c r="A45" t="s">
        <v>609</v>
      </c>
      <c r="B45">
        <v>0</v>
      </c>
      <c r="C45">
        <v>0</v>
      </c>
      <c r="D45">
        <v>0</v>
      </c>
    </row>
    <row r="46" spans="1:4">
      <c r="A46" t="s">
        <v>613</v>
      </c>
      <c r="B46">
        <v>3</v>
      </c>
      <c r="C46">
        <v>2</v>
      </c>
      <c r="D46">
        <v>2</v>
      </c>
    </row>
    <row r="47" spans="1:4">
      <c r="A47" t="s">
        <v>626</v>
      </c>
      <c r="B47">
        <v>78.7</v>
      </c>
      <c r="C47">
        <v>68.099999999999994</v>
      </c>
      <c r="D47" s="55">
        <v>75.400000000000006</v>
      </c>
    </row>
    <row r="48" spans="1:4">
      <c r="A48" t="s">
        <v>627</v>
      </c>
      <c r="B48">
        <v>114</v>
      </c>
      <c r="C48">
        <v>70</v>
      </c>
      <c r="D48">
        <v>80</v>
      </c>
    </row>
    <row r="49" spans="1:4">
      <c r="A49" t="s">
        <v>628</v>
      </c>
      <c r="B49">
        <v>78.7</v>
      </c>
      <c r="C49">
        <v>68.099999999999994</v>
      </c>
      <c r="D49">
        <v>75.400000000000006</v>
      </c>
    </row>
    <row r="50" spans="1:4">
      <c r="A50" t="s">
        <v>629</v>
      </c>
      <c r="B50">
        <v>17.100000000000001</v>
      </c>
      <c r="C50">
        <v>17.7</v>
      </c>
      <c r="D50">
        <v>16.100000000000001</v>
      </c>
    </row>
    <row r="51" spans="1:4">
      <c r="A51" t="s">
        <v>630</v>
      </c>
    </row>
    <row r="52" spans="1:4">
      <c r="A52" t="s">
        <v>631</v>
      </c>
    </row>
    <row r="53" spans="1:4">
      <c r="A53" t="s">
        <v>632</v>
      </c>
    </row>
    <row r="54" spans="1:4">
      <c r="A54" t="s">
        <v>633</v>
      </c>
    </row>
    <row r="55" spans="1:4">
      <c r="A55" t="s">
        <v>634</v>
      </c>
    </row>
    <row r="56" spans="1:4">
      <c r="A56" t="s">
        <v>635</v>
      </c>
    </row>
    <row r="57" spans="1:4">
      <c r="A57" t="s">
        <v>636</v>
      </c>
    </row>
    <row r="58" spans="1:4">
      <c r="A58" t="s">
        <v>637</v>
      </c>
    </row>
    <row r="59" spans="1:4">
      <c r="A59" t="s">
        <v>638</v>
      </c>
    </row>
    <row r="60" spans="1:4">
      <c r="A60" t="s">
        <v>639</v>
      </c>
    </row>
    <row r="61" spans="1:4">
      <c r="A61" t="s">
        <v>640</v>
      </c>
    </row>
    <row r="62" spans="1:4">
      <c r="A62" t="s">
        <v>641</v>
      </c>
    </row>
    <row r="63" spans="1:4">
      <c r="A63" t="s">
        <v>642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B4" sqref="B4"/>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 t="shared" ref="B4:AE4" si="0">1-B6</f>
        <v>0.92710534558203916</v>
      </c>
      <c r="C4" s="2">
        <f t="shared" si="0"/>
        <v>0.92710534558203916</v>
      </c>
      <c r="D4" s="2">
        <f t="shared" si="0"/>
        <v>0.92710534558203916</v>
      </c>
      <c r="E4" s="2">
        <f t="shared" si="0"/>
        <v>0.92710534558203916</v>
      </c>
      <c r="F4" s="2">
        <f t="shared" si="0"/>
        <v>0.92710534558203916</v>
      </c>
      <c r="G4" s="2">
        <f t="shared" si="0"/>
        <v>0.92710534558203916</v>
      </c>
      <c r="H4" s="2">
        <f t="shared" si="0"/>
        <v>0.92710534558203916</v>
      </c>
      <c r="I4" s="2">
        <f t="shared" si="0"/>
        <v>0.92710534558203916</v>
      </c>
      <c r="J4" s="2">
        <f t="shared" si="0"/>
        <v>0.92710534558203916</v>
      </c>
      <c r="K4" s="2">
        <f t="shared" si="0"/>
        <v>0.92710534558203916</v>
      </c>
      <c r="L4" s="2">
        <f t="shared" si="0"/>
        <v>0.92710534558203916</v>
      </c>
      <c r="M4" s="2">
        <f t="shared" si="0"/>
        <v>0.92710534558203916</v>
      </c>
      <c r="N4" s="2">
        <f t="shared" si="0"/>
        <v>0.92710534558203916</v>
      </c>
      <c r="O4" s="2">
        <f t="shared" si="0"/>
        <v>0.92710534558203916</v>
      </c>
      <c r="P4" s="2">
        <f t="shared" si="0"/>
        <v>0.92710534558203916</v>
      </c>
      <c r="Q4" s="2">
        <f t="shared" si="0"/>
        <v>0.92710534558203916</v>
      </c>
      <c r="R4" s="2">
        <f t="shared" si="0"/>
        <v>0.92710534558203916</v>
      </c>
      <c r="S4" s="2">
        <f t="shared" si="0"/>
        <v>0.92710534558203916</v>
      </c>
      <c r="T4" s="2">
        <f t="shared" si="0"/>
        <v>0.92710534558203916</v>
      </c>
      <c r="U4" s="2">
        <f t="shared" si="0"/>
        <v>0.92710534558203916</v>
      </c>
      <c r="V4" s="2">
        <f t="shared" si="0"/>
        <v>0.92710534558203916</v>
      </c>
      <c r="W4" s="2">
        <f t="shared" si="0"/>
        <v>0.92710534558203916</v>
      </c>
      <c r="X4" s="2">
        <f t="shared" si="0"/>
        <v>0.92710534558203916</v>
      </c>
      <c r="Y4" s="2">
        <f t="shared" si="0"/>
        <v>0.92710534558203916</v>
      </c>
      <c r="Z4" s="2">
        <f t="shared" si="0"/>
        <v>0.92710534558203916</v>
      </c>
      <c r="AA4" s="2">
        <f t="shared" si="0"/>
        <v>0.92710534558203916</v>
      </c>
      <c r="AB4" s="2">
        <f t="shared" si="0"/>
        <v>0.92710534558203916</v>
      </c>
      <c r="AC4" s="2">
        <f t="shared" si="0"/>
        <v>0.92710534558203916</v>
      </c>
      <c r="AD4" s="2">
        <f t="shared" si="0"/>
        <v>0.92710534558203916</v>
      </c>
      <c r="AE4" s="2">
        <f t="shared" si="0"/>
        <v>0.92710534558203916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7.2894654417960836E-2</v>
      </c>
      <c r="C6" s="2">
        <f>$B$6</f>
        <v>7.2894654417960836E-2</v>
      </c>
      <c r="D6" s="2">
        <f t="shared" ref="D6:AE6" si="1">$B$6</f>
        <v>7.2894654417960836E-2</v>
      </c>
      <c r="E6" s="2">
        <f t="shared" si="1"/>
        <v>7.2894654417960836E-2</v>
      </c>
      <c r="F6" s="2">
        <f t="shared" si="1"/>
        <v>7.2894654417960836E-2</v>
      </c>
      <c r="G6" s="2">
        <f t="shared" si="1"/>
        <v>7.2894654417960836E-2</v>
      </c>
      <c r="H6" s="2">
        <f t="shared" si="1"/>
        <v>7.2894654417960836E-2</v>
      </c>
      <c r="I6" s="2">
        <f t="shared" si="1"/>
        <v>7.2894654417960836E-2</v>
      </c>
      <c r="J6" s="2">
        <f t="shared" si="1"/>
        <v>7.2894654417960836E-2</v>
      </c>
      <c r="K6" s="2">
        <f t="shared" si="1"/>
        <v>7.2894654417960836E-2</v>
      </c>
      <c r="L6" s="2">
        <f t="shared" si="1"/>
        <v>7.2894654417960836E-2</v>
      </c>
      <c r="M6" s="2">
        <f t="shared" si="1"/>
        <v>7.2894654417960836E-2</v>
      </c>
      <c r="N6" s="2">
        <f t="shared" si="1"/>
        <v>7.2894654417960836E-2</v>
      </c>
      <c r="O6" s="2">
        <f t="shared" si="1"/>
        <v>7.2894654417960836E-2</v>
      </c>
      <c r="P6" s="2">
        <f t="shared" si="1"/>
        <v>7.2894654417960836E-2</v>
      </c>
      <c r="Q6" s="2">
        <f t="shared" si="1"/>
        <v>7.2894654417960836E-2</v>
      </c>
      <c r="R6" s="2">
        <f t="shared" si="1"/>
        <v>7.2894654417960836E-2</v>
      </c>
      <c r="S6" s="2">
        <f t="shared" si="1"/>
        <v>7.2894654417960836E-2</v>
      </c>
      <c r="T6" s="2">
        <f t="shared" si="1"/>
        <v>7.2894654417960836E-2</v>
      </c>
      <c r="U6" s="2">
        <f t="shared" si="1"/>
        <v>7.2894654417960836E-2</v>
      </c>
      <c r="V6" s="2">
        <f t="shared" si="1"/>
        <v>7.2894654417960836E-2</v>
      </c>
      <c r="W6" s="2">
        <f t="shared" si="1"/>
        <v>7.2894654417960836E-2</v>
      </c>
      <c r="X6" s="2">
        <f t="shared" si="1"/>
        <v>7.2894654417960836E-2</v>
      </c>
      <c r="Y6" s="2">
        <f t="shared" si="1"/>
        <v>7.2894654417960836E-2</v>
      </c>
      <c r="Z6" s="2">
        <f t="shared" si="1"/>
        <v>7.2894654417960836E-2</v>
      </c>
      <c r="AA6" s="2">
        <f t="shared" si="1"/>
        <v>7.2894654417960836E-2</v>
      </c>
      <c r="AB6" s="2">
        <f t="shared" si="1"/>
        <v>7.2894654417960836E-2</v>
      </c>
      <c r="AC6" s="2">
        <f t="shared" si="1"/>
        <v>7.2894654417960836E-2</v>
      </c>
      <c r="AD6" s="2">
        <f t="shared" si="1"/>
        <v>7.2894654417960836E-2</v>
      </c>
      <c r="AE6" s="2">
        <f t="shared" si="1"/>
        <v>7.2894654417960836E-2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C11"/>
  <sheetViews>
    <sheetView workbookViewId="0">
      <selection activeCell="A4" sqref="A4"/>
    </sheetView>
  </sheetViews>
  <sheetFormatPr defaultRowHeight="14.25"/>
  <cols>
    <col min="1" max="1" width="22.53125" customWidth="1"/>
  </cols>
  <sheetData>
    <row r="1" spans="1:29" ht="28.5">
      <c r="A1" s="10" t="s">
        <v>85</v>
      </c>
      <c r="B1">
        <f>'Biodiesel Fraction'!D6</f>
        <v>2023</v>
      </c>
      <c r="C1">
        <f>'Biodiesel Fraction'!E6</f>
        <v>2024</v>
      </c>
      <c r="D1">
        <f>'Biodiesel Fraction'!F6</f>
        <v>2025</v>
      </c>
      <c r="E1">
        <f>'Biodiesel Fraction'!G6</f>
        <v>2026</v>
      </c>
      <c r="F1">
        <f>'Biodiesel Fraction'!H6</f>
        <v>2027</v>
      </c>
      <c r="G1">
        <f>'Biodiesel Fraction'!I6</f>
        <v>2028</v>
      </c>
      <c r="H1">
        <f>'Biodiesel Fraction'!J6</f>
        <v>2029</v>
      </c>
      <c r="I1">
        <f>'Biodiesel Fraction'!K6</f>
        <v>2030</v>
      </c>
      <c r="J1">
        <f>'Biodiesel Fraction'!L6</f>
        <v>2031</v>
      </c>
      <c r="K1">
        <f>'Biodiesel Fraction'!M6</f>
        <v>2032</v>
      </c>
      <c r="L1">
        <f>'Biodiesel Fraction'!N6</f>
        <v>2033</v>
      </c>
      <c r="M1">
        <f>'Biodiesel Fraction'!O6</f>
        <v>2034</v>
      </c>
      <c r="N1">
        <f>'Biodiesel Fraction'!P6</f>
        <v>2035</v>
      </c>
      <c r="O1">
        <f>'Biodiesel Fraction'!Q6</f>
        <v>2036</v>
      </c>
      <c r="P1">
        <f>'Biodiesel Fraction'!R6</f>
        <v>2037</v>
      </c>
      <c r="Q1">
        <f>'Biodiesel Fraction'!S6</f>
        <v>2038</v>
      </c>
      <c r="R1">
        <f>'Biodiesel Fraction'!T6</f>
        <v>2039</v>
      </c>
      <c r="S1">
        <f>'Biodiesel Fraction'!U6</f>
        <v>2040</v>
      </c>
      <c r="T1">
        <f>'Biodiesel Fraction'!V6</f>
        <v>2041</v>
      </c>
      <c r="U1">
        <f>'Biodiesel Fraction'!W6</f>
        <v>2042</v>
      </c>
      <c r="V1">
        <f>'Biodiesel Fraction'!X6</f>
        <v>2043</v>
      </c>
      <c r="W1">
        <f>'Biodiesel Fraction'!Y6</f>
        <v>2044</v>
      </c>
      <c r="X1">
        <f>'Biodiesel Fraction'!Z6</f>
        <v>2045</v>
      </c>
      <c r="Y1">
        <f>'Biodiesel Fraction'!AA6</f>
        <v>2046</v>
      </c>
      <c r="Z1">
        <f>'Biodiesel Fraction'!AB6</f>
        <v>2047</v>
      </c>
      <c r="AA1">
        <f>'Biodiesel Fraction'!AC6</f>
        <v>2048</v>
      </c>
      <c r="AB1">
        <f>'Biodiesel Fraction'!AD6</f>
        <v>2049</v>
      </c>
      <c r="AC1">
        <f>'Biodiesel Fraction'!AE6</f>
        <v>2050</v>
      </c>
    </row>
    <row r="2" spans="1:29">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18</v>
      </c>
      <c r="B5">
        <f>IF('Biodiesel Fraction'!$B18,1-'Biodiesel Fraction'!B30,1)</f>
        <v>0.96756119768275339</v>
      </c>
      <c r="C5">
        <f>IF('Biodiesel Fraction'!$B18,1-'Biodiesel Fraction'!C30,1)</f>
        <v>0.96041416638410693</v>
      </c>
      <c r="D5">
        <f>IF('Biodiesel Fraction'!$B18,1-'Biodiesel Fraction'!D30,1)</f>
        <v>0.97356339762964994</v>
      </c>
      <c r="E5">
        <f>IF('Biodiesel Fraction'!$B18,1-'Biodiesel Fraction'!E30,1)</f>
        <v>0.96819489918684676</v>
      </c>
      <c r="F5">
        <f>IF('Biodiesel Fraction'!$B18,1-'Biodiesel Fraction'!F30,1)</f>
        <v>0.9694313153961085</v>
      </c>
      <c r="G5">
        <f>IF('Biodiesel Fraction'!$B18,1-'Biodiesel Fraction'!G30,1)</f>
        <v>0.96844687488582915</v>
      </c>
      <c r="H5">
        <f>IF('Biodiesel Fraction'!$B18,1-'Biodiesel Fraction'!H30,1)</f>
        <v>0.96769466424220119</v>
      </c>
      <c r="I5">
        <f>IF('Biodiesel Fraction'!$B18,1-'Biodiesel Fraction'!I30,1)</f>
        <v>0.97301476920346763</v>
      </c>
      <c r="J5">
        <f>IF('Biodiesel Fraction'!$B18,1-'Biodiesel Fraction'!J30,1)</f>
        <v>0.97148924247968638</v>
      </c>
      <c r="K5">
        <f>IF('Biodiesel Fraction'!$B18,1-'Biodiesel Fraction'!K30,1)</f>
        <v>0.97071698265400486</v>
      </c>
      <c r="L5">
        <f>IF('Biodiesel Fraction'!$B18,1-'Biodiesel Fraction'!L30,1)</f>
        <v>0.96917636816015995</v>
      </c>
      <c r="M5">
        <f>IF('Biodiesel Fraction'!$B18,1-'Biodiesel Fraction'!M30,1)</f>
        <v>0.96845068326481953</v>
      </c>
      <c r="N5">
        <f>IF('Biodiesel Fraction'!$B18,1-'Biodiesel Fraction'!N30,1)</f>
        <v>0.96781535449254963</v>
      </c>
      <c r="O5">
        <f>IF('Biodiesel Fraction'!$B18,1-'Biodiesel Fraction'!O30,1)</f>
        <v>0.96959483363592802</v>
      </c>
      <c r="P5">
        <f>IF('Biodiesel Fraction'!$B18,1-'Biodiesel Fraction'!P30,1)</f>
        <v>0.96800055913200733</v>
      </c>
      <c r="Q5">
        <f>IF('Biodiesel Fraction'!$B18,1-'Biodiesel Fraction'!Q30,1)</f>
        <v>0.9681622422082321</v>
      </c>
      <c r="R5">
        <f>IF('Biodiesel Fraction'!$B18,1-'Biodiesel Fraction'!R30,1)</f>
        <v>0.96850829509174097</v>
      </c>
      <c r="S5">
        <f>IF('Biodiesel Fraction'!$B18,1-'Biodiesel Fraction'!S30,1)</f>
        <v>0.96887665017064251</v>
      </c>
      <c r="T5">
        <f>IF('Biodiesel Fraction'!$B18,1-'Biodiesel Fraction'!T30,1)</f>
        <v>0.96927688375388943</v>
      </c>
      <c r="U5">
        <f>IF('Biodiesel Fraction'!$B18,1-'Biodiesel Fraction'!U30,1)</f>
        <v>0.96969750898291518</v>
      </c>
      <c r="V5">
        <f>IF('Biodiesel Fraction'!$B18,1-'Biodiesel Fraction'!V30,1)</f>
        <v>0.97019679411950621</v>
      </c>
      <c r="W5">
        <f>IF('Biodiesel Fraction'!$B18,1-'Biodiesel Fraction'!W30,1)</f>
        <v>0.97073702348215174</v>
      </c>
      <c r="X5">
        <f>IF('Biodiesel Fraction'!$B18,1-'Biodiesel Fraction'!X30,1)</f>
        <v>0.97131433466573613</v>
      </c>
      <c r="Y5">
        <f>IF('Biodiesel Fraction'!$B18,1-'Biodiesel Fraction'!Y30,1)</f>
        <v>0.97188152324697641</v>
      </c>
      <c r="Z5">
        <f>IF('Biodiesel Fraction'!$B18,1-'Biodiesel Fraction'!Z30,1)</f>
        <v>0.97238815025072933</v>
      </c>
      <c r="AA5">
        <f>IF('Biodiesel Fraction'!$B18,1-'Biodiesel Fraction'!AA30,1)</f>
        <v>0.97300901420080355</v>
      </c>
      <c r="AB5">
        <f>IF('Biodiesel Fraction'!$B18,1-'Biodiesel Fraction'!AB30,1)</f>
        <v>0.62592134673285527</v>
      </c>
      <c r="AC5">
        <f>IF('Biodiesel Fraction'!$B18,1-'Biodiesel Fraction'!AC30,1)</f>
        <v>0.62619138506908212</v>
      </c>
    </row>
    <row r="6" spans="1:29">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21</v>
      </c>
      <c r="B7">
        <f>IF('Biodiesel Fraction'!$B18,'Biodiesel Fraction'!B30,0)</f>
        <v>3.2438802317246634E-2</v>
      </c>
      <c r="C7">
        <f>IF('Biodiesel Fraction'!$B18,'Biodiesel Fraction'!C30,0)</f>
        <v>3.9585833615893101E-2</v>
      </c>
      <c r="D7">
        <f>IF('Biodiesel Fraction'!$B18,'Biodiesel Fraction'!D30,0)</f>
        <v>2.6436602370350101E-2</v>
      </c>
      <c r="E7">
        <f>IF('Biodiesel Fraction'!$B18,'Biodiesel Fraction'!E30,0)</f>
        <v>3.1805100813153228E-2</v>
      </c>
      <c r="F7">
        <f>IF('Biodiesel Fraction'!$B18,'Biodiesel Fraction'!F30,0)</f>
        <v>3.0568684603891498E-2</v>
      </c>
      <c r="G7">
        <f>IF('Biodiesel Fraction'!$B18,'Biodiesel Fraction'!G30,0)</f>
        <v>3.1553125114170841E-2</v>
      </c>
      <c r="H7">
        <f>IF('Biodiesel Fraction'!$B18,'Biodiesel Fraction'!H30,0)</f>
        <v>3.2305335757798835E-2</v>
      </c>
      <c r="I7">
        <f>IF('Biodiesel Fraction'!$B18,'Biodiesel Fraction'!I30,0)</f>
        <v>2.6985230796532339E-2</v>
      </c>
      <c r="J7">
        <f>IF('Biodiesel Fraction'!$B18,'Biodiesel Fraction'!J30,0)</f>
        <v>2.8510757520313589E-2</v>
      </c>
      <c r="K7">
        <f>IF('Biodiesel Fraction'!$B18,'Biodiesel Fraction'!K30,0)</f>
        <v>2.928301734599514E-2</v>
      </c>
      <c r="L7">
        <f>IF('Biodiesel Fraction'!$B18,'Biodiesel Fraction'!L30,0)</f>
        <v>3.0823631839840031E-2</v>
      </c>
      <c r="M7">
        <f>IF('Biodiesel Fraction'!$B18,'Biodiesel Fraction'!M30,0)</f>
        <v>3.154931673518048E-2</v>
      </c>
      <c r="N7">
        <f>IF('Biodiesel Fraction'!$B18,'Biodiesel Fraction'!N30,0)</f>
        <v>3.2184645507450385E-2</v>
      </c>
      <c r="O7">
        <f>IF('Biodiesel Fraction'!$B18,'Biodiesel Fraction'!O30,0)</f>
        <v>3.040516636407193E-2</v>
      </c>
      <c r="P7">
        <f>IF('Biodiesel Fraction'!$B18,'Biodiesel Fraction'!P30,0)</f>
        <v>3.1999440867992696E-2</v>
      </c>
      <c r="Q7">
        <f>IF('Biodiesel Fraction'!$B18,'Biodiesel Fraction'!Q30,0)</f>
        <v>3.1837757791767944E-2</v>
      </c>
      <c r="R7">
        <f>IF('Biodiesel Fraction'!$B18,'Biodiesel Fraction'!R30,0)</f>
        <v>3.1491704908259026E-2</v>
      </c>
      <c r="S7">
        <f>IF('Biodiesel Fraction'!$B18,'Biodiesel Fraction'!S30,0)</f>
        <v>3.1123349829357549E-2</v>
      </c>
      <c r="T7">
        <f>IF('Biodiesel Fraction'!$B18,'Biodiesel Fraction'!T30,0)</f>
        <v>3.0723116246110606E-2</v>
      </c>
      <c r="U7">
        <f>IF('Biodiesel Fraction'!$B18,'Biodiesel Fraction'!U30,0)</f>
        <v>3.0302491017084848E-2</v>
      </c>
      <c r="V7">
        <f>IF('Biodiesel Fraction'!$B18,'Biodiesel Fraction'!V30,0)</f>
        <v>2.980320588049383E-2</v>
      </c>
      <c r="W7">
        <f>IF('Biodiesel Fraction'!$B18,'Biodiesel Fraction'!W30,0)</f>
        <v>2.9262976517848212E-2</v>
      </c>
      <c r="X7">
        <f>IF('Biodiesel Fraction'!$B18,'Biodiesel Fraction'!X30,0)</f>
        <v>2.8685665334263914E-2</v>
      </c>
      <c r="Y7">
        <f>IF('Biodiesel Fraction'!$B18,'Biodiesel Fraction'!Y30,0)</f>
        <v>2.8118476753023584E-2</v>
      </c>
      <c r="Z7">
        <f>IF('Biodiesel Fraction'!$B18,'Biodiesel Fraction'!Z30,0)</f>
        <v>2.7611849749270688E-2</v>
      </c>
      <c r="AA7">
        <f>IF('Biodiesel Fraction'!$B18,'Biodiesel Fraction'!AA30,0)</f>
        <v>2.6990985799196437E-2</v>
      </c>
      <c r="AB7">
        <f>IF('Biodiesel Fraction'!$B18,'Biodiesel Fraction'!AB30,0)</f>
        <v>0.37407865326714473</v>
      </c>
      <c r="AC7">
        <f>IF('Biodiesel Fraction'!$B18,'Biodiesel Fraction'!AC30,0)</f>
        <v>0.37380861493091794</v>
      </c>
    </row>
    <row r="8" spans="1:29">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1"/>
  <sheetViews>
    <sheetView workbookViewId="0"/>
  </sheetViews>
  <sheetFormatPr defaultRowHeight="14.25"/>
  <cols>
    <col min="1" max="1" width="22.53125" customWidth="1"/>
  </cols>
  <sheetData>
    <row r="1" spans="1:33"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0.41719740551191759</v>
      </c>
      <c r="C4" s="2">
        <f>$B$4</f>
        <v>0.41719740551191759</v>
      </c>
      <c r="D4" s="2">
        <f t="shared" ref="D4:AE4" si="0">$B$4</f>
        <v>0.41719740551191759</v>
      </c>
      <c r="E4" s="2">
        <f t="shared" si="0"/>
        <v>0.41719740551191759</v>
      </c>
      <c r="F4" s="2">
        <f t="shared" si="0"/>
        <v>0.41719740551191759</v>
      </c>
      <c r="G4" s="2">
        <f t="shared" si="0"/>
        <v>0.41719740551191759</v>
      </c>
      <c r="H4" s="2">
        <f t="shared" si="0"/>
        <v>0.41719740551191759</v>
      </c>
      <c r="I4" s="2">
        <f t="shared" si="0"/>
        <v>0.41719740551191759</v>
      </c>
      <c r="J4" s="2">
        <f t="shared" si="0"/>
        <v>0.41719740551191759</v>
      </c>
      <c r="K4" s="2">
        <f t="shared" si="0"/>
        <v>0.41719740551191759</v>
      </c>
      <c r="L4" s="2">
        <f t="shared" si="0"/>
        <v>0.41719740551191759</v>
      </c>
      <c r="M4" s="2">
        <f t="shared" si="0"/>
        <v>0.41719740551191759</v>
      </c>
      <c r="N4" s="2">
        <f t="shared" si="0"/>
        <v>0.41719740551191759</v>
      </c>
      <c r="O4" s="2">
        <f t="shared" si="0"/>
        <v>0.41719740551191759</v>
      </c>
      <c r="P4" s="2">
        <f t="shared" si="0"/>
        <v>0.41719740551191759</v>
      </c>
      <c r="Q4" s="2">
        <f t="shared" si="0"/>
        <v>0.41719740551191759</v>
      </c>
      <c r="R4" s="2">
        <f t="shared" si="0"/>
        <v>0.41719740551191759</v>
      </c>
      <c r="S4" s="2">
        <f t="shared" si="0"/>
        <v>0.41719740551191759</v>
      </c>
      <c r="T4" s="2">
        <f t="shared" si="0"/>
        <v>0.41719740551191759</v>
      </c>
      <c r="U4" s="2">
        <f t="shared" si="0"/>
        <v>0.41719740551191759</v>
      </c>
      <c r="V4" s="2">
        <f t="shared" si="0"/>
        <v>0.41719740551191759</v>
      </c>
      <c r="W4" s="2">
        <f t="shared" si="0"/>
        <v>0.41719740551191759</v>
      </c>
      <c r="X4" s="2">
        <f t="shared" si="0"/>
        <v>0.41719740551191759</v>
      </c>
      <c r="Y4" s="2">
        <f t="shared" si="0"/>
        <v>0.41719740551191759</v>
      </c>
      <c r="Z4" s="2">
        <f t="shared" si="0"/>
        <v>0.41719740551191759</v>
      </c>
      <c r="AA4" s="2">
        <f t="shared" si="0"/>
        <v>0.41719740551191759</v>
      </c>
      <c r="AB4" s="2">
        <f t="shared" si="0"/>
        <v>0.41719740551191759</v>
      </c>
      <c r="AC4" s="2">
        <f t="shared" si="0"/>
        <v>0.41719740551191759</v>
      </c>
      <c r="AD4" s="2">
        <f t="shared" si="0"/>
        <v>0.41719740551191759</v>
      </c>
      <c r="AE4" s="2">
        <f t="shared" si="0"/>
        <v>0.41719740551191759</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3.2802594488082371E-2</v>
      </c>
      <c r="C6" s="2">
        <f>$B$6</f>
        <v>3.2802594488082371E-2</v>
      </c>
      <c r="D6" s="2">
        <f t="shared" ref="D6:AE6" si="1">$B$6</f>
        <v>3.2802594488082371E-2</v>
      </c>
      <c r="E6" s="2">
        <f t="shared" si="1"/>
        <v>3.2802594488082371E-2</v>
      </c>
      <c r="F6" s="2">
        <f t="shared" si="1"/>
        <v>3.2802594488082371E-2</v>
      </c>
      <c r="G6" s="2">
        <f t="shared" si="1"/>
        <v>3.2802594488082371E-2</v>
      </c>
      <c r="H6" s="2">
        <f t="shared" si="1"/>
        <v>3.2802594488082371E-2</v>
      </c>
      <c r="I6" s="2">
        <f t="shared" si="1"/>
        <v>3.2802594488082371E-2</v>
      </c>
      <c r="J6" s="2">
        <f t="shared" si="1"/>
        <v>3.2802594488082371E-2</v>
      </c>
      <c r="K6" s="2">
        <f t="shared" si="1"/>
        <v>3.2802594488082371E-2</v>
      </c>
      <c r="L6" s="2">
        <f t="shared" si="1"/>
        <v>3.2802594488082371E-2</v>
      </c>
      <c r="M6" s="2">
        <f t="shared" si="1"/>
        <v>3.2802594488082371E-2</v>
      </c>
      <c r="N6" s="2">
        <f t="shared" si="1"/>
        <v>3.2802594488082371E-2</v>
      </c>
      <c r="O6" s="2">
        <f t="shared" si="1"/>
        <v>3.2802594488082371E-2</v>
      </c>
      <c r="P6" s="2">
        <f t="shared" si="1"/>
        <v>3.2802594488082371E-2</v>
      </c>
      <c r="Q6" s="2">
        <f t="shared" si="1"/>
        <v>3.2802594488082371E-2</v>
      </c>
      <c r="R6" s="2">
        <f t="shared" si="1"/>
        <v>3.2802594488082371E-2</v>
      </c>
      <c r="S6" s="2">
        <f t="shared" si="1"/>
        <v>3.2802594488082371E-2</v>
      </c>
      <c r="T6" s="2">
        <f t="shared" si="1"/>
        <v>3.2802594488082371E-2</v>
      </c>
      <c r="U6" s="2">
        <f t="shared" si="1"/>
        <v>3.2802594488082371E-2</v>
      </c>
      <c r="V6" s="2">
        <f t="shared" si="1"/>
        <v>3.2802594488082371E-2</v>
      </c>
      <c r="W6" s="2">
        <f t="shared" si="1"/>
        <v>3.2802594488082371E-2</v>
      </c>
      <c r="X6" s="2">
        <f t="shared" si="1"/>
        <v>3.2802594488082371E-2</v>
      </c>
      <c r="Y6" s="2">
        <f t="shared" si="1"/>
        <v>3.2802594488082371E-2</v>
      </c>
      <c r="Z6" s="2">
        <f t="shared" si="1"/>
        <v>3.2802594488082371E-2</v>
      </c>
      <c r="AA6" s="2">
        <f t="shared" si="1"/>
        <v>3.2802594488082371E-2</v>
      </c>
      <c r="AB6" s="2">
        <f t="shared" si="1"/>
        <v>3.2802594488082371E-2</v>
      </c>
      <c r="AC6" s="2">
        <f t="shared" si="1"/>
        <v>3.2802594488082371E-2</v>
      </c>
      <c r="AD6" s="2">
        <f t="shared" si="1"/>
        <v>3.2802594488082371E-2</v>
      </c>
      <c r="AE6" s="2">
        <f t="shared" si="1"/>
        <v>3.2802594488082371E-2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ignoredErrors>
    <ignoredError sqref="B5:C5"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topLeftCell="C1" workbookViewId="0">
      <selection activeCell="AE1" sqref="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1"/>
  <sheetViews>
    <sheetView workbookViewId="0"/>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0.92710534558203916</v>
      </c>
      <c r="C4" s="2">
        <f t="shared" ref="C4:AE4" si="0">1-C6</f>
        <v>0.92710534558203916</v>
      </c>
      <c r="D4" s="2">
        <f t="shared" si="0"/>
        <v>0.92710534558203916</v>
      </c>
      <c r="E4" s="2">
        <f t="shared" si="0"/>
        <v>0.92710534558203916</v>
      </c>
      <c r="F4" s="2">
        <f t="shared" si="0"/>
        <v>0.92710534558203916</v>
      </c>
      <c r="G4" s="2">
        <f t="shared" si="0"/>
        <v>0.92710534558203916</v>
      </c>
      <c r="H4" s="2">
        <f t="shared" si="0"/>
        <v>0.92710534558203916</v>
      </c>
      <c r="I4" s="2">
        <f t="shared" si="0"/>
        <v>0.92710534558203916</v>
      </c>
      <c r="J4" s="2">
        <f t="shared" si="0"/>
        <v>0.92710534558203916</v>
      </c>
      <c r="K4" s="2">
        <f t="shared" si="0"/>
        <v>0.92710534558203916</v>
      </c>
      <c r="L4" s="2">
        <f t="shared" si="0"/>
        <v>0.92710534558203916</v>
      </c>
      <c r="M4" s="2">
        <f t="shared" si="0"/>
        <v>0.92710534558203916</v>
      </c>
      <c r="N4" s="2">
        <f t="shared" si="0"/>
        <v>0.92710534558203916</v>
      </c>
      <c r="O4" s="2">
        <f t="shared" si="0"/>
        <v>0.92710534558203916</v>
      </c>
      <c r="P4" s="2">
        <f t="shared" si="0"/>
        <v>0.92710534558203916</v>
      </c>
      <c r="Q4" s="2">
        <f t="shared" si="0"/>
        <v>0.92710534558203916</v>
      </c>
      <c r="R4" s="2">
        <f t="shared" si="0"/>
        <v>0.92710534558203916</v>
      </c>
      <c r="S4" s="2">
        <f t="shared" si="0"/>
        <v>0.92710534558203916</v>
      </c>
      <c r="T4" s="2">
        <f t="shared" si="0"/>
        <v>0.92710534558203916</v>
      </c>
      <c r="U4" s="2">
        <f t="shared" si="0"/>
        <v>0.92710534558203916</v>
      </c>
      <c r="V4" s="2">
        <f t="shared" si="0"/>
        <v>0.92710534558203916</v>
      </c>
      <c r="W4" s="2">
        <f t="shared" si="0"/>
        <v>0.92710534558203916</v>
      </c>
      <c r="X4" s="2">
        <f t="shared" si="0"/>
        <v>0.92710534558203916</v>
      </c>
      <c r="Y4" s="2">
        <f t="shared" si="0"/>
        <v>0.92710534558203916</v>
      </c>
      <c r="Z4" s="2">
        <f t="shared" si="0"/>
        <v>0.92710534558203916</v>
      </c>
      <c r="AA4" s="2">
        <f t="shared" si="0"/>
        <v>0.92710534558203916</v>
      </c>
      <c r="AB4" s="2">
        <f t="shared" si="0"/>
        <v>0.92710534558203916</v>
      </c>
      <c r="AC4" s="2">
        <f t="shared" si="0"/>
        <v>0.92710534558203916</v>
      </c>
      <c r="AD4" s="2">
        <f t="shared" si="0"/>
        <v>0.92710534558203916</v>
      </c>
      <c r="AE4" s="2">
        <f t="shared" si="0"/>
        <v>0.92710534558203916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7.2894654417960836E-2</v>
      </c>
      <c r="C6" s="2">
        <f>'ethanol content'!$J$3</f>
        <v>7.2894654417960836E-2</v>
      </c>
      <c r="D6" s="2">
        <f>'ethanol content'!$J$3</f>
        <v>7.2894654417960836E-2</v>
      </c>
      <c r="E6" s="2">
        <f>'ethanol content'!$J$3</f>
        <v>7.2894654417960836E-2</v>
      </c>
      <c r="F6" s="2">
        <f>'ethanol content'!$J$3</f>
        <v>7.2894654417960836E-2</v>
      </c>
      <c r="G6" s="2">
        <f>'ethanol content'!$J$3</f>
        <v>7.2894654417960836E-2</v>
      </c>
      <c r="H6" s="2">
        <f>'ethanol content'!$J$3</f>
        <v>7.2894654417960836E-2</v>
      </c>
      <c r="I6" s="2">
        <f>'ethanol content'!$J$3</f>
        <v>7.2894654417960836E-2</v>
      </c>
      <c r="J6" s="2">
        <f>'ethanol content'!$J$3</f>
        <v>7.2894654417960836E-2</v>
      </c>
      <c r="K6" s="2">
        <f>'ethanol content'!$J$3</f>
        <v>7.2894654417960836E-2</v>
      </c>
      <c r="L6" s="2">
        <f>'ethanol content'!$J$3</f>
        <v>7.2894654417960836E-2</v>
      </c>
      <c r="M6" s="2">
        <f>'ethanol content'!$J$3</f>
        <v>7.2894654417960836E-2</v>
      </c>
      <c r="N6" s="2">
        <f>'ethanol content'!$J$3</f>
        <v>7.2894654417960836E-2</v>
      </c>
      <c r="O6" s="2">
        <f>'ethanol content'!$J$3</f>
        <v>7.2894654417960836E-2</v>
      </c>
      <c r="P6" s="2">
        <f>'ethanol content'!$J$3</f>
        <v>7.2894654417960836E-2</v>
      </c>
      <c r="Q6" s="2">
        <f>'ethanol content'!$J$3</f>
        <v>7.2894654417960836E-2</v>
      </c>
      <c r="R6" s="2">
        <f>'ethanol content'!$J$3</f>
        <v>7.2894654417960836E-2</v>
      </c>
      <c r="S6" s="2">
        <f>'ethanol content'!$J$3</f>
        <v>7.2894654417960836E-2</v>
      </c>
      <c r="T6" s="2">
        <f>'ethanol content'!$J$3</f>
        <v>7.2894654417960836E-2</v>
      </c>
      <c r="U6" s="2">
        <f>'ethanol content'!$J$3</f>
        <v>7.2894654417960836E-2</v>
      </c>
      <c r="V6" s="2">
        <f>'ethanol content'!$J$3</f>
        <v>7.2894654417960836E-2</v>
      </c>
      <c r="W6" s="2">
        <f>'ethanol content'!$J$3</f>
        <v>7.2894654417960836E-2</v>
      </c>
      <c r="X6" s="2">
        <f>'ethanol content'!$J$3</f>
        <v>7.2894654417960836E-2</v>
      </c>
      <c r="Y6" s="2">
        <f>'ethanol content'!$J$3</f>
        <v>7.2894654417960836E-2</v>
      </c>
      <c r="Z6" s="2">
        <f>'ethanol content'!$J$3</f>
        <v>7.2894654417960836E-2</v>
      </c>
      <c r="AA6" s="2">
        <f>'ethanol content'!$J$3</f>
        <v>7.2894654417960836E-2</v>
      </c>
      <c r="AB6" s="2">
        <f>'ethanol content'!$J$3</f>
        <v>7.2894654417960836E-2</v>
      </c>
      <c r="AC6" s="2">
        <f>'ethanol content'!$J$3</f>
        <v>7.2894654417960836E-2</v>
      </c>
      <c r="AD6" s="2">
        <f>'ethanol content'!$J$3</f>
        <v>7.2894654417960836E-2</v>
      </c>
      <c r="AE6" s="2">
        <f>'ethanol content'!$J$3</f>
        <v>7.2894654417960836E-2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ignoredErrors>
    <ignoredError sqref="B5:AE5" formulaRange="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C11"/>
  <sheetViews>
    <sheetView workbookViewId="0">
      <selection activeCell="A7" sqref="A7"/>
    </sheetView>
  </sheetViews>
  <sheetFormatPr defaultRowHeight="14.25"/>
  <cols>
    <col min="1" max="1" width="22.53125" customWidth="1"/>
  </cols>
  <sheetData>
    <row r="1" spans="1:29" ht="28.5">
      <c r="A1" s="10" t="s">
        <v>85</v>
      </c>
      <c r="B1">
        <f>'Biodiesel Fraction'!D6</f>
        <v>2023</v>
      </c>
      <c r="C1">
        <f>'Biodiesel Fraction'!E6</f>
        <v>2024</v>
      </c>
      <c r="D1">
        <f>'Biodiesel Fraction'!F6</f>
        <v>2025</v>
      </c>
      <c r="E1">
        <f>'Biodiesel Fraction'!G6</f>
        <v>2026</v>
      </c>
      <c r="F1">
        <f>'Biodiesel Fraction'!H6</f>
        <v>2027</v>
      </c>
      <c r="G1">
        <f>'Biodiesel Fraction'!I6</f>
        <v>2028</v>
      </c>
      <c r="H1">
        <f>'Biodiesel Fraction'!J6</f>
        <v>2029</v>
      </c>
      <c r="I1">
        <f>'Biodiesel Fraction'!K6</f>
        <v>2030</v>
      </c>
      <c r="J1">
        <f>'Biodiesel Fraction'!L6</f>
        <v>2031</v>
      </c>
      <c r="K1">
        <f>'Biodiesel Fraction'!M6</f>
        <v>2032</v>
      </c>
      <c r="L1">
        <f>'Biodiesel Fraction'!N6</f>
        <v>2033</v>
      </c>
      <c r="M1">
        <f>'Biodiesel Fraction'!O6</f>
        <v>2034</v>
      </c>
      <c r="N1">
        <f>'Biodiesel Fraction'!P6</f>
        <v>2035</v>
      </c>
      <c r="O1">
        <f>'Biodiesel Fraction'!Q6</f>
        <v>2036</v>
      </c>
      <c r="P1">
        <f>'Biodiesel Fraction'!R6</f>
        <v>2037</v>
      </c>
      <c r="Q1">
        <f>'Biodiesel Fraction'!S6</f>
        <v>2038</v>
      </c>
      <c r="R1">
        <f>'Biodiesel Fraction'!T6</f>
        <v>2039</v>
      </c>
      <c r="S1">
        <f>'Biodiesel Fraction'!U6</f>
        <v>2040</v>
      </c>
      <c r="T1">
        <f>'Biodiesel Fraction'!V6</f>
        <v>2041</v>
      </c>
      <c r="U1">
        <f>'Biodiesel Fraction'!W6</f>
        <v>2042</v>
      </c>
      <c r="V1">
        <f>'Biodiesel Fraction'!X6</f>
        <v>2043</v>
      </c>
      <c r="W1">
        <f>'Biodiesel Fraction'!Y6</f>
        <v>2044</v>
      </c>
      <c r="X1">
        <f>'Biodiesel Fraction'!Z6</f>
        <v>2045</v>
      </c>
      <c r="Y1">
        <f>'Biodiesel Fraction'!AA6</f>
        <v>2046</v>
      </c>
      <c r="Z1">
        <f>'Biodiesel Fraction'!AB6</f>
        <v>2047</v>
      </c>
      <c r="AA1">
        <f>'Biodiesel Fraction'!AC6</f>
        <v>2048</v>
      </c>
      <c r="AB1">
        <f>'Biodiesel Fraction'!AD6</f>
        <v>2049</v>
      </c>
      <c r="AC1">
        <f>'Biodiesel Fraction'!AE6</f>
        <v>2050</v>
      </c>
    </row>
    <row r="2" spans="1:29">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18</v>
      </c>
      <c r="B5">
        <f>IF('Biodiesel Fraction'!$B19,1-'Biodiesel Fraction'!B30,1)</f>
        <v>0.96756119768275339</v>
      </c>
      <c r="C5">
        <f>IF('Biodiesel Fraction'!$B19,1-'Biodiesel Fraction'!C30,1)</f>
        <v>0.96041416638410693</v>
      </c>
      <c r="D5">
        <f>IF('Biodiesel Fraction'!$B19,1-'Biodiesel Fraction'!D30,1)</f>
        <v>0.97356339762964994</v>
      </c>
      <c r="E5">
        <f>IF('Biodiesel Fraction'!$B19,1-'Biodiesel Fraction'!E30,1)</f>
        <v>0.96819489918684676</v>
      </c>
      <c r="F5">
        <f>IF('Biodiesel Fraction'!$B19,1-'Biodiesel Fraction'!F30,1)</f>
        <v>0.9694313153961085</v>
      </c>
      <c r="G5">
        <f>IF('Biodiesel Fraction'!$B19,1-'Biodiesel Fraction'!G30,1)</f>
        <v>0.96844687488582915</v>
      </c>
      <c r="H5">
        <f>IF('Biodiesel Fraction'!$B19,1-'Biodiesel Fraction'!H30,1)</f>
        <v>0.96769466424220119</v>
      </c>
      <c r="I5">
        <f>IF('Biodiesel Fraction'!$B19,1-'Biodiesel Fraction'!I30,1)</f>
        <v>0.97301476920346763</v>
      </c>
      <c r="J5">
        <f>IF('Biodiesel Fraction'!$B19,1-'Biodiesel Fraction'!J30,1)</f>
        <v>0.97148924247968638</v>
      </c>
      <c r="K5">
        <f>IF('Biodiesel Fraction'!$B19,1-'Biodiesel Fraction'!K30,1)</f>
        <v>0.97071698265400486</v>
      </c>
      <c r="L5">
        <f>IF('Biodiesel Fraction'!$B19,1-'Biodiesel Fraction'!L30,1)</f>
        <v>0.96917636816015995</v>
      </c>
      <c r="M5">
        <f>IF('Biodiesel Fraction'!$B19,1-'Biodiesel Fraction'!M30,1)</f>
        <v>0.96845068326481953</v>
      </c>
      <c r="N5">
        <f>IF('Biodiesel Fraction'!$B19,1-'Biodiesel Fraction'!N30,1)</f>
        <v>0.96781535449254963</v>
      </c>
      <c r="O5">
        <f>IF('Biodiesel Fraction'!$B19,1-'Biodiesel Fraction'!O30,1)</f>
        <v>0.96959483363592802</v>
      </c>
      <c r="P5">
        <f>IF('Biodiesel Fraction'!$B19,1-'Biodiesel Fraction'!P30,1)</f>
        <v>0.96800055913200733</v>
      </c>
      <c r="Q5">
        <f>IF('Biodiesel Fraction'!$B19,1-'Biodiesel Fraction'!Q30,1)</f>
        <v>0.9681622422082321</v>
      </c>
      <c r="R5">
        <f>IF('Biodiesel Fraction'!$B19,1-'Biodiesel Fraction'!R30,1)</f>
        <v>0.96850829509174097</v>
      </c>
      <c r="S5">
        <f>IF('Biodiesel Fraction'!$B19,1-'Biodiesel Fraction'!S30,1)</f>
        <v>0.96887665017064251</v>
      </c>
      <c r="T5">
        <f>IF('Biodiesel Fraction'!$B19,1-'Biodiesel Fraction'!T30,1)</f>
        <v>0.96927688375388943</v>
      </c>
      <c r="U5">
        <f>IF('Biodiesel Fraction'!$B19,1-'Biodiesel Fraction'!U30,1)</f>
        <v>0.96969750898291518</v>
      </c>
      <c r="V5">
        <f>IF('Biodiesel Fraction'!$B19,1-'Biodiesel Fraction'!V30,1)</f>
        <v>0.97019679411950621</v>
      </c>
      <c r="W5">
        <f>IF('Biodiesel Fraction'!$B19,1-'Biodiesel Fraction'!W30,1)</f>
        <v>0.97073702348215174</v>
      </c>
      <c r="X5">
        <f>IF('Biodiesel Fraction'!$B19,1-'Biodiesel Fraction'!X30,1)</f>
        <v>0.97131433466573613</v>
      </c>
      <c r="Y5">
        <f>IF('Biodiesel Fraction'!$B19,1-'Biodiesel Fraction'!Y30,1)</f>
        <v>0.97188152324697641</v>
      </c>
      <c r="Z5">
        <f>IF('Biodiesel Fraction'!$B19,1-'Biodiesel Fraction'!Z30,1)</f>
        <v>0.97238815025072933</v>
      </c>
      <c r="AA5">
        <f>IF('Biodiesel Fraction'!$B19,1-'Biodiesel Fraction'!AA30,1)</f>
        <v>0.97300901420080355</v>
      </c>
      <c r="AB5">
        <f>IF('Biodiesel Fraction'!$B19,1-'Biodiesel Fraction'!AB30,1)</f>
        <v>0.62592134673285527</v>
      </c>
      <c r="AC5">
        <f>IF('Biodiesel Fraction'!$B19,1-'Biodiesel Fraction'!AC30,1)</f>
        <v>0.62619138506908212</v>
      </c>
    </row>
    <row r="6" spans="1:29">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21</v>
      </c>
      <c r="B7">
        <f>IF('Biodiesel Fraction'!$B19,'Biodiesel Fraction'!B30,0)</f>
        <v>3.2438802317246634E-2</v>
      </c>
      <c r="C7">
        <f>IF('Biodiesel Fraction'!$B19,'Biodiesel Fraction'!C30,0)</f>
        <v>3.9585833615893101E-2</v>
      </c>
      <c r="D7">
        <f>IF('Biodiesel Fraction'!$B19,'Biodiesel Fraction'!D30,0)</f>
        <v>2.6436602370350101E-2</v>
      </c>
      <c r="E7">
        <f>IF('Biodiesel Fraction'!$B19,'Biodiesel Fraction'!E30,0)</f>
        <v>3.1805100813153228E-2</v>
      </c>
      <c r="F7">
        <f>IF('Biodiesel Fraction'!$B19,'Biodiesel Fraction'!F30,0)</f>
        <v>3.0568684603891498E-2</v>
      </c>
      <c r="G7">
        <f>IF('Biodiesel Fraction'!$B19,'Biodiesel Fraction'!G30,0)</f>
        <v>3.1553125114170841E-2</v>
      </c>
      <c r="H7">
        <f>IF('Biodiesel Fraction'!$B19,'Biodiesel Fraction'!H30,0)</f>
        <v>3.2305335757798835E-2</v>
      </c>
      <c r="I7">
        <f>IF('Biodiesel Fraction'!$B19,'Biodiesel Fraction'!I30,0)</f>
        <v>2.6985230796532339E-2</v>
      </c>
      <c r="J7">
        <f>IF('Biodiesel Fraction'!$B19,'Biodiesel Fraction'!J30,0)</f>
        <v>2.8510757520313589E-2</v>
      </c>
      <c r="K7">
        <f>IF('Biodiesel Fraction'!$B19,'Biodiesel Fraction'!K30,0)</f>
        <v>2.928301734599514E-2</v>
      </c>
      <c r="L7">
        <f>IF('Biodiesel Fraction'!$B19,'Biodiesel Fraction'!L30,0)</f>
        <v>3.0823631839840031E-2</v>
      </c>
      <c r="M7">
        <f>IF('Biodiesel Fraction'!$B19,'Biodiesel Fraction'!M30,0)</f>
        <v>3.154931673518048E-2</v>
      </c>
      <c r="N7">
        <f>IF('Biodiesel Fraction'!$B19,'Biodiesel Fraction'!N30,0)</f>
        <v>3.2184645507450385E-2</v>
      </c>
      <c r="O7">
        <f>IF('Biodiesel Fraction'!$B19,'Biodiesel Fraction'!O30,0)</f>
        <v>3.040516636407193E-2</v>
      </c>
      <c r="P7">
        <f>IF('Biodiesel Fraction'!$B19,'Biodiesel Fraction'!P30,0)</f>
        <v>3.1999440867992696E-2</v>
      </c>
      <c r="Q7">
        <f>IF('Biodiesel Fraction'!$B19,'Biodiesel Fraction'!Q30,0)</f>
        <v>3.1837757791767944E-2</v>
      </c>
      <c r="R7">
        <f>IF('Biodiesel Fraction'!$B19,'Biodiesel Fraction'!R30,0)</f>
        <v>3.1491704908259026E-2</v>
      </c>
      <c r="S7">
        <f>IF('Biodiesel Fraction'!$B19,'Biodiesel Fraction'!S30,0)</f>
        <v>3.1123349829357549E-2</v>
      </c>
      <c r="T7">
        <f>IF('Biodiesel Fraction'!$B19,'Biodiesel Fraction'!T30,0)</f>
        <v>3.0723116246110606E-2</v>
      </c>
      <c r="U7">
        <f>IF('Biodiesel Fraction'!$B19,'Biodiesel Fraction'!U30,0)</f>
        <v>3.0302491017084848E-2</v>
      </c>
      <c r="V7">
        <f>IF('Biodiesel Fraction'!$B19,'Biodiesel Fraction'!V30,0)</f>
        <v>2.980320588049383E-2</v>
      </c>
      <c r="W7">
        <f>IF('Biodiesel Fraction'!$B19,'Biodiesel Fraction'!W30,0)</f>
        <v>2.9262976517848212E-2</v>
      </c>
      <c r="X7">
        <f>IF('Biodiesel Fraction'!$B19,'Biodiesel Fraction'!X30,0)</f>
        <v>2.8685665334263914E-2</v>
      </c>
      <c r="Y7">
        <f>IF('Biodiesel Fraction'!$B19,'Biodiesel Fraction'!Y30,0)</f>
        <v>2.8118476753023584E-2</v>
      </c>
      <c r="Z7">
        <f>IF('Biodiesel Fraction'!$B19,'Biodiesel Fraction'!Z30,0)</f>
        <v>2.7611849749270688E-2</v>
      </c>
      <c r="AA7">
        <f>IF('Biodiesel Fraction'!$B19,'Biodiesel Fraction'!AA30,0)</f>
        <v>2.6990985799196437E-2</v>
      </c>
      <c r="AB7">
        <f>IF('Biodiesel Fraction'!$B19,'Biodiesel Fraction'!AB30,0)</f>
        <v>0.37407865326714473</v>
      </c>
      <c r="AC7">
        <f>IF('Biodiesel Fraction'!$B19,'Biodiesel Fraction'!AC30,0)</f>
        <v>0.37380861493091794</v>
      </c>
    </row>
    <row r="8" spans="1:29">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1"/>
  <sheetViews>
    <sheetView workbookViewId="0">
      <selection activeCell="B2" sqref="B2"/>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0.41719740551191759</v>
      </c>
      <c r="C4" s="2">
        <f>$B$4</f>
        <v>0.41719740551191759</v>
      </c>
      <c r="D4" s="2">
        <f t="shared" ref="D4:AE4" si="0">$B$4</f>
        <v>0.41719740551191759</v>
      </c>
      <c r="E4" s="2">
        <f t="shared" si="0"/>
        <v>0.41719740551191759</v>
      </c>
      <c r="F4" s="2">
        <f t="shared" si="0"/>
        <v>0.41719740551191759</v>
      </c>
      <c r="G4" s="2">
        <f t="shared" si="0"/>
        <v>0.41719740551191759</v>
      </c>
      <c r="H4" s="2">
        <f t="shared" si="0"/>
        <v>0.41719740551191759</v>
      </c>
      <c r="I4" s="2">
        <f t="shared" si="0"/>
        <v>0.41719740551191759</v>
      </c>
      <c r="J4" s="2">
        <f t="shared" si="0"/>
        <v>0.41719740551191759</v>
      </c>
      <c r="K4" s="2">
        <f t="shared" si="0"/>
        <v>0.41719740551191759</v>
      </c>
      <c r="L4" s="2">
        <f t="shared" si="0"/>
        <v>0.41719740551191759</v>
      </c>
      <c r="M4" s="2">
        <f t="shared" si="0"/>
        <v>0.41719740551191759</v>
      </c>
      <c r="N4" s="2">
        <f t="shared" si="0"/>
        <v>0.41719740551191759</v>
      </c>
      <c r="O4" s="2">
        <f t="shared" si="0"/>
        <v>0.41719740551191759</v>
      </c>
      <c r="P4" s="2">
        <f t="shared" si="0"/>
        <v>0.41719740551191759</v>
      </c>
      <c r="Q4" s="2">
        <f t="shared" si="0"/>
        <v>0.41719740551191759</v>
      </c>
      <c r="R4" s="2">
        <f t="shared" si="0"/>
        <v>0.41719740551191759</v>
      </c>
      <c r="S4" s="2">
        <f t="shared" si="0"/>
        <v>0.41719740551191759</v>
      </c>
      <c r="T4" s="2">
        <f t="shared" si="0"/>
        <v>0.41719740551191759</v>
      </c>
      <c r="U4" s="2">
        <f t="shared" si="0"/>
        <v>0.41719740551191759</v>
      </c>
      <c r="V4" s="2">
        <f t="shared" si="0"/>
        <v>0.41719740551191759</v>
      </c>
      <c r="W4" s="2">
        <f t="shared" si="0"/>
        <v>0.41719740551191759</v>
      </c>
      <c r="X4" s="2">
        <f t="shared" si="0"/>
        <v>0.41719740551191759</v>
      </c>
      <c r="Y4" s="2">
        <f t="shared" si="0"/>
        <v>0.41719740551191759</v>
      </c>
      <c r="Z4" s="2">
        <f t="shared" si="0"/>
        <v>0.41719740551191759</v>
      </c>
      <c r="AA4" s="2">
        <f t="shared" si="0"/>
        <v>0.41719740551191759</v>
      </c>
      <c r="AB4" s="2">
        <f t="shared" si="0"/>
        <v>0.41719740551191759</v>
      </c>
      <c r="AC4" s="2">
        <f t="shared" si="0"/>
        <v>0.41719740551191759</v>
      </c>
      <c r="AD4" s="2">
        <f t="shared" si="0"/>
        <v>0.41719740551191759</v>
      </c>
      <c r="AE4" s="2">
        <f t="shared" si="0"/>
        <v>0.41719740551191759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3.2802594488082371E-2</v>
      </c>
      <c r="C6" s="2">
        <f>$B$6</f>
        <v>3.2802594488082371E-2</v>
      </c>
      <c r="D6" s="2">
        <f t="shared" ref="D6:AE6" si="1">$B$6</f>
        <v>3.2802594488082371E-2</v>
      </c>
      <c r="E6" s="2">
        <f t="shared" si="1"/>
        <v>3.2802594488082371E-2</v>
      </c>
      <c r="F6" s="2">
        <f t="shared" si="1"/>
        <v>3.2802594488082371E-2</v>
      </c>
      <c r="G6" s="2">
        <f t="shared" si="1"/>
        <v>3.2802594488082371E-2</v>
      </c>
      <c r="H6" s="2">
        <f t="shared" si="1"/>
        <v>3.2802594488082371E-2</v>
      </c>
      <c r="I6" s="2">
        <f t="shared" si="1"/>
        <v>3.2802594488082371E-2</v>
      </c>
      <c r="J6" s="2">
        <f t="shared" si="1"/>
        <v>3.2802594488082371E-2</v>
      </c>
      <c r="K6" s="2">
        <f t="shared" si="1"/>
        <v>3.2802594488082371E-2</v>
      </c>
      <c r="L6" s="2">
        <f t="shared" si="1"/>
        <v>3.2802594488082371E-2</v>
      </c>
      <c r="M6" s="2">
        <f t="shared" si="1"/>
        <v>3.2802594488082371E-2</v>
      </c>
      <c r="N6" s="2">
        <f t="shared" si="1"/>
        <v>3.2802594488082371E-2</v>
      </c>
      <c r="O6" s="2">
        <f t="shared" si="1"/>
        <v>3.2802594488082371E-2</v>
      </c>
      <c r="P6" s="2">
        <f t="shared" si="1"/>
        <v>3.2802594488082371E-2</v>
      </c>
      <c r="Q6" s="2">
        <f t="shared" si="1"/>
        <v>3.2802594488082371E-2</v>
      </c>
      <c r="R6" s="2">
        <f t="shared" si="1"/>
        <v>3.2802594488082371E-2</v>
      </c>
      <c r="S6" s="2">
        <f t="shared" si="1"/>
        <v>3.2802594488082371E-2</v>
      </c>
      <c r="T6" s="2">
        <f t="shared" si="1"/>
        <v>3.2802594488082371E-2</v>
      </c>
      <c r="U6" s="2">
        <f t="shared" si="1"/>
        <v>3.2802594488082371E-2</v>
      </c>
      <c r="V6" s="2">
        <f t="shared" si="1"/>
        <v>3.2802594488082371E-2</v>
      </c>
      <c r="W6" s="2">
        <f t="shared" si="1"/>
        <v>3.2802594488082371E-2</v>
      </c>
      <c r="X6" s="2">
        <f t="shared" si="1"/>
        <v>3.2802594488082371E-2</v>
      </c>
      <c r="Y6" s="2">
        <f t="shared" si="1"/>
        <v>3.2802594488082371E-2</v>
      </c>
      <c r="Z6" s="2">
        <f t="shared" si="1"/>
        <v>3.2802594488082371E-2</v>
      </c>
      <c r="AA6" s="2">
        <f t="shared" si="1"/>
        <v>3.2802594488082371E-2</v>
      </c>
      <c r="AB6" s="2">
        <f t="shared" si="1"/>
        <v>3.2802594488082371E-2</v>
      </c>
      <c r="AC6" s="2">
        <f t="shared" si="1"/>
        <v>3.2802594488082371E-2</v>
      </c>
      <c r="AD6" s="2">
        <f t="shared" si="1"/>
        <v>3.2802594488082371E-2</v>
      </c>
      <c r="AE6" s="2">
        <f t="shared" si="1"/>
        <v>3.2802594488082371E-2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ignoredErrors>
    <ignoredError sqref="B5:C5"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election activeCell="B1" sqref="B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A6" sqref="A6"/>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0.92710534558203916</v>
      </c>
      <c r="C4" s="2">
        <f t="shared" si="0"/>
        <v>0.92710534558203916</v>
      </c>
      <c r="D4" s="2">
        <f t="shared" si="0"/>
        <v>0.92710534558203916</v>
      </c>
      <c r="E4" s="2">
        <f t="shared" si="0"/>
        <v>0.92710534558203916</v>
      </c>
      <c r="F4" s="2">
        <f t="shared" si="0"/>
        <v>0.92710534558203916</v>
      </c>
      <c r="G4" s="2">
        <f t="shared" si="0"/>
        <v>0.92710534558203916</v>
      </c>
      <c r="H4" s="2">
        <f t="shared" si="0"/>
        <v>0.92710534558203916</v>
      </c>
      <c r="I4" s="2">
        <f t="shared" si="0"/>
        <v>0.92710534558203916</v>
      </c>
      <c r="J4" s="2">
        <f t="shared" si="0"/>
        <v>0.92710534558203916</v>
      </c>
      <c r="K4" s="2">
        <f t="shared" si="0"/>
        <v>0.92710534558203916</v>
      </c>
      <c r="L4" s="2">
        <f t="shared" si="0"/>
        <v>0.92710534558203916</v>
      </c>
      <c r="M4" s="2">
        <f t="shared" si="0"/>
        <v>0.92710534558203916</v>
      </c>
      <c r="N4" s="2">
        <f t="shared" si="0"/>
        <v>0.92710534558203916</v>
      </c>
      <c r="O4" s="2">
        <f t="shared" si="0"/>
        <v>0.92710534558203916</v>
      </c>
      <c r="P4" s="2">
        <f t="shared" si="0"/>
        <v>0.92710534558203916</v>
      </c>
      <c r="Q4" s="2">
        <f t="shared" si="0"/>
        <v>0.92710534558203916</v>
      </c>
      <c r="R4" s="2">
        <f t="shared" si="0"/>
        <v>0.92710534558203916</v>
      </c>
      <c r="S4" s="2">
        <f t="shared" si="0"/>
        <v>0.92710534558203916</v>
      </c>
      <c r="T4" s="2">
        <f t="shared" si="0"/>
        <v>0.92710534558203916</v>
      </c>
      <c r="U4" s="2">
        <f t="shared" si="0"/>
        <v>0.92710534558203916</v>
      </c>
      <c r="V4" s="2">
        <f t="shared" si="0"/>
        <v>0.92710534558203916</v>
      </c>
      <c r="W4" s="2">
        <f t="shared" si="0"/>
        <v>0.92710534558203916</v>
      </c>
      <c r="X4" s="2">
        <f t="shared" si="0"/>
        <v>0.92710534558203916</v>
      </c>
      <c r="Y4" s="2">
        <f t="shared" si="0"/>
        <v>0.92710534558203916</v>
      </c>
      <c r="Z4" s="2">
        <f t="shared" si="0"/>
        <v>0.92710534558203916</v>
      </c>
      <c r="AA4" s="2">
        <f t="shared" si="0"/>
        <v>0.92710534558203916</v>
      </c>
      <c r="AB4" s="2">
        <f t="shared" si="0"/>
        <v>0.92710534558203916</v>
      </c>
      <c r="AC4" s="2">
        <f t="shared" si="0"/>
        <v>0.92710534558203916</v>
      </c>
      <c r="AD4" s="2">
        <f t="shared" si="0"/>
        <v>0.92710534558203916</v>
      </c>
      <c r="AE4" s="2">
        <f t="shared" si="0"/>
        <v>0.92710534558203916</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7.2894654417960836E-2</v>
      </c>
      <c r="C6" s="2">
        <f>$B$6</f>
        <v>7.2894654417960836E-2</v>
      </c>
      <c r="D6" s="2">
        <f t="shared" ref="D6:AE6" si="1">$B$6</f>
        <v>7.2894654417960836E-2</v>
      </c>
      <c r="E6" s="2">
        <f t="shared" si="1"/>
        <v>7.2894654417960836E-2</v>
      </c>
      <c r="F6" s="2">
        <f t="shared" si="1"/>
        <v>7.2894654417960836E-2</v>
      </c>
      <c r="G6" s="2">
        <f t="shared" si="1"/>
        <v>7.2894654417960836E-2</v>
      </c>
      <c r="H6" s="2">
        <f t="shared" si="1"/>
        <v>7.2894654417960836E-2</v>
      </c>
      <c r="I6" s="2">
        <f t="shared" si="1"/>
        <v>7.2894654417960836E-2</v>
      </c>
      <c r="J6" s="2">
        <f t="shared" si="1"/>
        <v>7.2894654417960836E-2</v>
      </c>
      <c r="K6" s="2">
        <f t="shared" si="1"/>
        <v>7.2894654417960836E-2</v>
      </c>
      <c r="L6" s="2">
        <f t="shared" si="1"/>
        <v>7.2894654417960836E-2</v>
      </c>
      <c r="M6" s="2">
        <f t="shared" si="1"/>
        <v>7.2894654417960836E-2</v>
      </c>
      <c r="N6" s="2">
        <f t="shared" si="1"/>
        <v>7.2894654417960836E-2</v>
      </c>
      <c r="O6" s="2">
        <f t="shared" si="1"/>
        <v>7.2894654417960836E-2</v>
      </c>
      <c r="P6" s="2">
        <f t="shared" si="1"/>
        <v>7.2894654417960836E-2</v>
      </c>
      <c r="Q6" s="2">
        <f t="shared" si="1"/>
        <v>7.2894654417960836E-2</v>
      </c>
      <c r="R6" s="2">
        <f t="shared" si="1"/>
        <v>7.2894654417960836E-2</v>
      </c>
      <c r="S6" s="2">
        <f t="shared" si="1"/>
        <v>7.2894654417960836E-2</v>
      </c>
      <c r="T6" s="2">
        <f t="shared" si="1"/>
        <v>7.2894654417960836E-2</v>
      </c>
      <c r="U6" s="2">
        <f t="shared" si="1"/>
        <v>7.2894654417960836E-2</v>
      </c>
      <c r="V6" s="2">
        <f t="shared" si="1"/>
        <v>7.2894654417960836E-2</v>
      </c>
      <c r="W6" s="2">
        <f t="shared" si="1"/>
        <v>7.2894654417960836E-2</v>
      </c>
      <c r="X6" s="2">
        <f t="shared" si="1"/>
        <v>7.2894654417960836E-2</v>
      </c>
      <c r="Y6" s="2">
        <f t="shared" si="1"/>
        <v>7.2894654417960836E-2</v>
      </c>
      <c r="Z6" s="2">
        <f t="shared" si="1"/>
        <v>7.2894654417960836E-2</v>
      </c>
      <c r="AA6" s="2">
        <f t="shared" si="1"/>
        <v>7.2894654417960836E-2</v>
      </c>
      <c r="AB6" s="2">
        <f t="shared" si="1"/>
        <v>7.2894654417960836E-2</v>
      </c>
      <c r="AC6" s="2">
        <f t="shared" si="1"/>
        <v>7.2894654417960836E-2</v>
      </c>
      <c r="AD6" s="2">
        <f t="shared" si="1"/>
        <v>7.2894654417960836E-2</v>
      </c>
      <c r="AE6" s="2">
        <f t="shared" si="1"/>
        <v>7.2894654417960836E-2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C11"/>
  <sheetViews>
    <sheetView workbookViewId="0">
      <selection activeCell="B1" sqref="B1"/>
    </sheetView>
  </sheetViews>
  <sheetFormatPr defaultRowHeight="14.25"/>
  <cols>
    <col min="1" max="1" width="22.53125" customWidth="1"/>
  </cols>
  <sheetData>
    <row r="1" spans="1:29" ht="28.5">
      <c r="A1" s="10" t="s">
        <v>85</v>
      </c>
      <c r="B1">
        <f>'Biodiesel Fraction'!D6</f>
        <v>2023</v>
      </c>
      <c r="C1">
        <f>'Biodiesel Fraction'!E6</f>
        <v>2024</v>
      </c>
      <c r="D1">
        <f>'Biodiesel Fraction'!F6</f>
        <v>2025</v>
      </c>
      <c r="E1">
        <f>'Biodiesel Fraction'!G6</f>
        <v>2026</v>
      </c>
      <c r="F1">
        <f>'Biodiesel Fraction'!H6</f>
        <v>2027</v>
      </c>
      <c r="G1">
        <f>'Biodiesel Fraction'!I6</f>
        <v>2028</v>
      </c>
      <c r="H1">
        <f>'Biodiesel Fraction'!J6</f>
        <v>2029</v>
      </c>
      <c r="I1">
        <f>'Biodiesel Fraction'!K6</f>
        <v>2030</v>
      </c>
      <c r="J1">
        <f>'Biodiesel Fraction'!L6</f>
        <v>2031</v>
      </c>
      <c r="K1">
        <f>'Biodiesel Fraction'!M6</f>
        <v>2032</v>
      </c>
      <c r="L1">
        <f>'Biodiesel Fraction'!N6</f>
        <v>2033</v>
      </c>
      <c r="M1">
        <f>'Biodiesel Fraction'!O6</f>
        <v>2034</v>
      </c>
      <c r="N1">
        <f>'Biodiesel Fraction'!P6</f>
        <v>2035</v>
      </c>
      <c r="O1">
        <f>'Biodiesel Fraction'!Q6</f>
        <v>2036</v>
      </c>
      <c r="P1">
        <f>'Biodiesel Fraction'!R6</f>
        <v>2037</v>
      </c>
      <c r="Q1">
        <f>'Biodiesel Fraction'!S6</f>
        <v>2038</v>
      </c>
      <c r="R1">
        <f>'Biodiesel Fraction'!T6</f>
        <v>2039</v>
      </c>
      <c r="S1">
        <f>'Biodiesel Fraction'!U6</f>
        <v>2040</v>
      </c>
      <c r="T1">
        <f>'Biodiesel Fraction'!V6</f>
        <v>2041</v>
      </c>
      <c r="U1">
        <f>'Biodiesel Fraction'!W6</f>
        <v>2042</v>
      </c>
      <c r="V1">
        <f>'Biodiesel Fraction'!X6</f>
        <v>2043</v>
      </c>
      <c r="W1">
        <f>'Biodiesel Fraction'!Y6</f>
        <v>2044</v>
      </c>
      <c r="X1">
        <f>'Biodiesel Fraction'!Z6</f>
        <v>2045</v>
      </c>
      <c r="Y1">
        <f>'Biodiesel Fraction'!AA6</f>
        <v>2046</v>
      </c>
      <c r="Z1">
        <f>'Biodiesel Fraction'!AB6</f>
        <v>2047</v>
      </c>
      <c r="AA1">
        <f>'Biodiesel Fraction'!AC6</f>
        <v>2048</v>
      </c>
      <c r="AB1">
        <f>'Biodiesel Fraction'!AD6</f>
        <v>2049</v>
      </c>
      <c r="AC1">
        <f>'Biodiesel Fraction'!AE6</f>
        <v>2050</v>
      </c>
    </row>
    <row r="2" spans="1:29">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18</v>
      </c>
      <c r="B5">
        <f>IF('Biodiesel Fraction'!$B20,1-'Biodiesel Fraction'!B30,1)</f>
        <v>0.96756119768275339</v>
      </c>
      <c r="C5">
        <f>IF('Biodiesel Fraction'!$B20,1-'Biodiesel Fraction'!C30,1)</f>
        <v>0.96041416638410693</v>
      </c>
      <c r="D5">
        <f>IF('Biodiesel Fraction'!$B20,1-'Biodiesel Fraction'!D30,1)</f>
        <v>0.97356339762964994</v>
      </c>
      <c r="E5">
        <f>IF('Biodiesel Fraction'!$B20,1-'Biodiesel Fraction'!E30,1)</f>
        <v>0.96819489918684676</v>
      </c>
      <c r="F5">
        <f>IF('Biodiesel Fraction'!$B20,1-'Biodiesel Fraction'!F30,1)</f>
        <v>0.9694313153961085</v>
      </c>
      <c r="G5">
        <f>IF('Biodiesel Fraction'!$B20,1-'Biodiesel Fraction'!G30,1)</f>
        <v>0.96844687488582915</v>
      </c>
      <c r="H5">
        <f>IF('Biodiesel Fraction'!$B20,1-'Biodiesel Fraction'!H30,1)</f>
        <v>0.96769466424220119</v>
      </c>
      <c r="I5">
        <f>IF('Biodiesel Fraction'!$B20,1-'Biodiesel Fraction'!I30,1)</f>
        <v>0.97301476920346763</v>
      </c>
      <c r="J5">
        <f>IF('Biodiesel Fraction'!$B20,1-'Biodiesel Fraction'!J30,1)</f>
        <v>0.97148924247968638</v>
      </c>
      <c r="K5">
        <f>IF('Biodiesel Fraction'!$B20,1-'Biodiesel Fraction'!K30,1)</f>
        <v>0.97071698265400486</v>
      </c>
      <c r="L5">
        <f>IF('Biodiesel Fraction'!$B20,1-'Biodiesel Fraction'!L30,1)</f>
        <v>0.96917636816015995</v>
      </c>
      <c r="M5">
        <f>IF('Biodiesel Fraction'!$B20,1-'Biodiesel Fraction'!M30,1)</f>
        <v>0.96845068326481953</v>
      </c>
      <c r="N5">
        <f>IF('Biodiesel Fraction'!$B20,1-'Biodiesel Fraction'!N30,1)</f>
        <v>0.96781535449254963</v>
      </c>
      <c r="O5">
        <f>IF('Biodiesel Fraction'!$B20,1-'Biodiesel Fraction'!O30,1)</f>
        <v>0.96959483363592802</v>
      </c>
      <c r="P5">
        <f>IF('Biodiesel Fraction'!$B20,1-'Biodiesel Fraction'!P30,1)</f>
        <v>0.96800055913200733</v>
      </c>
      <c r="Q5">
        <f>IF('Biodiesel Fraction'!$B20,1-'Biodiesel Fraction'!Q30,1)</f>
        <v>0.9681622422082321</v>
      </c>
      <c r="R5">
        <f>IF('Biodiesel Fraction'!$B20,1-'Biodiesel Fraction'!R30,1)</f>
        <v>0.96850829509174097</v>
      </c>
      <c r="S5">
        <f>IF('Biodiesel Fraction'!$B20,1-'Biodiesel Fraction'!S30,1)</f>
        <v>0.96887665017064251</v>
      </c>
      <c r="T5">
        <f>IF('Biodiesel Fraction'!$B20,1-'Biodiesel Fraction'!T30,1)</f>
        <v>0.96927688375388943</v>
      </c>
      <c r="U5">
        <f>IF('Biodiesel Fraction'!$B20,1-'Biodiesel Fraction'!U30,1)</f>
        <v>0.96969750898291518</v>
      </c>
      <c r="V5">
        <f>IF('Biodiesel Fraction'!$B20,1-'Biodiesel Fraction'!V30,1)</f>
        <v>0.97019679411950621</v>
      </c>
      <c r="W5">
        <f>IF('Biodiesel Fraction'!$B20,1-'Biodiesel Fraction'!W30,1)</f>
        <v>0.97073702348215174</v>
      </c>
      <c r="X5">
        <f>IF('Biodiesel Fraction'!$B20,1-'Biodiesel Fraction'!X30,1)</f>
        <v>0.97131433466573613</v>
      </c>
      <c r="Y5">
        <f>IF('Biodiesel Fraction'!$B20,1-'Biodiesel Fraction'!Y30,1)</f>
        <v>0.97188152324697641</v>
      </c>
      <c r="Z5">
        <f>IF('Biodiesel Fraction'!$B20,1-'Biodiesel Fraction'!Z30,1)</f>
        <v>0.97238815025072933</v>
      </c>
      <c r="AA5">
        <f>IF('Biodiesel Fraction'!$B20,1-'Biodiesel Fraction'!AA30,1)</f>
        <v>0.97300901420080355</v>
      </c>
      <c r="AB5">
        <f>IF('Biodiesel Fraction'!$B20,1-'Biodiesel Fraction'!AB30,1)</f>
        <v>0.62592134673285527</v>
      </c>
      <c r="AC5">
        <f>IF('Biodiesel Fraction'!$B20,1-'Biodiesel Fraction'!AC30,1)</f>
        <v>0.62619138506908212</v>
      </c>
    </row>
    <row r="6" spans="1:29">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21</v>
      </c>
      <c r="B7">
        <f>IF('Biodiesel Fraction'!$B20,'Biodiesel Fraction'!B30,0)</f>
        <v>3.2438802317246634E-2</v>
      </c>
      <c r="C7">
        <f>IF('Biodiesel Fraction'!$B20,'Biodiesel Fraction'!C30,0)</f>
        <v>3.9585833615893101E-2</v>
      </c>
      <c r="D7">
        <f>IF('Biodiesel Fraction'!$B20,'Biodiesel Fraction'!D30,0)</f>
        <v>2.6436602370350101E-2</v>
      </c>
      <c r="E7">
        <f>IF('Biodiesel Fraction'!$B20,'Biodiesel Fraction'!E30,0)</f>
        <v>3.1805100813153228E-2</v>
      </c>
      <c r="F7">
        <f>IF('Biodiesel Fraction'!$B20,'Biodiesel Fraction'!F30,0)</f>
        <v>3.0568684603891498E-2</v>
      </c>
      <c r="G7">
        <f>IF('Biodiesel Fraction'!$B20,'Biodiesel Fraction'!G30,0)</f>
        <v>3.1553125114170841E-2</v>
      </c>
      <c r="H7">
        <f>IF('Biodiesel Fraction'!$B20,'Biodiesel Fraction'!H30,0)</f>
        <v>3.2305335757798835E-2</v>
      </c>
      <c r="I7">
        <f>IF('Biodiesel Fraction'!$B20,'Biodiesel Fraction'!I30,0)</f>
        <v>2.6985230796532339E-2</v>
      </c>
      <c r="J7">
        <f>IF('Biodiesel Fraction'!$B20,'Biodiesel Fraction'!J30,0)</f>
        <v>2.8510757520313589E-2</v>
      </c>
      <c r="K7">
        <f>IF('Biodiesel Fraction'!$B20,'Biodiesel Fraction'!K30,0)</f>
        <v>2.928301734599514E-2</v>
      </c>
      <c r="L7">
        <f>IF('Biodiesel Fraction'!$B20,'Biodiesel Fraction'!L30,0)</f>
        <v>3.0823631839840031E-2</v>
      </c>
      <c r="M7">
        <f>IF('Biodiesel Fraction'!$B20,'Biodiesel Fraction'!M30,0)</f>
        <v>3.154931673518048E-2</v>
      </c>
      <c r="N7">
        <f>IF('Biodiesel Fraction'!$B20,'Biodiesel Fraction'!N30,0)</f>
        <v>3.2184645507450385E-2</v>
      </c>
      <c r="O7">
        <f>IF('Biodiesel Fraction'!$B20,'Biodiesel Fraction'!O30,0)</f>
        <v>3.040516636407193E-2</v>
      </c>
      <c r="P7">
        <f>IF('Biodiesel Fraction'!$B20,'Biodiesel Fraction'!P30,0)</f>
        <v>3.1999440867992696E-2</v>
      </c>
      <c r="Q7">
        <f>IF('Biodiesel Fraction'!$B20,'Biodiesel Fraction'!Q30,0)</f>
        <v>3.1837757791767944E-2</v>
      </c>
      <c r="R7">
        <f>IF('Biodiesel Fraction'!$B20,'Biodiesel Fraction'!R30,0)</f>
        <v>3.1491704908259026E-2</v>
      </c>
      <c r="S7">
        <f>IF('Biodiesel Fraction'!$B20,'Biodiesel Fraction'!S30,0)</f>
        <v>3.1123349829357549E-2</v>
      </c>
      <c r="T7">
        <f>IF('Biodiesel Fraction'!$B20,'Biodiesel Fraction'!T30,0)</f>
        <v>3.0723116246110606E-2</v>
      </c>
      <c r="U7">
        <f>IF('Biodiesel Fraction'!$B20,'Biodiesel Fraction'!U30,0)</f>
        <v>3.0302491017084848E-2</v>
      </c>
      <c r="V7">
        <f>IF('Biodiesel Fraction'!$B20,'Biodiesel Fraction'!V30,0)</f>
        <v>2.980320588049383E-2</v>
      </c>
      <c r="W7">
        <f>IF('Biodiesel Fraction'!$B20,'Biodiesel Fraction'!W30,0)</f>
        <v>2.9262976517848212E-2</v>
      </c>
      <c r="X7">
        <f>IF('Biodiesel Fraction'!$B20,'Biodiesel Fraction'!X30,0)</f>
        <v>2.8685665334263914E-2</v>
      </c>
      <c r="Y7">
        <f>IF('Biodiesel Fraction'!$B20,'Biodiesel Fraction'!Y30,0)</f>
        <v>2.8118476753023584E-2</v>
      </c>
      <c r="Z7">
        <f>IF('Biodiesel Fraction'!$B20,'Biodiesel Fraction'!Z30,0)</f>
        <v>2.7611849749270688E-2</v>
      </c>
      <c r="AA7">
        <f>IF('Biodiesel Fraction'!$B20,'Biodiesel Fraction'!AA30,0)</f>
        <v>2.6990985799196437E-2</v>
      </c>
      <c r="AB7">
        <f>IF('Biodiesel Fraction'!$B20,'Biodiesel Fraction'!AB30,0)</f>
        <v>0.37407865326714473</v>
      </c>
      <c r="AC7">
        <f>IF('Biodiesel Fraction'!$B20,'Biodiesel Fraction'!AC30,0)</f>
        <v>0.37380861493091794</v>
      </c>
    </row>
    <row r="8" spans="1:29">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C11"/>
  <sheetViews>
    <sheetView workbookViewId="0">
      <selection activeCell="C6" sqref="C6"/>
    </sheetView>
  </sheetViews>
  <sheetFormatPr defaultRowHeight="14.25"/>
  <cols>
    <col min="1" max="1" width="22.53125" customWidth="1"/>
  </cols>
  <sheetData>
    <row r="1" spans="1:29" ht="28.5">
      <c r="A1" s="10" t="s">
        <v>85</v>
      </c>
      <c r="B1">
        <f>'Biodiesel Fraction'!D6</f>
        <v>2023</v>
      </c>
      <c r="C1">
        <f>'Biodiesel Fraction'!E6</f>
        <v>2024</v>
      </c>
      <c r="D1">
        <f>'Biodiesel Fraction'!F6</f>
        <v>2025</v>
      </c>
      <c r="E1">
        <f>'Biodiesel Fraction'!G6</f>
        <v>2026</v>
      </c>
      <c r="F1">
        <f>'Biodiesel Fraction'!H6</f>
        <v>2027</v>
      </c>
      <c r="G1">
        <f>'Biodiesel Fraction'!I6</f>
        <v>2028</v>
      </c>
      <c r="H1">
        <f>'Biodiesel Fraction'!J6</f>
        <v>2029</v>
      </c>
      <c r="I1">
        <f>'Biodiesel Fraction'!K6</f>
        <v>2030</v>
      </c>
      <c r="J1">
        <f>'Biodiesel Fraction'!L6</f>
        <v>2031</v>
      </c>
      <c r="K1">
        <f>'Biodiesel Fraction'!M6</f>
        <v>2032</v>
      </c>
      <c r="L1">
        <f>'Biodiesel Fraction'!N6</f>
        <v>2033</v>
      </c>
      <c r="M1">
        <f>'Biodiesel Fraction'!O6</f>
        <v>2034</v>
      </c>
      <c r="N1">
        <f>'Biodiesel Fraction'!P6</f>
        <v>2035</v>
      </c>
      <c r="O1">
        <f>'Biodiesel Fraction'!Q6</f>
        <v>2036</v>
      </c>
      <c r="P1">
        <f>'Biodiesel Fraction'!R6</f>
        <v>2037</v>
      </c>
      <c r="Q1">
        <f>'Biodiesel Fraction'!S6</f>
        <v>2038</v>
      </c>
      <c r="R1">
        <f>'Biodiesel Fraction'!T6</f>
        <v>2039</v>
      </c>
      <c r="S1">
        <f>'Biodiesel Fraction'!U6</f>
        <v>2040</v>
      </c>
      <c r="T1">
        <f>'Biodiesel Fraction'!V6</f>
        <v>2041</v>
      </c>
      <c r="U1">
        <f>'Biodiesel Fraction'!W6</f>
        <v>2042</v>
      </c>
      <c r="V1">
        <f>'Biodiesel Fraction'!X6</f>
        <v>2043</v>
      </c>
      <c r="W1">
        <f>'Biodiesel Fraction'!Y6</f>
        <v>2044</v>
      </c>
      <c r="X1">
        <f>'Biodiesel Fraction'!Z6</f>
        <v>2045</v>
      </c>
      <c r="Y1">
        <f>'Biodiesel Fraction'!AA6</f>
        <v>2046</v>
      </c>
      <c r="Z1">
        <f>'Biodiesel Fraction'!AB6</f>
        <v>2047</v>
      </c>
      <c r="AA1">
        <f>'Biodiesel Fraction'!AC6</f>
        <v>2048</v>
      </c>
      <c r="AB1">
        <f>'Biodiesel Fraction'!AD6</f>
        <v>2049</v>
      </c>
      <c r="AC1">
        <f>'Biodiesel Fraction'!AE6</f>
        <v>2050</v>
      </c>
    </row>
    <row r="2" spans="1:29">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row>
    <row r="3" spans="1:29">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18</v>
      </c>
      <c r="B5">
        <f>IF('Biodiesel Fraction'!$B20,1-'Biodiesel Fraction'!B30,1)*(1-B2)</f>
        <v>0.43540253895723896</v>
      </c>
      <c r="C5">
        <f>IF('Biodiesel Fraction'!$B20,1-'Biodiesel Fraction'!C30,1)*(1-C2)</f>
        <v>0.43218637487284806</v>
      </c>
      <c r="D5">
        <f>IF('Biodiesel Fraction'!$B20,1-'Biodiesel Fraction'!D30,1)*(1-D2)</f>
        <v>0.43810352893334242</v>
      </c>
      <c r="E5">
        <f>IF('Biodiesel Fraction'!$B20,1-'Biodiesel Fraction'!E30,1)*(1-E2)</f>
        <v>0.43568770463408102</v>
      </c>
      <c r="F5">
        <f>IF('Biodiesel Fraction'!$B20,1-'Biodiesel Fraction'!F30,1)*(1-F2)</f>
        <v>0.43624409192824876</v>
      </c>
      <c r="G5">
        <f>IF('Biodiesel Fraction'!$B20,1-'Biodiesel Fraction'!G30,1)*(1-G2)</f>
        <v>0.43580109369862308</v>
      </c>
      <c r="H5">
        <f>IF('Biodiesel Fraction'!$B20,1-'Biodiesel Fraction'!H30,1)*(1-H2)</f>
        <v>0.43546259890899047</v>
      </c>
      <c r="I5">
        <f>IF('Biodiesel Fraction'!$B20,1-'Biodiesel Fraction'!I30,1)*(1-I2)</f>
        <v>0.43785664614156039</v>
      </c>
      <c r="J5">
        <f>IF('Biodiesel Fraction'!$B20,1-'Biodiesel Fraction'!J30,1)*(1-J2)</f>
        <v>0.43717015911585883</v>
      </c>
      <c r="K5">
        <f>IF('Biodiesel Fraction'!$B20,1-'Biodiesel Fraction'!K30,1)*(1-K2)</f>
        <v>0.43682264219430217</v>
      </c>
      <c r="L5">
        <f>IF('Biodiesel Fraction'!$B20,1-'Biodiesel Fraction'!L30,1)*(1-L2)</f>
        <v>0.43612936567207194</v>
      </c>
      <c r="M5">
        <f>IF('Biodiesel Fraction'!$B20,1-'Biodiesel Fraction'!M30,1)*(1-M2)</f>
        <v>0.43580280746916877</v>
      </c>
      <c r="N5">
        <f>IF('Biodiesel Fraction'!$B20,1-'Biodiesel Fraction'!N30,1)*(1-N2)</f>
        <v>0.43551690952164729</v>
      </c>
      <c r="O5">
        <f>IF('Biodiesel Fraction'!$B20,1-'Biodiesel Fraction'!O30,1)*(1-O2)</f>
        <v>0.43631767513616759</v>
      </c>
      <c r="P5">
        <f>IF('Biodiesel Fraction'!$B20,1-'Biodiesel Fraction'!P30,1)*(1-P2)</f>
        <v>0.43560025160940324</v>
      </c>
      <c r="Q5">
        <f>IF('Biodiesel Fraction'!$B20,1-'Biodiesel Fraction'!Q30,1)*(1-Q2)</f>
        <v>0.43567300899370442</v>
      </c>
      <c r="R5">
        <f>IF('Biodiesel Fraction'!$B20,1-'Biodiesel Fraction'!R30,1)*(1-R2)</f>
        <v>0.43582873279128337</v>
      </c>
      <c r="S5">
        <f>IF('Biodiesel Fraction'!$B20,1-'Biodiesel Fraction'!S30,1)*(1-S2)</f>
        <v>0.43599449257678907</v>
      </c>
      <c r="T5">
        <f>IF('Biodiesel Fraction'!$B20,1-'Biodiesel Fraction'!T30,1)*(1-T2)</f>
        <v>0.43617459768925021</v>
      </c>
      <c r="U5">
        <f>IF('Biodiesel Fraction'!$B20,1-'Biodiesel Fraction'!U30,1)*(1-U2)</f>
        <v>0.43636387904231178</v>
      </c>
      <c r="V5">
        <f>IF('Biodiesel Fraction'!$B20,1-'Biodiesel Fraction'!V30,1)*(1-V2)</f>
        <v>0.43658855735377777</v>
      </c>
      <c r="W5">
        <f>IF('Biodiesel Fraction'!$B20,1-'Biodiesel Fraction'!W30,1)*(1-W2)</f>
        <v>0.43683166056696826</v>
      </c>
      <c r="X5">
        <f>IF('Biodiesel Fraction'!$B20,1-'Biodiesel Fraction'!X30,1)*(1-X2)</f>
        <v>0.43709145059958121</v>
      </c>
      <c r="Y5">
        <f>IF('Biodiesel Fraction'!$B20,1-'Biodiesel Fraction'!Y30,1)*(1-Y2)</f>
        <v>0.43734668546113936</v>
      </c>
      <c r="Z5">
        <f>IF('Biodiesel Fraction'!$B20,1-'Biodiesel Fraction'!Z30,1)*(1-Z2)</f>
        <v>0.43757466761282815</v>
      </c>
      <c r="AA5">
        <f>IF('Biodiesel Fraction'!$B20,1-'Biodiesel Fraction'!AA30,1)*(1-AA2)</f>
        <v>0.43785405639036157</v>
      </c>
      <c r="AB5">
        <f>IF('Biodiesel Fraction'!$B20,1-'Biodiesel Fraction'!AB30,1)*(1-AB2)</f>
        <v>0.28166460602978483</v>
      </c>
      <c r="AC5">
        <f>IF('Biodiesel Fraction'!$B20,1-'Biodiesel Fraction'!AC30,1)*(1-AC2)</f>
        <v>0.28178612328108693</v>
      </c>
    </row>
    <row r="6" spans="1:29">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21</v>
      </c>
      <c r="B7">
        <f>IF('Biodiesel Fraction'!$B20,'Biodiesel Fraction'!B30,0)*(1-B2)</f>
        <v>1.4597461042760985E-2</v>
      </c>
      <c r="C7">
        <f>IF('Biodiesel Fraction'!$B20,'Biodiesel Fraction'!C30,0)*(1-C2)</f>
        <v>1.7813625127151893E-2</v>
      </c>
      <c r="D7">
        <f>IF('Biodiesel Fraction'!$B20,'Biodiesel Fraction'!D30,0)*(1-D2)</f>
        <v>1.1896471066657545E-2</v>
      </c>
      <c r="E7">
        <f>IF('Biodiesel Fraction'!$B20,'Biodiesel Fraction'!E30,0)*(1-E2)</f>
        <v>1.4312295365918951E-2</v>
      </c>
      <c r="F7">
        <f>IF('Biodiesel Fraction'!$B20,'Biodiesel Fraction'!F30,0)*(1-F2)</f>
        <v>1.3755908071751173E-2</v>
      </c>
      <c r="G7">
        <f>IF('Biodiesel Fraction'!$B20,'Biodiesel Fraction'!G30,0)*(1-G2)</f>
        <v>1.4198906301376877E-2</v>
      </c>
      <c r="H7">
        <f>IF('Biodiesel Fraction'!$B20,'Biodiesel Fraction'!H30,0)*(1-H2)</f>
        <v>1.4537401091009474E-2</v>
      </c>
      <c r="I7">
        <f>IF('Biodiesel Fraction'!$B20,'Biodiesel Fraction'!I30,0)*(1-I2)</f>
        <v>1.2143353858439551E-2</v>
      </c>
      <c r="J7">
        <f>IF('Biodiesel Fraction'!$B20,'Biodiesel Fraction'!J30,0)*(1-J2)</f>
        <v>1.2829840884141113E-2</v>
      </c>
      <c r="K7">
        <f>IF('Biodiesel Fraction'!$B20,'Biodiesel Fraction'!K30,0)*(1-K2)</f>
        <v>1.3177357805697811E-2</v>
      </c>
      <c r="L7">
        <f>IF('Biodiesel Fraction'!$B20,'Biodiesel Fraction'!L30,0)*(1-L2)</f>
        <v>1.3870634327928013E-2</v>
      </c>
      <c r="M7">
        <f>IF('Biodiesel Fraction'!$B20,'Biodiesel Fraction'!M30,0)*(1-M2)</f>
        <v>1.4197192530831215E-2</v>
      </c>
      <c r="N7">
        <f>IF('Biodiesel Fraction'!$B20,'Biodiesel Fraction'!N30,0)*(1-N2)</f>
        <v>1.4483090478352672E-2</v>
      </c>
      <c r="O7">
        <f>IF('Biodiesel Fraction'!$B20,'Biodiesel Fraction'!O30,0)*(1-O2)</f>
        <v>1.3682324863832368E-2</v>
      </c>
      <c r="P7">
        <f>IF('Biodiesel Fraction'!$B20,'Biodiesel Fraction'!P30,0)*(1-P2)</f>
        <v>1.4399748390596712E-2</v>
      </c>
      <c r="Q7">
        <f>IF('Biodiesel Fraction'!$B20,'Biodiesel Fraction'!Q30,0)*(1-Q2)</f>
        <v>1.4326991006295574E-2</v>
      </c>
      <c r="R7">
        <f>IF('Biodiesel Fraction'!$B20,'Biodiesel Fraction'!R30,0)*(1-R2)</f>
        <v>1.4171267208716561E-2</v>
      </c>
      <c r="S7">
        <f>IF('Biodiesel Fraction'!$B20,'Biodiesel Fraction'!S30,0)*(1-S2)</f>
        <v>1.4005507423210896E-2</v>
      </c>
      <c r="T7">
        <f>IF('Biodiesel Fraction'!$B20,'Biodiesel Fraction'!T30,0)*(1-T2)</f>
        <v>1.3825402310749772E-2</v>
      </c>
      <c r="U7">
        <f>IF('Biodiesel Fraction'!$B20,'Biodiesel Fraction'!U30,0)*(1-U2)</f>
        <v>1.363612095768818E-2</v>
      </c>
      <c r="V7">
        <f>IF('Biodiesel Fraction'!$B20,'Biodiesel Fraction'!V30,0)*(1-V2)</f>
        <v>1.3411442646222222E-2</v>
      </c>
      <c r="W7">
        <f>IF('Biodiesel Fraction'!$B20,'Biodiesel Fraction'!W30,0)*(1-W2)</f>
        <v>1.3168339433031693E-2</v>
      </c>
      <c r="X7">
        <f>IF('Biodiesel Fraction'!$B20,'Biodiesel Fraction'!X30,0)*(1-X2)</f>
        <v>1.2908549400418761E-2</v>
      </c>
      <c r="Y7">
        <f>IF('Biodiesel Fraction'!$B20,'Biodiesel Fraction'!Y30,0)*(1-Y2)</f>
        <v>1.2653314538860611E-2</v>
      </c>
      <c r="Z7">
        <f>IF('Biodiesel Fraction'!$B20,'Biodiesel Fraction'!Z30,0)*(1-Z2)</f>
        <v>1.2425332387171808E-2</v>
      </c>
      <c r="AA7">
        <f>IF('Biodiesel Fraction'!$B20,'Biodiesel Fraction'!AA30,0)*(1-AA2)</f>
        <v>1.2145943609638395E-2</v>
      </c>
      <c r="AB7">
        <f>IF('Biodiesel Fraction'!$B20,'Biodiesel Fraction'!AB30,0)*(1-AB2)</f>
        <v>0.1683353939702151</v>
      </c>
      <c r="AC7">
        <f>IF('Biodiesel Fraction'!$B20,'Biodiesel Fraction'!AC30,0)*(1-AC2)</f>
        <v>0.16821387671891305</v>
      </c>
    </row>
    <row r="8" spans="1:29">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topLeftCell="C1" workbookViewId="0">
      <selection activeCell="AE1" sqref="AE1"/>
    </sheetView>
  </sheetViews>
  <sheetFormatPr defaultRowHeight="14.25"/>
  <cols>
    <col min="1" max="1" width="22.53125" customWidth="1"/>
  </cols>
  <sheetData>
    <row r="1" spans="1:34"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0.92710534558203916</v>
      </c>
      <c r="C4" s="2">
        <f t="shared" ref="C4:AE4" si="0">1-C6</f>
        <v>0.92710534558203916</v>
      </c>
      <c r="D4" s="2">
        <f t="shared" si="0"/>
        <v>0.92710534558203916</v>
      </c>
      <c r="E4" s="2">
        <f t="shared" si="0"/>
        <v>0.92710534558203916</v>
      </c>
      <c r="F4" s="2">
        <f t="shared" si="0"/>
        <v>0.92710534558203916</v>
      </c>
      <c r="G4" s="2">
        <f t="shared" si="0"/>
        <v>0.92710534558203916</v>
      </c>
      <c r="H4" s="2">
        <f t="shared" si="0"/>
        <v>0.92710534558203916</v>
      </c>
      <c r="I4" s="2">
        <f t="shared" si="0"/>
        <v>0.92710534558203916</v>
      </c>
      <c r="J4" s="2">
        <f t="shared" si="0"/>
        <v>0.92710534558203916</v>
      </c>
      <c r="K4" s="2">
        <f t="shared" si="0"/>
        <v>0.92710534558203916</v>
      </c>
      <c r="L4" s="2">
        <f t="shared" si="0"/>
        <v>0.92710534558203916</v>
      </c>
      <c r="M4" s="2">
        <f t="shared" si="0"/>
        <v>0.92710534558203916</v>
      </c>
      <c r="N4" s="2">
        <f t="shared" si="0"/>
        <v>0.92710534558203916</v>
      </c>
      <c r="O4" s="2">
        <f t="shared" si="0"/>
        <v>0.92710534558203916</v>
      </c>
      <c r="P4" s="2">
        <f t="shared" si="0"/>
        <v>0.92710534558203916</v>
      </c>
      <c r="Q4" s="2">
        <f t="shared" si="0"/>
        <v>0.92710534558203916</v>
      </c>
      <c r="R4" s="2">
        <f t="shared" si="0"/>
        <v>0.92710534558203916</v>
      </c>
      <c r="S4" s="2">
        <f t="shared" si="0"/>
        <v>0.92710534558203916</v>
      </c>
      <c r="T4" s="2">
        <f t="shared" si="0"/>
        <v>0.92710534558203916</v>
      </c>
      <c r="U4" s="2">
        <f t="shared" si="0"/>
        <v>0.92710534558203916</v>
      </c>
      <c r="V4" s="2">
        <f t="shared" si="0"/>
        <v>0.92710534558203916</v>
      </c>
      <c r="W4" s="2">
        <f t="shared" si="0"/>
        <v>0.92710534558203916</v>
      </c>
      <c r="X4" s="2">
        <f t="shared" si="0"/>
        <v>0.92710534558203916</v>
      </c>
      <c r="Y4" s="2">
        <f t="shared" si="0"/>
        <v>0.92710534558203916</v>
      </c>
      <c r="Z4" s="2">
        <f t="shared" si="0"/>
        <v>0.92710534558203916</v>
      </c>
      <c r="AA4" s="2">
        <f t="shared" si="0"/>
        <v>0.92710534558203916</v>
      </c>
      <c r="AB4" s="2">
        <f t="shared" si="0"/>
        <v>0.92710534558203916</v>
      </c>
      <c r="AC4" s="2">
        <f t="shared" si="0"/>
        <v>0.92710534558203916</v>
      </c>
      <c r="AD4" s="2">
        <f t="shared" si="0"/>
        <v>0.92710534558203916</v>
      </c>
      <c r="AE4" s="2">
        <f t="shared" si="0"/>
        <v>0.92710534558203916</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7.2894654417960836E-2</v>
      </c>
      <c r="C6" s="2">
        <f>$B$6</f>
        <v>7.2894654417960836E-2</v>
      </c>
      <c r="D6" s="2">
        <f t="shared" ref="D6:AE6" si="1">$B$6</f>
        <v>7.2894654417960836E-2</v>
      </c>
      <c r="E6" s="2">
        <f t="shared" si="1"/>
        <v>7.2894654417960836E-2</v>
      </c>
      <c r="F6" s="2">
        <f t="shared" si="1"/>
        <v>7.2894654417960836E-2</v>
      </c>
      <c r="G6" s="2">
        <f t="shared" si="1"/>
        <v>7.2894654417960836E-2</v>
      </c>
      <c r="H6" s="2">
        <f t="shared" si="1"/>
        <v>7.2894654417960836E-2</v>
      </c>
      <c r="I6" s="2">
        <f t="shared" si="1"/>
        <v>7.2894654417960836E-2</v>
      </c>
      <c r="J6" s="2">
        <f t="shared" si="1"/>
        <v>7.2894654417960836E-2</v>
      </c>
      <c r="K6" s="2">
        <f t="shared" si="1"/>
        <v>7.2894654417960836E-2</v>
      </c>
      <c r="L6" s="2">
        <f t="shared" si="1"/>
        <v>7.2894654417960836E-2</v>
      </c>
      <c r="M6" s="2">
        <f t="shared" si="1"/>
        <v>7.2894654417960836E-2</v>
      </c>
      <c r="N6" s="2">
        <f t="shared" si="1"/>
        <v>7.2894654417960836E-2</v>
      </c>
      <c r="O6" s="2">
        <f t="shared" si="1"/>
        <v>7.2894654417960836E-2</v>
      </c>
      <c r="P6" s="2">
        <f t="shared" si="1"/>
        <v>7.2894654417960836E-2</v>
      </c>
      <c r="Q6" s="2">
        <f t="shared" si="1"/>
        <v>7.2894654417960836E-2</v>
      </c>
      <c r="R6" s="2">
        <f t="shared" si="1"/>
        <v>7.2894654417960836E-2</v>
      </c>
      <c r="S6" s="2">
        <f t="shared" si="1"/>
        <v>7.2894654417960836E-2</v>
      </c>
      <c r="T6" s="2">
        <f t="shared" si="1"/>
        <v>7.2894654417960836E-2</v>
      </c>
      <c r="U6" s="2">
        <f t="shared" si="1"/>
        <v>7.2894654417960836E-2</v>
      </c>
      <c r="V6" s="2">
        <f t="shared" si="1"/>
        <v>7.2894654417960836E-2</v>
      </c>
      <c r="W6" s="2">
        <f t="shared" si="1"/>
        <v>7.2894654417960836E-2</v>
      </c>
      <c r="X6" s="2">
        <f t="shared" si="1"/>
        <v>7.2894654417960836E-2</v>
      </c>
      <c r="Y6" s="2">
        <f t="shared" si="1"/>
        <v>7.2894654417960836E-2</v>
      </c>
      <c r="Z6" s="2">
        <f t="shared" si="1"/>
        <v>7.2894654417960836E-2</v>
      </c>
      <c r="AA6" s="2">
        <f t="shared" si="1"/>
        <v>7.2894654417960836E-2</v>
      </c>
      <c r="AB6" s="2">
        <f t="shared" si="1"/>
        <v>7.2894654417960836E-2</v>
      </c>
      <c r="AC6" s="2">
        <f t="shared" si="1"/>
        <v>7.2894654417960836E-2</v>
      </c>
      <c r="AD6" s="2">
        <f t="shared" si="1"/>
        <v>7.2894654417960836E-2</v>
      </c>
      <c r="AE6" s="2">
        <f t="shared" si="1"/>
        <v>7.2894654417960836E-2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C11"/>
  <sheetViews>
    <sheetView workbookViewId="0"/>
  </sheetViews>
  <sheetFormatPr defaultRowHeight="14.25"/>
  <cols>
    <col min="1" max="1" width="22.53125" customWidth="1"/>
  </cols>
  <sheetData>
    <row r="1" spans="1:29" ht="28.5">
      <c r="A1" s="10" t="s">
        <v>85</v>
      </c>
      <c r="B1">
        <f>'Biodiesel Fraction'!D6</f>
        <v>2023</v>
      </c>
      <c r="C1">
        <f>'Biodiesel Fraction'!E6</f>
        <v>2024</v>
      </c>
      <c r="D1">
        <f>'Biodiesel Fraction'!F6</f>
        <v>2025</v>
      </c>
      <c r="E1">
        <f>'Biodiesel Fraction'!G6</f>
        <v>2026</v>
      </c>
      <c r="F1">
        <f>'Biodiesel Fraction'!H6</f>
        <v>2027</v>
      </c>
      <c r="G1">
        <f>'Biodiesel Fraction'!I6</f>
        <v>2028</v>
      </c>
      <c r="H1">
        <f>'Biodiesel Fraction'!J6</f>
        <v>2029</v>
      </c>
      <c r="I1">
        <f>'Biodiesel Fraction'!K6</f>
        <v>2030</v>
      </c>
      <c r="J1">
        <f>'Biodiesel Fraction'!L6</f>
        <v>2031</v>
      </c>
      <c r="K1">
        <f>'Biodiesel Fraction'!M6</f>
        <v>2032</v>
      </c>
      <c r="L1">
        <f>'Biodiesel Fraction'!N6</f>
        <v>2033</v>
      </c>
      <c r="M1">
        <f>'Biodiesel Fraction'!O6</f>
        <v>2034</v>
      </c>
      <c r="N1">
        <f>'Biodiesel Fraction'!P6</f>
        <v>2035</v>
      </c>
      <c r="O1">
        <f>'Biodiesel Fraction'!Q6</f>
        <v>2036</v>
      </c>
      <c r="P1">
        <f>'Biodiesel Fraction'!R6</f>
        <v>2037</v>
      </c>
      <c r="Q1">
        <f>'Biodiesel Fraction'!S6</f>
        <v>2038</v>
      </c>
      <c r="R1">
        <f>'Biodiesel Fraction'!T6</f>
        <v>2039</v>
      </c>
      <c r="S1">
        <f>'Biodiesel Fraction'!U6</f>
        <v>2040</v>
      </c>
      <c r="T1">
        <f>'Biodiesel Fraction'!V6</f>
        <v>2041</v>
      </c>
      <c r="U1">
        <f>'Biodiesel Fraction'!W6</f>
        <v>2042</v>
      </c>
      <c r="V1">
        <f>'Biodiesel Fraction'!X6</f>
        <v>2043</v>
      </c>
      <c r="W1">
        <f>'Biodiesel Fraction'!Y6</f>
        <v>2044</v>
      </c>
      <c r="X1">
        <f>'Biodiesel Fraction'!Z6</f>
        <v>2045</v>
      </c>
      <c r="Y1">
        <f>'Biodiesel Fraction'!AA6</f>
        <v>2046</v>
      </c>
      <c r="Z1">
        <f>'Biodiesel Fraction'!AB6</f>
        <v>2047</v>
      </c>
      <c r="AA1">
        <f>'Biodiesel Fraction'!AC6</f>
        <v>2048</v>
      </c>
      <c r="AB1">
        <f>'Biodiesel Fraction'!AD6</f>
        <v>2049</v>
      </c>
      <c r="AC1">
        <f>'Biodiesel Fraction'!AE6</f>
        <v>2050</v>
      </c>
    </row>
    <row r="2" spans="1:29">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18</v>
      </c>
      <c r="B5">
        <f>IF('Biodiesel Fraction'!$B21,1-'Biodiesel Fraction'!B30,1)</f>
        <v>0.96756119768275339</v>
      </c>
      <c r="C5">
        <f>IF('Biodiesel Fraction'!$B21,1-'Biodiesel Fraction'!C30,1)</f>
        <v>0.96041416638410693</v>
      </c>
      <c r="D5">
        <f>IF('Biodiesel Fraction'!$B21,1-'Biodiesel Fraction'!D30,1)</f>
        <v>0.97356339762964994</v>
      </c>
      <c r="E5">
        <f>IF('Biodiesel Fraction'!$B21,1-'Biodiesel Fraction'!E30,1)</f>
        <v>0.96819489918684676</v>
      </c>
      <c r="F5">
        <f>IF('Biodiesel Fraction'!$B21,1-'Biodiesel Fraction'!F30,1)</f>
        <v>0.9694313153961085</v>
      </c>
      <c r="G5">
        <f>IF('Biodiesel Fraction'!$B21,1-'Biodiesel Fraction'!G30,1)</f>
        <v>0.96844687488582915</v>
      </c>
      <c r="H5">
        <f>IF('Biodiesel Fraction'!$B21,1-'Biodiesel Fraction'!H30,1)</f>
        <v>0.96769466424220119</v>
      </c>
      <c r="I5">
        <f>IF('Biodiesel Fraction'!$B21,1-'Biodiesel Fraction'!I30,1)</f>
        <v>0.97301476920346763</v>
      </c>
      <c r="J5">
        <f>IF('Biodiesel Fraction'!$B21,1-'Biodiesel Fraction'!J30,1)</f>
        <v>0.97148924247968638</v>
      </c>
      <c r="K5">
        <f>IF('Biodiesel Fraction'!$B21,1-'Biodiesel Fraction'!K30,1)</f>
        <v>0.97071698265400486</v>
      </c>
      <c r="L5">
        <f>IF('Biodiesel Fraction'!$B21,1-'Biodiesel Fraction'!L30,1)</f>
        <v>0.96917636816015995</v>
      </c>
      <c r="M5">
        <f>IF('Biodiesel Fraction'!$B21,1-'Biodiesel Fraction'!M30,1)</f>
        <v>0.96845068326481953</v>
      </c>
      <c r="N5">
        <f>IF('Biodiesel Fraction'!$B21,1-'Biodiesel Fraction'!N30,1)</f>
        <v>0.96781535449254963</v>
      </c>
      <c r="O5">
        <f>IF('Biodiesel Fraction'!$B21,1-'Biodiesel Fraction'!O30,1)</f>
        <v>0.96959483363592802</v>
      </c>
      <c r="P5">
        <f>IF('Biodiesel Fraction'!$B21,1-'Biodiesel Fraction'!P30,1)</f>
        <v>0.96800055913200733</v>
      </c>
      <c r="Q5">
        <f>IF('Biodiesel Fraction'!$B21,1-'Biodiesel Fraction'!Q30,1)</f>
        <v>0.9681622422082321</v>
      </c>
      <c r="R5">
        <f>IF('Biodiesel Fraction'!$B21,1-'Biodiesel Fraction'!R30,1)</f>
        <v>0.96850829509174097</v>
      </c>
      <c r="S5">
        <f>IF('Biodiesel Fraction'!$B21,1-'Biodiesel Fraction'!S30,1)</f>
        <v>0.96887665017064251</v>
      </c>
      <c r="T5">
        <f>IF('Biodiesel Fraction'!$B21,1-'Biodiesel Fraction'!T30,1)</f>
        <v>0.96927688375388943</v>
      </c>
      <c r="U5">
        <f>IF('Biodiesel Fraction'!$B21,1-'Biodiesel Fraction'!U30,1)</f>
        <v>0.96969750898291518</v>
      </c>
      <c r="V5">
        <f>IF('Biodiesel Fraction'!$B21,1-'Biodiesel Fraction'!V30,1)</f>
        <v>0.97019679411950621</v>
      </c>
      <c r="W5">
        <f>IF('Biodiesel Fraction'!$B21,1-'Biodiesel Fraction'!W30,1)</f>
        <v>0.97073702348215174</v>
      </c>
      <c r="X5">
        <f>IF('Biodiesel Fraction'!$B21,1-'Biodiesel Fraction'!X30,1)</f>
        <v>0.97131433466573613</v>
      </c>
      <c r="Y5">
        <f>IF('Biodiesel Fraction'!$B21,1-'Biodiesel Fraction'!Y30,1)</f>
        <v>0.97188152324697641</v>
      </c>
      <c r="Z5">
        <f>IF('Biodiesel Fraction'!$B21,1-'Biodiesel Fraction'!Z30,1)</f>
        <v>0.97238815025072933</v>
      </c>
      <c r="AA5">
        <f>IF('Biodiesel Fraction'!$B21,1-'Biodiesel Fraction'!AA30,1)</f>
        <v>0.97300901420080355</v>
      </c>
      <c r="AB5">
        <f>IF('Biodiesel Fraction'!$B21,1-'Biodiesel Fraction'!AB30,1)</f>
        <v>0.62592134673285527</v>
      </c>
      <c r="AC5">
        <f>IF('Biodiesel Fraction'!$B21,1-'Biodiesel Fraction'!AC30,1)</f>
        <v>0.62619138506908212</v>
      </c>
    </row>
    <row r="6" spans="1:29">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21</v>
      </c>
      <c r="B7">
        <f>IF('Biodiesel Fraction'!$B21,'Biodiesel Fraction'!B30,0)</f>
        <v>3.2438802317246634E-2</v>
      </c>
      <c r="C7">
        <f>IF('Biodiesel Fraction'!$B21,'Biodiesel Fraction'!C30,0)</f>
        <v>3.9585833615893101E-2</v>
      </c>
      <c r="D7">
        <f>IF('Biodiesel Fraction'!$B21,'Biodiesel Fraction'!D30,0)</f>
        <v>2.6436602370350101E-2</v>
      </c>
      <c r="E7">
        <f>IF('Biodiesel Fraction'!$B21,'Biodiesel Fraction'!E30,0)</f>
        <v>3.1805100813153228E-2</v>
      </c>
      <c r="F7">
        <f>IF('Biodiesel Fraction'!$B21,'Biodiesel Fraction'!F30,0)</f>
        <v>3.0568684603891498E-2</v>
      </c>
      <c r="G7">
        <f>IF('Biodiesel Fraction'!$B21,'Biodiesel Fraction'!G30,0)</f>
        <v>3.1553125114170841E-2</v>
      </c>
      <c r="H7">
        <f>IF('Biodiesel Fraction'!$B21,'Biodiesel Fraction'!H30,0)</f>
        <v>3.2305335757798835E-2</v>
      </c>
      <c r="I7">
        <f>IF('Biodiesel Fraction'!$B21,'Biodiesel Fraction'!I30,0)</f>
        <v>2.6985230796532339E-2</v>
      </c>
      <c r="J7">
        <f>IF('Biodiesel Fraction'!$B21,'Biodiesel Fraction'!J30,0)</f>
        <v>2.8510757520313589E-2</v>
      </c>
      <c r="K7">
        <f>IF('Biodiesel Fraction'!$B21,'Biodiesel Fraction'!K30,0)</f>
        <v>2.928301734599514E-2</v>
      </c>
      <c r="L7">
        <f>IF('Biodiesel Fraction'!$B21,'Biodiesel Fraction'!L30,0)</f>
        <v>3.0823631839840031E-2</v>
      </c>
      <c r="M7">
        <f>IF('Biodiesel Fraction'!$B21,'Biodiesel Fraction'!M30,0)</f>
        <v>3.154931673518048E-2</v>
      </c>
      <c r="N7">
        <f>IF('Biodiesel Fraction'!$B21,'Biodiesel Fraction'!N30,0)</f>
        <v>3.2184645507450385E-2</v>
      </c>
      <c r="O7">
        <f>IF('Biodiesel Fraction'!$B21,'Biodiesel Fraction'!O30,0)</f>
        <v>3.040516636407193E-2</v>
      </c>
      <c r="P7">
        <f>IF('Biodiesel Fraction'!$B21,'Biodiesel Fraction'!P30,0)</f>
        <v>3.1999440867992696E-2</v>
      </c>
      <c r="Q7">
        <f>IF('Biodiesel Fraction'!$B21,'Biodiesel Fraction'!Q30,0)</f>
        <v>3.1837757791767944E-2</v>
      </c>
      <c r="R7">
        <f>IF('Biodiesel Fraction'!$B21,'Biodiesel Fraction'!R30,0)</f>
        <v>3.1491704908259026E-2</v>
      </c>
      <c r="S7">
        <f>IF('Biodiesel Fraction'!$B21,'Biodiesel Fraction'!S30,0)</f>
        <v>3.1123349829357549E-2</v>
      </c>
      <c r="T7">
        <f>IF('Biodiesel Fraction'!$B21,'Biodiesel Fraction'!T30,0)</f>
        <v>3.0723116246110606E-2</v>
      </c>
      <c r="U7">
        <f>IF('Biodiesel Fraction'!$B21,'Biodiesel Fraction'!U30,0)</f>
        <v>3.0302491017084848E-2</v>
      </c>
      <c r="V7">
        <f>IF('Biodiesel Fraction'!$B21,'Biodiesel Fraction'!V30,0)</f>
        <v>2.980320588049383E-2</v>
      </c>
      <c r="W7">
        <f>IF('Biodiesel Fraction'!$B21,'Biodiesel Fraction'!W30,0)</f>
        <v>2.9262976517848212E-2</v>
      </c>
      <c r="X7">
        <f>IF('Biodiesel Fraction'!$B21,'Biodiesel Fraction'!X30,0)</f>
        <v>2.8685665334263914E-2</v>
      </c>
      <c r="Y7">
        <f>IF('Biodiesel Fraction'!$B21,'Biodiesel Fraction'!Y30,0)</f>
        <v>2.8118476753023584E-2</v>
      </c>
      <c r="Z7">
        <f>IF('Biodiesel Fraction'!$B21,'Biodiesel Fraction'!Z30,0)</f>
        <v>2.7611849749270688E-2</v>
      </c>
      <c r="AA7">
        <f>IF('Biodiesel Fraction'!$B21,'Biodiesel Fraction'!AA30,0)</f>
        <v>2.6990985799196437E-2</v>
      </c>
      <c r="AB7">
        <f>IF('Biodiesel Fraction'!$B21,'Biodiesel Fraction'!AB30,0)</f>
        <v>0.37407865326714473</v>
      </c>
      <c r="AC7">
        <f>IF('Biodiesel Fraction'!$B21,'Biodiesel Fraction'!AC30,0)</f>
        <v>0.37380861493091794</v>
      </c>
    </row>
    <row r="8" spans="1:29">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C11"/>
  <sheetViews>
    <sheetView workbookViewId="0">
      <selection activeCell="B1" sqref="B1"/>
    </sheetView>
  </sheetViews>
  <sheetFormatPr defaultRowHeight="14.25"/>
  <cols>
    <col min="1" max="1" width="22.53125" customWidth="1"/>
  </cols>
  <sheetData>
    <row r="1" spans="1:29" ht="28.5">
      <c r="A1" s="10" t="s">
        <v>85</v>
      </c>
      <c r="B1">
        <f>'Biodiesel Fraction'!D6</f>
        <v>2023</v>
      </c>
      <c r="C1">
        <f>'Biodiesel Fraction'!E6</f>
        <v>2024</v>
      </c>
      <c r="D1">
        <f>'Biodiesel Fraction'!F6</f>
        <v>2025</v>
      </c>
      <c r="E1">
        <f>'Biodiesel Fraction'!G6</f>
        <v>2026</v>
      </c>
      <c r="F1">
        <f>'Biodiesel Fraction'!H6</f>
        <v>2027</v>
      </c>
      <c r="G1">
        <f>'Biodiesel Fraction'!I6</f>
        <v>2028</v>
      </c>
      <c r="H1">
        <f>'Biodiesel Fraction'!J6</f>
        <v>2029</v>
      </c>
      <c r="I1">
        <f>'Biodiesel Fraction'!K6</f>
        <v>2030</v>
      </c>
      <c r="J1">
        <f>'Biodiesel Fraction'!L6</f>
        <v>2031</v>
      </c>
      <c r="K1">
        <f>'Biodiesel Fraction'!M6</f>
        <v>2032</v>
      </c>
      <c r="L1">
        <f>'Biodiesel Fraction'!N6</f>
        <v>2033</v>
      </c>
      <c r="M1">
        <f>'Biodiesel Fraction'!O6</f>
        <v>2034</v>
      </c>
      <c r="N1">
        <f>'Biodiesel Fraction'!P6</f>
        <v>2035</v>
      </c>
      <c r="O1">
        <f>'Biodiesel Fraction'!Q6</f>
        <v>2036</v>
      </c>
      <c r="P1">
        <f>'Biodiesel Fraction'!R6</f>
        <v>2037</v>
      </c>
      <c r="Q1">
        <f>'Biodiesel Fraction'!S6</f>
        <v>2038</v>
      </c>
      <c r="R1">
        <f>'Biodiesel Fraction'!T6</f>
        <v>2039</v>
      </c>
      <c r="S1">
        <f>'Biodiesel Fraction'!U6</f>
        <v>2040</v>
      </c>
      <c r="T1">
        <f>'Biodiesel Fraction'!V6</f>
        <v>2041</v>
      </c>
      <c r="U1">
        <f>'Biodiesel Fraction'!W6</f>
        <v>2042</v>
      </c>
      <c r="V1">
        <f>'Biodiesel Fraction'!X6</f>
        <v>2043</v>
      </c>
      <c r="W1">
        <f>'Biodiesel Fraction'!Y6</f>
        <v>2044</v>
      </c>
      <c r="X1">
        <f>'Biodiesel Fraction'!Z6</f>
        <v>2045</v>
      </c>
      <c r="Y1">
        <f>'Biodiesel Fraction'!AA6</f>
        <v>2046</v>
      </c>
      <c r="Z1">
        <f>'Biodiesel Fraction'!AB6</f>
        <v>2047</v>
      </c>
      <c r="AA1">
        <f>'Biodiesel Fraction'!AC6</f>
        <v>2048</v>
      </c>
      <c r="AB1">
        <f>'Biodiesel Fraction'!AD6</f>
        <v>2049</v>
      </c>
      <c r="AC1">
        <f>'Biodiesel Fraction'!AE6</f>
        <v>2050</v>
      </c>
    </row>
    <row r="2" spans="1:29">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row>
    <row r="3" spans="1:29">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18</v>
      </c>
      <c r="B5">
        <f>IF('Biodiesel Fraction'!$B21,1-'Biodiesel Fraction'!B30,1)*(1-B2)</f>
        <v>0.43540253895723896</v>
      </c>
      <c r="C5">
        <f>IF('Biodiesel Fraction'!$B21,1-'Biodiesel Fraction'!C30,1)*(1-C2)</f>
        <v>0.43218637487284806</v>
      </c>
      <c r="D5">
        <f>IF('Biodiesel Fraction'!$B21,1-'Biodiesel Fraction'!D30,1)*(1-D2)</f>
        <v>0.43810352893334242</v>
      </c>
      <c r="E5">
        <f>IF('Biodiesel Fraction'!$B21,1-'Biodiesel Fraction'!E30,1)*(1-E2)</f>
        <v>0.43568770463408102</v>
      </c>
      <c r="F5">
        <f>IF('Biodiesel Fraction'!$B21,1-'Biodiesel Fraction'!F30,1)*(1-F2)</f>
        <v>0.43624409192824876</v>
      </c>
      <c r="G5">
        <f>IF('Biodiesel Fraction'!$B21,1-'Biodiesel Fraction'!G30,1)*(1-G2)</f>
        <v>0.43580109369862308</v>
      </c>
      <c r="H5">
        <f>IF('Biodiesel Fraction'!$B21,1-'Biodiesel Fraction'!H30,1)*(1-H2)</f>
        <v>0.43546259890899047</v>
      </c>
      <c r="I5">
        <f>IF('Biodiesel Fraction'!$B21,1-'Biodiesel Fraction'!I30,1)*(1-I2)</f>
        <v>0.43785664614156039</v>
      </c>
      <c r="J5">
        <f>IF('Biodiesel Fraction'!$B21,1-'Biodiesel Fraction'!J30,1)*(1-J2)</f>
        <v>0.43717015911585883</v>
      </c>
      <c r="K5">
        <f>IF('Biodiesel Fraction'!$B21,1-'Biodiesel Fraction'!K30,1)*(1-K2)</f>
        <v>0.43682264219430217</v>
      </c>
      <c r="L5">
        <f>IF('Biodiesel Fraction'!$B21,1-'Biodiesel Fraction'!L30,1)*(1-L2)</f>
        <v>0.43612936567207194</v>
      </c>
      <c r="M5">
        <f>IF('Biodiesel Fraction'!$B21,1-'Biodiesel Fraction'!M30,1)*(1-M2)</f>
        <v>0.43580280746916877</v>
      </c>
      <c r="N5">
        <f>IF('Biodiesel Fraction'!$B21,1-'Biodiesel Fraction'!N30,1)*(1-N2)</f>
        <v>0.43551690952164729</v>
      </c>
      <c r="O5">
        <f>IF('Biodiesel Fraction'!$B21,1-'Biodiesel Fraction'!O30,1)*(1-O2)</f>
        <v>0.43631767513616759</v>
      </c>
      <c r="P5">
        <f>IF('Biodiesel Fraction'!$B21,1-'Biodiesel Fraction'!P30,1)*(1-P2)</f>
        <v>0.43560025160940324</v>
      </c>
      <c r="Q5">
        <f>IF('Biodiesel Fraction'!$B21,1-'Biodiesel Fraction'!Q30,1)*(1-Q2)</f>
        <v>0.43567300899370442</v>
      </c>
      <c r="R5">
        <f>IF('Biodiesel Fraction'!$B21,1-'Biodiesel Fraction'!R30,1)*(1-R2)</f>
        <v>0.43582873279128337</v>
      </c>
      <c r="S5">
        <f>IF('Biodiesel Fraction'!$B21,1-'Biodiesel Fraction'!S30,1)*(1-S2)</f>
        <v>0.43599449257678907</v>
      </c>
      <c r="T5">
        <f>IF('Biodiesel Fraction'!$B21,1-'Biodiesel Fraction'!T30,1)*(1-T2)</f>
        <v>0.43617459768925021</v>
      </c>
      <c r="U5">
        <f>IF('Biodiesel Fraction'!$B21,1-'Biodiesel Fraction'!U30,1)*(1-U2)</f>
        <v>0.43636387904231178</v>
      </c>
      <c r="V5">
        <f>IF('Biodiesel Fraction'!$B21,1-'Biodiesel Fraction'!V30,1)*(1-V2)</f>
        <v>0.43658855735377777</v>
      </c>
      <c r="W5">
        <f>IF('Biodiesel Fraction'!$B21,1-'Biodiesel Fraction'!W30,1)*(1-W2)</f>
        <v>0.43683166056696826</v>
      </c>
      <c r="X5">
        <f>IF('Biodiesel Fraction'!$B21,1-'Biodiesel Fraction'!X30,1)*(1-X2)</f>
        <v>0.43709145059958121</v>
      </c>
      <c r="Y5">
        <f>IF('Biodiesel Fraction'!$B21,1-'Biodiesel Fraction'!Y30,1)*(1-Y2)</f>
        <v>0.43734668546113936</v>
      </c>
      <c r="Z5">
        <f>IF('Biodiesel Fraction'!$B21,1-'Biodiesel Fraction'!Z30,1)*(1-Z2)</f>
        <v>0.43757466761282815</v>
      </c>
      <c r="AA5">
        <f>IF('Biodiesel Fraction'!$B21,1-'Biodiesel Fraction'!AA30,1)*(1-AA2)</f>
        <v>0.43785405639036157</v>
      </c>
      <c r="AB5">
        <f>IF('Biodiesel Fraction'!$B21,1-'Biodiesel Fraction'!AB30,1)*(1-AB2)</f>
        <v>0.28166460602978483</v>
      </c>
      <c r="AC5">
        <f>IF('Biodiesel Fraction'!$B21,1-'Biodiesel Fraction'!AC30,1)*(1-AC2)</f>
        <v>0.28178612328108693</v>
      </c>
    </row>
    <row r="6" spans="1:29">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21</v>
      </c>
      <c r="B7">
        <f>IF('Biodiesel Fraction'!$B21,'Biodiesel Fraction'!B30,0)*(1-B2)</f>
        <v>1.4597461042760985E-2</v>
      </c>
      <c r="C7">
        <f>IF('Biodiesel Fraction'!$B21,'Biodiesel Fraction'!C30,0)*(1-C2)</f>
        <v>1.7813625127151893E-2</v>
      </c>
      <c r="D7">
        <f>IF('Biodiesel Fraction'!$B21,'Biodiesel Fraction'!D30,0)*(1-D2)</f>
        <v>1.1896471066657545E-2</v>
      </c>
      <c r="E7">
        <f>IF('Biodiesel Fraction'!$B21,'Biodiesel Fraction'!E30,0)*(1-E2)</f>
        <v>1.4312295365918951E-2</v>
      </c>
      <c r="F7">
        <f>IF('Biodiesel Fraction'!$B21,'Biodiesel Fraction'!F30,0)*(1-F2)</f>
        <v>1.3755908071751173E-2</v>
      </c>
      <c r="G7">
        <f>IF('Biodiesel Fraction'!$B21,'Biodiesel Fraction'!G30,0)*(1-G2)</f>
        <v>1.4198906301376877E-2</v>
      </c>
      <c r="H7">
        <f>IF('Biodiesel Fraction'!$B21,'Biodiesel Fraction'!H30,0)*(1-H2)</f>
        <v>1.4537401091009474E-2</v>
      </c>
      <c r="I7">
        <f>IF('Biodiesel Fraction'!$B21,'Biodiesel Fraction'!I30,0)*(1-I2)</f>
        <v>1.2143353858439551E-2</v>
      </c>
      <c r="J7">
        <f>IF('Biodiesel Fraction'!$B21,'Biodiesel Fraction'!J30,0)*(1-J2)</f>
        <v>1.2829840884141113E-2</v>
      </c>
      <c r="K7">
        <f>IF('Biodiesel Fraction'!$B21,'Biodiesel Fraction'!K30,0)*(1-K2)</f>
        <v>1.3177357805697811E-2</v>
      </c>
      <c r="L7">
        <f>IF('Biodiesel Fraction'!$B21,'Biodiesel Fraction'!L30,0)*(1-L2)</f>
        <v>1.3870634327928013E-2</v>
      </c>
      <c r="M7">
        <f>IF('Biodiesel Fraction'!$B21,'Biodiesel Fraction'!M30,0)*(1-M2)</f>
        <v>1.4197192530831215E-2</v>
      </c>
      <c r="N7">
        <f>IF('Biodiesel Fraction'!$B21,'Biodiesel Fraction'!N30,0)*(1-N2)</f>
        <v>1.4483090478352672E-2</v>
      </c>
      <c r="O7">
        <f>IF('Biodiesel Fraction'!$B21,'Biodiesel Fraction'!O30,0)*(1-O2)</f>
        <v>1.3682324863832368E-2</v>
      </c>
      <c r="P7">
        <f>IF('Biodiesel Fraction'!$B21,'Biodiesel Fraction'!P30,0)*(1-P2)</f>
        <v>1.4399748390596712E-2</v>
      </c>
      <c r="Q7">
        <f>IF('Biodiesel Fraction'!$B21,'Biodiesel Fraction'!Q30,0)*(1-Q2)</f>
        <v>1.4326991006295574E-2</v>
      </c>
      <c r="R7">
        <f>IF('Biodiesel Fraction'!$B21,'Biodiesel Fraction'!R30,0)*(1-R2)</f>
        <v>1.4171267208716561E-2</v>
      </c>
      <c r="S7">
        <f>IF('Biodiesel Fraction'!$B21,'Biodiesel Fraction'!S30,0)*(1-S2)</f>
        <v>1.4005507423210896E-2</v>
      </c>
      <c r="T7">
        <f>IF('Biodiesel Fraction'!$B21,'Biodiesel Fraction'!T30,0)*(1-T2)</f>
        <v>1.3825402310749772E-2</v>
      </c>
      <c r="U7">
        <f>IF('Biodiesel Fraction'!$B21,'Biodiesel Fraction'!U30,0)*(1-U2)</f>
        <v>1.363612095768818E-2</v>
      </c>
      <c r="V7">
        <f>IF('Biodiesel Fraction'!$B21,'Biodiesel Fraction'!V30,0)*(1-V2)</f>
        <v>1.3411442646222222E-2</v>
      </c>
      <c r="W7">
        <f>IF('Biodiesel Fraction'!$B21,'Biodiesel Fraction'!W30,0)*(1-W2)</f>
        <v>1.3168339433031693E-2</v>
      </c>
      <c r="X7">
        <f>IF('Biodiesel Fraction'!$B21,'Biodiesel Fraction'!X30,0)*(1-X2)</f>
        <v>1.2908549400418761E-2</v>
      </c>
      <c r="Y7">
        <f>IF('Biodiesel Fraction'!$B21,'Biodiesel Fraction'!Y30,0)*(1-Y2)</f>
        <v>1.2653314538860611E-2</v>
      </c>
      <c r="Z7">
        <f>IF('Biodiesel Fraction'!$B21,'Biodiesel Fraction'!Z30,0)*(1-Z2)</f>
        <v>1.2425332387171808E-2</v>
      </c>
      <c r="AA7">
        <f>IF('Biodiesel Fraction'!$B21,'Biodiesel Fraction'!AA30,0)*(1-AA2)</f>
        <v>1.2145943609638395E-2</v>
      </c>
      <c r="AB7">
        <f>IF('Biodiesel Fraction'!$B21,'Biodiesel Fraction'!AB30,0)*(1-AB2)</f>
        <v>0.1683353939702151</v>
      </c>
      <c r="AC7">
        <f>IF('Biodiesel Fraction'!$B21,'Biodiesel Fraction'!AC30,0)*(1-AC2)</f>
        <v>0.16821387671891305</v>
      </c>
    </row>
    <row r="8" spans="1:29">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workbookViewId="0">
      <selection activeCell="B10" sqref="B10"/>
    </sheetView>
  </sheetViews>
  <sheetFormatPr defaultRowHeight="14.25"/>
  <cols>
    <col min="1" max="1" width="22.53125" customWidth="1"/>
    <col min="31" max="31" width="10.86328125" customWidth="1"/>
    <col min="32" max="32" width="9.53125" style="13" bestFit="1"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'Freight Ships'!J3/SUM('Freight Ships'!J3:J4)</f>
        <v>0.2527003203514378</v>
      </c>
      <c r="C5">
        <f>B5</f>
        <v>0.2527003203514378</v>
      </c>
      <c r="D5">
        <f t="shared" ref="D5:AE5" si="0">C5</f>
        <v>0.2527003203514378</v>
      </c>
      <c r="E5">
        <f t="shared" si="0"/>
        <v>0.2527003203514378</v>
      </c>
      <c r="F5">
        <f t="shared" si="0"/>
        <v>0.2527003203514378</v>
      </c>
      <c r="G5">
        <f t="shared" si="0"/>
        <v>0.2527003203514378</v>
      </c>
      <c r="H5">
        <f t="shared" si="0"/>
        <v>0.2527003203514378</v>
      </c>
      <c r="I5">
        <f t="shared" si="0"/>
        <v>0.2527003203514378</v>
      </c>
      <c r="J5">
        <f t="shared" si="0"/>
        <v>0.2527003203514378</v>
      </c>
      <c r="K5">
        <f t="shared" si="0"/>
        <v>0.2527003203514378</v>
      </c>
      <c r="L5">
        <f t="shared" si="0"/>
        <v>0.2527003203514378</v>
      </c>
      <c r="M5">
        <f t="shared" si="0"/>
        <v>0.2527003203514378</v>
      </c>
      <c r="N5">
        <f t="shared" si="0"/>
        <v>0.2527003203514378</v>
      </c>
      <c r="O5">
        <f t="shared" si="0"/>
        <v>0.2527003203514378</v>
      </c>
      <c r="P5">
        <f t="shared" si="0"/>
        <v>0.2527003203514378</v>
      </c>
      <c r="Q5">
        <f t="shared" si="0"/>
        <v>0.2527003203514378</v>
      </c>
      <c r="R5">
        <f t="shared" si="0"/>
        <v>0.2527003203514378</v>
      </c>
      <c r="S5">
        <f t="shared" si="0"/>
        <v>0.2527003203514378</v>
      </c>
      <c r="T5">
        <f t="shared" si="0"/>
        <v>0.2527003203514378</v>
      </c>
      <c r="U5">
        <f t="shared" si="0"/>
        <v>0.2527003203514378</v>
      </c>
      <c r="V5">
        <f t="shared" si="0"/>
        <v>0.2527003203514378</v>
      </c>
      <c r="W5">
        <f t="shared" si="0"/>
        <v>0.2527003203514378</v>
      </c>
      <c r="X5">
        <f t="shared" si="0"/>
        <v>0.2527003203514378</v>
      </c>
      <c r="Y5">
        <f t="shared" si="0"/>
        <v>0.2527003203514378</v>
      </c>
      <c r="Z5">
        <f t="shared" si="0"/>
        <v>0.2527003203514378</v>
      </c>
      <c r="AA5">
        <f t="shared" si="0"/>
        <v>0.2527003203514378</v>
      </c>
      <c r="AB5">
        <f t="shared" si="0"/>
        <v>0.2527003203514378</v>
      </c>
      <c r="AC5">
        <f t="shared" si="0"/>
        <v>0.2527003203514378</v>
      </c>
      <c r="AD5">
        <f t="shared" si="0"/>
        <v>0.2527003203514378</v>
      </c>
      <c r="AE5">
        <f t="shared" si="0"/>
        <v>0.2527003203514378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f>1-B5</f>
        <v>0.74729967964856225</v>
      </c>
      <c r="C9">
        <f>B9</f>
        <v>0.74729967964856225</v>
      </c>
      <c r="D9">
        <f t="shared" ref="D9:AE9" si="1">C9</f>
        <v>0.74729967964856225</v>
      </c>
      <c r="E9">
        <f t="shared" si="1"/>
        <v>0.74729967964856225</v>
      </c>
      <c r="F9">
        <f t="shared" si="1"/>
        <v>0.74729967964856225</v>
      </c>
      <c r="G9">
        <f t="shared" si="1"/>
        <v>0.74729967964856225</v>
      </c>
      <c r="H9">
        <f t="shared" si="1"/>
        <v>0.74729967964856225</v>
      </c>
      <c r="I9">
        <f t="shared" si="1"/>
        <v>0.74729967964856225</v>
      </c>
      <c r="J9">
        <f t="shared" si="1"/>
        <v>0.74729967964856225</v>
      </c>
      <c r="K9">
        <f t="shared" si="1"/>
        <v>0.74729967964856225</v>
      </c>
      <c r="L9">
        <f t="shared" si="1"/>
        <v>0.74729967964856225</v>
      </c>
      <c r="M9">
        <f t="shared" si="1"/>
        <v>0.74729967964856225</v>
      </c>
      <c r="N9">
        <f t="shared" si="1"/>
        <v>0.74729967964856225</v>
      </c>
      <c r="O9">
        <f t="shared" si="1"/>
        <v>0.74729967964856225</v>
      </c>
      <c r="P9">
        <f t="shared" si="1"/>
        <v>0.74729967964856225</v>
      </c>
      <c r="Q9">
        <f t="shared" si="1"/>
        <v>0.74729967964856225</v>
      </c>
      <c r="R9">
        <f t="shared" si="1"/>
        <v>0.74729967964856225</v>
      </c>
      <c r="S9">
        <f t="shared" si="1"/>
        <v>0.74729967964856225</v>
      </c>
      <c r="T9">
        <f t="shared" si="1"/>
        <v>0.74729967964856225</v>
      </c>
      <c r="U9">
        <f t="shared" si="1"/>
        <v>0.74729967964856225</v>
      </c>
      <c r="V9">
        <f t="shared" si="1"/>
        <v>0.74729967964856225</v>
      </c>
      <c r="W9">
        <f t="shared" si="1"/>
        <v>0.74729967964856225</v>
      </c>
      <c r="X9">
        <f t="shared" si="1"/>
        <v>0.74729967964856225</v>
      </c>
      <c r="Y9">
        <f t="shared" si="1"/>
        <v>0.74729967964856225</v>
      </c>
      <c r="Z9">
        <f t="shared" si="1"/>
        <v>0.74729967964856225</v>
      </c>
      <c r="AA9">
        <f t="shared" si="1"/>
        <v>0.74729967964856225</v>
      </c>
      <c r="AB9">
        <f t="shared" si="1"/>
        <v>0.74729967964856225</v>
      </c>
      <c r="AC9">
        <f t="shared" si="1"/>
        <v>0.74729967964856225</v>
      </c>
      <c r="AD9">
        <f t="shared" si="1"/>
        <v>0.74729967964856225</v>
      </c>
      <c r="AE9">
        <f t="shared" si="1"/>
        <v>0.74729967964856225</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topLeftCell="C1" workbookViewId="0">
      <selection activeCell="B1" sqref="B1:AE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11"/>
  <sheetViews>
    <sheetView workbookViewId="0">
      <selection activeCell="B1" sqref="B1"/>
    </sheetView>
  </sheetViews>
  <sheetFormatPr defaultRowHeight="14.25"/>
  <cols>
    <col min="1" max="1" width="22.53125" customWidth="1"/>
  </cols>
  <sheetData>
    <row r="1" spans="1:29" ht="28.5">
      <c r="A1" s="10" t="s">
        <v>85</v>
      </c>
      <c r="B1">
        <f>'Biodiesel Fraction'!D6</f>
        <v>2023</v>
      </c>
      <c r="C1">
        <f>'Biodiesel Fraction'!E6</f>
        <v>2024</v>
      </c>
      <c r="D1">
        <f>'Biodiesel Fraction'!F6</f>
        <v>2025</v>
      </c>
      <c r="E1">
        <f>'Biodiesel Fraction'!G6</f>
        <v>2026</v>
      </c>
      <c r="F1">
        <f>'Biodiesel Fraction'!H6</f>
        <v>2027</v>
      </c>
      <c r="G1">
        <f>'Biodiesel Fraction'!I6</f>
        <v>2028</v>
      </c>
      <c r="H1">
        <f>'Biodiesel Fraction'!J6</f>
        <v>2029</v>
      </c>
      <c r="I1">
        <f>'Biodiesel Fraction'!K6</f>
        <v>2030</v>
      </c>
      <c r="J1">
        <f>'Biodiesel Fraction'!L6</f>
        <v>2031</v>
      </c>
      <c r="K1">
        <f>'Biodiesel Fraction'!M6</f>
        <v>2032</v>
      </c>
      <c r="L1">
        <f>'Biodiesel Fraction'!N6</f>
        <v>2033</v>
      </c>
      <c r="M1">
        <f>'Biodiesel Fraction'!O6</f>
        <v>2034</v>
      </c>
      <c r="N1">
        <f>'Biodiesel Fraction'!P6</f>
        <v>2035</v>
      </c>
      <c r="O1">
        <f>'Biodiesel Fraction'!Q6</f>
        <v>2036</v>
      </c>
      <c r="P1">
        <f>'Biodiesel Fraction'!R6</f>
        <v>2037</v>
      </c>
      <c r="Q1">
        <f>'Biodiesel Fraction'!S6</f>
        <v>2038</v>
      </c>
      <c r="R1">
        <f>'Biodiesel Fraction'!T6</f>
        <v>2039</v>
      </c>
      <c r="S1">
        <f>'Biodiesel Fraction'!U6</f>
        <v>2040</v>
      </c>
      <c r="T1">
        <f>'Biodiesel Fraction'!V6</f>
        <v>2041</v>
      </c>
      <c r="U1">
        <f>'Biodiesel Fraction'!W6</f>
        <v>2042</v>
      </c>
      <c r="V1">
        <f>'Biodiesel Fraction'!X6</f>
        <v>2043</v>
      </c>
      <c r="W1">
        <f>'Biodiesel Fraction'!Y6</f>
        <v>2044</v>
      </c>
      <c r="X1">
        <f>'Biodiesel Fraction'!Z6</f>
        <v>2045</v>
      </c>
      <c r="Y1">
        <f>'Biodiesel Fraction'!AA6</f>
        <v>2046</v>
      </c>
      <c r="Z1">
        <f>'Biodiesel Fraction'!AB6</f>
        <v>2047</v>
      </c>
      <c r="AA1">
        <f>'Biodiesel Fraction'!AC6</f>
        <v>2048</v>
      </c>
      <c r="AB1">
        <f>'Biodiesel Fraction'!AD6</f>
        <v>2049</v>
      </c>
      <c r="AC1">
        <f>'Biodiesel Fraction'!AE6</f>
        <v>2050</v>
      </c>
    </row>
    <row r="2" spans="1:29">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18</v>
      </c>
      <c r="B5">
        <f>IF('Biodiesel Fraction'!$B18,1-'Biodiesel Fraction'!B30,1)</f>
        <v>0.96756119768275339</v>
      </c>
      <c r="C5">
        <f>IF('Biodiesel Fraction'!$B18,1-'Biodiesel Fraction'!C30,1)</f>
        <v>0.96041416638410693</v>
      </c>
      <c r="D5">
        <f>IF('Biodiesel Fraction'!$B18,1-'Biodiesel Fraction'!D30,1)</f>
        <v>0.97356339762964994</v>
      </c>
      <c r="E5">
        <f>IF('Biodiesel Fraction'!$B18,1-'Biodiesel Fraction'!E30,1)</f>
        <v>0.96819489918684676</v>
      </c>
      <c r="F5">
        <f>IF('Biodiesel Fraction'!$B18,1-'Biodiesel Fraction'!F30,1)</f>
        <v>0.9694313153961085</v>
      </c>
      <c r="G5">
        <f>IF('Biodiesel Fraction'!$B18,1-'Biodiesel Fraction'!G30,1)</f>
        <v>0.96844687488582915</v>
      </c>
      <c r="H5">
        <f>IF('Biodiesel Fraction'!$B18,1-'Biodiesel Fraction'!H30,1)</f>
        <v>0.96769466424220119</v>
      </c>
      <c r="I5">
        <f>IF('Biodiesel Fraction'!$B18,1-'Biodiesel Fraction'!I30,1)</f>
        <v>0.97301476920346763</v>
      </c>
      <c r="J5">
        <f>IF('Biodiesel Fraction'!$B18,1-'Biodiesel Fraction'!J30,1)</f>
        <v>0.97148924247968638</v>
      </c>
      <c r="K5">
        <f>IF('Biodiesel Fraction'!$B18,1-'Biodiesel Fraction'!K30,1)</f>
        <v>0.97071698265400486</v>
      </c>
      <c r="L5">
        <f>IF('Biodiesel Fraction'!$B18,1-'Biodiesel Fraction'!L30,1)</f>
        <v>0.96917636816015995</v>
      </c>
      <c r="M5">
        <f>IF('Biodiesel Fraction'!$B18,1-'Biodiesel Fraction'!M30,1)</f>
        <v>0.96845068326481953</v>
      </c>
      <c r="N5">
        <f>IF('Biodiesel Fraction'!$B18,1-'Biodiesel Fraction'!N30,1)</f>
        <v>0.96781535449254963</v>
      </c>
      <c r="O5">
        <f>IF('Biodiesel Fraction'!$B18,1-'Biodiesel Fraction'!O30,1)</f>
        <v>0.96959483363592802</v>
      </c>
      <c r="P5">
        <f>IF('Biodiesel Fraction'!$B18,1-'Biodiesel Fraction'!P30,1)</f>
        <v>0.96800055913200733</v>
      </c>
      <c r="Q5">
        <f>IF('Biodiesel Fraction'!$B18,1-'Biodiesel Fraction'!Q30,1)</f>
        <v>0.9681622422082321</v>
      </c>
      <c r="R5">
        <f>IF('Biodiesel Fraction'!$B18,1-'Biodiesel Fraction'!R30,1)</f>
        <v>0.96850829509174097</v>
      </c>
      <c r="S5">
        <f>IF('Biodiesel Fraction'!$B18,1-'Biodiesel Fraction'!S30,1)</f>
        <v>0.96887665017064251</v>
      </c>
      <c r="T5">
        <f>IF('Biodiesel Fraction'!$B18,1-'Biodiesel Fraction'!T30,1)</f>
        <v>0.96927688375388943</v>
      </c>
      <c r="U5">
        <f>IF('Biodiesel Fraction'!$B18,1-'Biodiesel Fraction'!U30,1)</f>
        <v>0.96969750898291518</v>
      </c>
      <c r="V5">
        <f>IF('Biodiesel Fraction'!$B18,1-'Biodiesel Fraction'!V30,1)</f>
        <v>0.97019679411950621</v>
      </c>
      <c r="W5">
        <f>IF('Biodiesel Fraction'!$B18,1-'Biodiesel Fraction'!W30,1)</f>
        <v>0.97073702348215174</v>
      </c>
      <c r="X5">
        <f>IF('Biodiesel Fraction'!$B18,1-'Biodiesel Fraction'!X30,1)</f>
        <v>0.97131433466573613</v>
      </c>
      <c r="Y5">
        <f>IF('Biodiesel Fraction'!$B18,1-'Biodiesel Fraction'!Y30,1)</f>
        <v>0.97188152324697641</v>
      </c>
      <c r="Z5">
        <f>IF('Biodiesel Fraction'!$B18,1-'Biodiesel Fraction'!Z30,1)</f>
        <v>0.97238815025072933</v>
      </c>
      <c r="AA5">
        <f>IF('Biodiesel Fraction'!$B18,1-'Biodiesel Fraction'!AA30,1)</f>
        <v>0.97300901420080355</v>
      </c>
      <c r="AB5">
        <f>IF('Biodiesel Fraction'!$B18,1-'Biodiesel Fraction'!AB30,1)</f>
        <v>0.62592134673285527</v>
      </c>
      <c r="AC5">
        <f>IF('Biodiesel Fraction'!$B18,1-'Biodiesel Fraction'!AC30,1)</f>
        <v>0.62619138506908212</v>
      </c>
    </row>
    <row r="6" spans="1:29">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21</v>
      </c>
      <c r="B7">
        <f>IF('Biodiesel Fraction'!$B18,'Biodiesel Fraction'!B30,0)</f>
        <v>3.2438802317246634E-2</v>
      </c>
      <c r="C7">
        <f>IF('Biodiesel Fraction'!$B18,'Biodiesel Fraction'!C30,0)</f>
        <v>3.9585833615893101E-2</v>
      </c>
      <c r="D7">
        <f>IF('Biodiesel Fraction'!$B18,'Biodiesel Fraction'!D30,0)</f>
        <v>2.6436602370350101E-2</v>
      </c>
      <c r="E7">
        <f>IF('Biodiesel Fraction'!$B18,'Biodiesel Fraction'!E30,0)</f>
        <v>3.1805100813153228E-2</v>
      </c>
      <c r="F7">
        <f>IF('Biodiesel Fraction'!$B18,'Biodiesel Fraction'!F30,0)</f>
        <v>3.0568684603891498E-2</v>
      </c>
      <c r="G7">
        <f>IF('Biodiesel Fraction'!$B18,'Biodiesel Fraction'!G30,0)</f>
        <v>3.1553125114170841E-2</v>
      </c>
      <c r="H7">
        <f>IF('Biodiesel Fraction'!$B18,'Biodiesel Fraction'!H30,0)</f>
        <v>3.2305335757798835E-2</v>
      </c>
      <c r="I7">
        <f>IF('Biodiesel Fraction'!$B18,'Biodiesel Fraction'!I30,0)</f>
        <v>2.6985230796532339E-2</v>
      </c>
      <c r="J7">
        <f>IF('Biodiesel Fraction'!$B18,'Biodiesel Fraction'!J30,0)</f>
        <v>2.8510757520313589E-2</v>
      </c>
      <c r="K7">
        <f>IF('Biodiesel Fraction'!$B18,'Biodiesel Fraction'!K30,0)</f>
        <v>2.928301734599514E-2</v>
      </c>
      <c r="L7">
        <f>IF('Biodiesel Fraction'!$B18,'Biodiesel Fraction'!L30,0)</f>
        <v>3.0823631839840031E-2</v>
      </c>
      <c r="M7">
        <f>IF('Biodiesel Fraction'!$B18,'Biodiesel Fraction'!M30,0)</f>
        <v>3.154931673518048E-2</v>
      </c>
      <c r="N7">
        <f>IF('Biodiesel Fraction'!$B18,'Biodiesel Fraction'!N30,0)</f>
        <v>3.2184645507450385E-2</v>
      </c>
      <c r="O7">
        <f>IF('Biodiesel Fraction'!$B18,'Biodiesel Fraction'!O30,0)</f>
        <v>3.040516636407193E-2</v>
      </c>
      <c r="P7">
        <f>IF('Biodiesel Fraction'!$B18,'Biodiesel Fraction'!P30,0)</f>
        <v>3.1999440867992696E-2</v>
      </c>
      <c r="Q7">
        <f>IF('Biodiesel Fraction'!$B18,'Biodiesel Fraction'!Q30,0)</f>
        <v>3.1837757791767944E-2</v>
      </c>
      <c r="R7">
        <f>IF('Biodiesel Fraction'!$B18,'Biodiesel Fraction'!R30,0)</f>
        <v>3.1491704908259026E-2</v>
      </c>
      <c r="S7">
        <f>IF('Biodiesel Fraction'!$B18,'Biodiesel Fraction'!S30,0)</f>
        <v>3.1123349829357549E-2</v>
      </c>
      <c r="T7">
        <f>IF('Biodiesel Fraction'!$B18,'Biodiesel Fraction'!T30,0)</f>
        <v>3.0723116246110606E-2</v>
      </c>
      <c r="U7">
        <f>IF('Biodiesel Fraction'!$B18,'Biodiesel Fraction'!U30,0)</f>
        <v>3.0302491017084848E-2</v>
      </c>
      <c r="V7">
        <f>IF('Biodiesel Fraction'!$B18,'Biodiesel Fraction'!V30,0)</f>
        <v>2.980320588049383E-2</v>
      </c>
      <c r="W7">
        <f>IF('Biodiesel Fraction'!$B18,'Biodiesel Fraction'!W30,0)</f>
        <v>2.9262976517848212E-2</v>
      </c>
      <c r="X7">
        <f>IF('Biodiesel Fraction'!$B18,'Biodiesel Fraction'!X30,0)</f>
        <v>2.8685665334263914E-2</v>
      </c>
      <c r="Y7">
        <f>IF('Biodiesel Fraction'!$B18,'Biodiesel Fraction'!Y30,0)</f>
        <v>2.8118476753023584E-2</v>
      </c>
      <c r="Z7">
        <f>IF('Biodiesel Fraction'!$B18,'Biodiesel Fraction'!Z30,0)</f>
        <v>2.7611849749270688E-2</v>
      </c>
      <c r="AA7">
        <f>IF('Biodiesel Fraction'!$B18,'Biodiesel Fraction'!AA30,0)</f>
        <v>2.6990985799196437E-2</v>
      </c>
      <c r="AB7">
        <f>IF('Biodiesel Fraction'!$B18,'Biodiesel Fraction'!AB30,0)</f>
        <v>0.37407865326714473</v>
      </c>
      <c r="AC7">
        <f>IF('Biodiesel Fraction'!$B18,'Biodiesel Fraction'!AC30,0)</f>
        <v>0.37380861493091794</v>
      </c>
    </row>
    <row r="8" spans="1:29">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29">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H11"/>
  <sheetViews>
    <sheetView topLeftCell="B1" workbookViewId="0">
      <selection activeCell="B1" sqref="B1:AD1"/>
    </sheetView>
  </sheetViews>
  <sheetFormatPr defaultRowHeight="14.25"/>
  <cols>
    <col min="1" max="1" width="22.53125" customWidth="1"/>
  </cols>
  <sheetData>
    <row r="1" spans="1:34" ht="28.5">
      <c r="A1" s="10" t="s">
        <v>85</v>
      </c>
      <c r="B1">
        <v>2022</v>
      </c>
      <c r="C1">
        <v>2023</v>
      </c>
      <c r="D1">
        <v>2024</v>
      </c>
      <c r="E1">
        <v>2025</v>
      </c>
      <c r="F1">
        <v>2026</v>
      </c>
      <c r="G1">
        <v>2027</v>
      </c>
      <c r="H1">
        <v>2028</v>
      </c>
      <c r="I1">
        <v>2029</v>
      </c>
      <c r="J1">
        <v>2030</v>
      </c>
      <c r="K1">
        <v>2031</v>
      </c>
      <c r="L1">
        <v>2032</v>
      </c>
      <c r="M1">
        <v>2033</v>
      </c>
      <c r="N1">
        <v>2034</v>
      </c>
      <c r="O1">
        <v>2035</v>
      </c>
      <c r="P1">
        <v>2036</v>
      </c>
      <c r="Q1">
        <v>2037</v>
      </c>
      <c r="R1">
        <v>2038</v>
      </c>
      <c r="S1">
        <v>2039</v>
      </c>
      <c r="T1">
        <v>2040</v>
      </c>
      <c r="U1">
        <v>2041</v>
      </c>
      <c r="V1">
        <v>2042</v>
      </c>
      <c r="W1">
        <v>2043</v>
      </c>
      <c r="X1">
        <v>2044</v>
      </c>
      <c r="Y1">
        <v>2045</v>
      </c>
      <c r="Z1">
        <v>2046</v>
      </c>
      <c r="AA1">
        <v>2047</v>
      </c>
      <c r="AB1">
        <v>2048</v>
      </c>
      <c r="AC1">
        <v>2049</v>
      </c>
      <c r="AD1">
        <v>2050</v>
      </c>
    </row>
    <row r="2" spans="1:34">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4">
      <c r="A4" t="s">
        <v>17</v>
      </c>
      <c r="B4" s="2">
        <f>'AEO 2023 Table 36 Raw'!F7/SUM('AEO 2023 Table 36 Raw'!F7:F8)*(1-B2)</f>
        <v>0.44903090794324652</v>
      </c>
      <c r="C4" s="2">
        <f>'AEO 2023 Table 36 Raw'!G7/SUM('AEO 2023 Table 36 Raw'!G7:G8)*(1-C2)</f>
        <v>0.44901641030474015</v>
      </c>
      <c r="D4" s="2">
        <f>'AEO 2023 Table 36 Raw'!H7/SUM('AEO 2023 Table 36 Raw'!H7:H8)*(1-D2)</f>
        <v>0.44907014634923614</v>
      </c>
      <c r="E4" s="2">
        <f>'AEO 2023 Table 36 Raw'!I7/SUM('AEO 2023 Table 36 Raw'!I7:I8)*(1-E2)</f>
        <v>0.44905728586452914</v>
      </c>
      <c r="F4" s="2">
        <f>'AEO 2023 Table 36 Raw'!J7/SUM('AEO 2023 Table 36 Raw'!J7:J8)*(1-F2)</f>
        <v>0.44906619405886128</v>
      </c>
      <c r="G4" s="2">
        <f>'AEO 2023 Table 36 Raw'!K7/SUM('AEO 2023 Table 36 Raw'!K7:K8)*(1-G2)</f>
        <v>0.44907918788558054</v>
      </c>
      <c r="H4" s="2">
        <f>'AEO 2023 Table 36 Raw'!L7/SUM('AEO 2023 Table 36 Raw'!L7:L8)*(1-H2)</f>
        <v>0.44909582893136263</v>
      </c>
      <c r="I4" s="2">
        <f>'AEO 2023 Table 36 Raw'!M7/SUM('AEO 2023 Table 36 Raw'!M7:M8)*(1-I2)</f>
        <v>0.44911496437710824</v>
      </c>
      <c r="J4" s="2">
        <f>'AEO 2023 Table 36 Raw'!N7/SUM('AEO 2023 Table 36 Raw'!N7:N8)*(1-J2)</f>
        <v>0.44913546096854412</v>
      </c>
      <c r="K4" s="2">
        <f>'AEO 2023 Table 36 Raw'!O7/SUM('AEO 2023 Table 36 Raw'!O7:O8)*(1-K2)</f>
        <v>0.44915682790667982</v>
      </c>
      <c r="L4" s="2">
        <f>'AEO 2023 Table 36 Raw'!P7/SUM('AEO 2023 Table 36 Raw'!P7:P8)*(1-L2)</f>
        <v>0.44917819055639702</v>
      </c>
      <c r="M4" s="2">
        <f>'AEO 2023 Table 36 Raw'!Q7/SUM('AEO 2023 Table 36 Raw'!Q7:Q8)*(1-M2)</f>
        <v>0.44919904275753453</v>
      </c>
      <c r="N4" s="2">
        <f>'AEO 2023 Table 36 Raw'!R7/SUM('AEO 2023 Table 36 Raw'!R7:R8)*(1-N2)</f>
        <v>0.4492184473356986</v>
      </c>
      <c r="O4" s="2">
        <f>'AEO 2023 Table 36 Raw'!S7/SUM('AEO 2023 Table 36 Raw'!S7:S8)*(1-O2)</f>
        <v>0.44923499311725906</v>
      </c>
      <c r="P4" s="2">
        <f>'AEO 2023 Table 36 Raw'!T7/SUM('AEO 2023 Table 36 Raw'!T7:T8)*(1-P2)</f>
        <v>0.44925048481808927</v>
      </c>
      <c r="Q4" s="2">
        <f>'AEO 2023 Table 36 Raw'!U7/SUM('AEO 2023 Table 36 Raw'!U7:U8)*(1-Q2)</f>
        <v>0.44926038506300203</v>
      </c>
      <c r="R4" s="2">
        <f>'AEO 2023 Table 36 Raw'!V7/SUM('AEO 2023 Table 36 Raw'!V7:V8)*(1-R2)</f>
        <v>0.44926643522378323</v>
      </c>
      <c r="S4" s="2">
        <f>'AEO 2023 Table 36 Raw'!W7/SUM('AEO 2023 Table 36 Raw'!W7:W8)*(1-S2)</f>
        <v>0.44926824376400976</v>
      </c>
      <c r="T4" s="2">
        <f>'AEO 2023 Table 36 Raw'!X7/SUM('AEO 2023 Table 36 Raw'!X7:X8)*(1-T2)</f>
        <v>0.44926669553836307</v>
      </c>
      <c r="U4" s="2">
        <f>'AEO 2023 Table 36 Raw'!Y7/SUM('AEO 2023 Table 36 Raw'!Y7:Y8)*(1-U2)</f>
        <v>0.44926316168124414</v>
      </c>
      <c r="V4" s="2">
        <f>'AEO 2023 Table 36 Raw'!Z7/SUM('AEO 2023 Table 36 Raw'!Z7:Z8)*(1-V2)</f>
        <v>0.44925805438935312</v>
      </c>
      <c r="W4" s="2">
        <f>'AEO 2023 Table 36 Raw'!AA7/SUM('AEO 2023 Table 36 Raw'!AA7:AA8)*(1-W2)</f>
        <v>0.44925018640576531</v>
      </c>
      <c r="X4" s="2">
        <f>'AEO 2023 Table 36 Raw'!AB7/SUM('AEO 2023 Table 36 Raw'!AB7:AB8)*(1-X2)</f>
        <v>0.44924352565773945</v>
      </c>
      <c r="Y4" s="2">
        <f>'AEO 2023 Table 36 Raw'!AC7/SUM('AEO 2023 Table 36 Raw'!AC7:AC8)*(1-Y2)</f>
        <v>0.44923645684598268</v>
      </c>
      <c r="Z4" s="2">
        <f>'AEO 2023 Table 36 Raw'!AD7/SUM('AEO 2023 Table 36 Raw'!AD7:AD8)*(1-Z2)</f>
        <v>0.4492314694333458</v>
      </c>
      <c r="AA4" s="2">
        <f>'AEO 2023 Table 36 Raw'!AE7/SUM('AEO 2023 Table 36 Raw'!AE7:AE8)*(1-AA2)</f>
        <v>0.44922378198109159</v>
      </c>
      <c r="AB4" s="2">
        <f>'AEO 2023 Table 36 Raw'!AF7/SUM('AEO 2023 Table 36 Raw'!AF7:AF8)*(1-AB2)</f>
        <v>0.44921792253441456</v>
      </c>
      <c r="AC4" s="2">
        <f>'AEO 2023 Table 36 Raw'!AG7/SUM('AEO 2023 Table 36 Raw'!AG7:AG8)*(1-AC2)</f>
        <v>0.44921021800824235</v>
      </c>
      <c r="AD4" s="2">
        <f>'AEO 2023 Table 36 Raw'!AH7/SUM('AEO 2023 Table 36 Raw'!AH7:AH8)*(1-AD2)</f>
        <v>0.44920449239135835</v>
      </c>
      <c r="AE4" s="2"/>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4">
      <c r="A6" t="s">
        <v>19</v>
      </c>
      <c r="B6" s="2">
        <f>'AEO 2023 Table 36 Raw'!F8/SUM('AEO 2023 Table 36 Raw'!F7:F8)*(1-B2)</f>
        <v>9.6909205675343383E-4</v>
      </c>
      <c r="C6" s="2">
        <f>'AEO 2023 Table 36 Raw'!G8/SUM('AEO 2023 Table 36 Raw'!G7:G8)*(1-C2)</f>
        <v>9.8358969525984665E-4</v>
      </c>
      <c r="D6" s="2">
        <f>'AEO 2023 Table 36 Raw'!H8/SUM('AEO 2023 Table 36 Raw'!H7:H8)*(1-D2)</f>
        <v>9.2985365076385786E-4</v>
      </c>
      <c r="E6" s="2">
        <f>'AEO 2023 Table 36 Raw'!I8/SUM('AEO 2023 Table 36 Raw'!I7:I8)*(1-E2)</f>
        <v>9.4271413547086281E-4</v>
      </c>
      <c r="F6" s="2">
        <f>'AEO 2023 Table 36 Raw'!J8/SUM('AEO 2023 Table 36 Raw'!J7:J8)*(1-F2)</f>
        <v>9.3380594113868457E-4</v>
      </c>
      <c r="G6" s="2">
        <f>'AEO 2023 Table 36 Raw'!K8/SUM('AEO 2023 Table 36 Raw'!K7:K8)*(1-G2)</f>
        <v>9.2081211441941016E-4</v>
      </c>
      <c r="H6" s="2">
        <f>'AEO 2023 Table 36 Raw'!L8/SUM('AEO 2023 Table 36 Raw'!L7:L8)*(1-H2)</f>
        <v>9.0417106863733849E-4</v>
      </c>
      <c r="I6" s="2">
        <f>'AEO 2023 Table 36 Raw'!M8/SUM('AEO 2023 Table 36 Raw'!M7:M8)*(1-I2)</f>
        <v>8.8503562289174215E-4</v>
      </c>
      <c r="J6" s="2">
        <f>'AEO 2023 Table 36 Raw'!N8/SUM('AEO 2023 Table 36 Raw'!N7:N8)*(1-J2)</f>
        <v>8.6453903145585745E-4</v>
      </c>
      <c r="K6" s="2">
        <f>'AEO 2023 Table 36 Raw'!O8/SUM('AEO 2023 Table 36 Raw'!O7:O8)*(1-K2)</f>
        <v>8.4317209332012831E-4</v>
      </c>
      <c r="L6" s="2">
        <f>'AEO 2023 Table 36 Raw'!P8/SUM('AEO 2023 Table 36 Raw'!P7:P8)*(1-L2)</f>
        <v>8.2180944360294719E-4</v>
      </c>
      <c r="M6" s="2">
        <f>'AEO 2023 Table 36 Raw'!Q8/SUM('AEO 2023 Table 36 Raw'!Q7:Q8)*(1-M2)</f>
        <v>8.0095724246540467E-4</v>
      </c>
      <c r="N6" s="2">
        <f>'AEO 2023 Table 36 Raw'!R8/SUM('AEO 2023 Table 36 Raw'!R7:R8)*(1-N2)</f>
        <v>7.8155266430136004E-4</v>
      </c>
      <c r="O6" s="2">
        <f>'AEO 2023 Table 36 Raw'!S8/SUM('AEO 2023 Table 36 Raw'!S7:S8)*(1-O2)</f>
        <v>7.6500688274090645E-4</v>
      </c>
      <c r="P6" s="2">
        <f>'AEO 2023 Table 36 Raw'!T8/SUM('AEO 2023 Table 36 Raw'!T7:T8)*(1-P2)</f>
        <v>7.4951518191071671E-4</v>
      </c>
      <c r="Q6" s="2">
        <f>'AEO 2023 Table 36 Raw'!U8/SUM('AEO 2023 Table 36 Raw'!U7:U8)*(1-Q2)</f>
        <v>7.3961493699790503E-4</v>
      </c>
      <c r="R6" s="2">
        <f>'AEO 2023 Table 36 Raw'!V8/SUM('AEO 2023 Table 36 Raw'!V7:V8)*(1-R2)</f>
        <v>7.3356477621667202E-4</v>
      </c>
      <c r="S6" s="2">
        <f>'AEO 2023 Table 36 Raw'!W8/SUM('AEO 2023 Table 36 Raw'!W7:W8)*(1-S2)</f>
        <v>7.3175623599016281E-4</v>
      </c>
      <c r="T6" s="2">
        <f>'AEO 2023 Table 36 Raw'!X8/SUM('AEO 2023 Table 36 Raw'!X7:X8)*(1-T2)</f>
        <v>7.3330446163693023E-4</v>
      </c>
      <c r="U6" s="2">
        <f>'AEO 2023 Table 36 Raw'!Y8/SUM('AEO 2023 Table 36 Raw'!Y7:Y8)*(1-U2)</f>
        <v>7.3683831875582737E-4</v>
      </c>
      <c r="V6" s="2">
        <f>'AEO 2023 Table 36 Raw'!Z8/SUM('AEO 2023 Table 36 Raw'!Z7:Z8)*(1-V2)</f>
        <v>7.4194561064679131E-4</v>
      </c>
      <c r="W6" s="2">
        <f>'AEO 2023 Table 36 Raw'!AA8/SUM('AEO 2023 Table 36 Raw'!AA7:AA8)*(1-W2)</f>
        <v>7.4981359423463827E-4</v>
      </c>
      <c r="X6" s="2">
        <f>'AEO 2023 Table 36 Raw'!AB8/SUM('AEO 2023 Table 36 Raw'!AB7:AB8)*(1-X2)</f>
        <v>7.564743422604893E-4</v>
      </c>
      <c r="Y6" s="2">
        <f>'AEO 2023 Table 36 Raw'!AC8/SUM('AEO 2023 Table 36 Raw'!AC7:AC8)*(1-Y2)</f>
        <v>7.6354315401729674E-4</v>
      </c>
      <c r="Z6" s="2">
        <f>'AEO 2023 Table 36 Raw'!AD8/SUM('AEO 2023 Table 36 Raw'!AD7:AD8)*(1-Z2)</f>
        <v>7.6853056665414593E-4</v>
      </c>
      <c r="AA6" s="2">
        <f>'AEO 2023 Table 36 Raw'!AE8/SUM('AEO 2023 Table 36 Raw'!AE7:AE8)*(1-AA2)</f>
        <v>7.7621801890835813E-4</v>
      </c>
      <c r="AB6" s="2">
        <f>'AEO 2023 Table 36 Raw'!AF8/SUM('AEO 2023 Table 36 Raw'!AF7:AF8)*(1-AB2)</f>
        <v>7.8207746558535797E-4</v>
      </c>
      <c r="AC6" s="2">
        <f>'AEO 2023 Table 36 Raw'!AG8/SUM('AEO 2023 Table 36 Raw'!AG7:AG8)*(1-AC2)</f>
        <v>7.8978199175759752E-4</v>
      </c>
      <c r="AD6" s="2">
        <f>'AEO 2023 Table 36 Raw'!AH8/SUM('AEO 2023 Table 36 Raw'!AH7:AH8)*(1-AD2)</f>
        <v>7.9550760864159826E-4</v>
      </c>
      <c r="AE6" s="2"/>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4">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4">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4">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topLeftCell="C1"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workbookViewId="0">
      <selection activeCell="A11" sqref="A11"/>
    </sheetView>
  </sheetViews>
  <sheetFormatPr defaultRowHeight="14.25"/>
  <cols>
    <col min="1" max="1" width="22.53125" customWidth="1"/>
  </cols>
  <sheetData>
    <row r="1" spans="1:31" ht="28.5">
      <c r="A1" s="10" t="s">
        <v>85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topLeftCell="C1" workbookViewId="0">
      <selection activeCell="B1" sqref="B1:AE1"/>
    </sheetView>
  </sheetViews>
  <sheetFormatPr defaultRowHeight="14.25"/>
  <cols>
    <col min="1" max="1" width="22.53125" customWidth="1"/>
  </cols>
  <sheetData>
    <row r="1" spans="1:31" ht="28.5">
      <c r="A1" s="10" t="s">
        <v>85</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C11"/>
  <sheetViews>
    <sheetView workbookViewId="0">
      <selection activeCell="B1" sqref="B1"/>
    </sheetView>
  </sheetViews>
  <sheetFormatPr defaultRowHeight="14.25"/>
  <cols>
    <col min="1" max="1" width="22.53125" customWidth="1"/>
  </cols>
  <sheetData>
    <row r="1" spans="1:29" ht="28.5">
      <c r="A1" s="10" t="s">
        <v>85</v>
      </c>
      <c r="B1">
        <f>'BPoEFUbVT-mtrbks-psgr-dslveh'!B1</f>
        <v>2023</v>
      </c>
      <c r="C1">
        <f>'BPoEFUbVT-mtrbks-psgr-dslveh'!C1</f>
        <v>2024</v>
      </c>
      <c r="D1">
        <f>'BPoEFUbVT-mtrbks-psgr-dslveh'!D1</f>
        <v>2025</v>
      </c>
      <c r="E1">
        <f>'BPoEFUbVT-mtrbks-psgr-dslveh'!E1</f>
        <v>2026</v>
      </c>
      <c r="F1">
        <f>'BPoEFUbVT-mtrbks-psgr-dslveh'!F1</f>
        <v>2027</v>
      </c>
      <c r="G1">
        <f>'BPoEFUbVT-mtrbks-psgr-dslveh'!G1</f>
        <v>2028</v>
      </c>
      <c r="H1">
        <f>'BPoEFUbVT-mtrbks-psgr-dslveh'!H1</f>
        <v>2029</v>
      </c>
      <c r="I1">
        <f>'BPoEFUbVT-mtrbks-psgr-dslveh'!I1</f>
        <v>2030</v>
      </c>
      <c r="J1">
        <f>'BPoEFUbVT-mtrbks-psgr-dslveh'!J1</f>
        <v>2031</v>
      </c>
      <c r="K1">
        <f>'BPoEFUbVT-mtrbks-psgr-dslveh'!K1</f>
        <v>2032</v>
      </c>
      <c r="L1">
        <f>'BPoEFUbVT-mtrbks-psgr-dslveh'!L1</f>
        <v>2033</v>
      </c>
      <c r="M1">
        <f>'BPoEFUbVT-mtrbks-psgr-dslveh'!M1</f>
        <v>2034</v>
      </c>
      <c r="N1">
        <f>'BPoEFUbVT-mtrbks-psgr-dslveh'!N1</f>
        <v>2035</v>
      </c>
      <c r="O1">
        <f>'BPoEFUbVT-mtrbks-psgr-dslveh'!O1</f>
        <v>2036</v>
      </c>
      <c r="P1">
        <f>'BPoEFUbVT-mtrbks-psgr-dslveh'!P1</f>
        <v>2037</v>
      </c>
      <c r="Q1">
        <f>'BPoEFUbVT-mtrbks-psgr-dslveh'!Q1</f>
        <v>2038</v>
      </c>
      <c r="R1">
        <f>'BPoEFUbVT-mtrbks-psgr-dslveh'!R1</f>
        <v>2039</v>
      </c>
      <c r="S1">
        <f>'BPoEFUbVT-mtrbks-psgr-dslveh'!S1</f>
        <v>2040</v>
      </c>
      <c r="T1">
        <f>'BPoEFUbVT-mtrbks-psgr-dslveh'!T1</f>
        <v>2041</v>
      </c>
      <c r="U1">
        <f>'BPoEFUbVT-mtrbks-psgr-dslveh'!U1</f>
        <v>2042</v>
      </c>
      <c r="V1">
        <f>'BPoEFUbVT-mtrbks-psgr-dslveh'!V1</f>
        <v>2043</v>
      </c>
      <c r="W1">
        <f>'BPoEFUbVT-mtrbks-psgr-dslveh'!W1</f>
        <v>2044</v>
      </c>
      <c r="X1">
        <f>'BPoEFUbVT-mtrbks-psgr-dslveh'!X1</f>
        <v>2045</v>
      </c>
      <c r="Y1">
        <f>'BPoEFUbVT-mtrbks-psgr-dslveh'!Y1</f>
        <v>2046</v>
      </c>
      <c r="Z1">
        <f>'BPoEFUbVT-mtrbks-psgr-dslveh'!Z1</f>
        <v>2047</v>
      </c>
      <c r="AA1">
        <f>'BPoEFUbVT-mtrbks-psgr-dslveh'!AA1</f>
        <v>2048</v>
      </c>
      <c r="AB1">
        <f>'BPoEFUbVT-mtrbks-psgr-dslveh'!AB1</f>
        <v>2049</v>
      </c>
      <c r="AC1">
        <f>'BPoEFUbVT-mtrbks-psgr-dslveh'!AC1</f>
        <v>2050</v>
      </c>
    </row>
    <row r="2" spans="1:29">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row>
    <row r="3" spans="1:29">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row>
    <row r="4" spans="1:29">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row>
    <row r="5" spans="1:29">
      <c r="A5" t="s">
        <v>18</v>
      </c>
      <c r="B5">
        <f>'BPoEFUbVT-mtrbks-psgr-dslveh'!B5</f>
        <v>0.96756119768275339</v>
      </c>
      <c r="C5">
        <f>'BPoEFUbVT-mtrbks-psgr-dslveh'!C5</f>
        <v>0.96041416638410693</v>
      </c>
      <c r="D5">
        <f>'BPoEFUbVT-mtrbks-psgr-dslveh'!D5</f>
        <v>0.97356339762964994</v>
      </c>
      <c r="E5">
        <f>'BPoEFUbVT-mtrbks-psgr-dslveh'!E5</f>
        <v>0.96819489918684676</v>
      </c>
      <c r="F5">
        <f>'BPoEFUbVT-mtrbks-psgr-dslveh'!F5</f>
        <v>0.9694313153961085</v>
      </c>
      <c r="G5">
        <f>'BPoEFUbVT-mtrbks-psgr-dslveh'!G5</f>
        <v>0.96844687488582915</v>
      </c>
      <c r="H5">
        <f>'BPoEFUbVT-mtrbks-psgr-dslveh'!H5</f>
        <v>0.96769466424220119</v>
      </c>
      <c r="I5">
        <f>'BPoEFUbVT-mtrbks-psgr-dslveh'!I5</f>
        <v>0.97301476920346763</v>
      </c>
      <c r="J5">
        <f>'BPoEFUbVT-mtrbks-psgr-dslveh'!J5</f>
        <v>0.97148924247968638</v>
      </c>
      <c r="K5">
        <f>'BPoEFUbVT-mtrbks-psgr-dslveh'!K5</f>
        <v>0.97071698265400486</v>
      </c>
      <c r="L5">
        <f>'BPoEFUbVT-mtrbks-psgr-dslveh'!L5</f>
        <v>0.96917636816015995</v>
      </c>
      <c r="M5">
        <f>'BPoEFUbVT-mtrbks-psgr-dslveh'!M5</f>
        <v>0.96845068326481953</v>
      </c>
      <c r="N5">
        <f>'BPoEFUbVT-mtrbks-psgr-dslveh'!N5</f>
        <v>0.96781535449254963</v>
      </c>
      <c r="O5">
        <f>'BPoEFUbVT-mtrbks-psgr-dslveh'!O5</f>
        <v>0.96959483363592802</v>
      </c>
      <c r="P5">
        <f>'BPoEFUbVT-mtrbks-psgr-dslveh'!P5</f>
        <v>0.96800055913200733</v>
      </c>
      <c r="Q5">
        <f>'BPoEFUbVT-mtrbks-psgr-dslveh'!Q5</f>
        <v>0.9681622422082321</v>
      </c>
      <c r="R5">
        <f>'BPoEFUbVT-mtrbks-psgr-dslveh'!R5</f>
        <v>0.96850829509174097</v>
      </c>
      <c r="S5">
        <f>'BPoEFUbVT-mtrbks-psgr-dslveh'!S5</f>
        <v>0.96887665017064251</v>
      </c>
      <c r="T5">
        <f>'BPoEFUbVT-mtrbks-psgr-dslveh'!T5</f>
        <v>0.96927688375388943</v>
      </c>
      <c r="U5">
        <f>'BPoEFUbVT-mtrbks-psgr-dslveh'!U5</f>
        <v>0.96969750898291518</v>
      </c>
      <c r="V5">
        <f>'BPoEFUbVT-mtrbks-psgr-dslveh'!V5</f>
        <v>0.97019679411950621</v>
      </c>
      <c r="W5">
        <f>'BPoEFUbVT-mtrbks-psgr-dslveh'!W5</f>
        <v>0.97073702348215174</v>
      </c>
      <c r="X5">
        <f>'BPoEFUbVT-mtrbks-psgr-dslveh'!X5</f>
        <v>0.97131433466573613</v>
      </c>
      <c r="Y5">
        <f>'BPoEFUbVT-mtrbks-psgr-dslveh'!Y5</f>
        <v>0.97188152324697641</v>
      </c>
      <c r="Z5">
        <f>'BPoEFUbVT-mtrbks-psgr-dslveh'!Z5</f>
        <v>0.97238815025072933</v>
      </c>
      <c r="AA5">
        <f>'BPoEFUbVT-mtrbks-psgr-dslveh'!AA5</f>
        <v>0.97300901420080355</v>
      </c>
      <c r="AB5">
        <f>'BPoEFUbVT-mtrbks-psgr-dslveh'!AB5</f>
        <v>0.62592134673285527</v>
      </c>
      <c r="AC5">
        <f>'BPoEFUbVT-mtrbks-psgr-dslveh'!AC5</f>
        <v>0.62619138506908212</v>
      </c>
    </row>
    <row r="6" spans="1:29">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row>
    <row r="7" spans="1:29">
      <c r="A7" t="s">
        <v>21</v>
      </c>
      <c r="B7">
        <f>'BPoEFUbVT-mtrbks-psgr-dslveh'!B7</f>
        <v>3.2438802317246634E-2</v>
      </c>
      <c r="C7">
        <f>'BPoEFUbVT-mtrbks-psgr-dslveh'!C7</f>
        <v>3.9585833615893101E-2</v>
      </c>
      <c r="D7">
        <f>'BPoEFUbVT-mtrbks-psgr-dslveh'!D7</f>
        <v>2.6436602370350101E-2</v>
      </c>
      <c r="E7">
        <f>'BPoEFUbVT-mtrbks-psgr-dslveh'!E7</f>
        <v>3.1805100813153228E-2</v>
      </c>
      <c r="F7">
        <f>'BPoEFUbVT-mtrbks-psgr-dslveh'!F7</f>
        <v>3.0568684603891498E-2</v>
      </c>
      <c r="G7">
        <f>'BPoEFUbVT-mtrbks-psgr-dslveh'!G7</f>
        <v>3.1553125114170841E-2</v>
      </c>
      <c r="H7">
        <f>'BPoEFUbVT-mtrbks-psgr-dslveh'!H7</f>
        <v>3.2305335757798835E-2</v>
      </c>
      <c r="I7">
        <f>'BPoEFUbVT-mtrbks-psgr-dslveh'!I7</f>
        <v>2.6985230796532339E-2</v>
      </c>
      <c r="J7">
        <f>'BPoEFUbVT-mtrbks-psgr-dslveh'!J7</f>
        <v>2.8510757520313589E-2</v>
      </c>
      <c r="K7">
        <f>'BPoEFUbVT-mtrbks-psgr-dslveh'!K7</f>
        <v>2.928301734599514E-2</v>
      </c>
      <c r="L7">
        <f>'BPoEFUbVT-mtrbks-psgr-dslveh'!L7</f>
        <v>3.0823631839840031E-2</v>
      </c>
      <c r="M7">
        <f>'BPoEFUbVT-mtrbks-psgr-dslveh'!M7</f>
        <v>3.154931673518048E-2</v>
      </c>
      <c r="N7">
        <f>'BPoEFUbVT-mtrbks-psgr-dslveh'!N7</f>
        <v>3.2184645507450385E-2</v>
      </c>
      <c r="O7">
        <f>'BPoEFUbVT-mtrbks-psgr-dslveh'!O7</f>
        <v>3.040516636407193E-2</v>
      </c>
      <c r="P7">
        <f>'BPoEFUbVT-mtrbks-psgr-dslveh'!P7</f>
        <v>3.1999440867992696E-2</v>
      </c>
      <c r="Q7">
        <f>'BPoEFUbVT-mtrbks-psgr-dslveh'!Q7</f>
        <v>3.1837757791767944E-2</v>
      </c>
      <c r="R7">
        <f>'BPoEFUbVT-mtrbks-psgr-dslveh'!R7</f>
        <v>3.1491704908259026E-2</v>
      </c>
      <c r="S7">
        <f>'BPoEFUbVT-mtrbks-psgr-dslveh'!S7</f>
        <v>3.1123349829357549E-2</v>
      </c>
      <c r="T7">
        <f>'BPoEFUbVT-mtrbks-psgr-dslveh'!T7</f>
        <v>3.0723116246110606E-2</v>
      </c>
      <c r="U7">
        <f>'BPoEFUbVT-mtrbks-psgr-dslveh'!U7</f>
        <v>3.0302491017084848E-2</v>
      </c>
      <c r="V7">
        <f>'BPoEFUbVT-mtrbks-psgr-dslveh'!V7</f>
        <v>2.980320588049383E-2</v>
      </c>
      <c r="W7">
        <f>'BPoEFUbVT-mtrbks-psgr-dslveh'!W7</f>
        <v>2.9262976517848212E-2</v>
      </c>
      <c r="X7">
        <f>'BPoEFUbVT-mtrbks-psgr-dslveh'!X7</f>
        <v>2.8685665334263914E-2</v>
      </c>
      <c r="Y7">
        <f>'BPoEFUbVT-mtrbks-psgr-dslveh'!Y7</f>
        <v>2.8118476753023584E-2</v>
      </c>
      <c r="Z7">
        <f>'BPoEFUbVT-mtrbks-psgr-dslveh'!Z7</f>
        <v>2.7611849749270688E-2</v>
      </c>
      <c r="AA7">
        <f>'BPoEFUbVT-mtrbks-psgr-dslveh'!AA7</f>
        <v>2.6990985799196437E-2</v>
      </c>
      <c r="AB7">
        <f>'BPoEFUbVT-mtrbks-psgr-dslveh'!AB7</f>
        <v>0.37407865326714473</v>
      </c>
      <c r="AC7">
        <f>'BPoEFUbVT-mtrbks-psgr-dslveh'!AC7</f>
        <v>0.37380861493091794</v>
      </c>
    </row>
    <row r="8" spans="1:29">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row>
    <row r="9" spans="1:29">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row>
    <row r="10" spans="1:29">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row>
    <row r="11" spans="1:29">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D11"/>
  <sheetViews>
    <sheetView workbookViewId="0">
      <selection activeCell="B1" sqref="B1"/>
    </sheetView>
  </sheetViews>
  <sheetFormatPr defaultRowHeight="14.25"/>
  <cols>
    <col min="1" max="1" width="22.53125" customWidth="1"/>
  </cols>
  <sheetData>
    <row r="1" spans="1:30" ht="28.5">
      <c r="A1" s="10" t="s">
        <v>85</v>
      </c>
      <c r="B1">
        <f>'BPoEFUbVT-mtrbks-psgr-plghyb'!B1</f>
        <v>2022</v>
      </c>
      <c r="C1">
        <f>'BPoEFUbVT-mtrbks-psgr-plghyb'!C1</f>
        <v>2023</v>
      </c>
      <c r="D1">
        <f>'BPoEFUbVT-mtrbks-psgr-plghyb'!D1</f>
        <v>2024</v>
      </c>
      <c r="E1">
        <f>'BPoEFUbVT-mtrbks-psgr-plghyb'!E1</f>
        <v>2025</v>
      </c>
      <c r="F1">
        <f>'BPoEFUbVT-mtrbks-psgr-plghyb'!F1</f>
        <v>2026</v>
      </c>
      <c r="G1">
        <f>'BPoEFUbVT-mtrbks-psgr-plghyb'!G1</f>
        <v>2027</v>
      </c>
      <c r="H1">
        <f>'BPoEFUbVT-mtrbks-psgr-plghyb'!H1</f>
        <v>2028</v>
      </c>
      <c r="I1">
        <f>'BPoEFUbVT-mtrbks-psgr-plghyb'!I1</f>
        <v>2029</v>
      </c>
      <c r="J1">
        <f>'BPoEFUbVT-mtrbks-psgr-plghyb'!J1</f>
        <v>2030</v>
      </c>
      <c r="K1">
        <f>'BPoEFUbVT-mtrbks-psgr-plghyb'!K1</f>
        <v>2031</v>
      </c>
      <c r="L1">
        <f>'BPoEFUbVT-mtrbks-psgr-plghyb'!L1</f>
        <v>2032</v>
      </c>
      <c r="M1">
        <f>'BPoEFUbVT-mtrbks-psgr-plghyb'!M1</f>
        <v>2033</v>
      </c>
      <c r="N1">
        <f>'BPoEFUbVT-mtrbks-psgr-plghyb'!N1</f>
        <v>2034</v>
      </c>
      <c r="O1">
        <f>'BPoEFUbVT-mtrbks-psgr-plghyb'!O1</f>
        <v>2035</v>
      </c>
      <c r="P1">
        <f>'BPoEFUbVT-mtrbks-psgr-plghyb'!P1</f>
        <v>2036</v>
      </c>
      <c r="Q1">
        <f>'BPoEFUbVT-mtrbks-psgr-plghyb'!Q1</f>
        <v>2037</v>
      </c>
      <c r="R1">
        <f>'BPoEFUbVT-mtrbks-psgr-plghyb'!R1</f>
        <v>2038</v>
      </c>
      <c r="S1">
        <f>'BPoEFUbVT-mtrbks-psgr-plghyb'!S1</f>
        <v>2039</v>
      </c>
      <c r="T1">
        <f>'BPoEFUbVT-mtrbks-psgr-plghyb'!T1</f>
        <v>2040</v>
      </c>
      <c r="U1">
        <f>'BPoEFUbVT-mtrbks-psgr-plghyb'!U1</f>
        <v>2041</v>
      </c>
      <c r="V1">
        <f>'BPoEFUbVT-mtrbks-psgr-plghyb'!V1</f>
        <v>2042</v>
      </c>
      <c r="W1">
        <f>'BPoEFUbVT-mtrbks-psgr-plghyb'!W1</f>
        <v>2043</v>
      </c>
      <c r="X1">
        <f>'BPoEFUbVT-mtrbks-psgr-plghyb'!X1</f>
        <v>2044</v>
      </c>
      <c r="Y1">
        <f>'BPoEFUbVT-mtrbks-psgr-plghyb'!Y1</f>
        <v>2045</v>
      </c>
      <c r="Z1">
        <f>'BPoEFUbVT-mtrbks-psgr-plghyb'!Z1</f>
        <v>2046</v>
      </c>
      <c r="AA1">
        <f>'BPoEFUbVT-mtrbks-psgr-plghyb'!AA1</f>
        <v>2047</v>
      </c>
      <c r="AB1">
        <f>'BPoEFUbVT-mtrbks-psgr-plghyb'!AB1</f>
        <v>2048</v>
      </c>
      <c r="AC1">
        <f>'BPoEFUbVT-mtrbks-psgr-plghyb'!AC1</f>
        <v>2049</v>
      </c>
      <c r="AD1">
        <f>'BPoEFUbVT-mtrbks-psgr-plghyb'!AD1</f>
        <v>2050</v>
      </c>
    </row>
    <row r="2" spans="1:30">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row>
    <row r="3" spans="1:30">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row>
    <row r="4" spans="1:30">
      <c r="A4" t="s">
        <v>17</v>
      </c>
      <c r="B4">
        <f>'BPoEFUbVT-mtrbks-psgr-plghyb'!B4</f>
        <v>0.44903090794324652</v>
      </c>
      <c r="C4">
        <f>'BPoEFUbVT-mtrbks-psgr-plghyb'!C4</f>
        <v>0.44901641030474015</v>
      </c>
      <c r="D4">
        <f>'BPoEFUbVT-mtrbks-psgr-plghyb'!D4</f>
        <v>0.44907014634923614</v>
      </c>
      <c r="E4">
        <f>'BPoEFUbVT-mtrbks-psgr-plghyb'!E4</f>
        <v>0.44905728586452914</v>
      </c>
      <c r="F4">
        <f>'BPoEFUbVT-mtrbks-psgr-plghyb'!F4</f>
        <v>0.44906619405886128</v>
      </c>
      <c r="G4">
        <f>'BPoEFUbVT-mtrbks-psgr-plghyb'!G4</f>
        <v>0.44907918788558054</v>
      </c>
      <c r="H4">
        <f>'BPoEFUbVT-mtrbks-psgr-plghyb'!H4</f>
        <v>0.44909582893136263</v>
      </c>
      <c r="I4">
        <f>'BPoEFUbVT-mtrbks-psgr-plghyb'!I4</f>
        <v>0.44911496437710824</v>
      </c>
      <c r="J4">
        <f>'BPoEFUbVT-mtrbks-psgr-plghyb'!J4</f>
        <v>0.44913546096854412</v>
      </c>
      <c r="K4">
        <f>'BPoEFUbVT-mtrbks-psgr-plghyb'!K4</f>
        <v>0.44915682790667982</v>
      </c>
      <c r="L4">
        <f>'BPoEFUbVT-mtrbks-psgr-plghyb'!L4</f>
        <v>0.44917819055639702</v>
      </c>
      <c r="M4">
        <f>'BPoEFUbVT-mtrbks-psgr-plghyb'!M4</f>
        <v>0.44919904275753453</v>
      </c>
      <c r="N4">
        <f>'BPoEFUbVT-mtrbks-psgr-plghyb'!N4</f>
        <v>0.4492184473356986</v>
      </c>
      <c r="O4">
        <f>'BPoEFUbVT-mtrbks-psgr-plghyb'!O4</f>
        <v>0.44923499311725906</v>
      </c>
      <c r="P4">
        <f>'BPoEFUbVT-mtrbks-psgr-plghyb'!P4</f>
        <v>0.44925048481808927</v>
      </c>
      <c r="Q4">
        <f>'BPoEFUbVT-mtrbks-psgr-plghyb'!Q4</f>
        <v>0.44926038506300203</v>
      </c>
      <c r="R4">
        <f>'BPoEFUbVT-mtrbks-psgr-plghyb'!R4</f>
        <v>0.44926643522378323</v>
      </c>
      <c r="S4">
        <f>'BPoEFUbVT-mtrbks-psgr-plghyb'!S4</f>
        <v>0.44926824376400976</v>
      </c>
      <c r="T4">
        <f>'BPoEFUbVT-mtrbks-psgr-plghyb'!T4</f>
        <v>0.44926669553836307</v>
      </c>
      <c r="U4">
        <f>'BPoEFUbVT-mtrbks-psgr-plghyb'!U4</f>
        <v>0.44926316168124414</v>
      </c>
      <c r="V4">
        <f>'BPoEFUbVT-mtrbks-psgr-plghyb'!V4</f>
        <v>0.44925805438935312</v>
      </c>
      <c r="W4">
        <f>'BPoEFUbVT-mtrbks-psgr-plghyb'!W4</f>
        <v>0.44925018640576531</v>
      </c>
      <c r="X4">
        <f>'BPoEFUbVT-mtrbks-psgr-plghyb'!X4</f>
        <v>0.44924352565773945</v>
      </c>
      <c r="Y4">
        <f>'BPoEFUbVT-mtrbks-psgr-plghyb'!Y4</f>
        <v>0.44923645684598268</v>
      </c>
      <c r="Z4">
        <f>'BPoEFUbVT-mtrbks-psgr-plghyb'!Z4</f>
        <v>0.4492314694333458</v>
      </c>
      <c r="AA4">
        <f>'BPoEFUbVT-mtrbks-psgr-plghyb'!AA4</f>
        <v>0.44922378198109159</v>
      </c>
      <c r="AB4">
        <f>'BPoEFUbVT-mtrbks-psgr-plghyb'!AB4</f>
        <v>0.44921792253441456</v>
      </c>
      <c r="AC4">
        <f>'BPoEFUbVT-mtrbks-psgr-plghyb'!AC4</f>
        <v>0.44921021800824235</v>
      </c>
      <c r="AD4">
        <f>'BPoEFUbVT-mtrbks-psgr-plghyb'!AD4</f>
        <v>0.44920449239135835</v>
      </c>
    </row>
    <row r="5" spans="1:30">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row>
    <row r="6" spans="1:30">
      <c r="A6" t="s">
        <v>19</v>
      </c>
      <c r="B6">
        <f>'BPoEFUbVT-mtrbks-psgr-plghyb'!B6</f>
        <v>9.6909205675343383E-4</v>
      </c>
      <c r="C6">
        <f>'BPoEFUbVT-mtrbks-psgr-plghyb'!C6</f>
        <v>9.8358969525984665E-4</v>
      </c>
      <c r="D6">
        <f>'BPoEFUbVT-mtrbks-psgr-plghyb'!D6</f>
        <v>9.2985365076385786E-4</v>
      </c>
      <c r="E6">
        <f>'BPoEFUbVT-mtrbks-psgr-plghyb'!E6</f>
        <v>9.4271413547086281E-4</v>
      </c>
      <c r="F6">
        <f>'BPoEFUbVT-mtrbks-psgr-plghyb'!F6</f>
        <v>9.3380594113868457E-4</v>
      </c>
      <c r="G6">
        <f>'BPoEFUbVT-mtrbks-psgr-plghyb'!G6</f>
        <v>9.2081211441941016E-4</v>
      </c>
      <c r="H6">
        <f>'BPoEFUbVT-mtrbks-psgr-plghyb'!H6</f>
        <v>9.0417106863733849E-4</v>
      </c>
      <c r="I6">
        <f>'BPoEFUbVT-mtrbks-psgr-plghyb'!I6</f>
        <v>8.8503562289174215E-4</v>
      </c>
      <c r="J6">
        <f>'BPoEFUbVT-mtrbks-psgr-plghyb'!J6</f>
        <v>8.6453903145585745E-4</v>
      </c>
      <c r="K6">
        <f>'BPoEFUbVT-mtrbks-psgr-plghyb'!K6</f>
        <v>8.4317209332012831E-4</v>
      </c>
      <c r="L6">
        <f>'BPoEFUbVT-mtrbks-psgr-plghyb'!L6</f>
        <v>8.2180944360294719E-4</v>
      </c>
      <c r="M6">
        <f>'BPoEFUbVT-mtrbks-psgr-plghyb'!M6</f>
        <v>8.0095724246540467E-4</v>
      </c>
      <c r="N6">
        <f>'BPoEFUbVT-mtrbks-psgr-plghyb'!N6</f>
        <v>7.8155266430136004E-4</v>
      </c>
      <c r="O6">
        <f>'BPoEFUbVT-mtrbks-psgr-plghyb'!O6</f>
        <v>7.6500688274090645E-4</v>
      </c>
      <c r="P6">
        <f>'BPoEFUbVT-mtrbks-psgr-plghyb'!P6</f>
        <v>7.4951518191071671E-4</v>
      </c>
      <c r="Q6">
        <f>'BPoEFUbVT-mtrbks-psgr-plghyb'!Q6</f>
        <v>7.3961493699790503E-4</v>
      </c>
      <c r="R6">
        <f>'BPoEFUbVT-mtrbks-psgr-plghyb'!R6</f>
        <v>7.3356477621667202E-4</v>
      </c>
      <c r="S6">
        <f>'BPoEFUbVT-mtrbks-psgr-plghyb'!S6</f>
        <v>7.3175623599016281E-4</v>
      </c>
      <c r="T6">
        <f>'BPoEFUbVT-mtrbks-psgr-plghyb'!T6</f>
        <v>7.3330446163693023E-4</v>
      </c>
      <c r="U6">
        <f>'BPoEFUbVT-mtrbks-psgr-plghyb'!U6</f>
        <v>7.3683831875582737E-4</v>
      </c>
      <c r="V6">
        <f>'BPoEFUbVT-mtrbks-psgr-plghyb'!V6</f>
        <v>7.4194561064679131E-4</v>
      </c>
      <c r="W6">
        <f>'BPoEFUbVT-mtrbks-psgr-plghyb'!W6</f>
        <v>7.4981359423463827E-4</v>
      </c>
      <c r="X6">
        <f>'BPoEFUbVT-mtrbks-psgr-plghyb'!X6</f>
        <v>7.564743422604893E-4</v>
      </c>
      <c r="Y6">
        <f>'BPoEFUbVT-mtrbks-psgr-plghyb'!Y6</f>
        <v>7.6354315401729674E-4</v>
      </c>
      <c r="Z6">
        <f>'BPoEFUbVT-mtrbks-psgr-plghyb'!Z6</f>
        <v>7.6853056665414593E-4</v>
      </c>
      <c r="AA6">
        <f>'BPoEFUbVT-mtrbks-psgr-plghyb'!AA6</f>
        <v>7.7621801890835813E-4</v>
      </c>
      <c r="AB6">
        <f>'BPoEFUbVT-mtrbks-psgr-plghyb'!AB6</f>
        <v>7.8207746558535797E-4</v>
      </c>
      <c r="AC6">
        <f>'BPoEFUbVT-mtrbks-psgr-plghyb'!AC6</f>
        <v>7.8978199175759752E-4</v>
      </c>
      <c r="AD6">
        <f>'BPoEFUbVT-mtrbks-psgr-plghyb'!AD6</f>
        <v>7.9550760864159826E-4</v>
      </c>
    </row>
    <row r="7" spans="1:30">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row>
    <row r="8" spans="1:30">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row>
    <row r="9" spans="1:30">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election activeCell="B1" sqref="B1:AE1"/>
    </sheetView>
  </sheetViews>
  <sheetFormatPr defaultRowHeight="14.25"/>
  <cols>
    <col min="1" max="1" width="22.53125" customWidth="1"/>
  </cols>
  <sheetData>
    <row r="1" spans="1:35" ht="28.5">
      <c r="A1" s="10" t="s">
        <v>85</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election activeCell="B2" sqref="B2"/>
    </sheetView>
  </sheetViews>
  <sheetFormatPr defaultRowHeight="14.25"/>
  <cols>
    <col min="1" max="1" width="22.53125" customWidth="1"/>
  </cols>
  <sheetData>
    <row r="1" spans="1:35" ht="28.5">
      <c r="A1" s="10" t="s">
        <v>85</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99</vt:i4>
      </vt:variant>
    </vt:vector>
  </HeadingPairs>
  <TitlesOfParts>
    <vt:vector size="99" baseType="lpstr">
      <vt:lpstr>About</vt:lpstr>
      <vt:lpstr>source data&gt;</vt:lpstr>
      <vt:lpstr>EIA-fuel-ethanol-motor-gasoline</vt:lpstr>
      <vt:lpstr>AEO Table 73</vt:lpstr>
      <vt:lpstr>ethanol content</vt:lpstr>
      <vt:lpstr>AEO 2023 Table 17</vt:lpstr>
      <vt:lpstr>AEO 2023 Table 36 Raw</vt:lpstr>
      <vt:lpstr>AEO 2023 Table 36 </vt:lpstr>
      <vt:lpstr>AEO 2025 Table 17</vt:lpstr>
      <vt:lpstr>AEO 2026 Table 17</vt:lpstr>
      <vt:lpstr>AEO 2025 Table 36</vt:lpstr>
      <vt:lpstr>AEO 2026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2026-05-04T22:37:27Z</dcterms:modified>
</cp:coreProperties>
</file>