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BPoEFUbVT\"/>
    </mc:Choice>
  </mc:AlternateContent>
  <xr:revisionPtr revIDLastSave="0" documentId="13_ncr:1_{A5A5F094-860A-4AB8-8F24-09AA494B0E41}" xr6:coauthVersionLast="47" xr6:coauthVersionMax="47" xr10:uidLastSave="{00000000-0000-0000-0000-000000000000}"/>
  <bookViews>
    <workbookView xWindow="9595" yWindow="410" windowWidth="9705" windowHeight="9140" xr2:uid="{00000000-000D-0000-FFFF-FFFF00000000}"/>
  </bookViews>
  <sheets>
    <sheet name="About" sheetId="1" r:id="rId1"/>
    <sheet name="source data&gt;" sheetId="106" r:id="rId2"/>
    <sheet name="EIA-fuel-ethanol-motor-gasoline" sheetId="97" r:id="rId3"/>
    <sheet name="AEO Table 73" sheetId="103" r:id="rId4"/>
    <sheet name="ethanol content" sheetId="102" r:id="rId5"/>
    <sheet name="AEO 2023 Table 17" sheetId="98" r:id="rId6"/>
    <sheet name="AEO 2023 Table 36 Raw" sheetId="100" r:id="rId7"/>
    <sheet name="AEO 2023 Table 36 " sheetId="99" r:id="rId8"/>
    <sheet name="AEO 2025 Table 17" sheetId="104" r:id="rId9"/>
    <sheet name="AEO 2025 Table 36" sheetId="105" r:id="rId10"/>
    <sheet name="Biodiesel Fraction" sheetId="10" r:id="rId11"/>
    <sheet name="Plug-in Hybrid Elec Fraction" sheetId="11" r:id="rId12"/>
    <sheet name="Freight Ships" sheetId="101" r:id="rId13"/>
    <sheet name="LDVs-psgr" sheetId="17" r:id="rId14"/>
    <sheet name="BPoEFUbVT-LDVs-psgr-batelc" sheetId="2" r:id="rId15"/>
    <sheet name="BPoEFUbVT-LDVs-psgr-natgas" sheetId="3" r:id="rId16"/>
    <sheet name="BPoEFUbVT-LDVs-psgr-gasveh" sheetId="5" r:id="rId17"/>
    <sheet name="BPoEFUbVT-LDVs-psgr-dslveh" sheetId="6" r:id="rId18"/>
    <sheet name="BPoEFUbVT-LDVs-psgr-plghyb" sheetId="7" r:id="rId19"/>
    <sheet name="BPoEFUbVT-LDVs-psgr-LPG" sheetId="50" r:id="rId20"/>
    <sheet name="BPoEFUbVT-LDVs-psgr-hydgn" sheetId="51" r:id="rId21"/>
    <sheet name="LDVs-frgt" sheetId="18" r:id="rId22"/>
    <sheet name="BPoEFUbVT-LDVs-frgt-batelc" sheetId="12" r:id="rId23"/>
    <sheet name="BPoEFUbVT-LDVs-frgt-natgas" sheetId="13" r:id="rId24"/>
    <sheet name="BPoEFUbVT-LDVs-frgt-gasveh" sheetId="14" r:id="rId25"/>
    <sheet name="BPoEFUbVT-LDVs-frgt-dslveh" sheetId="15" r:id="rId26"/>
    <sheet name="BPoEFUbVT-LDVs-frgt-plghyb" sheetId="16" r:id="rId27"/>
    <sheet name="BPoEFUbVT-LDVs-frgt-LPG" sheetId="52" r:id="rId28"/>
    <sheet name="BPoEFUbVT-LDVs-frgt-hydgn" sheetId="53" r:id="rId29"/>
    <sheet name="HDVs-psgr" sheetId="24" r:id="rId30"/>
    <sheet name="BPoEFUbVT-HDVs-psgr-batelc" sheetId="19" r:id="rId31"/>
    <sheet name="BPoEFUbVT-HDVs-psgr-natgas" sheetId="20" r:id="rId32"/>
    <sheet name="BPoEFUbVT-HDVs-psgr-gasveh" sheetId="21" r:id="rId33"/>
    <sheet name="BPoEFUbVT-HDVs-psgr-dslveh" sheetId="22" r:id="rId34"/>
    <sheet name="BPoEFUbVT-HDVs-psgr-plghyb" sheetId="23" r:id="rId35"/>
    <sheet name="BPoEFUbVT-HDVs-psgr-LPG" sheetId="54" r:id="rId36"/>
    <sheet name="BPoEFUbVT-HDVs-psgr-hydgn" sheetId="55" r:id="rId37"/>
    <sheet name="HDVs-frgt" sheetId="25" r:id="rId38"/>
    <sheet name="BPoEFUbVT-HDVs-frgt-batelc" sheetId="26" r:id="rId39"/>
    <sheet name="BPoEFUbVT-HDVs-frgt-natgas" sheetId="27" r:id="rId40"/>
    <sheet name="BPoEFUbVT-HDVs-frgt-gasveh" sheetId="28" r:id="rId41"/>
    <sheet name="BPoEFUbVT-HDVs-frgt-dslveh" sheetId="29" r:id="rId42"/>
    <sheet name="BPoEFUbVT-HDVs-frgt-plghyb" sheetId="30" r:id="rId43"/>
    <sheet name="BPoEFUbVT-HDVs-frgt-LPG" sheetId="56" r:id="rId44"/>
    <sheet name="BPoEFUbVT-HDVs-frgt-hydgn" sheetId="57" r:id="rId45"/>
    <sheet name="aircraft-psgr" sheetId="31" r:id="rId46"/>
    <sheet name="BPoEFUbVT-aircraft-psgr-batelc" sheetId="62" r:id="rId47"/>
    <sheet name="BPoEFUbVT-aircraft-psgr-natgas" sheetId="65" r:id="rId48"/>
    <sheet name="BPoEFUbVT-aircraft-psgr-gasveh" sheetId="75" r:id="rId49"/>
    <sheet name="BPoEFUbVT-aircraft-psgr-dslveh" sheetId="63" r:id="rId50"/>
    <sheet name="BPoEFUbVT-aircraft-psgr-hydgn" sheetId="64" r:id="rId51"/>
    <sheet name="aircraft-frgt" sheetId="66" r:id="rId52"/>
    <sheet name="BPoEFUbVT-aircraft-frgt-batelc" sheetId="67" r:id="rId53"/>
    <sheet name="BPoEFUbVT-aircraft-frgt-natgas" sheetId="68" r:id="rId54"/>
    <sheet name="BPoEFUbVT-aircraft-frgt-gasveh" sheetId="76" r:id="rId55"/>
    <sheet name="BPoEFUbVT-aircraft-frgt-dslveh" sheetId="69" r:id="rId56"/>
    <sheet name="BPoEFUbVT-aircraft-frgt-hydgn" sheetId="70" r:id="rId57"/>
    <sheet name="rail-psgr" sheetId="71" r:id="rId58"/>
    <sheet name="BPoEFUbVT-rail-psgr-batelc" sheetId="77" r:id="rId59"/>
    <sheet name="BPoEFUbVT-rail-psgr-natgas" sheetId="78" r:id="rId60"/>
    <sheet name="BPoEFUbVT-rail-psgr-gasveh" sheetId="79" r:id="rId61"/>
    <sheet name="BPoEFUbVT-rail-psgr-dslveh" sheetId="80" r:id="rId62"/>
    <sheet name="BPoEFUbVT-rail-psgr-hydgn" sheetId="81" r:id="rId63"/>
    <sheet name="rail-frgt" sheetId="72" r:id="rId64"/>
    <sheet name="BPoEFUbVT-rail-frgt-batelc" sheetId="82" r:id="rId65"/>
    <sheet name="BPoEFUbVT-rail-frgt-natgas" sheetId="83" r:id="rId66"/>
    <sheet name="BPoEFUbVT-rail-frgt-gasveh" sheetId="84" r:id="rId67"/>
    <sheet name="BPoEFUbVT-rail-frgt-dslveh" sheetId="85" r:id="rId68"/>
    <sheet name="BPoEFUbVT-rail-frgt-hydgn" sheetId="86" r:id="rId69"/>
    <sheet name="ships-psgr" sheetId="73" r:id="rId70"/>
    <sheet name="BPoEFUbVT-ships-psgr-batelc" sheetId="87" r:id="rId71"/>
    <sheet name="BPoEFUbVT-ships-psgr-natgas" sheetId="88" r:id="rId72"/>
    <sheet name="BPoEFUbVT-ships-psgr-gasveh" sheetId="89" r:id="rId73"/>
    <sheet name="BPoEFUbVT-ships-psgr-dslveh" sheetId="90" r:id="rId74"/>
    <sheet name="BPoEFUbVT-ships-psgr-hydgn" sheetId="91" r:id="rId75"/>
    <sheet name="ships-frgt" sheetId="74" r:id="rId76"/>
    <sheet name="BPoEFUbVT-ships-frgt-batelc" sheetId="92" r:id="rId77"/>
    <sheet name="BPoEFUbVT-ships-frgt-natgas" sheetId="93" r:id="rId78"/>
    <sheet name="BPoEFUbVT-ships-frgt-gasveh" sheetId="94" r:id="rId79"/>
    <sheet name="BPoEFUbVT-ships-frgt-dslveh" sheetId="95" r:id="rId80"/>
    <sheet name="BPoEFUbVT-ships-frgt-hydgn" sheetId="96" r:id="rId81"/>
    <sheet name="mtrbks-psgr" sheetId="38" r:id="rId82"/>
    <sheet name="BPoEFUbVT-mtrbks-psgr-batelc" sheetId="39" r:id="rId83"/>
    <sheet name="BPoEFUbVT-mtrbks-psgr-natgas" sheetId="40" r:id="rId84"/>
    <sheet name="BPoEFUbVT-mtrbks-psgr-gasveh" sheetId="41" r:id="rId85"/>
    <sheet name="BPoEFUbVT-mtrbks-psgr-dslveh" sheetId="42" r:id="rId86"/>
    <sheet name="BPoEFUbVT-mtrbks-psgr-plghyb" sheetId="43" r:id="rId87"/>
    <sheet name="BPoEFUbVT-mtrbks-psgr-LPG" sheetId="60" r:id="rId88"/>
    <sheet name="BPoEFUbVT-mtrbks-psgr-hydgn" sheetId="61" r:id="rId89"/>
    <sheet name="mtrbks-frgt" sheetId="44" r:id="rId90"/>
    <sheet name="BPoEFUbVT-mtrbks-frgt-batelc" sheetId="45" r:id="rId91"/>
    <sheet name="BPoEFUbVT-mtrbks-frgt-natgas" sheetId="46" r:id="rId92"/>
    <sheet name="BPoEFUbVT-mtrbks-frgt-gasveh" sheetId="47" r:id="rId93"/>
    <sheet name="BPoEFUbVT-mtrbks-frgt-dslveh" sheetId="48" r:id="rId94"/>
    <sheet name="BPoEFUbVT-mtrbks-frgt-plghyb" sheetId="49" r:id="rId95"/>
    <sheet name="BPoEFUbVT-mtrbks-frgt-LPG" sheetId="58" r:id="rId96"/>
    <sheet name="BPoEFUbVT-mtrbks-frgt-hydgn" sheetId="59" r:id="rId97"/>
  </sheets>
  <externalReferences>
    <externalReference r:id="rId98"/>
    <externalReference r:id="rId99"/>
  </externalReferences>
  <definedNames>
    <definedName name="CH4_Ar4_to_AR5">#REF!</definedName>
    <definedName name="gal_per_barrel" localSheetId="3">[1]About!$A$75</definedName>
    <definedName name="gal_per_barrel">#REF!</definedName>
    <definedName name="HHV_Adjust">[2]About!$A$211</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metricton_to_shortton">#REF!</definedName>
    <definedName name="million">#REF!</definedName>
    <definedName name="N2O_AR4_to_AR5">#REF!</definedName>
    <definedName name="quadrillion">[2]About!$A$227</definedName>
    <definedName name="shorttons_to_grams">[2]About!$A$226</definedName>
    <definedName name="trillion">[2]About!$A$228</definedName>
    <definedName name="use_lifecycle_biofuel_EIs">[2]About!$A$97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E1" i="59" l="1"/>
  <c r="AD1" i="59"/>
  <c r="AC1" i="59"/>
  <c r="AB1" i="59"/>
  <c r="AA1" i="59"/>
  <c r="Z1" i="59"/>
  <c r="Y1" i="59"/>
  <c r="X1" i="59"/>
  <c r="W1" i="59"/>
  <c r="V1" i="59"/>
  <c r="U1" i="59"/>
  <c r="T1" i="59"/>
  <c r="S1" i="59"/>
  <c r="R1" i="59"/>
  <c r="Q1" i="59"/>
  <c r="P1" i="59"/>
  <c r="O1" i="59"/>
  <c r="N1" i="59"/>
  <c r="M1" i="59"/>
  <c r="L1" i="59"/>
  <c r="K1" i="59"/>
  <c r="J1" i="59"/>
  <c r="I1" i="59"/>
  <c r="H1" i="59"/>
  <c r="G1" i="59"/>
  <c r="F1" i="59"/>
  <c r="E1" i="59"/>
  <c r="D1" i="59"/>
  <c r="C1" i="59"/>
  <c r="B1" i="59"/>
  <c r="AE1" i="58"/>
  <c r="AD1" i="58"/>
  <c r="AC1" i="58"/>
  <c r="AB1" i="58"/>
  <c r="AA1" i="58"/>
  <c r="Z1" i="58"/>
  <c r="Y1" i="58"/>
  <c r="X1" i="58"/>
  <c r="W1" i="58"/>
  <c r="V1" i="58"/>
  <c r="U1" i="58"/>
  <c r="T1" i="58"/>
  <c r="S1" i="58"/>
  <c r="R1" i="58"/>
  <c r="Q1" i="58"/>
  <c r="P1" i="58"/>
  <c r="O1" i="58"/>
  <c r="N1" i="58"/>
  <c r="M1" i="58"/>
  <c r="L1" i="58"/>
  <c r="K1" i="58"/>
  <c r="J1" i="58"/>
  <c r="I1" i="58"/>
  <c r="H1" i="58"/>
  <c r="G1" i="58"/>
  <c r="F1" i="58"/>
  <c r="E1" i="58"/>
  <c r="D1" i="58"/>
  <c r="C1" i="58"/>
  <c r="B1" i="58"/>
  <c r="F15" i="10"/>
  <c r="G15" i="10"/>
  <c r="H15" i="10"/>
  <c r="I15" i="10"/>
  <c r="J15" i="10"/>
  <c r="K15" i="10"/>
  <c r="L15" i="10"/>
  <c r="M15" i="10"/>
  <c r="N15" i="10"/>
  <c r="O15" i="10"/>
  <c r="P15" i="10"/>
  <c r="Q15" i="10"/>
  <c r="R15" i="10"/>
  <c r="S15" i="10"/>
  <c r="T15" i="10"/>
  <c r="U15" i="10"/>
  <c r="V15" i="10"/>
  <c r="W15" i="10"/>
  <c r="X15" i="10"/>
  <c r="Y15" i="10"/>
  <c r="Z15" i="10"/>
  <c r="AA15" i="10"/>
  <c r="AB15" i="10"/>
  <c r="AC15" i="10"/>
  <c r="AD15" i="10"/>
  <c r="AE15" i="10"/>
  <c r="D15" i="10"/>
  <c r="E15" i="10"/>
  <c r="F14" i="10"/>
  <c r="G14" i="10"/>
  <c r="H14" i="10"/>
  <c r="I14" i="10"/>
  <c r="J14" i="10"/>
  <c r="K14" i="10"/>
  <c r="L14" i="10"/>
  <c r="M14" i="10"/>
  <c r="N14" i="10"/>
  <c r="O14" i="10"/>
  <c r="P14" i="10"/>
  <c r="Q14" i="10"/>
  <c r="R14" i="10"/>
  <c r="S14" i="10"/>
  <c r="T14" i="10"/>
  <c r="U14" i="10"/>
  <c r="V14" i="10"/>
  <c r="W14" i="10"/>
  <c r="X14" i="10"/>
  <c r="Y14" i="10"/>
  <c r="Z14" i="10"/>
  <c r="AA14" i="10"/>
  <c r="AB14" i="10"/>
  <c r="AC14" i="10"/>
  <c r="AD14" i="10"/>
  <c r="AE14" i="10"/>
  <c r="E14" i="10"/>
  <c r="F13" i="10"/>
  <c r="G13" i="10"/>
  <c r="H13" i="10"/>
  <c r="I13" i="10"/>
  <c r="J13" i="10"/>
  <c r="K13" i="10"/>
  <c r="L13" i="10"/>
  <c r="M13" i="10"/>
  <c r="N13" i="10"/>
  <c r="O13" i="10"/>
  <c r="P13" i="10"/>
  <c r="Q13" i="10"/>
  <c r="R13" i="10"/>
  <c r="S13" i="10"/>
  <c r="T13" i="10"/>
  <c r="U13" i="10"/>
  <c r="V13" i="10"/>
  <c r="W13" i="10"/>
  <c r="X13" i="10"/>
  <c r="Y13" i="10"/>
  <c r="Z13" i="10"/>
  <c r="AA13" i="10"/>
  <c r="AB13" i="10"/>
  <c r="AC13" i="10"/>
  <c r="AD13" i="10"/>
  <c r="AE13" i="10"/>
  <c r="E13" i="10"/>
  <c r="F12" i="10"/>
  <c r="G12" i="10"/>
  <c r="H12" i="10"/>
  <c r="I12" i="10"/>
  <c r="J12" i="10"/>
  <c r="K12" i="10"/>
  <c r="L12" i="10"/>
  <c r="M12" i="10"/>
  <c r="N12" i="10"/>
  <c r="O12" i="10"/>
  <c r="P12" i="10"/>
  <c r="Q12" i="10"/>
  <c r="R12" i="10"/>
  <c r="S12" i="10"/>
  <c r="T12" i="10"/>
  <c r="U12" i="10"/>
  <c r="V12" i="10"/>
  <c r="W12" i="10"/>
  <c r="X12" i="10"/>
  <c r="Y12" i="10"/>
  <c r="Z12" i="10"/>
  <c r="AA12" i="10"/>
  <c r="AB12" i="10"/>
  <c r="AC12" i="10"/>
  <c r="AD12" i="10"/>
  <c r="AE12" i="10"/>
  <c r="E12" i="10"/>
  <c r="F11" i="10"/>
  <c r="G11" i="10"/>
  <c r="H11" i="10"/>
  <c r="I11" i="10"/>
  <c r="J11" i="10"/>
  <c r="K11" i="10"/>
  <c r="L11" i="10"/>
  <c r="M11" i="10"/>
  <c r="N11" i="10"/>
  <c r="O11" i="10"/>
  <c r="P11" i="10"/>
  <c r="Q11" i="10"/>
  <c r="R11" i="10"/>
  <c r="S11" i="10"/>
  <c r="T11" i="10"/>
  <c r="U11" i="10"/>
  <c r="V11" i="10"/>
  <c r="W11" i="10"/>
  <c r="X11" i="10"/>
  <c r="Y11" i="10"/>
  <c r="Z11" i="10"/>
  <c r="AA11" i="10"/>
  <c r="AB11" i="10"/>
  <c r="AC11" i="10"/>
  <c r="AD11" i="10"/>
  <c r="AE11" i="10"/>
  <c r="E11" i="10"/>
  <c r="F10" i="10"/>
  <c r="G10" i="10"/>
  <c r="H10" i="10"/>
  <c r="I10" i="10"/>
  <c r="J10" i="10"/>
  <c r="K10" i="10"/>
  <c r="L10" i="10"/>
  <c r="M10" i="10"/>
  <c r="N10" i="10"/>
  <c r="O10" i="10"/>
  <c r="P10" i="10"/>
  <c r="Q10" i="10"/>
  <c r="R10" i="10"/>
  <c r="S10" i="10"/>
  <c r="T10" i="10"/>
  <c r="U10" i="10"/>
  <c r="V10" i="10"/>
  <c r="W10" i="10"/>
  <c r="X10" i="10"/>
  <c r="Y10" i="10"/>
  <c r="Z10" i="10"/>
  <c r="AA10" i="10"/>
  <c r="AB10" i="10"/>
  <c r="AC10" i="10"/>
  <c r="AD10" i="10"/>
  <c r="AE10" i="10"/>
  <c r="E10" i="10"/>
  <c r="F7" i="10"/>
  <c r="G7" i="10"/>
  <c r="H7" i="10"/>
  <c r="I7" i="10"/>
  <c r="J7" i="10"/>
  <c r="K7" i="10"/>
  <c r="L7" i="10"/>
  <c r="M7" i="10"/>
  <c r="N7" i="10"/>
  <c r="O7" i="10"/>
  <c r="P7" i="10"/>
  <c r="Q7" i="10"/>
  <c r="R7" i="10"/>
  <c r="S7" i="10"/>
  <c r="T7" i="10"/>
  <c r="U7" i="10"/>
  <c r="V7" i="10"/>
  <c r="W7" i="10"/>
  <c r="X7" i="10"/>
  <c r="Y7" i="10"/>
  <c r="Z7" i="10"/>
  <c r="AA7" i="10"/>
  <c r="AB7" i="10"/>
  <c r="AC7" i="10"/>
  <c r="AD7" i="10"/>
  <c r="AE7" i="10"/>
  <c r="F8" i="10"/>
  <c r="G8" i="10"/>
  <c r="H8" i="10"/>
  <c r="I8" i="10"/>
  <c r="J8" i="10"/>
  <c r="K8" i="10"/>
  <c r="L8" i="10"/>
  <c r="M8" i="10"/>
  <c r="N8" i="10"/>
  <c r="O8" i="10"/>
  <c r="P8" i="10"/>
  <c r="Q8" i="10"/>
  <c r="R8" i="10"/>
  <c r="S8" i="10"/>
  <c r="T8" i="10"/>
  <c r="U8" i="10"/>
  <c r="V8" i="10"/>
  <c r="W8" i="10"/>
  <c r="X8" i="10"/>
  <c r="Y8" i="10"/>
  <c r="Z8" i="10"/>
  <c r="AA8" i="10"/>
  <c r="AB8" i="10"/>
  <c r="AC8" i="10"/>
  <c r="AD8" i="10"/>
  <c r="AE8" i="10"/>
  <c r="F9" i="10"/>
  <c r="G9" i="10"/>
  <c r="H9" i="10"/>
  <c r="I9" i="10"/>
  <c r="J9" i="10"/>
  <c r="K9" i="10"/>
  <c r="L9" i="10"/>
  <c r="M9" i="10"/>
  <c r="N9" i="10"/>
  <c r="O9" i="10"/>
  <c r="P9" i="10"/>
  <c r="Q9" i="10"/>
  <c r="R9" i="10"/>
  <c r="S9" i="10"/>
  <c r="T9" i="10"/>
  <c r="U9" i="10"/>
  <c r="V9" i="10"/>
  <c r="W9" i="10"/>
  <c r="X9" i="10"/>
  <c r="Y9" i="10"/>
  <c r="Z9" i="10"/>
  <c r="AA9" i="10"/>
  <c r="AB9" i="10"/>
  <c r="AC9" i="10"/>
  <c r="AD9" i="10"/>
  <c r="AE9" i="10"/>
  <c r="E9" i="10"/>
  <c r="E8" i="10"/>
  <c r="E7" i="10"/>
  <c r="J3" i="102"/>
  <c r="J7" i="102"/>
  <c r="J8" i="102" s="1"/>
  <c r="J6" i="102"/>
  <c r="J5" i="102"/>
  <c r="S6" i="14"/>
  <c r="F9" i="103"/>
  <c r="C9" i="103"/>
  <c r="B6" i="28"/>
  <c r="V6" i="28" s="1"/>
  <c r="B6" i="21"/>
  <c r="L6" i="21" s="1"/>
  <c r="D6" i="16"/>
  <c r="I6" i="16"/>
  <c r="L6" i="16"/>
  <c r="M6" i="16"/>
  <c r="P6" i="16"/>
  <c r="Q6" i="16"/>
  <c r="T6" i="16"/>
  <c r="V6" i="16"/>
  <c r="W6" i="16"/>
  <c r="X6" i="16"/>
  <c r="Z6" i="16"/>
  <c r="B6" i="16"/>
  <c r="N6" i="16" s="1"/>
  <c r="C6" i="14"/>
  <c r="D6" i="14"/>
  <c r="E6" i="14"/>
  <c r="F6" i="14"/>
  <c r="G6" i="14"/>
  <c r="H6" i="14"/>
  <c r="I6" i="14"/>
  <c r="J6" i="14"/>
  <c r="K6" i="14"/>
  <c r="L6" i="14"/>
  <c r="M6" i="14"/>
  <c r="N6" i="14"/>
  <c r="O6" i="14"/>
  <c r="P6" i="14"/>
  <c r="Q6" i="14"/>
  <c r="R6" i="14"/>
  <c r="T6" i="14"/>
  <c r="U6" i="14"/>
  <c r="V6" i="14"/>
  <c r="W6" i="14"/>
  <c r="X6" i="14"/>
  <c r="Y6" i="14"/>
  <c r="Z6" i="14"/>
  <c r="AA6" i="14"/>
  <c r="AB6" i="14"/>
  <c r="AC6" i="14"/>
  <c r="AD6" i="14"/>
  <c r="AE6" i="14"/>
  <c r="B6" i="14"/>
  <c r="B6" i="5"/>
  <c r="K6" i="5" s="1"/>
  <c r="D30" i="10" l="1"/>
  <c r="C30" i="10"/>
  <c r="W6" i="5"/>
  <c r="U6" i="5"/>
  <c r="T6" i="5"/>
  <c r="Q6" i="5"/>
  <c r="K6" i="16"/>
  <c r="N6" i="5"/>
  <c r="J6" i="16"/>
  <c r="V6" i="5"/>
  <c r="J6" i="5"/>
  <c r="I6" i="5"/>
  <c r="H6" i="5"/>
  <c r="H6" i="21"/>
  <c r="E6" i="5"/>
  <c r="AC6" i="16"/>
  <c r="AB6" i="16"/>
  <c r="B6" i="7"/>
  <c r="E6" i="7" s="1"/>
  <c r="AA6" i="16"/>
  <c r="X6" i="5"/>
  <c r="Z6" i="5"/>
  <c r="Y6" i="5"/>
  <c r="G6" i="5"/>
  <c r="F6" i="5"/>
  <c r="Y6" i="16"/>
  <c r="AE6" i="21"/>
  <c r="E6" i="21"/>
  <c r="AC6" i="21"/>
  <c r="AA6" i="21"/>
  <c r="Z6" i="21"/>
  <c r="U6" i="28"/>
  <c r="Y6" i="21"/>
  <c r="T6" i="28"/>
  <c r="X6" i="21"/>
  <c r="S6" i="28"/>
  <c r="G6" i="21"/>
  <c r="F6" i="21"/>
  <c r="AD6" i="21"/>
  <c r="D6" i="21"/>
  <c r="AB6" i="21"/>
  <c r="AB6" i="28"/>
  <c r="W6" i="21"/>
  <c r="R6" i="28"/>
  <c r="V6" i="21"/>
  <c r="Q6" i="28"/>
  <c r="U6" i="21"/>
  <c r="P6" i="28"/>
  <c r="T6" i="21"/>
  <c r="O6" i="28"/>
  <c r="R6" i="21"/>
  <c r="N6" i="28"/>
  <c r="D6" i="5"/>
  <c r="O6" i="21"/>
  <c r="M6" i="28"/>
  <c r="AD6" i="5"/>
  <c r="H6" i="16"/>
  <c r="N6" i="21"/>
  <c r="H6" i="28"/>
  <c r="AC6" i="5"/>
  <c r="C6" i="16"/>
  <c r="G6" i="16"/>
  <c r="K6" i="21"/>
  <c r="AB6" i="5"/>
  <c r="AE6" i="16"/>
  <c r="F6" i="16"/>
  <c r="J6" i="21"/>
  <c r="AA6" i="5"/>
  <c r="AD6" i="16"/>
  <c r="E6" i="16"/>
  <c r="I6" i="21"/>
  <c r="C6" i="28"/>
  <c r="L6" i="28"/>
  <c r="AE6" i="28"/>
  <c r="K6" i="28"/>
  <c r="S6" i="5"/>
  <c r="AD6" i="28"/>
  <c r="J6" i="28"/>
  <c r="R6" i="5"/>
  <c r="U6" i="16"/>
  <c r="S6" i="21"/>
  <c r="AC6" i="28"/>
  <c r="I6" i="28"/>
  <c r="P6" i="5"/>
  <c r="S6" i="16"/>
  <c r="Q6" i="21"/>
  <c r="AA6" i="28"/>
  <c r="G6" i="28"/>
  <c r="O6" i="5"/>
  <c r="R6" i="16"/>
  <c r="P6" i="21"/>
  <c r="Z6" i="28"/>
  <c r="F6" i="28"/>
  <c r="Y6" i="28"/>
  <c r="X6" i="28"/>
  <c r="C6" i="5"/>
  <c r="W6" i="28"/>
  <c r="E6" i="28"/>
  <c r="M6" i="5"/>
  <c r="D6" i="28"/>
  <c r="L6" i="5"/>
  <c r="O6" i="16"/>
  <c r="M6" i="21"/>
  <c r="AE6" i="5"/>
  <c r="B4" i="16"/>
  <c r="C6" i="21"/>
  <c r="B9" i="95"/>
  <c r="B5" i="95"/>
  <c r="J4" i="101"/>
  <c r="J3" i="101"/>
  <c r="I4" i="101"/>
  <c r="I3" i="101"/>
  <c r="L6" i="7" l="1"/>
  <c r="Y6" i="7"/>
  <c r="C6" i="7"/>
  <c r="H6" i="7"/>
  <c r="AB6" i="7"/>
  <c r="D6" i="7"/>
  <c r="T6" i="7"/>
  <c r="U6" i="7"/>
  <c r="P6" i="7"/>
  <c r="Q6" i="7"/>
  <c r="R6" i="7"/>
  <c r="S6" i="7"/>
  <c r="I6" i="7"/>
  <c r="O6" i="7"/>
  <c r="AC6" i="7"/>
  <c r="M6" i="7"/>
  <c r="B4" i="7"/>
  <c r="N4" i="7" s="1"/>
  <c r="F6" i="7"/>
  <c r="G6" i="7"/>
  <c r="K6" i="7"/>
  <c r="N6" i="7"/>
  <c r="Z6" i="7"/>
  <c r="X6" i="7"/>
  <c r="AA6" i="7"/>
  <c r="V6" i="7"/>
  <c r="J6" i="7"/>
  <c r="AD6" i="7"/>
  <c r="AE6" i="7"/>
  <c r="W6" i="7"/>
  <c r="V4" i="16"/>
  <c r="W4" i="16"/>
  <c r="D4" i="16"/>
  <c r="E4" i="16"/>
  <c r="Y4" i="16"/>
  <c r="H4" i="16"/>
  <c r="AB4" i="16"/>
  <c r="X4" i="16"/>
  <c r="R4" i="16"/>
  <c r="F4" i="16"/>
  <c r="Z4" i="16"/>
  <c r="G4" i="16"/>
  <c r="AA4" i="16"/>
  <c r="P4" i="16"/>
  <c r="S4" i="16"/>
  <c r="U4" i="16"/>
  <c r="C4" i="16"/>
  <c r="I4" i="16"/>
  <c r="AC4" i="16"/>
  <c r="J4" i="16"/>
  <c r="AD4" i="16"/>
  <c r="K4" i="16"/>
  <c r="AE4" i="16"/>
  <c r="L4" i="16"/>
  <c r="M4" i="16"/>
  <c r="N4" i="16"/>
  <c r="O4" i="16"/>
  <c r="Q4" i="16"/>
  <c r="T4" i="16"/>
  <c r="L4" i="7"/>
  <c r="M4" i="7"/>
  <c r="V4" i="7"/>
  <c r="D4" i="7"/>
  <c r="AE4" i="7"/>
  <c r="D5" i="95"/>
  <c r="E5" i="95"/>
  <c r="F5" i="95" s="1"/>
  <c r="G5" i="95" s="1"/>
  <c r="H5" i="95" s="1"/>
  <c r="I5" i="95" s="1"/>
  <c r="J5" i="95" s="1"/>
  <c r="K5" i="95" s="1"/>
  <c r="L5" i="95" s="1"/>
  <c r="M5" i="95" s="1"/>
  <c r="N5" i="95" s="1"/>
  <c r="O5" i="95" s="1"/>
  <c r="P5" i="95" s="1"/>
  <c r="Q5" i="95" s="1"/>
  <c r="R5" i="95" s="1"/>
  <c r="S5" i="95" s="1"/>
  <c r="T5" i="95" s="1"/>
  <c r="U5" i="95" s="1"/>
  <c r="V5" i="95" s="1"/>
  <c r="W5" i="95" s="1"/>
  <c r="X5" i="95" s="1"/>
  <c r="Y5" i="95" s="1"/>
  <c r="Z5" i="95" s="1"/>
  <c r="AA5" i="95" s="1"/>
  <c r="AB5" i="95" s="1"/>
  <c r="AC5" i="95" s="1"/>
  <c r="AD5" i="95" s="1"/>
  <c r="AE5" i="95" s="1"/>
  <c r="C5" i="95"/>
  <c r="C9" i="95"/>
  <c r="D9" i="95" s="1"/>
  <c r="E9" i="95" s="1"/>
  <c r="F9" i="95" s="1"/>
  <c r="G9" i="95" s="1"/>
  <c r="H9" i="95" s="1"/>
  <c r="I9" i="95" s="1"/>
  <c r="J9" i="95" s="1"/>
  <c r="K9" i="95" s="1"/>
  <c r="L9" i="95" s="1"/>
  <c r="M9" i="95" s="1"/>
  <c r="N9" i="95" s="1"/>
  <c r="O9" i="95" s="1"/>
  <c r="P9" i="95" s="1"/>
  <c r="Q9" i="95" s="1"/>
  <c r="R9" i="95" s="1"/>
  <c r="S9" i="95" s="1"/>
  <c r="T9" i="95" s="1"/>
  <c r="U9" i="95" s="1"/>
  <c r="V9" i="95" s="1"/>
  <c r="W9" i="95" s="1"/>
  <c r="X9" i="95" s="1"/>
  <c r="Y9" i="95" s="1"/>
  <c r="Z9" i="95" s="1"/>
  <c r="AA9" i="95" s="1"/>
  <c r="AB9" i="95" s="1"/>
  <c r="AC9" i="95" s="1"/>
  <c r="AD9" i="95" s="1"/>
  <c r="AE9" i="95" s="1"/>
  <c r="AF116" i="99"/>
  <c r="AE116" i="99"/>
  <c r="AD116" i="99"/>
  <c r="AC116" i="99"/>
  <c r="AB116" i="99"/>
  <c r="AA116" i="99"/>
  <c r="Z116" i="99"/>
  <c r="Y116" i="99"/>
  <c r="X116" i="99"/>
  <c r="W116" i="99"/>
  <c r="V116" i="99"/>
  <c r="U116" i="99"/>
  <c r="T116" i="99"/>
  <c r="S116" i="99"/>
  <c r="R116" i="99"/>
  <c r="Q116" i="99"/>
  <c r="P116" i="99"/>
  <c r="O116" i="99"/>
  <c r="N116" i="99"/>
  <c r="M116" i="99"/>
  <c r="L116" i="99"/>
  <c r="K116" i="99"/>
  <c r="J116" i="99"/>
  <c r="I116" i="99"/>
  <c r="H116" i="99"/>
  <c r="G116" i="99"/>
  <c r="F116" i="99"/>
  <c r="E116" i="99"/>
  <c r="D116" i="99"/>
  <c r="AF114" i="99"/>
  <c r="AE114" i="99"/>
  <c r="AD114" i="99"/>
  <c r="AC114" i="99"/>
  <c r="AB114" i="99"/>
  <c r="AA114" i="99"/>
  <c r="Z114" i="99"/>
  <c r="Y114" i="99"/>
  <c r="X114" i="99"/>
  <c r="W114" i="99"/>
  <c r="V114" i="99"/>
  <c r="U114" i="99"/>
  <c r="T114" i="99"/>
  <c r="S114" i="99"/>
  <c r="R114" i="99"/>
  <c r="Q114" i="99"/>
  <c r="P114" i="99"/>
  <c r="O114" i="99"/>
  <c r="N114" i="99"/>
  <c r="M114" i="99"/>
  <c r="L114" i="99"/>
  <c r="K114" i="99"/>
  <c r="J114" i="99"/>
  <c r="I114" i="99"/>
  <c r="H114" i="99"/>
  <c r="G114" i="99"/>
  <c r="F114" i="99"/>
  <c r="E114" i="99"/>
  <c r="D114" i="99"/>
  <c r="AF113" i="99"/>
  <c r="AE113" i="99"/>
  <c r="AD113" i="99"/>
  <c r="AC113" i="99"/>
  <c r="AB113" i="99"/>
  <c r="AA113" i="99"/>
  <c r="Z113" i="99"/>
  <c r="Y113" i="99"/>
  <c r="X113" i="99"/>
  <c r="W113" i="99"/>
  <c r="V113" i="99"/>
  <c r="U113" i="99"/>
  <c r="T113" i="99"/>
  <c r="S113" i="99"/>
  <c r="R113" i="99"/>
  <c r="Q113" i="99"/>
  <c r="P113" i="99"/>
  <c r="O113" i="99"/>
  <c r="N113" i="99"/>
  <c r="M113" i="99"/>
  <c r="L113" i="99"/>
  <c r="K113" i="99"/>
  <c r="J113" i="99"/>
  <c r="I113" i="99"/>
  <c r="H113" i="99"/>
  <c r="G113" i="99"/>
  <c r="F113" i="99"/>
  <c r="E113" i="99"/>
  <c r="D113" i="99"/>
  <c r="AF111" i="99"/>
  <c r="AE111" i="99"/>
  <c r="AD111" i="99"/>
  <c r="AC111" i="99"/>
  <c r="AB111" i="99"/>
  <c r="AA111" i="99"/>
  <c r="Z111" i="99"/>
  <c r="Y111" i="99"/>
  <c r="X111" i="99"/>
  <c r="W111" i="99"/>
  <c r="V111" i="99"/>
  <c r="U111" i="99"/>
  <c r="T111" i="99"/>
  <c r="S111" i="99"/>
  <c r="R111" i="99"/>
  <c r="Q111" i="99"/>
  <c r="P111" i="99"/>
  <c r="O111" i="99"/>
  <c r="N111" i="99"/>
  <c r="M111" i="99"/>
  <c r="L111" i="99"/>
  <c r="K111" i="99"/>
  <c r="J111" i="99"/>
  <c r="I111" i="99"/>
  <c r="H111" i="99"/>
  <c r="G111" i="99"/>
  <c r="F111" i="99"/>
  <c r="E111" i="99"/>
  <c r="D111" i="99"/>
  <c r="AF110" i="99"/>
  <c r="AE110" i="99"/>
  <c r="AD110" i="99"/>
  <c r="AC110" i="99"/>
  <c r="AB110" i="99"/>
  <c r="AA110" i="99"/>
  <c r="Z110" i="99"/>
  <c r="Y110" i="99"/>
  <c r="X110" i="99"/>
  <c r="W110" i="99"/>
  <c r="V110" i="99"/>
  <c r="U110" i="99"/>
  <c r="T110" i="99"/>
  <c r="S110" i="99"/>
  <c r="R110" i="99"/>
  <c r="Q110" i="99"/>
  <c r="P110" i="99"/>
  <c r="O110" i="99"/>
  <c r="N110" i="99"/>
  <c r="M110" i="99"/>
  <c r="L110" i="99"/>
  <c r="K110" i="99"/>
  <c r="J110" i="99"/>
  <c r="I110" i="99"/>
  <c r="H110" i="99"/>
  <c r="G110" i="99"/>
  <c r="F110" i="99"/>
  <c r="E110" i="99"/>
  <c r="D110" i="99"/>
  <c r="AF109" i="99"/>
  <c r="AE109" i="99"/>
  <c r="AD109" i="99"/>
  <c r="AC109" i="99"/>
  <c r="AB109" i="99"/>
  <c r="AA109" i="99"/>
  <c r="Z109" i="99"/>
  <c r="Y109" i="99"/>
  <c r="X109" i="99"/>
  <c r="W109" i="99"/>
  <c r="V109" i="99"/>
  <c r="U109" i="99"/>
  <c r="T109" i="99"/>
  <c r="S109" i="99"/>
  <c r="R109" i="99"/>
  <c r="Q109" i="99"/>
  <c r="P109" i="99"/>
  <c r="O109" i="99"/>
  <c r="N109" i="99"/>
  <c r="M109" i="99"/>
  <c r="L109" i="99"/>
  <c r="K109" i="99"/>
  <c r="J109" i="99"/>
  <c r="I109" i="99"/>
  <c r="H109" i="99"/>
  <c r="G109" i="99"/>
  <c r="F109" i="99"/>
  <c r="E109" i="99"/>
  <c r="D109" i="99"/>
  <c r="AF107" i="99"/>
  <c r="AE107" i="99"/>
  <c r="AD107" i="99"/>
  <c r="AC107" i="99"/>
  <c r="AB107" i="99"/>
  <c r="AA107" i="99"/>
  <c r="Z107" i="99"/>
  <c r="Y107" i="99"/>
  <c r="X107" i="99"/>
  <c r="W107" i="99"/>
  <c r="V107" i="99"/>
  <c r="U107" i="99"/>
  <c r="T107" i="99"/>
  <c r="S107" i="99"/>
  <c r="R107" i="99"/>
  <c r="Q107" i="99"/>
  <c r="P107" i="99"/>
  <c r="O107" i="99"/>
  <c r="N107" i="99"/>
  <c r="M107" i="99"/>
  <c r="L107" i="99"/>
  <c r="K107" i="99"/>
  <c r="J107" i="99"/>
  <c r="I107" i="99"/>
  <c r="H107" i="99"/>
  <c r="G107" i="99"/>
  <c r="F107" i="99"/>
  <c r="E107" i="99"/>
  <c r="D107" i="99"/>
  <c r="AF106" i="99"/>
  <c r="AE106" i="99"/>
  <c r="AD106" i="99"/>
  <c r="AC106" i="99"/>
  <c r="AB106" i="99"/>
  <c r="AA106" i="99"/>
  <c r="Z106" i="99"/>
  <c r="Y106" i="99"/>
  <c r="X106" i="99"/>
  <c r="W106" i="99"/>
  <c r="V106" i="99"/>
  <c r="U106" i="99"/>
  <c r="T106" i="99"/>
  <c r="S106" i="99"/>
  <c r="R106" i="99"/>
  <c r="Q106" i="99"/>
  <c r="P106" i="99"/>
  <c r="O106" i="99"/>
  <c r="N106" i="99"/>
  <c r="M106" i="99"/>
  <c r="L106" i="99"/>
  <c r="K106" i="99"/>
  <c r="J106" i="99"/>
  <c r="I106" i="99"/>
  <c r="H106" i="99"/>
  <c r="G106" i="99"/>
  <c r="F106" i="99"/>
  <c r="E106" i="99"/>
  <c r="D106" i="99"/>
  <c r="AF105" i="99"/>
  <c r="AE105" i="99"/>
  <c r="AD105" i="99"/>
  <c r="AC105" i="99"/>
  <c r="AB105" i="99"/>
  <c r="AA105" i="99"/>
  <c r="Z105" i="99"/>
  <c r="Y105" i="99"/>
  <c r="X105" i="99"/>
  <c r="W105" i="99"/>
  <c r="V105" i="99"/>
  <c r="U105" i="99"/>
  <c r="T105" i="99"/>
  <c r="S105" i="99"/>
  <c r="R105" i="99"/>
  <c r="Q105" i="99"/>
  <c r="P105" i="99"/>
  <c r="O105" i="99"/>
  <c r="N105" i="99"/>
  <c r="M105" i="99"/>
  <c r="L105" i="99"/>
  <c r="K105" i="99"/>
  <c r="J105" i="99"/>
  <c r="I105" i="99"/>
  <c r="H105" i="99"/>
  <c r="G105" i="99"/>
  <c r="F105" i="99"/>
  <c r="E105" i="99"/>
  <c r="D105" i="99"/>
  <c r="AF104" i="99"/>
  <c r="AE104" i="99"/>
  <c r="AD104" i="99"/>
  <c r="AC104" i="99"/>
  <c r="AB104" i="99"/>
  <c r="AA104" i="99"/>
  <c r="Z104" i="99"/>
  <c r="Y104" i="99"/>
  <c r="X104" i="99"/>
  <c r="W104" i="99"/>
  <c r="V104" i="99"/>
  <c r="U104" i="99"/>
  <c r="T104" i="99"/>
  <c r="S104" i="99"/>
  <c r="R104" i="99"/>
  <c r="Q104" i="99"/>
  <c r="P104" i="99"/>
  <c r="O104" i="99"/>
  <c r="N104" i="99"/>
  <c r="M104" i="99"/>
  <c r="L104" i="99"/>
  <c r="K104" i="99"/>
  <c r="J104" i="99"/>
  <c r="I104" i="99"/>
  <c r="H104" i="99"/>
  <c r="G104" i="99"/>
  <c r="F104" i="99"/>
  <c r="E104" i="99"/>
  <c r="D104" i="99"/>
  <c r="AF103" i="99"/>
  <c r="AE103" i="99"/>
  <c r="AD103" i="99"/>
  <c r="AC103" i="99"/>
  <c r="AB103" i="99"/>
  <c r="AA103" i="99"/>
  <c r="Z103" i="99"/>
  <c r="Y103" i="99"/>
  <c r="X103" i="99"/>
  <c r="W103" i="99"/>
  <c r="V103" i="99"/>
  <c r="U103" i="99"/>
  <c r="T103" i="99"/>
  <c r="S103" i="99"/>
  <c r="R103" i="99"/>
  <c r="Q103" i="99"/>
  <c r="P103" i="99"/>
  <c r="O103" i="99"/>
  <c r="N103" i="99"/>
  <c r="M103" i="99"/>
  <c r="L103" i="99"/>
  <c r="K103" i="99"/>
  <c r="J103" i="99"/>
  <c r="I103" i="99"/>
  <c r="H103" i="99"/>
  <c r="G103" i="99"/>
  <c r="F103" i="99"/>
  <c r="E103" i="99"/>
  <c r="D103" i="99"/>
  <c r="AF102" i="99"/>
  <c r="AE102" i="99"/>
  <c r="AD102" i="99"/>
  <c r="AC102" i="99"/>
  <c r="AB102" i="99"/>
  <c r="AA102" i="99"/>
  <c r="Z102" i="99"/>
  <c r="Y102" i="99"/>
  <c r="X102" i="99"/>
  <c r="W102" i="99"/>
  <c r="V102" i="99"/>
  <c r="U102" i="99"/>
  <c r="T102" i="99"/>
  <c r="S102" i="99"/>
  <c r="R102" i="99"/>
  <c r="Q102" i="99"/>
  <c r="P102" i="99"/>
  <c r="O102" i="99"/>
  <c r="N102" i="99"/>
  <c r="M102" i="99"/>
  <c r="L102" i="99"/>
  <c r="K102" i="99"/>
  <c r="J102" i="99"/>
  <c r="I102" i="99"/>
  <c r="H102" i="99"/>
  <c r="G102" i="99"/>
  <c r="F102" i="99"/>
  <c r="E102" i="99"/>
  <c r="D102" i="99"/>
  <c r="AF101" i="99"/>
  <c r="AE101" i="99"/>
  <c r="AD101" i="99"/>
  <c r="AC101" i="99"/>
  <c r="AB101" i="99"/>
  <c r="AA101" i="99"/>
  <c r="Z101" i="99"/>
  <c r="Y101" i="99"/>
  <c r="X101" i="99"/>
  <c r="W101" i="99"/>
  <c r="V101" i="99"/>
  <c r="U101" i="99"/>
  <c r="T101" i="99"/>
  <c r="S101" i="99"/>
  <c r="R101" i="99"/>
  <c r="Q101" i="99"/>
  <c r="P101" i="99"/>
  <c r="O101" i="99"/>
  <c r="N101" i="99"/>
  <c r="M101" i="99"/>
  <c r="L101" i="99"/>
  <c r="K101" i="99"/>
  <c r="J101" i="99"/>
  <c r="I101" i="99"/>
  <c r="H101" i="99"/>
  <c r="G101" i="99"/>
  <c r="F101" i="99"/>
  <c r="E101" i="99"/>
  <c r="D101" i="99"/>
  <c r="AF100" i="99"/>
  <c r="AE100" i="99"/>
  <c r="AD100" i="99"/>
  <c r="AC100" i="99"/>
  <c r="AB100" i="99"/>
  <c r="AA100" i="99"/>
  <c r="Z100" i="99"/>
  <c r="Y100" i="99"/>
  <c r="X100" i="99"/>
  <c r="W100" i="99"/>
  <c r="V100" i="99"/>
  <c r="U100" i="99"/>
  <c r="T100" i="99"/>
  <c r="S100" i="99"/>
  <c r="R100" i="99"/>
  <c r="Q100" i="99"/>
  <c r="P100" i="99"/>
  <c r="O100" i="99"/>
  <c r="N100" i="99"/>
  <c r="M100" i="99"/>
  <c r="L100" i="99"/>
  <c r="K100" i="99"/>
  <c r="J100" i="99"/>
  <c r="I100" i="99"/>
  <c r="H100" i="99"/>
  <c r="G100" i="99"/>
  <c r="F100" i="99"/>
  <c r="E100" i="99"/>
  <c r="D100" i="99"/>
  <c r="AF99" i="99"/>
  <c r="AE99" i="99"/>
  <c r="AD99" i="99"/>
  <c r="AC99" i="99"/>
  <c r="AB99" i="99"/>
  <c r="AA99" i="99"/>
  <c r="Z99" i="99"/>
  <c r="Y99" i="99"/>
  <c r="X99" i="99"/>
  <c r="W99" i="99"/>
  <c r="V99" i="99"/>
  <c r="U99" i="99"/>
  <c r="T99" i="99"/>
  <c r="S99" i="99"/>
  <c r="R99" i="99"/>
  <c r="Q99" i="99"/>
  <c r="P99" i="99"/>
  <c r="O99" i="99"/>
  <c r="N99" i="99"/>
  <c r="M99" i="99"/>
  <c r="L99" i="99"/>
  <c r="K99" i="99"/>
  <c r="J99" i="99"/>
  <c r="I99" i="99"/>
  <c r="H99" i="99"/>
  <c r="G99" i="99"/>
  <c r="F99" i="99"/>
  <c r="E99" i="99"/>
  <c r="D99" i="99"/>
  <c r="AF98" i="99"/>
  <c r="AE98" i="99"/>
  <c r="AD98" i="99"/>
  <c r="AC98" i="99"/>
  <c r="AB98" i="99"/>
  <c r="AA98" i="99"/>
  <c r="Z98" i="99"/>
  <c r="Y98" i="99"/>
  <c r="X98" i="99"/>
  <c r="W98" i="99"/>
  <c r="V98" i="99"/>
  <c r="U98" i="99"/>
  <c r="T98" i="99"/>
  <c r="S98" i="99"/>
  <c r="R98" i="99"/>
  <c r="Q98" i="99"/>
  <c r="P98" i="99"/>
  <c r="O98" i="99"/>
  <c r="N98" i="99"/>
  <c r="M98" i="99"/>
  <c r="L98" i="99"/>
  <c r="K98" i="99"/>
  <c r="J98" i="99"/>
  <c r="I98" i="99"/>
  <c r="H98" i="99"/>
  <c r="G98" i="99"/>
  <c r="F98" i="99"/>
  <c r="E98" i="99"/>
  <c r="D98" i="99"/>
  <c r="AF97" i="99"/>
  <c r="AE97" i="99"/>
  <c r="AD97" i="99"/>
  <c r="AC97" i="99"/>
  <c r="AB97" i="99"/>
  <c r="AA97" i="99"/>
  <c r="Z97" i="99"/>
  <c r="Y97" i="99"/>
  <c r="X97" i="99"/>
  <c r="W97" i="99"/>
  <c r="V97" i="99"/>
  <c r="U97" i="99"/>
  <c r="T97" i="99"/>
  <c r="S97" i="99"/>
  <c r="R97" i="99"/>
  <c r="Q97" i="99"/>
  <c r="P97" i="99"/>
  <c r="O97" i="99"/>
  <c r="N97" i="99"/>
  <c r="M97" i="99"/>
  <c r="L97" i="99"/>
  <c r="K97" i="99"/>
  <c r="J97" i="99"/>
  <c r="I97" i="99"/>
  <c r="H97" i="99"/>
  <c r="G97" i="99"/>
  <c r="F97" i="99"/>
  <c r="E97" i="99"/>
  <c r="D97" i="99"/>
  <c r="AF96" i="99"/>
  <c r="AE96" i="99"/>
  <c r="AD96" i="99"/>
  <c r="AC96" i="99"/>
  <c r="AB96" i="99"/>
  <c r="AA96" i="99"/>
  <c r="Z96" i="99"/>
  <c r="Y96" i="99"/>
  <c r="X96" i="99"/>
  <c r="W96" i="99"/>
  <c r="V96" i="99"/>
  <c r="U96" i="99"/>
  <c r="T96" i="99"/>
  <c r="S96" i="99"/>
  <c r="R96" i="99"/>
  <c r="Q96" i="99"/>
  <c r="P96" i="99"/>
  <c r="O96" i="99"/>
  <c r="N96" i="99"/>
  <c r="M96" i="99"/>
  <c r="L96" i="99"/>
  <c r="K96" i="99"/>
  <c r="J96" i="99"/>
  <c r="I96" i="99"/>
  <c r="H96" i="99"/>
  <c r="G96" i="99"/>
  <c r="F96" i="99"/>
  <c r="E96" i="99"/>
  <c r="D96" i="99"/>
  <c r="AF95" i="99"/>
  <c r="AE95" i="99"/>
  <c r="AD95" i="99"/>
  <c r="AC95" i="99"/>
  <c r="AB95" i="99"/>
  <c r="AA95" i="99"/>
  <c r="Z95" i="99"/>
  <c r="Y95" i="99"/>
  <c r="X95" i="99"/>
  <c r="W95" i="99"/>
  <c r="V95" i="99"/>
  <c r="U95" i="99"/>
  <c r="T95" i="99"/>
  <c r="S95" i="99"/>
  <c r="R95" i="99"/>
  <c r="Q95" i="99"/>
  <c r="P95" i="99"/>
  <c r="O95" i="99"/>
  <c r="N95" i="99"/>
  <c r="M95" i="99"/>
  <c r="L95" i="99"/>
  <c r="K95" i="99"/>
  <c r="J95" i="99"/>
  <c r="I95" i="99"/>
  <c r="H95" i="99"/>
  <c r="G95" i="99"/>
  <c r="F95" i="99"/>
  <c r="E95" i="99"/>
  <c r="D95" i="99"/>
  <c r="AF94" i="99"/>
  <c r="AE94" i="99"/>
  <c r="AD94" i="99"/>
  <c r="AC94" i="99"/>
  <c r="AB94" i="99"/>
  <c r="AA94" i="99"/>
  <c r="Z94" i="99"/>
  <c r="Y94" i="99"/>
  <c r="X94" i="99"/>
  <c r="W94" i="99"/>
  <c r="V94" i="99"/>
  <c r="U94" i="99"/>
  <c r="T94" i="99"/>
  <c r="S94" i="99"/>
  <c r="R94" i="99"/>
  <c r="Q94" i="99"/>
  <c r="P94" i="99"/>
  <c r="O94" i="99"/>
  <c r="N94" i="99"/>
  <c r="M94" i="99"/>
  <c r="L94" i="99"/>
  <c r="K94" i="99"/>
  <c r="J94" i="99"/>
  <c r="I94" i="99"/>
  <c r="H94" i="99"/>
  <c r="G94" i="99"/>
  <c r="F94" i="99"/>
  <c r="E94" i="99"/>
  <c r="D94" i="99"/>
  <c r="AF93" i="99"/>
  <c r="AE93" i="99"/>
  <c r="AD93" i="99"/>
  <c r="AC93" i="99"/>
  <c r="AB93" i="99"/>
  <c r="AA93" i="99"/>
  <c r="Z93" i="99"/>
  <c r="Y93" i="99"/>
  <c r="X93" i="99"/>
  <c r="W93" i="99"/>
  <c r="V93" i="99"/>
  <c r="U93" i="99"/>
  <c r="T93" i="99"/>
  <c r="S93" i="99"/>
  <c r="R93" i="99"/>
  <c r="Q93" i="99"/>
  <c r="P93" i="99"/>
  <c r="O93" i="99"/>
  <c r="N93" i="99"/>
  <c r="M93" i="99"/>
  <c r="L93" i="99"/>
  <c r="K93" i="99"/>
  <c r="J93" i="99"/>
  <c r="I93" i="99"/>
  <c r="H93" i="99"/>
  <c r="G93" i="99"/>
  <c r="F93" i="99"/>
  <c r="E93" i="99"/>
  <c r="D93" i="99"/>
  <c r="AF92" i="99"/>
  <c r="AE92" i="99"/>
  <c r="AD92" i="99"/>
  <c r="AC92" i="99"/>
  <c r="AB92" i="99"/>
  <c r="AA92" i="99"/>
  <c r="Z92" i="99"/>
  <c r="Y92" i="99"/>
  <c r="X92" i="99"/>
  <c r="W92" i="99"/>
  <c r="V92" i="99"/>
  <c r="U92" i="99"/>
  <c r="T92" i="99"/>
  <c r="S92" i="99"/>
  <c r="R92" i="99"/>
  <c r="Q92" i="99"/>
  <c r="P92" i="99"/>
  <c r="O92" i="99"/>
  <c r="N92" i="99"/>
  <c r="M92" i="99"/>
  <c r="L92" i="99"/>
  <c r="K92" i="99"/>
  <c r="J92" i="99"/>
  <c r="I92" i="99"/>
  <c r="H92" i="99"/>
  <c r="G92" i="99"/>
  <c r="F92" i="99"/>
  <c r="E92" i="99"/>
  <c r="D92" i="99"/>
  <c r="AF91" i="99"/>
  <c r="AE91" i="99"/>
  <c r="AD91" i="99"/>
  <c r="AC91" i="99"/>
  <c r="AB91" i="99"/>
  <c r="AA91" i="99"/>
  <c r="Z91" i="99"/>
  <c r="Y91" i="99"/>
  <c r="X91" i="99"/>
  <c r="W91" i="99"/>
  <c r="V91" i="99"/>
  <c r="U91" i="99"/>
  <c r="T91" i="99"/>
  <c r="S91" i="99"/>
  <c r="R91" i="99"/>
  <c r="Q91" i="99"/>
  <c r="P91" i="99"/>
  <c r="O91" i="99"/>
  <c r="N91" i="99"/>
  <c r="M91" i="99"/>
  <c r="L91" i="99"/>
  <c r="K91" i="99"/>
  <c r="J91" i="99"/>
  <c r="I91" i="99"/>
  <c r="H91" i="99"/>
  <c r="G91" i="99"/>
  <c r="F91" i="99"/>
  <c r="E91" i="99"/>
  <c r="D91" i="99"/>
  <c r="AF90" i="99"/>
  <c r="AE90" i="99"/>
  <c r="AD90" i="99"/>
  <c r="AC90" i="99"/>
  <c r="AB90" i="99"/>
  <c r="AA90" i="99"/>
  <c r="Z90" i="99"/>
  <c r="Y90" i="99"/>
  <c r="X90" i="99"/>
  <c r="W90" i="99"/>
  <c r="V90" i="99"/>
  <c r="U90" i="99"/>
  <c r="T90" i="99"/>
  <c r="S90" i="99"/>
  <c r="R90" i="99"/>
  <c r="Q90" i="99"/>
  <c r="P90" i="99"/>
  <c r="O90" i="99"/>
  <c r="N90" i="99"/>
  <c r="M90" i="99"/>
  <c r="L90" i="99"/>
  <c r="K90" i="99"/>
  <c r="J90" i="99"/>
  <c r="I90" i="99"/>
  <c r="H90" i="99"/>
  <c r="G90" i="99"/>
  <c r="F90" i="99"/>
  <c r="E90" i="99"/>
  <c r="D90" i="99"/>
  <c r="AF89" i="99"/>
  <c r="AE89" i="99"/>
  <c r="AD89" i="99"/>
  <c r="AC89" i="99"/>
  <c r="AB89" i="99"/>
  <c r="AA89" i="99"/>
  <c r="Z89" i="99"/>
  <c r="Y89" i="99"/>
  <c r="X89" i="99"/>
  <c r="W89" i="99"/>
  <c r="V89" i="99"/>
  <c r="U89" i="99"/>
  <c r="T89" i="99"/>
  <c r="S89" i="99"/>
  <c r="R89" i="99"/>
  <c r="Q89" i="99"/>
  <c r="P89" i="99"/>
  <c r="O89" i="99"/>
  <c r="N89" i="99"/>
  <c r="M89" i="99"/>
  <c r="L89" i="99"/>
  <c r="K89" i="99"/>
  <c r="J89" i="99"/>
  <c r="I89" i="99"/>
  <c r="H89" i="99"/>
  <c r="G89" i="99"/>
  <c r="F89" i="99"/>
  <c r="E89" i="99"/>
  <c r="D89" i="99"/>
  <c r="AF88" i="99"/>
  <c r="AE88" i="99"/>
  <c r="AD88" i="99"/>
  <c r="AC88" i="99"/>
  <c r="AB88" i="99"/>
  <c r="AA88" i="99"/>
  <c r="Z88" i="99"/>
  <c r="Y88" i="99"/>
  <c r="X88" i="99"/>
  <c r="W88" i="99"/>
  <c r="V88" i="99"/>
  <c r="U88" i="99"/>
  <c r="T88" i="99"/>
  <c r="S88" i="99"/>
  <c r="R88" i="99"/>
  <c r="Q88" i="99"/>
  <c r="P88" i="99"/>
  <c r="O88" i="99"/>
  <c r="N88" i="99"/>
  <c r="M88" i="99"/>
  <c r="L88" i="99"/>
  <c r="K88" i="99"/>
  <c r="J88" i="99"/>
  <c r="I88" i="99"/>
  <c r="H88" i="99"/>
  <c r="G88" i="99"/>
  <c r="F88" i="99"/>
  <c r="E88" i="99"/>
  <c r="D88" i="99"/>
  <c r="AF87" i="99"/>
  <c r="AE87" i="99"/>
  <c r="AD87" i="99"/>
  <c r="AC87" i="99"/>
  <c r="AB87" i="99"/>
  <c r="AA87" i="99"/>
  <c r="Z87" i="99"/>
  <c r="Y87" i="99"/>
  <c r="X87" i="99"/>
  <c r="W87" i="99"/>
  <c r="V87" i="99"/>
  <c r="U87" i="99"/>
  <c r="T87" i="99"/>
  <c r="S87" i="99"/>
  <c r="R87" i="99"/>
  <c r="Q87" i="99"/>
  <c r="P87" i="99"/>
  <c r="O87" i="99"/>
  <c r="N87" i="99"/>
  <c r="M87" i="99"/>
  <c r="L87" i="99"/>
  <c r="K87" i="99"/>
  <c r="J87" i="99"/>
  <c r="I87" i="99"/>
  <c r="H87" i="99"/>
  <c r="G87" i="99"/>
  <c r="F87" i="99"/>
  <c r="E87" i="99"/>
  <c r="D87" i="99"/>
  <c r="AF86" i="99"/>
  <c r="AE86" i="99"/>
  <c r="AD86" i="99"/>
  <c r="AC86" i="99"/>
  <c r="AB86" i="99"/>
  <c r="AA86" i="99"/>
  <c r="Z86" i="99"/>
  <c r="Y86" i="99"/>
  <c r="X86" i="99"/>
  <c r="W86" i="99"/>
  <c r="V86" i="99"/>
  <c r="U86" i="99"/>
  <c r="T86" i="99"/>
  <c r="S86" i="99"/>
  <c r="R86" i="99"/>
  <c r="Q86" i="99"/>
  <c r="P86" i="99"/>
  <c r="O86" i="99"/>
  <c r="N86" i="99"/>
  <c r="M86" i="99"/>
  <c r="L86" i="99"/>
  <c r="K86" i="99"/>
  <c r="J86" i="99"/>
  <c r="I86" i="99"/>
  <c r="H86" i="99"/>
  <c r="G86" i="99"/>
  <c r="F86" i="99"/>
  <c r="E86" i="99"/>
  <c r="D86" i="99"/>
  <c r="AF85" i="99"/>
  <c r="AE85" i="99"/>
  <c r="AD85" i="99"/>
  <c r="AC85" i="99"/>
  <c r="AB85" i="99"/>
  <c r="AA85" i="99"/>
  <c r="Z85" i="99"/>
  <c r="Y85" i="99"/>
  <c r="X85" i="99"/>
  <c r="W85" i="99"/>
  <c r="V85" i="99"/>
  <c r="U85" i="99"/>
  <c r="T85" i="99"/>
  <c r="S85" i="99"/>
  <c r="R85" i="99"/>
  <c r="Q85" i="99"/>
  <c r="P85" i="99"/>
  <c r="O85" i="99"/>
  <c r="N85" i="99"/>
  <c r="M85" i="99"/>
  <c r="L85" i="99"/>
  <c r="K85" i="99"/>
  <c r="J85" i="99"/>
  <c r="I85" i="99"/>
  <c r="H85" i="99"/>
  <c r="G85" i="99"/>
  <c r="F85" i="99"/>
  <c r="E85" i="99"/>
  <c r="D85" i="99"/>
  <c r="AF84" i="99"/>
  <c r="AE84" i="99"/>
  <c r="AD84" i="99"/>
  <c r="AC84" i="99"/>
  <c r="AB84" i="99"/>
  <c r="AA84" i="99"/>
  <c r="Z84" i="99"/>
  <c r="Y84" i="99"/>
  <c r="X84" i="99"/>
  <c r="W84" i="99"/>
  <c r="V84" i="99"/>
  <c r="U84" i="99"/>
  <c r="T84" i="99"/>
  <c r="S84" i="99"/>
  <c r="R84" i="99"/>
  <c r="Q84" i="99"/>
  <c r="P84" i="99"/>
  <c r="O84" i="99"/>
  <c r="N84" i="99"/>
  <c r="M84" i="99"/>
  <c r="L84" i="99"/>
  <c r="K84" i="99"/>
  <c r="J84" i="99"/>
  <c r="I84" i="99"/>
  <c r="H84" i="99"/>
  <c r="G84" i="99"/>
  <c r="F84" i="99"/>
  <c r="E84" i="99"/>
  <c r="D84" i="99"/>
  <c r="AF83" i="99"/>
  <c r="AE83" i="99"/>
  <c r="AD83" i="99"/>
  <c r="AC83" i="99"/>
  <c r="AB83" i="99"/>
  <c r="AA83" i="99"/>
  <c r="Z83" i="99"/>
  <c r="Y83" i="99"/>
  <c r="X83" i="99"/>
  <c r="W83" i="99"/>
  <c r="V83" i="99"/>
  <c r="U83" i="99"/>
  <c r="T83" i="99"/>
  <c r="S83" i="99"/>
  <c r="R83" i="99"/>
  <c r="Q83" i="99"/>
  <c r="P83" i="99"/>
  <c r="O83" i="99"/>
  <c r="N83" i="99"/>
  <c r="M83" i="99"/>
  <c r="L83" i="99"/>
  <c r="K83" i="99"/>
  <c r="J83" i="99"/>
  <c r="I83" i="99"/>
  <c r="H83" i="99"/>
  <c r="G83" i="99"/>
  <c r="F83" i="99"/>
  <c r="E83" i="99"/>
  <c r="D83" i="99"/>
  <c r="AF82" i="99"/>
  <c r="AE82" i="99"/>
  <c r="AD82" i="99"/>
  <c r="AC82" i="99"/>
  <c r="AB82" i="99"/>
  <c r="AA82" i="99"/>
  <c r="Z82" i="99"/>
  <c r="Y82" i="99"/>
  <c r="X82" i="99"/>
  <c r="W82" i="99"/>
  <c r="V82" i="99"/>
  <c r="U82" i="99"/>
  <c r="T82" i="99"/>
  <c r="S82" i="99"/>
  <c r="R82" i="99"/>
  <c r="Q82" i="99"/>
  <c r="P82" i="99"/>
  <c r="O82" i="99"/>
  <c r="N82" i="99"/>
  <c r="M82" i="99"/>
  <c r="L82" i="99"/>
  <c r="K82" i="99"/>
  <c r="J82" i="99"/>
  <c r="I82" i="99"/>
  <c r="H82" i="99"/>
  <c r="G82" i="99"/>
  <c r="F82" i="99"/>
  <c r="E82" i="99"/>
  <c r="D82" i="99"/>
  <c r="AF81" i="99"/>
  <c r="AE81" i="99"/>
  <c r="AD81" i="99"/>
  <c r="AC81" i="99"/>
  <c r="AB81" i="99"/>
  <c r="AA81" i="99"/>
  <c r="Z81" i="99"/>
  <c r="Y81" i="99"/>
  <c r="X81" i="99"/>
  <c r="W81" i="99"/>
  <c r="V81" i="99"/>
  <c r="U81" i="99"/>
  <c r="T81" i="99"/>
  <c r="S81" i="99"/>
  <c r="R81" i="99"/>
  <c r="Q81" i="99"/>
  <c r="P81" i="99"/>
  <c r="O81" i="99"/>
  <c r="N81" i="99"/>
  <c r="M81" i="99"/>
  <c r="L81" i="99"/>
  <c r="K81" i="99"/>
  <c r="J81" i="99"/>
  <c r="I81" i="99"/>
  <c r="H81" i="99"/>
  <c r="G81" i="99"/>
  <c r="F81" i="99"/>
  <c r="E81" i="99"/>
  <c r="D81" i="99"/>
  <c r="AF80" i="99"/>
  <c r="AE80" i="99"/>
  <c r="AD80" i="99"/>
  <c r="AC80" i="99"/>
  <c r="AB80" i="99"/>
  <c r="AA80" i="99"/>
  <c r="Z80" i="99"/>
  <c r="Y80" i="99"/>
  <c r="X80" i="99"/>
  <c r="W80" i="99"/>
  <c r="V80" i="99"/>
  <c r="U80" i="99"/>
  <c r="T80" i="99"/>
  <c r="S80" i="99"/>
  <c r="R80" i="99"/>
  <c r="Q80" i="99"/>
  <c r="P80" i="99"/>
  <c r="O80" i="99"/>
  <c r="N80" i="99"/>
  <c r="M80" i="99"/>
  <c r="L80" i="99"/>
  <c r="K80" i="99"/>
  <c r="J80" i="99"/>
  <c r="I80" i="99"/>
  <c r="H80" i="99"/>
  <c r="G80" i="99"/>
  <c r="F80" i="99"/>
  <c r="E80" i="99"/>
  <c r="D80" i="99"/>
  <c r="AF79" i="99"/>
  <c r="AE79" i="99"/>
  <c r="AD79" i="99"/>
  <c r="AC79" i="99"/>
  <c r="AB79" i="99"/>
  <c r="AA79" i="99"/>
  <c r="Z79" i="99"/>
  <c r="Y79" i="99"/>
  <c r="X79" i="99"/>
  <c r="W79" i="99"/>
  <c r="V79" i="99"/>
  <c r="U79" i="99"/>
  <c r="T79" i="99"/>
  <c r="S79" i="99"/>
  <c r="R79" i="99"/>
  <c r="Q79" i="99"/>
  <c r="P79" i="99"/>
  <c r="O79" i="99"/>
  <c r="N79" i="99"/>
  <c r="M79" i="99"/>
  <c r="L79" i="99"/>
  <c r="K79" i="99"/>
  <c r="J79" i="99"/>
  <c r="I79" i="99"/>
  <c r="H79" i="99"/>
  <c r="G79" i="99"/>
  <c r="F79" i="99"/>
  <c r="E79" i="99"/>
  <c r="D79" i="99"/>
  <c r="AF78" i="99"/>
  <c r="AE78" i="99"/>
  <c r="AD78" i="99"/>
  <c r="AC78" i="99"/>
  <c r="AB78" i="99"/>
  <c r="AA78" i="99"/>
  <c r="Z78" i="99"/>
  <c r="Y78" i="99"/>
  <c r="X78" i="99"/>
  <c r="W78" i="99"/>
  <c r="V78" i="99"/>
  <c r="U78" i="99"/>
  <c r="T78" i="99"/>
  <c r="S78" i="99"/>
  <c r="R78" i="99"/>
  <c r="Q78" i="99"/>
  <c r="P78" i="99"/>
  <c r="O78" i="99"/>
  <c r="N78" i="99"/>
  <c r="M78" i="99"/>
  <c r="L78" i="99"/>
  <c r="K78" i="99"/>
  <c r="J78" i="99"/>
  <c r="I78" i="99"/>
  <c r="H78" i="99"/>
  <c r="G78" i="99"/>
  <c r="F78" i="99"/>
  <c r="E78" i="99"/>
  <c r="D78" i="99"/>
  <c r="AF77" i="99"/>
  <c r="AE77" i="99"/>
  <c r="AD77" i="99"/>
  <c r="AC77" i="99"/>
  <c r="AB77" i="99"/>
  <c r="AA77" i="99"/>
  <c r="Z77" i="99"/>
  <c r="Y77" i="99"/>
  <c r="X77" i="99"/>
  <c r="W77" i="99"/>
  <c r="V77" i="99"/>
  <c r="U77" i="99"/>
  <c r="T77" i="99"/>
  <c r="S77" i="99"/>
  <c r="R77" i="99"/>
  <c r="Q77" i="99"/>
  <c r="P77" i="99"/>
  <c r="O77" i="99"/>
  <c r="N77" i="99"/>
  <c r="M77" i="99"/>
  <c r="L77" i="99"/>
  <c r="K77" i="99"/>
  <c r="J77" i="99"/>
  <c r="I77" i="99"/>
  <c r="H77" i="99"/>
  <c r="G77" i="99"/>
  <c r="F77" i="99"/>
  <c r="E77" i="99"/>
  <c r="D77" i="99"/>
  <c r="AF76" i="99"/>
  <c r="AE76" i="99"/>
  <c r="AD76" i="99"/>
  <c r="AC76" i="99"/>
  <c r="AB76" i="99"/>
  <c r="AA76" i="99"/>
  <c r="Z76" i="99"/>
  <c r="Y76" i="99"/>
  <c r="X76" i="99"/>
  <c r="W76" i="99"/>
  <c r="V76" i="99"/>
  <c r="U76" i="99"/>
  <c r="T76" i="99"/>
  <c r="S76" i="99"/>
  <c r="R76" i="99"/>
  <c r="Q76" i="99"/>
  <c r="P76" i="99"/>
  <c r="O76" i="99"/>
  <c r="N76" i="99"/>
  <c r="M76" i="99"/>
  <c r="L76" i="99"/>
  <c r="K76" i="99"/>
  <c r="J76" i="99"/>
  <c r="I76" i="99"/>
  <c r="H76" i="99"/>
  <c r="G76" i="99"/>
  <c r="F76" i="99"/>
  <c r="E76" i="99"/>
  <c r="D76" i="99"/>
  <c r="AF75" i="99"/>
  <c r="AE75" i="99"/>
  <c r="AD75" i="99"/>
  <c r="AC75" i="99"/>
  <c r="AB75" i="99"/>
  <c r="AA75" i="99"/>
  <c r="Z75" i="99"/>
  <c r="Y75" i="99"/>
  <c r="X75" i="99"/>
  <c r="W75" i="99"/>
  <c r="V75" i="99"/>
  <c r="U75" i="99"/>
  <c r="T75" i="99"/>
  <c r="S75" i="99"/>
  <c r="R75" i="99"/>
  <c r="Q75" i="99"/>
  <c r="P75" i="99"/>
  <c r="O75" i="99"/>
  <c r="N75" i="99"/>
  <c r="M75" i="99"/>
  <c r="L75" i="99"/>
  <c r="K75" i="99"/>
  <c r="J75" i="99"/>
  <c r="I75" i="99"/>
  <c r="H75" i="99"/>
  <c r="G75" i="99"/>
  <c r="F75" i="99"/>
  <c r="E75" i="99"/>
  <c r="D75" i="99"/>
  <c r="AF74" i="99"/>
  <c r="AE74" i="99"/>
  <c r="AD74" i="99"/>
  <c r="AC74" i="99"/>
  <c r="AB74" i="99"/>
  <c r="AA74" i="99"/>
  <c r="Z74" i="99"/>
  <c r="Y74" i="99"/>
  <c r="X74" i="99"/>
  <c r="W74" i="99"/>
  <c r="V74" i="99"/>
  <c r="U74" i="99"/>
  <c r="T74" i="99"/>
  <c r="S74" i="99"/>
  <c r="R74" i="99"/>
  <c r="Q74" i="99"/>
  <c r="P74" i="99"/>
  <c r="O74" i="99"/>
  <c r="N74" i="99"/>
  <c r="M74" i="99"/>
  <c r="L74" i="99"/>
  <c r="K74" i="99"/>
  <c r="J74" i="99"/>
  <c r="I74" i="99"/>
  <c r="H74" i="99"/>
  <c r="G74" i="99"/>
  <c r="F74" i="99"/>
  <c r="E74" i="99"/>
  <c r="D74" i="99"/>
  <c r="AF73" i="99"/>
  <c r="AE73" i="99"/>
  <c r="AD73" i="99"/>
  <c r="AC73" i="99"/>
  <c r="AB73" i="99"/>
  <c r="AA73" i="99"/>
  <c r="Z73" i="99"/>
  <c r="Y73" i="99"/>
  <c r="X73" i="99"/>
  <c r="W73" i="99"/>
  <c r="V73" i="99"/>
  <c r="U73" i="99"/>
  <c r="T73" i="99"/>
  <c r="S73" i="99"/>
  <c r="R73" i="99"/>
  <c r="Q73" i="99"/>
  <c r="P73" i="99"/>
  <c r="O73" i="99"/>
  <c r="N73" i="99"/>
  <c r="M73" i="99"/>
  <c r="L73" i="99"/>
  <c r="K73" i="99"/>
  <c r="J73" i="99"/>
  <c r="I73" i="99"/>
  <c r="H73" i="99"/>
  <c r="G73" i="99"/>
  <c r="F73" i="99"/>
  <c r="E73" i="99"/>
  <c r="D73" i="99"/>
  <c r="AF72" i="99"/>
  <c r="AE72" i="99"/>
  <c r="AD72" i="99"/>
  <c r="AC72" i="99"/>
  <c r="AB72" i="99"/>
  <c r="AA72" i="99"/>
  <c r="Z72" i="99"/>
  <c r="Y72" i="99"/>
  <c r="X72" i="99"/>
  <c r="W72" i="99"/>
  <c r="V72" i="99"/>
  <c r="U72" i="99"/>
  <c r="T72" i="99"/>
  <c r="S72" i="99"/>
  <c r="R72" i="99"/>
  <c r="Q72" i="99"/>
  <c r="P72" i="99"/>
  <c r="O72" i="99"/>
  <c r="N72" i="99"/>
  <c r="M72" i="99"/>
  <c r="L72" i="99"/>
  <c r="K72" i="99"/>
  <c r="J72" i="99"/>
  <c r="I72" i="99"/>
  <c r="H72" i="99"/>
  <c r="G72" i="99"/>
  <c r="F72" i="99"/>
  <c r="E72" i="99"/>
  <c r="D72" i="99"/>
  <c r="AF71" i="99"/>
  <c r="AE71" i="99"/>
  <c r="AD71" i="99"/>
  <c r="AC71" i="99"/>
  <c r="AB71" i="99"/>
  <c r="AA71" i="99"/>
  <c r="Z71" i="99"/>
  <c r="Y71" i="99"/>
  <c r="X71" i="99"/>
  <c r="W71" i="99"/>
  <c r="V71" i="99"/>
  <c r="U71" i="99"/>
  <c r="T71" i="99"/>
  <c r="S71" i="99"/>
  <c r="R71" i="99"/>
  <c r="Q71" i="99"/>
  <c r="P71" i="99"/>
  <c r="O71" i="99"/>
  <c r="N71" i="99"/>
  <c r="M71" i="99"/>
  <c r="L71" i="99"/>
  <c r="K71" i="99"/>
  <c r="J71" i="99"/>
  <c r="I71" i="99"/>
  <c r="H71" i="99"/>
  <c r="G71" i="99"/>
  <c r="F71" i="99"/>
  <c r="E71" i="99"/>
  <c r="D71" i="99"/>
  <c r="AF70" i="99"/>
  <c r="AE70" i="99"/>
  <c r="AD70" i="99"/>
  <c r="AC70" i="99"/>
  <c r="AB70" i="99"/>
  <c r="AA70" i="99"/>
  <c r="Z70" i="99"/>
  <c r="Y70" i="99"/>
  <c r="X70" i="99"/>
  <c r="W70" i="99"/>
  <c r="V70" i="99"/>
  <c r="U70" i="99"/>
  <c r="T70" i="99"/>
  <c r="S70" i="99"/>
  <c r="R70" i="99"/>
  <c r="Q70" i="99"/>
  <c r="P70" i="99"/>
  <c r="O70" i="99"/>
  <c r="N70" i="99"/>
  <c r="M70" i="99"/>
  <c r="L70" i="99"/>
  <c r="K70" i="99"/>
  <c r="J70" i="99"/>
  <c r="I70" i="99"/>
  <c r="H70" i="99"/>
  <c r="G70" i="99"/>
  <c r="F70" i="99"/>
  <c r="E70" i="99"/>
  <c r="D70" i="99"/>
  <c r="AF68" i="99"/>
  <c r="AE68" i="99"/>
  <c r="AD68" i="99"/>
  <c r="AC68" i="99"/>
  <c r="AB68" i="99"/>
  <c r="AA68" i="99"/>
  <c r="Z68" i="99"/>
  <c r="Y68" i="99"/>
  <c r="X68" i="99"/>
  <c r="W68" i="99"/>
  <c r="V68" i="99"/>
  <c r="U68" i="99"/>
  <c r="T68" i="99"/>
  <c r="S68" i="99"/>
  <c r="R68" i="99"/>
  <c r="Q68" i="99"/>
  <c r="P68" i="99"/>
  <c r="O68" i="99"/>
  <c r="N68" i="99"/>
  <c r="M68" i="99"/>
  <c r="L68" i="99"/>
  <c r="K68" i="99"/>
  <c r="J68" i="99"/>
  <c r="I68" i="99"/>
  <c r="H68" i="99"/>
  <c r="G68" i="99"/>
  <c r="F68" i="99"/>
  <c r="E68" i="99"/>
  <c r="D68" i="99"/>
  <c r="AF67" i="99"/>
  <c r="AE67" i="99"/>
  <c r="AD67" i="99"/>
  <c r="AC67" i="99"/>
  <c r="AB67" i="99"/>
  <c r="AA67" i="99"/>
  <c r="Z67" i="99"/>
  <c r="Y67" i="99"/>
  <c r="X67" i="99"/>
  <c r="W67" i="99"/>
  <c r="V67" i="99"/>
  <c r="U67" i="99"/>
  <c r="T67" i="99"/>
  <c r="S67" i="99"/>
  <c r="R67" i="99"/>
  <c r="Q67" i="99"/>
  <c r="P67" i="99"/>
  <c r="O67" i="99"/>
  <c r="N67" i="99"/>
  <c r="M67" i="99"/>
  <c r="L67" i="99"/>
  <c r="K67" i="99"/>
  <c r="J67" i="99"/>
  <c r="I67" i="99"/>
  <c r="H67" i="99"/>
  <c r="G67" i="99"/>
  <c r="F67" i="99"/>
  <c r="E67" i="99"/>
  <c r="D67" i="99"/>
  <c r="AF66" i="99"/>
  <c r="AE66" i="99"/>
  <c r="AD66" i="99"/>
  <c r="AC66" i="99"/>
  <c r="AB66" i="99"/>
  <c r="AA66" i="99"/>
  <c r="Z66" i="99"/>
  <c r="Y66" i="99"/>
  <c r="X66" i="99"/>
  <c r="W66" i="99"/>
  <c r="V66" i="99"/>
  <c r="U66" i="99"/>
  <c r="T66" i="99"/>
  <c r="S66" i="99"/>
  <c r="R66" i="99"/>
  <c r="Q66" i="99"/>
  <c r="P66" i="99"/>
  <c r="O66" i="99"/>
  <c r="N66" i="99"/>
  <c r="M66" i="99"/>
  <c r="L66" i="99"/>
  <c r="K66" i="99"/>
  <c r="J66" i="99"/>
  <c r="I66" i="99"/>
  <c r="H66" i="99"/>
  <c r="G66" i="99"/>
  <c r="F66" i="99"/>
  <c r="E66" i="99"/>
  <c r="D66" i="99"/>
  <c r="AF65" i="99"/>
  <c r="AE65" i="99"/>
  <c r="AD65" i="99"/>
  <c r="AC65" i="99"/>
  <c r="AB65" i="99"/>
  <c r="AA65" i="99"/>
  <c r="Z65" i="99"/>
  <c r="Y65" i="99"/>
  <c r="X65" i="99"/>
  <c r="W65" i="99"/>
  <c r="V65" i="99"/>
  <c r="U65" i="99"/>
  <c r="T65" i="99"/>
  <c r="S65" i="99"/>
  <c r="R65" i="99"/>
  <c r="Q65" i="99"/>
  <c r="P65" i="99"/>
  <c r="O65" i="99"/>
  <c r="N65" i="99"/>
  <c r="M65" i="99"/>
  <c r="L65" i="99"/>
  <c r="K65" i="99"/>
  <c r="J65" i="99"/>
  <c r="I65" i="99"/>
  <c r="H65" i="99"/>
  <c r="G65" i="99"/>
  <c r="F65" i="99"/>
  <c r="E65" i="99"/>
  <c r="D65" i="99"/>
  <c r="AF63" i="99"/>
  <c r="AE63" i="99"/>
  <c r="AD63" i="99"/>
  <c r="AC63" i="99"/>
  <c r="AB63" i="99"/>
  <c r="AA63" i="99"/>
  <c r="Z63" i="99"/>
  <c r="Y63" i="99"/>
  <c r="X63" i="99"/>
  <c r="W63" i="99"/>
  <c r="V63" i="99"/>
  <c r="U63" i="99"/>
  <c r="T63" i="99"/>
  <c r="S63" i="99"/>
  <c r="R63" i="99"/>
  <c r="Q63" i="99"/>
  <c r="P63" i="99"/>
  <c r="O63" i="99"/>
  <c r="N63" i="99"/>
  <c r="M63" i="99"/>
  <c r="L63" i="99"/>
  <c r="K63" i="99"/>
  <c r="J63" i="99"/>
  <c r="I63" i="99"/>
  <c r="H63" i="99"/>
  <c r="G63" i="99"/>
  <c r="F63" i="99"/>
  <c r="E63" i="99"/>
  <c r="D63" i="99"/>
  <c r="AF62" i="99"/>
  <c r="AE62" i="99"/>
  <c r="AD62" i="99"/>
  <c r="AC62" i="99"/>
  <c r="AB62" i="99"/>
  <c r="AA62" i="99"/>
  <c r="Z62" i="99"/>
  <c r="Y62" i="99"/>
  <c r="X62" i="99"/>
  <c r="W62" i="99"/>
  <c r="V62" i="99"/>
  <c r="U62" i="99"/>
  <c r="T62" i="99"/>
  <c r="S62" i="99"/>
  <c r="R62" i="99"/>
  <c r="Q62" i="99"/>
  <c r="P62" i="99"/>
  <c r="O62" i="99"/>
  <c r="N62" i="99"/>
  <c r="M62" i="99"/>
  <c r="L62" i="99"/>
  <c r="K62" i="99"/>
  <c r="J62" i="99"/>
  <c r="I62" i="99"/>
  <c r="H62" i="99"/>
  <c r="G62" i="99"/>
  <c r="F62" i="99"/>
  <c r="E62" i="99"/>
  <c r="D62" i="99"/>
  <c r="AF61" i="99"/>
  <c r="AE61" i="99"/>
  <c r="AD61" i="99"/>
  <c r="AC61" i="99"/>
  <c r="AB61" i="99"/>
  <c r="AA61" i="99"/>
  <c r="Z61" i="99"/>
  <c r="Y61" i="99"/>
  <c r="X61" i="99"/>
  <c r="W61" i="99"/>
  <c r="V61" i="99"/>
  <c r="U61" i="99"/>
  <c r="T61" i="99"/>
  <c r="S61" i="99"/>
  <c r="R61" i="99"/>
  <c r="Q61" i="99"/>
  <c r="P61" i="99"/>
  <c r="O61" i="99"/>
  <c r="N61" i="99"/>
  <c r="M61" i="99"/>
  <c r="L61" i="99"/>
  <c r="K61" i="99"/>
  <c r="J61" i="99"/>
  <c r="I61" i="99"/>
  <c r="H61" i="99"/>
  <c r="G61" i="99"/>
  <c r="F61" i="99"/>
  <c r="E61" i="99"/>
  <c r="D61" i="99"/>
  <c r="AF59" i="99"/>
  <c r="AE59" i="99"/>
  <c r="AD59" i="99"/>
  <c r="AC59" i="99"/>
  <c r="AB59" i="99"/>
  <c r="AA59" i="99"/>
  <c r="Z59" i="99"/>
  <c r="Y59" i="99"/>
  <c r="X59" i="99"/>
  <c r="W59" i="99"/>
  <c r="V59" i="99"/>
  <c r="U59" i="99"/>
  <c r="T59" i="99"/>
  <c r="S59" i="99"/>
  <c r="R59" i="99"/>
  <c r="Q59" i="99"/>
  <c r="P59" i="99"/>
  <c r="O59" i="99"/>
  <c r="N59" i="99"/>
  <c r="M59" i="99"/>
  <c r="L59" i="99"/>
  <c r="K59" i="99"/>
  <c r="J59" i="99"/>
  <c r="I59" i="99"/>
  <c r="H59" i="99"/>
  <c r="G59" i="99"/>
  <c r="F59" i="99"/>
  <c r="E59" i="99"/>
  <c r="D59" i="99"/>
  <c r="AF58" i="99"/>
  <c r="AE58" i="99"/>
  <c r="AD58" i="99"/>
  <c r="AC58" i="99"/>
  <c r="AB58" i="99"/>
  <c r="AA58" i="99"/>
  <c r="Z58" i="99"/>
  <c r="Y58" i="99"/>
  <c r="X58" i="99"/>
  <c r="W58" i="99"/>
  <c r="V58" i="99"/>
  <c r="U58" i="99"/>
  <c r="T58" i="99"/>
  <c r="S58" i="99"/>
  <c r="R58" i="99"/>
  <c r="Q58" i="99"/>
  <c r="P58" i="99"/>
  <c r="O58" i="99"/>
  <c r="N58" i="99"/>
  <c r="M58" i="99"/>
  <c r="L58" i="99"/>
  <c r="K58" i="99"/>
  <c r="J58" i="99"/>
  <c r="I58" i="99"/>
  <c r="H58" i="99"/>
  <c r="G58" i="99"/>
  <c r="F58" i="99"/>
  <c r="E58" i="99"/>
  <c r="D58" i="99"/>
  <c r="AF57" i="99"/>
  <c r="AE57" i="99"/>
  <c r="AD57" i="99"/>
  <c r="AC57" i="99"/>
  <c r="AB57" i="99"/>
  <c r="AA57" i="99"/>
  <c r="Z57" i="99"/>
  <c r="Y57" i="99"/>
  <c r="X57" i="99"/>
  <c r="W57" i="99"/>
  <c r="V57" i="99"/>
  <c r="U57" i="99"/>
  <c r="T57" i="99"/>
  <c r="S57" i="99"/>
  <c r="R57" i="99"/>
  <c r="Q57" i="99"/>
  <c r="P57" i="99"/>
  <c r="O57" i="99"/>
  <c r="N57" i="99"/>
  <c r="M57" i="99"/>
  <c r="L57" i="99"/>
  <c r="K57" i="99"/>
  <c r="J57" i="99"/>
  <c r="I57" i="99"/>
  <c r="H57" i="99"/>
  <c r="G57" i="99"/>
  <c r="F57" i="99"/>
  <c r="E57" i="99"/>
  <c r="D57" i="99"/>
  <c r="AF56" i="99"/>
  <c r="AE56" i="99"/>
  <c r="AD56" i="99"/>
  <c r="AC56" i="99"/>
  <c r="AB56" i="99"/>
  <c r="AA56" i="99"/>
  <c r="Z56" i="99"/>
  <c r="Y56" i="99"/>
  <c r="X56" i="99"/>
  <c r="W56" i="99"/>
  <c r="V56" i="99"/>
  <c r="U56" i="99"/>
  <c r="T56" i="99"/>
  <c r="S56" i="99"/>
  <c r="R56" i="99"/>
  <c r="Q56" i="99"/>
  <c r="P56" i="99"/>
  <c r="O56" i="99"/>
  <c r="N56" i="99"/>
  <c r="M56" i="99"/>
  <c r="L56" i="99"/>
  <c r="K56" i="99"/>
  <c r="J56" i="99"/>
  <c r="I56" i="99"/>
  <c r="H56" i="99"/>
  <c r="G56" i="99"/>
  <c r="F56" i="99"/>
  <c r="E56" i="99"/>
  <c r="D56" i="99"/>
  <c r="AF55" i="99"/>
  <c r="AE55" i="99"/>
  <c r="AD55" i="99"/>
  <c r="AC55" i="99"/>
  <c r="AB55" i="99"/>
  <c r="AA55" i="99"/>
  <c r="Z55" i="99"/>
  <c r="Y55" i="99"/>
  <c r="X55" i="99"/>
  <c r="W55" i="99"/>
  <c r="V55" i="99"/>
  <c r="U55" i="99"/>
  <c r="T55" i="99"/>
  <c r="S55" i="99"/>
  <c r="R55" i="99"/>
  <c r="Q55" i="99"/>
  <c r="P55" i="99"/>
  <c r="O55" i="99"/>
  <c r="N55" i="99"/>
  <c r="M55" i="99"/>
  <c r="L55" i="99"/>
  <c r="K55" i="99"/>
  <c r="J55" i="99"/>
  <c r="I55" i="99"/>
  <c r="H55" i="99"/>
  <c r="G55" i="99"/>
  <c r="F55" i="99"/>
  <c r="E55" i="99"/>
  <c r="D55" i="99"/>
  <c r="AF53" i="99"/>
  <c r="AE53" i="99"/>
  <c r="AD53" i="99"/>
  <c r="AC53" i="99"/>
  <c r="AB53" i="99"/>
  <c r="AA53" i="99"/>
  <c r="Z53" i="99"/>
  <c r="Y53" i="99"/>
  <c r="X53" i="99"/>
  <c r="W53" i="99"/>
  <c r="V53" i="99"/>
  <c r="U53" i="99"/>
  <c r="T53" i="99"/>
  <c r="S53" i="99"/>
  <c r="R53" i="99"/>
  <c r="Q53" i="99"/>
  <c r="P53" i="99"/>
  <c r="O53" i="99"/>
  <c r="N53" i="99"/>
  <c r="M53" i="99"/>
  <c r="L53" i="99"/>
  <c r="K53" i="99"/>
  <c r="J53" i="99"/>
  <c r="I53" i="99"/>
  <c r="H53" i="99"/>
  <c r="G53" i="99"/>
  <c r="F53" i="99"/>
  <c r="E53" i="99"/>
  <c r="D53" i="99"/>
  <c r="AF52" i="99"/>
  <c r="AE52" i="99"/>
  <c r="AD52" i="99"/>
  <c r="AC52" i="99"/>
  <c r="AB52" i="99"/>
  <c r="AA52" i="99"/>
  <c r="Z52" i="99"/>
  <c r="Y52" i="99"/>
  <c r="X52" i="99"/>
  <c r="W52" i="99"/>
  <c r="V52" i="99"/>
  <c r="U52" i="99"/>
  <c r="T52" i="99"/>
  <c r="S52" i="99"/>
  <c r="R52" i="99"/>
  <c r="Q52" i="99"/>
  <c r="P52" i="99"/>
  <c r="O52" i="99"/>
  <c r="N52" i="99"/>
  <c r="M52" i="99"/>
  <c r="L52" i="99"/>
  <c r="K52" i="99"/>
  <c r="J52" i="99"/>
  <c r="I52" i="99"/>
  <c r="H52" i="99"/>
  <c r="G52" i="99"/>
  <c r="F52" i="99"/>
  <c r="E52" i="99"/>
  <c r="D52" i="99"/>
  <c r="AF51" i="99"/>
  <c r="AE51" i="99"/>
  <c r="AD51" i="99"/>
  <c r="AC51" i="99"/>
  <c r="AB51" i="99"/>
  <c r="AA51" i="99"/>
  <c r="Z51" i="99"/>
  <c r="Y51" i="99"/>
  <c r="X51" i="99"/>
  <c r="W51" i="99"/>
  <c r="V51" i="99"/>
  <c r="U51" i="99"/>
  <c r="T51" i="99"/>
  <c r="S51" i="99"/>
  <c r="R51" i="99"/>
  <c r="Q51" i="99"/>
  <c r="P51" i="99"/>
  <c r="O51" i="99"/>
  <c r="N51" i="99"/>
  <c r="M51" i="99"/>
  <c r="L51" i="99"/>
  <c r="K51" i="99"/>
  <c r="J51" i="99"/>
  <c r="I51" i="99"/>
  <c r="H51" i="99"/>
  <c r="G51" i="99"/>
  <c r="F51" i="99"/>
  <c r="E51" i="99"/>
  <c r="D51" i="99"/>
  <c r="AF50" i="99"/>
  <c r="AE50" i="99"/>
  <c r="AD50" i="99"/>
  <c r="AC50" i="99"/>
  <c r="AB50" i="99"/>
  <c r="AA50" i="99"/>
  <c r="Z50" i="99"/>
  <c r="Y50" i="99"/>
  <c r="X50" i="99"/>
  <c r="W50" i="99"/>
  <c r="V50" i="99"/>
  <c r="U50" i="99"/>
  <c r="T50" i="99"/>
  <c r="S50" i="99"/>
  <c r="R50" i="99"/>
  <c r="Q50" i="99"/>
  <c r="P50" i="99"/>
  <c r="O50" i="99"/>
  <c r="N50" i="99"/>
  <c r="M50" i="99"/>
  <c r="L50" i="99"/>
  <c r="K50" i="99"/>
  <c r="J50" i="99"/>
  <c r="I50" i="99"/>
  <c r="H50" i="99"/>
  <c r="G50" i="99"/>
  <c r="F50" i="99"/>
  <c r="E50" i="99"/>
  <c r="D50" i="99"/>
  <c r="AF49" i="99"/>
  <c r="AE49" i="99"/>
  <c r="AD49" i="99"/>
  <c r="AC49" i="99"/>
  <c r="AB49" i="99"/>
  <c r="AA49" i="99"/>
  <c r="Z49" i="99"/>
  <c r="Y49" i="99"/>
  <c r="X49" i="99"/>
  <c r="W49" i="99"/>
  <c r="V49" i="99"/>
  <c r="U49" i="99"/>
  <c r="T49" i="99"/>
  <c r="S49" i="99"/>
  <c r="R49" i="99"/>
  <c r="Q49" i="99"/>
  <c r="P49" i="99"/>
  <c r="O49" i="99"/>
  <c r="N49" i="99"/>
  <c r="M49" i="99"/>
  <c r="L49" i="99"/>
  <c r="K49" i="99"/>
  <c r="J49" i="99"/>
  <c r="I49" i="99"/>
  <c r="H49" i="99"/>
  <c r="G49" i="99"/>
  <c r="F49" i="99"/>
  <c r="E49" i="99"/>
  <c r="D49" i="99"/>
  <c r="AF47" i="99"/>
  <c r="AE47" i="99"/>
  <c r="AD47" i="99"/>
  <c r="AC47" i="99"/>
  <c r="AB47" i="99"/>
  <c r="AA47" i="99"/>
  <c r="Z47" i="99"/>
  <c r="Y47" i="99"/>
  <c r="X47" i="99"/>
  <c r="W47" i="99"/>
  <c r="V47" i="99"/>
  <c r="U47" i="99"/>
  <c r="T47" i="99"/>
  <c r="S47" i="99"/>
  <c r="R47" i="99"/>
  <c r="Q47" i="99"/>
  <c r="P47" i="99"/>
  <c r="O47" i="99"/>
  <c r="N47" i="99"/>
  <c r="M47" i="99"/>
  <c r="L47" i="99"/>
  <c r="K47" i="99"/>
  <c r="J47" i="99"/>
  <c r="I47" i="99"/>
  <c r="H47" i="99"/>
  <c r="G47" i="99"/>
  <c r="F47" i="99"/>
  <c r="E47" i="99"/>
  <c r="D47" i="99"/>
  <c r="AF46" i="99"/>
  <c r="AE46" i="99"/>
  <c r="AD46" i="99"/>
  <c r="AC46" i="99"/>
  <c r="AB46" i="99"/>
  <c r="AA46" i="99"/>
  <c r="Z46" i="99"/>
  <c r="Y46" i="99"/>
  <c r="X46" i="99"/>
  <c r="W46" i="99"/>
  <c r="V46" i="99"/>
  <c r="U46" i="99"/>
  <c r="T46" i="99"/>
  <c r="S46" i="99"/>
  <c r="R46" i="99"/>
  <c r="Q46" i="99"/>
  <c r="P46" i="99"/>
  <c r="O46" i="99"/>
  <c r="N46" i="99"/>
  <c r="M46" i="99"/>
  <c r="L46" i="99"/>
  <c r="K46" i="99"/>
  <c r="J46" i="99"/>
  <c r="I46" i="99"/>
  <c r="H46" i="99"/>
  <c r="G46" i="99"/>
  <c r="F46" i="99"/>
  <c r="E46" i="99"/>
  <c r="D46" i="99"/>
  <c r="AF45" i="99"/>
  <c r="AE45" i="99"/>
  <c r="AD45" i="99"/>
  <c r="AC45" i="99"/>
  <c r="AB45" i="99"/>
  <c r="AA45" i="99"/>
  <c r="Z45" i="99"/>
  <c r="Y45" i="99"/>
  <c r="X45" i="99"/>
  <c r="W45" i="99"/>
  <c r="V45" i="99"/>
  <c r="U45" i="99"/>
  <c r="T45" i="99"/>
  <c r="S45" i="99"/>
  <c r="R45" i="99"/>
  <c r="Q45" i="99"/>
  <c r="P45" i="99"/>
  <c r="O45" i="99"/>
  <c r="N45" i="99"/>
  <c r="M45" i="99"/>
  <c r="L45" i="99"/>
  <c r="K45" i="99"/>
  <c r="J45" i="99"/>
  <c r="I45" i="99"/>
  <c r="H45" i="99"/>
  <c r="G45" i="99"/>
  <c r="F45" i="99"/>
  <c r="E45" i="99"/>
  <c r="D45" i="99"/>
  <c r="AF44" i="99"/>
  <c r="AE44" i="99"/>
  <c r="AD44" i="99"/>
  <c r="AC44" i="99"/>
  <c r="AB44" i="99"/>
  <c r="AA44" i="99"/>
  <c r="Z44" i="99"/>
  <c r="Y44" i="99"/>
  <c r="X44" i="99"/>
  <c r="W44" i="99"/>
  <c r="V44" i="99"/>
  <c r="U44" i="99"/>
  <c r="T44" i="99"/>
  <c r="S44" i="99"/>
  <c r="R44" i="99"/>
  <c r="Q44" i="99"/>
  <c r="P44" i="99"/>
  <c r="O44" i="99"/>
  <c r="N44" i="99"/>
  <c r="M44" i="99"/>
  <c r="L44" i="99"/>
  <c r="K44" i="99"/>
  <c r="J44" i="99"/>
  <c r="I44" i="99"/>
  <c r="H44" i="99"/>
  <c r="G44" i="99"/>
  <c r="F44" i="99"/>
  <c r="E44" i="99"/>
  <c r="D44" i="99"/>
  <c r="AF43" i="99"/>
  <c r="AE43" i="99"/>
  <c r="AD43" i="99"/>
  <c r="AC43" i="99"/>
  <c r="AB43" i="99"/>
  <c r="AA43" i="99"/>
  <c r="Z43" i="99"/>
  <c r="Y43" i="99"/>
  <c r="X43" i="99"/>
  <c r="W43" i="99"/>
  <c r="V43" i="99"/>
  <c r="U43" i="99"/>
  <c r="T43" i="99"/>
  <c r="S43" i="99"/>
  <c r="R43" i="99"/>
  <c r="Q43" i="99"/>
  <c r="P43" i="99"/>
  <c r="O43" i="99"/>
  <c r="N43" i="99"/>
  <c r="M43" i="99"/>
  <c r="L43" i="99"/>
  <c r="K43" i="99"/>
  <c r="J43" i="99"/>
  <c r="I43" i="99"/>
  <c r="H43" i="99"/>
  <c r="G43" i="99"/>
  <c r="F43" i="99"/>
  <c r="E43" i="99"/>
  <c r="D43" i="99"/>
  <c r="AF40" i="99"/>
  <c r="AE40" i="99"/>
  <c r="AD40" i="99"/>
  <c r="AC40" i="99"/>
  <c r="AB40" i="99"/>
  <c r="AA40" i="99"/>
  <c r="Z40" i="99"/>
  <c r="Y40" i="99"/>
  <c r="X40" i="99"/>
  <c r="W40" i="99"/>
  <c r="V40" i="99"/>
  <c r="U40" i="99"/>
  <c r="T40" i="99"/>
  <c r="S40" i="99"/>
  <c r="R40" i="99"/>
  <c r="Q40" i="99"/>
  <c r="P40" i="99"/>
  <c r="O40" i="99"/>
  <c r="N40" i="99"/>
  <c r="M40" i="99"/>
  <c r="L40" i="99"/>
  <c r="K40" i="99"/>
  <c r="J40" i="99"/>
  <c r="I40" i="99"/>
  <c r="H40" i="99"/>
  <c r="G40" i="99"/>
  <c r="F40" i="99"/>
  <c r="E40" i="99"/>
  <c r="D40" i="99"/>
  <c r="AF39" i="99"/>
  <c r="AE39" i="99"/>
  <c r="AD39" i="99"/>
  <c r="AC39" i="99"/>
  <c r="AB39" i="99"/>
  <c r="AA39" i="99"/>
  <c r="Z39" i="99"/>
  <c r="Y39" i="99"/>
  <c r="X39" i="99"/>
  <c r="W39" i="99"/>
  <c r="V39" i="99"/>
  <c r="U39" i="99"/>
  <c r="T39" i="99"/>
  <c r="S39" i="99"/>
  <c r="R39" i="99"/>
  <c r="Q39" i="99"/>
  <c r="P39" i="99"/>
  <c r="O39" i="99"/>
  <c r="N39" i="99"/>
  <c r="M39" i="99"/>
  <c r="L39" i="99"/>
  <c r="K39" i="99"/>
  <c r="J39" i="99"/>
  <c r="I39" i="99"/>
  <c r="H39" i="99"/>
  <c r="G39" i="99"/>
  <c r="F39" i="99"/>
  <c r="E39" i="99"/>
  <c r="D39" i="99"/>
  <c r="AF38" i="99"/>
  <c r="AE38" i="99"/>
  <c r="AD38" i="99"/>
  <c r="AC38" i="99"/>
  <c r="AB38" i="99"/>
  <c r="AA38" i="99"/>
  <c r="Z38" i="99"/>
  <c r="Y38" i="99"/>
  <c r="X38" i="99"/>
  <c r="W38" i="99"/>
  <c r="V38" i="99"/>
  <c r="U38" i="99"/>
  <c r="T38" i="99"/>
  <c r="S38" i="99"/>
  <c r="R38" i="99"/>
  <c r="Q38" i="99"/>
  <c r="P38" i="99"/>
  <c r="O38" i="99"/>
  <c r="N38" i="99"/>
  <c r="M38" i="99"/>
  <c r="L38" i="99"/>
  <c r="K38" i="99"/>
  <c r="J38" i="99"/>
  <c r="I38" i="99"/>
  <c r="H38" i="99"/>
  <c r="G38" i="99"/>
  <c r="F38" i="99"/>
  <c r="E38" i="99"/>
  <c r="D38" i="99"/>
  <c r="AF37" i="99"/>
  <c r="AE37" i="99"/>
  <c r="AD37" i="99"/>
  <c r="AC37" i="99"/>
  <c r="AB37" i="99"/>
  <c r="AA37" i="99"/>
  <c r="Z37" i="99"/>
  <c r="Y37" i="99"/>
  <c r="X37" i="99"/>
  <c r="W37" i="99"/>
  <c r="V37" i="99"/>
  <c r="U37" i="99"/>
  <c r="T37" i="99"/>
  <c r="S37" i="99"/>
  <c r="R37" i="99"/>
  <c r="Q37" i="99"/>
  <c r="P37" i="99"/>
  <c r="O37" i="99"/>
  <c r="N37" i="99"/>
  <c r="M37" i="99"/>
  <c r="L37" i="99"/>
  <c r="K37" i="99"/>
  <c r="J37" i="99"/>
  <c r="I37" i="99"/>
  <c r="H37" i="99"/>
  <c r="G37" i="99"/>
  <c r="F37" i="99"/>
  <c r="E37" i="99"/>
  <c r="D37" i="99"/>
  <c r="AF36" i="99"/>
  <c r="AE36" i="99"/>
  <c r="AD36" i="99"/>
  <c r="AC36" i="99"/>
  <c r="AB36" i="99"/>
  <c r="AA36" i="99"/>
  <c r="Z36" i="99"/>
  <c r="Y36" i="99"/>
  <c r="X36" i="99"/>
  <c r="W36" i="99"/>
  <c r="V36" i="99"/>
  <c r="U36" i="99"/>
  <c r="T36" i="99"/>
  <c r="S36" i="99"/>
  <c r="R36" i="99"/>
  <c r="Q36" i="99"/>
  <c r="P36" i="99"/>
  <c r="O36" i="99"/>
  <c r="N36" i="99"/>
  <c r="M36" i="99"/>
  <c r="L36" i="99"/>
  <c r="K36" i="99"/>
  <c r="J36" i="99"/>
  <c r="I36" i="99"/>
  <c r="H36" i="99"/>
  <c r="G36" i="99"/>
  <c r="F36" i="99"/>
  <c r="E36" i="99"/>
  <c r="D36" i="99"/>
  <c r="AF35" i="99"/>
  <c r="AE35" i="99"/>
  <c r="AD35" i="99"/>
  <c r="AC35" i="99"/>
  <c r="AB35" i="99"/>
  <c r="AA35" i="99"/>
  <c r="Z35" i="99"/>
  <c r="Y35" i="99"/>
  <c r="X35" i="99"/>
  <c r="W35" i="99"/>
  <c r="V35" i="99"/>
  <c r="U35" i="99"/>
  <c r="T35" i="99"/>
  <c r="S35" i="99"/>
  <c r="R35" i="99"/>
  <c r="Q35" i="99"/>
  <c r="P35" i="99"/>
  <c r="O35" i="99"/>
  <c r="N35" i="99"/>
  <c r="M35" i="99"/>
  <c r="L35" i="99"/>
  <c r="K35" i="99"/>
  <c r="J35" i="99"/>
  <c r="I35" i="99"/>
  <c r="H35" i="99"/>
  <c r="G35" i="99"/>
  <c r="F35" i="99"/>
  <c r="E35" i="99"/>
  <c r="D35" i="99"/>
  <c r="AF34" i="99"/>
  <c r="AE34" i="99"/>
  <c r="AD34" i="99"/>
  <c r="AC34" i="99"/>
  <c r="AB34" i="99"/>
  <c r="AA34" i="99"/>
  <c r="Z34" i="99"/>
  <c r="Y34" i="99"/>
  <c r="X34" i="99"/>
  <c r="W34" i="99"/>
  <c r="V34" i="99"/>
  <c r="U34" i="99"/>
  <c r="T34" i="99"/>
  <c r="S34" i="99"/>
  <c r="R34" i="99"/>
  <c r="Q34" i="99"/>
  <c r="P34" i="99"/>
  <c r="O34" i="99"/>
  <c r="N34" i="99"/>
  <c r="M34" i="99"/>
  <c r="L34" i="99"/>
  <c r="K34" i="99"/>
  <c r="J34" i="99"/>
  <c r="I34" i="99"/>
  <c r="H34" i="99"/>
  <c r="G34" i="99"/>
  <c r="F34" i="99"/>
  <c r="E34" i="99"/>
  <c r="D34" i="99"/>
  <c r="AF33" i="99"/>
  <c r="AE33" i="99"/>
  <c r="AD33" i="99"/>
  <c r="AC33" i="99"/>
  <c r="AB33" i="99"/>
  <c r="AA33" i="99"/>
  <c r="Z33" i="99"/>
  <c r="Y33" i="99"/>
  <c r="X33" i="99"/>
  <c r="W33" i="99"/>
  <c r="V33" i="99"/>
  <c r="U33" i="99"/>
  <c r="T33" i="99"/>
  <c r="S33" i="99"/>
  <c r="R33" i="99"/>
  <c r="Q33" i="99"/>
  <c r="P33" i="99"/>
  <c r="O33" i="99"/>
  <c r="N33" i="99"/>
  <c r="M33" i="99"/>
  <c r="L33" i="99"/>
  <c r="K33" i="99"/>
  <c r="J33" i="99"/>
  <c r="I33" i="99"/>
  <c r="H33" i="99"/>
  <c r="G33" i="99"/>
  <c r="F33" i="99"/>
  <c r="E33" i="99"/>
  <c r="D33" i="99"/>
  <c r="AF31" i="99"/>
  <c r="AE31" i="99"/>
  <c r="AD31" i="99"/>
  <c r="AC31" i="99"/>
  <c r="AB31" i="99"/>
  <c r="AA31" i="99"/>
  <c r="Z31" i="99"/>
  <c r="Y31" i="99"/>
  <c r="X31" i="99"/>
  <c r="W31" i="99"/>
  <c r="V31" i="99"/>
  <c r="U31" i="99"/>
  <c r="T31" i="99"/>
  <c r="S31" i="99"/>
  <c r="R31" i="99"/>
  <c r="Q31" i="99"/>
  <c r="P31" i="99"/>
  <c r="O31" i="99"/>
  <c r="N31" i="99"/>
  <c r="M31" i="99"/>
  <c r="L31" i="99"/>
  <c r="K31" i="99"/>
  <c r="J31" i="99"/>
  <c r="I31" i="99"/>
  <c r="H31" i="99"/>
  <c r="G31" i="99"/>
  <c r="F31" i="99"/>
  <c r="E31" i="99"/>
  <c r="D31" i="99"/>
  <c r="AF30" i="99"/>
  <c r="AE30" i="99"/>
  <c r="AD30" i="99"/>
  <c r="AC30" i="99"/>
  <c r="AB30" i="99"/>
  <c r="AA30" i="99"/>
  <c r="Z30" i="99"/>
  <c r="Y30" i="99"/>
  <c r="X30" i="99"/>
  <c r="W30" i="99"/>
  <c r="V30" i="99"/>
  <c r="U30" i="99"/>
  <c r="T30" i="99"/>
  <c r="S30" i="99"/>
  <c r="R30" i="99"/>
  <c r="Q30" i="99"/>
  <c r="P30" i="99"/>
  <c r="O30" i="99"/>
  <c r="N30" i="99"/>
  <c r="M30" i="99"/>
  <c r="L30" i="99"/>
  <c r="K30" i="99"/>
  <c r="J30" i="99"/>
  <c r="I30" i="99"/>
  <c r="H30" i="99"/>
  <c r="G30" i="99"/>
  <c r="F30" i="99"/>
  <c r="E30" i="99"/>
  <c r="D30" i="99"/>
  <c r="AF29" i="99"/>
  <c r="AE29" i="99"/>
  <c r="AD29" i="99"/>
  <c r="AC29" i="99"/>
  <c r="AB29" i="99"/>
  <c r="AA29" i="99"/>
  <c r="Z29" i="99"/>
  <c r="Y29" i="99"/>
  <c r="X29" i="99"/>
  <c r="W29" i="99"/>
  <c r="V29" i="99"/>
  <c r="U29" i="99"/>
  <c r="T29" i="99"/>
  <c r="S29" i="99"/>
  <c r="R29" i="99"/>
  <c r="Q29" i="99"/>
  <c r="P29" i="99"/>
  <c r="O29" i="99"/>
  <c r="N29" i="99"/>
  <c r="M29" i="99"/>
  <c r="L29" i="99"/>
  <c r="K29" i="99"/>
  <c r="J29" i="99"/>
  <c r="I29" i="99"/>
  <c r="H29" i="99"/>
  <c r="G29" i="99"/>
  <c r="F29" i="99"/>
  <c r="E29" i="99"/>
  <c r="D29" i="99"/>
  <c r="AF28" i="99"/>
  <c r="AE28" i="99"/>
  <c r="AD28" i="99"/>
  <c r="AC28" i="99"/>
  <c r="AB28" i="99"/>
  <c r="AA28" i="99"/>
  <c r="Z28" i="99"/>
  <c r="Y28" i="99"/>
  <c r="X28" i="99"/>
  <c r="W28" i="99"/>
  <c r="V28" i="99"/>
  <c r="U28" i="99"/>
  <c r="T28" i="99"/>
  <c r="S28" i="99"/>
  <c r="R28" i="99"/>
  <c r="Q28" i="99"/>
  <c r="P28" i="99"/>
  <c r="O28" i="99"/>
  <c r="N28" i="99"/>
  <c r="M28" i="99"/>
  <c r="L28" i="99"/>
  <c r="K28" i="99"/>
  <c r="J28" i="99"/>
  <c r="I28" i="99"/>
  <c r="H28" i="99"/>
  <c r="G28" i="99"/>
  <c r="F28" i="99"/>
  <c r="E28" i="99"/>
  <c r="D28" i="99"/>
  <c r="AF27" i="99"/>
  <c r="AE27" i="99"/>
  <c r="AD27" i="99"/>
  <c r="AC27" i="99"/>
  <c r="AB27" i="99"/>
  <c r="AA27" i="99"/>
  <c r="Z27" i="99"/>
  <c r="Y27" i="99"/>
  <c r="X27" i="99"/>
  <c r="W27" i="99"/>
  <c r="V27" i="99"/>
  <c r="U27" i="99"/>
  <c r="T27" i="99"/>
  <c r="S27" i="99"/>
  <c r="R27" i="99"/>
  <c r="Q27" i="99"/>
  <c r="P27" i="99"/>
  <c r="O27" i="99"/>
  <c r="N27" i="99"/>
  <c r="M27" i="99"/>
  <c r="L27" i="99"/>
  <c r="K27" i="99"/>
  <c r="J27" i="99"/>
  <c r="I27" i="99"/>
  <c r="H27" i="99"/>
  <c r="G27" i="99"/>
  <c r="F27" i="99"/>
  <c r="E27" i="99"/>
  <c r="D27" i="99"/>
  <c r="AF26" i="99"/>
  <c r="AE26" i="99"/>
  <c r="AD26" i="99"/>
  <c r="AC26" i="99"/>
  <c r="AB26" i="99"/>
  <c r="AA26" i="99"/>
  <c r="Z26" i="99"/>
  <c r="Y26" i="99"/>
  <c r="X26" i="99"/>
  <c r="W26" i="99"/>
  <c r="V26" i="99"/>
  <c r="U26" i="99"/>
  <c r="T26" i="99"/>
  <c r="S26" i="99"/>
  <c r="R26" i="99"/>
  <c r="Q26" i="99"/>
  <c r="P26" i="99"/>
  <c r="O26" i="99"/>
  <c r="N26" i="99"/>
  <c r="M26" i="99"/>
  <c r="L26" i="99"/>
  <c r="K26" i="99"/>
  <c r="J26" i="99"/>
  <c r="I26" i="99"/>
  <c r="H26" i="99"/>
  <c r="G26" i="99"/>
  <c r="F26" i="99"/>
  <c r="E26" i="99"/>
  <c r="D26" i="99"/>
  <c r="AF25" i="99"/>
  <c r="AE25" i="99"/>
  <c r="AD25" i="99"/>
  <c r="AC25" i="99"/>
  <c r="AB25" i="99"/>
  <c r="AA25" i="99"/>
  <c r="Z25" i="99"/>
  <c r="Y25" i="99"/>
  <c r="X25" i="99"/>
  <c r="W25" i="99"/>
  <c r="V25" i="99"/>
  <c r="U25" i="99"/>
  <c r="T25" i="99"/>
  <c r="S25" i="99"/>
  <c r="R25" i="99"/>
  <c r="Q25" i="99"/>
  <c r="P25" i="99"/>
  <c r="O25" i="99"/>
  <c r="N25" i="99"/>
  <c r="M25" i="99"/>
  <c r="L25" i="99"/>
  <c r="K25" i="99"/>
  <c r="J25" i="99"/>
  <c r="I25" i="99"/>
  <c r="H25" i="99"/>
  <c r="G25" i="99"/>
  <c r="F25" i="99"/>
  <c r="E25" i="99"/>
  <c r="D25" i="99"/>
  <c r="AF24" i="99"/>
  <c r="AE24" i="99"/>
  <c r="AD24" i="99"/>
  <c r="AC24" i="99"/>
  <c r="AB24" i="99"/>
  <c r="AA24" i="99"/>
  <c r="Z24" i="99"/>
  <c r="Y24" i="99"/>
  <c r="X24" i="99"/>
  <c r="W24" i="99"/>
  <c r="V24" i="99"/>
  <c r="U24" i="99"/>
  <c r="T24" i="99"/>
  <c r="S24" i="99"/>
  <c r="R24" i="99"/>
  <c r="Q24" i="99"/>
  <c r="P24" i="99"/>
  <c r="O24" i="99"/>
  <c r="N24" i="99"/>
  <c r="M24" i="99"/>
  <c r="L24" i="99"/>
  <c r="K24" i="99"/>
  <c r="J24" i="99"/>
  <c r="I24" i="99"/>
  <c r="H24" i="99"/>
  <c r="G24" i="99"/>
  <c r="F24" i="99"/>
  <c r="E24" i="99"/>
  <c r="D24" i="99"/>
  <c r="AF22" i="99"/>
  <c r="AE22" i="99"/>
  <c r="AD22" i="99"/>
  <c r="AC22" i="99"/>
  <c r="AB22" i="99"/>
  <c r="AA22" i="99"/>
  <c r="Z22" i="99"/>
  <c r="Y22" i="99"/>
  <c r="X22" i="99"/>
  <c r="W22" i="99"/>
  <c r="V22" i="99"/>
  <c r="U22" i="99"/>
  <c r="T22" i="99"/>
  <c r="S22" i="99"/>
  <c r="R22" i="99"/>
  <c r="Q22" i="99"/>
  <c r="P22" i="99"/>
  <c r="O22" i="99"/>
  <c r="N22" i="99"/>
  <c r="M22" i="99"/>
  <c r="L22" i="99"/>
  <c r="K22" i="99"/>
  <c r="J22" i="99"/>
  <c r="I22" i="99"/>
  <c r="H22" i="99"/>
  <c r="G22" i="99"/>
  <c r="F22" i="99"/>
  <c r="E22" i="99"/>
  <c r="D22" i="99"/>
  <c r="AF21" i="99"/>
  <c r="AE21" i="99"/>
  <c r="AD21" i="99"/>
  <c r="AC21" i="99"/>
  <c r="AB21" i="99"/>
  <c r="AA21" i="99"/>
  <c r="Z21" i="99"/>
  <c r="Y21" i="99"/>
  <c r="X21" i="99"/>
  <c r="W21" i="99"/>
  <c r="V21" i="99"/>
  <c r="U21" i="99"/>
  <c r="T21" i="99"/>
  <c r="S21" i="99"/>
  <c r="R21" i="99"/>
  <c r="Q21" i="99"/>
  <c r="P21" i="99"/>
  <c r="O21" i="99"/>
  <c r="N21" i="99"/>
  <c r="M21" i="99"/>
  <c r="L21" i="99"/>
  <c r="K21" i="99"/>
  <c r="J21" i="99"/>
  <c r="I21" i="99"/>
  <c r="H21" i="99"/>
  <c r="G21" i="99"/>
  <c r="F21" i="99"/>
  <c r="E21" i="99"/>
  <c r="D21" i="99"/>
  <c r="AF20" i="99"/>
  <c r="AE20" i="99"/>
  <c r="AD20" i="99"/>
  <c r="AC20" i="99"/>
  <c r="AB20" i="99"/>
  <c r="AA20" i="99"/>
  <c r="Z20" i="99"/>
  <c r="Y20" i="99"/>
  <c r="X20" i="99"/>
  <c r="W20" i="99"/>
  <c r="V20" i="99"/>
  <c r="U20" i="99"/>
  <c r="T20" i="99"/>
  <c r="S20" i="99"/>
  <c r="R20" i="99"/>
  <c r="Q20" i="99"/>
  <c r="P20" i="99"/>
  <c r="O20" i="99"/>
  <c r="N20" i="99"/>
  <c r="M20" i="99"/>
  <c r="L20" i="99"/>
  <c r="K20" i="99"/>
  <c r="J20" i="99"/>
  <c r="I20" i="99"/>
  <c r="H20" i="99"/>
  <c r="G20" i="99"/>
  <c r="F20" i="99"/>
  <c r="E20" i="99"/>
  <c r="D20" i="99"/>
  <c r="AF19" i="99"/>
  <c r="AE19" i="99"/>
  <c r="AD19" i="99"/>
  <c r="AC19" i="99"/>
  <c r="AB19" i="99"/>
  <c r="AA19" i="99"/>
  <c r="Z19" i="99"/>
  <c r="Y19" i="99"/>
  <c r="X19" i="99"/>
  <c r="W19" i="99"/>
  <c r="V19" i="99"/>
  <c r="U19" i="99"/>
  <c r="T19" i="99"/>
  <c r="S19" i="99"/>
  <c r="R19" i="99"/>
  <c r="Q19" i="99"/>
  <c r="P19" i="99"/>
  <c r="O19" i="99"/>
  <c r="N19" i="99"/>
  <c r="M19" i="99"/>
  <c r="L19" i="99"/>
  <c r="K19" i="99"/>
  <c r="J19" i="99"/>
  <c r="I19" i="99"/>
  <c r="H19" i="99"/>
  <c r="G19" i="99"/>
  <c r="F19" i="99"/>
  <c r="E19" i="99"/>
  <c r="D19" i="99"/>
  <c r="AF18" i="99"/>
  <c r="AE18" i="99"/>
  <c r="AD18" i="99"/>
  <c r="AC18" i="99"/>
  <c r="AB18" i="99"/>
  <c r="AA18" i="99"/>
  <c r="Z18" i="99"/>
  <c r="Y18" i="99"/>
  <c r="X18" i="99"/>
  <c r="W18" i="99"/>
  <c r="V18" i="99"/>
  <c r="U18" i="99"/>
  <c r="T18" i="99"/>
  <c r="S18" i="99"/>
  <c r="R18" i="99"/>
  <c r="Q18" i="99"/>
  <c r="P18" i="99"/>
  <c r="O18" i="99"/>
  <c r="N18" i="99"/>
  <c r="M18" i="99"/>
  <c r="L18" i="99"/>
  <c r="K18" i="99"/>
  <c r="J18" i="99"/>
  <c r="I18" i="99"/>
  <c r="H18" i="99"/>
  <c r="G18" i="99"/>
  <c r="F18" i="99"/>
  <c r="E18" i="99"/>
  <c r="D18" i="99"/>
  <c r="AF17" i="99"/>
  <c r="AE17" i="99"/>
  <c r="AD17" i="99"/>
  <c r="AC17" i="99"/>
  <c r="AB17" i="99"/>
  <c r="AA17" i="99"/>
  <c r="Z17" i="99"/>
  <c r="Y17" i="99"/>
  <c r="X17" i="99"/>
  <c r="W17" i="99"/>
  <c r="V17" i="99"/>
  <c r="U17" i="99"/>
  <c r="T17" i="99"/>
  <c r="S17" i="99"/>
  <c r="R17" i="99"/>
  <c r="Q17" i="99"/>
  <c r="P17" i="99"/>
  <c r="O17" i="99"/>
  <c r="N17" i="99"/>
  <c r="M17" i="99"/>
  <c r="L17" i="99"/>
  <c r="K17" i="99"/>
  <c r="J17" i="99"/>
  <c r="I17" i="99"/>
  <c r="H17" i="99"/>
  <c r="G17" i="99"/>
  <c r="F17" i="99"/>
  <c r="E17" i="99"/>
  <c r="D17" i="99"/>
  <c r="AF16" i="99"/>
  <c r="AE16" i="99"/>
  <c r="AD16" i="99"/>
  <c r="AC16" i="99"/>
  <c r="AB16" i="99"/>
  <c r="AA16" i="99"/>
  <c r="Z16" i="99"/>
  <c r="Y16" i="99"/>
  <c r="X16" i="99"/>
  <c r="W16" i="99"/>
  <c r="V16" i="99"/>
  <c r="U16" i="99"/>
  <c r="T16" i="99"/>
  <c r="S16" i="99"/>
  <c r="R16" i="99"/>
  <c r="Q16" i="99"/>
  <c r="P16" i="99"/>
  <c r="O16" i="99"/>
  <c r="N16" i="99"/>
  <c r="M16" i="99"/>
  <c r="L16" i="99"/>
  <c r="K16" i="99"/>
  <c r="J16" i="99"/>
  <c r="I16" i="99"/>
  <c r="H16" i="99"/>
  <c r="G16" i="99"/>
  <c r="F16" i="99"/>
  <c r="E16" i="99"/>
  <c r="D16" i="99"/>
  <c r="AF15" i="99"/>
  <c r="AE15" i="99"/>
  <c r="AD15" i="99"/>
  <c r="AC15" i="99"/>
  <c r="AB15" i="99"/>
  <c r="AA15" i="99"/>
  <c r="Z15" i="99"/>
  <c r="Y15" i="99"/>
  <c r="X15" i="99"/>
  <c r="W15" i="99"/>
  <c r="V15" i="99"/>
  <c r="U15" i="99"/>
  <c r="T15" i="99"/>
  <c r="S15" i="99"/>
  <c r="R15" i="99"/>
  <c r="Q15" i="99"/>
  <c r="P15" i="99"/>
  <c r="O15" i="99"/>
  <c r="N15" i="99"/>
  <c r="M15" i="99"/>
  <c r="L15" i="99"/>
  <c r="K15" i="99"/>
  <c r="J15" i="99"/>
  <c r="I15" i="99"/>
  <c r="H15" i="99"/>
  <c r="G15" i="99"/>
  <c r="F15" i="99"/>
  <c r="E15" i="99"/>
  <c r="D15" i="99"/>
  <c r="C116" i="99"/>
  <c r="C114" i="99"/>
  <c r="C113" i="99"/>
  <c r="C110" i="99"/>
  <c r="C111" i="99"/>
  <c r="C109" i="99"/>
  <c r="C71" i="99"/>
  <c r="C72" i="99"/>
  <c r="C73" i="99"/>
  <c r="C74" i="99"/>
  <c r="C75" i="99"/>
  <c r="C76" i="99"/>
  <c r="C77" i="99"/>
  <c r="C78" i="99"/>
  <c r="C79" i="99"/>
  <c r="C80" i="99"/>
  <c r="C81" i="99"/>
  <c r="C82" i="99"/>
  <c r="C83" i="99"/>
  <c r="C84" i="99"/>
  <c r="C85" i="99"/>
  <c r="C86" i="99"/>
  <c r="C87" i="99"/>
  <c r="C88" i="99"/>
  <c r="C89" i="99"/>
  <c r="C90" i="99"/>
  <c r="C91" i="99"/>
  <c r="C92" i="99"/>
  <c r="C93" i="99"/>
  <c r="C94" i="99"/>
  <c r="C95" i="99"/>
  <c r="C96" i="99"/>
  <c r="C97" i="99"/>
  <c r="C98" i="99"/>
  <c r="C99" i="99"/>
  <c r="C100" i="99"/>
  <c r="C101" i="99"/>
  <c r="C102" i="99"/>
  <c r="C103" i="99"/>
  <c r="C104" i="99"/>
  <c r="C105" i="99"/>
  <c r="C106" i="99"/>
  <c r="C107" i="99"/>
  <c r="C70" i="99"/>
  <c r="C66" i="99"/>
  <c r="C67" i="99"/>
  <c r="C68" i="99"/>
  <c r="C65" i="99"/>
  <c r="C62" i="99"/>
  <c r="C63" i="99"/>
  <c r="C61" i="99"/>
  <c r="C56" i="99"/>
  <c r="C57" i="99"/>
  <c r="C58" i="99"/>
  <c r="C59" i="99"/>
  <c r="C55" i="99"/>
  <c r="C50" i="99"/>
  <c r="C51" i="99"/>
  <c r="C52" i="99"/>
  <c r="C53" i="99"/>
  <c r="C49" i="99"/>
  <c r="C44" i="99"/>
  <c r="C45" i="99"/>
  <c r="C46" i="99"/>
  <c r="C47" i="99"/>
  <c r="C43" i="99"/>
  <c r="C40" i="99"/>
  <c r="C34" i="99"/>
  <c r="C35" i="99"/>
  <c r="C36" i="99"/>
  <c r="C37" i="99"/>
  <c r="C38" i="99"/>
  <c r="C39" i="99"/>
  <c r="C33" i="99"/>
  <c r="C25" i="99"/>
  <c r="C26" i="99"/>
  <c r="C27" i="99"/>
  <c r="C28" i="99"/>
  <c r="C29" i="99"/>
  <c r="C30" i="99"/>
  <c r="C31" i="99"/>
  <c r="C24" i="99"/>
  <c r="C16" i="99"/>
  <c r="C17" i="99"/>
  <c r="C18" i="99"/>
  <c r="C19" i="99"/>
  <c r="C20" i="99"/>
  <c r="C21" i="99"/>
  <c r="C22" i="99"/>
  <c r="C15" i="99"/>
  <c r="AD4" i="7" l="1"/>
  <c r="U4" i="7"/>
  <c r="C4" i="7"/>
  <c r="S4" i="7"/>
  <c r="K4" i="7"/>
  <c r="Q4" i="7"/>
  <c r="P4" i="7"/>
  <c r="AC4" i="7"/>
  <c r="AB4" i="7"/>
  <c r="I4" i="7"/>
  <c r="X4" i="7"/>
  <c r="W4" i="7"/>
  <c r="G4" i="7"/>
  <c r="R4" i="7"/>
  <c r="T4" i="7"/>
  <c r="O4" i="7"/>
  <c r="E4" i="7"/>
  <c r="H4" i="7"/>
  <c r="AA4" i="7"/>
  <c r="J4" i="7"/>
  <c r="Y4" i="7"/>
  <c r="Z4" i="7"/>
  <c r="F4" i="7"/>
  <c r="AE6" i="41"/>
  <c r="AD6" i="41"/>
  <c r="AC6" i="41"/>
  <c r="AB6" i="41"/>
  <c r="AA6" i="41"/>
  <c r="AA4" i="41" s="1"/>
  <c r="Z6" i="41"/>
  <c r="Z4" i="41" s="1"/>
  <c r="Y6" i="41"/>
  <c r="Y4" i="41" s="1"/>
  <c r="X6" i="41"/>
  <c r="W6" i="41"/>
  <c r="V6" i="41"/>
  <c r="U6" i="41"/>
  <c r="T6" i="41"/>
  <c r="S6" i="41"/>
  <c r="S4" i="41" s="1"/>
  <c r="R6" i="41"/>
  <c r="R4" i="41" s="1"/>
  <c r="Q6" i="41"/>
  <c r="Q4" i="41" s="1"/>
  <c r="P6" i="41"/>
  <c r="O6" i="41"/>
  <c r="O4" i="41" s="1"/>
  <c r="N6" i="41"/>
  <c r="N4" i="41" s="1"/>
  <c r="M6" i="41"/>
  <c r="M4" i="41" s="1"/>
  <c r="L6" i="41"/>
  <c r="L4" i="41" s="1"/>
  <c r="K6" i="41"/>
  <c r="J6" i="41"/>
  <c r="J4" i="41" s="1"/>
  <c r="I6" i="41"/>
  <c r="I4" i="41" s="1"/>
  <c r="H6" i="41"/>
  <c r="H4" i="41" s="1"/>
  <c r="G6" i="41"/>
  <c r="F6" i="41"/>
  <c r="E6" i="41"/>
  <c r="D6" i="41"/>
  <c r="C6" i="41"/>
  <c r="B6" i="41"/>
  <c r="B4" i="41" s="1"/>
  <c r="AE4" i="41"/>
  <c r="AD4" i="41"/>
  <c r="AC4" i="41"/>
  <c r="AB4" i="41"/>
  <c r="X4" i="41"/>
  <c r="W4" i="41"/>
  <c r="V4" i="41"/>
  <c r="U4" i="41"/>
  <c r="T4" i="41"/>
  <c r="P4" i="41"/>
  <c r="K4" i="41"/>
  <c r="G4" i="41"/>
  <c r="F4" i="41"/>
  <c r="E4" i="41"/>
  <c r="D4" i="41"/>
  <c r="C4" i="41"/>
  <c r="AE4" i="28"/>
  <c r="AD4" i="28"/>
  <c r="AC4" i="28"/>
  <c r="AB4" i="28"/>
  <c r="AA4" i="28"/>
  <c r="Z4" i="28"/>
  <c r="Y4" i="28"/>
  <c r="X4" i="28"/>
  <c r="T4" i="28"/>
  <c r="O4" i="28"/>
  <c r="N4" i="28"/>
  <c r="J4" i="28"/>
  <c r="I4" i="28"/>
  <c r="H4" i="28"/>
  <c r="G4" i="28"/>
  <c r="F4" i="28"/>
  <c r="E4" i="28"/>
  <c r="D4" i="28"/>
  <c r="W4" i="28"/>
  <c r="V4" i="28"/>
  <c r="U4" i="28"/>
  <c r="S4" i="28"/>
  <c r="R4" i="28"/>
  <c r="Q4" i="28"/>
  <c r="P4" i="28"/>
  <c r="M4" i="28"/>
  <c r="L4" i="28"/>
  <c r="K4" i="28"/>
  <c r="C4" i="28"/>
  <c r="B4" i="28"/>
  <c r="B4" i="21"/>
  <c r="C4" i="21"/>
  <c r="D4" i="21"/>
  <c r="E4" i="21"/>
  <c r="F4" i="21"/>
  <c r="G4" i="21"/>
  <c r="H4" i="21"/>
  <c r="I4" i="21"/>
  <c r="J4" i="21"/>
  <c r="K4" i="21"/>
  <c r="L4" i="21"/>
  <c r="M4" i="21"/>
  <c r="N4" i="21"/>
  <c r="O4" i="21"/>
  <c r="P4" i="21"/>
  <c r="Q4" i="21"/>
  <c r="R4" i="21"/>
  <c r="S4" i="21"/>
  <c r="T4" i="21"/>
  <c r="U4" i="21"/>
  <c r="V4" i="21"/>
  <c r="W4" i="21"/>
  <c r="X4" i="21"/>
  <c r="Y4" i="21"/>
  <c r="Z4" i="21"/>
  <c r="AA4" i="21"/>
  <c r="AB4" i="21"/>
  <c r="AC4" i="21"/>
  <c r="AD4" i="21"/>
  <c r="AE4" i="21"/>
  <c r="C4" i="14"/>
  <c r="D4" i="14"/>
  <c r="E4" i="14"/>
  <c r="I4" i="14"/>
  <c r="J4" i="14"/>
  <c r="K4" i="14"/>
  <c r="L4" i="14"/>
  <c r="M4" i="14"/>
  <c r="Q4" i="14"/>
  <c r="R4" i="14"/>
  <c r="S4" i="14"/>
  <c r="T4" i="14"/>
  <c r="U4" i="14"/>
  <c r="V4" i="14"/>
  <c r="W4" i="14"/>
  <c r="X4" i="14"/>
  <c r="Y4" i="14"/>
  <c r="Z4" i="14"/>
  <c r="AA4" i="14"/>
  <c r="AB4" i="14"/>
  <c r="AC4" i="14"/>
  <c r="AD4" i="14"/>
  <c r="AE4" i="14"/>
  <c r="F4" i="14"/>
  <c r="G4" i="14"/>
  <c r="H4" i="14"/>
  <c r="N4" i="14"/>
  <c r="O4" i="14"/>
  <c r="P4" i="14"/>
  <c r="B4" i="14"/>
  <c r="G4" i="5"/>
  <c r="H4" i="5"/>
  <c r="P4" i="5"/>
  <c r="X4" i="5"/>
  <c r="AE4" i="5"/>
  <c r="B4" i="5"/>
  <c r="C4" i="5"/>
  <c r="D4" i="5"/>
  <c r="E4" i="5"/>
  <c r="F4" i="5"/>
  <c r="I4" i="5"/>
  <c r="J4" i="5"/>
  <c r="K4" i="5"/>
  <c r="L4" i="5"/>
  <c r="M4" i="5"/>
  <c r="N4" i="5"/>
  <c r="O4" i="5"/>
  <c r="Q4" i="5"/>
  <c r="R4" i="5"/>
  <c r="S4" i="5"/>
  <c r="T4" i="5"/>
  <c r="U4" i="5"/>
  <c r="V4" i="5"/>
  <c r="W4" i="5"/>
  <c r="Y4" i="5"/>
  <c r="Z4" i="5"/>
  <c r="AA4" i="5"/>
  <c r="AB4" i="5"/>
  <c r="AC4" i="5"/>
  <c r="AD4" i="5"/>
  <c r="B1" i="49" l="1"/>
  <c r="C1" i="49"/>
  <c r="D1" i="49"/>
  <c r="E1" i="49"/>
  <c r="F1" i="49"/>
  <c r="G1" i="49"/>
  <c r="H1" i="49"/>
  <c r="I1" i="49"/>
  <c r="J1" i="49"/>
  <c r="K1" i="49"/>
  <c r="L1" i="49"/>
  <c r="M1" i="49"/>
  <c r="N1" i="49"/>
  <c r="O1" i="49"/>
  <c r="P1" i="49"/>
  <c r="Q1" i="49"/>
  <c r="R1" i="49"/>
  <c r="S1" i="49"/>
  <c r="T1" i="49"/>
  <c r="U1" i="49"/>
  <c r="V1" i="49"/>
  <c r="W1" i="49"/>
  <c r="X1" i="49"/>
  <c r="Y1" i="49"/>
  <c r="Z1" i="49"/>
  <c r="AA1" i="49"/>
  <c r="AB1" i="49"/>
  <c r="AC1" i="49"/>
  <c r="AD1" i="49"/>
  <c r="C1" i="47"/>
  <c r="D1" i="47"/>
  <c r="E1" i="47"/>
  <c r="F1" i="47"/>
  <c r="G1" i="47"/>
  <c r="H1" i="47"/>
  <c r="I1" i="47"/>
  <c r="J1" i="47"/>
  <c r="K1" i="47"/>
  <c r="L1" i="47"/>
  <c r="M1" i="47"/>
  <c r="N1" i="47"/>
  <c r="O1" i="47"/>
  <c r="P1" i="47"/>
  <c r="Q1" i="47"/>
  <c r="R1" i="47"/>
  <c r="S1" i="47"/>
  <c r="T1" i="47"/>
  <c r="U1" i="47"/>
  <c r="V1" i="47"/>
  <c r="W1" i="47"/>
  <c r="X1" i="47"/>
  <c r="Y1" i="47"/>
  <c r="Z1" i="47"/>
  <c r="AA1" i="47"/>
  <c r="AB1" i="47"/>
  <c r="AC1" i="47"/>
  <c r="AD1" i="47"/>
  <c r="AE1" i="47"/>
  <c r="B1" i="47"/>
  <c r="Q29" i="10" l="1"/>
  <c r="O29" i="10"/>
  <c r="N29" i="10"/>
  <c r="G29" i="10"/>
  <c r="F29" i="10"/>
  <c r="W29" i="10"/>
  <c r="V29" i="10"/>
  <c r="D12" i="10"/>
  <c r="D7" i="10"/>
  <c r="D14" i="10"/>
  <c r="D8" i="10"/>
  <c r="D9" i="10"/>
  <c r="D13" i="10"/>
  <c r="D10" i="10"/>
  <c r="D11" i="10"/>
  <c r="U1" i="29"/>
  <c r="U1" i="15"/>
  <c r="U1" i="30"/>
  <c r="U1" i="22"/>
  <c r="U1" i="6"/>
  <c r="U1" i="23"/>
  <c r="U1" i="42"/>
  <c r="U1" i="48" s="1"/>
  <c r="Z1" i="29"/>
  <c r="Z1" i="6"/>
  <c r="Z1" i="42"/>
  <c r="Z1" i="48" s="1"/>
  <c r="Z1" i="15"/>
  <c r="Z1" i="23"/>
  <c r="Z1" i="30"/>
  <c r="Z1" i="22"/>
  <c r="D1" i="30"/>
  <c r="D1" i="22"/>
  <c r="D1" i="23"/>
  <c r="D1" i="29"/>
  <c r="D1" i="6"/>
  <c r="D1" i="42"/>
  <c r="D1" i="48" s="1"/>
  <c r="D1" i="15"/>
  <c r="J1" i="29"/>
  <c r="J1" i="6"/>
  <c r="J1" i="30"/>
  <c r="J1" i="22"/>
  <c r="J1" i="42"/>
  <c r="J1" i="48" s="1"/>
  <c r="J1" i="15"/>
  <c r="J1" i="23"/>
  <c r="AC1" i="6"/>
  <c r="AC1" i="30"/>
  <c r="AC1" i="22"/>
  <c r="AC1" i="29"/>
  <c r="AC1" i="15"/>
  <c r="AC1" i="42"/>
  <c r="AC1" i="48" s="1"/>
  <c r="AC1" i="23"/>
  <c r="E1" i="6"/>
  <c r="E1" i="30"/>
  <c r="E1" i="22"/>
  <c r="E1" i="23"/>
  <c r="E1" i="29"/>
  <c r="E1" i="42"/>
  <c r="E1" i="48" s="1"/>
  <c r="E1" i="15"/>
  <c r="AB1" i="30"/>
  <c r="AB1" i="22"/>
  <c r="AB1" i="23"/>
  <c r="AB1" i="29"/>
  <c r="AB1" i="6"/>
  <c r="AB1" i="42"/>
  <c r="AB1" i="48" s="1"/>
  <c r="AB1" i="15"/>
  <c r="L1" i="30"/>
  <c r="L1" i="22"/>
  <c r="L1" i="29"/>
  <c r="L1" i="6"/>
  <c r="L1" i="42"/>
  <c r="L1" i="48" s="1"/>
  <c r="L1" i="15"/>
  <c r="L1" i="23"/>
  <c r="AA1" i="29"/>
  <c r="AA1" i="6"/>
  <c r="AA1" i="15"/>
  <c r="AA1" i="42"/>
  <c r="AA1" i="48" s="1"/>
  <c r="AA1" i="23"/>
  <c r="AA1" i="30"/>
  <c r="AA1" i="22"/>
  <c r="K1" i="15"/>
  <c r="K1" i="23"/>
  <c r="K1" i="30"/>
  <c r="K1" i="29"/>
  <c r="K1" i="6"/>
  <c r="K1" i="42"/>
  <c r="K1" i="48" s="1"/>
  <c r="K1" i="22"/>
  <c r="AC29" i="10"/>
  <c r="E29" i="10"/>
  <c r="R1" i="29"/>
  <c r="R1" i="6"/>
  <c r="R1" i="30"/>
  <c r="R1" i="22"/>
  <c r="R1" i="42"/>
  <c r="R1" i="48" s="1"/>
  <c r="R1" i="15"/>
  <c r="R1" i="23"/>
  <c r="AB29" i="10"/>
  <c r="L29" i="10"/>
  <c r="Y1" i="23"/>
  <c r="Y1" i="42"/>
  <c r="Y1" i="48" s="1"/>
  <c r="Y1" i="15"/>
  <c r="Y1" i="29"/>
  <c r="Y1" i="30"/>
  <c r="Y1" i="22"/>
  <c r="Y1" i="6"/>
  <c r="I1" i="30"/>
  <c r="I1" i="22"/>
  <c r="I1" i="29"/>
  <c r="I1" i="42"/>
  <c r="I1" i="48" s="1"/>
  <c r="I1" i="15"/>
  <c r="I1" i="23"/>
  <c r="I1" i="6"/>
  <c r="AA29" i="10"/>
  <c r="K29" i="10"/>
  <c r="X1" i="42"/>
  <c r="X1" i="48" s="1"/>
  <c r="X1" i="15"/>
  <c r="X1" i="29"/>
  <c r="X1" i="23"/>
  <c r="X1" i="30"/>
  <c r="X1" i="22"/>
  <c r="X1" i="6"/>
  <c r="H1" i="42"/>
  <c r="H1" i="48" s="1"/>
  <c r="H1" i="15"/>
  <c r="H1" i="23"/>
  <c r="H1" i="29"/>
  <c r="H1" i="30"/>
  <c r="H1" i="22"/>
  <c r="H1" i="6"/>
  <c r="Z29" i="10"/>
  <c r="J29" i="10"/>
  <c r="W1" i="23"/>
  <c r="W1" i="30"/>
  <c r="W1" i="22"/>
  <c r="W1" i="29"/>
  <c r="W1" i="6"/>
  <c r="W1" i="42"/>
  <c r="W1" i="48" s="1"/>
  <c r="W1" i="15"/>
  <c r="O1" i="22"/>
  <c r="O1" i="29"/>
  <c r="O1" i="42"/>
  <c r="O1" i="48" s="1"/>
  <c r="O1" i="23"/>
  <c r="O1" i="6"/>
  <c r="O1" i="30"/>
  <c r="O1" i="15"/>
  <c r="G1" i="30"/>
  <c r="G1" i="6"/>
  <c r="G1" i="23"/>
  <c r="G1" i="22"/>
  <c r="G1" i="42"/>
  <c r="G1" i="48" s="1"/>
  <c r="G1" i="29"/>
  <c r="G1" i="15"/>
  <c r="Y29" i="10"/>
  <c r="I29" i="10"/>
  <c r="M1" i="23"/>
  <c r="M1" i="30"/>
  <c r="M1" i="22"/>
  <c r="M1" i="29"/>
  <c r="M1" i="15"/>
  <c r="M1" i="6"/>
  <c r="M1" i="42"/>
  <c r="M1" i="48" s="1"/>
  <c r="T1" i="30"/>
  <c r="T1" i="22"/>
  <c r="T1" i="23"/>
  <c r="T1" i="29"/>
  <c r="T1" i="6"/>
  <c r="T1" i="42"/>
  <c r="T1" i="48" s="1"/>
  <c r="T1" i="15"/>
  <c r="S1" i="29"/>
  <c r="S1" i="6"/>
  <c r="S1" i="15"/>
  <c r="S1" i="42"/>
  <c r="S1" i="48" s="1"/>
  <c r="S1" i="23"/>
  <c r="S1" i="30"/>
  <c r="S1" i="22"/>
  <c r="C1" i="29"/>
  <c r="C1" i="6"/>
  <c r="C1" i="42"/>
  <c r="C1" i="48" s="1"/>
  <c r="C1" i="15"/>
  <c r="C1" i="23"/>
  <c r="C1" i="30"/>
  <c r="C1" i="22"/>
  <c r="U29" i="10"/>
  <c r="M29" i="10"/>
  <c r="B1" i="29"/>
  <c r="B1" i="6"/>
  <c r="B1" i="42"/>
  <c r="B1" i="48" s="1"/>
  <c r="B1" i="15"/>
  <c r="B1" i="30"/>
  <c r="B1" i="22"/>
  <c r="B1" i="23"/>
  <c r="T29" i="10"/>
  <c r="D29" i="10"/>
  <c r="Q1" i="22"/>
  <c r="Q1" i="42"/>
  <c r="Q1" i="48" s="1"/>
  <c r="Q1" i="15"/>
  <c r="Q1" i="23"/>
  <c r="Q1" i="30"/>
  <c r="Q1" i="29"/>
  <c r="Q1" i="6"/>
  <c r="S29" i="10"/>
  <c r="C29" i="10"/>
  <c r="P1" i="42"/>
  <c r="P1" i="48" s="1"/>
  <c r="P1" i="15"/>
  <c r="P1" i="6"/>
  <c r="P1" i="23"/>
  <c r="P1" i="29"/>
  <c r="P1" i="30"/>
  <c r="P1" i="22"/>
  <c r="R29" i="10"/>
  <c r="B29" i="10"/>
  <c r="V1" i="23"/>
  <c r="V1" i="42"/>
  <c r="V1" i="48" s="1"/>
  <c r="V1" i="30"/>
  <c r="V1" i="22"/>
  <c r="V1" i="15"/>
  <c r="V1" i="29"/>
  <c r="V1" i="6"/>
  <c r="N1" i="23"/>
  <c r="N1" i="42"/>
  <c r="N1" i="48" s="1"/>
  <c r="N1" i="30"/>
  <c r="N1" i="22"/>
  <c r="N1" i="15"/>
  <c r="N1" i="29"/>
  <c r="N1" i="6"/>
  <c r="F1" i="23"/>
  <c r="F1" i="15"/>
  <c r="F1" i="30"/>
  <c r="F1" i="22"/>
  <c r="F1" i="29"/>
  <c r="F1" i="6"/>
  <c r="F1" i="42"/>
  <c r="F1" i="48" s="1"/>
  <c r="X29" i="10"/>
  <c r="P29" i="10"/>
  <c r="H29" i="10"/>
  <c r="E30" i="10" l="1"/>
  <c r="B3" i="49"/>
  <c r="C3" i="49"/>
  <c r="D3" i="49"/>
  <c r="E3" i="49"/>
  <c r="F3" i="49"/>
  <c r="G3" i="49"/>
  <c r="H3" i="49"/>
  <c r="I3" i="49"/>
  <c r="J3" i="49"/>
  <c r="K3" i="49"/>
  <c r="L3" i="49"/>
  <c r="M3" i="49"/>
  <c r="N3" i="49"/>
  <c r="O3" i="49"/>
  <c r="P3" i="49"/>
  <c r="Q3" i="49"/>
  <c r="R3" i="49"/>
  <c r="S3" i="49"/>
  <c r="T3" i="49"/>
  <c r="U3" i="49"/>
  <c r="V3" i="49"/>
  <c r="W3" i="49"/>
  <c r="X3" i="49"/>
  <c r="Y3" i="49"/>
  <c r="Z3" i="49"/>
  <c r="AA3" i="49"/>
  <c r="AB3" i="49"/>
  <c r="AC3" i="49"/>
  <c r="AD3" i="49"/>
  <c r="B5" i="49"/>
  <c r="C5" i="49"/>
  <c r="D5" i="49"/>
  <c r="E5" i="49"/>
  <c r="F5" i="49"/>
  <c r="G5" i="49"/>
  <c r="H5" i="49"/>
  <c r="I5" i="49"/>
  <c r="J5" i="49"/>
  <c r="K5" i="49"/>
  <c r="L5" i="49"/>
  <c r="M5" i="49"/>
  <c r="N5" i="49"/>
  <c r="O5" i="49"/>
  <c r="P5" i="49"/>
  <c r="Q5" i="49"/>
  <c r="R5" i="49"/>
  <c r="S5" i="49"/>
  <c r="T5" i="49"/>
  <c r="U5" i="49"/>
  <c r="V5" i="49"/>
  <c r="W5" i="49"/>
  <c r="X5" i="49"/>
  <c r="Y5" i="49"/>
  <c r="Z5" i="49"/>
  <c r="AA5" i="49"/>
  <c r="AB5" i="49"/>
  <c r="AC5" i="49"/>
  <c r="AD5" i="49"/>
  <c r="B7" i="49"/>
  <c r="C7" i="49"/>
  <c r="D7" i="49"/>
  <c r="E7" i="49"/>
  <c r="F7" i="49"/>
  <c r="G7" i="49"/>
  <c r="H7" i="49"/>
  <c r="I7" i="49"/>
  <c r="J7" i="49"/>
  <c r="K7" i="49"/>
  <c r="L7" i="49"/>
  <c r="M7" i="49"/>
  <c r="N7" i="49"/>
  <c r="O7" i="49"/>
  <c r="P7" i="49"/>
  <c r="Q7" i="49"/>
  <c r="R7" i="49"/>
  <c r="S7" i="49"/>
  <c r="T7" i="49"/>
  <c r="U7" i="49"/>
  <c r="V7" i="49"/>
  <c r="W7" i="49"/>
  <c r="X7" i="49"/>
  <c r="Y7" i="49"/>
  <c r="Z7" i="49"/>
  <c r="AA7" i="49"/>
  <c r="AB7" i="49"/>
  <c r="AC7" i="49"/>
  <c r="AD7" i="49"/>
  <c r="B8" i="49"/>
  <c r="C8" i="49"/>
  <c r="D8" i="49"/>
  <c r="E8" i="49"/>
  <c r="F8" i="49"/>
  <c r="G8" i="49"/>
  <c r="H8" i="49"/>
  <c r="I8" i="49"/>
  <c r="J8" i="49"/>
  <c r="K8" i="49"/>
  <c r="L8" i="49"/>
  <c r="M8" i="49"/>
  <c r="N8" i="49"/>
  <c r="O8" i="49"/>
  <c r="P8" i="49"/>
  <c r="Q8" i="49"/>
  <c r="R8" i="49"/>
  <c r="S8" i="49"/>
  <c r="T8" i="49"/>
  <c r="U8" i="49"/>
  <c r="V8" i="49"/>
  <c r="W8" i="49"/>
  <c r="X8" i="49"/>
  <c r="Y8" i="49"/>
  <c r="Z8" i="49"/>
  <c r="AA8" i="49"/>
  <c r="AB8" i="49"/>
  <c r="AC8" i="49"/>
  <c r="AD8" i="49"/>
  <c r="B2" i="48"/>
  <c r="C2" i="48"/>
  <c r="D2" i="48"/>
  <c r="E2" i="48"/>
  <c r="F2" i="48"/>
  <c r="G2" i="48"/>
  <c r="H2" i="48"/>
  <c r="I2" i="48"/>
  <c r="J2" i="48"/>
  <c r="K2" i="48"/>
  <c r="L2" i="48"/>
  <c r="M2" i="48"/>
  <c r="N2" i="48"/>
  <c r="O2" i="48"/>
  <c r="P2" i="48"/>
  <c r="Q2" i="48"/>
  <c r="R2" i="48"/>
  <c r="S2" i="48"/>
  <c r="T2" i="48"/>
  <c r="U2" i="48"/>
  <c r="V2" i="48"/>
  <c r="W2" i="48"/>
  <c r="X2" i="48"/>
  <c r="Y2" i="48"/>
  <c r="Z2" i="48"/>
  <c r="AA2" i="48"/>
  <c r="AB2" i="48"/>
  <c r="AC2" i="48"/>
  <c r="B3" i="48"/>
  <c r="C3" i="48"/>
  <c r="D3" i="48"/>
  <c r="E3" i="48"/>
  <c r="F3" i="48"/>
  <c r="G3" i="48"/>
  <c r="H3" i="48"/>
  <c r="I3" i="48"/>
  <c r="J3" i="48"/>
  <c r="K3" i="48"/>
  <c r="L3" i="48"/>
  <c r="M3" i="48"/>
  <c r="N3" i="48"/>
  <c r="O3" i="48"/>
  <c r="P3" i="48"/>
  <c r="Q3" i="48"/>
  <c r="R3" i="48"/>
  <c r="S3" i="48"/>
  <c r="T3" i="48"/>
  <c r="U3" i="48"/>
  <c r="V3" i="48"/>
  <c r="W3" i="48"/>
  <c r="X3" i="48"/>
  <c r="Y3" i="48"/>
  <c r="Z3" i="48"/>
  <c r="AA3" i="48"/>
  <c r="AB3" i="48"/>
  <c r="AC3" i="48"/>
  <c r="B4" i="48"/>
  <c r="C4" i="48"/>
  <c r="D4" i="48"/>
  <c r="E4" i="48"/>
  <c r="F4" i="48"/>
  <c r="G4" i="48"/>
  <c r="H4" i="48"/>
  <c r="I4" i="48"/>
  <c r="J4" i="48"/>
  <c r="K4" i="48"/>
  <c r="L4" i="48"/>
  <c r="M4" i="48"/>
  <c r="N4" i="48"/>
  <c r="O4" i="48"/>
  <c r="P4" i="48"/>
  <c r="Q4" i="48"/>
  <c r="R4" i="48"/>
  <c r="S4" i="48"/>
  <c r="T4" i="48"/>
  <c r="U4" i="48"/>
  <c r="V4" i="48"/>
  <c r="W4" i="48"/>
  <c r="X4" i="48"/>
  <c r="Y4" i="48"/>
  <c r="Z4" i="48"/>
  <c r="AA4" i="48"/>
  <c r="AB4" i="48"/>
  <c r="AC4" i="48"/>
  <c r="B6" i="48"/>
  <c r="C6" i="48"/>
  <c r="D6" i="48"/>
  <c r="E6" i="48"/>
  <c r="F6" i="48"/>
  <c r="G6" i="48"/>
  <c r="H6" i="48"/>
  <c r="I6" i="48"/>
  <c r="J6" i="48"/>
  <c r="K6" i="48"/>
  <c r="L6" i="48"/>
  <c r="M6" i="48"/>
  <c r="N6" i="48"/>
  <c r="O6" i="48"/>
  <c r="P6" i="48"/>
  <c r="Q6" i="48"/>
  <c r="R6" i="48"/>
  <c r="S6" i="48"/>
  <c r="T6" i="48"/>
  <c r="U6" i="48"/>
  <c r="V6" i="48"/>
  <c r="W6" i="48"/>
  <c r="X6" i="48"/>
  <c r="Y6" i="48"/>
  <c r="Z6" i="48"/>
  <c r="AA6" i="48"/>
  <c r="AB6" i="48"/>
  <c r="AC6" i="48"/>
  <c r="B8" i="48"/>
  <c r="C8" i="48"/>
  <c r="D8" i="48"/>
  <c r="E8" i="48"/>
  <c r="F8" i="48"/>
  <c r="G8" i="48"/>
  <c r="H8" i="48"/>
  <c r="I8" i="48"/>
  <c r="J8" i="48"/>
  <c r="K8" i="48"/>
  <c r="L8" i="48"/>
  <c r="M8" i="48"/>
  <c r="N8" i="48"/>
  <c r="O8" i="48"/>
  <c r="P8" i="48"/>
  <c r="Q8" i="48"/>
  <c r="R8" i="48"/>
  <c r="S8" i="48"/>
  <c r="T8" i="48"/>
  <c r="U8" i="48"/>
  <c r="V8" i="48"/>
  <c r="W8" i="48"/>
  <c r="X8" i="48"/>
  <c r="Y8" i="48"/>
  <c r="Z8" i="48"/>
  <c r="AA8" i="48"/>
  <c r="AB8" i="48"/>
  <c r="AC8" i="48"/>
  <c r="C2" i="47"/>
  <c r="D2" i="47"/>
  <c r="E2" i="47"/>
  <c r="F2" i="47"/>
  <c r="G2" i="47"/>
  <c r="H2" i="47"/>
  <c r="I2" i="47"/>
  <c r="J2" i="47"/>
  <c r="K2" i="47"/>
  <c r="L2" i="47"/>
  <c r="M2" i="47"/>
  <c r="N2" i="47"/>
  <c r="O2" i="47"/>
  <c r="P2" i="47"/>
  <c r="Q2" i="47"/>
  <c r="R2" i="47"/>
  <c r="S2" i="47"/>
  <c r="T2" i="47"/>
  <c r="U2" i="47"/>
  <c r="V2" i="47"/>
  <c r="W2" i="47"/>
  <c r="X2" i="47"/>
  <c r="Y2" i="47"/>
  <c r="Z2" i="47"/>
  <c r="AA2" i="47"/>
  <c r="AB2" i="47"/>
  <c r="AC2" i="47"/>
  <c r="AD2" i="47"/>
  <c r="AE2" i="47"/>
  <c r="C3" i="47"/>
  <c r="D3" i="47"/>
  <c r="E3" i="47"/>
  <c r="F3" i="47"/>
  <c r="G3" i="47"/>
  <c r="H3" i="47"/>
  <c r="I3" i="47"/>
  <c r="J3" i="47"/>
  <c r="K3" i="47"/>
  <c r="L3" i="47"/>
  <c r="M3" i="47"/>
  <c r="N3" i="47"/>
  <c r="O3" i="47"/>
  <c r="P3" i="47"/>
  <c r="Q3" i="47"/>
  <c r="R3" i="47"/>
  <c r="S3" i="47"/>
  <c r="T3" i="47"/>
  <c r="U3" i="47"/>
  <c r="V3" i="47"/>
  <c r="W3" i="47"/>
  <c r="X3" i="47"/>
  <c r="Y3" i="47"/>
  <c r="Z3" i="47"/>
  <c r="AA3" i="47"/>
  <c r="AB3" i="47"/>
  <c r="AC3" i="47"/>
  <c r="AD3" i="47"/>
  <c r="AE3" i="47"/>
  <c r="C5" i="47"/>
  <c r="D5"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C7" i="47"/>
  <c r="D7" i="47"/>
  <c r="E7" i="47"/>
  <c r="F7" i="47"/>
  <c r="G7" i="47"/>
  <c r="H7" i="47"/>
  <c r="I7" i="47"/>
  <c r="J7" i="47"/>
  <c r="K7" i="47"/>
  <c r="L7" i="47"/>
  <c r="M7" i="47"/>
  <c r="N7" i="47"/>
  <c r="O7" i="47"/>
  <c r="P7" i="47"/>
  <c r="Q7" i="47"/>
  <c r="R7" i="47"/>
  <c r="S7" i="47"/>
  <c r="T7" i="47"/>
  <c r="U7" i="47"/>
  <c r="V7" i="47"/>
  <c r="W7" i="47"/>
  <c r="X7" i="47"/>
  <c r="Y7" i="47"/>
  <c r="Z7" i="47"/>
  <c r="AA7" i="47"/>
  <c r="AB7" i="47"/>
  <c r="AC7" i="47"/>
  <c r="AD7" i="47"/>
  <c r="AE7" i="47"/>
  <c r="C8" i="47"/>
  <c r="D8"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B3" i="47"/>
  <c r="B5" i="47"/>
  <c r="B7" i="47"/>
  <c r="B8" i="47"/>
  <c r="B2" i="47"/>
  <c r="C2" i="43"/>
  <c r="D2" i="43"/>
  <c r="E2" i="43"/>
  <c r="F2" i="43"/>
  <c r="G2" i="43"/>
  <c r="H2" i="43"/>
  <c r="I2" i="43"/>
  <c r="J2" i="43"/>
  <c r="K2" i="43"/>
  <c r="L2" i="43"/>
  <c r="M2" i="43"/>
  <c r="N2" i="43"/>
  <c r="O2" i="43"/>
  <c r="P2" i="43"/>
  <c r="Q2" i="43"/>
  <c r="R2" i="43"/>
  <c r="S2" i="43"/>
  <c r="T2" i="43"/>
  <c r="U2" i="43"/>
  <c r="V2" i="43"/>
  <c r="W2" i="43"/>
  <c r="X2" i="43"/>
  <c r="Y2" i="43"/>
  <c r="Z2" i="43"/>
  <c r="AA2" i="43"/>
  <c r="AB2" i="43"/>
  <c r="AC2" i="43"/>
  <c r="AD2" i="43"/>
  <c r="B2" i="43"/>
  <c r="D4" i="47"/>
  <c r="E4" i="47"/>
  <c r="F4" i="47"/>
  <c r="G4" i="47"/>
  <c r="H4" i="47"/>
  <c r="I4" i="47"/>
  <c r="J4" i="47"/>
  <c r="K4" i="47"/>
  <c r="L4" i="47"/>
  <c r="M4" i="47"/>
  <c r="N4" i="47"/>
  <c r="O4" i="47"/>
  <c r="P4" i="47"/>
  <c r="Q4" i="47"/>
  <c r="R4" i="47"/>
  <c r="S4" i="47"/>
  <c r="T4" i="47"/>
  <c r="U4" i="47"/>
  <c r="V4" i="47"/>
  <c r="W4" i="47"/>
  <c r="X4" i="47"/>
  <c r="Y4" i="47"/>
  <c r="Z4" i="47"/>
  <c r="AA4" i="47"/>
  <c r="AB4" i="47"/>
  <c r="AC4" i="47"/>
  <c r="AD4" i="47"/>
  <c r="AE4" i="47"/>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C4" i="47"/>
  <c r="C6" i="47"/>
  <c r="B6" i="47"/>
  <c r="B4" i="47"/>
  <c r="W2" i="49" l="1"/>
  <c r="W6" i="43"/>
  <c r="W4" i="43"/>
  <c r="F6" i="43"/>
  <c r="F4" i="43"/>
  <c r="F4" i="49" s="1"/>
  <c r="AC2" i="49"/>
  <c r="AC4" i="43"/>
  <c r="AC4" i="49" s="1"/>
  <c r="AC6" i="43"/>
  <c r="AC6" i="49" s="1"/>
  <c r="U2" i="49"/>
  <c r="U4" i="43"/>
  <c r="U4" i="49" s="1"/>
  <c r="U6" i="43"/>
  <c r="U6" i="49" s="1"/>
  <c r="M2" i="49"/>
  <c r="M4" i="43"/>
  <c r="M6" i="43"/>
  <c r="E2" i="49"/>
  <c r="E4" i="43"/>
  <c r="E4" i="49" s="1"/>
  <c r="E6" i="43"/>
  <c r="E6" i="49" s="1"/>
  <c r="AD6" i="43"/>
  <c r="AD4" i="43"/>
  <c r="AD4" i="49" s="1"/>
  <c r="AA2" i="49"/>
  <c r="AA4" i="43"/>
  <c r="AA6" i="43"/>
  <c r="AA6" i="49" s="1"/>
  <c r="S2" i="49"/>
  <c r="S4" i="43"/>
  <c r="S4" i="49" s="1"/>
  <c r="S6" i="43"/>
  <c r="S6" i="49" s="1"/>
  <c r="K2" i="49"/>
  <c r="K4" i="43"/>
  <c r="K6" i="43"/>
  <c r="K6" i="49" s="1"/>
  <c r="C2" i="49"/>
  <c r="C4" i="43"/>
  <c r="C4" i="49" s="1"/>
  <c r="C6" i="43"/>
  <c r="C6" i="49" s="1"/>
  <c r="O6" i="43"/>
  <c r="O6" i="49" s="1"/>
  <c r="O4" i="43"/>
  <c r="O4" i="49" s="1"/>
  <c r="V6" i="43"/>
  <c r="V4" i="43"/>
  <c r="V4" i="49" s="1"/>
  <c r="T2" i="49"/>
  <c r="T4" i="43"/>
  <c r="T4" i="49" s="1"/>
  <c r="T6" i="43"/>
  <c r="L2" i="49"/>
  <c r="L4" i="43"/>
  <c r="L4" i="49" s="1"/>
  <c r="L6" i="43"/>
  <c r="Z4" i="43"/>
  <c r="Z4" i="49" s="1"/>
  <c r="Z6" i="43"/>
  <c r="Z6" i="49" s="1"/>
  <c r="R4" i="43"/>
  <c r="R4" i="49" s="1"/>
  <c r="R6" i="43"/>
  <c r="R6" i="49" s="1"/>
  <c r="J4" i="43"/>
  <c r="J4" i="49" s="1"/>
  <c r="J6" i="43"/>
  <c r="J6" i="49" s="1"/>
  <c r="B2" i="49"/>
  <c r="B6" i="43"/>
  <c r="B6" i="49" s="1"/>
  <c r="B4" i="43"/>
  <c r="B4" i="49" s="1"/>
  <c r="Y2" i="49"/>
  <c r="Y6" i="43"/>
  <c r="Y4" i="43"/>
  <c r="Q6" i="43"/>
  <c r="Q6" i="49" s="1"/>
  <c r="Q4" i="43"/>
  <c r="Q4" i="49" s="1"/>
  <c r="I2" i="49"/>
  <c r="I6" i="43"/>
  <c r="I6" i="49" s="1"/>
  <c r="I4" i="43"/>
  <c r="I4" i="49" s="1"/>
  <c r="G6" i="43"/>
  <c r="G4" i="43"/>
  <c r="G4" i="49" s="1"/>
  <c r="N6" i="43"/>
  <c r="N6" i="49" s="1"/>
  <c r="N4" i="43"/>
  <c r="N4" i="49" s="1"/>
  <c r="AB2" i="49"/>
  <c r="AB4" i="43"/>
  <c r="AB4" i="49" s="1"/>
  <c r="AB6" i="43"/>
  <c r="AB6" i="49" s="1"/>
  <c r="D2" i="49"/>
  <c r="D4" i="43"/>
  <c r="D6" i="43"/>
  <c r="D6" i="49" s="1"/>
  <c r="X6" i="43"/>
  <c r="X6" i="49" s="1"/>
  <c r="X4" i="43"/>
  <c r="X4" i="49" s="1"/>
  <c r="P6" i="43"/>
  <c r="P6" i="49" s="1"/>
  <c r="P4" i="43"/>
  <c r="P4" i="49" s="1"/>
  <c r="H6" i="43"/>
  <c r="H6" i="49" s="1"/>
  <c r="H4" i="43"/>
  <c r="H4" i="49" s="1"/>
  <c r="Y6" i="49"/>
  <c r="W6" i="49"/>
  <c r="M4" i="49"/>
  <c r="L6" i="49"/>
  <c r="T6" i="49"/>
  <c r="AA4" i="49"/>
  <c r="D4" i="49"/>
  <c r="M6" i="49"/>
  <c r="K4" i="49"/>
  <c r="W4" i="49"/>
  <c r="V2" i="49"/>
  <c r="Q2" i="49"/>
  <c r="Y4" i="49"/>
  <c r="O2" i="49"/>
  <c r="N2" i="49"/>
  <c r="AD2" i="49"/>
  <c r="G2" i="49"/>
  <c r="F2" i="49"/>
  <c r="X2" i="49"/>
  <c r="P2" i="49"/>
  <c r="H2" i="49"/>
  <c r="G6" i="49"/>
  <c r="Z2" i="49"/>
  <c r="R2" i="49"/>
  <c r="J2" i="49"/>
  <c r="AD6" i="49"/>
  <c r="V6" i="49"/>
  <c r="F6" i="49"/>
  <c r="B2" i="23"/>
  <c r="C2" i="23"/>
  <c r="D2" i="23"/>
  <c r="E2" i="23"/>
  <c r="F2" i="23"/>
  <c r="G2" i="23"/>
  <c r="H2" i="23"/>
  <c r="I2" i="23"/>
  <c r="J2" i="23"/>
  <c r="K2" i="23"/>
  <c r="L2" i="23"/>
  <c r="M2" i="23"/>
  <c r="N2" i="23"/>
  <c r="O2" i="23"/>
  <c r="P2" i="23"/>
  <c r="Q2" i="23"/>
  <c r="R2" i="23"/>
  <c r="S2" i="23"/>
  <c r="T2" i="23"/>
  <c r="U2" i="23"/>
  <c r="V2" i="23"/>
  <c r="W2" i="23"/>
  <c r="X2" i="23"/>
  <c r="Y2" i="23"/>
  <c r="Z2" i="23"/>
  <c r="AA2" i="23"/>
  <c r="AB2" i="23"/>
  <c r="AC2" i="23"/>
  <c r="AC2" i="30"/>
  <c r="AB2" i="30"/>
  <c r="AA2" i="30"/>
  <c r="Z2" i="30"/>
  <c r="Y2" i="30"/>
  <c r="X2" i="30"/>
  <c r="W2" i="30"/>
  <c r="V2" i="30"/>
  <c r="U2" i="30"/>
  <c r="T2" i="30"/>
  <c r="S2" i="30"/>
  <c r="R2" i="30"/>
  <c r="Q2" i="30"/>
  <c r="P2" i="30"/>
  <c r="O2" i="30"/>
  <c r="N2" i="30"/>
  <c r="M2" i="30"/>
  <c r="L2" i="30"/>
  <c r="K2" i="30"/>
  <c r="J2" i="30"/>
  <c r="I2" i="30"/>
  <c r="H2" i="30"/>
  <c r="G2" i="30"/>
  <c r="F2" i="30"/>
  <c r="E2" i="30"/>
  <c r="D2" i="30"/>
  <c r="C2" i="30"/>
  <c r="B2" i="30"/>
  <c r="D2" i="16"/>
  <c r="E2" i="16"/>
  <c r="F2" i="16"/>
  <c r="G2" i="16"/>
  <c r="H2" i="16"/>
  <c r="I2" i="16"/>
  <c r="J2" i="16"/>
  <c r="K2" i="16"/>
  <c r="L2" i="16"/>
  <c r="M2" i="16"/>
  <c r="N2" i="16"/>
  <c r="O2" i="16"/>
  <c r="P2" i="16"/>
  <c r="Q2" i="16"/>
  <c r="R2" i="16"/>
  <c r="S2" i="16"/>
  <c r="T2" i="16"/>
  <c r="U2" i="16"/>
  <c r="V2" i="16"/>
  <c r="W2" i="16"/>
  <c r="X2" i="16"/>
  <c r="Y2" i="16"/>
  <c r="Z2" i="16"/>
  <c r="AA2" i="16"/>
  <c r="AB2" i="16"/>
  <c r="AC2" i="16"/>
  <c r="AD2" i="16"/>
  <c r="AE2" i="16"/>
  <c r="C2" i="16"/>
  <c r="B2" i="16"/>
  <c r="B2" i="7"/>
  <c r="C2" i="7"/>
  <c r="D2" i="7"/>
  <c r="E2" i="7"/>
  <c r="F2" i="7"/>
  <c r="G2" i="7"/>
  <c r="H2" i="7"/>
  <c r="I2" i="7"/>
  <c r="J2" i="7"/>
  <c r="K2" i="7"/>
  <c r="L2" i="7"/>
  <c r="M2" i="7"/>
  <c r="N2" i="7"/>
  <c r="O2" i="7"/>
  <c r="P2" i="7"/>
  <c r="Q2" i="7"/>
  <c r="R2" i="7"/>
  <c r="S2" i="7"/>
  <c r="T2" i="7"/>
  <c r="U2" i="7"/>
  <c r="V2" i="7"/>
  <c r="W2" i="7"/>
  <c r="X2" i="7"/>
  <c r="Y2" i="7"/>
  <c r="Z2" i="7"/>
  <c r="AA2" i="7"/>
  <c r="AB2" i="7"/>
  <c r="AC2" i="7"/>
  <c r="AD2" i="7"/>
  <c r="AE2" i="7"/>
  <c r="V30" i="10" l="1"/>
  <c r="V5" i="22" s="1"/>
  <c r="R30" i="10"/>
  <c r="R7" i="6" s="1"/>
  <c r="J30" i="10"/>
  <c r="J5" i="15" s="1"/>
  <c r="B30" i="10"/>
  <c r="B5" i="23" s="1"/>
  <c r="Z30" i="10"/>
  <c r="Z7" i="22" s="1"/>
  <c r="N30" i="10"/>
  <c r="N7" i="30" s="1"/>
  <c r="F30" i="10"/>
  <c r="F7" i="42" s="1"/>
  <c r="F7" i="48" s="1"/>
  <c r="AC30" i="10"/>
  <c r="AC5" i="15" s="1"/>
  <c r="Y30" i="10"/>
  <c r="Y7" i="22" s="1"/>
  <c r="U30" i="10"/>
  <c r="U7" i="22" s="1"/>
  <c r="Q30" i="10"/>
  <c r="Q7" i="6" s="1"/>
  <c r="M30" i="10"/>
  <c r="M7" i="42" s="1"/>
  <c r="M7" i="48" s="1"/>
  <c r="I30" i="10"/>
  <c r="I5" i="42" s="1"/>
  <c r="I5" i="48" s="1"/>
  <c r="E5" i="15"/>
  <c r="AA30" i="10"/>
  <c r="AA5" i="6" s="1"/>
  <c r="W30" i="10"/>
  <c r="W7" i="29" s="1"/>
  <c r="S30" i="10"/>
  <c r="S7" i="6" s="1"/>
  <c r="O30" i="10"/>
  <c r="O5" i="30" s="1"/>
  <c r="K30" i="10"/>
  <c r="K5" i="6" s="1"/>
  <c r="G30" i="10"/>
  <c r="G5" i="42" s="1"/>
  <c r="G5" i="48" s="1"/>
  <c r="C7" i="22"/>
  <c r="AB30" i="10"/>
  <c r="AB7" i="15" s="1"/>
  <c r="X30" i="10"/>
  <c r="X5" i="23" s="1"/>
  <c r="T30" i="10"/>
  <c r="T7" i="6" s="1"/>
  <c r="P30" i="10"/>
  <c r="P7" i="42" s="1"/>
  <c r="P7" i="48" s="1"/>
  <c r="L30" i="10"/>
  <c r="L7" i="15" s="1"/>
  <c r="H30" i="10"/>
  <c r="H7" i="15" s="1"/>
  <c r="D5" i="6"/>
  <c r="AC7" i="23" l="1"/>
  <c r="F7" i="22"/>
  <c r="F5" i="6"/>
  <c r="F5" i="15"/>
  <c r="Z5" i="42"/>
  <c r="Z5" i="48" s="1"/>
  <c r="F5" i="30"/>
  <c r="F7" i="23"/>
  <c r="F7" i="30"/>
  <c r="M7" i="29"/>
  <c r="M5" i="23"/>
  <c r="M5" i="29"/>
  <c r="M5" i="15"/>
  <c r="O7" i="15"/>
  <c r="O7" i="22"/>
  <c r="O7" i="29"/>
  <c r="O5" i="15"/>
  <c r="M5" i="6"/>
  <c r="Z7" i="15"/>
  <c r="Z5" i="22"/>
  <c r="Z5" i="23"/>
  <c r="Z5" i="15"/>
  <c r="Z7" i="29"/>
  <c r="Z5" i="29"/>
  <c r="P5" i="42"/>
  <c r="P5" i="48" s="1"/>
  <c r="O5" i="6"/>
  <c r="M7" i="22"/>
  <c r="O7" i="23"/>
  <c r="P5" i="15"/>
  <c r="G7" i="15"/>
  <c r="M5" i="30"/>
  <c r="Z5" i="6"/>
  <c r="O5" i="23"/>
  <c r="H7" i="22"/>
  <c r="H7" i="42"/>
  <c r="H7" i="48" s="1"/>
  <c r="G7" i="23"/>
  <c r="H7" i="23"/>
  <c r="R5" i="29"/>
  <c r="E7" i="15"/>
  <c r="P5" i="30"/>
  <c r="P5" i="22"/>
  <c r="P7" i="6"/>
  <c r="P5" i="6"/>
  <c r="X7" i="22"/>
  <c r="U5" i="29"/>
  <c r="Q7" i="30"/>
  <c r="X7" i="15"/>
  <c r="W5" i="6"/>
  <c r="S5" i="29"/>
  <c r="B5" i="15"/>
  <c r="S5" i="42"/>
  <c r="S5" i="48" s="1"/>
  <c r="T5" i="29"/>
  <c r="Q5" i="23"/>
  <c r="T5" i="42"/>
  <c r="T5" i="48" s="1"/>
  <c r="B7" i="23"/>
  <c r="S7" i="23"/>
  <c r="R7" i="29"/>
  <c r="Q7" i="29"/>
  <c r="T7" i="42"/>
  <c r="T7" i="48" s="1"/>
  <c r="R7" i="22"/>
  <c r="Q7" i="15"/>
  <c r="R7" i="23"/>
  <c r="Q7" i="23"/>
  <c r="Q5" i="42"/>
  <c r="Q5" i="48" s="1"/>
  <c r="S5" i="30"/>
  <c r="X7" i="29"/>
  <c r="B5" i="6"/>
  <c r="B7" i="30"/>
  <c r="H5" i="22"/>
  <c r="F5" i="29"/>
  <c r="B7" i="15"/>
  <c r="X5" i="15"/>
  <c r="H5" i="42"/>
  <c r="H5" i="48" s="1"/>
  <c r="X7" i="23"/>
  <c r="F5" i="42"/>
  <c r="F5" i="48" s="1"/>
  <c r="X5" i="42"/>
  <c r="X5" i="48" s="1"/>
  <c r="E5" i="42"/>
  <c r="E5" i="48" s="1"/>
  <c r="B7" i="42"/>
  <c r="B7" i="48" s="1"/>
  <c r="B5" i="22"/>
  <c r="X5" i="6"/>
  <c r="H5" i="15"/>
  <c r="B7" i="29"/>
  <c r="B5" i="42"/>
  <c r="B5" i="48" s="1"/>
  <c r="W5" i="29"/>
  <c r="U5" i="6"/>
  <c r="B5" i="30"/>
  <c r="B7" i="6"/>
  <c r="H5" i="23"/>
  <c r="F5" i="23"/>
  <c r="X5" i="22"/>
  <c r="G7" i="6"/>
  <c r="W5" i="15"/>
  <c r="G7" i="30"/>
  <c r="D5" i="22"/>
  <c r="T7" i="29"/>
  <c r="T5" i="6"/>
  <c r="S7" i="15"/>
  <c r="S7" i="29"/>
  <c r="T5" i="23"/>
  <c r="B5" i="29"/>
  <c r="V5" i="23"/>
  <c r="T7" i="23"/>
  <c r="F7" i="6"/>
  <c r="D7" i="6"/>
  <c r="X5" i="30"/>
  <c r="X7" i="6"/>
  <c r="E5" i="22"/>
  <c r="Q5" i="6"/>
  <c r="S5" i="23"/>
  <c r="H7" i="29"/>
  <c r="T5" i="15"/>
  <c r="T7" i="15"/>
  <c r="S5" i="22"/>
  <c r="S5" i="6"/>
  <c r="H5" i="29"/>
  <c r="S7" i="42"/>
  <c r="S7" i="48" s="1"/>
  <c r="V7" i="29"/>
  <c r="V5" i="6"/>
  <c r="H7" i="6"/>
  <c r="V7" i="22"/>
  <c r="F5" i="22"/>
  <c r="F7" i="15"/>
  <c r="X5" i="29"/>
  <c r="X7" i="42"/>
  <c r="X7" i="48" s="1"/>
  <c r="Q5" i="22"/>
  <c r="Q7" i="22"/>
  <c r="H5" i="30"/>
  <c r="H5" i="6"/>
  <c r="T7" i="30"/>
  <c r="C5" i="29"/>
  <c r="S7" i="22"/>
  <c r="U5" i="15"/>
  <c r="V7" i="23"/>
  <c r="D7" i="29"/>
  <c r="V7" i="42"/>
  <c r="V7" i="48" s="1"/>
  <c r="Q7" i="42"/>
  <c r="Q7" i="48" s="1"/>
  <c r="T5" i="30"/>
  <c r="F7" i="29"/>
  <c r="B7" i="22"/>
  <c r="Q5" i="30"/>
  <c r="X7" i="30"/>
  <c r="G5" i="30"/>
  <c r="Q5" i="29"/>
  <c r="Q5" i="15"/>
  <c r="H7" i="30"/>
  <c r="T7" i="22"/>
  <c r="C7" i="42"/>
  <c r="C7" i="48" s="1"/>
  <c r="S5" i="15"/>
  <c r="T5" i="22"/>
  <c r="S7" i="30"/>
  <c r="D5" i="29"/>
  <c r="D7" i="15"/>
  <c r="C7" i="30"/>
  <c r="C5" i="15"/>
  <c r="AC5" i="22"/>
  <c r="R5" i="15"/>
  <c r="D5" i="30"/>
  <c r="D7" i="42"/>
  <c r="D7" i="48" s="1"/>
  <c r="C7" i="15"/>
  <c r="C5" i="42"/>
  <c r="C5" i="48" s="1"/>
  <c r="AC7" i="29"/>
  <c r="D7" i="23"/>
  <c r="V5" i="29"/>
  <c r="D5" i="23"/>
  <c r="V5" i="15"/>
  <c r="D7" i="30"/>
  <c r="C5" i="30"/>
  <c r="C7" i="6"/>
  <c r="AC7" i="15"/>
  <c r="AC7" i="30"/>
  <c r="V5" i="42"/>
  <c r="V5" i="48" s="1"/>
  <c r="V7" i="30"/>
  <c r="D7" i="22"/>
  <c r="C5" i="23"/>
  <c r="C7" i="29"/>
  <c r="AC7" i="42"/>
  <c r="AC7" i="48" s="1"/>
  <c r="C7" i="23"/>
  <c r="V7" i="6"/>
  <c r="R7" i="30"/>
  <c r="D5" i="42"/>
  <c r="D5" i="48" s="1"/>
  <c r="C5" i="22"/>
  <c r="C5" i="6"/>
  <c r="AC5" i="42"/>
  <c r="AC5" i="48" s="1"/>
  <c r="V7" i="15"/>
  <c r="V5" i="30"/>
  <c r="R5" i="6"/>
  <c r="D5" i="15"/>
  <c r="Z7" i="23"/>
  <c r="Z5" i="30"/>
  <c r="R5" i="30"/>
  <c r="M7" i="30"/>
  <c r="Z7" i="30"/>
  <c r="R7" i="15"/>
  <c r="R5" i="42"/>
  <c r="R5" i="48" s="1"/>
  <c r="Z7" i="42"/>
  <c r="Z7" i="48" s="1"/>
  <c r="Z7" i="6"/>
  <c r="P5" i="23"/>
  <c r="P7" i="29"/>
  <c r="P7" i="15"/>
  <c r="O5" i="22"/>
  <c r="O5" i="42"/>
  <c r="O5" i="48" s="1"/>
  <c r="M5" i="22"/>
  <c r="M7" i="15"/>
  <c r="M5" i="42"/>
  <c r="M5" i="48" s="1"/>
  <c r="AC5" i="29"/>
  <c r="AC7" i="6"/>
  <c r="AC7" i="22"/>
  <c r="M7" i="23"/>
  <c r="AC5" i="30"/>
  <c r="R5" i="22"/>
  <c r="P7" i="23"/>
  <c r="O7" i="30"/>
  <c r="R5" i="23"/>
  <c r="R7" i="42"/>
  <c r="R7" i="48" s="1"/>
  <c r="P5" i="29"/>
  <c r="P7" i="30"/>
  <c r="P7" i="22"/>
  <c r="O7" i="42"/>
  <c r="O7" i="48" s="1"/>
  <c r="O5" i="29"/>
  <c r="O7" i="6"/>
  <c r="AA5" i="42"/>
  <c r="AA5" i="48" s="1"/>
  <c r="I5" i="29"/>
  <c r="M7" i="6"/>
  <c r="AC5" i="23"/>
  <c r="AC5" i="6"/>
  <c r="N5" i="15"/>
  <c r="K5" i="29"/>
  <c r="Y7" i="6"/>
  <c r="K5" i="42"/>
  <c r="K5" i="48" s="1"/>
  <c r="I7" i="42"/>
  <c r="I7" i="48" s="1"/>
  <c r="Y5" i="6"/>
  <c r="N7" i="23"/>
  <c r="J7" i="15"/>
  <c r="L5" i="15"/>
  <c r="AA7" i="30"/>
  <c r="Y5" i="15"/>
  <c r="N5" i="6"/>
  <c r="J7" i="30"/>
  <c r="J5" i="42"/>
  <c r="J5" i="48" s="1"/>
  <c r="AB7" i="42"/>
  <c r="AB7" i="48" s="1"/>
  <c r="K5" i="23"/>
  <c r="AA5" i="29"/>
  <c r="J5" i="22"/>
  <c r="N7" i="15"/>
  <c r="N5" i="42"/>
  <c r="N5" i="48" s="1"/>
  <c r="J5" i="29"/>
  <c r="K7" i="23"/>
  <c r="Y5" i="30"/>
  <c r="I5" i="30"/>
  <c r="J7" i="42"/>
  <c r="J7" i="48" s="1"/>
  <c r="J7" i="6"/>
  <c r="K5" i="30"/>
  <c r="L7" i="42"/>
  <c r="L7" i="48" s="1"/>
  <c r="K7" i="30"/>
  <c r="K7" i="15"/>
  <c r="K7" i="6"/>
  <c r="AA7" i="42"/>
  <c r="AA7" i="48" s="1"/>
  <c r="AA7" i="15"/>
  <c r="AA7" i="6"/>
  <c r="I5" i="22"/>
  <c r="I7" i="29"/>
  <c r="I7" i="22"/>
  <c r="Y5" i="23"/>
  <c r="Y7" i="15"/>
  <c r="Y5" i="42"/>
  <c r="Y5" i="48" s="1"/>
  <c r="J7" i="23"/>
  <c r="J5" i="30"/>
  <c r="L5" i="23"/>
  <c r="N5" i="30"/>
  <c r="N7" i="42"/>
  <c r="N7" i="48" s="1"/>
  <c r="N7" i="6"/>
  <c r="AA7" i="23"/>
  <c r="Y7" i="30"/>
  <c r="I7" i="30"/>
  <c r="J5" i="23"/>
  <c r="J7" i="22"/>
  <c r="I7" i="23"/>
  <c r="AB7" i="22"/>
  <c r="K7" i="42"/>
  <c r="K7" i="48" s="1"/>
  <c r="K7" i="22"/>
  <c r="K7" i="29"/>
  <c r="AA5" i="23"/>
  <c r="AA7" i="22"/>
  <c r="AA7" i="29"/>
  <c r="I5" i="23"/>
  <c r="I5" i="6"/>
  <c r="I5" i="15"/>
  <c r="Y7" i="29"/>
  <c r="Y7" i="23"/>
  <c r="Y7" i="42"/>
  <c r="Y7" i="48" s="1"/>
  <c r="N5" i="29"/>
  <c r="N7" i="29"/>
  <c r="N5" i="22"/>
  <c r="N5" i="23"/>
  <c r="N7" i="22"/>
  <c r="J5" i="6"/>
  <c r="J7" i="29"/>
  <c r="AA5" i="30"/>
  <c r="L5" i="30"/>
  <c r="AB7" i="29"/>
  <c r="K5" i="22"/>
  <c r="K5" i="15"/>
  <c r="AA5" i="22"/>
  <c r="AA5" i="15"/>
  <c r="I7" i="6"/>
  <c r="I7" i="15"/>
  <c r="Y5" i="22"/>
  <c r="Y5" i="29"/>
  <c r="W5" i="23"/>
  <c r="AB7" i="23"/>
  <c r="G5" i="22"/>
  <c r="G7" i="22"/>
  <c r="G7" i="29"/>
  <c r="W7" i="42"/>
  <c r="W7" i="48" s="1"/>
  <c r="W5" i="42"/>
  <c r="W5" i="48" s="1"/>
  <c r="E5" i="23"/>
  <c r="E7" i="6"/>
  <c r="E7" i="42"/>
  <c r="E7" i="48" s="1"/>
  <c r="W7" i="30"/>
  <c r="L5" i="29"/>
  <c r="L7" i="30"/>
  <c r="L7" i="6"/>
  <c r="AB5" i="22"/>
  <c r="AB5" i="42"/>
  <c r="AB5" i="48" s="1"/>
  <c r="AB7" i="6"/>
  <c r="U7" i="6"/>
  <c r="U7" i="15"/>
  <c r="U5" i="42"/>
  <c r="U5" i="48" s="1"/>
  <c r="AB5" i="23"/>
  <c r="U5" i="30"/>
  <c r="E5" i="30"/>
  <c r="U7" i="23"/>
  <c r="G5" i="29"/>
  <c r="G5" i="15"/>
  <c r="G5" i="6"/>
  <c r="W5" i="30"/>
  <c r="W7" i="15"/>
  <c r="W7" i="6"/>
  <c r="E7" i="23"/>
  <c r="E7" i="29"/>
  <c r="E7" i="22"/>
  <c r="L5" i="22"/>
  <c r="L7" i="22"/>
  <c r="L5" i="6"/>
  <c r="AB5" i="29"/>
  <c r="AB7" i="30"/>
  <c r="AB5" i="6"/>
  <c r="U5" i="22"/>
  <c r="U7" i="42"/>
  <c r="U7" i="48" s="1"/>
  <c r="G5" i="23"/>
  <c r="W7" i="23"/>
  <c r="U7" i="30"/>
  <c r="E7" i="30"/>
  <c r="L7" i="23"/>
  <c r="G7" i="42"/>
  <c r="G7" i="48" s="1"/>
  <c r="W5" i="22"/>
  <c r="W7" i="22"/>
  <c r="E5" i="29"/>
  <c r="E5" i="6"/>
  <c r="L7" i="29"/>
  <c r="L5" i="42"/>
  <c r="L5" i="48" s="1"/>
  <c r="AB5" i="30"/>
  <c r="AB5" i="15"/>
  <c r="U5" i="23"/>
  <c r="U7" i="29"/>
</calcChain>
</file>

<file path=xl/sharedStrings.xml><?xml version="1.0" encoding="utf-8"?>
<sst xmlns="http://schemas.openxmlformats.org/spreadsheetml/2006/main" count="2529" uniqueCount="1145">
  <si>
    <t>BPoEFUbVT BAU Perc of Each Fuel Used by Veh Technology</t>
  </si>
  <si>
    <t>Sources:</t>
  </si>
  <si>
    <t>Total Consumption</t>
  </si>
  <si>
    <t>Pipeline Fuel Natural Gas</t>
  </si>
  <si>
    <t>Lubricants</t>
  </si>
  <si>
    <t>Recreational Boats</t>
  </si>
  <si>
    <t>- -</t>
  </si>
  <si>
    <t>Rail Transportation</t>
  </si>
  <si>
    <t>Bus Transportation</t>
  </si>
  <si>
    <t>Military Use</t>
  </si>
  <si>
    <t>Air Transportation</t>
  </si>
  <si>
    <t>International Shipping</t>
  </si>
  <si>
    <t>Domestic Shipping</t>
  </si>
  <si>
    <t>Light-Duty Vehicle</t>
  </si>
  <si>
    <t>About</t>
  </si>
  <si>
    <t>electricity</t>
  </si>
  <si>
    <t>natural gas</t>
  </si>
  <si>
    <t>petroleum gasoline</t>
  </si>
  <si>
    <t>petroleum diesel</t>
  </si>
  <si>
    <t>biofuel gasoline</t>
  </si>
  <si>
    <t>jet fuel</t>
  </si>
  <si>
    <t>biofuel diesel</t>
  </si>
  <si>
    <t>Sources of Ethanol</t>
  </si>
  <si>
    <t>biodiesel fraction</t>
  </si>
  <si>
    <t>This fraction is the amount of biodiesel used in the entire Transportation sector</t>
  </si>
  <si>
    <t>trillion BTU</t>
  </si>
  <si>
    <t>Quantity</t>
  </si>
  <si>
    <t>Scope</t>
  </si>
  <si>
    <t>entire transportation sector</t>
  </si>
  <si>
    <t>passenger LDVs</t>
  </si>
  <si>
    <t>freight LDVs</t>
  </si>
  <si>
    <t>Petroleum diesel use</t>
  </si>
  <si>
    <t>Biodiesel use</t>
  </si>
  <si>
    <t>passenger HDVs</t>
  </si>
  <si>
    <t>freight HDVs</t>
  </si>
  <si>
    <t>passenger rail</t>
  </si>
  <si>
    <t>freight rail</t>
  </si>
  <si>
    <t>passenger ships</t>
  </si>
  <si>
    <t>freight ships</t>
  </si>
  <si>
    <t>Is Biodiesel Used For:</t>
  </si>
  <si>
    <t>Biodiesel Fraction for diesel-using vehicle types selected above:</t>
  </si>
  <si>
    <t>divided by the amount of petroleum diesel used for user-specified diesel-using</t>
  </si>
  <si>
    <t>vehicle types, plus the amount of biodiesel.  It is used for the approriate vehicle</t>
  </si>
  <si>
    <t>types on subsequent tabs.</t>
  </si>
  <si>
    <t>Plug-in hybrids can accept either electricity or combustible fuels.</t>
  </si>
  <si>
    <t>This sheet specifies the percentage of driving for which electricity is used.</t>
  </si>
  <si>
    <t>Electricity fraction</t>
  </si>
  <si>
    <t>most vehicles and fuels</t>
  </si>
  <si>
    <t>EIA</t>
  </si>
  <si>
    <t>fraction of electricity used by plug-in hybrids</t>
  </si>
  <si>
    <t>DoE Alternative Fuels Data Center</t>
  </si>
  <si>
    <t>year unspecified</t>
  </si>
  <si>
    <t>Hybrid and Plug-In Electric Vehicle Emissions Data Sources and Assumptions</t>
  </si>
  <si>
    <t>https://www.afdc.energy.gov/vehicles/electric_emissions_sources.html</t>
  </si>
  <si>
    <t>Second-to-last parameter in the table</t>
  </si>
  <si>
    <t>Our data source (DoE Alternative Fuels Data Center, as specified on the</t>
  </si>
  <si>
    <t>"About" tab) includes the following source information, indicating</t>
  </si>
  <si>
    <t>where they obtained their number:</t>
  </si>
  <si>
    <t>Estimate based on the current industry standard, SAE J2841 (available in http://avt.inel.gov/pdf/EVProj/EVProjectUtilityFactorVolt.pdf), assuming the PHEV all-electric range is 33 miles.</t>
  </si>
  <si>
    <t>For the U.S., we have the quantity of biodiesel used in the transportation sector, but</t>
  </si>
  <si>
    <t>not divided by vehicle type.  The "Biodiesel Fraction" tab includes calculations to</t>
  </si>
  <si>
    <t>apportion this by vehicle type and control levers that allow for certain vehicle types</t>
  </si>
  <si>
    <t>to be exempted from biodiesel use.</t>
  </si>
  <si>
    <t>We include sheets for all possible vehicle type / cargo type / vehicle technology</t>
  </si>
  <si>
    <t>combinations that the model supports, even though some combinations are not used</t>
  </si>
  <si>
    <t>in the U.S. dataset.  (For example, there are no freight motorbikes in the U.S. model.)</t>
  </si>
  <si>
    <t>combination.  (For example, some countries may wish to represent three-wheeled,</t>
  </si>
  <si>
    <t>This is to support adaptation to other countries that may wish to use that vehicle</t>
  </si>
  <si>
    <t>Another example: battery electric freight HDVs barely exist today, but the model</t>
  </si>
  <si>
    <t>includes a sheet for them, so it can support them in the future without changing</t>
  </si>
  <si>
    <t>the model structure.)</t>
  </si>
  <si>
    <t>motorized carts used for urban hauling and commerce as freight motorbikes.</t>
  </si>
  <si>
    <t>We assume that plug-in hybrid LDVs have gasoline engines and plug-in hybrid HDVs</t>
  </si>
  <si>
    <t>have diesel engines.  The share of electricity used by plug-in hybrids is from the DoE and</t>
  </si>
  <si>
    <t>is based on a study of passenger LDVs, though we use that value for all plug-in hybrid</t>
  </si>
  <si>
    <t>vehicle types here.</t>
  </si>
  <si>
    <t>No fuel breakdown for passenger motorbikes by technology is explicitly provided,</t>
  </si>
  <si>
    <t>so we follow passenger LDV breakdowns for each technology.</t>
  </si>
  <si>
    <t>As noted above, freight motorbikes are not used in the U.S. model, so sheets</t>
  </si>
  <si>
    <t>for them here contain zeroes.</t>
  </si>
  <si>
    <t>We are only concerned with commercial aircraft, not general aviation, so we</t>
  </si>
  <si>
    <t>disregard the small amount of aviation gasoline used.</t>
  </si>
  <si>
    <t>heavy or residual fuel oil</t>
  </si>
  <si>
    <t>LPG propane or butane</t>
  </si>
  <si>
    <t>hydrogen</t>
  </si>
  <si>
    <t>Percentage Fuel Use (dimensionless)</t>
  </si>
  <si>
    <t>Table 36.  Transportation Sector Energy Use by Fuel Type Within a Mode</t>
  </si>
  <si>
    <t>Source: U.S. Energy Information Administration</t>
  </si>
  <si>
    <t>full name</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</si>
  <si>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</si>
  <si>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</si>
  <si>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</si>
  <si>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</si>
  <si>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</si>
  <si>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</si>
  <si>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</si>
  <si>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</si>
  <si>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</si>
  <si>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</si>
  <si>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</si>
  <si>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</si>
  <si>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</si>
  <si>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</si>
  <si>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</si>
  <si>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</si>
  <si>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</si>
  <si>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</si>
  <si>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</si>
  <si>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</si>
  <si>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</si>
  <si>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</si>
  <si>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</si>
  <si>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</si>
  <si>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</si>
  <si>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</si>
  <si>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</si>
  <si>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api key</t>
  </si>
  <si>
    <t>units</t>
  </si>
  <si>
    <t>trillion Btu</t>
  </si>
  <si>
    <t>Table 17.  Renewable Energy Consumption by Sector and Source</t>
  </si>
  <si>
    <t>Marketed Renewable Energy</t>
  </si>
  <si>
    <t>Residential (wood)</t>
  </si>
  <si>
    <t>Commercial (biomass)</t>
  </si>
  <si>
    <t>Industrial</t>
  </si>
  <si>
    <t>Conventional Hydroelectric Power</t>
  </si>
  <si>
    <t>Municipal Waste</t>
  </si>
  <si>
    <t>Biomass</t>
  </si>
  <si>
    <t>Biofuels Heat and Coproducts</t>
  </si>
  <si>
    <t>Transportation</t>
  </si>
  <si>
    <t>Ethanol used in E85</t>
  </si>
  <si>
    <t>Ethanol used in Gasoline Blending</t>
  </si>
  <si>
    <t>Biodiesel used in Distillate Blending</t>
  </si>
  <si>
    <t>Biobutanol</t>
  </si>
  <si>
    <t>Liquids from Biomass</t>
  </si>
  <si>
    <t>Renewable Diesel and Gasoline</t>
  </si>
  <si>
    <t>Electric Power</t>
  </si>
  <si>
    <t>Geothermal</t>
  </si>
  <si>
    <t>Biogenic Municipal Waste</t>
  </si>
  <si>
    <t>Dedicated Plants</t>
  </si>
  <si>
    <t>Cofiring</t>
  </si>
  <si>
    <t>Solar Thermal</t>
  </si>
  <si>
    <t>Solar Photovoltaic</t>
  </si>
  <si>
    <t>Wind</t>
  </si>
  <si>
    <t>Total Marketed Renewable Energy</t>
  </si>
  <si>
    <t>From Corn and Other Starch</t>
  </si>
  <si>
    <t>From Cellulose</t>
  </si>
  <si>
    <t>Net Imports</t>
  </si>
  <si>
    <t>Total U.S. Supply of Ethanol</t>
  </si>
  <si>
    <t>Nonmarketed Renewable Energy</t>
  </si>
  <si>
    <t>Selected Consumption</t>
  </si>
  <si>
    <t>Residential</t>
  </si>
  <si>
    <t>Solar Hot Water Heating</t>
  </si>
  <si>
    <t>Commercial</t>
  </si>
  <si>
    <t>quads</t>
  </si>
  <si>
    <t>https://www.eia.gov/energyexplained//biofuels/charts/fuel-ethanol-motor-gasoline.csv</t>
  </si>
  <si>
    <t>Percent ethanol</t>
  </si>
  <si>
    <t>Monthly Energy Review, May 2020</t>
  </si>
  <si>
    <t>% of gasoline consumption</t>
  </si>
  <si>
    <t>consumption</t>
  </si>
  <si>
    <t>Source: U.S. Energy Information Administration, &lt;em&gt;Monthly Energy Review&lt;/em&gt; and &lt;em&gt;Petroleum Supply Monthly&lt;/em&gt;, May 2020</t>
  </si>
  <si>
    <t>Note: Motor gasoline is finished motor gasoline.</t>
  </si>
  <si>
    <t>fuel ethanol % of motor gasoline consumption</t>
  </si>
  <si>
    <t>fuel ethanol consumption - billion gallons</t>
  </si>
  <si>
    <t>U.S. fuel ethanol consumption and percent of total U.S. motor gasoline consumption, 1981-2019</t>
  </si>
  <si>
    <t>ref2022.d011222a</t>
  </si>
  <si>
    <t>Report</t>
  </si>
  <si>
    <t>Scenario</t>
  </si>
  <si>
    <t>Reference</t>
  </si>
  <si>
    <t>Datekey</t>
  </si>
  <si>
    <t>Release Date</t>
  </si>
  <si>
    <t>REM000</t>
  </si>
  <si>
    <t>17. Renewable Energy Consumption by Sector and Source</t>
  </si>
  <si>
    <t>Average</t>
  </si>
  <si>
    <t>(quadrillion Btu, unless otherwise noted)</t>
  </si>
  <si>
    <t>Annual</t>
  </si>
  <si>
    <t>Change</t>
  </si>
  <si>
    <t xml:space="preserve"> Sector and Source</t>
  </si>
  <si>
    <t>2021–2050</t>
  </si>
  <si>
    <t>Marketed Renewable Energy 1/</t>
  </si>
  <si>
    <t>REM000:ca_Residential(w</t>
  </si>
  <si>
    <t xml:space="preserve">  Residential (wood)</t>
  </si>
  <si>
    <t>REM000:da_Commercial(bi</t>
  </si>
  <si>
    <t xml:space="preserve">  Commercial (biomass)</t>
  </si>
  <si>
    <t>REM000:ea_Industrial</t>
  </si>
  <si>
    <t xml:space="preserve">  Industrial 2/</t>
  </si>
  <si>
    <t>REM000:ea_ConventionalH</t>
  </si>
  <si>
    <t xml:space="preserve">    Conventional Hydroelectric Power</t>
  </si>
  <si>
    <t>REM000:ea_MunicipalSoli</t>
  </si>
  <si>
    <t xml:space="preserve">    Municipal Waste 3/</t>
  </si>
  <si>
    <t>REM000:ea_Biomass</t>
  </si>
  <si>
    <t xml:space="preserve">    Biomass</t>
  </si>
  <si>
    <t>REM000:ea_BiomasHeat&amp;Co</t>
  </si>
  <si>
    <t xml:space="preserve">    Biofuels Heat and Coproducts</t>
  </si>
  <si>
    <t>REM000:fa_Transportatio</t>
  </si>
  <si>
    <t xml:space="preserve">  Transportation</t>
  </si>
  <si>
    <t>REM000:fa_Ethanolusedin</t>
  </si>
  <si>
    <t xml:space="preserve">    Ethanol used in E85 4/</t>
  </si>
  <si>
    <t>REM000:ga_Ethanolusedin</t>
  </si>
  <si>
    <t xml:space="preserve">    Ethanol used in Gasoline Blending</t>
  </si>
  <si>
    <t>REM000:ga_BioDieselBlen</t>
  </si>
  <si>
    <t xml:space="preserve">    Biodiesel used in Distillate Blending</t>
  </si>
  <si>
    <t>REM000:trans_biobute</t>
  </si>
  <si>
    <t xml:space="preserve">    Biobutanol</t>
  </si>
  <si>
    <t>--</t>
  </si>
  <si>
    <t>REM000:gb_LiquidfromBio</t>
  </si>
  <si>
    <t xml:space="preserve">    Liquids from Biomass</t>
  </si>
  <si>
    <t>REM000:gb_GreenLiquids</t>
  </si>
  <si>
    <t xml:space="preserve">    Renewable Diesel and Gasoline 5/</t>
  </si>
  <si>
    <t>REM000:ha_ElectricPower</t>
  </si>
  <si>
    <t xml:space="preserve">  Electric Power 6/</t>
  </si>
  <si>
    <t>REM000:ha_ConventionalH</t>
  </si>
  <si>
    <t>REM000:ha_Geothermal</t>
  </si>
  <si>
    <t xml:space="preserve">    Geothermal</t>
  </si>
  <si>
    <t>REM000:ha_MunicipalSoli</t>
  </si>
  <si>
    <t xml:space="preserve">    Biogenic Municipal Waste 7/</t>
  </si>
  <si>
    <t>REM000:ha_Biomass</t>
  </si>
  <si>
    <t>REM000:ha_DedicatedPlan</t>
  </si>
  <si>
    <t xml:space="preserve">      Dedicated Plants</t>
  </si>
  <si>
    <t>REM000:ha_Cofiring</t>
  </si>
  <si>
    <t xml:space="preserve">      Cofiring</t>
  </si>
  <si>
    <t>REM000:ha_SolarThermal</t>
  </si>
  <si>
    <t xml:space="preserve">    Solar Thermal</t>
  </si>
  <si>
    <t>REM000:ha_SolarPhotovol</t>
  </si>
  <si>
    <t>REM000:ha_Wind</t>
  </si>
  <si>
    <t xml:space="preserve">    Wind</t>
  </si>
  <si>
    <t>REM000:ia_TotalMarketed</t>
  </si>
  <si>
    <t xml:space="preserve">  Total Marketed Renewable Energy</t>
  </si>
  <si>
    <t>REM000:ja_FromCorn</t>
  </si>
  <si>
    <t xml:space="preserve">  From Corn and Other Starch</t>
  </si>
  <si>
    <t>REM000:ja_FromCellulose</t>
  </si>
  <si>
    <t xml:space="preserve">  From Cellulose</t>
  </si>
  <si>
    <t>REM000:ja_Imports</t>
  </si>
  <si>
    <t xml:space="preserve">  Net Imports</t>
  </si>
  <si>
    <t>REM000:ja_Total</t>
  </si>
  <si>
    <t xml:space="preserve">    Total U.S. Supply of Ethanol</t>
  </si>
  <si>
    <t xml:space="preserve">     Selected Consumption</t>
  </si>
  <si>
    <t>REM000:la_Residential</t>
  </si>
  <si>
    <t xml:space="preserve">  Residential</t>
  </si>
  <si>
    <t>REM000:la_SolarHotWater</t>
  </si>
  <si>
    <t xml:space="preserve">    Solar Hot Water Heating</t>
  </si>
  <si>
    <t>REM000:la_GeothermalHea</t>
  </si>
  <si>
    <t xml:space="preserve">    Geothermal Heat Pumps</t>
  </si>
  <si>
    <t>REM000:la_SolarPhotovol</t>
  </si>
  <si>
    <t>REM000:la_blowWindblow</t>
  </si>
  <si>
    <t>REM000:ma_Commercial</t>
  </si>
  <si>
    <t xml:space="preserve">  Commercial</t>
  </si>
  <si>
    <t>REM000:ma_SolarThermal</t>
  </si>
  <si>
    <t>REM000:ma_SolarPhotovol</t>
  </si>
  <si>
    <t>REM000:ma_blowWindblow</t>
  </si>
  <si>
    <t>1/ Includes nonelectric renewable energy groups for which the energy source is bought and sold in the marketplace, although</t>
  </si>
  <si>
    <t>all transactions may not necessarily be marketed, and renewable energy inputs for electricity entering the marketplace</t>
  </si>
  <si>
    <t>for all renewable fuels except hydroelectric, geothermal, solar, and wind.  Consumption at hydroelectric, geothermal, solar, and</t>
  </si>
  <si>
    <t>wind facilities is determined by using the average electric power sector net heat rate for fossil fuels.</t>
  </si>
  <si>
    <t>3/ Includes municipal waste, landfill gas, and municipal sewage sludge.  All municipal waste is included, although a</t>
  </si>
  <si>
    <t>portion of the municipal waste stream contains petroleum-derived plastics and other non-renewable sources.</t>
  </si>
  <si>
    <t>4/ Excludes motor gasoline component of E85.</t>
  </si>
  <si>
    <t>5/ Renewable feedstocks for the on-site production of diesel and gasoline.</t>
  </si>
  <si>
    <t>7/ Includes biogenic municipal waste, landfill gas, and municipal sewage sludge.  Incremental growth is assumed to be for</t>
  </si>
  <si>
    <t>landfill gas facilities.</t>
  </si>
  <si>
    <t>directly or indirectly as an input to marketed energy.  The U.S. Energy Information Administration does not</t>
  </si>
  <si>
    <t>estimate or project total consumption of nonmarketed renewable energy.</t>
  </si>
  <si>
    <t>- - = Not applicable.</t>
  </si>
  <si>
    <t>Btu = British thermal unit.</t>
  </si>
  <si>
    <t>Note:  Totals may not equal sum of components due to independent rounding.</t>
  </si>
  <si>
    <t>TEF000</t>
  </si>
  <si>
    <t>36. Transportation Sector Energy Use by Fuel Type Within Mode</t>
  </si>
  <si>
    <t>(trillion Btu)</t>
  </si>
  <si>
    <t xml:space="preserve"> Mode and Type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</si>
  <si>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</si>
  <si>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</si>
  <si>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</si>
  <si>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</si>
  <si>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</si>
  <si>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</si>
  <si>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</si>
  <si>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</si>
  <si>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</si>
  <si>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</si>
  <si>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</si>
  <si>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</si>
  <si>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</si>
  <si>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</si>
  <si>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</si>
  <si>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</si>
  <si>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Commercial Light Trucks 2/</t>
  </si>
  <si>
    <t>TEF000:clt_MotorGas</t>
  </si>
  <si>
    <t>TEF000:clt_e85</t>
  </si>
  <si>
    <t>TEF000:clt_Diesel</t>
  </si>
  <si>
    <t>TEF000:clt_propane</t>
  </si>
  <si>
    <t>TEF000:clt_natural_gas</t>
  </si>
  <si>
    <t>TEF000:clt_electricity</t>
  </si>
  <si>
    <t>TEF000:clt_hydrogen</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</si>
  <si>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</si>
  <si>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</si>
  <si>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</si>
  <si>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</si>
  <si>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</si>
  <si>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</si>
  <si>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</si>
  <si>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</si>
  <si>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</si>
  <si>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</si>
  <si>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</si>
  <si>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</si>
  <si>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</si>
  <si>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</si>
  <si>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</si>
  <si>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</si>
  <si>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</si>
  <si>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</si>
  <si>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</si>
  <si>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</si>
  <si>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</si>
  <si>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</si>
  <si>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</si>
  <si>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</si>
  <si>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</si>
  <si>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</si>
  <si>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</si>
  <si>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</si>
  <si>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</si>
  <si>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</si>
  <si>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</si>
  <si>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</si>
  <si>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</si>
  <si>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</si>
  <si>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</si>
  <si>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</si>
  <si>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</si>
  <si>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</si>
  <si>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</si>
  <si>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</si>
  <si>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</si>
  <si>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</si>
  <si>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</si>
  <si>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</si>
  <si>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</si>
  <si>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</si>
  <si>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</si>
  <si>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</si>
  <si>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</si>
  <si>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</si>
  <si>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</si>
  <si>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</si>
  <si>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</si>
  <si>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</si>
  <si>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</si>
  <si>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</si>
  <si>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</si>
  <si>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</si>
  <si>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</si>
  <si>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</si>
  <si>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</si>
  <si>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</si>
  <si>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</si>
  <si>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</si>
  <si>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</si>
  <si>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</si>
  <si>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</si>
  <si>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</si>
  <si>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</si>
  <si>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</si>
  <si>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</si>
  <si>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</si>
  <si>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</si>
  <si>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</si>
  <si>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</si>
  <si>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</si>
  <si>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</si>
  <si>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</si>
  <si>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</si>
  <si>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</si>
  <si>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</si>
  <si>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</si>
  <si>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</si>
  <si>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</si>
  <si>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</si>
  <si>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</si>
  <si>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</si>
  <si>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</si>
  <si>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</si>
  <si>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</si>
  <si>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</si>
  <si>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</si>
  <si>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</si>
  <si>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</si>
  <si>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</si>
  <si>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</si>
  <si>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</si>
  <si>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</si>
  <si>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</si>
  <si>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</si>
  <si>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</si>
  <si>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</si>
  <si>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</si>
  <si>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</si>
  <si>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the percentage of ethanol varies seasonally.  The annual average ethanol content of 74 percent is used for these projections.</t>
  </si>
  <si>
    <t>2/ Commercial trucks from 8,501 to 10,000 pounds.</t>
  </si>
  <si>
    <t>3/ Does not include military distillate.  Does not include commercial buses.</t>
  </si>
  <si>
    <t>4/ Does not include passenger rail.</t>
  </si>
  <si>
    <t>Note:  Includes estimated consumption for petroleum and other liquids.  Totals may not equal sum of components due to independent rounding.</t>
  </si>
  <si>
    <t>Sources:  U.S. Energy Information Administration, AEO2022 National Energy Modeling System run ref2022.d011222a.</t>
  </si>
  <si>
    <t>ref2023.d020623a</t>
  </si>
  <si>
    <t>Annual Energy Outlook 2023</t>
  </si>
  <si>
    <t>ref2023</t>
  </si>
  <si>
    <t>d020623a</t>
  </si>
  <si>
    <t xml:space="preserve"> March 2023</t>
  </si>
  <si>
    <t>2022–2050</t>
  </si>
  <si>
    <t xml:space="preserve">    Solar Photovoltaic 8/</t>
  </si>
  <si>
    <t>Nonmarketed Renewable Energy 9/</t>
  </si>
  <si>
    <t>on the electric power grid.  Excludes electricity imports, which are in Table 2.  Actual heat rates used to determine fuel consumption</t>
  </si>
  <si>
    <t>2/ Includes combined-heat-and-power plants that have a non-regulatory status and small on-site generating systems.</t>
  </si>
  <si>
    <t>6/ Includes consumption of energy by electricity-only and combined-heat-and-power plants that have a regulatory status.</t>
  </si>
  <si>
    <t>8/ Does not include off-grid photovoltaics.</t>
  </si>
  <si>
    <t>9/ Includes selected renewable energy consumption data for which the energy is not bought or sold, either</t>
  </si>
  <si>
    <t>Data source: 2022:  U.S. Energy Information Administration (EIA), Short-Term Energy Outlook, November 2022 and EIA,</t>
  </si>
  <si>
    <t>AEO2023 National Energy Modeling System run ref2023.d020623a. Projections:  EIA, AEO2023 National Energy Modeling System run ref2023.d020623a.</t>
  </si>
  <si>
    <t>https://www.eia.gov/outlooks/aeo/data/browser/#/?id=46-AEO2023&amp;sourcekey=0</t>
  </si>
  <si>
    <t>Mon Apr 17 2023 13:56:35 GMT-0400 (Eastern Daylight Time)</t>
  </si>
  <si>
    <t>Growth (2022-2050)</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</si>
  <si>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</si>
  <si>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</si>
  <si>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</si>
  <si>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</si>
  <si>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</si>
  <si>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</si>
  <si>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</si>
  <si>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</si>
  <si>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</si>
  <si>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</si>
  <si>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</si>
  <si>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</si>
  <si>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</si>
  <si>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</si>
  <si>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</si>
  <si>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</si>
  <si>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</si>
  <si>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</si>
  <si>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</si>
  <si>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</si>
  <si>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</si>
  <si>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</si>
  <si>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</si>
  <si>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</si>
  <si>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</si>
  <si>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</si>
  <si>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</si>
  <si>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</si>
  <si>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</si>
  <si>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</si>
  <si>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</si>
  <si>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</si>
  <si>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</si>
  <si>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</si>
  <si>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</si>
  <si>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</si>
  <si>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</si>
  <si>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</si>
  <si>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</si>
  <si>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</si>
  <si>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</si>
  <si>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</si>
  <si>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</si>
  <si>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</si>
  <si>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</si>
  <si>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</si>
  <si>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</si>
  <si>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</si>
  <si>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</si>
  <si>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</si>
  <si>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</si>
  <si>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</si>
  <si>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</si>
  <si>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</si>
  <si>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</si>
  <si>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</si>
  <si>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</si>
  <si>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</si>
  <si>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</si>
  <si>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</si>
  <si>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</si>
  <si>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</si>
  <si>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</si>
  <si>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</si>
  <si>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</si>
  <si>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</si>
  <si>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</si>
  <si>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</si>
  <si>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</si>
  <si>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</si>
  <si>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</si>
  <si>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</si>
  <si>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</si>
  <si>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</si>
  <si>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</si>
  <si>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</si>
  <si>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</si>
  <si>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</si>
  <si>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</si>
  <si>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AEO.2023.REF2023.CNSM_NA_TRN_AIR_NA_NA_NA_TRLBTU.A</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</si>
  <si>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</si>
  <si>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</si>
  <si>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</si>
  <si>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</si>
  <si>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</si>
  <si>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</si>
  <si>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</si>
  <si>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</si>
  <si>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</si>
  <si>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</si>
  <si>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</si>
  <si>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</si>
  <si>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</si>
  <si>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</si>
  <si>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</si>
  <si>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</si>
  <si>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</si>
  <si>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</si>
  <si>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</si>
  <si>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</si>
  <si>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</si>
  <si>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</si>
  <si>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</si>
  <si>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</si>
  <si>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</si>
  <si>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</si>
  <si>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</si>
  <si>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</si>
  <si>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</si>
  <si>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</si>
  <si>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</si>
  <si>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</si>
  <si>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</si>
  <si>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</si>
  <si>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</si>
  <si>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</si>
  <si>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</si>
  <si>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</si>
  <si>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</si>
  <si>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</si>
  <si>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</si>
  <si>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</si>
  <si>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</si>
  <si>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</si>
  <si>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</si>
  <si>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</si>
  <si>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</si>
  <si>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</si>
  <si>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</si>
  <si>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</si>
  <si>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</si>
  <si>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</si>
  <si>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</si>
  <si>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</si>
  <si>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</si>
  <si>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</si>
  <si>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</si>
  <si>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</si>
  <si>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</si>
  <si>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</si>
  <si>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</si>
  <si>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</si>
  <si>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</si>
  <si>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</si>
  <si>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</si>
  <si>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</si>
  <si>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</si>
  <si>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</si>
  <si>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</si>
  <si>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</si>
  <si>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</si>
  <si>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</si>
  <si>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</si>
  <si>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</si>
  <si>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</si>
  <si>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</si>
  <si>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</si>
  <si>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</si>
  <si>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</si>
  <si>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</si>
  <si>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</si>
  <si>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</si>
  <si>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</si>
  <si>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</si>
  <si>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</si>
  <si>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</si>
  <si>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</si>
  <si>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</si>
  <si>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</si>
  <si>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</si>
  <si>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</si>
  <si>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</si>
  <si>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</si>
  <si>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</si>
  <si>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</si>
  <si>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AEO.2023.REF2023.CNSM_NA_TRN_NA_LBC_NA_NA_TRLBTU.A</t>
  </si>
  <si>
    <t>Transportation Energy Use: Pipeline Fuel Natural Gas: Reference case</t>
  </si>
  <si>
    <t>AEO.2023.REF2023.CNSM_NA_TRN_PIPL_NG_NA_NA_TRLBTU.A</t>
  </si>
  <si>
    <t>Natural Gas Liquefaction for Export</t>
  </si>
  <si>
    <t>Transportation Energy Use: Natural Gas for Liquefaction: Reference case</t>
  </si>
  <si>
    <t>AEO.2023.REF2023.CNSM_NA_NMFG_LQFCT_DELE_NA_NA_TRLBTU.A</t>
  </si>
  <si>
    <t>Transportation Energy Use: Total Use: Reference case</t>
  </si>
  <si>
    <t>AEO.2023.REF2023.CNSM_NA_TRN_NA_NA_NA_NA_TRLBTU.A</t>
  </si>
  <si>
    <t>Table 3-13:  CO2 Emissions from Fossil Fuel Combustion in Transportation End-Use Sector (MMT CO2 Eq.)</t>
  </si>
  <si>
    <t>Fuel/Vehicle Type</t>
  </si>
  <si>
    <t>Gasolinea</t>
  </si>
  <si>
    <t>Passenger Cars</t>
  </si>
  <si>
    <t>Light-Duty Trucks</t>
  </si>
  <si>
    <t>Medium- and Heavy-Duty Trucksb</t>
  </si>
  <si>
    <t>Buses</t>
  </si>
  <si>
    <t>Motorcycles</t>
  </si>
  <si>
    <t>Recreational Boatsc</t>
  </si>
  <si>
    <t>Distillate Fuel Oil (Diesel)a</t>
  </si>
  <si>
    <t>Rail</t>
  </si>
  <si>
    <t>Ships and Non-Recreational Boatsd</t>
  </si>
  <si>
    <t>International Bunker Fuelse</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</si>
  <si>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</si>
  <si>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</si>
  <si>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</si>
  <si>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</si>
  <si>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</si>
  <si>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</si>
  <si>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</si>
  <si>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</si>
  <si>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</si>
  <si>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</si>
  <si>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</si>
  <si>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</si>
  <si>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</si>
  <si>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</si>
  <si>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</si>
  <si>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</si>
  <si>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</si>
  <si>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</si>
  <si>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</si>
  <si>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</si>
  <si>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</si>
  <si>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</si>
  <si>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</si>
  <si>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</si>
  <si>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</si>
  <si>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</si>
  <si>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</si>
  <si>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Diesel, shipping</t>
  </si>
  <si>
    <t>Residual fuel oil, shipping</t>
  </si>
  <si>
    <t>MMT</t>
  </si>
  <si>
    <t>BTU</t>
  </si>
  <si>
    <t>Pollutant Emissions Intensity (g pollutant/BTU)</t>
  </si>
  <si>
    <t>CO2</t>
  </si>
  <si>
    <t>VOC</t>
  </si>
  <si>
    <t>CO</t>
  </si>
  <si>
    <t>NOx</t>
  </si>
  <si>
    <t>PM10</t>
  </si>
  <si>
    <t>PM25</t>
  </si>
  <si>
    <t>SOx</t>
  </si>
  <si>
    <t>BC</t>
  </si>
  <si>
    <t>OC</t>
  </si>
  <si>
    <t>CH4</t>
  </si>
  <si>
    <t>N2O</t>
  </si>
  <si>
    <t>F gases</t>
  </si>
  <si>
    <t>https://www.eia.gov/environment/emissions/co2_vol_mass.php</t>
  </si>
  <si>
    <t>Carbon Dioxide Emissions Coefficients by Fuel</t>
  </si>
  <si>
    <r>
      <t>Pounds CO</t>
    </r>
    <r>
      <rPr>
        <b/>
        <vertAlign val="subscript"/>
        <sz val="9"/>
        <color rgb="FF333333"/>
        <rFont val="Inherit"/>
      </rPr>
      <t>2</t>
    </r>
  </si>
  <si>
    <r>
      <t>Kilograms CO</t>
    </r>
    <r>
      <rPr>
        <b/>
        <vertAlign val="subscript"/>
        <sz val="9"/>
        <color rgb="FF333333"/>
        <rFont val="Inherit"/>
      </rPr>
      <t>2</t>
    </r>
  </si>
  <si>
    <r>
      <t>Carbon Dioxide (CO</t>
    </r>
    <r>
      <rPr>
        <b/>
        <vertAlign val="subscript"/>
        <sz val="9"/>
        <color rgb="FF333333"/>
        <rFont val="Inherit"/>
      </rPr>
      <t>2</t>
    </r>
    <r>
      <rPr>
        <b/>
        <sz val="9"/>
        <color rgb="FF333333"/>
        <rFont val="Inherit"/>
      </rPr>
      <t>) Factors:</t>
    </r>
  </si>
  <si>
    <t>Per Unit of Volume or Mass</t>
  </si>
  <si>
    <t>Per Million Btu</t>
  </si>
  <si>
    <t>For homes and businesses</t>
  </si>
  <si>
    <t>12.68 gallon</t>
  </si>
  <si>
    <t>5.75 gallon</t>
  </si>
  <si>
    <t>Diesel and Home Heating Fuel (Distillate Fuel Oil)</t>
  </si>
  <si>
    <t>22.45 gallon</t>
  </si>
  <si>
    <t>10.19 gallon</t>
  </si>
  <si>
    <t>Kerosene</t>
  </si>
  <si>
    <t>21.78 gallon</t>
  </si>
  <si>
    <t>9.88 gallon</t>
  </si>
  <si>
    <t>Coal (All types)</t>
  </si>
  <si>
    <t>3,890.78 short ton</t>
  </si>
  <si>
    <t>1,764.83 short ton</t>
  </si>
  <si>
    <t>Natural Gas</t>
  </si>
  <si>
    <t>120.96 thousand cubic feet</t>
  </si>
  <si>
    <t>54.87 thousand cubic feet</t>
  </si>
  <si>
    <r>
      <t>Finished Motor Gasoline</t>
    </r>
    <r>
      <rPr>
        <vertAlign val="superscript"/>
        <sz val="9"/>
        <color rgb="FF333333"/>
        <rFont val="Inherit"/>
      </rPr>
      <t>a</t>
    </r>
  </si>
  <si>
    <t>17.86 gallon</t>
  </si>
  <si>
    <t>8.10 gallon</t>
  </si>
  <si>
    <t>19.37 gallon</t>
  </si>
  <si>
    <t>8.78 gallon</t>
  </si>
  <si>
    <t>Residual Heating Fuel (Businesses only)</t>
  </si>
  <si>
    <t>24.78 gallon</t>
  </si>
  <si>
    <t>11.24 gallon</t>
  </si>
  <si>
    <t>Other transportation fuels</t>
  </si>
  <si>
    <t>21.50 gallon</t>
  </si>
  <si>
    <t>9.75 gallon</t>
  </si>
  <si>
    <t>Aviation Gas</t>
  </si>
  <si>
    <t>18.32 gallon</t>
  </si>
  <si>
    <t>8.31 gallon</t>
  </si>
  <si>
    <t>Industrial fuels and others not listed above</t>
  </si>
  <si>
    <t>Petroleum coke</t>
  </si>
  <si>
    <t>32.88 gallon</t>
  </si>
  <si>
    <t>14.920 gallon</t>
  </si>
  <si>
    <t>Nonfuel uses</t>
  </si>
  <si>
    <t>Asphalt and Road Oil</t>
  </si>
  <si>
    <t>26.25 gallon</t>
  </si>
  <si>
    <t>11.91 gallon</t>
  </si>
  <si>
    <t>23.58 gallon</t>
  </si>
  <si>
    <t>10.70 gallon</t>
  </si>
  <si>
    <t>Naphthas for Petrochemical Feedstock Use</t>
  </si>
  <si>
    <t>18.74 gallon</t>
  </si>
  <si>
    <t>8.50 gallon</t>
  </si>
  <si>
    <t>Other Oils for Petrochemical Feedstock Use</t>
  </si>
  <si>
    <t>22.61 gallon</t>
  </si>
  <si>
    <t>10.26 gallon</t>
  </si>
  <si>
    <t>Special Naphthas (solvents)</t>
  </si>
  <si>
    <t>19.94 gallon</t>
  </si>
  <si>
    <t>9.04 gallon</t>
  </si>
  <si>
    <t>Waxes</t>
  </si>
  <si>
    <t>21.10 gallon</t>
  </si>
  <si>
    <t>9.57 gallon</t>
  </si>
  <si>
    <t>Coals by type</t>
  </si>
  <si>
    <t>Anthracite</t>
  </si>
  <si>
    <t>5,735.68 short ton</t>
  </si>
  <si>
    <t>2,601.67 short ton</t>
  </si>
  <si>
    <t>Bituminous</t>
  </si>
  <si>
    <t>4,783.52 short ton</t>
  </si>
  <si>
    <t>2,169.77 short ton</t>
  </si>
  <si>
    <t>Subbituminous</t>
  </si>
  <si>
    <t>3,745.22 short ton</t>
  </si>
  <si>
    <t>1,698.80 short ton</t>
  </si>
  <si>
    <t>Lignite</t>
  </si>
  <si>
    <t>2,809.83 short ton</t>
  </si>
  <si>
    <t>1,274.52 short ton</t>
  </si>
  <si>
    <t>Coke</t>
  </si>
  <si>
    <t>7,183.46 short ton</t>
  </si>
  <si>
    <t>3,258.37 short ton</t>
  </si>
  <si>
    <t>Other fuels</t>
  </si>
  <si>
    <t>Geothermal (steam)</t>
  </si>
  <si>
    <t>NA</t>
  </si>
  <si>
    <t>Geothermal (binary cycle)</t>
  </si>
  <si>
    <r>
      <t>Municipal solid waste</t>
    </r>
    <r>
      <rPr>
        <vertAlign val="superscript"/>
        <sz val="9"/>
        <color rgb="FF333333"/>
        <rFont val="Inherit"/>
      </rPr>
      <t>b,c</t>
    </r>
  </si>
  <si>
    <t>1,562.78 short ton</t>
  </si>
  <si>
    <t>708.87 short ton</t>
  </si>
  <si>
    <r>
      <t>Tire-derived fuel</t>
    </r>
    <r>
      <rPr>
        <vertAlign val="superscript"/>
        <sz val="9"/>
        <color rgb="FF333333"/>
        <rFont val="Inherit"/>
      </rPr>
      <t>b</t>
    </r>
  </si>
  <si>
    <t>5,306.87 short ton</t>
  </si>
  <si>
    <t>2,407.16 short ton</t>
  </si>
  <si>
    <r>
      <t>Waste oil</t>
    </r>
    <r>
      <rPr>
        <vertAlign val="superscript"/>
        <sz val="9"/>
        <color rgb="FF333333"/>
        <rFont val="Inherit"/>
      </rPr>
      <t>b</t>
    </r>
  </si>
  <si>
    <t>22.51 gallon</t>
  </si>
  <si>
    <t>10.21 gallon</t>
  </si>
  <si>
    <t>ref2019.d111618a</t>
  </si>
  <si>
    <t>Annual Energy Outlook 2019</t>
  </si>
  <si>
    <t>ref2019</t>
  </si>
  <si>
    <t>Reference case</t>
  </si>
  <si>
    <t>d111618a</t>
  </si>
  <si>
    <t xml:space="preserve"> January 2019</t>
  </si>
  <si>
    <t>CNV000</t>
  </si>
  <si>
    <t>73. Conversion Factors</t>
  </si>
  <si>
    <t>(from physical units to million Btu)</t>
  </si>
  <si>
    <t/>
  </si>
  <si>
    <t>2018-</t>
  </si>
  <si>
    <t>Petroleum and Other Liquids</t>
  </si>
  <si>
    <t>(million Btu per barrel)</t>
  </si>
  <si>
    <t>CNV000:aa_AsphaltandRoa</t>
  </si>
  <si>
    <t xml:space="preserve">  Asphalt and Road Oil</t>
  </si>
  <si>
    <t>CNV000:aa_AviationGasol</t>
  </si>
  <si>
    <t>CNV000:ea_Biodiesel</t>
  </si>
  <si>
    <t xml:space="preserve">  Biodiesel</t>
  </si>
  <si>
    <t>CNV000:aa_Distillate</t>
  </si>
  <si>
    <t xml:space="preserve">  Distillate Fuel Oil</t>
  </si>
  <si>
    <t>CNV000:aa_Residential</t>
  </si>
  <si>
    <t xml:space="preserve">    Residential</t>
  </si>
  <si>
    <t>CNV000:aa_Commercial</t>
  </si>
  <si>
    <t xml:space="preserve">    Commercial</t>
  </si>
  <si>
    <t>CNV000:aa_Transportatio</t>
  </si>
  <si>
    <t xml:space="preserve">    Transportation</t>
  </si>
  <si>
    <t>CNV000:aa_Industrial</t>
  </si>
  <si>
    <t xml:space="preserve">    Industrial</t>
  </si>
  <si>
    <t>CNV000:aa_ElectricPower</t>
  </si>
  <si>
    <t xml:space="preserve">    Electric Power</t>
  </si>
  <si>
    <t>CNV000:aa_TotalDistilla</t>
  </si>
  <si>
    <t xml:space="preserve">      Total Distillate</t>
  </si>
  <si>
    <t>CNV000:aa_DistLowSulf</t>
  </si>
  <si>
    <t xml:space="preserve">  Distillate Fuel Oil - Low Sulfur Diesel</t>
  </si>
  <si>
    <t>CNV000:aa_DistUltraLow</t>
  </si>
  <si>
    <t xml:space="preserve">  Distillate Fuel Oil - Ultra Low Sulfur Diesel</t>
  </si>
  <si>
    <t>CNV000:aa_Ethanol</t>
  </si>
  <si>
    <t xml:space="preserve">  Ethanol including denaturant</t>
  </si>
  <si>
    <t>CNV000:aa_E85</t>
  </si>
  <si>
    <t>CNV000:aa_JetFuel-Keros</t>
  </si>
  <si>
    <t xml:space="preserve">  Jet Fuel - Kerosene</t>
  </si>
  <si>
    <t>CNV000:aa_Lubricants</t>
  </si>
  <si>
    <t xml:space="preserve">  Lubricants</t>
  </si>
  <si>
    <t>CNV000:aa_MotorGasoline</t>
  </si>
  <si>
    <t xml:space="preserve">  Motor Gasoline Average</t>
  </si>
  <si>
    <t>CNV000:aa_TradMotorGas</t>
  </si>
  <si>
    <t xml:space="preserve">     Conventional Motor Gasoline</t>
  </si>
  <si>
    <t>CNV000:aa_ReforMotorGas</t>
  </si>
  <si>
    <t xml:space="preserve">     Reformulated Motor Gasoline</t>
  </si>
  <si>
    <t>CNV000:convert_cbob</t>
  </si>
  <si>
    <t xml:space="preserve">     Conventional before Blending</t>
  </si>
  <si>
    <t>CNV000:convert_rbob</t>
  </si>
  <si>
    <t xml:space="preserve">     Reformulated before Blending</t>
  </si>
  <si>
    <t>CNV000:aa_PentanesPlus</t>
  </si>
  <si>
    <t xml:space="preserve">  Natural Gasoline</t>
  </si>
  <si>
    <t>CNV000:aa_OtherPetroleu</t>
  </si>
  <si>
    <t xml:space="preserve">  Other Petroleum</t>
  </si>
  <si>
    <t>CNV000:aa_PetrochemFeed</t>
  </si>
  <si>
    <t xml:space="preserve">  Petrochemical Feedstocks</t>
  </si>
  <si>
    <t>CNV000:aa_PetroleumCoke</t>
  </si>
  <si>
    <t xml:space="preserve">  Petroleum Coke</t>
  </si>
  <si>
    <t>CNV000:aa_ResidualFuel</t>
  </si>
  <si>
    <t xml:space="preserve">  Residual Fuel</t>
  </si>
  <si>
    <t>CNV000:aa_StillGas</t>
  </si>
  <si>
    <t xml:space="preserve">  Still Gas</t>
  </si>
  <si>
    <t>CNV000:aa_UnfinishOilIm</t>
  </si>
  <si>
    <t xml:space="preserve">  Unfinished Oils</t>
  </si>
  <si>
    <t>CNV000:aa_TotalPetroleu</t>
  </si>
  <si>
    <t xml:space="preserve">  Total Petroleum Consumption</t>
  </si>
  <si>
    <t>CNV000:aa_Imports</t>
  </si>
  <si>
    <t xml:space="preserve">  Petroleum Product Imports</t>
  </si>
  <si>
    <t>CNV000:aa_Exports</t>
  </si>
  <si>
    <t xml:space="preserve">  Petroleum Product Exports</t>
  </si>
  <si>
    <t xml:space="preserve">  Crude Oil</t>
  </si>
  <si>
    <t>CNV000:aa_CrudeOilProdu</t>
  </si>
  <si>
    <t xml:space="preserve">    Production</t>
  </si>
  <si>
    <t>CNV000:aa_CrudeOilImpor</t>
  </si>
  <si>
    <t xml:space="preserve">    Imports</t>
  </si>
  <si>
    <t>CNV000:aa_CrudeOilExpor</t>
  </si>
  <si>
    <t xml:space="preserve">    Exports</t>
  </si>
  <si>
    <t>CNV000:aa_NaturalGasPla</t>
  </si>
  <si>
    <t xml:space="preserve">  Natural Gas Plant Liquids</t>
  </si>
  <si>
    <t>Natural Gas (thousand Btu per cubic foot)</t>
  </si>
  <si>
    <t>CNV000:ba_Consumption</t>
  </si>
  <si>
    <t xml:space="preserve">  Consumption</t>
  </si>
  <si>
    <t>CNV000:ba_Utility</t>
  </si>
  <si>
    <t xml:space="preserve">    Electric Power Sector 2/</t>
  </si>
  <si>
    <t>CNV000:ba_Nonutility</t>
  </si>
  <si>
    <t xml:space="preserve">    End-use Sector</t>
  </si>
  <si>
    <t>CNV000:ba_Production</t>
  </si>
  <si>
    <t xml:space="preserve">  Production</t>
  </si>
  <si>
    <t>CNV000:ba_Imports</t>
  </si>
  <si>
    <t xml:space="preserve">  Imports</t>
  </si>
  <si>
    <t>CNV000:ba_Exports</t>
  </si>
  <si>
    <t xml:space="preserve">  Exports</t>
  </si>
  <si>
    <t>CNV000:ba_CompressedNat</t>
  </si>
  <si>
    <t>Coal (million Btu per short ton)</t>
  </si>
  <si>
    <t>CNV000:ca_Production</t>
  </si>
  <si>
    <t>CNV000:ca_EastoftheMiss</t>
  </si>
  <si>
    <t xml:space="preserve">    East of the Mississippi</t>
  </si>
  <si>
    <t>CNV000:ca_WestoftheMiss</t>
  </si>
  <si>
    <t xml:space="preserve">    West of the Mississippi</t>
  </si>
  <si>
    <t>CNV000:ca_Consumption</t>
  </si>
  <si>
    <t>CNV000:ca_Residentialan</t>
  </si>
  <si>
    <t xml:space="preserve">    Commercial and Institutional</t>
  </si>
  <si>
    <t>CNV000:ca_Industrial</t>
  </si>
  <si>
    <t xml:space="preserve">    Industrial 3/</t>
  </si>
  <si>
    <t>CNV000:ca_Coking</t>
  </si>
  <si>
    <t xml:space="preserve">    Coking</t>
  </si>
  <si>
    <t>CNV000:ca_ElectricPower</t>
  </si>
  <si>
    <t xml:space="preserve">    Electric Power 2/</t>
  </si>
  <si>
    <t>CNV000:ca_Imports</t>
  </si>
  <si>
    <t>CNV000:ca_Exports</t>
  </si>
  <si>
    <t>CNV000:ca_CoaltoLiquids</t>
  </si>
  <si>
    <t xml:space="preserve">  Coal to Liquids</t>
  </si>
  <si>
    <t>CNV000:ca_WasteCoal</t>
  </si>
  <si>
    <t xml:space="preserve">  Waste Coal</t>
  </si>
  <si>
    <t>CNV000:da_Electricity</t>
  </si>
  <si>
    <t>Electricity (Btu per kilowatthour)</t>
  </si>
  <si>
    <t xml:space="preserve">   1/ Includes ethane, natural gasoline, and refinery olefins.</t>
  </si>
  <si>
    <t xml:space="preserve">   2/ Includes all electricity-only and combined heat and power plants that have a regulatory status.</t>
  </si>
  <si>
    <t xml:space="preserve">   3/ Includes combined heat and power plants that have a non-regulatory status, and small on-site generating systems.</t>
  </si>
  <si>
    <t xml:space="preserve">   - - = Not applicable.</t>
  </si>
  <si>
    <t xml:space="preserve">   Note:  Data for 2017 are model results and may differ from official EIA data reports.</t>
  </si>
  <si>
    <t xml:space="preserve">   Sources:  2017 based on:  U.S. Energy Information Administration (EIA), Monthly Energy Review, September 2018.</t>
  </si>
  <si>
    <t>2018:  EIA, Short-Term Energy Outlook, October 2018 and EIA, AEO2019 National Energy Modeling System run ref2019.d111618a.</t>
  </si>
  <si>
    <t>Projections:  EIA, AEO2019 National Energy Modeling System run ref2019.d111618a.</t>
  </si>
  <si>
    <t>BTU per barrel, finished gasoline</t>
  </si>
  <si>
    <t>BTU per barrel, motor gasoline before blending</t>
  </si>
  <si>
    <t>BTUs per barrel from motor gasoline</t>
  </si>
  <si>
    <t>Percentage of BTUs per barrel from motor gasoline</t>
  </si>
  <si>
    <t>Percentage of BTUs per barrel from ethanol</t>
  </si>
  <si>
    <t>AEO.2025.ALTTRNP.CNSM_NA_COMM_NA_WND_NA_NA_QBTU.A</t>
  </si>
  <si>
    <t>Renewable Energy: Nonmarketed Selected Use: Commercial: Wind: Alternative Transportation</t>
  </si>
  <si>
    <t>AEO.2025.ALTTRNP.CNSM_NA_COMM_NA_SLR_PHTVL_NA_QBTU.A</t>
  </si>
  <si>
    <t>Renewable Energy: Nonmarketed Selected Use: Commercial: Solar Photovoltaic: Alternative Transportation</t>
  </si>
  <si>
    <t>AEO.2025.ALTTRNP.CNSM_NA_COMM_NA_SLR_THERM_NA_QBTU.A</t>
  </si>
  <si>
    <t>Renewable Energy: Nonmarketed Selected Use: Commercial: Solar Thermal: Alternative Transportation</t>
  </si>
  <si>
    <t>AEO.2025.ALTTRNP.CNSM_NA_COMM_NA_NA_NA_NA_QBTU.A</t>
  </si>
  <si>
    <t>Renewable Energy: Nonmarketed Selected Use: Commercial: Alternative Transportation</t>
  </si>
  <si>
    <t>AEO.2025.ALTTRNP.CNSM_NA_RESD_NA_WND_NA_NA_QBTU.A</t>
  </si>
  <si>
    <t>Renewable Energy: Nonmarketed Selected Use: Residential: Wind: Alternative Transportation</t>
  </si>
  <si>
    <t>AEO.2025.ALTTRNP.CNSM_NA_RESD_NA_SLR_PHTVL_NA_QBTU.A</t>
  </si>
  <si>
    <t>Renewable Energy: Nonmarketed Selected Use: Residential: Solar Photovoltaic: Alternative Transportation</t>
  </si>
  <si>
    <t>AEO.2025.ALTTRNP.CNSM_NA_RESD_NA_SHW_NA_NA_QBTU.A</t>
  </si>
  <si>
    <t>Renewable Energy: Nonmarketed Selected Use: Residential: Solar Hot Water Heating: Alternative Transportation</t>
  </si>
  <si>
    <t>AEO.2025.ALTTRNP.CNSM_NA_RESD_NA_NA_NA_NA_QBTU.A</t>
  </si>
  <si>
    <t>Renewable Energy: Nonmarketed Selected Use: Residential: Alternative Transportation</t>
  </si>
  <si>
    <t>AEO.2025.ALTTRNP.SUP_NA_NA_NA_ETH_NA_NA_QBTU.A</t>
  </si>
  <si>
    <t>Renewable Energy: Total U.S. Supply of Ethanol: Alternative Transportation</t>
  </si>
  <si>
    <t>AEO.2025.ALTTRNP.SUP_NETIMP_NA_NA_ETH_NA_NA_QBTU.A</t>
  </si>
  <si>
    <t>Renewable Energy: Sources of Ethanol: Net Imports: Alternative Transportation</t>
  </si>
  <si>
    <t>AEO.2025.ALTTRNP.SUP_PRD_FCE_NA_ETH_NA_NA_QBTU.A</t>
  </si>
  <si>
    <t>Renewable Energy: Sources of Ethanol: From Cellulose: Alternative Transportation</t>
  </si>
  <si>
    <t>AEO.2025.ALTTRNP.SUP_PRD_FCO_NA_ETH_NA_NA_QBTU.A</t>
  </si>
  <si>
    <t>Renewable Energy: Sources of Ethanol: From Corn: Alternative Transportation</t>
  </si>
  <si>
    <t>AEO.2025.ALTTRNP.CNSM_NA_NA_NA_NA_NA_NA_QBTU.A</t>
  </si>
  <si>
    <t>Renewable Energy: Total Marketed Renewable Energy Use: Alternative Transportation</t>
  </si>
  <si>
    <t>AEO.2025.ALTTRNP.CNSM_NA_ELEP_NA_WND_NA_NA_QBTU.A</t>
  </si>
  <si>
    <t>Renewable Energy: Marketed Use: Electric Power: Wind: Alternative Transportation</t>
  </si>
  <si>
    <t>AEO.2025.ALTTRNP.CNSM_NA_ELEP_NA_SLR_PHTVL_NA_QBTU.A</t>
  </si>
  <si>
    <t>Renewable Energy: Marketed Use: Electric Power: Solar Photovoltaic: Alternative Transportation</t>
  </si>
  <si>
    <t>AEO.2025.ALTTRNP.CNSM_NA_ELEP_NA_SLR_THERM_NA_QBTU.A</t>
  </si>
  <si>
    <t>Renewable Energy: Marketed Use: Electric Power: Solar Thermal: Alternative Transportation</t>
  </si>
  <si>
    <t>AEO.2025.ALTTRNP.CNSM_NA_ELEP_NA_CFR_NA_NA_QBTU.A</t>
  </si>
  <si>
    <t>Renewable Energy: Marketed Use: Electric Power: Biomass: Cofiring: Alternative Transportation</t>
  </si>
  <si>
    <t>AEO.2025.ALTTRNP.CNSM_NA_ELEP_NA_DPE_NA_NA_QBTU.A</t>
  </si>
  <si>
    <t>Renewable Energy: Marketed Use: Electric Power: Biomass: Dedicated Plants: Alternative Transportation</t>
  </si>
  <si>
    <t>AEO.2025.ALTTRNP.CNSM_NA_ELEP_NA_BMS_NA_NA_QBTU.A</t>
  </si>
  <si>
    <t>Renewable Energy: Marketed Use: Electric Power: Biomass: Alternative Transportation</t>
  </si>
  <si>
    <t>AEO.2025.ALTTRNP.CNSM_NA_ELEP_NA_BGM_NA_NA_QBTU.A</t>
  </si>
  <si>
    <t>Renewable Energy: Marketed Use: Electric Power: Biogenic Municipal Waste: Alternative Transportation</t>
  </si>
  <si>
    <t>AEO.2025.ALTTRNP.CNSM_NA_ELEP_NA_GEOTHM_NA_NA_QBTU.A</t>
  </si>
  <si>
    <t>Renewable Energy: Marketed Use: Electric Power: Geothermal: Alternative Transportation</t>
  </si>
  <si>
    <t>AEO.2025.ALTTRNP.CNSM_NA_ELEP_NA_HYD_CNV_NA_QBTU.A</t>
  </si>
  <si>
    <t>Renewable Energy: Marketed Use: Electric Power: Hydropower: Alternative Transportation</t>
  </si>
  <si>
    <t>AEO.2025.ALTTRNP.CNSM_NA_ELEP_NA_NA_NA_NA_QBTU.A</t>
  </si>
  <si>
    <t>Renewable Energy: Marketed Use: Electric Power: Alternative Transportation</t>
  </si>
  <si>
    <t>AEO.2025.ALTTRNP.CNSM_NA_TRN_NA_GLQ_NA_NA_QBTU.A</t>
  </si>
  <si>
    <t>Renewable Energy: Marketed Use: Transportation: Green Liquids: Alternative Transportation</t>
  </si>
  <si>
    <t>AEO.2025.ALTTRNP.CNSM_NA_TRN_NA_LFB_NA_NA_QBTU.A</t>
  </si>
  <si>
    <t>Renewable Energy: Marketed Use: Transportation: Liquids from Biomass: Alternative Transportation</t>
  </si>
  <si>
    <t>AEO.2025.ALTTRNP.CNSM_NA_TRN_NA_BIOB_NA_NA_NA.A</t>
  </si>
  <si>
    <t>Renewable Energy: Marketed Use: Transportation: Biobutanol: Alternative Transportation</t>
  </si>
  <si>
    <t>AEO.2025.ALTTRNP.CNSM_NA_TRN_NA_BUD_NA_NA_QBTU.A</t>
  </si>
  <si>
    <t>Renewable Energy: Marketed Use: Transportation: Biodiesel used in Distillate Blending: Alternative Transportation</t>
  </si>
  <si>
    <t>AEO.2025.ALTTRNP.CNSM_NA_TRN_NA_EBL_NA_NA_QBTU.A</t>
  </si>
  <si>
    <t>Renewable Energy: Marketed Use: Transportation: Ethanol used in Gasoline Blending: Alternative Transportation</t>
  </si>
  <si>
    <t>AEO.2025.ALTTRNP.CNSM_NA_TRN_NA_ETE_NA_NA_QBTU.A</t>
  </si>
  <si>
    <t>Renewable Energy: Marketed Use: Transportation: Ethanol used in E85: Alternative Transportation</t>
  </si>
  <si>
    <t>AEO.2025.ALTTRNP.CNSM_NA_TRN_NA_NA_NA_NA_QBTU.A</t>
  </si>
  <si>
    <t>Renewable Energy: Marketed Use: Transportation: Alternative Transportation</t>
  </si>
  <si>
    <t>AEO.2025.ALTTRNP.CNSM_NA_IDAL_NA_BFH_NA_NA_QBTU.A</t>
  </si>
  <si>
    <t>Renewable Energy: Marketed Use: Industrial: Biofuels Heat and Coproducts: Alternative Transportation</t>
  </si>
  <si>
    <t>AEO.2025.ALTTRNP.CNSM_NA_IDAL_NA_BMS_NA_NA_QBTU.A</t>
  </si>
  <si>
    <t>Renewable Energy: Marketed Use: Industrial: Biomass: Alternative Transportation</t>
  </si>
  <si>
    <t>AEO.2025.ALTTRNP.CNSM_NA_IDAL_NA_MUNWST_NA_NA_QBTU.A</t>
  </si>
  <si>
    <t>Renewable Energy: Marketed Use: Industrial: Municipal Waste: Alternative Transportation</t>
  </si>
  <si>
    <t>AEO.2025.ALTTRNP.CNSM_NA_IDAL_NA_HYD_CNV_NA_QBTU.A</t>
  </si>
  <si>
    <t>Renewable Energy: Marketed Use: Industrial: Hydropower: Alternative Transportation</t>
  </si>
  <si>
    <t>AEO.2025.ALTTRNP.CNSM_NA_IDAL_NA_MRE_NA_NA_QBTU.A</t>
  </si>
  <si>
    <t>Renewable Energy: Marketed Use: Industrial: Alternative Transportation</t>
  </si>
  <si>
    <t>AEO.2025.ALTTRNP.CNSM_NA_COMM_NA_BMS_NA_NA_QBTU.A</t>
  </si>
  <si>
    <t>Renewable Energy: Marketed Use: Commercial: Biomass: Alternative Transportation</t>
  </si>
  <si>
    <t>AEO.2025.ALTTRNP.CNSM_NA_RESD_NA_BMS_NA_NA_QBTU.A</t>
  </si>
  <si>
    <t>Renewable Energy: Marketed Use: Residential: Wood: Alternative Transportation</t>
  </si>
  <si>
    <t>Growth (2024-2050)</t>
  </si>
  <si>
    <t>Fri Dec 05 2025 14:44:26 GMT-0800 (Pacific Standard Time)</t>
  </si>
  <si>
    <t>https://www.eia.gov/outlooks/aeo/data/browser/#/?id=24-AEO2025&amp;cases=alttrnp&amp;sourcekey=0</t>
  </si>
  <si>
    <t>AEO.2025.ALTTRNP.CNSM_NA_TRN_NA_NA_NA_NA_TRLBTU.A</t>
  </si>
  <si>
    <t>Transportation Energy Use: Total Use: Alternative Transportation</t>
  </si>
  <si>
    <t>AEO.2025.ALTTRNP.CNSM_NA_NMFG_LQFCT_DELE_NA_NA_TRLBTU.A</t>
  </si>
  <si>
    <t>Transportation Energy Use: Natural Gas for Liquefaction: Alternative Transportation</t>
  </si>
  <si>
    <t>AEO.2025.ALTTRNP.CNSM_NA_TRN_PIPL_NG_NA_NA_TRLBTU.A</t>
  </si>
  <si>
    <t>Transportation Energy Use: Pipeline Fuel Natural Gas: Alternative Transportation</t>
  </si>
  <si>
    <t>AEO.2025.ALTTRNP.CNSM_NA_TRN_NA_LBC_NA_NA_TRLBTU.A</t>
  </si>
  <si>
    <t>Transportation Energy Use: Lubricants: Alternative Transportation</t>
  </si>
  <si>
    <t>AEO.2025.ALTTRNP.CNSM_NA_TRN_RCB_DFO_NA_NA_TRLBTU.A</t>
  </si>
  <si>
    <t>Transportation Energy Use: Recreation Boats: Distillate Fuel Oil: Alternative Transportation</t>
  </si>
  <si>
    <t>AEO.2025.ALTTRNP.CNSM_NA_TRN_RCB_GSL_NA_NA_TRLBTU.A</t>
  </si>
  <si>
    <t>Transportation Energy Use: Recreation Boats: Motor Gasoline: Alternative Transportation</t>
  </si>
  <si>
    <t>AEO.2025.ALTTRNP.CNSM_NA_TRN_RCB_NA_NA_NA_TRLBTU.A</t>
  </si>
  <si>
    <t>Transportation Energy Use: Recreation Boats: Alternative Transportation</t>
  </si>
  <si>
    <t>AEO.2025.ALTTRNP.CNSM_NA_TRN_CRAIL_LNG_NA_NA_TRLBTU.A</t>
  </si>
  <si>
    <t>Transportation Energy Use: Rail: Commuter Rail: LNG: Alternative Transportation</t>
  </si>
  <si>
    <t>AEO.2025.ALTTRNP.CNSM_NA_TRN_CRAIL_CNG_NA_NA_TRLBTU.A</t>
  </si>
  <si>
    <t>Transportation Energy Use: Rail: Commuter Rail: CNG: Alternative Transportation</t>
  </si>
  <si>
    <t>AEO.2025.ALTTRNP.CNSM_NA_TRN_CRAIL_DSL_NA_NA_TRLBTU.A</t>
  </si>
  <si>
    <t>Transportation Energy Use: Rail: Commuter Rail: Diesel: Alternative Transportation</t>
  </si>
  <si>
    <t>AEO.2025.ALTTRNP.CNSM_NA_TRN_CRAIL_ELC_NA_NA_TRLBTU.A</t>
  </si>
  <si>
    <t>Transportation Energy Use: Rail: Commuter Rail: Electricity: Alternative Transportation</t>
  </si>
  <si>
    <t>AEO.2025.ALTTRNP.CNSM_NA_TRN_CRAIL_NA_NA_NA_TRLBTU.A</t>
  </si>
  <si>
    <t>Transportation Energy Use: Rail: Commuter Rail: Alternative Transportation</t>
  </si>
  <si>
    <t>AEO.2025.ALTTRNP.CNSM_NA_TRN_TRAIL_ELC_NA_NA_TRLBTU.A</t>
  </si>
  <si>
    <t>Transportation Energy Use: Rail: Transit Rail: Electricity: Alternative Transportation</t>
  </si>
  <si>
    <t>AEO.2025.ALTTRNP.CNSM_NA_TRN_TRAIL_NA_NA_NA_TRLBTU.A</t>
  </si>
  <si>
    <t>Transportation Energy Use: Rail: Transit Rail: Alternative Transportation</t>
  </si>
  <si>
    <t>AEO.2025.ALTTRNP.CNSM_NA_TRN_IRAIL_LNG_NA_NA_TRLBTU.A</t>
  </si>
  <si>
    <t>Transportation Energy Use: Rail: Intercity Rail: LNG: Alternative Transportation</t>
  </si>
  <si>
    <t>AEO.2025.ALTTRNP.CNSM_NA_TRN_IRAIL_CNG_NA_NA_TRLBTU.A</t>
  </si>
  <si>
    <t>Transportation Energy Use: Rail: Intercity Rail: CNG: Alternative Transportation</t>
  </si>
  <si>
    <t>AEO.2025.ALTTRNP.CNSM_NA_TRN_IRAIL_DSL_NA_NA_TRLBTU.A</t>
  </si>
  <si>
    <t>Transportation Energy Use: Rail: Intercity Rail: Diesel: Alternative Transportation</t>
  </si>
  <si>
    <t>AEO.2025.ALTTRNP.CNSM_NA_TRN_IRAIL_ELC_NA_NA_TRLBTU.A</t>
  </si>
  <si>
    <t>Transportation Energy Use: Rail: Intercity Rail: Electricity: Alternative Transportation</t>
  </si>
  <si>
    <t>AEO.2025.ALTTRNP.CNSM_NA_TRN_IRAIL_NA_NA_NA_TRLBTU.A</t>
  </si>
  <si>
    <t>Transportation Energy Use: Rail: Intercity Rail: Alternative Transportation</t>
  </si>
  <si>
    <t>AEO.2025.ALTTRNP.CNSM_NA_TRN_RAIL_NA_NA_NA_TRLBTU.A</t>
  </si>
  <si>
    <t>Transportation Energy Use: Rail: Alternative Transportation</t>
  </si>
  <si>
    <t>AEO.2025.ALTTRNP.CNSM_NA_TRN_LSRC_HDG_NA_NA_TRLBTU.A</t>
  </si>
  <si>
    <t>Transportation Energy Use: Bus: School Bus: Hydrogen: Alternative Transportation</t>
  </si>
  <si>
    <t>AEO.2025.ALTTRNP.CNSM_NA_TRN_LSRC_ELC_NA_NA_TRLBTU.A</t>
  </si>
  <si>
    <t>Transportation Energy Use: Bus: School Bus: Electricity: Alternative Transportation</t>
  </si>
  <si>
    <t>AEO.2025.ALTTRNP.CNSM_NA_TRN_LSRC_LPG_NA_NA_TRLBTU.A</t>
  </si>
  <si>
    <t>Transportation Energy Use: Bus: School Bus: Propane: Alternative Transportation</t>
  </si>
  <si>
    <t>AEO.2025.ALTTRNP.CNSM_NA_TRN_LSRC_NG_NA_NA_TRLBTU.A</t>
  </si>
  <si>
    <t>Transportation Energy Use: Bus: School Bus: Natural Gas: Alternative Transportation</t>
  </si>
  <si>
    <t>AEO.2025.ALTTRNP.CNSM_NA_TRN_LSRC_DFO_NA_NA_TRLBTU.A</t>
  </si>
  <si>
    <t>Transportation Energy Use: Bus: School Bus: Distillate Fuel Oil: Alternative Transportation</t>
  </si>
  <si>
    <t>AEO.2025.ALTTRNP.CNSM_NA_TRN_LSRC_E85_NA_NA_TRLBTU.A</t>
  </si>
  <si>
    <t>Transportation Energy Use: Bus: School Bus: E85: Alternative Transportation</t>
  </si>
  <si>
    <t>AEO.2025.ALTTRNP.CNSM_NA_TRN_LSRC_MGS_NA_NA_TRLBTU.A</t>
  </si>
  <si>
    <t>Transportation Energy Use: Bus: School Bus: Motor Gasoline: Alternative Transportation</t>
  </si>
  <si>
    <t>AEO.2025.ALTTRNP.CNSM_NA_TRN_LSRC_NA_NA_NA_TRLBTU.A</t>
  </si>
  <si>
    <t>Transportation Energy Use: Bus: School Bus: Alternative Transportation</t>
  </si>
  <si>
    <t>AEO.2025.ALTTRNP.CNSM_NA_TRN_IBUS_HDG_NA_NA_TRLBTU.A</t>
  </si>
  <si>
    <t>Transportation Energy Use: Bus: Intercity Bus: Hydrogen: Alternative Transportation</t>
  </si>
  <si>
    <t>AEO.2025.ALTTRNP.CNSM_NA_TRN_IBUS_ELC_NA_NA_TRLBTU.A</t>
  </si>
  <si>
    <t>Transportation Energy Use: Bus: Intercity Bus: Electricity: Alternative Transportation</t>
  </si>
  <si>
    <t>AEO.2025.ALTTRNP.CNSM_NA_TRN_IBUS_LPG_NA_NA_TRLBTU.A</t>
  </si>
  <si>
    <t>Transportation Energy Use: Bus: Intercity Bus: Propane: Alternative Transportation</t>
  </si>
  <si>
    <t>AEO.2025.ALTTRNP.CNSM_NA_TRN_IBUS_NG_NA_NA_TRLBTU.A</t>
  </si>
  <si>
    <t>Transportation Energy Use: Bus: Intercity Bus: Natural Gas: Alternative Transportation</t>
  </si>
  <si>
    <t>AEO.2025.ALTTRNP.CNSM_NA_TRN_IBUS_DFO_NA_NA_TRLBTU.A</t>
  </si>
  <si>
    <t>Transportation Energy Use: Bus: Intercity Bus: Distillate Fuel Oil: Alternative Transportation</t>
  </si>
  <si>
    <t>AEO.2025.ALTTRNP.CNSM_NA_TRN_IBUS_E85_NA_NA_TRLBTU.A</t>
  </si>
  <si>
    <t>Transportation Energy Use: Bus: Intercity Bus: E85: Alternative Transportation</t>
  </si>
  <si>
    <t>AEO.2025.ALTTRNP.CNSM_NA_TRN_IBUS_MGS_NA_NA_TRLBTU.A</t>
  </si>
  <si>
    <t>Transportation Energy Use: Bus: Intercity Bus: Motor Gasoline: Alternative Transportation</t>
  </si>
  <si>
    <t>AEO.2025.ALTTRNP.CNSM_NA_TRN_IBUS_NA_NA_NA_TRLBTU.A</t>
  </si>
  <si>
    <t>Transportation Energy Use: Bus: Intercity Bus: Alternative Transportation</t>
  </si>
  <si>
    <t>AEO.2025.ALTTRNP.CNSM_NA_TRN_TBUS_HDG_NA_NA_TRLBTU.A</t>
  </si>
  <si>
    <t>Transportation Energy Use: Bus: Transit Bus: Hydrogen: Alternative Transportation</t>
  </si>
  <si>
    <t>AEO.2025.ALTTRNP.CNSM_NA_TRN_TBUS_ELC_NA_NA_TRLBTU.A</t>
  </si>
  <si>
    <t>Transportation Energy Use: Bus: Transit Bus: Electricity: Alternative Transportation</t>
  </si>
  <si>
    <t>AEO.2025.ALTTRNP.CNSM_NA_TRN_TBUS_LPG_NA_NA_TRLBTU.A</t>
  </si>
  <si>
    <t>Transportation Energy Use: Bus: Transit Bus: Propane: Alternative Transportation</t>
  </si>
  <si>
    <t>AEO.2025.ALTTRNP.CNSM_NA_TRN_TBUS_NG_NA_NA_TRLBTU.A</t>
  </si>
  <si>
    <t>Transportation Energy Use: Bus: Transit Bus: Natural Gas: Alternative Transportation</t>
  </si>
  <si>
    <t>AEO.2025.ALTTRNP.CNSM_NA_TRN_TBUS_DFO_NA_NA_TRLBTU.A</t>
  </si>
  <si>
    <t>Transportation Energy Use: Bus: Transit Bus: Distillate Fuel Oil: Alternative Transportation</t>
  </si>
  <si>
    <t>AEO.2025.ALTTRNP.CNSM_NA_TRN_TBUS_E85_NA_NA_TRLBTU.A</t>
  </si>
  <si>
    <t>Transportation Energy Use: Bus: Transit Bus: E85: Alternative Transportation</t>
  </si>
  <si>
    <t>AEO.2025.ALTTRNP.CNSM_NA_TRN_TBUS_MGS_NA_NA_TRLBTU.A</t>
  </si>
  <si>
    <t>Transportation Energy Use: Bus: Transit Bus: Motor Gasoline: Alternative Transportation</t>
  </si>
  <si>
    <t>AEO.2025.ALTTRNP.CNSM_NA_TRN_TBUS_NA_NA_NA_TRLBTU.A</t>
  </si>
  <si>
    <t>Transportation Energy Use: Bus: Transit Bus: Alternative Transportation</t>
  </si>
  <si>
    <t>AEO.2025.ALTTRNP.CNSM_NA_TRN_BUS_NA_NA_NA_TRLBTU.A</t>
  </si>
  <si>
    <t>Transportation Energy Use: Bus: Alternative Transportation</t>
  </si>
  <si>
    <t>AEO.2025.ALTTRNP.CNSM_NA_TRN_MILT_DFO_NA_NA_TRLBTU.A</t>
  </si>
  <si>
    <t>Transportation Energy Use: Military: Distillate Fuel Oil: Alternative Transportation</t>
  </si>
  <si>
    <t>AEO.2025.ALTTRNP.CNSM_NA_TRN_MILT_RFO_NA_NA_TRLBTU.A</t>
  </si>
  <si>
    <t>Transportation Energy Use: Military: Residual Fuel Oil: Alternative Transportation</t>
  </si>
  <si>
    <t>AEO.2025.ALTTRNP.CNSM_NA_TRN_MILT_JFL_NA_NA_TRLBTU.A</t>
  </si>
  <si>
    <t>Transportation Energy Use: Military: Jet Fuel: Alternative Transportation</t>
  </si>
  <si>
    <t>AEO.2025.ALTTRNP.CNSM_NA_TRN_MILT_NA_NA_NA_TRLBTU.A</t>
  </si>
  <si>
    <t>Transportation Energy Use: Military: Total: Alternative Transportation</t>
  </si>
  <si>
    <t>AEO.2025.ALTTRNP.CNSM_NA_TRN_AIR_AVGA_NA_NA_TRLBTU.A</t>
  </si>
  <si>
    <t>Transportation Energy Use: Air: Aviation Gasoline: Alternative Transportation</t>
  </si>
  <si>
    <t>AEO.2025.ALTTRNP.CNSM_NA_TRN_AIR_JFL_NA_NA_TRLBTU.A</t>
  </si>
  <si>
    <t>Transportation Energy Use: Air: Jet Fuel: Alternative Transportation</t>
  </si>
  <si>
    <t>AEO.2025.ALTTRNP.CNSM_NA_TRN_AIR_NA_NA_NA_TRLBTU.A</t>
  </si>
  <si>
    <t>Transportation Energy Use: Air: Total: Alternative Transportation</t>
  </si>
  <si>
    <t>AEO.2025.ALTTRNP.CNSM_NA_TRN_INTS_LNG_NA_NA_TRLBTU.A</t>
  </si>
  <si>
    <t>Transportation Energy Use: International Shipping: LNG: Alternative Transportation</t>
  </si>
  <si>
    <t>AEO.2025.ALTTRNP.CNSM_NA_TRN_INTS_CNG_NA_NA_TRLBTU.A</t>
  </si>
  <si>
    <t>Transportation Energy Use: International Shipping: CNG: Alternative Transportation</t>
  </si>
  <si>
    <t>AEO.2025.ALTTRNP.CNSM_NA_TRN_INTS_RFO_NA_NA_TRLBTU.A</t>
  </si>
  <si>
    <t>Transportation Energy Use: International Shipping: Residual Oil: Alternative Transportation</t>
  </si>
  <si>
    <t>AEO.2025.ALTTRNP.CNSM_NA_TRN_INTS_DFO_NA_NA_TRLBTU.A</t>
  </si>
  <si>
    <t>Transportation Energy Use: International Shipping: Distillate Fuel Oil: Alternative Transportation</t>
  </si>
  <si>
    <t>AEO.2025.ALTTRNP.CNSM_NA_TRN_INTS_NA_NA_NA_TRLBTU.A</t>
  </si>
  <si>
    <t>Transportation Energy Use: International Shipping: Total: Alternative Transportation</t>
  </si>
  <si>
    <t>AEO.2025.ALTTRNP.CNSM_NA_TRN_DMT_LNG_NA_NA_TRLBTU.A</t>
  </si>
  <si>
    <t>Transportation Energy Use: Domestic Shipping: LNG: Alternative Transportation</t>
  </si>
  <si>
    <t>AEO.2025.ALTTRNP.CNSM_NA_TRN_DMT_CNG_NA_NA_TRLBTU.A</t>
  </si>
  <si>
    <t>Transportation Energy Use: Domestic Shipping: CNG: Alternative Transportation</t>
  </si>
  <si>
    <t>AEO.2025.ALTTRNP.CNSM_NA_TRN_DMT_RFO_NA_NA_TRLBTU.A</t>
  </si>
  <si>
    <t>Transportation Energy Use: Domestic Shipping: Residual Oil: Alternative Transportation</t>
  </si>
  <si>
    <t>AEO.2025.ALTTRNP.CNSM_NA_TRN_DMT_DFO_NA_NA_TRLBTU.A</t>
  </si>
  <si>
    <t>Transportation Energy Use: Domestic Shipping: Distillate Fuel Oil: Alternative Transportation</t>
  </si>
  <si>
    <t>AEO.2025.ALTTRNP.CNSM_NA_TRN_DMT_NA_NA_NA_TRLBTU.A</t>
  </si>
  <si>
    <t>Transportation Energy Use: Domestic Shipping: Total: Alternative Transportation</t>
  </si>
  <si>
    <t>AEO.2025.ALTTRNP.CNSM_NA_TRN_FRAIL_LNG_NA_NA_TRLBTU.A</t>
  </si>
  <si>
    <t>Transportation Energy Use: Freight Rail: LNG: Alternative Transportation</t>
  </si>
  <si>
    <t>AEO.2025.ALTTRNP.CNSM_NA_TRN_FRAIL_CNG_NA_NA_TRLBTU.A</t>
  </si>
  <si>
    <t>Transportation Energy Use: Freight Rail: CNG: Alternative Transportation</t>
  </si>
  <si>
    <t>AEO.2025.ALTTRNP.CNSM_NA_TRN_FRAIL_RFO_NA_NA_TRLBTU.A</t>
  </si>
  <si>
    <t>Transportation Energy Use: Freight Rail: Residual Fuel Oil: Alternative Transportation</t>
  </si>
  <si>
    <t>AEO.2025.ALTTRNP.CNSM_NA_TRN_FRAIL_DFO_NA_NA_TRLBTU.A</t>
  </si>
  <si>
    <t>Transportation Energy Use: Freight Rail: Distillate Fuel Oil: Alternative Transportation</t>
  </si>
  <si>
    <t>AEO.2025.ALTTRNP.CNSM_NA_TRN_FRAIL_NA_NA_NA_TRLBTU.A</t>
  </si>
  <si>
    <t>Transportation Energy Use: Freight Rail: Total: Alternative Transportation</t>
  </si>
  <si>
    <t>AEO.2025.ALTTRNP.CNSM_NA_TRN_FRTT_HDG_NA_NA_TRLBTU.A</t>
  </si>
  <si>
    <t>Transportation Energy Use: Freight Trucks: Hydrogen: Alternative Transportation</t>
  </si>
  <si>
    <t>AEO.2025.ALTTRNP.CNSM_NA_TRN_FRTT_ELC_NA_NA_TRLBTU.A</t>
  </si>
  <si>
    <t>Transportation Energy Use: Freight Trucks: Electricity: Alternative Transportation</t>
  </si>
  <si>
    <t>AEO.2025.ALTTRNP.CNSM_NA_TRN_FRTT_E85_NA_NA_TRLBTU.A</t>
  </si>
  <si>
    <t>Transportation Energy Use: Freight Trucks: E85: Alternative Transportation</t>
  </si>
  <si>
    <t>AEO.2025.ALTTRNP.CNSM_NA_TRN_FRTT_LPG_NA_NA_TRLBTU.A</t>
  </si>
  <si>
    <t>Transportation Energy Use: Freight Trucks: Propane: Alternative Transportation</t>
  </si>
  <si>
    <t>AEO.2025.ALTTRNP.CNSM_NA_TRN_FRTT_NG_NA_NA_TRLBTU.A</t>
  </si>
  <si>
    <t>Transportation Energy Use: Freight Trucks: Natural Gas: Alternative Transportation</t>
  </si>
  <si>
    <t>AEO.2025.ALTTRNP.CNSM_NA_TRN_FRTT_DFO_NA_NA_TRLBTU.A</t>
  </si>
  <si>
    <t>Transportation Energy Use: Freight Trucks: Distillate Fuel Oil: Alternative Transportation</t>
  </si>
  <si>
    <t>AEO.2025.ALTTRNP.CNSM_NA_TRN_FRTT_MGS_NA_NA_TRLBTU.A</t>
  </si>
  <si>
    <t>Transportation Energy Use: Freight Trucks: Motor Gasoline: Alternative Transportation</t>
  </si>
  <si>
    <t>AEO.2025.ALTTRNP.CNSM_NA_TRN_FRTT_NA_NA_NA_TRLBTU.A</t>
  </si>
  <si>
    <t>Transportation Energy Use: Freight Trucks: Total: Alternative Transportation</t>
  </si>
  <si>
    <t>AEO.2025.ALTTRNP.CNSM_NA_TRN_CLTR_HDG_NA_NA_TRLBTU.A</t>
  </si>
  <si>
    <t>Transportation Energy Use: Commercial Light Trucks: Hydrogen: Alternative Transportation</t>
  </si>
  <si>
    <t>AEO.2025.ALTTRNP.CNSM_NA_TRN_CLTR_ELC_NA_NA_TRLBTU.A</t>
  </si>
  <si>
    <t>Transportation Energy Use: Commercial Light Trucks: Electricity: Alternative Transportation</t>
  </si>
  <si>
    <t>AEO.2025.ALTTRNP.CNSM_NA_TRN_CLTR_NG_NA_NA_TRLBTU.A</t>
  </si>
  <si>
    <t>Transportation Energy Use: Commercial Light Trucks: Natural Gas: Alternative Transportation</t>
  </si>
  <si>
    <t>AEO.2025.ALTTRNP.CNSM_NA_TRN_CLTR_PROP_NA_NA_TRLBTU.A</t>
  </si>
  <si>
    <t>Transportation Energy Use: Commercial Light Trucks: Propane: Alternative Transportation</t>
  </si>
  <si>
    <t>AEO.2025.ALTTRNP.CNSM_NA_TRN_CLTR_DFO_NA_NA_TRLBTU.A</t>
  </si>
  <si>
    <t>Transportation Energy Use: Commercial Light Trucks: Distillate Fuel Oil: Alternative Transportation</t>
  </si>
  <si>
    <t>AEO.2025.ALTTRNP.CNSM_NA_TRN_CLTR_E85_NA_NA_TRLBTU.A</t>
  </si>
  <si>
    <t>Transportation Energy Use: Commercial Light Trucks: E85: Alternative Transportation</t>
  </si>
  <si>
    <t>AEO.2025.ALTTRNP.CNSM_NA_TRN_CLTR_MGS_NA_NA_TRLBTU.A</t>
  </si>
  <si>
    <t>Transportation Energy Use: Commercial Light Trucks: Motor Gasoline: Alternative Transportation</t>
  </si>
  <si>
    <t>AEO.2025.ALTTRNP.CNSM_NA_TRN_CLTR_NA_NA_NA_TRLBTU.A</t>
  </si>
  <si>
    <t>Transportation Energy Use: Commercial Light Trucks: Total: Alternative Transportation</t>
  </si>
  <si>
    <t>AEO.2025.ALTTRNP.CNSM_NA_TRN_LDTY_HDG_NA_NA_TRLBTU.A</t>
  </si>
  <si>
    <t>Transportation Energy Use: Light-Duty Vehicle: Hydrogen: Alternative Transportation</t>
  </si>
  <si>
    <t>AEO.2025.ALTTRNP.CNSM_NA_TRN_LDTY_ELC_NA_NA_TRLBTU.A</t>
  </si>
  <si>
    <t>Transportation Energy Use: Light-Duty Vehicle: Electricity: Alternative Transportation</t>
  </si>
  <si>
    <t>AEO.2025.ALTTRNP.CNSM_NA_TRN_LDTY_PROP_NA_NA_TRLBTU.A</t>
  </si>
  <si>
    <t>Transportation Energy Use: Light-Duty Vehicle: Propane: Alternative Transportation</t>
  </si>
  <si>
    <t>AEO.2025.ALTTRNP.CNSM_NA_TRN_LDTY_NG_NA_NA_TRLBTU.A</t>
  </si>
  <si>
    <t>Transportation Energy Use: Light-Duty Vehicle: Natural Gas: Alternative Transportation</t>
  </si>
  <si>
    <t>AEO.2025.ALTTRNP.CNSM_NA_TRN_LDTY_DFO_NA_NA_TRLBTU.A</t>
  </si>
  <si>
    <t>Transportation Energy Use: Light-Duty Vehicle: Distillate Fuel Oil: Alternative Transportation</t>
  </si>
  <si>
    <t>AEO.2025.ALTTRNP.CNSM_NA_TRN_LDTY_ETH_NA_NA_TRLBTU.A</t>
  </si>
  <si>
    <t>Transportation Energy Use: Light-Duty Vehicle: Ethanol: Alternative Transportation</t>
  </si>
  <si>
    <t>AEO.2025.ALTTRNP.CNSM_NA_TRN_LDTY_MGS_NA_NA_TRLBTU.A</t>
  </si>
  <si>
    <t>Transportation Energy Use: Light-Duty Vehicle: Motor Gasoline: Alternative Transportation</t>
  </si>
  <si>
    <t>AEO.2025.ALTTRNP.CNSM_NA_TRN_LDTY_NA_NA_NA_TRLBTU.A</t>
  </si>
  <si>
    <t>Transportation Energy Use: Light-Duty Vehicle: Total: Alternative Transportation</t>
  </si>
  <si>
    <t>Fri Dec 05 2025 14:49:10 GMT-0800 (Pacific Standard Time)</t>
  </si>
  <si>
    <t>https://www.eia.gov/outlooks/aeo/data/browser/#/?id=46-AEO2025&amp;cases=alttrnp&amp;sourcekey=0</t>
  </si>
  <si>
    <t>Table 36, Table 17</t>
  </si>
  <si>
    <t>U.S. Energy Information Administration</t>
  </si>
  <si>
    <t>Annual Energy Outlook 2025</t>
  </si>
  <si>
    <t>Scenario: Alternative Transportation</t>
  </si>
  <si>
    <t>https://www.eia.gov/outlooks/aeo/tables_side_xls.php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</si>
</sst>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0.0000"/>
    <numFmt numFmtId="165" formatCode="0.0%"/>
    <numFmt numFmtId="166" formatCode="#,##0.000"/>
  </numFmts>
  <fonts count="21">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b/>
      <sz val="12"/>
      <color indexed="30"/>
      <name val="Calibri"/>
      <family val="2"/>
    </font>
    <font>
      <i/>
      <sz val="11"/>
      <color theme="1"/>
      <name val="Calibri"/>
      <family val="2"/>
      <scheme val="minor"/>
    </font>
    <font>
      <u/>
      <sz val="11"/>
      <color theme="10"/>
      <name val="Calibri"/>
      <family val="2"/>
      <scheme val="minor"/>
    </font>
    <font>
      <sz val="11"/>
      <color theme="1"/>
      <name val="Calibri"/>
      <family val="2"/>
      <scheme val="minor"/>
    </font>
    <font>
      <sz val="10"/>
      <color indexed="8"/>
      <name val="Arial"/>
      <family val="2"/>
    </font>
    <font>
      <sz val="8"/>
      <name val="Arial"/>
      <family val="2"/>
    </font>
    <font>
      <b/>
      <sz val="9"/>
      <name val="Calibri"/>
      <family val="2"/>
    </font>
    <font>
      <sz val="9"/>
      <name val="Calibri"/>
      <family val="2"/>
    </font>
    <font>
      <sz val="9"/>
      <name val="Calibri"/>
      <family val="2"/>
    </font>
    <font>
      <sz val="10"/>
      <name val="Calibri"/>
      <family val="2"/>
    </font>
    <font>
      <b/>
      <sz val="12"/>
      <name val="Calibri"/>
      <family val="2"/>
    </font>
    <font>
      <sz val="10"/>
      <name val="Calibri"/>
      <family val="2"/>
    </font>
    <font>
      <sz val="9"/>
      <name val="Calibri"/>
      <family val="2"/>
    </font>
    <font>
      <b/>
      <sz val="9"/>
      <color rgb="FF333333"/>
      <name val="Inherit"/>
    </font>
    <font>
      <b/>
      <vertAlign val="subscript"/>
      <sz val="9"/>
      <color rgb="FF333333"/>
      <name val="Inherit"/>
    </font>
    <font>
      <sz val="9"/>
      <color rgb="FF333333"/>
      <name val="Inherit"/>
    </font>
    <font>
      <vertAlign val="superscript"/>
      <sz val="9"/>
      <color rgb="FF333333"/>
      <name val="Inherit"/>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rgb="FFFFFFFF"/>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2" tint="-9.9978637043366805E-2"/>
        <bgColor indexed="64"/>
      </patternFill>
    </fill>
    <fill>
      <patternFill patternType="solid">
        <fgColor theme="2" tint="-0.249977111117893"/>
        <bgColor indexed="64"/>
      </patternFill>
    </fill>
  </fills>
  <borders count="9">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right/>
      <top/>
      <bottom style="thick">
        <color rgb="FF189BD7"/>
      </bottom>
      <diagonal/>
    </border>
    <border>
      <left/>
      <right/>
      <top/>
      <bottom style="mediumDashed">
        <color rgb="FFCCCCCC"/>
      </bottom>
      <diagonal/>
    </border>
    <border>
      <left/>
      <right/>
      <top style="thick">
        <color rgb="FF189BD7"/>
      </top>
      <bottom style="medium">
        <color rgb="FFCCCCCC"/>
      </bottom>
      <diagonal/>
    </border>
    <border>
      <left/>
      <right/>
      <top style="mediumDashed">
        <color rgb="FFCCCCCC"/>
      </top>
      <bottom style="medium">
        <color rgb="FFCCCCCC"/>
      </bottom>
      <diagonal/>
    </border>
  </borders>
  <cellStyleXfs count="39">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4" fillId="0" borderId="0" applyNumberFormat="0" applyProtection="0">
      <alignment horizontal="left"/>
    </xf>
    <xf numFmtId="0" fontId="6" fillId="0" borderId="0" applyNumberFormat="0" applyFill="0" applyBorder="0" applyAlignment="0" applyProtection="0"/>
    <xf numFmtId="43" fontId="7" fillId="0" borderId="0" applyFont="0" applyFill="0" applyBorder="0" applyAlignment="0" applyProtection="0"/>
    <xf numFmtId="9" fontId="7" fillId="0" borderId="0" applyFont="0" applyFill="0" applyBorder="0" applyAlignment="0" applyProtection="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7" fillId="0" borderId="0"/>
    <xf numFmtId="0" fontId="2"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7" fillId="0" borderId="0"/>
    <xf numFmtId="0" fontId="2" fillId="0" borderId="3">
      <alignment wrapText="1"/>
    </xf>
    <xf numFmtId="0" fontId="2" fillId="0" borderId="0"/>
    <xf numFmtId="0" fontId="2" fillId="0" borderId="1">
      <alignment wrapText="1"/>
    </xf>
    <xf numFmtId="0" fontId="3" fillId="0" borderId="4">
      <alignment wrapText="1"/>
    </xf>
    <xf numFmtId="0" fontId="3" fillId="0" borderId="2">
      <alignment wrapText="1"/>
    </xf>
    <xf numFmtId="0" fontId="4" fillId="0" borderId="0">
      <alignment horizontal="left"/>
    </xf>
    <xf numFmtId="0" fontId="2" fillId="0" borderId="0"/>
    <xf numFmtId="0" fontId="2" fillId="0" borderId="0" applyNumberFormat="0" applyFill="0" applyBorder="0" applyAlignment="0" applyProtection="0"/>
    <xf numFmtId="0" fontId="3" fillId="0" borderId="4" applyNumberFormat="0" applyProtection="0">
      <alignment wrapText="1"/>
    </xf>
    <xf numFmtId="0" fontId="4"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1" applyNumberFormat="0" applyProtection="0">
      <alignment wrapText="1"/>
    </xf>
  </cellStyleXfs>
  <cellXfs count="115">
    <xf numFmtId="0" fontId="0" fillId="0" borderId="0" xfId="0"/>
    <xf numFmtId="0" fontId="1" fillId="0" borderId="0" xfId="0" applyFont="1"/>
    <xf numFmtId="164" fontId="0" fillId="0" borderId="0" xfId="0" applyNumberFormat="1"/>
    <xf numFmtId="3" fontId="0" fillId="0" borderId="0" xfId="0" applyNumberFormat="1"/>
    <xf numFmtId="1" fontId="0" fillId="0" borderId="0" xfId="0" applyNumberFormat="1"/>
    <xf numFmtId="0" fontId="1" fillId="2" borderId="0" xfId="0" applyFont="1" applyFill="1"/>
    <xf numFmtId="0" fontId="1" fillId="3" borderId="0" xfId="0" applyFont="1" applyFill="1"/>
    <xf numFmtId="0" fontId="0" fillId="3" borderId="0" xfId="0" applyFill="1"/>
    <xf numFmtId="0" fontId="0" fillId="0" borderId="0" xfId="0" applyAlignment="1">
      <alignment horizontal="left"/>
    </xf>
    <xf numFmtId="0" fontId="5" fillId="0" borderId="0" xfId="0" applyFont="1"/>
    <xf numFmtId="0" fontId="1" fillId="0" borderId="0" xfId="0" applyFont="1" applyAlignment="1">
      <alignment wrapText="1"/>
    </xf>
    <xf numFmtId="0" fontId="6" fillId="0" borderId="0" xfId="8"/>
    <xf numFmtId="10" fontId="0" fillId="0" borderId="0" xfId="0" applyNumberFormat="1"/>
    <xf numFmtId="43" fontId="0" fillId="0" borderId="0" xfId="9" applyFont="1"/>
    <xf numFmtId="0" fontId="0" fillId="0" borderId="0" xfId="9" applyNumberFormat="1" applyFont="1"/>
    <xf numFmtId="0" fontId="2" fillId="0" borderId="0" xfId="6"/>
    <xf numFmtId="0" fontId="3" fillId="0" borderId="4" xfId="5">
      <alignment wrapText="1"/>
    </xf>
    <xf numFmtId="0" fontId="8" fillId="0" borderId="0" xfId="0" applyFont="1"/>
    <xf numFmtId="0" fontId="9" fillId="0" borderId="0" xfId="0" applyFont="1"/>
    <xf numFmtId="0" fontId="4" fillId="0" borderId="0" xfId="7">
      <alignment horizontal="left"/>
    </xf>
    <xf numFmtId="0" fontId="3" fillId="0" borderId="2" xfId="3">
      <alignment wrapText="1"/>
    </xf>
    <xf numFmtId="0" fontId="0" fillId="0" borderId="3" xfId="4" applyFont="1">
      <alignment wrapText="1"/>
    </xf>
    <xf numFmtId="0" fontId="12" fillId="0" borderId="0" xfId="0" applyFont="1"/>
    <xf numFmtId="0" fontId="13" fillId="0" borderId="0" xfId="0" applyFont="1"/>
    <xf numFmtId="3" fontId="3" fillId="0" borderId="2" xfId="3" applyNumberFormat="1" applyAlignment="1">
      <alignment horizontal="right" wrapText="1"/>
    </xf>
    <xf numFmtId="3" fontId="0" fillId="0" borderId="3" xfId="4" applyNumberFormat="1" applyFont="1" applyAlignment="1">
      <alignment horizontal="right" wrapText="1"/>
    </xf>
    <xf numFmtId="0" fontId="3" fillId="0" borderId="0" xfId="3" applyBorder="1">
      <alignment wrapText="1"/>
    </xf>
    <xf numFmtId="3" fontId="3" fillId="0" borderId="0" xfId="3" applyNumberFormat="1" applyBorder="1" applyAlignment="1">
      <alignment horizontal="right" wrapText="1"/>
    </xf>
    <xf numFmtId="0" fontId="11" fillId="0" borderId="0" xfId="2" applyFont="1" applyBorder="1">
      <alignment wrapText="1"/>
    </xf>
    <xf numFmtId="165" fontId="3" fillId="0" borderId="2" xfId="10" applyNumberFormat="1" applyFont="1" applyBorder="1" applyAlignment="1">
      <alignment horizontal="right" wrapText="1"/>
    </xf>
    <xf numFmtId="0" fontId="2" fillId="0" borderId="1" xfId="1" applyBorder="1"/>
    <xf numFmtId="0" fontId="2" fillId="0" borderId="0" xfId="1"/>
    <xf numFmtId="0" fontId="2" fillId="0" borderId="0" xfId="12"/>
    <xf numFmtId="0" fontId="3" fillId="0" borderId="4" xfId="14">
      <alignment wrapText="1"/>
    </xf>
    <xf numFmtId="0" fontId="9" fillId="0" borderId="0" xfId="1" applyFont="1"/>
    <xf numFmtId="0" fontId="11" fillId="0" borderId="0" xfId="1" applyFont="1"/>
    <xf numFmtId="0" fontId="8" fillId="0" borderId="0" xfId="1" applyFont="1"/>
    <xf numFmtId="0" fontId="14" fillId="0" borderId="0" xfId="16" applyFont="1">
      <alignment horizontal="left"/>
    </xf>
    <xf numFmtId="0" fontId="10" fillId="0" borderId="0" xfId="1" applyFont="1" applyAlignment="1">
      <alignment horizontal="right"/>
    </xf>
    <xf numFmtId="0" fontId="11" fillId="0" borderId="0" xfId="12" applyFont="1"/>
    <xf numFmtId="0" fontId="11" fillId="0" borderId="0" xfId="1" applyFont="1" applyAlignment="1">
      <alignment horizontal="left"/>
    </xf>
    <xf numFmtId="0" fontId="10" fillId="0" borderId="4" xfId="14" applyFont="1">
      <alignment wrapText="1"/>
    </xf>
    <xf numFmtId="0" fontId="10" fillId="0" borderId="4" xfId="14" applyFont="1" applyAlignment="1">
      <alignment horizontal="right"/>
    </xf>
    <xf numFmtId="0" fontId="10" fillId="0" borderId="2" xfId="15" applyFont="1">
      <alignment wrapText="1"/>
    </xf>
    <xf numFmtId="0" fontId="11" fillId="0" borderId="3" xfId="11" applyFont="1">
      <alignment wrapText="1"/>
    </xf>
    <xf numFmtId="4" fontId="11" fillId="0" borderId="3" xfId="11" applyNumberFormat="1" applyFont="1" applyAlignment="1">
      <alignment horizontal="right" wrapText="1"/>
    </xf>
    <xf numFmtId="165" fontId="11" fillId="0" borderId="3" xfId="11" applyNumberFormat="1" applyFont="1" applyAlignment="1">
      <alignment horizontal="right" wrapText="1"/>
    </xf>
    <xf numFmtId="4" fontId="10" fillId="0" borderId="2" xfId="15" applyNumberFormat="1" applyFont="1" applyAlignment="1">
      <alignment horizontal="right" wrapText="1"/>
    </xf>
    <xf numFmtId="165" fontId="10" fillId="0" borderId="2" xfId="15" applyNumberFormat="1" applyFont="1" applyAlignment="1">
      <alignment horizontal="right" wrapText="1"/>
    </xf>
    <xf numFmtId="0" fontId="15" fillId="0" borderId="0" xfId="1" applyFont="1"/>
    <xf numFmtId="165" fontId="0" fillId="0" borderId="0" xfId="10" applyNumberFormat="1" applyFont="1"/>
    <xf numFmtId="165" fontId="10" fillId="0" borderId="0" xfId="10" applyNumberFormat="1" applyFont="1" applyAlignment="1">
      <alignment horizontal="right"/>
    </xf>
    <xf numFmtId="165" fontId="10" fillId="0" borderId="4" xfId="10" applyNumberFormat="1" applyFont="1" applyBorder="1" applyAlignment="1">
      <alignment horizontal="right"/>
    </xf>
    <xf numFmtId="165" fontId="0" fillId="0" borderId="3" xfId="10" applyNumberFormat="1" applyFont="1" applyBorder="1" applyAlignment="1">
      <alignment horizontal="right" wrapText="1"/>
    </xf>
    <xf numFmtId="165" fontId="3" fillId="0" borderId="0" xfId="10" applyNumberFormat="1" applyFont="1" applyBorder="1" applyAlignment="1">
      <alignment horizontal="right" wrapText="1"/>
    </xf>
    <xf numFmtId="4" fontId="0" fillId="0" borderId="0" xfId="0" applyNumberFormat="1"/>
    <xf numFmtId="0" fontId="17" fillId="4" borderId="0" xfId="0" applyFont="1" applyFill="1" applyAlignment="1">
      <alignment horizontal="left" wrapText="1" indent="1"/>
    </xf>
    <xf numFmtId="0" fontId="17" fillId="4" borderId="0" xfId="0" applyFont="1" applyFill="1" applyAlignment="1">
      <alignment horizontal="right" wrapText="1" indent="1"/>
    </xf>
    <xf numFmtId="0" fontId="17" fillId="4" borderId="5" xfId="0" applyFont="1" applyFill="1" applyBorder="1" applyAlignment="1">
      <alignment horizontal="left" wrapText="1" indent="1"/>
    </xf>
    <xf numFmtId="0" fontId="17" fillId="4" borderId="5" xfId="0" applyFont="1" applyFill="1" applyBorder="1" applyAlignment="1">
      <alignment horizontal="right" wrapText="1" indent="1"/>
    </xf>
    <xf numFmtId="0" fontId="19" fillId="4" borderId="6" xfId="0" applyFont="1" applyFill="1" applyBorder="1" applyAlignment="1">
      <alignment horizontal="left" vertical="top" wrapText="1" indent="1"/>
    </xf>
    <xf numFmtId="0" fontId="19" fillId="4" borderId="6" xfId="0" applyFont="1" applyFill="1" applyBorder="1" applyAlignment="1">
      <alignment horizontal="right" vertical="top" wrapText="1" indent="1"/>
    </xf>
    <xf numFmtId="0" fontId="19" fillId="4" borderId="0" xfId="0" applyFont="1" applyFill="1" applyAlignment="1">
      <alignment horizontal="left" vertical="top" wrapText="1" indent="1"/>
    </xf>
    <xf numFmtId="0" fontId="19" fillId="4" borderId="0" xfId="0" applyFont="1" applyFill="1" applyAlignment="1">
      <alignment horizontal="right" vertical="top" wrapText="1" indent="1"/>
    </xf>
    <xf numFmtId="0" fontId="0" fillId="0" borderId="0" xfId="0" applyAlignment="1">
      <alignment wrapText="1"/>
    </xf>
    <xf numFmtId="0" fontId="2" fillId="0" borderId="0" xfId="32"/>
    <xf numFmtId="0" fontId="2" fillId="0" borderId="0" xfId="33"/>
    <xf numFmtId="0" fontId="3" fillId="0" borderId="4" xfId="34">
      <alignment wrapText="1"/>
    </xf>
    <xf numFmtId="0" fontId="8" fillId="0" borderId="0" xfId="32" applyFont="1"/>
    <xf numFmtId="0" fontId="9" fillId="0" borderId="0" xfId="32" applyFont="1"/>
    <xf numFmtId="0" fontId="4" fillId="0" borderId="0" xfId="35">
      <alignment horizontal="left"/>
    </xf>
    <xf numFmtId="0" fontId="2" fillId="0" borderId="0" xfId="32" applyAlignment="1">
      <alignment horizontal="left"/>
    </xf>
    <xf numFmtId="0" fontId="3" fillId="0" borderId="2" xfId="36">
      <alignment wrapText="1"/>
    </xf>
    <xf numFmtId="0" fontId="0" fillId="0" borderId="3" xfId="37" applyFont="1">
      <alignment wrapText="1"/>
    </xf>
    <xf numFmtId="166" fontId="0" fillId="0" borderId="3" xfId="37" applyNumberFormat="1" applyFont="1" applyAlignment="1">
      <alignment horizontal="right" wrapText="1"/>
    </xf>
    <xf numFmtId="165" fontId="0" fillId="0" borderId="3" xfId="37" applyNumberFormat="1" applyFont="1" applyAlignment="1">
      <alignment horizontal="right" wrapText="1"/>
    </xf>
    <xf numFmtId="0" fontId="2" fillId="0" borderId="2" xfId="36" applyFont="1">
      <alignment wrapText="1"/>
    </xf>
    <xf numFmtId="4" fontId="0" fillId="0" borderId="3" xfId="37" applyNumberFormat="1" applyFont="1" applyAlignment="1">
      <alignment horizontal="right" wrapText="1"/>
    </xf>
    <xf numFmtId="3" fontId="3" fillId="0" borderId="2" xfId="36" applyNumberFormat="1" applyAlignment="1">
      <alignment horizontal="right" wrapText="1"/>
    </xf>
    <xf numFmtId="165" fontId="3" fillId="0" borderId="2" xfId="36" applyNumberFormat="1" applyAlignment="1">
      <alignment horizontal="right" wrapText="1"/>
    </xf>
    <xf numFmtId="0" fontId="11" fillId="0" borderId="0" xfId="32" applyFont="1"/>
    <xf numFmtId="1" fontId="0" fillId="5" borderId="0" xfId="0" applyNumberFormat="1" applyFill="1"/>
    <xf numFmtId="3" fontId="0" fillId="5" borderId="0" xfId="0" applyNumberFormat="1" applyFill="1"/>
    <xf numFmtId="0" fontId="0" fillId="5" borderId="0" xfId="0" applyFill="1"/>
    <xf numFmtId="10" fontId="0" fillId="5" borderId="0" xfId="0" applyNumberFormat="1" applyFill="1"/>
    <xf numFmtId="0" fontId="9" fillId="5" borderId="0" xfId="0" applyFont="1" applyFill="1"/>
    <xf numFmtId="0" fontId="0" fillId="5" borderId="3" xfId="4" applyFont="1" applyFill="1">
      <alignment wrapText="1"/>
    </xf>
    <xf numFmtId="3" fontId="3" fillId="5" borderId="2" xfId="3" applyNumberFormat="1" applyFill="1" applyAlignment="1">
      <alignment horizontal="right" wrapText="1"/>
    </xf>
    <xf numFmtId="165" fontId="3" fillId="5" borderId="2" xfId="10" applyNumberFormat="1" applyFont="1" applyFill="1" applyBorder="1" applyAlignment="1">
      <alignment horizontal="right" wrapText="1"/>
    </xf>
    <xf numFmtId="0" fontId="9" fillId="3" borderId="0" xfId="0" applyFont="1" applyFill="1"/>
    <xf numFmtId="0" fontId="0" fillId="3" borderId="3" xfId="4" applyFont="1" applyFill="1">
      <alignment wrapText="1"/>
    </xf>
    <xf numFmtId="3" fontId="3" fillId="3" borderId="2" xfId="3" applyNumberFormat="1" applyFill="1" applyAlignment="1">
      <alignment horizontal="right" wrapText="1"/>
    </xf>
    <xf numFmtId="165" fontId="3" fillId="3" borderId="2" xfId="10" applyNumberFormat="1" applyFont="1" applyFill="1" applyBorder="1" applyAlignment="1">
      <alignment horizontal="right" wrapText="1"/>
    </xf>
    <xf numFmtId="3" fontId="0" fillId="6" borderId="0" xfId="0" applyNumberFormat="1" applyFill="1"/>
    <xf numFmtId="0" fontId="9" fillId="7" borderId="0" xfId="0" applyFont="1" applyFill="1"/>
    <xf numFmtId="0" fontId="0" fillId="7" borderId="3" xfId="4" applyFont="1" applyFill="1">
      <alignment wrapText="1"/>
    </xf>
    <xf numFmtId="3" fontId="3" fillId="7" borderId="2" xfId="3" applyNumberFormat="1" applyFill="1" applyAlignment="1">
      <alignment horizontal="right" wrapText="1"/>
    </xf>
    <xf numFmtId="165" fontId="3" fillId="7" borderId="2" xfId="10" applyNumberFormat="1" applyFont="1" applyFill="1" applyBorder="1" applyAlignment="1">
      <alignment horizontal="right" wrapText="1"/>
    </xf>
    <xf numFmtId="0" fontId="0" fillId="7" borderId="0" xfId="0" applyFill="1"/>
    <xf numFmtId="0" fontId="9" fillId="8" borderId="0" xfId="0" applyFont="1" applyFill="1"/>
    <xf numFmtId="0" fontId="0" fillId="8" borderId="3" xfId="4" applyFont="1" applyFill="1">
      <alignment wrapText="1"/>
    </xf>
    <xf numFmtId="3" fontId="3" fillId="8" borderId="2" xfId="3" applyNumberFormat="1" applyFill="1" applyAlignment="1">
      <alignment horizontal="right" wrapText="1"/>
    </xf>
    <xf numFmtId="165" fontId="3" fillId="8" borderId="2" xfId="10" applyNumberFormat="1" applyFont="1" applyFill="1" applyBorder="1" applyAlignment="1">
      <alignment horizontal="right" wrapText="1"/>
    </xf>
    <xf numFmtId="0" fontId="0" fillId="8" borderId="0" xfId="0" applyFill="1"/>
    <xf numFmtId="10" fontId="1" fillId="0" borderId="0" xfId="0" applyNumberFormat="1" applyFont="1"/>
    <xf numFmtId="0" fontId="2" fillId="0" borderId="1" xfId="38">
      <alignment wrapText="1"/>
    </xf>
    <xf numFmtId="0" fontId="17" fillId="4" borderId="8" xfId="0" applyFont="1" applyFill="1" applyBorder="1" applyAlignment="1">
      <alignment horizontal="left" vertical="top" wrapText="1" indent="1"/>
    </xf>
    <xf numFmtId="0" fontId="0" fillId="4" borderId="0" xfId="0" applyFill="1" applyAlignment="1">
      <alignment horizontal="left" vertical="center"/>
    </xf>
    <xf numFmtId="0" fontId="0" fillId="0" borderId="0" xfId="0"/>
    <xf numFmtId="0" fontId="17" fillId="4" borderId="7" xfId="0" applyFont="1" applyFill="1" applyBorder="1" applyAlignment="1">
      <alignment horizontal="left" vertical="top" wrapText="1" indent="1"/>
    </xf>
    <xf numFmtId="0" fontId="2" fillId="0" borderId="0" xfId="1"/>
    <xf numFmtId="0" fontId="16" fillId="0" borderId="1" xfId="13" applyFont="1">
      <alignment wrapText="1"/>
    </xf>
    <xf numFmtId="0" fontId="2" fillId="0" borderId="1" xfId="1" applyBorder="1"/>
    <xf numFmtId="0" fontId="11" fillId="0" borderId="1" xfId="2" applyFont="1">
      <alignment wrapText="1"/>
    </xf>
    <xf numFmtId="0" fontId="0" fillId="0" borderId="1" xfId="0" applyBorder="1"/>
  </cellXfs>
  <cellStyles count="39">
    <cellStyle name="Body: normal cell" xfId="4" xr:uid="{00000000-0005-0000-0000-000000000000}"/>
    <cellStyle name="Body: normal cell 2" xfId="26" xr:uid="{18BAE46B-2E2B-4189-9E60-EEC8494BA028}"/>
    <cellStyle name="Body: normal cell 2 2" xfId="37" xr:uid="{E48511A9-5004-4761-A184-4BA133A6B171}"/>
    <cellStyle name="Body: normal cell 3" xfId="19" xr:uid="{46606A30-9DB6-4D96-9D39-18DB8C25C045}"/>
    <cellStyle name="Body: normal cell 4" xfId="11" xr:uid="{23D7D41B-0FA5-4B15-8ACE-D94C027772C4}"/>
    <cellStyle name="Comma" xfId="9" builtinId="3"/>
    <cellStyle name="Font: Calibri, 9pt regular" xfId="6" xr:uid="{00000000-0005-0000-0000-000001000000}"/>
    <cellStyle name="Font: Calibri, 9pt regular 2" xfId="27" xr:uid="{97A6AFB7-D07D-4277-A8A5-6AA031407B07}"/>
    <cellStyle name="Font: Calibri, 9pt regular 2 2" xfId="33" xr:uid="{5561B678-9686-4A47-AEE2-1829BF5ECE31}"/>
    <cellStyle name="Font: Calibri, 9pt regular 3" xfId="20" xr:uid="{0009694E-C95B-4F43-83D7-2529DBC1B2D2}"/>
    <cellStyle name="Font: Calibri, 9pt regular 4" xfId="12" xr:uid="{4997676D-DE0F-4BF4-98C6-34E7B74441C2}"/>
    <cellStyle name="Footnotes: top row" xfId="2" xr:uid="{00000000-0005-0000-0000-000002000000}"/>
    <cellStyle name="Footnotes: top row 2" xfId="28" xr:uid="{97AB559D-7086-41BA-8641-AC105062AF6A}"/>
    <cellStyle name="Footnotes: top row 2 2" xfId="38" xr:uid="{C3371204-9A8D-4B4A-BA62-E4D61B8E4A1B}"/>
    <cellStyle name="Footnotes: top row 3" xfId="21" xr:uid="{D97984EB-4776-4DB2-9C83-81983F1B6E98}"/>
    <cellStyle name="Footnotes: top row 4" xfId="13" xr:uid="{F3BA1A2C-AD77-4812-ACFA-6C7A7B962945}"/>
    <cellStyle name="Header: bottom row" xfId="5" xr:uid="{00000000-0005-0000-0000-000003000000}"/>
    <cellStyle name="Header: bottom row 2" xfId="29" xr:uid="{1D7C7530-C012-4975-BABC-640C7522786E}"/>
    <cellStyle name="Header: bottom row 2 2" xfId="34" xr:uid="{EE51D15B-9F82-49A2-81BE-D31E93F8B471}"/>
    <cellStyle name="Header: bottom row 3" xfId="22" xr:uid="{D4A074B3-C733-4663-AFD1-0229ED226851}"/>
    <cellStyle name="Header: bottom row 4" xfId="14" xr:uid="{040BC27B-CB03-4FDE-8B80-4B13E048F2D8}"/>
    <cellStyle name="Hyperlink" xfId="8" builtinId="8"/>
    <cellStyle name="Normal" xfId="0" builtinId="0"/>
    <cellStyle name="Normal 2" xfId="1" xr:uid="{00000000-0005-0000-0000-000006000000}"/>
    <cellStyle name="Normal 2 2" xfId="32" xr:uid="{D37C3C14-D3D6-4B29-9C94-248856D422D9}"/>
    <cellStyle name="Normal 3" xfId="25" xr:uid="{F75C00A9-4AB0-4B9A-85F1-1BA242EDAF83}"/>
    <cellStyle name="Normal 4" xfId="18" xr:uid="{D654EA3C-A2C4-4D73-9768-00B5086DE48E}"/>
    <cellStyle name="Normal 5" xfId="17" xr:uid="{0C79D543-A7BB-495E-ADE9-28C4F0835F44}"/>
    <cellStyle name="Parent row" xfId="3" xr:uid="{00000000-0005-0000-0000-000007000000}"/>
    <cellStyle name="Parent row 2" xfId="30" xr:uid="{1C336998-EB49-46ED-B880-BDD7385C1A9F}"/>
    <cellStyle name="Parent row 2 2" xfId="36" xr:uid="{AA374C1E-2BB8-454B-80C6-04A1D450E1B7}"/>
    <cellStyle name="Parent row 3" xfId="23" xr:uid="{E39AA093-46A1-425E-9FAB-5E5D22915C9B}"/>
    <cellStyle name="Parent row 4" xfId="15" xr:uid="{766EEC84-3128-426E-8720-CF77BEFFA340}"/>
    <cellStyle name="Percent" xfId="10" builtinId="5"/>
    <cellStyle name="Table title" xfId="7" xr:uid="{00000000-0005-0000-0000-000008000000}"/>
    <cellStyle name="Table title 2" xfId="31" xr:uid="{75C5CFB8-5852-4F3E-A011-ECC9372E7F45}"/>
    <cellStyle name="Table title 2 2" xfId="35" xr:uid="{962E06AF-4F44-47A7-9325-885E8C2C52F4}"/>
    <cellStyle name="Table title 3" xfId="24" xr:uid="{D3D003D1-845D-4DC8-878D-F5771072DB44}"/>
    <cellStyle name="Table title 4" xfId="16" xr:uid="{09C4790A-A5AC-4A4C-A2DC-60844BB56B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sharedStrings" Target="sharedString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103"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externalLink" Target="externalLinks/externalLink2.xml"/><Relationship Id="rId10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externalLink" Target="externalLinks/externalLink1.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MeganMahajan\Documents\eps-us\InputData\web-app\BCF\BTU%20Conversion%20Factors.xlsx" TargetMode="External"/><Relationship Id="rId1" Type="http://schemas.openxmlformats.org/officeDocument/2006/relationships/externalLinkPath" Target="/Users/MeganMahajan/Documents/eps-us/InputData/web-app/BCF/BTU%20Conversion%20Factor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MeganMahajan\Documents\eps-us\InputData\fuels\PEI\Pollutant%20Emissions%20Intensities.xlsx" TargetMode="External"/><Relationship Id="rId1" Type="http://schemas.openxmlformats.org/officeDocument/2006/relationships/externalLinkPath" Target="/Users/MeganMahajan/Documents/eps-us/InputData/fuels/PEI/Pollutant%20Emissions%20Intensit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 Table 73"/>
      <sheetName val="GREET1 Fuel_Specs"/>
      <sheetName val="BCF-BpLFOU"/>
      <sheetName val="BCF-BpSFOU"/>
      <sheetName val="BCF-VFEUCF"/>
      <sheetName val="BCF-BpEIEOU"/>
      <sheetName val="BCF-BpMMTH"/>
    </sheetNames>
    <sheetDataSet>
      <sheetData sheetId="0">
        <row r="75">
          <cell r="A75">
            <v>42</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Key to Data Locs"/>
      <sheetName val="GREET1 Results"/>
      <sheetName val="emissions by plant type"/>
      <sheetName val="GREET1 EF"/>
      <sheetName val="GREET1 Electric"/>
      <sheetName val="GREET1 JetFuel_WTWa"/>
      <sheetName val="GREET1 Fuel_Specs"/>
      <sheetName val="EF Hub"/>
      <sheetName val="Fuel Heat Contents"/>
      <sheetName val="eGrid Plant"/>
      <sheetName val="EIA-fuel-ethanol-motor-gasoline"/>
      <sheetName val="Biodiesel Fraction"/>
      <sheetName val="Hard Coal and Lignite"/>
      <sheetName val="EPA_data"/>
      <sheetName val="Crosswalk sectors"/>
      <sheetName val="Crosswalk parts"/>
      <sheetName val="aeo 58"/>
      <sheetName val="aeo 11"/>
      <sheetName val="aeo 17"/>
      <sheetName val="aeo 35"/>
      <sheetName val="aeo 34"/>
      <sheetName val="aeo 33"/>
      <sheetName val="aeo 32"/>
      <sheetName val="aeo 31"/>
      <sheetName val="aeo 30"/>
      <sheetName val="aeo 29"/>
      <sheetName val="AEO 28"/>
      <sheetName val="aeo 27"/>
      <sheetName val="AEO 26"/>
      <sheetName val="aeo 25"/>
      <sheetName val="AEO 72"/>
      <sheetName val="AEO Table 73"/>
      <sheetName val="AEO 37"/>
      <sheetName val="AEO 4"/>
      <sheetName val="AEO 5"/>
      <sheetName val="AEO 2"/>
      <sheetName val="EPA Data_by prim poll"/>
      <sheetName val="AEO 6"/>
      <sheetName val="Mining Breakdown"/>
      <sheetName val="2017 AEO BIFUBC"/>
      <sheetName val="CHECK"/>
      <sheetName val="particulates"/>
      <sheetName val="energy"/>
      <sheetName val="calcs"/>
      <sheetName val="EPS output_emissions"/>
      <sheetName val="EPS output_transp"/>
      <sheetName val="EPS output_build"/>
      <sheetName val="EPS output_ind"/>
      <sheetName val="PEI-TFPEI-LDVs"/>
      <sheetName val="PEI-TFPEI-HDVs"/>
      <sheetName val="PEI-TFPEI-aircraft"/>
      <sheetName val="PEI-TFPEI-rail"/>
      <sheetName val="PEI-TFPEI-ships"/>
      <sheetName val="PEI-TFPEI-motorbikes"/>
      <sheetName val="PEI-EFPEI"/>
      <sheetName val="PEI-BFPEI"/>
      <sheetName val="PEI-IFPEI"/>
    </sheetNames>
    <sheetDataSet>
      <sheetData sheetId="0">
        <row r="97">
          <cell r="A97" t="b">
            <v>1</v>
          </cell>
        </row>
        <row r="211">
          <cell r="A211" t="b">
            <v>1</v>
          </cell>
        </row>
        <row r="226">
          <cell r="A226">
            <v>907185</v>
          </cell>
        </row>
        <row r="227">
          <cell r="A227">
            <v>1000000000000000</v>
          </cell>
        </row>
        <row r="228">
          <cell r="A228">
            <v>1000000000000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ia.gov/energyexplained/biofuels/charts/fuel-ethanol-motor-gasoline.csv"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2"/>
  <sheetViews>
    <sheetView tabSelected="1" workbookViewId="0">
      <selection activeCell="B4" sqref="B4:B9"/>
    </sheetView>
  </sheetViews>
  <sheetFormatPr defaultRowHeight="14.75"/>
  <cols>
    <col min="2" max="2" width="69.26953125" customWidth="1"/>
  </cols>
  <sheetData>
    <row r="1" spans="1:2">
      <c r="A1" s="1" t="s">
        <v>0</v>
      </c>
    </row>
    <row r="3" spans="1:2">
      <c r="A3" s="1" t="s">
        <v>1</v>
      </c>
      <c r="B3" s="6" t="s">
        <v>47</v>
      </c>
    </row>
    <row r="4" spans="1:2">
      <c r="B4" t="s">
        <v>1141</v>
      </c>
    </row>
    <row r="5" spans="1:2">
      <c r="B5" s="8">
        <v>2025</v>
      </c>
    </row>
    <row r="6" spans="1:2">
      <c r="B6" t="s">
        <v>1142</v>
      </c>
    </row>
    <row r="7" spans="1:2">
      <c r="B7" s="11" t="s">
        <v>1143</v>
      </c>
    </row>
    <row r="8" spans="1:2">
      <c r="B8" t="s">
        <v>1144</v>
      </c>
    </row>
    <row r="9" spans="1:2">
      <c r="B9" t="s">
        <v>1140</v>
      </c>
    </row>
    <row r="11" spans="1:2">
      <c r="B11" s="6" t="s">
        <v>49</v>
      </c>
    </row>
    <row r="12" spans="1:2">
      <c r="B12" t="s">
        <v>50</v>
      </c>
    </row>
    <row r="13" spans="1:2">
      <c r="B13" t="s">
        <v>51</v>
      </c>
    </row>
    <row r="14" spans="1:2">
      <c r="B14" t="s">
        <v>52</v>
      </c>
    </row>
    <row r="15" spans="1:2">
      <c r="B15" t="s">
        <v>53</v>
      </c>
    </row>
    <row r="16" spans="1:2">
      <c r="B16" t="s">
        <v>54</v>
      </c>
    </row>
    <row r="18" spans="1:2">
      <c r="B18" s="6" t="s">
        <v>155</v>
      </c>
    </row>
    <row r="19" spans="1:2">
      <c r="B19" t="s">
        <v>48</v>
      </c>
    </row>
    <row r="20" spans="1:2">
      <c r="B20" s="8">
        <v>2020</v>
      </c>
    </row>
    <row r="21" spans="1:2">
      <c r="B21" t="s">
        <v>156</v>
      </c>
    </row>
    <row r="22" spans="1:2">
      <c r="B22" s="11" t="s">
        <v>154</v>
      </c>
    </row>
    <row r="25" spans="1:2">
      <c r="A25" s="1" t="s">
        <v>14</v>
      </c>
    </row>
    <row r="26" spans="1:2">
      <c r="A26" t="s">
        <v>63</v>
      </c>
    </row>
    <row r="27" spans="1:2">
      <c r="A27" t="s">
        <v>64</v>
      </c>
    </row>
    <row r="28" spans="1:2">
      <c r="A28" t="s">
        <v>65</v>
      </c>
    </row>
    <row r="29" spans="1:2">
      <c r="A29" t="s">
        <v>67</v>
      </c>
    </row>
    <row r="30" spans="1:2">
      <c r="A30" t="s">
        <v>66</v>
      </c>
    </row>
    <row r="31" spans="1:2">
      <c r="A31" t="s">
        <v>71</v>
      </c>
    </row>
    <row r="32" spans="1:2">
      <c r="A32" t="s">
        <v>68</v>
      </c>
    </row>
    <row r="33" spans="1:1">
      <c r="A33" t="s">
        <v>69</v>
      </c>
    </row>
    <row r="34" spans="1:1">
      <c r="A34" t="s">
        <v>70</v>
      </c>
    </row>
    <row r="36" spans="1:1">
      <c r="A36" t="s">
        <v>59</v>
      </c>
    </row>
    <row r="37" spans="1:1">
      <c r="A37" t="s">
        <v>60</v>
      </c>
    </row>
    <row r="38" spans="1:1">
      <c r="A38" t="s">
        <v>61</v>
      </c>
    </row>
    <row r="39" spans="1:1">
      <c r="A39" t="s">
        <v>62</v>
      </c>
    </row>
    <row r="41" spans="1:1">
      <c r="A41" t="s">
        <v>72</v>
      </c>
    </row>
    <row r="42" spans="1:1">
      <c r="A42" t="s">
        <v>73</v>
      </c>
    </row>
    <row r="43" spans="1:1">
      <c r="A43" t="s">
        <v>74</v>
      </c>
    </row>
    <row r="44" spans="1:1">
      <c r="A44" t="s">
        <v>75</v>
      </c>
    </row>
    <row r="46" spans="1:1">
      <c r="A46" t="s">
        <v>80</v>
      </c>
    </row>
    <row r="47" spans="1:1">
      <c r="A47" t="s">
        <v>81</v>
      </c>
    </row>
    <row r="49" spans="1:1">
      <c r="A49" t="s">
        <v>76</v>
      </c>
    </row>
    <row r="50" spans="1:1">
      <c r="A50" t="s">
        <v>77</v>
      </c>
    </row>
    <row r="51" spans="1:1">
      <c r="A51" t="s">
        <v>78</v>
      </c>
    </row>
    <row r="52" spans="1:1">
      <c r="A52" t="s">
        <v>79</v>
      </c>
    </row>
  </sheetData>
  <hyperlinks>
    <hyperlink ref="B22" r:id="rId1" xr:uid="{5ACB08CE-1368-42D3-9F3D-A40FED497426}"/>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3CFEE0-A2D8-457C-BB2B-99EB52DD15D5}">
  <sheetPr>
    <tabColor theme="0" tint="-0.34998626667073579"/>
  </sheetPr>
  <dimension ref="A1"/>
  <sheetViews>
    <sheetView workbookViewId="0"/>
  </sheetViews>
  <sheetFormatPr defaultRowHeight="14.7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A68CB-69FB-4B2C-9DE3-151B8305E68F}">
  <dimension ref="A1:C47"/>
  <sheetViews>
    <sheetView topLeftCell="A19" workbookViewId="0">
      <selection activeCell="C27" sqref="C27"/>
    </sheetView>
  </sheetViews>
  <sheetFormatPr defaultRowHeight="14.75"/>
  <sheetData>
    <row r="1" spans="1:3">
      <c r="A1" t="s">
        <v>163</v>
      </c>
    </row>
    <row r="2" spans="1:3">
      <c r="A2" t="s">
        <v>162</v>
      </c>
    </row>
    <row r="3" spans="1:3">
      <c r="A3" t="s">
        <v>161</v>
      </c>
    </row>
    <row r="4" spans="1:3">
      <c r="A4" t="s">
        <v>160</v>
      </c>
    </row>
    <row r="5" spans="1:3">
      <c r="A5" t="s">
        <v>159</v>
      </c>
    </row>
    <row r="7" spans="1:3">
      <c r="B7" t="s">
        <v>158</v>
      </c>
      <c r="C7" t="s">
        <v>157</v>
      </c>
    </row>
    <row r="8" spans="1:3">
      <c r="A8">
        <v>1981</v>
      </c>
      <c r="B8">
        <v>8.3000000000000004E-2</v>
      </c>
      <c r="C8">
        <v>0.08</v>
      </c>
    </row>
    <row r="9" spans="1:3">
      <c r="A9">
        <v>1982</v>
      </c>
      <c r="B9">
        <v>0.22600000000000001</v>
      </c>
      <c r="C9">
        <v>0.22</v>
      </c>
    </row>
    <row r="10" spans="1:3">
      <c r="A10">
        <v>1983</v>
      </c>
      <c r="B10">
        <v>0.41499999999999998</v>
      </c>
      <c r="C10">
        <v>0.41</v>
      </c>
    </row>
    <row r="11" spans="1:3">
      <c r="A11">
        <v>1984</v>
      </c>
      <c r="B11">
        <v>0.51</v>
      </c>
      <c r="C11">
        <v>0.5</v>
      </c>
    </row>
    <row r="12" spans="1:3">
      <c r="A12">
        <v>1985</v>
      </c>
      <c r="B12">
        <v>0.61699999999999999</v>
      </c>
      <c r="C12">
        <v>0.59</v>
      </c>
    </row>
    <row r="13" spans="1:3">
      <c r="A13">
        <v>1986</v>
      </c>
      <c r="B13">
        <v>0.71199999999999997</v>
      </c>
      <c r="C13">
        <v>0.66</v>
      </c>
    </row>
    <row r="14" spans="1:3">
      <c r="A14">
        <v>1987</v>
      </c>
      <c r="B14">
        <v>0.81899999999999995</v>
      </c>
      <c r="C14">
        <v>0.74</v>
      </c>
    </row>
    <row r="15" spans="1:3">
      <c r="A15">
        <v>1988</v>
      </c>
      <c r="B15">
        <v>0.83099999999999996</v>
      </c>
      <c r="C15">
        <v>0.74</v>
      </c>
    </row>
    <row r="16" spans="1:3">
      <c r="A16">
        <v>1989</v>
      </c>
      <c r="B16">
        <v>0.84299999999999997</v>
      </c>
      <c r="C16">
        <v>0.75</v>
      </c>
    </row>
    <row r="17" spans="1:3">
      <c r="A17">
        <v>1990</v>
      </c>
      <c r="B17">
        <v>0.748</v>
      </c>
      <c r="C17">
        <v>0.67</v>
      </c>
    </row>
    <row r="18" spans="1:3">
      <c r="A18">
        <v>1991</v>
      </c>
      <c r="B18">
        <v>0.86599999999999999</v>
      </c>
      <c r="C18">
        <v>0.79</v>
      </c>
    </row>
    <row r="19" spans="1:3">
      <c r="A19">
        <v>1992</v>
      </c>
      <c r="B19">
        <v>0.98499999999999999</v>
      </c>
      <c r="C19">
        <v>0.88</v>
      </c>
    </row>
    <row r="20" spans="1:3">
      <c r="A20">
        <v>1993</v>
      </c>
      <c r="B20">
        <v>1.151</v>
      </c>
      <c r="C20">
        <v>1</v>
      </c>
    </row>
    <row r="21" spans="1:3">
      <c r="A21">
        <v>1994</v>
      </c>
      <c r="B21">
        <v>1.2889999999999999</v>
      </c>
      <c r="C21">
        <v>1.1100000000000001</v>
      </c>
    </row>
    <row r="22" spans="1:3">
      <c r="A22">
        <v>1995</v>
      </c>
      <c r="B22">
        <v>1.383</v>
      </c>
      <c r="C22">
        <v>1.1599999999999999</v>
      </c>
    </row>
    <row r="23" spans="1:3">
      <c r="A23">
        <v>1996</v>
      </c>
      <c r="B23">
        <v>0.99199999999999999</v>
      </c>
      <c r="C23">
        <v>0.82</v>
      </c>
    </row>
    <row r="24" spans="1:3">
      <c r="A24">
        <v>1997</v>
      </c>
      <c r="B24">
        <v>1.256</v>
      </c>
      <c r="C24">
        <v>1.02</v>
      </c>
    </row>
    <row r="25" spans="1:3">
      <c r="A25">
        <v>1998</v>
      </c>
      <c r="B25">
        <v>1.3879999999999999</v>
      </c>
      <c r="C25">
        <v>1.1000000000000001</v>
      </c>
    </row>
    <row r="26" spans="1:3">
      <c r="A26">
        <v>1999</v>
      </c>
      <c r="B26">
        <v>1.4430000000000001</v>
      </c>
      <c r="C26">
        <v>1.1200000000000001</v>
      </c>
    </row>
    <row r="27" spans="1:3">
      <c r="A27">
        <v>2000</v>
      </c>
      <c r="B27">
        <v>1.653</v>
      </c>
      <c r="C27">
        <v>1.27</v>
      </c>
    </row>
    <row r="28" spans="1:3">
      <c r="A28">
        <v>2001</v>
      </c>
      <c r="B28">
        <v>1.7410000000000001</v>
      </c>
      <c r="C28">
        <v>1.32</v>
      </c>
    </row>
    <row r="29" spans="1:3">
      <c r="A29">
        <v>2002</v>
      </c>
      <c r="B29">
        <v>2.073</v>
      </c>
      <c r="C29">
        <v>1.53</v>
      </c>
    </row>
    <row r="30" spans="1:3">
      <c r="A30">
        <v>2003</v>
      </c>
      <c r="B30">
        <v>2.8260000000000001</v>
      </c>
      <c r="C30">
        <v>2.06</v>
      </c>
    </row>
    <row r="31" spans="1:3">
      <c r="A31">
        <v>2004</v>
      </c>
      <c r="B31">
        <v>3.552</v>
      </c>
      <c r="C31">
        <v>2.54</v>
      </c>
    </row>
    <row r="32" spans="1:3">
      <c r="A32">
        <v>2005</v>
      </c>
      <c r="B32">
        <v>4.0590000000000002</v>
      </c>
      <c r="C32">
        <v>2.89</v>
      </c>
    </row>
    <row r="33" spans="1:3">
      <c r="A33">
        <v>2006</v>
      </c>
      <c r="B33">
        <v>5.4809999999999999</v>
      </c>
      <c r="C33">
        <v>3.86</v>
      </c>
    </row>
    <row r="34" spans="1:3">
      <c r="A34">
        <v>2007</v>
      </c>
      <c r="B34">
        <v>6.8860000000000001</v>
      </c>
      <c r="C34">
        <v>4.84</v>
      </c>
    </row>
    <row r="35" spans="1:3">
      <c r="A35">
        <v>2008</v>
      </c>
      <c r="B35">
        <v>9.6829999999999998</v>
      </c>
      <c r="C35">
        <v>7.01</v>
      </c>
    </row>
    <row r="36" spans="1:3">
      <c r="A36">
        <v>2009</v>
      </c>
      <c r="B36">
        <v>11.037000000000001</v>
      </c>
      <c r="C36">
        <v>8</v>
      </c>
    </row>
    <row r="37" spans="1:3">
      <c r="A37">
        <v>2010</v>
      </c>
      <c r="B37">
        <v>12.859</v>
      </c>
      <c r="C37">
        <v>9.33</v>
      </c>
    </row>
    <row r="38" spans="1:3">
      <c r="A38">
        <v>2011</v>
      </c>
      <c r="B38">
        <v>12.893000000000001</v>
      </c>
      <c r="C38">
        <v>9.61</v>
      </c>
    </row>
    <row r="39" spans="1:3">
      <c r="A39">
        <v>2012</v>
      </c>
      <c r="B39">
        <v>12.882</v>
      </c>
      <c r="C39">
        <v>9.65</v>
      </c>
    </row>
    <row r="40" spans="1:3">
      <c r="A40">
        <v>2013</v>
      </c>
      <c r="B40">
        <v>13.215999999999999</v>
      </c>
      <c r="C40">
        <v>9.75</v>
      </c>
    </row>
    <row r="41" spans="1:3">
      <c r="A41">
        <v>2014</v>
      </c>
      <c r="B41">
        <v>13.444000000000001</v>
      </c>
      <c r="C41">
        <v>9.83</v>
      </c>
    </row>
    <row r="42" spans="1:3">
      <c r="A42">
        <v>2015</v>
      </c>
      <c r="B42">
        <v>13.946999999999999</v>
      </c>
      <c r="C42">
        <v>9.91</v>
      </c>
    </row>
    <row r="43" spans="1:3">
      <c r="A43">
        <v>2016</v>
      </c>
      <c r="B43">
        <v>14.356</v>
      </c>
      <c r="C43">
        <v>10.02</v>
      </c>
    </row>
    <row r="44" spans="1:3">
      <c r="A44">
        <v>2017</v>
      </c>
      <c r="B44">
        <v>14.484999999999999</v>
      </c>
      <c r="C44">
        <v>10.130000000000001</v>
      </c>
    </row>
    <row r="45" spans="1:3">
      <c r="A45">
        <v>2018</v>
      </c>
      <c r="B45">
        <v>14.42</v>
      </c>
      <c r="C45">
        <v>10.08</v>
      </c>
    </row>
    <row r="46" spans="1:3">
      <c r="A46">
        <v>2019</v>
      </c>
      <c r="B46">
        <v>14.552</v>
      </c>
      <c r="C46">
        <v>10.199999999999999</v>
      </c>
    </row>
    <row r="47" spans="1:3">
      <c r="A47">
        <v>2020</v>
      </c>
      <c r="B47">
        <v>12.629</v>
      </c>
      <c r="C47">
        <v>10.23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8C062-3883-434F-815E-8476D49D4D30}">
  <dimension ref="A1:AK85"/>
  <sheetViews>
    <sheetView workbookViewId="0">
      <pane xSplit="2" ySplit="1" topLeftCell="C2" activePane="bottomRight" state="frozen"/>
      <selection activeCell="C32" sqref="C32"/>
      <selection pane="topRight" activeCell="C32" sqref="C32"/>
      <selection pane="bottomLeft" activeCell="C32" sqref="C32"/>
      <selection pane="bottomRight" activeCell="F10" sqref="F10"/>
    </sheetView>
  </sheetViews>
  <sheetFormatPr defaultColWidth="9.1328125" defaultRowHeight="15" customHeight="1"/>
  <cols>
    <col min="1" max="1" width="20.86328125" style="65" hidden="1" customWidth="1"/>
    <col min="2" max="2" width="45.7265625" style="65" customWidth="1"/>
    <col min="3" max="16384" width="9.1328125" style="65"/>
  </cols>
  <sheetData>
    <row r="1" spans="1:37" ht="15" customHeight="1" thickBot="1">
      <c r="B1" s="66" t="s">
        <v>747</v>
      </c>
      <c r="C1" s="67">
        <v>2017</v>
      </c>
      <c r="D1" s="67">
        <v>2018</v>
      </c>
      <c r="E1" s="67">
        <v>2019</v>
      </c>
      <c r="F1" s="67">
        <v>2020</v>
      </c>
      <c r="G1" s="67">
        <v>2021</v>
      </c>
      <c r="H1" s="67">
        <v>2022</v>
      </c>
      <c r="I1" s="67">
        <v>2023</v>
      </c>
      <c r="J1" s="67">
        <v>2024</v>
      </c>
      <c r="K1" s="67">
        <v>2025</v>
      </c>
      <c r="L1" s="67">
        <v>2026</v>
      </c>
      <c r="M1" s="67">
        <v>2027</v>
      </c>
      <c r="N1" s="67">
        <v>2028</v>
      </c>
      <c r="O1" s="67">
        <v>2029</v>
      </c>
      <c r="P1" s="67">
        <v>2030</v>
      </c>
      <c r="Q1" s="67">
        <v>2031</v>
      </c>
      <c r="R1" s="67">
        <v>2032</v>
      </c>
      <c r="S1" s="67">
        <v>2033</v>
      </c>
      <c r="T1" s="67">
        <v>2034</v>
      </c>
      <c r="U1" s="67">
        <v>2035</v>
      </c>
      <c r="V1" s="67">
        <v>2036</v>
      </c>
      <c r="W1" s="67">
        <v>2037</v>
      </c>
      <c r="X1" s="67">
        <v>2038</v>
      </c>
      <c r="Y1" s="67">
        <v>2039</v>
      </c>
      <c r="Z1" s="67">
        <v>2040</v>
      </c>
      <c r="AA1" s="67">
        <v>2041</v>
      </c>
      <c r="AB1" s="67">
        <v>2042</v>
      </c>
      <c r="AC1" s="67">
        <v>2043</v>
      </c>
      <c r="AD1" s="67">
        <v>2044</v>
      </c>
      <c r="AE1" s="67">
        <v>2045</v>
      </c>
      <c r="AF1" s="67">
        <v>2046</v>
      </c>
      <c r="AG1" s="67">
        <v>2047</v>
      </c>
      <c r="AH1" s="67">
        <v>2048</v>
      </c>
      <c r="AI1" s="67">
        <v>2049</v>
      </c>
      <c r="AJ1" s="67">
        <v>2050</v>
      </c>
    </row>
    <row r="2" spans="1:37" ht="15" customHeight="1" thickTop="1"/>
    <row r="3" spans="1:37" ht="15" customHeight="1">
      <c r="C3" s="68" t="s">
        <v>165</v>
      </c>
      <c r="D3" s="68" t="s">
        <v>748</v>
      </c>
      <c r="E3" s="68"/>
      <c r="F3" s="68"/>
      <c r="G3" s="68"/>
    </row>
    <row r="4" spans="1:37" ht="15" customHeight="1">
      <c r="C4" s="68" t="s">
        <v>166</v>
      </c>
      <c r="D4" s="68" t="s">
        <v>749</v>
      </c>
      <c r="E4" s="68"/>
      <c r="F4" s="68"/>
      <c r="G4" s="68" t="s">
        <v>750</v>
      </c>
    </row>
    <row r="5" spans="1:37" ht="15" customHeight="1">
      <c r="C5" s="68" t="s">
        <v>168</v>
      </c>
      <c r="D5" s="68" t="s">
        <v>751</v>
      </c>
      <c r="E5" s="68"/>
      <c r="F5" s="68"/>
      <c r="G5" s="68"/>
    </row>
    <row r="6" spans="1:37" ht="15" customHeight="1">
      <c r="C6" s="68" t="s">
        <v>169</v>
      </c>
      <c r="D6" s="68"/>
      <c r="E6" s="68" t="s">
        <v>752</v>
      </c>
      <c r="F6" s="68"/>
      <c r="G6" s="68"/>
    </row>
    <row r="9" spans="1:37" ht="15" customHeight="1">
      <c r="C9" s="65">
        <f>C32/C35</f>
        <v>0.9682826275113553</v>
      </c>
      <c r="F9" s="65">
        <f>(C33-((1-0.102)*C35))/0.102</f>
        <v>3.5983878431372611</v>
      </c>
    </row>
    <row r="10" spans="1:37" ht="15" customHeight="1">
      <c r="A10" s="69" t="s">
        <v>753</v>
      </c>
      <c r="B10" s="70" t="s">
        <v>754</v>
      </c>
    </row>
    <row r="11" spans="1:37" ht="15" customHeight="1">
      <c r="B11" s="66" t="s">
        <v>755</v>
      </c>
    </row>
    <row r="12" spans="1:37" ht="15" customHeight="1">
      <c r="B12" s="66" t="s">
        <v>756</v>
      </c>
      <c r="C12" s="71" t="s">
        <v>756</v>
      </c>
      <c r="D12" s="71" t="s">
        <v>756</v>
      </c>
      <c r="E12" s="71" t="s">
        <v>756</v>
      </c>
      <c r="F12" s="71" t="s">
        <v>756</v>
      </c>
      <c r="G12" s="71" t="s">
        <v>756</v>
      </c>
      <c r="H12" s="71" t="s">
        <v>756</v>
      </c>
      <c r="I12" s="71" t="s">
        <v>756</v>
      </c>
      <c r="J12" s="71" t="s">
        <v>756</v>
      </c>
      <c r="K12" s="71" t="s">
        <v>756</v>
      </c>
      <c r="L12" s="71" t="s">
        <v>756</v>
      </c>
      <c r="M12" s="71" t="s">
        <v>756</v>
      </c>
      <c r="N12" s="71" t="s">
        <v>756</v>
      </c>
      <c r="O12" s="71" t="s">
        <v>756</v>
      </c>
      <c r="P12" s="71" t="s">
        <v>756</v>
      </c>
      <c r="Q12" s="71" t="s">
        <v>756</v>
      </c>
      <c r="R12" s="71" t="s">
        <v>756</v>
      </c>
      <c r="S12" s="71" t="s">
        <v>756</v>
      </c>
      <c r="T12" s="71" t="s">
        <v>756</v>
      </c>
      <c r="U12" s="71" t="s">
        <v>756</v>
      </c>
      <c r="V12" s="71" t="s">
        <v>756</v>
      </c>
      <c r="W12" s="71" t="s">
        <v>756</v>
      </c>
      <c r="X12" s="71" t="s">
        <v>756</v>
      </c>
      <c r="Y12" s="71" t="s">
        <v>756</v>
      </c>
      <c r="Z12" s="71" t="s">
        <v>756</v>
      </c>
      <c r="AA12" s="71" t="s">
        <v>756</v>
      </c>
      <c r="AB12" s="71" t="s">
        <v>756</v>
      </c>
      <c r="AC12" s="71" t="s">
        <v>756</v>
      </c>
      <c r="AD12" s="71" t="s">
        <v>756</v>
      </c>
      <c r="AE12" s="71" t="s">
        <v>756</v>
      </c>
      <c r="AF12" s="71" t="s">
        <v>756</v>
      </c>
      <c r="AG12" s="71" t="s">
        <v>756</v>
      </c>
      <c r="AH12" s="71" t="s">
        <v>756</v>
      </c>
      <c r="AI12" s="71" t="s">
        <v>756</v>
      </c>
      <c r="AJ12" s="71" t="s">
        <v>756</v>
      </c>
      <c r="AK12" s="71" t="s">
        <v>757</v>
      </c>
    </row>
    <row r="13" spans="1:37" ht="15" customHeight="1" thickBot="1">
      <c r="B13" s="67" t="s">
        <v>756</v>
      </c>
      <c r="C13" s="67">
        <v>2017</v>
      </c>
      <c r="D13" s="67">
        <v>2018</v>
      </c>
      <c r="E13" s="67">
        <v>2019</v>
      </c>
      <c r="F13" s="67">
        <v>2020</v>
      </c>
      <c r="G13" s="67">
        <v>2021</v>
      </c>
      <c r="H13" s="67">
        <v>2022</v>
      </c>
      <c r="I13" s="67">
        <v>2023</v>
      </c>
      <c r="J13" s="67">
        <v>2024</v>
      </c>
      <c r="K13" s="67">
        <v>2025</v>
      </c>
      <c r="L13" s="67">
        <v>2026</v>
      </c>
      <c r="M13" s="67">
        <v>2027</v>
      </c>
      <c r="N13" s="67">
        <v>2028</v>
      </c>
      <c r="O13" s="67">
        <v>2029</v>
      </c>
      <c r="P13" s="67">
        <v>2030</v>
      </c>
      <c r="Q13" s="67">
        <v>2031</v>
      </c>
      <c r="R13" s="67">
        <v>2032</v>
      </c>
      <c r="S13" s="67">
        <v>2033</v>
      </c>
      <c r="T13" s="67">
        <v>2034</v>
      </c>
      <c r="U13" s="67">
        <v>2035</v>
      </c>
      <c r="V13" s="67">
        <v>2036</v>
      </c>
      <c r="W13" s="67">
        <v>2037</v>
      </c>
      <c r="X13" s="67">
        <v>2038</v>
      </c>
      <c r="Y13" s="67">
        <v>2039</v>
      </c>
      <c r="Z13" s="67">
        <v>2040</v>
      </c>
      <c r="AA13" s="67">
        <v>2041</v>
      </c>
      <c r="AB13" s="67">
        <v>2042</v>
      </c>
      <c r="AC13" s="67">
        <v>2043</v>
      </c>
      <c r="AD13" s="67">
        <v>2044</v>
      </c>
      <c r="AE13" s="67">
        <v>2045</v>
      </c>
      <c r="AF13" s="67">
        <v>2046</v>
      </c>
      <c r="AG13" s="67">
        <v>2047</v>
      </c>
      <c r="AH13" s="67">
        <v>2048</v>
      </c>
      <c r="AI13" s="67">
        <v>2049</v>
      </c>
      <c r="AJ13" s="67">
        <v>2050</v>
      </c>
      <c r="AK13" s="67">
        <v>2050</v>
      </c>
    </row>
    <row r="14" spans="1:37" ht="15" customHeight="1" thickTop="1">
      <c r="B14" s="72" t="s">
        <v>758</v>
      </c>
    </row>
    <row r="15" spans="1:37" ht="15" customHeight="1">
      <c r="B15" s="72" t="s">
        <v>759</v>
      </c>
    </row>
    <row r="16" spans="1:37" ht="15" customHeight="1">
      <c r="A16" s="69" t="s">
        <v>760</v>
      </c>
      <c r="B16" s="73" t="s">
        <v>761</v>
      </c>
      <c r="C16" s="74">
        <v>6.6360000000000001</v>
      </c>
      <c r="D16" s="74">
        <v>6.6360000000000001</v>
      </c>
      <c r="E16" s="74">
        <v>6.6360000000000001</v>
      </c>
      <c r="F16" s="74">
        <v>6.6360000000000001</v>
      </c>
      <c r="G16" s="74">
        <v>6.6360000000000001</v>
      </c>
      <c r="H16" s="74">
        <v>6.6360000000000001</v>
      </c>
      <c r="I16" s="74">
        <v>6.6360000000000001</v>
      </c>
      <c r="J16" s="74">
        <v>6.6360000000000001</v>
      </c>
      <c r="K16" s="74">
        <v>6.6360000000000001</v>
      </c>
      <c r="L16" s="74">
        <v>6.6360000000000001</v>
      </c>
      <c r="M16" s="74">
        <v>6.6360000000000001</v>
      </c>
      <c r="N16" s="74">
        <v>6.6360000000000001</v>
      </c>
      <c r="O16" s="74">
        <v>6.6360000000000001</v>
      </c>
      <c r="P16" s="74">
        <v>6.6360000000000001</v>
      </c>
      <c r="Q16" s="74">
        <v>6.6360000000000001</v>
      </c>
      <c r="R16" s="74">
        <v>6.6360000000000001</v>
      </c>
      <c r="S16" s="74">
        <v>6.6360000000000001</v>
      </c>
      <c r="T16" s="74">
        <v>6.6360000000000001</v>
      </c>
      <c r="U16" s="74">
        <v>6.6360000000000001</v>
      </c>
      <c r="V16" s="74">
        <v>6.6360000000000001</v>
      </c>
      <c r="W16" s="74">
        <v>6.6360000000000001</v>
      </c>
      <c r="X16" s="74">
        <v>6.6360000000000001</v>
      </c>
      <c r="Y16" s="74">
        <v>6.6360000000000001</v>
      </c>
      <c r="Z16" s="74">
        <v>6.6360000000000001</v>
      </c>
      <c r="AA16" s="74">
        <v>6.6360000000000001</v>
      </c>
      <c r="AB16" s="74">
        <v>6.6360000000000001</v>
      </c>
      <c r="AC16" s="74">
        <v>6.6360000000000001</v>
      </c>
      <c r="AD16" s="74">
        <v>6.6360000000000001</v>
      </c>
      <c r="AE16" s="74">
        <v>6.6360000000000001</v>
      </c>
      <c r="AF16" s="74">
        <v>6.6360000000000001</v>
      </c>
      <c r="AG16" s="74">
        <v>6.6360000000000001</v>
      </c>
      <c r="AH16" s="74">
        <v>6.6360000000000001</v>
      </c>
      <c r="AI16" s="74">
        <v>6.6360000000000001</v>
      </c>
      <c r="AJ16" s="74">
        <v>6.6360000000000001</v>
      </c>
      <c r="AK16" s="75">
        <v>0</v>
      </c>
    </row>
    <row r="17" spans="1:37" ht="15" customHeight="1">
      <c r="A17" s="69" t="s">
        <v>762</v>
      </c>
      <c r="B17" s="73" t="s">
        <v>327</v>
      </c>
      <c r="C17" s="74">
        <v>5.048</v>
      </c>
      <c r="D17" s="74">
        <v>5.048</v>
      </c>
      <c r="E17" s="74">
        <v>5.048</v>
      </c>
      <c r="F17" s="74">
        <v>5.048</v>
      </c>
      <c r="G17" s="74">
        <v>5.048</v>
      </c>
      <c r="H17" s="74">
        <v>5.048</v>
      </c>
      <c r="I17" s="74">
        <v>5.048</v>
      </c>
      <c r="J17" s="74">
        <v>5.048</v>
      </c>
      <c r="K17" s="74">
        <v>5.048</v>
      </c>
      <c r="L17" s="74">
        <v>5.048</v>
      </c>
      <c r="M17" s="74">
        <v>5.048</v>
      </c>
      <c r="N17" s="74">
        <v>5.048</v>
      </c>
      <c r="O17" s="74">
        <v>5.048</v>
      </c>
      <c r="P17" s="74">
        <v>5.048</v>
      </c>
      <c r="Q17" s="74">
        <v>5.048</v>
      </c>
      <c r="R17" s="74">
        <v>5.048</v>
      </c>
      <c r="S17" s="74">
        <v>5.048</v>
      </c>
      <c r="T17" s="74">
        <v>5.048</v>
      </c>
      <c r="U17" s="74">
        <v>5.048</v>
      </c>
      <c r="V17" s="74">
        <v>5.048</v>
      </c>
      <c r="W17" s="74">
        <v>5.048</v>
      </c>
      <c r="X17" s="74">
        <v>5.048</v>
      </c>
      <c r="Y17" s="74">
        <v>5.048</v>
      </c>
      <c r="Z17" s="74">
        <v>5.048</v>
      </c>
      <c r="AA17" s="74">
        <v>5.048</v>
      </c>
      <c r="AB17" s="74">
        <v>5.048</v>
      </c>
      <c r="AC17" s="74">
        <v>5.048</v>
      </c>
      <c r="AD17" s="74">
        <v>5.048</v>
      </c>
      <c r="AE17" s="74">
        <v>5.048</v>
      </c>
      <c r="AF17" s="74">
        <v>5.048</v>
      </c>
      <c r="AG17" s="74">
        <v>5.048</v>
      </c>
      <c r="AH17" s="74">
        <v>5.048</v>
      </c>
      <c r="AI17" s="74">
        <v>5.048</v>
      </c>
      <c r="AJ17" s="74">
        <v>5.048</v>
      </c>
      <c r="AK17" s="75">
        <v>0</v>
      </c>
    </row>
    <row r="18" spans="1:37" ht="15" customHeight="1">
      <c r="A18" s="69" t="s">
        <v>763</v>
      </c>
      <c r="B18" s="73" t="s">
        <v>764</v>
      </c>
      <c r="C18" s="74">
        <v>5.359</v>
      </c>
      <c r="D18" s="74">
        <v>5.359</v>
      </c>
      <c r="E18" s="74">
        <v>5.359</v>
      </c>
      <c r="F18" s="74">
        <v>5.359</v>
      </c>
      <c r="G18" s="74">
        <v>5.359</v>
      </c>
      <c r="H18" s="74">
        <v>5.359</v>
      </c>
      <c r="I18" s="74">
        <v>5.359</v>
      </c>
      <c r="J18" s="74">
        <v>5.359</v>
      </c>
      <c r="K18" s="74">
        <v>5.359</v>
      </c>
      <c r="L18" s="74">
        <v>5.359</v>
      </c>
      <c r="M18" s="74">
        <v>5.359</v>
      </c>
      <c r="N18" s="74">
        <v>5.359</v>
      </c>
      <c r="O18" s="74">
        <v>5.359</v>
      </c>
      <c r="P18" s="74">
        <v>5.359</v>
      </c>
      <c r="Q18" s="74">
        <v>5.359</v>
      </c>
      <c r="R18" s="74">
        <v>5.359</v>
      </c>
      <c r="S18" s="74">
        <v>5.359</v>
      </c>
      <c r="T18" s="74">
        <v>5.359</v>
      </c>
      <c r="U18" s="74">
        <v>5.359</v>
      </c>
      <c r="V18" s="74">
        <v>5.359</v>
      </c>
      <c r="W18" s="74">
        <v>5.359</v>
      </c>
      <c r="X18" s="74">
        <v>5.359</v>
      </c>
      <c r="Y18" s="74">
        <v>5.359</v>
      </c>
      <c r="Z18" s="74">
        <v>5.359</v>
      </c>
      <c r="AA18" s="74">
        <v>5.359</v>
      </c>
      <c r="AB18" s="74">
        <v>5.359</v>
      </c>
      <c r="AC18" s="74">
        <v>5.359</v>
      </c>
      <c r="AD18" s="74">
        <v>5.359</v>
      </c>
      <c r="AE18" s="74">
        <v>5.359</v>
      </c>
      <c r="AF18" s="74">
        <v>5.359</v>
      </c>
      <c r="AG18" s="74">
        <v>5.359</v>
      </c>
      <c r="AH18" s="74">
        <v>5.359</v>
      </c>
      <c r="AI18" s="74">
        <v>5.359</v>
      </c>
      <c r="AJ18" s="74">
        <v>5.359</v>
      </c>
      <c r="AK18" s="75">
        <v>0</v>
      </c>
    </row>
    <row r="19" spans="1:37" ht="15" customHeight="1">
      <c r="A19" s="69" t="s">
        <v>765</v>
      </c>
      <c r="B19" s="73" t="s">
        <v>766</v>
      </c>
      <c r="C19" s="74">
        <v>5.8250000000000002</v>
      </c>
      <c r="D19" s="74">
        <v>5.8250000000000002</v>
      </c>
      <c r="E19" s="74">
        <v>5.8250000000000002</v>
      </c>
      <c r="F19" s="74">
        <v>5.8250000000000002</v>
      </c>
      <c r="G19" s="74">
        <v>5.8250000000000002</v>
      </c>
      <c r="H19" s="74">
        <v>5.8250000000000002</v>
      </c>
      <c r="I19" s="74">
        <v>5.8250000000000002</v>
      </c>
      <c r="J19" s="74">
        <v>5.8250000000000002</v>
      </c>
      <c r="K19" s="74">
        <v>5.8250000000000002</v>
      </c>
      <c r="L19" s="74">
        <v>5.8250000000000002</v>
      </c>
      <c r="M19" s="74">
        <v>5.8250000000000002</v>
      </c>
      <c r="N19" s="74">
        <v>5.8250000000000002</v>
      </c>
      <c r="O19" s="74">
        <v>5.8250000000000002</v>
      </c>
      <c r="P19" s="74">
        <v>5.8250000000000002</v>
      </c>
      <c r="Q19" s="74">
        <v>5.8250000000000002</v>
      </c>
      <c r="R19" s="74">
        <v>5.8250000000000002</v>
      </c>
      <c r="S19" s="74">
        <v>5.8250000000000002</v>
      </c>
      <c r="T19" s="74">
        <v>5.8250000000000002</v>
      </c>
      <c r="U19" s="74">
        <v>5.8250000000000002</v>
      </c>
      <c r="V19" s="74">
        <v>5.8250000000000002</v>
      </c>
      <c r="W19" s="74">
        <v>5.8250000000000002</v>
      </c>
      <c r="X19" s="74">
        <v>5.8250000000000002</v>
      </c>
      <c r="Y19" s="74">
        <v>5.8250000000000002</v>
      </c>
      <c r="Z19" s="74">
        <v>5.8250000000000002</v>
      </c>
      <c r="AA19" s="74">
        <v>5.8250000000000002</v>
      </c>
      <c r="AB19" s="74">
        <v>5.8250000000000002</v>
      </c>
      <c r="AC19" s="74">
        <v>5.8250000000000002</v>
      </c>
      <c r="AD19" s="74">
        <v>5.8250000000000002</v>
      </c>
      <c r="AE19" s="74">
        <v>5.8250000000000002</v>
      </c>
      <c r="AF19" s="74">
        <v>5.8250000000000002</v>
      </c>
      <c r="AG19" s="74">
        <v>5.8250000000000002</v>
      </c>
      <c r="AH19" s="74">
        <v>5.8250000000000002</v>
      </c>
      <c r="AI19" s="74">
        <v>5.8250000000000002</v>
      </c>
      <c r="AJ19" s="74">
        <v>5.8250000000000002</v>
      </c>
      <c r="AK19" s="75">
        <v>0</v>
      </c>
    </row>
    <row r="20" spans="1:37" ht="15" customHeight="1">
      <c r="A20" s="69" t="s">
        <v>767</v>
      </c>
      <c r="B20" s="73" t="s">
        <v>768</v>
      </c>
      <c r="C20" s="74">
        <v>5.7746510000000004</v>
      </c>
      <c r="D20" s="74">
        <v>5.7738240000000003</v>
      </c>
      <c r="E20" s="74">
        <v>5.7736289999999997</v>
      </c>
      <c r="F20" s="74">
        <v>5.7729280000000003</v>
      </c>
      <c r="G20" s="74">
        <v>5.7731190000000003</v>
      </c>
      <c r="H20" s="74">
        <v>5.7737270000000001</v>
      </c>
      <c r="I20" s="74">
        <v>5.7724289999999998</v>
      </c>
      <c r="J20" s="74">
        <v>5.773784</v>
      </c>
      <c r="K20" s="74">
        <v>5.7726059999999997</v>
      </c>
      <c r="L20" s="74">
        <v>5.7733230000000004</v>
      </c>
      <c r="M20" s="74">
        <v>5.7745470000000001</v>
      </c>
      <c r="N20" s="74">
        <v>5.7747440000000001</v>
      </c>
      <c r="O20" s="74">
        <v>5.7735219999999998</v>
      </c>
      <c r="P20" s="74">
        <v>5.7736159999999996</v>
      </c>
      <c r="Q20" s="74">
        <v>5.7735810000000001</v>
      </c>
      <c r="R20" s="74">
        <v>5.7734930000000002</v>
      </c>
      <c r="S20" s="74">
        <v>5.7744850000000003</v>
      </c>
      <c r="T20" s="74">
        <v>5.7733730000000003</v>
      </c>
      <c r="U20" s="74">
        <v>5.7733169999999996</v>
      </c>
      <c r="V20" s="74">
        <v>5.7729939999999997</v>
      </c>
      <c r="W20" s="74">
        <v>5.7732359999999998</v>
      </c>
      <c r="X20" s="74">
        <v>5.7731630000000003</v>
      </c>
      <c r="Y20" s="74">
        <v>5.7730449999999998</v>
      </c>
      <c r="Z20" s="74">
        <v>5.773002</v>
      </c>
      <c r="AA20" s="74">
        <v>5.7729929999999996</v>
      </c>
      <c r="AB20" s="74">
        <v>5.7727380000000004</v>
      </c>
      <c r="AC20" s="74">
        <v>5.772945</v>
      </c>
      <c r="AD20" s="74">
        <v>5.7726160000000002</v>
      </c>
      <c r="AE20" s="74">
        <v>5.7726569999999997</v>
      </c>
      <c r="AF20" s="74">
        <v>5.7725039999999996</v>
      </c>
      <c r="AG20" s="74">
        <v>5.7722730000000002</v>
      </c>
      <c r="AH20" s="74">
        <v>5.7721470000000004</v>
      </c>
      <c r="AI20" s="74">
        <v>5.7719480000000001</v>
      </c>
      <c r="AJ20" s="74">
        <v>5.7717749999999999</v>
      </c>
      <c r="AK20" s="75">
        <v>-1.1E-5</v>
      </c>
    </row>
    <row r="21" spans="1:37" ht="15" customHeight="1">
      <c r="A21" s="69" t="s">
        <v>769</v>
      </c>
      <c r="B21" s="73" t="s">
        <v>770</v>
      </c>
      <c r="C21" s="74">
        <v>5.7746510000000004</v>
      </c>
      <c r="D21" s="74">
        <v>5.7738240000000003</v>
      </c>
      <c r="E21" s="74">
        <v>5.7736289999999997</v>
      </c>
      <c r="F21" s="74">
        <v>5.7729280000000003</v>
      </c>
      <c r="G21" s="74">
        <v>5.7731190000000003</v>
      </c>
      <c r="H21" s="74">
        <v>5.7737270000000001</v>
      </c>
      <c r="I21" s="74">
        <v>5.7724289999999998</v>
      </c>
      <c r="J21" s="74">
        <v>5.773784</v>
      </c>
      <c r="K21" s="74">
        <v>5.7726059999999997</v>
      </c>
      <c r="L21" s="74">
        <v>5.7733230000000004</v>
      </c>
      <c r="M21" s="74">
        <v>5.7745470000000001</v>
      </c>
      <c r="N21" s="74">
        <v>5.7747440000000001</v>
      </c>
      <c r="O21" s="74">
        <v>5.7735219999999998</v>
      </c>
      <c r="P21" s="74">
        <v>5.7736159999999996</v>
      </c>
      <c r="Q21" s="74">
        <v>5.7735810000000001</v>
      </c>
      <c r="R21" s="74">
        <v>5.7734930000000002</v>
      </c>
      <c r="S21" s="74">
        <v>5.7744850000000003</v>
      </c>
      <c r="T21" s="74">
        <v>5.7733730000000003</v>
      </c>
      <c r="U21" s="74">
        <v>5.7733169999999996</v>
      </c>
      <c r="V21" s="74">
        <v>5.7729939999999997</v>
      </c>
      <c r="W21" s="74">
        <v>5.7732359999999998</v>
      </c>
      <c r="X21" s="74">
        <v>5.7731630000000003</v>
      </c>
      <c r="Y21" s="74">
        <v>5.7730449999999998</v>
      </c>
      <c r="Z21" s="74">
        <v>5.773002</v>
      </c>
      <c r="AA21" s="74">
        <v>5.7729929999999996</v>
      </c>
      <c r="AB21" s="74">
        <v>5.7727380000000004</v>
      </c>
      <c r="AC21" s="74">
        <v>5.772945</v>
      </c>
      <c r="AD21" s="74">
        <v>5.7726160000000002</v>
      </c>
      <c r="AE21" s="74">
        <v>5.7726569999999997</v>
      </c>
      <c r="AF21" s="74">
        <v>5.7725039999999996</v>
      </c>
      <c r="AG21" s="74">
        <v>5.7722730000000002</v>
      </c>
      <c r="AH21" s="74">
        <v>5.7721470000000004</v>
      </c>
      <c r="AI21" s="74">
        <v>5.7719480000000001</v>
      </c>
      <c r="AJ21" s="74">
        <v>5.7717749999999999</v>
      </c>
      <c r="AK21" s="75">
        <v>-1.1E-5</v>
      </c>
    </row>
    <row r="22" spans="1:37" ht="15" customHeight="1">
      <c r="A22" s="69" t="s">
        <v>771</v>
      </c>
      <c r="B22" s="73" t="s">
        <v>772</v>
      </c>
      <c r="C22" s="74">
        <v>5.7746510000000004</v>
      </c>
      <c r="D22" s="74">
        <v>5.7738240000000003</v>
      </c>
      <c r="E22" s="74">
        <v>5.7736289999999997</v>
      </c>
      <c r="F22" s="74">
        <v>5.7729280000000003</v>
      </c>
      <c r="G22" s="74">
        <v>5.7731190000000003</v>
      </c>
      <c r="H22" s="74">
        <v>5.7737270000000001</v>
      </c>
      <c r="I22" s="74">
        <v>5.7724289999999998</v>
      </c>
      <c r="J22" s="74">
        <v>5.773784</v>
      </c>
      <c r="K22" s="74">
        <v>5.7726059999999997</v>
      </c>
      <c r="L22" s="74">
        <v>5.7733230000000004</v>
      </c>
      <c r="M22" s="74">
        <v>5.7745470000000001</v>
      </c>
      <c r="N22" s="74">
        <v>5.7747440000000001</v>
      </c>
      <c r="O22" s="74">
        <v>5.7735219999999998</v>
      </c>
      <c r="P22" s="74">
        <v>5.7736159999999996</v>
      </c>
      <c r="Q22" s="74">
        <v>5.7735810000000001</v>
      </c>
      <c r="R22" s="74">
        <v>5.7734930000000002</v>
      </c>
      <c r="S22" s="74">
        <v>5.7744850000000003</v>
      </c>
      <c r="T22" s="74">
        <v>5.7733730000000003</v>
      </c>
      <c r="U22" s="74">
        <v>5.7733169999999996</v>
      </c>
      <c r="V22" s="74">
        <v>5.7729939999999997</v>
      </c>
      <c r="W22" s="74">
        <v>5.7732359999999998</v>
      </c>
      <c r="X22" s="74">
        <v>5.7731630000000003</v>
      </c>
      <c r="Y22" s="74">
        <v>5.7730449999999998</v>
      </c>
      <c r="Z22" s="74">
        <v>5.773002</v>
      </c>
      <c r="AA22" s="74">
        <v>5.7729929999999996</v>
      </c>
      <c r="AB22" s="74">
        <v>5.7727380000000004</v>
      </c>
      <c r="AC22" s="74">
        <v>5.772945</v>
      </c>
      <c r="AD22" s="74">
        <v>5.7726160000000002</v>
      </c>
      <c r="AE22" s="74">
        <v>5.7726569999999997</v>
      </c>
      <c r="AF22" s="74">
        <v>5.7725039999999996</v>
      </c>
      <c r="AG22" s="74">
        <v>5.7722730000000002</v>
      </c>
      <c r="AH22" s="74">
        <v>5.7721470000000004</v>
      </c>
      <c r="AI22" s="74">
        <v>5.7719480000000001</v>
      </c>
      <c r="AJ22" s="74">
        <v>5.7717749999999999</v>
      </c>
      <c r="AK22" s="75">
        <v>-1.1E-5</v>
      </c>
    </row>
    <row r="23" spans="1:37" ht="15" customHeight="1">
      <c r="A23" s="69" t="s">
        <v>773</v>
      </c>
      <c r="B23" s="73" t="s">
        <v>774</v>
      </c>
      <c r="C23" s="74">
        <v>5.7746510000000004</v>
      </c>
      <c r="D23" s="74">
        <v>5.7738240000000003</v>
      </c>
      <c r="E23" s="74">
        <v>5.7736289999999997</v>
      </c>
      <c r="F23" s="74">
        <v>5.7729280000000003</v>
      </c>
      <c r="G23" s="74">
        <v>5.7731190000000003</v>
      </c>
      <c r="H23" s="74">
        <v>5.7737270000000001</v>
      </c>
      <c r="I23" s="74">
        <v>5.7724289999999998</v>
      </c>
      <c r="J23" s="74">
        <v>5.773784</v>
      </c>
      <c r="K23" s="74">
        <v>5.7726059999999997</v>
      </c>
      <c r="L23" s="74">
        <v>5.7733230000000004</v>
      </c>
      <c r="M23" s="74">
        <v>5.7745470000000001</v>
      </c>
      <c r="N23" s="74">
        <v>5.7747440000000001</v>
      </c>
      <c r="O23" s="74">
        <v>5.7735219999999998</v>
      </c>
      <c r="P23" s="74">
        <v>5.7736159999999996</v>
      </c>
      <c r="Q23" s="74">
        <v>5.7735810000000001</v>
      </c>
      <c r="R23" s="74">
        <v>5.7734930000000002</v>
      </c>
      <c r="S23" s="74">
        <v>5.7744850000000003</v>
      </c>
      <c r="T23" s="74">
        <v>5.7733730000000003</v>
      </c>
      <c r="U23" s="74">
        <v>5.7733169999999996</v>
      </c>
      <c r="V23" s="74">
        <v>5.7729939999999997</v>
      </c>
      <c r="W23" s="74">
        <v>5.7732359999999998</v>
      </c>
      <c r="X23" s="74">
        <v>5.7731630000000003</v>
      </c>
      <c r="Y23" s="74">
        <v>5.7730449999999998</v>
      </c>
      <c r="Z23" s="74">
        <v>5.773002</v>
      </c>
      <c r="AA23" s="74">
        <v>5.7729929999999996</v>
      </c>
      <c r="AB23" s="74">
        <v>5.7727380000000004</v>
      </c>
      <c r="AC23" s="74">
        <v>5.772945</v>
      </c>
      <c r="AD23" s="74">
        <v>5.7726160000000002</v>
      </c>
      <c r="AE23" s="74">
        <v>5.7726569999999997</v>
      </c>
      <c r="AF23" s="74">
        <v>5.7725039999999996</v>
      </c>
      <c r="AG23" s="74">
        <v>5.7722730000000002</v>
      </c>
      <c r="AH23" s="74">
        <v>5.7721470000000004</v>
      </c>
      <c r="AI23" s="74">
        <v>5.7719480000000001</v>
      </c>
      <c r="AJ23" s="74">
        <v>5.7717749999999999</v>
      </c>
      <c r="AK23" s="75">
        <v>-1.1E-5</v>
      </c>
    </row>
    <row r="24" spans="1:37" ht="15" customHeight="1">
      <c r="A24" s="69" t="s">
        <v>775</v>
      </c>
      <c r="B24" s="73" t="s">
        <v>776</v>
      </c>
      <c r="C24" s="74">
        <v>5.7746510000000004</v>
      </c>
      <c r="D24" s="74">
        <v>5.7738240000000003</v>
      </c>
      <c r="E24" s="74">
        <v>5.7736289999999997</v>
      </c>
      <c r="F24" s="74">
        <v>5.7729280000000003</v>
      </c>
      <c r="G24" s="74">
        <v>5.7731190000000003</v>
      </c>
      <c r="H24" s="74">
        <v>5.7737270000000001</v>
      </c>
      <c r="I24" s="74">
        <v>5.7724289999999998</v>
      </c>
      <c r="J24" s="74">
        <v>5.773784</v>
      </c>
      <c r="K24" s="74">
        <v>5.7726059999999997</v>
      </c>
      <c r="L24" s="74">
        <v>5.7733230000000004</v>
      </c>
      <c r="M24" s="74">
        <v>5.7745470000000001</v>
      </c>
      <c r="N24" s="74">
        <v>5.7747440000000001</v>
      </c>
      <c r="O24" s="74">
        <v>5.7735219999999998</v>
      </c>
      <c r="P24" s="74">
        <v>5.7736159999999996</v>
      </c>
      <c r="Q24" s="74">
        <v>5.7735810000000001</v>
      </c>
      <c r="R24" s="74">
        <v>5.7734930000000002</v>
      </c>
      <c r="S24" s="74">
        <v>5.7744850000000003</v>
      </c>
      <c r="T24" s="74">
        <v>5.7733730000000003</v>
      </c>
      <c r="U24" s="74">
        <v>5.7733169999999996</v>
      </c>
      <c r="V24" s="74">
        <v>5.7729939999999997</v>
      </c>
      <c r="W24" s="74">
        <v>5.7732359999999998</v>
      </c>
      <c r="X24" s="74">
        <v>5.7731630000000003</v>
      </c>
      <c r="Y24" s="74">
        <v>5.7730449999999998</v>
      </c>
      <c r="Z24" s="74">
        <v>5.773002</v>
      </c>
      <c r="AA24" s="74">
        <v>5.7729929999999996</v>
      </c>
      <c r="AB24" s="74">
        <v>5.7727380000000004</v>
      </c>
      <c r="AC24" s="74">
        <v>5.772945</v>
      </c>
      <c r="AD24" s="74">
        <v>5.7726160000000002</v>
      </c>
      <c r="AE24" s="74">
        <v>5.7726569999999997</v>
      </c>
      <c r="AF24" s="74">
        <v>5.7725039999999996</v>
      </c>
      <c r="AG24" s="74">
        <v>5.7722730000000002</v>
      </c>
      <c r="AH24" s="74">
        <v>5.7721470000000004</v>
      </c>
      <c r="AI24" s="74">
        <v>5.7719480000000001</v>
      </c>
      <c r="AJ24" s="74">
        <v>5.7717749999999999</v>
      </c>
      <c r="AK24" s="75">
        <v>-1.1E-5</v>
      </c>
    </row>
    <row r="25" spans="1:37" ht="15" customHeight="1">
      <c r="A25" s="69" t="s">
        <v>777</v>
      </c>
      <c r="B25" s="73" t="s">
        <v>778</v>
      </c>
      <c r="C25" s="74">
        <v>5.7746510000000004</v>
      </c>
      <c r="D25" s="74">
        <v>5.7738240000000003</v>
      </c>
      <c r="E25" s="74">
        <v>5.7736280000000004</v>
      </c>
      <c r="F25" s="74">
        <v>5.7729270000000001</v>
      </c>
      <c r="G25" s="74">
        <v>5.7731190000000003</v>
      </c>
      <c r="H25" s="74">
        <v>5.7737270000000001</v>
      </c>
      <c r="I25" s="74">
        <v>5.7724289999999998</v>
      </c>
      <c r="J25" s="74">
        <v>5.773784</v>
      </c>
      <c r="K25" s="74">
        <v>5.7726059999999997</v>
      </c>
      <c r="L25" s="74">
        <v>5.7733220000000003</v>
      </c>
      <c r="M25" s="74">
        <v>5.7745480000000002</v>
      </c>
      <c r="N25" s="74">
        <v>5.7747440000000001</v>
      </c>
      <c r="O25" s="74">
        <v>5.7735219999999998</v>
      </c>
      <c r="P25" s="74">
        <v>5.7736159999999996</v>
      </c>
      <c r="Q25" s="74">
        <v>5.7735799999999999</v>
      </c>
      <c r="R25" s="74">
        <v>5.7734930000000002</v>
      </c>
      <c r="S25" s="74">
        <v>5.7744850000000003</v>
      </c>
      <c r="T25" s="74">
        <v>5.7733730000000003</v>
      </c>
      <c r="U25" s="74">
        <v>5.7733169999999996</v>
      </c>
      <c r="V25" s="74">
        <v>5.7729939999999997</v>
      </c>
      <c r="W25" s="74">
        <v>5.7732359999999998</v>
      </c>
      <c r="X25" s="74">
        <v>5.7731620000000001</v>
      </c>
      <c r="Y25" s="74">
        <v>5.7730439999999996</v>
      </c>
      <c r="Z25" s="74">
        <v>5.773002</v>
      </c>
      <c r="AA25" s="74">
        <v>5.7729929999999996</v>
      </c>
      <c r="AB25" s="74">
        <v>5.7727380000000004</v>
      </c>
      <c r="AC25" s="74">
        <v>5.772945</v>
      </c>
      <c r="AD25" s="74">
        <v>5.7726170000000003</v>
      </c>
      <c r="AE25" s="74">
        <v>5.7726559999999996</v>
      </c>
      <c r="AF25" s="74">
        <v>5.7725039999999996</v>
      </c>
      <c r="AG25" s="74">
        <v>5.7722740000000003</v>
      </c>
      <c r="AH25" s="74">
        <v>5.7721470000000004</v>
      </c>
      <c r="AI25" s="74">
        <v>5.7719480000000001</v>
      </c>
      <c r="AJ25" s="74">
        <v>5.7717749999999999</v>
      </c>
      <c r="AK25" s="75">
        <v>-1.1E-5</v>
      </c>
    </row>
    <row r="26" spans="1:37" ht="15" customHeight="1">
      <c r="A26" s="69" t="s">
        <v>779</v>
      </c>
      <c r="B26" s="73" t="s">
        <v>780</v>
      </c>
      <c r="C26" s="74">
        <v>5.8170000000000002</v>
      </c>
      <c r="D26" s="74">
        <v>5.8170000000000002</v>
      </c>
      <c r="E26" s="74">
        <v>5.8170000000000002</v>
      </c>
      <c r="F26" s="74">
        <v>5.8170000000000002</v>
      </c>
      <c r="G26" s="74">
        <v>5.8170000000000002</v>
      </c>
      <c r="H26" s="74">
        <v>5.8170000000000002</v>
      </c>
      <c r="I26" s="74">
        <v>5.8170000000000002</v>
      </c>
      <c r="J26" s="74">
        <v>5.8170000000000002</v>
      </c>
      <c r="K26" s="74">
        <v>5.8170000000000002</v>
      </c>
      <c r="L26" s="74">
        <v>5.8170000000000002</v>
      </c>
      <c r="M26" s="74">
        <v>5.8170000000000002</v>
      </c>
      <c r="N26" s="74">
        <v>5.8170000000000002</v>
      </c>
      <c r="O26" s="74">
        <v>5.8170000000000002</v>
      </c>
      <c r="P26" s="74">
        <v>5.8170000000000002</v>
      </c>
      <c r="Q26" s="74">
        <v>5.8170000000000002</v>
      </c>
      <c r="R26" s="74">
        <v>5.8170000000000002</v>
      </c>
      <c r="S26" s="74">
        <v>5.8170000000000002</v>
      </c>
      <c r="T26" s="74">
        <v>5.8170000000000002</v>
      </c>
      <c r="U26" s="74">
        <v>5.8170000000000002</v>
      </c>
      <c r="V26" s="74">
        <v>5.8170000000000002</v>
      </c>
      <c r="W26" s="74">
        <v>5.8170000000000002</v>
      </c>
      <c r="X26" s="74">
        <v>5.8170000000000002</v>
      </c>
      <c r="Y26" s="74">
        <v>5.8170000000000002</v>
      </c>
      <c r="Z26" s="74">
        <v>5.8170000000000002</v>
      </c>
      <c r="AA26" s="74">
        <v>5.8170000000000002</v>
      </c>
      <c r="AB26" s="74">
        <v>5.8170000000000002</v>
      </c>
      <c r="AC26" s="74">
        <v>5.8170000000000002</v>
      </c>
      <c r="AD26" s="74">
        <v>5.8170000000000002</v>
      </c>
      <c r="AE26" s="74">
        <v>5.8170000000000002</v>
      </c>
      <c r="AF26" s="74">
        <v>5.8170000000000002</v>
      </c>
      <c r="AG26" s="74">
        <v>5.8170000000000002</v>
      </c>
      <c r="AH26" s="74">
        <v>5.8170000000000002</v>
      </c>
      <c r="AI26" s="74">
        <v>5.8170000000000002</v>
      </c>
      <c r="AJ26" s="74">
        <v>5.8170000000000002</v>
      </c>
      <c r="AK26" s="75">
        <v>0</v>
      </c>
    </row>
    <row r="27" spans="1:37" ht="15" customHeight="1">
      <c r="A27" s="69" t="s">
        <v>781</v>
      </c>
      <c r="B27" s="73" t="s">
        <v>782</v>
      </c>
      <c r="C27" s="74">
        <v>5.77</v>
      </c>
      <c r="D27" s="74">
        <v>5.77</v>
      </c>
      <c r="E27" s="74">
        <v>5.77</v>
      </c>
      <c r="F27" s="74">
        <v>5.77</v>
      </c>
      <c r="G27" s="74">
        <v>5.77</v>
      </c>
      <c r="H27" s="74">
        <v>5.77</v>
      </c>
      <c r="I27" s="74">
        <v>5.77</v>
      </c>
      <c r="J27" s="74">
        <v>5.77</v>
      </c>
      <c r="K27" s="74">
        <v>5.77</v>
      </c>
      <c r="L27" s="74">
        <v>5.77</v>
      </c>
      <c r="M27" s="74">
        <v>5.77</v>
      </c>
      <c r="N27" s="74">
        <v>5.77</v>
      </c>
      <c r="O27" s="74">
        <v>5.77</v>
      </c>
      <c r="P27" s="74">
        <v>5.77</v>
      </c>
      <c r="Q27" s="74">
        <v>5.77</v>
      </c>
      <c r="R27" s="74">
        <v>5.77</v>
      </c>
      <c r="S27" s="74">
        <v>5.77</v>
      </c>
      <c r="T27" s="74">
        <v>5.77</v>
      </c>
      <c r="U27" s="74">
        <v>5.77</v>
      </c>
      <c r="V27" s="74">
        <v>5.77</v>
      </c>
      <c r="W27" s="74">
        <v>5.77</v>
      </c>
      <c r="X27" s="74">
        <v>5.77</v>
      </c>
      <c r="Y27" s="74">
        <v>5.77</v>
      </c>
      <c r="Z27" s="74">
        <v>5.77</v>
      </c>
      <c r="AA27" s="74">
        <v>5.77</v>
      </c>
      <c r="AB27" s="74">
        <v>5.77</v>
      </c>
      <c r="AC27" s="74">
        <v>5.77</v>
      </c>
      <c r="AD27" s="74">
        <v>5.77</v>
      </c>
      <c r="AE27" s="74">
        <v>5.77</v>
      </c>
      <c r="AF27" s="74">
        <v>5.77</v>
      </c>
      <c r="AG27" s="74">
        <v>5.77</v>
      </c>
      <c r="AH27" s="74">
        <v>5.77</v>
      </c>
      <c r="AI27" s="74">
        <v>5.77</v>
      </c>
      <c r="AJ27" s="74">
        <v>5.77</v>
      </c>
      <c r="AK27" s="75">
        <v>0</v>
      </c>
    </row>
    <row r="28" spans="1:37" ht="15" customHeight="1">
      <c r="A28" s="69" t="s">
        <v>783</v>
      </c>
      <c r="B28" s="73" t="s">
        <v>784</v>
      </c>
      <c r="C28" s="74">
        <v>3.556</v>
      </c>
      <c r="D28" s="74">
        <v>3.556</v>
      </c>
      <c r="E28" s="74">
        <v>3.556</v>
      </c>
      <c r="F28" s="74">
        <v>3.556</v>
      </c>
      <c r="G28" s="74">
        <v>3.556</v>
      </c>
      <c r="H28" s="74">
        <v>3.556</v>
      </c>
      <c r="I28" s="74">
        <v>3.556</v>
      </c>
      <c r="J28" s="74">
        <v>3.556</v>
      </c>
      <c r="K28" s="74">
        <v>3.556</v>
      </c>
      <c r="L28" s="74">
        <v>3.556</v>
      </c>
      <c r="M28" s="74">
        <v>3.556</v>
      </c>
      <c r="N28" s="74">
        <v>3.556</v>
      </c>
      <c r="O28" s="74">
        <v>3.556</v>
      </c>
      <c r="P28" s="74">
        <v>3.556</v>
      </c>
      <c r="Q28" s="74">
        <v>3.556</v>
      </c>
      <c r="R28" s="74">
        <v>3.556</v>
      </c>
      <c r="S28" s="74">
        <v>3.556</v>
      </c>
      <c r="T28" s="74">
        <v>3.556</v>
      </c>
      <c r="U28" s="74">
        <v>3.556</v>
      </c>
      <c r="V28" s="74">
        <v>3.556</v>
      </c>
      <c r="W28" s="74">
        <v>3.556</v>
      </c>
      <c r="X28" s="74">
        <v>3.556</v>
      </c>
      <c r="Y28" s="74">
        <v>3.556</v>
      </c>
      <c r="Z28" s="74">
        <v>3.556</v>
      </c>
      <c r="AA28" s="74">
        <v>3.556</v>
      </c>
      <c r="AB28" s="74">
        <v>3.556</v>
      </c>
      <c r="AC28" s="74">
        <v>3.556</v>
      </c>
      <c r="AD28" s="74">
        <v>3.556</v>
      </c>
      <c r="AE28" s="74">
        <v>3.556</v>
      </c>
      <c r="AF28" s="74">
        <v>3.556</v>
      </c>
      <c r="AG28" s="74">
        <v>3.556</v>
      </c>
      <c r="AH28" s="74">
        <v>3.556</v>
      </c>
      <c r="AI28" s="74">
        <v>3.556</v>
      </c>
      <c r="AJ28" s="74">
        <v>3.556</v>
      </c>
      <c r="AK28" s="75">
        <v>0</v>
      </c>
    </row>
    <row r="29" spans="1:37" ht="15" customHeight="1">
      <c r="A29" s="69" t="s">
        <v>785</v>
      </c>
      <c r="B29" s="73" t="s">
        <v>300</v>
      </c>
      <c r="C29" s="74">
        <v>3.99722</v>
      </c>
      <c r="D29" s="74">
        <v>3.989233</v>
      </c>
      <c r="E29" s="74">
        <v>3.989233</v>
      </c>
      <c r="F29" s="74">
        <v>3.989233</v>
      </c>
      <c r="G29" s="74">
        <v>3.989233</v>
      </c>
      <c r="H29" s="74">
        <v>3.989233</v>
      </c>
      <c r="I29" s="74">
        <v>3.989233</v>
      </c>
      <c r="J29" s="74">
        <v>3.989233</v>
      </c>
      <c r="K29" s="74">
        <v>3.989233</v>
      </c>
      <c r="L29" s="74">
        <v>3.989233</v>
      </c>
      <c r="M29" s="74">
        <v>3.989233</v>
      </c>
      <c r="N29" s="74">
        <v>3.989233</v>
      </c>
      <c r="O29" s="74">
        <v>3.989233</v>
      </c>
      <c r="P29" s="74">
        <v>3.989233</v>
      </c>
      <c r="Q29" s="74">
        <v>3.989233</v>
      </c>
      <c r="R29" s="74">
        <v>3.989233</v>
      </c>
      <c r="S29" s="74">
        <v>3.989233</v>
      </c>
      <c r="T29" s="74">
        <v>3.989233</v>
      </c>
      <c r="U29" s="74">
        <v>3.989233</v>
      </c>
      <c r="V29" s="74">
        <v>3.989233</v>
      </c>
      <c r="W29" s="74">
        <v>3.989233</v>
      </c>
      <c r="X29" s="74">
        <v>3.989233</v>
      </c>
      <c r="Y29" s="74">
        <v>3.989233</v>
      </c>
      <c r="Z29" s="74">
        <v>3.989233</v>
      </c>
      <c r="AA29" s="74">
        <v>3.989233</v>
      </c>
      <c r="AB29" s="74">
        <v>3.989233</v>
      </c>
      <c r="AC29" s="74">
        <v>3.989233</v>
      </c>
      <c r="AD29" s="74">
        <v>3.989233</v>
      </c>
      <c r="AE29" s="74">
        <v>3.989233</v>
      </c>
      <c r="AF29" s="74">
        <v>3.989233</v>
      </c>
      <c r="AG29" s="74">
        <v>3.989233</v>
      </c>
      <c r="AH29" s="74">
        <v>3.989233</v>
      </c>
      <c r="AI29" s="74">
        <v>3.989233</v>
      </c>
      <c r="AJ29" s="74">
        <v>3.989233</v>
      </c>
      <c r="AK29" s="75">
        <v>0</v>
      </c>
    </row>
    <row r="30" spans="1:37" ht="15" customHeight="1">
      <c r="A30" s="69" t="s">
        <v>786</v>
      </c>
      <c r="B30" s="73" t="s">
        <v>787</v>
      </c>
      <c r="C30" s="74">
        <v>5.67</v>
      </c>
      <c r="D30" s="74">
        <v>5.67</v>
      </c>
      <c r="E30" s="74">
        <v>5.67</v>
      </c>
      <c r="F30" s="74">
        <v>5.67</v>
      </c>
      <c r="G30" s="74">
        <v>5.67</v>
      </c>
      <c r="H30" s="74">
        <v>5.67</v>
      </c>
      <c r="I30" s="74">
        <v>5.67</v>
      </c>
      <c r="J30" s="74">
        <v>5.67</v>
      </c>
      <c r="K30" s="74">
        <v>5.67</v>
      </c>
      <c r="L30" s="74">
        <v>5.67</v>
      </c>
      <c r="M30" s="74">
        <v>5.67</v>
      </c>
      <c r="N30" s="74">
        <v>5.67</v>
      </c>
      <c r="O30" s="74">
        <v>5.67</v>
      </c>
      <c r="P30" s="74">
        <v>5.67</v>
      </c>
      <c r="Q30" s="74">
        <v>5.67</v>
      </c>
      <c r="R30" s="74">
        <v>5.67</v>
      </c>
      <c r="S30" s="74">
        <v>5.67</v>
      </c>
      <c r="T30" s="74">
        <v>5.67</v>
      </c>
      <c r="U30" s="74">
        <v>5.67</v>
      </c>
      <c r="V30" s="74">
        <v>5.67</v>
      </c>
      <c r="W30" s="74">
        <v>5.67</v>
      </c>
      <c r="X30" s="74">
        <v>5.67</v>
      </c>
      <c r="Y30" s="74">
        <v>5.67</v>
      </c>
      <c r="Z30" s="74">
        <v>5.67</v>
      </c>
      <c r="AA30" s="74">
        <v>5.67</v>
      </c>
      <c r="AB30" s="74">
        <v>5.67</v>
      </c>
      <c r="AC30" s="74">
        <v>5.67</v>
      </c>
      <c r="AD30" s="74">
        <v>5.67</v>
      </c>
      <c r="AE30" s="74">
        <v>5.67</v>
      </c>
      <c r="AF30" s="74">
        <v>5.67</v>
      </c>
      <c r="AG30" s="74">
        <v>5.67</v>
      </c>
      <c r="AH30" s="74">
        <v>5.67</v>
      </c>
      <c r="AI30" s="74">
        <v>5.67</v>
      </c>
      <c r="AJ30" s="74">
        <v>5.67</v>
      </c>
      <c r="AK30" s="75">
        <v>0</v>
      </c>
    </row>
    <row r="31" spans="1:37" ht="15" customHeight="1">
      <c r="A31" s="69" t="s">
        <v>788</v>
      </c>
      <c r="B31" s="73" t="s">
        <v>789</v>
      </c>
      <c r="C31" s="74">
        <v>6.0650000000000004</v>
      </c>
      <c r="D31" s="74">
        <v>6.0650000000000004</v>
      </c>
      <c r="E31" s="74">
        <v>6.0650000000000004</v>
      </c>
      <c r="F31" s="74">
        <v>6.0650000000000004</v>
      </c>
      <c r="G31" s="74">
        <v>6.0650000000000004</v>
      </c>
      <c r="H31" s="74">
        <v>6.0650000000000004</v>
      </c>
      <c r="I31" s="74">
        <v>6.0650000000000004</v>
      </c>
      <c r="J31" s="74">
        <v>6.0650000000000004</v>
      </c>
      <c r="K31" s="74">
        <v>6.0650000000000004</v>
      </c>
      <c r="L31" s="74">
        <v>6.0650000000000004</v>
      </c>
      <c r="M31" s="74">
        <v>6.0650000000000004</v>
      </c>
      <c r="N31" s="74">
        <v>6.0650000000000004</v>
      </c>
      <c r="O31" s="74">
        <v>6.0650000000000004</v>
      </c>
      <c r="P31" s="74">
        <v>6.0650000000000004</v>
      </c>
      <c r="Q31" s="74">
        <v>6.0650000000000004</v>
      </c>
      <c r="R31" s="74">
        <v>6.0650000000000004</v>
      </c>
      <c r="S31" s="74">
        <v>6.0650000000000004</v>
      </c>
      <c r="T31" s="74">
        <v>6.0650000000000004</v>
      </c>
      <c r="U31" s="74">
        <v>6.0650000000000004</v>
      </c>
      <c r="V31" s="74">
        <v>6.0650000000000004</v>
      </c>
      <c r="W31" s="74">
        <v>6.0650000000000004</v>
      </c>
      <c r="X31" s="74">
        <v>6.0650000000000004</v>
      </c>
      <c r="Y31" s="74">
        <v>6.0650000000000004</v>
      </c>
      <c r="Z31" s="74">
        <v>6.0650000000000004</v>
      </c>
      <c r="AA31" s="74">
        <v>6.0650000000000004</v>
      </c>
      <c r="AB31" s="74">
        <v>6.0650000000000004</v>
      </c>
      <c r="AC31" s="74">
        <v>6.0650000000000004</v>
      </c>
      <c r="AD31" s="74">
        <v>6.0650000000000004</v>
      </c>
      <c r="AE31" s="74">
        <v>6.0650000000000004</v>
      </c>
      <c r="AF31" s="74">
        <v>6.0650000000000004</v>
      </c>
      <c r="AG31" s="74">
        <v>6.0650000000000004</v>
      </c>
      <c r="AH31" s="74">
        <v>6.0650000000000004</v>
      </c>
      <c r="AI31" s="74">
        <v>6.0650000000000004</v>
      </c>
      <c r="AJ31" s="74">
        <v>6.0650000000000004</v>
      </c>
      <c r="AK31" s="75">
        <v>0</v>
      </c>
    </row>
    <row r="32" spans="1:37" ht="15" customHeight="1">
      <c r="A32" s="69" t="s">
        <v>790</v>
      </c>
      <c r="B32" s="73" t="s">
        <v>791</v>
      </c>
      <c r="C32" s="74">
        <v>5.0566430000000002</v>
      </c>
      <c r="D32" s="74">
        <v>5.0552599999999996</v>
      </c>
      <c r="E32" s="74">
        <v>5.0559250000000002</v>
      </c>
      <c r="F32" s="74">
        <v>5.0562699999999996</v>
      </c>
      <c r="G32" s="74">
        <v>5.0553610000000004</v>
      </c>
      <c r="H32" s="74">
        <v>5.0533359999999998</v>
      </c>
      <c r="I32" s="74">
        <v>5.0508160000000002</v>
      </c>
      <c r="J32" s="74">
        <v>5.0500020000000001</v>
      </c>
      <c r="K32" s="74">
        <v>5.0494789999999998</v>
      </c>
      <c r="L32" s="74">
        <v>5.049067</v>
      </c>
      <c r="M32" s="74">
        <v>5.0486199999999997</v>
      </c>
      <c r="N32" s="74">
        <v>5.0481860000000003</v>
      </c>
      <c r="O32" s="74">
        <v>5.047752</v>
      </c>
      <c r="P32" s="74">
        <v>5.0478269999999998</v>
      </c>
      <c r="Q32" s="74">
        <v>5.0471120000000003</v>
      </c>
      <c r="R32" s="74">
        <v>5.0467120000000003</v>
      </c>
      <c r="S32" s="74">
        <v>5.0464640000000003</v>
      </c>
      <c r="T32" s="74">
        <v>5.0458769999999999</v>
      </c>
      <c r="U32" s="74">
        <v>5.0451860000000002</v>
      </c>
      <c r="V32" s="74">
        <v>5.0444300000000002</v>
      </c>
      <c r="W32" s="74">
        <v>5.0435809999999996</v>
      </c>
      <c r="X32" s="74">
        <v>5.0427549999999997</v>
      </c>
      <c r="Y32" s="74">
        <v>5.0416879999999997</v>
      </c>
      <c r="Z32" s="74">
        <v>5.0404980000000004</v>
      </c>
      <c r="AA32" s="74">
        <v>5.0391599999999999</v>
      </c>
      <c r="AB32" s="74">
        <v>5.0378670000000003</v>
      </c>
      <c r="AC32" s="74">
        <v>5.0362239999999998</v>
      </c>
      <c r="AD32" s="74">
        <v>5.0346019999999996</v>
      </c>
      <c r="AE32" s="74">
        <v>5.0328730000000004</v>
      </c>
      <c r="AF32" s="74">
        <v>5.030945</v>
      </c>
      <c r="AG32" s="74">
        <v>5.0285479999999998</v>
      </c>
      <c r="AH32" s="74">
        <v>5.0259179999999999</v>
      </c>
      <c r="AI32" s="74">
        <v>5.0230379999999997</v>
      </c>
      <c r="AJ32" s="74">
        <v>5.0230360000000003</v>
      </c>
      <c r="AK32" s="75">
        <v>-2.0000000000000001E-4</v>
      </c>
    </row>
    <row r="33" spans="1:37" ht="15" customHeight="1">
      <c r="A33" s="69" t="s">
        <v>792</v>
      </c>
      <c r="B33" s="73" t="s">
        <v>793</v>
      </c>
      <c r="C33" s="74">
        <v>5.0566430000000002</v>
      </c>
      <c r="D33" s="74">
        <v>5.0551199999999996</v>
      </c>
      <c r="E33" s="74">
        <v>5.0557509999999999</v>
      </c>
      <c r="F33" s="74">
        <v>5.0561759999999998</v>
      </c>
      <c r="G33" s="74">
        <v>5.0552270000000004</v>
      </c>
      <c r="H33" s="74">
        <v>5.0532529999999998</v>
      </c>
      <c r="I33" s="74">
        <v>5.0502339999999997</v>
      </c>
      <c r="J33" s="74">
        <v>5.0493699999999997</v>
      </c>
      <c r="K33" s="74">
        <v>5.0488210000000002</v>
      </c>
      <c r="L33" s="74">
        <v>5.0483820000000001</v>
      </c>
      <c r="M33" s="74">
        <v>5.0479039999999999</v>
      </c>
      <c r="N33" s="74">
        <v>5.0474410000000001</v>
      </c>
      <c r="O33" s="74">
        <v>5.046983</v>
      </c>
      <c r="P33" s="74">
        <v>5.0470750000000004</v>
      </c>
      <c r="Q33" s="74">
        <v>5.0462990000000003</v>
      </c>
      <c r="R33" s="74">
        <v>5.0458439999999998</v>
      </c>
      <c r="S33" s="74">
        <v>5.0455509999999997</v>
      </c>
      <c r="T33" s="74">
        <v>5.044918</v>
      </c>
      <c r="U33" s="74">
        <v>5.0441839999999996</v>
      </c>
      <c r="V33" s="74">
        <v>5.0433690000000002</v>
      </c>
      <c r="W33" s="74">
        <v>5.0424530000000001</v>
      </c>
      <c r="X33" s="74">
        <v>5.041563</v>
      </c>
      <c r="Y33" s="74">
        <v>5.0404109999999998</v>
      </c>
      <c r="Z33" s="74">
        <v>5.0391269999999997</v>
      </c>
      <c r="AA33" s="74">
        <v>5.0376839999999996</v>
      </c>
      <c r="AB33" s="74">
        <v>5.0362900000000002</v>
      </c>
      <c r="AC33" s="74">
        <v>5.0345170000000001</v>
      </c>
      <c r="AD33" s="74">
        <v>5.0328030000000004</v>
      </c>
      <c r="AE33" s="74">
        <v>5.0309910000000002</v>
      </c>
      <c r="AF33" s="74">
        <v>5.0289089999999996</v>
      </c>
      <c r="AG33" s="74">
        <v>5.0263140000000002</v>
      </c>
      <c r="AH33" s="74">
        <v>5.0234719999999999</v>
      </c>
      <c r="AI33" s="74">
        <v>5.020365</v>
      </c>
      <c r="AJ33" s="74">
        <v>5.0203639999999998</v>
      </c>
      <c r="AK33" s="75">
        <v>-2.1599999999999999E-4</v>
      </c>
    </row>
    <row r="34" spans="1:37" ht="15" customHeight="1">
      <c r="A34" s="69" t="s">
        <v>794</v>
      </c>
      <c r="B34" s="73" t="s">
        <v>795</v>
      </c>
      <c r="C34" s="74">
        <v>5.0566430000000002</v>
      </c>
      <c r="D34" s="74">
        <v>5.0550290000000002</v>
      </c>
      <c r="E34" s="74">
        <v>5.0560859999999996</v>
      </c>
      <c r="F34" s="74">
        <v>5.0563630000000002</v>
      </c>
      <c r="G34" s="74">
        <v>5.0551620000000002</v>
      </c>
      <c r="H34" s="74">
        <v>5.0521120000000002</v>
      </c>
      <c r="I34" s="74">
        <v>5.0499099999999997</v>
      </c>
      <c r="J34" s="74">
        <v>5.0489660000000001</v>
      </c>
      <c r="K34" s="74">
        <v>5.0484030000000004</v>
      </c>
      <c r="L34" s="74">
        <v>5.0479479999999999</v>
      </c>
      <c r="M34" s="74">
        <v>5.0474509999999997</v>
      </c>
      <c r="N34" s="74">
        <v>5.04697</v>
      </c>
      <c r="O34" s="74">
        <v>5.0464979999999997</v>
      </c>
      <c r="P34" s="74">
        <v>5.046602</v>
      </c>
      <c r="Q34" s="74">
        <v>5.0458410000000002</v>
      </c>
      <c r="R34" s="74">
        <v>5.0454929999999996</v>
      </c>
      <c r="S34" s="74">
        <v>5.0453320000000001</v>
      </c>
      <c r="T34" s="74">
        <v>5.0447139999999999</v>
      </c>
      <c r="U34" s="74">
        <v>5.0439569999999998</v>
      </c>
      <c r="V34" s="74">
        <v>5.0431090000000003</v>
      </c>
      <c r="W34" s="74">
        <v>5.0421550000000002</v>
      </c>
      <c r="X34" s="74">
        <v>5.041226</v>
      </c>
      <c r="Y34" s="74">
        <v>5.0400229999999997</v>
      </c>
      <c r="Z34" s="74">
        <v>5.0386810000000004</v>
      </c>
      <c r="AA34" s="74">
        <v>5.0371740000000003</v>
      </c>
      <c r="AB34" s="74">
        <v>5.035717</v>
      </c>
      <c r="AC34" s="74">
        <v>5.0338620000000001</v>
      </c>
      <c r="AD34" s="74">
        <v>5.0319269999999996</v>
      </c>
      <c r="AE34" s="74">
        <v>5.029827</v>
      </c>
      <c r="AF34" s="74">
        <v>5.0276490000000003</v>
      </c>
      <c r="AG34" s="74">
        <v>5.0249329999999999</v>
      </c>
      <c r="AH34" s="74">
        <v>5.0219589999999998</v>
      </c>
      <c r="AI34" s="74">
        <v>5.018713</v>
      </c>
      <c r="AJ34" s="74">
        <v>5.018713</v>
      </c>
      <c r="AK34" s="75">
        <v>-2.2499999999999999E-4</v>
      </c>
    </row>
    <row r="35" spans="1:37" ht="15" customHeight="1">
      <c r="A35" s="69" t="s">
        <v>796</v>
      </c>
      <c r="B35" s="73" t="s">
        <v>797</v>
      </c>
      <c r="C35" s="74">
        <v>5.2222799999999996</v>
      </c>
      <c r="D35" s="74">
        <v>5.2222799999999996</v>
      </c>
      <c r="E35" s="74">
        <v>5.2222799999999996</v>
      </c>
      <c r="F35" s="74">
        <v>5.2222799999999996</v>
      </c>
      <c r="G35" s="74">
        <v>5.2222799999999996</v>
      </c>
      <c r="H35" s="74">
        <v>5.2222799999999996</v>
      </c>
      <c r="I35" s="74">
        <v>5.2222799999999996</v>
      </c>
      <c r="J35" s="74">
        <v>5.2222799999999996</v>
      </c>
      <c r="K35" s="74">
        <v>5.2222799999999996</v>
      </c>
      <c r="L35" s="74">
        <v>5.2222799999999996</v>
      </c>
      <c r="M35" s="74">
        <v>5.2222799999999996</v>
      </c>
      <c r="N35" s="74">
        <v>5.2222799999999996</v>
      </c>
      <c r="O35" s="74">
        <v>5.2222799999999996</v>
      </c>
      <c r="P35" s="74">
        <v>5.2222799999999996</v>
      </c>
      <c r="Q35" s="74">
        <v>5.2222799999999996</v>
      </c>
      <c r="R35" s="74">
        <v>5.2222799999999996</v>
      </c>
      <c r="S35" s="74">
        <v>5.2222799999999996</v>
      </c>
      <c r="T35" s="74">
        <v>5.2222799999999996</v>
      </c>
      <c r="U35" s="74">
        <v>5.2222799999999996</v>
      </c>
      <c r="V35" s="74">
        <v>5.2222799999999996</v>
      </c>
      <c r="W35" s="74">
        <v>5.2222799999999996</v>
      </c>
      <c r="X35" s="74">
        <v>5.2222799999999996</v>
      </c>
      <c r="Y35" s="74">
        <v>5.2222799999999996</v>
      </c>
      <c r="Z35" s="74">
        <v>5.2222799999999996</v>
      </c>
      <c r="AA35" s="74">
        <v>5.2222799999999996</v>
      </c>
      <c r="AB35" s="74">
        <v>5.2222799999999996</v>
      </c>
      <c r="AC35" s="74">
        <v>5.2222799999999996</v>
      </c>
      <c r="AD35" s="74">
        <v>5.2222799999999996</v>
      </c>
      <c r="AE35" s="74">
        <v>5.2222799999999996</v>
      </c>
      <c r="AF35" s="74">
        <v>5.2222799999999996</v>
      </c>
      <c r="AG35" s="74">
        <v>5.2222799999999996</v>
      </c>
      <c r="AH35" s="74">
        <v>5.2222799999999996</v>
      </c>
      <c r="AI35" s="74">
        <v>5.2222799999999996</v>
      </c>
      <c r="AJ35" s="74">
        <v>5.2222799999999996</v>
      </c>
      <c r="AK35" s="75">
        <v>0</v>
      </c>
    </row>
    <row r="36" spans="1:37" ht="15" customHeight="1">
      <c r="A36" s="69" t="s">
        <v>798</v>
      </c>
      <c r="B36" s="73" t="s">
        <v>799</v>
      </c>
      <c r="C36" s="74">
        <v>5.2222799999999996</v>
      </c>
      <c r="D36" s="74">
        <v>5.2222799999999996</v>
      </c>
      <c r="E36" s="74">
        <v>5.2222799999999996</v>
      </c>
      <c r="F36" s="74">
        <v>5.2222799999999996</v>
      </c>
      <c r="G36" s="74">
        <v>5.2222799999999996</v>
      </c>
      <c r="H36" s="74">
        <v>5.2222799999999996</v>
      </c>
      <c r="I36" s="74">
        <v>5.2222799999999996</v>
      </c>
      <c r="J36" s="74">
        <v>5.2222799999999996</v>
      </c>
      <c r="K36" s="74">
        <v>5.2222799999999996</v>
      </c>
      <c r="L36" s="74">
        <v>5.2222799999999996</v>
      </c>
      <c r="M36" s="74">
        <v>5.2222799999999996</v>
      </c>
      <c r="N36" s="74">
        <v>5.2222799999999996</v>
      </c>
      <c r="O36" s="74">
        <v>5.2222799999999996</v>
      </c>
      <c r="P36" s="74">
        <v>5.2222799999999996</v>
      </c>
      <c r="Q36" s="74">
        <v>5.2222799999999996</v>
      </c>
      <c r="R36" s="74">
        <v>5.2222799999999996</v>
      </c>
      <c r="S36" s="74">
        <v>5.2222799999999996</v>
      </c>
      <c r="T36" s="74">
        <v>5.2222799999999996</v>
      </c>
      <c r="U36" s="74">
        <v>5.2222799999999996</v>
      </c>
      <c r="V36" s="74">
        <v>5.2222799999999996</v>
      </c>
      <c r="W36" s="74">
        <v>5.2222799999999996</v>
      </c>
      <c r="X36" s="74">
        <v>5.2222799999999996</v>
      </c>
      <c r="Y36" s="74">
        <v>5.2222799999999996</v>
      </c>
      <c r="Z36" s="74">
        <v>5.2222799999999996</v>
      </c>
      <c r="AA36" s="74">
        <v>5.2222799999999996</v>
      </c>
      <c r="AB36" s="74">
        <v>5.2222799999999996</v>
      </c>
      <c r="AC36" s="74">
        <v>5.2222799999999996</v>
      </c>
      <c r="AD36" s="74">
        <v>5.2222799999999996</v>
      </c>
      <c r="AE36" s="74">
        <v>5.2222799999999996</v>
      </c>
      <c r="AF36" s="74">
        <v>5.2222799999999996</v>
      </c>
      <c r="AG36" s="74">
        <v>5.2222799999999996</v>
      </c>
      <c r="AH36" s="74">
        <v>5.2222799999999996</v>
      </c>
      <c r="AI36" s="74">
        <v>5.2222799999999996</v>
      </c>
      <c r="AJ36" s="74">
        <v>5.2222799999999996</v>
      </c>
      <c r="AK36" s="75">
        <v>0</v>
      </c>
    </row>
    <row r="37" spans="1:37" ht="15" customHeight="1">
      <c r="A37" s="69" t="s">
        <v>800</v>
      </c>
      <c r="B37" s="73" t="s">
        <v>801</v>
      </c>
      <c r="C37" s="74">
        <v>4.62</v>
      </c>
      <c r="D37" s="74">
        <v>4.62</v>
      </c>
      <c r="E37" s="74">
        <v>4.62</v>
      </c>
      <c r="F37" s="74">
        <v>4.62</v>
      </c>
      <c r="G37" s="74">
        <v>4.62</v>
      </c>
      <c r="H37" s="74">
        <v>4.62</v>
      </c>
      <c r="I37" s="74">
        <v>4.62</v>
      </c>
      <c r="J37" s="74">
        <v>4.62</v>
      </c>
      <c r="K37" s="74">
        <v>4.62</v>
      </c>
      <c r="L37" s="74">
        <v>4.62</v>
      </c>
      <c r="M37" s="74">
        <v>4.62</v>
      </c>
      <c r="N37" s="74">
        <v>4.62</v>
      </c>
      <c r="O37" s="74">
        <v>4.62</v>
      </c>
      <c r="P37" s="74">
        <v>4.62</v>
      </c>
      <c r="Q37" s="74">
        <v>4.62</v>
      </c>
      <c r="R37" s="74">
        <v>4.62</v>
      </c>
      <c r="S37" s="74">
        <v>4.62</v>
      </c>
      <c r="T37" s="74">
        <v>4.62</v>
      </c>
      <c r="U37" s="74">
        <v>4.62</v>
      </c>
      <c r="V37" s="74">
        <v>4.62</v>
      </c>
      <c r="W37" s="74">
        <v>4.62</v>
      </c>
      <c r="X37" s="74">
        <v>4.62</v>
      </c>
      <c r="Y37" s="74">
        <v>4.62</v>
      </c>
      <c r="Z37" s="74">
        <v>4.62</v>
      </c>
      <c r="AA37" s="74">
        <v>4.62</v>
      </c>
      <c r="AB37" s="74">
        <v>4.62</v>
      </c>
      <c r="AC37" s="74">
        <v>4.62</v>
      </c>
      <c r="AD37" s="74">
        <v>4.62</v>
      </c>
      <c r="AE37" s="74">
        <v>4.62</v>
      </c>
      <c r="AF37" s="74">
        <v>4.62</v>
      </c>
      <c r="AG37" s="74">
        <v>4.62</v>
      </c>
      <c r="AH37" s="74">
        <v>4.62</v>
      </c>
      <c r="AI37" s="74">
        <v>4.62</v>
      </c>
      <c r="AJ37" s="74">
        <v>4.62</v>
      </c>
      <c r="AK37" s="75">
        <v>0</v>
      </c>
    </row>
    <row r="38" spans="1:37" ht="15" customHeight="1">
      <c r="A38" s="69" t="s">
        <v>802</v>
      </c>
      <c r="B38" s="73" t="s">
        <v>803</v>
      </c>
      <c r="C38" s="74">
        <v>5.8</v>
      </c>
      <c r="D38" s="74">
        <v>5.8</v>
      </c>
      <c r="E38" s="74">
        <v>5.8</v>
      </c>
      <c r="F38" s="74">
        <v>5.8</v>
      </c>
      <c r="G38" s="74">
        <v>5.8</v>
      </c>
      <c r="H38" s="74">
        <v>5.8</v>
      </c>
      <c r="I38" s="74">
        <v>5.8</v>
      </c>
      <c r="J38" s="74">
        <v>5.8</v>
      </c>
      <c r="K38" s="74">
        <v>5.8</v>
      </c>
      <c r="L38" s="74">
        <v>5.8</v>
      </c>
      <c r="M38" s="74">
        <v>5.8</v>
      </c>
      <c r="N38" s="74">
        <v>5.8</v>
      </c>
      <c r="O38" s="74">
        <v>5.8</v>
      </c>
      <c r="P38" s="74">
        <v>5.8</v>
      </c>
      <c r="Q38" s="74">
        <v>5.8</v>
      </c>
      <c r="R38" s="74">
        <v>5.8</v>
      </c>
      <c r="S38" s="74">
        <v>5.8</v>
      </c>
      <c r="T38" s="74">
        <v>5.8</v>
      </c>
      <c r="U38" s="74">
        <v>5.8</v>
      </c>
      <c r="V38" s="74">
        <v>5.8</v>
      </c>
      <c r="W38" s="74">
        <v>5.8</v>
      </c>
      <c r="X38" s="74">
        <v>5.8</v>
      </c>
      <c r="Y38" s="74">
        <v>5.8</v>
      </c>
      <c r="Z38" s="74">
        <v>5.8</v>
      </c>
      <c r="AA38" s="74">
        <v>5.8</v>
      </c>
      <c r="AB38" s="74">
        <v>5.8</v>
      </c>
      <c r="AC38" s="74">
        <v>5.8</v>
      </c>
      <c r="AD38" s="74">
        <v>5.8</v>
      </c>
      <c r="AE38" s="74">
        <v>5.8</v>
      </c>
      <c r="AF38" s="74">
        <v>5.8</v>
      </c>
      <c r="AG38" s="74">
        <v>5.8</v>
      </c>
      <c r="AH38" s="74">
        <v>5.8</v>
      </c>
      <c r="AI38" s="74">
        <v>5.8</v>
      </c>
      <c r="AJ38" s="74">
        <v>5.8</v>
      </c>
      <c r="AK38" s="75">
        <v>0</v>
      </c>
    </row>
    <row r="39" spans="1:37" ht="15" customHeight="1">
      <c r="A39" s="69" t="s">
        <v>804</v>
      </c>
      <c r="B39" s="73" t="s">
        <v>805</v>
      </c>
      <c r="C39" s="74">
        <v>5.4510759999999996</v>
      </c>
      <c r="D39" s="74">
        <v>5.4510759999999996</v>
      </c>
      <c r="E39" s="74">
        <v>5.4510759999999996</v>
      </c>
      <c r="F39" s="74">
        <v>5.4510759999999996</v>
      </c>
      <c r="G39" s="74">
        <v>5.4510759999999996</v>
      </c>
      <c r="H39" s="74">
        <v>5.4510759999999996</v>
      </c>
      <c r="I39" s="74">
        <v>5.4510759999999996</v>
      </c>
      <c r="J39" s="74">
        <v>5.4510759999999996</v>
      </c>
      <c r="K39" s="74">
        <v>5.4510759999999996</v>
      </c>
      <c r="L39" s="74">
        <v>5.4510759999999996</v>
      </c>
      <c r="M39" s="74">
        <v>5.4510759999999996</v>
      </c>
      <c r="N39" s="74">
        <v>5.4510759999999996</v>
      </c>
      <c r="O39" s="74">
        <v>5.4510759999999996</v>
      </c>
      <c r="P39" s="74">
        <v>5.4510759999999996</v>
      </c>
      <c r="Q39" s="74">
        <v>5.4510759999999996</v>
      </c>
      <c r="R39" s="74">
        <v>5.4510759999999996</v>
      </c>
      <c r="S39" s="74">
        <v>5.4510759999999996</v>
      </c>
      <c r="T39" s="74">
        <v>5.4510759999999996</v>
      </c>
      <c r="U39" s="74">
        <v>5.4510759999999996</v>
      </c>
      <c r="V39" s="74">
        <v>5.4510759999999996</v>
      </c>
      <c r="W39" s="74">
        <v>5.4510759999999996</v>
      </c>
      <c r="X39" s="74">
        <v>5.4510759999999996</v>
      </c>
      <c r="Y39" s="74">
        <v>5.4510759999999996</v>
      </c>
      <c r="Z39" s="74">
        <v>5.4510759999999996</v>
      </c>
      <c r="AA39" s="74">
        <v>5.4510759999999996</v>
      </c>
      <c r="AB39" s="74">
        <v>5.4510759999999996</v>
      </c>
      <c r="AC39" s="74">
        <v>5.4510759999999996</v>
      </c>
      <c r="AD39" s="74">
        <v>5.4510759999999996</v>
      </c>
      <c r="AE39" s="74">
        <v>5.4510759999999996</v>
      </c>
      <c r="AF39" s="74">
        <v>5.4510759999999996</v>
      </c>
      <c r="AG39" s="74">
        <v>5.4510759999999996</v>
      </c>
      <c r="AH39" s="74">
        <v>5.4510759999999996</v>
      </c>
      <c r="AI39" s="74">
        <v>5.4510759999999996</v>
      </c>
      <c r="AJ39" s="74">
        <v>5.4510759999999996</v>
      </c>
      <c r="AK39" s="75">
        <v>0</v>
      </c>
    </row>
    <row r="40" spans="1:37" ht="15" customHeight="1">
      <c r="A40" s="69" t="s">
        <v>806</v>
      </c>
      <c r="B40" s="73" t="s">
        <v>807</v>
      </c>
      <c r="C40" s="74">
        <v>6.2869999999999999</v>
      </c>
      <c r="D40" s="74">
        <v>6.2869999999999999</v>
      </c>
      <c r="E40" s="74">
        <v>6.2869999999999999</v>
      </c>
      <c r="F40" s="74">
        <v>6.2869999999999999</v>
      </c>
      <c r="G40" s="74">
        <v>6.2869999999999999</v>
      </c>
      <c r="H40" s="74">
        <v>6.2869999999999999</v>
      </c>
      <c r="I40" s="74">
        <v>6.2869999999999999</v>
      </c>
      <c r="J40" s="74">
        <v>6.2869999999999999</v>
      </c>
      <c r="K40" s="74">
        <v>6.2869999999999999</v>
      </c>
      <c r="L40" s="74">
        <v>6.2869999999999999</v>
      </c>
      <c r="M40" s="74">
        <v>6.2869999999999999</v>
      </c>
      <c r="N40" s="74">
        <v>6.2869999999999999</v>
      </c>
      <c r="O40" s="74">
        <v>6.2869999999999999</v>
      </c>
      <c r="P40" s="74">
        <v>6.2869999999999999</v>
      </c>
      <c r="Q40" s="74">
        <v>6.2869999999999999</v>
      </c>
      <c r="R40" s="74">
        <v>6.2869999999999999</v>
      </c>
      <c r="S40" s="74">
        <v>6.2869999999999999</v>
      </c>
      <c r="T40" s="74">
        <v>6.2869999999999999</v>
      </c>
      <c r="U40" s="74">
        <v>6.2869999999999999</v>
      </c>
      <c r="V40" s="74">
        <v>6.2869999999999999</v>
      </c>
      <c r="W40" s="74">
        <v>6.2869999999999999</v>
      </c>
      <c r="X40" s="74">
        <v>6.2869999999999999</v>
      </c>
      <c r="Y40" s="74">
        <v>6.2869999999999999</v>
      </c>
      <c r="Z40" s="74">
        <v>6.2869999999999999</v>
      </c>
      <c r="AA40" s="74">
        <v>6.2869999999999999</v>
      </c>
      <c r="AB40" s="74">
        <v>6.2869999999999999</v>
      </c>
      <c r="AC40" s="74">
        <v>6.2869999999999999</v>
      </c>
      <c r="AD40" s="74">
        <v>6.2869999999999999</v>
      </c>
      <c r="AE40" s="74">
        <v>6.2869999999999999</v>
      </c>
      <c r="AF40" s="74">
        <v>6.2869999999999999</v>
      </c>
      <c r="AG40" s="74">
        <v>6.2869999999999999</v>
      </c>
      <c r="AH40" s="74">
        <v>6.2869999999999999</v>
      </c>
      <c r="AI40" s="74">
        <v>6.2869999999999999</v>
      </c>
      <c r="AJ40" s="74">
        <v>6.2869999999999999</v>
      </c>
      <c r="AK40" s="75">
        <v>0</v>
      </c>
    </row>
    <row r="41" spans="1:37" ht="15" customHeight="1">
      <c r="A41" s="69" t="s">
        <v>808</v>
      </c>
      <c r="B41" s="73" t="s">
        <v>809</v>
      </c>
      <c r="C41" s="74">
        <v>6.2869999999999999</v>
      </c>
      <c r="D41" s="74">
        <v>6.2869999999999999</v>
      </c>
      <c r="E41" s="74">
        <v>6.2869999999999999</v>
      </c>
      <c r="F41" s="74">
        <v>6.2869999999999999</v>
      </c>
      <c r="G41" s="74">
        <v>6.2869999999999999</v>
      </c>
      <c r="H41" s="74">
        <v>6.2869999999999999</v>
      </c>
      <c r="I41" s="74">
        <v>6.2869999999999999</v>
      </c>
      <c r="J41" s="74">
        <v>6.2869999999999999</v>
      </c>
      <c r="K41" s="74">
        <v>6.2869999999999999</v>
      </c>
      <c r="L41" s="74">
        <v>6.2869999999999999</v>
      </c>
      <c r="M41" s="74">
        <v>6.2869999999999999</v>
      </c>
      <c r="N41" s="74">
        <v>6.2869999999999999</v>
      </c>
      <c r="O41" s="74">
        <v>6.2869999999999999</v>
      </c>
      <c r="P41" s="74">
        <v>6.2869999999999999</v>
      </c>
      <c r="Q41" s="74">
        <v>6.2869999999999999</v>
      </c>
      <c r="R41" s="74">
        <v>6.2869999999999999</v>
      </c>
      <c r="S41" s="74">
        <v>6.2869999999999999</v>
      </c>
      <c r="T41" s="74">
        <v>6.2869999999999999</v>
      </c>
      <c r="U41" s="74">
        <v>6.2869999999999999</v>
      </c>
      <c r="V41" s="74">
        <v>6.2869999999999999</v>
      </c>
      <c r="W41" s="74">
        <v>6.2869999999999999</v>
      </c>
      <c r="X41" s="74">
        <v>6.2869999999999999</v>
      </c>
      <c r="Y41" s="74">
        <v>6.2869999999999999</v>
      </c>
      <c r="Z41" s="74">
        <v>6.2869999999999999</v>
      </c>
      <c r="AA41" s="74">
        <v>6.2869999999999999</v>
      </c>
      <c r="AB41" s="74">
        <v>6.2869999999999999</v>
      </c>
      <c r="AC41" s="74">
        <v>6.2869999999999999</v>
      </c>
      <c r="AD41" s="74">
        <v>6.2869999999999999</v>
      </c>
      <c r="AE41" s="74">
        <v>6.2869999999999999</v>
      </c>
      <c r="AF41" s="74">
        <v>6.2869999999999999</v>
      </c>
      <c r="AG41" s="74">
        <v>6.2869999999999999</v>
      </c>
      <c r="AH41" s="74">
        <v>6.2869999999999999</v>
      </c>
      <c r="AI41" s="74">
        <v>6.2869999999999999</v>
      </c>
      <c r="AJ41" s="74">
        <v>6.2869999999999999</v>
      </c>
      <c r="AK41" s="75">
        <v>0</v>
      </c>
    </row>
    <row r="42" spans="1:37" ht="15" customHeight="1">
      <c r="A42" s="69" t="s">
        <v>810</v>
      </c>
      <c r="B42" s="73" t="s">
        <v>811</v>
      </c>
      <c r="C42" s="74">
        <v>6.2869999999999999</v>
      </c>
      <c r="D42" s="74">
        <v>6.2869999999999999</v>
      </c>
      <c r="E42" s="74">
        <v>6.2869999999999999</v>
      </c>
      <c r="F42" s="74">
        <v>6.2869999999999999</v>
      </c>
      <c r="G42" s="74">
        <v>6.2869999999999999</v>
      </c>
      <c r="H42" s="74">
        <v>6.2869999999999999</v>
      </c>
      <c r="I42" s="74">
        <v>6.2869999999999999</v>
      </c>
      <c r="J42" s="74">
        <v>6.2869999999999999</v>
      </c>
      <c r="K42" s="74">
        <v>6.2869999999999999</v>
      </c>
      <c r="L42" s="74">
        <v>6.2869999999999999</v>
      </c>
      <c r="M42" s="74">
        <v>6.2869999999999999</v>
      </c>
      <c r="N42" s="74">
        <v>6.2869999999999999</v>
      </c>
      <c r="O42" s="74">
        <v>6.2869999999999999</v>
      </c>
      <c r="P42" s="74">
        <v>6.2869999999999999</v>
      </c>
      <c r="Q42" s="74">
        <v>6.2869999999999999</v>
      </c>
      <c r="R42" s="74">
        <v>6.2869999999999999</v>
      </c>
      <c r="S42" s="74">
        <v>6.2869999999999999</v>
      </c>
      <c r="T42" s="74">
        <v>6.2869999999999999</v>
      </c>
      <c r="U42" s="74">
        <v>6.2869999999999999</v>
      </c>
      <c r="V42" s="74">
        <v>6.2869999999999999</v>
      </c>
      <c r="W42" s="74">
        <v>6.2869999999999999</v>
      </c>
      <c r="X42" s="74">
        <v>6.2869999999999999</v>
      </c>
      <c r="Y42" s="74">
        <v>6.2869999999999999</v>
      </c>
      <c r="Z42" s="74">
        <v>6.2869999999999999</v>
      </c>
      <c r="AA42" s="74">
        <v>6.2869999999999999</v>
      </c>
      <c r="AB42" s="74">
        <v>6.2869999999999999</v>
      </c>
      <c r="AC42" s="74">
        <v>6.2869999999999999</v>
      </c>
      <c r="AD42" s="74">
        <v>6.2869999999999999</v>
      </c>
      <c r="AE42" s="74">
        <v>6.2869999999999999</v>
      </c>
      <c r="AF42" s="74">
        <v>6.2869999999999999</v>
      </c>
      <c r="AG42" s="74">
        <v>6.2869999999999999</v>
      </c>
      <c r="AH42" s="74">
        <v>6.2869999999999999</v>
      </c>
      <c r="AI42" s="74">
        <v>6.2869999999999999</v>
      </c>
      <c r="AJ42" s="74">
        <v>6.2869999999999999</v>
      </c>
      <c r="AK42" s="75">
        <v>0</v>
      </c>
    </row>
    <row r="43" spans="1:37" ht="15" customHeight="1">
      <c r="A43" s="69" t="s">
        <v>812</v>
      </c>
      <c r="B43" s="73" t="s">
        <v>813</v>
      </c>
      <c r="C43" s="74">
        <v>6.1473459999999998</v>
      </c>
      <c r="D43" s="74">
        <v>6.1452260000000001</v>
      </c>
      <c r="E43" s="74">
        <v>6.1456169999999997</v>
      </c>
      <c r="F43" s="74">
        <v>6.192609</v>
      </c>
      <c r="G43" s="74">
        <v>6.1871369999999999</v>
      </c>
      <c r="H43" s="74">
        <v>6.1839120000000003</v>
      </c>
      <c r="I43" s="74">
        <v>6.177295</v>
      </c>
      <c r="J43" s="74">
        <v>6.1706190000000003</v>
      </c>
      <c r="K43" s="74">
        <v>6.1645000000000003</v>
      </c>
      <c r="L43" s="74">
        <v>6.1563090000000003</v>
      </c>
      <c r="M43" s="74">
        <v>6.1576269999999997</v>
      </c>
      <c r="N43" s="74">
        <v>6.157673</v>
      </c>
      <c r="O43" s="74">
        <v>6.1597790000000003</v>
      </c>
      <c r="P43" s="74">
        <v>6.159592</v>
      </c>
      <c r="Q43" s="74">
        <v>6.1617009999999999</v>
      </c>
      <c r="R43" s="74">
        <v>6.162801</v>
      </c>
      <c r="S43" s="74">
        <v>6.1631689999999999</v>
      </c>
      <c r="T43" s="74">
        <v>6.1640280000000001</v>
      </c>
      <c r="U43" s="74">
        <v>6.1661429999999999</v>
      </c>
      <c r="V43" s="74">
        <v>6.1675360000000001</v>
      </c>
      <c r="W43" s="74">
        <v>6.1674319999999998</v>
      </c>
      <c r="X43" s="74">
        <v>6.1685819999999998</v>
      </c>
      <c r="Y43" s="74">
        <v>6.1709719999999999</v>
      </c>
      <c r="Z43" s="74">
        <v>6.171176</v>
      </c>
      <c r="AA43" s="74">
        <v>6.1722760000000001</v>
      </c>
      <c r="AB43" s="74">
        <v>6.1744009999999996</v>
      </c>
      <c r="AC43" s="74">
        <v>6.175586</v>
      </c>
      <c r="AD43" s="74">
        <v>6.1767789999999998</v>
      </c>
      <c r="AE43" s="74">
        <v>6.1779799999999998</v>
      </c>
      <c r="AF43" s="74">
        <v>6.179189</v>
      </c>
      <c r="AG43" s="74">
        <v>6.1804069999999998</v>
      </c>
      <c r="AH43" s="74">
        <v>6.1816329999999997</v>
      </c>
      <c r="AI43" s="74">
        <v>6.182868</v>
      </c>
      <c r="AJ43" s="74">
        <v>6.1841100000000004</v>
      </c>
      <c r="AK43" s="75">
        <v>1.9699999999999999E-4</v>
      </c>
    </row>
    <row r="44" spans="1:37" ht="15" customHeight="1">
      <c r="A44" s="69" t="s">
        <v>814</v>
      </c>
      <c r="B44" s="73" t="s">
        <v>815</v>
      </c>
      <c r="C44" s="74">
        <v>5.1759979999999999</v>
      </c>
      <c r="D44" s="74">
        <v>5.1493409999999997</v>
      </c>
      <c r="E44" s="74">
        <v>5.1485440000000002</v>
      </c>
      <c r="F44" s="74">
        <v>5.1351180000000003</v>
      </c>
      <c r="G44" s="74">
        <v>5.1214979999999999</v>
      </c>
      <c r="H44" s="74">
        <v>5.1131700000000002</v>
      </c>
      <c r="I44" s="74">
        <v>5.1068749999999996</v>
      </c>
      <c r="J44" s="74">
        <v>5.1001250000000002</v>
      </c>
      <c r="K44" s="74">
        <v>5.0954069999999998</v>
      </c>
      <c r="L44" s="74">
        <v>5.0923059999999998</v>
      </c>
      <c r="M44" s="74">
        <v>5.0851800000000003</v>
      </c>
      <c r="N44" s="74">
        <v>5.0822000000000003</v>
      </c>
      <c r="O44" s="74">
        <v>5.0765289999999998</v>
      </c>
      <c r="P44" s="74">
        <v>5.0746789999999997</v>
      </c>
      <c r="Q44" s="74">
        <v>5.072298</v>
      </c>
      <c r="R44" s="74">
        <v>5.0691280000000001</v>
      </c>
      <c r="S44" s="74">
        <v>5.0666989999999998</v>
      </c>
      <c r="T44" s="74">
        <v>5.0689719999999996</v>
      </c>
      <c r="U44" s="74">
        <v>5.067164</v>
      </c>
      <c r="V44" s="74">
        <v>5.064692</v>
      </c>
      <c r="W44" s="74">
        <v>5.0671790000000003</v>
      </c>
      <c r="X44" s="74">
        <v>5.0644499999999999</v>
      </c>
      <c r="Y44" s="74">
        <v>5.0636330000000003</v>
      </c>
      <c r="Z44" s="74">
        <v>5.0643700000000003</v>
      </c>
      <c r="AA44" s="74">
        <v>5.0640780000000003</v>
      </c>
      <c r="AB44" s="74">
        <v>5.0626110000000004</v>
      </c>
      <c r="AC44" s="74">
        <v>5.0658269999999996</v>
      </c>
      <c r="AD44" s="74">
        <v>5.0664360000000004</v>
      </c>
      <c r="AE44" s="74">
        <v>5.0678429999999999</v>
      </c>
      <c r="AF44" s="74">
        <v>5.0690910000000002</v>
      </c>
      <c r="AG44" s="74">
        <v>5.0703579999999997</v>
      </c>
      <c r="AH44" s="74">
        <v>5.0693210000000004</v>
      </c>
      <c r="AI44" s="74">
        <v>5.0696510000000004</v>
      </c>
      <c r="AJ44" s="74">
        <v>5.0702829999999999</v>
      </c>
      <c r="AK44" s="75">
        <v>-4.8299999999999998E-4</v>
      </c>
    </row>
    <row r="45" spans="1:37" ht="15" customHeight="1">
      <c r="A45" s="69" t="s">
        <v>816</v>
      </c>
      <c r="B45" s="73" t="s">
        <v>817</v>
      </c>
      <c r="C45" s="74">
        <v>5.5967529999999996</v>
      </c>
      <c r="D45" s="74">
        <v>5.6771430000000001</v>
      </c>
      <c r="E45" s="74">
        <v>5.6840089999999996</v>
      </c>
      <c r="F45" s="74">
        <v>5.7170959999999997</v>
      </c>
      <c r="G45" s="74">
        <v>5.6661299999999999</v>
      </c>
      <c r="H45" s="74">
        <v>5.6535770000000003</v>
      </c>
      <c r="I45" s="74">
        <v>5.6441179999999997</v>
      </c>
      <c r="J45" s="74">
        <v>5.6398200000000003</v>
      </c>
      <c r="K45" s="74">
        <v>5.6309760000000004</v>
      </c>
      <c r="L45" s="74">
        <v>5.6472470000000001</v>
      </c>
      <c r="M45" s="74">
        <v>5.6488060000000004</v>
      </c>
      <c r="N45" s="74">
        <v>5.6772070000000001</v>
      </c>
      <c r="O45" s="74">
        <v>5.6554729999999998</v>
      </c>
      <c r="P45" s="74">
        <v>5.6398169999999999</v>
      </c>
      <c r="Q45" s="74">
        <v>5.655303</v>
      </c>
      <c r="R45" s="74">
        <v>5.6159470000000002</v>
      </c>
      <c r="S45" s="74">
        <v>5.5804359999999997</v>
      </c>
      <c r="T45" s="74">
        <v>5.601731</v>
      </c>
      <c r="U45" s="74">
        <v>5.5999040000000004</v>
      </c>
      <c r="V45" s="74">
        <v>5.5448909999999998</v>
      </c>
      <c r="W45" s="74">
        <v>5.5638050000000003</v>
      </c>
      <c r="X45" s="74">
        <v>5.5047459999999999</v>
      </c>
      <c r="Y45" s="74">
        <v>5.4706440000000001</v>
      </c>
      <c r="Z45" s="74">
        <v>5.4392110000000002</v>
      </c>
      <c r="AA45" s="74">
        <v>5.4146479999999997</v>
      </c>
      <c r="AB45" s="74">
        <v>5.3607440000000004</v>
      </c>
      <c r="AC45" s="74">
        <v>5.3546440000000004</v>
      </c>
      <c r="AD45" s="74">
        <v>5.3370649999999999</v>
      </c>
      <c r="AE45" s="74">
        <v>5.3099679999999996</v>
      </c>
      <c r="AF45" s="74">
        <v>5.2794489999999996</v>
      </c>
      <c r="AG45" s="74">
        <v>5.249695</v>
      </c>
      <c r="AH45" s="74">
        <v>5.2043689999999998</v>
      </c>
      <c r="AI45" s="74">
        <v>5.1639299999999997</v>
      </c>
      <c r="AJ45" s="74">
        <v>5.1378079999999997</v>
      </c>
      <c r="AK45" s="75">
        <v>-3.1150000000000001E-3</v>
      </c>
    </row>
    <row r="46" spans="1:37" ht="15" customHeight="1">
      <c r="A46" s="69" t="s">
        <v>818</v>
      </c>
      <c r="B46" s="73" t="s">
        <v>819</v>
      </c>
      <c r="C46" s="74">
        <v>5.1509999999999998</v>
      </c>
      <c r="D46" s="74">
        <v>5.2744179999999998</v>
      </c>
      <c r="E46" s="74">
        <v>5.2506209999999998</v>
      </c>
      <c r="F46" s="74">
        <v>5.2757480000000001</v>
      </c>
      <c r="G46" s="74">
        <v>5.2430519999999996</v>
      </c>
      <c r="H46" s="74">
        <v>5.2341490000000004</v>
      </c>
      <c r="I46" s="74">
        <v>5.2313539999999996</v>
      </c>
      <c r="J46" s="74">
        <v>5.2458450000000001</v>
      </c>
      <c r="K46" s="74">
        <v>5.2317590000000003</v>
      </c>
      <c r="L46" s="74">
        <v>5.1954609999999999</v>
      </c>
      <c r="M46" s="74">
        <v>5.1871260000000001</v>
      </c>
      <c r="N46" s="74">
        <v>5.1891119999999997</v>
      </c>
      <c r="O46" s="74">
        <v>5.1797279999999999</v>
      </c>
      <c r="P46" s="74">
        <v>5.1827779999999999</v>
      </c>
      <c r="Q46" s="74">
        <v>5.1716069999999998</v>
      </c>
      <c r="R46" s="74">
        <v>5.1720730000000001</v>
      </c>
      <c r="S46" s="74">
        <v>5.1663009999999998</v>
      </c>
      <c r="T46" s="74">
        <v>5.1594030000000002</v>
      </c>
      <c r="U46" s="74">
        <v>5.1539609999999998</v>
      </c>
      <c r="V46" s="74">
        <v>5.1569050000000001</v>
      </c>
      <c r="W46" s="74">
        <v>5.1471669999999996</v>
      </c>
      <c r="X46" s="74">
        <v>5.1453899999999999</v>
      </c>
      <c r="Y46" s="74">
        <v>5.1359450000000004</v>
      </c>
      <c r="Z46" s="74">
        <v>5.1392990000000003</v>
      </c>
      <c r="AA46" s="74">
        <v>5.1376179999999998</v>
      </c>
      <c r="AB46" s="74">
        <v>5.1223150000000004</v>
      </c>
      <c r="AC46" s="74">
        <v>5.131875</v>
      </c>
      <c r="AD46" s="74">
        <v>5.1306099999999999</v>
      </c>
      <c r="AE46" s="74">
        <v>5.1394690000000001</v>
      </c>
      <c r="AF46" s="74">
        <v>5.1280320000000001</v>
      </c>
      <c r="AG46" s="74">
        <v>5.124009</v>
      </c>
      <c r="AH46" s="74">
        <v>5.1212489999999997</v>
      </c>
      <c r="AI46" s="74">
        <v>5.1119820000000002</v>
      </c>
      <c r="AJ46" s="74">
        <v>5.1060999999999996</v>
      </c>
      <c r="AK46" s="75">
        <v>-1.013E-3</v>
      </c>
    </row>
    <row r="47" spans="1:37" ht="15" customHeight="1">
      <c r="B47" s="76" t="s">
        <v>820</v>
      </c>
    </row>
    <row r="48" spans="1:37" ht="15" customHeight="1">
      <c r="A48" s="69" t="s">
        <v>821</v>
      </c>
      <c r="B48" s="73" t="s">
        <v>822</v>
      </c>
      <c r="C48" s="74">
        <v>5.7229999999999999</v>
      </c>
      <c r="D48" s="74">
        <v>5.7199359999999997</v>
      </c>
      <c r="E48" s="74">
        <v>5.7093740000000004</v>
      </c>
      <c r="F48" s="74">
        <v>5.7020210000000002</v>
      </c>
      <c r="G48" s="74">
        <v>5.6990360000000004</v>
      </c>
      <c r="H48" s="74">
        <v>5.7029030000000001</v>
      </c>
      <c r="I48" s="74">
        <v>5.7014690000000003</v>
      </c>
      <c r="J48" s="74">
        <v>5.697845</v>
      </c>
      <c r="K48" s="74">
        <v>5.6965690000000002</v>
      </c>
      <c r="L48" s="74">
        <v>5.6955710000000002</v>
      </c>
      <c r="M48" s="74">
        <v>5.6916909999999996</v>
      </c>
      <c r="N48" s="74">
        <v>5.6895829999999998</v>
      </c>
      <c r="O48" s="74">
        <v>5.6873170000000002</v>
      </c>
      <c r="P48" s="74">
        <v>5.6864030000000003</v>
      </c>
      <c r="Q48" s="74">
        <v>5.6859310000000001</v>
      </c>
      <c r="R48" s="74">
        <v>5.6860549999999996</v>
      </c>
      <c r="S48" s="74">
        <v>5.6862589999999997</v>
      </c>
      <c r="T48" s="74">
        <v>5.6853819999999997</v>
      </c>
      <c r="U48" s="74">
        <v>5.6852140000000002</v>
      </c>
      <c r="V48" s="74">
        <v>5.6858959999999996</v>
      </c>
      <c r="W48" s="74">
        <v>5.6868850000000002</v>
      </c>
      <c r="X48" s="74">
        <v>5.6879220000000004</v>
      </c>
      <c r="Y48" s="74">
        <v>5.6901700000000002</v>
      </c>
      <c r="Z48" s="74">
        <v>5.6909640000000001</v>
      </c>
      <c r="AA48" s="74">
        <v>5.6894390000000001</v>
      </c>
      <c r="AB48" s="74">
        <v>5.6887540000000003</v>
      </c>
      <c r="AC48" s="74">
        <v>5.6864689999999998</v>
      </c>
      <c r="AD48" s="74">
        <v>5.6844440000000001</v>
      </c>
      <c r="AE48" s="74">
        <v>5.683516</v>
      </c>
      <c r="AF48" s="74">
        <v>5.6828880000000002</v>
      </c>
      <c r="AG48" s="74">
        <v>5.6813929999999999</v>
      </c>
      <c r="AH48" s="74">
        <v>5.6792740000000004</v>
      </c>
      <c r="AI48" s="74">
        <v>5.678185</v>
      </c>
      <c r="AJ48" s="74">
        <v>5.676202</v>
      </c>
      <c r="AK48" s="75">
        <v>-2.4000000000000001E-4</v>
      </c>
    </row>
    <row r="49" spans="1:37" ht="15" customHeight="1">
      <c r="A49" s="69" t="s">
        <v>823</v>
      </c>
      <c r="B49" s="73" t="s">
        <v>824</v>
      </c>
      <c r="C49" s="74">
        <v>6.05</v>
      </c>
      <c r="D49" s="74">
        <v>6.1347209999999999</v>
      </c>
      <c r="E49" s="74">
        <v>6.1184380000000003</v>
      </c>
      <c r="F49" s="74">
        <v>6.1172810000000002</v>
      </c>
      <c r="G49" s="74">
        <v>6.117947</v>
      </c>
      <c r="H49" s="74">
        <v>6.1025400000000003</v>
      </c>
      <c r="I49" s="74">
        <v>6.1033739999999996</v>
      </c>
      <c r="J49" s="74">
        <v>6.1071629999999999</v>
      </c>
      <c r="K49" s="74">
        <v>6.1065849999999999</v>
      </c>
      <c r="L49" s="74">
        <v>6.1245560000000001</v>
      </c>
      <c r="M49" s="74">
        <v>6.090179</v>
      </c>
      <c r="N49" s="74">
        <v>6.1186819999999997</v>
      </c>
      <c r="O49" s="74">
        <v>6.0805309999999997</v>
      </c>
      <c r="P49" s="74">
        <v>6.1038079999999999</v>
      </c>
      <c r="Q49" s="74">
        <v>6.1135659999999996</v>
      </c>
      <c r="R49" s="74">
        <v>6.1076240000000004</v>
      </c>
      <c r="S49" s="74">
        <v>6.0846780000000003</v>
      </c>
      <c r="T49" s="74">
        <v>6.1340570000000003</v>
      </c>
      <c r="U49" s="74">
        <v>6.1319419999999996</v>
      </c>
      <c r="V49" s="74">
        <v>6.0897600000000001</v>
      </c>
      <c r="W49" s="74">
        <v>6.1385750000000003</v>
      </c>
      <c r="X49" s="74">
        <v>6.1383919999999996</v>
      </c>
      <c r="Y49" s="74">
        <v>6.1363960000000004</v>
      </c>
      <c r="Z49" s="74">
        <v>6.1379999999999999</v>
      </c>
      <c r="AA49" s="74">
        <v>6.1413979999999997</v>
      </c>
      <c r="AB49" s="74">
        <v>6.1053959999999998</v>
      </c>
      <c r="AC49" s="74">
        <v>6.1190619999999996</v>
      </c>
      <c r="AD49" s="74">
        <v>6.1323290000000004</v>
      </c>
      <c r="AE49" s="74">
        <v>6.1402510000000001</v>
      </c>
      <c r="AF49" s="74">
        <v>6.1441309999999998</v>
      </c>
      <c r="AG49" s="74">
        <v>6.1417869999999999</v>
      </c>
      <c r="AH49" s="74">
        <v>6.1391349999999996</v>
      </c>
      <c r="AI49" s="74">
        <v>6.1375440000000001</v>
      </c>
      <c r="AJ49" s="74">
        <v>6.1341609999999998</v>
      </c>
      <c r="AK49" s="75">
        <v>-3.0000000000000001E-6</v>
      </c>
    </row>
    <row r="50" spans="1:37" ht="15" customHeight="1">
      <c r="A50" s="69" t="s">
        <v>825</v>
      </c>
      <c r="B50" s="73" t="s">
        <v>826</v>
      </c>
      <c r="C50" s="74">
        <v>5.7380000000000004</v>
      </c>
      <c r="D50" s="74">
        <v>5.5547700000000004</v>
      </c>
      <c r="E50" s="74">
        <v>5.5572369999999998</v>
      </c>
      <c r="F50" s="74">
        <v>5.5581670000000001</v>
      </c>
      <c r="G50" s="74">
        <v>5.5659510000000001</v>
      </c>
      <c r="H50" s="74">
        <v>5.562354</v>
      </c>
      <c r="I50" s="74">
        <v>5.5637150000000002</v>
      </c>
      <c r="J50" s="74">
        <v>5.562271</v>
      </c>
      <c r="K50" s="74">
        <v>5.5667879999999998</v>
      </c>
      <c r="L50" s="74">
        <v>5.565995</v>
      </c>
      <c r="M50" s="74">
        <v>5.5575130000000001</v>
      </c>
      <c r="N50" s="74">
        <v>5.5605130000000003</v>
      </c>
      <c r="O50" s="74">
        <v>5.5607730000000002</v>
      </c>
      <c r="P50" s="74">
        <v>5.5617470000000004</v>
      </c>
      <c r="Q50" s="74">
        <v>5.5626410000000002</v>
      </c>
      <c r="R50" s="74">
        <v>5.562265</v>
      </c>
      <c r="S50" s="74">
        <v>5.569706</v>
      </c>
      <c r="T50" s="74">
        <v>5.5947889999999996</v>
      </c>
      <c r="U50" s="74">
        <v>5.5964090000000004</v>
      </c>
      <c r="V50" s="74">
        <v>5.6038379999999997</v>
      </c>
      <c r="W50" s="74">
        <v>5.6030389999999999</v>
      </c>
      <c r="X50" s="74">
        <v>5.6124460000000003</v>
      </c>
      <c r="Y50" s="74">
        <v>5.6163569999999998</v>
      </c>
      <c r="Z50" s="74">
        <v>5.6223010000000002</v>
      </c>
      <c r="AA50" s="74">
        <v>5.6172779999999998</v>
      </c>
      <c r="AB50" s="74">
        <v>5.6117030000000003</v>
      </c>
      <c r="AC50" s="74">
        <v>5.5987220000000004</v>
      </c>
      <c r="AD50" s="74">
        <v>5.5860859999999999</v>
      </c>
      <c r="AE50" s="74">
        <v>5.5761089999999998</v>
      </c>
      <c r="AF50" s="74">
        <v>5.5612719999999998</v>
      </c>
      <c r="AG50" s="74">
        <v>5.5591340000000002</v>
      </c>
      <c r="AH50" s="74">
        <v>5.5583109999999998</v>
      </c>
      <c r="AI50" s="74">
        <v>5.5584769999999999</v>
      </c>
      <c r="AJ50" s="74">
        <v>5.5588160000000002</v>
      </c>
      <c r="AK50" s="75">
        <v>2.3E-5</v>
      </c>
    </row>
    <row r="51" spans="1:37" ht="15" customHeight="1">
      <c r="A51" s="69" t="s">
        <v>827</v>
      </c>
      <c r="B51" s="73" t="s">
        <v>828</v>
      </c>
      <c r="C51" s="74">
        <v>3.6994319999999998</v>
      </c>
      <c r="D51" s="74">
        <v>3.6803349999999999</v>
      </c>
      <c r="E51" s="74">
        <v>3.6751779999999998</v>
      </c>
      <c r="F51" s="74">
        <v>3.6722600000000001</v>
      </c>
      <c r="G51" s="74">
        <v>3.661632</v>
      </c>
      <c r="H51" s="74">
        <v>3.661705</v>
      </c>
      <c r="I51" s="74">
        <v>3.6604510000000001</v>
      </c>
      <c r="J51" s="74">
        <v>3.65821</v>
      </c>
      <c r="K51" s="74">
        <v>3.6569090000000002</v>
      </c>
      <c r="L51" s="74">
        <v>3.6559050000000002</v>
      </c>
      <c r="M51" s="74">
        <v>3.655815</v>
      </c>
      <c r="N51" s="74">
        <v>3.6549260000000001</v>
      </c>
      <c r="O51" s="74">
        <v>3.6537899999999999</v>
      </c>
      <c r="P51" s="74">
        <v>3.6542750000000002</v>
      </c>
      <c r="Q51" s="74">
        <v>3.6541939999999999</v>
      </c>
      <c r="R51" s="74">
        <v>3.6551800000000001</v>
      </c>
      <c r="S51" s="74">
        <v>3.6552220000000002</v>
      </c>
      <c r="T51" s="74">
        <v>3.6557840000000001</v>
      </c>
      <c r="U51" s="74">
        <v>3.6554319999999998</v>
      </c>
      <c r="V51" s="74">
        <v>3.6563289999999999</v>
      </c>
      <c r="W51" s="74">
        <v>3.656425</v>
      </c>
      <c r="X51" s="74">
        <v>3.6584599999999998</v>
      </c>
      <c r="Y51" s="74">
        <v>3.659478</v>
      </c>
      <c r="Z51" s="74">
        <v>3.6604260000000002</v>
      </c>
      <c r="AA51" s="74">
        <v>3.6596030000000002</v>
      </c>
      <c r="AB51" s="74">
        <v>3.6590319999999998</v>
      </c>
      <c r="AC51" s="74">
        <v>3.657537</v>
      </c>
      <c r="AD51" s="74">
        <v>3.655983</v>
      </c>
      <c r="AE51" s="74">
        <v>3.6549179999999999</v>
      </c>
      <c r="AF51" s="74">
        <v>3.6535739999999999</v>
      </c>
      <c r="AG51" s="74">
        <v>3.651659</v>
      </c>
      <c r="AH51" s="74">
        <v>3.6501269999999999</v>
      </c>
      <c r="AI51" s="74">
        <v>3.6490499999999999</v>
      </c>
      <c r="AJ51" s="74">
        <v>3.6478000000000002</v>
      </c>
      <c r="AK51" s="75">
        <v>-2.7700000000000001E-4</v>
      </c>
    </row>
    <row r="53" spans="1:37" ht="15" customHeight="1">
      <c r="B53" s="72" t="s">
        <v>829</v>
      </c>
    </row>
    <row r="54" spans="1:37" ht="15" customHeight="1">
      <c r="A54" s="69" t="s">
        <v>830</v>
      </c>
      <c r="B54" s="73" t="s">
        <v>831</v>
      </c>
      <c r="C54" s="74">
        <v>1.0369999999999999</v>
      </c>
      <c r="D54" s="74">
        <v>1.0369999999999999</v>
      </c>
      <c r="E54" s="74">
        <v>1.0369999999999999</v>
      </c>
      <c r="F54" s="74">
        <v>1.0369999999999999</v>
      </c>
      <c r="G54" s="74">
        <v>1.0369999999999999</v>
      </c>
      <c r="H54" s="74">
        <v>1.0369999999999999</v>
      </c>
      <c r="I54" s="74">
        <v>1.0369999999999999</v>
      </c>
      <c r="J54" s="74">
        <v>1.0369999999999999</v>
      </c>
      <c r="K54" s="74">
        <v>1.0369999999999999</v>
      </c>
      <c r="L54" s="74">
        <v>1.0369999999999999</v>
      </c>
      <c r="M54" s="74">
        <v>1.0369999999999999</v>
      </c>
      <c r="N54" s="74">
        <v>1.0369999999999999</v>
      </c>
      <c r="O54" s="74">
        <v>1.0369999999999999</v>
      </c>
      <c r="P54" s="74">
        <v>1.0369999999999999</v>
      </c>
      <c r="Q54" s="74">
        <v>1.0369999999999999</v>
      </c>
      <c r="R54" s="74">
        <v>1.0369999999999999</v>
      </c>
      <c r="S54" s="74">
        <v>1.0369999999999999</v>
      </c>
      <c r="T54" s="74">
        <v>1.0369999999999999</v>
      </c>
      <c r="U54" s="74">
        <v>1.0369999999999999</v>
      </c>
      <c r="V54" s="74">
        <v>1.0369999999999999</v>
      </c>
      <c r="W54" s="74">
        <v>1.0369999999999999</v>
      </c>
      <c r="X54" s="74">
        <v>1.0369999999999999</v>
      </c>
      <c r="Y54" s="74">
        <v>1.0369999999999999</v>
      </c>
      <c r="Z54" s="74">
        <v>1.0369999999999999</v>
      </c>
      <c r="AA54" s="74">
        <v>1.0369999999999999</v>
      </c>
      <c r="AB54" s="74">
        <v>1.0369999999999999</v>
      </c>
      <c r="AC54" s="74">
        <v>1.0369999999999999</v>
      </c>
      <c r="AD54" s="74">
        <v>1.0369999999999999</v>
      </c>
      <c r="AE54" s="74">
        <v>1.0369999999999999</v>
      </c>
      <c r="AF54" s="74">
        <v>1.0369999999999999</v>
      </c>
      <c r="AG54" s="74">
        <v>1.0369999999999999</v>
      </c>
      <c r="AH54" s="74">
        <v>1.0369999999999999</v>
      </c>
      <c r="AI54" s="74">
        <v>1.0369999999999999</v>
      </c>
      <c r="AJ54" s="74">
        <v>1.0369999999999999</v>
      </c>
      <c r="AK54" s="75">
        <v>0</v>
      </c>
    </row>
    <row r="55" spans="1:37" ht="15" customHeight="1">
      <c r="A55" s="69" t="s">
        <v>832</v>
      </c>
      <c r="B55" s="73" t="s">
        <v>833</v>
      </c>
      <c r="C55" s="74">
        <v>1.0329999999999999</v>
      </c>
      <c r="D55" s="74">
        <v>1.0329999999999999</v>
      </c>
      <c r="E55" s="74">
        <v>1.0329999999999999</v>
      </c>
      <c r="F55" s="74">
        <v>1.0329999999999999</v>
      </c>
      <c r="G55" s="74">
        <v>1.0329999999999999</v>
      </c>
      <c r="H55" s="74">
        <v>1.0329999999999999</v>
      </c>
      <c r="I55" s="74">
        <v>1.0329999999999999</v>
      </c>
      <c r="J55" s="74">
        <v>1.0329999999999999</v>
      </c>
      <c r="K55" s="74">
        <v>1.0329999999999999</v>
      </c>
      <c r="L55" s="74">
        <v>1.0329999999999999</v>
      </c>
      <c r="M55" s="74">
        <v>1.0329999999999999</v>
      </c>
      <c r="N55" s="74">
        <v>1.0329999999999999</v>
      </c>
      <c r="O55" s="74">
        <v>1.0329999999999999</v>
      </c>
      <c r="P55" s="74">
        <v>1.0329999999999999</v>
      </c>
      <c r="Q55" s="74">
        <v>1.0329999999999999</v>
      </c>
      <c r="R55" s="74">
        <v>1.0329999999999999</v>
      </c>
      <c r="S55" s="74">
        <v>1.0329999999999999</v>
      </c>
      <c r="T55" s="74">
        <v>1.0329999999999999</v>
      </c>
      <c r="U55" s="74">
        <v>1.0329999999999999</v>
      </c>
      <c r="V55" s="74">
        <v>1.0329999999999999</v>
      </c>
      <c r="W55" s="74">
        <v>1.0329999999999999</v>
      </c>
      <c r="X55" s="74">
        <v>1.0329999999999999</v>
      </c>
      <c r="Y55" s="74">
        <v>1.0329999999999999</v>
      </c>
      <c r="Z55" s="74">
        <v>1.0329999999999999</v>
      </c>
      <c r="AA55" s="74">
        <v>1.0329999999999999</v>
      </c>
      <c r="AB55" s="74">
        <v>1.0329999999999999</v>
      </c>
      <c r="AC55" s="74">
        <v>1.0329999999999999</v>
      </c>
      <c r="AD55" s="74">
        <v>1.0329999999999999</v>
      </c>
      <c r="AE55" s="74">
        <v>1.0329999999999999</v>
      </c>
      <c r="AF55" s="74">
        <v>1.0329999999999999</v>
      </c>
      <c r="AG55" s="74">
        <v>1.0329999999999999</v>
      </c>
      <c r="AH55" s="74">
        <v>1.0329999999999999</v>
      </c>
      <c r="AI55" s="74">
        <v>1.0329999999999999</v>
      </c>
      <c r="AJ55" s="74">
        <v>1.0329999999999999</v>
      </c>
      <c r="AK55" s="75">
        <v>0</v>
      </c>
    </row>
    <row r="56" spans="1:37" ht="15" customHeight="1">
      <c r="A56" s="69" t="s">
        <v>834</v>
      </c>
      <c r="B56" s="73" t="s">
        <v>835</v>
      </c>
      <c r="C56" s="74">
        <v>1.0389999999999999</v>
      </c>
      <c r="D56" s="74">
        <v>1.0389999999999999</v>
      </c>
      <c r="E56" s="74">
        <v>1.0389999999999999</v>
      </c>
      <c r="F56" s="74">
        <v>1.0389999999999999</v>
      </c>
      <c r="G56" s="74">
        <v>1.0389999999999999</v>
      </c>
      <c r="H56" s="74">
        <v>1.0389999999999999</v>
      </c>
      <c r="I56" s="74">
        <v>1.0389999999999999</v>
      </c>
      <c r="J56" s="74">
        <v>1.0389999999999999</v>
      </c>
      <c r="K56" s="74">
        <v>1.0389999999999999</v>
      </c>
      <c r="L56" s="74">
        <v>1.0389999999999999</v>
      </c>
      <c r="M56" s="74">
        <v>1.0389999999999999</v>
      </c>
      <c r="N56" s="74">
        <v>1.0389999999999999</v>
      </c>
      <c r="O56" s="74">
        <v>1.0389999999999999</v>
      </c>
      <c r="P56" s="74">
        <v>1.0389999999999999</v>
      </c>
      <c r="Q56" s="74">
        <v>1.0389999999999999</v>
      </c>
      <c r="R56" s="74">
        <v>1.0389999999999999</v>
      </c>
      <c r="S56" s="74">
        <v>1.0389999999999999</v>
      </c>
      <c r="T56" s="74">
        <v>1.0389999999999999</v>
      </c>
      <c r="U56" s="74">
        <v>1.0389999999999999</v>
      </c>
      <c r="V56" s="74">
        <v>1.0389999999999999</v>
      </c>
      <c r="W56" s="74">
        <v>1.0389999999999999</v>
      </c>
      <c r="X56" s="74">
        <v>1.0389999999999999</v>
      </c>
      <c r="Y56" s="74">
        <v>1.0389999999999999</v>
      </c>
      <c r="Z56" s="74">
        <v>1.0389999999999999</v>
      </c>
      <c r="AA56" s="74">
        <v>1.0389999999999999</v>
      </c>
      <c r="AB56" s="74">
        <v>1.0389999999999999</v>
      </c>
      <c r="AC56" s="74">
        <v>1.0389999999999999</v>
      </c>
      <c r="AD56" s="74">
        <v>1.0389999999999999</v>
      </c>
      <c r="AE56" s="74">
        <v>1.0389999999999999</v>
      </c>
      <c r="AF56" s="74">
        <v>1.0389999999999999</v>
      </c>
      <c r="AG56" s="74">
        <v>1.0389999999999999</v>
      </c>
      <c r="AH56" s="74">
        <v>1.0389999999999999</v>
      </c>
      <c r="AI56" s="74">
        <v>1.0389999999999999</v>
      </c>
      <c r="AJ56" s="74">
        <v>1.0389999999999999</v>
      </c>
      <c r="AK56" s="75">
        <v>0</v>
      </c>
    </row>
    <row r="57" spans="1:37" ht="15" customHeight="1">
      <c r="A57" s="69" t="s">
        <v>836</v>
      </c>
      <c r="B57" s="73" t="s">
        <v>837</v>
      </c>
      <c r="C57" s="74">
        <v>1.0369999999999999</v>
      </c>
      <c r="D57" s="74">
        <v>1.0369999999999999</v>
      </c>
      <c r="E57" s="74">
        <v>1.0369999999999999</v>
      </c>
      <c r="F57" s="74">
        <v>1.0369999999999999</v>
      </c>
      <c r="G57" s="74">
        <v>1.0369999999999999</v>
      </c>
      <c r="H57" s="74">
        <v>1.0369999999999999</v>
      </c>
      <c r="I57" s="74">
        <v>1.0369999999999999</v>
      </c>
      <c r="J57" s="74">
        <v>1.0369999999999999</v>
      </c>
      <c r="K57" s="74">
        <v>1.0369999999999999</v>
      </c>
      <c r="L57" s="74">
        <v>1.0369999999999999</v>
      </c>
      <c r="M57" s="74">
        <v>1.0369999999999999</v>
      </c>
      <c r="N57" s="74">
        <v>1.0369999999999999</v>
      </c>
      <c r="O57" s="74">
        <v>1.0369999999999999</v>
      </c>
      <c r="P57" s="74">
        <v>1.0369999999999999</v>
      </c>
      <c r="Q57" s="74">
        <v>1.0369999999999999</v>
      </c>
      <c r="R57" s="74">
        <v>1.0369999999999999</v>
      </c>
      <c r="S57" s="74">
        <v>1.0369999999999999</v>
      </c>
      <c r="T57" s="74">
        <v>1.0369999999999999</v>
      </c>
      <c r="U57" s="74">
        <v>1.0369999999999999</v>
      </c>
      <c r="V57" s="74">
        <v>1.0369999999999999</v>
      </c>
      <c r="W57" s="74">
        <v>1.0369999999999999</v>
      </c>
      <c r="X57" s="74">
        <v>1.0369999999999999</v>
      </c>
      <c r="Y57" s="74">
        <v>1.0369999999999999</v>
      </c>
      <c r="Z57" s="74">
        <v>1.0369999999999999</v>
      </c>
      <c r="AA57" s="74">
        <v>1.0369999999999999</v>
      </c>
      <c r="AB57" s="74">
        <v>1.0369999999999999</v>
      </c>
      <c r="AC57" s="74">
        <v>1.0369999999999999</v>
      </c>
      <c r="AD57" s="74">
        <v>1.0369999999999999</v>
      </c>
      <c r="AE57" s="74">
        <v>1.0369999999999999</v>
      </c>
      <c r="AF57" s="74">
        <v>1.0369999999999999</v>
      </c>
      <c r="AG57" s="74">
        <v>1.0369999999999999</v>
      </c>
      <c r="AH57" s="74">
        <v>1.0369999999999999</v>
      </c>
      <c r="AI57" s="74">
        <v>1.0369999999999999</v>
      </c>
      <c r="AJ57" s="74">
        <v>1.0369999999999999</v>
      </c>
      <c r="AK57" s="75">
        <v>0</v>
      </c>
    </row>
    <row r="58" spans="1:37" ht="15" customHeight="1">
      <c r="A58" s="69" t="s">
        <v>838</v>
      </c>
      <c r="B58" s="73" t="s">
        <v>839</v>
      </c>
      <c r="C58" s="74">
        <v>1.0249999999999999</v>
      </c>
      <c r="D58" s="74">
        <v>1.0249999999999999</v>
      </c>
      <c r="E58" s="74">
        <v>1.0249999999999999</v>
      </c>
      <c r="F58" s="74">
        <v>1.0249999999999999</v>
      </c>
      <c r="G58" s="74">
        <v>1.0249999999999999</v>
      </c>
      <c r="H58" s="74">
        <v>1.0249999999999999</v>
      </c>
      <c r="I58" s="74">
        <v>1.0249999999999999</v>
      </c>
      <c r="J58" s="74">
        <v>1.0249999999999999</v>
      </c>
      <c r="K58" s="74">
        <v>1.0249999999999999</v>
      </c>
      <c r="L58" s="74">
        <v>1.0249999999999999</v>
      </c>
      <c r="M58" s="74">
        <v>1.0249999999999999</v>
      </c>
      <c r="N58" s="74">
        <v>1.0249999999999999</v>
      </c>
      <c r="O58" s="74">
        <v>1.0249999999999999</v>
      </c>
      <c r="P58" s="74">
        <v>1.0249999999999999</v>
      </c>
      <c r="Q58" s="74">
        <v>1.0249999999999999</v>
      </c>
      <c r="R58" s="74">
        <v>1.0249999999999999</v>
      </c>
      <c r="S58" s="74">
        <v>1.0249999999999999</v>
      </c>
      <c r="T58" s="74">
        <v>1.0249999999999999</v>
      </c>
      <c r="U58" s="74">
        <v>1.0249999999999999</v>
      </c>
      <c r="V58" s="74">
        <v>1.0249999999999999</v>
      </c>
      <c r="W58" s="74">
        <v>1.0249999999999999</v>
      </c>
      <c r="X58" s="74">
        <v>1.0249999999999999</v>
      </c>
      <c r="Y58" s="74">
        <v>1.0249999999999999</v>
      </c>
      <c r="Z58" s="74">
        <v>1.0249999999999999</v>
      </c>
      <c r="AA58" s="74">
        <v>1.0249999999999999</v>
      </c>
      <c r="AB58" s="74">
        <v>1.0249999999999999</v>
      </c>
      <c r="AC58" s="74">
        <v>1.0249999999999999</v>
      </c>
      <c r="AD58" s="74">
        <v>1.0249999999999999</v>
      </c>
      <c r="AE58" s="74">
        <v>1.0249999999999999</v>
      </c>
      <c r="AF58" s="74">
        <v>1.0249999999999999</v>
      </c>
      <c r="AG58" s="74">
        <v>1.0249999999999999</v>
      </c>
      <c r="AH58" s="74">
        <v>1.0249999999999999</v>
      </c>
      <c r="AI58" s="74">
        <v>1.0249999999999999</v>
      </c>
      <c r="AJ58" s="74">
        <v>1.0249999999999999</v>
      </c>
      <c r="AK58" s="75">
        <v>0</v>
      </c>
    </row>
    <row r="59" spans="1:37" ht="15" customHeight="1">
      <c r="A59" s="69" t="s">
        <v>840</v>
      </c>
      <c r="B59" s="73" t="s">
        <v>841</v>
      </c>
      <c r="C59" s="74">
        <v>1.0089999999999999</v>
      </c>
      <c r="D59" s="74">
        <v>1.0089999999999999</v>
      </c>
      <c r="E59" s="74">
        <v>1.0089999999999999</v>
      </c>
      <c r="F59" s="74">
        <v>1.0089999999999999</v>
      </c>
      <c r="G59" s="74">
        <v>1.0089999999999999</v>
      </c>
      <c r="H59" s="74">
        <v>1.0089999999999999</v>
      </c>
      <c r="I59" s="74">
        <v>1.0089999999999999</v>
      </c>
      <c r="J59" s="74">
        <v>1.0089999999999999</v>
      </c>
      <c r="K59" s="74">
        <v>1.0089999999999999</v>
      </c>
      <c r="L59" s="74">
        <v>1.0089999999999999</v>
      </c>
      <c r="M59" s="74">
        <v>1.0089999999999999</v>
      </c>
      <c r="N59" s="74">
        <v>1.0089999999999999</v>
      </c>
      <c r="O59" s="74">
        <v>1.0089999999999999</v>
      </c>
      <c r="P59" s="74">
        <v>1.0089999999999999</v>
      </c>
      <c r="Q59" s="74">
        <v>1.0089999999999999</v>
      </c>
      <c r="R59" s="74">
        <v>1.0089999999999999</v>
      </c>
      <c r="S59" s="74">
        <v>1.0089999999999999</v>
      </c>
      <c r="T59" s="74">
        <v>1.0089999999999999</v>
      </c>
      <c r="U59" s="74">
        <v>1.0089999999999999</v>
      </c>
      <c r="V59" s="74">
        <v>1.0089999999999999</v>
      </c>
      <c r="W59" s="74">
        <v>1.0089999999999999</v>
      </c>
      <c r="X59" s="74">
        <v>1.0089999999999999</v>
      </c>
      <c r="Y59" s="74">
        <v>1.0089999999999999</v>
      </c>
      <c r="Z59" s="74">
        <v>1.0089999999999999</v>
      </c>
      <c r="AA59" s="74">
        <v>1.0089999999999999</v>
      </c>
      <c r="AB59" s="74">
        <v>1.0089999999999999</v>
      </c>
      <c r="AC59" s="74">
        <v>1.0089999999999999</v>
      </c>
      <c r="AD59" s="74">
        <v>1.0089999999999999</v>
      </c>
      <c r="AE59" s="74">
        <v>1.0089999999999999</v>
      </c>
      <c r="AF59" s="74">
        <v>1.0089999999999999</v>
      </c>
      <c r="AG59" s="74">
        <v>1.0089999999999999</v>
      </c>
      <c r="AH59" s="74">
        <v>1.0089999999999999</v>
      </c>
      <c r="AI59" s="74">
        <v>1.0089999999999999</v>
      </c>
      <c r="AJ59" s="74">
        <v>1.0089999999999999</v>
      </c>
      <c r="AK59" s="75">
        <v>0</v>
      </c>
    </row>
    <row r="60" spans="1:37" ht="15" customHeight="1">
      <c r="A60" s="69" t="s">
        <v>842</v>
      </c>
      <c r="B60" s="73" t="s">
        <v>276</v>
      </c>
      <c r="C60" s="74">
        <v>0.96</v>
      </c>
      <c r="D60" s="74">
        <v>0.96</v>
      </c>
      <c r="E60" s="74">
        <v>0.96</v>
      </c>
      <c r="F60" s="74">
        <v>0.96</v>
      </c>
      <c r="G60" s="74">
        <v>0.96</v>
      </c>
      <c r="H60" s="74">
        <v>0.96</v>
      </c>
      <c r="I60" s="74">
        <v>0.96</v>
      </c>
      <c r="J60" s="74">
        <v>0.96</v>
      </c>
      <c r="K60" s="74">
        <v>0.96</v>
      </c>
      <c r="L60" s="74">
        <v>0.96</v>
      </c>
      <c r="M60" s="74">
        <v>0.96</v>
      </c>
      <c r="N60" s="74">
        <v>0.96</v>
      </c>
      <c r="O60" s="74">
        <v>0.96</v>
      </c>
      <c r="P60" s="74">
        <v>0.96</v>
      </c>
      <c r="Q60" s="74">
        <v>0.96</v>
      </c>
      <c r="R60" s="74">
        <v>0.96</v>
      </c>
      <c r="S60" s="74">
        <v>0.96</v>
      </c>
      <c r="T60" s="74">
        <v>0.96</v>
      </c>
      <c r="U60" s="74">
        <v>0.96</v>
      </c>
      <c r="V60" s="74">
        <v>0.96</v>
      </c>
      <c r="W60" s="74">
        <v>0.96</v>
      </c>
      <c r="X60" s="74">
        <v>0.96</v>
      </c>
      <c r="Y60" s="74">
        <v>0.96</v>
      </c>
      <c r="Z60" s="74">
        <v>0.96</v>
      </c>
      <c r="AA60" s="74">
        <v>0.96</v>
      </c>
      <c r="AB60" s="74">
        <v>0.96</v>
      </c>
      <c r="AC60" s="74">
        <v>0.96</v>
      </c>
      <c r="AD60" s="74">
        <v>0.96</v>
      </c>
      <c r="AE60" s="74">
        <v>0.96</v>
      </c>
      <c r="AF60" s="74">
        <v>0.96</v>
      </c>
      <c r="AG60" s="74">
        <v>0.96</v>
      </c>
      <c r="AH60" s="74">
        <v>0.96</v>
      </c>
      <c r="AI60" s="74">
        <v>0.96</v>
      </c>
      <c r="AJ60" s="74">
        <v>0.96</v>
      </c>
      <c r="AK60" s="75">
        <v>0</v>
      </c>
    </row>
    <row r="62" spans="1:37" ht="15" customHeight="1">
      <c r="B62" s="72" t="s">
        <v>843</v>
      </c>
    </row>
    <row r="63" spans="1:37" ht="15" customHeight="1">
      <c r="A63" s="69" t="s">
        <v>844</v>
      </c>
      <c r="B63" s="73" t="s">
        <v>837</v>
      </c>
      <c r="C63" s="77">
        <v>20.537140000000001</v>
      </c>
      <c r="D63" s="77">
        <v>20.439444999999999</v>
      </c>
      <c r="E63" s="77">
        <v>20.349045</v>
      </c>
      <c r="F63" s="77">
        <v>20.466270000000002</v>
      </c>
      <c r="G63" s="77">
        <v>20.363602</v>
      </c>
      <c r="H63" s="77">
        <v>20.554328999999999</v>
      </c>
      <c r="I63" s="77">
        <v>20.653105</v>
      </c>
      <c r="J63" s="77">
        <v>20.626196</v>
      </c>
      <c r="K63" s="77">
        <v>20.621486999999998</v>
      </c>
      <c r="L63" s="77">
        <v>20.64123</v>
      </c>
      <c r="M63" s="77">
        <v>20.627844</v>
      </c>
      <c r="N63" s="77">
        <v>20.536940000000001</v>
      </c>
      <c r="O63" s="77">
        <v>20.501505000000002</v>
      </c>
      <c r="P63" s="77">
        <v>20.413281999999999</v>
      </c>
      <c r="Q63" s="77">
        <v>20.399070999999999</v>
      </c>
      <c r="R63" s="77">
        <v>20.458255999999999</v>
      </c>
      <c r="S63" s="77">
        <v>20.429285</v>
      </c>
      <c r="T63" s="77">
        <v>20.364529000000001</v>
      </c>
      <c r="U63" s="77">
        <v>20.373262</v>
      </c>
      <c r="V63" s="77">
        <v>20.367173999999999</v>
      </c>
      <c r="W63" s="77">
        <v>20.397617</v>
      </c>
      <c r="X63" s="77">
        <v>20.405455</v>
      </c>
      <c r="Y63" s="77">
        <v>20.39472</v>
      </c>
      <c r="Z63" s="77">
        <v>20.372592999999998</v>
      </c>
      <c r="AA63" s="77">
        <v>20.382771999999999</v>
      </c>
      <c r="AB63" s="77">
        <v>20.366734000000001</v>
      </c>
      <c r="AC63" s="77">
        <v>20.354519</v>
      </c>
      <c r="AD63" s="77">
        <v>20.355229999999999</v>
      </c>
      <c r="AE63" s="77">
        <v>20.386980000000001</v>
      </c>
      <c r="AF63" s="77">
        <v>20.356945</v>
      </c>
      <c r="AG63" s="77">
        <v>20.336355000000001</v>
      </c>
      <c r="AH63" s="77">
        <v>20.357395</v>
      </c>
      <c r="AI63" s="77">
        <v>20.34404</v>
      </c>
      <c r="AJ63" s="77">
        <v>20.347266999999999</v>
      </c>
      <c r="AK63" s="75">
        <v>-1.4100000000000001E-4</v>
      </c>
    </row>
    <row r="64" spans="1:37" ht="15" customHeight="1">
      <c r="A64" s="69" t="s">
        <v>845</v>
      </c>
      <c r="B64" s="73" t="s">
        <v>846</v>
      </c>
      <c r="C64" s="77">
        <v>25.416302000000002</v>
      </c>
      <c r="D64" s="77">
        <v>25.057079000000002</v>
      </c>
      <c r="E64" s="77">
        <v>25.074783</v>
      </c>
      <c r="F64" s="77">
        <v>25.042176999999999</v>
      </c>
      <c r="G64" s="77">
        <v>24.938278</v>
      </c>
      <c r="H64" s="77">
        <v>24.964016000000001</v>
      </c>
      <c r="I64" s="77">
        <v>24.911818</v>
      </c>
      <c r="J64" s="77">
        <v>24.91433</v>
      </c>
      <c r="K64" s="77">
        <v>24.898243000000001</v>
      </c>
      <c r="L64" s="77">
        <v>24.920572</v>
      </c>
      <c r="M64" s="77">
        <v>24.903048999999999</v>
      </c>
      <c r="N64" s="77">
        <v>24.81945</v>
      </c>
      <c r="O64" s="77">
        <v>24.850802999999999</v>
      </c>
      <c r="P64" s="77">
        <v>24.769541</v>
      </c>
      <c r="Q64" s="77">
        <v>24.735579000000001</v>
      </c>
      <c r="R64" s="77">
        <v>24.729203999999999</v>
      </c>
      <c r="S64" s="77">
        <v>24.688946000000001</v>
      </c>
      <c r="T64" s="77">
        <v>24.612100999999999</v>
      </c>
      <c r="U64" s="77">
        <v>24.600828</v>
      </c>
      <c r="V64" s="77">
        <v>24.592124999999999</v>
      </c>
      <c r="W64" s="77">
        <v>24.569109000000001</v>
      </c>
      <c r="X64" s="77">
        <v>24.53866</v>
      </c>
      <c r="Y64" s="77">
        <v>24.501373000000001</v>
      </c>
      <c r="Z64" s="77">
        <v>24.474423999999999</v>
      </c>
      <c r="AA64" s="77">
        <v>24.491461000000001</v>
      </c>
      <c r="AB64" s="77">
        <v>24.462054999999999</v>
      </c>
      <c r="AC64" s="77">
        <v>24.426752</v>
      </c>
      <c r="AD64" s="77">
        <v>24.399635</v>
      </c>
      <c r="AE64" s="77">
        <v>24.407730000000001</v>
      </c>
      <c r="AF64" s="77">
        <v>24.328617000000001</v>
      </c>
      <c r="AG64" s="77">
        <v>24.285736</v>
      </c>
      <c r="AH64" s="77">
        <v>24.280874000000001</v>
      </c>
      <c r="AI64" s="77">
        <v>24.244130999999999</v>
      </c>
      <c r="AJ64" s="77">
        <v>24.256340000000002</v>
      </c>
      <c r="AK64" s="75">
        <v>-1.0139999999999999E-3</v>
      </c>
    </row>
    <row r="65" spans="1:37" ht="15" customHeight="1">
      <c r="A65" s="69" t="s">
        <v>847</v>
      </c>
      <c r="B65" s="73" t="s">
        <v>848</v>
      </c>
      <c r="C65" s="77">
        <v>17.234355999999998</v>
      </c>
      <c r="D65" s="77">
        <v>17.205303000000001</v>
      </c>
      <c r="E65" s="77">
        <v>17.117476</v>
      </c>
      <c r="F65" s="77">
        <v>17.06934</v>
      </c>
      <c r="G65" s="77">
        <v>16.988295000000001</v>
      </c>
      <c r="H65" s="77">
        <v>17.022928</v>
      </c>
      <c r="I65" s="77">
        <v>17.071612999999999</v>
      </c>
      <c r="J65" s="77">
        <v>17.059359000000001</v>
      </c>
      <c r="K65" s="77">
        <v>17.037023999999999</v>
      </c>
      <c r="L65" s="77">
        <v>17.056746</v>
      </c>
      <c r="M65" s="77">
        <v>17.031739999999999</v>
      </c>
      <c r="N65" s="77">
        <v>16.978151</v>
      </c>
      <c r="O65" s="77">
        <v>16.968306999999999</v>
      </c>
      <c r="P65" s="77">
        <v>16.998640000000002</v>
      </c>
      <c r="Q65" s="77">
        <v>16.972049999999999</v>
      </c>
      <c r="R65" s="77">
        <v>17.002645000000001</v>
      </c>
      <c r="S65" s="77">
        <v>17.003274999999999</v>
      </c>
      <c r="T65" s="77">
        <v>17.003226999999999</v>
      </c>
      <c r="U65" s="77">
        <v>17.012267999999999</v>
      </c>
      <c r="V65" s="77">
        <v>17.012785000000001</v>
      </c>
      <c r="W65" s="77">
        <v>17.036083000000001</v>
      </c>
      <c r="X65" s="77">
        <v>17.044588000000001</v>
      </c>
      <c r="Y65" s="77">
        <v>17.050751000000002</v>
      </c>
      <c r="Z65" s="77">
        <v>17.064136999999999</v>
      </c>
      <c r="AA65" s="77">
        <v>17.081581</v>
      </c>
      <c r="AB65" s="77">
        <v>17.08465</v>
      </c>
      <c r="AC65" s="77">
        <v>17.087126000000001</v>
      </c>
      <c r="AD65" s="77">
        <v>17.088546999999998</v>
      </c>
      <c r="AE65" s="77">
        <v>17.086746000000002</v>
      </c>
      <c r="AF65" s="77">
        <v>17.085443000000001</v>
      </c>
      <c r="AG65" s="77">
        <v>17.080282</v>
      </c>
      <c r="AH65" s="77">
        <v>17.077895999999999</v>
      </c>
      <c r="AI65" s="77">
        <v>17.084911000000002</v>
      </c>
      <c r="AJ65" s="77">
        <v>17.086425999999999</v>
      </c>
      <c r="AK65" s="75">
        <v>-2.1699999999999999E-4</v>
      </c>
    </row>
    <row r="66" spans="1:37" ht="15" customHeight="1">
      <c r="A66" s="69" t="s">
        <v>849</v>
      </c>
      <c r="B66" s="73" t="s">
        <v>831</v>
      </c>
      <c r="C66" s="77">
        <v>19.437477000000001</v>
      </c>
      <c r="D66" s="77">
        <v>19.706896</v>
      </c>
      <c r="E66" s="77">
        <v>19.588093000000001</v>
      </c>
      <c r="F66" s="77">
        <v>19.676338000000001</v>
      </c>
      <c r="G66" s="77">
        <v>19.593861</v>
      </c>
      <c r="H66" s="77">
        <v>19.763271</v>
      </c>
      <c r="I66" s="77">
        <v>19.874037000000001</v>
      </c>
      <c r="J66" s="77">
        <v>19.832982999999999</v>
      </c>
      <c r="K66" s="77">
        <v>19.854051999999999</v>
      </c>
      <c r="L66" s="77">
        <v>19.849159</v>
      </c>
      <c r="M66" s="77">
        <v>19.841605999999999</v>
      </c>
      <c r="N66" s="77">
        <v>19.838450999999999</v>
      </c>
      <c r="O66" s="77">
        <v>19.782232</v>
      </c>
      <c r="P66" s="77">
        <v>19.750865999999998</v>
      </c>
      <c r="Q66" s="77">
        <v>19.757529999999999</v>
      </c>
      <c r="R66" s="77">
        <v>19.792145000000001</v>
      </c>
      <c r="S66" s="77">
        <v>19.787579999999998</v>
      </c>
      <c r="T66" s="77">
        <v>19.792100999999999</v>
      </c>
      <c r="U66" s="77">
        <v>19.801369000000001</v>
      </c>
      <c r="V66" s="77">
        <v>19.790552000000002</v>
      </c>
      <c r="W66" s="77">
        <v>19.813770000000002</v>
      </c>
      <c r="X66" s="77">
        <v>19.823812</v>
      </c>
      <c r="Y66" s="77">
        <v>19.819962</v>
      </c>
      <c r="Z66" s="77">
        <v>19.817592999999999</v>
      </c>
      <c r="AA66" s="77">
        <v>19.814734000000001</v>
      </c>
      <c r="AB66" s="77">
        <v>19.808729</v>
      </c>
      <c r="AC66" s="77">
        <v>19.816939999999999</v>
      </c>
      <c r="AD66" s="77">
        <v>19.822158999999999</v>
      </c>
      <c r="AE66" s="77">
        <v>19.832388000000002</v>
      </c>
      <c r="AF66" s="77">
        <v>19.856539000000001</v>
      </c>
      <c r="AG66" s="77">
        <v>19.880623</v>
      </c>
      <c r="AH66" s="77">
        <v>19.899242000000001</v>
      </c>
      <c r="AI66" s="77">
        <v>19.884989000000001</v>
      </c>
      <c r="AJ66" s="77">
        <v>19.887484000000001</v>
      </c>
      <c r="AK66" s="75">
        <v>2.8499999999999999E-4</v>
      </c>
    </row>
    <row r="67" spans="1:37" ht="15" customHeight="1">
      <c r="A67" s="69" t="s">
        <v>850</v>
      </c>
      <c r="B67" s="73" t="s">
        <v>851</v>
      </c>
      <c r="C67" s="77">
        <v>20.319486999999999</v>
      </c>
      <c r="D67" s="77">
        <v>19.866795</v>
      </c>
      <c r="E67" s="77">
        <v>19.877953000000002</v>
      </c>
      <c r="F67" s="77">
        <v>19.862864999999999</v>
      </c>
      <c r="G67" s="77">
        <v>19.866108000000001</v>
      </c>
      <c r="H67" s="77">
        <v>19.864163999999999</v>
      </c>
      <c r="I67" s="77">
        <v>19.86232</v>
      </c>
      <c r="J67" s="77">
        <v>19.858194000000001</v>
      </c>
      <c r="K67" s="77">
        <v>19.854407999999999</v>
      </c>
      <c r="L67" s="77">
        <v>19.851212</v>
      </c>
      <c r="M67" s="77">
        <v>19.848103999999999</v>
      </c>
      <c r="N67" s="77">
        <v>19.846712</v>
      </c>
      <c r="O67" s="77">
        <v>19.844584000000001</v>
      </c>
      <c r="P67" s="77">
        <v>19.843212000000001</v>
      </c>
      <c r="Q67" s="77">
        <v>19.839586000000001</v>
      </c>
      <c r="R67" s="77">
        <v>19.837956999999999</v>
      </c>
      <c r="S67" s="77">
        <v>19.837420999999999</v>
      </c>
      <c r="T67" s="77">
        <v>19.835992999999998</v>
      </c>
      <c r="U67" s="77">
        <v>19.833931</v>
      </c>
      <c r="V67" s="77">
        <v>19.832113</v>
      </c>
      <c r="W67" s="77">
        <v>19.829879999999999</v>
      </c>
      <c r="X67" s="77">
        <v>19.827466999999999</v>
      </c>
      <c r="Y67" s="77">
        <v>19.826221</v>
      </c>
      <c r="Z67" s="77">
        <v>19.825344000000001</v>
      </c>
      <c r="AA67" s="77">
        <v>19.824635000000001</v>
      </c>
      <c r="AB67" s="77">
        <v>19.824231999999999</v>
      </c>
      <c r="AC67" s="77">
        <v>19.824038999999999</v>
      </c>
      <c r="AD67" s="77">
        <v>19.823008999999999</v>
      </c>
      <c r="AE67" s="77">
        <v>19.821570999999999</v>
      </c>
      <c r="AF67" s="77">
        <v>19.888694999999998</v>
      </c>
      <c r="AG67" s="77">
        <v>19.887025999999999</v>
      </c>
      <c r="AH67" s="77">
        <v>19.885117999999999</v>
      </c>
      <c r="AI67" s="77">
        <v>19.883326</v>
      </c>
      <c r="AJ67" s="77">
        <v>19.881367000000001</v>
      </c>
      <c r="AK67" s="75">
        <v>2.3E-5</v>
      </c>
    </row>
    <row r="68" spans="1:37" ht="15" customHeight="1">
      <c r="A68" s="69" t="s">
        <v>852</v>
      </c>
      <c r="B68" s="73" t="s">
        <v>853</v>
      </c>
      <c r="C68" s="77">
        <v>20.775822000000002</v>
      </c>
      <c r="D68" s="77">
        <v>20.838132999999999</v>
      </c>
      <c r="E68" s="77">
        <v>20.733785999999998</v>
      </c>
      <c r="F68" s="77">
        <v>20.902740000000001</v>
      </c>
      <c r="G68" s="77">
        <v>20.866161000000002</v>
      </c>
      <c r="H68" s="77">
        <v>20.867376</v>
      </c>
      <c r="I68" s="77">
        <v>20.866620999999999</v>
      </c>
      <c r="J68" s="77">
        <v>20.916288000000002</v>
      </c>
      <c r="K68" s="77">
        <v>20.915384</v>
      </c>
      <c r="L68" s="77">
        <v>20.913564999999998</v>
      </c>
      <c r="M68" s="77">
        <v>20.910665999999999</v>
      </c>
      <c r="N68" s="77">
        <v>20.907888</v>
      </c>
      <c r="O68" s="77">
        <v>20.903262999999999</v>
      </c>
      <c r="P68" s="77">
        <v>20.898401</v>
      </c>
      <c r="Q68" s="77">
        <v>20.889793000000001</v>
      </c>
      <c r="R68" s="77">
        <v>20.836566999999999</v>
      </c>
      <c r="S68" s="77">
        <v>20.829412000000001</v>
      </c>
      <c r="T68" s="77">
        <v>20.823454000000002</v>
      </c>
      <c r="U68" s="77">
        <v>20.814209000000002</v>
      </c>
      <c r="V68" s="77">
        <v>20.812381999999999</v>
      </c>
      <c r="W68" s="77">
        <v>20.811678000000001</v>
      </c>
      <c r="X68" s="77">
        <v>20.809002</v>
      </c>
      <c r="Y68" s="77">
        <v>20.807103999999999</v>
      </c>
      <c r="Z68" s="77">
        <v>20.806034</v>
      </c>
      <c r="AA68" s="77">
        <v>20.806111999999999</v>
      </c>
      <c r="AB68" s="77">
        <v>20.804993</v>
      </c>
      <c r="AC68" s="77">
        <v>20.804296000000001</v>
      </c>
      <c r="AD68" s="77">
        <v>20.804532999999999</v>
      </c>
      <c r="AE68" s="77">
        <v>20.804535000000001</v>
      </c>
      <c r="AF68" s="77">
        <v>20.801072999999999</v>
      </c>
      <c r="AG68" s="77">
        <v>20.800825</v>
      </c>
      <c r="AH68" s="77">
        <v>20.800813999999999</v>
      </c>
      <c r="AI68" s="77">
        <v>20.801849000000001</v>
      </c>
      <c r="AJ68" s="77">
        <v>20.801618999999999</v>
      </c>
      <c r="AK68" s="75">
        <v>-5.5000000000000002E-5</v>
      </c>
    </row>
    <row r="69" spans="1:37" ht="15" customHeight="1">
      <c r="A69" s="69" t="s">
        <v>854</v>
      </c>
      <c r="B69" s="73" t="s">
        <v>855</v>
      </c>
      <c r="C69" s="77">
        <v>28.674879000000001</v>
      </c>
      <c r="D69" s="77">
        <v>28.554435999999999</v>
      </c>
      <c r="E69" s="77">
        <v>28.562546000000001</v>
      </c>
      <c r="F69" s="77">
        <v>28.504807</v>
      </c>
      <c r="G69" s="77">
        <v>28.443207000000001</v>
      </c>
      <c r="H69" s="77">
        <v>28.442011000000001</v>
      </c>
      <c r="I69" s="77">
        <v>28.435804000000001</v>
      </c>
      <c r="J69" s="77">
        <v>28.436997999999999</v>
      </c>
      <c r="K69" s="77">
        <v>28.439364999999999</v>
      </c>
      <c r="L69" s="77">
        <v>28.441151000000001</v>
      </c>
      <c r="M69" s="77">
        <v>28.441541999999998</v>
      </c>
      <c r="N69" s="77">
        <v>28.444378</v>
      </c>
      <c r="O69" s="77">
        <v>28.445307</v>
      </c>
      <c r="P69" s="77">
        <v>28.448008000000002</v>
      </c>
      <c r="Q69" s="77">
        <v>28.451091999999999</v>
      </c>
      <c r="R69" s="77">
        <v>28.453724000000001</v>
      </c>
      <c r="S69" s="77">
        <v>28.456078999999999</v>
      </c>
      <c r="T69" s="77">
        <v>28.459067999999998</v>
      </c>
      <c r="U69" s="77">
        <v>28.461366999999999</v>
      </c>
      <c r="V69" s="77">
        <v>28.462769000000002</v>
      </c>
      <c r="W69" s="77">
        <v>28.465333999999999</v>
      </c>
      <c r="X69" s="77">
        <v>28.467545999999999</v>
      </c>
      <c r="Y69" s="77">
        <v>28.468142</v>
      </c>
      <c r="Z69" s="77">
        <v>28.467697000000001</v>
      </c>
      <c r="AA69" s="77">
        <v>28.468544000000001</v>
      </c>
      <c r="AB69" s="77">
        <v>28.468433000000001</v>
      </c>
      <c r="AC69" s="77">
        <v>28.468116999999999</v>
      </c>
      <c r="AD69" s="77">
        <v>28.467950999999999</v>
      </c>
      <c r="AE69" s="77">
        <v>28.468955999999999</v>
      </c>
      <c r="AF69" s="77">
        <v>28.468081999999999</v>
      </c>
      <c r="AG69" s="77">
        <v>28.468615</v>
      </c>
      <c r="AH69" s="77">
        <v>28.468512</v>
      </c>
      <c r="AI69" s="77">
        <v>28.468487</v>
      </c>
      <c r="AJ69" s="77">
        <v>28.468031</v>
      </c>
      <c r="AK69" s="75">
        <v>-9.5000000000000005E-5</v>
      </c>
    </row>
    <row r="70" spans="1:37" ht="15" customHeight="1">
      <c r="A70" s="69" t="s">
        <v>856</v>
      </c>
      <c r="B70" s="73" t="s">
        <v>857</v>
      </c>
      <c r="C70" s="77">
        <v>18.994087</v>
      </c>
      <c r="D70" s="77">
        <v>19.243162000000002</v>
      </c>
      <c r="E70" s="77">
        <v>19.070353000000001</v>
      </c>
      <c r="F70" s="77">
        <v>19.169922</v>
      </c>
      <c r="G70" s="77">
        <v>19.089600000000001</v>
      </c>
      <c r="H70" s="77">
        <v>19.276790999999999</v>
      </c>
      <c r="I70" s="77">
        <v>19.411289</v>
      </c>
      <c r="J70" s="77">
        <v>19.366067999999999</v>
      </c>
      <c r="K70" s="77">
        <v>19.385352999999999</v>
      </c>
      <c r="L70" s="77">
        <v>19.372706999999998</v>
      </c>
      <c r="M70" s="77">
        <v>19.360990999999999</v>
      </c>
      <c r="N70" s="77">
        <v>19.352909</v>
      </c>
      <c r="O70" s="77">
        <v>19.300653000000001</v>
      </c>
      <c r="P70" s="77">
        <v>19.265913000000001</v>
      </c>
      <c r="Q70" s="77">
        <v>19.264596999999998</v>
      </c>
      <c r="R70" s="77">
        <v>19.290289000000001</v>
      </c>
      <c r="S70" s="77">
        <v>19.284327000000001</v>
      </c>
      <c r="T70" s="77">
        <v>19.280676</v>
      </c>
      <c r="U70" s="77">
        <v>19.290565000000001</v>
      </c>
      <c r="V70" s="77">
        <v>19.277930999999999</v>
      </c>
      <c r="W70" s="77">
        <v>19.296233999999998</v>
      </c>
      <c r="X70" s="77">
        <v>19.305914000000001</v>
      </c>
      <c r="Y70" s="77">
        <v>19.302322</v>
      </c>
      <c r="Z70" s="77">
        <v>19.303664999999999</v>
      </c>
      <c r="AA70" s="77">
        <v>19.298279000000001</v>
      </c>
      <c r="AB70" s="77">
        <v>19.294079</v>
      </c>
      <c r="AC70" s="77">
        <v>19.303532000000001</v>
      </c>
      <c r="AD70" s="77">
        <v>19.313279999999999</v>
      </c>
      <c r="AE70" s="77">
        <v>19.326996000000001</v>
      </c>
      <c r="AF70" s="77">
        <v>19.356915000000001</v>
      </c>
      <c r="AG70" s="77">
        <v>19.385812999999999</v>
      </c>
      <c r="AH70" s="77">
        <v>19.410371999999999</v>
      </c>
      <c r="AI70" s="77">
        <v>19.396623999999999</v>
      </c>
      <c r="AJ70" s="77">
        <v>19.402521</v>
      </c>
      <c r="AK70" s="75">
        <v>2.5799999999999998E-4</v>
      </c>
    </row>
    <row r="71" spans="1:37" ht="15" customHeight="1">
      <c r="A71" s="69" t="s">
        <v>858</v>
      </c>
      <c r="B71" s="73" t="s">
        <v>839</v>
      </c>
      <c r="C71" s="77">
        <v>22.116496999999999</v>
      </c>
      <c r="D71" s="77">
        <v>23.789541</v>
      </c>
      <c r="E71" s="77">
        <v>23.796752999999999</v>
      </c>
      <c r="F71" s="77">
        <v>23.826194999999998</v>
      </c>
      <c r="G71" s="77">
        <v>23.907088999999999</v>
      </c>
      <c r="H71" s="77">
        <v>23.930762999999999</v>
      </c>
      <c r="I71" s="77">
        <v>23.957257999999999</v>
      </c>
      <c r="J71" s="77">
        <v>23.986702000000001</v>
      </c>
      <c r="K71" s="77">
        <v>24.019024000000002</v>
      </c>
      <c r="L71" s="77">
        <v>24.054967999999999</v>
      </c>
      <c r="M71" s="77">
        <v>24.094473000000001</v>
      </c>
      <c r="N71" s="77">
        <v>24.137136000000002</v>
      </c>
      <c r="O71" s="77">
        <v>24.18609</v>
      </c>
      <c r="P71" s="77">
        <v>24.239874</v>
      </c>
      <c r="Q71" s="77">
        <v>24.258429</v>
      </c>
      <c r="R71" s="77">
        <v>24.257082</v>
      </c>
      <c r="S71" s="77">
        <v>24.255732999999999</v>
      </c>
      <c r="T71" s="77">
        <v>24.254387000000001</v>
      </c>
      <c r="U71" s="77">
        <v>24.253038</v>
      </c>
      <c r="V71" s="77">
        <v>24.25169</v>
      </c>
      <c r="W71" s="77">
        <v>24.250340999999999</v>
      </c>
      <c r="X71" s="77">
        <v>24.248991</v>
      </c>
      <c r="Y71" s="77">
        <v>24.247643</v>
      </c>
      <c r="Z71" s="77">
        <v>24.246292</v>
      </c>
      <c r="AA71" s="77">
        <v>24.244942000000002</v>
      </c>
      <c r="AB71" s="77">
        <v>24.243590999999999</v>
      </c>
      <c r="AC71" s="77">
        <v>24.242241</v>
      </c>
      <c r="AD71" s="77">
        <v>24.240888999999999</v>
      </c>
      <c r="AE71" s="77">
        <v>24.239538</v>
      </c>
      <c r="AF71" s="77">
        <v>24.238185999999999</v>
      </c>
      <c r="AG71" s="77">
        <v>24.236834000000002</v>
      </c>
      <c r="AH71" s="77">
        <v>24.235481</v>
      </c>
      <c r="AI71" s="77">
        <v>24.234128999999999</v>
      </c>
      <c r="AJ71" s="77">
        <v>24.232776999999999</v>
      </c>
      <c r="AK71" s="75">
        <v>5.7700000000000004E-4</v>
      </c>
    </row>
    <row r="72" spans="1:37" ht="15" customHeight="1">
      <c r="A72" s="69" t="s">
        <v>859</v>
      </c>
      <c r="B72" s="73" t="s">
        <v>841</v>
      </c>
      <c r="C72" s="77">
        <v>26.218889000000001</v>
      </c>
      <c r="D72" s="77">
        <v>25.447502</v>
      </c>
      <c r="E72" s="77">
        <v>25.630147999999998</v>
      </c>
      <c r="F72" s="77">
        <v>25.765919</v>
      </c>
      <c r="G72" s="77">
        <v>26.388355000000001</v>
      </c>
      <c r="H72" s="77">
        <v>26.396355</v>
      </c>
      <c r="I72" s="77">
        <v>26.389751</v>
      </c>
      <c r="J72" s="77">
        <v>26.391817</v>
      </c>
      <c r="K72" s="77">
        <v>26.385069000000001</v>
      </c>
      <c r="L72" s="77">
        <v>26.391817</v>
      </c>
      <c r="M72" s="77">
        <v>26.385069000000001</v>
      </c>
      <c r="N72" s="77">
        <v>26.175567999999998</v>
      </c>
      <c r="O72" s="77">
        <v>26.169689000000002</v>
      </c>
      <c r="P72" s="77">
        <v>25.926773000000001</v>
      </c>
      <c r="Q72" s="77">
        <v>25.745951000000002</v>
      </c>
      <c r="R72" s="77">
        <v>25.671246</v>
      </c>
      <c r="S72" s="77">
        <v>25.497976000000001</v>
      </c>
      <c r="T72" s="77">
        <v>25.343997999999999</v>
      </c>
      <c r="U72" s="77">
        <v>25.256226000000002</v>
      </c>
      <c r="V72" s="77">
        <v>25.173838</v>
      </c>
      <c r="W72" s="77">
        <v>25.175093</v>
      </c>
      <c r="X72" s="77">
        <v>25.077670999999999</v>
      </c>
      <c r="Y72" s="77">
        <v>24.968132000000001</v>
      </c>
      <c r="Z72" s="77">
        <v>24.865974000000001</v>
      </c>
      <c r="AA72" s="77">
        <v>24.881556</v>
      </c>
      <c r="AB72" s="77">
        <v>24.859068000000001</v>
      </c>
      <c r="AC72" s="77">
        <v>24.773596000000001</v>
      </c>
      <c r="AD72" s="77">
        <v>24.759015999999999</v>
      </c>
      <c r="AE72" s="77">
        <v>24.856954999999999</v>
      </c>
      <c r="AF72" s="77">
        <v>24.625306999999999</v>
      </c>
      <c r="AG72" s="77">
        <v>24.423266999999999</v>
      </c>
      <c r="AH72" s="77">
        <v>24.423266999999999</v>
      </c>
      <c r="AI72" s="77">
        <v>24.423266999999999</v>
      </c>
      <c r="AJ72" s="77">
        <v>24.423266999999999</v>
      </c>
      <c r="AK72" s="75">
        <v>-1.2830000000000001E-3</v>
      </c>
    </row>
    <row r="73" spans="1:37" ht="15" customHeight="1">
      <c r="A73" s="69" t="s">
        <v>860</v>
      </c>
      <c r="B73" s="73" t="s">
        <v>861</v>
      </c>
      <c r="C73" s="77">
        <v>0</v>
      </c>
      <c r="D73" s="77">
        <v>0</v>
      </c>
      <c r="E73" s="77">
        <v>0</v>
      </c>
      <c r="F73" s="77">
        <v>0</v>
      </c>
      <c r="G73" s="77">
        <v>0</v>
      </c>
      <c r="H73" s="77">
        <v>0</v>
      </c>
      <c r="I73" s="77">
        <v>0</v>
      </c>
      <c r="J73" s="77">
        <v>0</v>
      </c>
      <c r="K73" s="77">
        <v>0</v>
      </c>
      <c r="L73" s="77">
        <v>0</v>
      </c>
      <c r="M73" s="77">
        <v>0</v>
      </c>
      <c r="N73" s="77">
        <v>0</v>
      </c>
      <c r="O73" s="77">
        <v>0</v>
      </c>
      <c r="P73" s="77">
        <v>0</v>
      </c>
      <c r="Q73" s="77">
        <v>0</v>
      </c>
      <c r="R73" s="77">
        <v>0</v>
      </c>
      <c r="S73" s="77">
        <v>0</v>
      </c>
      <c r="T73" s="77">
        <v>0</v>
      </c>
      <c r="U73" s="77">
        <v>0</v>
      </c>
      <c r="V73" s="77">
        <v>0</v>
      </c>
      <c r="W73" s="77">
        <v>0</v>
      </c>
      <c r="X73" s="77">
        <v>0</v>
      </c>
      <c r="Y73" s="77">
        <v>0</v>
      </c>
      <c r="Z73" s="77">
        <v>0</v>
      </c>
      <c r="AA73" s="77">
        <v>0</v>
      </c>
      <c r="AB73" s="77">
        <v>0</v>
      </c>
      <c r="AC73" s="77">
        <v>0</v>
      </c>
      <c r="AD73" s="77">
        <v>0</v>
      </c>
      <c r="AE73" s="77">
        <v>0</v>
      </c>
      <c r="AF73" s="77">
        <v>0</v>
      </c>
      <c r="AG73" s="77">
        <v>0</v>
      </c>
      <c r="AH73" s="77">
        <v>0</v>
      </c>
      <c r="AI73" s="77">
        <v>0</v>
      </c>
      <c r="AJ73" s="77">
        <v>0</v>
      </c>
      <c r="AK73" s="75" t="s">
        <v>6</v>
      </c>
    </row>
    <row r="74" spans="1:37" ht="15" customHeight="1">
      <c r="A74" s="69" t="s">
        <v>862</v>
      </c>
      <c r="B74" s="73" t="s">
        <v>863</v>
      </c>
      <c r="C74" s="77">
        <v>12.941471999999999</v>
      </c>
      <c r="D74" s="77">
        <v>11.314271</v>
      </c>
      <c r="E74" s="77">
        <v>11.31427</v>
      </c>
      <c r="F74" s="77">
        <v>11.31427</v>
      </c>
      <c r="G74" s="77">
        <v>11.31427</v>
      </c>
      <c r="H74" s="77">
        <v>11.31427</v>
      </c>
      <c r="I74" s="77">
        <v>11.31427</v>
      </c>
      <c r="J74" s="77">
        <v>11.31427</v>
      </c>
      <c r="K74" s="77">
        <v>11.314271</v>
      </c>
      <c r="L74" s="77">
        <v>11.314271</v>
      </c>
      <c r="M74" s="77">
        <v>11.31427</v>
      </c>
      <c r="N74" s="77">
        <v>11.31427</v>
      </c>
      <c r="O74" s="77">
        <v>11.31427</v>
      </c>
      <c r="P74" s="77">
        <v>11.314271</v>
      </c>
      <c r="Q74" s="77">
        <v>11.314271</v>
      </c>
      <c r="R74" s="77">
        <v>11.31427</v>
      </c>
      <c r="S74" s="77">
        <v>11.31427</v>
      </c>
      <c r="T74" s="77">
        <v>11.31427</v>
      </c>
      <c r="U74" s="77">
        <v>11.314271</v>
      </c>
      <c r="V74" s="77">
        <v>11.31427</v>
      </c>
      <c r="W74" s="77">
        <v>11.31427</v>
      </c>
      <c r="X74" s="77">
        <v>11.314271</v>
      </c>
      <c r="Y74" s="77">
        <v>11.314271</v>
      </c>
      <c r="Z74" s="77">
        <v>11.31427</v>
      </c>
      <c r="AA74" s="77">
        <v>11.314271</v>
      </c>
      <c r="AB74" s="77">
        <v>11.314271</v>
      </c>
      <c r="AC74" s="77">
        <v>11.31427</v>
      </c>
      <c r="AD74" s="77">
        <v>11.314271</v>
      </c>
      <c r="AE74" s="77">
        <v>11.31427</v>
      </c>
      <c r="AF74" s="77">
        <v>11.31427</v>
      </c>
      <c r="AG74" s="77">
        <v>11.31427</v>
      </c>
      <c r="AH74" s="77">
        <v>11.314271</v>
      </c>
      <c r="AI74" s="77">
        <v>11.314271</v>
      </c>
      <c r="AJ74" s="77">
        <v>11.314271</v>
      </c>
      <c r="AK74" s="75">
        <v>0</v>
      </c>
    </row>
    <row r="76" spans="1:37" ht="15" customHeight="1">
      <c r="A76" s="69" t="s">
        <v>864</v>
      </c>
      <c r="B76" s="72" t="s">
        <v>865</v>
      </c>
      <c r="C76" s="78">
        <v>3412</v>
      </c>
      <c r="D76" s="78">
        <v>3412</v>
      </c>
      <c r="E76" s="78">
        <v>3412</v>
      </c>
      <c r="F76" s="78">
        <v>3412</v>
      </c>
      <c r="G76" s="78">
        <v>3412</v>
      </c>
      <c r="H76" s="78">
        <v>3412</v>
      </c>
      <c r="I76" s="78">
        <v>3412</v>
      </c>
      <c r="J76" s="78">
        <v>3412</v>
      </c>
      <c r="K76" s="78">
        <v>3412</v>
      </c>
      <c r="L76" s="78">
        <v>3412</v>
      </c>
      <c r="M76" s="78">
        <v>3412</v>
      </c>
      <c r="N76" s="78">
        <v>3412</v>
      </c>
      <c r="O76" s="78">
        <v>3412</v>
      </c>
      <c r="P76" s="78">
        <v>3412</v>
      </c>
      <c r="Q76" s="78">
        <v>3412</v>
      </c>
      <c r="R76" s="78">
        <v>3412</v>
      </c>
      <c r="S76" s="78">
        <v>3412</v>
      </c>
      <c r="T76" s="78">
        <v>3412</v>
      </c>
      <c r="U76" s="78">
        <v>3412</v>
      </c>
      <c r="V76" s="78">
        <v>3412</v>
      </c>
      <c r="W76" s="78">
        <v>3412</v>
      </c>
      <c r="X76" s="78">
        <v>3412</v>
      </c>
      <c r="Y76" s="78">
        <v>3412</v>
      </c>
      <c r="Z76" s="78">
        <v>3412</v>
      </c>
      <c r="AA76" s="78">
        <v>3412</v>
      </c>
      <c r="AB76" s="78">
        <v>3412</v>
      </c>
      <c r="AC76" s="78">
        <v>3412</v>
      </c>
      <c r="AD76" s="78">
        <v>3412</v>
      </c>
      <c r="AE76" s="78">
        <v>3412</v>
      </c>
      <c r="AF76" s="78">
        <v>3412</v>
      </c>
      <c r="AG76" s="78">
        <v>3412</v>
      </c>
      <c r="AH76" s="78">
        <v>3412</v>
      </c>
      <c r="AI76" s="78">
        <v>3412</v>
      </c>
      <c r="AJ76" s="78">
        <v>3412</v>
      </c>
      <c r="AK76" s="79">
        <v>0</v>
      </c>
    </row>
    <row r="77" spans="1:37" ht="15" customHeight="1" thickBot="1"/>
    <row r="78" spans="1:37" ht="15" customHeight="1">
      <c r="B78" s="105" t="s">
        <v>866</v>
      </c>
      <c r="C78" s="105"/>
      <c r="D78" s="105"/>
      <c r="E78" s="105"/>
      <c r="F78" s="105"/>
      <c r="G78" s="105"/>
      <c r="H78" s="105"/>
      <c r="I78" s="105"/>
      <c r="J78" s="105"/>
      <c r="K78" s="105"/>
      <c r="L78" s="105"/>
      <c r="M78" s="105"/>
      <c r="N78" s="105"/>
      <c r="O78" s="105"/>
      <c r="P78" s="105"/>
      <c r="Q78" s="105"/>
      <c r="R78" s="105"/>
      <c r="S78" s="105"/>
      <c r="T78" s="105"/>
      <c r="U78" s="105"/>
      <c r="V78" s="105"/>
      <c r="W78" s="105"/>
      <c r="X78" s="105"/>
      <c r="Y78" s="105"/>
      <c r="Z78" s="105"/>
      <c r="AA78" s="105"/>
      <c r="AB78" s="105"/>
      <c r="AC78" s="105"/>
      <c r="AD78" s="105"/>
      <c r="AE78" s="105"/>
      <c r="AF78" s="105"/>
      <c r="AG78" s="105"/>
      <c r="AH78" s="105"/>
      <c r="AI78" s="105"/>
      <c r="AJ78" s="105"/>
      <c r="AK78" s="105"/>
    </row>
    <row r="79" spans="1:37" ht="15" customHeight="1">
      <c r="B79" s="80" t="s">
        <v>867</v>
      </c>
    </row>
    <row r="80" spans="1:37" ht="15" customHeight="1">
      <c r="B80" s="80" t="s">
        <v>868</v>
      </c>
    </row>
    <row r="81" spans="2:2" ht="15" customHeight="1">
      <c r="B81" s="80" t="s">
        <v>869</v>
      </c>
    </row>
    <row r="82" spans="2:2" ht="15" customHeight="1">
      <c r="B82" s="80" t="s">
        <v>870</v>
      </c>
    </row>
    <row r="83" spans="2:2" ht="15" customHeight="1">
      <c r="B83" s="80" t="s">
        <v>871</v>
      </c>
    </row>
    <row r="84" spans="2:2" ht="15" customHeight="1">
      <c r="B84" s="80" t="s">
        <v>872</v>
      </c>
    </row>
    <row r="85" spans="2:2" ht="15" customHeight="1">
      <c r="B85" s="80" t="s">
        <v>873</v>
      </c>
    </row>
  </sheetData>
  <mergeCells count="1">
    <mergeCell ref="B78:AK78"/>
  </mergeCells>
  <pageMargins left="0.75" right="0.75" top="1" bottom="1" header="0.5" footer="0.5"/>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C85BD-6846-4063-AF0D-C2B56CAE1707}">
  <dimension ref="A1:J38"/>
  <sheetViews>
    <sheetView workbookViewId="0">
      <selection activeCell="J3" sqref="J3"/>
    </sheetView>
  </sheetViews>
  <sheetFormatPr defaultRowHeight="14.75"/>
  <cols>
    <col min="9" max="9" width="28.7265625" customWidth="1"/>
  </cols>
  <sheetData>
    <row r="1" spans="1:10">
      <c r="A1" t="s">
        <v>660</v>
      </c>
    </row>
    <row r="3" spans="1:10" ht="29.5">
      <c r="A3" s="107" t="s">
        <v>661</v>
      </c>
      <c r="B3" s="108"/>
      <c r="C3" s="108"/>
      <c r="D3" s="108"/>
      <c r="E3" s="108"/>
      <c r="I3" s="64" t="s">
        <v>878</v>
      </c>
      <c r="J3">
        <f>1-J8</f>
        <v>7.2894654417960836E-2</v>
      </c>
    </row>
    <row r="4" spans="1:10" ht="26">
      <c r="A4" s="56"/>
      <c r="B4" s="57" t="s">
        <v>662</v>
      </c>
      <c r="C4" s="57" t="s">
        <v>663</v>
      </c>
      <c r="D4" s="57" t="s">
        <v>662</v>
      </c>
      <c r="E4" s="57" t="s">
        <v>663</v>
      </c>
      <c r="I4" s="64"/>
    </row>
    <row r="5" spans="1:10" ht="51.5" thickBot="1">
      <c r="A5" s="58" t="s">
        <v>664</v>
      </c>
      <c r="B5" s="59" t="s">
        <v>665</v>
      </c>
      <c r="C5" s="59" t="s">
        <v>665</v>
      </c>
      <c r="D5" s="59" t="s">
        <v>666</v>
      </c>
      <c r="E5" s="59" t="s">
        <v>666</v>
      </c>
      <c r="I5" s="64" t="s">
        <v>874</v>
      </c>
      <c r="J5">
        <f>'AEO Table 73'!C32</f>
        <v>5.0566430000000002</v>
      </c>
    </row>
    <row r="6" spans="1:10" ht="31" thickTop="1" thickBot="1">
      <c r="A6" s="109" t="s">
        <v>667</v>
      </c>
      <c r="B6" s="109"/>
      <c r="C6" s="109"/>
      <c r="D6" s="109"/>
      <c r="E6" s="109"/>
      <c r="I6" s="64" t="s">
        <v>875</v>
      </c>
      <c r="J6">
        <f>'AEO Table 73'!C35</f>
        <v>5.2222799999999996</v>
      </c>
    </row>
    <row r="7" spans="1:10" ht="30.25" thickBot="1">
      <c r="A7" s="60" t="s">
        <v>93</v>
      </c>
      <c r="B7" s="61" t="s">
        <v>668</v>
      </c>
      <c r="C7" s="61" t="s">
        <v>669</v>
      </c>
      <c r="D7" s="61">
        <v>138.63</v>
      </c>
      <c r="E7" s="61">
        <v>62.88</v>
      </c>
      <c r="I7" s="64" t="s">
        <v>876</v>
      </c>
      <c r="J7">
        <f>J6*(1-'EIA-fuel-ethanol-motor-gasoline'!C47/100)</f>
        <v>4.6880407559999995</v>
      </c>
    </row>
    <row r="8" spans="1:10" ht="83" thickBot="1">
      <c r="A8" s="60" t="s">
        <v>670</v>
      </c>
      <c r="B8" s="61" t="s">
        <v>671</v>
      </c>
      <c r="C8" s="61" t="s">
        <v>672</v>
      </c>
      <c r="D8" s="61">
        <v>163.44999999999999</v>
      </c>
      <c r="E8" s="61">
        <v>74.14</v>
      </c>
      <c r="I8" s="64" t="s">
        <v>877</v>
      </c>
      <c r="J8">
        <f>J7/J5</f>
        <v>0.92710534558203916</v>
      </c>
    </row>
    <row r="9" spans="1:10" ht="24.25" thickBot="1">
      <c r="A9" s="60" t="s">
        <v>673</v>
      </c>
      <c r="B9" s="61" t="s">
        <v>674</v>
      </c>
      <c r="C9" s="61" t="s">
        <v>675</v>
      </c>
      <c r="D9" s="61">
        <v>161.35</v>
      </c>
      <c r="E9" s="61">
        <v>73.19</v>
      </c>
      <c r="I9" s="64"/>
    </row>
    <row r="10" spans="1:10" ht="24.25" thickBot="1">
      <c r="A10" s="60" t="s">
        <v>676</v>
      </c>
      <c r="B10" s="61" t="s">
        <v>677</v>
      </c>
      <c r="C10" s="61" t="s">
        <v>678</v>
      </c>
      <c r="D10" s="61">
        <v>211.47</v>
      </c>
      <c r="E10" s="61">
        <v>95.92</v>
      </c>
    </row>
    <row r="11" spans="1:10" ht="47.75" thickBot="1">
      <c r="A11" s="60" t="s">
        <v>679</v>
      </c>
      <c r="B11" s="61" t="s">
        <v>680</v>
      </c>
      <c r="C11" s="61" t="s">
        <v>681</v>
      </c>
      <c r="D11" s="61">
        <v>116.65</v>
      </c>
      <c r="E11" s="61">
        <v>52.91</v>
      </c>
    </row>
    <row r="12" spans="1:10" ht="49.25" thickBot="1">
      <c r="A12" s="60" t="s">
        <v>682</v>
      </c>
      <c r="B12" s="61" t="s">
        <v>683</v>
      </c>
      <c r="C12" s="61" t="s">
        <v>684</v>
      </c>
      <c r="D12" s="61">
        <v>148.57</v>
      </c>
      <c r="E12" s="61">
        <v>67.39</v>
      </c>
    </row>
    <row r="13" spans="1:10" ht="24.25" thickBot="1">
      <c r="A13" s="60" t="s">
        <v>98</v>
      </c>
      <c r="B13" s="61" t="s">
        <v>685</v>
      </c>
      <c r="C13" s="61" t="s">
        <v>686</v>
      </c>
      <c r="D13" s="61">
        <v>155.77000000000001</v>
      </c>
      <c r="E13" s="61">
        <v>70.66</v>
      </c>
    </row>
    <row r="14" spans="1:10" ht="59.5" thickBot="1">
      <c r="A14" s="60" t="s">
        <v>687</v>
      </c>
      <c r="B14" s="61" t="s">
        <v>688</v>
      </c>
      <c r="C14" s="61" t="s">
        <v>689</v>
      </c>
      <c r="D14" s="61">
        <v>165.55</v>
      </c>
      <c r="E14" s="61">
        <v>75.09</v>
      </c>
    </row>
    <row r="15" spans="1:10" ht="15.5" thickBot="1">
      <c r="A15" s="106" t="s">
        <v>690</v>
      </c>
      <c r="B15" s="106"/>
      <c r="C15" s="106"/>
      <c r="D15" s="106"/>
      <c r="E15" s="106"/>
    </row>
    <row r="16" spans="1:10" ht="24.25" thickBot="1">
      <c r="A16" s="60" t="s">
        <v>104</v>
      </c>
      <c r="B16" s="61" t="s">
        <v>691</v>
      </c>
      <c r="C16" s="61" t="s">
        <v>692</v>
      </c>
      <c r="D16" s="61">
        <v>159.25</v>
      </c>
      <c r="E16" s="61">
        <v>72.23</v>
      </c>
    </row>
    <row r="17" spans="1:5" ht="24.25" thickBot="1">
      <c r="A17" s="60" t="s">
        <v>693</v>
      </c>
      <c r="B17" s="61" t="s">
        <v>694</v>
      </c>
      <c r="C17" s="61" t="s">
        <v>695</v>
      </c>
      <c r="D17" s="61">
        <v>152.46</v>
      </c>
      <c r="E17" s="61">
        <v>69.150000000000006</v>
      </c>
    </row>
    <row r="18" spans="1:5" ht="15.5" thickBot="1">
      <c r="A18" s="106" t="s">
        <v>696</v>
      </c>
      <c r="B18" s="106"/>
      <c r="C18" s="106"/>
      <c r="D18" s="106"/>
      <c r="E18" s="106"/>
    </row>
    <row r="19" spans="1:5" ht="24.25" thickBot="1">
      <c r="A19" s="60" t="s">
        <v>697</v>
      </c>
      <c r="B19" s="61" t="s">
        <v>698</v>
      </c>
      <c r="C19" s="61" t="s">
        <v>699</v>
      </c>
      <c r="D19" s="61">
        <v>225.13</v>
      </c>
      <c r="E19" s="61">
        <v>102.12</v>
      </c>
    </row>
    <row r="20" spans="1:5" ht="15.5" thickBot="1">
      <c r="A20" s="106" t="s">
        <v>700</v>
      </c>
      <c r="B20" s="106"/>
      <c r="C20" s="106"/>
      <c r="D20" s="106"/>
      <c r="E20" s="106"/>
    </row>
    <row r="21" spans="1:5" ht="36" thickBot="1">
      <c r="A21" s="60" t="s">
        <v>701</v>
      </c>
      <c r="B21" s="61" t="s">
        <v>702</v>
      </c>
      <c r="C21" s="61" t="s">
        <v>703</v>
      </c>
      <c r="D21" s="61">
        <v>166.12</v>
      </c>
      <c r="E21" s="61">
        <v>75.349999999999994</v>
      </c>
    </row>
    <row r="22" spans="1:5" ht="24.25" thickBot="1">
      <c r="A22" s="60" t="s">
        <v>4</v>
      </c>
      <c r="B22" s="61" t="s">
        <v>704</v>
      </c>
      <c r="C22" s="61" t="s">
        <v>705</v>
      </c>
      <c r="D22" s="61">
        <v>163.29</v>
      </c>
      <c r="E22" s="61">
        <v>74.069999999999993</v>
      </c>
    </row>
    <row r="23" spans="1:5" ht="71.25" thickBot="1">
      <c r="A23" s="60" t="s">
        <v>706</v>
      </c>
      <c r="B23" s="61" t="s">
        <v>707</v>
      </c>
      <c r="C23" s="61" t="s">
        <v>708</v>
      </c>
      <c r="D23" s="61">
        <v>149.94999999999999</v>
      </c>
      <c r="E23" s="61">
        <v>68.02</v>
      </c>
    </row>
    <row r="24" spans="1:5" ht="71.25" thickBot="1">
      <c r="A24" s="60" t="s">
        <v>709</v>
      </c>
      <c r="B24" s="61" t="s">
        <v>710</v>
      </c>
      <c r="C24" s="61" t="s">
        <v>711</v>
      </c>
      <c r="D24" s="61">
        <v>163.05000000000001</v>
      </c>
      <c r="E24" s="61">
        <v>73.959999999999994</v>
      </c>
    </row>
    <row r="25" spans="1:5" ht="59.5" thickBot="1">
      <c r="A25" s="60" t="s">
        <v>712</v>
      </c>
      <c r="B25" s="61" t="s">
        <v>713</v>
      </c>
      <c r="C25" s="61" t="s">
        <v>714</v>
      </c>
      <c r="D25" s="61">
        <v>159.57</v>
      </c>
      <c r="E25" s="61">
        <v>72.38</v>
      </c>
    </row>
    <row r="26" spans="1:5" ht="24.25" thickBot="1">
      <c r="A26" s="60" t="s">
        <v>715</v>
      </c>
      <c r="B26" s="61" t="s">
        <v>716</v>
      </c>
      <c r="C26" s="61" t="s">
        <v>717</v>
      </c>
      <c r="D26" s="61">
        <v>160.06</v>
      </c>
      <c r="E26" s="61">
        <v>72.599999999999994</v>
      </c>
    </row>
    <row r="27" spans="1:5" ht="15.5" thickBot="1">
      <c r="A27" s="106" t="s">
        <v>718</v>
      </c>
      <c r="B27" s="106"/>
      <c r="C27" s="106"/>
      <c r="D27" s="106"/>
      <c r="E27" s="106"/>
    </row>
    <row r="28" spans="1:5" ht="24.25" thickBot="1">
      <c r="A28" s="60" t="s">
        <v>719</v>
      </c>
      <c r="B28" s="61" t="s">
        <v>720</v>
      </c>
      <c r="C28" s="61" t="s">
        <v>721</v>
      </c>
      <c r="D28" s="61">
        <v>228.6</v>
      </c>
      <c r="E28" s="61">
        <v>103.69</v>
      </c>
    </row>
    <row r="29" spans="1:5" ht="24.25" thickBot="1">
      <c r="A29" s="60" t="s">
        <v>722</v>
      </c>
      <c r="B29" s="61" t="s">
        <v>723</v>
      </c>
      <c r="C29" s="61" t="s">
        <v>724</v>
      </c>
      <c r="D29" s="61">
        <v>205.57</v>
      </c>
      <c r="E29" s="61">
        <v>93.24</v>
      </c>
    </row>
    <row r="30" spans="1:5" ht="24.25" thickBot="1">
      <c r="A30" s="60" t="s">
        <v>725</v>
      </c>
      <c r="B30" s="61" t="s">
        <v>726</v>
      </c>
      <c r="C30" s="61" t="s">
        <v>727</v>
      </c>
      <c r="D30" s="61">
        <v>214.13</v>
      </c>
      <c r="E30" s="61">
        <v>97.13</v>
      </c>
    </row>
    <row r="31" spans="1:5" ht="24.25" thickBot="1">
      <c r="A31" s="60" t="s">
        <v>728</v>
      </c>
      <c r="B31" s="61" t="s">
        <v>729</v>
      </c>
      <c r="C31" s="61" t="s">
        <v>730</v>
      </c>
      <c r="D31" s="61">
        <v>216.64</v>
      </c>
      <c r="E31" s="61">
        <v>98.27</v>
      </c>
    </row>
    <row r="32" spans="1:5" ht="24.25" thickBot="1">
      <c r="A32" s="60" t="s">
        <v>731</v>
      </c>
      <c r="B32" s="61" t="s">
        <v>732</v>
      </c>
      <c r="C32" s="61" t="s">
        <v>733</v>
      </c>
      <c r="D32" s="61">
        <v>250.59</v>
      </c>
      <c r="E32" s="61">
        <v>113.67</v>
      </c>
    </row>
    <row r="33" spans="1:5" ht="15.5" thickBot="1">
      <c r="A33" s="106" t="s">
        <v>734</v>
      </c>
      <c r="B33" s="106"/>
      <c r="C33" s="106"/>
      <c r="D33" s="106"/>
      <c r="E33" s="106"/>
    </row>
    <row r="34" spans="1:5" ht="36" thickBot="1">
      <c r="A34" s="60" t="s">
        <v>735</v>
      </c>
      <c r="B34" s="61" t="s">
        <v>736</v>
      </c>
      <c r="C34" s="61" t="s">
        <v>736</v>
      </c>
      <c r="D34" s="61">
        <v>26.03</v>
      </c>
      <c r="E34" s="61">
        <v>11.81</v>
      </c>
    </row>
    <row r="35" spans="1:5" ht="47.75" thickBot="1">
      <c r="A35" s="60" t="s">
        <v>737</v>
      </c>
      <c r="B35" s="61" t="s">
        <v>736</v>
      </c>
      <c r="C35" s="61" t="s">
        <v>736</v>
      </c>
      <c r="D35" s="61">
        <v>0</v>
      </c>
      <c r="E35" s="61">
        <v>0</v>
      </c>
    </row>
    <row r="36" spans="1:5" ht="37.5" thickBot="1">
      <c r="A36" s="60" t="s">
        <v>738</v>
      </c>
      <c r="B36" s="61" t="s">
        <v>739</v>
      </c>
      <c r="C36" s="61" t="s">
        <v>740</v>
      </c>
      <c r="D36" s="61">
        <v>109.98</v>
      </c>
      <c r="E36" s="61">
        <v>49.89</v>
      </c>
    </row>
    <row r="37" spans="1:5" ht="37.5" thickBot="1">
      <c r="A37" s="60" t="s">
        <v>741</v>
      </c>
      <c r="B37" s="61" t="s">
        <v>742</v>
      </c>
      <c r="C37" s="61" t="s">
        <v>743</v>
      </c>
      <c r="D37" s="61">
        <v>189.53</v>
      </c>
      <c r="E37" s="61">
        <v>85.97</v>
      </c>
    </row>
    <row r="38" spans="1:5" ht="25">
      <c r="A38" s="62" t="s">
        <v>744</v>
      </c>
      <c r="B38" s="63" t="s">
        <v>745</v>
      </c>
      <c r="C38" s="63" t="s">
        <v>746</v>
      </c>
      <c r="D38" s="63">
        <v>163.13999999999999</v>
      </c>
      <c r="E38" s="63">
        <v>74</v>
      </c>
    </row>
  </sheetData>
  <mergeCells count="7">
    <mergeCell ref="A33:E33"/>
    <mergeCell ref="A3:E3"/>
    <mergeCell ref="A6:E6"/>
    <mergeCell ref="A15:E15"/>
    <mergeCell ref="A18:E18"/>
    <mergeCell ref="A20:E20"/>
    <mergeCell ref="A27:E27"/>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BC157-5C71-4688-AD1A-890BF044EAA2}">
  <dimension ref="A1:AH2841"/>
  <sheetViews>
    <sheetView topLeftCell="B13" workbookViewId="0">
      <selection activeCell="B31" sqref="B31"/>
    </sheetView>
  </sheetViews>
  <sheetFormatPr defaultRowHeight="14.75"/>
  <cols>
    <col min="1" max="1" width="21.40625" hidden="1" customWidth="1"/>
    <col min="2" max="2" width="46.7265625" customWidth="1"/>
  </cols>
  <sheetData>
    <row r="1" spans="1:33" ht="15" customHeight="1" thickBot="1">
      <c r="A1" s="31"/>
      <c r="B1" s="32" t="s">
        <v>402</v>
      </c>
      <c r="C1" s="33">
        <v>2022</v>
      </c>
      <c r="D1" s="33">
        <v>2023</v>
      </c>
      <c r="E1" s="33">
        <v>2024</v>
      </c>
      <c r="F1" s="33">
        <v>2025</v>
      </c>
      <c r="G1" s="33">
        <v>2026</v>
      </c>
      <c r="H1" s="33">
        <v>2027</v>
      </c>
      <c r="I1" s="33">
        <v>2028</v>
      </c>
      <c r="J1" s="33">
        <v>2029</v>
      </c>
      <c r="K1" s="33">
        <v>2030</v>
      </c>
      <c r="L1" s="33">
        <v>2031</v>
      </c>
      <c r="M1" s="33">
        <v>2032</v>
      </c>
      <c r="N1" s="33">
        <v>2033</v>
      </c>
      <c r="O1" s="33">
        <v>2034</v>
      </c>
      <c r="P1" s="33">
        <v>2035</v>
      </c>
      <c r="Q1" s="33">
        <v>2036</v>
      </c>
      <c r="R1" s="33">
        <v>2037</v>
      </c>
      <c r="S1" s="33">
        <v>2038</v>
      </c>
      <c r="T1" s="33">
        <v>2039</v>
      </c>
      <c r="U1" s="33">
        <v>2040</v>
      </c>
      <c r="V1" s="33">
        <v>2041</v>
      </c>
      <c r="W1" s="33">
        <v>2042</v>
      </c>
      <c r="X1" s="33">
        <v>2043</v>
      </c>
      <c r="Y1" s="33">
        <v>2044</v>
      </c>
      <c r="Z1" s="33">
        <v>2045</v>
      </c>
      <c r="AA1" s="33">
        <v>2046</v>
      </c>
      <c r="AB1" s="33">
        <v>2047</v>
      </c>
      <c r="AC1" s="33">
        <v>2048</v>
      </c>
      <c r="AD1" s="33">
        <v>2049</v>
      </c>
      <c r="AE1" s="33">
        <v>2050</v>
      </c>
      <c r="AF1" s="31"/>
      <c r="AG1" s="31"/>
    </row>
    <row r="2" spans="1:33" ht="15" customHeight="1" thickTop="1">
      <c r="A2" s="31"/>
      <c r="B2" s="31"/>
      <c r="C2" s="31"/>
      <c r="D2" s="31"/>
      <c r="E2" s="31"/>
      <c r="F2" s="31"/>
      <c r="G2" s="31"/>
      <c r="H2" s="31"/>
      <c r="I2" s="31"/>
      <c r="J2" s="31"/>
      <c r="K2" s="31"/>
      <c r="L2" s="31"/>
      <c r="M2" s="31"/>
      <c r="N2" s="31"/>
      <c r="O2" s="31"/>
      <c r="P2" s="31"/>
      <c r="Q2" s="31"/>
      <c r="R2" s="31"/>
      <c r="S2" s="31"/>
      <c r="T2" s="31"/>
      <c r="U2" s="31"/>
      <c r="V2" s="31"/>
      <c r="W2" s="31"/>
      <c r="X2" s="31"/>
      <c r="Y2" s="31"/>
      <c r="Z2" s="31"/>
      <c r="AA2" s="31"/>
      <c r="AB2" s="31"/>
      <c r="AC2" s="31"/>
      <c r="AD2" s="31"/>
      <c r="AE2" s="31"/>
      <c r="AF2" s="31"/>
      <c r="AG2" s="31"/>
    </row>
    <row r="3" spans="1:33" ht="15" customHeight="1">
      <c r="A3" s="31"/>
      <c r="B3" s="31"/>
      <c r="C3" s="49" t="s">
        <v>165</v>
      </c>
      <c r="D3" s="49" t="s">
        <v>403</v>
      </c>
      <c r="E3" s="36"/>
      <c r="F3" s="36"/>
      <c r="G3" s="36"/>
      <c r="H3" s="31"/>
      <c r="I3" s="31"/>
      <c r="J3" s="31"/>
      <c r="K3" s="31"/>
      <c r="L3" s="31"/>
      <c r="M3" s="31"/>
      <c r="N3" s="31"/>
      <c r="O3" s="31"/>
      <c r="P3" s="31"/>
      <c r="Q3" s="31"/>
      <c r="R3" s="31"/>
      <c r="S3" s="31"/>
      <c r="T3" s="31"/>
      <c r="U3" s="31"/>
      <c r="V3" s="31"/>
      <c r="W3" s="31"/>
      <c r="X3" s="31"/>
      <c r="Y3" s="31"/>
      <c r="Z3" s="31"/>
      <c r="AA3" s="31"/>
      <c r="AB3" s="31"/>
      <c r="AC3" s="31"/>
      <c r="AD3" s="31"/>
      <c r="AE3" s="31"/>
      <c r="AF3" s="31"/>
      <c r="AG3" s="31"/>
    </row>
    <row r="4" spans="1:33" ht="15" customHeight="1">
      <c r="A4" s="31"/>
      <c r="B4" s="31"/>
      <c r="C4" s="49" t="s">
        <v>166</v>
      </c>
      <c r="D4" s="49" t="s">
        <v>404</v>
      </c>
      <c r="E4" s="36"/>
      <c r="F4" s="36"/>
      <c r="G4" s="49" t="s">
        <v>167</v>
      </c>
      <c r="H4" s="31"/>
      <c r="I4" s="31"/>
      <c r="J4" s="31"/>
      <c r="K4" s="31"/>
      <c r="L4" s="31"/>
      <c r="M4" s="31"/>
      <c r="N4" s="31"/>
      <c r="O4" s="31"/>
      <c r="P4" s="31"/>
      <c r="Q4" s="31"/>
      <c r="R4" s="31"/>
      <c r="S4" s="31"/>
      <c r="T4" s="31"/>
      <c r="U4" s="31"/>
      <c r="V4" s="31"/>
      <c r="W4" s="31"/>
      <c r="X4" s="31"/>
      <c r="Y4" s="31"/>
      <c r="Z4" s="31"/>
      <c r="AA4" s="31"/>
      <c r="AB4" s="31"/>
      <c r="AC4" s="31"/>
      <c r="AD4" s="31"/>
      <c r="AE4" s="31"/>
      <c r="AF4" s="31"/>
      <c r="AG4" s="31"/>
    </row>
    <row r="5" spans="1:33" ht="15" customHeight="1">
      <c r="A5" s="31"/>
      <c r="B5" s="31"/>
      <c r="C5" s="49" t="s">
        <v>168</v>
      </c>
      <c r="D5" s="49" t="s">
        <v>405</v>
      </c>
      <c r="E5" s="36"/>
      <c r="F5" s="36"/>
      <c r="G5" s="36"/>
      <c r="H5" s="31"/>
      <c r="I5" s="31"/>
      <c r="J5" s="31"/>
      <c r="K5" s="31"/>
      <c r="L5" s="31"/>
      <c r="M5" s="31"/>
      <c r="N5" s="31"/>
      <c r="O5" s="31"/>
      <c r="P5" s="31"/>
      <c r="Q5" s="31"/>
      <c r="R5" s="31"/>
      <c r="S5" s="31"/>
      <c r="T5" s="31"/>
      <c r="U5" s="31"/>
      <c r="V5" s="31"/>
      <c r="W5" s="31"/>
      <c r="X5" s="31"/>
      <c r="Y5" s="31"/>
      <c r="Z5" s="31"/>
      <c r="AA5" s="31"/>
      <c r="AB5" s="31"/>
      <c r="AC5" s="31"/>
      <c r="AD5" s="31"/>
      <c r="AE5" s="31"/>
      <c r="AF5" s="31"/>
      <c r="AG5" s="31"/>
    </row>
    <row r="6" spans="1:33" ht="15" customHeight="1">
      <c r="A6" s="31"/>
      <c r="B6" s="31"/>
      <c r="C6" s="49" t="s">
        <v>169</v>
      </c>
      <c r="D6" s="36"/>
      <c r="E6" s="49" t="s">
        <v>406</v>
      </c>
      <c r="F6" s="36"/>
      <c r="G6" s="36"/>
      <c r="H6" s="31"/>
      <c r="I6" s="31"/>
      <c r="J6" s="31"/>
      <c r="K6" s="31"/>
      <c r="L6" s="31"/>
      <c r="M6" s="31"/>
      <c r="N6" s="31"/>
      <c r="O6" s="31"/>
      <c r="P6" s="31"/>
      <c r="Q6" s="31"/>
      <c r="R6" s="31"/>
      <c r="S6" s="31"/>
      <c r="T6" s="31"/>
      <c r="U6" s="31"/>
      <c r="V6" s="31"/>
      <c r="W6" s="31"/>
      <c r="X6" s="31"/>
      <c r="Y6" s="31"/>
      <c r="Z6" s="31"/>
      <c r="AA6" s="31"/>
      <c r="AB6" s="31"/>
      <c r="AC6" s="31"/>
      <c r="AD6" s="31"/>
      <c r="AE6" s="31"/>
      <c r="AF6" s="31"/>
      <c r="AG6" s="31"/>
    </row>
    <row r="7" spans="1:33">
      <c r="A7" s="31"/>
      <c r="B7" s="31"/>
      <c r="C7" s="31"/>
      <c r="D7" s="31"/>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row>
    <row r="8" spans="1:33">
      <c r="A8" s="31"/>
      <c r="B8" s="31"/>
      <c r="C8" s="31"/>
      <c r="D8" s="31"/>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row>
    <row r="9" spans="1:33">
      <c r="A9" s="31"/>
      <c r="B9" s="35"/>
      <c r="C9" s="35"/>
      <c r="D9" s="35"/>
      <c r="E9" s="35"/>
      <c r="F9" s="35"/>
      <c r="G9" s="35"/>
      <c r="H9" s="35"/>
      <c r="I9" s="35"/>
      <c r="J9" s="35"/>
      <c r="K9" s="35"/>
      <c r="L9" s="35"/>
      <c r="M9" s="35"/>
      <c r="N9" s="35"/>
      <c r="O9" s="35"/>
      <c r="P9" s="35"/>
      <c r="Q9" s="35"/>
      <c r="R9" s="35"/>
      <c r="S9" s="35"/>
      <c r="T9" s="35"/>
      <c r="U9" s="35"/>
      <c r="V9" s="35"/>
      <c r="W9" s="35"/>
      <c r="X9" s="35"/>
      <c r="Y9" s="35"/>
      <c r="Z9" s="35"/>
      <c r="AA9" s="35"/>
      <c r="AB9" s="35"/>
      <c r="AC9" s="35"/>
      <c r="AD9" s="35"/>
      <c r="AE9" s="35"/>
      <c r="AF9" s="35"/>
      <c r="AG9" s="35"/>
    </row>
    <row r="10" spans="1:33" ht="15" customHeight="1">
      <c r="A10" s="34" t="s">
        <v>170</v>
      </c>
      <c r="B10" s="37" t="s">
        <v>171</v>
      </c>
      <c r="C10" s="35"/>
      <c r="D10" s="35"/>
      <c r="E10" s="35"/>
      <c r="F10" s="35"/>
      <c r="G10" s="35"/>
      <c r="H10" s="35"/>
      <c r="I10" s="35"/>
      <c r="J10" s="35"/>
      <c r="K10" s="35"/>
      <c r="L10" s="35"/>
      <c r="M10" s="35"/>
      <c r="N10" s="35"/>
      <c r="O10" s="35"/>
      <c r="P10" s="35"/>
      <c r="Q10" s="35"/>
      <c r="R10" s="35"/>
      <c r="S10" s="35"/>
      <c r="T10" s="35"/>
      <c r="U10" s="35"/>
      <c r="V10" s="35"/>
      <c r="W10" s="35"/>
      <c r="X10" s="35"/>
      <c r="Y10" s="35"/>
      <c r="Z10" s="35"/>
      <c r="AA10" s="35"/>
      <c r="AB10" s="35"/>
      <c r="AC10" s="35"/>
      <c r="AD10" s="35"/>
      <c r="AE10" s="35"/>
      <c r="AF10" s="38" t="s">
        <v>172</v>
      </c>
      <c r="AG10" s="35"/>
    </row>
    <row r="11" spans="1:33" ht="15" customHeight="1">
      <c r="A11" s="31"/>
      <c r="B11" s="39" t="s">
        <v>173</v>
      </c>
      <c r="C11" s="35"/>
      <c r="D11" s="35"/>
      <c r="E11" s="35"/>
      <c r="F11" s="35"/>
      <c r="G11" s="35"/>
      <c r="H11" s="35"/>
      <c r="I11" s="35"/>
      <c r="J11" s="35"/>
      <c r="K11" s="35"/>
      <c r="L11" s="35"/>
      <c r="M11" s="35"/>
      <c r="N11" s="35"/>
      <c r="O11" s="35"/>
      <c r="P11" s="35"/>
      <c r="Q11" s="35"/>
      <c r="R11" s="35"/>
      <c r="S11" s="35"/>
      <c r="T11" s="35"/>
      <c r="U11" s="35"/>
      <c r="V11" s="35"/>
      <c r="W11" s="35"/>
      <c r="X11" s="35"/>
      <c r="Y11" s="35"/>
      <c r="Z11" s="35"/>
      <c r="AA11" s="35"/>
      <c r="AB11" s="35"/>
      <c r="AC11" s="35"/>
      <c r="AD11" s="35"/>
      <c r="AE11" s="35"/>
      <c r="AF11" s="38" t="s">
        <v>174</v>
      </c>
      <c r="AG11" s="35"/>
    </row>
    <row r="12" spans="1:33" ht="15" customHeight="1">
      <c r="A12" s="31"/>
      <c r="B12" s="39"/>
      <c r="C12" s="40"/>
      <c r="D12" s="40"/>
      <c r="E12" s="40"/>
      <c r="F12" s="40"/>
      <c r="G12" s="40"/>
      <c r="H12" s="40"/>
      <c r="I12" s="40"/>
      <c r="J12" s="40"/>
      <c r="K12" s="40"/>
      <c r="L12" s="40"/>
      <c r="M12" s="40"/>
      <c r="N12" s="40"/>
      <c r="O12" s="40"/>
      <c r="P12" s="40"/>
      <c r="Q12" s="40"/>
      <c r="R12" s="40"/>
      <c r="S12" s="40"/>
      <c r="T12" s="40"/>
      <c r="U12" s="40"/>
      <c r="V12" s="40"/>
      <c r="W12" s="40"/>
      <c r="X12" s="40"/>
      <c r="Y12" s="40"/>
      <c r="Z12" s="40"/>
      <c r="AA12" s="40"/>
      <c r="AB12" s="40"/>
      <c r="AC12" s="40"/>
      <c r="AD12" s="40"/>
      <c r="AE12" s="40"/>
      <c r="AF12" s="38" t="s">
        <v>175</v>
      </c>
      <c r="AG12" s="35"/>
    </row>
    <row r="13" spans="1:33" ht="15" customHeight="1" thickBot="1">
      <c r="A13" s="31"/>
      <c r="B13" s="41" t="s">
        <v>176</v>
      </c>
      <c r="C13" s="41">
        <v>2022</v>
      </c>
      <c r="D13" s="41">
        <v>2023</v>
      </c>
      <c r="E13" s="41">
        <v>2024</v>
      </c>
      <c r="F13" s="41">
        <v>2025</v>
      </c>
      <c r="G13" s="41">
        <v>2026</v>
      </c>
      <c r="H13" s="41">
        <v>2027</v>
      </c>
      <c r="I13" s="41">
        <v>2028</v>
      </c>
      <c r="J13" s="41">
        <v>2029</v>
      </c>
      <c r="K13" s="41">
        <v>2030</v>
      </c>
      <c r="L13" s="41">
        <v>2031</v>
      </c>
      <c r="M13" s="41">
        <v>2032</v>
      </c>
      <c r="N13" s="41">
        <v>2033</v>
      </c>
      <c r="O13" s="41">
        <v>2034</v>
      </c>
      <c r="P13" s="41">
        <v>2035</v>
      </c>
      <c r="Q13" s="41">
        <v>2036</v>
      </c>
      <c r="R13" s="41">
        <v>2037</v>
      </c>
      <c r="S13" s="41">
        <v>2038</v>
      </c>
      <c r="T13" s="41">
        <v>2039</v>
      </c>
      <c r="U13" s="41">
        <v>2040</v>
      </c>
      <c r="V13" s="41">
        <v>2041</v>
      </c>
      <c r="W13" s="41">
        <v>2042</v>
      </c>
      <c r="X13" s="41">
        <v>2043</v>
      </c>
      <c r="Y13" s="41">
        <v>2044</v>
      </c>
      <c r="Z13" s="41">
        <v>2045</v>
      </c>
      <c r="AA13" s="41">
        <v>2046</v>
      </c>
      <c r="AB13" s="41">
        <v>2047</v>
      </c>
      <c r="AC13" s="41">
        <v>2048</v>
      </c>
      <c r="AD13" s="41">
        <v>2049</v>
      </c>
      <c r="AE13" s="41">
        <v>2050</v>
      </c>
      <c r="AF13" s="42" t="s">
        <v>407</v>
      </c>
      <c r="AG13" s="35"/>
    </row>
    <row r="14" spans="1:33" ht="15" customHeight="1" thickTop="1">
      <c r="A14" s="31"/>
      <c r="B14" s="35"/>
      <c r="C14" s="35"/>
      <c r="D14" s="35"/>
      <c r="E14" s="35"/>
      <c r="F14" s="35"/>
      <c r="G14" s="35"/>
      <c r="H14" s="35"/>
      <c r="I14" s="35"/>
      <c r="J14" s="35"/>
      <c r="K14" s="35"/>
      <c r="L14" s="35"/>
      <c r="M14" s="35"/>
      <c r="N14" s="35"/>
      <c r="O14" s="35"/>
      <c r="P14" s="35"/>
      <c r="Q14" s="35"/>
      <c r="R14" s="35"/>
      <c r="S14" s="35"/>
      <c r="T14" s="35"/>
      <c r="U14" s="35"/>
      <c r="V14" s="35"/>
      <c r="W14" s="35"/>
      <c r="X14" s="35"/>
      <c r="Y14" s="35"/>
      <c r="Z14" s="35"/>
      <c r="AA14" s="35"/>
      <c r="AB14" s="35"/>
      <c r="AC14" s="35"/>
      <c r="AD14" s="35"/>
      <c r="AE14" s="35"/>
      <c r="AF14" s="35"/>
      <c r="AG14" s="35"/>
    </row>
    <row r="15" spans="1:33" ht="15" customHeight="1">
      <c r="A15" s="31"/>
      <c r="B15" s="43" t="s">
        <v>178</v>
      </c>
      <c r="C15" s="35"/>
      <c r="D15" s="35"/>
      <c r="E15" s="35"/>
      <c r="F15" s="35"/>
      <c r="G15" s="35"/>
      <c r="H15" s="35"/>
      <c r="I15" s="35"/>
      <c r="J15" s="35"/>
      <c r="K15" s="35"/>
      <c r="L15" s="35"/>
      <c r="M15" s="35"/>
      <c r="N15" s="35"/>
      <c r="O15" s="35"/>
      <c r="P15" s="35"/>
      <c r="Q15" s="35"/>
      <c r="R15" s="35"/>
      <c r="S15" s="35"/>
      <c r="T15" s="35"/>
      <c r="U15" s="35"/>
      <c r="V15" s="35"/>
      <c r="W15" s="35"/>
      <c r="X15" s="35"/>
      <c r="Y15" s="35"/>
      <c r="Z15" s="35"/>
      <c r="AA15" s="35"/>
      <c r="AB15" s="35"/>
      <c r="AC15" s="35"/>
      <c r="AD15" s="35"/>
      <c r="AE15" s="35"/>
      <c r="AF15" s="35"/>
      <c r="AG15" s="35"/>
    </row>
    <row r="16" spans="1:33" ht="15" customHeight="1">
      <c r="A16" s="31"/>
      <c r="B16" s="35"/>
      <c r="C16" s="35"/>
      <c r="D16" s="35"/>
      <c r="E16" s="35"/>
      <c r="F16" s="35"/>
      <c r="G16" s="35"/>
      <c r="H16" s="35"/>
      <c r="I16" s="35"/>
      <c r="J16" s="35"/>
      <c r="K16" s="35"/>
      <c r="L16" s="35"/>
      <c r="M16" s="35"/>
      <c r="N16" s="35"/>
      <c r="O16" s="35"/>
      <c r="P16" s="35"/>
      <c r="Q16" s="35"/>
      <c r="R16" s="35"/>
      <c r="S16" s="35"/>
      <c r="T16" s="35"/>
      <c r="U16" s="35"/>
      <c r="V16" s="35"/>
      <c r="W16" s="35"/>
      <c r="X16" s="35"/>
      <c r="Y16" s="35"/>
      <c r="Z16" s="35"/>
      <c r="AA16" s="35"/>
      <c r="AB16" s="35"/>
      <c r="AC16" s="35"/>
      <c r="AD16" s="35"/>
      <c r="AE16" s="35"/>
      <c r="AF16" s="35"/>
      <c r="AG16" s="35"/>
    </row>
    <row r="17" spans="1:33" ht="15" customHeight="1">
      <c r="A17" s="34" t="s">
        <v>179</v>
      </c>
      <c r="B17" s="43" t="s">
        <v>180</v>
      </c>
      <c r="C17" s="47">
        <v>0.53893199999999997</v>
      </c>
      <c r="D17" s="47">
        <v>0.57440999999999998</v>
      </c>
      <c r="E17" s="47">
        <v>0.51306799999999997</v>
      </c>
      <c r="F17" s="47">
        <v>0.48986400000000002</v>
      </c>
      <c r="G17" s="47">
        <v>0.47216399999999997</v>
      </c>
      <c r="H17" s="47">
        <v>0.45763999999999999</v>
      </c>
      <c r="I17" s="47">
        <v>0.44519999999999998</v>
      </c>
      <c r="J17" s="47">
        <v>0.435137</v>
      </c>
      <c r="K17" s="47">
        <v>0.42601699999999998</v>
      </c>
      <c r="L17" s="47">
        <v>0.41791</v>
      </c>
      <c r="M17" s="47">
        <v>0.409804</v>
      </c>
      <c r="N17" s="47">
        <v>0.40263100000000002</v>
      </c>
      <c r="O17" s="47">
        <v>0.39503899999999997</v>
      </c>
      <c r="P17" s="47">
        <v>0.38751400000000003</v>
      </c>
      <c r="Q17" s="47">
        <v>0.37993500000000002</v>
      </c>
      <c r="R17" s="47">
        <v>0.37285699999999999</v>
      </c>
      <c r="S17" s="47">
        <v>0.36608299999999999</v>
      </c>
      <c r="T17" s="47">
        <v>0.35957499999999998</v>
      </c>
      <c r="U17" s="47">
        <v>0.35324100000000003</v>
      </c>
      <c r="V17" s="47">
        <v>0.34762199999999999</v>
      </c>
      <c r="W17" s="47">
        <v>0.34207100000000001</v>
      </c>
      <c r="X17" s="47">
        <v>0.33705400000000002</v>
      </c>
      <c r="Y17" s="47">
        <v>0.332011</v>
      </c>
      <c r="Z17" s="47">
        <v>0.327538</v>
      </c>
      <c r="AA17" s="47">
        <v>0.32387199999999999</v>
      </c>
      <c r="AB17" s="47">
        <v>0.32008300000000001</v>
      </c>
      <c r="AC17" s="47">
        <v>0.31608900000000001</v>
      </c>
      <c r="AD17" s="47">
        <v>0.31211100000000003</v>
      </c>
      <c r="AE17" s="47">
        <v>0.30802400000000002</v>
      </c>
      <c r="AF17" s="48">
        <v>-1.9781E-2</v>
      </c>
      <c r="AG17" s="35"/>
    </row>
    <row r="18" spans="1:33" ht="15" customHeight="1">
      <c r="A18" s="31"/>
      <c r="B18" s="35"/>
      <c r="C18" s="35"/>
      <c r="D18" s="35"/>
      <c r="E18" s="35"/>
      <c r="F18" s="35"/>
      <c r="G18" s="35"/>
      <c r="H18" s="35"/>
      <c r="I18" s="35"/>
      <c r="J18" s="35"/>
      <c r="K18" s="35"/>
      <c r="L18" s="35"/>
      <c r="M18" s="35"/>
      <c r="N18" s="35"/>
      <c r="O18" s="35"/>
      <c r="P18" s="35"/>
      <c r="Q18" s="35"/>
      <c r="R18" s="35"/>
      <c r="S18" s="35"/>
      <c r="T18" s="35"/>
      <c r="U18" s="35"/>
      <c r="V18" s="35"/>
      <c r="W18" s="35"/>
      <c r="X18" s="35"/>
      <c r="Y18" s="35"/>
      <c r="Z18" s="35"/>
      <c r="AA18" s="35"/>
      <c r="AB18" s="35"/>
      <c r="AC18" s="35"/>
      <c r="AD18" s="35"/>
      <c r="AE18" s="35"/>
      <c r="AF18" s="35"/>
      <c r="AG18" s="35"/>
    </row>
    <row r="19" spans="1:33" ht="15" customHeight="1">
      <c r="A19" s="34" t="s">
        <v>181</v>
      </c>
      <c r="B19" s="43" t="s">
        <v>182</v>
      </c>
      <c r="C19" s="47">
        <v>0.120805</v>
      </c>
      <c r="D19" s="47">
        <v>0.120805</v>
      </c>
      <c r="E19" s="47">
        <v>0.120805</v>
      </c>
      <c r="F19" s="47">
        <v>0.120805</v>
      </c>
      <c r="G19" s="47">
        <v>0.120805</v>
      </c>
      <c r="H19" s="47">
        <v>0.120805</v>
      </c>
      <c r="I19" s="47">
        <v>0.120805</v>
      </c>
      <c r="J19" s="47">
        <v>0.120805</v>
      </c>
      <c r="K19" s="47">
        <v>0.120805</v>
      </c>
      <c r="L19" s="47">
        <v>0.120805</v>
      </c>
      <c r="M19" s="47">
        <v>0.120805</v>
      </c>
      <c r="N19" s="47">
        <v>0.120805</v>
      </c>
      <c r="O19" s="47">
        <v>0.120805</v>
      </c>
      <c r="P19" s="47">
        <v>0.120805</v>
      </c>
      <c r="Q19" s="47">
        <v>0.120805</v>
      </c>
      <c r="R19" s="47">
        <v>0.120805</v>
      </c>
      <c r="S19" s="47">
        <v>0.120805</v>
      </c>
      <c r="T19" s="47">
        <v>0.120805</v>
      </c>
      <c r="U19" s="47">
        <v>0.120805</v>
      </c>
      <c r="V19" s="47">
        <v>0.120805</v>
      </c>
      <c r="W19" s="47">
        <v>0.120805</v>
      </c>
      <c r="X19" s="47">
        <v>0.120805</v>
      </c>
      <c r="Y19" s="47">
        <v>0.120805</v>
      </c>
      <c r="Z19" s="47">
        <v>0.120805</v>
      </c>
      <c r="AA19" s="47">
        <v>0.120805</v>
      </c>
      <c r="AB19" s="47">
        <v>0.120805</v>
      </c>
      <c r="AC19" s="47">
        <v>0.120805</v>
      </c>
      <c r="AD19" s="47">
        <v>0.120805</v>
      </c>
      <c r="AE19" s="47">
        <v>0.120805</v>
      </c>
      <c r="AF19" s="48">
        <v>0</v>
      </c>
      <c r="AG19" s="35"/>
    </row>
    <row r="20" spans="1:33" ht="15" customHeight="1">
      <c r="A20" s="31"/>
      <c r="B20" s="35"/>
      <c r="C20" s="35"/>
      <c r="D20" s="35"/>
      <c r="E20" s="35"/>
      <c r="F20" s="35"/>
      <c r="G20" s="35"/>
      <c r="H20" s="35"/>
      <c r="I20" s="35"/>
      <c r="J20" s="35"/>
      <c r="K20" s="35"/>
      <c r="L20" s="35"/>
      <c r="M20" s="35"/>
      <c r="N20" s="35"/>
      <c r="O20" s="35"/>
      <c r="P20" s="35"/>
      <c r="Q20" s="35"/>
      <c r="R20" s="35"/>
      <c r="S20" s="35"/>
      <c r="T20" s="35"/>
      <c r="U20" s="35"/>
      <c r="V20" s="35"/>
      <c r="W20" s="35"/>
      <c r="X20" s="35"/>
      <c r="Y20" s="35"/>
      <c r="Z20" s="35"/>
      <c r="AA20" s="35"/>
      <c r="AB20" s="35"/>
      <c r="AC20" s="35"/>
      <c r="AD20" s="35"/>
      <c r="AE20" s="35"/>
      <c r="AF20" s="35"/>
      <c r="AG20" s="35"/>
    </row>
    <row r="21" spans="1:33" ht="15" customHeight="1">
      <c r="A21" s="34" t="s">
        <v>183</v>
      </c>
      <c r="B21" s="43" t="s">
        <v>184</v>
      </c>
      <c r="C21" s="47">
        <v>2.4188489999999998</v>
      </c>
      <c r="D21" s="47">
        <v>2.5582929999999999</v>
      </c>
      <c r="E21" s="47">
        <v>2.454399</v>
      </c>
      <c r="F21" s="47">
        <v>2.4587829999999999</v>
      </c>
      <c r="G21" s="47">
        <v>2.4619360000000001</v>
      </c>
      <c r="H21" s="47">
        <v>2.4690829999999999</v>
      </c>
      <c r="I21" s="47">
        <v>2.4846270000000001</v>
      </c>
      <c r="J21" s="47">
        <v>2.4918010000000002</v>
      </c>
      <c r="K21" s="47">
        <v>2.4948260000000002</v>
      </c>
      <c r="L21" s="47">
        <v>2.5005679999999999</v>
      </c>
      <c r="M21" s="47">
        <v>2.5099770000000001</v>
      </c>
      <c r="N21" s="47">
        <v>2.5213960000000002</v>
      </c>
      <c r="O21" s="47">
        <v>2.5349650000000001</v>
      </c>
      <c r="P21" s="47">
        <v>2.553261</v>
      </c>
      <c r="Q21" s="47">
        <v>2.557693</v>
      </c>
      <c r="R21" s="47">
        <v>2.5674959999999998</v>
      </c>
      <c r="S21" s="47">
        <v>2.576616</v>
      </c>
      <c r="T21" s="47">
        <v>2.5888149999999999</v>
      </c>
      <c r="U21" s="47">
        <v>2.604867</v>
      </c>
      <c r="V21" s="47">
        <v>2.6301209999999999</v>
      </c>
      <c r="W21" s="47">
        <v>2.6482429999999999</v>
      </c>
      <c r="X21" s="47">
        <v>2.6648510000000001</v>
      </c>
      <c r="Y21" s="47">
        <v>2.6717409999999999</v>
      </c>
      <c r="Z21" s="47">
        <v>2.681419</v>
      </c>
      <c r="AA21" s="47">
        <v>2.6979250000000001</v>
      </c>
      <c r="AB21" s="47">
        <v>2.720405</v>
      </c>
      <c r="AC21" s="47">
        <v>2.747052</v>
      </c>
      <c r="AD21" s="47">
        <v>2.763744</v>
      </c>
      <c r="AE21" s="47">
        <v>2.7854899999999998</v>
      </c>
      <c r="AF21" s="48">
        <v>5.0530000000000002E-3</v>
      </c>
      <c r="AG21" s="35"/>
    </row>
    <row r="22" spans="1:33" ht="15" customHeight="1">
      <c r="A22" s="34" t="s">
        <v>185</v>
      </c>
      <c r="B22" s="44" t="s">
        <v>186</v>
      </c>
      <c r="C22" s="45">
        <v>1.0773E-2</v>
      </c>
      <c r="D22" s="45">
        <v>1.0913000000000001E-2</v>
      </c>
      <c r="E22" s="45">
        <v>1.0874999999999999E-2</v>
      </c>
      <c r="F22" s="45">
        <v>1.0836999999999999E-2</v>
      </c>
      <c r="G22" s="45">
        <v>1.0801E-2</v>
      </c>
      <c r="H22" s="45">
        <v>1.0767000000000001E-2</v>
      </c>
      <c r="I22" s="45">
        <v>1.0736000000000001E-2</v>
      </c>
      <c r="J22" s="45">
        <v>1.0707E-2</v>
      </c>
      <c r="K22" s="45">
        <v>1.0682000000000001E-2</v>
      </c>
      <c r="L22" s="45">
        <v>1.0661E-2</v>
      </c>
      <c r="M22" s="45">
        <v>1.0644000000000001E-2</v>
      </c>
      <c r="N22" s="45">
        <v>1.0632000000000001E-2</v>
      </c>
      <c r="O22" s="45">
        <v>1.0624E-2</v>
      </c>
      <c r="P22" s="45">
        <v>1.0621999999999999E-2</v>
      </c>
      <c r="Q22" s="45">
        <v>1.0621999999999999E-2</v>
      </c>
      <c r="R22" s="45">
        <v>1.0621999999999999E-2</v>
      </c>
      <c r="S22" s="45">
        <v>1.0621999999999999E-2</v>
      </c>
      <c r="T22" s="45">
        <v>1.0621999999999999E-2</v>
      </c>
      <c r="U22" s="45">
        <v>1.0621999999999999E-2</v>
      </c>
      <c r="V22" s="45">
        <v>1.0621999999999999E-2</v>
      </c>
      <c r="W22" s="45">
        <v>1.0621999999999999E-2</v>
      </c>
      <c r="X22" s="45">
        <v>1.0621999999999999E-2</v>
      </c>
      <c r="Y22" s="45">
        <v>1.0621999999999999E-2</v>
      </c>
      <c r="Z22" s="45">
        <v>1.0621999999999999E-2</v>
      </c>
      <c r="AA22" s="45">
        <v>1.0621999999999999E-2</v>
      </c>
      <c r="AB22" s="45">
        <v>1.0621999999999999E-2</v>
      </c>
      <c r="AC22" s="45">
        <v>1.0621999999999999E-2</v>
      </c>
      <c r="AD22" s="45">
        <v>1.0621999999999999E-2</v>
      </c>
      <c r="AE22" s="45">
        <v>1.0621999999999999E-2</v>
      </c>
      <c r="AF22" s="46">
        <v>-5.04E-4</v>
      </c>
      <c r="AG22" s="35"/>
    </row>
    <row r="23" spans="1:33" ht="15" customHeight="1">
      <c r="A23" s="34" t="s">
        <v>187</v>
      </c>
      <c r="B23" s="44" t="s">
        <v>188</v>
      </c>
      <c r="C23" s="45">
        <v>0.161768</v>
      </c>
      <c r="D23" s="45">
        <v>0.15997600000000001</v>
      </c>
      <c r="E23" s="45">
        <v>0.16036500000000001</v>
      </c>
      <c r="F23" s="45">
        <v>0.16234000000000001</v>
      </c>
      <c r="G23" s="45">
        <v>0.164713</v>
      </c>
      <c r="H23" s="45">
        <v>0.16667599999999999</v>
      </c>
      <c r="I23" s="45">
        <v>0.16775599999999999</v>
      </c>
      <c r="J23" s="45">
        <v>0.167014</v>
      </c>
      <c r="K23" s="45">
        <v>0.16627400000000001</v>
      </c>
      <c r="L23" s="45">
        <v>0.165657</v>
      </c>
      <c r="M23" s="45">
        <v>0.16491500000000001</v>
      </c>
      <c r="N23" s="45">
        <v>0.16405700000000001</v>
      </c>
      <c r="O23" s="45">
        <v>0.16317799999999999</v>
      </c>
      <c r="P23" s="45">
        <v>0.16239500000000001</v>
      </c>
      <c r="Q23" s="45">
        <v>0.161408</v>
      </c>
      <c r="R23" s="45">
        <v>0.16053000000000001</v>
      </c>
      <c r="S23" s="45">
        <v>0.15972800000000001</v>
      </c>
      <c r="T23" s="45">
        <v>0.15995599999999999</v>
      </c>
      <c r="U23" s="45">
        <v>0.160357</v>
      </c>
      <c r="V23" s="45">
        <v>0.160718</v>
      </c>
      <c r="W23" s="45">
        <v>0.160969</v>
      </c>
      <c r="X23" s="45">
        <v>0.16102900000000001</v>
      </c>
      <c r="Y23" s="45">
        <v>0.16096299999999999</v>
      </c>
      <c r="Z23" s="45">
        <v>0.16125500000000001</v>
      </c>
      <c r="AA23" s="45">
        <v>0.161468</v>
      </c>
      <c r="AB23" s="45">
        <v>0.16167300000000001</v>
      </c>
      <c r="AC23" s="45">
        <v>0.16187099999999999</v>
      </c>
      <c r="AD23" s="45">
        <v>0.162026</v>
      </c>
      <c r="AE23" s="45">
        <v>0.162219</v>
      </c>
      <c r="AF23" s="46">
        <v>9.8999999999999994E-5</v>
      </c>
      <c r="AG23" s="35"/>
    </row>
    <row r="24" spans="1:33" ht="15" customHeight="1">
      <c r="A24" s="34" t="s">
        <v>189</v>
      </c>
      <c r="B24" s="44" t="s">
        <v>190</v>
      </c>
      <c r="C24" s="45">
        <v>1.3282320000000001</v>
      </c>
      <c r="D24" s="45">
        <v>1.4028259999999999</v>
      </c>
      <c r="E24" s="45">
        <v>1.37287</v>
      </c>
      <c r="F24" s="45">
        <v>1.379027</v>
      </c>
      <c r="G24" s="45">
        <v>1.3815900000000001</v>
      </c>
      <c r="H24" s="45">
        <v>1.3878950000000001</v>
      </c>
      <c r="I24" s="45">
        <v>1.3993370000000001</v>
      </c>
      <c r="J24" s="45">
        <v>1.41076</v>
      </c>
      <c r="K24" s="45">
        <v>1.4189320000000001</v>
      </c>
      <c r="L24" s="45">
        <v>1.429157</v>
      </c>
      <c r="M24" s="45">
        <v>1.443031</v>
      </c>
      <c r="N24" s="45">
        <v>1.4565079999999999</v>
      </c>
      <c r="O24" s="45">
        <v>1.4709570000000001</v>
      </c>
      <c r="P24" s="45">
        <v>1.482958</v>
      </c>
      <c r="Q24" s="45">
        <v>1.48898</v>
      </c>
      <c r="R24" s="45">
        <v>1.4987729999999999</v>
      </c>
      <c r="S24" s="45">
        <v>1.5069980000000001</v>
      </c>
      <c r="T24" s="45">
        <v>1.516537</v>
      </c>
      <c r="U24" s="45">
        <v>1.528081</v>
      </c>
      <c r="V24" s="45">
        <v>1.540243</v>
      </c>
      <c r="W24" s="45">
        <v>1.5521320000000001</v>
      </c>
      <c r="X24" s="45">
        <v>1.5620019999999999</v>
      </c>
      <c r="Y24" s="45">
        <v>1.568192</v>
      </c>
      <c r="Z24" s="45">
        <v>1.5709299999999999</v>
      </c>
      <c r="AA24" s="45">
        <v>1.577018</v>
      </c>
      <c r="AB24" s="45">
        <v>1.5876319999999999</v>
      </c>
      <c r="AC24" s="45">
        <v>1.5930029999999999</v>
      </c>
      <c r="AD24" s="45">
        <v>1.600503</v>
      </c>
      <c r="AE24" s="45">
        <v>1.6157809999999999</v>
      </c>
      <c r="AF24" s="46">
        <v>7.0229999999999997E-3</v>
      </c>
      <c r="AG24" s="35"/>
    </row>
    <row r="25" spans="1:33" ht="15" customHeight="1">
      <c r="A25" s="34" t="s">
        <v>191</v>
      </c>
      <c r="B25" s="44" t="s">
        <v>192</v>
      </c>
      <c r="C25" s="45">
        <v>0.918076</v>
      </c>
      <c r="D25" s="45">
        <v>0.98457799999999995</v>
      </c>
      <c r="E25" s="45">
        <v>0.91028900000000001</v>
      </c>
      <c r="F25" s="45">
        <v>0.90657900000000002</v>
      </c>
      <c r="G25" s="45">
        <v>0.90483100000000005</v>
      </c>
      <c r="H25" s="45">
        <v>0.90374500000000002</v>
      </c>
      <c r="I25" s="45">
        <v>0.90679799999999999</v>
      </c>
      <c r="J25" s="45">
        <v>0.90332000000000001</v>
      </c>
      <c r="K25" s="45">
        <v>0.89893800000000001</v>
      </c>
      <c r="L25" s="45">
        <v>0.89509300000000003</v>
      </c>
      <c r="M25" s="45">
        <v>0.89138700000000004</v>
      </c>
      <c r="N25" s="45">
        <v>0.89019999999999999</v>
      </c>
      <c r="O25" s="45">
        <v>0.89020600000000005</v>
      </c>
      <c r="P25" s="45">
        <v>0.89728600000000003</v>
      </c>
      <c r="Q25" s="45">
        <v>0.89668300000000001</v>
      </c>
      <c r="R25" s="45">
        <v>0.89757100000000001</v>
      </c>
      <c r="S25" s="45">
        <v>0.89926799999999996</v>
      </c>
      <c r="T25" s="45">
        <v>0.90170099999999997</v>
      </c>
      <c r="U25" s="45">
        <v>0.90580700000000003</v>
      </c>
      <c r="V25" s="45">
        <v>0.91853799999999997</v>
      </c>
      <c r="W25" s="45">
        <v>0.92452100000000004</v>
      </c>
      <c r="X25" s="45">
        <v>0.93119799999999997</v>
      </c>
      <c r="Y25" s="45">
        <v>0.93196400000000001</v>
      </c>
      <c r="Z25" s="45">
        <v>0.93861300000000003</v>
      </c>
      <c r="AA25" s="45">
        <v>0.94881700000000002</v>
      </c>
      <c r="AB25" s="45">
        <v>0.96047800000000005</v>
      </c>
      <c r="AC25" s="45">
        <v>0.98155700000000001</v>
      </c>
      <c r="AD25" s="45">
        <v>0.99059399999999997</v>
      </c>
      <c r="AE25" s="45">
        <v>0.99686799999999998</v>
      </c>
      <c r="AF25" s="46">
        <v>2.9450000000000001E-3</v>
      </c>
      <c r="AG25" s="35"/>
    </row>
    <row r="26" spans="1:33" ht="15" customHeight="1">
      <c r="A26" s="31"/>
      <c r="B26" s="35"/>
      <c r="C26" s="35"/>
      <c r="D26" s="35"/>
      <c r="E26" s="35"/>
      <c r="F26" s="35"/>
      <c r="G26" s="35"/>
      <c r="H26" s="35"/>
      <c r="I26" s="35"/>
      <c r="J26" s="35"/>
      <c r="K26" s="35"/>
      <c r="L26" s="35"/>
      <c r="M26" s="35"/>
      <c r="N26" s="35"/>
      <c r="O26" s="35"/>
      <c r="P26" s="35"/>
      <c r="Q26" s="35"/>
      <c r="R26" s="35"/>
      <c r="S26" s="35"/>
      <c r="T26" s="35"/>
      <c r="U26" s="35"/>
      <c r="V26" s="35"/>
      <c r="W26" s="35"/>
      <c r="X26" s="35"/>
      <c r="Y26" s="35"/>
      <c r="Z26" s="35"/>
      <c r="AA26" s="35"/>
      <c r="AB26" s="35"/>
      <c r="AC26" s="35"/>
      <c r="AD26" s="35"/>
      <c r="AE26" s="35"/>
      <c r="AF26" s="35"/>
      <c r="AG26" s="35"/>
    </row>
    <row r="27" spans="1:33" ht="15" customHeight="1">
      <c r="A27" s="34" t="s">
        <v>193</v>
      </c>
      <c r="B27" s="43" t="s">
        <v>194</v>
      </c>
      <c r="C27" s="47">
        <v>1.6439569999999999</v>
      </c>
      <c r="D27" s="47">
        <v>1.68746</v>
      </c>
      <c r="E27" s="47">
        <v>1.7501439999999999</v>
      </c>
      <c r="F27" s="47">
        <v>1.713519</v>
      </c>
      <c r="G27" s="47">
        <v>1.7038390000000001</v>
      </c>
      <c r="H27" s="47">
        <v>1.7015279999999999</v>
      </c>
      <c r="I27" s="47">
        <v>1.5876999999999999</v>
      </c>
      <c r="J27" s="47">
        <v>1.5869660000000001</v>
      </c>
      <c r="K27" s="47">
        <v>1.586138</v>
      </c>
      <c r="L27" s="47">
        <v>1.585172</v>
      </c>
      <c r="M27" s="47">
        <v>1.583934</v>
      </c>
      <c r="N27" s="47">
        <v>1.582892</v>
      </c>
      <c r="O27" s="47">
        <v>1.5815950000000001</v>
      </c>
      <c r="P27" s="47">
        <v>1.5800190000000001</v>
      </c>
      <c r="Q27" s="47">
        <v>1.5786439999999999</v>
      </c>
      <c r="R27" s="47">
        <v>1.5772600000000001</v>
      </c>
      <c r="S27" s="47">
        <v>1.5758639999999999</v>
      </c>
      <c r="T27" s="47">
        <v>1.574471</v>
      </c>
      <c r="U27" s="47">
        <v>1.5730500000000001</v>
      </c>
      <c r="V27" s="47">
        <v>1.5713459999999999</v>
      </c>
      <c r="W27" s="47">
        <v>1.569874</v>
      </c>
      <c r="X27" s="47">
        <v>1.568397</v>
      </c>
      <c r="Y27" s="47">
        <v>1.567132</v>
      </c>
      <c r="Z27" s="47">
        <v>1.5656760000000001</v>
      </c>
      <c r="AA27" s="47">
        <v>1.579699</v>
      </c>
      <c r="AB27" s="47">
        <v>1.603261</v>
      </c>
      <c r="AC27" s="47">
        <v>1.648387</v>
      </c>
      <c r="AD27" s="47">
        <v>1.6785369999999999</v>
      </c>
      <c r="AE27" s="47">
        <v>1.6990639999999999</v>
      </c>
      <c r="AF27" s="48">
        <v>1.178E-3</v>
      </c>
      <c r="AG27" s="35"/>
    </row>
    <row r="28" spans="1:33" ht="15" customHeight="1">
      <c r="A28" s="34" t="s">
        <v>195</v>
      </c>
      <c r="B28" s="44" t="s">
        <v>196</v>
      </c>
      <c r="C28" s="45">
        <v>2.2315999999999999E-2</v>
      </c>
      <c r="D28" s="45">
        <v>2.2565000000000002E-2</v>
      </c>
      <c r="E28" s="45">
        <v>2.1181999999999999E-2</v>
      </c>
      <c r="F28" s="45">
        <v>2.1097999999999999E-2</v>
      </c>
      <c r="G28" s="45">
        <v>2.0573000000000001E-2</v>
      </c>
      <c r="H28" s="45">
        <v>2.0001999999999999E-2</v>
      </c>
      <c r="I28" s="45">
        <v>1.9309E-2</v>
      </c>
      <c r="J28" s="45">
        <v>1.8533000000000001E-2</v>
      </c>
      <c r="K28" s="45">
        <v>1.7717E-2</v>
      </c>
      <c r="L28" s="45">
        <v>1.6916E-2</v>
      </c>
      <c r="M28" s="45">
        <v>1.6133000000000002E-2</v>
      </c>
      <c r="N28" s="45">
        <v>1.5434E-2</v>
      </c>
      <c r="O28" s="45">
        <v>1.4803E-2</v>
      </c>
      <c r="P28" s="45">
        <v>1.4241E-2</v>
      </c>
      <c r="Q28" s="45">
        <v>1.3707E-2</v>
      </c>
      <c r="R28" s="45">
        <v>1.3317000000000001E-2</v>
      </c>
      <c r="S28" s="45">
        <v>1.3025999999999999E-2</v>
      </c>
      <c r="T28" s="45">
        <v>1.2829E-2</v>
      </c>
      <c r="U28" s="45">
        <v>1.2723999999999999E-2</v>
      </c>
      <c r="V28" s="45">
        <v>1.2669E-2</v>
      </c>
      <c r="W28" s="45">
        <v>1.2661E-2</v>
      </c>
      <c r="X28" s="45">
        <v>1.2716E-2</v>
      </c>
      <c r="Y28" s="45">
        <v>1.278E-2</v>
      </c>
      <c r="Z28" s="45">
        <v>1.2874999999999999E-2</v>
      </c>
      <c r="AA28" s="45">
        <v>1.2959999999999999E-2</v>
      </c>
      <c r="AB28" s="45">
        <v>1.3117E-2</v>
      </c>
      <c r="AC28" s="45">
        <v>1.3259E-2</v>
      </c>
      <c r="AD28" s="45">
        <v>1.3443E-2</v>
      </c>
      <c r="AE28" s="45">
        <v>1.3617000000000001E-2</v>
      </c>
      <c r="AF28" s="46">
        <v>-1.7486999999999999E-2</v>
      </c>
      <c r="AG28" s="35"/>
    </row>
    <row r="29" spans="1:33" ht="15" customHeight="1">
      <c r="A29" s="34" t="s">
        <v>197</v>
      </c>
      <c r="B29" s="44" t="s">
        <v>198</v>
      </c>
      <c r="C29" s="45">
        <v>1.1250899999999999</v>
      </c>
      <c r="D29" s="45">
        <v>1.1227320000000001</v>
      </c>
      <c r="E29" s="45">
        <v>1.151931</v>
      </c>
      <c r="F29" s="45">
        <v>1.142379</v>
      </c>
      <c r="G29" s="45">
        <v>1.1358649999999999</v>
      </c>
      <c r="H29" s="45">
        <v>1.130649</v>
      </c>
      <c r="I29" s="45">
        <v>1.123475</v>
      </c>
      <c r="J29" s="45">
        <v>1.1144639999999999</v>
      </c>
      <c r="K29" s="45">
        <v>1.1039049999999999</v>
      </c>
      <c r="L29" s="45">
        <v>1.0942369999999999</v>
      </c>
      <c r="M29" s="45">
        <v>1.0849629999999999</v>
      </c>
      <c r="N29" s="45">
        <v>1.0787599999999999</v>
      </c>
      <c r="O29" s="45">
        <v>1.074166</v>
      </c>
      <c r="P29" s="45">
        <v>1.069304</v>
      </c>
      <c r="Q29" s="45">
        <v>1.0632410000000001</v>
      </c>
      <c r="R29" s="45">
        <v>1.058996</v>
      </c>
      <c r="S29" s="45">
        <v>1.055871</v>
      </c>
      <c r="T29" s="45">
        <v>1.053339</v>
      </c>
      <c r="U29" s="45">
        <v>1.052924</v>
      </c>
      <c r="V29" s="45">
        <v>1.0528120000000001</v>
      </c>
      <c r="W29" s="45">
        <v>1.0543610000000001</v>
      </c>
      <c r="X29" s="45">
        <v>1.0568690000000001</v>
      </c>
      <c r="Y29" s="45">
        <v>1.061329</v>
      </c>
      <c r="Z29" s="45">
        <v>1.0672790000000001</v>
      </c>
      <c r="AA29" s="45">
        <v>1.0752429999999999</v>
      </c>
      <c r="AB29" s="45">
        <v>1.0849629999999999</v>
      </c>
      <c r="AC29" s="45">
        <v>1.0952660000000001</v>
      </c>
      <c r="AD29" s="45">
        <v>1.1068389999999999</v>
      </c>
      <c r="AE29" s="45">
        <v>1.1205430000000001</v>
      </c>
      <c r="AF29" s="46">
        <v>-1.45E-4</v>
      </c>
      <c r="AG29" s="35"/>
    </row>
    <row r="30" spans="1:33" ht="15" customHeight="1">
      <c r="A30" s="34" t="s">
        <v>199</v>
      </c>
      <c r="B30" s="44" t="s">
        <v>200</v>
      </c>
      <c r="C30" s="45">
        <v>0.20156299999999999</v>
      </c>
      <c r="D30" s="45">
        <v>0.18984000000000001</v>
      </c>
      <c r="E30" s="45">
        <v>0.21911900000000001</v>
      </c>
      <c r="F30" s="45">
        <v>0.20335</v>
      </c>
      <c r="G30" s="45">
        <v>0.20000399999999999</v>
      </c>
      <c r="H30" s="45">
        <v>0.20306099999999999</v>
      </c>
      <c r="I30" s="45">
        <v>0.154942</v>
      </c>
      <c r="J30" s="45">
        <v>0.16417999999999999</v>
      </c>
      <c r="K30" s="45">
        <v>0.17285600000000001</v>
      </c>
      <c r="L30" s="45">
        <v>0.177873</v>
      </c>
      <c r="M30" s="45">
        <v>0.17663200000000001</v>
      </c>
      <c r="N30" s="45">
        <v>0.17979600000000001</v>
      </c>
      <c r="O30" s="45">
        <v>0.17705699999999999</v>
      </c>
      <c r="P30" s="45">
        <v>0.173708</v>
      </c>
      <c r="Q30" s="45">
        <v>0.17022999999999999</v>
      </c>
      <c r="R30" s="45">
        <v>0.16662299999999999</v>
      </c>
      <c r="S30" s="45">
        <v>0.162883</v>
      </c>
      <c r="T30" s="45">
        <v>0.15951899999999999</v>
      </c>
      <c r="U30" s="45">
        <v>0.15550600000000001</v>
      </c>
      <c r="V30" s="45">
        <v>0.15135299999999999</v>
      </c>
      <c r="W30" s="45">
        <v>0.14705599999999999</v>
      </c>
      <c r="X30" s="45">
        <v>0.14261399999999999</v>
      </c>
      <c r="Y30" s="45">
        <v>0.138021</v>
      </c>
      <c r="Z30" s="45">
        <v>0.13327700000000001</v>
      </c>
      <c r="AA30" s="45">
        <v>0.12837699999999999</v>
      </c>
      <c r="AB30" s="45">
        <v>0.123319</v>
      </c>
      <c r="AC30" s="45">
        <v>0.118099</v>
      </c>
      <c r="AD30" s="45">
        <v>0.112828</v>
      </c>
      <c r="AE30" s="45">
        <v>0.107556</v>
      </c>
      <c r="AF30" s="46">
        <v>-2.2182E-2</v>
      </c>
      <c r="AG30" s="35"/>
    </row>
    <row r="31" spans="1:33">
      <c r="A31" s="34" t="s">
        <v>201</v>
      </c>
      <c r="B31" s="44" t="s">
        <v>202</v>
      </c>
      <c r="C31" s="45">
        <v>0</v>
      </c>
      <c r="D31" s="45">
        <v>0</v>
      </c>
      <c r="E31" s="45">
        <v>0</v>
      </c>
      <c r="F31" s="45">
        <v>0</v>
      </c>
      <c r="G31" s="45">
        <v>0</v>
      </c>
      <c r="H31" s="45">
        <v>0</v>
      </c>
      <c r="I31" s="45">
        <v>0</v>
      </c>
      <c r="J31" s="45">
        <v>0</v>
      </c>
      <c r="K31" s="45">
        <v>0</v>
      </c>
      <c r="L31" s="45">
        <v>0</v>
      </c>
      <c r="M31" s="45">
        <v>0</v>
      </c>
      <c r="N31" s="45">
        <v>0</v>
      </c>
      <c r="O31" s="45">
        <v>0</v>
      </c>
      <c r="P31" s="45">
        <v>0</v>
      </c>
      <c r="Q31" s="45">
        <v>0</v>
      </c>
      <c r="R31" s="45">
        <v>0</v>
      </c>
      <c r="S31" s="45">
        <v>0</v>
      </c>
      <c r="T31" s="45">
        <v>0</v>
      </c>
      <c r="U31" s="45">
        <v>0</v>
      </c>
      <c r="V31" s="45">
        <v>0</v>
      </c>
      <c r="W31" s="45">
        <v>0</v>
      </c>
      <c r="X31" s="45">
        <v>0</v>
      </c>
      <c r="Y31" s="45">
        <v>0</v>
      </c>
      <c r="Z31" s="45">
        <v>0</v>
      </c>
      <c r="AA31" s="45">
        <v>0</v>
      </c>
      <c r="AB31" s="45">
        <v>0</v>
      </c>
      <c r="AC31" s="45">
        <v>0</v>
      </c>
      <c r="AD31" s="45">
        <v>0</v>
      </c>
      <c r="AE31" s="45">
        <v>0</v>
      </c>
      <c r="AF31" s="46" t="s">
        <v>203</v>
      </c>
      <c r="AG31" s="35"/>
    </row>
    <row r="32" spans="1:33">
      <c r="A32" s="34" t="s">
        <v>204</v>
      </c>
      <c r="B32" s="44" t="s">
        <v>205</v>
      </c>
      <c r="C32" s="45">
        <v>1.026E-3</v>
      </c>
      <c r="D32" s="45">
        <v>1.1540000000000001E-3</v>
      </c>
      <c r="E32" s="45">
        <v>1.1590000000000001E-3</v>
      </c>
      <c r="F32" s="45">
        <v>1.1590000000000001E-3</v>
      </c>
      <c r="G32" s="45">
        <v>1.2229999999999999E-3</v>
      </c>
      <c r="H32" s="45">
        <v>1.1590000000000001E-3</v>
      </c>
      <c r="I32" s="45">
        <v>1.2229999999999999E-3</v>
      </c>
      <c r="J32" s="45">
        <v>2.2499999999999998E-3</v>
      </c>
      <c r="K32" s="45">
        <v>1.67E-3</v>
      </c>
      <c r="L32" s="45">
        <v>1.853E-3</v>
      </c>
      <c r="M32" s="45">
        <v>1.884E-3</v>
      </c>
      <c r="N32" s="45">
        <v>2.2499999999999998E-3</v>
      </c>
      <c r="O32" s="45">
        <v>2.2499999999999998E-3</v>
      </c>
      <c r="P32" s="45">
        <v>2.2499999999999998E-3</v>
      </c>
      <c r="Q32" s="45">
        <v>2.2499999999999998E-3</v>
      </c>
      <c r="R32" s="45">
        <v>2.2499999999999998E-3</v>
      </c>
      <c r="S32" s="45">
        <v>2.2499999999999998E-3</v>
      </c>
      <c r="T32" s="45">
        <v>2.2499999999999998E-3</v>
      </c>
      <c r="U32" s="45">
        <v>2.2499999999999998E-3</v>
      </c>
      <c r="V32" s="45">
        <v>2.6819999999999999E-3</v>
      </c>
      <c r="W32" s="45">
        <v>2.2499999999999998E-3</v>
      </c>
      <c r="X32" s="45">
        <v>2.2499999999999998E-3</v>
      </c>
      <c r="Y32" s="45">
        <v>1.9919999999999998E-3</v>
      </c>
      <c r="Z32" s="45">
        <v>1.2229999999999999E-3</v>
      </c>
      <c r="AA32" s="45">
        <v>2.1849999999999999E-3</v>
      </c>
      <c r="AB32" s="45">
        <v>2.1849999999999999E-3</v>
      </c>
      <c r="AC32" s="45">
        <v>2.1849999999999999E-3</v>
      </c>
      <c r="AD32" s="45">
        <v>2.225E-3</v>
      </c>
      <c r="AE32" s="45">
        <v>1.882E-3</v>
      </c>
      <c r="AF32" s="46">
        <v>2.1892000000000002E-2</v>
      </c>
      <c r="AG32" s="35"/>
    </row>
    <row r="33" spans="1:33">
      <c r="A33" s="34" t="s">
        <v>206</v>
      </c>
      <c r="B33" s="44" t="s">
        <v>207</v>
      </c>
      <c r="C33" s="45">
        <v>0.293962</v>
      </c>
      <c r="D33" s="45">
        <v>0.35116999999999998</v>
      </c>
      <c r="E33" s="45">
        <v>0.35675299999999999</v>
      </c>
      <c r="F33" s="45">
        <v>0.34553299999999998</v>
      </c>
      <c r="G33" s="45">
        <v>0.34617300000000001</v>
      </c>
      <c r="H33" s="45">
        <v>0.34665600000000002</v>
      </c>
      <c r="I33" s="45">
        <v>0.28875099999999998</v>
      </c>
      <c r="J33" s="45">
        <v>0.28753899999999999</v>
      </c>
      <c r="K33" s="45">
        <v>0.28999000000000003</v>
      </c>
      <c r="L33" s="45">
        <v>0.29429300000000003</v>
      </c>
      <c r="M33" s="45">
        <v>0.30432100000000001</v>
      </c>
      <c r="N33" s="45">
        <v>0.30665300000000001</v>
      </c>
      <c r="O33" s="45">
        <v>0.31331799999999999</v>
      </c>
      <c r="P33" s="45">
        <v>0.32051800000000003</v>
      </c>
      <c r="Q33" s="45">
        <v>0.32921600000000001</v>
      </c>
      <c r="R33" s="45">
        <v>0.33607500000000001</v>
      </c>
      <c r="S33" s="45">
        <v>0.34183400000000003</v>
      </c>
      <c r="T33" s="45">
        <v>0.34653499999999998</v>
      </c>
      <c r="U33" s="45">
        <v>0.34964499999999998</v>
      </c>
      <c r="V33" s="45">
        <v>0.351831</v>
      </c>
      <c r="W33" s="45">
        <v>0.35354600000000003</v>
      </c>
      <c r="X33" s="45">
        <v>0.35394799999999998</v>
      </c>
      <c r="Y33" s="45">
        <v>0.35300900000000002</v>
      </c>
      <c r="Z33" s="45">
        <v>0.351022</v>
      </c>
      <c r="AA33" s="45">
        <v>0.360933</v>
      </c>
      <c r="AB33" s="45">
        <v>0.37967699999999999</v>
      </c>
      <c r="AC33" s="45">
        <v>0.41957800000000001</v>
      </c>
      <c r="AD33" s="45">
        <v>0.44320199999999998</v>
      </c>
      <c r="AE33" s="45">
        <v>0.45546599999999998</v>
      </c>
      <c r="AF33" s="46">
        <v>1.5761000000000001E-2</v>
      </c>
      <c r="AG33" s="35"/>
    </row>
    <row r="34" spans="1:33">
      <c r="A34" s="31"/>
      <c r="B34" s="35"/>
      <c r="C34" s="35"/>
      <c r="D34" s="35"/>
      <c r="E34" s="35"/>
      <c r="F34" s="35"/>
      <c r="G34" s="35"/>
      <c r="H34" s="35"/>
      <c r="I34" s="35"/>
      <c r="J34" s="35"/>
      <c r="K34" s="35"/>
      <c r="L34" s="35"/>
      <c r="M34" s="35"/>
      <c r="N34" s="35"/>
      <c r="O34" s="35"/>
      <c r="P34" s="35"/>
      <c r="Q34" s="35"/>
      <c r="R34" s="35"/>
      <c r="S34" s="35"/>
      <c r="T34" s="35"/>
      <c r="U34" s="35"/>
      <c r="V34" s="35"/>
      <c r="W34" s="35"/>
      <c r="X34" s="35"/>
      <c r="Y34" s="35"/>
      <c r="Z34" s="35"/>
      <c r="AA34" s="35"/>
      <c r="AB34" s="35"/>
      <c r="AC34" s="35"/>
      <c r="AD34" s="35"/>
      <c r="AE34" s="35"/>
      <c r="AF34" s="35"/>
      <c r="AG34" s="35"/>
    </row>
    <row r="35" spans="1:33">
      <c r="A35" s="34" t="s">
        <v>208</v>
      </c>
      <c r="B35" s="43" t="s">
        <v>209</v>
      </c>
      <c r="C35" s="47">
        <v>8.0840899999999998</v>
      </c>
      <c r="D35" s="47">
        <v>8.6055949999999992</v>
      </c>
      <c r="E35" s="47">
        <v>9.2536000000000005</v>
      </c>
      <c r="F35" s="47">
        <v>10.769812</v>
      </c>
      <c r="G35" s="47">
        <v>12.489632</v>
      </c>
      <c r="H35" s="47">
        <v>14.207677</v>
      </c>
      <c r="I35" s="47">
        <v>15.657</v>
      </c>
      <c r="J35" s="47">
        <v>16.679596</v>
      </c>
      <c r="K35" s="47">
        <v>17.569942000000001</v>
      </c>
      <c r="L35" s="47">
        <v>18.211523</v>
      </c>
      <c r="M35" s="47">
        <v>18.849072</v>
      </c>
      <c r="N35" s="47">
        <v>19.601134999999999</v>
      </c>
      <c r="O35" s="47">
        <v>20.207751999999999</v>
      </c>
      <c r="P35" s="47">
        <v>20.684017000000001</v>
      </c>
      <c r="Q35" s="47">
        <v>21.174015000000001</v>
      </c>
      <c r="R35" s="47">
        <v>21.527521</v>
      </c>
      <c r="S35" s="47">
        <v>21.819600999999999</v>
      </c>
      <c r="T35" s="47">
        <v>21.990220999999998</v>
      </c>
      <c r="U35" s="47">
        <v>22.281153</v>
      </c>
      <c r="V35" s="47">
        <v>22.423573999999999</v>
      </c>
      <c r="W35" s="47">
        <v>22.664766</v>
      </c>
      <c r="X35" s="47">
        <v>22.940054</v>
      </c>
      <c r="Y35" s="47">
        <v>23.344435000000001</v>
      </c>
      <c r="Z35" s="47">
        <v>23.717884000000002</v>
      </c>
      <c r="AA35" s="47">
        <v>24.147013000000001</v>
      </c>
      <c r="AB35" s="47">
        <v>24.507113</v>
      </c>
      <c r="AC35" s="47">
        <v>24.872579999999999</v>
      </c>
      <c r="AD35" s="47">
        <v>25.165534999999998</v>
      </c>
      <c r="AE35" s="47">
        <v>25.597913999999999</v>
      </c>
      <c r="AF35" s="48">
        <v>4.2023999999999999E-2</v>
      </c>
      <c r="AG35" s="35"/>
    </row>
    <row r="36" spans="1:33">
      <c r="A36" s="34" t="s">
        <v>210</v>
      </c>
      <c r="B36" s="44" t="s">
        <v>186</v>
      </c>
      <c r="C36" s="45">
        <v>2.4426809999999999</v>
      </c>
      <c r="D36" s="45">
        <v>2.4475500000000001</v>
      </c>
      <c r="E36" s="45">
        <v>2.491689</v>
      </c>
      <c r="F36" s="45">
        <v>2.5778460000000001</v>
      </c>
      <c r="G36" s="45">
        <v>2.5689220000000001</v>
      </c>
      <c r="H36" s="45">
        <v>2.5460590000000001</v>
      </c>
      <c r="I36" s="45">
        <v>2.5046460000000002</v>
      </c>
      <c r="J36" s="45">
        <v>2.4754890000000001</v>
      </c>
      <c r="K36" s="45">
        <v>2.4467430000000001</v>
      </c>
      <c r="L36" s="45">
        <v>2.425799</v>
      </c>
      <c r="M36" s="45">
        <v>2.409033</v>
      </c>
      <c r="N36" s="45">
        <v>2.4117489999999999</v>
      </c>
      <c r="O36" s="45">
        <v>2.4157820000000001</v>
      </c>
      <c r="P36" s="45">
        <v>2.4193760000000002</v>
      </c>
      <c r="Q36" s="45">
        <v>2.424693</v>
      </c>
      <c r="R36" s="45">
        <v>2.41289</v>
      </c>
      <c r="S36" s="45">
        <v>2.3995289999999998</v>
      </c>
      <c r="T36" s="45">
        <v>2.3755860000000002</v>
      </c>
      <c r="U36" s="45">
        <v>2.3708</v>
      </c>
      <c r="V36" s="45">
        <v>2.3555199999999998</v>
      </c>
      <c r="W36" s="45">
        <v>2.3587880000000001</v>
      </c>
      <c r="X36" s="45">
        <v>2.3520150000000002</v>
      </c>
      <c r="Y36" s="45">
        <v>2.3469769999999999</v>
      </c>
      <c r="Z36" s="45">
        <v>2.343842</v>
      </c>
      <c r="AA36" s="45">
        <v>2.3326199999999999</v>
      </c>
      <c r="AB36" s="45">
        <v>2.325793</v>
      </c>
      <c r="AC36" s="45">
        <v>2.3234539999999999</v>
      </c>
      <c r="AD36" s="45">
        <v>2.3103210000000001</v>
      </c>
      <c r="AE36" s="45">
        <v>2.298403</v>
      </c>
      <c r="AF36" s="46">
        <v>-2.1719999999999999E-3</v>
      </c>
      <c r="AG36" s="35"/>
    </row>
    <row r="37" spans="1:33">
      <c r="A37" s="34" t="s">
        <v>211</v>
      </c>
      <c r="B37" s="44" t="s">
        <v>212</v>
      </c>
      <c r="C37" s="45">
        <v>0.138575</v>
      </c>
      <c r="D37" s="45">
        <v>0.13413900000000001</v>
      </c>
      <c r="E37" s="45">
        <v>0.13885600000000001</v>
      </c>
      <c r="F37" s="45">
        <v>0.14611099999999999</v>
      </c>
      <c r="G37" s="45">
        <v>0.15206600000000001</v>
      </c>
      <c r="H37" s="45">
        <v>0.156023</v>
      </c>
      <c r="I37" s="45">
        <v>0.159828</v>
      </c>
      <c r="J37" s="45">
        <v>0.16723299999999999</v>
      </c>
      <c r="K37" s="45">
        <v>0.174095</v>
      </c>
      <c r="L37" s="45">
        <v>0.17849300000000001</v>
      </c>
      <c r="M37" s="45">
        <v>0.184554</v>
      </c>
      <c r="N37" s="45">
        <v>0.187499</v>
      </c>
      <c r="O37" s="45">
        <v>0.19506599999999999</v>
      </c>
      <c r="P37" s="45">
        <v>0.201046</v>
      </c>
      <c r="Q37" s="45">
        <v>0.21044099999999999</v>
      </c>
      <c r="R37" s="45">
        <v>0.21734200000000001</v>
      </c>
      <c r="S37" s="45">
        <v>0.223436</v>
      </c>
      <c r="T37" s="45">
        <v>0.22589999999999999</v>
      </c>
      <c r="U37" s="45">
        <v>0.22914699999999999</v>
      </c>
      <c r="V37" s="45">
        <v>0.23424600000000001</v>
      </c>
      <c r="W37" s="45">
        <v>0.240622</v>
      </c>
      <c r="X37" s="45">
        <v>0.24477199999999999</v>
      </c>
      <c r="Y37" s="45">
        <v>0.249637</v>
      </c>
      <c r="Z37" s="45">
        <v>0.25794</v>
      </c>
      <c r="AA37" s="45">
        <v>0.26946700000000001</v>
      </c>
      <c r="AB37" s="45">
        <v>0.28115000000000001</v>
      </c>
      <c r="AC37" s="45">
        <v>0.28858800000000001</v>
      </c>
      <c r="AD37" s="45">
        <v>0.29608600000000002</v>
      </c>
      <c r="AE37" s="45">
        <v>0.302234</v>
      </c>
      <c r="AF37" s="46">
        <v>2.8240999999999999E-2</v>
      </c>
      <c r="AG37" s="35"/>
    </row>
    <row r="38" spans="1:33">
      <c r="A38" s="34" t="s">
        <v>213</v>
      </c>
      <c r="B38" s="44" t="s">
        <v>214</v>
      </c>
      <c r="C38" s="45">
        <v>0.22191</v>
      </c>
      <c r="D38" s="45">
        <v>0.22822400000000001</v>
      </c>
      <c r="E38" s="45">
        <v>0.23389199999999999</v>
      </c>
      <c r="F38" s="45">
        <v>0.23910899999999999</v>
      </c>
      <c r="G38" s="45">
        <v>0.244032</v>
      </c>
      <c r="H38" s="45">
        <v>0.25166899999999998</v>
      </c>
      <c r="I38" s="45">
        <v>0.25515500000000002</v>
      </c>
      <c r="J38" s="45">
        <v>0.26226699999999997</v>
      </c>
      <c r="K38" s="45">
        <v>0.27031699999999997</v>
      </c>
      <c r="L38" s="45">
        <v>0.27827200000000002</v>
      </c>
      <c r="M38" s="45">
        <v>0.28557900000000003</v>
      </c>
      <c r="N38" s="45">
        <v>0.29682999999999998</v>
      </c>
      <c r="O38" s="45">
        <v>0.30375600000000003</v>
      </c>
      <c r="P38" s="45">
        <v>0.31219200000000003</v>
      </c>
      <c r="Q38" s="45">
        <v>0.32144499999999998</v>
      </c>
      <c r="R38" s="45">
        <v>0.330951</v>
      </c>
      <c r="S38" s="45">
        <v>0.34223100000000001</v>
      </c>
      <c r="T38" s="45">
        <v>0.35276000000000002</v>
      </c>
      <c r="U38" s="45">
        <v>0.36073</v>
      </c>
      <c r="V38" s="45">
        <v>0.36913899999999999</v>
      </c>
      <c r="W38" s="45">
        <v>0.37791400000000003</v>
      </c>
      <c r="X38" s="45">
        <v>0.38653799999999999</v>
      </c>
      <c r="Y38" s="45">
        <v>0.39555499999999999</v>
      </c>
      <c r="Z38" s="45">
        <v>0.40465499999999999</v>
      </c>
      <c r="AA38" s="45">
        <v>0.41011900000000001</v>
      </c>
      <c r="AB38" s="45">
        <v>0.41692600000000002</v>
      </c>
      <c r="AC38" s="45">
        <v>0.42285099999999998</v>
      </c>
      <c r="AD38" s="45">
        <v>0.42875000000000002</v>
      </c>
      <c r="AE38" s="45">
        <v>0.43554999999999999</v>
      </c>
      <c r="AF38" s="46">
        <v>2.4375999999999998E-2</v>
      </c>
      <c r="AG38" s="35"/>
    </row>
    <row r="39" spans="1:33">
      <c r="A39" s="34" t="s">
        <v>215</v>
      </c>
      <c r="B39" s="44" t="s">
        <v>190</v>
      </c>
      <c r="C39" s="45">
        <v>0.18033099999999999</v>
      </c>
      <c r="D39" s="45">
        <v>0.19247300000000001</v>
      </c>
      <c r="E39" s="45">
        <v>0.180116</v>
      </c>
      <c r="F39" s="45">
        <v>0.181063</v>
      </c>
      <c r="G39" s="45">
        <v>0.17774899999999999</v>
      </c>
      <c r="H39" s="45">
        <v>0.17513100000000001</v>
      </c>
      <c r="I39" s="45">
        <v>0.16562299999999999</v>
      </c>
      <c r="J39" s="45">
        <v>0.16134599999999999</v>
      </c>
      <c r="K39" s="45">
        <v>0.161241</v>
      </c>
      <c r="L39" s="45">
        <v>0.162494</v>
      </c>
      <c r="M39" s="45">
        <v>0.162658</v>
      </c>
      <c r="N39" s="45">
        <v>0.16386800000000001</v>
      </c>
      <c r="O39" s="45">
        <v>0.163854</v>
      </c>
      <c r="P39" s="45">
        <v>0.16414899999999999</v>
      </c>
      <c r="Q39" s="45">
        <v>0.16386200000000001</v>
      </c>
      <c r="R39" s="45">
        <v>0.16453699999999999</v>
      </c>
      <c r="S39" s="45">
        <v>0.16523299999999999</v>
      </c>
      <c r="T39" s="45">
        <v>0.16527900000000001</v>
      </c>
      <c r="U39" s="45">
        <v>0.16547999999999999</v>
      </c>
      <c r="V39" s="45">
        <v>0.165659</v>
      </c>
      <c r="W39" s="45">
        <v>0.16476299999999999</v>
      </c>
      <c r="X39" s="45">
        <v>0.16476499999999999</v>
      </c>
      <c r="Y39" s="45">
        <v>0.164578</v>
      </c>
      <c r="Z39" s="45">
        <v>0.16470000000000001</v>
      </c>
      <c r="AA39" s="45">
        <v>0.170629</v>
      </c>
      <c r="AB39" s="45">
        <v>0.17097200000000001</v>
      </c>
      <c r="AC39" s="45">
        <v>0.17146400000000001</v>
      </c>
      <c r="AD39" s="45">
        <v>0.176981</v>
      </c>
      <c r="AE39" s="45">
        <v>0.17775199999999999</v>
      </c>
      <c r="AF39" s="46">
        <v>-5.1400000000000003E-4</v>
      </c>
      <c r="AG39" s="35"/>
    </row>
    <row r="40" spans="1:33">
      <c r="A40" s="34" t="s">
        <v>216</v>
      </c>
      <c r="B40" s="44" t="s">
        <v>217</v>
      </c>
      <c r="C40" s="45">
        <v>0.146924</v>
      </c>
      <c r="D40" s="45">
        <v>0.157217</v>
      </c>
      <c r="E40" s="45">
        <v>0.148088</v>
      </c>
      <c r="F40" s="45">
        <v>0.14910599999999999</v>
      </c>
      <c r="G40" s="45">
        <v>0.14580699999999999</v>
      </c>
      <c r="H40" s="45">
        <v>0.14333799999999999</v>
      </c>
      <c r="I40" s="45">
        <v>0.13547999999999999</v>
      </c>
      <c r="J40" s="45">
        <v>0.131939</v>
      </c>
      <c r="K40" s="45">
        <v>0.13194900000000001</v>
      </c>
      <c r="L40" s="45">
        <v>0.133298</v>
      </c>
      <c r="M40" s="45">
        <v>0.133607</v>
      </c>
      <c r="N40" s="45">
        <v>0.13406899999999999</v>
      </c>
      <c r="O40" s="45">
        <v>0.13417799999999999</v>
      </c>
      <c r="P40" s="45">
        <v>0.13406799999999999</v>
      </c>
      <c r="Q40" s="45">
        <v>0.13386600000000001</v>
      </c>
      <c r="R40" s="45">
        <v>0.13447400000000001</v>
      </c>
      <c r="S40" s="45">
        <v>0.13528299999999999</v>
      </c>
      <c r="T40" s="45">
        <v>0.135296</v>
      </c>
      <c r="U40" s="45">
        <v>0.13552</v>
      </c>
      <c r="V40" s="45">
        <v>0.13550300000000001</v>
      </c>
      <c r="W40" s="45">
        <v>0.134629</v>
      </c>
      <c r="X40" s="45">
        <v>0.1346</v>
      </c>
      <c r="Y40" s="45">
        <v>0.134432</v>
      </c>
      <c r="Z40" s="45">
        <v>0.13452700000000001</v>
      </c>
      <c r="AA40" s="45">
        <v>0.140319</v>
      </c>
      <c r="AB40" s="45">
        <v>0.14061399999999999</v>
      </c>
      <c r="AC40" s="45">
        <v>0.14099</v>
      </c>
      <c r="AD40" s="45">
        <v>0.146394</v>
      </c>
      <c r="AE40" s="45">
        <v>0.14705699999999999</v>
      </c>
      <c r="AF40" s="46">
        <v>3.1999999999999999E-5</v>
      </c>
      <c r="AG40" s="35"/>
    </row>
    <row r="41" spans="1:33">
      <c r="A41" s="34" t="s">
        <v>218</v>
      </c>
      <c r="B41" s="44" t="s">
        <v>219</v>
      </c>
      <c r="C41" s="45">
        <v>3.3406999999999999E-2</v>
      </c>
      <c r="D41" s="45">
        <v>3.5255000000000002E-2</v>
      </c>
      <c r="E41" s="45">
        <v>3.2028000000000001E-2</v>
      </c>
      <c r="F41" s="45">
        <v>3.1956999999999999E-2</v>
      </c>
      <c r="G41" s="45">
        <v>3.1941999999999998E-2</v>
      </c>
      <c r="H41" s="45">
        <v>3.1793000000000002E-2</v>
      </c>
      <c r="I41" s="45">
        <v>3.0144000000000001E-2</v>
      </c>
      <c r="J41" s="45">
        <v>2.9406999999999999E-2</v>
      </c>
      <c r="K41" s="45">
        <v>2.9291999999999999E-2</v>
      </c>
      <c r="L41" s="45">
        <v>2.9196E-2</v>
      </c>
      <c r="M41" s="45">
        <v>2.9051E-2</v>
      </c>
      <c r="N41" s="45">
        <v>2.9798999999999999E-2</v>
      </c>
      <c r="O41" s="45">
        <v>2.9675E-2</v>
      </c>
      <c r="P41" s="45">
        <v>3.0081E-2</v>
      </c>
      <c r="Q41" s="45">
        <v>2.9995000000000001E-2</v>
      </c>
      <c r="R41" s="45">
        <v>3.0062999999999999E-2</v>
      </c>
      <c r="S41" s="45">
        <v>2.9950999999999998E-2</v>
      </c>
      <c r="T41" s="45">
        <v>2.9982999999999999E-2</v>
      </c>
      <c r="U41" s="45">
        <v>2.9960000000000001E-2</v>
      </c>
      <c r="V41" s="45">
        <v>3.0157E-2</v>
      </c>
      <c r="W41" s="45">
        <v>3.0133E-2</v>
      </c>
      <c r="X41" s="45">
        <v>3.0165000000000001E-2</v>
      </c>
      <c r="Y41" s="45">
        <v>3.0145999999999999E-2</v>
      </c>
      <c r="Z41" s="45">
        <v>3.0172999999999998E-2</v>
      </c>
      <c r="AA41" s="45">
        <v>3.031E-2</v>
      </c>
      <c r="AB41" s="45">
        <v>3.0358E-2</v>
      </c>
      <c r="AC41" s="45">
        <v>3.0474000000000001E-2</v>
      </c>
      <c r="AD41" s="45">
        <v>3.0587E-2</v>
      </c>
      <c r="AE41" s="45">
        <v>3.0695E-2</v>
      </c>
      <c r="AF41" s="46">
        <v>-3.019E-3</v>
      </c>
      <c r="AG41" s="35"/>
    </row>
    <row r="42" spans="1:33">
      <c r="A42" s="34" t="s">
        <v>220</v>
      </c>
      <c r="B42" s="44" t="s">
        <v>221</v>
      </c>
      <c r="C42" s="45">
        <v>2.6096999999999999E-2</v>
      </c>
      <c r="D42" s="45">
        <v>2.6141999999999999E-2</v>
      </c>
      <c r="E42" s="45">
        <v>2.5590000000000002E-2</v>
      </c>
      <c r="F42" s="45">
        <v>2.5611999999999999E-2</v>
      </c>
      <c r="G42" s="45">
        <v>2.5363E-2</v>
      </c>
      <c r="H42" s="45">
        <v>2.5058E-2</v>
      </c>
      <c r="I42" s="45">
        <v>2.4745E-2</v>
      </c>
      <c r="J42" s="45">
        <v>2.4274E-2</v>
      </c>
      <c r="K42" s="45">
        <v>2.4035999999999998E-2</v>
      </c>
      <c r="L42" s="45">
        <v>2.384E-2</v>
      </c>
      <c r="M42" s="45">
        <v>2.2006999999999999E-2</v>
      </c>
      <c r="N42" s="45">
        <v>2.1625999999999999E-2</v>
      </c>
      <c r="O42" s="45">
        <v>2.0728E-2</v>
      </c>
      <c r="P42" s="45">
        <v>2.0643999999999999E-2</v>
      </c>
      <c r="Q42" s="45">
        <v>1.9789000000000001E-2</v>
      </c>
      <c r="R42" s="45">
        <v>1.9886000000000001E-2</v>
      </c>
      <c r="S42" s="45">
        <v>2.0183E-2</v>
      </c>
      <c r="T42" s="45">
        <v>2.0372999999999999E-2</v>
      </c>
      <c r="U42" s="45">
        <v>1.9944E-2</v>
      </c>
      <c r="V42" s="45">
        <v>1.9694E-2</v>
      </c>
      <c r="W42" s="45">
        <v>1.9015000000000001E-2</v>
      </c>
      <c r="X42" s="45">
        <v>1.8082000000000001E-2</v>
      </c>
      <c r="Y42" s="45">
        <v>1.7749000000000001E-2</v>
      </c>
      <c r="Z42" s="45">
        <v>1.7330000000000002E-2</v>
      </c>
      <c r="AA42" s="45">
        <v>1.7052000000000001E-2</v>
      </c>
      <c r="AB42" s="45">
        <v>1.6774000000000001E-2</v>
      </c>
      <c r="AC42" s="45">
        <v>1.6618999999999998E-2</v>
      </c>
      <c r="AD42" s="45">
        <v>1.6455000000000001E-2</v>
      </c>
      <c r="AE42" s="45">
        <v>1.6648E-2</v>
      </c>
      <c r="AF42" s="46">
        <v>-1.5925999999999999E-2</v>
      </c>
      <c r="AG42" s="35"/>
    </row>
    <row r="43" spans="1:33">
      <c r="A43" s="34" t="s">
        <v>222</v>
      </c>
      <c r="B43" s="44" t="s">
        <v>408</v>
      </c>
      <c r="C43" s="45">
        <v>1.1771119999999999</v>
      </c>
      <c r="D43" s="45">
        <v>1.5201910000000001</v>
      </c>
      <c r="E43" s="45">
        <v>2.1368870000000002</v>
      </c>
      <c r="F43" s="45">
        <v>3.17957</v>
      </c>
      <c r="G43" s="45">
        <v>4.3258409999999996</v>
      </c>
      <c r="H43" s="45">
        <v>5.3526850000000001</v>
      </c>
      <c r="I43" s="45">
        <v>5.9587370000000002</v>
      </c>
      <c r="J43" s="45">
        <v>6.2759790000000004</v>
      </c>
      <c r="K43" s="45">
        <v>6.4780049999999996</v>
      </c>
      <c r="L43" s="45">
        <v>6.8251410000000003</v>
      </c>
      <c r="M43" s="45">
        <v>7.3162960000000004</v>
      </c>
      <c r="N43" s="45">
        <v>7.6675360000000001</v>
      </c>
      <c r="O43" s="45">
        <v>7.9986519999999999</v>
      </c>
      <c r="P43" s="45">
        <v>8.1919170000000001</v>
      </c>
      <c r="Q43" s="45">
        <v>8.5402360000000002</v>
      </c>
      <c r="R43" s="45">
        <v>8.8807010000000002</v>
      </c>
      <c r="S43" s="45">
        <v>9.2025190000000006</v>
      </c>
      <c r="T43" s="45">
        <v>9.3771719999999998</v>
      </c>
      <c r="U43" s="45">
        <v>9.6797719999999998</v>
      </c>
      <c r="V43" s="45">
        <v>9.8126370000000005</v>
      </c>
      <c r="W43" s="45">
        <v>10.017440000000001</v>
      </c>
      <c r="X43" s="45">
        <v>10.248034000000001</v>
      </c>
      <c r="Y43" s="45">
        <v>10.580895</v>
      </c>
      <c r="Z43" s="45">
        <v>10.882163</v>
      </c>
      <c r="AA43" s="45">
        <v>11.308514000000001</v>
      </c>
      <c r="AB43" s="45">
        <v>11.581096000000001</v>
      </c>
      <c r="AC43" s="45">
        <v>11.847967000000001</v>
      </c>
      <c r="AD43" s="45">
        <v>12.144064999999999</v>
      </c>
      <c r="AE43" s="45">
        <v>12.509926</v>
      </c>
      <c r="AF43" s="46">
        <v>8.8074E-2</v>
      </c>
      <c r="AG43" s="35"/>
    </row>
    <row r="44" spans="1:33">
      <c r="A44" s="34" t="s">
        <v>223</v>
      </c>
      <c r="B44" s="44" t="s">
        <v>224</v>
      </c>
      <c r="C44" s="45">
        <v>3.8973849999999999</v>
      </c>
      <c r="D44" s="45">
        <v>4.0568759999999999</v>
      </c>
      <c r="E44" s="45">
        <v>4.0465689999999999</v>
      </c>
      <c r="F44" s="45">
        <v>4.4204990000000004</v>
      </c>
      <c r="G44" s="45">
        <v>4.9956579999999997</v>
      </c>
      <c r="H44" s="45">
        <v>5.7010519999999998</v>
      </c>
      <c r="I44" s="45">
        <v>6.588266</v>
      </c>
      <c r="J44" s="45">
        <v>7.313008</v>
      </c>
      <c r="K44" s="45">
        <v>8.0155049999999992</v>
      </c>
      <c r="L44" s="45">
        <v>8.317482</v>
      </c>
      <c r="M44" s="45">
        <v>8.4689440000000005</v>
      </c>
      <c r="N44" s="45">
        <v>8.8520240000000001</v>
      </c>
      <c r="O44" s="45">
        <v>9.1099150000000009</v>
      </c>
      <c r="P44" s="45">
        <v>9.3746930000000006</v>
      </c>
      <c r="Q44" s="45">
        <v>9.4935489999999998</v>
      </c>
      <c r="R44" s="45">
        <v>9.5012129999999999</v>
      </c>
      <c r="S44" s="45">
        <v>9.4664699999999993</v>
      </c>
      <c r="T44" s="45">
        <v>9.4731489999999994</v>
      </c>
      <c r="U44" s="45">
        <v>9.4552800000000001</v>
      </c>
      <c r="V44" s="45">
        <v>9.4666809999999995</v>
      </c>
      <c r="W44" s="45">
        <v>9.4862249999999992</v>
      </c>
      <c r="X44" s="45">
        <v>9.5258459999999996</v>
      </c>
      <c r="Y44" s="45">
        <v>9.5890430000000002</v>
      </c>
      <c r="Z44" s="45">
        <v>9.6472519999999999</v>
      </c>
      <c r="AA44" s="45">
        <v>9.6386099999999999</v>
      </c>
      <c r="AB44" s="45">
        <v>9.7144030000000008</v>
      </c>
      <c r="AC44" s="45">
        <v>9.8016349999999992</v>
      </c>
      <c r="AD44" s="45">
        <v>9.792878</v>
      </c>
      <c r="AE44" s="45">
        <v>9.8574029999999997</v>
      </c>
      <c r="AF44" s="46">
        <v>3.3695000000000003E-2</v>
      </c>
      <c r="AG44" s="35"/>
    </row>
    <row r="45" spans="1:33">
      <c r="A45" s="31"/>
      <c r="B45" s="35"/>
      <c r="C45" s="35"/>
      <c r="D45" s="35"/>
      <c r="E45" s="35"/>
      <c r="F45" s="35"/>
      <c r="G45" s="35"/>
      <c r="H45" s="35"/>
      <c r="I45" s="35"/>
      <c r="J45" s="35"/>
      <c r="K45" s="35"/>
      <c r="L45" s="35"/>
      <c r="M45" s="35"/>
      <c r="N45" s="35"/>
      <c r="O45" s="35"/>
      <c r="P45" s="35"/>
      <c r="Q45" s="35"/>
      <c r="R45" s="35"/>
      <c r="S45" s="35"/>
      <c r="T45" s="35"/>
      <c r="U45" s="35"/>
      <c r="V45" s="35"/>
      <c r="W45" s="35"/>
      <c r="X45" s="35"/>
      <c r="Y45" s="35"/>
      <c r="Z45" s="35"/>
      <c r="AA45" s="35"/>
      <c r="AB45" s="35"/>
      <c r="AC45" s="35"/>
      <c r="AD45" s="35"/>
      <c r="AE45" s="35"/>
      <c r="AF45" s="35"/>
      <c r="AG45" s="35"/>
    </row>
    <row r="46" spans="1:33">
      <c r="A46" s="34" t="s">
        <v>225</v>
      </c>
      <c r="B46" s="43" t="s">
        <v>226</v>
      </c>
      <c r="C46" s="47">
        <v>12.806632</v>
      </c>
      <c r="D46" s="47">
        <v>13.546563000000001</v>
      </c>
      <c r="E46" s="47">
        <v>14.092015</v>
      </c>
      <c r="F46" s="47">
        <v>15.552782000000001</v>
      </c>
      <c r="G46" s="47">
        <v>17.248374999999999</v>
      </c>
      <c r="H46" s="47">
        <v>18.956731999999999</v>
      </c>
      <c r="I46" s="47">
        <v>20.29533</v>
      </c>
      <c r="J46" s="47">
        <v>21.314304</v>
      </c>
      <c r="K46" s="47">
        <v>22.197727</v>
      </c>
      <c r="L46" s="47">
        <v>22.835978000000001</v>
      </c>
      <c r="M46" s="47">
        <v>23.473590999999999</v>
      </c>
      <c r="N46" s="47">
        <v>24.228859</v>
      </c>
      <c r="O46" s="47">
        <v>24.840157000000001</v>
      </c>
      <c r="P46" s="47">
        <v>25.325614999999999</v>
      </c>
      <c r="Q46" s="47">
        <v>25.811091999999999</v>
      </c>
      <c r="R46" s="47">
        <v>26.165939000000002</v>
      </c>
      <c r="S46" s="47">
        <v>26.458969</v>
      </c>
      <c r="T46" s="47">
        <v>26.633887999999999</v>
      </c>
      <c r="U46" s="47">
        <v>26.933115000000001</v>
      </c>
      <c r="V46" s="47">
        <v>27.093468000000001</v>
      </c>
      <c r="W46" s="47">
        <v>27.345759999999999</v>
      </c>
      <c r="X46" s="47">
        <v>27.631160999999999</v>
      </c>
      <c r="Y46" s="47">
        <v>28.036123</v>
      </c>
      <c r="Z46" s="47">
        <v>28.413322000000001</v>
      </c>
      <c r="AA46" s="47">
        <v>28.869313999999999</v>
      </c>
      <c r="AB46" s="47">
        <v>29.271667000000001</v>
      </c>
      <c r="AC46" s="47">
        <v>29.704913999999999</v>
      </c>
      <c r="AD46" s="47">
        <v>30.040731000000001</v>
      </c>
      <c r="AE46" s="47">
        <v>30.511296999999999</v>
      </c>
      <c r="AF46" s="48">
        <v>3.1489999999999997E-2</v>
      </c>
      <c r="AG46" s="35"/>
    </row>
    <row r="47" spans="1:33">
      <c r="A47" s="31"/>
      <c r="B47" s="35"/>
      <c r="C47" s="35"/>
      <c r="D47" s="35"/>
      <c r="E47" s="35"/>
      <c r="F47" s="35"/>
      <c r="G47" s="35"/>
      <c r="H47" s="35"/>
      <c r="I47" s="35"/>
      <c r="J47" s="35"/>
      <c r="K47" s="35"/>
      <c r="L47" s="35"/>
      <c r="M47" s="35"/>
      <c r="N47" s="35"/>
      <c r="O47" s="35"/>
      <c r="P47" s="35"/>
      <c r="Q47" s="35"/>
      <c r="R47" s="35"/>
      <c r="S47" s="35"/>
      <c r="T47" s="35"/>
      <c r="U47" s="35"/>
      <c r="V47" s="35"/>
      <c r="W47" s="35"/>
      <c r="X47" s="35"/>
      <c r="Y47" s="35"/>
      <c r="Z47" s="35"/>
      <c r="AA47" s="35"/>
      <c r="AB47" s="35"/>
      <c r="AC47" s="35"/>
      <c r="AD47" s="35"/>
      <c r="AE47" s="35"/>
      <c r="AF47" s="35"/>
      <c r="AG47" s="35"/>
    </row>
    <row r="48" spans="1:33">
      <c r="A48" s="31"/>
      <c r="B48" s="43" t="s">
        <v>22</v>
      </c>
      <c r="C48" s="35"/>
      <c r="D48" s="35"/>
      <c r="E48" s="35"/>
      <c r="F48" s="35"/>
      <c r="G48" s="35"/>
      <c r="H48" s="35"/>
      <c r="I48" s="35"/>
      <c r="J48" s="35"/>
      <c r="K48" s="35"/>
      <c r="L48" s="35"/>
      <c r="M48" s="35"/>
      <c r="N48" s="35"/>
      <c r="O48" s="35"/>
      <c r="P48" s="35"/>
      <c r="Q48" s="35"/>
      <c r="R48" s="35"/>
      <c r="S48" s="35"/>
      <c r="T48" s="35"/>
      <c r="U48" s="35"/>
      <c r="V48" s="35"/>
      <c r="W48" s="35"/>
      <c r="X48" s="35"/>
      <c r="Y48" s="35"/>
      <c r="Z48" s="35"/>
      <c r="AA48" s="35"/>
      <c r="AB48" s="35"/>
      <c r="AC48" s="35"/>
      <c r="AD48" s="35"/>
      <c r="AE48" s="35"/>
      <c r="AF48" s="35"/>
      <c r="AG48" s="35"/>
    </row>
    <row r="49" spans="1:33">
      <c r="A49" s="34" t="s">
        <v>227</v>
      </c>
      <c r="B49" s="44" t="s">
        <v>228</v>
      </c>
      <c r="C49" s="45">
        <v>1.2631540000000001</v>
      </c>
      <c r="D49" s="45">
        <v>1.2392799999999999</v>
      </c>
      <c r="E49" s="45">
        <v>1.3242309999999999</v>
      </c>
      <c r="F49" s="45">
        <v>1.3184070000000001</v>
      </c>
      <c r="G49" s="45">
        <v>1.315272</v>
      </c>
      <c r="H49" s="45">
        <v>1.3134950000000001</v>
      </c>
      <c r="I49" s="45">
        <v>1.317761</v>
      </c>
      <c r="J49" s="45">
        <v>1.3133840000000001</v>
      </c>
      <c r="K49" s="45">
        <v>1.305957</v>
      </c>
      <c r="L49" s="45">
        <v>1.3003089999999999</v>
      </c>
      <c r="M49" s="45">
        <v>1.2950349999999999</v>
      </c>
      <c r="N49" s="45">
        <v>1.293353</v>
      </c>
      <c r="O49" s="45">
        <v>1.293118</v>
      </c>
      <c r="P49" s="45">
        <v>1.302341</v>
      </c>
      <c r="Q49" s="45">
        <v>1.3012250000000001</v>
      </c>
      <c r="R49" s="45">
        <v>1.302217</v>
      </c>
      <c r="S49" s="45">
        <v>1.3045629999999999</v>
      </c>
      <c r="T49" s="45">
        <v>1.307725</v>
      </c>
      <c r="U49" s="45">
        <v>1.313264</v>
      </c>
      <c r="V49" s="45">
        <v>1.330781</v>
      </c>
      <c r="W49" s="45">
        <v>1.33853</v>
      </c>
      <c r="X49" s="45">
        <v>1.347896</v>
      </c>
      <c r="Y49" s="45">
        <v>1.3498380000000001</v>
      </c>
      <c r="Z49" s="45">
        <v>1.3595170000000001</v>
      </c>
      <c r="AA49" s="45">
        <v>1.375432</v>
      </c>
      <c r="AB49" s="45">
        <v>1.3925050000000001</v>
      </c>
      <c r="AC49" s="45">
        <v>1.4234519999999999</v>
      </c>
      <c r="AD49" s="45">
        <v>1.43737</v>
      </c>
      <c r="AE49" s="45">
        <v>1.4473229999999999</v>
      </c>
      <c r="AF49" s="46">
        <v>4.8729999999999997E-3</v>
      </c>
      <c r="AG49" s="35"/>
    </row>
    <row r="50" spans="1:33" ht="15" customHeight="1">
      <c r="A50" s="34" t="s">
        <v>229</v>
      </c>
      <c r="B50" s="44" t="s">
        <v>230</v>
      </c>
      <c r="C50" s="45">
        <v>1.4549999999999999E-3</v>
      </c>
      <c r="D50" s="45">
        <v>1.397E-3</v>
      </c>
      <c r="E50" s="45">
        <v>1.4679999999999999E-3</v>
      </c>
      <c r="F50" s="45">
        <v>1.4679999999999999E-3</v>
      </c>
      <c r="G50" s="45">
        <v>1.4679999999999999E-3</v>
      </c>
      <c r="H50" s="45">
        <v>1.4679999999999999E-3</v>
      </c>
      <c r="I50" s="45">
        <v>1.4679999999999999E-3</v>
      </c>
      <c r="J50" s="45">
        <v>4.6299999999999998E-4</v>
      </c>
      <c r="K50" s="45">
        <v>1.031E-3</v>
      </c>
      <c r="L50" s="45">
        <v>8.5099999999999998E-4</v>
      </c>
      <c r="M50" s="45">
        <v>8.1999999999999998E-4</v>
      </c>
      <c r="N50" s="45">
        <v>4.6299999999999998E-4</v>
      </c>
      <c r="O50" s="45">
        <v>4.6299999999999998E-4</v>
      </c>
      <c r="P50" s="45">
        <v>4.6299999999999998E-4</v>
      </c>
      <c r="Q50" s="45">
        <v>4.6299999999999998E-4</v>
      </c>
      <c r="R50" s="45">
        <v>4.6299999999999998E-4</v>
      </c>
      <c r="S50" s="45">
        <v>4.6299999999999998E-4</v>
      </c>
      <c r="T50" s="45">
        <v>4.6299999999999998E-4</v>
      </c>
      <c r="U50" s="45">
        <v>4.6299999999999998E-4</v>
      </c>
      <c r="V50" s="45">
        <v>3.8999999999999999E-5</v>
      </c>
      <c r="W50" s="45">
        <v>4.6299999999999998E-4</v>
      </c>
      <c r="X50" s="45">
        <v>4.6299999999999998E-4</v>
      </c>
      <c r="Y50" s="45">
        <v>7.1500000000000003E-4</v>
      </c>
      <c r="Z50" s="45">
        <v>1.4679999999999999E-3</v>
      </c>
      <c r="AA50" s="45">
        <v>4.6299999999999998E-4</v>
      </c>
      <c r="AB50" s="45">
        <v>4.6299999999999998E-4</v>
      </c>
      <c r="AC50" s="45">
        <v>4.6299999999999998E-4</v>
      </c>
      <c r="AD50" s="45">
        <v>4.2400000000000001E-4</v>
      </c>
      <c r="AE50" s="45">
        <v>8.2299999999999995E-4</v>
      </c>
      <c r="AF50" s="46">
        <v>-2.0153999999999998E-2</v>
      </c>
      <c r="AG50" s="35"/>
    </row>
    <row r="51" spans="1:33" ht="15" customHeight="1">
      <c r="A51" s="34" t="s">
        <v>231</v>
      </c>
      <c r="B51" s="44" t="s">
        <v>232</v>
      </c>
      <c r="C51" s="45">
        <v>-0.117203</v>
      </c>
      <c r="D51" s="45">
        <v>-9.5380000000000006E-2</v>
      </c>
      <c r="E51" s="45">
        <v>-0.152586</v>
      </c>
      <c r="F51" s="45">
        <v>-0.15639900000000001</v>
      </c>
      <c r="G51" s="45">
        <v>-0.160302</v>
      </c>
      <c r="H51" s="45">
        <v>-0.16431100000000001</v>
      </c>
      <c r="I51" s="45">
        <v>-0.17644499999999999</v>
      </c>
      <c r="J51" s="45">
        <v>-0.18085000000000001</v>
      </c>
      <c r="K51" s="45">
        <v>-0.185365</v>
      </c>
      <c r="L51" s="45">
        <v>-0.19000700000000001</v>
      </c>
      <c r="M51" s="45">
        <v>-0.19475899999999999</v>
      </c>
      <c r="N51" s="45">
        <v>-0.19962199999999999</v>
      </c>
      <c r="O51" s="45">
        <v>-0.20461099999999999</v>
      </c>
      <c r="P51" s="45">
        <v>-0.21925900000000001</v>
      </c>
      <c r="Q51" s="45">
        <v>-0.22473899999999999</v>
      </c>
      <c r="R51" s="45">
        <v>-0.23036699999999999</v>
      </c>
      <c r="S51" s="45">
        <v>-0.236128</v>
      </c>
      <c r="T51" s="45">
        <v>-0.24202000000000001</v>
      </c>
      <c r="U51" s="45">
        <v>-0.24807799999999999</v>
      </c>
      <c r="V51" s="45">
        <v>-0.26534000000000002</v>
      </c>
      <c r="W51" s="45">
        <v>-0.27197100000000002</v>
      </c>
      <c r="X51" s="45">
        <v>-0.27877400000000002</v>
      </c>
      <c r="Y51" s="45">
        <v>-0.27644299999999999</v>
      </c>
      <c r="Z51" s="45">
        <v>-0.280831</v>
      </c>
      <c r="AA51" s="45">
        <v>-0.28769099999999997</v>
      </c>
      <c r="AB51" s="45">
        <v>-0.29488700000000001</v>
      </c>
      <c r="AC51" s="45">
        <v>-0.31539</v>
      </c>
      <c r="AD51" s="45">
        <v>-0.31751099999999999</v>
      </c>
      <c r="AE51" s="45">
        <v>-0.31398500000000001</v>
      </c>
      <c r="AF51" s="46">
        <v>3.5820999999999999E-2</v>
      </c>
      <c r="AG51" s="35"/>
    </row>
    <row r="52" spans="1:33" ht="15" customHeight="1">
      <c r="A52" s="34" t="s">
        <v>233</v>
      </c>
      <c r="B52" s="43" t="s">
        <v>234</v>
      </c>
      <c r="C52" s="47">
        <v>1.1474059999999999</v>
      </c>
      <c r="D52" s="47">
        <v>1.145297</v>
      </c>
      <c r="E52" s="47">
        <v>1.1731119999999999</v>
      </c>
      <c r="F52" s="47">
        <v>1.163476</v>
      </c>
      <c r="G52" s="47">
        <v>1.1564380000000001</v>
      </c>
      <c r="H52" s="47">
        <v>1.150652</v>
      </c>
      <c r="I52" s="47">
        <v>1.142784</v>
      </c>
      <c r="J52" s="47">
        <v>1.132997</v>
      </c>
      <c r="K52" s="47">
        <v>1.1216219999999999</v>
      </c>
      <c r="L52" s="47">
        <v>1.1111530000000001</v>
      </c>
      <c r="M52" s="47">
        <v>1.1010960000000001</v>
      </c>
      <c r="N52" s="47">
        <v>1.0941940000000001</v>
      </c>
      <c r="O52" s="47">
        <v>1.0889690000000001</v>
      </c>
      <c r="P52" s="47">
        <v>1.083545</v>
      </c>
      <c r="Q52" s="47">
        <v>1.076948</v>
      </c>
      <c r="R52" s="47">
        <v>1.0723130000000001</v>
      </c>
      <c r="S52" s="47">
        <v>1.068897</v>
      </c>
      <c r="T52" s="47">
        <v>1.066168</v>
      </c>
      <c r="U52" s="47">
        <v>1.0656490000000001</v>
      </c>
      <c r="V52" s="47">
        <v>1.0654809999999999</v>
      </c>
      <c r="W52" s="47">
        <v>1.0670219999999999</v>
      </c>
      <c r="X52" s="47">
        <v>1.069585</v>
      </c>
      <c r="Y52" s="47">
        <v>1.074109</v>
      </c>
      <c r="Z52" s="47">
        <v>1.0801540000000001</v>
      </c>
      <c r="AA52" s="47">
        <v>1.088203</v>
      </c>
      <c r="AB52" s="47">
        <v>1.0980799999999999</v>
      </c>
      <c r="AC52" s="47">
        <v>1.108525</v>
      </c>
      <c r="AD52" s="47">
        <v>1.120282</v>
      </c>
      <c r="AE52" s="47">
        <v>1.134161</v>
      </c>
      <c r="AF52" s="48">
        <v>-4.15E-4</v>
      </c>
      <c r="AG52" s="35"/>
    </row>
    <row r="53" spans="1:33" ht="15" customHeight="1">
      <c r="A53" s="31"/>
      <c r="B53" s="35"/>
      <c r="C53" s="35"/>
      <c r="D53" s="35"/>
      <c r="E53" s="35"/>
      <c r="F53" s="35"/>
      <c r="G53" s="35"/>
      <c r="H53" s="35"/>
      <c r="I53" s="35"/>
      <c r="J53" s="35"/>
      <c r="K53" s="35"/>
      <c r="L53" s="35"/>
      <c r="M53" s="35"/>
      <c r="N53" s="35"/>
      <c r="O53" s="35"/>
      <c r="P53" s="35"/>
      <c r="Q53" s="35"/>
      <c r="R53" s="35"/>
      <c r="S53" s="35"/>
      <c r="T53" s="35"/>
      <c r="U53" s="35"/>
      <c r="V53" s="35"/>
      <c r="W53" s="35"/>
      <c r="X53" s="35"/>
      <c r="Y53" s="35"/>
      <c r="Z53" s="35"/>
      <c r="AA53" s="35"/>
      <c r="AB53" s="35"/>
      <c r="AC53" s="35"/>
      <c r="AD53" s="35"/>
      <c r="AE53" s="35"/>
      <c r="AF53" s="35"/>
      <c r="AG53" s="35"/>
    </row>
    <row r="54" spans="1:33" ht="15" customHeight="1">
      <c r="A54" s="31"/>
      <c r="B54" s="35"/>
      <c r="C54" s="35"/>
      <c r="D54" s="35"/>
      <c r="E54" s="35"/>
      <c r="F54" s="35"/>
      <c r="G54" s="35"/>
      <c r="H54" s="35"/>
      <c r="I54" s="35"/>
      <c r="J54" s="35"/>
      <c r="K54" s="35"/>
      <c r="L54" s="35"/>
      <c r="M54" s="35"/>
      <c r="N54" s="35"/>
      <c r="O54" s="35"/>
      <c r="P54" s="35"/>
      <c r="Q54" s="35"/>
      <c r="R54" s="35"/>
      <c r="S54" s="35"/>
      <c r="T54" s="35"/>
      <c r="U54" s="35"/>
      <c r="V54" s="35"/>
      <c r="W54" s="35"/>
      <c r="X54" s="35"/>
      <c r="Y54" s="35"/>
      <c r="Z54" s="35"/>
      <c r="AA54" s="35"/>
      <c r="AB54" s="35"/>
      <c r="AC54" s="35"/>
      <c r="AD54" s="35"/>
      <c r="AE54" s="35"/>
      <c r="AF54" s="35"/>
      <c r="AG54" s="35"/>
    </row>
    <row r="55" spans="1:33" ht="15" customHeight="1">
      <c r="A55" s="31"/>
      <c r="B55" s="43" t="s">
        <v>409</v>
      </c>
      <c r="C55" s="35"/>
      <c r="D55" s="35"/>
      <c r="E55" s="35"/>
      <c r="F55" s="35"/>
      <c r="G55" s="35"/>
      <c r="H55" s="35"/>
      <c r="I55" s="35"/>
      <c r="J55" s="35"/>
      <c r="K55" s="35"/>
      <c r="L55" s="35"/>
      <c r="M55" s="35"/>
      <c r="N55" s="35"/>
      <c r="O55" s="35"/>
      <c r="P55" s="35"/>
      <c r="Q55" s="35"/>
      <c r="R55" s="35"/>
      <c r="S55" s="35"/>
      <c r="T55" s="35"/>
      <c r="U55" s="35"/>
      <c r="V55" s="35"/>
      <c r="W55" s="35"/>
      <c r="X55" s="35"/>
      <c r="Y55" s="35"/>
      <c r="Z55" s="35"/>
      <c r="AA55" s="35"/>
      <c r="AB55" s="35"/>
      <c r="AC55" s="35"/>
      <c r="AD55" s="35"/>
      <c r="AE55" s="35"/>
      <c r="AF55" s="35"/>
      <c r="AG55" s="35"/>
    </row>
    <row r="56" spans="1:33" ht="15" customHeight="1">
      <c r="A56" s="31"/>
      <c r="B56" s="43" t="s">
        <v>235</v>
      </c>
      <c r="C56" s="35"/>
      <c r="D56" s="35"/>
      <c r="E56" s="35"/>
      <c r="F56" s="35"/>
      <c r="G56" s="35"/>
      <c r="H56" s="35"/>
      <c r="I56" s="35"/>
      <c r="J56" s="35"/>
      <c r="K56" s="35"/>
      <c r="L56" s="35"/>
      <c r="M56" s="35"/>
      <c r="N56" s="35"/>
      <c r="O56" s="35"/>
      <c r="P56" s="35"/>
      <c r="Q56" s="35"/>
      <c r="R56" s="35"/>
      <c r="S56" s="35"/>
      <c r="T56" s="35"/>
      <c r="U56" s="35"/>
      <c r="V56" s="35"/>
      <c r="W56" s="35"/>
      <c r="X56" s="35"/>
      <c r="Y56" s="35"/>
      <c r="Z56" s="35"/>
      <c r="AA56" s="35"/>
      <c r="AB56" s="35"/>
      <c r="AC56" s="35"/>
      <c r="AD56" s="35"/>
      <c r="AE56" s="35"/>
      <c r="AF56" s="35"/>
      <c r="AG56" s="35"/>
    </row>
    <row r="57" spans="1:33" ht="15" customHeight="1">
      <c r="A57" s="31"/>
      <c r="B57" s="35"/>
      <c r="C57" s="35"/>
      <c r="D57" s="35"/>
      <c r="E57" s="35"/>
      <c r="F57" s="35"/>
      <c r="G57" s="35"/>
      <c r="H57" s="35"/>
      <c r="I57" s="35"/>
      <c r="J57" s="35"/>
      <c r="K57" s="35"/>
      <c r="L57" s="35"/>
      <c r="M57" s="35"/>
      <c r="N57" s="35"/>
      <c r="O57" s="35"/>
      <c r="P57" s="35"/>
      <c r="Q57" s="35"/>
      <c r="R57" s="35"/>
      <c r="S57" s="35"/>
      <c r="T57" s="35"/>
      <c r="U57" s="35"/>
      <c r="V57" s="35"/>
      <c r="W57" s="35"/>
      <c r="X57" s="35"/>
      <c r="Y57" s="35"/>
      <c r="Z57" s="35"/>
      <c r="AA57" s="35"/>
      <c r="AB57" s="35"/>
      <c r="AC57" s="35"/>
      <c r="AD57" s="35"/>
      <c r="AE57" s="35"/>
      <c r="AF57" s="35"/>
      <c r="AG57" s="35"/>
    </row>
    <row r="58" spans="1:33" ht="15" customHeight="1">
      <c r="A58" s="34" t="s">
        <v>236</v>
      </c>
      <c r="B58" s="43" t="s">
        <v>237</v>
      </c>
      <c r="C58" s="47">
        <v>0.39321899999999999</v>
      </c>
      <c r="D58" s="47">
        <v>0.43436599999999997</v>
      </c>
      <c r="E58" s="47">
        <v>0.48979299999999998</v>
      </c>
      <c r="F58" s="47">
        <v>0.53656400000000004</v>
      </c>
      <c r="G58" s="47">
        <v>0.58183300000000004</v>
      </c>
      <c r="H58" s="47">
        <v>0.62953099999999995</v>
      </c>
      <c r="I58" s="47">
        <v>0.67619799999999997</v>
      </c>
      <c r="J58" s="47">
        <v>0.72582400000000002</v>
      </c>
      <c r="K58" s="47">
        <v>0.77975099999999997</v>
      </c>
      <c r="L58" s="47">
        <v>0.83652899999999997</v>
      </c>
      <c r="M58" s="47">
        <v>0.89567300000000005</v>
      </c>
      <c r="N58" s="47">
        <v>0.95067500000000005</v>
      </c>
      <c r="O58" s="47">
        <v>1.0090749999999999</v>
      </c>
      <c r="P58" s="47">
        <v>1.056513</v>
      </c>
      <c r="Q58" s="47">
        <v>1.1031200000000001</v>
      </c>
      <c r="R58" s="47">
        <v>1.148593</v>
      </c>
      <c r="S58" s="47">
        <v>1.1967890000000001</v>
      </c>
      <c r="T58" s="47">
        <v>1.2516590000000001</v>
      </c>
      <c r="U58" s="47">
        <v>1.307328</v>
      </c>
      <c r="V58" s="47">
        <v>1.3734329999999999</v>
      </c>
      <c r="W58" s="47">
        <v>1.438137</v>
      </c>
      <c r="X58" s="47">
        <v>1.508013</v>
      </c>
      <c r="Y58" s="47">
        <v>1.5831900000000001</v>
      </c>
      <c r="Z58" s="47">
        <v>1.662218</v>
      </c>
      <c r="AA58" s="47">
        <v>1.7387349999999999</v>
      </c>
      <c r="AB58" s="47">
        <v>1.8198840000000001</v>
      </c>
      <c r="AC58" s="47">
        <v>1.9015150000000001</v>
      </c>
      <c r="AD58" s="47">
        <v>1.990029</v>
      </c>
      <c r="AE58" s="47">
        <v>2.072695</v>
      </c>
      <c r="AF58" s="48">
        <v>6.1163000000000002E-2</v>
      </c>
      <c r="AG58" s="35"/>
    </row>
    <row r="59" spans="1:33" ht="15" customHeight="1">
      <c r="A59" s="34" t="s">
        <v>238</v>
      </c>
      <c r="B59" s="44" t="s">
        <v>239</v>
      </c>
      <c r="C59" s="45">
        <v>5.7070999999999997E-2</v>
      </c>
      <c r="D59" s="45">
        <v>6.5246999999999999E-2</v>
      </c>
      <c r="E59" s="45">
        <v>7.4490000000000001E-2</v>
      </c>
      <c r="F59" s="45">
        <v>8.2332000000000002E-2</v>
      </c>
      <c r="G59" s="45">
        <v>8.9647000000000004E-2</v>
      </c>
      <c r="H59" s="45">
        <v>9.6698999999999993E-2</v>
      </c>
      <c r="I59" s="45">
        <v>0.103424</v>
      </c>
      <c r="J59" s="45">
        <v>0.110056</v>
      </c>
      <c r="K59" s="45">
        <v>0.11708300000000001</v>
      </c>
      <c r="L59" s="45">
        <v>0.1244</v>
      </c>
      <c r="M59" s="45">
        <v>0.13175400000000001</v>
      </c>
      <c r="N59" s="45">
        <v>0.136737</v>
      </c>
      <c r="O59" s="45">
        <v>0.13999400000000001</v>
      </c>
      <c r="P59" s="45">
        <v>0.13961699999999999</v>
      </c>
      <c r="Q59" s="45">
        <v>0.13946500000000001</v>
      </c>
      <c r="R59" s="45">
        <v>0.13922100000000001</v>
      </c>
      <c r="S59" s="45">
        <v>0.13922000000000001</v>
      </c>
      <c r="T59" s="45">
        <v>0.139213</v>
      </c>
      <c r="U59" s="45">
        <v>0.139127</v>
      </c>
      <c r="V59" s="45">
        <v>0.139539</v>
      </c>
      <c r="W59" s="45">
        <v>0.13955999999999999</v>
      </c>
      <c r="X59" s="45">
        <v>0.13979800000000001</v>
      </c>
      <c r="Y59" s="45">
        <v>0.139983</v>
      </c>
      <c r="Z59" s="45">
        <v>0.14035800000000001</v>
      </c>
      <c r="AA59" s="45">
        <v>0.140489</v>
      </c>
      <c r="AB59" s="45">
        <v>0.140678</v>
      </c>
      <c r="AC59" s="45">
        <v>0.140518</v>
      </c>
      <c r="AD59" s="45">
        <v>0.14077500000000001</v>
      </c>
      <c r="AE59" s="45">
        <v>0.140678</v>
      </c>
      <c r="AF59" s="46">
        <v>3.2745000000000003E-2</v>
      </c>
      <c r="AG59" s="35"/>
    </row>
    <row r="60" spans="1:33" ht="15" customHeight="1">
      <c r="A60" s="34" t="s">
        <v>240</v>
      </c>
      <c r="B60" s="44" t="s">
        <v>241</v>
      </c>
      <c r="C60" s="45">
        <v>1.4845000000000001E-2</v>
      </c>
      <c r="D60" s="45">
        <v>1.5337E-2</v>
      </c>
      <c r="E60" s="45">
        <v>1.7392999999999999E-2</v>
      </c>
      <c r="F60" s="45">
        <v>1.9101E-2</v>
      </c>
      <c r="G60" s="45">
        <v>2.0705000000000001E-2</v>
      </c>
      <c r="H60" s="45">
        <v>2.2252999999999998E-2</v>
      </c>
      <c r="I60" s="45">
        <v>2.3747000000000001E-2</v>
      </c>
      <c r="J60" s="45">
        <v>2.5304E-2</v>
      </c>
      <c r="K60" s="45">
        <v>2.6698E-2</v>
      </c>
      <c r="L60" s="45">
        <v>2.8160000000000001E-2</v>
      </c>
      <c r="M60" s="45">
        <v>2.9547E-2</v>
      </c>
      <c r="N60" s="45">
        <v>3.0886E-2</v>
      </c>
      <c r="O60" s="45">
        <v>3.2044999999999997E-2</v>
      </c>
      <c r="P60" s="45">
        <v>3.2747999999999999E-2</v>
      </c>
      <c r="Q60" s="45">
        <v>3.3270000000000001E-2</v>
      </c>
      <c r="R60" s="45">
        <v>3.3674000000000003E-2</v>
      </c>
      <c r="S60" s="45">
        <v>3.3866E-2</v>
      </c>
      <c r="T60" s="45">
        <v>3.424E-2</v>
      </c>
      <c r="U60" s="45">
        <v>3.4597999999999997E-2</v>
      </c>
      <c r="V60" s="45">
        <v>3.5140999999999999E-2</v>
      </c>
      <c r="W60" s="45">
        <v>3.5660999999999998E-2</v>
      </c>
      <c r="X60" s="45">
        <v>3.6152999999999998E-2</v>
      </c>
      <c r="Y60" s="45">
        <v>3.6614000000000001E-2</v>
      </c>
      <c r="Z60" s="45">
        <v>3.7157999999999997E-2</v>
      </c>
      <c r="AA60" s="45">
        <v>3.7769999999999998E-2</v>
      </c>
      <c r="AB60" s="45">
        <v>3.8505999999999999E-2</v>
      </c>
      <c r="AC60" s="45">
        <v>3.9142999999999997E-2</v>
      </c>
      <c r="AD60" s="45">
        <v>3.9898999999999997E-2</v>
      </c>
      <c r="AE60" s="45">
        <v>4.0578000000000003E-2</v>
      </c>
      <c r="AF60" s="46">
        <v>3.6565E-2</v>
      </c>
      <c r="AG60" s="35"/>
    </row>
    <row r="61" spans="1:33" ht="15" customHeight="1">
      <c r="A61" s="34" t="s">
        <v>242</v>
      </c>
      <c r="B61" s="44" t="s">
        <v>408</v>
      </c>
      <c r="C61" s="45">
        <v>0.32074200000000003</v>
      </c>
      <c r="D61" s="45">
        <v>0.35317799999999999</v>
      </c>
      <c r="E61" s="45">
        <v>0.39725199999999999</v>
      </c>
      <c r="F61" s="45">
        <v>0.43442599999999998</v>
      </c>
      <c r="G61" s="45">
        <v>0.47073300000000001</v>
      </c>
      <c r="H61" s="45">
        <v>0.50977799999999995</v>
      </c>
      <c r="I61" s="45">
        <v>0.54817300000000002</v>
      </c>
      <c r="J61" s="45">
        <v>0.58955800000000003</v>
      </c>
      <c r="K61" s="45">
        <v>0.63500900000000005</v>
      </c>
      <c r="L61" s="45">
        <v>0.682952</v>
      </c>
      <c r="M61" s="45">
        <v>0.73329999999999995</v>
      </c>
      <c r="N61" s="45">
        <v>0.78193000000000001</v>
      </c>
      <c r="O61" s="45">
        <v>0.83591400000000005</v>
      </c>
      <c r="P61" s="45">
        <v>0.88302199999999997</v>
      </c>
      <c r="Q61" s="45">
        <v>0.92925899999999995</v>
      </c>
      <c r="R61" s="45">
        <v>0.97457099999999997</v>
      </c>
      <c r="S61" s="45">
        <v>1.022575</v>
      </c>
      <c r="T61" s="45">
        <v>1.0770759999999999</v>
      </c>
      <c r="U61" s="45">
        <v>1.132468</v>
      </c>
      <c r="V61" s="45">
        <v>1.1976089999999999</v>
      </c>
      <c r="W61" s="45">
        <v>1.2617700000000001</v>
      </c>
      <c r="X61" s="45">
        <v>1.3309089999999999</v>
      </c>
      <c r="Y61" s="45">
        <v>1.4054310000000001</v>
      </c>
      <c r="Z61" s="45">
        <v>1.4835309999999999</v>
      </c>
      <c r="AA61" s="45">
        <v>1.559299</v>
      </c>
      <c r="AB61" s="45">
        <v>1.639516</v>
      </c>
      <c r="AC61" s="45">
        <v>1.7206680000000001</v>
      </c>
      <c r="AD61" s="45">
        <v>1.8081609999999999</v>
      </c>
      <c r="AE61" s="45">
        <v>1.890247</v>
      </c>
      <c r="AF61" s="46">
        <v>6.5401000000000001E-2</v>
      </c>
      <c r="AG61" s="35"/>
    </row>
    <row r="62" spans="1:33" ht="15" customHeight="1">
      <c r="A62" s="34" t="s">
        <v>243</v>
      </c>
      <c r="B62" s="44" t="s">
        <v>224</v>
      </c>
      <c r="C62" s="45">
        <v>5.6099999999999998E-4</v>
      </c>
      <c r="D62" s="45">
        <v>6.0300000000000002E-4</v>
      </c>
      <c r="E62" s="45">
        <v>6.5899999999999997E-4</v>
      </c>
      <c r="F62" s="45">
        <v>7.0500000000000001E-4</v>
      </c>
      <c r="G62" s="45">
        <v>7.4799999999999997E-4</v>
      </c>
      <c r="H62" s="45">
        <v>8.0099999999999995E-4</v>
      </c>
      <c r="I62" s="45">
        <v>8.5400000000000005E-4</v>
      </c>
      <c r="J62" s="45">
        <v>9.0700000000000004E-4</v>
      </c>
      <c r="K62" s="45">
        <v>9.6000000000000002E-4</v>
      </c>
      <c r="L62" s="45">
        <v>1.0169999999999999E-3</v>
      </c>
      <c r="M62" s="45">
        <v>1.072E-3</v>
      </c>
      <c r="N62" s="45">
        <v>1.122E-3</v>
      </c>
      <c r="O62" s="45">
        <v>1.122E-3</v>
      </c>
      <c r="P62" s="45">
        <v>1.127E-3</v>
      </c>
      <c r="Q62" s="45">
        <v>1.126E-3</v>
      </c>
      <c r="R62" s="45">
        <v>1.1280000000000001E-3</v>
      </c>
      <c r="S62" s="45">
        <v>1.1280000000000001E-3</v>
      </c>
      <c r="T62" s="45">
        <v>1.1299999999999999E-3</v>
      </c>
      <c r="U62" s="45">
        <v>1.1349999999999999E-3</v>
      </c>
      <c r="V62" s="45">
        <v>1.1440000000000001E-3</v>
      </c>
      <c r="W62" s="45">
        <v>1.1460000000000001E-3</v>
      </c>
      <c r="X62" s="45">
        <v>1.1540000000000001E-3</v>
      </c>
      <c r="Y62" s="45">
        <v>1.1620000000000001E-3</v>
      </c>
      <c r="Z62" s="45">
        <v>1.17E-3</v>
      </c>
      <c r="AA62" s="45">
        <v>1.1770000000000001E-3</v>
      </c>
      <c r="AB62" s="45">
        <v>1.183E-3</v>
      </c>
      <c r="AC62" s="45">
        <v>1.1869999999999999E-3</v>
      </c>
      <c r="AD62" s="45">
        <v>1.194E-3</v>
      </c>
      <c r="AE62" s="45">
        <v>1.1919999999999999E-3</v>
      </c>
      <c r="AF62" s="46">
        <v>2.7265000000000001E-2</v>
      </c>
      <c r="AG62" s="35"/>
    </row>
    <row r="63" spans="1:33" ht="15" customHeight="1">
      <c r="A63" s="31"/>
      <c r="B63" s="35"/>
      <c r="C63" s="35"/>
      <c r="D63" s="35"/>
      <c r="E63" s="35"/>
      <c r="F63" s="35"/>
      <c r="G63" s="35"/>
      <c r="H63" s="35"/>
      <c r="I63" s="35"/>
      <c r="J63" s="35"/>
      <c r="K63" s="35"/>
      <c r="L63" s="35"/>
      <c r="M63" s="35"/>
      <c r="N63" s="35"/>
      <c r="O63" s="35"/>
      <c r="P63" s="35"/>
      <c r="Q63" s="35"/>
      <c r="R63" s="35"/>
      <c r="S63" s="35"/>
      <c r="T63" s="35"/>
      <c r="U63" s="35"/>
      <c r="V63" s="35"/>
      <c r="W63" s="35"/>
      <c r="X63" s="35"/>
      <c r="Y63" s="35"/>
      <c r="Z63" s="35"/>
      <c r="AA63" s="35"/>
      <c r="AB63" s="35"/>
      <c r="AC63" s="35"/>
      <c r="AD63" s="35"/>
      <c r="AE63" s="35"/>
      <c r="AF63" s="35"/>
      <c r="AG63" s="35"/>
    </row>
    <row r="64" spans="1:33" ht="15" customHeight="1">
      <c r="A64" s="34" t="s">
        <v>244</v>
      </c>
      <c r="B64" s="43" t="s">
        <v>245</v>
      </c>
      <c r="C64" s="47">
        <v>0.34251599999999999</v>
      </c>
      <c r="D64" s="47">
        <v>0.388984</v>
      </c>
      <c r="E64" s="47">
        <v>0.43183100000000002</v>
      </c>
      <c r="F64" s="47">
        <v>0.46165899999999999</v>
      </c>
      <c r="G64" s="47">
        <v>0.47733100000000001</v>
      </c>
      <c r="H64" s="47">
        <v>0.49774299999999999</v>
      </c>
      <c r="I64" s="47">
        <v>0.51458599999999999</v>
      </c>
      <c r="J64" s="47">
        <v>0.54301699999999997</v>
      </c>
      <c r="K64" s="47">
        <v>0.56312700000000004</v>
      </c>
      <c r="L64" s="47">
        <v>0.584484</v>
      </c>
      <c r="M64" s="47">
        <v>0.60242899999999999</v>
      </c>
      <c r="N64" s="47">
        <v>0.628135</v>
      </c>
      <c r="O64" s="47">
        <v>0.65619300000000003</v>
      </c>
      <c r="P64" s="47">
        <v>0.67456300000000002</v>
      </c>
      <c r="Q64" s="47">
        <v>0.70348900000000003</v>
      </c>
      <c r="R64" s="47">
        <v>0.71980699999999997</v>
      </c>
      <c r="S64" s="47">
        <v>0.74051999999999996</v>
      </c>
      <c r="T64" s="47">
        <v>0.76336199999999999</v>
      </c>
      <c r="U64" s="47">
        <v>0.78221499999999999</v>
      </c>
      <c r="V64" s="47">
        <v>0.80208500000000005</v>
      </c>
      <c r="W64" s="47">
        <v>0.81651499999999999</v>
      </c>
      <c r="X64" s="47">
        <v>0.829349</v>
      </c>
      <c r="Y64" s="47">
        <v>0.84207200000000004</v>
      </c>
      <c r="Z64" s="47">
        <v>0.85361600000000004</v>
      </c>
      <c r="AA64" s="47">
        <v>0.87365199999999998</v>
      </c>
      <c r="AB64" s="47">
        <v>0.88150099999999998</v>
      </c>
      <c r="AC64" s="47">
        <v>0.89169900000000002</v>
      </c>
      <c r="AD64" s="47">
        <v>0.89882799999999996</v>
      </c>
      <c r="AE64" s="47">
        <v>0.89905100000000004</v>
      </c>
      <c r="AF64" s="48">
        <v>3.5066E-2</v>
      </c>
      <c r="AG64" s="35"/>
    </row>
    <row r="65" spans="1:34" ht="15" customHeight="1">
      <c r="A65" s="34" t="s">
        <v>246</v>
      </c>
      <c r="B65" s="44" t="s">
        <v>221</v>
      </c>
      <c r="C65" s="45">
        <v>7.3909000000000002E-2</v>
      </c>
      <c r="D65" s="45">
        <v>7.4150999999999995E-2</v>
      </c>
      <c r="E65" s="45">
        <v>7.5856999999999994E-2</v>
      </c>
      <c r="F65" s="45">
        <v>7.6402999999999999E-2</v>
      </c>
      <c r="G65" s="45">
        <v>7.6691999999999996E-2</v>
      </c>
      <c r="H65" s="45">
        <v>7.6408000000000004E-2</v>
      </c>
      <c r="I65" s="45">
        <v>7.5979000000000005E-2</v>
      </c>
      <c r="J65" s="45">
        <v>7.5915999999999997E-2</v>
      </c>
      <c r="K65" s="45">
        <v>7.5720999999999997E-2</v>
      </c>
      <c r="L65" s="45">
        <v>7.5837000000000002E-2</v>
      </c>
      <c r="M65" s="45">
        <v>7.5840000000000005E-2</v>
      </c>
      <c r="N65" s="45">
        <v>7.5718999999999995E-2</v>
      </c>
      <c r="O65" s="45">
        <v>7.5756000000000004E-2</v>
      </c>
      <c r="P65" s="45">
        <v>7.5952000000000006E-2</v>
      </c>
      <c r="Q65" s="45">
        <v>7.5837000000000002E-2</v>
      </c>
      <c r="R65" s="45">
        <v>7.5588000000000002E-2</v>
      </c>
      <c r="S65" s="45">
        <v>7.4880000000000002E-2</v>
      </c>
      <c r="T65" s="45">
        <v>7.4638999999999997E-2</v>
      </c>
      <c r="U65" s="45">
        <v>7.4340000000000003E-2</v>
      </c>
      <c r="V65" s="45">
        <v>7.4428999999999995E-2</v>
      </c>
      <c r="W65" s="45">
        <v>7.4297000000000002E-2</v>
      </c>
      <c r="X65" s="45">
        <v>7.4152999999999997E-2</v>
      </c>
      <c r="Y65" s="45">
        <v>7.4107000000000006E-2</v>
      </c>
      <c r="Z65" s="45">
        <v>7.4011999999999994E-2</v>
      </c>
      <c r="AA65" s="45">
        <v>7.3801000000000005E-2</v>
      </c>
      <c r="AB65" s="45">
        <v>7.3764999999999997E-2</v>
      </c>
      <c r="AC65" s="45">
        <v>7.3537000000000005E-2</v>
      </c>
      <c r="AD65" s="45">
        <v>7.3493000000000003E-2</v>
      </c>
      <c r="AE65" s="45">
        <v>7.3126999999999998E-2</v>
      </c>
      <c r="AF65" s="46">
        <v>-3.8000000000000002E-4</v>
      </c>
      <c r="AG65" s="35"/>
      <c r="AH65" s="31"/>
    </row>
    <row r="66" spans="1:34">
      <c r="A66" s="34" t="s">
        <v>247</v>
      </c>
      <c r="B66" s="44" t="s">
        <v>408</v>
      </c>
      <c r="C66" s="45">
        <v>0.26181500000000002</v>
      </c>
      <c r="D66" s="45">
        <v>0.30804399999999998</v>
      </c>
      <c r="E66" s="45">
        <v>0.34912500000000002</v>
      </c>
      <c r="F66" s="45">
        <v>0.37846299999999999</v>
      </c>
      <c r="G66" s="45">
        <v>0.39390900000000001</v>
      </c>
      <c r="H66" s="45">
        <v>0.41461999999999999</v>
      </c>
      <c r="I66" s="45">
        <v>0.43187599999999998</v>
      </c>
      <c r="J66" s="45">
        <v>0.46030500000000002</v>
      </c>
      <c r="K66" s="45">
        <v>0.480624</v>
      </c>
      <c r="L66" s="45">
        <v>0.50182800000000005</v>
      </c>
      <c r="M66" s="45">
        <v>0.51975400000000005</v>
      </c>
      <c r="N66" s="45">
        <v>0.54557999999999995</v>
      </c>
      <c r="O66" s="45">
        <v>0.57357999999999998</v>
      </c>
      <c r="P66" s="45">
        <v>0.59170900000000004</v>
      </c>
      <c r="Q66" s="45">
        <v>0.62073800000000001</v>
      </c>
      <c r="R66" s="45">
        <v>0.63733600000000001</v>
      </c>
      <c r="S66" s="45">
        <v>0.65883999999999998</v>
      </c>
      <c r="T66" s="45">
        <v>0.68191400000000002</v>
      </c>
      <c r="U66" s="45">
        <v>0.70109399999999999</v>
      </c>
      <c r="V66" s="45">
        <v>0.72085200000000005</v>
      </c>
      <c r="W66" s="45">
        <v>0.73541500000000004</v>
      </c>
      <c r="X66" s="45">
        <v>0.74840499999999999</v>
      </c>
      <c r="Y66" s="45">
        <v>0.76118200000000003</v>
      </c>
      <c r="Z66" s="45">
        <v>0.77283400000000002</v>
      </c>
      <c r="AA66" s="45">
        <v>0.79308599999999996</v>
      </c>
      <c r="AB66" s="45">
        <v>0.80096900000000004</v>
      </c>
      <c r="AC66" s="45">
        <v>0.81140100000000004</v>
      </c>
      <c r="AD66" s="45">
        <v>0.818581</v>
      </c>
      <c r="AE66" s="45">
        <v>0.81918100000000005</v>
      </c>
      <c r="AF66" s="46">
        <v>4.1578999999999998E-2</v>
      </c>
      <c r="AG66" s="35"/>
      <c r="AH66" s="31"/>
    </row>
    <row r="67" spans="1:34" ht="15" customHeight="1">
      <c r="A67" s="34" t="s">
        <v>248</v>
      </c>
      <c r="B67" s="44" t="s">
        <v>224</v>
      </c>
      <c r="C67" s="45">
        <v>6.7920000000000003E-3</v>
      </c>
      <c r="D67" s="45">
        <v>6.7889999999999999E-3</v>
      </c>
      <c r="E67" s="45">
        <v>6.8490000000000001E-3</v>
      </c>
      <c r="F67" s="45">
        <v>6.7939999999999997E-3</v>
      </c>
      <c r="G67" s="45">
        <v>6.7299999999999999E-3</v>
      </c>
      <c r="H67" s="45">
        <v>6.7140000000000003E-3</v>
      </c>
      <c r="I67" s="45">
        <v>6.7320000000000001E-3</v>
      </c>
      <c r="J67" s="45">
        <v>6.796E-3</v>
      </c>
      <c r="K67" s="45">
        <v>6.7819999999999998E-3</v>
      </c>
      <c r="L67" s="45">
        <v>6.8199999999999997E-3</v>
      </c>
      <c r="M67" s="45">
        <v>6.8349999999999999E-3</v>
      </c>
      <c r="N67" s="45">
        <v>6.8360000000000001E-3</v>
      </c>
      <c r="O67" s="45">
        <v>6.8570000000000002E-3</v>
      </c>
      <c r="P67" s="45">
        <v>6.9030000000000003E-3</v>
      </c>
      <c r="Q67" s="45">
        <v>6.914E-3</v>
      </c>
      <c r="R67" s="45">
        <v>6.8830000000000002E-3</v>
      </c>
      <c r="S67" s="45">
        <v>6.7999999999999996E-3</v>
      </c>
      <c r="T67" s="45">
        <v>6.8079999999999998E-3</v>
      </c>
      <c r="U67" s="45">
        <v>6.7809999999999997E-3</v>
      </c>
      <c r="V67" s="45">
        <v>6.8040000000000002E-3</v>
      </c>
      <c r="W67" s="45">
        <v>6.803E-3</v>
      </c>
      <c r="X67" s="45">
        <v>6.7920000000000003E-3</v>
      </c>
      <c r="Y67" s="45">
        <v>6.783E-3</v>
      </c>
      <c r="Z67" s="45">
        <v>6.7689999999999998E-3</v>
      </c>
      <c r="AA67" s="45">
        <v>6.7650000000000002E-3</v>
      </c>
      <c r="AB67" s="45">
        <v>6.7669999999999996E-3</v>
      </c>
      <c r="AC67" s="45">
        <v>6.7600000000000004E-3</v>
      </c>
      <c r="AD67" s="45">
        <v>6.7539999999999996E-3</v>
      </c>
      <c r="AE67" s="45">
        <v>6.7429999999999999E-3</v>
      </c>
      <c r="AF67" s="46">
        <v>-2.5700000000000001E-4</v>
      </c>
      <c r="AG67" s="35"/>
      <c r="AH67" s="31"/>
    </row>
    <row r="68" spans="1:34" ht="15" customHeight="1" thickBot="1">
      <c r="A68" s="31"/>
      <c r="B68" s="35"/>
      <c r="C68" s="35"/>
      <c r="D68" s="35"/>
      <c r="E68" s="35"/>
      <c r="F68" s="35"/>
      <c r="G68" s="35"/>
      <c r="H68" s="35"/>
      <c r="I68" s="35"/>
      <c r="J68" s="35"/>
      <c r="K68" s="35"/>
      <c r="L68" s="35"/>
      <c r="M68" s="35"/>
      <c r="N68" s="35"/>
      <c r="O68" s="35"/>
      <c r="P68" s="35"/>
      <c r="Q68" s="35"/>
      <c r="R68" s="35"/>
      <c r="S68" s="35"/>
      <c r="T68" s="35"/>
      <c r="U68" s="35"/>
      <c r="V68" s="35"/>
      <c r="W68" s="35"/>
      <c r="X68" s="35"/>
      <c r="Y68" s="35"/>
      <c r="Z68" s="35"/>
      <c r="AA68" s="35"/>
      <c r="AB68" s="35"/>
      <c r="AC68" s="35"/>
      <c r="AD68" s="35"/>
      <c r="AE68" s="35"/>
      <c r="AF68" s="35"/>
      <c r="AG68" s="35"/>
      <c r="AH68" s="31"/>
    </row>
    <row r="69" spans="1:34" ht="15" customHeight="1">
      <c r="A69" s="31"/>
      <c r="B69" s="111" t="s">
        <v>249</v>
      </c>
      <c r="C69" s="112"/>
      <c r="D69" s="112"/>
      <c r="E69" s="112"/>
      <c r="F69" s="112"/>
      <c r="G69" s="112"/>
      <c r="H69" s="112"/>
      <c r="I69" s="112"/>
      <c r="J69" s="112"/>
      <c r="K69" s="112"/>
      <c r="L69" s="112"/>
      <c r="M69" s="112"/>
      <c r="N69" s="112"/>
      <c r="O69" s="112"/>
      <c r="P69" s="112"/>
      <c r="Q69" s="112"/>
      <c r="R69" s="112"/>
      <c r="S69" s="112"/>
      <c r="T69" s="112"/>
      <c r="U69" s="112"/>
      <c r="V69" s="112"/>
      <c r="W69" s="112"/>
      <c r="X69" s="112"/>
      <c r="Y69" s="112"/>
      <c r="Z69" s="112"/>
      <c r="AA69" s="112"/>
      <c r="AB69" s="112"/>
      <c r="AC69" s="112"/>
      <c r="AD69" s="112"/>
      <c r="AE69" s="112"/>
      <c r="AF69" s="112"/>
      <c r="AG69" s="112"/>
      <c r="AH69" s="30"/>
    </row>
    <row r="70" spans="1:34" ht="15" customHeight="1">
      <c r="A70" s="31"/>
      <c r="B70" s="35" t="s">
        <v>250</v>
      </c>
      <c r="C70" s="35"/>
      <c r="D70" s="35"/>
      <c r="E70" s="35"/>
      <c r="F70" s="35"/>
      <c r="G70" s="35"/>
      <c r="H70" s="35"/>
      <c r="I70" s="35"/>
      <c r="J70" s="35"/>
      <c r="K70" s="35"/>
      <c r="L70" s="35"/>
      <c r="M70" s="35"/>
      <c r="N70" s="35"/>
      <c r="O70" s="35"/>
      <c r="P70" s="35"/>
      <c r="Q70" s="35"/>
      <c r="R70" s="35"/>
      <c r="S70" s="35"/>
      <c r="T70" s="35"/>
      <c r="U70" s="35"/>
      <c r="V70" s="35"/>
      <c r="W70" s="35"/>
      <c r="X70" s="35"/>
      <c r="Y70" s="35"/>
      <c r="Z70" s="35"/>
      <c r="AA70" s="35"/>
      <c r="AB70" s="35"/>
      <c r="AC70" s="35"/>
      <c r="AD70" s="35"/>
      <c r="AE70" s="35"/>
      <c r="AF70" s="35"/>
      <c r="AG70" s="35"/>
      <c r="AH70" s="31"/>
    </row>
    <row r="71" spans="1:34" ht="15" customHeight="1">
      <c r="A71" s="31"/>
      <c r="B71" s="35" t="s">
        <v>410</v>
      </c>
      <c r="C71" s="35"/>
      <c r="D71" s="35"/>
      <c r="E71" s="35"/>
      <c r="F71" s="35"/>
      <c r="G71" s="35"/>
      <c r="H71" s="35"/>
      <c r="I71" s="35"/>
      <c r="J71" s="35"/>
      <c r="K71" s="35"/>
      <c r="L71" s="35"/>
      <c r="M71" s="35"/>
      <c r="N71" s="35"/>
      <c r="O71" s="35"/>
      <c r="P71" s="35"/>
      <c r="Q71" s="35"/>
      <c r="R71" s="35"/>
      <c r="S71" s="35"/>
      <c r="T71" s="35"/>
      <c r="U71" s="35"/>
      <c r="V71" s="35"/>
      <c r="W71" s="35"/>
      <c r="X71" s="35"/>
      <c r="Y71" s="35"/>
      <c r="Z71" s="35"/>
      <c r="AA71" s="35"/>
      <c r="AB71" s="35"/>
      <c r="AC71" s="35"/>
      <c r="AD71" s="35"/>
      <c r="AE71" s="35"/>
      <c r="AF71" s="35"/>
      <c r="AG71" s="35"/>
      <c r="AH71" s="31"/>
    </row>
    <row r="72" spans="1:34" ht="15" customHeight="1">
      <c r="A72" s="31"/>
      <c r="B72" s="35" t="s">
        <v>251</v>
      </c>
      <c r="C72" s="35"/>
      <c r="D72" s="35"/>
      <c r="E72" s="35"/>
      <c r="F72" s="35"/>
      <c r="G72" s="35"/>
      <c r="H72" s="35"/>
      <c r="I72" s="35"/>
      <c r="J72" s="35"/>
      <c r="K72" s="35"/>
      <c r="L72" s="35"/>
      <c r="M72" s="35"/>
      <c r="N72" s="35"/>
      <c r="O72" s="35"/>
      <c r="P72" s="35"/>
      <c r="Q72" s="35"/>
      <c r="R72" s="35"/>
      <c r="S72" s="35"/>
      <c r="T72" s="35"/>
      <c r="U72" s="35"/>
      <c r="V72" s="35"/>
      <c r="W72" s="35"/>
      <c r="X72" s="35"/>
      <c r="Y72" s="35"/>
      <c r="Z72" s="35"/>
      <c r="AA72" s="35"/>
      <c r="AB72" s="35"/>
      <c r="AC72" s="35"/>
      <c r="AD72" s="35"/>
      <c r="AE72" s="35"/>
      <c r="AF72" s="35"/>
      <c r="AG72" s="35"/>
      <c r="AH72" s="31"/>
    </row>
    <row r="73" spans="1:34">
      <c r="A73" s="31"/>
      <c r="B73" s="35" t="s">
        <v>252</v>
      </c>
      <c r="C73" s="35"/>
      <c r="D73" s="35"/>
      <c r="E73" s="35"/>
      <c r="F73" s="35"/>
      <c r="G73" s="35"/>
      <c r="H73" s="35"/>
      <c r="I73" s="35"/>
      <c r="J73" s="35"/>
      <c r="K73" s="35"/>
      <c r="L73" s="35"/>
      <c r="M73" s="35"/>
      <c r="N73" s="35"/>
      <c r="O73" s="35"/>
      <c r="P73" s="35"/>
      <c r="Q73" s="35"/>
      <c r="R73" s="35"/>
      <c r="S73" s="35"/>
      <c r="T73" s="35"/>
      <c r="U73" s="35"/>
      <c r="V73" s="35"/>
      <c r="W73" s="35"/>
      <c r="X73" s="35"/>
      <c r="Y73" s="35"/>
      <c r="Z73" s="35"/>
      <c r="AA73" s="35"/>
      <c r="AB73" s="35"/>
      <c r="AC73" s="35"/>
      <c r="AD73" s="35"/>
      <c r="AE73" s="35"/>
      <c r="AF73" s="35"/>
      <c r="AG73" s="35"/>
      <c r="AH73" s="31"/>
    </row>
    <row r="74" spans="1:34" ht="15" customHeight="1">
      <c r="A74" s="31"/>
      <c r="B74" s="35" t="s">
        <v>411</v>
      </c>
      <c r="C74" s="35"/>
      <c r="D74" s="35"/>
      <c r="E74" s="35"/>
      <c r="F74" s="35"/>
      <c r="G74" s="35"/>
      <c r="H74" s="35"/>
      <c r="I74" s="35"/>
      <c r="J74" s="35"/>
      <c r="K74" s="35"/>
      <c r="L74" s="35"/>
      <c r="M74" s="35"/>
      <c r="N74" s="35"/>
      <c r="O74" s="35"/>
      <c r="P74" s="35"/>
      <c r="Q74" s="35"/>
      <c r="R74" s="35"/>
      <c r="S74" s="35"/>
      <c r="T74" s="35"/>
      <c r="U74" s="35"/>
      <c r="V74" s="35"/>
      <c r="W74" s="35"/>
      <c r="X74" s="35"/>
      <c r="Y74" s="35"/>
      <c r="Z74" s="35"/>
      <c r="AA74" s="35"/>
      <c r="AB74" s="35"/>
      <c r="AC74" s="35"/>
      <c r="AD74" s="35"/>
      <c r="AE74" s="35"/>
      <c r="AF74" s="35"/>
      <c r="AG74" s="35"/>
      <c r="AH74" s="31"/>
    </row>
    <row r="75" spans="1:34" ht="15" customHeight="1">
      <c r="A75" s="31"/>
      <c r="B75" s="35" t="s">
        <v>253</v>
      </c>
      <c r="C75" s="35"/>
      <c r="D75" s="35"/>
      <c r="E75" s="35"/>
      <c r="F75" s="35"/>
      <c r="G75" s="35"/>
      <c r="H75" s="35"/>
      <c r="I75" s="35"/>
      <c r="J75" s="35"/>
      <c r="K75" s="35"/>
      <c r="L75" s="35"/>
      <c r="M75" s="35"/>
      <c r="N75" s="35"/>
      <c r="O75" s="35"/>
      <c r="P75" s="35"/>
      <c r="Q75" s="35"/>
      <c r="R75" s="35"/>
      <c r="S75" s="35"/>
      <c r="T75" s="35"/>
      <c r="U75" s="35"/>
      <c r="V75" s="35"/>
      <c r="W75" s="35"/>
      <c r="X75" s="35"/>
      <c r="Y75" s="35"/>
      <c r="Z75" s="35"/>
      <c r="AA75" s="35"/>
      <c r="AB75" s="35"/>
      <c r="AC75" s="35"/>
      <c r="AD75" s="35"/>
      <c r="AE75" s="35"/>
      <c r="AF75" s="35"/>
      <c r="AG75" s="35"/>
      <c r="AH75" s="31"/>
    </row>
    <row r="76" spans="1:34" ht="15" customHeight="1">
      <c r="A76" s="31"/>
      <c r="B76" s="35" t="s">
        <v>254</v>
      </c>
      <c r="C76" s="35"/>
      <c r="D76" s="35"/>
      <c r="E76" s="35"/>
      <c r="F76" s="35"/>
      <c r="G76" s="35"/>
      <c r="H76" s="35"/>
      <c r="I76" s="35"/>
      <c r="J76" s="35"/>
      <c r="K76" s="35"/>
      <c r="L76" s="35"/>
      <c r="M76" s="35"/>
      <c r="N76" s="35"/>
      <c r="O76" s="35"/>
      <c r="P76" s="35"/>
      <c r="Q76" s="35"/>
      <c r="R76" s="35"/>
      <c r="S76" s="35"/>
      <c r="T76" s="35"/>
      <c r="U76" s="35"/>
      <c r="V76" s="35"/>
      <c r="W76" s="35"/>
      <c r="X76" s="35"/>
      <c r="Y76" s="35"/>
      <c r="Z76" s="35"/>
      <c r="AA76" s="35"/>
      <c r="AB76" s="35"/>
      <c r="AC76" s="35"/>
      <c r="AD76" s="35"/>
      <c r="AE76" s="35"/>
      <c r="AF76" s="35"/>
      <c r="AG76" s="35"/>
      <c r="AH76" s="31"/>
    </row>
    <row r="77" spans="1:34" ht="15" customHeight="1">
      <c r="A77" s="31"/>
      <c r="B77" s="35" t="s">
        <v>255</v>
      </c>
      <c r="C77" s="35"/>
      <c r="D77" s="35"/>
      <c r="E77" s="35"/>
      <c r="F77" s="35"/>
      <c r="G77" s="35"/>
      <c r="H77" s="35"/>
      <c r="I77" s="35"/>
      <c r="J77" s="35"/>
      <c r="K77" s="35"/>
      <c r="L77" s="35"/>
      <c r="M77" s="35"/>
      <c r="N77" s="35"/>
      <c r="O77" s="35"/>
      <c r="P77" s="35"/>
      <c r="Q77" s="35"/>
      <c r="R77" s="35"/>
      <c r="S77" s="35"/>
      <c r="T77" s="35"/>
      <c r="U77" s="35"/>
      <c r="V77" s="35"/>
      <c r="W77" s="35"/>
      <c r="X77" s="35"/>
      <c r="Y77" s="35"/>
      <c r="Z77" s="35"/>
      <c r="AA77" s="35"/>
      <c r="AB77" s="35"/>
      <c r="AC77" s="35"/>
      <c r="AD77" s="35"/>
      <c r="AE77" s="35"/>
      <c r="AF77" s="35"/>
      <c r="AG77" s="35"/>
      <c r="AH77" s="31"/>
    </row>
    <row r="78" spans="1:34" ht="15" customHeight="1">
      <c r="A78" s="31"/>
      <c r="B78" s="35" t="s">
        <v>256</v>
      </c>
      <c r="C78" s="35"/>
      <c r="D78" s="35"/>
      <c r="E78" s="35"/>
      <c r="F78" s="35"/>
      <c r="G78" s="35"/>
      <c r="H78" s="35"/>
      <c r="I78" s="35"/>
      <c r="J78" s="35"/>
      <c r="K78" s="35"/>
      <c r="L78" s="35"/>
      <c r="M78" s="35"/>
      <c r="N78" s="35"/>
      <c r="O78" s="35"/>
      <c r="P78" s="35"/>
      <c r="Q78" s="35"/>
      <c r="R78" s="35"/>
      <c r="S78" s="35"/>
      <c r="T78" s="35"/>
      <c r="U78" s="35"/>
      <c r="V78" s="35"/>
      <c r="W78" s="35"/>
      <c r="X78" s="35"/>
      <c r="Y78" s="35"/>
      <c r="Z78" s="35"/>
      <c r="AA78" s="35"/>
      <c r="AB78" s="35"/>
      <c r="AC78" s="35"/>
      <c r="AD78" s="35"/>
      <c r="AE78" s="35"/>
      <c r="AF78" s="35"/>
      <c r="AG78" s="35"/>
      <c r="AH78" s="31"/>
    </row>
    <row r="79" spans="1:34">
      <c r="A79" s="31"/>
      <c r="B79" s="35" t="s">
        <v>412</v>
      </c>
      <c r="C79" s="35"/>
      <c r="D79" s="35"/>
      <c r="E79" s="35"/>
      <c r="F79" s="35"/>
      <c r="G79" s="35"/>
      <c r="H79" s="35"/>
      <c r="I79" s="35"/>
      <c r="J79" s="35"/>
      <c r="K79" s="35"/>
      <c r="L79" s="35"/>
      <c r="M79" s="35"/>
      <c r="N79" s="35"/>
      <c r="O79" s="35"/>
      <c r="P79" s="35"/>
      <c r="Q79" s="35"/>
      <c r="R79" s="35"/>
      <c r="S79" s="35"/>
      <c r="T79" s="35"/>
      <c r="U79" s="35"/>
      <c r="V79" s="35"/>
      <c r="W79" s="35"/>
      <c r="X79" s="35"/>
      <c r="Y79" s="35"/>
      <c r="Z79" s="35"/>
      <c r="AA79" s="35"/>
      <c r="AB79" s="35"/>
      <c r="AC79" s="35"/>
      <c r="AD79" s="35"/>
      <c r="AE79" s="35"/>
      <c r="AF79" s="35"/>
      <c r="AG79" s="35"/>
      <c r="AH79" s="31"/>
    </row>
    <row r="80" spans="1:34" ht="15" customHeight="1">
      <c r="A80" s="31"/>
      <c r="B80" s="35" t="s">
        <v>257</v>
      </c>
      <c r="C80" s="35"/>
      <c r="D80" s="35"/>
      <c r="E80" s="35"/>
      <c r="F80" s="35"/>
      <c r="G80" s="35"/>
      <c r="H80" s="35"/>
      <c r="I80" s="35"/>
      <c r="J80" s="35"/>
      <c r="K80" s="35"/>
      <c r="L80" s="35"/>
      <c r="M80" s="35"/>
      <c r="N80" s="35"/>
      <c r="O80" s="35"/>
      <c r="P80" s="35"/>
      <c r="Q80" s="35"/>
      <c r="R80" s="35"/>
      <c r="S80" s="35"/>
      <c r="T80" s="35"/>
      <c r="U80" s="35"/>
      <c r="V80" s="35"/>
      <c r="W80" s="35"/>
      <c r="X80" s="35"/>
      <c r="Y80" s="35"/>
      <c r="Z80" s="35"/>
      <c r="AA80" s="35"/>
      <c r="AB80" s="35"/>
      <c r="AC80" s="35"/>
      <c r="AD80" s="35"/>
      <c r="AE80" s="35"/>
      <c r="AF80" s="35"/>
      <c r="AG80" s="35"/>
      <c r="AH80" s="31"/>
    </row>
    <row r="81" spans="2:33">
      <c r="B81" s="35" t="s">
        <v>258</v>
      </c>
      <c r="C81" s="35"/>
      <c r="D81" s="35"/>
      <c r="E81" s="35"/>
      <c r="F81" s="35"/>
      <c r="G81" s="35"/>
      <c r="H81" s="35"/>
      <c r="I81" s="35"/>
      <c r="J81" s="35"/>
      <c r="K81" s="35"/>
      <c r="L81" s="35"/>
      <c r="M81" s="35"/>
      <c r="N81" s="35"/>
      <c r="O81" s="35"/>
      <c r="P81" s="35"/>
      <c r="Q81" s="35"/>
      <c r="R81" s="35"/>
      <c r="S81" s="35"/>
      <c r="T81" s="35"/>
      <c r="U81" s="35"/>
      <c r="V81" s="35"/>
      <c r="W81" s="35"/>
      <c r="X81" s="35"/>
      <c r="Y81" s="35"/>
      <c r="Z81" s="35"/>
      <c r="AA81" s="35"/>
      <c r="AB81" s="35"/>
      <c r="AC81" s="35"/>
      <c r="AD81" s="35"/>
      <c r="AE81" s="35"/>
      <c r="AF81" s="35"/>
      <c r="AG81" s="35"/>
    </row>
    <row r="82" spans="2:33" ht="15" customHeight="1">
      <c r="B82" s="35" t="s">
        <v>413</v>
      </c>
      <c r="C82" s="35"/>
      <c r="D82" s="35"/>
      <c r="E82" s="35"/>
      <c r="F82" s="35"/>
      <c r="G82" s="35"/>
      <c r="H82" s="35"/>
      <c r="I82" s="35"/>
      <c r="J82" s="35"/>
      <c r="K82" s="35"/>
      <c r="L82" s="35"/>
      <c r="M82" s="35"/>
      <c r="N82" s="35"/>
      <c r="O82" s="35"/>
      <c r="P82" s="35"/>
      <c r="Q82" s="35"/>
      <c r="R82" s="35"/>
      <c r="S82" s="35"/>
      <c r="T82" s="35"/>
      <c r="U82" s="35"/>
      <c r="V82" s="35"/>
      <c r="W82" s="35"/>
      <c r="X82" s="35"/>
      <c r="Y82" s="35"/>
      <c r="Z82" s="35"/>
      <c r="AA82" s="35"/>
      <c r="AB82" s="35"/>
      <c r="AC82" s="35"/>
      <c r="AD82" s="35"/>
      <c r="AE82" s="35"/>
      <c r="AF82" s="35"/>
      <c r="AG82" s="35"/>
    </row>
    <row r="83" spans="2:33" ht="15" customHeight="1">
      <c r="B83" s="35" t="s">
        <v>414</v>
      </c>
      <c r="C83" s="35"/>
      <c r="D83" s="35"/>
      <c r="E83" s="35"/>
      <c r="F83" s="35"/>
      <c r="G83" s="35"/>
      <c r="H83" s="35"/>
      <c r="I83" s="35"/>
      <c r="J83" s="35"/>
      <c r="K83" s="35"/>
      <c r="L83" s="35"/>
      <c r="M83" s="35"/>
      <c r="N83" s="35"/>
      <c r="O83" s="35"/>
      <c r="P83" s="35"/>
      <c r="Q83" s="35"/>
      <c r="R83" s="35"/>
      <c r="S83" s="35"/>
      <c r="T83" s="35"/>
      <c r="U83" s="35"/>
      <c r="V83" s="35"/>
      <c r="W83" s="35"/>
      <c r="X83" s="35"/>
      <c r="Y83" s="35"/>
      <c r="Z83" s="35"/>
      <c r="AA83" s="35"/>
      <c r="AB83" s="35"/>
      <c r="AC83" s="35"/>
      <c r="AD83" s="35"/>
      <c r="AE83" s="35"/>
      <c r="AF83" s="35"/>
      <c r="AG83" s="35"/>
    </row>
    <row r="84" spans="2:33" ht="15" customHeight="1">
      <c r="B84" s="35" t="s">
        <v>259</v>
      </c>
      <c r="C84" s="35"/>
      <c r="D84" s="35"/>
      <c r="E84" s="35"/>
      <c r="F84" s="35"/>
      <c r="G84" s="35"/>
      <c r="H84" s="35"/>
      <c r="I84" s="35"/>
      <c r="J84" s="35"/>
      <c r="K84" s="35"/>
      <c r="L84" s="35"/>
      <c r="M84" s="35"/>
      <c r="N84" s="35"/>
      <c r="O84" s="35"/>
      <c r="P84" s="35"/>
      <c r="Q84" s="35"/>
      <c r="R84" s="35"/>
      <c r="S84" s="35"/>
      <c r="T84" s="35"/>
      <c r="U84" s="35"/>
      <c r="V84" s="35"/>
      <c r="W84" s="35"/>
      <c r="X84" s="35"/>
      <c r="Y84" s="35"/>
      <c r="Z84" s="35"/>
      <c r="AA84" s="35"/>
      <c r="AB84" s="35"/>
      <c r="AC84" s="35"/>
      <c r="AD84" s="35"/>
      <c r="AE84" s="35"/>
      <c r="AF84" s="35"/>
      <c r="AG84" s="35"/>
    </row>
    <row r="85" spans="2:33" ht="15" customHeight="1">
      <c r="B85" s="35" t="s">
        <v>260</v>
      </c>
      <c r="C85" s="35"/>
      <c r="D85" s="35"/>
      <c r="E85" s="35"/>
      <c r="F85" s="35"/>
      <c r="G85" s="35"/>
      <c r="H85" s="35"/>
      <c r="I85" s="35"/>
      <c r="J85" s="35"/>
      <c r="K85" s="35"/>
      <c r="L85" s="35"/>
      <c r="M85" s="35"/>
      <c r="N85" s="35"/>
      <c r="O85" s="35"/>
      <c r="P85" s="35"/>
      <c r="Q85" s="35"/>
      <c r="R85" s="35"/>
      <c r="S85" s="35"/>
      <c r="T85" s="35"/>
      <c r="U85" s="35"/>
      <c r="V85" s="35"/>
      <c r="W85" s="35"/>
      <c r="X85" s="35"/>
      <c r="Y85" s="35"/>
      <c r="Z85" s="35"/>
      <c r="AA85" s="35"/>
      <c r="AB85" s="35"/>
      <c r="AC85" s="35"/>
      <c r="AD85" s="35"/>
      <c r="AE85" s="35"/>
      <c r="AF85" s="35"/>
      <c r="AG85" s="35"/>
    </row>
    <row r="86" spans="2:33" ht="15" customHeight="1">
      <c r="B86" s="35" t="s">
        <v>261</v>
      </c>
      <c r="C86" s="35"/>
      <c r="D86" s="35"/>
      <c r="E86" s="35"/>
      <c r="F86" s="35"/>
      <c r="G86" s="35"/>
      <c r="H86" s="35"/>
      <c r="I86" s="35"/>
      <c r="J86" s="35"/>
      <c r="K86" s="35"/>
      <c r="L86" s="35"/>
      <c r="M86" s="35"/>
      <c r="N86" s="35"/>
      <c r="O86" s="35"/>
      <c r="P86" s="35"/>
      <c r="Q86" s="35"/>
      <c r="R86" s="35"/>
      <c r="S86" s="35"/>
      <c r="T86" s="35"/>
      <c r="U86" s="35"/>
      <c r="V86" s="35"/>
      <c r="W86" s="35"/>
      <c r="X86" s="35"/>
      <c r="Y86" s="35"/>
      <c r="Z86" s="35"/>
      <c r="AA86" s="35"/>
      <c r="AB86" s="35"/>
      <c r="AC86" s="35"/>
      <c r="AD86" s="35"/>
      <c r="AE86" s="35"/>
      <c r="AF86" s="35"/>
      <c r="AG86" s="35"/>
    </row>
    <row r="87" spans="2:33" ht="15" customHeight="1">
      <c r="B87" s="35" t="s">
        <v>262</v>
      </c>
      <c r="C87" s="35"/>
      <c r="D87" s="35"/>
      <c r="E87" s="35"/>
      <c r="F87" s="35"/>
      <c r="G87" s="35"/>
      <c r="H87" s="35"/>
      <c r="I87" s="35"/>
      <c r="J87" s="35"/>
      <c r="K87" s="35"/>
      <c r="L87" s="35"/>
      <c r="M87" s="35"/>
      <c r="N87" s="35"/>
      <c r="O87" s="35"/>
      <c r="P87" s="35"/>
      <c r="Q87" s="35"/>
      <c r="R87" s="35"/>
      <c r="S87" s="35"/>
      <c r="T87" s="35"/>
      <c r="U87" s="35"/>
      <c r="V87" s="35"/>
      <c r="W87" s="35"/>
      <c r="X87" s="35"/>
      <c r="Y87" s="35"/>
      <c r="Z87" s="35"/>
      <c r="AA87" s="35"/>
      <c r="AB87" s="35"/>
      <c r="AC87" s="35"/>
      <c r="AD87" s="35"/>
      <c r="AE87" s="35"/>
      <c r="AF87" s="35"/>
      <c r="AG87" s="35"/>
    </row>
    <row r="88" spans="2:33" ht="15" customHeight="1">
      <c r="B88" s="35" t="s">
        <v>263</v>
      </c>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c r="AD88" s="35"/>
      <c r="AE88" s="35"/>
      <c r="AF88" s="35"/>
      <c r="AG88" s="35"/>
    </row>
    <row r="89" spans="2:33" ht="15" customHeight="1">
      <c r="B89" s="35" t="s">
        <v>415</v>
      </c>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c r="AD89" s="35"/>
      <c r="AE89" s="35"/>
      <c r="AF89" s="35"/>
      <c r="AG89" s="35"/>
    </row>
    <row r="90" spans="2:33" ht="15" customHeight="1">
      <c r="B90" s="35" t="s">
        <v>416</v>
      </c>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c r="AD90" s="35"/>
      <c r="AE90" s="35"/>
      <c r="AF90" s="35"/>
      <c r="AG90" s="35"/>
    </row>
    <row r="91" spans="2:33" ht="15" customHeight="1">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c r="AD91" s="35"/>
      <c r="AE91" s="35"/>
      <c r="AF91" s="35"/>
      <c r="AG91" s="35"/>
    </row>
    <row r="92" spans="2:33">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c r="AD92" s="35"/>
      <c r="AE92" s="35"/>
      <c r="AF92" s="35"/>
      <c r="AG92" s="35"/>
    </row>
    <row r="93" spans="2:33" ht="15" customHeight="1">
      <c r="B93" s="35"/>
      <c r="C93" s="35"/>
      <c r="D93" s="35"/>
      <c r="E93" s="35"/>
      <c r="F93" s="35"/>
      <c r="G93" s="35"/>
      <c r="H93" s="35"/>
      <c r="I93" s="35"/>
      <c r="J93" s="35"/>
      <c r="K93" s="35"/>
      <c r="L93" s="35"/>
      <c r="M93" s="35"/>
      <c r="N93" s="35"/>
      <c r="O93" s="35"/>
      <c r="P93" s="35"/>
      <c r="Q93" s="35"/>
      <c r="R93" s="35"/>
      <c r="S93" s="35"/>
      <c r="T93" s="35"/>
      <c r="U93" s="35"/>
      <c r="V93" s="35"/>
      <c r="W93" s="35"/>
      <c r="X93" s="35"/>
      <c r="Y93" s="35"/>
      <c r="Z93" s="35"/>
      <c r="AA93" s="35"/>
      <c r="AB93" s="35"/>
      <c r="AC93" s="35"/>
      <c r="AD93" s="35"/>
      <c r="AE93" s="35"/>
      <c r="AF93" s="35"/>
      <c r="AG93" s="35"/>
    </row>
    <row r="94" spans="2:33" ht="15" customHeight="1">
      <c r="B94" s="35"/>
      <c r="C94" s="35"/>
      <c r="D94" s="35"/>
      <c r="E94" s="35"/>
      <c r="F94" s="35"/>
      <c r="G94" s="35"/>
      <c r="H94" s="35"/>
      <c r="I94" s="35"/>
      <c r="J94" s="35"/>
      <c r="K94" s="35"/>
      <c r="L94" s="35"/>
      <c r="M94" s="35"/>
      <c r="N94" s="35"/>
      <c r="O94" s="35"/>
      <c r="P94" s="35"/>
      <c r="Q94" s="35"/>
      <c r="R94" s="35"/>
      <c r="S94" s="35"/>
      <c r="T94" s="35"/>
      <c r="U94" s="35"/>
      <c r="V94" s="35"/>
      <c r="W94" s="35"/>
      <c r="X94" s="35"/>
      <c r="Y94" s="35"/>
      <c r="Z94" s="35"/>
      <c r="AA94" s="35"/>
      <c r="AB94" s="35"/>
      <c r="AC94" s="35"/>
      <c r="AD94" s="35"/>
      <c r="AE94" s="35"/>
      <c r="AF94" s="35"/>
      <c r="AG94" s="35"/>
    </row>
    <row r="95" spans="2:33" ht="15" customHeight="1">
      <c r="B95" s="35"/>
      <c r="C95" s="35"/>
      <c r="D95" s="35"/>
      <c r="E95" s="35"/>
      <c r="F95" s="35"/>
      <c r="G95" s="35"/>
      <c r="H95" s="35"/>
      <c r="I95" s="35"/>
      <c r="J95" s="35"/>
      <c r="K95" s="35"/>
      <c r="L95" s="35"/>
      <c r="M95" s="35"/>
      <c r="N95" s="35"/>
      <c r="O95" s="35"/>
      <c r="P95" s="35"/>
      <c r="Q95" s="35"/>
      <c r="R95" s="35"/>
      <c r="S95" s="35"/>
      <c r="T95" s="35"/>
      <c r="U95" s="35"/>
      <c r="V95" s="35"/>
      <c r="W95" s="35"/>
      <c r="X95" s="35"/>
      <c r="Y95" s="35"/>
      <c r="Z95" s="35"/>
      <c r="AA95" s="35"/>
      <c r="AB95" s="35"/>
      <c r="AC95" s="35"/>
      <c r="AD95" s="35"/>
      <c r="AE95" s="35"/>
      <c r="AF95" s="35"/>
      <c r="AG95" s="35"/>
    </row>
    <row r="96" spans="2:33" ht="15" customHeight="1">
      <c r="B96" s="35"/>
      <c r="C96" s="35"/>
      <c r="D96" s="35"/>
      <c r="E96" s="35"/>
      <c r="F96" s="35"/>
      <c r="G96" s="35"/>
      <c r="H96" s="35"/>
      <c r="I96" s="35"/>
      <c r="J96" s="35"/>
      <c r="K96" s="35"/>
      <c r="L96" s="35"/>
      <c r="M96" s="35"/>
      <c r="N96" s="35"/>
      <c r="O96" s="35"/>
      <c r="P96" s="35"/>
      <c r="Q96" s="35"/>
      <c r="R96" s="35"/>
      <c r="S96" s="35"/>
      <c r="T96" s="35"/>
      <c r="U96" s="35"/>
      <c r="V96" s="35"/>
      <c r="W96" s="35"/>
      <c r="X96" s="35"/>
      <c r="Y96" s="35"/>
      <c r="Z96" s="35"/>
      <c r="AA96" s="35"/>
      <c r="AB96" s="35"/>
      <c r="AC96" s="35"/>
      <c r="AD96" s="35"/>
      <c r="AE96" s="35"/>
      <c r="AF96" s="35"/>
      <c r="AG96" s="35"/>
    </row>
    <row r="97" spans="2:33" ht="15" customHeight="1">
      <c r="B97" s="35"/>
      <c r="C97" s="35"/>
      <c r="D97" s="35"/>
      <c r="E97" s="35"/>
      <c r="F97" s="35"/>
      <c r="G97" s="35"/>
      <c r="H97" s="35"/>
      <c r="I97" s="35"/>
      <c r="J97" s="35"/>
      <c r="K97" s="35"/>
      <c r="L97" s="35"/>
      <c r="M97" s="35"/>
      <c r="N97" s="35"/>
      <c r="O97" s="35"/>
      <c r="P97" s="35"/>
      <c r="Q97" s="35"/>
      <c r="R97" s="35"/>
      <c r="S97" s="35"/>
      <c r="T97" s="35"/>
      <c r="U97" s="35"/>
      <c r="V97" s="35"/>
      <c r="W97" s="35"/>
      <c r="X97" s="35"/>
      <c r="Y97" s="35"/>
      <c r="Z97" s="35"/>
      <c r="AA97" s="35"/>
      <c r="AB97" s="35"/>
      <c r="AC97" s="35"/>
      <c r="AD97" s="35"/>
      <c r="AE97" s="35"/>
      <c r="AF97" s="35"/>
      <c r="AG97" s="35"/>
    </row>
    <row r="98" spans="2:33" ht="15" customHeight="1">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35"/>
      <c r="AC98" s="35"/>
      <c r="AD98" s="35"/>
      <c r="AE98" s="35"/>
      <c r="AF98" s="35"/>
      <c r="AG98" s="35"/>
    </row>
    <row r="99" spans="2:33" ht="15" customHeight="1">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35"/>
      <c r="AB99" s="35"/>
      <c r="AC99" s="35"/>
      <c r="AD99" s="35"/>
      <c r="AE99" s="35"/>
      <c r="AF99" s="35"/>
      <c r="AG99" s="35"/>
    </row>
    <row r="100" spans="2:33" ht="15" customHeight="1">
      <c r="B100" s="35"/>
      <c r="C100" s="35"/>
      <c r="D100" s="35"/>
      <c r="E100" s="35"/>
      <c r="F100" s="35"/>
      <c r="G100" s="35"/>
      <c r="H100" s="35"/>
      <c r="I100" s="35"/>
      <c r="J100" s="35"/>
      <c r="K100" s="35"/>
      <c r="L100" s="35"/>
      <c r="M100" s="35"/>
      <c r="N100" s="35"/>
      <c r="O100" s="35"/>
      <c r="P100" s="35"/>
      <c r="Q100" s="35"/>
      <c r="R100" s="35"/>
      <c r="S100" s="35"/>
      <c r="T100" s="35"/>
      <c r="U100" s="35"/>
      <c r="V100" s="35"/>
      <c r="W100" s="35"/>
      <c r="X100" s="35"/>
      <c r="Y100" s="35"/>
      <c r="Z100" s="35"/>
      <c r="AA100" s="35"/>
      <c r="AB100" s="35"/>
      <c r="AC100" s="35"/>
      <c r="AD100" s="35"/>
      <c r="AE100" s="35"/>
      <c r="AF100" s="35"/>
      <c r="AG100" s="35"/>
    </row>
    <row r="101" spans="2:33">
      <c r="B101" s="35"/>
      <c r="C101" s="35"/>
      <c r="D101" s="35"/>
      <c r="E101" s="35"/>
      <c r="F101" s="35"/>
      <c r="G101" s="35"/>
      <c r="H101" s="35"/>
      <c r="I101" s="35"/>
      <c r="J101" s="35"/>
      <c r="K101" s="35"/>
      <c r="L101" s="35"/>
      <c r="M101" s="35"/>
      <c r="N101" s="35"/>
      <c r="O101" s="35"/>
      <c r="P101" s="35"/>
      <c r="Q101" s="35"/>
      <c r="R101" s="35"/>
      <c r="S101" s="35"/>
      <c r="T101" s="35"/>
      <c r="U101" s="35"/>
      <c r="V101" s="35"/>
      <c r="W101" s="35"/>
      <c r="X101" s="35"/>
      <c r="Y101" s="35"/>
      <c r="Z101" s="35"/>
      <c r="AA101" s="35"/>
      <c r="AB101" s="35"/>
      <c r="AC101" s="35"/>
      <c r="AD101" s="35"/>
      <c r="AE101" s="35"/>
      <c r="AF101" s="35"/>
      <c r="AG101" s="35"/>
    </row>
    <row r="102" spans="2:33">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35"/>
    </row>
    <row r="103" spans="2:33" ht="15" customHeight="1">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35"/>
    </row>
    <row r="104" spans="2:33" ht="15" customHeight="1">
      <c r="B104" s="35"/>
      <c r="C104" s="35"/>
      <c r="D104" s="35"/>
      <c r="E104" s="35"/>
      <c r="F104" s="35"/>
      <c r="G104" s="35"/>
      <c r="H104" s="35"/>
      <c r="I104" s="35"/>
      <c r="J104" s="35"/>
      <c r="K104" s="35"/>
      <c r="L104" s="35"/>
      <c r="M104" s="35"/>
      <c r="N104" s="35"/>
      <c r="O104" s="35"/>
      <c r="P104" s="35"/>
      <c r="Q104" s="35"/>
      <c r="R104" s="35"/>
      <c r="S104" s="35"/>
      <c r="T104" s="35"/>
      <c r="U104" s="35"/>
      <c r="V104" s="35"/>
      <c r="W104" s="35"/>
      <c r="X104" s="35"/>
      <c r="Y104" s="35"/>
      <c r="Z104" s="35"/>
      <c r="AA104" s="35"/>
      <c r="AB104" s="35"/>
      <c r="AC104" s="35"/>
      <c r="AD104" s="35"/>
      <c r="AE104" s="35"/>
      <c r="AF104" s="35"/>
      <c r="AG104" s="35"/>
    </row>
    <row r="105" spans="2:33" ht="15" customHeight="1">
      <c r="B105" s="35"/>
      <c r="C105" s="35"/>
      <c r="D105" s="35"/>
      <c r="E105" s="35"/>
      <c r="F105" s="35"/>
      <c r="G105" s="35"/>
      <c r="H105" s="35"/>
      <c r="I105" s="35"/>
      <c r="J105" s="35"/>
      <c r="K105" s="35"/>
      <c r="L105" s="35"/>
      <c r="M105" s="35"/>
      <c r="N105" s="35"/>
      <c r="O105" s="35"/>
      <c r="P105" s="35"/>
      <c r="Q105" s="35"/>
      <c r="R105" s="35"/>
      <c r="S105" s="35"/>
      <c r="T105" s="35"/>
      <c r="U105" s="35"/>
      <c r="V105" s="35"/>
      <c r="W105" s="35"/>
      <c r="X105" s="35"/>
      <c r="Y105" s="35"/>
      <c r="Z105" s="35"/>
      <c r="AA105" s="35"/>
      <c r="AB105" s="35"/>
      <c r="AC105" s="35"/>
      <c r="AD105" s="35"/>
      <c r="AE105" s="35"/>
      <c r="AF105" s="35"/>
      <c r="AG105" s="35"/>
    </row>
    <row r="106" spans="2:33" ht="15" customHeight="1">
      <c r="B106" s="35"/>
      <c r="C106" s="35"/>
      <c r="D106" s="35"/>
      <c r="E106" s="35"/>
      <c r="F106" s="35"/>
      <c r="G106" s="35"/>
      <c r="H106" s="35"/>
      <c r="I106" s="35"/>
      <c r="J106" s="35"/>
      <c r="K106" s="35"/>
      <c r="L106" s="35"/>
      <c r="M106" s="35"/>
      <c r="N106" s="35"/>
      <c r="O106" s="35"/>
      <c r="P106" s="35"/>
      <c r="Q106" s="35"/>
      <c r="R106" s="35"/>
      <c r="S106" s="35"/>
      <c r="T106" s="35"/>
      <c r="U106" s="35"/>
      <c r="V106" s="35"/>
      <c r="W106" s="35"/>
      <c r="X106" s="35"/>
      <c r="Y106" s="35"/>
      <c r="Z106" s="35"/>
      <c r="AA106" s="35"/>
      <c r="AB106" s="35"/>
      <c r="AC106" s="35"/>
      <c r="AD106" s="35"/>
      <c r="AE106" s="35"/>
      <c r="AF106" s="35"/>
      <c r="AG106" s="35"/>
    </row>
    <row r="107" spans="2:33" ht="15" customHeight="1">
      <c r="B107" s="35"/>
      <c r="C107" s="35"/>
      <c r="D107" s="35"/>
      <c r="E107" s="35"/>
      <c r="F107" s="35"/>
      <c r="G107" s="35"/>
      <c r="H107" s="35"/>
      <c r="I107" s="35"/>
      <c r="J107" s="35"/>
      <c r="K107" s="35"/>
      <c r="L107" s="35"/>
      <c r="M107" s="35"/>
      <c r="N107" s="35"/>
      <c r="O107" s="35"/>
      <c r="P107" s="35"/>
      <c r="Q107" s="35"/>
      <c r="R107" s="35"/>
      <c r="S107" s="35"/>
      <c r="T107" s="35"/>
      <c r="U107" s="35"/>
      <c r="V107" s="35"/>
      <c r="W107" s="35"/>
      <c r="X107" s="35"/>
      <c r="Y107" s="35"/>
      <c r="Z107" s="35"/>
      <c r="AA107" s="35"/>
      <c r="AB107" s="35"/>
      <c r="AC107" s="35"/>
      <c r="AD107" s="35"/>
      <c r="AE107" s="35"/>
      <c r="AF107" s="35"/>
      <c r="AG107" s="35"/>
    </row>
    <row r="108" spans="2:33" ht="15" customHeight="1">
      <c r="B108" s="35"/>
      <c r="C108" s="35"/>
      <c r="D108" s="35"/>
      <c r="E108" s="35"/>
      <c r="F108" s="35"/>
      <c r="G108" s="35"/>
      <c r="H108" s="35"/>
      <c r="I108" s="35"/>
      <c r="J108" s="35"/>
      <c r="K108" s="35"/>
      <c r="L108" s="35"/>
      <c r="M108" s="35"/>
      <c r="N108" s="35"/>
      <c r="O108" s="35"/>
      <c r="P108" s="35"/>
      <c r="Q108" s="35"/>
      <c r="R108" s="35"/>
      <c r="S108" s="35"/>
      <c r="T108" s="35"/>
      <c r="U108" s="35"/>
      <c r="V108" s="35"/>
      <c r="W108" s="35"/>
      <c r="X108" s="35"/>
      <c r="Y108" s="35"/>
      <c r="Z108" s="35"/>
      <c r="AA108" s="35"/>
      <c r="AB108" s="35"/>
      <c r="AC108" s="35"/>
      <c r="AD108" s="35"/>
      <c r="AE108" s="35"/>
      <c r="AF108" s="35"/>
      <c r="AG108" s="35"/>
    </row>
    <row r="109" spans="2:33" ht="15" customHeight="1">
      <c r="B109" s="35"/>
      <c r="C109" s="35"/>
      <c r="D109" s="35"/>
      <c r="E109" s="35"/>
      <c r="F109" s="35"/>
      <c r="G109" s="35"/>
      <c r="H109" s="35"/>
      <c r="I109" s="35"/>
      <c r="J109" s="35"/>
      <c r="K109" s="35"/>
      <c r="L109" s="35"/>
      <c r="M109" s="35"/>
      <c r="N109" s="35"/>
      <c r="O109" s="35"/>
      <c r="P109" s="35"/>
      <c r="Q109" s="35"/>
      <c r="R109" s="35"/>
      <c r="S109" s="35"/>
      <c r="T109" s="35"/>
      <c r="U109" s="35"/>
      <c r="V109" s="35"/>
      <c r="W109" s="35"/>
      <c r="X109" s="35"/>
      <c r="Y109" s="35"/>
      <c r="Z109" s="35"/>
      <c r="AA109" s="35"/>
      <c r="AB109" s="35"/>
      <c r="AC109" s="35"/>
      <c r="AD109" s="35"/>
      <c r="AE109" s="35"/>
      <c r="AF109" s="35"/>
      <c r="AG109" s="35"/>
    </row>
    <row r="110" spans="2:33" ht="15" customHeight="1"/>
    <row r="111" spans="2:33" ht="15" customHeight="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2:33" ht="15" customHeight="1">
      <c r="B112" s="110"/>
      <c r="C112" s="110"/>
      <c r="D112" s="110"/>
      <c r="E112" s="110"/>
      <c r="F112" s="110"/>
      <c r="G112" s="110"/>
      <c r="H112" s="110"/>
      <c r="I112" s="110"/>
      <c r="J112" s="110"/>
      <c r="K112" s="110"/>
      <c r="L112" s="110"/>
      <c r="M112" s="110"/>
      <c r="N112" s="110"/>
      <c r="O112" s="110"/>
      <c r="P112" s="110"/>
      <c r="Q112" s="110"/>
      <c r="R112" s="110"/>
      <c r="S112" s="110"/>
      <c r="T112" s="110"/>
      <c r="U112" s="110"/>
      <c r="V112" s="110"/>
      <c r="W112" s="110"/>
      <c r="X112" s="110"/>
      <c r="Y112" s="110"/>
      <c r="Z112" s="110"/>
      <c r="AA112" s="110"/>
      <c r="AB112" s="110"/>
      <c r="AC112" s="110"/>
      <c r="AD112" s="110"/>
      <c r="AE112" s="110"/>
      <c r="AF112" s="110"/>
      <c r="AG112" s="3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row>
    <row r="308" spans="2:32" ht="15" customHeight="1">
      <c r="B308" s="110"/>
      <c r="C308" s="110"/>
      <c r="D308" s="110"/>
      <c r="E308" s="110"/>
      <c r="F308" s="110"/>
      <c r="G308" s="110"/>
      <c r="H308" s="110"/>
      <c r="I308" s="110"/>
      <c r="J308" s="110"/>
      <c r="K308" s="110"/>
      <c r="L308" s="110"/>
      <c r="M308" s="110"/>
      <c r="N308" s="110"/>
      <c r="O308" s="110"/>
      <c r="P308" s="110"/>
      <c r="Q308" s="110"/>
      <c r="R308" s="110"/>
      <c r="S308" s="110"/>
      <c r="T308" s="110"/>
      <c r="U308" s="110"/>
      <c r="V308" s="110"/>
      <c r="W308" s="110"/>
      <c r="X308" s="110"/>
      <c r="Y308" s="110"/>
      <c r="Z308" s="110"/>
      <c r="AA308" s="110"/>
      <c r="AB308" s="110"/>
      <c r="AC308" s="110"/>
      <c r="AD308" s="110"/>
      <c r="AE308" s="110"/>
      <c r="AF308" s="110"/>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31"/>
      <c r="C499" s="31"/>
      <c r="D499" s="31"/>
      <c r="E499" s="31"/>
      <c r="F499" s="31"/>
      <c r="G499" s="31"/>
      <c r="H499" s="31"/>
      <c r="I499" s="31"/>
      <c r="J499" s="31"/>
      <c r="K499" s="31"/>
      <c r="L499" s="31"/>
      <c r="M499" s="31"/>
      <c r="N499" s="31"/>
      <c r="O499" s="31"/>
      <c r="P499" s="31"/>
      <c r="Q499" s="31"/>
      <c r="R499" s="31"/>
      <c r="S499" s="31"/>
      <c r="T499" s="31"/>
      <c r="U499" s="31"/>
      <c r="V499" s="31"/>
      <c r="W499" s="31"/>
      <c r="X499" s="31"/>
      <c r="Y499" s="31"/>
      <c r="Z499" s="31"/>
      <c r="AA499" s="31"/>
      <c r="AB499" s="31"/>
      <c r="AC499" s="31"/>
      <c r="AD499" s="31"/>
      <c r="AE499" s="31"/>
      <c r="AF499" s="31"/>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31"/>
      <c r="C509" s="31"/>
      <c r="D509" s="31"/>
      <c r="E509" s="31"/>
      <c r="F509" s="31"/>
      <c r="G509" s="31"/>
      <c r="H509" s="31"/>
      <c r="I509" s="31"/>
      <c r="J509" s="31"/>
      <c r="K509" s="31"/>
      <c r="L509" s="31"/>
      <c r="M509" s="31"/>
      <c r="N509" s="31"/>
      <c r="O509" s="31"/>
      <c r="P509" s="31"/>
      <c r="Q509" s="31"/>
      <c r="R509" s="31"/>
      <c r="S509" s="31"/>
      <c r="T509" s="31"/>
      <c r="U509" s="31"/>
      <c r="V509" s="31"/>
      <c r="W509" s="31"/>
      <c r="X509" s="31"/>
      <c r="Y509" s="31"/>
      <c r="Z509" s="31"/>
      <c r="AA509" s="31"/>
      <c r="AB509" s="31"/>
      <c r="AC509" s="31"/>
      <c r="AD509" s="31"/>
      <c r="AE509" s="31"/>
      <c r="AF509" s="31"/>
    </row>
    <row r="510" spans="2:32" ht="15" customHeight="1">
      <c r="B510" s="31"/>
      <c r="C510" s="31"/>
      <c r="D510" s="31"/>
      <c r="E510" s="31"/>
      <c r="F510" s="31"/>
      <c r="G510" s="31"/>
      <c r="H510" s="31"/>
      <c r="I510" s="31"/>
      <c r="J510" s="31"/>
      <c r="K510" s="31"/>
      <c r="L510" s="31"/>
      <c r="M510" s="31"/>
      <c r="N510" s="31"/>
      <c r="O510" s="31"/>
      <c r="P510" s="31"/>
      <c r="Q510" s="31"/>
      <c r="R510" s="31"/>
      <c r="S510" s="31"/>
      <c r="T510" s="31"/>
      <c r="U510" s="31"/>
      <c r="V510" s="31"/>
      <c r="W510" s="31"/>
      <c r="X510" s="31"/>
      <c r="Y510" s="31"/>
      <c r="Z510" s="31"/>
      <c r="AA510" s="31"/>
      <c r="AB510" s="31"/>
      <c r="AC510" s="31"/>
      <c r="AD510" s="31"/>
      <c r="AE510" s="31"/>
      <c r="AF510" s="31"/>
    </row>
    <row r="511" spans="2:32" ht="15" customHeight="1">
      <c r="B511" s="110"/>
      <c r="C511" s="110"/>
      <c r="D511" s="110"/>
      <c r="E511" s="110"/>
      <c r="F511" s="110"/>
      <c r="G511" s="110"/>
      <c r="H511" s="110"/>
      <c r="I511" s="110"/>
      <c r="J511" s="110"/>
      <c r="K511" s="110"/>
      <c r="L511" s="110"/>
      <c r="M511" s="110"/>
      <c r="N511" s="110"/>
      <c r="O511" s="110"/>
      <c r="P511" s="110"/>
      <c r="Q511" s="110"/>
      <c r="R511" s="110"/>
      <c r="S511" s="110"/>
      <c r="T511" s="110"/>
      <c r="U511" s="110"/>
      <c r="V511" s="110"/>
      <c r="W511" s="110"/>
      <c r="X511" s="110"/>
      <c r="Y511" s="110"/>
      <c r="Z511" s="110"/>
      <c r="AA511" s="110"/>
      <c r="AB511" s="110"/>
      <c r="AC511" s="110"/>
      <c r="AD511" s="110"/>
      <c r="AE511" s="110"/>
      <c r="AF511" s="110"/>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31"/>
      <c r="C711" s="31"/>
      <c r="D711" s="31"/>
      <c r="E711" s="31"/>
      <c r="F711" s="31"/>
      <c r="G711" s="31"/>
      <c r="H711" s="31"/>
      <c r="I711" s="31"/>
      <c r="J711" s="31"/>
      <c r="K711" s="31"/>
      <c r="L711" s="31"/>
      <c r="M711" s="31"/>
      <c r="N711" s="31"/>
      <c r="O711" s="31"/>
      <c r="P711" s="31"/>
      <c r="Q711" s="31"/>
      <c r="R711" s="31"/>
      <c r="S711" s="31"/>
      <c r="T711" s="31"/>
      <c r="U711" s="31"/>
      <c r="V711" s="31"/>
      <c r="W711" s="31"/>
      <c r="X711" s="31"/>
      <c r="Y711" s="31"/>
      <c r="Z711" s="31"/>
      <c r="AA711" s="31"/>
      <c r="AB711" s="31"/>
      <c r="AC711" s="31"/>
      <c r="AD711" s="31"/>
      <c r="AE711" s="31"/>
      <c r="AF711" s="31"/>
    </row>
    <row r="712" spans="2:32" ht="15" customHeight="1">
      <c r="B712" s="110"/>
      <c r="C712" s="110"/>
      <c r="D712" s="110"/>
      <c r="E712" s="110"/>
      <c r="F712" s="110"/>
      <c r="G712" s="110"/>
      <c r="H712" s="110"/>
      <c r="I712" s="110"/>
      <c r="J712" s="110"/>
      <c r="K712" s="110"/>
      <c r="L712" s="110"/>
      <c r="M712" s="110"/>
      <c r="N712" s="110"/>
      <c r="O712" s="110"/>
      <c r="P712" s="110"/>
      <c r="Q712" s="110"/>
      <c r="R712" s="110"/>
      <c r="S712" s="110"/>
      <c r="T712" s="110"/>
      <c r="U712" s="110"/>
      <c r="V712" s="110"/>
      <c r="W712" s="110"/>
      <c r="X712" s="110"/>
      <c r="Y712" s="110"/>
      <c r="Z712" s="110"/>
      <c r="AA712" s="110"/>
      <c r="AB712" s="110"/>
      <c r="AC712" s="110"/>
      <c r="AD712" s="110"/>
      <c r="AE712" s="110"/>
      <c r="AF712" s="110"/>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31"/>
      <c r="C886" s="31"/>
      <c r="D886" s="31"/>
      <c r="E886" s="31"/>
      <c r="F886" s="31"/>
      <c r="G886" s="31"/>
      <c r="H886" s="31"/>
      <c r="I886" s="31"/>
      <c r="J886" s="31"/>
      <c r="K886" s="31"/>
      <c r="L886" s="31"/>
      <c r="M886" s="31"/>
      <c r="N886" s="31"/>
      <c r="O886" s="31"/>
      <c r="P886" s="31"/>
      <c r="Q886" s="31"/>
      <c r="R886" s="31"/>
      <c r="S886" s="31"/>
      <c r="T886" s="31"/>
      <c r="U886" s="31"/>
      <c r="V886" s="31"/>
      <c r="W886" s="31"/>
      <c r="X886" s="31"/>
      <c r="Y886" s="31"/>
      <c r="Z886" s="31"/>
      <c r="AA886" s="31"/>
      <c r="AB886" s="31"/>
      <c r="AC886" s="31"/>
      <c r="AD886" s="31"/>
      <c r="AE886" s="31"/>
      <c r="AF886" s="31"/>
    </row>
    <row r="887" spans="2:32" ht="15" customHeight="1">
      <c r="B887" s="110"/>
      <c r="C887" s="110"/>
      <c r="D887" s="110"/>
      <c r="E887" s="110"/>
      <c r="F887" s="110"/>
      <c r="G887" s="110"/>
      <c r="H887" s="110"/>
      <c r="I887" s="110"/>
      <c r="J887" s="110"/>
      <c r="K887" s="110"/>
      <c r="L887" s="110"/>
      <c r="M887" s="110"/>
      <c r="N887" s="110"/>
      <c r="O887" s="110"/>
      <c r="P887" s="110"/>
      <c r="Q887" s="110"/>
      <c r="R887" s="110"/>
      <c r="S887" s="110"/>
      <c r="T887" s="110"/>
      <c r="U887" s="110"/>
      <c r="V887" s="110"/>
      <c r="W887" s="110"/>
      <c r="X887" s="110"/>
      <c r="Y887" s="110"/>
      <c r="Z887" s="110"/>
      <c r="AA887" s="110"/>
      <c r="AB887" s="110"/>
      <c r="AC887" s="110"/>
      <c r="AD887" s="110"/>
      <c r="AE887" s="110"/>
      <c r="AF887" s="110"/>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31"/>
      <c r="C1096" s="31"/>
      <c r="D1096" s="31"/>
      <c r="E1096" s="31"/>
      <c r="F1096" s="31"/>
      <c r="G1096" s="31"/>
      <c r="H1096" s="31"/>
      <c r="I1096" s="31"/>
      <c r="J1096" s="31"/>
      <c r="K1096" s="31"/>
      <c r="L1096" s="31"/>
      <c r="M1096" s="31"/>
      <c r="N1096" s="31"/>
      <c r="O1096" s="31"/>
      <c r="P1096" s="31"/>
      <c r="Q1096" s="31"/>
      <c r="R1096" s="31"/>
      <c r="S1096" s="31"/>
      <c r="T1096" s="31"/>
      <c r="U1096" s="31"/>
      <c r="V1096" s="31"/>
      <c r="W1096" s="31"/>
      <c r="X1096" s="31"/>
      <c r="Y1096" s="31"/>
      <c r="Z1096" s="31"/>
      <c r="AA1096" s="31"/>
      <c r="AB1096" s="31"/>
      <c r="AC1096" s="31"/>
      <c r="AD1096" s="31"/>
      <c r="AE1096" s="31"/>
      <c r="AF1096" s="31"/>
    </row>
    <row r="1097" spans="2:32" ht="15" customHeight="1"/>
    <row r="1098" spans="2:32" ht="15" customHeight="1"/>
    <row r="1099" spans="2:32" ht="15" customHeight="1"/>
    <row r="1100" spans="2:32" ht="15" customHeight="1">
      <c r="B1100" s="31"/>
      <c r="C1100" s="31"/>
      <c r="D1100" s="31"/>
      <c r="E1100" s="31"/>
      <c r="F1100" s="31"/>
      <c r="G1100" s="31"/>
      <c r="H1100" s="31"/>
      <c r="I1100" s="31"/>
      <c r="J1100" s="31"/>
      <c r="K1100" s="31"/>
      <c r="L1100" s="31"/>
      <c r="M1100" s="31"/>
      <c r="N1100" s="31"/>
      <c r="O1100" s="31"/>
      <c r="P1100" s="31"/>
      <c r="Q1100" s="31"/>
      <c r="R1100" s="31"/>
      <c r="S1100" s="31"/>
      <c r="T1100" s="31"/>
      <c r="U1100" s="31"/>
      <c r="V1100" s="31"/>
      <c r="W1100" s="31"/>
      <c r="X1100" s="31"/>
      <c r="Y1100" s="31"/>
      <c r="Z1100" s="31"/>
      <c r="AA1100" s="31"/>
      <c r="AB1100" s="31"/>
      <c r="AC1100" s="31"/>
      <c r="AD1100" s="31"/>
      <c r="AE1100" s="31"/>
      <c r="AF1100" s="31"/>
    </row>
    <row r="1101" spans="2:32" ht="15" customHeight="1">
      <c r="B1101" s="110"/>
      <c r="C1101" s="110"/>
      <c r="D1101" s="110"/>
      <c r="E1101" s="110"/>
      <c r="F1101" s="110"/>
      <c r="G1101" s="110"/>
      <c r="H1101" s="110"/>
      <c r="I1101" s="110"/>
      <c r="J1101" s="110"/>
      <c r="K1101" s="110"/>
      <c r="L1101" s="110"/>
      <c r="M1101" s="110"/>
      <c r="N1101" s="110"/>
      <c r="O1101" s="110"/>
      <c r="P1101" s="110"/>
      <c r="Q1101" s="110"/>
      <c r="R1101" s="110"/>
      <c r="S1101" s="110"/>
      <c r="T1101" s="110"/>
      <c r="U1101" s="110"/>
      <c r="V1101" s="110"/>
      <c r="W1101" s="110"/>
      <c r="X1101" s="110"/>
      <c r="Y1101" s="110"/>
      <c r="Z1101" s="110"/>
      <c r="AA1101" s="110"/>
      <c r="AB1101" s="110"/>
      <c r="AC1101" s="110"/>
      <c r="AD1101" s="110"/>
      <c r="AE1101" s="110"/>
      <c r="AF1101" s="110"/>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31"/>
      <c r="C1228" s="31"/>
      <c r="D1228" s="31"/>
      <c r="E1228" s="31"/>
      <c r="F1228" s="31"/>
      <c r="G1228" s="31"/>
      <c r="H1228" s="31"/>
      <c r="I1228" s="31"/>
      <c r="J1228" s="31"/>
      <c r="K1228" s="31"/>
      <c r="L1228" s="31"/>
      <c r="M1228" s="31"/>
      <c r="N1228" s="31"/>
      <c r="O1228" s="31"/>
      <c r="P1228" s="31"/>
      <c r="Q1228" s="31"/>
      <c r="R1228" s="31"/>
      <c r="S1228" s="31"/>
      <c r="T1228" s="31"/>
      <c r="U1228" s="31"/>
      <c r="V1228" s="31"/>
      <c r="W1228" s="31"/>
      <c r="X1228" s="31"/>
      <c r="Y1228" s="31"/>
      <c r="Z1228" s="31"/>
      <c r="AA1228" s="31"/>
      <c r="AB1228" s="31"/>
      <c r="AC1228" s="31"/>
      <c r="AD1228" s="31"/>
      <c r="AE1228" s="31"/>
      <c r="AF1228" s="31"/>
    </row>
    <row r="1229" spans="2:32" ht="15" customHeight="1">
      <c r="B1229" s="110"/>
      <c r="C1229" s="110"/>
      <c r="D1229" s="110"/>
      <c r="E1229" s="110"/>
      <c r="F1229" s="110"/>
      <c r="G1229" s="110"/>
      <c r="H1229" s="110"/>
      <c r="I1229" s="110"/>
      <c r="J1229" s="110"/>
      <c r="K1229" s="110"/>
      <c r="L1229" s="110"/>
      <c r="M1229" s="110"/>
      <c r="N1229" s="110"/>
      <c r="O1229" s="110"/>
      <c r="P1229" s="110"/>
      <c r="Q1229" s="110"/>
      <c r="R1229" s="110"/>
      <c r="S1229" s="110"/>
      <c r="T1229" s="110"/>
      <c r="U1229" s="110"/>
      <c r="V1229" s="110"/>
      <c r="W1229" s="110"/>
      <c r="X1229" s="110"/>
      <c r="Y1229" s="110"/>
      <c r="Z1229" s="110"/>
      <c r="AA1229" s="110"/>
      <c r="AB1229" s="110"/>
      <c r="AC1229" s="110"/>
      <c r="AD1229" s="110"/>
      <c r="AE1229" s="110"/>
      <c r="AF1229" s="110"/>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31"/>
      <c r="C1384" s="31"/>
      <c r="D1384" s="31"/>
      <c r="E1384" s="31"/>
      <c r="F1384" s="31"/>
      <c r="G1384" s="31"/>
      <c r="H1384" s="31"/>
      <c r="I1384" s="31"/>
      <c r="J1384" s="31"/>
      <c r="K1384" s="31"/>
      <c r="L1384" s="31"/>
      <c r="M1384" s="31"/>
      <c r="N1384" s="31"/>
      <c r="O1384" s="31"/>
      <c r="P1384" s="31"/>
      <c r="Q1384" s="31"/>
      <c r="R1384" s="31"/>
      <c r="S1384" s="31"/>
      <c r="T1384" s="31"/>
      <c r="U1384" s="31"/>
      <c r="V1384" s="31"/>
      <c r="W1384" s="31"/>
      <c r="X1384" s="31"/>
      <c r="Y1384" s="31"/>
      <c r="Z1384" s="31"/>
      <c r="AA1384" s="31"/>
      <c r="AB1384" s="31"/>
      <c r="AC1384" s="31"/>
      <c r="AD1384" s="31"/>
      <c r="AE1384" s="31"/>
      <c r="AF1384" s="31"/>
    </row>
    <row r="1385" spans="2:32" ht="15" customHeight="1"/>
    <row r="1386" spans="2:32" ht="15" customHeight="1"/>
    <row r="1387" spans="2:32" ht="15" customHeight="1"/>
    <row r="1388" spans="2:32" ht="15" customHeight="1"/>
    <row r="1389" spans="2:32" ht="15" customHeight="1">
      <c r="B1389" s="31"/>
      <c r="C1389" s="31"/>
      <c r="D1389" s="31"/>
      <c r="E1389" s="31"/>
      <c r="F1389" s="31"/>
      <c r="G1389" s="31"/>
      <c r="H1389" s="31"/>
      <c r="I1389" s="31"/>
      <c r="J1389" s="31"/>
      <c r="K1389" s="31"/>
      <c r="L1389" s="31"/>
      <c r="M1389" s="31"/>
      <c r="N1389" s="31"/>
      <c r="O1389" s="31"/>
      <c r="P1389" s="31"/>
      <c r="Q1389" s="31"/>
      <c r="R1389" s="31"/>
      <c r="S1389" s="31"/>
      <c r="T1389" s="31"/>
      <c r="U1389" s="31"/>
      <c r="V1389" s="31"/>
      <c r="W1389" s="31"/>
      <c r="X1389" s="31"/>
      <c r="Y1389" s="31"/>
      <c r="Z1389" s="31"/>
      <c r="AA1389" s="31"/>
      <c r="AB1389" s="31"/>
      <c r="AC1389" s="31"/>
      <c r="AD1389" s="31"/>
      <c r="AE1389" s="31"/>
      <c r="AF1389" s="31"/>
    </row>
    <row r="1390" spans="2:32" ht="15" customHeight="1">
      <c r="B1390" s="110"/>
      <c r="C1390" s="110"/>
      <c r="D1390" s="110"/>
      <c r="E1390" s="110"/>
      <c r="F1390" s="110"/>
      <c r="G1390" s="110"/>
      <c r="H1390" s="110"/>
      <c r="I1390" s="110"/>
      <c r="J1390" s="110"/>
      <c r="K1390" s="110"/>
      <c r="L1390" s="110"/>
      <c r="M1390" s="110"/>
      <c r="N1390" s="110"/>
      <c r="O1390" s="110"/>
      <c r="P1390" s="110"/>
      <c r="Q1390" s="110"/>
      <c r="R1390" s="110"/>
      <c r="S1390" s="110"/>
      <c r="T1390" s="110"/>
      <c r="U1390" s="110"/>
      <c r="V1390" s="110"/>
      <c r="W1390" s="110"/>
      <c r="X1390" s="110"/>
      <c r="Y1390" s="110"/>
      <c r="Z1390" s="110"/>
      <c r="AA1390" s="110"/>
      <c r="AB1390" s="110"/>
      <c r="AC1390" s="110"/>
      <c r="AD1390" s="110"/>
      <c r="AE1390" s="110"/>
      <c r="AF1390" s="110"/>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31"/>
      <c r="C1490" s="31"/>
      <c r="D1490" s="31"/>
      <c r="E1490" s="31"/>
      <c r="F1490" s="31"/>
      <c r="G1490" s="31"/>
      <c r="H1490" s="31"/>
      <c r="I1490" s="31"/>
      <c r="J1490" s="31"/>
      <c r="K1490" s="31"/>
      <c r="L1490" s="31"/>
      <c r="M1490" s="31"/>
      <c r="N1490" s="31"/>
      <c r="O1490" s="31"/>
      <c r="P1490" s="31"/>
      <c r="Q1490" s="31"/>
      <c r="R1490" s="31"/>
      <c r="S1490" s="31"/>
      <c r="T1490" s="31"/>
      <c r="U1490" s="31"/>
      <c r="V1490" s="31"/>
      <c r="W1490" s="31"/>
      <c r="X1490" s="31"/>
      <c r="Y1490" s="31"/>
      <c r="Z1490" s="31"/>
      <c r="AA1490" s="31"/>
      <c r="AB1490" s="31"/>
      <c r="AC1490" s="31"/>
      <c r="AD1490" s="31"/>
      <c r="AE1490" s="31"/>
      <c r="AF1490" s="31"/>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31"/>
      <c r="C1499" s="31"/>
      <c r="D1499" s="31"/>
      <c r="E1499" s="31"/>
      <c r="F1499" s="31"/>
      <c r="G1499" s="31"/>
      <c r="H1499" s="31"/>
      <c r="I1499" s="31"/>
      <c r="J1499" s="31"/>
      <c r="K1499" s="31"/>
      <c r="L1499" s="31"/>
      <c r="M1499" s="31"/>
      <c r="N1499" s="31"/>
      <c r="O1499" s="31"/>
      <c r="P1499" s="31"/>
      <c r="Q1499" s="31"/>
      <c r="R1499" s="31"/>
      <c r="S1499" s="31"/>
      <c r="T1499" s="31"/>
      <c r="U1499" s="31"/>
      <c r="V1499" s="31"/>
      <c r="W1499" s="31"/>
      <c r="X1499" s="31"/>
      <c r="Y1499" s="31"/>
      <c r="Z1499" s="31"/>
      <c r="AA1499" s="31"/>
      <c r="AB1499" s="31"/>
      <c r="AC1499" s="31"/>
      <c r="AD1499" s="31"/>
      <c r="AE1499" s="31"/>
      <c r="AF1499" s="31"/>
    </row>
    <row r="1500" spans="2:32" ht="15" customHeight="1"/>
    <row r="1501" spans="2:32" ht="15" customHeight="1">
      <c r="B1501" s="31"/>
      <c r="C1501" s="31"/>
      <c r="D1501" s="31"/>
      <c r="E1501" s="31"/>
      <c r="F1501" s="31"/>
      <c r="G1501" s="31"/>
      <c r="H1501" s="31"/>
      <c r="I1501" s="31"/>
      <c r="J1501" s="31"/>
      <c r="K1501" s="31"/>
      <c r="L1501" s="31"/>
      <c r="M1501" s="31"/>
      <c r="N1501" s="31"/>
      <c r="O1501" s="31"/>
      <c r="P1501" s="31"/>
      <c r="Q1501" s="31"/>
      <c r="R1501" s="31"/>
      <c r="S1501" s="31"/>
      <c r="T1501" s="31"/>
      <c r="U1501" s="31"/>
      <c r="V1501" s="31"/>
      <c r="W1501" s="31"/>
      <c r="X1501" s="31"/>
      <c r="Y1501" s="31"/>
      <c r="Z1501" s="31"/>
      <c r="AA1501" s="31"/>
      <c r="AB1501" s="31"/>
      <c r="AC1501" s="31"/>
      <c r="AD1501" s="31"/>
      <c r="AE1501" s="31"/>
      <c r="AF1501" s="31"/>
    </row>
    <row r="1502" spans="2:32" ht="15" customHeight="1">
      <c r="B1502" s="110"/>
      <c r="C1502" s="110"/>
      <c r="D1502" s="110"/>
      <c r="E1502" s="110"/>
      <c r="F1502" s="110"/>
      <c r="G1502" s="110"/>
      <c r="H1502" s="110"/>
      <c r="I1502" s="110"/>
      <c r="J1502" s="110"/>
      <c r="K1502" s="110"/>
      <c r="L1502" s="110"/>
      <c r="M1502" s="110"/>
      <c r="N1502" s="110"/>
      <c r="O1502" s="110"/>
      <c r="P1502" s="110"/>
      <c r="Q1502" s="110"/>
      <c r="R1502" s="110"/>
      <c r="S1502" s="110"/>
      <c r="T1502" s="110"/>
      <c r="U1502" s="110"/>
      <c r="V1502" s="110"/>
      <c r="W1502" s="110"/>
      <c r="X1502" s="110"/>
      <c r="Y1502" s="110"/>
      <c r="Z1502" s="110"/>
      <c r="AA1502" s="110"/>
      <c r="AB1502" s="110"/>
      <c r="AC1502" s="110"/>
      <c r="AD1502" s="110"/>
      <c r="AE1502" s="110"/>
      <c r="AF1502" s="110"/>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31"/>
      <c r="C1603" s="31"/>
      <c r="D1603" s="31"/>
      <c r="E1603" s="31"/>
      <c r="F1603" s="31"/>
      <c r="G1603" s="31"/>
      <c r="H1603" s="31"/>
      <c r="I1603" s="31"/>
      <c r="J1603" s="31"/>
      <c r="K1603" s="31"/>
      <c r="L1603" s="31"/>
      <c r="M1603" s="31"/>
      <c r="N1603" s="31"/>
      <c r="O1603" s="31"/>
      <c r="P1603" s="31"/>
      <c r="Q1603" s="31"/>
      <c r="R1603" s="31"/>
      <c r="S1603" s="31"/>
      <c r="T1603" s="31"/>
      <c r="U1603" s="31"/>
      <c r="V1603" s="31"/>
      <c r="W1603" s="31"/>
      <c r="X1603" s="31"/>
      <c r="Y1603" s="31"/>
      <c r="Z1603" s="31"/>
      <c r="AA1603" s="31"/>
      <c r="AB1603" s="31"/>
      <c r="AC1603" s="31"/>
      <c r="AD1603" s="31"/>
      <c r="AE1603" s="31"/>
      <c r="AF1603" s="31"/>
    </row>
    <row r="1604" spans="2:32" ht="15" customHeight="1">
      <c r="B1604" s="110"/>
      <c r="C1604" s="110"/>
      <c r="D1604" s="110"/>
      <c r="E1604" s="110"/>
      <c r="F1604" s="110"/>
      <c r="G1604" s="110"/>
      <c r="H1604" s="110"/>
      <c r="I1604" s="110"/>
      <c r="J1604" s="110"/>
      <c r="K1604" s="110"/>
      <c r="L1604" s="110"/>
      <c r="M1604" s="110"/>
      <c r="N1604" s="110"/>
      <c r="O1604" s="110"/>
      <c r="P1604" s="110"/>
      <c r="Q1604" s="110"/>
      <c r="R1604" s="110"/>
      <c r="S1604" s="110"/>
      <c r="T1604" s="110"/>
      <c r="U1604" s="110"/>
      <c r="V1604" s="110"/>
      <c r="W1604" s="110"/>
      <c r="X1604" s="110"/>
      <c r="Y1604" s="110"/>
      <c r="Z1604" s="110"/>
      <c r="AA1604" s="110"/>
      <c r="AB1604" s="110"/>
      <c r="AC1604" s="110"/>
      <c r="AD1604" s="110"/>
      <c r="AE1604" s="110"/>
      <c r="AF1604" s="110"/>
    </row>
    <row r="1605" spans="2:32" ht="15" customHeight="1"/>
    <row r="1606" spans="2:32" ht="15" customHeight="1"/>
    <row r="1607" spans="2:32" ht="15" customHeight="1"/>
    <row r="1608" spans="2:32" ht="15" customHeight="1"/>
    <row r="1609" spans="2:32" ht="15" customHeight="1"/>
    <row r="1610" spans="2:32" ht="15" customHeight="1"/>
    <row r="1612" spans="2:32">
      <c r="B1612" s="31"/>
      <c r="C1612" s="31"/>
      <c r="D1612" s="31"/>
      <c r="E1612" s="31"/>
      <c r="F1612" s="31"/>
      <c r="G1612" s="31"/>
      <c r="H1612" s="31"/>
      <c r="I1612" s="31"/>
      <c r="J1612" s="31"/>
      <c r="K1612" s="31"/>
      <c r="L1612" s="31"/>
      <c r="M1612" s="31"/>
      <c r="N1612" s="31"/>
      <c r="O1612" s="31"/>
      <c r="P1612" s="31"/>
      <c r="Q1612" s="31"/>
      <c r="R1612" s="31"/>
      <c r="S1612" s="31"/>
      <c r="T1612" s="31"/>
      <c r="U1612" s="31"/>
      <c r="V1612" s="31"/>
      <c r="W1612" s="31"/>
      <c r="X1612" s="31"/>
      <c r="Y1612" s="31"/>
      <c r="Z1612" s="31"/>
      <c r="AA1612" s="31"/>
      <c r="AB1612" s="31"/>
      <c r="AC1612" s="31"/>
      <c r="AD1612" s="31"/>
      <c r="AE1612" s="31"/>
      <c r="AF1612" s="31"/>
    </row>
    <row r="1613" spans="2:32">
      <c r="B1613" s="31"/>
      <c r="C1613" s="31"/>
      <c r="D1613" s="31"/>
      <c r="E1613" s="31"/>
      <c r="F1613" s="31"/>
      <c r="G1613" s="31"/>
      <c r="H1613" s="31"/>
      <c r="I1613" s="31"/>
      <c r="J1613" s="31"/>
      <c r="K1613" s="31"/>
      <c r="L1613" s="31"/>
      <c r="M1613" s="31"/>
      <c r="N1613" s="31"/>
      <c r="O1613" s="31"/>
      <c r="P1613" s="31"/>
      <c r="Q1613" s="31"/>
      <c r="R1613" s="31"/>
      <c r="S1613" s="31"/>
      <c r="T1613" s="31"/>
      <c r="U1613" s="31"/>
      <c r="V1613" s="31"/>
      <c r="W1613" s="31"/>
      <c r="X1613" s="31"/>
      <c r="Y1613" s="31"/>
      <c r="Z1613" s="31"/>
      <c r="AA1613" s="31"/>
      <c r="AB1613" s="31"/>
      <c r="AC1613" s="31"/>
      <c r="AD1613" s="31"/>
      <c r="AE1613" s="31"/>
      <c r="AF1613" s="31"/>
    </row>
    <row r="1614" spans="2:32">
      <c r="B1614" s="31"/>
      <c r="C1614" s="31"/>
      <c r="D1614" s="31"/>
      <c r="E1614" s="31"/>
      <c r="F1614" s="31"/>
      <c r="G1614" s="31"/>
      <c r="H1614" s="31"/>
      <c r="I1614" s="31"/>
      <c r="J1614" s="31"/>
      <c r="K1614" s="31"/>
      <c r="L1614" s="31"/>
      <c r="M1614" s="31"/>
      <c r="N1614" s="31"/>
      <c r="O1614" s="31"/>
      <c r="P1614" s="31"/>
      <c r="Q1614" s="31"/>
      <c r="R1614" s="31"/>
      <c r="S1614" s="31"/>
      <c r="T1614" s="31"/>
      <c r="U1614" s="31"/>
      <c r="V1614" s="31"/>
      <c r="W1614" s="31"/>
      <c r="X1614" s="31"/>
      <c r="Y1614" s="31"/>
      <c r="Z1614" s="31"/>
      <c r="AA1614" s="31"/>
      <c r="AB1614" s="31"/>
      <c r="AC1614" s="31"/>
      <c r="AD1614" s="31"/>
      <c r="AE1614" s="31"/>
      <c r="AF1614" s="31"/>
    </row>
    <row r="1615" spans="2:32">
      <c r="B1615" s="31"/>
      <c r="C1615" s="31"/>
      <c r="D1615" s="31"/>
      <c r="E1615" s="31"/>
      <c r="F1615" s="31"/>
      <c r="G1615" s="31"/>
      <c r="H1615" s="31"/>
      <c r="I1615" s="31"/>
      <c r="J1615" s="31"/>
      <c r="K1615" s="31"/>
      <c r="L1615" s="31"/>
      <c r="M1615" s="31"/>
      <c r="N1615" s="31"/>
      <c r="O1615" s="31"/>
      <c r="P1615" s="31"/>
      <c r="Q1615" s="31"/>
      <c r="R1615" s="31"/>
      <c r="S1615" s="31"/>
      <c r="T1615" s="31"/>
      <c r="U1615" s="31"/>
      <c r="V1615" s="31"/>
      <c r="W1615" s="31"/>
      <c r="X1615" s="31"/>
      <c r="Y1615" s="31"/>
      <c r="Z1615" s="31"/>
      <c r="AA1615" s="31"/>
      <c r="AB1615" s="31"/>
      <c r="AC1615" s="31"/>
      <c r="AD1615" s="31"/>
      <c r="AE1615" s="31"/>
      <c r="AF1615" s="31"/>
    </row>
    <row r="1616" spans="2:32">
      <c r="B1616" s="31"/>
      <c r="C1616" s="31"/>
      <c r="D1616" s="31"/>
      <c r="E1616" s="31"/>
      <c r="F1616" s="31"/>
      <c r="G1616" s="31"/>
      <c r="H1616" s="31"/>
      <c r="I1616" s="31"/>
      <c r="J1616" s="31"/>
      <c r="K1616" s="31"/>
      <c r="L1616" s="31"/>
      <c r="M1616" s="31"/>
      <c r="N1616" s="31"/>
      <c r="O1616" s="31"/>
      <c r="P1616" s="31"/>
      <c r="Q1616" s="31"/>
      <c r="R1616" s="31"/>
      <c r="S1616" s="31"/>
      <c r="T1616" s="31"/>
      <c r="U1616" s="31"/>
      <c r="V1616" s="31"/>
      <c r="W1616" s="31"/>
      <c r="X1616" s="31"/>
      <c r="Y1616" s="31"/>
      <c r="Z1616" s="31"/>
      <c r="AA1616" s="31"/>
      <c r="AB1616" s="31"/>
      <c r="AC1616" s="31"/>
      <c r="AD1616" s="31"/>
      <c r="AE1616" s="31"/>
      <c r="AF1616" s="31"/>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31"/>
      <c r="C1697" s="31"/>
      <c r="D1697" s="31"/>
      <c r="E1697" s="31"/>
      <c r="F1697" s="31"/>
      <c r="G1697" s="31"/>
      <c r="H1697" s="31"/>
      <c r="I1697" s="31"/>
      <c r="J1697" s="31"/>
      <c r="K1697" s="31"/>
      <c r="L1697" s="31"/>
      <c r="M1697" s="31"/>
      <c r="N1697" s="31"/>
      <c r="O1697" s="31"/>
      <c r="P1697" s="31"/>
      <c r="Q1697" s="31"/>
      <c r="R1697" s="31"/>
      <c r="S1697" s="31"/>
      <c r="T1697" s="31"/>
      <c r="U1697" s="31"/>
      <c r="V1697" s="31"/>
      <c r="W1697" s="31"/>
      <c r="X1697" s="31"/>
      <c r="Y1697" s="31"/>
      <c r="Z1697" s="31"/>
      <c r="AA1697" s="31"/>
      <c r="AB1697" s="31"/>
      <c r="AC1697" s="31"/>
      <c r="AD1697" s="31"/>
      <c r="AE1697" s="31"/>
      <c r="AF1697" s="31"/>
    </row>
    <row r="1698" spans="2:32" ht="15" customHeight="1">
      <c r="B1698" s="31"/>
      <c r="C1698" s="31"/>
      <c r="D1698" s="31"/>
      <c r="E1698" s="31"/>
      <c r="F1698" s="31"/>
      <c r="G1698" s="31"/>
      <c r="H1698" s="31"/>
      <c r="I1698" s="31"/>
      <c r="J1698" s="31"/>
      <c r="K1698" s="31"/>
      <c r="L1698" s="31"/>
      <c r="M1698" s="31"/>
      <c r="N1698" s="31"/>
      <c r="O1698" s="31"/>
      <c r="P1698" s="31"/>
      <c r="Q1698" s="31"/>
      <c r="R1698" s="31"/>
      <c r="S1698" s="31"/>
      <c r="T1698" s="31"/>
      <c r="U1698" s="31"/>
      <c r="V1698" s="31"/>
      <c r="W1698" s="31"/>
      <c r="X1698" s="31"/>
      <c r="Y1698" s="31"/>
      <c r="Z1698" s="31"/>
      <c r="AA1698" s="31"/>
      <c r="AB1698" s="31"/>
      <c r="AC1698" s="31"/>
      <c r="AD1698" s="31"/>
      <c r="AE1698" s="31"/>
      <c r="AF1698" s="31"/>
    </row>
    <row r="1699" spans="2:32" ht="15" customHeight="1">
      <c r="B1699" s="110"/>
      <c r="C1699" s="110"/>
      <c r="D1699" s="110"/>
      <c r="E1699" s="110"/>
      <c r="F1699" s="110"/>
      <c r="G1699" s="110"/>
      <c r="H1699" s="110"/>
      <c r="I1699" s="110"/>
      <c r="J1699" s="110"/>
      <c r="K1699" s="110"/>
      <c r="L1699" s="110"/>
      <c r="M1699" s="110"/>
      <c r="N1699" s="110"/>
      <c r="O1699" s="110"/>
      <c r="P1699" s="110"/>
      <c r="Q1699" s="110"/>
      <c r="R1699" s="110"/>
      <c r="S1699" s="110"/>
      <c r="T1699" s="110"/>
      <c r="U1699" s="110"/>
      <c r="V1699" s="110"/>
      <c r="W1699" s="110"/>
      <c r="X1699" s="110"/>
      <c r="Y1699" s="110"/>
      <c r="Z1699" s="110"/>
      <c r="AA1699" s="110"/>
      <c r="AB1699" s="110"/>
      <c r="AC1699" s="110"/>
      <c r="AD1699" s="110"/>
      <c r="AE1699" s="110"/>
      <c r="AF1699" s="110"/>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31"/>
      <c r="C1944" s="31"/>
      <c r="D1944" s="31"/>
      <c r="E1944" s="31"/>
      <c r="F1944" s="31"/>
      <c r="G1944" s="31"/>
      <c r="H1944" s="31"/>
      <c r="I1944" s="31"/>
      <c r="J1944" s="31"/>
      <c r="K1944" s="31"/>
      <c r="L1944" s="31"/>
      <c r="M1944" s="31"/>
      <c r="N1944" s="31"/>
      <c r="O1944" s="31"/>
      <c r="P1944" s="31"/>
      <c r="Q1944" s="31"/>
      <c r="R1944" s="31"/>
      <c r="S1944" s="31"/>
      <c r="T1944" s="31"/>
      <c r="U1944" s="31"/>
      <c r="V1944" s="31"/>
      <c r="W1944" s="31"/>
      <c r="X1944" s="31"/>
      <c r="Y1944" s="31"/>
      <c r="Z1944" s="31"/>
      <c r="AA1944" s="31"/>
      <c r="AB1944" s="31"/>
      <c r="AC1944" s="31"/>
      <c r="AD1944" s="31"/>
      <c r="AE1944" s="31"/>
      <c r="AF1944" s="31"/>
    </row>
    <row r="1945" spans="2:32" ht="15" customHeight="1">
      <c r="B1945" s="110"/>
      <c r="C1945" s="110"/>
      <c r="D1945" s="110"/>
      <c r="E1945" s="110"/>
      <c r="F1945" s="110"/>
      <c r="G1945" s="110"/>
      <c r="H1945" s="110"/>
      <c r="I1945" s="110"/>
      <c r="J1945" s="110"/>
      <c r="K1945" s="110"/>
      <c r="L1945" s="110"/>
      <c r="M1945" s="110"/>
      <c r="N1945" s="110"/>
      <c r="O1945" s="110"/>
      <c r="P1945" s="110"/>
      <c r="Q1945" s="110"/>
      <c r="R1945" s="110"/>
      <c r="S1945" s="110"/>
      <c r="T1945" s="110"/>
      <c r="U1945" s="110"/>
      <c r="V1945" s="110"/>
      <c r="W1945" s="110"/>
      <c r="X1945" s="110"/>
      <c r="Y1945" s="110"/>
      <c r="Z1945" s="110"/>
      <c r="AA1945" s="110"/>
      <c r="AB1945" s="110"/>
      <c r="AC1945" s="110"/>
      <c r="AD1945" s="110"/>
      <c r="AE1945" s="110"/>
      <c r="AF1945" s="110"/>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31"/>
      <c r="C2021" s="31"/>
      <c r="D2021" s="31"/>
      <c r="E2021" s="31"/>
      <c r="F2021" s="31"/>
      <c r="G2021" s="31"/>
      <c r="H2021" s="31"/>
      <c r="I2021" s="31"/>
      <c r="J2021" s="31"/>
      <c r="K2021" s="31"/>
      <c r="L2021" s="31"/>
      <c r="M2021" s="31"/>
      <c r="N2021" s="31"/>
      <c r="O2021" s="31"/>
      <c r="P2021" s="31"/>
      <c r="Q2021" s="31"/>
      <c r="R2021" s="31"/>
      <c r="S2021" s="31"/>
      <c r="T2021" s="31"/>
      <c r="U2021" s="31"/>
      <c r="V2021" s="31"/>
      <c r="W2021" s="31"/>
      <c r="X2021" s="31"/>
      <c r="Y2021" s="31"/>
      <c r="Z2021" s="31"/>
      <c r="AA2021" s="31"/>
      <c r="AB2021" s="31"/>
      <c r="AC2021" s="31"/>
      <c r="AD2021" s="31"/>
      <c r="AE2021" s="31"/>
      <c r="AF2021" s="31"/>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31"/>
      <c r="C2030" s="31"/>
      <c r="D2030" s="31"/>
      <c r="E2030" s="31"/>
      <c r="F2030" s="31"/>
      <c r="G2030" s="31"/>
      <c r="H2030" s="31"/>
      <c r="I2030" s="31"/>
      <c r="J2030" s="31"/>
      <c r="K2030" s="31"/>
      <c r="L2030" s="31"/>
      <c r="M2030" s="31"/>
      <c r="N2030" s="31"/>
      <c r="O2030" s="31"/>
      <c r="P2030" s="31"/>
      <c r="Q2030" s="31"/>
      <c r="R2030" s="31"/>
      <c r="S2030" s="31"/>
      <c r="T2030" s="31"/>
      <c r="U2030" s="31"/>
      <c r="V2030" s="31"/>
      <c r="W2030" s="31"/>
      <c r="X2030" s="31"/>
      <c r="Y2030" s="31"/>
      <c r="Z2030" s="31"/>
      <c r="AA2030" s="31"/>
      <c r="AB2030" s="31"/>
      <c r="AC2030" s="31"/>
      <c r="AD2030" s="31"/>
      <c r="AE2030" s="31"/>
      <c r="AF2030" s="31"/>
    </row>
    <row r="2031" spans="2:32" ht="15" customHeight="1">
      <c r="B2031" s="110"/>
      <c r="C2031" s="110"/>
      <c r="D2031" s="110"/>
      <c r="E2031" s="110"/>
      <c r="F2031" s="110"/>
      <c r="G2031" s="110"/>
      <c r="H2031" s="110"/>
      <c r="I2031" s="110"/>
      <c r="J2031" s="110"/>
      <c r="K2031" s="110"/>
      <c r="L2031" s="110"/>
      <c r="M2031" s="110"/>
      <c r="N2031" s="110"/>
      <c r="O2031" s="110"/>
      <c r="P2031" s="110"/>
      <c r="Q2031" s="110"/>
      <c r="R2031" s="110"/>
      <c r="S2031" s="110"/>
      <c r="T2031" s="110"/>
      <c r="U2031" s="110"/>
      <c r="V2031" s="110"/>
      <c r="W2031" s="110"/>
      <c r="X2031" s="110"/>
      <c r="Y2031" s="110"/>
      <c r="Z2031" s="110"/>
      <c r="AA2031" s="110"/>
      <c r="AB2031" s="110"/>
      <c r="AC2031" s="110"/>
      <c r="AD2031" s="110"/>
      <c r="AE2031" s="110"/>
      <c r="AF2031" s="110"/>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31"/>
      <c r="C2147" s="31"/>
      <c r="D2147" s="31"/>
      <c r="E2147" s="31"/>
      <c r="F2147" s="31"/>
      <c r="G2147" s="31"/>
      <c r="H2147" s="31"/>
      <c r="I2147" s="31"/>
      <c r="J2147" s="31"/>
      <c r="K2147" s="31"/>
      <c r="L2147" s="31"/>
      <c r="M2147" s="31"/>
      <c r="N2147" s="31"/>
      <c r="O2147" s="31"/>
      <c r="P2147" s="31"/>
      <c r="Q2147" s="31"/>
      <c r="R2147" s="31"/>
      <c r="S2147" s="31"/>
      <c r="T2147" s="31"/>
      <c r="U2147" s="31"/>
      <c r="V2147" s="31"/>
      <c r="W2147" s="31"/>
      <c r="X2147" s="31"/>
      <c r="Y2147" s="31"/>
      <c r="Z2147" s="31"/>
      <c r="AA2147" s="31"/>
      <c r="AB2147" s="31"/>
      <c r="AC2147" s="31"/>
      <c r="AD2147" s="31"/>
      <c r="AE2147" s="31"/>
      <c r="AF2147" s="31"/>
    </row>
    <row r="2148" spans="2:32" ht="15" customHeight="1"/>
    <row r="2149" spans="2:32">
      <c r="B2149" s="31"/>
      <c r="C2149" s="31"/>
      <c r="D2149" s="31"/>
      <c r="E2149" s="31"/>
      <c r="F2149" s="31"/>
      <c r="G2149" s="31"/>
      <c r="H2149" s="31"/>
      <c r="I2149" s="31"/>
      <c r="J2149" s="31"/>
      <c r="K2149" s="31"/>
      <c r="L2149" s="31"/>
      <c r="M2149" s="31"/>
      <c r="N2149" s="31"/>
      <c r="O2149" s="31"/>
      <c r="P2149" s="31"/>
      <c r="Q2149" s="31"/>
      <c r="R2149" s="31"/>
      <c r="S2149" s="31"/>
      <c r="T2149" s="31"/>
      <c r="U2149" s="31"/>
      <c r="V2149" s="31"/>
      <c r="W2149" s="31"/>
      <c r="X2149" s="31"/>
      <c r="Y2149" s="31"/>
      <c r="Z2149" s="31"/>
      <c r="AA2149" s="31"/>
      <c r="AB2149" s="31"/>
      <c r="AC2149" s="31"/>
      <c r="AD2149" s="31"/>
      <c r="AE2149" s="31"/>
      <c r="AF2149" s="31"/>
    </row>
    <row r="2150" spans="2:32">
      <c r="B2150" s="31"/>
      <c r="C2150" s="31"/>
      <c r="D2150" s="31"/>
      <c r="E2150" s="31"/>
      <c r="F2150" s="31"/>
      <c r="G2150" s="31"/>
      <c r="H2150" s="31"/>
      <c r="I2150" s="31"/>
      <c r="J2150" s="31"/>
      <c r="K2150" s="31"/>
      <c r="L2150" s="31"/>
      <c r="M2150" s="31"/>
      <c r="N2150" s="31"/>
      <c r="O2150" s="31"/>
      <c r="P2150" s="31"/>
      <c r="Q2150" s="31"/>
      <c r="R2150" s="31"/>
      <c r="S2150" s="31"/>
      <c r="T2150" s="31"/>
      <c r="U2150" s="31"/>
      <c r="V2150" s="31"/>
      <c r="W2150" s="31"/>
      <c r="X2150" s="31"/>
      <c r="Y2150" s="31"/>
      <c r="Z2150" s="31"/>
      <c r="AA2150" s="31"/>
      <c r="AB2150" s="31"/>
      <c r="AC2150" s="31"/>
      <c r="AD2150" s="31"/>
      <c r="AE2150" s="31"/>
      <c r="AF2150" s="31"/>
    </row>
    <row r="2151" spans="2:32" ht="15" customHeight="1"/>
    <row r="2152" spans="2:32" ht="15" customHeight="1">
      <c r="B2152" s="31"/>
      <c r="C2152" s="31"/>
      <c r="D2152" s="31"/>
      <c r="E2152" s="31"/>
      <c r="F2152" s="31"/>
      <c r="G2152" s="31"/>
      <c r="H2152" s="31"/>
      <c r="I2152" s="31"/>
      <c r="J2152" s="31"/>
      <c r="K2152" s="31"/>
      <c r="L2152" s="31"/>
      <c r="M2152" s="31"/>
      <c r="N2152" s="31"/>
      <c r="O2152" s="31"/>
      <c r="P2152" s="31"/>
      <c r="Q2152" s="31"/>
      <c r="R2152" s="31"/>
      <c r="S2152" s="31"/>
      <c r="T2152" s="31"/>
      <c r="U2152" s="31"/>
      <c r="V2152" s="31"/>
      <c r="W2152" s="31"/>
      <c r="X2152" s="31"/>
      <c r="Y2152" s="31"/>
      <c r="Z2152" s="31"/>
      <c r="AA2152" s="31"/>
      <c r="AB2152" s="31"/>
      <c r="AC2152" s="31"/>
      <c r="AD2152" s="31"/>
      <c r="AE2152" s="31"/>
      <c r="AF2152" s="31"/>
    </row>
    <row r="2153" spans="2:32" ht="15" customHeight="1">
      <c r="B2153" s="110"/>
      <c r="C2153" s="110"/>
      <c r="D2153" s="110"/>
      <c r="E2153" s="110"/>
      <c r="F2153" s="110"/>
      <c r="G2153" s="110"/>
      <c r="H2153" s="110"/>
      <c r="I2153" s="110"/>
      <c r="J2153" s="110"/>
      <c r="K2153" s="110"/>
      <c r="L2153" s="110"/>
      <c r="M2153" s="110"/>
      <c r="N2153" s="110"/>
      <c r="O2153" s="110"/>
      <c r="P2153" s="110"/>
      <c r="Q2153" s="110"/>
      <c r="R2153" s="110"/>
      <c r="S2153" s="110"/>
      <c r="T2153" s="110"/>
      <c r="U2153" s="110"/>
      <c r="V2153" s="110"/>
      <c r="W2153" s="110"/>
      <c r="X2153" s="110"/>
      <c r="Y2153" s="110"/>
      <c r="Z2153" s="110"/>
      <c r="AA2153" s="110"/>
      <c r="AB2153" s="110"/>
      <c r="AC2153" s="110"/>
      <c r="AD2153" s="110"/>
      <c r="AE2153" s="110"/>
      <c r="AF2153" s="110"/>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31"/>
      <c r="C2316" s="31"/>
      <c r="D2316" s="31"/>
      <c r="E2316" s="31"/>
      <c r="F2316" s="31"/>
      <c r="G2316" s="31"/>
      <c r="H2316" s="31"/>
      <c r="I2316" s="31"/>
      <c r="J2316" s="31"/>
      <c r="K2316" s="31"/>
      <c r="L2316" s="31"/>
      <c r="M2316" s="31"/>
      <c r="N2316" s="31"/>
      <c r="O2316" s="31"/>
      <c r="P2316" s="31"/>
      <c r="Q2316" s="31"/>
      <c r="R2316" s="31"/>
      <c r="S2316" s="31"/>
      <c r="T2316" s="31"/>
      <c r="U2316" s="31"/>
      <c r="V2316" s="31"/>
      <c r="W2316" s="31"/>
      <c r="X2316" s="31"/>
      <c r="Y2316" s="31"/>
      <c r="Z2316" s="31"/>
      <c r="AA2316" s="31"/>
      <c r="AB2316" s="31"/>
      <c r="AC2316" s="31"/>
      <c r="AD2316" s="31"/>
      <c r="AE2316" s="31"/>
      <c r="AF2316" s="31"/>
    </row>
    <row r="2317" spans="2:32" ht="15" customHeight="1">
      <c r="B2317" s="110"/>
      <c r="C2317" s="110"/>
      <c r="D2317" s="110"/>
      <c r="E2317" s="110"/>
      <c r="F2317" s="110"/>
      <c r="G2317" s="110"/>
      <c r="H2317" s="110"/>
      <c r="I2317" s="110"/>
      <c r="J2317" s="110"/>
      <c r="K2317" s="110"/>
      <c r="L2317" s="110"/>
      <c r="M2317" s="110"/>
      <c r="N2317" s="110"/>
      <c r="O2317" s="110"/>
      <c r="P2317" s="110"/>
      <c r="Q2317" s="110"/>
      <c r="R2317" s="110"/>
      <c r="S2317" s="110"/>
      <c r="T2317" s="110"/>
      <c r="U2317" s="110"/>
      <c r="V2317" s="110"/>
      <c r="W2317" s="110"/>
      <c r="X2317" s="110"/>
      <c r="Y2317" s="110"/>
      <c r="Z2317" s="110"/>
      <c r="AA2317" s="110"/>
      <c r="AB2317" s="110"/>
      <c r="AC2317" s="110"/>
      <c r="AD2317" s="110"/>
      <c r="AE2317" s="110"/>
      <c r="AF2317" s="110"/>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31"/>
      <c r="C2418" s="31"/>
      <c r="D2418" s="31"/>
      <c r="E2418" s="31"/>
      <c r="F2418" s="31"/>
      <c r="G2418" s="31"/>
      <c r="H2418" s="31"/>
      <c r="I2418" s="31"/>
      <c r="J2418" s="31"/>
      <c r="K2418" s="31"/>
      <c r="L2418" s="31"/>
      <c r="M2418" s="31"/>
      <c r="N2418" s="31"/>
      <c r="O2418" s="31"/>
      <c r="P2418" s="31"/>
      <c r="Q2418" s="31"/>
      <c r="R2418" s="31"/>
      <c r="S2418" s="31"/>
      <c r="T2418" s="31"/>
      <c r="U2418" s="31"/>
      <c r="V2418" s="31"/>
      <c r="W2418" s="31"/>
      <c r="X2418" s="31"/>
      <c r="Y2418" s="31"/>
      <c r="Z2418" s="31"/>
      <c r="AA2418" s="31"/>
      <c r="AB2418" s="31"/>
      <c r="AC2418" s="31"/>
      <c r="AD2418" s="31"/>
      <c r="AE2418" s="31"/>
      <c r="AF2418" s="31"/>
    </row>
    <row r="2419" spans="2:32" ht="15" customHeight="1">
      <c r="B2419" s="110"/>
      <c r="C2419" s="110"/>
      <c r="D2419" s="110"/>
      <c r="E2419" s="110"/>
      <c r="F2419" s="110"/>
      <c r="G2419" s="110"/>
      <c r="H2419" s="110"/>
      <c r="I2419" s="110"/>
      <c r="J2419" s="110"/>
      <c r="K2419" s="110"/>
      <c r="L2419" s="110"/>
      <c r="M2419" s="110"/>
      <c r="N2419" s="110"/>
      <c r="O2419" s="110"/>
      <c r="P2419" s="110"/>
      <c r="Q2419" s="110"/>
      <c r="R2419" s="110"/>
      <c r="S2419" s="110"/>
      <c r="T2419" s="110"/>
      <c r="U2419" s="110"/>
      <c r="V2419" s="110"/>
      <c r="W2419" s="110"/>
      <c r="X2419" s="110"/>
      <c r="Y2419" s="110"/>
      <c r="Z2419" s="110"/>
      <c r="AA2419" s="110"/>
      <c r="AB2419" s="110"/>
      <c r="AC2419" s="110"/>
      <c r="AD2419" s="110"/>
      <c r="AE2419" s="110"/>
      <c r="AF2419" s="110"/>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31"/>
      <c r="C2497" s="31"/>
      <c r="D2497" s="31"/>
      <c r="E2497" s="31"/>
      <c r="F2497" s="31"/>
      <c r="G2497" s="31"/>
      <c r="H2497" s="31"/>
      <c r="I2497" s="31"/>
      <c r="J2497" s="31"/>
      <c r="K2497" s="31"/>
      <c r="L2497" s="31"/>
      <c r="M2497" s="31"/>
      <c r="N2497" s="31"/>
      <c r="O2497" s="31"/>
      <c r="P2497" s="31"/>
      <c r="Q2497" s="31"/>
      <c r="R2497" s="31"/>
      <c r="S2497" s="31"/>
      <c r="T2497" s="31"/>
      <c r="U2497" s="31"/>
      <c r="V2497" s="31"/>
      <c r="W2497" s="31"/>
      <c r="X2497" s="31"/>
      <c r="Y2497" s="31"/>
      <c r="Z2497" s="31"/>
      <c r="AA2497" s="31"/>
      <c r="AB2497" s="31"/>
      <c r="AC2497" s="31"/>
      <c r="AD2497" s="31"/>
      <c r="AE2497" s="31"/>
      <c r="AF2497" s="31"/>
    </row>
    <row r="2498" spans="2:32" ht="15" customHeight="1"/>
    <row r="2499" spans="2:32" ht="15" customHeight="1"/>
    <row r="2500" spans="2:32" ht="15" customHeight="1"/>
    <row r="2501" spans="2:32" ht="15" customHeight="1"/>
    <row r="2502" spans="2:32" ht="15" customHeight="1"/>
    <row r="2503" spans="2:32">
      <c r="B2503" s="31"/>
      <c r="C2503" s="31"/>
      <c r="D2503" s="31"/>
      <c r="E2503" s="31"/>
      <c r="F2503" s="31"/>
      <c r="G2503" s="31"/>
      <c r="H2503" s="31"/>
      <c r="I2503" s="31"/>
      <c r="J2503" s="31"/>
      <c r="K2503" s="31"/>
      <c r="L2503" s="31"/>
      <c r="M2503" s="31"/>
      <c r="N2503" s="31"/>
      <c r="O2503" s="31"/>
      <c r="P2503" s="31"/>
      <c r="Q2503" s="31"/>
      <c r="R2503" s="31"/>
      <c r="S2503" s="31"/>
      <c r="T2503" s="31"/>
      <c r="U2503" s="31"/>
      <c r="V2503" s="31"/>
      <c r="W2503" s="31"/>
      <c r="X2503" s="31"/>
      <c r="Y2503" s="31"/>
      <c r="Z2503" s="31"/>
      <c r="AA2503" s="31"/>
      <c r="AB2503" s="31"/>
      <c r="AC2503" s="31"/>
      <c r="AD2503" s="31"/>
      <c r="AE2503" s="31"/>
      <c r="AF2503" s="31"/>
    </row>
    <row r="2504" spans="2:32" ht="15" customHeight="1"/>
    <row r="2505" spans="2:32" ht="15" customHeight="1"/>
    <row r="2506" spans="2:32" ht="15" customHeight="1"/>
    <row r="2507" spans="2:32" ht="15" customHeight="1"/>
    <row r="2508" spans="2:32" ht="15" customHeight="1">
      <c r="B2508" s="31"/>
      <c r="C2508" s="31"/>
      <c r="D2508" s="31"/>
      <c r="E2508" s="31"/>
      <c r="F2508" s="31"/>
      <c r="G2508" s="31"/>
      <c r="H2508" s="31"/>
      <c r="I2508" s="31"/>
      <c r="J2508" s="31"/>
      <c r="K2508" s="31"/>
      <c r="L2508" s="31"/>
      <c r="M2508" s="31"/>
      <c r="N2508" s="31"/>
      <c r="O2508" s="31"/>
      <c r="P2508" s="31"/>
      <c r="Q2508" s="31"/>
      <c r="R2508" s="31"/>
      <c r="S2508" s="31"/>
      <c r="T2508" s="31"/>
      <c r="U2508" s="31"/>
      <c r="V2508" s="31"/>
      <c r="W2508" s="31"/>
      <c r="X2508" s="31"/>
      <c r="Y2508" s="31"/>
      <c r="Z2508" s="31"/>
      <c r="AA2508" s="31"/>
      <c r="AB2508" s="31"/>
      <c r="AC2508" s="31"/>
      <c r="AD2508" s="31"/>
      <c r="AE2508" s="31"/>
      <c r="AF2508" s="31"/>
    </row>
    <row r="2509" spans="2:32" ht="15" customHeight="1">
      <c r="B2509" s="110"/>
      <c r="C2509" s="110"/>
      <c r="D2509" s="110"/>
      <c r="E2509" s="110"/>
      <c r="F2509" s="110"/>
      <c r="G2509" s="110"/>
      <c r="H2509" s="110"/>
      <c r="I2509" s="110"/>
      <c r="J2509" s="110"/>
      <c r="K2509" s="110"/>
      <c r="L2509" s="110"/>
      <c r="M2509" s="110"/>
      <c r="N2509" s="110"/>
      <c r="O2509" s="110"/>
      <c r="P2509" s="110"/>
      <c r="Q2509" s="110"/>
      <c r="R2509" s="110"/>
      <c r="S2509" s="110"/>
      <c r="T2509" s="110"/>
      <c r="U2509" s="110"/>
      <c r="V2509" s="110"/>
      <c r="W2509" s="110"/>
      <c r="X2509" s="110"/>
      <c r="Y2509" s="110"/>
      <c r="Z2509" s="110"/>
      <c r="AA2509" s="110"/>
      <c r="AB2509" s="110"/>
      <c r="AC2509" s="110"/>
      <c r="AD2509" s="110"/>
      <c r="AE2509" s="110"/>
      <c r="AF2509" s="110"/>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31"/>
      <c r="C2594" s="31"/>
      <c r="D2594" s="31"/>
      <c r="E2594" s="31"/>
      <c r="F2594" s="31"/>
      <c r="G2594" s="31"/>
      <c r="H2594" s="31"/>
      <c r="I2594" s="31"/>
      <c r="J2594" s="31"/>
      <c r="K2594" s="31"/>
      <c r="L2594" s="31"/>
      <c r="M2594" s="31"/>
      <c r="N2594" s="31"/>
      <c r="O2594" s="31"/>
      <c r="P2594" s="31"/>
      <c r="Q2594" s="31"/>
      <c r="R2594" s="31"/>
      <c r="S2594" s="31"/>
      <c r="T2594" s="31"/>
      <c r="U2594" s="31"/>
      <c r="V2594" s="31"/>
      <c r="W2594" s="31"/>
      <c r="X2594" s="31"/>
      <c r="Y2594" s="31"/>
      <c r="Z2594" s="31"/>
      <c r="AA2594" s="31"/>
      <c r="AB2594" s="31"/>
      <c r="AC2594" s="31"/>
      <c r="AD2594" s="31"/>
      <c r="AE2594" s="31"/>
      <c r="AF2594" s="31"/>
    </row>
    <row r="2595" spans="2:32" ht="15" customHeight="1"/>
    <row r="2596" spans="2:32" ht="15" customHeight="1"/>
    <row r="2597" spans="2:32" ht="15" customHeight="1">
      <c r="B2597" s="31"/>
      <c r="C2597" s="31"/>
      <c r="D2597" s="31"/>
      <c r="E2597" s="31"/>
      <c r="F2597" s="31"/>
      <c r="G2597" s="31"/>
      <c r="H2597" s="31"/>
      <c r="I2597" s="31"/>
      <c r="J2597" s="31"/>
      <c r="K2597" s="31"/>
      <c r="L2597" s="31"/>
      <c r="M2597" s="31"/>
      <c r="N2597" s="31"/>
      <c r="O2597" s="31"/>
      <c r="P2597" s="31"/>
      <c r="Q2597" s="31"/>
      <c r="R2597" s="31"/>
      <c r="S2597" s="31"/>
      <c r="T2597" s="31"/>
      <c r="U2597" s="31"/>
      <c r="V2597" s="31"/>
      <c r="W2597" s="31"/>
      <c r="X2597" s="31"/>
      <c r="Y2597" s="31"/>
      <c r="Z2597" s="31"/>
      <c r="AA2597" s="31"/>
      <c r="AB2597" s="31"/>
      <c r="AC2597" s="31"/>
      <c r="AD2597" s="31"/>
      <c r="AE2597" s="31"/>
      <c r="AF2597" s="31"/>
    </row>
    <row r="2598" spans="2:32" ht="15" customHeight="1">
      <c r="B2598" s="110"/>
      <c r="C2598" s="110"/>
      <c r="D2598" s="110"/>
      <c r="E2598" s="110"/>
      <c r="F2598" s="110"/>
      <c r="G2598" s="110"/>
      <c r="H2598" s="110"/>
      <c r="I2598" s="110"/>
      <c r="J2598" s="110"/>
      <c r="K2598" s="110"/>
      <c r="L2598" s="110"/>
      <c r="M2598" s="110"/>
      <c r="N2598" s="110"/>
      <c r="O2598" s="110"/>
      <c r="P2598" s="110"/>
      <c r="Q2598" s="110"/>
      <c r="R2598" s="110"/>
      <c r="S2598" s="110"/>
      <c r="T2598" s="110"/>
      <c r="U2598" s="110"/>
      <c r="V2598" s="110"/>
      <c r="W2598" s="110"/>
      <c r="X2598" s="110"/>
      <c r="Y2598" s="110"/>
      <c r="Z2598" s="110"/>
      <c r="AA2598" s="110"/>
      <c r="AB2598" s="110"/>
      <c r="AC2598" s="110"/>
      <c r="AD2598" s="110"/>
      <c r="AE2598" s="110"/>
      <c r="AF2598" s="110"/>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31"/>
      <c r="C2705" s="31"/>
      <c r="D2705" s="31"/>
      <c r="E2705" s="31"/>
      <c r="F2705" s="31"/>
      <c r="G2705" s="31"/>
      <c r="H2705" s="31"/>
      <c r="I2705" s="31"/>
      <c r="J2705" s="31"/>
      <c r="K2705" s="31"/>
      <c r="L2705" s="31"/>
      <c r="M2705" s="31"/>
      <c r="N2705" s="31"/>
      <c r="O2705" s="31"/>
      <c r="P2705" s="31"/>
      <c r="Q2705" s="31"/>
      <c r="R2705" s="31"/>
      <c r="S2705" s="31"/>
      <c r="T2705" s="31"/>
      <c r="U2705" s="31"/>
      <c r="V2705" s="31"/>
      <c r="W2705" s="31"/>
      <c r="X2705" s="31"/>
      <c r="Y2705" s="31"/>
      <c r="Z2705" s="31"/>
      <c r="AA2705" s="31"/>
      <c r="AB2705" s="31"/>
      <c r="AC2705" s="31"/>
      <c r="AD2705" s="31"/>
      <c r="AE2705" s="31"/>
      <c r="AF2705" s="31"/>
    </row>
    <row r="2706" spans="2:32">
      <c r="B2706" s="31"/>
      <c r="C2706" s="31"/>
      <c r="D2706" s="31"/>
      <c r="E2706" s="31"/>
      <c r="F2706" s="31"/>
      <c r="G2706" s="31"/>
      <c r="H2706" s="31"/>
      <c r="I2706" s="31"/>
      <c r="J2706" s="31"/>
      <c r="K2706" s="31"/>
      <c r="L2706" s="31"/>
      <c r="M2706" s="31"/>
      <c r="N2706" s="31"/>
      <c r="O2706" s="31"/>
      <c r="P2706" s="31"/>
      <c r="Q2706" s="31"/>
      <c r="R2706" s="31"/>
      <c r="S2706" s="31"/>
      <c r="T2706" s="31"/>
      <c r="U2706" s="31"/>
      <c r="V2706" s="31"/>
      <c r="W2706" s="31"/>
      <c r="X2706" s="31"/>
      <c r="Y2706" s="31"/>
      <c r="Z2706" s="31"/>
      <c r="AA2706" s="31"/>
      <c r="AB2706" s="31"/>
      <c r="AC2706" s="31"/>
      <c r="AD2706" s="31"/>
      <c r="AE2706" s="31"/>
      <c r="AF2706" s="31"/>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31"/>
      <c r="C2718" s="31"/>
      <c r="D2718" s="31"/>
      <c r="E2718" s="31"/>
      <c r="F2718" s="31"/>
      <c r="G2718" s="31"/>
      <c r="H2718" s="31"/>
      <c r="I2718" s="31"/>
      <c r="J2718" s="31"/>
      <c r="K2718" s="31"/>
      <c r="L2718" s="31"/>
      <c r="M2718" s="31"/>
      <c r="N2718" s="31"/>
      <c r="O2718" s="31"/>
      <c r="P2718" s="31"/>
      <c r="Q2718" s="31"/>
      <c r="R2718" s="31"/>
      <c r="S2718" s="31"/>
      <c r="T2718" s="31"/>
      <c r="U2718" s="31"/>
      <c r="V2718" s="31"/>
      <c r="W2718" s="31"/>
      <c r="X2718" s="31"/>
      <c r="Y2718" s="31"/>
      <c r="Z2718" s="31"/>
      <c r="AA2718" s="31"/>
      <c r="AB2718" s="31"/>
      <c r="AC2718" s="31"/>
      <c r="AD2718" s="31"/>
      <c r="AE2718" s="31"/>
      <c r="AF2718" s="31"/>
    </row>
    <row r="2719" spans="2:32" ht="15" customHeight="1">
      <c r="B2719" s="110"/>
      <c r="C2719" s="110"/>
      <c r="D2719" s="110"/>
      <c r="E2719" s="110"/>
      <c r="F2719" s="110"/>
      <c r="G2719" s="110"/>
      <c r="H2719" s="110"/>
      <c r="I2719" s="110"/>
      <c r="J2719" s="110"/>
      <c r="K2719" s="110"/>
      <c r="L2719" s="110"/>
      <c r="M2719" s="110"/>
      <c r="N2719" s="110"/>
      <c r="O2719" s="110"/>
      <c r="P2719" s="110"/>
      <c r="Q2719" s="110"/>
      <c r="R2719" s="110"/>
      <c r="S2719" s="110"/>
      <c r="T2719" s="110"/>
      <c r="U2719" s="110"/>
      <c r="V2719" s="110"/>
      <c r="W2719" s="110"/>
      <c r="X2719" s="110"/>
      <c r="Y2719" s="110"/>
      <c r="Z2719" s="110"/>
      <c r="AA2719" s="110"/>
      <c r="AB2719" s="110"/>
      <c r="AC2719" s="110"/>
      <c r="AD2719" s="110"/>
      <c r="AE2719" s="110"/>
      <c r="AF2719" s="110"/>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31"/>
      <c r="C2836" s="31"/>
      <c r="D2836" s="31"/>
      <c r="E2836" s="31"/>
      <c r="F2836" s="31"/>
      <c r="G2836" s="31"/>
      <c r="H2836" s="31"/>
      <c r="I2836" s="31"/>
      <c r="J2836" s="31"/>
      <c r="K2836" s="31"/>
      <c r="L2836" s="31"/>
      <c r="M2836" s="31"/>
      <c r="N2836" s="31"/>
      <c r="O2836" s="31"/>
      <c r="P2836" s="31"/>
      <c r="Q2836" s="31"/>
      <c r="R2836" s="31"/>
      <c r="S2836" s="31"/>
      <c r="T2836" s="31"/>
      <c r="U2836" s="31"/>
      <c r="V2836" s="31"/>
      <c r="W2836" s="31"/>
      <c r="X2836" s="31"/>
      <c r="Y2836" s="31"/>
      <c r="Z2836" s="31"/>
      <c r="AA2836" s="31"/>
      <c r="AB2836" s="31"/>
      <c r="AC2836" s="31"/>
      <c r="AD2836" s="31"/>
      <c r="AE2836" s="31"/>
      <c r="AF2836" s="31"/>
    </row>
    <row r="2837" spans="2:32" ht="15" customHeight="1">
      <c r="B2837" s="110"/>
      <c r="C2837" s="110"/>
      <c r="D2837" s="110"/>
      <c r="E2837" s="110"/>
      <c r="F2837" s="110"/>
      <c r="G2837" s="110"/>
      <c r="H2837" s="110"/>
      <c r="I2837" s="110"/>
      <c r="J2837" s="110"/>
      <c r="K2837" s="110"/>
      <c r="L2837" s="110"/>
      <c r="M2837" s="110"/>
      <c r="N2837" s="110"/>
      <c r="O2837" s="110"/>
      <c r="P2837" s="110"/>
      <c r="Q2837" s="110"/>
      <c r="R2837" s="110"/>
      <c r="S2837" s="110"/>
      <c r="T2837" s="110"/>
      <c r="U2837" s="110"/>
      <c r="V2837" s="110"/>
      <c r="W2837" s="110"/>
      <c r="X2837" s="110"/>
      <c r="Y2837" s="110"/>
      <c r="Z2837" s="110"/>
      <c r="AA2837" s="110"/>
      <c r="AB2837" s="110"/>
      <c r="AC2837" s="110"/>
      <c r="AD2837" s="110"/>
      <c r="AE2837" s="110"/>
      <c r="AF2837" s="110"/>
    </row>
    <row r="2838" spans="2:32" ht="15" customHeight="1"/>
    <row r="2839" spans="2:32" ht="15" customHeight="1"/>
    <row r="2840" spans="2:32" ht="15" customHeight="1"/>
    <row r="2841" spans="2:32" ht="15" customHeight="1"/>
  </sheetData>
  <mergeCells count="21">
    <mergeCell ref="B1101:AF1101"/>
    <mergeCell ref="B1229:AF1229"/>
    <mergeCell ref="B1390:AF1390"/>
    <mergeCell ref="B1502:AF1502"/>
    <mergeCell ref="B1604:AF1604"/>
    <mergeCell ref="B1699:AF1699"/>
    <mergeCell ref="B69:AG6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90584-3B8E-442A-A651-1BB3BD061418}">
  <dimension ref="A1:AI96"/>
  <sheetViews>
    <sheetView workbookViewId="0">
      <selection activeCell="I15" sqref="I15"/>
    </sheetView>
  </sheetViews>
  <sheetFormatPr defaultRowHeight="14.75"/>
  <sheetData>
    <row r="1" spans="1:35">
      <c r="A1" t="s">
        <v>86</v>
      </c>
    </row>
    <row r="2" spans="1:35">
      <c r="A2" t="s">
        <v>417</v>
      </c>
    </row>
    <row r="3" spans="1:35">
      <c r="A3" t="s">
        <v>418</v>
      </c>
    </row>
    <row r="4" spans="1:35">
      <c r="A4" t="s">
        <v>87</v>
      </c>
    </row>
    <row r="5" spans="1:35">
      <c r="B5" t="s">
        <v>88</v>
      </c>
      <c r="C5" t="s">
        <v>116</v>
      </c>
      <c r="D5" t="s">
        <v>117</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419</v>
      </c>
    </row>
    <row r="6" spans="1:35">
      <c r="A6" t="s">
        <v>13</v>
      </c>
      <c r="B6" t="s">
        <v>420</v>
      </c>
      <c r="C6" t="s">
        <v>421</v>
      </c>
      <c r="D6" t="s">
        <v>118</v>
      </c>
      <c r="F6">
        <v>14541.972656</v>
      </c>
      <c r="G6">
        <v>14586.113281</v>
      </c>
      <c r="H6">
        <v>14429.691406</v>
      </c>
      <c r="I6">
        <v>14201.924805000001</v>
      </c>
      <c r="J6">
        <v>14016.908203000001</v>
      </c>
      <c r="K6">
        <v>13860.761719</v>
      </c>
      <c r="L6">
        <v>13679.085938</v>
      </c>
      <c r="M6">
        <v>13473.831055000001</v>
      </c>
      <c r="N6">
        <v>13253.083008</v>
      </c>
      <c r="O6">
        <v>13044.084961</v>
      </c>
      <c r="P6">
        <v>12836.977539</v>
      </c>
      <c r="Q6">
        <v>12674.038086</v>
      </c>
      <c r="R6">
        <v>12534.655273</v>
      </c>
      <c r="S6">
        <v>12394.663086</v>
      </c>
      <c r="T6">
        <v>12251.546875</v>
      </c>
      <c r="U6">
        <v>12130.821289</v>
      </c>
      <c r="V6">
        <v>12028.415039</v>
      </c>
      <c r="W6">
        <v>11933.921875</v>
      </c>
      <c r="X6">
        <v>11864.000977</v>
      </c>
      <c r="Y6">
        <v>11805.395508</v>
      </c>
      <c r="Z6">
        <v>11762.741211</v>
      </c>
      <c r="AA6">
        <v>11733.643555000001</v>
      </c>
      <c r="AB6">
        <v>11725.385742</v>
      </c>
      <c r="AC6">
        <v>11735.774414</v>
      </c>
      <c r="AD6">
        <v>11770.762694999999</v>
      </c>
      <c r="AE6">
        <v>11824.348633</v>
      </c>
      <c r="AF6">
        <v>11889.714844</v>
      </c>
      <c r="AG6">
        <v>11962.909180000001</v>
      </c>
      <c r="AH6">
        <v>12054.454102</v>
      </c>
      <c r="AI6" s="12">
        <v>-7.0000000000000001E-3</v>
      </c>
    </row>
    <row r="7" spans="1:35">
      <c r="A7" t="s">
        <v>89</v>
      </c>
      <c r="B7" t="s">
        <v>422</v>
      </c>
      <c r="C7" t="s">
        <v>423</v>
      </c>
      <c r="D7" t="s">
        <v>118</v>
      </c>
      <c r="F7">
        <v>14415.272461</v>
      </c>
      <c r="G7">
        <v>14443.935546999999</v>
      </c>
      <c r="H7">
        <v>14272.423828000001</v>
      </c>
      <c r="I7">
        <v>14024.321289</v>
      </c>
      <c r="J7">
        <v>13815.495117</v>
      </c>
      <c r="K7">
        <v>13632.25</v>
      </c>
      <c r="L7">
        <v>13419.692383</v>
      </c>
      <c r="M7">
        <v>13179.959961</v>
      </c>
      <c r="N7">
        <v>12922.150390999999</v>
      </c>
      <c r="O7">
        <v>12678.574219</v>
      </c>
      <c r="P7">
        <v>12437.037109000001</v>
      </c>
      <c r="Q7">
        <v>12238.958984000001</v>
      </c>
      <c r="R7">
        <v>12063.409180000001</v>
      </c>
      <c r="S7">
        <v>11887.983398</v>
      </c>
      <c r="T7">
        <v>11710.702148</v>
      </c>
      <c r="U7">
        <v>11556.080078000001</v>
      </c>
      <c r="V7">
        <v>11421.212890999999</v>
      </c>
      <c r="W7">
        <v>11295.928711</v>
      </c>
      <c r="X7">
        <v>11196.765625</v>
      </c>
      <c r="Y7">
        <v>11110.766602</v>
      </c>
      <c r="Z7">
        <v>11042.224609000001</v>
      </c>
      <c r="AA7">
        <v>10988.434569999999</v>
      </c>
      <c r="AB7">
        <v>10958.347656</v>
      </c>
      <c r="AC7">
        <v>10949.109375</v>
      </c>
      <c r="AD7">
        <v>10963.973633</v>
      </c>
      <c r="AE7">
        <v>10998.306640999999</v>
      </c>
      <c r="AF7">
        <v>11045.133789</v>
      </c>
      <c r="AG7">
        <v>11100.259765999999</v>
      </c>
      <c r="AH7">
        <v>11174.059569999999</v>
      </c>
      <c r="AI7" s="12">
        <v>-8.9999999999999993E-3</v>
      </c>
    </row>
    <row r="8" spans="1:35">
      <c r="A8" t="s">
        <v>90</v>
      </c>
      <c r="B8" t="s">
        <v>424</v>
      </c>
      <c r="C8" t="s">
        <v>425</v>
      </c>
      <c r="D8" t="s">
        <v>118</v>
      </c>
      <c r="F8">
        <v>31.110834000000001</v>
      </c>
      <c r="G8">
        <v>31.640059999999998</v>
      </c>
      <c r="H8">
        <v>29.552766999999999</v>
      </c>
      <c r="I8">
        <v>29.441513</v>
      </c>
      <c r="J8">
        <v>28.728484999999999</v>
      </c>
      <c r="K8">
        <v>27.952176999999999</v>
      </c>
      <c r="L8">
        <v>27.018059000000001</v>
      </c>
      <c r="M8">
        <v>25.972712999999999</v>
      </c>
      <c r="N8">
        <v>24.873795000000001</v>
      </c>
      <c r="O8">
        <v>23.800640000000001</v>
      </c>
      <c r="P8">
        <v>22.75461</v>
      </c>
      <c r="Q8">
        <v>21.823027</v>
      </c>
      <c r="R8">
        <v>20.987984000000001</v>
      </c>
      <c r="S8">
        <v>20.244168999999999</v>
      </c>
      <c r="T8">
        <v>19.537762000000001</v>
      </c>
      <c r="U8">
        <v>19.024712000000001</v>
      </c>
      <c r="V8">
        <v>18.648620999999999</v>
      </c>
      <c r="W8">
        <v>18.398510000000002</v>
      </c>
      <c r="X8">
        <v>18.275644</v>
      </c>
      <c r="Y8">
        <v>18.222812999999999</v>
      </c>
      <c r="Z8">
        <v>18.236134</v>
      </c>
      <c r="AA8">
        <v>18.340064999999999</v>
      </c>
      <c r="AB8">
        <v>18.452594999999999</v>
      </c>
      <c r="AC8">
        <v>18.609615000000002</v>
      </c>
      <c r="AD8">
        <v>18.756809000000001</v>
      </c>
      <c r="AE8">
        <v>19.004078</v>
      </c>
      <c r="AF8">
        <v>19.229309000000001</v>
      </c>
      <c r="AG8">
        <v>19.515996999999999</v>
      </c>
      <c r="AH8">
        <v>19.788425</v>
      </c>
      <c r="AI8" s="12">
        <v>-1.6E-2</v>
      </c>
    </row>
    <row r="9" spans="1:35">
      <c r="A9" t="s">
        <v>91</v>
      </c>
      <c r="B9" t="s">
        <v>426</v>
      </c>
      <c r="C9" t="s">
        <v>427</v>
      </c>
      <c r="D9" t="s">
        <v>118</v>
      </c>
      <c r="F9">
        <v>61.460402999999999</v>
      </c>
      <c r="G9">
        <v>64.699020000000004</v>
      </c>
      <c r="H9">
        <v>67.503647000000001</v>
      </c>
      <c r="I9">
        <v>70.684073999999995</v>
      </c>
      <c r="J9">
        <v>74.503555000000006</v>
      </c>
      <c r="K9">
        <v>77.632530000000003</v>
      </c>
      <c r="L9">
        <v>81.324982000000006</v>
      </c>
      <c r="M9">
        <v>84.520767000000006</v>
      </c>
      <c r="N9">
        <v>86.959732000000002</v>
      </c>
      <c r="O9">
        <v>89.758049</v>
      </c>
      <c r="P9">
        <v>91.490157999999994</v>
      </c>
      <c r="Q9">
        <v>93.247542999999993</v>
      </c>
      <c r="R9">
        <v>95.158996999999999</v>
      </c>
      <c r="S9">
        <v>96.641707999999994</v>
      </c>
      <c r="T9">
        <v>98.053237999999993</v>
      </c>
      <c r="U9">
        <v>99.864699999999999</v>
      </c>
      <c r="V9">
        <v>101.36190000000001</v>
      </c>
      <c r="W9">
        <v>102.785622</v>
      </c>
      <c r="X9">
        <v>104.47521999999999</v>
      </c>
      <c r="Y9">
        <v>105.749611</v>
      </c>
      <c r="Z9">
        <v>107.324608</v>
      </c>
      <c r="AA9">
        <v>109.779274</v>
      </c>
      <c r="AB9">
        <v>110.920013</v>
      </c>
      <c r="AC9">
        <v>111.97983600000001</v>
      </c>
      <c r="AD9">
        <v>113.441277</v>
      </c>
      <c r="AE9">
        <v>115.037064</v>
      </c>
      <c r="AF9">
        <v>116.75106</v>
      </c>
      <c r="AG9">
        <v>118.593468</v>
      </c>
      <c r="AH9">
        <v>120.69574</v>
      </c>
      <c r="AI9" s="12">
        <v>2.4E-2</v>
      </c>
    </row>
    <row r="10" spans="1:35">
      <c r="A10" t="s">
        <v>92</v>
      </c>
      <c r="B10" t="s">
        <v>428</v>
      </c>
      <c r="C10" t="s">
        <v>429</v>
      </c>
      <c r="D10" t="s">
        <v>118</v>
      </c>
      <c r="F10">
        <v>0.71288799999999997</v>
      </c>
      <c r="G10">
        <v>0.67766800000000005</v>
      </c>
      <c r="H10">
        <v>0.53775200000000001</v>
      </c>
      <c r="I10">
        <v>0.51500500000000005</v>
      </c>
      <c r="J10">
        <v>0.507019</v>
      </c>
      <c r="K10">
        <v>0.49244300000000002</v>
      </c>
      <c r="L10">
        <v>0.48183900000000002</v>
      </c>
      <c r="M10">
        <v>0.470472</v>
      </c>
      <c r="N10">
        <v>0.44594200000000001</v>
      </c>
      <c r="O10">
        <v>0.44344499999999998</v>
      </c>
      <c r="P10">
        <v>0.43788300000000002</v>
      </c>
      <c r="Q10">
        <v>0.43343399999999999</v>
      </c>
      <c r="R10">
        <v>0.43173299999999998</v>
      </c>
      <c r="S10">
        <v>0.43049900000000002</v>
      </c>
      <c r="T10">
        <v>0.42709599999999998</v>
      </c>
      <c r="U10">
        <v>0.42463099999999998</v>
      </c>
      <c r="V10">
        <v>0.42622700000000002</v>
      </c>
      <c r="W10">
        <v>0.37802400000000003</v>
      </c>
      <c r="X10">
        <v>0.33532600000000001</v>
      </c>
      <c r="Y10">
        <v>0.34005299999999999</v>
      </c>
      <c r="Z10">
        <v>0.343781</v>
      </c>
      <c r="AA10">
        <v>0.34665600000000002</v>
      </c>
      <c r="AB10">
        <v>0.34931299999999998</v>
      </c>
      <c r="AC10">
        <v>0.35186400000000001</v>
      </c>
      <c r="AD10">
        <v>0.35644799999999999</v>
      </c>
      <c r="AE10">
        <v>0.36170999999999998</v>
      </c>
      <c r="AF10">
        <v>0.367786</v>
      </c>
      <c r="AG10">
        <v>0.37404300000000001</v>
      </c>
      <c r="AH10">
        <v>0.38108199999999998</v>
      </c>
      <c r="AI10" s="12">
        <v>-2.1999999999999999E-2</v>
      </c>
    </row>
    <row r="11" spans="1:35">
      <c r="A11" t="s">
        <v>93</v>
      </c>
      <c r="B11" t="s">
        <v>430</v>
      </c>
      <c r="C11" t="s">
        <v>431</v>
      </c>
      <c r="D11" t="s">
        <v>118</v>
      </c>
      <c r="F11">
        <v>0.79738799999999999</v>
      </c>
      <c r="G11">
        <v>0.735487</v>
      </c>
      <c r="H11">
        <v>0.54745600000000005</v>
      </c>
      <c r="I11">
        <v>0.54066800000000004</v>
      </c>
      <c r="J11">
        <v>0.54419300000000004</v>
      </c>
      <c r="K11">
        <v>0.56128199999999995</v>
      </c>
      <c r="L11">
        <v>0.31209199999999998</v>
      </c>
      <c r="M11">
        <v>0.33013999999999999</v>
      </c>
      <c r="N11">
        <v>0.384077</v>
      </c>
      <c r="O11">
        <v>0.43762600000000001</v>
      </c>
      <c r="P11">
        <v>0.48971900000000002</v>
      </c>
      <c r="Q11">
        <v>0.54025400000000001</v>
      </c>
      <c r="R11">
        <v>0.59017699999999995</v>
      </c>
      <c r="S11">
        <v>0.63807599999999998</v>
      </c>
      <c r="T11">
        <v>0.68416399999999999</v>
      </c>
      <c r="U11">
        <v>0.72875999999999996</v>
      </c>
      <c r="V11">
        <v>0.77158599999999999</v>
      </c>
      <c r="W11">
        <v>0.81298700000000002</v>
      </c>
      <c r="X11">
        <v>0.85285</v>
      </c>
      <c r="Y11">
        <v>0.89180899999999996</v>
      </c>
      <c r="Z11">
        <v>0.93071300000000001</v>
      </c>
      <c r="AA11">
        <v>0.96862199999999998</v>
      </c>
      <c r="AB11">
        <v>1.007558</v>
      </c>
      <c r="AC11">
        <v>1.0480309999999999</v>
      </c>
      <c r="AD11">
        <v>1.0965309999999999</v>
      </c>
      <c r="AE11">
        <v>1.1502429999999999</v>
      </c>
      <c r="AF11">
        <v>1.2091620000000001</v>
      </c>
      <c r="AG11">
        <v>1.2718959999999999</v>
      </c>
      <c r="AH11">
        <v>1.341161</v>
      </c>
      <c r="AI11" s="12">
        <v>1.9E-2</v>
      </c>
    </row>
    <row r="12" spans="1:35">
      <c r="A12" t="s">
        <v>94</v>
      </c>
      <c r="B12" t="s">
        <v>432</v>
      </c>
      <c r="C12" t="s">
        <v>433</v>
      </c>
      <c r="D12" t="s">
        <v>118</v>
      </c>
      <c r="F12">
        <v>32.193668000000002</v>
      </c>
      <c r="G12">
        <v>43.907116000000002</v>
      </c>
      <c r="H12">
        <v>58.529483999999997</v>
      </c>
      <c r="I12">
        <v>75.757942</v>
      </c>
      <c r="J12">
        <v>96.391159000000002</v>
      </c>
      <c r="K12">
        <v>121.066132</v>
      </c>
      <c r="L12">
        <v>149.37681599999999</v>
      </c>
      <c r="M12">
        <v>181.62849399999999</v>
      </c>
      <c r="N12">
        <v>217.248322</v>
      </c>
      <c r="O12">
        <v>249.97737100000001</v>
      </c>
      <c r="P12">
        <v>283.60272200000003</v>
      </c>
      <c r="Q12">
        <v>317.79742399999998</v>
      </c>
      <c r="R12">
        <v>352.768036</v>
      </c>
      <c r="S12">
        <v>387.34478799999999</v>
      </c>
      <c r="T12">
        <v>420.69439699999998</v>
      </c>
      <c r="U12">
        <v>453.186218</v>
      </c>
      <c r="V12">
        <v>484.42330900000002</v>
      </c>
      <c r="W12">
        <v>513.99560499999995</v>
      </c>
      <c r="X12">
        <v>541.63085899999999</v>
      </c>
      <c r="Y12">
        <v>567.72460899999999</v>
      </c>
      <c r="Z12">
        <v>591.95019500000001</v>
      </c>
      <c r="AA12">
        <v>614.02081299999998</v>
      </c>
      <c r="AB12">
        <v>634.53887899999995</v>
      </c>
      <c r="AC12">
        <v>652.89733899999999</v>
      </c>
      <c r="AD12">
        <v>671.348206</v>
      </c>
      <c r="AE12">
        <v>688.68969700000002</v>
      </c>
      <c r="AF12">
        <v>705.21575900000005</v>
      </c>
      <c r="AG12">
        <v>721.08111599999995</v>
      </c>
      <c r="AH12">
        <v>736.37286400000005</v>
      </c>
      <c r="AI12" s="12">
        <v>0.11799999999999999</v>
      </c>
    </row>
    <row r="13" spans="1:35">
      <c r="A13" t="s">
        <v>95</v>
      </c>
      <c r="B13" t="s">
        <v>434</v>
      </c>
      <c r="C13" t="s">
        <v>435</v>
      </c>
      <c r="D13" t="s">
        <v>118</v>
      </c>
      <c r="F13">
        <v>0.42613899999999999</v>
      </c>
      <c r="G13">
        <v>0.51818299999999995</v>
      </c>
      <c r="H13">
        <v>0.59576700000000005</v>
      </c>
      <c r="I13">
        <v>0.66511799999999999</v>
      </c>
      <c r="J13">
        <v>0.73787199999999997</v>
      </c>
      <c r="K13">
        <v>0.80678000000000005</v>
      </c>
      <c r="L13">
        <v>0.87969799999999998</v>
      </c>
      <c r="M13">
        <v>0.94835800000000003</v>
      </c>
      <c r="N13">
        <v>1.0205519999999999</v>
      </c>
      <c r="O13">
        <v>1.0934459999999999</v>
      </c>
      <c r="P13">
        <v>1.1656569999999999</v>
      </c>
      <c r="Q13">
        <v>1.2371049999999999</v>
      </c>
      <c r="R13">
        <v>1.3096950000000001</v>
      </c>
      <c r="S13">
        <v>1.3809180000000001</v>
      </c>
      <c r="T13">
        <v>1.4474880000000001</v>
      </c>
      <c r="U13">
        <v>1.512508</v>
      </c>
      <c r="V13">
        <v>1.570883</v>
      </c>
      <c r="W13">
        <v>1.623062</v>
      </c>
      <c r="X13">
        <v>1.665691</v>
      </c>
      <c r="Y13">
        <v>1.699897</v>
      </c>
      <c r="Z13">
        <v>1.7316929999999999</v>
      </c>
      <c r="AA13">
        <v>1.7536229999999999</v>
      </c>
      <c r="AB13">
        <v>1.769871</v>
      </c>
      <c r="AC13">
        <v>1.7791170000000001</v>
      </c>
      <c r="AD13">
        <v>1.7894969999999999</v>
      </c>
      <c r="AE13">
        <v>1.800149</v>
      </c>
      <c r="AF13">
        <v>1.8077129999999999</v>
      </c>
      <c r="AG13">
        <v>1.8132870000000001</v>
      </c>
      <c r="AH13">
        <v>1.8167770000000001</v>
      </c>
      <c r="AI13" s="12">
        <v>5.2999999999999999E-2</v>
      </c>
    </row>
    <row r="14" spans="1:35">
      <c r="A14" t="s">
        <v>96</v>
      </c>
      <c r="B14" t="s">
        <v>436</v>
      </c>
      <c r="C14" t="s">
        <v>437</v>
      </c>
      <c r="D14" t="s">
        <v>118</v>
      </c>
      <c r="F14">
        <v>951.50280799999996</v>
      </c>
      <c r="G14">
        <v>942.55828899999995</v>
      </c>
      <c r="H14">
        <v>925.34039299999995</v>
      </c>
      <c r="I14">
        <v>912.45153800000003</v>
      </c>
      <c r="J14">
        <v>903.11096199999997</v>
      </c>
      <c r="K14">
        <v>894.80664100000001</v>
      </c>
      <c r="L14">
        <v>888.38452099999995</v>
      </c>
      <c r="M14">
        <v>882.99560499999995</v>
      </c>
      <c r="N14">
        <v>877.03247099999999</v>
      </c>
      <c r="O14">
        <v>872.79089399999998</v>
      </c>
      <c r="P14">
        <v>871.79064900000003</v>
      </c>
      <c r="Q14">
        <v>871.86755400000004</v>
      </c>
      <c r="R14">
        <v>873.03363000000002</v>
      </c>
      <c r="S14">
        <v>875.073486</v>
      </c>
      <c r="T14">
        <v>877.49945100000002</v>
      </c>
      <c r="U14">
        <v>881.02331500000003</v>
      </c>
      <c r="V14">
        <v>885.54095500000005</v>
      </c>
      <c r="W14">
        <v>889.79608199999996</v>
      </c>
      <c r="X14">
        <v>896.14636199999995</v>
      </c>
      <c r="Y14">
        <v>903.92437700000005</v>
      </c>
      <c r="Z14">
        <v>911.92645300000004</v>
      </c>
      <c r="AA14">
        <v>919.04620399999999</v>
      </c>
      <c r="AB14">
        <v>925.47399900000005</v>
      </c>
      <c r="AC14">
        <v>932.77233899999999</v>
      </c>
      <c r="AD14">
        <v>941.28070100000002</v>
      </c>
      <c r="AE14">
        <v>951.49883999999997</v>
      </c>
      <c r="AF14">
        <v>960.51415999999995</v>
      </c>
      <c r="AG14">
        <v>969.57879600000001</v>
      </c>
      <c r="AH14">
        <v>981.59570299999996</v>
      </c>
      <c r="AI14" s="12">
        <v>1E-3</v>
      </c>
    </row>
    <row r="15" spans="1:35">
      <c r="A15" t="s">
        <v>89</v>
      </c>
      <c r="B15" t="s">
        <v>438</v>
      </c>
      <c r="C15" t="s">
        <v>439</v>
      </c>
      <c r="D15" t="s">
        <v>118</v>
      </c>
      <c r="F15">
        <v>657.76745600000004</v>
      </c>
      <c r="G15">
        <v>651.25982699999997</v>
      </c>
      <c r="H15">
        <v>640.80761700000005</v>
      </c>
      <c r="I15">
        <v>634.44543499999997</v>
      </c>
      <c r="J15">
        <v>630.82428000000004</v>
      </c>
      <c r="K15">
        <v>624.78125</v>
      </c>
      <c r="L15">
        <v>620.947632</v>
      </c>
      <c r="M15">
        <v>618.08074999999997</v>
      </c>
      <c r="N15">
        <v>615.03594999999996</v>
      </c>
      <c r="O15">
        <v>613.48315400000001</v>
      </c>
      <c r="P15">
        <v>614.07128899999998</v>
      </c>
      <c r="Q15">
        <v>615.42193599999996</v>
      </c>
      <c r="R15">
        <v>617.641479</v>
      </c>
      <c r="S15">
        <v>620.38317900000004</v>
      </c>
      <c r="T15">
        <v>623.32220500000005</v>
      </c>
      <c r="U15">
        <v>627.02630599999998</v>
      </c>
      <c r="V15">
        <v>631.23345900000004</v>
      </c>
      <c r="W15">
        <v>635.20404099999996</v>
      </c>
      <c r="X15">
        <v>640.80859399999997</v>
      </c>
      <c r="Y15">
        <v>646.77948000000004</v>
      </c>
      <c r="Z15">
        <v>653.38256799999999</v>
      </c>
      <c r="AA15">
        <v>659.03369099999998</v>
      </c>
      <c r="AB15">
        <v>663.90283199999999</v>
      </c>
      <c r="AC15">
        <v>669.03552200000001</v>
      </c>
      <c r="AD15">
        <v>675.10998500000005</v>
      </c>
      <c r="AE15">
        <v>682.46606399999996</v>
      </c>
      <c r="AF15">
        <v>688.97082499999999</v>
      </c>
      <c r="AG15">
        <v>695.63995399999999</v>
      </c>
      <c r="AH15">
        <v>704.23315400000001</v>
      </c>
      <c r="AI15" s="12">
        <v>2E-3</v>
      </c>
    </row>
    <row r="16" spans="1:35">
      <c r="A16" t="s">
        <v>90</v>
      </c>
      <c r="B16" t="s">
        <v>440</v>
      </c>
      <c r="C16" t="s">
        <v>441</v>
      </c>
      <c r="D16" t="s">
        <v>118</v>
      </c>
      <c r="F16">
        <v>3.5136699999999998</v>
      </c>
      <c r="G16">
        <v>3.389497</v>
      </c>
      <c r="H16">
        <v>2.991625</v>
      </c>
      <c r="I16">
        <v>2.9037060000000001</v>
      </c>
      <c r="J16">
        <v>2.7676799999999999</v>
      </c>
      <c r="K16">
        <v>2.7080980000000001</v>
      </c>
      <c r="L16">
        <v>2.6648450000000001</v>
      </c>
      <c r="M16">
        <v>2.6710020000000001</v>
      </c>
      <c r="N16">
        <v>2.68058</v>
      </c>
      <c r="O16">
        <v>2.705457</v>
      </c>
      <c r="P16">
        <v>2.745193</v>
      </c>
      <c r="Q16">
        <v>2.803118</v>
      </c>
      <c r="R16">
        <v>2.8754189999999999</v>
      </c>
      <c r="S16">
        <v>2.972388</v>
      </c>
      <c r="T16">
        <v>3.075218</v>
      </c>
      <c r="U16">
        <v>3.2065070000000002</v>
      </c>
      <c r="V16">
        <v>3.3501609999999999</v>
      </c>
      <c r="W16">
        <v>3.5010400000000002</v>
      </c>
      <c r="X16">
        <v>3.6667809999999998</v>
      </c>
      <c r="Y16">
        <v>3.843432</v>
      </c>
      <c r="Z16">
        <v>4.0169430000000004</v>
      </c>
      <c r="AA16">
        <v>4.194909</v>
      </c>
      <c r="AB16">
        <v>4.3540520000000003</v>
      </c>
      <c r="AC16">
        <v>4.5155190000000003</v>
      </c>
      <c r="AD16">
        <v>4.6677289999999996</v>
      </c>
      <c r="AE16">
        <v>4.8359430000000003</v>
      </c>
      <c r="AF16">
        <v>4.9793599999999998</v>
      </c>
      <c r="AG16">
        <v>5.1316860000000002</v>
      </c>
      <c r="AH16">
        <v>5.2824540000000004</v>
      </c>
      <c r="AI16" s="12">
        <v>1.4999999999999999E-2</v>
      </c>
    </row>
    <row r="17" spans="1:35">
      <c r="A17" t="s">
        <v>91</v>
      </c>
      <c r="B17" t="s">
        <v>442</v>
      </c>
      <c r="C17" t="s">
        <v>443</v>
      </c>
      <c r="D17" t="s">
        <v>118</v>
      </c>
      <c r="F17">
        <v>289.12039199999998</v>
      </c>
      <c r="G17">
        <v>286.82144199999999</v>
      </c>
      <c r="H17">
        <v>280.46920799999998</v>
      </c>
      <c r="I17">
        <v>274.07836900000001</v>
      </c>
      <c r="J17">
        <v>268.54092400000002</v>
      </c>
      <c r="K17">
        <v>266.37576300000001</v>
      </c>
      <c r="L17">
        <v>263.84298699999999</v>
      </c>
      <c r="M17">
        <v>261.31542999999999</v>
      </c>
      <c r="N17">
        <v>258.401184</v>
      </c>
      <c r="O17">
        <v>255.69387800000001</v>
      </c>
      <c r="P17">
        <v>254.05813599999999</v>
      </c>
      <c r="Q17">
        <v>252.705139</v>
      </c>
      <c r="R17">
        <v>251.542633</v>
      </c>
      <c r="S17">
        <v>250.69047499999999</v>
      </c>
      <c r="T17">
        <v>250.00555399999999</v>
      </c>
      <c r="U17">
        <v>249.60524000000001</v>
      </c>
      <c r="V17">
        <v>249.66021699999999</v>
      </c>
      <c r="W17">
        <v>249.65734900000001</v>
      </c>
      <c r="X17">
        <v>250.07077000000001</v>
      </c>
      <c r="Y17">
        <v>251.505585</v>
      </c>
      <c r="Z17">
        <v>252.50730899999999</v>
      </c>
      <c r="AA17">
        <v>253.54638700000001</v>
      </c>
      <c r="AB17">
        <v>254.66670199999999</v>
      </c>
      <c r="AC17">
        <v>256.36206099999998</v>
      </c>
      <c r="AD17">
        <v>258.30450400000001</v>
      </c>
      <c r="AE17">
        <v>260.63464399999998</v>
      </c>
      <c r="AF17">
        <v>262.62152099999997</v>
      </c>
      <c r="AG17">
        <v>264.464203</v>
      </c>
      <c r="AH17">
        <v>267.307861</v>
      </c>
      <c r="AI17" s="12">
        <v>-3.0000000000000001E-3</v>
      </c>
    </row>
    <row r="18" spans="1:35">
      <c r="A18" t="s">
        <v>93</v>
      </c>
      <c r="B18" t="s">
        <v>444</v>
      </c>
      <c r="C18" t="s">
        <v>445</v>
      </c>
      <c r="D18" t="s">
        <v>118</v>
      </c>
      <c r="F18">
        <v>1.1919999999999999E-3</v>
      </c>
      <c r="G18">
        <v>5.9367000000000003E-2</v>
      </c>
      <c r="H18">
        <v>0.11705</v>
      </c>
      <c r="I18">
        <v>0.17241300000000001</v>
      </c>
      <c r="J18">
        <v>0.22949800000000001</v>
      </c>
      <c r="K18">
        <v>0.28361900000000001</v>
      </c>
      <c r="L18">
        <v>0.33646300000000001</v>
      </c>
      <c r="M18">
        <v>0.39336500000000002</v>
      </c>
      <c r="N18">
        <v>0.43659700000000001</v>
      </c>
      <c r="O18">
        <v>0.48442800000000003</v>
      </c>
      <c r="P18">
        <v>0.53945200000000004</v>
      </c>
      <c r="Q18">
        <v>0.60183900000000001</v>
      </c>
      <c r="R18">
        <v>0.67321399999999998</v>
      </c>
      <c r="S18">
        <v>0.75634199999999996</v>
      </c>
      <c r="T18">
        <v>0.853271</v>
      </c>
      <c r="U18">
        <v>0.96770199999999995</v>
      </c>
      <c r="V18">
        <v>1.1022019999999999</v>
      </c>
      <c r="W18">
        <v>1.257558</v>
      </c>
      <c r="X18">
        <v>1.4395659999999999</v>
      </c>
      <c r="Y18">
        <v>1.649748</v>
      </c>
      <c r="Z18">
        <v>1.8861079999999999</v>
      </c>
      <c r="AA18">
        <v>2.1497600000000001</v>
      </c>
      <c r="AB18">
        <v>2.4400059999999999</v>
      </c>
      <c r="AC18">
        <v>2.7592599999999998</v>
      </c>
      <c r="AD18">
        <v>3.1105109999999998</v>
      </c>
      <c r="AE18">
        <v>3.4898639999999999</v>
      </c>
      <c r="AF18">
        <v>3.885303</v>
      </c>
      <c r="AG18">
        <v>4.2978630000000004</v>
      </c>
      <c r="AH18">
        <v>4.7380370000000003</v>
      </c>
      <c r="AI18" s="12">
        <v>0.34399999999999997</v>
      </c>
    </row>
    <row r="19" spans="1:35">
      <c r="A19" t="s">
        <v>92</v>
      </c>
      <c r="B19" t="s">
        <v>446</v>
      </c>
      <c r="C19" t="s">
        <v>447</v>
      </c>
      <c r="D19" t="s">
        <v>118</v>
      </c>
      <c r="F19">
        <v>1.100109</v>
      </c>
      <c r="G19">
        <v>1.0280959999999999</v>
      </c>
      <c r="H19">
        <v>0.95485699999999996</v>
      </c>
      <c r="I19">
        <v>0.85162800000000005</v>
      </c>
      <c r="J19">
        <v>0.74851699999999999</v>
      </c>
      <c r="K19">
        <v>0.657968</v>
      </c>
      <c r="L19">
        <v>0.59255500000000005</v>
      </c>
      <c r="M19">
        <v>0.53501100000000001</v>
      </c>
      <c r="N19">
        <v>0.478159</v>
      </c>
      <c r="O19">
        <v>0.42399300000000001</v>
      </c>
      <c r="P19">
        <v>0.376664</v>
      </c>
      <c r="Q19">
        <v>0.33548499999999998</v>
      </c>
      <c r="R19">
        <v>0.30089100000000002</v>
      </c>
      <c r="S19">
        <v>0.27107300000000001</v>
      </c>
      <c r="T19">
        <v>0.243198</v>
      </c>
      <c r="U19">
        <v>0.217586</v>
      </c>
      <c r="V19">
        <v>0.19492699999999999</v>
      </c>
      <c r="W19">
        <v>0.17607900000000001</v>
      </c>
      <c r="X19">
        <v>0.160581</v>
      </c>
      <c r="Y19">
        <v>0.14618200000000001</v>
      </c>
      <c r="Z19">
        <v>0.133464</v>
      </c>
      <c r="AA19">
        <v>0.121475</v>
      </c>
      <c r="AB19">
        <v>0.110383</v>
      </c>
      <c r="AC19">
        <v>9.9973999999999993E-2</v>
      </c>
      <c r="AD19">
        <v>8.7946999999999997E-2</v>
      </c>
      <c r="AE19">
        <v>7.2319999999999995E-2</v>
      </c>
      <c r="AF19">
        <v>5.7146000000000002E-2</v>
      </c>
      <c r="AG19">
        <v>4.5075999999999998E-2</v>
      </c>
      <c r="AH19">
        <v>3.4169999999999999E-2</v>
      </c>
      <c r="AI19" s="12">
        <v>-0.11700000000000001</v>
      </c>
    </row>
    <row r="20" spans="1:35">
      <c r="A20" t="s">
        <v>94</v>
      </c>
      <c r="B20" t="s">
        <v>448</v>
      </c>
      <c r="C20" t="s">
        <v>449</v>
      </c>
      <c r="D20" t="s">
        <v>118</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6</v>
      </c>
    </row>
    <row r="21" spans="1:35">
      <c r="A21" t="s">
        <v>95</v>
      </c>
      <c r="B21" t="s">
        <v>450</v>
      </c>
      <c r="C21" t="s">
        <v>451</v>
      </c>
      <c r="D21" t="s">
        <v>118</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6</v>
      </c>
    </row>
    <row r="22" spans="1:35">
      <c r="A22" t="s">
        <v>97</v>
      </c>
      <c r="B22" t="s">
        <v>452</v>
      </c>
      <c r="C22" t="s">
        <v>453</v>
      </c>
      <c r="D22" t="s">
        <v>118</v>
      </c>
      <c r="F22">
        <v>5922.7910160000001</v>
      </c>
      <c r="G22">
        <v>5816.7055659999996</v>
      </c>
      <c r="H22">
        <v>5728.0952150000003</v>
      </c>
      <c r="I22">
        <v>5673.0986329999996</v>
      </c>
      <c r="J22">
        <v>5638.8964839999999</v>
      </c>
      <c r="K22">
        <v>5591.7084960000002</v>
      </c>
      <c r="L22">
        <v>5543.7119140000004</v>
      </c>
      <c r="M22">
        <v>5483.6694340000004</v>
      </c>
      <c r="N22">
        <v>5422.388672</v>
      </c>
      <c r="O22">
        <v>5371.3027339999999</v>
      </c>
      <c r="P22">
        <v>5340.158203</v>
      </c>
      <c r="Q22">
        <v>5306.5048829999996</v>
      </c>
      <c r="R22">
        <v>5278.7797849999997</v>
      </c>
      <c r="S22">
        <v>5261.2470700000003</v>
      </c>
      <c r="T22">
        <v>5242.9990230000003</v>
      </c>
      <c r="U22">
        <v>5237.6972660000001</v>
      </c>
      <c r="V22">
        <v>5236.3618159999996</v>
      </c>
      <c r="W22">
        <v>5238.3041990000002</v>
      </c>
      <c r="X22">
        <v>5247.9145509999998</v>
      </c>
      <c r="Y22">
        <v>5263.2084960000002</v>
      </c>
      <c r="Z22">
        <v>5281.4541019999997</v>
      </c>
      <c r="AA22">
        <v>5299.6816410000001</v>
      </c>
      <c r="AB22">
        <v>5316.7680659999996</v>
      </c>
      <c r="AC22">
        <v>5331.7001950000003</v>
      </c>
      <c r="AD22">
        <v>5353.1992190000001</v>
      </c>
      <c r="AE22">
        <v>5376.3164059999999</v>
      </c>
      <c r="AF22">
        <v>5393.3178710000002</v>
      </c>
      <c r="AG22">
        <v>5413.4169920000004</v>
      </c>
      <c r="AH22">
        <v>5450.0122069999998</v>
      </c>
      <c r="AI22" s="12">
        <v>-3.0000000000000001E-3</v>
      </c>
    </row>
    <row r="23" spans="1:35">
      <c r="A23" t="s">
        <v>98</v>
      </c>
      <c r="B23" t="s">
        <v>454</v>
      </c>
      <c r="C23" t="s">
        <v>455</v>
      </c>
      <c r="D23" t="s">
        <v>118</v>
      </c>
      <c r="F23">
        <v>616.20519999999999</v>
      </c>
      <c r="G23">
        <v>611.60089100000005</v>
      </c>
      <c r="H23">
        <v>610.37268100000006</v>
      </c>
      <c r="I23">
        <v>612.19366500000001</v>
      </c>
      <c r="J23">
        <v>616.92590299999995</v>
      </c>
      <c r="K23">
        <v>620.02862500000003</v>
      </c>
      <c r="L23">
        <v>623.435608</v>
      </c>
      <c r="M23">
        <v>626.11090100000001</v>
      </c>
      <c r="N23">
        <v>629.31872599999997</v>
      </c>
      <c r="O23">
        <v>633.79577600000005</v>
      </c>
      <c r="P23">
        <v>641.25616500000001</v>
      </c>
      <c r="Q23">
        <v>647.76110800000004</v>
      </c>
      <c r="R23">
        <v>654.28460700000005</v>
      </c>
      <c r="S23">
        <v>661.13012700000002</v>
      </c>
      <c r="T23">
        <v>667.05139199999996</v>
      </c>
      <c r="U23">
        <v>674.55737299999998</v>
      </c>
      <c r="V23">
        <v>681.19171100000005</v>
      </c>
      <c r="W23">
        <v>688.82940699999995</v>
      </c>
      <c r="X23">
        <v>697.06719999999996</v>
      </c>
      <c r="Y23">
        <v>706.54357900000002</v>
      </c>
      <c r="Z23">
        <v>715.970642</v>
      </c>
      <c r="AA23">
        <v>725.08044400000006</v>
      </c>
      <c r="AB23">
        <v>734.180969</v>
      </c>
      <c r="AC23">
        <v>743.18780500000003</v>
      </c>
      <c r="AD23">
        <v>753.50970500000005</v>
      </c>
      <c r="AE23">
        <v>764.21655299999998</v>
      </c>
      <c r="AF23">
        <v>774.01879899999994</v>
      </c>
      <c r="AG23">
        <v>784.56542999999999</v>
      </c>
      <c r="AH23">
        <v>797.65808100000004</v>
      </c>
      <c r="AI23" s="12">
        <v>8.9999999999999993E-3</v>
      </c>
    </row>
    <row r="24" spans="1:35">
      <c r="A24" t="s">
        <v>91</v>
      </c>
      <c r="B24" t="s">
        <v>456</v>
      </c>
      <c r="C24" t="s">
        <v>457</v>
      </c>
      <c r="D24" t="s">
        <v>118</v>
      </c>
      <c r="F24">
        <v>5252.3305659999996</v>
      </c>
      <c r="G24">
        <v>5150.2441410000001</v>
      </c>
      <c r="H24">
        <v>5062.3154299999997</v>
      </c>
      <c r="I24">
        <v>5004.9750979999999</v>
      </c>
      <c r="J24">
        <v>4965.6987300000001</v>
      </c>
      <c r="K24">
        <v>4915.5693359999996</v>
      </c>
      <c r="L24">
        <v>4864.6591799999997</v>
      </c>
      <c r="M24">
        <v>4802.8212890000004</v>
      </c>
      <c r="N24">
        <v>4739.4140619999998</v>
      </c>
      <c r="O24">
        <v>4684.7788090000004</v>
      </c>
      <c r="P24">
        <v>4646.6831050000001</v>
      </c>
      <c r="Q24">
        <v>4606.6586909999996</v>
      </c>
      <c r="R24">
        <v>4572.0830079999996</v>
      </c>
      <c r="S24">
        <v>4546.9648440000001</v>
      </c>
      <c r="T24">
        <v>4521.8164059999999</v>
      </c>
      <c r="U24">
        <v>4507.6464839999999</v>
      </c>
      <c r="V24">
        <v>4498.0512699999999</v>
      </c>
      <c r="W24">
        <v>4490.4604490000002</v>
      </c>
      <c r="X24">
        <v>4489.5615230000003</v>
      </c>
      <c r="Y24">
        <v>4492.7368159999996</v>
      </c>
      <c r="Z24">
        <v>4498.6596680000002</v>
      </c>
      <c r="AA24">
        <v>4504.6669920000004</v>
      </c>
      <c r="AB24">
        <v>4509.3803710000002</v>
      </c>
      <c r="AC24">
        <v>4511.908203</v>
      </c>
      <c r="AD24">
        <v>4519.439453</v>
      </c>
      <c r="AE24">
        <v>4527.9907229999999</v>
      </c>
      <c r="AF24">
        <v>4531.3125</v>
      </c>
      <c r="AG24">
        <v>4536.8085940000001</v>
      </c>
      <c r="AH24">
        <v>4555.8002930000002</v>
      </c>
      <c r="AI24" s="12">
        <v>-5.0000000000000001E-3</v>
      </c>
    </row>
    <row r="25" spans="1:35">
      <c r="A25" t="s">
        <v>92</v>
      </c>
      <c r="B25" t="s">
        <v>458</v>
      </c>
      <c r="C25" t="s">
        <v>459</v>
      </c>
      <c r="D25" t="s">
        <v>118</v>
      </c>
      <c r="F25">
        <v>51.344929</v>
      </c>
      <c r="G25">
        <v>51.773192999999999</v>
      </c>
      <c r="H25">
        <v>51.965775000000001</v>
      </c>
      <c r="I25">
        <v>52.061793999999999</v>
      </c>
      <c r="J25">
        <v>52.003608999999997</v>
      </c>
      <c r="K25">
        <v>51.453991000000002</v>
      </c>
      <c r="L25">
        <v>50.587242000000003</v>
      </c>
      <c r="M25">
        <v>49.357909999999997</v>
      </c>
      <c r="N25">
        <v>47.935226</v>
      </c>
      <c r="O25">
        <v>46.656028999999997</v>
      </c>
      <c r="P25">
        <v>45.774757000000001</v>
      </c>
      <c r="Q25">
        <v>45.265822999999997</v>
      </c>
      <c r="R25">
        <v>45.213749</v>
      </c>
      <c r="S25">
        <v>45.570152</v>
      </c>
      <c r="T25">
        <v>46.181812000000001</v>
      </c>
      <c r="U25">
        <v>47.148071000000002</v>
      </c>
      <c r="V25">
        <v>48.373516000000002</v>
      </c>
      <c r="W25">
        <v>49.850357000000002</v>
      </c>
      <c r="X25">
        <v>51.657871</v>
      </c>
      <c r="Y25">
        <v>53.784999999999997</v>
      </c>
      <c r="Z25">
        <v>56.128627999999999</v>
      </c>
      <c r="AA25">
        <v>58.653038000000002</v>
      </c>
      <c r="AB25">
        <v>61.322830000000003</v>
      </c>
      <c r="AC25">
        <v>64.089225999999996</v>
      </c>
      <c r="AD25">
        <v>67.060805999999999</v>
      </c>
      <c r="AE25">
        <v>70.195708999999994</v>
      </c>
      <c r="AF25">
        <v>73.347763</v>
      </c>
      <c r="AG25">
        <v>76.647514000000001</v>
      </c>
      <c r="AH25">
        <v>80.336478999999997</v>
      </c>
      <c r="AI25" s="12">
        <v>1.6E-2</v>
      </c>
    </row>
    <row r="26" spans="1:35">
      <c r="A26" t="s">
        <v>93</v>
      </c>
      <c r="B26" t="s">
        <v>460</v>
      </c>
      <c r="C26" t="s">
        <v>461</v>
      </c>
      <c r="D26" t="s">
        <v>118</v>
      </c>
      <c r="F26">
        <v>1.2452650000000001</v>
      </c>
      <c r="G26">
        <v>1.3861779999999999</v>
      </c>
      <c r="H26">
        <v>1.5248809999999999</v>
      </c>
      <c r="I26">
        <v>1.6560079999999999</v>
      </c>
      <c r="J26">
        <v>1.7862659999999999</v>
      </c>
      <c r="K26">
        <v>1.903707</v>
      </c>
      <c r="L26">
        <v>2.0105780000000002</v>
      </c>
      <c r="M26">
        <v>2.0996890000000001</v>
      </c>
      <c r="N26">
        <v>2.1804990000000002</v>
      </c>
      <c r="O26">
        <v>2.2604649999999999</v>
      </c>
      <c r="P26">
        <v>2.3478089999999998</v>
      </c>
      <c r="Q26">
        <v>2.4404729999999999</v>
      </c>
      <c r="R26">
        <v>2.5412210000000002</v>
      </c>
      <c r="S26">
        <v>2.6449829999999999</v>
      </c>
      <c r="T26">
        <v>2.752405</v>
      </c>
      <c r="U26">
        <v>2.87385</v>
      </c>
      <c r="V26">
        <v>3.004591</v>
      </c>
      <c r="W26">
        <v>3.1495850000000001</v>
      </c>
      <c r="X26">
        <v>3.3139080000000001</v>
      </c>
      <c r="Y26">
        <v>3.5006020000000002</v>
      </c>
      <c r="Z26">
        <v>3.7020719999999998</v>
      </c>
      <c r="AA26">
        <v>3.9170069999999999</v>
      </c>
      <c r="AB26">
        <v>4.1414160000000004</v>
      </c>
      <c r="AC26">
        <v>4.3768849999999997</v>
      </c>
      <c r="AD26">
        <v>4.632447</v>
      </c>
      <c r="AE26">
        <v>4.9017460000000002</v>
      </c>
      <c r="AF26">
        <v>5.1746309999999998</v>
      </c>
      <c r="AG26">
        <v>5.4474770000000001</v>
      </c>
      <c r="AH26">
        <v>5.7450359999999998</v>
      </c>
      <c r="AI26" s="12">
        <v>5.6000000000000001E-2</v>
      </c>
    </row>
    <row r="27" spans="1:35">
      <c r="A27" t="s">
        <v>90</v>
      </c>
      <c r="B27" t="s">
        <v>462</v>
      </c>
      <c r="C27" t="s">
        <v>463</v>
      </c>
      <c r="D27" t="s">
        <v>118</v>
      </c>
      <c r="F27">
        <v>1.575329</v>
      </c>
      <c r="G27">
        <v>1.59209</v>
      </c>
      <c r="H27">
        <v>1.542675</v>
      </c>
      <c r="I27">
        <v>1.6006830000000001</v>
      </c>
      <c r="J27">
        <v>1.6393420000000001</v>
      </c>
      <c r="K27">
        <v>1.678971</v>
      </c>
      <c r="L27">
        <v>1.7193179999999999</v>
      </c>
      <c r="M27">
        <v>1.762707</v>
      </c>
      <c r="N27">
        <v>1.813895</v>
      </c>
      <c r="O27">
        <v>1.879181</v>
      </c>
      <c r="P27">
        <v>1.9543600000000001</v>
      </c>
      <c r="Q27">
        <v>2.0339360000000002</v>
      </c>
      <c r="R27">
        <v>2.113308</v>
      </c>
      <c r="S27">
        <v>2.196958</v>
      </c>
      <c r="T27">
        <v>2.2686670000000002</v>
      </c>
      <c r="U27">
        <v>2.3534449999999998</v>
      </c>
      <c r="V27">
        <v>2.433783</v>
      </c>
      <c r="W27">
        <v>2.5157970000000001</v>
      </c>
      <c r="X27">
        <v>2.6119849999999998</v>
      </c>
      <c r="Y27">
        <v>2.7199399999999998</v>
      </c>
      <c r="Z27">
        <v>2.8330769999999998</v>
      </c>
      <c r="AA27">
        <v>2.961128</v>
      </c>
      <c r="AB27">
        <v>3.087059</v>
      </c>
      <c r="AC27">
        <v>3.2187969999999999</v>
      </c>
      <c r="AD27">
        <v>3.346063</v>
      </c>
      <c r="AE27">
        <v>3.488648</v>
      </c>
      <c r="AF27">
        <v>3.6174729999999999</v>
      </c>
      <c r="AG27">
        <v>3.75576</v>
      </c>
      <c r="AH27">
        <v>3.8951479999999998</v>
      </c>
      <c r="AI27" s="12">
        <v>3.3000000000000002E-2</v>
      </c>
    </row>
    <row r="28" spans="1:35">
      <c r="A28" t="s">
        <v>94</v>
      </c>
      <c r="B28" t="s">
        <v>464</v>
      </c>
      <c r="C28" t="s">
        <v>465</v>
      </c>
      <c r="D28" t="s">
        <v>118</v>
      </c>
      <c r="F28">
        <v>9.0132000000000004E-2</v>
      </c>
      <c r="G28">
        <v>0.10914600000000001</v>
      </c>
      <c r="H28">
        <v>0.14400499999999999</v>
      </c>
      <c r="I28">
        <v>0.16340499999999999</v>
      </c>
      <c r="J28">
        <v>0.180895</v>
      </c>
      <c r="K28">
        <v>0.19575699999999999</v>
      </c>
      <c r="L28">
        <v>0.20827399999999999</v>
      </c>
      <c r="M28">
        <v>0.21801599999999999</v>
      </c>
      <c r="N28">
        <v>0.225574</v>
      </c>
      <c r="O28">
        <v>0.231714</v>
      </c>
      <c r="P28">
        <v>0.23694499999999999</v>
      </c>
      <c r="Q28">
        <v>0.240285</v>
      </c>
      <c r="R28">
        <v>0.24247299999999999</v>
      </c>
      <c r="S28">
        <v>0.244232</v>
      </c>
      <c r="T28">
        <v>0.245169</v>
      </c>
      <c r="U28">
        <v>0.24673500000000001</v>
      </c>
      <c r="V28">
        <v>0.24945500000000001</v>
      </c>
      <c r="W28">
        <v>0.25267000000000001</v>
      </c>
      <c r="X28">
        <v>0.25714399999999998</v>
      </c>
      <c r="Y28">
        <v>0.26399899999999998</v>
      </c>
      <c r="Z28">
        <v>0.27311400000000002</v>
      </c>
      <c r="AA28">
        <v>0.28285100000000002</v>
      </c>
      <c r="AB28">
        <v>0.293846</v>
      </c>
      <c r="AC28">
        <v>0.30659700000000001</v>
      </c>
      <c r="AD28">
        <v>0.32178200000000001</v>
      </c>
      <c r="AE28">
        <v>0.33802500000000002</v>
      </c>
      <c r="AF28">
        <v>0.35486499999999999</v>
      </c>
      <c r="AG28">
        <v>0.37290400000000001</v>
      </c>
      <c r="AH28">
        <v>0.39289000000000002</v>
      </c>
      <c r="AI28" s="12">
        <v>5.3999999999999999E-2</v>
      </c>
    </row>
    <row r="29" spans="1:35">
      <c r="A29" t="s">
        <v>95</v>
      </c>
      <c r="B29" t="s">
        <v>466</v>
      </c>
      <c r="C29" t="s">
        <v>467</v>
      </c>
      <c r="D29" t="s">
        <v>118</v>
      </c>
      <c r="F29">
        <v>0</v>
      </c>
      <c r="G29">
        <v>0</v>
      </c>
      <c r="H29">
        <v>0.22972699999999999</v>
      </c>
      <c r="I29">
        <v>0.44725199999999998</v>
      </c>
      <c r="J29">
        <v>0.66231200000000001</v>
      </c>
      <c r="K29">
        <v>0.87751500000000004</v>
      </c>
      <c r="L29">
        <v>1.0912500000000001</v>
      </c>
      <c r="M29">
        <v>1.2990360000000001</v>
      </c>
      <c r="N29">
        <v>1.5006790000000001</v>
      </c>
      <c r="O29">
        <v>1.7007650000000001</v>
      </c>
      <c r="P29">
        <v>1.904776</v>
      </c>
      <c r="Q29">
        <v>2.1047159999999998</v>
      </c>
      <c r="R29">
        <v>2.3014619999999999</v>
      </c>
      <c r="S29">
        <v>2.4959410000000002</v>
      </c>
      <c r="T29">
        <v>2.6833969999999998</v>
      </c>
      <c r="U29">
        <v>2.8711519999999999</v>
      </c>
      <c r="V29">
        <v>3.0575350000000001</v>
      </c>
      <c r="W29">
        <v>3.245911</v>
      </c>
      <c r="X29">
        <v>3.4448439999999998</v>
      </c>
      <c r="Y29">
        <v>3.6585719999999999</v>
      </c>
      <c r="Z29">
        <v>3.886771</v>
      </c>
      <c r="AA29">
        <v>4.1203969999999996</v>
      </c>
      <c r="AB29">
        <v>4.3612700000000002</v>
      </c>
      <c r="AC29">
        <v>4.6121660000000002</v>
      </c>
      <c r="AD29">
        <v>4.8889959999999997</v>
      </c>
      <c r="AE29">
        <v>5.184831</v>
      </c>
      <c r="AF29">
        <v>5.4921150000000001</v>
      </c>
      <c r="AG29">
        <v>5.8197830000000002</v>
      </c>
      <c r="AH29">
        <v>6.1840799999999998</v>
      </c>
      <c r="AI29" t="s">
        <v>6</v>
      </c>
    </row>
    <row r="30" spans="1:35">
      <c r="A30" t="s">
        <v>99</v>
      </c>
      <c r="B30" t="s">
        <v>468</v>
      </c>
      <c r="C30" t="s">
        <v>469</v>
      </c>
      <c r="D30" t="s">
        <v>118</v>
      </c>
      <c r="F30">
        <v>481.38171399999999</v>
      </c>
      <c r="G30">
        <v>474.82238799999999</v>
      </c>
      <c r="H30">
        <v>494.12914999999998</v>
      </c>
      <c r="I30">
        <v>482.20422400000001</v>
      </c>
      <c r="J30">
        <v>461.88034099999999</v>
      </c>
      <c r="K30">
        <v>446.09524499999998</v>
      </c>
      <c r="L30">
        <v>439.745361</v>
      </c>
      <c r="M30">
        <v>444.52569599999998</v>
      </c>
      <c r="N30">
        <v>441.89193699999998</v>
      </c>
      <c r="O30">
        <v>443.42330900000002</v>
      </c>
      <c r="P30">
        <v>447.43722500000001</v>
      </c>
      <c r="Q30">
        <v>450.64798000000002</v>
      </c>
      <c r="R30">
        <v>452.66558800000001</v>
      </c>
      <c r="S30">
        <v>455.51504499999999</v>
      </c>
      <c r="T30">
        <v>455.89370700000001</v>
      </c>
      <c r="U30">
        <v>456.86227400000001</v>
      </c>
      <c r="V30">
        <v>458.27462800000001</v>
      </c>
      <c r="W30">
        <v>457.60876500000001</v>
      </c>
      <c r="X30">
        <v>458.12835699999999</v>
      </c>
      <c r="Y30">
        <v>461.673248</v>
      </c>
      <c r="Z30">
        <v>464.588348</v>
      </c>
      <c r="AA30">
        <v>464.93649299999998</v>
      </c>
      <c r="AB30">
        <v>464.922821</v>
      </c>
      <c r="AC30">
        <v>464.770691</v>
      </c>
      <c r="AD30">
        <v>465.76678500000003</v>
      </c>
      <c r="AE30">
        <v>468.15533399999998</v>
      </c>
      <c r="AF30">
        <v>471.33984400000003</v>
      </c>
      <c r="AG30">
        <v>472.59906000000001</v>
      </c>
      <c r="AH30">
        <v>475.72866800000003</v>
      </c>
      <c r="AI30" s="12">
        <v>0</v>
      </c>
    </row>
    <row r="31" spans="1:35">
      <c r="A31" t="s">
        <v>91</v>
      </c>
      <c r="B31" t="s">
        <v>470</v>
      </c>
      <c r="C31" t="s">
        <v>471</v>
      </c>
      <c r="D31" t="s">
        <v>118</v>
      </c>
      <c r="F31">
        <v>480.86654700000003</v>
      </c>
      <c r="G31">
        <v>473.79251099999999</v>
      </c>
      <c r="H31">
        <v>492.51501500000001</v>
      </c>
      <c r="I31">
        <v>480.10034200000001</v>
      </c>
      <c r="J31">
        <v>459.17535400000003</v>
      </c>
      <c r="K31">
        <v>442.59573399999999</v>
      </c>
      <c r="L31">
        <v>435.204926</v>
      </c>
      <c r="M31">
        <v>438.61608899999999</v>
      </c>
      <c r="N31">
        <v>434.49127199999998</v>
      </c>
      <c r="O31">
        <v>434.25302099999999</v>
      </c>
      <c r="P31">
        <v>435.99301100000002</v>
      </c>
      <c r="Q31">
        <v>436.48690800000003</v>
      </c>
      <c r="R31">
        <v>435.37204000000003</v>
      </c>
      <c r="S31">
        <v>434.60772700000001</v>
      </c>
      <c r="T31">
        <v>431.05429099999998</v>
      </c>
      <c r="U31">
        <v>427.65039100000001</v>
      </c>
      <c r="V31">
        <v>424.25372299999998</v>
      </c>
      <c r="W31">
        <v>418.55365</v>
      </c>
      <c r="X31">
        <v>413.58151199999998</v>
      </c>
      <c r="Y31">
        <v>410.946777</v>
      </c>
      <c r="Z31">
        <v>407.33846999999997</v>
      </c>
      <c r="AA31">
        <v>401.121399</v>
      </c>
      <c r="AB31">
        <v>394.29074100000003</v>
      </c>
      <c r="AC31">
        <v>387.06680299999999</v>
      </c>
      <c r="AD31">
        <v>380.52633700000001</v>
      </c>
      <c r="AE31">
        <v>373.70101899999997</v>
      </c>
      <c r="AF31">
        <v>367.609375</v>
      </c>
      <c r="AG31">
        <v>360.13336199999998</v>
      </c>
      <c r="AH31">
        <v>354.19946299999998</v>
      </c>
      <c r="AI31" s="12">
        <v>-1.0999999999999999E-2</v>
      </c>
    </row>
    <row r="32" spans="1:35">
      <c r="A32" t="s">
        <v>100</v>
      </c>
      <c r="B32" t="s">
        <v>472</v>
      </c>
      <c r="C32" t="s">
        <v>473</v>
      </c>
      <c r="D32" t="s">
        <v>118</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t="s">
        <v>6</v>
      </c>
    </row>
    <row r="33" spans="1:35">
      <c r="A33" t="s">
        <v>101</v>
      </c>
      <c r="B33" t="s">
        <v>474</v>
      </c>
      <c r="C33" t="s">
        <v>475</v>
      </c>
      <c r="D33" t="s">
        <v>118</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t="s">
        <v>6</v>
      </c>
    </row>
    <row r="34" spans="1:35">
      <c r="A34" t="s">
        <v>102</v>
      </c>
      <c r="B34" t="s">
        <v>476</v>
      </c>
      <c r="C34" t="s">
        <v>477</v>
      </c>
      <c r="D34" t="s">
        <v>118</v>
      </c>
      <c r="F34">
        <v>0.51516300000000004</v>
      </c>
      <c r="G34">
        <v>1.02989</v>
      </c>
      <c r="H34">
        <v>1.6141289999999999</v>
      </c>
      <c r="I34">
        <v>2.1038670000000002</v>
      </c>
      <c r="J34">
        <v>2.7049910000000001</v>
      </c>
      <c r="K34">
        <v>3.499511</v>
      </c>
      <c r="L34">
        <v>4.5404369999999998</v>
      </c>
      <c r="M34">
        <v>5.9096029999999997</v>
      </c>
      <c r="N34">
        <v>7.4006509999999999</v>
      </c>
      <c r="O34">
        <v>9.1702840000000005</v>
      </c>
      <c r="P34">
        <v>11.444215</v>
      </c>
      <c r="Q34">
        <v>14.161068</v>
      </c>
      <c r="R34">
        <v>17.293554</v>
      </c>
      <c r="S34">
        <v>20.907318</v>
      </c>
      <c r="T34">
        <v>24.839417000000001</v>
      </c>
      <c r="U34">
        <v>29.211893</v>
      </c>
      <c r="V34">
        <v>34.020896999999998</v>
      </c>
      <c r="W34">
        <v>39.055110999999997</v>
      </c>
      <c r="X34">
        <v>44.546832999999999</v>
      </c>
      <c r="Y34">
        <v>50.726470999999997</v>
      </c>
      <c r="Z34">
        <v>57.249889000000003</v>
      </c>
      <c r="AA34">
        <v>63.815086000000001</v>
      </c>
      <c r="AB34">
        <v>70.632087999999996</v>
      </c>
      <c r="AC34">
        <v>77.703888000000006</v>
      </c>
      <c r="AD34">
        <v>85.240448000000001</v>
      </c>
      <c r="AE34">
        <v>94.454329999999999</v>
      </c>
      <c r="AF34">
        <v>103.730484</v>
      </c>
      <c r="AG34">
        <v>112.465706</v>
      </c>
      <c r="AH34">
        <v>121.52919799999999</v>
      </c>
      <c r="AI34" s="12">
        <v>0.215</v>
      </c>
    </row>
    <row r="35" spans="1:35">
      <c r="A35" t="s">
        <v>12</v>
      </c>
      <c r="B35" t="s">
        <v>478</v>
      </c>
      <c r="C35" t="s">
        <v>479</v>
      </c>
      <c r="D35" t="s">
        <v>118</v>
      </c>
      <c r="F35">
        <v>98.239020999999994</v>
      </c>
      <c r="G35">
        <v>98.920753000000005</v>
      </c>
      <c r="H35">
        <v>98.114661999999996</v>
      </c>
      <c r="I35">
        <v>97.346069</v>
      </c>
      <c r="J35">
        <v>96.685867000000002</v>
      </c>
      <c r="K35">
        <v>95.823470999999998</v>
      </c>
      <c r="L35">
        <v>94.964698999999996</v>
      </c>
      <c r="M35">
        <v>93.890502999999995</v>
      </c>
      <c r="N35">
        <v>92.919189000000003</v>
      </c>
      <c r="O35">
        <v>92.029815999999997</v>
      </c>
      <c r="P35">
        <v>91.401107999999994</v>
      </c>
      <c r="Q35">
        <v>90.674225000000007</v>
      </c>
      <c r="R35">
        <v>89.934028999999995</v>
      </c>
      <c r="S35">
        <v>89.168869000000001</v>
      </c>
      <c r="T35">
        <v>88.333008000000007</v>
      </c>
      <c r="U35">
        <v>87.614966999999993</v>
      </c>
      <c r="V35">
        <v>86.833350999999993</v>
      </c>
      <c r="W35">
        <v>86.156693000000004</v>
      </c>
      <c r="X35">
        <v>85.473595000000003</v>
      </c>
      <c r="Y35">
        <v>84.846123000000006</v>
      </c>
      <c r="Z35">
        <v>84.273765999999995</v>
      </c>
      <c r="AA35">
        <v>83.705399</v>
      </c>
      <c r="AB35">
        <v>83.103454999999997</v>
      </c>
      <c r="AC35">
        <v>82.418205</v>
      </c>
      <c r="AD35">
        <v>81.856209000000007</v>
      </c>
      <c r="AE35">
        <v>81.249022999999994</v>
      </c>
      <c r="AF35">
        <v>80.573120000000003</v>
      </c>
      <c r="AG35">
        <v>79.990395000000007</v>
      </c>
      <c r="AH35">
        <v>79.592849999999999</v>
      </c>
      <c r="AI35" s="12">
        <v>-7.0000000000000001E-3</v>
      </c>
    </row>
    <row r="36" spans="1:35">
      <c r="A36" t="s">
        <v>91</v>
      </c>
      <c r="B36" t="s">
        <v>480</v>
      </c>
      <c r="C36" t="s">
        <v>481</v>
      </c>
      <c r="D36" t="s">
        <v>118</v>
      </c>
      <c r="F36">
        <v>95.724982999999995</v>
      </c>
      <c r="G36">
        <v>96.410872999999995</v>
      </c>
      <c r="H36">
        <v>95.648369000000002</v>
      </c>
      <c r="I36">
        <v>94.922400999999994</v>
      </c>
      <c r="J36">
        <v>94.299674999999993</v>
      </c>
      <c r="K36">
        <v>93.480141000000003</v>
      </c>
      <c r="L36">
        <v>92.663535999999993</v>
      </c>
      <c r="M36">
        <v>91.636002000000005</v>
      </c>
      <c r="N36">
        <v>90.709732000000002</v>
      </c>
      <c r="O36">
        <v>89.864052000000001</v>
      </c>
      <c r="P36">
        <v>89.271820000000005</v>
      </c>
      <c r="Q36">
        <v>88.583907999999994</v>
      </c>
      <c r="R36">
        <v>87.881882000000004</v>
      </c>
      <c r="S36">
        <v>87.154610000000005</v>
      </c>
      <c r="T36">
        <v>86.355025999999995</v>
      </c>
      <c r="U36">
        <v>85.672011999999995</v>
      </c>
      <c r="V36">
        <v>84.929305999999997</v>
      </c>
      <c r="W36">
        <v>84.290549999999996</v>
      </c>
      <c r="X36">
        <v>83.598647999999997</v>
      </c>
      <c r="Y36">
        <v>82.885955999999993</v>
      </c>
      <c r="Z36">
        <v>82.221778999999998</v>
      </c>
      <c r="AA36">
        <v>81.555756000000002</v>
      </c>
      <c r="AB36">
        <v>80.850998000000004</v>
      </c>
      <c r="AC36">
        <v>80.058989999999994</v>
      </c>
      <c r="AD36">
        <v>79.380050999999995</v>
      </c>
      <c r="AE36">
        <v>78.650115999999997</v>
      </c>
      <c r="AF36">
        <v>77.846335999999994</v>
      </c>
      <c r="AG36">
        <v>77.124741</v>
      </c>
      <c r="AH36">
        <v>76.572761999999997</v>
      </c>
      <c r="AI36" s="12">
        <v>-8.0000000000000002E-3</v>
      </c>
    </row>
    <row r="37" spans="1:35">
      <c r="A37" t="s">
        <v>103</v>
      </c>
      <c r="B37" t="s">
        <v>482</v>
      </c>
      <c r="C37" t="s">
        <v>483</v>
      </c>
      <c r="D37" t="s">
        <v>118</v>
      </c>
      <c r="F37">
        <v>1.875904</v>
      </c>
      <c r="G37">
        <v>1.8078829999999999</v>
      </c>
      <c r="H37">
        <v>1.7136819999999999</v>
      </c>
      <c r="I37">
        <v>1.621937</v>
      </c>
      <c r="J37">
        <v>1.5413140000000001</v>
      </c>
      <c r="K37">
        <v>1.455168</v>
      </c>
      <c r="L37">
        <v>1.371278</v>
      </c>
      <c r="M37">
        <v>1.2863249999999999</v>
      </c>
      <c r="N37">
        <v>1.1999850000000001</v>
      </c>
      <c r="O37">
        <v>1.1125510000000001</v>
      </c>
      <c r="P37">
        <v>1.0315639999999999</v>
      </c>
      <c r="Q37">
        <v>0.94839600000000002</v>
      </c>
      <c r="R37">
        <v>0.86860599999999999</v>
      </c>
      <c r="S37">
        <v>0.79182399999999997</v>
      </c>
      <c r="T37">
        <v>0.72530600000000001</v>
      </c>
      <c r="U37">
        <v>0.65481</v>
      </c>
      <c r="V37">
        <v>0.57531900000000002</v>
      </c>
      <c r="W37">
        <v>0.49192999999999998</v>
      </c>
      <c r="X37">
        <v>0.417902</v>
      </c>
      <c r="Y37">
        <v>0.41475499999999998</v>
      </c>
      <c r="Z37">
        <v>0.41187499999999999</v>
      </c>
      <c r="AA37">
        <v>0.40901599999999999</v>
      </c>
      <c r="AB37">
        <v>0.40599000000000002</v>
      </c>
      <c r="AC37">
        <v>0.40254800000000002</v>
      </c>
      <c r="AD37">
        <v>0.39974100000000001</v>
      </c>
      <c r="AE37">
        <v>0.396733</v>
      </c>
      <c r="AF37">
        <v>0.39335599999999998</v>
      </c>
      <c r="AG37">
        <v>0.39045299999999999</v>
      </c>
      <c r="AH37">
        <v>0.38850499999999999</v>
      </c>
      <c r="AI37" s="12">
        <v>-5.5E-2</v>
      </c>
    </row>
    <row r="38" spans="1:35">
      <c r="A38" t="s">
        <v>101</v>
      </c>
      <c r="B38" t="s">
        <v>484</v>
      </c>
      <c r="C38" t="s">
        <v>485</v>
      </c>
      <c r="D38" t="s">
        <v>118</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t="s">
        <v>6</v>
      </c>
    </row>
    <row r="39" spans="1:35">
      <c r="A39" t="s">
        <v>102</v>
      </c>
      <c r="B39" t="s">
        <v>486</v>
      </c>
      <c r="C39" t="s">
        <v>487</v>
      </c>
      <c r="D39" t="s">
        <v>118</v>
      </c>
      <c r="F39">
        <v>0.638131</v>
      </c>
      <c r="G39">
        <v>0.70199999999999996</v>
      </c>
      <c r="H39">
        <v>0.75260700000000003</v>
      </c>
      <c r="I39">
        <v>0.80172500000000002</v>
      </c>
      <c r="J39">
        <v>0.84487999999999996</v>
      </c>
      <c r="K39">
        <v>0.88815699999999997</v>
      </c>
      <c r="L39">
        <v>0.92988400000000004</v>
      </c>
      <c r="M39">
        <v>0.96818099999999996</v>
      </c>
      <c r="N39">
        <v>1.009477</v>
      </c>
      <c r="O39">
        <v>1.053212</v>
      </c>
      <c r="P39">
        <v>1.0977250000000001</v>
      </c>
      <c r="Q39">
        <v>1.1419189999999999</v>
      </c>
      <c r="R39">
        <v>1.183538</v>
      </c>
      <c r="S39">
        <v>1.2224330000000001</v>
      </c>
      <c r="T39">
        <v>1.252678</v>
      </c>
      <c r="U39">
        <v>1.2881480000000001</v>
      </c>
      <c r="V39">
        <v>1.3287279999999999</v>
      </c>
      <c r="W39">
        <v>1.374214</v>
      </c>
      <c r="X39">
        <v>1.4570460000000001</v>
      </c>
      <c r="Y39">
        <v>1.54541</v>
      </c>
      <c r="Z39">
        <v>1.640115</v>
      </c>
      <c r="AA39">
        <v>1.7406269999999999</v>
      </c>
      <c r="AB39">
        <v>1.8464670000000001</v>
      </c>
      <c r="AC39">
        <v>1.956663</v>
      </c>
      <c r="AD39">
        <v>2.0764179999999999</v>
      </c>
      <c r="AE39">
        <v>2.2021730000000002</v>
      </c>
      <c r="AF39">
        <v>2.3334239999999999</v>
      </c>
      <c r="AG39">
        <v>2.4752070000000002</v>
      </c>
      <c r="AH39">
        <v>2.6315870000000001</v>
      </c>
      <c r="AI39" s="12">
        <v>5.1999999999999998E-2</v>
      </c>
    </row>
    <row r="40" spans="1:35">
      <c r="A40" t="s">
        <v>11</v>
      </c>
      <c r="B40" t="s">
        <v>488</v>
      </c>
      <c r="C40" t="s">
        <v>489</v>
      </c>
      <c r="D40" t="s">
        <v>118</v>
      </c>
      <c r="F40">
        <v>935.02770999999996</v>
      </c>
      <c r="G40">
        <v>881.83038299999998</v>
      </c>
      <c r="H40">
        <v>877.72729500000003</v>
      </c>
      <c r="I40">
        <v>878.60412599999995</v>
      </c>
      <c r="J40">
        <v>871.25030500000003</v>
      </c>
      <c r="K40">
        <v>868.44872999999995</v>
      </c>
      <c r="L40">
        <v>862.68933100000004</v>
      </c>
      <c r="M40">
        <v>859.14196800000002</v>
      </c>
      <c r="N40">
        <v>856.63439900000003</v>
      </c>
      <c r="O40">
        <v>857.13647500000002</v>
      </c>
      <c r="P40">
        <v>857.43701199999998</v>
      </c>
      <c r="Q40">
        <v>858.00024399999995</v>
      </c>
      <c r="R40">
        <v>857.76019299999996</v>
      </c>
      <c r="S40">
        <v>858.217896</v>
      </c>
      <c r="T40">
        <v>857.54724099999999</v>
      </c>
      <c r="U40">
        <v>857.61346400000002</v>
      </c>
      <c r="V40">
        <v>857.63464399999998</v>
      </c>
      <c r="W40">
        <v>857.34979199999998</v>
      </c>
      <c r="X40">
        <v>857.24542199999996</v>
      </c>
      <c r="Y40">
        <v>857.30096400000002</v>
      </c>
      <c r="Z40">
        <v>857.82971199999997</v>
      </c>
      <c r="AA40">
        <v>857.81982400000004</v>
      </c>
      <c r="AB40">
        <v>858.04791299999999</v>
      </c>
      <c r="AC40">
        <v>858.06762700000002</v>
      </c>
      <c r="AD40">
        <v>860.63342299999999</v>
      </c>
      <c r="AE40">
        <v>860.92425500000002</v>
      </c>
      <c r="AF40">
        <v>859.83441200000004</v>
      </c>
      <c r="AG40">
        <v>859.12170400000002</v>
      </c>
      <c r="AH40">
        <v>858.094604</v>
      </c>
      <c r="AI40" s="12">
        <v>-3.0000000000000001E-3</v>
      </c>
    </row>
    <row r="41" spans="1:35">
      <c r="A41" t="s">
        <v>91</v>
      </c>
      <c r="B41" t="s">
        <v>490</v>
      </c>
      <c r="C41" t="s">
        <v>491</v>
      </c>
      <c r="D41" t="s">
        <v>118</v>
      </c>
      <c r="F41">
        <v>222.93867499999999</v>
      </c>
      <c r="G41">
        <v>318.21374500000002</v>
      </c>
      <c r="H41">
        <v>318.50683600000002</v>
      </c>
      <c r="I41">
        <v>321.42748999999998</v>
      </c>
      <c r="J41">
        <v>326.40893599999998</v>
      </c>
      <c r="K41">
        <v>331.75039700000002</v>
      </c>
      <c r="L41">
        <v>339.13262900000001</v>
      </c>
      <c r="M41">
        <v>343.65380900000002</v>
      </c>
      <c r="N41">
        <v>348.44000199999999</v>
      </c>
      <c r="O41">
        <v>348.61184700000001</v>
      </c>
      <c r="P41">
        <v>349.93618800000002</v>
      </c>
      <c r="Q41">
        <v>351.71850599999999</v>
      </c>
      <c r="R41">
        <v>354.40063500000002</v>
      </c>
      <c r="S41">
        <v>355.17700200000002</v>
      </c>
      <c r="T41">
        <v>356.67022700000001</v>
      </c>
      <c r="U41">
        <v>356.87670900000001</v>
      </c>
      <c r="V41">
        <v>358.82894900000002</v>
      </c>
      <c r="W41">
        <v>358.93920900000001</v>
      </c>
      <c r="X41">
        <v>360.572205</v>
      </c>
      <c r="Y41">
        <v>361.26196299999998</v>
      </c>
      <c r="Z41">
        <v>361.28478999999999</v>
      </c>
      <c r="AA41">
        <v>360.64623999999998</v>
      </c>
      <c r="AB41">
        <v>360.38775600000002</v>
      </c>
      <c r="AC41">
        <v>360.05560300000002</v>
      </c>
      <c r="AD41">
        <v>358.46176100000002</v>
      </c>
      <c r="AE41">
        <v>357.26376299999998</v>
      </c>
      <c r="AF41">
        <v>357.07412699999998</v>
      </c>
      <c r="AG41">
        <v>355.22808800000001</v>
      </c>
      <c r="AH41">
        <v>354.51147500000002</v>
      </c>
      <c r="AI41" s="12">
        <v>1.7000000000000001E-2</v>
      </c>
    </row>
    <row r="42" spans="1:35">
      <c r="A42" t="s">
        <v>103</v>
      </c>
      <c r="B42" t="s">
        <v>492</v>
      </c>
      <c r="C42" t="s">
        <v>493</v>
      </c>
      <c r="D42" t="s">
        <v>118</v>
      </c>
      <c r="F42">
        <v>685.66516100000001</v>
      </c>
      <c r="G42">
        <v>532.149719</v>
      </c>
      <c r="H42">
        <v>519.35320999999999</v>
      </c>
      <c r="I42">
        <v>520.34844999999996</v>
      </c>
      <c r="J42">
        <v>497.46441700000003</v>
      </c>
      <c r="K42">
        <v>487.75363199999998</v>
      </c>
      <c r="L42">
        <v>469.75631700000002</v>
      </c>
      <c r="M42">
        <v>458.26986699999998</v>
      </c>
      <c r="N42">
        <v>449.82733200000001</v>
      </c>
      <c r="O42">
        <v>449.95632899999998</v>
      </c>
      <c r="P42">
        <v>449.27517699999999</v>
      </c>
      <c r="Q42">
        <v>449.44375600000001</v>
      </c>
      <c r="R42">
        <v>447.34497099999999</v>
      </c>
      <c r="S42">
        <v>447.23684700000001</v>
      </c>
      <c r="T42">
        <v>444.02316300000001</v>
      </c>
      <c r="U42">
        <v>442.96899400000001</v>
      </c>
      <c r="V42">
        <v>441.815674</v>
      </c>
      <c r="W42">
        <v>439.63165300000003</v>
      </c>
      <c r="X42">
        <v>437.97662400000002</v>
      </c>
      <c r="Y42">
        <v>436.76757800000001</v>
      </c>
      <c r="Z42">
        <v>436.80938700000002</v>
      </c>
      <c r="AA42">
        <v>435.24386600000003</v>
      </c>
      <c r="AB42">
        <v>434.29315200000002</v>
      </c>
      <c r="AC42">
        <v>432.733093</v>
      </c>
      <c r="AD42">
        <v>438.45755000000003</v>
      </c>
      <c r="AE42">
        <v>437.70047</v>
      </c>
      <c r="AF42">
        <v>432.92089800000002</v>
      </c>
      <c r="AG42">
        <v>429.24749800000001</v>
      </c>
      <c r="AH42">
        <v>424.56079099999999</v>
      </c>
      <c r="AI42" s="12">
        <v>-1.7000000000000001E-2</v>
      </c>
    </row>
    <row r="43" spans="1:35">
      <c r="A43" t="s">
        <v>101</v>
      </c>
      <c r="B43" t="s">
        <v>494</v>
      </c>
      <c r="C43" t="s">
        <v>495</v>
      </c>
      <c r="D43" t="s">
        <v>118</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6</v>
      </c>
    </row>
    <row r="44" spans="1:35">
      <c r="A44" t="s">
        <v>102</v>
      </c>
      <c r="B44" t="s">
        <v>496</v>
      </c>
      <c r="C44" t="s">
        <v>497</v>
      </c>
      <c r="D44" t="s">
        <v>118</v>
      </c>
      <c r="F44">
        <v>26.423862</v>
      </c>
      <c r="G44">
        <v>31.466925</v>
      </c>
      <c r="H44">
        <v>39.867241</v>
      </c>
      <c r="I44">
        <v>36.828189999999999</v>
      </c>
      <c r="J44">
        <v>47.376953</v>
      </c>
      <c r="K44">
        <v>48.944679000000001</v>
      </c>
      <c r="L44">
        <v>53.800423000000002</v>
      </c>
      <c r="M44">
        <v>57.218277</v>
      </c>
      <c r="N44">
        <v>58.367088000000003</v>
      </c>
      <c r="O44">
        <v>58.568268000000003</v>
      </c>
      <c r="P44">
        <v>58.225639000000001</v>
      </c>
      <c r="Q44">
        <v>56.838042999999999</v>
      </c>
      <c r="R44">
        <v>56.014595</v>
      </c>
      <c r="S44">
        <v>55.804080999999996</v>
      </c>
      <c r="T44">
        <v>56.853912000000001</v>
      </c>
      <c r="U44">
        <v>57.767783999999999</v>
      </c>
      <c r="V44">
        <v>56.989986000000002</v>
      </c>
      <c r="W44">
        <v>58.778945999999998</v>
      </c>
      <c r="X44">
        <v>58.696617000000003</v>
      </c>
      <c r="Y44">
        <v>59.2714</v>
      </c>
      <c r="Z44">
        <v>59.735518999999996</v>
      </c>
      <c r="AA44">
        <v>61.929656999999999</v>
      </c>
      <c r="AB44">
        <v>63.367027</v>
      </c>
      <c r="AC44">
        <v>65.278946000000005</v>
      </c>
      <c r="AD44">
        <v>63.714081</v>
      </c>
      <c r="AE44">
        <v>65.960021999999995</v>
      </c>
      <c r="AF44">
        <v>69.839432000000002</v>
      </c>
      <c r="AG44">
        <v>74.646148999999994</v>
      </c>
      <c r="AH44">
        <v>79.022368999999998</v>
      </c>
      <c r="AI44" s="12">
        <v>0.04</v>
      </c>
    </row>
    <row r="45" spans="1:35">
      <c r="A45" t="s">
        <v>10</v>
      </c>
      <c r="B45" t="s">
        <v>498</v>
      </c>
      <c r="C45" t="s">
        <v>499</v>
      </c>
      <c r="D45" t="s">
        <v>118</v>
      </c>
      <c r="F45">
        <v>2802.8073730000001</v>
      </c>
      <c r="G45">
        <v>3008.1679690000001</v>
      </c>
      <c r="H45">
        <v>3051.2026369999999</v>
      </c>
      <c r="I45">
        <v>3057.110596</v>
      </c>
      <c r="J45">
        <v>3095.898193</v>
      </c>
      <c r="K45">
        <v>3134.226807</v>
      </c>
      <c r="L45">
        <v>3164.5515140000002</v>
      </c>
      <c r="M45">
        <v>3187.108154</v>
      </c>
      <c r="N45">
        <v>3202.938232</v>
      </c>
      <c r="O45">
        <v>3218.7827149999998</v>
      </c>
      <c r="P45">
        <v>3243.936279</v>
      </c>
      <c r="Q45">
        <v>3270.4479980000001</v>
      </c>
      <c r="R45">
        <v>3294.4030760000001</v>
      </c>
      <c r="S45">
        <v>3322.9240719999998</v>
      </c>
      <c r="T45">
        <v>3359.8247070000002</v>
      </c>
      <c r="U45">
        <v>3403.8945309999999</v>
      </c>
      <c r="V45">
        <v>3450.171875</v>
      </c>
      <c r="W45">
        <v>3498.4882809999999</v>
      </c>
      <c r="X45">
        <v>3554.6437989999999</v>
      </c>
      <c r="Y45">
        <v>3608.4033199999999</v>
      </c>
      <c r="Z45">
        <v>3663.0974120000001</v>
      </c>
      <c r="AA45">
        <v>3718.6245119999999</v>
      </c>
      <c r="AB45">
        <v>3774.0097660000001</v>
      </c>
      <c r="AC45">
        <v>3827.9187010000001</v>
      </c>
      <c r="AD45">
        <v>3880.4333499999998</v>
      </c>
      <c r="AE45">
        <v>3936.7380370000001</v>
      </c>
      <c r="AF45">
        <v>3993.6040039999998</v>
      </c>
      <c r="AG45">
        <v>4049.650635</v>
      </c>
      <c r="AH45">
        <v>4112.1577150000003</v>
      </c>
      <c r="AI45" s="12">
        <v>1.4E-2</v>
      </c>
    </row>
    <row r="46" spans="1:35">
      <c r="A46" t="s">
        <v>104</v>
      </c>
      <c r="B46" t="s">
        <v>500</v>
      </c>
      <c r="C46" t="s">
        <v>501</v>
      </c>
      <c r="D46" t="s">
        <v>118</v>
      </c>
      <c r="F46">
        <v>2780.3857419999999</v>
      </c>
      <c r="G46">
        <v>2985.7573240000002</v>
      </c>
      <c r="H46">
        <v>3028.8010250000002</v>
      </c>
      <c r="I46">
        <v>3034.7165530000002</v>
      </c>
      <c r="J46">
        <v>3073.5104980000001</v>
      </c>
      <c r="K46">
        <v>3111.8442380000001</v>
      </c>
      <c r="L46">
        <v>3142.173096</v>
      </c>
      <c r="M46">
        <v>3164.733154</v>
      </c>
      <c r="N46">
        <v>3180.5661620000001</v>
      </c>
      <c r="O46">
        <v>3196.413086</v>
      </c>
      <c r="P46">
        <v>3221.5686040000001</v>
      </c>
      <c r="Q46">
        <v>3248.0820309999999</v>
      </c>
      <c r="R46">
        <v>3272.0385740000002</v>
      </c>
      <c r="S46">
        <v>3300.560547</v>
      </c>
      <c r="T46">
        <v>3337.4621579999998</v>
      </c>
      <c r="U46">
        <v>3381.5327149999998</v>
      </c>
      <c r="V46">
        <v>3427.8107909999999</v>
      </c>
      <c r="W46">
        <v>3476.1276859999998</v>
      </c>
      <c r="X46">
        <v>3532.2836910000001</v>
      </c>
      <c r="Y46">
        <v>3586.0437010000001</v>
      </c>
      <c r="Z46">
        <v>3640.7380370000001</v>
      </c>
      <c r="AA46">
        <v>3696.2653810000002</v>
      </c>
      <c r="AB46">
        <v>3751.6508789999998</v>
      </c>
      <c r="AC46">
        <v>3805.5598140000002</v>
      </c>
      <c r="AD46">
        <v>3858.0747070000002</v>
      </c>
      <c r="AE46">
        <v>3914.3793949999999</v>
      </c>
      <c r="AF46">
        <v>3971.2456050000001</v>
      </c>
      <c r="AG46">
        <v>4027.2922359999998</v>
      </c>
      <c r="AH46">
        <v>4089.7993160000001</v>
      </c>
      <c r="AI46" s="12">
        <v>1.4E-2</v>
      </c>
    </row>
    <row r="47" spans="1:35">
      <c r="A47" t="s">
        <v>105</v>
      </c>
      <c r="B47" t="s">
        <v>502</v>
      </c>
      <c r="C47" t="s">
        <v>503</v>
      </c>
      <c r="D47" t="s">
        <v>118</v>
      </c>
      <c r="F47">
        <v>22.421617999999999</v>
      </c>
      <c r="G47">
        <v>22.410634999999999</v>
      </c>
      <c r="H47">
        <v>22.401547999999998</v>
      </c>
      <c r="I47">
        <v>22.394031999999999</v>
      </c>
      <c r="J47">
        <v>22.387812</v>
      </c>
      <c r="K47">
        <v>22.382666</v>
      </c>
      <c r="L47">
        <v>22.378406999999999</v>
      </c>
      <c r="M47">
        <v>22.374884000000002</v>
      </c>
      <c r="N47">
        <v>22.371969</v>
      </c>
      <c r="O47">
        <v>22.369558000000001</v>
      </c>
      <c r="P47">
        <v>22.367563000000001</v>
      </c>
      <c r="Q47">
        <v>22.365911000000001</v>
      </c>
      <c r="R47">
        <v>22.364546000000001</v>
      </c>
      <c r="S47">
        <v>22.363416999999998</v>
      </c>
      <c r="T47">
        <v>22.362480000000001</v>
      </c>
      <c r="U47">
        <v>22.361708</v>
      </c>
      <c r="V47">
        <v>22.361066999999998</v>
      </c>
      <c r="W47">
        <v>22.360537999999998</v>
      </c>
      <c r="X47">
        <v>22.360099999999999</v>
      </c>
      <c r="Y47">
        <v>22.359736999999999</v>
      </c>
      <c r="Z47">
        <v>22.359438000000001</v>
      </c>
      <c r="AA47">
        <v>22.359190000000002</v>
      </c>
      <c r="AB47">
        <v>22.358984</v>
      </c>
      <c r="AC47">
        <v>22.358813999999999</v>
      </c>
      <c r="AD47">
        <v>22.358673</v>
      </c>
      <c r="AE47">
        <v>22.358557000000001</v>
      </c>
      <c r="AF47">
        <v>22.358460999999998</v>
      </c>
      <c r="AG47">
        <v>22.358381000000001</v>
      </c>
      <c r="AH47">
        <v>22.358315000000001</v>
      </c>
      <c r="AI47" s="12">
        <v>0</v>
      </c>
    </row>
    <row r="48" spans="1:35">
      <c r="A48" t="s">
        <v>9</v>
      </c>
      <c r="B48" t="s">
        <v>504</v>
      </c>
      <c r="C48" t="s">
        <v>505</v>
      </c>
      <c r="D48" t="s">
        <v>118</v>
      </c>
      <c r="F48">
        <v>430.83187900000001</v>
      </c>
      <c r="G48">
        <v>433.13122600000003</v>
      </c>
      <c r="H48">
        <v>433.96752900000001</v>
      </c>
      <c r="I48">
        <v>434.62820399999998</v>
      </c>
      <c r="J48">
        <v>435.16168199999998</v>
      </c>
      <c r="K48">
        <v>435.947113</v>
      </c>
      <c r="L48">
        <v>436.50567599999999</v>
      </c>
      <c r="M48">
        <v>436.95120200000002</v>
      </c>
      <c r="N48">
        <v>437.33203099999997</v>
      </c>
      <c r="O48">
        <v>437.57638500000002</v>
      </c>
      <c r="P48">
        <v>437.74392699999999</v>
      </c>
      <c r="Q48">
        <v>437.826752</v>
      </c>
      <c r="R48">
        <v>437.85824600000001</v>
      </c>
      <c r="S48">
        <v>437.879456</v>
      </c>
      <c r="T48">
        <v>438.00381499999997</v>
      </c>
      <c r="U48">
        <v>438.20288099999999</v>
      </c>
      <c r="V48">
        <v>438.41198700000001</v>
      </c>
      <c r="W48">
        <v>438.63055400000002</v>
      </c>
      <c r="X48">
        <v>438.85791</v>
      </c>
      <c r="Y48">
        <v>439.09307899999999</v>
      </c>
      <c r="Z48">
        <v>439.33535799999999</v>
      </c>
      <c r="AA48">
        <v>439.584137</v>
      </c>
      <c r="AB48">
        <v>439.83880599999998</v>
      </c>
      <c r="AC48">
        <v>440.09887700000002</v>
      </c>
      <c r="AD48">
        <v>440.36389200000002</v>
      </c>
      <c r="AE48">
        <v>440.63324</v>
      </c>
      <c r="AF48">
        <v>440.906677</v>
      </c>
      <c r="AG48">
        <v>441.18383799999998</v>
      </c>
      <c r="AH48">
        <v>441.46450800000002</v>
      </c>
      <c r="AI48" s="12">
        <v>1E-3</v>
      </c>
    </row>
    <row r="49" spans="1:35">
      <c r="A49" t="s">
        <v>106</v>
      </c>
      <c r="B49" t="s">
        <v>506</v>
      </c>
      <c r="C49" t="s">
        <v>507</v>
      </c>
      <c r="D49" t="s">
        <v>118</v>
      </c>
      <c r="F49">
        <v>334.448914</v>
      </c>
      <c r="G49">
        <v>336.233856</v>
      </c>
      <c r="H49">
        <v>336.88305700000001</v>
      </c>
      <c r="I49">
        <v>337.39593500000001</v>
      </c>
      <c r="J49">
        <v>337.81005900000002</v>
      </c>
      <c r="K49">
        <v>338.41980000000001</v>
      </c>
      <c r="L49">
        <v>338.85339399999998</v>
      </c>
      <c r="M49">
        <v>339.19924900000001</v>
      </c>
      <c r="N49">
        <v>339.49490400000002</v>
      </c>
      <c r="O49">
        <v>339.68457000000001</v>
      </c>
      <c r="P49">
        <v>339.81463600000001</v>
      </c>
      <c r="Q49">
        <v>339.87893700000001</v>
      </c>
      <c r="R49">
        <v>339.90338100000002</v>
      </c>
      <c r="S49">
        <v>339.91986100000003</v>
      </c>
      <c r="T49">
        <v>340.01638800000001</v>
      </c>
      <c r="U49">
        <v>340.170929</v>
      </c>
      <c r="V49">
        <v>340.33325200000002</v>
      </c>
      <c r="W49">
        <v>340.50292999999999</v>
      </c>
      <c r="X49">
        <v>340.67941300000001</v>
      </c>
      <c r="Y49">
        <v>340.86196899999999</v>
      </c>
      <c r="Z49">
        <v>341.050049</v>
      </c>
      <c r="AA49">
        <v>341.24316399999998</v>
      </c>
      <c r="AB49">
        <v>341.44085699999999</v>
      </c>
      <c r="AC49">
        <v>341.64276100000001</v>
      </c>
      <c r="AD49">
        <v>341.84848</v>
      </c>
      <c r="AE49">
        <v>342.05758700000001</v>
      </c>
      <c r="AF49">
        <v>342.269836</v>
      </c>
      <c r="AG49">
        <v>342.48501599999997</v>
      </c>
      <c r="AH49">
        <v>342.70288099999999</v>
      </c>
      <c r="AI49" s="12">
        <v>1E-3</v>
      </c>
    </row>
    <row r="50" spans="1:35">
      <c r="A50" t="s">
        <v>100</v>
      </c>
      <c r="B50" t="s">
        <v>508</v>
      </c>
      <c r="C50" t="s">
        <v>509</v>
      </c>
      <c r="D50" t="s">
        <v>118</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t="s">
        <v>6</v>
      </c>
    </row>
    <row r="51" spans="1:35">
      <c r="A51" t="s">
        <v>107</v>
      </c>
      <c r="B51" t="s">
        <v>510</v>
      </c>
      <c r="C51" t="s">
        <v>511</v>
      </c>
      <c r="D51" t="s">
        <v>118</v>
      </c>
      <c r="F51">
        <v>96.382973000000007</v>
      </c>
      <c r="G51">
        <v>96.897368999999998</v>
      </c>
      <c r="H51">
        <v>97.084457</v>
      </c>
      <c r="I51">
        <v>97.232269000000002</v>
      </c>
      <c r="J51">
        <v>97.351607999999999</v>
      </c>
      <c r="K51">
        <v>97.527321000000001</v>
      </c>
      <c r="L51">
        <v>97.652275000000003</v>
      </c>
      <c r="M51">
        <v>97.751960999999994</v>
      </c>
      <c r="N51">
        <v>97.837142999999998</v>
      </c>
      <c r="O51">
        <v>97.891814999999994</v>
      </c>
      <c r="P51">
        <v>97.929291000000006</v>
      </c>
      <c r="Q51">
        <v>97.947815000000006</v>
      </c>
      <c r="R51">
        <v>97.954857000000004</v>
      </c>
      <c r="S51">
        <v>97.959594999999993</v>
      </c>
      <c r="T51">
        <v>97.987419000000003</v>
      </c>
      <c r="U51">
        <v>98.031966999999995</v>
      </c>
      <c r="V51">
        <v>98.078743000000003</v>
      </c>
      <c r="W51">
        <v>98.12764</v>
      </c>
      <c r="X51">
        <v>98.178512999999995</v>
      </c>
      <c r="Y51">
        <v>98.231116999999998</v>
      </c>
      <c r="Z51">
        <v>98.285308999999998</v>
      </c>
      <c r="AA51">
        <v>98.340964999999997</v>
      </c>
      <c r="AB51">
        <v>98.397942</v>
      </c>
      <c r="AC51">
        <v>98.456130999999999</v>
      </c>
      <c r="AD51">
        <v>98.515411</v>
      </c>
      <c r="AE51">
        <v>98.575667999999993</v>
      </c>
      <c r="AF51">
        <v>98.636825999999999</v>
      </c>
      <c r="AG51">
        <v>98.698836999999997</v>
      </c>
      <c r="AH51">
        <v>98.761627000000004</v>
      </c>
      <c r="AI51" s="12">
        <v>1E-3</v>
      </c>
    </row>
    <row r="52" spans="1:35">
      <c r="A52" t="s">
        <v>8</v>
      </c>
      <c r="B52" t="s">
        <v>512</v>
      </c>
      <c r="C52" t="s">
        <v>513</v>
      </c>
      <c r="D52" t="s">
        <v>118</v>
      </c>
      <c r="F52">
        <v>210.97721899999999</v>
      </c>
      <c r="G52">
        <v>220.80746500000001</v>
      </c>
      <c r="H52">
        <v>225.15119899999999</v>
      </c>
      <c r="I52">
        <v>225.93090799999999</v>
      </c>
      <c r="J52">
        <v>226.441757</v>
      </c>
      <c r="K52">
        <v>226.74642900000001</v>
      </c>
      <c r="L52">
        <v>226.787048</v>
      </c>
      <c r="M52">
        <v>226.390717</v>
      </c>
      <c r="N52">
        <v>225.62441999999999</v>
      </c>
      <c r="O52">
        <v>224.46057099999999</v>
      </c>
      <c r="P52">
        <v>223.250336</v>
      </c>
      <c r="Q52">
        <v>223.04595900000001</v>
      </c>
      <c r="R52">
        <v>222.35723899999999</v>
      </c>
      <c r="S52">
        <v>221.455566</v>
      </c>
      <c r="T52">
        <v>220.40602100000001</v>
      </c>
      <c r="U52">
        <v>218.77555799999999</v>
      </c>
      <c r="V52">
        <v>217.16113300000001</v>
      </c>
      <c r="W52">
        <v>215.39122</v>
      </c>
      <c r="X52">
        <v>213.471802</v>
      </c>
      <c r="Y52">
        <v>211.40820299999999</v>
      </c>
      <c r="Z52">
        <v>209.23976099999999</v>
      </c>
      <c r="AA52">
        <v>206.76431299999999</v>
      </c>
      <c r="AB52">
        <v>204.38597100000001</v>
      </c>
      <c r="AC52">
        <v>201.858643</v>
      </c>
      <c r="AD52">
        <v>199.42544599999999</v>
      </c>
      <c r="AE52">
        <v>196.48846399999999</v>
      </c>
      <c r="AF52">
        <v>193.40808100000001</v>
      </c>
      <c r="AG52">
        <v>189.779068</v>
      </c>
      <c r="AH52">
        <v>186.44667100000001</v>
      </c>
      <c r="AI52" s="12">
        <v>-4.0000000000000001E-3</v>
      </c>
    </row>
    <row r="53" spans="1:35">
      <c r="A53" t="s">
        <v>108</v>
      </c>
      <c r="B53" t="s">
        <v>514</v>
      </c>
      <c r="C53" t="s">
        <v>515</v>
      </c>
      <c r="D53" t="s">
        <v>118</v>
      </c>
      <c r="F53">
        <v>92.212233999999995</v>
      </c>
      <c r="G53">
        <v>95.837829999999997</v>
      </c>
      <c r="H53">
        <v>98.320953000000003</v>
      </c>
      <c r="I53">
        <v>98.870079000000004</v>
      </c>
      <c r="J53">
        <v>99.844643000000005</v>
      </c>
      <c r="K53">
        <v>100.614418</v>
      </c>
      <c r="L53">
        <v>101.247078</v>
      </c>
      <c r="M53">
        <v>101.616623</v>
      </c>
      <c r="N53">
        <v>101.724174</v>
      </c>
      <c r="O53">
        <v>101.53801</v>
      </c>
      <c r="P53">
        <v>101.311256</v>
      </c>
      <c r="Q53">
        <v>100.97640199999999</v>
      </c>
      <c r="R53">
        <v>100.756874</v>
      </c>
      <c r="S53">
        <v>100.295074</v>
      </c>
      <c r="T53">
        <v>99.678466999999998</v>
      </c>
      <c r="U53">
        <v>98.421806000000004</v>
      </c>
      <c r="V53">
        <v>97.683716000000004</v>
      </c>
      <c r="W53">
        <v>96.918678</v>
      </c>
      <c r="X53">
        <v>96.071006999999994</v>
      </c>
      <c r="Y53">
        <v>95.130722000000006</v>
      </c>
      <c r="Z53">
        <v>94.233086</v>
      </c>
      <c r="AA53">
        <v>93.123824999999997</v>
      </c>
      <c r="AB53">
        <v>92.204300000000003</v>
      </c>
      <c r="AC53">
        <v>91.250327999999996</v>
      </c>
      <c r="AD53">
        <v>90.658730000000006</v>
      </c>
      <c r="AE53">
        <v>89.694473000000002</v>
      </c>
      <c r="AF53">
        <v>88.826485000000005</v>
      </c>
      <c r="AG53">
        <v>87.819648999999998</v>
      </c>
      <c r="AH53">
        <v>86.904647999999995</v>
      </c>
      <c r="AI53" s="12">
        <v>-2E-3</v>
      </c>
    </row>
    <row r="54" spans="1:35">
      <c r="A54" t="s">
        <v>98</v>
      </c>
      <c r="B54" t="s">
        <v>516</v>
      </c>
      <c r="C54" t="s">
        <v>517</v>
      </c>
      <c r="D54" t="s">
        <v>118</v>
      </c>
      <c r="F54">
        <v>12.007432</v>
      </c>
      <c r="G54">
        <v>12.465114</v>
      </c>
      <c r="H54">
        <v>12.775763</v>
      </c>
      <c r="I54">
        <v>12.835153999999999</v>
      </c>
      <c r="J54">
        <v>12.958027</v>
      </c>
      <c r="K54">
        <v>13.056922</v>
      </c>
      <c r="L54">
        <v>13.141268999999999</v>
      </c>
      <c r="M54">
        <v>13.190033</v>
      </c>
      <c r="N54">
        <v>13.202685000000001</v>
      </c>
      <c r="O54">
        <v>13.177554000000001</v>
      </c>
      <c r="P54">
        <v>13.150479000000001</v>
      </c>
      <c r="Q54">
        <v>13.109432999999999</v>
      </c>
      <c r="R54">
        <v>13.083599</v>
      </c>
      <c r="S54">
        <v>13.026247</v>
      </c>
      <c r="T54">
        <v>12.949903000000001</v>
      </c>
      <c r="U54">
        <v>12.790073</v>
      </c>
      <c r="V54">
        <v>12.696982999999999</v>
      </c>
      <c r="W54">
        <v>12.600635</v>
      </c>
      <c r="X54">
        <v>12.493633000000001</v>
      </c>
      <c r="Y54">
        <v>12.374180000000001</v>
      </c>
      <c r="Z54">
        <v>12.260481</v>
      </c>
      <c r="AA54">
        <v>12.119045</v>
      </c>
      <c r="AB54">
        <v>12.002355</v>
      </c>
      <c r="AC54">
        <v>11.880788000000001</v>
      </c>
      <c r="AD54">
        <v>11.808579999999999</v>
      </c>
      <c r="AE54">
        <v>11.685587</v>
      </c>
      <c r="AF54">
        <v>11.575792</v>
      </c>
      <c r="AG54">
        <v>11.447132</v>
      </c>
      <c r="AH54">
        <v>11.331303999999999</v>
      </c>
      <c r="AI54" s="12">
        <v>-2E-3</v>
      </c>
    </row>
    <row r="55" spans="1:35">
      <c r="A55" t="s">
        <v>90</v>
      </c>
      <c r="B55" t="s">
        <v>518</v>
      </c>
      <c r="C55" t="s">
        <v>519</v>
      </c>
      <c r="D55" t="s">
        <v>118</v>
      </c>
      <c r="F55">
        <v>7.4320000000000002E-3</v>
      </c>
      <c r="G55">
        <v>7.7629999999999999E-3</v>
      </c>
      <c r="H55">
        <v>7.9489999999999995E-3</v>
      </c>
      <c r="I55">
        <v>8.0289999999999997E-3</v>
      </c>
      <c r="J55">
        <v>8.1410000000000007E-3</v>
      </c>
      <c r="K55">
        <v>8.2100000000000003E-3</v>
      </c>
      <c r="L55">
        <v>8.2570000000000005E-3</v>
      </c>
      <c r="M55">
        <v>8.2789999999999999E-3</v>
      </c>
      <c r="N55">
        <v>8.2830000000000004E-3</v>
      </c>
      <c r="O55">
        <v>8.2609999999999992E-3</v>
      </c>
      <c r="P55">
        <v>8.2290000000000002E-3</v>
      </c>
      <c r="Q55">
        <v>8.1890000000000001E-3</v>
      </c>
      <c r="R55">
        <v>8.1569999999999993E-3</v>
      </c>
      <c r="S55">
        <v>8.1069999999999996E-3</v>
      </c>
      <c r="T55">
        <v>8.0420000000000005E-3</v>
      </c>
      <c r="U55">
        <v>7.9609999999999993E-3</v>
      </c>
      <c r="V55">
        <v>7.8829999999999994E-3</v>
      </c>
      <c r="W55">
        <v>7.803E-3</v>
      </c>
      <c r="X55">
        <v>7.7130000000000002E-3</v>
      </c>
      <c r="Y55">
        <v>7.6150000000000002E-3</v>
      </c>
      <c r="Z55">
        <v>7.5209999999999999E-3</v>
      </c>
      <c r="AA55">
        <v>7.3980000000000001E-3</v>
      </c>
      <c r="AB55">
        <v>7.3070000000000001E-3</v>
      </c>
      <c r="AC55">
        <v>7.2150000000000001E-3</v>
      </c>
      <c r="AD55">
        <v>7.143E-3</v>
      </c>
      <c r="AE55">
        <v>7.0499999999999998E-3</v>
      </c>
      <c r="AF55">
        <v>6.9610000000000002E-3</v>
      </c>
      <c r="AG55">
        <v>6.8640000000000003E-3</v>
      </c>
      <c r="AH55">
        <v>6.7689999999999998E-3</v>
      </c>
      <c r="AI55" s="12">
        <v>-3.0000000000000001E-3</v>
      </c>
    </row>
    <row r="56" spans="1:35">
      <c r="A56" t="s">
        <v>91</v>
      </c>
      <c r="B56" t="s">
        <v>520</v>
      </c>
      <c r="C56" t="s">
        <v>521</v>
      </c>
      <c r="D56" t="s">
        <v>118</v>
      </c>
      <c r="F56">
        <v>52.012611</v>
      </c>
      <c r="G56">
        <v>54.015754999999999</v>
      </c>
      <c r="H56">
        <v>55.245651000000002</v>
      </c>
      <c r="I56">
        <v>55.522506999999997</v>
      </c>
      <c r="J56">
        <v>56.047764000000001</v>
      </c>
      <c r="K56">
        <v>56.442497000000003</v>
      </c>
      <c r="L56">
        <v>56.754584999999999</v>
      </c>
      <c r="M56">
        <v>56.903236</v>
      </c>
      <c r="N56">
        <v>56.888607</v>
      </c>
      <c r="O56">
        <v>56.712851999999998</v>
      </c>
      <c r="P56">
        <v>56.517417999999999</v>
      </c>
      <c r="Q56">
        <v>56.260185</v>
      </c>
      <c r="R56">
        <v>56.054282999999998</v>
      </c>
      <c r="S56">
        <v>55.704571000000001</v>
      </c>
      <c r="T56">
        <v>55.261519999999997</v>
      </c>
      <c r="U56">
        <v>54.562843000000001</v>
      </c>
      <c r="V56">
        <v>54.018444000000002</v>
      </c>
      <c r="W56">
        <v>53.439864999999998</v>
      </c>
      <c r="X56">
        <v>52.799095000000001</v>
      </c>
      <c r="Y56">
        <v>52.084651999999998</v>
      </c>
      <c r="Z56">
        <v>51.363410999999999</v>
      </c>
      <c r="AA56">
        <v>50.487484000000002</v>
      </c>
      <c r="AB56">
        <v>49.676124999999999</v>
      </c>
      <c r="AC56">
        <v>48.788139000000001</v>
      </c>
      <c r="AD56">
        <v>48.012000999999998</v>
      </c>
      <c r="AE56">
        <v>46.925766000000003</v>
      </c>
      <c r="AF56">
        <v>45.703896</v>
      </c>
      <c r="AG56">
        <v>44.05574</v>
      </c>
      <c r="AH56">
        <v>42.693801999999998</v>
      </c>
      <c r="AI56" s="12">
        <v>-7.0000000000000001E-3</v>
      </c>
    </row>
    <row r="57" spans="1:35">
      <c r="A57" t="s">
        <v>92</v>
      </c>
      <c r="B57" t="s">
        <v>522</v>
      </c>
      <c r="C57" t="s">
        <v>523</v>
      </c>
      <c r="D57" t="s">
        <v>118</v>
      </c>
      <c r="F57">
        <v>26.102913000000001</v>
      </c>
      <c r="G57">
        <v>27.152719000000001</v>
      </c>
      <c r="H57">
        <v>27.997173</v>
      </c>
      <c r="I57">
        <v>28.156234999999999</v>
      </c>
      <c r="J57">
        <v>28.412040999999999</v>
      </c>
      <c r="K57">
        <v>28.617826000000001</v>
      </c>
      <c r="L57">
        <v>28.781718999999999</v>
      </c>
      <c r="M57">
        <v>28.881858999999999</v>
      </c>
      <c r="N57">
        <v>28.919270999999998</v>
      </c>
      <c r="O57">
        <v>28.863105999999998</v>
      </c>
      <c r="P57">
        <v>28.782406000000002</v>
      </c>
      <c r="Q57">
        <v>28.664639000000001</v>
      </c>
      <c r="R57">
        <v>28.58287</v>
      </c>
      <c r="S57">
        <v>28.431080000000001</v>
      </c>
      <c r="T57">
        <v>28.230478000000002</v>
      </c>
      <c r="U57">
        <v>27.752499</v>
      </c>
      <c r="V57">
        <v>27.526546</v>
      </c>
      <c r="W57">
        <v>27.295058999999998</v>
      </c>
      <c r="X57">
        <v>27.037399000000001</v>
      </c>
      <c r="Y57">
        <v>26.753869999999999</v>
      </c>
      <c r="Z57">
        <v>26.484290999999999</v>
      </c>
      <c r="AA57">
        <v>26.160323999999999</v>
      </c>
      <c r="AB57">
        <v>25.885159999999999</v>
      </c>
      <c r="AC57">
        <v>25.601519</v>
      </c>
      <c r="AD57">
        <v>25.421154000000001</v>
      </c>
      <c r="AE57">
        <v>25.134627999999999</v>
      </c>
      <c r="AF57">
        <v>24.876854000000002</v>
      </c>
      <c r="AG57">
        <v>24.580860000000001</v>
      </c>
      <c r="AH57">
        <v>24.309217</v>
      </c>
      <c r="AI57" s="12">
        <v>-3.0000000000000001E-3</v>
      </c>
    </row>
    <row r="58" spans="1:35">
      <c r="A58" t="s">
        <v>93</v>
      </c>
      <c r="B58" t="s">
        <v>524</v>
      </c>
      <c r="C58" t="s">
        <v>525</v>
      </c>
      <c r="D58" t="s">
        <v>118</v>
      </c>
      <c r="F58">
        <v>1.4757659999999999</v>
      </c>
      <c r="G58">
        <v>1.5326839999999999</v>
      </c>
      <c r="H58">
        <v>1.572022</v>
      </c>
      <c r="I58">
        <v>1.5786210000000001</v>
      </c>
      <c r="J58">
        <v>1.5959749999999999</v>
      </c>
      <c r="K58">
        <v>1.6095010000000001</v>
      </c>
      <c r="L58">
        <v>1.6204449999999999</v>
      </c>
      <c r="M58">
        <v>1.6276649999999999</v>
      </c>
      <c r="N58">
        <v>1.6309739999999999</v>
      </c>
      <c r="O58">
        <v>1.629221</v>
      </c>
      <c r="P58">
        <v>1.6268180000000001</v>
      </c>
      <c r="Q58">
        <v>1.622336</v>
      </c>
      <c r="R58">
        <v>1.6196390000000001</v>
      </c>
      <c r="S58">
        <v>1.613038</v>
      </c>
      <c r="T58">
        <v>1.6045199999999999</v>
      </c>
      <c r="U58">
        <v>1.5851</v>
      </c>
      <c r="V58">
        <v>1.57385</v>
      </c>
      <c r="W58">
        <v>1.56229</v>
      </c>
      <c r="X58">
        <v>1.549139</v>
      </c>
      <c r="Y58">
        <v>1.5342830000000001</v>
      </c>
      <c r="Z58">
        <v>1.520311</v>
      </c>
      <c r="AA58">
        <v>1.501987</v>
      </c>
      <c r="AB58">
        <v>1.4879849999999999</v>
      </c>
      <c r="AC58">
        <v>1.4732160000000001</v>
      </c>
      <c r="AD58">
        <v>1.4655290000000001</v>
      </c>
      <c r="AE58">
        <v>1.450458</v>
      </c>
      <c r="AF58">
        <v>1.437376</v>
      </c>
      <c r="AG58">
        <v>1.4216249999999999</v>
      </c>
      <c r="AH58">
        <v>1.4077189999999999</v>
      </c>
      <c r="AI58" s="12">
        <v>-2E-3</v>
      </c>
    </row>
    <row r="59" spans="1:35">
      <c r="A59" t="s">
        <v>94</v>
      </c>
      <c r="B59" t="s">
        <v>526</v>
      </c>
      <c r="C59" t="s">
        <v>527</v>
      </c>
      <c r="D59" t="s">
        <v>118</v>
      </c>
      <c r="F59">
        <v>0.58296300000000001</v>
      </c>
      <c r="G59">
        <v>0.63977200000000001</v>
      </c>
      <c r="H59">
        <v>0.69745900000000005</v>
      </c>
      <c r="I59">
        <v>0.74443499999999996</v>
      </c>
      <c r="J59">
        <v>0.79736899999999999</v>
      </c>
      <c r="K59">
        <v>0.85397599999999996</v>
      </c>
      <c r="L59">
        <v>0.91521699999999995</v>
      </c>
      <c r="M59">
        <v>0.97990200000000005</v>
      </c>
      <c r="N59">
        <v>1.0486899999999999</v>
      </c>
      <c r="O59">
        <v>1.1214440000000001</v>
      </c>
      <c r="P59">
        <v>1.2004459999999999</v>
      </c>
      <c r="Q59">
        <v>1.2863150000000001</v>
      </c>
      <c r="R59">
        <v>1.3831500000000001</v>
      </c>
      <c r="S59">
        <v>1.48702</v>
      </c>
      <c r="T59">
        <v>1.599227</v>
      </c>
      <c r="U59">
        <v>1.699166</v>
      </c>
      <c r="V59">
        <v>1.8360780000000001</v>
      </c>
      <c r="W59">
        <v>1.989325</v>
      </c>
      <c r="X59">
        <v>2.1605850000000002</v>
      </c>
      <c r="Y59">
        <v>2.3529599999999999</v>
      </c>
      <c r="Z59">
        <v>2.5741770000000002</v>
      </c>
      <c r="AA59">
        <v>2.8250199999999999</v>
      </c>
      <c r="AB59">
        <v>3.1230699999999998</v>
      </c>
      <c r="AC59">
        <v>3.4774289999999999</v>
      </c>
      <c r="AD59">
        <v>3.922498</v>
      </c>
      <c r="AE59">
        <v>4.4694479999999999</v>
      </c>
      <c r="AF59">
        <v>5.2043210000000002</v>
      </c>
      <c r="AG59">
        <v>6.2864370000000003</v>
      </c>
      <c r="AH59">
        <v>7.1351089999999999</v>
      </c>
      <c r="AI59" s="12">
        <v>9.4E-2</v>
      </c>
    </row>
    <row r="60" spans="1:35">
      <c r="A60" t="s">
        <v>95</v>
      </c>
      <c r="B60" t="s">
        <v>528</v>
      </c>
      <c r="C60" t="s">
        <v>529</v>
      </c>
      <c r="D60" t="s">
        <v>118</v>
      </c>
      <c r="F60">
        <v>2.3116999999999999E-2</v>
      </c>
      <c r="G60">
        <v>2.4035000000000001E-2</v>
      </c>
      <c r="H60">
        <v>2.4938999999999999E-2</v>
      </c>
      <c r="I60">
        <v>2.5099E-2</v>
      </c>
      <c r="J60">
        <v>2.5319000000000001E-2</v>
      </c>
      <c r="K60">
        <v>2.5482000000000001E-2</v>
      </c>
      <c r="L60">
        <v>2.5596000000000001E-2</v>
      </c>
      <c r="M60">
        <v>2.5651E-2</v>
      </c>
      <c r="N60">
        <v>2.5658E-2</v>
      </c>
      <c r="O60">
        <v>2.5572999999999999E-2</v>
      </c>
      <c r="P60">
        <v>2.5453E-2</v>
      </c>
      <c r="Q60">
        <v>2.5301000000000001E-2</v>
      </c>
      <c r="R60">
        <v>2.5183000000000001E-2</v>
      </c>
      <c r="S60">
        <v>2.5003000000000001E-2</v>
      </c>
      <c r="T60">
        <v>2.4774000000000001E-2</v>
      </c>
      <c r="U60">
        <v>2.4169E-2</v>
      </c>
      <c r="V60">
        <v>2.3938999999999998E-2</v>
      </c>
      <c r="W60">
        <v>2.3702000000000001E-2</v>
      </c>
      <c r="X60">
        <v>2.3444E-2</v>
      </c>
      <c r="Y60">
        <v>2.3163E-2</v>
      </c>
      <c r="Z60">
        <v>2.2893E-2</v>
      </c>
      <c r="AA60">
        <v>2.2575000000000001E-2</v>
      </c>
      <c r="AB60">
        <v>2.2303E-2</v>
      </c>
      <c r="AC60">
        <v>2.2027000000000001E-2</v>
      </c>
      <c r="AD60">
        <v>2.1822999999999999E-2</v>
      </c>
      <c r="AE60">
        <v>2.1545000000000002E-2</v>
      </c>
      <c r="AF60">
        <v>2.1284000000000001E-2</v>
      </c>
      <c r="AG60">
        <v>2.0996999999999998E-2</v>
      </c>
      <c r="AH60">
        <v>2.0722999999999998E-2</v>
      </c>
      <c r="AI60" s="12">
        <v>-4.0000000000000001E-3</v>
      </c>
    </row>
    <row r="61" spans="1:35">
      <c r="A61" t="s">
        <v>109</v>
      </c>
      <c r="B61" t="s">
        <v>530</v>
      </c>
      <c r="C61" t="s">
        <v>531</v>
      </c>
      <c r="D61" t="s">
        <v>118</v>
      </c>
      <c r="F61">
        <v>26.118862</v>
      </c>
      <c r="G61">
        <v>28.024412000000002</v>
      </c>
      <c r="H61">
        <v>29.477226000000002</v>
      </c>
      <c r="I61">
        <v>30.571621</v>
      </c>
      <c r="J61">
        <v>31.3964</v>
      </c>
      <c r="K61">
        <v>32.010112999999997</v>
      </c>
      <c r="L61">
        <v>32.464531000000001</v>
      </c>
      <c r="M61">
        <v>32.799759000000002</v>
      </c>
      <c r="N61">
        <v>33.046233999999998</v>
      </c>
      <c r="O61">
        <v>33.226050999999998</v>
      </c>
      <c r="P61">
        <v>33.352477999999998</v>
      </c>
      <c r="Q61">
        <v>33.43018</v>
      </c>
      <c r="R61">
        <v>33.466476</v>
      </c>
      <c r="S61">
        <v>33.469250000000002</v>
      </c>
      <c r="T61">
        <v>33.445160000000001</v>
      </c>
      <c r="U61">
        <v>33.397396000000001</v>
      </c>
      <c r="V61">
        <v>33.349758000000001</v>
      </c>
      <c r="W61">
        <v>33.294384000000001</v>
      </c>
      <c r="X61">
        <v>33.234276000000001</v>
      </c>
      <c r="Y61">
        <v>33.167285999999997</v>
      </c>
      <c r="Z61">
        <v>33.096901000000003</v>
      </c>
      <c r="AA61">
        <v>33.025081999999998</v>
      </c>
      <c r="AB61">
        <v>32.951076999999998</v>
      </c>
      <c r="AC61">
        <v>32.875145000000003</v>
      </c>
      <c r="AD61">
        <v>32.799278000000001</v>
      </c>
      <c r="AE61">
        <v>32.723492</v>
      </c>
      <c r="AF61">
        <v>32.646706000000002</v>
      </c>
      <c r="AG61">
        <v>32.569450000000003</v>
      </c>
      <c r="AH61">
        <v>32.494362000000002</v>
      </c>
      <c r="AI61" s="12">
        <v>8.0000000000000002E-3</v>
      </c>
    </row>
    <row r="62" spans="1:35">
      <c r="A62" t="s">
        <v>98</v>
      </c>
      <c r="B62" t="s">
        <v>532</v>
      </c>
      <c r="C62" t="s">
        <v>533</v>
      </c>
      <c r="D62" t="s">
        <v>118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6</v>
      </c>
    </row>
    <row r="63" spans="1:35">
      <c r="A63" t="s">
        <v>90</v>
      </c>
      <c r="B63" t="s">
        <v>534</v>
      </c>
      <c r="C63" t="s">
        <v>535</v>
      </c>
      <c r="D63" t="s">
        <v>118</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t="s">
        <v>6</v>
      </c>
    </row>
    <row r="64" spans="1:35">
      <c r="A64" t="s">
        <v>91</v>
      </c>
      <c r="B64" t="s">
        <v>536</v>
      </c>
      <c r="C64" t="s">
        <v>537</v>
      </c>
      <c r="D64" t="s">
        <v>118</v>
      </c>
      <c r="F64">
        <v>26.118862</v>
      </c>
      <c r="G64">
        <v>28.024412000000002</v>
      </c>
      <c r="H64">
        <v>29.477226000000002</v>
      </c>
      <c r="I64">
        <v>30.571621</v>
      </c>
      <c r="J64">
        <v>31.3964</v>
      </c>
      <c r="K64">
        <v>32.010112999999997</v>
      </c>
      <c r="L64">
        <v>32.464531000000001</v>
      </c>
      <c r="M64">
        <v>32.799759000000002</v>
      </c>
      <c r="N64">
        <v>33.046233999999998</v>
      </c>
      <c r="O64">
        <v>33.226050999999998</v>
      </c>
      <c r="P64">
        <v>33.352477999999998</v>
      </c>
      <c r="Q64">
        <v>33.43018</v>
      </c>
      <c r="R64">
        <v>33.466476</v>
      </c>
      <c r="S64">
        <v>33.469250000000002</v>
      </c>
      <c r="T64">
        <v>33.445160000000001</v>
      </c>
      <c r="U64">
        <v>33.397396000000001</v>
      </c>
      <c r="V64">
        <v>33.349758000000001</v>
      </c>
      <c r="W64">
        <v>33.294384000000001</v>
      </c>
      <c r="X64">
        <v>33.234276000000001</v>
      </c>
      <c r="Y64">
        <v>33.167285999999997</v>
      </c>
      <c r="Z64">
        <v>33.096901000000003</v>
      </c>
      <c r="AA64">
        <v>33.025081999999998</v>
      </c>
      <c r="AB64">
        <v>32.951076999999998</v>
      </c>
      <c r="AC64">
        <v>32.875145000000003</v>
      </c>
      <c r="AD64">
        <v>32.799278000000001</v>
      </c>
      <c r="AE64">
        <v>32.723492</v>
      </c>
      <c r="AF64">
        <v>32.646706000000002</v>
      </c>
      <c r="AG64">
        <v>32.569450000000003</v>
      </c>
      <c r="AH64">
        <v>32.494362000000002</v>
      </c>
      <c r="AI64" s="12">
        <v>8.0000000000000002E-3</v>
      </c>
    </row>
    <row r="65" spans="1:35">
      <c r="A65" t="s">
        <v>92</v>
      </c>
      <c r="B65" t="s">
        <v>538</v>
      </c>
      <c r="C65" t="s">
        <v>539</v>
      </c>
      <c r="D65" t="s">
        <v>118</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t="s">
        <v>6</v>
      </c>
    </row>
    <row r="66" spans="1:35">
      <c r="A66" t="s">
        <v>93</v>
      </c>
      <c r="B66" t="s">
        <v>540</v>
      </c>
      <c r="C66" t="s">
        <v>541</v>
      </c>
      <c r="D66" t="s">
        <v>118</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t="s">
        <v>6</v>
      </c>
    </row>
    <row r="67" spans="1:35">
      <c r="A67" t="s">
        <v>94</v>
      </c>
      <c r="B67" t="s">
        <v>542</v>
      </c>
      <c r="C67" t="s">
        <v>543</v>
      </c>
      <c r="D67" t="s">
        <v>118</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t="s">
        <v>6</v>
      </c>
    </row>
    <row r="68" spans="1:35">
      <c r="A68" t="s">
        <v>95</v>
      </c>
      <c r="B68" t="s">
        <v>544</v>
      </c>
      <c r="C68" t="s">
        <v>545</v>
      </c>
      <c r="D68" t="s">
        <v>118</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t="s">
        <v>6</v>
      </c>
    </row>
    <row r="69" spans="1:35">
      <c r="A69" t="s">
        <v>110</v>
      </c>
      <c r="B69" t="s">
        <v>546</v>
      </c>
      <c r="C69" t="s">
        <v>547</v>
      </c>
      <c r="D69" t="s">
        <v>118</v>
      </c>
      <c r="F69">
        <v>93.831894000000005</v>
      </c>
      <c r="G69">
        <v>98.450194999999994</v>
      </c>
      <c r="H69">
        <v>99.158546000000001</v>
      </c>
      <c r="I69">
        <v>98.571014000000005</v>
      </c>
      <c r="J69">
        <v>97.556511</v>
      </c>
      <c r="K69">
        <v>96.613395999999995</v>
      </c>
      <c r="L69">
        <v>95.691032000000007</v>
      </c>
      <c r="M69">
        <v>94.739861000000005</v>
      </c>
      <c r="N69">
        <v>93.777550000000005</v>
      </c>
      <c r="O69">
        <v>92.791618</v>
      </c>
      <c r="P69">
        <v>91.866196000000002</v>
      </c>
      <c r="Q69">
        <v>91.598052999999993</v>
      </c>
      <c r="R69">
        <v>91.112289000000004</v>
      </c>
      <c r="S69">
        <v>90.708870000000005</v>
      </c>
      <c r="T69">
        <v>90.372649999999993</v>
      </c>
      <c r="U69">
        <v>90.121039999999994</v>
      </c>
      <c r="V69">
        <v>89.542336000000006</v>
      </c>
      <c r="W69">
        <v>88.885452000000001</v>
      </c>
      <c r="X69">
        <v>88.194603000000001</v>
      </c>
      <c r="Y69">
        <v>87.485648999999995</v>
      </c>
      <c r="Z69">
        <v>86.702445999999995</v>
      </c>
      <c r="AA69">
        <v>85.868294000000006</v>
      </c>
      <c r="AB69">
        <v>84.998230000000007</v>
      </c>
      <c r="AC69">
        <v>84.089134000000001</v>
      </c>
      <c r="AD69">
        <v>83.076744000000005</v>
      </c>
      <c r="AE69">
        <v>82.045021000000006</v>
      </c>
      <c r="AF69">
        <v>80.986785999999995</v>
      </c>
      <c r="AG69">
        <v>79.893326000000002</v>
      </c>
      <c r="AH69">
        <v>78.783607000000003</v>
      </c>
      <c r="AI69" s="12">
        <v>-6.0000000000000001E-3</v>
      </c>
    </row>
    <row r="70" spans="1:35">
      <c r="A70" t="s">
        <v>98</v>
      </c>
      <c r="B70" t="s">
        <v>548</v>
      </c>
      <c r="C70" t="s">
        <v>549</v>
      </c>
      <c r="D70" t="s">
        <v>118</v>
      </c>
      <c r="F70">
        <v>9.4941010000000006</v>
      </c>
      <c r="G70">
        <v>9.9847319999999993</v>
      </c>
      <c r="H70">
        <v>10.080206</v>
      </c>
      <c r="I70">
        <v>10.044081</v>
      </c>
      <c r="J70">
        <v>9.9641859999999998</v>
      </c>
      <c r="K70">
        <v>9.8772070000000003</v>
      </c>
      <c r="L70">
        <v>9.7906929999999992</v>
      </c>
      <c r="M70">
        <v>9.7035470000000004</v>
      </c>
      <c r="N70">
        <v>9.6156869999999994</v>
      </c>
      <c r="O70">
        <v>9.5264279999999992</v>
      </c>
      <c r="P70">
        <v>9.4439309999999992</v>
      </c>
      <c r="Q70">
        <v>9.3760180000000002</v>
      </c>
      <c r="R70">
        <v>9.3193699999999993</v>
      </c>
      <c r="S70">
        <v>9.2722660000000001</v>
      </c>
      <c r="T70">
        <v>9.2344460000000002</v>
      </c>
      <c r="U70">
        <v>9.2065929999999998</v>
      </c>
      <c r="V70">
        <v>9.1597399999999993</v>
      </c>
      <c r="W70">
        <v>9.1076730000000001</v>
      </c>
      <c r="X70">
        <v>9.0532129999999995</v>
      </c>
      <c r="Y70">
        <v>8.9974880000000006</v>
      </c>
      <c r="Z70">
        <v>8.9384180000000004</v>
      </c>
      <c r="AA70">
        <v>8.8755819999999996</v>
      </c>
      <c r="AB70">
        <v>8.8098559999999999</v>
      </c>
      <c r="AC70">
        <v>8.7419480000000007</v>
      </c>
      <c r="AD70">
        <v>8.6711120000000008</v>
      </c>
      <c r="AE70">
        <v>8.599361</v>
      </c>
      <c r="AF70">
        <v>8.5273749999999993</v>
      </c>
      <c r="AG70">
        <v>8.4545519999999996</v>
      </c>
      <c r="AH70">
        <v>8.3815580000000001</v>
      </c>
      <c r="AI70" s="12">
        <v>-4.0000000000000001E-3</v>
      </c>
    </row>
    <row r="71" spans="1:35">
      <c r="A71" t="s">
        <v>90</v>
      </c>
      <c r="B71" t="s">
        <v>550</v>
      </c>
      <c r="C71" t="s">
        <v>551</v>
      </c>
      <c r="D71" t="s">
        <v>118</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t="s">
        <v>6</v>
      </c>
    </row>
    <row r="72" spans="1:35">
      <c r="A72" t="s">
        <v>91</v>
      </c>
      <c r="B72" t="s">
        <v>552</v>
      </c>
      <c r="C72" t="s">
        <v>553</v>
      </c>
      <c r="D72" t="s">
        <v>118</v>
      </c>
      <c r="F72">
        <v>75.219893999999996</v>
      </c>
      <c r="G72">
        <v>78.605819999999994</v>
      </c>
      <c r="H72">
        <v>78.857498000000007</v>
      </c>
      <c r="I72">
        <v>78.076453999999998</v>
      </c>
      <c r="J72">
        <v>76.964111000000003</v>
      </c>
      <c r="K72">
        <v>76.079750000000004</v>
      </c>
      <c r="L72">
        <v>75.233322000000001</v>
      </c>
      <c r="M72">
        <v>74.338866999999993</v>
      </c>
      <c r="N72">
        <v>73.430572999999995</v>
      </c>
      <c r="O72">
        <v>72.491912999999997</v>
      </c>
      <c r="P72">
        <v>71.594031999999999</v>
      </c>
      <c r="Q72">
        <v>71.837708000000006</v>
      </c>
      <c r="R72">
        <v>71.512496999999996</v>
      </c>
      <c r="S72">
        <v>71.239052000000001</v>
      </c>
      <c r="T72">
        <v>70.989593999999997</v>
      </c>
      <c r="U72">
        <v>70.790924000000004</v>
      </c>
      <c r="V72">
        <v>70.163764999999998</v>
      </c>
      <c r="W72">
        <v>69.442642000000006</v>
      </c>
      <c r="X72">
        <v>68.681884999999994</v>
      </c>
      <c r="Y72">
        <v>67.900276000000005</v>
      </c>
      <c r="Z72">
        <v>67.010056000000006</v>
      </c>
      <c r="AA72">
        <v>66.063095000000004</v>
      </c>
      <c r="AB72">
        <v>65.078491</v>
      </c>
      <c r="AC72">
        <v>64.041968999999995</v>
      </c>
      <c r="AD72">
        <v>62.83419</v>
      </c>
      <c r="AE72">
        <v>61.602939999999997</v>
      </c>
      <c r="AF72">
        <v>60.321541000000003</v>
      </c>
      <c r="AG72">
        <v>58.979691000000003</v>
      </c>
      <c r="AH72">
        <v>57.607379999999999</v>
      </c>
      <c r="AI72" s="12">
        <v>-8.9999999999999993E-3</v>
      </c>
    </row>
    <row r="73" spans="1:35">
      <c r="A73" t="s">
        <v>92</v>
      </c>
      <c r="B73" t="s">
        <v>554</v>
      </c>
      <c r="C73" t="s">
        <v>555</v>
      </c>
      <c r="D73" t="s">
        <v>118</v>
      </c>
      <c r="F73">
        <v>0.92408599999999996</v>
      </c>
      <c r="G73">
        <v>1.0108280000000001</v>
      </c>
      <c r="H73">
        <v>1.0536110000000001</v>
      </c>
      <c r="I73">
        <v>1.083197</v>
      </c>
      <c r="J73">
        <v>1.1043369999999999</v>
      </c>
      <c r="K73">
        <v>1.1235299999999999</v>
      </c>
      <c r="L73">
        <v>1.1408499999999999</v>
      </c>
      <c r="M73">
        <v>1.1560729999999999</v>
      </c>
      <c r="N73">
        <v>1.171249</v>
      </c>
      <c r="O73">
        <v>1.185954</v>
      </c>
      <c r="P73">
        <v>1.2014899999999999</v>
      </c>
      <c r="Q73">
        <v>1.2187190000000001</v>
      </c>
      <c r="R73">
        <v>1.237236</v>
      </c>
      <c r="S73">
        <v>1.256583</v>
      </c>
      <c r="T73">
        <v>1.277304</v>
      </c>
      <c r="U73">
        <v>1.299385</v>
      </c>
      <c r="V73">
        <v>1.318905</v>
      </c>
      <c r="W73">
        <v>1.3373429999999999</v>
      </c>
      <c r="X73">
        <v>1.355548</v>
      </c>
      <c r="Y73">
        <v>1.373292</v>
      </c>
      <c r="Z73">
        <v>1.390433</v>
      </c>
      <c r="AA73">
        <v>1.4067000000000001</v>
      </c>
      <c r="AB73">
        <v>1.4226700000000001</v>
      </c>
      <c r="AC73">
        <v>1.4381809999999999</v>
      </c>
      <c r="AD73">
        <v>1.4527399999999999</v>
      </c>
      <c r="AE73">
        <v>1.4629570000000001</v>
      </c>
      <c r="AF73">
        <v>1.4730529999999999</v>
      </c>
      <c r="AG73">
        <v>1.482996</v>
      </c>
      <c r="AH73">
        <v>1.4928939999999999</v>
      </c>
      <c r="AI73" s="12">
        <v>1.7000000000000001E-2</v>
      </c>
    </row>
    <row r="74" spans="1:35">
      <c r="A74" t="s">
        <v>93</v>
      </c>
      <c r="B74" t="s">
        <v>556</v>
      </c>
      <c r="C74" t="s">
        <v>557</v>
      </c>
      <c r="D74" t="s">
        <v>118</v>
      </c>
      <c r="F74">
        <v>7.6215450000000002</v>
      </c>
      <c r="G74">
        <v>8.0154069999999997</v>
      </c>
      <c r="H74">
        <v>8.0920509999999997</v>
      </c>
      <c r="I74">
        <v>8.0630500000000005</v>
      </c>
      <c r="J74">
        <v>7.9989129999999999</v>
      </c>
      <c r="K74">
        <v>7.9290890000000003</v>
      </c>
      <c r="L74">
        <v>7.8596399999999997</v>
      </c>
      <c r="M74">
        <v>7.7896799999999997</v>
      </c>
      <c r="N74">
        <v>7.71915</v>
      </c>
      <c r="O74">
        <v>7.6474950000000002</v>
      </c>
      <c r="P74">
        <v>7.5812689999999998</v>
      </c>
      <c r="Q74">
        <v>7.5267520000000001</v>
      </c>
      <c r="R74">
        <v>7.4812770000000004</v>
      </c>
      <c r="S74">
        <v>7.4434630000000004</v>
      </c>
      <c r="T74">
        <v>7.4131020000000003</v>
      </c>
      <c r="U74">
        <v>7.3907420000000004</v>
      </c>
      <c r="V74">
        <v>7.3531319999999996</v>
      </c>
      <c r="W74">
        <v>7.3113330000000003</v>
      </c>
      <c r="X74">
        <v>7.2676160000000003</v>
      </c>
      <c r="Y74">
        <v>7.22288</v>
      </c>
      <c r="Z74">
        <v>7.1754610000000003</v>
      </c>
      <c r="AA74">
        <v>7.125019</v>
      </c>
      <c r="AB74">
        <v>7.0722560000000003</v>
      </c>
      <c r="AC74">
        <v>7.017741</v>
      </c>
      <c r="AD74">
        <v>6.960877</v>
      </c>
      <c r="AE74">
        <v>6.9032780000000002</v>
      </c>
      <c r="AF74">
        <v>6.8454899999999999</v>
      </c>
      <c r="AG74">
        <v>6.7870299999999997</v>
      </c>
      <c r="AH74">
        <v>6.7284329999999999</v>
      </c>
      <c r="AI74" s="12">
        <v>-4.0000000000000001E-3</v>
      </c>
    </row>
    <row r="75" spans="1:35">
      <c r="A75" t="s">
        <v>94</v>
      </c>
      <c r="B75" t="s">
        <v>558</v>
      </c>
      <c r="C75" t="s">
        <v>559</v>
      </c>
      <c r="D75" t="s">
        <v>118</v>
      </c>
      <c r="F75">
        <v>0.57226500000000002</v>
      </c>
      <c r="G75">
        <v>0.83341600000000005</v>
      </c>
      <c r="H75">
        <v>1.075178</v>
      </c>
      <c r="I75">
        <v>1.30423</v>
      </c>
      <c r="J75">
        <v>1.524958</v>
      </c>
      <c r="K75">
        <v>1.603828</v>
      </c>
      <c r="L75">
        <v>1.6665300000000001</v>
      </c>
      <c r="M75">
        <v>1.7516910000000001</v>
      </c>
      <c r="N75">
        <v>1.8409</v>
      </c>
      <c r="O75">
        <v>1.9398230000000001</v>
      </c>
      <c r="P75">
        <v>2.045474</v>
      </c>
      <c r="Q75">
        <v>1.638865</v>
      </c>
      <c r="R75">
        <v>1.561909</v>
      </c>
      <c r="S75">
        <v>1.4974970000000001</v>
      </c>
      <c r="T75">
        <v>1.458207</v>
      </c>
      <c r="U75">
        <v>1.4334020000000001</v>
      </c>
      <c r="V75">
        <v>1.546791</v>
      </c>
      <c r="W75">
        <v>1.686464</v>
      </c>
      <c r="X75">
        <v>1.8363419999999999</v>
      </c>
      <c r="Y75">
        <v>1.9917119999999999</v>
      </c>
      <c r="Z75">
        <v>2.1880760000000001</v>
      </c>
      <c r="AA75">
        <v>2.3979050000000002</v>
      </c>
      <c r="AB75">
        <v>2.6149490000000002</v>
      </c>
      <c r="AC75">
        <v>2.8492980000000001</v>
      </c>
      <c r="AD75">
        <v>3.1578240000000002</v>
      </c>
      <c r="AE75">
        <v>3.4764889999999999</v>
      </c>
      <c r="AF75">
        <v>3.8193260000000002</v>
      </c>
      <c r="AG75">
        <v>4.1890539999999996</v>
      </c>
      <c r="AH75">
        <v>4.5733420000000002</v>
      </c>
      <c r="AI75" s="12">
        <v>7.6999999999999999E-2</v>
      </c>
    </row>
    <row r="76" spans="1:35">
      <c r="A76" t="s">
        <v>95</v>
      </c>
      <c r="B76" t="s">
        <v>560</v>
      </c>
      <c r="C76" t="s">
        <v>561</v>
      </c>
      <c r="D76" t="s">
        <v>118</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t="s">
        <v>6</v>
      </c>
    </row>
    <row r="77" spans="1:35">
      <c r="A77" t="s">
        <v>7</v>
      </c>
      <c r="B77" t="s">
        <v>562</v>
      </c>
      <c r="C77" t="s">
        <v>563</v>
      </c>
      <c r="D77" t="s">
        <v>118</v>
      </c>
      <c r="F77">
        <v>43.913421999999997</v>
      </c>
      <c r="G77">
        <v>45.563988000000002</v>
      </c>
      <c r="H77">
        <v>46.540951</v>
      </c>
      <c r="I77">
        <v>47.205399</v>
      </c>
      <c r="J77">
        <v>47.900013000000001</v>
      </c>
      <c r="K77">
        <v>48.570526000000001</v>
      </c>
      <c r="L77">
        <v>49.132919000000001</v>
      </c>
      <c r="M77">
        <v>49.707282999999997</v>
      </c>
      <c r="N77">
        <v>50.150032000000003</v>
      </c>
      <c r="O77">
        <v>50.598678999999997</v>
      </c>
      <c r="P77">
        <v>51.139499999999998</v>
      </c>
      <c r="Q77">
        <v>51.726661999999997</v>
      </c>
      <c r="R77">
        <v>52.369225</v>
      </c>
      <c r="S77">
        <v>52.923794000000001</v>
      </c>
      <c r="T77">
        <v>53.456974000000002</v>
      </c>
      <c r="U77">
        <v>53.972693999999997</v>
      </c>
      <c r="V77">
        <v>54.509743</v>
      </c>
      <c r="W77">
        <v>55.033695000000002</v>
      </c>
      <c r="X77">
        <v>55.626582999999997</v>
      </c>
      <c r="Y77">
        <v>56.181145000000001</v>
      </c>
      <c r="Z77">
        <v>56.753779999999999</v>
      </c>
      <c r="AA77">
        <v>57.257598999999999</v>
      </c>
      <c r="AB77">
        <v>57.815627999999997</v>
      </c>
      <c r="AC77">
        <v>58.366591999999997</v>
      </c>
      <c r="AD77">
        <v>59.116034999999997</v>
      </c>
      <c r="AE77">
        <v>59.751427</v>
      </c>
      <c r="AF77">
        <v>60.444682999999998</v>
      </c>
      <c r="AG77">
        <v>61.080703999999997</v>
      </c>
      <c r="AH77">
        <v>61.848125000000003</v>
      </c>
      <c r="AI77" s="12">
        <v>1.2E-2</v>
      </c>
    </row>
    <row r="78" spans="1:35">
      <c r="A78" t="s">
        <v>111</v>
      </c>
      <c r="B78" t="s">
        <v>564</v>
      </c>
      <c r="C78" t="s">
        <v>565</v>
      </c>
      <c r="D78" t="s">
        <v>118</v>
      </c>
      <c r="F78">
        <v>7.5946369999999996</v>
      </c>
      <c r="G78">
        <v>8.2708110000000001</v>
      </c>
      <c r="H78">
        <v>8.8117520000000003</v>
      </c>
      <c r="I78">
        <v>9.2425239999999995</v>
      </c>
      <c r="J78">
        <v>9.5890699999999995</v>
      </c>
      <c r="K78">
        <v>9.8712160000000004</v>
      </c>
      <c r="L78">
        <v>10.105147000000001</v>
      </c>
      <c r="M78">
        <v>10.303372</v>
      </c>
      <c r="N78">
        <v>10.475068</v>
      </c>
      <c r="O78">
        <v>10.626023999999999</v>
      </c>
      <c r="P78">
        <v>10.758953999999999</v>
      </c>
      <c r="Q78">
        <v>10.875567999999999</v>
      </c>
      <c r="R78">
        <v>10.979032999999999</v>
      </c>
      <c r="S78">
        <v>11.071654000000001</v>
      </c>
      <c r="T78">
        <v>11.154877000000001</v>
      </c>
      <c r="U78">
        <v>11.229654999999999</v>
      </c>
      <c r="V78">
        <v>11.304667</v>
      </c>
      <c r="W78">
        <v>11.377219</v>
      </c>
      <c r="X78">
        <v>11.447278000000001</v>
      </c>
      <c r="Y78">
        <v>11.515231999999999</v>
      </c>
      <c r="Z78">
        <v>11.582255999999999</v>
      </c>
      <c r="AA78">
        <v>11.648866999999999</v>
      </c>
      <c r="AB78">
        <v>11.715138</v>
      </c>
      <c r="AC78">
        <v>11.781057000000001</v>
      </c>
      <c r="AD78">
        <v>11.847011999999999</v>
      </c>
      <c r="AE78">
        <v>11.912785</v>
      </c>
      <c r="AF78">
        <v>11.978335</v>
      </c>
      <c r="AG78">
        <v>12.043905000000001</v>
      </c>
      <c r="AH78">
        <v>12.109465</v>
      </c>
      <c r="AI78" s="12">
        <v>1.7000000000000001E-2</v>
      </c>
    </row>
    <row r="79" spans="1:35">
      <c r="A79" t="s">
        <v>94</v>
      </c>
      <c r="B79" t="s">
        <v>566</v>
      </c>
      <c r="C79" t="s">
        <v>567</v>
      </c>
      <c r="D79" t="s">
        <v>118</v>
      </c>
      <c r="F79">
        <v>0.923149</v>
      </c>
      <c r="G79">
        <v>1.0053399999999999</v>
      </c>
      <c r="H79">
        <v>1.0710919999999999</v>
      </c>
      <c r="I79">
        <v>1.123454</v>
      </c>
      <c r="J79">
        <v>1.165578</v>
      </c>
      <c r="K79">
        <v>1.199873</v>
      </c>
      <c r="L79">
        <v>1.228308</v>
      </c>
      <c r="M79">
        <v>1.2524029999999999</v>
      </c>
      <c r="N79">
        <v>1.2732730000000001</v>
      </c>
      <c r="O79">
        <v>1.291622</v>
      </c>
      <c r="P79">
        <v>1.3077799999999999</v>
      </c>
      <c r="Q79">
        <v>1.321955</v>
      </c>
      <c r="R79">
        <v>1.3345309999999999</v>
      </c>
      <c r="S79">
        <v>1.34579</v>
      </c>
      <c r="T79">
        <v>1.3559060000000001</v>
      </c>
      <c r="U79">
        <v>1.364995</v>
      </c>
      <c r="V79">
        <v>1.3741129999999999</v>
      </c>
      <c r="W79">
        <v>1.3829320000000001</v>
      </c>
      <c r="X79">
        <v>1.391448</v>
      </c>
      <c r="Y79">
        <v>1.399708</v>
      </c>
      <c r="Z79">
        <v>1.4078550000000001</v>
      </c>
      <c r="AA79">
        <v>1.4159520000000001</v>
      </c>
      <c r="AB79">
        <v>1.4240060000000001</v>
      </c>
      <c r="AC79">
        <v>1.4320189999999999</v>
      </c>
      <c r="AD79">
        <v>1.440037</v>
      </c>
      <c r="AE79">
        <v>1.4480310000000001</v>
      </c>
      <c r="AF79">
        <v>1.455999</v>
      </c>
      <c r="AG79">
        <v>1.4639690000000001</v>
      </c>
      <c r="AH79">
        <v>1.471938</v>
      </c>
      <c r="AI79" s="12">
        <v>1.7000000000000001E-2</v>
      </c>
    </row>
    <row r="80" spans="1:35">
      <c r="A80" t="s">
        <v>112</v>
      </c>
      <c r="B80" t="s">
        <v>568</v>
      </c>
      <c r="C80" t="s">
        <v>569</v>
      </c>
      <c r="D80" t="s">
        <v>118</v>
      </c>
      <c r="F80">
        <v>6.6714880000000001</v>
      </c>
      <c r="G80">
        <v>7.2654709999999998</v>
      </c>
      <c r="H80">
        <v>7.7406600000000001</v>
      </c>
      <c r="I80">
        <v>8.1190700000000007</v>
      </c>
      <c r="J80">
        <v>8.4234919999999995</v>
      </c>
      <c r="K80">
        <v>8.6713430000000002</v>
      </c>
      <c r="L80">
        <v>8.8768399999999996</v>
      </c>
      <c r="M80">
        <v>9.0509690000000003</v>
      </c>
      <c r="N80">
        <v>9.2017959999999999</v>
      </c>
      <c r="O80">
        <v>9.3344020000000008</v>
      </c>
      <c r="P80">
        <v>9.451174</v>
      </c>
      <c r="Q80">
        <v>9.5536139999999996</v>
      </c>
      <c r="R80">
        <v>9.6445030000000003</v>
      </c>
      <c r="S80">
        <v>9.7258639999999996</v>
      </c>
      <c r="T80">
        <v>9.7989709999999999</v>
      </c>
      <c r="U80">
        <v>9.8646600000000007</v>
      </c>
      <c r="V80">
        <v>9.9305540000000008</v>
      </c>
      <c r="W80">
        <v>9.9942869999999999</v>
      </c>
      <c r="X80">
        <v>10.05583</v>
      </c>
      <c r="Y80">
        <v>10.115524000000001</v>
      </c>
      <c r="Z80">
        <v>10.174401</v>
      </c>
      <c r="AA80">
        <v>10.232915</v>
      </c>
      <c r="AB80">
        <v>10.291131999999999</v>
      </c>
      <c r="AC80">
        <v>10.349038</v>
      </c>
      <c r="AD80">
        <v>10.406974999999999</v>
      </c>
      <c r="AE80">
        <v>10.464753</v>
      </c>
      <c r="AF80">
        <v>10.522335999999999</v>
      </c>
      <c r="AG80">
        <v>10.579936</v>
      </c>
      <c r="AH80">
        <v>10.637527</v>
      </c>
      <c r="AI80" s="12">
        <v>1.7000000000000001E-2</v>
      </c>
    </row>
    <row r="81" spans="1:35">
      <c r="A81" t="s">
        <v>101</v>
      </c>
      <c r="B81" t="s">
        <v>570</v>
      </c>
      <c r="C81" t="s">
        <v>571</v>
      </c>
      <c r="D81" t="s">
        <v>118</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t="s">
        <v>6</v>
      </c>
    </row>
    <row r="82" spans="1:35">
      <c r="A82" t="s">
        <v>102</v>
      </c>
      <c r="B82" t="s">
        <v>572</v>
      </c>
      <c r="C82" t="s">
        <v>573</v>
      </c>
      <c r="D82" t="s">
        <v>118</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t="s">
        <v>6</v>
      </c>
    </row>
    <row r="83" spans="1:35">
      <c r="A83" t="s">
        <v>113</v>
      </c>
      <c r="B83" t="s">
        <v>574</v>
      </c>
      <c r="C83" t="s">
        <v>575</v>
      </c>
      <c r="D83" t="s">
        <v>118</v>
      </c>
      <c r="F83">
        <v>17.032639</v>
      </c>
      <c r="G83">
        <v>17.333525000000002</v>
      </c>
      <c r="H83">
        <v>17.471111000000001</v>
      </c>
      <c r="I83">
        <v>17.514868</v>
      </c>
      <c r="J83">
        <v>17.667708999999999</v>
      </c>
      <c r="K83">
        <v>17.921016999999999</v>
      </c>
      <c r="L83">
        <v>18.139037999999999</v>
      </c>
      <c r="M83">
        <v>18.293453</v>
      </c>
      <c r="N83">
        <v>18.389309000000001</v>
      </c>
      <c r="O83">
        <v>18.446940999999999</v>
      </c>
      <c r="P83">
        <v>18.571213</v>
      </c>
      <c r="Q83">
        <v>18.730657999999998</v>
      </c>
      <c r="R83">
        <v>18.930088000000001</v>
      </c>
      <c r="S83">
        <v>19.092124999999999</v>
      </c>
      <c r="T83">
        <v>19.259436000000001</v>
      </c>
      <c r="U83">
        <v>19.415512</v>
      </c>
      <c r="V83">
        <v>19.584526</v>
      </c>
      <c r="W83">
        <v>19.751868999999999</v>
      </c>
      <c r="X83">
        <v>19.950641999999998</v>
      </c>
      <c r="Y83">
        <v>20.133372999999999</v>
      </c>
      <c r="Z83">
        <v>20.325230000000001</v>
      </c>
      <c r="AA83">
        <v>20.481424000000001</v>
      </c>
      <c r="AB83">
        <v>20.667052999999999</v>
      </c>
      <c r="AC83">
        <v>20.844881000000001</v>
      </c>
      <c r="AD83">
        <v>21.123301999999999</v>
      </c>
      <c r="AE83">
        <v>21.333514999999998</v>
      </c>
      <c r="AF83">
        <v>21.575635999999999</v>
      </c>
      <c r="AG83">
        <v>21.790666999999999</v>
      </c>
      <c r="AH83">
        <v>22.070596999999999</v>
      </c>
      <c r="AI83" s="12">
        <v>8.9999999999999993E-3</v>
      </c>
    </row>
    <row r="84" spans="1:35">
      <c r="A84" t="s">
        <v>94</v>
      </c>
      <c r="B84" t="s">
        <v>576</v>
      </c>
      <c r="C84" t="s">
        <v>577</v>
      </c>
      <c r="D84" t="s">
        <v>118</v>
      </c>
      <c r="F84">
        <v>17.032639</v>
      </c>
      <c r="G84">
        <v>17.333525000000002</v>
      </c>
      <c r="H84">
        <v>17.471111000000001</v>
      </c>
      <c r="I84">
        <v>17.514868</v>
      </c>
      <c r="J84">
        <v>17.667708999999999</v>
      </c>
      <c r="K84">
        <v>17.921016999999999</v>
      </c>
      <c r="L84">
        <v>18.139037999999999</v>
      </c>
      <c r="M84">
        <v>18.293453</v>
      </c>
      <c r="N84">
        <v>18.389309000000001</v>
      </c>
      <c r="O84">
        <v>18.446940999999999</v>
      </c>
      <c r="P84">
        <v>18.571213</v>
      </c>
      <c r="Q84">
        <v>18.730657999999998</v>
      </c>
      <c r="R84">
        <v>18.930088000000001</v>
      </c>
      <c r="S84">
        <v>19.092124999999999</v>
      </c>
      <c r="T84">
        <v>19.259436000000001</v>
      </c>
      <c r="U84">
        <v>19.415512</v>
      </c>
      <c r="V84">
        <v>19.584526</v>
      </c>
      <c r="W84">
        <v>19.751868999999999</v>
      </c>
      <c r="X84">
        <v>19.950641999999998</v>
      </c>
      <c r="Y84">
        <v>20.133372999999999</v>
      </c>
      <c r="Z84">
        <v>20.325230000000001</v>
      </c>
      <c r="AA84">
        <v>20.481424000000001</v>
      </c>
      <c r="AB84">
        <v>20.667052999999999</v>
      </c>
      <c r="AC84">
        <v>20.844881000000001</v>
      </c>
      <c r="AD84">
        <v>21.123301999999999</v>
      </c>
      <c r="AE84">
        <v>21.333514999999998</v>
      </c>
      <c r="AF84">
        <v>21.575635999999999</v>
      </c>
      <c r="AG84">
        <v>21.790666999999999</v>
      </c>
      <c r="AH84">
        <v>22.070596999999999</v>
      </c>
      <c r="AI84" s="12">
        <v>8.9999999999999993E-3</v>
      </c>
    </row>
    <row r="85" spans="1:35">
      <c r="A85" t="s">
        <v>114</v>
      </c>
      <c r="B85" t="s">
        <v>578</v>
      </c>
      <c r="C85" t="s">
        <v>579</v>
      </c>
      <c r="D85" t="s">
        <v>118</v>
      </c>
      <c r="F85">
        <v>19.286148000000001</v>
      </c>
      <c r="G85">
        <v>19.959654</v>
      </c>
      <c r="H85">
        <v>20.258087</v>
      </c>
      <c r="I85">
        <v>20.448008000000002</v>
      </c>
      <c r="J85">
        <v>20.643234</v>
      </c>
      <c r="K85">
        <v>20.778293999999999</v>
      </c>
      <c r="L85">
        <v>20.888736999999999</v>
      </c>
      <c r="M85">
        <v>21.11046</v>
      </c>
      <c r="N85">
        <v>21.285655999999999</v>
      </c>
      <c r="O85">
        <v>21.525711000000001</v>
      </c>
      <c r="P85">
        <v>21.809334</v>
      </c>
      <c r="Q85">
        <v>22.120438</v>
      </c>
      <c r="R85">
        <v>22.460100000000001</v>
      </c>
      <c r="S85">
        <v>22.760014000000002</v>
      </c>
      <c r="T85">
        <v>23.042663999999998</v>
      </c>
      <c r="U85">
        <v>23.327525999999999</v>
      </c>
      <c r="V85">
        <v>23.620547999999999</v>
      </c>
      <c r="W85">
        <v>23.904606000000001</v>
      </c>
      <c r="X85">
        <v>24.228663999999998</v>
      </c>
      <c r="Y85">
        <v>24.532539</v>
      </c>
      <c r="Z85">
        <v>24.846294</v>
      </c>
      <c r="AA85">
        <v>25.127307999999999</v>
      </c>
      <c r="AB85">
        <v>25.433437000000001</v>
      </c>
      <c r="AC85">
        <v>25.740656000000001</v>
      </c>
      <c r="AD85">
        <v>26.145723</v>
      </c>
      <c r="AE85">
        <v>26.505127000000002</v>
      </c>
      <c r="AF85">
        <v>26.890711</v>
      </c>
      <c r="AG85">
        <v>27.246131999999999</v>
      </c>
      <c r="AH85">
        <v>27.668061999999999</v>
      </c>
      <c r="AI85" s="12">
        <v>1.2999999999999999E-2</v>
      </c>
    </row>
    <row r="86" spans="1:35">
      <c r="A86" t="s">
        <v>94</v>
      </c>
      <c r="B86" t="s">
        <v>580</v>
      </c>
      <c r="C86" t="s">
        <v>581</v>
      </c>
      <c r="D86" t="s">
        <v>118</v>
      </c>
      <c r="F86">
        <v>6.9668039999999998</v>
      </c>
      <c r="G86">
        <v>7.2055709999999999</v>
      </c>
      <c r="H86">
        <v>7.3069870000000003</v>
      </c>
      <c r="I86">
        <v>7.3605080000000003</v>
      </c>
      <c r="J86">
        <v>7.3962209999999997</v>
      </c>
      <c r="K86">
        <v>7.4034529999999998</v>
      </c>
      <c r="L86">
        <v>7.4034849999999999</v>
      </c>
      <c r="M86">
        <v>7.4601230000000003</v>
      </c>
      <c r="N86">
        <v>7.5075329999999996</v>
      </c>
      <c r="O86">
        <v>7.6063049999999999</v>
      </c>
      <c r="P86">
        <v>7.7227600000000001</v>
      </c>
      <c r="Q86">
        <v>7.8505010000000004</v>
      </c>
      <c r="R86">
        <v>7.987139</v>
      </c>
      <c r="S86">
        <v>8.1068239999999996</v>
      </c>
      <c r="T86">
        <v>8.2209280000000007</v>
      </c>
      <c r="U86">
        <v>8.3371739999999992</v>
      </c>
      <c r="V86">
        <v>8.4559110000000004</v>
      </c>
      <c r="W86">
        <v>8.5701509999999992</v>
      </c>
      <c r="X86">
        <v>8.700564</v>
      </c>
      <c r="Y86">
        <v>8.8238339999999997</v>
      </c>
      <c r="Z86">
        <v>8.9493679999999998</v>
      </c>
      <c r="AA86">
        <v>9.0625599999999995</v>
      </c>
      <c r="AB86">
        <v>9.1843959999999996</v>
      </c>
      <c r="AC86">
        <v>9.3055529999999997</v>
      </c>
      <c r="AD86">
        <v>9.4632129999999997</v>
      </c>
      <c r="AE86">
        <v>9.6034579999999998</v>
      </c>
      <c r="AF86">
        <v>9.7528290000000002</v>
      </c>
      <c r="AG86">
        <v>9.890326</v>
      </c>
      <c r="AH86">
        <v>10.053587</v>
      </c>
      <c r="AI86" s="12">
        <v>1.2999999999999999E-2</v>
      </c>
    </row>
    <row r="87" spans="1:35">
      <c r="A87" t="s">
        <v>112</v>
      </c>
      <c r="B87" t="s">
        <v>582</v>
      </c>
      <c r="C87" t="s">
        <v>583</v>
      </c>
      <c r="D87" t="s">
        <v>118</v>
      </c>
      <c r="F87">
        <v>12.319345</v>
      </c>
      <c r="G87">
        <v>12.754084000000001</v>
      </c>
      <c r="H87">
        <v>12.951098999999999</v>
      </c>
      <c r="I87">
        <v>13.0875</v>
      </c>
      <c r="J87">
        <v>13.247013000000001</v>
      </c>
      <c r="K87">
        <v>13.374840000000001</v>
      </c>
      <c r="L87">
        <v>13.485250000000001</v>
      </c>
      <c r="M87">
        <v>13.650337</v>
      </c>
      <c r="N87">
        <v>13.778123000000001</v>
      </c>
      <c r="O87">
        <v>13.919407</v>
      </c>
      <c r="P87">
        <v>14.086574000000001</v>
      </c>
      <c r="Q87">
        <v>14.269936</v>
      </c>
      <c r="R87">
        <v>14.47296</v>
      </c>
      <c r="S87">
        <v>14.65319</v>
      </c>
      <c r="T87">
        <v>14.821736</v>
      </c>
      <c r="U87">
        <v>14.990353000000001</v>
      </c>
      <c r="V87">
        <v>15.164637000000001</v>
      </c>
      <c r="W87">
        <v>15.334455</v>
      </c>
      <c r="X87">
        <v>15.528098999999999</v>
      </c>
      <c r="Y87">
        <v>15.708705999999999</v>
      </c>
      <c r="Z87">
        <v>15.896927</v>
      </c>
      <c r="AA87">
        <v>16.064747000000001</v>
      </c>
      <c r="AB87">
        <v>16.249043</v>
      </c>
      <c r="AC87">
        <v>16.435102000000001</v>
      </c>
      <c r="AD87">
        <v>16.682510000000001</v>
      </c>
      <c r="AE87">
        <v>16.901668999999998</v>
      </c>
      <c r="AF87">
        <v>17.137882000000001</v>
      </c>
      <c r="AG87">
        <v>17.355803999999999</v>
      </c>
      <c r="AH87">
        <v>17.614474999999999</v>
      </c>
      <c r="AI87" s="12">
        <v>1.2999999999999999E-2</v>
      </c>
    </row>
    <row r="88" spans="1:35">
      <c r="A88" t="s">
        <v>101</v>
      </c>
      <c r="B88" t="s">
        <v>584</v>
      </c>
      <c r="C88" t="s">
        <v>585</v>
      </c>
      <c r="D88" t="s">
        <v>118</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t="s">
        <v>6</v>
      </c>
    </row>
    <row r="89" spans="1:35">
      <c r="A89" t="s">
        <v>102</v>
      </c>
      <c r="B89" t="s">
        <v>586</v>
      </c>
      <c r="C89" t="s">
        <v>587</v>
      </c>
      <c r="D89" t="s">
        <v>118</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t="s">
        <v>6</v>
      </c>
    </row>
    <row r="90" spans="1:35">
      <c r="A90" t="s">
        <v>5</v>
      </c>
      <c r="B90" t="s">
        <v>588</v>
      </c>
      <c r="C90" t="s">
        <v>589</v>
      </c>
      <c r="D90" t="s">
        <v>118</v>
      </c>
      <c r="F90">
        <v>202.83663899999999</v>
      </c>
      <c r="G90">
        <v>199.16296399999999</v>
      </c>
      <c r="H90">
        <v>195.80548099999999</v>
      </c>
      <c r="I90">
        <v>193.737213</v>
      </c>
      <c r="J90">
        <v>192.813141</v>
      </c>
      <c r="K90">
        <v>191.8974</v>
      </c>
      <c r="L90">
        <v>190.73350500000001</v>
      </c>
      <c r="M90">
        <v>189.210464</v>
      </c>
      <c r="N90">
        <v>187.40353400000001</v>
      </c>
      <c r="O90">
        <v>185.676941</v>
      </c>
      <c r="P90">
        <v>184.46688800000001</v>
      </c>
      <c r="Q90">
        <v>183.61003099999999</v>
      </c>
      <c r="R90">
        <v>182.77757299999999</v>
      </c>
      <c r="S90">
        <v>181.99818400000001</v>
      </c>
      <c r="T90">
        <v>181.450287</v>
      </c>
      <c r="U90">
        <v>181.105515</v>
      </c>
      <c r="V90">
        <v>180.74588</v>
      </c>
      <c r="W90">
        <v>180.38298</v>
      </c>
      <c r="X90">
        <v>180.29542499999999</v>
      </c>
      <c r="Y90">
        <v>180.16119399999999</v>
      </c>
      <c r="Z90">
        <v>179.988022</v>
      </c>
      <c r="AA90">
        <v>179.81350699999999</v>
      </c>
      <c r="AB90">
        <v>179.55651900000001</v>
      </c>
      <c r="AC90">
        <v>179.24385100000001</v>
      </c>
      <c r="AD90">
        <v>178.94970699999999</v>
      </c>
      <c r="AE90">
        <v>178.72766100000001</v>
      </c>
      <c r="AF90">
        <v>178.49087499999999</v>
      </c>
      <c r="AG90">
        <v>178.228363</v>
      </c>
      <c r="AH90">
        <v>178.15554800000001</v>
      </c>
      <c r="AI90" s="12">
        <v>-5.0000000000000001E-3</v>
      </c>
    </row>
    <row r="91" spans="1:35">
      <c r="A91" t="s">
        <v>115</v>
      </c>
      <c r="B91" t="s">
        <v>590</v>
      </c>
      <c r="C91" t="s">
        <v>591</v>
      </c>
      <c r="D91" t="s">
        <v>118</v>
      </c>
      <c r="F91">
        <v>163.608734</v>
      </c>
      <c r="G91">
        <v>160.38700900000001</v>
      </c>
      <c r="H91">
        <v>157.42775</v>
      </c>
      <c r="I91">
        <v>155.51083399999999</v>
      </c>
      <c r="J91">
        <v>154.51499899999999</v>
      </c>
      <c r="K91">
        <v>153.52697800000001</v>
      </c>
      <c r="L91">
        <v>152.34193400000001</v>
      </c>
      <c r="M91">
        <v>150.872345</v>
      </c>
      <c r="N91">
        <v>149.17961099999999</v>
      </c>
      <c r="O91">
        <v>147.55435199999999</v>
      </c>
      <c r="P91">
        <v>146.34231600000001</v>
      </c>
      <c r="Q91">
        <v>145.41207900000001</v>
      </c>
      <c r="R91">
        <v>144.50224299999999</v>
      </c>
      <c r="S91">
        <v>143.63537600000001</v>
      </c>
      <c r="T91">
        <v>142.95182800000001</v>
      </c>
      <c r="U91">
        <v>142.42834500000001</v>
      </c>
      <c r="V91">
        <v>141.89295999999999</v>
      </c>
      <c r="W91">
        <v>141.35481300000001</v>
      </c>
      <c r="X91">
        <v>141.03187600000001</v>
      </c>
      <c r="Y91">
        <v>140.67157</v>
      </c>
      <c r="Z91">
        <v>140.28007500000001</v>
      </c>
      <c r="AA91">
        <v>139.886841</v>
      </c>
      <c r="AB91">
        <v>139.42889400000001</v>
      </c>
      <c r="AC91">
        <v>138.927322</v>
      </c>
      <c r="AD91">
        <v>138.439819</v>
      </c>
      <c r="AE91">
        <v>138.00765999999999</v>
      </c>
      <c r="AF91">
        <v>137.56359900000001</v>
      </c>
      <c r="AG91">
        <v>137.09927400000001</v>
      </c>
      <c r="AH91">
        <v>136.780182</v>
      </c>
      <c r="AI91" s="12">
        <v>-6.0000000000000001E-3</v>
      </c>
    </row>
    <row r="92" spans="1:35">
      <c r="A92" t="s">
        <v>91</v>
      </c>
      <c r="B92" t="s">
        <v>592</v>
      </c>
      <c r="C92" t="s">
        <v>593</v>
      </c>
      <c r="D92" t="s">
        <v>118</v>
      </c>
      <c r="F92">
        <v>39.227898000000003</v>
      </c>
      <c r="G92">
        <v>38.775948</v>
      </c>
      <c r="H92">
        <v>38.377730999999997</v>
      </c>
      <c r="I92">
        <v>38.226379000000001</v>
      </c>
      <c r="J92">
        <v>38.298149000000002</v>
      </c>
      <c r="K92">
        <v>38.370418999999998</v>
      </c>
      <c r="L92">
        <v>38.391570999999999</v>
      </c>
      <c r="M92">
        <v>38.338120000000004</v>
      </c>
      <c r="N92">
        <v>38.223914999999998</v>
      </c>
      <c r="O92">
        <v>38.122588999999998</v>
      </c>
      <c r="P92">
        <v>38.124577000000002</v>
      </c>
      <c r="Q92">
        <v>38.197955999999998</v>
      </c>
      <c r="R92">
        <v>38.275326</v>
      </c>
      <c r="S92">
        <v>38.362803999999997</v>
      </c>
      <c r="T92">
        <v>38.498458999999997</v>
      </c>
      <c r="U92">
        <v>38.677174000000001</v>
      </c>
      <c r="V92">
        <v>38.852927999999999</v>
      </c>
      <c r="W92">
        <v>39.028163999999997</v>
      </c>
      <c r="X92">
        <v>39.263545999999998</v>
      </c>
      <c r="Y92">
        <v>39.489632</v>
      </c>
      <c r="Z92">
        <v>39.707951000000001</v>
      </c>
      <c r="AA92">
        <v>39.926662</v>
      </c>
      <c r="AB92">
        <v>40.127631999999998</v>
      </c>
      <c r="AC92">
        <v>40.316527999999998</v>
      </c>
      <c r="AD92">
        <v>40.509892000000001</v>
      </c>
      <c r="AE92">
        <v>40.720008999999997</v>
      </c>
      <c r="AF92">
        <v>40.927284</v>
      </c>
      <c r="AG92">
        <v>41.129097000000002</v>
      </c>
      <c r="AH92">
        <v>41.375362000000003</v>
      </c>
      <c r="AI92" s="12">
        <v>2E-3</v>
      </c>
    </row>
    <row r="93" spans="1:35">
      <c r="A93" t="s">
        <v>4</v>
      </c>
      <c r="B93" t="s">
        <v>594</v>
      </c>
      <c r="C93" t="s">
        <v>595</v>
      </c>
      <c r="D93" t="s">
        <v>118</v>
      </c>
      <c r="F93">
        <v>125.945221</v>
      </c>
      <c r="G93">
        <v>125.92506400000001</v>
      </c>
      <c r="H93">
        <v>126.01237500000001</v>
      </c>
      <c r="I93">
        <v>126.049858</v>
      </c>
      <c r="J93">
        <v>126.11367</v>
      </c>
      <c r="K93">
        <v>125.98440600000001</v>
      </c>
      <c r="L93">
        <v>125.852997</v>
      </c>
      <c r="M93">
        <v>125.755234</v>
      </c>
      <c r="N93">
        <v>125.652069</v>
      </c>
      <c r="O93">
        <v>125.54579200000001</v>
      </c>
      <c r="P93">
        <v>125.439178</v>
      </c>
      <c r="Q93">
        <v>125.330147</v>
      </c>
      <c r="R93">
        <v>125.250381</v>
      </c>
      <c r="S93">
        <v>125.225021</v>
      </c>
      <c r="T93">
        <v>125.255257</v>
      </c>
      <c r="U93">
        <v>125.318207</v>
      </c>
      <c r="V93">
        <v>125.411896</v>
      </c>
      <c r="W93">
        <v>125.52668799999999</v>
      </c>
      <c r="X93">
        <v>125.666534</v>
      </c>
      <c r="Y93">
        <v>125.797371</v>
      </c>
      <c r="Z93">
        <v>125.925034</v>
      </c>
      <c r="AA93">
        <v>126.04557</v>
      </c>
      <c r="AB93">
        <v>126.16628300000001</v>
      </c>
      <c r="AC93">
        <v>126.32028200000001</v>
      </c>
      <c r="AD93">
        <v>126.49239300000001</v>
      </c>
      <c r="AE93">
        <v>126.66081200000001</v>
      </c>
      <c r="AF93">
        <v>126.811455</v>
      </c>
      <c r="AG93">
        <v>126.974289</v>
      </c>
      <c r="AH93">
        <v>127.158676</v>
      </c>
      <c r="AI93" s="12">
        <v>0</v>
      </c>
    </row>
    <row r="94" spans="1:35">
      <c r="A94" t="s">
        <v>3</v>
      </c>
      <c r="B94" t="s">
        <v>596</v>
      </c>
      <c r="C94" t="s">
        <v>597</v>
      </c>
      <c r="D94" t="s">
        <v>118</v>
      </c>
      <c r="F94">
        <v>905.73223900000005</v>
      </c>
      <c r="G94">
        <v>820.54260299999999</v>
      </c>
      <c r="H94">
        <v>760.982483</v>
      </c>
      <c r="I94">
        <v>726.75244099999998</v>
      </c>
      <c r="J94">
        <v>695.850098</v>
      </c>
      <c r="K94">
        <v>653.98541299999999</v>
      </c>
      <c r="L94">
        <v>613.92791699999998</v>
      </c>
      <c r="M94">
        <v>612.03295900000001</v>
      </c>
      <c r="N94">
        <v>610.31640600000003</v>
      </c>
      <c r="O94">
        <v>611.89654499999995</v>
      </c>
      <c r="P94">
        <v>617.76355000000001</v>
      </c>
      <c r="Q94">
        <v>626.28515600000003</v>
      </c>
      <c r="R94">
        <v>630.76672399999995</v>
      </c>
      <c r="S94">
        <v>633.47729500000003</v>
      </c>
      <c r="T94">
        <v>634.00311299999998</v>
      </c>
      <c r="U94">
        <v>632.96820100000002</v>
      </c>
      <c r="V94">
        <v>637.83142099999998</v>
      </c>
      <c r="W94">
        <v>636.66796899999997</v>
      </c>
      <c r="X94">
        <v>645.807007</v>
      </c>
      <c r="Y94">
        <v>652.42675799999995</v>
      </c>
      <c r="Z94">
        <v>658.166382</v>
      </c>
      <c r="AA94">
        <v>660.99408000000005</v>
      </c>
      <c r="AB94">
        <v>665.09454300000004</v>
      </c>
      <c r="AC94">
        <v>669.20263699999998</v>
      </c>
      <c r="AD94">
        <v>674.53369099999998</v>
      </c>
      <c r="AE94">
        <v>682.13464399999998</v>
      </c>
      <c r="AF94">
        <v>689.49054000000001</v>
      </c>
      <c r="AG94">
        <v>691.88214100000005</v>
      </c>
      <c r="AH94">
        <v>696.77728300000001</v>
      </c>
      <c r="AI94" s="12">
        <v>-8.9999999999999993E-3</v>
      </c>
    </row>
    <row r="95" spans="1:35">
      <c r="A95" t="s">
        <v>598</v>
      </c>
      <c r="B95" t="s">
        <v>599</v>
      </c>
      <c r="C95" t="s">
        <v>600</v>
      </c>
      <c r="D95" t="s">
        <v>118</v>
      </c>
      <c r="F95">
        <v>332.52310199999999</v>
      </c>
      <c r="G95">
        <v>377.97052000000002</v>
      </c>
      <c r="H95">
        <v>384.00460800000002</v>
      </c>
      <c r="I95">
        <v>408.78292800000003</v>
      </c>
      <c r="J95">
        <v>446.260651</v>
      </c>
      <c r="K95">
        <v>477.17263800000001</v>
      </c>
      <c r="L95">
        <v>503.61007699999999</v>
      </c>
      <c r="M95">
        <v>527.57086200000003</v>
      </c>
      <c r="N95">
        <v>577.96905500000003</v>
      </c>
      <c r="O95">
        <v>628.36724900000002</v>
      </c>
      <c r="P95">
        <v>680.00372300000004</v>
      </c>
      <c r="Q95">
        <v>729.163635</v>
      </c>
      <c r="R95">
        <v>771.16210899999999</v>
      </c>
      <c r="S95">
        <v>796.36120600000004</v>
      </c>
      <c r="T95">
        <v>814.39892599999996</v>
      </c>
      <c r="U95">
        <v>829.96002199999998</v>
      </c>
      <c r="V95">
        <v>838.35974099999999</v>
      </c>
      <c r="W95">
        <v>838.35974099999999</v>
      </c>
      <c r="X95">
        <v>839.59802200000001</v>
      </c>
      <c r="Y95">
        <v>838.35974099999999</v>
      </c>
      <c r="Z95">
        <v>838.35974099999999</v>
      </c>
      <c r="AA95">
        <v>838.35974099999999</v>
      </c>
      <c r="AB95">
        <v>839.59802200000001</v>
      </c>
      <c r="AC95">
        <v>838.35974099999999</v>
      </c>
      <c r="AD95">
        <v>838.35974099999999</v>
      </c>
      <c r="AE95">
        <v>838.35974099999999</v>
      </c>
      <c r="AF95">
        <v>839.59802200000001</v>
      </c>
      <c r="AG95">
        <v>838.35974099999999</v>
      </c>
      <c r="AH95">
        <v>838.35974099999999</v>
      </c>
      <c r="AI95" s="12">
        <v>3.4000000000000002E-2</v>
      </c>
    </row>
    <row r="96" spans="1:35">
      <c r="A96" t="s">
        <v>2</v>
      </c>
      <c r="B96" t="s">
        <v>601</v>
      </c>
      <c r="C96" t="s">
        <v>602</v>
      </c>
      <c r="D96" t="s">
        <v>118</v>
      </c>
      <c r="F96">
        <v>27986.478515999999</v>
      </c>
      <c r="G96">
        <v>28032.220702999999</v>
      </c>
      <c r="H96">
        <v>27776.765625</v>
      </c>
      <c r="I96">
        <v>27465.828125</v>
      </c>
      <c r="J96">
        <v>27255.169922000001</v>
      </c>
      <c r="K96">
        <v>27052.175781000002</v>
      </c>
      <c r="L96">
        <v>26819.683593999998</v>
      </c>
      <c r="M96">
        <v>26592.78125</v>
      </c>
      <c r="N96">
        <v>26361.335938</v>
      </c>
      <c r="O96">
        <v>26163.675781000002</v>
      </c>
      <c r="P96">
        <v>26008.943359000001</v>
      </c>
      <c r="Q96">
        <v>25899.167968999998</v>
      </c>
      <c r="R96">
        <v>25803.771484000001</v>
      </c>
      <c r="S96">
        <v>25706.130859000001</v>
      </c>
      <c r="T96">
        <v>25600.619140999999</v>
      </c>
      <c r="U96">
        <v>25535.832031000002</v>
      </c>
      <c r="V96">
        <v>25495.666015999999</v>
      </c>
      <c r="W96">
        <v>25451.617188</v>
      </c>
      <c r="X96">
        <v>25462.876952999999</v>
      </c>
      <c r="Y96">
        <v>25488.181640999999</v>
      </c>
      <c r="Z96">
        <v>25533.677734000001</v>
      </c>
      <c r="AA96">
        <v>25586.275390999999</v>
      </c>
      <c r="AB96">
        <v>25660.166015999999</v>
      </c>
      <c r="AC96">
        <v>25746.871093999998</v>
      </c>
      <c r="AD96">
        <v>25871.171875</v>
      </c>
      <c r="AE96">
        <v>26021.988281000002</v>
      </c>
      <c r="AF96">
        <v>26178.046875</v>
      </c>
      <c r="AG96">
        <v>26334.755859000001</v>
      </c>
      <c r="AH96">
        <v>26541.847656000002</v>
      </c>
      <c r="AI96" s="12">
        <v>-2E-3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803A5-43D9-4141-A6C9-E1F182AFBC75}">
  <dimension ref="A1:AF4402"/>
  <sheetViews>
    <sheetView topLeftCell="B56" workbookViewId="0">
      <selection activeCell="B90" sqref="A90:XFD90"/>
    </sheetView>
  </sheetViews>
  <sheetFormatPr defaultRowHeight="14.75"/>
  <cols>
    <col min="1" max="1" width="21.40625" hidden="1" customWidth="1"/>
    <col min="2" max="2" width="46.7265625" customWidth="1"/>
    <col min="32" max="32" width="8.7265625" style="50"/>
  </cols>
  <sheetData>
    <row r="1" spans="1:32" ht="15" customHeight="1">
      <c r="B1" s="15" t="s">
        <v>164</v>
      </c>
    </row>
    <row r="2" spans="1:32" ht="15" customHeight="1"/>
    <row r="3" spans="1:32" ht="15" customHeight="1">
      <c r="C3" s="23" t="s">
        <v>165</v>
      </c>
      <c r="D3" s="23"/>
      <c r="E3" s="17"/>
      <c r="F3" s="17"/>
      <c r="G3" s="17"/>
    </row>
    <row r="4" spans="1:32" ht="15" customHeight="1">
      <c r="C4" s="23" t="s">
        <v>166</v>
      </c>
      <c r="D4" s="23"/>
      <c r="E4" s="17"/>
      <c r="F4" s="17"/>
      <c r="G4" s="23" t="s">
        <v>167</v>
      </c>
    </row>
    <row r="5" spans="1:32" ht="15" customHeight="1">
      <c r="C5" s="23" t="s">
        <v>168</v>
      </c>
      <c r="D5" s="23"/>
      <c r="E5" s="17"/>
      <c r="F5" s="17"/>
      <c r="G5" s="17"/>
    </row>
    <row r="6" spans="1:32" ht="15" customHeight="1">
      <c r="C6" s="23" t="s">
        <v>169</v>
      </c>
      <c r="D6" s="17"/>
      <c r="E6" s="23"/>
      <c r="F6" s="17"/>
      <c r="G6" s="17"/>
    </row>
    <row r="7" spans="1:32" ht="12" customHeight="1"/>
    <row r="8" spans="1:32" ht="12" customHeight="1"/>
    <row r="9" spans="1:32" ht="12" customHeight="1"/>
    <row r="10" spans="1:32" ht="15" customHeight="1">
      <c r="A10" s="18" t="s">
        <v>264</v>
      </c>
      <c r="B10" s="19" t="s">
        <v>265</v>
      </c>
      <c r="AF10" s="51" t="s">
        <v>172</v>
      </c>
    </row>
    <row r="11" spans="1:32" ht="15" customHeight="1">
      <c r="B11" s="15" t="s">
        <v>266</v>
      </c>
      <c r="AF11" s="51" t="s">
        <v>174</v>
      </c>
    </row>
    <row r="12" spans="1:32" ht="15" customHeight="1">
      <c r="B12" s="15"/>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51" t="s">
        <v>175</v>
      </c>
    </row>
    <row r="13" spans="1:32" ht="15" customHeight="1" thickBot="1">
      <c r="B13" s="16" t="s">
        <v>267</v>
      </c>
      <c r="C13" s="16">
        <v>2022</v>
      </c>
      <c r="D13" s="16">
        <v>2023</v>
      </c>
      <c r="E13" s="16">
        <v>2024</v>
      </c>
      <c r="F13" s="16">
        <v>2025</v>
      </c>
      <c r="G13" s="16">
        <v>2026</v>
      </c>
      <c r="H13" s="16">
        <v>2027</v>
      </c>
      <c r="I13" s="16">
        <v>2028</v>
      </c>
      <c r="J13" s="16">
        <v>2029</v>
      </c>
      <c r="K13" s="16">
        <v>2030</v>
      </c>
      <c r="L13" s="16">
        <v>2031</v>
      </c>
      <c r="M13" s="16">
        <v>2032</v>
      </c>
      <c r="N13" s="16">
        <v>2033</v>
      </c>
      <c r="O13" s="16">
        <v>2034</v>
      </c>
      <c r="P13" s="16">
        <v>2035</v>
      </c>
      <c r="Q13" s="16">
        <v>2036</v>
      </c>
      <c r="R13" s="16">
        <v>2037</v>
      </c>
      <c r="S13" s="16">
        <v>2038</v>
      </c>
      <c r="T13" s="16">
        <v>2039</v>
      </c>
      <c r="U13" s="16">
        <v>2040</v>
      </c>
      <c r="V13" s="16">
        <v>2041</v>
      </c>
      <c r="W13" s="16">
        <v>2042</v>
      </c>
      <c r="X13" s="16">
        <v>2043</v>
      </c>
      <c r="Y13" s="16">
        <v>2044</v>
      </c>
      <c r="Z13" s="16">
        <v>2045</v>
      </c>
      <c r="AA13" s="16">
        <v>2046</v>
      </c>
      <c r="AB13" s="16">
        <v>2047</v>
      </c>
      <c r="AC13" s="16">
        <v>2048</v>
      </c>
      <c r="AD13" s="16">
        <v>2049</v>
      </c>
      <c r="AE13" s="16">
        <v>2050</v>
      </c>
      <c r="AF13" s="52" t="s">
        <v>177</v>
      </c>
    </row>
    <row r="14" spans="1:32" ht="15" customHeight="1" thickTop="1"/>
    <row r="15" spans="1:32" ht="15" customHeight="1">
      <c r="A15" s="18" t="s">
        <v>268</v>
      </c>
      <c r="B15" s="20" t="s">
        <v>13</v>
      </c>
      <c r="C15" s="24">
        <f>'AEO 2023 Table 36 Raw'!F6</f>
        <v>14541.972656</v>
      </c>
      <c r="D15" s="24">
        <f>'AEO 2023 Table 36 Raw'!G6</f>
        <v>14586.113281</v>
      </c>
      <c r="E15" s="24">
        <f>'AEO 2023 Table 36 Raw'!H6</f>
        <v>14429.691406</v>
      </c>
      <c r="F15" s="24">
        <f>'AEO 2023 Table 36 Raw'!I6</f>
        <v>14201.924805000001</v>
      </c>
      <c r="G15" s="24">
        <f>'AEO 2023 Table 36 Raw'!J6</f>
        <v>14016.908203000001</v>
      </c>
      <c r="H15" s="24">
        <f>'AEO 2023 Table 36 Raw'!K6</f>
        <v>13860.761719</v>
      </c>
      <c r="I15" s="24">
        <f>'AEO 2023 Table 36 Raw'!L6</f>
        <v>13679.085938</v>
      </c>
      <c r="J15" s="24">
        <f>'AEO 2023 Table 36 Raw'!M6</f>
        <v>13473.831055000001</v>
      </c>
      <c r="K15" s="24">
        <f>'AEO 2023 Table 36 Raw'!N6</f>
        <v>13253.083008</v>
      </c>
      <c r="L15" s="24">
        <f>'AEO 2023 Table 36 Raw'!O6</f>
        <v>13044.084961</v>
      </c>
      <c r="M15" s="24">
        <f>'AEO 2023 Table 36 Raw'!P6</f>
        <v>12836.977539</v>
      </c>
      <c r="N15" s="24">
        <f>'AEO 2023 Table 36 Raw'!Q6</f>
        <v>12674.038086</v>
      </c>
      <c r="O15" s="24">
        <f>'AEO 2023 Table 36 Raw'!R6</f>
        <v>12534.655273</v>
      </c>
      <c r="P15" s="24">
        <f>'AEO 2023 Table 36 Raw'!S6</f>
        <v>12394.663086</v>
      </c>
      <c r="Q15" s="24">
        <f>'AEO 2023 Table 36 Raw'!T6</f>
        <v>12251.546875</v>
      </c>
      <c r="R15" s="24">
        <f>'AEO 2023 Table 36 Raw'!U6</f>
        <v>12130.821289</v>
      </c>
      <c r="S15" s="24">
        <f>'AEO 2023 Table 36 Raw'!V6</f>
        <v>12028.415039</v>
      </c>
      <c r="T15" s="24">
        <f>'AEO 2023 Table 36 Raw'!W6</f>
        <v>11933.921875</v>
      </c>
      <c r="U15" s="24">
        <f>'AEO 2023 Table 36 Raw'!X6</f>
        <v>11864.000977</v>
      </c>
      <c r="V15" s="24">
        <f>'AEO 2023 Table 36 Raw'!Y6</f>
        <v>11805.395508</v>
      </c>
      <c r="W15" s="24">
        <f>'AEO 2023 Table 36 Raw'!Z6</f>
        <v>11762.741211</v>
      </c>
      <c r="X15" s="24">
        <f>'AEO 2023 Table 36 Raw'!AA6</f>
        <v>11733.643555000001</v>
      </c>
      <c r="Y15" s="24">
        <f>'AEO 2023 Table 36 Raw'!AB6</f>
        <v>11725.385742</v>
      </c>
      <c r="Z15" s="24">
        <f>'AEO 2023 Table 36 Raw'!AC6</f>
        <v>11735.774414</v>
      </c>
      <c r="AA15" s="24">
        <f>'AEO 2023 Table 36 Raw'!AD6</f>
        <v>11770.762694999999</v>
      </c>
      <c r="AB15" s="24">
        <f>'AEO 2023 Table 36 Raw'!AE6</f>
        <v>11824.348633</v>
      </c>
      <c r="AC15" s="24">
        <f>'AEO 2023 Table 36 Raw'!AF6</f>
        <v>11889.714844</v>
      </c>
      <c r="AD15" s="24">
        <f>'AEO 2023 Table 36 Raw'!AG6</f>
        <v>11962.909180000001</v>
      </c>
      <c r="AE15" s="24">
        <f>'AEO 2023 Table 36 Raw'!AH6</f>
        <v>12054.454102</v>
      </c>
      <c r="AF15" s="29">
        <f>'AEO 2023 Table 36 Raw'!AI6</f>
        <v>-7.0000000000000001E-3</v>
      </c>
    </row>
    <row r="16" spans="1:32" ht="15" customHeight="1">
      <c r="A16" s="18" t="s">
        <v>269</v>
      </c>
      <c r="B16" s="21" t="s">
        <v>270</v>
      </c>
      <c r="C16" s="24">
        <f>'AEO 2023 Table 36 Raw'!F7</f>
        <v>14415.272461</v>
      </c>
      <c r="D16" s="24">
        <f>'AEO 2023 Table 36 Raw'!G7</f>
        <v>14443.935546999999</v>
      </c>
      <c r="E16" s="24">
        <f>'AEO 2023 Table 36 Raw'!H7</f>
        <v>14272.423828000001</v>
      </c>
      <c r="F16" s="24">
        <f>'AEO 2023 Table 36 Raw'!I7</f>
        <v>14024.321289</v>
      </c>
      <c r="G16" s="24">
        <f>'AEO 2023 Table 36 Raw'!J7</f>
        <v>13815.495117</v>
      </c>
      <c r="H16" s="24">
        <f>'AEO 2023 Table 36 Raw'!K7</f>
        <v>13632.25</v>
      </c>
      <c r="I16" s="24">
        <f>'AEO 2023 Table 36 Raw'!L7</f>
        <v>13419.692383</v>
      </c>
      <c r="J16" s="24">
        <f>'AEO 2023 Table 36 Raw'!M7</f>
        <v>13179.959961</v>
      </c>
      <c r="K16" s="24">
        <f>'AEO 2023 Table 36 Raw'!N7</f>
        <v>12922.150390999999</v>
      </c>
      <c r="L16" s="24">
        <f>'AEO 2023 Table 36 Raw'!O7</f>
        <v>12678.574219</v>
      </c>
      <c r="M16" s="24">
        <f>'AEO 2023 Table 36 Raw'!P7</f>
        <v>12437.037109000001</v>
      </c>
      <c r="N16" s="24">
        <f>'AEO 2023 Table 36 Raw'!Q7</f>
        <v>12238.958984000001</v>
      </c>
      <c r="O16" s="24">
        <f>'AEO 2023 Table 36 Raw'!R7</f>
        <v>12063.409180000001</v>
      </c>
      <c r="P16" s="24">
        <f>'AEO 2023 Table 36 Raw'!S7</f>
        <v>11887.983398</v>
      </c>
      <c r="Q16" s="24">
        <f>'AEO 2023 Table 36 Raw'!T7</f>
        <v>11710.702148</v>
      </c>
      <c r="R16" s="24">
        <f>'AEO 2023 Table 36 Raw'!U7</f>
        <v>11556.080078000001</v>
      </c>
      <c r="S16" s="24">
        <f>'AEO 2023 Table 36 Raw'!V7</f>
        <v>11421.212890999999</v>
      </c>
      <c r="T16" s="24">
        <f>'AEO 2023 Table 36 Raw'!W7</f>
        <v>11295.928711</v>
      </c>
      <c r="U16" s="24">
        <f>'AEO 2023 Table 36 Raw'!X7</f>
        <v>11196.765625</v>
      </c>
      <c r="V16" s="24">
        <f>'AEO 2023 Table 36 Raw'!Y7</f>
        <v>11110.766602</v>
      </c>
      <c r="W16" s="24">
        <f>'AEO 2023 Table 36 Raw'!Z7</f>
        <v>11042.224609000001</v>
      </c>
      <c r="X16" s="24">
        <f>'AEO 2023 Table 36 Raw'!AA7</f>
        <v>10988.434569999999</v>
      </c>
      <c r="Y16" s="24">
        <f>'AEO 2023 Table 36 Raw'!AB7</f>
        <v>10958.347656</v>
      </c>
      <c r="Z16" s="24">
        <f>'AEO 2023 Table 36 Raw'!AC7</f>
        <v>10949.109375</v>
      </c>
      <c r="AA16" s="24">
        <f>'AEO 2023 Table 36 Raw'!AD7</f>
        <v>10963.973633</v>
      </c>
      <c r="AB16" s="24">
        <f>'AEO 2023 Table 36 Raw'!AE7</f>
        <v>10998.306640999999</v>
      </c>
      <c r="AC16" s="24">
        <f>'AEO 2023 Table 36 Raw'!AF7</f>
        <v>11045.133789</v>
      </c>
      <c r="AD16" s="24">
        <f>'AEO 2023 Table 36 Raw'!AG7</f>
        <v>11100.259765999999</v>
      </c>
      <c r="AE16" s="24">
        <f>'AEO 2023 Table 36 Raw'!AH7</f>
        <v>11174.059569999999</v>
      </c>
      <c r="AF16" s="29">
        <f>'AEO 2023 Table 36 Raw'!AI7</f>
        <v>-8.9999999999999993E-3</v>
      </c>
    </row>
    <row r="17" spans="1:32" ht="15" customHeight="1">
      <c r="A17" s="18" t="s">
        <v>271</v>
      </c>
      <c r="B17" s="21" t="s">
        <v>272</v>
      </c>
      <c r="C17" s="24">
        <f>'AEO 2023 Table 36 Raw'!F8</f>
        <v>31.110834000000001</v>
      </c>
      <c r="D17" s="24">
        <f>'AEO 2023 Table 36 Raw'!G8</f>
        <v>31.640059999999998</v>
      </c>
      <c r="E17" s="24">
        <f>'AEO 2023 Table 36 Raw'!H8</f>
        <v>29.552766999999999</v>
      </c>
      <c r="F17" s="24">
        <f>'AEO 2023 Table 36 Raw'!I8</f>
        <v>29.441513</v>
      </c>
      <c r="G17" s="24">
        <f>'AEO 2023 Table 36 Raw'!J8</f>
        <v>28.728484999999999</v>
      </c>
      <c r="H17" s="24">
        <f>'AEO 2023 Table 36 Raw'!K8</f>
        <v>27.952176999999999</v>
      </c>
      <c r="I17" s="24">
        <f>'AEO 2023 Table 36 Raw'!L8</f>
        <v>27.018059000000001</v>
      </c>
      <c r="J17" s="24">
        <f>'AEO 2023 Table 36 Raw'!M8</f>
        <v>25.972712999999999</v>
      </c>
      <c r="K17" s="24">
        <f>'AEO 2023 Table 36 Raw'!N8</f>
        <v>24.873795000000001</v>
      </c>
      <c r="L17" s="24">
        <f>'AEO 2023 Table 36 Raw'!O8</f>
        <v>23.800640000000001</v>
      </c>
      <c r="M17" s="24">
        <f>'AEO 2023 Table 36 Raw'!P8</f>
        <v>22.75461</v>
      </c>
      <c r="N17" s="24">
        <f>'AEO 2023 Table 36 Raw'!Q8</f>
        <v>21.823027</v>
      </c>
      <c r="O17" s="24">
        <f>'AEO 2023 Table 36 Raw'!R8</f>
        <v>20.987984000000001</v>
      </c>
      <c r="P17" s="24">
        <f>'AEO 2023 Table 36 Raw'!S8</f>
        <v>20.244168999999999</v>
      </c>
      <c r="Q17" s="24">
        <f>'AEO 2023 Table 36 Raw'!T8</f>
        <v>19.537762000000001</v>
      </c>
      <c r="R17" s="24">
        <f>'AEO 2023 Table 36 Raw'!U8</f>
        <v>19.024712000000001</v>
      </c>
      <c r="S17" s="24">
        <f>'AEO 2023 Table 36 Raw'!V8</f>
        <v>18.648620999999999</v>
      </c>
      <c r="T17" s="24">
        <f>'AEO 2023 Table 36 Raw'!W8</f>
        <v>18.398510000000002</v>
      </c>
      <c r="U17" s="24">
        <f>'AEO 2023 Table 36 Raw'!X8</f>
        <v>18.275644</v>
      </c>
      <c r="V17" s="24">
        <f>'AEO 2023 Table 36 Raw'!Y8</f>
        <v>18.222812999999999</v>
      </c>
      <c r="W17" s="24">
        <f>'AEO 2023 Table 36 Raw'!Z8</f>
        <v>18.236134</v>
      </c>
      <c r="X17" s="24">
        <f>'AEO 2023 Table 36 Raw'!AA8</f>
        <v>18.340064999999999</v>
      </c>
      <c r="Y17" s="24">
        <f>'AEO 2023 Table 36 Raw'!AB8</f>
        <v>18.452594999999999</v>
      </c>
      <c r="Z17" s="24">
        <f>'AEO 2023 Table 36 Raw'!AC8</f>
        <v>18.609615000000002</v>
      </c>
      <c r="AA17" s="24">
        <f>'AEO 2023 Table 36 Raw'!AD8</f>
        <v>18.756809000000001</v>
      </c>
      <c r="AB17" s="24">
        <f>'AEO 2023 Table 36 Raw'!AE8</f>
        <v>19.004078</v>
      </c>
      <c r="AC17" s="24">
        <f>'AEO 2023 Table 36 Raw'!AF8</f>
        <v>19.229309000000001</v>
      </c>
      <c r="AD17" s="24">
        <f>'AEO 2023 Table 36 Raw'!AG8</f>
        <v>19.515996999999999</v>
      </c>
      <c r="AE17" s="24">
        <f>'AEO 2023 Table 36 Raw'!AH8</f>
        <v>19.788425</v>
      </c>
      <c r="AF17" s="29">
        <f>'AEO 2023 Table 36 Raw'!AI8</f>
        <v>-1.6E-2</v>
      </c>
    </row>
    <row r="18" spans="1:32" ht="15" customHeight="1">
      <c r="A18" s="18" t="s">
        <v>273</v>
      </c>
      <c r="B18" s="21" t="s">
        <v>274</v>
      </c>
      <c r="C18" s="24">
        <f>'AEO 2023 Table 36 Raw'!F9</f>
        <v>61.460402999999999</v>
      </c>
      <c r="D18" s="24">
        <f>'AEO 2023 Table 36 Raw'!G9</f>
        <v>64.699020000000004</v>
      </c>
      <c r="E18" s="24">
        <f>'AEO 2023 Table 36 Raw'!H9</f>
        <v>67.503647000000001</v>
      </c>
      <c r="F18" s="24">
        <f>'AEO 2023 Table 36 Raw'!I9</f>
        <v>70.684073999999995</v>
      </c>
      <c r="G18" s="24">
        <f>'AEO 2023 Table 36 Raw'!J9</f>
        <v>74.503555000000006</v>
      </c>
      <c r="H18" s="24">
        <f>'AEO 2023 Table 36 Raw'!K9</f>
        <v>77.632530000000003</v>
      </c>
      <c r="I18" s="24">
        <f>'AEO 2023 Table 36 Raw'!L9</f>
        <v>81.324982000000006</v>
      </c>
      <c r="J18" s="24">
        <f>'AEO 2023 Table 36 Raw'!M9</f>
        <v>84.520767000000006</v>
      </c>
      <c r="K18" s="24">
        <f>'AEO 2023 Table 36 Raw'!N9</f>
        <v>86.959732000000002</v>
      </c>
      <c r="L18" s="24">
        <f>'AEO 2023 Table 36 Raw'!O9</f>
        <v>89.758049</v>
      </c>
      <c r="M18" s="24">
        <f>'AEO 2023 Table 36 Raw'!P9</f>
        <v>91.490157999999994</v>
      </c>
      <c r="N18" s="24">
        <f>'AEO 2023 Table 36 Raw'!Q9</f>
        <v>93.247542999999993</v>
      </c>
      <c r="O18" s="24">
        <f>'AEO 2023 Table 36 Raw'!R9</f>
        <v>95.158996999999999</v>
      </c>
      <c r="P18" s="24">
        <f>'AEO 2023 Table 36 Raw'!S9</f>
        <v>96.641707999999994</v>
      </c>
      <c r="Q18" s="24">
        <f>'AEO 2023 Table 36 Raw'!T9</f>
        <v>98.053237999999993</v>
      </c>
      <c r="R18" s="24">
        <f>'AEO 2023 Table 36 Raw'!U9</f>
        <v>99.864699999999999</v>
      </c>
      <c r="S18" s="24">
        <f>'AEO 2023 Table 36 Raw'!V9</f>
        <v>101.36190000000001</v>
      </c>
      <c r="T18" s="24">
        <f>'AEO 2023 Table 36 Raw'!W9</f>
        <v>102.785622</v>
      </c>
      <c r="U18" s="24">
        <f>'AEO 2023 Table 36 Raw'!X9</f>
        <v>104.47521999999999</v>
      </c>
      <c r="V18" s="24">
        <f>'AEO 2023 Table 36 Raw'!Y9</f>
        <v>105.749611</v>
      </c>
      <c r="W18" s="24">
        <f>'AEO 2023 Table 36 Raw'!Z9</f>
        <v>107.324608</v>
      </c>
      <c r="X18" s="24">
        <f>'AEO 2023 Table 36 Raw'!AA9</f>
        <v>109.779274</v>
      </c>
      <c r="Y18" s="24">
        <f>'AEO 2023 Table 36 Raw'!AB9</f>
        <v>110.920013</v>
      </c>
      <c r="Z18" s="24">
        <f>'AEO 2023 Table 36 Raw'!AC9</f>
        <v>111.97983600000001</v>
      </c>
      <c r="AA18" s="24">
        <f>'AEO 2023 Table 36 Raw'!AD9</f>
        <v>113.441277</v>
      </c>
      <c r="AB18" s="24">
        <f>'AEO 2023 Table 36 Raw'!AE9</f>
        <v>115.037064</v>
      </c>
      <c r="AC18" s="24">
        <f>'AEO 2023 Table 36 Raw'!AF9</f>
        <v>116.75106</v>
      </c>
      <c r="AD18" s="24">
        <f>'AEO 2023 Table 36 Raw'!AG9</f>
        <v>118.593468</v>
      </c>
      <c r="AE18" s="24">
        <f>'AEO 2023 Table 36 Raw'!AH9</f>
        <v>120.69574</v>
      </c>
      <c r="AF18" s="29">
        <f>'AEO 2023 Table 36 Raw'!AI9</f>
        <v>2.4E-2</v>
      </c>
    </row>
    <row r="19" spans="1:32" ht="15" customHeight="1">
      <c r="A19" s="18" t="s">
        <v>275</v>
      </c>
      <c r="B19" s="21" t="s">
        <v>276</v>
      </c>
      <c r="C19" s="24">
        <f>'AEO 2023 Table 36 Raw'!F10</f>
        <v>0.71288799999999997</v>
      </c>
      <c r="D19" s="24">
        <f>'AEO 2023 Table 36 Raw'!G10</f>
        <v>0.67766800000000005</v>
      </c>
      <c r="E19" s="24">
        <f>'AEO 2023 Table 36 Raw'!H10</f>
        <v>0.53775200000000001</v>
      </c>
      <c r="F19" s="24">
        <f>'AEO 2023 Table 36 Raw'!I10</f>
        <v>0.51500500000000005</v>
      </c>
      <c r="G19" s="24">
        <f>'AEO 2023 Table 36 Raw'!J10</f>
        <v>0.507019</v>
      </c>
      <c r="H19" s="24">
        <f>'AEO 2023 Table 36 Raw'!K10</f>
        <v>0.49244300000000002</v>
      </c>
      <c r="I19" s="24">
        <f>'AEO 2023 Table 36 Raw'!L10</f>
        <v>0.48183900000000002</v>
      </c>
      <c r="J19" s="24">
        <f>'AEO 2023 Table 36 Raw'!M10</f>
        <v>0.470472</v>
      </c>
      <c r="K19" s="24">
        <f>'AEO 2023 Table 36 Raw'!N10</f>
        <v>0.44594200000000001</v>
      </c>
      <c r="L19" s="24">
        <f>'AEO 2023 Table 36 Raw'!O10</f>
        <v>0.44344499999999998</v>
      </c>
      <c r="M19" s="24">
        <f>'AEO 2023 Table 36 Raw'!P10</f>
        <v>0.43788300000000002</v>
      </c>
      <c r="N19" s="24">
        <f>'AEO 2023 Table 36 Raw'!Q10</f>
        <v>0.43343399999999999</v>
      </c>
      <c r="O19" s="24">
        <f>'AEO 2023 Table 36 Raw'!R10</f>
        <v>0.43173299999999998</v>
      </c>
      <c r="P19" s="24">
        <f>'AEO 2023 Table 36 Raw'!S10</f>
        <v>0.43049900000000002</v>
      </c>
      <c r="Q19" s="24">
        <f>'AEO 2023 Table 36 Raw'!T10</f>
        <v>0.42709599999999998</v>
      </c>
      <c r="R19" s="24">
        <f>'AEO 2023 Table 36 Raw'!U10</f>
        <v>0.42463099999999998</v>
      </c>
      <c r="S19" s="24">
        <f>'AEO 2023 Table 36 Raw'!V10</f>
        <v>0.42622700000000002</v>
      </c>
      <c r="T19" s="24">
        <f>'AEO 2023 Table 36 Raw'!W10</f>
        <v>0.37802400000000003</v>
      </c>
      <c r="U19" s="24">
        <f>'AEO 2023 Table 36 Raw'!X10</f>
        <v>0.33532600000000001</v>
      </c>
      <c r="V19" s="24">
        <f>'AEO 2023 Table 36 Raw'!Y10</f>
        <v>0.34005299999999999</v>
      </c>
      <c r="W19" s="24">
        <f>'AEO 2023 Table 36 Raw'!Z10</f>
        <v>0.343781</v>
      </c>
      <c r="X19" s="24">
        <f>'AEO 2023 Table 36 Raw'!AA10</f>
        <v>0.34665600000000002</v>
      </c>
      <c r="Y19" s="24">
        <f>'AEO 2023 Table 36 Raw'!AB10</f>
        <v>0.34931299999999998</v>
      </c>
      <c r="Z19" s="24">
        <f>'AEO 2023 Table 36 Raw'!AC10</f>
        <v>0.35186400000000001</v>
      </c>
      <c r="AA19" s="24">
        <f>'AEO 2023 Table 36 Raw'!AD10</f>
        <v>0.35644799999999999</v>
      </c>
      <c r="AB19" s="24">
        <f>'AEO 2023 Table 36 Raw'!AE10</f>
        <v>0.36170999999999998</v>
      </c>
      <c r="AC19" s="24">
        <f>'AEO 2023 Table 36 Raw'!AF10</f>
        <v>0.367786</v>
      </c>
      <c r="AD19" s="24">
        <f>'AEO 2023 Table 36 Raw'!AG10</f>
        <v>0.37404300000000001</v>
      </c>
      <c r="AE19" s="24">
        <f>'AEO 2023 Table 36 Raw'!AH10</f>
        <v>0.38108199999999998</v>
      </c>
      <c r="AF19" s="29">
        <f>'AEO 2023 Table 36 Raw'!AI10</f>
        <v>-2.1999999999999999E-2</v>
      </c>
    </row>
    <row r="20" spans="1:32" ht="15" customHeight="1">
      <c r="A20" s="18" t="s">
        <v>277</v>
      </c>
      <c r="B20" s="21" t="s">
        <v>278</v>
      </c>
      <c r="C20" s="24">
        <f>'AEO 2023 Table 36 Raw'!F11</f>
        <v>0.79738799999999999</v>
      </c>
      <c r="D20" s="24">
        <f>'AEO 2023 Table 36 Raw'!G11</f>
        <v>0.735487</v>
      </c>
      <c r="E20" s="24">
        <f>'AEO 2023 Table 36 Raw'!H11</f>
        <v>0.54745600000000005</v>
      </c>
      <c r="F20" s="24">
        <f>'AEO 2023 Table 36 Raw'!I11</f>
        <v>0.54066800000000004</v>
      </c>
      <c r="G20" s="24">
        <f>'AEO 2023 Table 36 Raw'!J11</f>
        <v>0.54419300000000004</v>
      </c>
      <c r="H20" s="24">
        <f>'AEO 2023 Table 36 Raw'!K11</f>
        <v>0.56128199999999995</v>
      </c>
      <c r="I20" s="24">
        <f>'AEO 2023 Table 36 Raw'!L11</f>
        <v>0.31209199999999998</v>
      </c>
      <c r="J20" s="24">
        <f>'AEO 2023 Table 36 Raw'!M11</f>
        <v>0.33013999999999999</v>
      </c>
      <c r="K20" s="24">
        <f>'AEO 2023 Table 36 Raw'!N11</f>
        <v>0.384077</v>
      </c>
      <c r="L20" s="24">
        <f>'AEO 2023 Table 36 Raw'!O11</f>
        <v>0.43762600000000001</v>
      </c>
      <c r="M20" s="24">
        <f>'AEO 2023 Table 36 Raw'!P11</f>
        <v>0.48971900000000002</v>
      </c>
      <c r="N20" s="24">
        <f>'AEO 2023 Table 36 Raw'!Q11</f>
        <v>0.54025400000000001</v>
      </c>
      <c r="O20" s="24">
        <f>'AEO 2023 Table 36 Raw'!R11</f>
        <v>0.59017699999999995</v>
      </c>
      <c r="P20" s="24">
        <f>'AEO 2023 Table 36 Raw'!S11</f>
        <v>0.63807599999999998</v>
      </c>
      <c r="Q20" s="24">
        <f>'AEO 2023 Table 36 Raw'!T11</f>
        <v>0.68416399999999999</v>
      </c>
      <c r="R20" s="24">
        <f>'AEO 2023 Table 36 Raw'!U11</f>
        <v>0.72875999999999996</v>
      </c>
      <c r="S20" s="24">
        <f>'AEO 2023 Table 36 Raw'!V11</f>
        <v>0.77158599999999999</v>
      </c>
      <c r="T20" s="24">
        <f>'AEO 2023 Table 36 Raw'!W11</f>
        <v>0.81298700000000002</v>
      </c>
      <c r="U20" s="24">
        <f>'AEO 2023 Table 36 Raw'!X11</f>
        <v>0.85285</v>
      </c>
      <c r="V20" s="24">
        <f>'AEO 2023 Table 36 Raw'!Y11</f>
        <v>0.89180899999999996</v>
      </c>
      <c r="W20" s="24">
        <f>'AEO 2023 Table 36 Raw'!Z11</f>
        <v>0.93071300000000001</v>
      </c>
      <c r="X20" s="24">
        <f>'AEO 2023 Table 36 Raw'!AA11</f>
        <v>0.96862199999999998</v>
      </c>
      <c r="Y20" s="24">
        <f>'AEO 2023 Table 36 Raw'!AB11</f>
        <v>1.007558</v>
      </c>
      <c r="Z20" s="24">
        <f>'AEO 2023 Table 36 Raw'!AC11</f>
        <v>1.0480309999999999</v>
      </c>
      <c r="AA20" s="24">
        <f>'AEO 2023 Table 36 Raw'!AD11</f>
        <v>1.0965309999999999</v>
      </c>
      <c r="AB20" s="24">
        <f>'AEO 2023 Table 36 Raw'!AE11</f>
        <v>1.1502429999999999</v>
      </c>
      <c r="AC20" s="24">
        <f>'AEO 2023 Table 36 Raw'!AF11</f>
        <v>1.2091620000000001</v>
      </c>
      <c r="AD20" s="24">
        <f>'AEO 2023 Table 36 Raw'!AG11</f>
        <v>1.2718959999999999</v>
      </c>
      <c r="AE20" s="24">
        <f>'AEO 2023 Table 36 Raw'!AH11</f>
        <v>1.341161</v>
      </c>
      <c r="AF20" s="29">
        <f>'AEO 2023 Table 36 Raw'!AI11</f>
        <v>1.9E-2</v>
      </c>
    </row>
    <row r="21" spans="1:32" ht="15" customHeight="1">
      <c r="A21" s="18" t="s">
        <v>279</v>
      </c>
      <c r="B21" s="21" t="s">
        <v>280</v>
      </c>
      <c r="C21" s="24">
        <f>'AEO 2023 Table 36 Raw'!F12</f>
        <v>32.193668000000002</v>
      </c>
      <c r="D21" s="24">
        <f>'AEO 2023 Table 36 Raw'!G12</f>
        <v>43.907116000000002</v>
      </c>
      <c r="E21" s="24">
        <f>'AEO 2023 Table 36 Raw'!H12</f>
        <v>58.529483999999997</v>
      </c>
      <c r="F21" s="24">
        <f>'AEO 2023 Table 36 Raw'!I12</f>
        <v>75.757942</v>
      </c>
      <c r="G21" s="24">
        <f>'AEO 2023 Table 36 Raw'!J12</f>
        <v>96.391159000000002</v>
      </c>
      <c r="H21" s="24">
        <f>'AEO 2023 Table 36 Raw'!K12</f>
        <v>121.066132</v>
      </c>
      <c r="I21" s="24">
        <f>'AEO 2023 Table 36 Raw'!L12</f>
        <v>149.37681599999999</v>
      </c>
      <c r="J21" s="24">
        <f>'AEO 2023 Table 36 Raw'!M12</f>
        <v>181.62849399999999</v>
      </c>
      <c r="K21" s="24">
        <f>'AEO 2023 Table 36 Raw'!N12</f>
        <v>217.248322</v>
      </c>
      <c r="L21" s="24">
        <f>'AEO 2023 Table 36 Raw'!O12</f>
        <v>249.97737100000001</v>
      </c>
      <c r="M21" s="24">
        <f>'AEO 2023 Table 36 Raw'!P12</f>
        <v>283.60272200000003</v>
      </c>
      <c r="N21" s="24">
        <f>'AEO 2023 Table 36 Raw'!Q12</f>
        <v>317.79742399999998</v>
      </c>
      <c r="O21" s="24">
        <f>'AEO 2023 Table 36 Raw'!R12</f>
        <v>352.768036</v>
      </c>
      <c r="P21" s="24">
        <f>'AEO 2023 Table 36 Raw'!S12</f>
        <v>387.34478799999999</v>
      </c>
      <c r="Q21" s="24">
        <f>'AEO 2023 Table 36 Raw'!T12</f>
        <v>420.69439699999998</v>
      </c>
      <c r="R21" s="24">
        <f>'AEO 2023 Table 36 Raw'!U12</f>
        <v>453.186218</v>
      </c>
      <c r="S21" s="24">
        <f>'AEO 2023 Table 36 Raw'!V12</f>
        <v>484.42330900000002</v>
      </c>
      <c r="T21" s="24">
        <f>'AEO 2023 Table 36 Raw'!W12</f>
        <v>513.99560499999995</v>
      </c>
      <c r="U21" s="24">
        <f>'AEO 2023 Table 36 Raw'!X12</f>
        <v>541.63085899999999</v>
      </c>
      <c r="V21" s="24">
        <f>'AEO 2023 Table 36 Raw'!Y12</f>
        <v>567.72460899999999</v>
      </c>
      <c r="W21" s="24">
        <f>'AEO 2023 Table 36 Raw'!Z12</f>
        <v>591.95019500000001</v>
      </c>
      <c r="X21" s="24">
        <f>'AEO 2023 Table 36 Raw'!AA12</f>
        <v>614.02081299999998</v>
      </c>
      <c r="Y21" s="24">
        <f>'AEO 2023 Table 36 Raw'!AB12</f>
        <v>634.53887899999995</v>
      </c>
      <c r="Z21" s="24">
        <f>'AEO 2023 Table 36 Raw'!AC12</f>
        <v>652.89733899999999</v>
      </c>
      <c r="AA21" s="24">
        <f>'AEO 2023 Table 36 Raw'!AD12</f>
        <v>671.348206</v>
      </c>
      <c r="AB21" s="24">
        <f>'AEO 2023 Table 36 Raw'!AE12</f>
        <v>688.68969700000002</v>
      </c>
      <c r="AC21" s="24">
        <f>'AEO 2023 Table 36 Raw'!AF12</f>
        <v>705.21575900000005</v>
      </c>
      <c r="AD21" s="24">
        <f>'AEO 2023 Table 36 Raw'!AG12</f>
        <v>721.08111599999995</v>
      </c>
      <c r="AE21" s="24">
        <f>'AEO 2023 Table 36 Raw'!AH12</f>
        <v>736.37286400000005</v>
      </c>
      <c r="AF21" s="29">
        <f>'AEO 2023 Table 36 Raw'!AI12</f>
        <v>0.11799999999999999</v>
      </c>
    </row>
    <row r="22" spans="1:32" ht="15" customHeight="1">
      <c r="A22" s="18" t="s">
        <v>281</v>
      </c>
      <c r="B22" s="21" t="s">
        <v>282</v>
      </c>
      <c r="C22" s="24">
        <f>'AEO 2023 Table 36 Raw'!F13</f>
        <v>0.42613899999999999</v>
      </c>
      <c r="D22" s="24">
        <f>'AEO 2023 Table 36 Raw'!G13</f>
        <v>0.51818299999999995</v>
      </c>
      <c r="E22" s="24">
        <f>'AEO 2023 Table 36 Raw'!H13</f>
        <v>0.59576700000000005</v>
      </c>
      <c r="F22" s="24">
        <f>'AEO 2023 Table 36 Raw'!I13</f>
        <v>0.66511799999999999</v>
      </c>
      <c r="G22" s="24">
        <f>'AEO 2023 Table 36 Raw'!J13</f>
        <v>0.73787199999999997</v>
      </c>
      <c r="H22" s="24">
        <f>'AEO 2023 Table 36 Raw'!K13</f>
        <v>0.80678000000000005</v>
      </c>
      <c r="I22" s="24">
        <f>'AEO 2023 Table 36 Raw'!L13</f>
        <v>0.87969799999999998</v>
      </c>
      <c r="J22" s="24">
        <f>'AEO 2023 Table 36 Raw'!M13</f>
        <v>0.94835800000000003</v>
      </c>
      <c r="K22" s="24">
        <f>'AEO 2023 Table 36 Raw'!N13</f>
        <v>1.0205519999999999</v>
      </c>
      <c r="L22" s="24">
        <f>'AEO 2023 Table 36 Raw'!O13</f>
        <v>1.0934459999999999</v>
      </c>
      <c r="M22" s="24">
        <f>'AEO 2023 Table 36 Raw'!P13</f>
        <v>1.1656569999999999</v>
      </c>
      <c r="N22" s="24">
        <f>'AEO 2023 Table 36 Raw'!Q13</f>
        <v>1.2371049999999999</v>
      </c>
      <c r="O22" s="24">
        <f>'AEO 2023 Table 36 Raw'!R13</f>
        <v>1.3096950000000001</v>
      </c>
      <c r="P22" s="24">
        <f>'AEO 2023 Table 36 Raw'!S13</f>
        <v>1.3809180000000001</v>
      </c>
      <c r="Q22" s="24">
        <f>'AEO 2023 Table 36 Raw'!T13</f>
        <v>1.4474880000000001</v>
      </c>
      <c r="R22" s="24">
        <f>'AEO 2023 Table 36 Raw'!U13</f>
        <v>1.512508</v>
      </c>
      <c r="S22" s="24">
        <f>'AEO 2023 Table 36 Raw'!V13</f>
        <v>1.570883</v>
      </c>
      <c r="T22" s="24">
        <f>'AEO 2023 Table 36 Raw'!W13</f>
        <v>1.623062</v>
      </c>
      <c r="U22" s="24">
        <f>'AEO 2023 Table 36 Raw'!X13</f>
        <v>1.665691</v>
      </c>
      <c r="V22" s="24">
        <f>'AEO 2023 Table 36 Raw'!Y13</f>
        <v>1.699897</v>
      </c>
      <c r="W22" s="24">
        <f>'AEO 2023 Table 36 Raw'!Z13</f>
        <v>1.7316929999999999</v>
      </c>
      <c r="X22" s="24">
        <f>'AEO 2023 Table 36 Raw'!AA13</f>
        <v>1.7536229999999999</v>
      </c>
      <c r="Y22" s="24">
        <f>'AEO 2023 Table 36 Raw'!AB13</f>
        <v>1.769871</v>
      </c>
      <c r="Z22" s="24">
        <f>'AEO 2023 Table 36 Raw'!AC13</f>
        <v>1.7791170000000001</v>
      </c>
      <c r="AA22" s="24">
        <f>'AEO 2023 Table 36 Raw'!AD13</f>
        <v>1.7894969999999999</v>
      </c>
      <c r="AB22" s="24">
        <f>'AEO 2023 Table 36 Raw'!AE13</f>
        <v>1.800149</v>
      </c>
      <c r="AC22" s="24">
        <f>'AEO 2023 Table 36 Raw'!AF13</f>
        <v>1.8077129999999999</v>
      </c>
      <c r="AD22" s="24">
        <f>'AEO 2023 Table 36 Raw'!AG13</f>
        <v>1.8132870000000001</v>
      </c>
      <c r="AE22" s="24">
        <f>'AEO 2023 Table 36 Raw'!AH13</f>
        <v>1.8167770000000001</v>
      </c>
      <c r="AF22" s="29">
        <f>'AEO 2023 Table 36 Raw'!AI13</f>
        <v>5.2999999999999999E-2</v>
      </c>
    </row>
    <row r="23" spans="1:32" ht="12" customHeight="1">
      <c r="C23" s="24"/>
      <c r="D23" s="24"/>
      <c r="E23" s="24"/>
      <c r="F23" s="24"/>
      <c r="G23" s="24"/>
      <c r="H23" s="24"/>
      <c r="I23" s="24"/>
      <c r="J23" s="24"/>
      <c r="K23" s="24"/>
      <c r="L23" s="24"/>
      <c r="M23" s="24"/>
      <c r="N23" s="24"/>
      <c r="O23" s="24"/>
      <c r="P23" s="24"/>
      <c r="Q23" s="24"/>
      <c r="R23" s="24"/>
      <c r="S23" s="24"/>
      <c r="T23" s="24"/>
      <c r="U23" s="24"/>
      <c r="V23" s="24"/>
      <c r="W23" s="24"/>
      <c r="X23" s="24"/>
      <c r="Y23" s="24"/>
      <c r="Z23" s="24"/>
      <c r="AA23" s="24"/>
      <c r="AB23" s="24"/>
      <c r="AC23" s="24"/>
      <c r="AD23" s="24"/>
      <c r="AE23" s="24"/>
      <c r="AF23" s="29"/>
    </row>
    <row r="24" spans="1:32" ht="15" customHeight="1">
      <c r="A24" s="18" t="s">
        <v>283</v>
      </c>
      <c r="B24" s="20" t="s">
        <v>284</v>
      </c>
      <c r="C24" s="24">
        <f>'AEO 2023 Table 36 Raw'!F14</f>
        <v>951.50280799999996</v>
      </c>
      <c r="D24" s="24">
        <f>'AEO 2023 Table 36 Raw'!G14</f>
        <v>942.55828899999995</v>
      </c>
      <c r="E24" s="24">
        <f>'AEO 2023 Table 36 Raw'!H14</f>
        <v>925.34039299999995</v>
      </c>
      <c r="F24" s="24">
        <f>'AEO 2023 Table 36 Raw'!I14</f>
        <v>912.45153800000003</v>
      </c>
      <c r="G24" s="24">
        <f>'AEO 2023 Table 36 Raw'!J14</f>
        <v>903.11096199999997</v>
      </c>
      <c r="H24" s="24">
        <f>'AEO 2023 Table 36 Raw'!K14</f>
        <v>894.80664100000001</v>
      </c>
      <c r="I24" s="24">
        <f>'AEO 2023 Table 36 Raw'!L14</f>
        <v>888.38452099999995</v>
      </c>
      <c r="J24" s="24">
        <f>'AEO 2023 Table 36 Raw'!M14</f>
        <v>882.99560499999995</v>
      </c>
      <c r="K24" s="24">
        <f>'AEO 2023 Table 36 Raw'!N14</f>
        <v>877.03247099999999</v>
      </c>
      <c r="L24" s="24">
        <f>'AEO 2023 Table 36 Raw'!O14</f>
        <v>872.79089399999998</v>
      </c>
      <c r="M24" s="24">
        <f>'AEO 2023 Table 36 Raw'!P14</f>
        <v>871.79064900000003</v>
      </c>
      <c r="N24" s="24">
        <f>'AEO 2023 Table 36 Raw'!Q14</f>
        <v>871.86755400000004</v>
      </c>
      <c r="O24" s="24">
        <f>'AEO 2023 Table 36 Raw'!R14</f>
        <v>873.03363000000002</v>
      </c>
      <c r="P24" s="24">
        <f>'AEO 2023 Table 36 Raw'!S14</f>
        <v>875.073486</v>
      </c>
      <c r="Q24" s="24">
        <f>'AEO 2023 Table 36 Raw'!T14</f>
        <v>877.49945100000002</v>
      </c>
      <c r="R24" s="24">
        <f>'AEO 2023 Table 36 Raw'!U14</f>
        <v>881.02331500000003</v>
      </c>
      <c r="S24" s="24">
        <f>'AEO 2023 Table 36 Raw'!V14</f>
        <v>885.54095500000005</v>
      </c>
      <c r="T24" s="24">
        <f>'AEO 2023 Table 36 Raw'!W14</f>
        <v>889.79608199999996</v>
      </c>
      <c r="U24" s="24">
        <f>'AEO 2023 Table 36 Raw'!X14</f>
        <v>896.14636199999995</v>
      </c>
      <c r="V24" s="24">
        <f>'AEO 2023 Table 36 Raw'!Y14</f>
        <v>903.92437700000005</v>
      </c>
      <c r="W24" s="24">
        <f>'AEO 2023 Table 36 Raw'!Z14</f>
        <v>911.92645300000004</v>
      </c>
      <c r="X24" s="24">
        <f>'AEO 2023 Table 36 Raw'!AA14</f>
        <v>919.04620399999999</v>
      </c>
      <c r="Y24" s="24">
        <f>'AEO 2023 Table 36 Raw'!AB14</f>
        <v>925.47399900000005</v>
      </c>
      <c r="Z24" s="24">
        <f>'AEO 2023 Table 36 Raw'!AC14</f>
        <v>932.77233899999999</v>
      </c>
      <c r="AA24" s="24">
        <f>'AEO 2023 Table 36 Raw'!AD14</f>
        <v>941.28070100000002</v>
      </c>
      <c r="AB24" s="24">
        <f>'AEO 2023 Table 36 Raw'!AE14</f>
        <v>951.49883999999997</v>
      </c>
      <c r="AC24" s="24">
        <f>'AEO 2023 Table 36 Raw'!AF14</f>
        <v>960.51415999999995</v>
      </c>
      <c r="AD24" s="24">
        <f>'AEO 2023 Table 36 Raw'!AG14</f>
        <v>969.57879600000001</v>
      </c>
      <c r="AE24" s="24">
        <f>'AEO 2023 Table 36 Raw'!AH14</f>
        <v>981.59570299999996</v>
      </c>
      <c r="AF24" s="29">
        <f>'AEO 2023 Table 36 Raw'!AI14</f>
        <v>1E-3</v>
      </c>
    </row>
    <row r="25" spans="1:32" ht="15" customHeight="1">
      <c r="A25" s="18" t="s">
        <v>285</v>
      </c>
      <c r="B25" s="21" t="s">
        <v>270</v>
      </c>
      <c r="C25" s="24">
        <f>'AEO 2023 Table 36 Raw'!F15</f>
        <v>657.76745600000004</v>
      </c>
      <c r="D25" s="24">
        <f>'AEO 2023 Table 36 Raw'!G15</f>
        <v>651.25982699999997</v>
      </c>
      <c r="E25" s="24">
        <f>'AEO 2023 Table 36 Raw'!H15</f>
        <v>640.80761700000005</v>
      </c>
      <c r="F25" s="24">
        <f>'AEO 2023 Table 36 Raw'!I15</f>
        <v>634.44543499999997</v>
      </c>
      <c r="G25" s="24">
        <f>'AEO 2023 Table 36 Raw'!J15</f>
        <v>630.82428000000004</v>
      </c>
      <c r="H25" s="24">
        <f>'AEO 2023 Table 36 Raw'!K15</f>
        <v>624.78125</v>
      </c>
      <c r="I25" s="24">
        <f>'AEO 2023 Table 36 Raw'!L15</f>
        <v>620.947632</v>
      </c>
      <c r="J25" s="24">
        <f>'AEO 2023 Table 36 Raw'!M15</f>
        <v>618.08074999999997</v>
      </c>
      <c r="K25" s="24">
        <f>'AEO 2023 Table 36 Raw'!N15</f>
        <v>615.03594999999996</v>
      </c>
      <c r="L25" s="24">
        <f>'AEO 2023 Table 36 Raw'!O15</f>
        <v>613.48315400000001</v>
      </c>
      <c r="M25" s="24">
        <f>'AEO 2023 Table 36 Raw'!P15</f>
        <v>614.07128899999998</v>
      </c>
      <c r="N25" s="24">
        <f>'AEO 2023 Table 36 Raw'!Q15</f>
        <v>615.42193599999996</v>
      </c>
      <c r="O25" s="24">
        <f>'AEO 2023 Table 36 Raw'!R15</f>
        <v>617.641479</v>
      </c>
      <c r="P25" s="24">
        <f>'AEO 2023 Table 36 Raw'!S15</f>
        <v>620.38317900000004</v>
      </c>
      <c r="Q25" s="24">
        <f>'AEO 2023 Table 36 Raw'!T15</f>
        <v>623.32220500000005</v>
      </c>
      <c r="R25" s="24">
        <f>'AEO 2023 Table 36 Raw'!U15</f>
        <v>627.02630599999998</v>
      </c>
      <c r="S25" s="24">
        <f>'AEO 2023 Table 36 Raw'!V15</f>
        <v>631.23345900000004</v>
      </c>
      <c r="T25" s="24">
        <f>'AEO 2023 Table 36 Raw'!W15</f>
        <v>635.20404099999996</v>
      </c>
      <c r="U25" s="24">
        <f>'AEO 2023 Table 36 Raw'!X15</f>
        <v>640.80859399999997</v>
      </c>
      <c r="V25" s="24">
        <f>'AEO 2023 Table 36 Raw'!Y15</f>
        <v>646.77948000000004</v>
      </c>
      <c r="W25" s="24">
        <f>'AEO 2023 Table 36 Raw'!Z15</f>
        <v>653.38256799999999</v>
      </c>
      <c r="X25" s="24">
        <f>'AEO 2023 Table 36 Raw'!AA15</f>
        <v>659.03369099999998</v>
      </c>
      <c r="Y25" s="24">
        <f>'AEO 2023 Table 36 Raw'!AB15</f>
        <v>663.90283199999999</v>
      </c>
      <c r="Z25" s="24">
        <f>'AEO 2023 Table 36 Raw'!AC15</f>
        <v>669.03552200000001</v>
      </c>
      <c r="AA25" s="24">
        <f>'AEO 2023 Table 36 Raw'!AD15</f>
        <v>675.10998500000005</v>
      </c>
      <c r="AB25" s="24">
        <f>'AEO 2023 Table 36 Raw'!AE15</f>
        <v>682.46606399999996</v>
      </c>
      <c r="AC25" s="24">
        <f>'AEO 2023 Table 36 Raw'!AF15</f>
        <v>688.97082499999999</v>
      </c>
      <c r="AD25" s="24">
        <f>'AEO 2023 Table 36 Raw'!AG15</f>
        <v>695.63995399999999</v>
      </c>
      <c r="AE25" s="24">
        <f>'AEO 2023 Table 36 Raw'!AH15</f>
        <v>704.23315400000001</v>
      </c>
      <c r="AF25" s="29">
        <f>'AEO 2023 Table 36 Raw'!AI15</f>
        <v>2E-3</v>
      </c>
    </row>
    <row r="26" spans="1:32" ht="15" customHeight="1">
      <c r="A26" s="18" t="s">
        <v>286</v>
      </c>
      <c r="B26" s="21" t="s">
        <v>272</v>
      </c>
      <c r="C26" s="24">
        <f>'AEO 2023 Table 36 Raw'!F16</f>
        <v>3.5136699999999998</v>
      </c>
      <c r="D26" s="24">
        <f>'AEO 2023 Table 36 Raw'!G16</f>
        <v>3.389497</v>
      </c>
      <c r="E26" s="24">
        <f>'AEO 2023 Table 36 Raw'!H16</f>
        <v>2.991625</v>
      </c>
      <c r="F26" s="24">
        <f>'AEO 2023 Table 36 Raw'!I16</f>
        <v>2.9037060000000001</v>
      </c>
      <c r="G26" s="24">
        <f>'AEO 2023 Table 36 Raw'!J16</f>
        <v>2.7676799999999999</v>
      </c>
      <c r="H26" s="24">
        <f>'AEO 2023 Table 36 Raw'!K16</f>
        <v>2.7080980000000001</v>
      </c>
      <c r="I26" s="24">
        <f>'AEO 2023 Table 36 Raw'!L16</f>
        <v>2.6648450000000001</v>
      </c>
      <c r="J26" s="24">
        <f>'AEO 2023 Table 36 Raw'!M16</f>
        <v>2.6710020000000001</v>
      </c>
      <c r="K26" s="24">
        <f>'AEO 2023 Table 36 Raw'!N16</f>
        <v>2.68058</v>
      </c>
      <c r="L26" s="24">
        <f>'AEO 2023 Table 36 Raw'!O16</f>
        <v>2.705457</v>
      </c>
      <c r="M26" s="24">
        <f>'AEO 2023 Table 36 Raw'!P16</f>
        <v>2.745193</v>
      </c>
      <c r="N26" s="24">
        <f>'AEO 2023 Table 36 Raw'!Q16</f>
        <v>2.803118</v>
      </c>
      <c r="O26" s="24">
        <f>'AEO 2023 Table 36 Raw'!R16</f>
        <v>2.8754189999999999</v>
      </c>
      <c r="P26" s="24">
        <f>'AEO 2023 Table 36 Raw'!S16</f>
        <v>2.972388</v>
      </c>
      <c r="Q26" s="24">
        <f>'AEO 2023 Table 36 Raw'!T16</f>
        <v>3.075218</v>
      </c>
      <c r="R26" s="24">
        <f>'AEO 2023 Table 36 Raw'!U16</f>
        <v>3.2065070000000002</v>
      </c>
      <c r="S26" s="24">
        <f>'AEO 2023 Table 36 Raw'!V16</f>
        <v>3.3501609999999999</v>
      </c>
      <c r="T26" s="24">
        <f>'AEO 2023 Table 36 Raw'!W16</f>
        <v>3.5010400000000002</v>
      </c>
      <c r="U26" s="24">
        <f>'AEO 2023 Table 36 Raw'!X16</f>
        <v>3.6667809999999998</v>
      </c>
      <c r="V26" s="24">
        <f>'AEO 2023 Table 36 Raw'!Y16</f>
        <v>3.843432</v>
      </c>
      <c r="W26" s="24">
        <f>'AEO 2023 Table 36 Raw'!Z16</f>
        <v>4.0169430000000004</v>
      </c>
      <c r="X26" s="24">
        <f>'AEO 2023 Table 36 Raw'!AA16</f>
        <v>4.194909</v>
      </c>
      <c r="Y26" s="24">
        <f>'AEO 2023 Table 36 Raw'!AB16</f>
        <v>4.3540520000000003</v>
      </c>
      <c r="Z26" s="24">
        <f>'AEO 2023 Table 36 Raw'!AC16</f>
        <v>4.5155190000000003</v>
      </c>
      <c r="AA26" s="24">
        <f>'AEO 2023 Table 36 Raw'!AD16</f>
        <v>4.6677289999999996</v>
      </c>
      <c r="AB26" s="24">
        <f>'AEO 2023 Table 36 Raw'!AE16</f>
        <v>4.8359430000000003</v>
      </c>
      <c r="AC26" s="24">
        <f>'AEO 2023 Table 36 Raw'!AF16</f>
        <v>4.9793599999999998</v>
      </c>
      <c r="AD26" s="24">
        <f>'AEO 2023 Table 36 Raw'!AG16</f>
        <v>5.1316860000000002</v>
      </c>
      <c r="AE26" s="24">
        <f>'AEO 2023 Table 36 Raw'!AH16</f>
        <v>5.2824540000000004</v>
      </c>
      <c r="AF26" s="29">
        <f>'AEO 2023 Table 36 Raw'!AI16</f>
        <v>1.4999999999999999E-2</v>
      </c>
    </row>
    <row r="27" spans="1:32" ht="15" customHeight="1">
      <c r="A27" s="18" t="s">
        <v>287</v>
      </c>
      <c r="B27" s="21" t="s">
        <v>274</v>
      </c>
      <c r="C27" s="24">
        <f>'AEO 2023 Table 36 Raw'!F17</f>
        <v>289.12039199999998</v>
      </c>
      <c r="D27" s="24">
        <f>'AEO 2023 Table 36 Raw'!G17</f>
        <v>286.82144199999999</v>
      </c>
      <c r="E27" s="24">
        <f>'AEO 2023 Table 36 Raw'!H17</f>
        <v>280.46920799999998</v>
      </c>
      <c r="F27" s="24">
        <f>'AEO 2023 Table 36 Raw'!I17</f>
        <v>274.07836900000001</v>
      </c>
      <c r="G27" s="24">
        <f>'AEO 2023 Table 36 Raw'!J17</f>
        <v>268.54092400000002</v>
      </c>
      <c r="H27" s="24">
        <f>'AEO 2023 Table 36 Raw'!K17</f>
        <v>266.37576300000001</v>
      </c>
      <c r="I27" s="24">
        <f>'AEO 2023 Table 36 Raw'!L17</f>
        <v>263.84298699999999</v>
      </c>
      <c r="J27" s="24">
        <f>'AEO 2023 Table 36 Raw'!M17</f>
        <v>261.31542999999999</v>
      </c>
      <c r="K27" s="24">
        <f>'AEO 2023 Table 36 Raw'!N17</f>
        <v>258.401184</v>
      </c>
      <c r="L27" s="24">
        <f>'AEO 2023 Table 36 Raw'!O17</f>
        <v>255.69387800000001</v>
      </c>
      <c r="M27" s="24">
        <f>'AEO 2023 Table 36 Raw'!P17</f>
        <v>254.05813599999999</v>
      </c>
      <c r="N27" s="24">
        <f>'AEO 2023 Table 36 Raw'!Q17</f>
        <v>252.705139</v>
      </c>
      <c r="O27" s="24">
        <f>'AEO 2023 Table 36 Raw'!R17</f>
        <v>251.542633</v>
      </c>
      <c r="P27" s="24">
        <f>'AEO 2023 Table 36 Raw'!S17</f>
        <v>250.69047499999999</v>
      </c>
      <c r="Q27" s="24">
        <f>'AEO 2023 Table 36 Raw'!T17</f>
        <v>250.00555399999999</v>
      </c>
      <c r="R27" s="24">
        <f>'AEO 2023 Table 36 Raw'!U17</f>
        <v>249.60524000000001</v>
      </c>
      <c r="S27" s="24">
        <f>'AEO 2023 Table 36 Raw'!V17</f>
        <v>249.66021699999999</v>
      </c>
      <c r="T27" s="24">
        <f>'AEO 2023 Table 36 Raw'!W17</f>
        <v>249.65734900000001</v>
      </c>
      <c r="U27" s="24">
        <f>'AEO 2023 Table 36 Raw'!X17</f>
        <v>250.07077000000001</v>
      </c>
      <c r="V27" s="24">
        <f>'AEO 2023 Table 36 Raw'!Y17</f>
        <v>251.505585</v>
      </c>
      <c r="W27" s="24">
        <f>'AEO 2023 Table 36 Raw'!Z17</f>
        <v>252.50730899999999</v>
      </c>
      <c r="X27" s="24">
        <f>'AEO 2023 Table 36 Raw'!AA17</f>
        <v>253.54638700000001</v>
      </c>
      <c r="Y27" s="24">
        <f>'AEO 2023 Table 36 Raw'!AB17</f>
        <v>254.66670199999999</v>
      </c>
      <c r="Z27" s="24">
        <f>'AEO 2023 Table 36 Raw'!AC17</f>
        <v>256.36206099999998</v>
      </c>
      <c r="AA27" s="24">
        <f>'AEO 2023 Table 36 Raw'!AD17</f>
        <v>258.30450400000001</v>
      </c>
      <c r="AB27" s="24">
        <f>'AEO 2023 Table 36 Raw'!AE17</f>
        <v>260.63464399999998</v>
      </c>
      <c r="AC27" s="24">
        <f>'AEO 2023 Table 36 Raw'!AF17</f>
        <v>262.62152099999997</v>
      </c>
      <c r="AD27" s="24">
        <f>'AEO 2023 Table 36 Raw'!AG17</f>
        <v>264.464203</v>
      </c>
      <c r="AE27" s="24">
        <f>'AEO 2023 Table 36 Raw'!AH17</f>
        <v>267.307861</v>
      </c>
      <c r="AF27" s="29">
        <f>'AEO 2023 Table 36 Raw'!AI17</f>
        <v>-3.0000000000000001E-3</v>
      </c>
    </row>
    <row r="28" spans="1:32" ht="15" customHeight="1">
      <c r="A28" s="18" t="s">
        <v>288</v>
      </c>
      <c r="B28" s="21" t="s">
        <v>278</v>
      </c>
      <c r="C28" s="24">
        <f>'AEO 2023 Table 36 Raw'!F18</f>
        <v>1.1919999999999999E-3</v>
      </c>
      <c r="D28" s="24">
        <f>'AEO 2023 Table 36 Raw'!G18</f>
        <v>5.9367000000000003E-2</v>
      </c>
      <c r="E28" s="24">
        <f>'AEO 2023 Table 36 Raw'!H18</f>
        <v>0.11705</v>
      </c>
      <c r="F28" s="24">
        <f>'AEO 2023 Table 36 Raw'!I18</f>
        <v>0.17241300000000001</v>
      </c>
      <c r="G28" s="24">
        <f>'AEO 2023 Table 36 Raw'!J18</f>
        <v>0.22949800000000001</v>
      </c>
      <c r="H28" s="24">
        <f>'AEO 2023 Table 36 Raw'!K18</f>
        <v>0.28361900000000001</v>
      </c>
      <c r="I28" s="24">
        <f>'AEO 2023 Table 36 Raw'!L18</f>
        <v>0.33646300000000001</v>
      </c>
      <c r="J28" s="24">
        <f>'AEO 2023 Table 36 Raw'!M18</f>
        <v>0.39336500000000002</v>
      </c>
      <c r="K28" s="24">
        <f>'AEO 2023 Table 36 Raw'!N18</f>
        <v>0.43659700000000001</v>
      </c>
      <c r="L28" s="24">
        <f>'AEO 2023 Table 36 Raw'!O18</f>
        <v>0.48442800000000003</v>
      </c>
      <c r="M28" s="24">
        <f>'AEO 2023 Table 36 Raw'!P18</f>
        <v>0.53945200000000004</v>
      </c>
      <c r="N28" s="24">
        <f>'AEO 2023 Table 36 Raw'!Q18</f>
        <v>0.60183900000000001</v>
      </c>
      <c r="O28" s="24">
        <f>'AEO 2023 Table 36 Raw'!R18</f>
        <v>0.67321399999999998</v>
      </c>
      <c r="P28" s="24">
        <f>'AEO 2023 Table 36 Raw'!S18</f>
        <v>0.75634199999999996</v>
      </c>
      <c r="Q28" s="24">
        <f>'AEO 2023 Table 36 Raw'!T18</f>
        <v>0.853271</v>
      </c>
      <c r="R28" s="24">
        <f>'AEO 2023 Table 36 Raw'!U18</f>
        <v>0.96770199999999995</v>
      </c>
      <c r="S28" s="24">
        <f>'AEO 2023 Table 36 Raw'!V18</f>
        <v>1.1022019999999999</v>
      </c>
      <c r="T28" s="24">
        <f>'AEO 2023 Table 36 Raw'!W18</f>
        <v>1.257558</v>
      </c>
      <c r="U28" s="24">
        <f>'AEO 2023 Table 36 Raw'!X18</f>
        <v>1.4395659999999999</v>
      </c>
      <c r="V28" s="24">
        <f>'AEO 2023 Table 36 Raw'!Y18</f>
        <v>1.649748</v>
      </c>
      <c r="W28" s="24">
        <f>'AEO 2023 Table 36 Raw'!Z18</f>
        <v>1.8861079999999999</v>
      </c>
      <c r="X28" s="24">
        <f>'AEO 2023 Table 36 Raw'!AA18</f>
        <v>2.1497600000000001</v>
      </c>
      <c r="Y28" s="24">
        <f>'AEO 2023 Table 36 Raw'!AB18</f>
        <v>2.4400059999999999</v>
      </c>
      <c r="Z28" s="24">
        <f>'AEO 2023 Table 36 Raw'!AC18</f>
        <v>2.7592599999999998</v>
      </c>
      <c r="AA28" s="24">
        <f>'AEO 2023 Table 36 Raw'!AD18</f>
        <v>3.1105109999999998</v>
      </c>
      <c r="AB28" s="24">
        <f>'AEO 2023 Table 36 Raw'!AE18</f>
        <v>3.4898639999999999</v>
      </c>
      <c r="AC28" s="24">
        <f>'AEO 2023 Table 36 Raw'!AF18</f>
        <v>3.885303</v>
      </c>
      <c r="AD28" s="24">
        <f>'AEO 2023 Table 36 Raw'!AG18</f>
        <v>4.2978630000000004</v>
      </c>
      <c r="AE28" s="24">
        <f>'AEO 2023 Table 36 Raw'!AH18</f>
        <v>4.7380370000000003</v>
      </c>
      <c r="AF28" s="29">
        <f>'AEO 2023 Table 36 Raw'!AI18</f>
        <v>0.34399999999999997</v>
      </c>
    </row>
    <row r="29" spans="1:32" ht="15" customHeight="1">
      <c r="A29" s="18" t="s">
        <v>289</v>
      </c>
      <c r="B29" s="21" t="s">
        <v>276</v>
      </c>
      <c r="C29" s="24">
        <f>'AEO 2023 Table 36 Raw'!F19</f>
        <v>1.100109</v>
      </c>
      <c r="D29" s="24">
        <f>'AEO 2023 Table 36 Raw'!G19</f>
        <v>1.0280959999999999</v>
      </c>
      <c r="E29" s="24">
        <f>'AEO 2023 Table 36 Raw'!H19</f>
        <v>0.95485699999999996</v>
      </c>
      <c r="F29" s="24">
        <f>'AEO 2023 Table 36 Raw'!I19</f>
        <v>0.85162800000000005</v>
      </c>
      <c r="G29" s="24">
        <f>'AEO 2023 Table 36 Raw'!J19</f>
        <v>0.74851699999999999</v>
      </c>
      <c r="H29" s="24">
        <f>'AEO 2023 Table 36 Raw'!K19</f>
        <v>0.657968</v>
      </c>
      <c r="I29" s="24">
        <f>'AEO 2023 Table 36 Raw'!L19</f>
        <v>0.59255500000000005</v>
      </c>
      <c r="J29" s="24">
        <f>'AEO 2023 Table 36 Raw'!M19</f>
        <v>0.53501100000000001</v>
      </c>
      <c r="K29" s="24">
        <f>'AEO 2023 Table 36 Raw'!N19</f>
        <v>0.478159</v>
      </c>
      <c r="L29" s="24">
        <f>'AEO 2023 Table 36 Raw'!O19</f>
        <v>0.42399300000000001</v>
      </c>
      <c r="M29" s="24">
        <f>'AEO 2023 Table 36 Raw'!P19</f>
        <v>0.376664</v>
      </c>
      <c r="N29" s="24">
        <f>'AEO 2023 Table 36 Raw'!Q19</f>
        <v>0.33548499999999998</v>
      </c>
      <c r="O29" s="24">
        <f>'AEO 2023 Table 36 Raw'!R19</f>
        <v>0.30089100000000002</v>
      </c>
      <c r="P29" s="24">
        <f>'AEO 2023 Table 36 Raw'!S19</f>
        <v>0.27107300000000001</v>
      </c>
      <c r="Q29" s="24">
        <f>'AEO 2023 Table 36 Raw'!T19</f>
        <v>0.243198</v>
      </c>
      <c r="R29" s="24">
        <f>'AEO 2023 Table 36 Raw'!U19</f>
        <v>0.217586</v>
      </c>
      <c r="S29" s="24">
        <f>'AEO 2023 Table 36 Raw'!V19</f>
        <v>0.19492699999999999</v>
      </c>
      <c r="T29" s="24">
        <f>'AEO 2023 Table 36 Raw'!W19</f>
        <v>0.17607900000000001</v>
      </c>
      <c r="U29" s="24">
        <f>'AEO 2023 Table 36 Raw'!X19</f>
        <v>0.160581</v>
      </c>
      <c r="V29" s="24">
        <f>'AEO 2023 Table 36 Raw'!Y19</f>
        <v>0.14618200000000001</v>
      </c>
      <c r="W29" s="24">
        <f>'AEO 2023 Table 36 Raw'!Z19</f>
        <v>0.133464</v>
      </c>
      <c r="X29" s="24">
        <f>'AEO 2023 Table 36 Raw'!AA19</f>
        <v>0.121475</v>
      </c>
      <c r="Y29" s="24">
        <f>'AEO 2023 Table 36 Raw'!AB19</f>
        <v>0.110383</v>
      </c>
      <c r="Z29" s="24">
        <f>'AEO 2023 Table 36 Raw'!AC19</f>
        <v>9.9973999999999993E-2</v>
      </c>
      <c r="AA29" s="24">
        <f>'AEO 2023 Table 36 Raw'!AD19</f>
        <v>8.7946999999999997E-2</v>
      </c>
      <c r="AB29" s="24">
        <f>'AEO 2023 Table 36 Raw'!AE19</f>
        <v>7.2319999999999995E-2</v>
      </c>
      <c r="AC29" s="24">
        <f>'AEO 2023 Table 36 Raw'!AF19</f>
        <v>5.7146000000000002E-2</v>
      </c>
      <c r="AD29" s="24">
        <f>'AEO 2023 Table 36 Raw'!AG19</f>
        <v>4.5075999999999998E-2</v>
      </c>
      <c r="AE29" s="24">
        <f>'AEO 2023 Table 36 Raw'!AH19</f>
        <v>3.4169999999999999E-2</v>
      </c>
      <c r="AF29" s="29">
        <f>'AEO 2023 Table 36 Raw'!AI19</f>
        <v>-0.11700000000000001</v>
      </c>
    </row>
    <row r="30" spans="1:32" ht="15" customHeight="1">
      <c r="A30" s="18" t="s">
        <v>290</v>
      </c>
      <c r="B30" s="21" t="s">
        <v>280</v>
      </c>
      <c r="C30" s="24">
        <f>'AEO 2023 Table 36 Raw'!F20</f>
        <v>0</v>
      </c>
      <c r="D30" s="24">
        <f>'AEO 2023 Table 36 Raw'!G20</f>
        <v>0</v>
      </c>
      <c r="E30" s="24">
        <f>'AEO 2023 Table 36 Raw'!H20</f>
        <v>0</v>
      </c>
      <c r="F30" s="24">
        <f>'AEO 2023 Table 36 Raw'!I20</f>
        <v>0</v>
      </c>
      <c r="G30" s="24">
        <f>'AEO 2023 Table 36 Raw'!J20</f>
        <v>0</v>
      </c>
      <c r="H30" s="24">
        <f>'AEO 2023 Table 36 Raw'!K20</f>
        <v>0</v>
      </c>
      <c r="I30" s="24">
        <f>'AEO 2023 Table 36 Raw'!L20</f>
        <v>0</v>
      </c>
      <c r="J30" s="24">
        <f>'AEO 2023 Table 36 Raw'!M20</f>
        <v>0</v>
      </c>
      <c r="K30" s="24">
        <f>'AEO 2023 Table 36 Raw'!N20</f>
        <v>0</v>
      </c>
      <c r="L30" s="24">
        <f>'AEO 2023 Table 36 Raw'!O20</f>
        <v>0</v>
      </c>
      <c r="M30" s="24">
        <f>'AEO 2023 Table 36 Raw'!P20</f>
        <v>0</v>
      </c>
      <c r="N30" s="24">
        <f>'AEO 2023 Table 36 Raw'!Q20</f>
        <v>0</v>
      </c>
      <c r="O30" s="24">
        <f>'AEO 2023 Table 36 Raw'!R20</f>
        <v>0</v>
      </c>
      <c r="P30" s="24">
        <f>'AEO 2023 Table 36 Raw'!S20</f>
        <v>0</v>
      </c>
      <c r="Q30" s="24">
        <f>'AEO 2023 Table 36 Raw'!T20</f>
        <v>0</v>
      </c>
      <c r="R30" s="24">
        <f>'AEO 2023 Table 36 Raw'!U20</f>
        <v>0</v>
      </c>
      <c r="S30" s="24">
        <f>'AEO 2023 Table 36 Raw'!V20</f>
        <v>0</v>
      </c>
      <c r="T30" s="24">
        <f>'AEO 2023 Table 36 Raw'!W20</f>
        <v>0</v>
      </c>
      <c r="U30" s="24">
        <f>'AEO 2023 Table 36 Raw'!X20</f>
        <v>0</v>
      </c>
      <c r="V30" s="24">
        <f>'AEO 2023 Table 36 Raw'!Y20</f>
        <v>0</v>
      </c>
      <c r="W30" s="24">
        <f>'AEO 2023 Table 36 Raw'!Z20</f>
        <v>0</v>
      </c>
      <c r="X30" s="24">
        <f>'AEO 2023 Table 36 Raw'!AA20</f>
        <v>0</v>
      </c>
      <c r="Y30" s="24">
        <f>'AEO 2023 Table 36 Raw'!AB20</f>
        <v>0</v>
      </c>
      <c r="Z30" s="24">
        <f>'AEO 2023 Table 36 Raw'!AC20</f>
        <v>0</v>
      </c>
      <c r="AA30" s="24">
        <f>'AEO 2023 Table 36 Raw'!AD20</f>
        <v>0</v>
      </c>
      <c r="AB30" s="24">
        <f>'AEO 2023 Table 36 Raw'!AE20</f>
        <v>0</v>
      </c>
      <c r="AC30" s="24">
        <f>'AEO 2023 Table 36 Raw'!AF20</f>
        <v>0</v>
      </c>
      <c r="AD30" s="24">
        <f>'AEO 2023 Table 36 Raw'!AG20</f>
        <v>0</v>
      </c>
      <c r="AE30" s="24">
        <f>'AEO 2023 Table 36 Raw'!AH20</f>
        <v>0</v>
      </c>
      <c r="AF30" s="29" t="str">
        <f>'AEO 2023 Table 36 Raw'!AI20</f>
        <v>- -</v>
      </c>
    </row>
    <row r="31" spans="1:32" ht="15" customHeight="1">
      <c r="A31" s="18" t="s">
        <v>291</v>
      </c>
      <c r="B31" s="21" t="s">
        <v>282</v>
      </c>
      <c r="C31" s="24">
        <f>'AEO 2023 Table 36 Raw'!F21</f>
        <v>0</v>
      </c>
      <c r="D31" s="24">
        <f>'AEO 2023 Table 36 Raw'!G21</f>
        <v>0</v>
      </c>
      <c r="E31" s="24">
        <f>'AEO 2023 Table 36 Raw'!H21</f>
        <v>0</v>
      </c>
      <c r="F31" s="24">
        <f>'AEO 2023 Table 36 Raw'!I21</f>
        <v>0</v>
      </c>
      <c r="G31" s="24">
        <f>'AEO 2023 Table 36 Raw'!J21</f>
        <v>0</v>
      </c>
      <c r="H31" s="24">
        <f>'AEO 2023 Table 36 Raw'!K21</f>
        <v>0</v>
      </c>
      <c r="I31" s="24">
        <f>'AEO 2023 Table 36 Raw'!L21</f>
        <v>0</v>
      </c>
      <c r="J31" s="24">
        <f>'AEO 2023 Table 36 Raw'!M21</f>
        <v>0</v>
      </c>
      <c r="K31" s="24">
        <f>'AEO 2023 Table 36 Raw'!N21</f>
        <v>0</v>
      </c>
      <c r="L31" s="24">
        <f>'AEO 2023 Table 36 Raw'!O21</f>
        <v>0</v>
      </c>
      <c r="M31" s="24">
        <f>'AEO 2023 Table 36 Raw'!P21</f>
        <v>0</v>
      </c>
      <c r="N31" s="24">
        <f>'AEO 2023 Table 36 Raw'!Q21</f>
        <v>0</v>
      </c>
      <c r="O31" s="24">
        <f>'AEO 2023 Table 36 Raw'!R21</f>
        <v>0</v>
      </c>
      <c r="P31" s="24">
        <f>'AEO 2023 Table 36 Raw'!S21</f>
        <v>0</v>
      </c>
      <c r="Q31" s="24">
        <f>'AEO 2023 Table 36 Raw'!T21</f>
        <v>0</v>
      </c>
      <c r="R31" s="24">
        <f>'AEO 2023 Table 36 Raw'!U21</f>
        <v>0</v>
      </c>
      <c r="S31" s="24">
        <f>'AEO 2023 Table 36 Raw'!V21</f>
        <v>0</v>
      </c>
      <c r="T31" s="24">
        <f>'AEO 2023 Table 36 Raw'!W21</f>
        <v>0</v>
      </c>
      <c r="U31" s="24">
        <f>'AEO 2023 Table 36 Raw'!X21</f>
        <v>0</v>
      </c>
      <c r="V31" s="24">
        <f>'AEO 2023 Table 36 Raw'!Y21</f>
        <v>0</v>
      </c>
      <c r="W31" s="24">
        <f>'AEO 2023 Table 36 Raw'!Z21</f>
        <v>0</v>
      </c>
      <c r="X31" s="24">
        <f>'AEO 2023 Table 36 Raw'!AA21</f>
        <v>0</v>
      </c>
      <c r="Y31" s="24">
        <f>'AEO 2023 Table 36 Raw'!AB21</f>
        <v>0</v>
      </c>
      <c r="Z31" s="24">
        <f>'AEO 2023 Table 36 Raw'!AC21</f>
        <v>0</v>
      </c>
      <c r="AA31" s="24">
        <f>'AEO 2023 Table 36 Raw'!AD21</f>
        <v>0</v>
      </c>
      <c r="AB31" s="24">
        <f>'AEO 2023 Table 36 Raw'!AE21</f>
        <v>0</v>
      </c>
      <c r="AC31" s="24">
        <f>'AEO 2023 Table 36 Raw'!AF21</f>
        <v>0</v>
      </c>
      <c r="AD31" s="24">
        <f>'AEO 2023 Table 36 Raw'!AG21</f>
        <v>0</v>
      </c>
      <c r="AE31" s="24">
        <f>'AEO 2023 Table 36 Raw'!AH21</f>
        <v>0</v>
      </c>
      <c r="AF31" s="29" t="str">
        <f>'AEO 2023 Table 36 Raw'!AI21</f>
        <v>- -</v>
      </c>
    </row>
    <row r="32" spans="1:32" ht="12" customHeight="1">
      <c r="C32" s="24"/>
      <c r="D32" s="24"/>
      <c r="E32" s="24"/>
      <c r="F32" s="24"/>
      <c r="G32" s="24"/>
      <c r="H32" s="24"/>
      <c r="I32" s="24"/>
      <c r="J32" s="24"/>
      <c r="K32" s="24"/>
      <c r="L32" s="24"/>
      <c r="M32" s="24"/>
      <c r="N32" s="24"/>
      <c r="O32" s="24"/>
      <c r="P32" s="24"/>
      <c r="Q32" s="24"/>
      <c r="R32" s="24"/>
      <c r="S32" s="24"/>
      <c r="T32" s="24"/>
      <c r="U32" s="24"/>
      <c r="V32" s="24"/>
      <c r="W32" s="24"/>
      <c r="X32" s="24"/>
      <c r="Y32" s="24"/>
      <c r="Z32" s="24"/>
      <c r="AA32" s="24"/>
      <c r="AB32" s="24"/>
      <c r="AC32" s="24"/>
      <c r="AD32" s="24"/>
      <c r="AE32" s="24"/>
      <c r="AF32" s="29"/>
    </row>
    <row r="33" spans="1:32" ht="15" customHeight="1">
      <c r="A33" s="18" t="s">
        <v>292</v>
      </c>
      <c r="B33" s="20" t="s">
        <v>293</v>
      </c>
      <c r="C33" s="24">
        <f>'AEO 2023 Table 36 Raw'!F22</f>
        <v>5922.7910160000001</v>
      </c>
      <c r="D33" s="24">
        <f>'AEO 2023 Table 36 Raw'!G22</f>
        <v>5816.7055659999996</v>
      </c>
      <c r="E33" s="24">
        <f>'AEO 2023 Table 36 Raw'!H22</f>
        <v>5728.0952150000003</v>
      </c>
      <c r="F33" s="24">
        <f>'AEO 2023 Table 36 Raw'!I22</f>
        <v>5673.0986329999996</v>
      </c>
      <c r="G33" s="24">
        <f>'AEO 2023 Table 36 Raw'!J22</f>
        <v>5638.8964839999999</v>
      </c>
      <c r="H33" s="24">
        <f>'AEO 2023 Table 36 Raw'!K22</f>
        <v>5591.7084960000002</v>
      </c>
      <c r="I33" s="24">
        <f>'AEO 2023 Table 36 Raw'!L22</f>
        <v>5543.7119140000004</v>
      </c>
      <c r="J33" s="24">
        <f>'AEO 2023 Table 36 Raw'!M22</f>
        <v>5483.6694340000004</v>
      </c>
      <c r="K33" s="24">
        <f>'AEO 2023 Table 36 Raw'!N22</f>
        <v>5422.388672</v>
      </c>
      <c r="L33" s="24">
        <f>'AEO 2023 Table 36 Raw'!O22</f>
        <v>5371.3027339999999</v>
      </c>
      <c r="M33" s="24">
        <f>'AEO 2023 Table 36 Raw'!P22</f>
        <v>5340.158203</v>
      </c>
      <c r="N33" s="24">
        <f>'AEO 2023 Table 36 Raw'!Q22</f>
        <v>5306.5048829999996</v>
      </c>
      <c r="O33" s="24">
        <f>'AEO 2023 Table 36 Raw'!R22</f>
        <v>5278.7797849999997</v>
      </c>
      <c r="P33" s="24">
        <f>'AEO 2023 Table 36 Raw'!S22</f>
        <v>5261.2470700000003</v>
      </c>
      <c r="Q33" s="24">
        <f>'AEO 2023 Table 36 Raw'!T22</f>
        <v>5242.9990230000003</v>
      </c>
      <c r="R33" s="24">
        <f>'AEO 2023 Table 36 Raw'!U22</f>
        <v>5237.6972660000001</v>
      </c>
      <c r="S33" s="24">
        <f>'AEO 2023 Table 36 Raw'!V22</f>
        <v>5236.3618159999996</v>
      </c>
      <c r="T33" s="24">
        <f>'AEO 2023 Table 36 Raw'!W22</f>
        <v>5238.3041990000002</v>
      </c>
      <c r="U33" s="24">
        <f>'AEO 2023 Table 36 Raw'!X22</f>
        <v>5247.9145509999998</v>
      </c>
      <c r="V33" s="24">
        <f>'AEO 2023 Table 36 Raw'!Y22</f>
        <v>5263.2084960000002</v>
      </c>
      <c r="W33" s="24">
        <f>'AEO 2023 Table 36 Raw'!Z22</f>
        <v>5281.4541019999997</v>
      </c>
      <c r="X33" s="24">
        <f>'AEO 2023 Table 36 Raw'!AA22</f>
        <v>5299.6816410000001</v>
      </c>
      <c r="Y33" s="24">
        <f>'AEO 2023 Table 36 Raw'!AB22</f>
        <v>5316.7680659999996</v>
      </c>
      <c r="Z33" s="24">
        <f>'AEO 2023 Table 36 Raw'!AC22</f>
        <v>5331.7001950000003</v>
      </c>
      <c r="AA33" s="24">
        <f>'AEO 2023 Table 36 Raw'!AD22</f>
        <v>5353.1992190000001</v>
      </c>
      <c r="AB33" s="24">
        <f>'AEO 2023 Table 36 Raw'!AE22</f>
        <v>5376.3164059999999</v>
      </c>
      <c r="AC33" s="24">
        <f>'AEO 2023 Table 36 Raw'!AF22</f>
        <v>5393.3178710000002</v>
      </c>
      <c r="AD33" s="24">
        <f>'AEO 2023 Table 36 Raw'!AG22</f>
        <v>5413.4169920000004</v>
      </c>
      <c r="AE33" s="24">
        <f>'AEO 2023 Table 36 Raw'!AH22</f>
        <v>5450.0122069999998</v>
      </c>
      <c r="AF33" s="29">
        <f>'AEO 2023 Table 36 Raw'!AI22</f>
        <v>-3.0000000000000001E-3</v>
      </c>
    </row>
    <row r="34" spans="1:32" ht="15" customHeight="1">
      <c r="A34" s="18" t="s">
        <v>294</v>
      </c>
      <c r="B34" s="21" t="s">
        <v>295</v>
      </c>
      <c r="C34" s="24">
        <f>'AEO 2023 Table 36 Raw'!F23</f>
        <v>616.20519999999999</v>
      </c>
      <c r="D34" s="24">
        <f>'AEO 2023 Table 36 Raw'!G23</f>
        <v>611.60089100000005</v>
      </c>
      <c r="E34" s="24">
        <f>'AEO 2023 Table 36 Raw'!H23</f>
        <v>610.37268100000006</v>
      </c>
      <c r="F34" s="24">
        <f>'AEO 2023 Table 36 Raw'!I23</f>
        <v>612.19366500000001</v>
      </c>
      <c r="G34" s="24">
        <f>'AEO 2023 Table 36 Raw'!J23</f>
        <v>616.92590299999995</v>
      </c>
      <c r="H34" s="24">
        <f>'AEO 2023 Table 36 Raw'!K23</f>
        <v>620.02862500000003</v>
      </c>
      <c r="I34" s="24">
        <f>'AEO 2023 Table 36 Raw'!L23</f>
        <v>623.435608</v>
      </c>
      <c r="J34" s="24">
        <f>'AEO 2023 Table 36 Raw'!M23</f>
        <v>626.11090100000001</v>
      </c>
      <c r="K34" s="24">
        <f>'AEO 2023 Table 36 Raw'!N23</f>
        <v>629.31872599999997</v>
      </c>
      <c r="L34" s="24">
        <f>'AEO 2023 Table 36 Raw'!O23</f>
        <v>633.79577600000005</v>
      </c>
      <c r="M34" s="24">
        <f>'AEO 2023 Table 36 Raw'!P23</f>
        <v>641.25616500000001</v>
      </c>
      <c r="N34" s="24">
        <f>'AEO 2023 Table 36 Raw'!Q23</f>
        <v>647.76110800000004</v>
      </c>
      <c r="O34" s="24">
        <f>'AEO 2023 Table 36 Raw'!R23</f>
        <v>654.28460700000005</v>
      </c>
      <c r="P34" s="24">
        <f>'AEO 2023 Table 36 Raw'!S23</f>
        <v>661.13012700000002</v>
      </c>
      <c r="Q34" s="24">
        <f>'AEO 2023 Table 36 Raw'!T23</f>
        <v>667.05139199999996</v>
      </c>
      <c r="R34" s="24">
        <f>'AEO 2023 Table 36 Raw'!U23</f>
        <v>674.55737299999998</v>
      </c>
      <c r="S34" s="24">
        <f>'AEO 2023 Table 36 Raw'!V23</f>
        <v>681.19171100000005</v>
      </c>
      <c r="T34" s="24">
        <f>'AEO 2023 Table 36 Raw'!W23</f>
        <v>688.82940699999995</v>
      </c>
      <c r="U34" s="24">
        <f>'AEO 2023 Table 36 Raw'!X23</f>
        <v>697.06719999999996</v>
      </c>
      <c r="V34" s="24">
        <f>'AEO 2023 Table 36 Raw'!Y23</f>
        <v>706.54357900000002</v>
      </c>
      <c r="W34" s="24">
        <f>'AEO 2023 Table 36 Raw'!Z23</f>
        <v>715.970642</v>
      </c>
      <c r="X34" s="24">
        <f>'AEO 2023 Table 36 Raw'!AA23</f>
        <v>725.08044400000006</v>
      </c>
      <c r="Y34" s="24">
        <f>'AEO 2023 Table 36 Raw'!AB23</f>
        <v>734.180969</v>
      </c>
      <c r="Z34" s="24">
        <f>'AEO 2023 Table 36 Raw'!AC23</f>
        <v>743.18780500000003</v>
      </c>
      <c r="AA34" s="24">
        <f>'AEO 2023 Table 36 Raw'!AD23</f>
        <v>753.50970500000005</v>
      </c>
      <c r="AB34" s="24">
        <f>'AEO 2023 Table 36 Raw'!AE23</f>
        <v>764.21655299999998</v>
      </c>
      <c r="AC34" s="24">
        <f>'AEO 2023 Table 36 Raw'!AF23</f>
        <v>774.01879899999994</v>
      </c>
      <c r="AD34" s="24">
        <f>'AEO 2023 Table 36 Raw'!AG23</f>
        <v>784.56542999999999</v>
      </c>
      <c r="AE34" s="24">
        <f>'AEO 2023 Table 36 Raw'!AH23</f>
        <v>797.65808100000004</v>
      </c>
      <c r="AF34" s="29">
        <f>'AEO 2023 Table 36 Raw'!AI23</f>
        <v>8.9999999999999993E-3</v>
      </c>
    </row>
    <row r="35" spans="1:32" ht="15" customHeight="1">
      <c r="A35" s="18" t="s">
        <v>296</v>
      </c>
      <c r="B35" s="21" t="s">
        <v>274</v>
      </c>
      <c r="C35" s="24">
        <f>'AEO 2023 Table 36 Raw'!F24</f>
        <v>5252.3305659999996</v>
      </c>
      <c r="D35" s="24">
        <f>'AEO 2023 Table 36 Raw'!G24</f>
        <v>5150.2441410000001</v>
      </c>
      <c r="E35" s="24">
        <f>'AEO 2023 Table 36 Raw'!H24</f>
        <v>5062.3154299999997</v>
      </c>
      <c r="F35" s="24">
        <f>'AEO 2023 Table 36 Raw'!I24</f>
        <v>5004.9750979999999</v>
      </c>
      <c r="G35" s="24">
        <f>'AEO 2023 Table 36 Raw'!J24</f>
        <v>4965.6987300000001</v>
      </c>
      <c r="H35" s="24">
        <f>'AEO 2023 Table 36 Raw'!K24</f>
        <v>4915.5693359999996</v>
      </c>
      <c r="I35" s="24">
        <f>'AEO 2023 Table 36 Raw'!L24</f>
        <v>4864.6591799999997</v>
      </c>
      <c r="J35" s="24">
        <f>'AEO 2023 Table 36 Raw'!M24</f>
        <v>4802.8212890000004</v>
      </c>
      <c r="K35" s="24">
        <f>'AEO 2023 Table 36 Raw'!N24</f>
        <v>4739.4140619999998</v>
      </c>
      <c r="L35" s="24">
        <f>'AEO 2023 Table 36 Raw'!O24</f>
        <v>4684.7788090000004</v>
      </c>
      <c r="M35" s="24">
        <f>'AEO 2023 Table 36 Raw'!P24</f>
        <v>4646.6831050000001</v>
      </c>
      <c r="N35" s="24">
        <f>'AEO 2023 Table 36 Raw'!Q24</f>
        <v>4606.6586909999996</v>
      </c>
      <c r="O35" s="24">
        <f>'AEO 2023 Table 36 Raw'!R24</f>
        <v>4572.0830079999996</v>
      </c>
      <c r="P35" s="24">
        <f>'AEO 2023 Table 36 Raw'!S24</f>
        <v>4546.9648440000001</v>
      </c>
      <c r="Q35" s="24">
        <f>'AEO 2023 Table 36 Raw'!T24</f>
        <v>4521.8164059999999</v>
      </c>
      <c r="R35" s="24">
        <f>'AEO 2023 Table 36 Raw'!U24</f>
        <v>4507.6464839999999</v>
      </c>
      <c r="S35" s="24">
        <f>'AEO 2023 Table 36 Raw'!V24</f>
        <v>4498.0512699999999</v>
      </c>
      <c r="T35" s="24">
        <f>'AEO 2023 Table 36 Raw'!W24</f>
        <v>4490.4604490000002</v>
      </c>
      <c r="U35" s="24">
        <f>'AEO 2023 Table 36 Raw'!X24</f>
        <v>4489.5615230000003</v>
      </c>
      <c r="V35" s="24">
        <f>'AEO 2023 Table 36 Raw'!Y24</f>
        <v>4492.7368159999996</v>
      </c>
      <c r="W35" s="24">
        <f>'AEO 2023 Table 36 Raw'!Z24</f>
        <v>4498.6596680000002</v>
      </c>
      <c r="X35" s="24">
        <f>'AEO 2023 Table 36 Raw'!AA24</f>
        <v>4504.6669920000004</v>
      </c>
      <c r="Y35" s="24">
        <f>'AEO 2023 Table 36 Raw'!AB24</f>
        <v>4509.3803710000002</v>
      </c>
      <c r="Z35" s="24">
        <f>'AEO 2023 Table 36 Raw'!AC24</f>
        <v>4511.908203</v>
      </c>
      <c r="AA35" s="24">
        <f>'AEO 2023 Table 36 Raw'!AD24</f>
        <v>4519.439453</v>
      </c>
      <c r="AB35" s="24">
        <f>'AEO 2023 Table 36 Raw'!AE24</f>
        <v>4527.9907229999999</v>
      </c>
      <c r="AC35" s="24">
        <f>'AEO 2023 Table 36 Raw'!AF24</f>
        <v>4531.3125</v>
      </c>
      <c r="AD35" s="24">
        <f>'AEO 2023 Table 36 Raw'!AG24</f>
        <v>4536.8085940000001</v>
      </c>
      <c r="AE35" s="24">
        <f>'AEO 2023 Table 36 Raw'!AH24</f>
        <v>4555.8002930000002</v>
      </c>
      <c r="AF35" s="29">
        <f>'AEO 2023 Table 36 Raw'!AI24</f>
        <v>-5.0000000000000001E-3</v>
      </c>
    </row>
    <row r="36" spans="1:32" ht="15" customHeight="1">
      <c r="A36" s="18" t="s">
        <v>297</v>
      </c>
      <c r="B36" s="21" t="s">
        <v>276</v>
      </c>
      <c r="C36" s="24">
        <f>'AEO 2023 Table 36 Raw'!F25</f>
        <v>51.344929</v>
      </c>
      <c r="D36" s="24">
        <f>'AEO 2023 Table 36 Raw'!G25</f>
        <v>51.773192999999999</v>
      </c>
      <c r="E36" s="24">
        <f>'AEO 2023 Table 36 Raw'!H25</f>
        <v>51.965775000000001</v>
      </c>
      <c r="F36" s="24">
        <f>'AEO 2023 Table 36 Raw'!I25</f>
        <v>52.061793999999999</v>
      </c>
      <c r="G36" s="24">
        <f>'AEO 2023 Table 36 Raw'!J25</f>
        <v>52.003608999999997</v>
      </c>
      <c r="H36" s="24">
        <f>'AEO 2023 Table 36 Raw'!K25</f>
        <v>51.453991000000002</v>
      </c>
      <c r="I36" s="24">
        <f>'AEO 2023 Table 36 Raw'!L25</f>
        <v>50.587242000000003</v>
      </c>
      <c r="J36" s="24">
        <f>'AEO 2023 Table 36 Raw'!M25</f>
        <v>49.357909999999997</v>
      </c>
      <c r="K36" s="24">
        <f>'AEO 2023 Table 36 Raw'!N25</f>
        <v>47.935226</v>
      </c>
      <c r="L36" s="24">
        <f>'AEO 2023 Table 36 Raw'!O25</f>
        <v>46.656028999999997</v>
      </c>
      <c r="M36" s="24">
        <f>'AEO 2023 Table 36 Raw'!P25</f>
        <v>45.774757000000001</v>
      </c>
      <c r="N36" s="24">
        <f>'AEO 2023 Table 36 Raw'!Q25</f>
        <v>45.265822999999997</v>
      </c>
      <c r="O36" s="24">
        <f>'AEO 2023 Table 36 Raw'!R25</f>
        <v>45.213749</v>
      </c>
      <c r="P36" s="24">
        <f>'AEO 2023 Table 36 Raw'!S25</f>
        <v>45.570152</v>
      </c>
      <c r="Q36" s="24">
        <f>'AEO 2023 Table 36 Raw'!T25</f>
        <v>46.181812000000001</v>
      </c>
      <c r="R36" s="24">
        <f>'AEO 2023 Table 36 Raw'!U25</f>
        <v>47.148071000000002</v>
      </c>
      <c r="S36" s="24">
        <f>'AEO 2023 Table 36 Raw'!V25</f>
        <v>48.373516000000002</v>
      </c>
      <c r="T36" s="24">
        <f>'AEO 2023 Table 36 Raw'!W25</f>
        <v>49.850357000000002</v>
      </c>
      <c r="U36" s="24">
        <f>'AEO 2023 Table 36 Raw'!X25</f>
        <v>51.657871</v>
      </c>
      <c r="V36" s="24">
        <f>'AEO 2023 Table 36 Raw'!Y25</f>
        <v>53.784999999999997</v>
      </c>
      <c r="W36" s="24">
        <f>'AEO 2023 Table 36 Raw'!Z25</f>
        <v>56.128627999999999</v>
      </c>
      <c r="X36" s="24">
        <f>'AEO 2023 Table 36 Raw'!AA25</f>
        <v>58.653038000000002</v>
      </c>
      <c r="Y36" s="24">
        <f>'AEO 2023 Table 36 Raw'!AB25</f>
        <v>61.322830000000003</v>
      </c>
      <c r="Z36" s="24">
        <f>'AEO 2023 Table 36 Raw'!AC25</f>
        <v>64.089225999999996</v>
      </c>
      <c r="AA36" s="24">
        <f>'AEO 2023 Table 36 Raw'!AD25</f>
        <v>67.060805999999999</v>
      </c>
      <c r="AB36" s="24">
        <f>'AEO 2023 Table 36 Raw'!AE25</f>
        <v>70.195708999999994</v>
      </c>
      <c r="AC36" s="24">
        <f>'AEO 2023 Table 36 Raw'!AF25</f>
        <v>73.347763</v>
      </c>
      <c r="AD36" s="24">
        <f>'AEO 2023 Table 36 Raw'!AG25</f>
        <v>76.647514000000001</v>
      </c>
      <c r="AE36" s="24">
        <f>'AEO 2023 Table 36 Raw'!AH25</f>
        <v>80.336478999999997</v>
      </c>
      <c r="AF36" s="29">
        <f>'AEO 2023 Table 36 Raw'!AI25</f>
        <v>1.6E-2</v>
      </c>
    </row>
    <row r="37" spans="1:32" ht="15" customHeight="1">
      <c r="A37" s="18" t="s">
        <v>298</v>
      </c>
      <c r="B37" s="21" t="s">
        <v>278</v>
      </c>
      <c r="C37" s="24">
        <f>'AEO 2023 Table 36 Raw'!F26</f>
        <v>1.2452650000000001</v>
      </c>
      <c r="D37" s="24">
        <f>'AEO 2023 Table 36 Raw'!G26</f>
        <v>1.3861779999999999</v>
      </c>
      <c r="E37" s="24">
        <f>'AEO 2023 Table 36 Raw'!H26</f>
        <v>1.5248809999999999</v>
      </c>
      <c r="F37" s="24">
        <f>'AEO 2023 Table 36 Raw'!I26</f>
        <v>1.6560079999999999</v>
      </c>
      <c r="G37" s="24">
        <f>'AEO 2023 Table 36 Raw'!J26</f>
        <v>1.7862659999999999</v>
      </c>
      <c r="H37" s="24">
        <f>'AEO 2023 Table 36 Raw'!K26</f>
        <v>1.903707</v>
      </c>
      <c r="I37" s="24">
        <f>'AEO 2023 Table 36 Raw'!L26</f>
        <v>2.0105780000000002</v>
      </c>
      <c r="J37" s="24">
        <f>'AEO 2023 Table 36 Raw'!M26</f>
        <v>2.0996890000000001</v>
      </c>
      <c r="K37" s="24">
        <f>'AEO 2023 Table 36 Raw'!N26</f>
        <v>2.1804990000000002</v>
      </c>
      <c r="L37" s="24">
        <f>'AEO 2023 Table 36 Raw'!O26</f>
        <v>2.2604649999999999</v>
      </c>
      <c r="M37" s="24">
        <f>'AEO 2023 Table 36 Raw'!P26</f>
        <v>2.3478089999999998</v>
      </c>
      <c r="N37" s="24">
        <f>'AEO 2023 Table 36 Raw'!Q26</f>
        <v>2.4404729999999999</v>
      </c>
      <c r="O37" s="24">
        <f>'AEO 2023 Table 36 Raw'!R26</f>
        <v>2.5412210000000002</v>
      </c>
      <c r="P37" s="24">
        <f>'AEO 2023 Table 36 Raw'!S26</f>
        <v>2.6449829999999999</v>
      </c>
      <c r="Q37" s="24">
        <f>'AEO 2023 Table 36 Raw'!T26</f>
        <v>2.752405</v>
      </c>
      <c r="R37" s="24">
        <f>'AEO 2023 Table 36 Raw'!U26</f>
        <v>2.87385</v>
      </c>
      <c r="S37" s="24">
        <f>'AEO 2023 Table 36 Raw'!V26</f>
        <v>3.004591</v>
      </c>
      <c r="T37" s="24">
        <f>'AEO 2023 Table 36 Raw'!W26</f>
        <v>3.1495850000000001</v>
      </c>
      <c r="U37" s="24">
        <f>'AEO 2023 Table 36 Raw'!X26</f>
        <v>3.3139080000000001</v>
      </c>
      <c r="V37" s="24">
        <f>'AEO 2023 Table 36 Raw'!Y26</f>
        <v>3.5006020000000002</v>
      </c>
      <c r="W37" s="24">
        <f>'AEO 2023 Table 36 Raw'!Z26</f>
        <v>3.7020719999999998</v>
      </c>
      <c r="X37" s="24">
        <f>'AEO 2023 Table 36 Raw'!AA26</f>
        <v>3.9170069999999999</v>
      </c>
      <c r="Y37" s="24">
        <f>'AEO 2023 Table 36 Raw'!AB26</f>
        <v>4.1414160000000004</v>
      </c>
      <c r="Z37" s="24">
        <f>'AEO 2023 Table 36 Raw'!AC26</f>
        <v>4.3768849999999997</v>
      </c>
      <c r="AA37" s="24">
        <f>'AEO 2023 Table 36 Raw'!AD26</f>
        <v>4.632447</v>
      </c>
      <c r="AB37" s="24">
        <f>'AEO 2023 Table 36 Raw'!AE26</f>
        <v>4.9017460000000002</v>
      </c>
      <c r="AC37" s="24">
        <f>'AEO 2023 Table 36 Raw'!AF26</f>
        <v>5.1746309999999998</v>
      </c>
      <c r="AD37" s="24">
        <f>'AEO 2023 Table 36 Raw'!AG26</f>
        <v>5.4474770000000001</v>
      </c>
      <c r="AE37" s="24">
        <f>'AEO 2023 Table 36 Raw'!AH26</f>
        <v>5.7450359999999998</v>
      </c>
      <c r="AF37" s="29">
        <f>'AEO 2023 Table 36 Raw'!AI26</f>
        <v>5.6000000000000001E-2</v>
      </c>
    </row>
    <row r="38" spans="1:32" ht="15" customHeight="1">
      <c r="A38" s="18" t="s">
        <v>299</v>
      </c>
      <c r="B38" s="21" t="s">
        <v>300</v>
      </c>
      <c r="C38" s="24">
        <f>'AEO 2023 Table 36 Raw'!F27</f>
        <v>1.575329</v>
      </c>
      <c r="D38" s="24">
        <f>'AEO 2023 Table 36 Raw'!G27</f>
        <v>1.59209</v>
      </c>
      <c r="E38" s="24">
        <f>'AEO 2023 Table 36 Raw'!H27</f>
        <v>1.542675</v>
      </c>
      <c r="F38" s="24">
        <f>'AEO 2023 Table 36 Raw'!I27</f>
        <v>1.6006830000000001</v>
      </c>
      <c r="G38" s="24">
        <f>'AEO 2023 Table 36 Raw'!J27</f>
        <v>1.6393420000000001</v>
      </c>
      <c r="H38" s="24">
        <f>'AEO 2023 Table 36 Raw'!K27</f>
        <v>1.678971</v>
      </c>
      <c r="I38" s="24">
        <f>'AEO 2023 Table 36 Raw'!L27</f>
        <v>1.7193179999999999</v>
      </c>
      <c r="J38" s="24">
        <f>'AEO 2023 Table 36 Raw'!M27</f>
        <v>1.762707</v>
      </c>
      <c r="K38" s="24">
        <f>'AEO 2023 Table 36 Raw'!N27</f>
        <v>1.813895</v>
      </c>
      <c r="L38" s="24">
        <f>'AEO 2023 Table 36 Raw'!O27</f>
        <v>1.879181</v>
      </c>
      <c r="M38" s="24">
        <f>'AEO 2023 Table 36 Raw'!P27</f>
        <v>1.9543600000000001</v>
      </c>
      <c r="N38" s="24">
        <f>'AEO 2023 Table 36 Raw'!Q27</f>
        <v>2.0339360000000002</v>
      </c>
      <c r="O38" s="24">
        <f>'AEO 2023 Table 36 Raw'!R27</f>
        <v>2.113308</v>
      </c>
      <c r="P38" s="24">
        <f>'AEO 2023 Table 36 Raw'!S27</f>
        <v>2.196958</v>
      </c>
      <c r="Q38" s="24">
        <f>'AEO 2023 Table 36 Raw'!T27</f>
        <v>2.2686670000000002</v>
      </c>
      <c r="R38" s="24">
        <f>'AEO 2023 Table 36 Raw'!U27</f>
        <v>2.3534449999999998</v>
      </c>
      <c r="S38" s="24">
        <f>'AEO 2023 Table 36 Raw'!V27</f>
        <v>2.433783</v>
      </c>
      <c r="T38" s="24">
        <f>'AEO 2023 Table 36 Raw'!W27</f>
        <v>2.5157970000000001</v>
      </c>
      <c r="U38" s="24">
        <f>'AEO 2023 Table 36 Raw'!X27</f>
        <v>2.6119849999999998</v>
      </c>
      <c r="V38" s="24">
        <f>'AEO 2023 Table 36 Raw'!Y27</f>
        <v>2.7199399999999998</v>
      </c>
      <c r="W38" s="24">
        <f>'AEO 2023 Table 36 Raw'!Z27</f>
        <v>2.8330769999999998</v>
      </c>
      <c r="X38" s="24">
        <f>'AEO 2023 Table 36 Raw'!AA27</f>
        <v>2.961128</v>
      </c>
      <c r="Y38" s="24">
        <f>'AEO 2023 Table 36 Raw'!AB27</f>
        <v>3.087059</v>
      </c>
      <c r="Z38" s="24">
        <f>'AEO 2023 Table 36 Raw'!AC27</f>
        <v>3.2187969999999999</v>
      </c>
      <c r="AA38" s="24">
        <f>'AEO 2023 Table 36 Raw'!AD27</f>
        <v>3.346063</v>
      </c>
      <c r="AB38" s="24">
        <f>'AEO 2023 Table 36 Raw'!AE27</f>
        <v>3.488648</v>
      </c>
      <c r="AC38" s="24">
        <f>'AEO 2023 Table 36 Raw'!AF27</f>
        <v>3.6174729999999999</v>
      </c>
      <c r="AD38" s="24">
        <f>'AEO 2023 Table 36 Raw'!AG27</f>
        <v>3.75576</v>
      </c>
      <c r="AE38" s="24">
        <f>'AEO 2023 Table 36 Raw'!AH27</f>
        <v>3.8951479999999998</v>
      </c>
      <c r="AF38" s="29">
        <f>'AEO 2023 Table 36 Raw'!AI27</f>
        <v>3.3000000000000002E-2</v>
      </c>
    </row>
    <row r="39" spans="1:32" ht="15" customHeight="1">
      <c r="A39" s="18" t="s">
        <v>301</v>
      </c>
      <c r="B39" s="21" t="s">
        <v>280</v>
      </c>
      <c r="C39" s="24">
        <f>'AEO 2023 Table 36 Raw'!F28</f>
        <v>9.0132000000000004E-2</v>
      </c>
      <c r="D39" s="24">
        <f>'AEO 2023 Table 36 Raw'!G28</f>
        <v>0.10914600000000001</v>
      </c>
      <c r="E39" s="24">
        <f>'AEO 2023 Table 36 Raw'!H28</f>
        <v>0.14400499999999999</v>
      </c>
      <c r="F39" s="24">
        <f>'AEO 2023 Table 36 Raw'!I28</f>
        <v>0.16340499999999999</v>
      </c>
      <c r="G39" s="24">
        <f>'AEO 2023 Table 36 Raw'!J28</f>
        <v>0.180895</v>
      </c>
      <c r="H39" s="24">
        <f>'AEO 2023 Table 36 Raw'!K28</f>
        <v>0.19575699999999999</v>
      </c>
      <c r="I39" s="24">
        <f>'AEO 2023 Table 36 Raw'!L28</f>
        <v>0.20827399999999999</v>
      </c>
      <c r="J39" s="24">
        <f>'AEO 2023 Table 36 Raw'!M28</f>
        <v>0.21801599999999999</v>
      </c>
      <c r="K39" s="24">
        <f>'AEO 2023 Table 36 Raw'!N28</f>
        <v>0.225574</v>
      </c>
      <c r="L39" s="24">
        <f>'AEO 2023 Table 36 Raw'!O28</f>
        <v>0.231714</v>
      </c>
      <c r="M39" s="24">
        <f>'AEO 2023 Table 36 Raw'!P28</f>
        <v>0.23694499999999999</v>
      </c>
      <c r="N39" s="24">
        <f>'AEO 2023 Table 36 Raw'!Q28</f>
        <v>0.240285</v>
      </c>
      <c r="O39" s="24">
        <f>'AEO 2023 Table 36 Raw'!R28</f>
        <v>0.24247299999999999</v>
      </c>
      <c r="P39" s="24">
        <f>'AEO 2023 Table 36 Raw'!S28</f>
        <v>0.244232</v>
      </c>
      <c r="Q39" s="24">
        <f>'AEO 2023 Table 36 Raw'!T28</f>
        <v>0.245169</v>
      </c>
      <c r="R39" s="24">
        <f>'AEO 2023 Table 36 Raw'!U28</f>
        <v>0.24673500000000001</v>
      </c>
      <c r="S39" s="24">
        <f>'AEO 2023 Table 36 Raw'!V28</f>
        <v>0.24945500000000001</v>
      </c>
      <c r="T39" s="24">
        <f>'AEO 2023 Table 36 Raw'!W28</f>
        <v>0.25267000000000001</v>
      </c>
      <c r="U39" s="24">
        <f>'AEO 2023 Table 36 Raw'!X28</f>
        <v>0.25714399999999998</v>
      </c>
      <c r="V39" s="24">
        <f>'AEO 2023 Table 36 Raw'!Y28</f>
        <v>0.26399899999999998</v>
      </c>
      <c r="W39" s="24">
        <f>'AEO 2023 Table 36 Raw'!Z28</f>
        <v>0.27311400000000002</v>
      </c>
      <c r="X39" s="24">
        <f>'AEO 2023 Table 36 Raw'!AA28</f>
        <v>0.28285100000000002</v>
      </c>
      <c r="Y39" s="24">
        <f>'AEO 2023 Table 36 Raw'!AB28</f>
        <v>0.293846</v>
      </c>
      <c r="Z39" s="24">
        <f>'AEO 2023 Table 36 Raw'!AC28</f>
        <v>0.30659700000000001</v>
      </c>
      <c r="AA39" s="24">
        <f>'AEO 2023 Table 36 Raw'!AD28</f>
        <v>0.32178200000000001</v>
      </c>
      <c r="AB39" s="24">
        <f>'AEO 2023 Table 36 Raw'!AE28</f>
        <v>0.33802500000000002</v>
      </c>
      <c r="AC39" s="24">
        <f>'AEO 2023 Table 36 Raw'!AF28</f>
        <v>0.35486499999999999</v>
      </c>
      <c r="AD39" s="24">
        <f>'AEO 2023 Table 36 Raw'!AG28</f>
        <v>0.37290400000000001</v>
      </c>
      <c r="AE39" s="24">
        <f>'AEO 2023 Table 36 Raw'!AH28</f>
        <v>0.39289000000000002</v>
      </c>
      <c r="AF39" s="29">
        <f>'AEO 2023 Table 36 Raw'!AI28</f>
        <v>5.3999999999999999E-2</v>
      </c>
    </row>
    <row r="40" spans="1:32" ht="15" customHeight="1">
      <c r="A40" s="18" t="s">
        <v>302</v>
      </c>
      <c r="B40" s="21" t="s">
        <v>282</v>
      </c>
      <c r="C40" s="24">
        <f>'AEO 2023 Table 36 Raw'!F29</f>
        <v>0</v>
      </c>
      <c r="D40" s="24">
        <f>'AEO 2023 Table 36 Raw'!G29</f>
        <v>0</v>
      </c>
      <c r="E40" s="24">
        <f>'AEO 2023 Table 36 Raw'!H29</f>
        <v>0.22972699999999999</v>
      </c>
      <c r="F40" s="24">
        <f>'AEO 2023 Table 36 Raw'!I29</f>
        <v>0.44725199999999998</v>
      </c>
      <c r="G40" s="24">
        <f>'AEO 2023 Table 36 Raw'!J29</f>
        <v>0.66231200000000001</v>
      </c>
      <c r="H40" s="24">
        <f>'AEO 2023 Table 36 Raw'!K29</f>
        <v>0.87751500000000004</v>
      </c>
      <c r="I40" s="24">
        <f>'AEO 2023 Table 36 Raw'!L29</f>
        <v>1.0912500000000001</v>
      </c>
      <c r="J40" s="24">
        <f>'AEO 2023 Table 36 Raw'!M29</f>
        <v>1.2990360000000001</v>
      </c>
      <c r="K40" s="24">
        <f>'AEO 2023 Table 36 Raw'!N29</f>
        <v>1.5006790000000001</v>
      </c>
      <c r="L40" s="24">
        <f>'AEO 2023 Table 36 Raw'!O29</f>
        <v>1.7007650000000001</v>
      </c>
      <c r="M40" s="24">
        <f>'AEO 2023 Table 36 Raw'!P29</f>
        <v>1.904776</v>
      </c>
      <c r="N40" s="24">
        <f>'AEO 2023 Table 36 Raw'!Q29</f>
        <v>2.1047159999999998</v>
      </c>
      <c r="O40" s="24">
        <f>'AEO 2023 Table 36 Raw'!R29</f>
        <v>2.3014619999999999</v>
      </c>
      <c r="P40" s="24">
        <f>'AEO 2023 Table 36 Raw'!S29</f>
        <v>2.4959410000000002</v>
      </c>
      <c r="Q40" s="24">
        <f>'AEO 2023 Table 36 Raw'!T29</f>
        <v>2.6833969999999998</v>
      </c>
      <c r="R40" s="24">
        <f>'AEO 2023 Table 36 Raw'!U29</f>
        <v>2.8711519999999999</v>
      </c>
      <c r="S40" s="24">
        <f>'AEO 2023 Table 36 Raw'!V29</f>
        <v>3.0575350000000001</v>
      </c>
      <c r="T40" s="24">
        <f>'AEO 2023 Table 36 Raw'!W29</f>
        <v>3.245911</v>
      </c>
      <c r="U40" s="24">
        <f>'AEO 2023 Table 36 Raw'!X29</f>
        <v>3.4448439999999998</v>
      </c>
      <c r="V40" s="24">
        <f>'AEO 2023 Table 36 Raw'!Y29</f>
        <v>3.6585719999999999</v>
      </c>
      <c r="W40" s="24">
        <f>'AEO 2023 Table 36 Raw'!Z29</f>
        <v>3.886771</v>
      </c>
      <c r="X40" s="24">
        <f>'AEO 2023 Table 36 Raw'!AA29</f>
        <v>4.1203969999999996</v>
      </c>
      <c r="Y40" s="24">
        <f>'AEO 2023 Table 36 Raw'!AB29</f>
        <v>4.3612700000000002</v>
      </c>
      <c r="Z40" s="24">
        <f>'AEO 2023 Table 36 Raw'!AC29</f>
        <v>4.6121660000000002</v>
      </c>
      <c r="AA40" s="24">
        <f>'AEO 2023 Table 36 Raw'!AD29</f>
        <v>4.8889959999999997</v>
      </c>
      <c r="AB40" s="24">
        <f>'AEO 2023 Table 36 Raw'!AE29</f>
        <v>5.184831</v>
      </c>
      <c r="AC40" s="24">
        <f>'AEO 2023 Table 36 Raw'!AF29</f>
        <v>5.4921150000000001</v>
      </c>
      <c r="AD40" s="24">
        <f>'AEO 2023 Table 36 Raw'!AG29</f>
        <v>5.8197830000000002</v>
      </c>
      <c r="AE40" s="24">
        <f>'AEO 2023 Table 36 Raw'!AH29</f>
        <v>6.1840799999999998</v>
      </c>
      <c r="AF40" s="29" t="str">
        <f>'AEO 2023 Table 36 Raw'!AI29</f>
        <v>- -</v>
      </c>
    </row>
    <row r="41" spans="1:32" ht="12" customHeight="1">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9"/>
    </row>
    <row r="42" spans="1:32" ht="12" customHeight="1">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9"/>
    </row>
    <row r="43" spans="1:32" ht="15" customHeight="1">
      <c r="A43" s="18" t="s">
        <v>303</v>
      </c>
      <c r="B43" s="20" t="s">
        <v>304</v>
      </c>
      <c r="C43" s="24">
        <f>'AEO 2023 Table 36 Raw'!F30</f>
        <v>481.38171399999999</v>
      </c>
      <c r="D43" s="24">
        <f>'AEO 2023 Table 36 Raw'!G30</f>
        <v>474.82238799999999</v>
      </c>
      <c r="E43" s="24">
        <f>'AEO 2023 Table 36 Raw'!H30</f>
        <v>494.12914999999998</v>
      </c>
      <c r="F43" s="24">
        <f>'AEO 2023 Table 36 Raw'!I30</f>
        <v>482.20422400000001</v>
      </c>
      <c r="G43" s="24">
        <f>'AEO 2023 Table 36 Raw'!J30</f>
        <v>461.88034099999999</v>
      </c>
      <c r="H43" s="24">
        <f>'AEO 2023 Table 36 Raw'!K30</f>
        <v>446.09524499999998</v>
      </c>
      <c r="I43" s="24">
        <f>'AEO 2023 Table 36 Raw'!L30</f>
        <v>439.745361</v>
      </c>
      <c r="J43" s="24">
        <f>'AEO 2023 Table 36 Raw'!M30</f>
        <v>444.52569599999998</v>
      </c>
      <c r="K43" s="24">
        <f>'AEO 2023 Table 36 Raw'!N30</f>
        <v>441.89193699999998</v>
      </c>
      <c r="L43" s="24">
        <f>'AEO 2023 Table 36 Raw'!O30</f>
        <v>443.42330900000002</v>
      </c>
      <c r="M43" s="24">
        <f>'AEO 2023 Table 36 Raw'!P30</f>
        <v>447.43722500000001</v>
      </c>
      <c r="N43" s="24">
        <f>'AEO 2023 Table 36 Raw'!Q30</f>
        <v>450.64798000000002</v>
      </c>
      <c r="O43" s="24">
        <f>'AEO 2023 Table 36 Raw'!R30</f>
        <v>452.66558800000001</v>
      </c>
      <c r="P43" s="24">
        <f>'AEO 2023 Table 36 Raw'!S30</f>
        <v>455.51504499999999</v>
      </c>
      <c r="Q43" s="24">
        <f>'AEO 2023 Table 36 Raw'!T30</f>
        <v>455.89370700000001</v>
      </c>
      <c r="R43" s="24">
        <f>'AEO 2023 Table 36 Raw'!U30</f>
        <v>456.86227400000001</v>
      </c>
      <c r="S43" s="24">
        <f>'AEO 2023 Table 36 Raw'!V30</f>
        <v>458.27462800000001</v>
      </c>
      <c r="T43" s="24">
        <f>'AEO 2023 Table 36 Raw'!W30</f>
        <v>457.60876500000001</v>
      </c>
      <c r="U43" s="24">
        <f>'AEO 2023 Table 36 Raw'!X30</f>
        <v>458.12835699999999</v>
      </c>
      <c r="V43" s="24">
        <f>'AEO 2023 Table 36 Raw'!Y30</f>
        <v>461.673248</v>
      </c>
      <c r="W43" s="24">
        <f>'AEO 2023 Table 36 Raw'!Z30</f>
        <v>464.588348</v>
      </c>
      <c r="X43" s="24">
        <f>'AEO 2023 Table 36 Raw'!AA30</f>
        <v>464.93649299999998</v>
      </c>
      <c r="Y43" s="24">
        <f>'AEO 2023 Table 36 Raw'!AB30</f>
        <v>464.922821</v>
      </c>
      <c r="Z43" s="24">
        <f>'AEO 2023 Table 36 Raw'!AC30</f>
        <v>464.770691</v>
      </c>
      <c r="AA43" s="24">
        <f>'AEO 2023 Table 36 Raw'!AD30</f>
        <v>465.76678500000003</v>
      </c>
      <c r="AB43" s="24">
        <f>'AEO 2023 Table 36 Raw'!AE30</f>
        <v>468.15533399999998</v>
      </c>
      <c r="AC43" s="24">
        <f>'AEO 2023 Table 36 Raw'!AF30</f>
        <v>471.33984400000003</v>
      </c>
      <c r="AD43" s="24">
        <f>'AEO 2023 Table 36 Raw'!AG30</f>
        <v>472.59906000000001</v>
      </c>
      <c r="AE43" s="24">
        <f>'AEO 2023 Table 36 Raw'!AH30</f>
        <v>475.72866800000003</v>
      </c>
      <c r="AF43" s="29">
        <f>'AEO 2023 Table 36 Raw'!AI30</f>
        <v>0</v>
      </c>
    </row>
    <row r="44" spans="1:32" s="98" customFormat="1" ht="15" customHeight="1">
      <c r="A44" s="94" t="s">
        <v>305</v>
      </c>
      <c r="B44" s="95" t="s">
        <v>274</v>
      </c>
      <c r="C44" s="96">
        <f>'AEO 2023 Table 36 Raw'!F31</f>
        <v>480.86654700000003</v>
      </c>
      <c r="D44" s="96">
        <f>'AEO 2023 Table 36 Raw'!G31</f>
        <v>473.79251099999999</v>
      </c>
      <c r="E44" s="96">
        <f>'AEO 2023 Table 36 Raw'!H31</f>
        <v>492.51501500000001</v>
      </c>
      <c r="F44" s="96">
        <f>'AEO 2023 Table 36 Raw'!I31</f>
        <v>480.10034200000001</v>
      </c>
      <c r="G44" s="96">
        <f>'AEO 2023 Table 36 Raw'!J31</f>
        <v>459.17535400000003</v>
      </c>
      <c r="H44" s="96">
        <f>'AEO 2023 Table 36 Raw'!K31</f>
        <v>442.59573399999999</v>
      </c>
      <c r="I44" s="96">
        <f>'AEO 2023 Table 36 Raw'!L31</f>
        <v>435.204926</v>
      </c>
      <c r="J44" s="96">
        <f>'AEO 2023 Table 36 Raw'!M31</f>
        <v>438.61608899999999</v>
      </c>
      <c r="K44" s="96">
        <f>'AEO 2023 Table 36 Raw'!N31</f>
        <v>434.49127199999998</v>
      </c>
      <c r="L44" s="96">
        <f>'AEO 2023 Table 36 Raw'!O31</f>
        <v>434.25302099999999</v>
      </c>
      <c r="M44" s="96">
        <f>'AEO 2023 Table 36 Raw'!P31</f>
        <v>435.99301100000002</v>
      </c>
      <c r="N44" s="96">
        <f>'AEO 2023 Table 36 Raw'!Q31</f>
        <v>436.48690800000003</v>
      </c>
      <c r="O44" s="96">
        <f>'AEO 2023 Table 36 Raw'!R31</f>
        <v>435.37204000000003</v>
      </c>
      <c r="P44" s="96">
        <f>'AEO 2023 Table 36 Raw'!S31</f>
        <v>434.60772700000001</v>
      </c>
      <c r="Q44" s="96">
        <f>'AEO 2023 Table 36 Raw'!T31</f>
        <v>431.05429099999998</v>
      </c>
      <c r="R44" s="96">
        <f>'AEO 2023 Table 36 Raw'!U31</f>
        <v>427.65039100000001</v>
      </c>
      <c r="S44" s="96">
        <f>'AEO 2023 Table 36 Raw'!V31</f>
        <v>424.25372299999998</v>
      </c>
      <c r="T44" s="96">
        <f>'AEO 2023 Table 36 Raw'!W31</f>
        <v>418.55365</v>
      </c>
      <c r="U44" s="96">
        <f>'AEO 2023 Table 36 Raw'!X31</f>
        <v>413.58151199999998</v>
      </c>
      <c r="V44" s="96">
        <f>'AEO 2023 Table 36 Raw'!Y31</f>
        <v>410.946777</v>
      </c>
      <c r="W44" s="96">
        <f>'AEO 2023 Table 36 Raw'!Z31</f>
        <v>407.33846999999997</v>
      </c>
      <c r="X44" s="96">
        <f>'AEO 2023 Table 36 Raw'!AA31</f>
        <v>401.121399</v>
      </c>
      <c r="Y44" s="96">
        <f>'AEO 2023 Table 36 Raw'!AB31</f>
        <v>394.29074100000003</v>
      </c>
      <c r="Z44" s="96">
        <f>'AEO 2023 Table 36 Raw'!AC31</f>
        <v>387.06680299999999</v>
      </c>
      <c r="AA44" s="96">
        <f>'AEO 2023 Table 36 Raw'!AD31</f>
        <v>380.52633700000001</v>
      </c>
      <c r="AB44" s="96">
        <f>'AEO 2023 Table 36 Raw'!AE31</f>
        <v>373.70101899999997</v>
      </c>
      <c r="AC44" s="96">
        <f>'AEO 2023 Table 36 Raw'!AF31</f>
        <v>367.609375</v>
      </c>
      <c r="AD44" s="96">
        <f>'AEO 2023 Table 36 Raw'!AG31</f>
        <v>360.13336199999998</v>
      </c>
      <c r="AE44" s="96">
        <f>'AEO 2023 Table 36 Raw'!AH31</f>
        <v>354.19946299999998</v>
      </c>
      <c r="AF44" s="97">
        <f>'AEO 2023 Table 36 Raw'!AI31</f>
        <v>-1.0999999999999999E-2</v>
      </c>
    </row>
    <row r="45" spans="1:32" ht="15" customHeight="1">
      <c r="A45" s="18" t="s">
        <v>306</v>
      </c>
      <c r="B45" s="21" t="s">
        <v>307</v>
      </c>
      <c r="C45" s="24">
        <f>'AEO 2023 Table 36 Raw'!F32</f>
        <v>0</v>
      </c>
      <c r="D45" s="24">
        <f>'AEO 2023 Table 36 Raw'!G32</f>
        <v>0</v>
      </c>
      <c r="E45" s="24">
        <f>'AEO 2023 Table 36 Raw'!H32</f>
        <v>0</v>
      </c>
      <c r="F45" s="24">
        <f>'AEO 2023 Table 36 Raw'!I32</f>
        <v>0</v>
      </c>
      <c r="G45" s="24">
        <f>'AEO 2023 Table 36 Raw'!J32</f>
        <v>0</v>
      </c>
      <c r="H45" s="24">
        <f>'AEO 2023 Table 36 Raw'!K32</f>
        <v>0</v>
      </c>
      <c r="I45" s="24">
        <f>'AEO 2023 Table 36 Raw'!L32</f>
        <v>0</v>
      </c>
      <c r="J45" s="24">
        <f>'AEO 2023 Table 36 Raw'!M32</f>
        <v>0</v>
      </c>
      <c r="K45" s="24">
        <f>'AEO 2023 Table 36 Raw'!N32</f>
        <v>0</v>
      </c>
      <c r="L45" s="24">
        <f>'AEO 2023 Table 36 Raw'!O32</f>
        <v>0</v>
      </c>
      <c r="M45" s="24">
        <f>'AEO 2023 Table 36 Raw'!P32</f>
        <v>0</v>
      </c>
      <c r="N45" s="24">
        <f>'AEO 2023 Table 36 Raw'!Q32</f>
        <v>0</v>
      </c>
      <c r="O45" s="24">
        <f>'AEO 2023 Table 36 Raw'!R32</f>
        <v>0</v>
      </c>
      <c r="P45" s="24">
        <f>'AEO 2023 Table 36 Raw'!S32</f>
        <v>0</v>
      </c>
      <c r="Q45" s="24">
        <f>'AEO 2023 Table 36 Raw'!T32</f>
        <v>0</v>
      </c>
      <c r="R45" s="24">
        <f>'AEO 2023 Table 36 Raw'!U32</f>
        <v>0</v>
      </c>
      <c r="S45" s="24">
        <f>'AEO 2023 Table 36 Raw'!V32</f>
        <v>0</v>
      </c>
      <c r="T45" s="24">
        <f>'AEO 2023 Table 36 Raw'!W32</f>
        <v>0</v>
      </c>
      <c r="U45" s="24">
        <f>'AEO 2023 Table 36 Raw'!X32</f>
        <v>0</v>
      </c>
      <c r="V45" s="24">
        <f>'AEO 2023 Table 36 Raw'!Y32</f>
        <v>0</v>
      </c>
      <c r="W45" s="24">
        <f>'AEO 2023 Table 36 Raw'!Z32</f>
        <v>0</v>
      </c>
      <c r="X45" s="24">
        <f>'AEO 2023 Table 36 Raw'!AA32</f>
        <v>0</v>
      </c>
      <c r="Y45" s="24">
        <f>'AEO 2023 Table 36 Raw'!AB32</f>
        <v>0</v>
      </c>
      <c r="Z45" s="24">
        <f>'AEO 2023 Table 36 Raw'!AC32</f>
        <v>0</v>
      </c>
      <c r="AA45" s="24">
        <f>'AEO 2023 Table 36 Raw'!AD32</f>
        <v>0</v>
      </c>
      <c r="AB45" s="24">
        <f>'AEO 2023 Table 36 Raw'!AE32</f>
        <v>0</v>
      </c>
      <c r="AC45" s="24">
        <f>'AEO 2023 Table 36 Raw'!AF32</f>
        <v>0</v>
      </c>
      <c r="AD45" s="24">
        <f>'AEO 2023 Table 36 Raw'!AG32</f>
        <v>0</v>
      </c>
      <c r="AE45" s="24">
        <f>'AEO 2023 Table 36 Raw'!AH32</f>
        <v>0</v>
      </c>
      <c r="AF45" s="29" t="str">
        <f>'AEO 2023 Table 36 Raw'!AI32</f>
        <v>- -</v>
      </c>
    </row>
    <row r="46" spans="1:32" ht="15" customHeight="1">
      <c r="A46" s="18" t="s">
        <v>308</v>
      </c>
      <c r="B46" s="21" t="s">
        <v>309</v>
      </c>
      <c r="C46" s="24">
        <f>'AEO 2023 Table 36 Raw'!F33</f>
        <v>0</v>
      </c>
      <c r="D46" s="24">
        <f>'AEO 2023 Table 36 Raw'!G33</f>
        <v>0</v>
      </c>
      <c r="E46" s="24">
        <f>'AEO 2023 Table 36 Raw'!H33</f>
        <v>0</v>
      </c>
      <c r="F46" s="24">
        <f>'AEO 2023 Table 36 Raw'!I33</f>
        <v>0</v>
      </c>
      <c r="G46" s="24">
        <f>'AEO 2023 Table 36 Raw'!J33</f>
        <v>0</v>
      </c>
      <c r="H46" s="24">
        <f>'AEO 2023 Table 36 Raw'!K33</f>
        <v>0</v>
      </c>
      <c r="I46" s="24">
        <f>'AEO 2023 Table 36 Raw'!L33</f>
        <v>0</v>
      </c>
      <c r="J46" s="24">
        <f>'AEO 2023 Table 36 Raw'!M33</f>
        <v>0</v>
      </c>
      <c r="K46" s="24">
        <f>'AEO 2023 Table 36 Raw'!N33</f>
        <v>0</v>
      </c>
      <c r="L46" s="24">
        <f>'AEO 2023 Table 36 Raw'!O33</f>
        <v>0</v>
      </c>
      <c r="M46" s="24">
        <f>'AEO 2023 Table 36 Raw'!P33</f>
        <v>0</v>
      </c>
      <c r="N46" s="24">
        <f>'AEO 2023 Table 36 Raw'!Q33</f>
        <v>0</v>
      </c>
      <c r="O46" s="24">
        <f>'AEO 2023 Table 36 Raw'!R33</f>
        <v>0</v>
      </c>
      <c r="P46" s="24">
        <f>'AEO 2023 Table 36 Raw'!S33</f>
        <v>0</v>
      </c>
      <c r="Q46" s="24">
        <f>'AEO 2023 Table 36 Raw'!T33</f>
        <v>0</v>
      </c>
      <c r="R46" s="24">
        <f>'AEO 2023 Table 36 Raw'!U33</f>
        <v>0</v>
      </c>
      <c r="S46" s="24">
        <f>'AEO 2023 Table 36 Raw'!V33</f>
        <v>0</v>
      </c>
      <c r="T46" s="24">
        <f>'AEO 2023 Table 36 Raw'!W33</f>
        <v>0</v>
      </c>
      <c r="U46" s="24">
        <f>'AEO 2023 Table 36 Raw'!X33</f>
        <v>0</v>
      </c>
      <c r="V46" s="24">
        <f>'AEO 2023 Table 36 Raw'!Y33</f>
        <v>0</v>
      </c>
      <c r="W46" s="24">
        <f>'AEO 2023 Table 36 Raw'!Z33</f>
        <v>0</v>
      </c>
      <c r="X46" s="24">
        <f>'AEO 2023 Table 36 Raw'!AA33</f>
        <v>0</v>
      </c>
      <c r="Y46" s="24">
        <f>'AEO 2023 Table 36 Raw'!AB33</f>
        <v>0</v>
      </c>
      <c r="Z46" s="24">
        <f>'AEO 2023 Table 36 Raw'!AC33</f>
        <v>0</v>
      </c>
      <c r="AA46" s="24">
        <f>'AEO 2023 Table 36 Raw'!AD33</f>
        <v>0</v>
      </c>
      <c r="AB46" s="24">
        <f>'AEO 2023 Table 36 Raw'!AE33</f>
        <v>0</v>
      </c>
      <c r="AC46" s="24">
        <f>'AEO 2023 Table 36 Raw'!AF33</f>
        <v>0</v>
      </c>
      <c r="AD46" s="24">
        <f>'AEO 2023 Table 36 Raw'!AG33</f>
        <v>0</v>
      </c>
      <c r="AE46" s="24">
        <f>'AEO 2023 Table 36 Raw'!AH33</f>
        <v>0</v>
      </c>
      <c r="AF46" s="29" t="str">
        <f>'AEO 2023 Table 36 Raw'!AI33</f>
        <v>- -</v>
      </c>
    </row>
    <row r="47" spans="1:32" ht="15" customHeight="1">
      <c r="A47" s="18" t="s">
        <v>310</v>
      </c>
      <c r="B47" s="21" t="s">
        <v>311</v>
      </c>
      <c r="C47" s="24">
        <f>'AEO 2023 Table 36 Raw'!F34</f>
        <v>0.51516300000000004</v>
      </c>
      <c r="D47" s="24">
        <f>'AEO 2023 Table 36 Raw'!G34</f>
        <v>1.02989</v>
      </c>
      <c r="E47" s="24">
        <f>'AEO 2023 Table 36 Raw'!H34</f>
        <v>1.6141289999999999</v>
      </c>
      <c r="F47" s="24">
        <f>'AEO 2023 Table 36 Raw'!I34</f>
        <v>2.1038670000000002</v>
      </c>
      <c r="G47" s="24">
        <f>'AEO 2023 Table 36 Raw'!J34</f>
        <v>2.7049910000000001</v>
      </c>
      <c r="H47" s="24">
        <f>'AEO 2023 Table 36 Raw'!K34</f>
        <v>3.499511</v>
      </c>
      <c r="I47" s="24">
        <f>'AEO 2023 Table 36 Raw'!L34</f>
        <v>4.5404369999999998</v>
      </c>
      <c r="J47" s="24">
        <f>'AEO 2023 Table 36 Raw'!M34</f>
        <v>5.9096029999999997</v>
      </c>
      <c r="K47" s="24">
        <f>'AEO 2023 Table 36 Raw'!N34</f>
        <v>7.4006509999999999</v>
      </c>
      <c r="L47" s="24">
        <f>'AEO 2023 Table 36 Raw'!O34</f>
        <v>9.1702840000000005</v>
      </c>
      <c r="M47" s="24">
        <f>'AEO 2023 Table 36 Raw'!P34</f>
        <v>11.444215</v>
      </c>
      <c r="N47" s="24">
        <f>'AEO 2023 Table 36 Raw'!Q34</f>
        <v>14.161068</v>
      </c>
      <c r="O47" s="24">
        <f>'AEO 2023 Table 36 Raw'!R34</f>
        <v>17.293554</v>
      </c>
      <c r="P47" s="24">
        <f>'AEO 2023 Table 36 Raw'!S34</f>
        <v>20.907318</v>
      </c>
      <c r="Q47" s="24">
        <f>'AEO 2023 Table 36 Raw'!T34</f>
        <v>24.839417000000001</v>
      </c>
      <c r="R47" s="24">
        <f>'AEO 2023 Table 36 Raw'!U34</f>
        <v>29.211893</v>
      </c>
      <c r="S47" s="24">
        <f>'AEO 2023 Table 36 Raw'!V34</f>
        <v>34.020896999999998</v>
      </c>
      <c r="T47" s="24">
        <f>'AEO 2023 Table 36 Raw'!W34</f>
        <v>39.055110999999997</v>
      </c>
      <c r="U47" s="24">
        <f>'AEO 2023 Table 36 Raw'!X34</f>
        <v>44.546832999999999</v>
      </c>
      <c r="V47" s="24">
        <f>'AEO 2023 Table 36 Raw'!Y34</f>
        <v>50.726470999999997</v>
      </c>
      <c r="W47" s="24">
        <f>'AEO 2023 Table 36 Raw'!Z34</f>
        <v>57.249889000000003</v>
      </c>
      <c r="X47" s="24">
        <f>'AEO 2023 Table 36 Raw'!AA34</f>
        <v>63.815086000000001</v>
      </c>
      <c r="Y47" s="24">
        <f>'AEO 2023 Table 36 Raw'!AB34</f>
        <v>70.632087999999996</v>
      </c>
      <c r="Z47" s="24">
        <f>'AEO 2023 Table 36 Raw'!AC34</f>
        <v>77.703888000000006</v>
      </c>
      <c r="AA47" s="24">
        <f>'AEO 2023 Table 36 Raw'!AD34</f>
        <v>85.240448000000001</v>
      </c>
      <c r="AB47" s="24">
        <f>'AEO 2023 Table 36 Raw'!AE34</f>
        <v>94.454329999999999</v>
      </c>
      <c r="AC47" s="24">
        <f>'AEO 2023 Table 36 Raw'!AF34</f>
        <v>103.730484</v>
      </c>
      <c r="AD47" s="24">
        <f>'AEO 2023 Table 36 Raw'!AG34</f>
        <v>112.465706</v>
      </c>
      <c r="AE47" s="24">
        <f>'AEO 2023 Table 36 Raw'!AH34</f>
        <v>121.52919799999999</v>
      </c>
      <c r="AF47" s="29">
        <f>'AEO 2023 Table 36 Raw'!AI34</f>
        <v>0.215</v>
      </c>
    </row>
    <row r="48" spans="1:32" ht="12" customHeight="1">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9"/>
    </row>
    <row r="49" spans="1:32" ht="15" customHeight="1">
      <c r="A49" s="18" t="s">
        <v>312</v>
      </c>
      <c r="B49" s="20" t="s">
        <v>12</v>
      </c>
      <c r="C49" s="24">
        <f>'AEO 2023 Table 36 Raw'!F35</f>
        <v>98.239020999999994</v>
      </c>
      <c r="D49" s="24">
        <f>'AEO 2023 Table 36 Raw'!G35</f>
        <v>98.920753000000005</v>
      </c>
      <c r="E49" s="24">
        <f>'AEO 2023 Table 36 Raw'!H35</f>
        <v>98.114661999999996</v>
      </c>
      <c r="F49" s="24">
        <f>'AEO 2023 Table 36 Raw'!I35</f>
        <v>97.346069</v>
      </c>
      <c r="G49" s="24">
        <f>'AEO 2023 Table 36 Raw'!J35</f>
        <v>96.685867000000002</v>
      </c>
      <c r="H49" s="24">
        <f>'AEO 2023 Table 36 Raw'!K35</f>
        <v>95.823470999999998</v>
      </c>
      <c r="I49" s="24">
        <f>'AEO 2023 Table 36 Raw'!L35</f>
        <v>94.964698999999996</v>
      </c>
      <c r="J49" s="24">
        <f>'AEO 2023 Table 36 Raw'!M35</f>
        <v>93.890502999999995</v>
      </c>
      <c r="K49" s="24">
        <f>'AEO 2023 Table 36 Raw'!N35</f>
        <v>92.919189000000003</v>
      </c>
      <c r="L49" s="24">
        <f>'AEO 2023 Table 36 Raw'!O35</f>
        <v>92.029815999999997</v>
      </c>
      <c r="M49" s="24">
        <f>'AEO 2023 Table 36 Raw'!P35</f>
        <v>91.401107999999994</v>
      </c>
      <c r="N49" s="24">
        <f>'AEO 2023 Table 36 Raw'!Q35</f>
        <v>90.674225000000007</v>
      </c>
      <c r="O49" s="24">
        <f>'AEO 2023 Table 36 Raw'!R35</f>
        <v>89.934028999999995</v>
      </c>
      <c r="P49" s="24">
        <f>'AEO 2023 Table 36 Raw'!S35</f>
        <v>89.168869000000001</v>
      </c>
      <c r="Q49" s="24">
        <f>'AEO 2023 Table 36 Raw'!T35</f>
        <v>88.333008000000007</v>
      </c>
      <c r="R49" s="24">
        <f>'AEO 2023 Table 36 Raw'!U35</f>
        <v>87.614966999999993</v>
      </c>
      <c r="S49" s="24">
        <f>'AEO 2023 Table 36 Raw'!V35</f>
        <v>86.833350999999993</v>
      </c>
      <c r="T49" s="24">
        <f>'AEO 2023 Table 36 Raw'!W35</f>
        <v>86.156693000000004</v>
      </c>
      <c r="U49" s="24">
        <f>'AEO 2023 Table 36 Raw'!X35</f>
        <v>85.473595000000003</v>
      </c>
      <c r="V49" s="24">
        <f>'AEO 2023 Table 36 Raw'!Y35</f>
        <v>84.846123000000006</v>
      </c>
      <c r="W49" s="24">
        <f>'AEO 2023 Table 36 Raw'!Z35</f>
        <v>84.273765999999995</v>
      </c>
      <c r="X49" s="24">
        <f>'AEO 2023 Table 36 Raw'!AA35</f>
        <v>83.705399</v>
      </c>
      <c r="Y49" s="24">
        <f>'AEO 2023 Table 36 Raw'!AB35</f>
        <v>83.103454999999997</v>
      </c>
      <c r="Z49" s="24">
        <f>'AEO 2023 Table 36 Raw'!AC35</f>
        <v>82.418205</v>
      </c>
      <c r="AA49" s="24">
        <f>'AEO 2023 Table 36 Raw'!AD35</f>
        <v>81.856209000000007</v>
      </c>
      <c r="AB49" s="24">
        <f>'AEO 2023 Table 36 Raw'!AE35</f>
        <v>81.249022999999994</v>
      </c>
      <c r="AC49" s="24">
        <f>'AEO 2023 Table 36 Raw'!AF35</f>
        <v>80.573120000000003</v>
      </c>
      <c r="AD49" s="24">
        <f>'AEO 2023 Table 36 Raw'!AG35</f>
        <v>79.990395000000007</v>
      </c>
      <c r="AE49" s="24">
        <f>'AEO 2023 Table 36 Raw'!AH35</f>
        <v>79.592849999999999</v>
      </c>
      <c r="AF49" s="29">
        <f>'AEO 2023 Table 36 Raw'!AI35</f>
        <v>-7.0000000000000001E-3</v>
      </c>
    </row>
    <row r="50" spans="1:32" s="98" customFormat="1" ht="15" customHeight="1">
      <c r="A50" s="94" t="s">
        <v>313</v>
      </c>
      <c r="B50" s="95" t="s">
        <v>274</v>
      </c>
      <c r="C50" s="96">
        <f>'AEO 2023 Table 36 Raw'!F36</f>
        <v>95.724982999999995</v>
      </c>
      <c r="D50" s="96">
        <f>'AEO 2023 Table 36 Raw'!G36</f>
        <v>96.410872999999995</v>
      </c>
      <c r="E50" s="96">
        <f>'AEO 2023 Table 36 Raw'!H36</f>
        <v>95.648369000000002</v>
      </c>
      <c r="F50" s="96">
        <f>'AEO 2023 Table 36 Raw'!I36</f>
        <v>94.922400999999994</v>
      </c>
      <c r="G50" s="96">
        <f>'AEO 2023 Table 36 Raw'!J36</f>
        <v>94.299674999999993</v>
      </c>
      <c r="H50" s="96">
        <f>'AEO 2023 Table 36 Raw'!K36</f>
        <v>93.480141000000003</v>
      </c>
      <c r="I50" s="96">
        <f>'AEO 2023 Table 36 Raw'!L36</f>
        <v>92.663535999999993</v>
      </c>
      <c r="J50" s="96">
        <f>'AEO 2023 Table 36 Raw'!M36</f>
        <v>91.636002000000005</v>
      </c>
      <c r="K50" s="96">
        <f>'AEO 2023 Table 36 Raw'!N36</f>
        <v>90.709732000000002</v>
      </c>
      <c r="L50" s="96">
        <f>'AEO 2023 Table 36 Raw'!O36</f>
        <v>89.864052000000001</v>
      </c>
      <c r="M50" s="96">
        <f>'AEO 2023 Table 36 Raw'!P36</f>
        <v>89.271820000000005</v>
      </c>
      <c r="N50" s="96">
        <f>'AEO 2023 Table 36 Raw'!Q36</f>
        <v>88.583907999999994</v>
      </c>
      <c r="O50" s="96">
        <f>'AEO 2023 Table 36 Raw'!R36</f>
        <v>87.881882000000004</v>
      </c>
      <c r="P50" s="96">
        <f>'AEO 2023 Table 36 Raw'!S36</f>
        <v>87.154610000000005</v>
      </c>
      <c r="Q50" s="96">
        <f>'AEO 2023 Table 36 Raw'!T36</f>
        <v>86.355025999999995</v>
      </c>
      <c r="R50" s="96">
        <f>'AEO 2023 Table 36 Raw'!U36</f>
        <v>85.672011999999995</v>
      </c>
      <c r="S50" s="96">
        <f>'AEO 2023 Table 36 Raw'!V36</f>
        <v>84.929305999999997</v>
      </c>
      <c r="T50" s="96">
        <f>'AEO 2023 Table 36 Raw'!W36</f>
        <v>84.290549999999996</v>
      </c>
      <c r="U50" s="96">
        <f>'AEO 2023 Table 36 Raw'!X36</f>
        <v>83.598647999999997</v>
      </c>
      <c r="V50" s="96">
        <f>'AEO 2023 Table 36 Raw'!Y36</f>
        <v>82.885955999999993</v>
      </c>
      <c r="W50" s="96">
        <f>'AEO 2023 Table 36 Raw'!Z36</f>
        <v>82.221778999999998</v>
      </c>
      <c r="X50" s="96">
        <f>'AEO 2023 Table 36 Raw'!AA36</f>
        <v>81.555756000000002</v>
      </c>
      <c r="Y50" s="96">
        <f>'AEO 2023 Table 36 Raw'!AB36</f>
        <v>80.850998000000004</v>
      </c>
      <c r="Z50" s="96">
        <f>'AEO 2023 Table 36 Raw'!AC36</f>
        <v>80.058989999999994</v>
      </c>
      <c r="AA50" s="96">
        <f>'AEO 2023 Table 36 Raw'!AD36</f>
        <v>79.380050999999995</v>
      </c>
      <c r="AB50" s="96">
        <f>'AEO 2023 Table 36 Raw'!AE36</f>
        <v>78.650115999999997</v>
      </c>
      <c r="AC50" s="96">
        <f>'AEO 2023 Table 36 Raw'!AF36</f>
        <v>77.846335999999994</v>
      </c>
      <c r="AD50" s="96">
        <f>'AEO 2023 Table 36 Raw'!AG36</f>
        <v>77.124741</v>
      </c>
      <c r="AE50" s="96">
        <f>'AEO 2023 Table 36 Raw'!AH36</f>
        <v>76.572761999999997</v>
      </c>
      <c r="AF50" s="97">
        <f>'AEO 2023 Table 36 Raw'!AI36</f>
        <v>-8.0000000000000002E-3</v>
      </c>
    </row>
    <row r="51" spans="1:32" ht="15" customHeight="1">
      <c r="A51" s="18" t="s">
        <v>314</v>
      </c>
      <c r="B51" s="21" t="s">
        <v>315</v>
      </c>
      <c r="C51" s="24">
        <f>'AEO 2023 Table 36 Raw'!F37</f>
        <v>1.875904</v>
      </c>
      <c r="D51" s="24">
        <f>'AEO 2023 Table 36 Raw'!G37</f>
        <v>1.8078829999999999</v>
      </c>
      <c r="E51" s="24">
        <f>'AEO 2023 Table 36 Raw'!H37</f>
        <v>1.7136819999999999</v>
      </c>
      <c r="F51" s="24">
        <f>'AEO 2023 Table 36 Raw'!I37</f>
        <v>1.621937</v>
      </c>
      <c r="G51" s="24">
        <f>'AEO 2023 Table 36 Raw'!J37</f>
        <v>1.5413140000000001</v>
      </c>
      <c r="H51" s="24">
        <f>'AEO 2023 Table 36 Raw'!K37</f>
        <v>1.455168</v>
      </c>
      <c r="I51" s="24">
        <f>'AEO 2023 Table 36 Raw'!L37</f>
        <v>1.371278</v>
      </c>
      <c r="J51" s="24">
        <f>'AEO 2023 Table 36 Raw'!M37</f>
        <v>1.2863249999999999</v>
      </c>
      <c r="K51" s="24">
        <f>'AEO 2023 Table 36 Raw'!N37</f>
        <v>1.1999850000000001</v>
      </c>
      <c r="L51" s="24">
        <f>'AEO 2023 Table 36 Raw'!O37</f>
        <v>1.1125510000000001</v>
      </c>
      <c r="M51" s="24">
        <f>'AEO 2023 Table 36 Raw'!P37</f>
        <v>1.0315639999999999</v>
      </c>
      <c r="N51" s="24">
        <f>'AEO 2023 Table 36 Raw'!Q37</f>
        <v>0.94839600000000002</v>
      </c>
      <c r="O51" s="24">
        <f>'AEO 2023 Table 36 Raw'!R37</f>
        <v>0.86860599999999999</v>
      </c>
      <c r="P51" s="24">
        <f>'AEO 2023 Table 36 Raw'!S37</f>
        <v>0.79182399999999997</v>
      </c>
      <c r="Q51" s="24">
        <f>'AEO 2023 Table 36 Raw'!T37</f>
        <v>0.72530600000000001</v>
      </c>
      <c r="R51" s="24">
        <f>'AEO 2023 Table 36 Raw'!U37</f>
        <v>0.65481</v>
      </c>
      <c r="S51" s="24">
        <f>'AEO 2023 Table 36 Raw'!V37</f>
        <v>0.57531900000000002</v>
      </c>
      <c r="T51" s="24">
        <f>'AEO 2023 Table 36 Raw'!W37</f>
        <v>0.49192999999999998</v>
      </c>
      <c r="U51" s="24">
        <f>'AEO 2023 Table 36 Raw'!X37</f>
        <v>0.417902</v>
      </c>
      <c r="V51" s="24">
        <f>'AEO 2023 Table 36 Raw'!Y37</f>
        <v>0.41475499999999998</v>
      </c>
      <c r="W51" s="24">
        <f>'AEO 2023 Table 36 Raw'!Z37</f>
        <v>0.41187499999999999</v>
      </c>
      <c r="X51" s="24">
        <f>'AEO 2023 Table 36 Raw'!AA37</f>
        <v>0.40901599999999999</v>
      </c>
      <c r="Y51" s="24">
        <f>'AEO 2023 Table 36 Raw'!AB37</f>
        <v>0.40599000000000002</v>
      </c>
      <c r="Z51" s="24">
        <f>'AEO 2023 Table 36 Raw'!AC37</f>
        <v>0.40254800000000002</v>
      </c>
      <c r="AA51" s="24">
        <f>'AEO 2023 Table 36 Raw'!AD37</f>
        <v>0.39974100000000001</v>
      </c>
      <c r="AB51" s="24">
        <f>'AEO 2023 Table 36 Raw'!AE37</f>
        <v>0.396733</v>
      </c>
      <c r="AC51" s="24">
        <f>'AEO 2023 Table 36 Raw'!AF37</f>
        <v>0.39335599999999998</v>
      </c>
      <c r="AD51" s="24">
        <f>'AEO 2023 Table 36 Raw'!AG37</f>
        <v>0.39045299999999999</v>
      </c>
      <c r="AE51" s="24">
        <f>'AEO 2023 Table 36 Raw'!AH37</f>
        <v>0.38850499999999999</v>
      </c>
      <c r="AF51" s="29">
        <f>'AEO 2023 Table 36 Raw'!AI37</f>
        <v>-5.5E-2</v>
      </c>
    </row>
    <row r="52" spans="1:32" ht="15" customHeight="1">
      <c r="A52" s="18" t="s">
        <v>316</v>
      </c>
      <c r="B52" s="21" t="s">
        <v>309</v>
      </c>
      <c r="C52" s="24">
        <f>'AEO 2023 Table 36 Raw'!F38</f>
        <v>0</v>
      </c>
      <c r="D52" s="24">
        <f>'AEO 2023 Table 36 Raw'!G38</f>
        <v>0</v>
      </c>
      <c r="E52" s="24">
        <f>'AEO 2023 Table 36 Raw'!H38</f>
        <v>0</v>
      </c>
      <c r="F52" s="24">
        <f>'AEO 2023 Table 36 Raw'!I38</f>
        <v>0</v>
      </c>
      <c r="G52" s="24">
        <f>'AEO 2023 Table 36 Raw'!J38</f>
        <v>0</v>
      </c>
      <c r="H52" s="24">
        <f>'AEO 2023 Table 36 Raw'!K38</f>
        <v>0</v>
      </c>
      <c r="I52" s="24">
        <f>'AEO 2023 Table 36 Raw'!L38</f>
        <v>0</v>
      </c>
      <c r="J52" s="24">
        <f>'AEO 2023 Table 36 Raw'!M38</f>
        <v>0</v>
      </c>
      <c r="K52" s="24">
        <f>'AEO 2023 Table 36 Raw'!N38</f>
        <v>0</v>
      </c>
      <c r="L52" s="24">
        <f>'AEO 2023 Table 36 Raw'!O38</f>
        <v>0</v>
      </c>
      <c r="M52" s="24">
        <f>'AEO 2023 Table 36 Raw'!P38</f>
        <v>0</v>
      </c>
      <c r="N52" s="24">
        <f>'AEO 2023 Table 36 Raw'!Q38</f>
        <v>0</v>
      </c>
      <c r="O52" s="24">
        <f>'AEO 2023 Table 36 Raw'!R38</f>
        <v>0</v>
      </c>
      <c r="P52" s="24">
        <f>'AEO 2023 Table 36 Raw'!S38</f>
        <v>0</v>
      </c>
      <c r="Q52" s="24">
        <f>'AEO 2023 Table 36 Raw'!T38</f>
        <v>0</v>
      </c>
      <c r="R52" s="24">
        <f>'AEO 2023 Table 36 Raw'!U38</f>
        <v>0</v>
      </c>
      <c r="S52" s="24">
        <f>'AEO 2023 Table 36 Raw'!V38</f>
        <v>0</v>
      </c>
      <c r="T52" s="24">
        <f>'AEO 2023 Table 36 Raw'!W38</f>
        <v>0</v>
      </c>
      <c r="U52" s="24">
        <f>'AEO 2023 Table 36 Raw'!X38</f>
        <v>0</v>
      </c>
      <c r="V52" s="24">
        <f>'AEO 2023 Table 36 Raw'!Y38</f>
        <v>0</v>
      </c>
      <c r="W52" s="24">
        <f>'AEO 2023 Table 36 Raw'!Z38</f>
        <v>0</v>
      </c>
      <c r="X52" s="24">
        <f>'AEO 2023 Table 36 Raw'!AA38</f>
        <v>0</v>
      </c>
      <c r="Y52" s="24">
        <f>'AEO 2023 Table 36 Raw'!AB38</f>
        <v>0</v>
      </c>
      <c r="Z52" s="24">
        <f>'AEO 2023 Table 36 Raw'!AC38</f>
        <v>0</v>
      </c>
      <c r="AA52" s="24">
        <f>'AEO 2023 Table 36 Raw'!AD38</f>
        <v>0</v>
      </c>
      <c r="AB52" s="24">
        <f>'AEO 2023 Table 36 Raw'!AE38</f>
        <v>0</v>
      </c>
      <c r="AC52" s="24">
        <f>'AEO 2023 Table 36 Raw'!AF38</f>
        <v>0</v>
      </c>
      <c r="AD52" s="24">
        <f>'AEO 2023 Table 36 Raw'!AG38</f>
        <v>0</v>
      </c>
      <c r="AE52" s="24">
        <f>'AEO 2023 Table 36 Raw'!AH38</f>
        <v>0</v>
      </c>
      <c r="AF52" s="29" t="str">
        <f>'AEO 2023 Table 36 Raw'!AI38</f>
        <v>- -</v>
      </c>
    </row>
    <row r="53" spans="1:32" ht="15" customHeight="1">
      <c r="A53" s="18" t="s">
        <v>317</v>
      </c>
      <c r="B53" s="21" t="s">
        <v>311</v>
      </c>
      <c r="C53" s="24">
        <f>'AEO 2023 Table 36 Raw'!F39</f>
        <v>0.638131</v>
      </c>
      <c r="D53" s="24">
        <f>'AEO 2023 Table 36 Raw'!G39</f>
        <v>0.70199999999999996</v>
      </c>
      <c r="E53" s="24">
        <f>'AEO 2023 Table 36 Raw'!H39</f>
        <v>0.75260700000000003</v>
      </c>
      <c r="F53" s="24">
        <f>'AEO 2023 Table 36 Raw'!I39</f>
        <v>0.80172500000000002</v>
      </c>
      <c r="G53" s="24">
        <f>'AEO 2023 Table 36 Raw'!J39</f>
        <v>0.84487999999999996</v>
      </c>
      <c r="H53" s="24">
        <f>'AEO 2023 Table 36 Raw'!K39</f>
        <v>0.88815699999999997</v>
      </c>
      <c r="I53" s="24">
        <f>'AEO 2023 Table 36 Raw'!L39</f>
        <v>0.92988400000000004</v>
      </c>
      <c r="J53" s="24">
        <f>'AEO 2023 Table 36 Raw'!M39</f>
        <v>0.96818099999999996</v>
      </c>
      <c r="K53" s="24">
        <f>'AEO 2023 Table 36 Raw'!N39</f>
        <v>1.009477</v>
      </c>
      <c r="L53" s="24">
        <f>'AEO 2023 Table 36 Raw'!O39</f>
        <v>1.053212</v>
      </c>
      <c r="M53" s="24">
        <f>'AEO 2023 Table 36 Raw'!P39</f>
        <v>1.0977250000000001</v>
      </c>
      <c r="N53" s="24">
        <f>'AEO 2023 Table 36 Raw'!Q39</f>
        <v>1.1419189999999999</v>
      </c>
      <c r="O53" s="24">
        <f>'AEO 2023 Table 36 Raw'!R39</f>
        <v>1.183538</v>
      </c>
      <c r="P53" s="24">
        <f>'AEO 2023 Table 36 Raw'!S39</f>
        <v>1.2224330000000001</v>
      </c>
      <c r="Q53" s="24">
        <f>'AEO 2023 Table 36 Raw'!T39</f>
        <v>1.252678</v>
      </c>
      <c r="R53" s="24">
        <f>'AEO 2023 Table 36 Raw'!U39</f>
        <v>1.2881480000000001</v>
      </c>
      <c r="S53" s="24">
        <f>'AEO 2023 Table 36 Raw'!V39</f>
        <v>1.3287279999999999</v>
      </c>
      <c r="T53" s="24">
        <f>'AEO 2023 Table 36 Raw'!W39</f>
        <v>1.374214</v>
      </c>
      <c r="U53" s="24">
        <f>'AEO 2023 Table 36 Raw'!X39</f>
        <v>1.4570460000000001</v>
      </c>
      <c r="V53" s="24">
        <f>'AEO 2023 Table 36 Raw'!Y39</f>
        <v>1.54541</v>
      </c>
      <c r="W53" s="24">
        <f>'AEO 2023 Table 36 Raw'!Z39</f>
        <v>1.640115</v>
      </c>
      <c r="X53" s="24">
        <f>'AEO 2023 Table 36 Raw'!AA39</f>
        <v>1.7406269999999999</v>
      </c>
      <c r="Y53" s="24">
        <f>'AEO 2023 Table 36 Raw'!AB39</f>
        <v>1.8464670000000001</v>
      </c>
      <c r="Z53" s="24">
        <f>'AEO 2023 Table 36 Raw'!AC39</f>
        <v>1.956663</v>
      </c>
      <c r="AA53" s="24">
        <f>'AEO 2023 Table 36 Raw'!AD39</f>
        <v>2.0764179999999999</v>
      </c>
      <c r="AB53" s="24">
        <f>'AEO 2023 Table 36 Raw'!AE39</f>
        <v>2.2021730000000002</v>
      </c>
      <c r="AC53" s="24">
        <f>'AEO 2023 Table 36 Raw'!AF39</f>
        <v>2.3334239999999999</v>
      </c>
      <c r="AD53" s="24">
        <f>'AEO 2023 Table 36 Raw'!AG39</f>
        <v>2.4752070000000002</v>
      </c>
      <c r="AE53" s="24">
        <f>'AEO 2023 Table 36 Raw'!AH39</f>
        <v>2.6315870000000001</v>
      </c>
      <c r="AF53" s="29">
        <f>'AEO 2023 Table 36 Raw'!AI39</f>
        <v>5.1999999999999998E-2</v>
      </c>
    </row>
    <row r="54" spans="1:32" ht="12" customHeight="1">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9"/>
    </row>
    <row r="55" spans="1:32" ht="15" customHeight="1">
      <c r="A55" s="18" t="s">
        <v>318</v>
      </c>
      <c r="B55" s="20" t="s">
        <v>11</v>
      </c>
      <c r="C55" s="24">
        <f>'AEO 2023 Table 36 Raw'!F40</f>
        <v>935.02770999999996</v>
      </c>
      <c r="D55" s="24">
        <f>'AEO 2023 Table 36 Raw'!G40</f>
        <v>881.83038299999998</v>
      </c>
      <c r="E55" s="24">
        <f>'AEO 2023 Table 36 Raw'!H40</f>
        <v>877.72729500000003</v>
      </c>
      <c r="F55" s="24">
        <f>'AEO 2023 Table 36 Raw'!I40</f>
        <v>878.60412599999995</v>
      </c>
      <c r="G55" s="24">
        <f>'AEO 2023 Table 36 Raw'!J40</f>
        <v>871.25030500000003</v>
      </c>
      <c r="H55" s="24">
        <f>'AEO 2023 Table 36 Raw'!K40</f>
        <v>868.44872999999995</v>
      </c>
      <c r="I55" s="24">
        <f>'AEO 2023 Table 36 Raw'!L40</f>
        <v>862.68933100000004</v>
      </c>
      <c r="J55" s="24">
        <f>'AEO 2023 Table 36 Raw'!M40</f>
        <v>859.14196800000002</v>
      </c>
      <c r="K55" s="24">
        <f>'AEO 2023 Table 36 Raw'!N40</f>
        <v>856.63439900000003</v>
      </c>
      <c r="L55" s="24">
        <f>'AEO 2023 Table 36 Raw'!O40</f>
        <v>857.13647500000002</v>
      </c>
      <c r="M55" s="24">
        <f>'AEO 2023 Table 36 Raw'!P40</f>
        <v>857.43701199999998</v>
      </c>
      <c r="N55" s="24">
        <f>'AEO 2023 Table 36 Raw'!Q40</f>
        <v>858.00024399999995</v>
      </c>
      <c r="O55" s="24">
        <f>'AEO 2023 Table 36 Raw'!R40</f>
        <v>857.76019299999996</v>
      </c>
      <c r="P55" s="24">
        <f>'AEO 2023 Table 36 Raw'!S40</f>
        <v>858.217896</v>
      </c>
      <c r="Q55" s="24">
        <f>'AEO 2023 Table 36 Raw'!T40</f>
        <v>857.54724099999999</v>
      </c>
      <c r="R55" s="24">
        <f>'AEO 2023 Table 36 Raw'!U40</f>
        <v>857.61346400000002</v>
      </c>
      <c r="S55" s="24">
        <f>'AEO 2023 Table 36 Raw'!V40</f>
        <v>857.63464399999998</v>
      </c>
      <c r="T55" s="24">
        <f>'AEO 2023 Table 36 Raw'!W40</f>
        <v>857.34979199999998</v>
      </c>
      <c r="U55" s="24">
        <f>'AEO 2023 Table 36 Raw'!X40</f>
        <v>857.24542199999996</v>
      </c>
      <c r="V55" s="24">
        <f>'AEO 2023 Table 36 Raw'!Y40</f>
        <v>857.30096400000002</v>
      </c>
      <c r="W55" s="24">
        <f>'AEO 2023 Table 36 Raw'!Z40</f>
        <v>857.82971199999997</v>
      </c>
      <c r="X55" s="24">
        <f>'AEO 2023 Table 36 Raw'!AA40</f>
        <v>857.81982400000004</v>
      </c>
      <c r="Y55" s="24">
        <f>'AEO 2023 Table 36 Raw'!AB40</f>
        <v>858.04791299999999</v>
      </c>
      <c r="Z55" s="24">
        <f>'AEO 2023 Table 36 Raw'!AC40</f>
        <v>858.06762700000002</v>
      </c>
      <c r="AA55" s="24">
        <f>'AEO 2023 Table 36 Raw'!AD40</f>
        <v>860.63342299999999</v>
      </c>
      <c r="AB55" s="24">
        <f>'AEO 2023 Table 36 Raw'!AE40</f>
        <v>860.92425500000002</v>
      </c>
      <c r="AC55" s="24">
        <f>'AEO 2023 Table 36 Raw'!AF40</f>
        <v>859.83441200000004</v>
      </c>
      <c r="AD55" s="24">
        <f>'AEO 2023 Table 36 Raw'!AG40</f>
        <v>859.12170400000002</v>
      </c>
      <c r="AE55" s="24">
        <f>'AEO 2023 Table 36 Raw'!AH40</f>
        <v>858.094604</v>
      </c>
      <c r="AF55" s="29">
        <f>'AEO 2023 Table 36 Raw'!AI40</f>
        <v>-3.0000000000000001E-3</v>
      </c>
    </row>
    <row r="56" spans="1:32" s="98" customFormat="1" ht="15" customHeight="1">
      <c r="A56" s="94" t="s">
        <v>319</v>
      </c>
      <c r="B56" s="95" t="s">
        <v>274</v>
      </c>
      <c r="C56" s="96">
        <f>'AEO 2023 Table 36 Raw'!F41</f>
        <v>222.93867499999999</v>
      </c>
      <c r="D56" s="96">
        <f>'AEO 2023 Table 36 Raw'!G41</f>
        <v>318.21374500000002</v>
      </c>
      <c r="E56" s="96">
        <f>'AEO 2023 Table 36 Raw'!H41</f>
        <v>318.50683600000002</v>
      </c>
      <c r="F56" s="96">
        <f>'AEO 2023 Table 36 Raw'!I41</f>
        <v>321.42748999999998</v>
      </c>
      <c r="G56" s="96">
        <f>'AEO 2023 Table 36 Raw'!J41</f>
        <v>326.40893599999998</v>
      </c>
      <c r="H56" s="96">
        <f>'AEO 2023 Table 36 Raw'!K41</f>
        <v>331.75039700000002</v>
      </c>
      <c r="I56" s="96">
        <f>'AEO 2023 Table 36 Raw'!L41</f>
        <v>339.13262900000001</v>
      </c>
      <c r="J56" s="96">
        <f>'AEO 2023 Table 36 Raw'!M41</f>
        <v>343.65380900000002</v>
      </c>
      <c r="K56" s="96">
        <f>'AEO 2023 Table 36 Raw'!N41</f>
        <v>348.44000199999999</v>
      </c>
      <c r="L56" s="96">
        <f>'AEO 2023 Table 36 Raw'!O41</f>
        <v>348.61184700000001</v>
      </c>
      <c r="M56" s="96">
        <f>'AEO 2023 Table 36 Raw'!P41</f>
        <v>349.93618800000002</v>
      </c>
      <c r="N56" s="96">
        <f>'AEO 2023 Table 36 Raw'!Q41</f>
        <v>351.71850599999999</v>
      </c>
      <c r="O56" s="96">
        <f>'AEO 2023 Table 36 Raw'!R41</f>
        <v>354.40063500000002</v>
      </c>
      <c r="P56" s="96">
        <f>'AEO 2023 Table 36 Raw'!S41</f>
        <v>355.17700200000002</v>
      </c>
      <c r="Q56" s="96">
        <f>'AEO 2023 Table 36 Raw'!T41</f>
        <v>356.67022700000001</v>
      </c>
      <c r="R56" s="96">
        <f>'AEO 2023 Table 36 Raw'!U41</f>
        <v>356.87670900000001</v>
      </c>
      <c r="S56" s="96">
        <f>'AEO 2023 Table 36 Raw'!V41</f>
        <v>358.82894900000002</v>
      </c>
      <c r="T56" s="96">
        <f>'AEO 2023 Table 36 Raw'!W41</f>
        <v>358.93920900000001</v>
      </c>
      <c r="U56" s="96">
        <f>'AEO 2023 Table 36 Raw'!X41</f>
        <v>360.572205</v>
      </c>
      <c r="V56" s="96">
        <f>'AEO 2023 Table 36 Raw'!Y41</f>
        <v>361.26196299999998</v>
      </c>
      <c r="W56" s="96">
        <f>'AEO 2023 Table 36 Raw'!Z41</f>
        <v>361.28478999999999</v>
      </c>
      <c r="X56" s="96">
        <f>'AEO 2023 Table 36 Raw'!AA41</f>
        <v>360.64623999999998</v>
      </c>
      <c r="Y56" s="96">
        <f>'AEO 2023 Table 36 Raw'!AB41</f>
        <v>360.38775600000002</v>
      </c>
      <c r="Z56" s="96">
        <f>'AEO 2023 Table 36 Raw'!AC41</f>
        <v>360.05560300000002</v>
      </c>
      <c r="AA56" s="96">
        <f>'AEO 2023 Table 36 Raw'!AD41</f>
        <v>358.46176100000002</v>
      </c>
      <c r="AB56" s="96">
        <f>'AEO 2023 Table 36 Raw'!AE41</f>
        <v>357.26376299999998</v>
      </c>
      <c r="AC56" s="96">
        <f>'AEO 2023 Table 36 Raw'!AF41</f>
        <v>357.07412699999998</v>
      </c>
      <c r="AD56" s="96">
        <f>'AEO 2023 Table 36 Raw'!AG41</f>
        <v>355.22808800000001</v>
      </c>
      <c r="AE56" s="96">
        <f>'AEO 2023 Table 36 Raw'!AH41</f>
        <v>354.51147500000002</v>
      </c>
      <c r="AF56" s="97">
        <f>'AEO 2023 Table 36 Raw'!AI41</f>
        <v>1.7000000000000001E-2</v>
      </c>
    </row>
    <row r="57" spans="1:32" s="98" customFormat="1" ht="15" customHeight="1">
      <c r="A57" s="94" t="s">
        <v>320</v>
      </c>
      <c r="B57" s="95" t="s">
        <v>315</v>
      </c>
      <c r="C57" s="96">
        <f>'AEO 2023 Table 36 Raw'!F42</f>
        <v>685.66516100000001</v>
      </c>
      <c r="D57" s="96">
        <f>'AEO 2023 Table 36 Raw'!G42</f>
        <v>532.149719</v>
      </c>
      <c r="E57" s="96">
        <f>'AEO 2023 Table 36 Raw'!H42</f>
        <v>519.35320999999999</v>
      </c>
      <c r="F57" s="96">
        <f>'AEO 2023 Table 36 Raw'!I42</f>
        <v>520.34844999999996</v>
      </c>
      <c r="G57" s="96">
        <f>'AEO 2023 Table 36 Raw'!J42</f>
        <v>497.46441700000003</v>
      </c>
      <c r="H57" s="96">
        <f>'AEO 2023 Table 36 Raw'!K42</f>
        <v>487.75363199999998</v>
      </c>
      <c r="I57" s="96">
        <f>'AEO 2023 Table 36 Raw'!L42</f>
        <v>469.75631700000002</v>
      </c>
      <c r="J57" s="96">
        <f>'AEO 2023 Table 36 Raw'!M42</f>
        <v>458.26986699999998</v>
      </c>
      <c r="K57" s="96">
        <f>'AEO 2023 Table 36 Raw'!N42</f>
        <v>449.82733200000001</v>
      </c>
      <c r="L57" s="96">
        <f>'AEO 2023 Table 36 Raw'!O42</f>
        <v>449.95632899999998</v>
      </c>
      <c r="M57" s="96">
        <f>'AEO 2023 Table 36 Raw'!P42</f>
        <v>449.27517699999999</v>
      </c>
      <c r="N57" s="96">
        <f>'AEO 2023 Table 36 Raw'!Q42</f>
        <v>449.44375600000001</v>
      </c>
      <c r="O57" s="96">
        <f>'AEO 2023 Table 36 Raw'!R42</f>
        <v>447.34497099999999</v>
      </c>
      <c r="P57" s="96">
        <f>'AEO 2023 Table 36 Raw'!S42</f>
        <v>447.23684700000001</v>
      </c>
      <c r="Q57" s="96">
        <f>'AEO 2023 Table 36 Raw'!T42</f>
        <v>444.02316300000001</v>
      </c>
      <c r="R57" s="96">
        <f>'AEO 2023 Table 36 Raw'!U42</f>
        <v>442.96899400000001</v>
      </c>
      <c r="S57" s="96">
        <f>'AEO 2023 Table 36 Raw'!V42</f>
        <v>441.815674</v>
      </c>
      <c r="T57" s="96">
        <f>'AEO 2023 Table 36 Raw'!W42</f>
        <v>439.63165300000003</v>
      </c>
      <c r="U57" s="96">
        <f>'AEO 2023 Table 36 Raw'!X42</f>
        <v>437.97662400000002</v>
      </c>
      <c r="V57" s="96">
        <f>'AEO 2023 Table 36 Raw'!Y42</f>
        <v>436.76757800000001</v>
      </c>
      <c r="W57" s="96">
        <f>'AEO 2023 Table 36 Raw'!Z42</f>
        <v>436.80938700000002</v>
      </c>
      <c r="X57" s="96">
        <f>'AEO 2023 Table 36 Raw'!AA42</f>
        <v>435.24386600000003</v>
      </c>
      <c r="Y57" s="96">
        <f>'AEO 2023 Table 36 Raw'!AB42</f>
        <v>434.29315200000002</v>
      </c>
      <c r="Z57" s="96">
        <f>'AEO 2023 Table 36 Raw'!AC42</f>
        <v>432.733093</v>
      </c>
      <c r="AA57" s="96">
        <f>'AEO 2023 Table 36 Raw'!AD42</f>
        <v>438.45755000000003</v>
      </c>
      <c r="AB57" s="96">
        <f>'AEO 2023 Table 36 Raw'!AE42</f>
        <v>437.70047</v>
      </c>
      <c r="AC57" s="96">
        <f>'AEO 2023 Table 36 Raw'!AF42</f>
        <v>432.92089800000002</v>
      </c>
      <c r="AD57" s="96">
        <f>'AEO 2023 Table 36 Raw'!AG42</f>
        <v>429.24749800000001</v>
      </c>
      <c r="AE57" s="96">
        <f>'AEO 2023 Table 36 Raw'!AH42</f>
        <v>424.56079099999999</v>
      </c>
      <c r="AF57" s="97">
        <f>'AEO 2023 Table 36 Raw'!AI42</f>
        <v>-1.7000000000000001E-2</v>
      </c>
    </row>
    <row r="58" spans="1:32" ht="15" customHeight="1">
      <c r="A58" s="18" t="s">
        <v>321</v>
      </c>
      <c r="B58" s="21" t="s">
        <v>309</v>
      </c>
      <c r="C58" s="24">
        <f>'AEO 2023 Table 36 Raw'!F43</f>
        <v>0</v>
      </c>
      <c r="D58" s="24">
        <f>'AEO 2023 Table 36 Raw'!G43</f>
        <v>0</v>
      </c>
      <c r="E58" s="24">
        <f>'AEO 2023 Table 36 Raw'!H43</f>
        <v>0</v>
      </c>
      <c r="F58" s="24">
        <f>'AEO 2023 Table 36 Raw'!I43</f>
        <v>0</v>
      </c>
      <c r="G58" s="24">
        <f>'AEO 2023 Table 36 Raw'!J43</f>
        <v>0</v>
      </c>
      <c r="H58" s="24">
        <f>'AEO 2023 Table 36 Raw'!K43</f>
        <v>0</v>
      </c>
      <c r="I58" s="24">
        <f>'AEO 2023 Table 36 Raw'!L43</f>
        <v>0</v>
      </c>
      <c r="J58" s="24">
        <f>'AEO 2023 Table 36 Raw'!M43</f>
        <v>0</v>
      </c>
      <c r="K58" s="24">
        <f>'AEO 2023 Table 36 Raw'!N43</f>
        <v>0</v>
      </c>
      <c r="L58" s="24">
        <f>'AEO 2023 Table 36 Raw'!O43</f>
        <v>0</v>
      </c>
      <c r="M58" s="24">
        <f>'AEO 2023 Table 36 Raw'!P43</f>
        <v>0</v>
      </c>
      <c r="N58" s="24">
        <f>'AEO 2023 Table 36 Raw'!Q43</f>
        <v>0</v>
      </c>
      <c r="O58" s="24">
        <f>'AEO 2023 Table 36 Raw'!R43</f>
        <v>0</v>
      </c>
      <c r="P58" s="24">
        <f>'AEO 2023 Table 36 Raw'!S43</f>
        <v>0</v>
      </c>
      <c r="Q58" s="24">
        <f>'AEO 2023 Table 36 Raw'!T43</f>
        <v>0</v>
      </c>
      <c r="R58" s="24">
        <f>'AEO 2023 Table 36 Raw'!U43</f>
        <v>0</v>
      </c>
      <c r="S58" s="24">
        <f>'AEO 2023 Table 36 Raw'!V43</f>
        <v>0</v>
      </c>
      <c r="T58" s="24">
        <f>'AEO 2023 Table 36 Raw'!W43</f>
        <v>0</v>
      </c>
      <c r="U58" s="24">
        <f>'AEO 2023 Table 36 Raw'!X43</f>
        <v>0</v>
      </c>
      <c r="V58" s="24">
        <f>'AEO 2023 Table 36 Raw'!Y43</f>
        <v>0</v>
      </c>
      <c r="W58" s="24">
        <f>'AEO 2023 Table 36 Raw'!Z43</f>
        <v>0</v>
      </c>
      <c r="X58" s="24">
        <f>'AEO 2023 Table 36 Raw'!AA43</f>
        <v>0</v>
      </c>
      <c r="Y58" s="24">
        <f>'AEO 2023 Table 36 Raw'!AB43</f>
        <v>0</v>
      </c>
      <c r="Z58" s="24">
        <f>'AEO 2023 Table 36 Raw'!AC43</f>
        <v>0</v>
      </c>
      <c r="AA58" s="24">
        <f>'AEO 2023 Table 36 Raw'!AD43</f>
        <v>0</v>
      </c>
      <c r="AB58" s="24">
        <f>'AEO 2023 Table 36 Raw'!AE43</f>
        <v>0</v>
      </c>
      <c r="AC58" s="24">
        <f>'AEO 2023 Table 36 Raw'!AF43</f>
        <v>0</v>
      </c>
      <c r="AD58" s="24">
        <f>'AEO 2023 Table 36 Raw'!AG43</f>
        <v>0</v>
      </c>
      <c r="AE58" s="24">
        <f>'AEO 2023 Table 36 Raw'!AH43</f>
        <v>0</v>
      </c>
      <c r="AF58" s="29" t="str">
        <f>'AEO 2023 Table 36 Raw'!AI43</f>
        <v>- -</v>
      </c>
    </row>
    <row r="59" spans="1:32" ht="15" customHeight="1">
      <c r="A59" s="18" t="s">
        <v>322</v>
      </c>
      <c r="B59" s="21" t="s">
        <v>311</v>
      </c>
      <c r="C59" s="24">
        <f>'AEO 2023 Table 36 Raw'!F44</f>
        <v>26.423862</v>
      </c>
      <c r="D59" s="24">
        <f>'AEO 2023 Table 36 Raw'!G44</f>
        <v>31.466925</v>
      </c>
      <c r="E59" s="24">
        <f>'AEO 2023 Table 36 Raw'!H44</f>
        <v>39.867241</v>
      </c>
      <c r="F59" s="24">
        <f>'AEO 2023 Table 36 Raw'!I44</f>
        <v>36.828189999999999</v>
      </c>
      <c r="G59" s="24">
        <f>'AEO 2023 Table 36 Raw'!J44</f>
        <v>47.376953</v>
      </c>
      <c r="H59" s="24">
        <f>'AEO 2023 Table 36 Raw'!K44</f>
        <v>48.944679000000001</v>
      </c>
      <c r="I59" s="24">
        <f>'AEO 2023 Table 36 Raw'!L44</f>
        <v>53.800423000000002</v>
      </c>
      <c r="J59" s="24">
        <f>'AEO 2023 Table 36 Raw'!M44</f>
        <v>57.218277</v>
      </c>
      <c r="K59" s="24">
        <f>'AEO 2023 Table 36 Raw'!N44</f>
        <v>58.367088000000003</v>
      </c>
      <c r="L59" s="24">
        <f>'AEO 2023 Table 36 Raw'!O44</f>
        <v>58.568268000000003</v>
      </c>
      <c r="M59" s="24">
        <f>'AEO 2023 Table 36 Raw'!P44</f>
        <v>58.225639000000001</v>
      </c>
      <c r="N59" s="24">
        <f>'AEO 2023 Table 36 Raw'!Q44</f>
        <v>56.838042999999999</v>
      </c>
      <c r="O59" s="24">
        <f>'AEO 2023 Table 36 Raw'!R44</f>
        <v>56.014595</v>
      </c>
      <c r="P59" s="24">
        <f>'AEO 2023 Table 36 Raw'!S44</f>
        <v>55.804080999999996</v>
      </c>
      <c r="Q59" s="24">
        <f>'AEO 2023 Table 36 Raw'!T44</f>
        <v>56.853912000000001</v>
      </c>
      <c r="R59" s="24">
        <f>'AEO 2023 Table 36 Raw'!U44</f>
        <v>57.767783999999999</v>
      </c>
      <c r="S59" s="24">
        <f>'AEO 2023 Table 36 Raw'!V44</f>
        <v>56.989986000000002</v>
      </c>
      <c r="T59" s="24">
        <f>'AEO 2023 Table 36 Raw'!W44</f>
        <v>58.778945999999998</v>
      </c>
      <c r="U59" s="24">
        <f>'AEO 2023 Table 36 Raw'!X44</f>
        <v>58.696617000000003</v>
      </c>
      <c r="V59" s="24">
        <f>'AEO 2023 Table 36 Raw'!Y44</f>
        <v>59.2714</v>
      </c>
      <c r="W59" s="24">
        <f>'AEO 2023 Table 36 Raw'!Z44</f>
        <v>59.735518999999996</v>
      </c>
      <c r="X59" s="24">
        <f>'AEO 2023 Table 36 Raw'!AA44</f>
        <v>61.929656999999999</v>
      </c>
      <c r="Y59" s="24">
        <f>'AEO 2023 Table 36 Raw'!AB44</f>
        <v>63.367027</v>
      </c>
      <c r="Z59" s="24">
        <f>'AEO 2023 Table 36 Raw'!AC44</f>
        <v>65.278946000000005</v>
      </c>
      <c r="AA59" s="24">
        <f>'AEO 2023 Table 36 Raw'!AD44</f>
        <v>63.714081</v>
      </c>
      <c r="AB59" s="24">
        <f>'AEO 2023 Table 36 Raw'!AE44</f>
        <v>65.960021999999995</v>
      </c>
      <c r="AC59" s="24">
        <f>'AEO 2023 Table 36 Raw'!AF44</f>
        <v>69.839432000000002</v>
      </c>
      <c r="AD59" s="24">
        <f>'AEO 2023 Table 36 Raw'!AG44</f>
        <v>74.646148999999994</v>
      </c>
      <c r="AE59" s="24">
        <f>'AEO 2023 Table 36 Raw'!AH44</f>
        <v>79.022368999999998</v>
      </c>
      <c r="AF59" s="29">
        <f>'AEO 2023 Table 36 Raw'!AI44</f>
        <v>0.04</v>
      </c>
    </row>
    <row r="60" spans="1:32" ht="12" customHeight="1">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9"/>
    </row>
    <row r="61" spans="1:32" ht="15" customHeight="1">
      <c r="A61" s="18" t="s">
        <v>323</v>
      </c>
      <c r="B61" s="20" t="s">
        <v>10</v>
      </c>
      <c r="C61" s="24">
        <f>'AEO 2023 Table 36 Raw'!F45</f>
        <v>2802.8073730000001</v>
      </c>
      <c r="D61" s="24">
        <f>'AEO 2023 Table 36 Raw'!G45</f>
        <v>3008.1679690000001</v>
      </c>
      <c r="E61" s="24">
        <f>'AEO 2023 Table 36 Raw'!H45</f>
        <v>3051.2026369999999</v>
      </c>
      <c r="F61" s="24">
        <f>'AEO 2023 Table 36 Raw'!I45</f>
        <v>3057.110596</v>
      </c>
      <c r="G61" s="24">
        <f>'AEO 2023 Table 36 Raw'!J45</f>
        <v>3095.898193</v>
      </c>
      <c r="H61" s="24">
        <f>'AEO 2023 Table 36 Raw'!K45</f>
        <v>3134.226807</v>
      </c>
      <c r="I61" s="24">
        <f>'AEO 2023 Table 36 Raw'!L45</f>
        <v>3164.5515140000002</v>
      </c>
      <c r="J61" s="24">
        <f>'AEO 2023 Table 36 Raw'!M45</f>
        <v>3187.108154</v>
      </c>
      <c r="K61" s="24">
        <f>'AEO 2023 Table 36 Raw'!N45</f>
        <v>3202.938232</v>
      </c>
      <c r="L61" s="24">
        <f>'AEO 2023 Table 36 Raw'!O45</f>
        <v>3218.7827149999998</v>
      </c>
      <c r="M61" s="24">
        <f>'AEO 2023 Table 36 Raw'!P45</f>
        <v>3243.936279</v>
      </c>
      <c r="N61" s="24">
        <f>'AEO 2023 Table 36 Raw'!Q45</f>
        <v>3270.4479980000001</v>
      </c>
      <c r="O61" s="24">
        <f>'AEO 2023 Table 36 Raw'!R45</f>
        <v>3294.4030760000001</v>
      </c>
      <c r="P61" s="24">
        <f>'AEO 2023 Table 36 Raw'!S45</f>
        <v>3322.9240719999998</v>
      </c>
      <c r="Q61" s="24">
        <f>'AEO 2023 Table 36 Raw'!T45</f>
        <v>3359.8247070000002</v>
      </c>
      <c r="R61" s="24">
        <f>'AEO 2023 Table 36 Raw'!U45</f>
        <v>3403.8945309999999</v>
      </c>
      <c r="S61" s="24">
        <f>'AEO 2023 Table 36 Raw'!V45</f>
        <v>3450.171875</v>
      </c>
      <c r="T61" s="24">
        <f>'AEO 2023 Table 36 Raw'!W45</f>
        <v>3498.4882809999999</v>
      </c>
      <c r="U61" s="24">
        <f>'AEO 2023 Table 36 Raw'!X45</f>
        <v>3554.6437989999999</v>
      </c>
      <c r="V61" s="24">
        <f>'AEO 2023 Table 36 Raw'!Y45</f>
        <v>3608.4033199999999</v>
      </c>
      <c r="W61" s="24">
        <f>'AEO 2023 Table 36 Raw'!Z45</f>
        <v>3663.0974120000001</v>
      </c>
      <c r="X61" s="24">
        <f>'AEO 2023 Table 36 Raw'!AA45</f>
        <v>3718.6245119999999</v>
      </c>
      <c r="Y61" s="24">
        <f>'AEO 2023 Table 36 Raw'!AB45</f>
        <v>3774.0097660000001</v>
      </c>
      <c r="Z61" s="24">
        <f>'AEO 2023 Table 36 Raw'!AC45</f>
        <v>3827.9187010000001</v>
      </c>
      <c r="AA61" s="24">
        <f>'AEO 2023 Table 36 Raw'!AD45</f>
        <v>3880.4333499999998</v>
      </c>
      <c r="AB61" s="24">
        <f>'AEO 2023 Table 36 Raw'!AE45</f>
        <v>3936.7380370000001</v>
      </c>
      <c r="AC61" s="24">
        <f>'AEO 2023 Table 36 Raw'!AF45</f>
        <v>3993.6040039999998</v>
      </c>
      <c r="AD61" s="24">
        <f>'AEO 2023 Table 36 Raw'!AG45</f>
        <v>4049.650635</v>
      </c>
      <c r="AE61" s="24">
        <f>'AEO 2023 Table 36 Raw'!AH45</f>
        <v>4112.1577150000003</v>
      </c>
      <c r="AF61" s="29">
        <f>'AEO 2023 Table 36 Raw'!AI45</f>
        <v>1.4E-2</v>
      </c>
    </row>
    <row r="62" spans="1:32" ht="15" customHeight="1">
      <c r="A62" s="18" t="s">
        <v>324</v>
      </c>
      <c r="B62" s="21" t="s">
        <v>325</v>
      </c>
      <c r="C62" s="24">
        <f>'AEO 2023 Table 36 Raw'!F46</f>
        <v>2780.3857419999999</v>
      </c>
      <c r="D62" s="24">
        <f>'AEO 2023 Table 36 Raw'!G46</f>
        <v>2985.7573240000002</v>
      </c>
      <c r="E62" s="24">
        <f>'AEO 2023 Table 36 Raw'!H46</f>
        <v>3028.8010250000002</v>
      </c>
      <c r="F62" s="24">
        <f>'AEO 2023 Table 36 Raw'!I46</f>
        <v>3034.7165530000002</v>
      </c>
      <c r="G62" s="24">
        <f>'AEO 2023 Table 36 Raw'!J46</f>
        <v>3073.5104980000001</v>
      </c>
      <c r="H62" s="24">
        <f>'AEO 2023 Table 36 Raw'!K46</f>
        <v>3111.8442380000001</v>
      </c>
      <c r="I62" s="24">
        <f>'AEO 2023 Table 36 Raw'!L46</f>
        <v>3142.173096</v>
      </c>
      <c r="J62" s="24">
        <f>'AEO 2023 Table 36 Raw'!M46</f>
        <v>3164.733154</v>
      </c>
      <c r="K62" s="24">
        <f>'AEO 2023 Table 36 Raw'!N46</f>
        <v>3180.5661620000001</v>
      </c>
      <c r="L62" s="24">
        <f>'AEO 2023 Table 36 Raw'!O46</f>
        <v>3196.413086</v>
      </c>
      <c r="M62" s="24">
        <f>'AEO 2023 Table 36 Raw'!P46</f>
        <v>3221.5686040000001</v>
      </c>
      <c r="N62" s="24">
        <f>'AEO 2023 Table 36 Raw'!Q46</f>
        <v>3248.0820309999999</v>
      </c>
      <c r="O62" s="24">
        <f>'AEO 2023 Table 36 Raw'!R46</f>
        <v>3272.0385740000002</v>
      </c>
      <c r="P62" s="24">
        <f>'AEO 2023 Table 36 Raw'!S46</f>
        <v>3300.560547</v>
      </c>
      <c r="Q62" s="24">
        <f>'AEO 2023 Table 36 Raw'!T46</f>
        <v>3337.4621579999998</v>
      </c>
      <c r="R62" s="24">
        <f>'AEO 2023 Table 36 Raw'!U46</f>
        <v>3381.5327149999998</v>
      </c>
      <c r="S62" s="24">
        <f>'AEO 2023 Table 36 Raw'!V46</f>
        <v>3427.8107909999999</v>
      </c>
      <c r="T62" s="24">
        <f>'AEO 2023 Table 36 Raw'!W46</f>
        <v>3476.1276859999998</v>
      </c>
      <c r="U62" s="24">
        <f>'AEO 2023 Table 36 Raw'!X46</f>
        <v>3532.2836910000001</v>
      </c>
      <c r="V62" s="24">
        <f>'AEO 2023 Table 36 Raw'!Y46</f>
        <v>3586.0437010000001</v>
      </c>
      <c r="W62" s="24">
        <f>'AEO 2023 Table 36 Raw'!Z46</f>
        <v>3640.7380370000001</v>
      </c>
      <c r="X62" s="24">
        <f>'AEO 2023 Table 36 Raw'!AA46</f>
        <v>3696.2653810000002</v>
      </c>
      <c r="Y62" s="24">
        <f>'AEO 2023 Table 36 Raw'!AB46</f>
        <v>3751.6508789999998</v>
      </c>
      <c r="Z62" s="24">
        <f>'AEO 2023 Table 36 Raw'!AC46</f>
        <v>3805.5598140000002</v>
      </c>
      <c r="AA62" s="24">
        <f>'AEO 2023 Table 36 Raw'!AD46</f>
        <v>3858.0747070000002</v>
      </c>
      <c r="AB62" s="24">
        <f>'AEO 2023 Table 36 Raw'!AE46</f>
        <v>3914.3793949999999</v>
      </c>
      <c r="AC62" s="24">
        <f>'AEO 2023 Table 36 Raw'!AF46</f>
        <v>3971.2456050000001</v>
      </c>
      <c r="AD62" s="24">
        <f>'AEO 2023 Table 36 Raw'!AG46</f>
        <v>4027.2922359999998</v>
      </c>
      <c r="AE62" s="24">
        <f>'AEO 2023 Table 36 Raw'!AH46</f>
        <v>4089.7993160000001</v>
      </c>
      <c r="AF62" s="29">
        <f>'AEO 2023 Table 36 Raw'!AI46</f>
        <v>1.4E-2</v>
      </c>
    </row>
    <row r="63" spans="1:32" ht="15" customHeight="1">
      <c r="A63" s="18" t="s">
        <v>326</v>
      </c>
      <c r="B63" s="21" t="s">
        <v>327</v>
      </c>
      <c r="C63" s="24">
        <f>'AEO 2023 Table 36 Raw'!F47</f>
        <v>22.421617999999999</v>
      </c>
      <c r="D63" s="24">
        <f>'AEO 2023 Table 36 Raw'!G47</f>
        <v>22.410634999999999</v>
      </c>
      <c r="E63" s="24">
        <f>'AEO 2023 Table 36 Raw'!H47</f>
        <v>22.401547999999998</v>
      </c>
      <c r="F63" s="24">
        <f>'AEO 2023 Table 36 Raw'!I47</f>
        <v>22.394031999999999</v>
      </c>
      <c r="G63" s="24">
        <f>'AEO 2023 Table 36 Raw'!J47</f>
        <v>22.387812</v>
      </c>
      <c r="H63" s="24">
        <f>'AEO 2023 Table 36 Raw'!K47</f>
        <v>22.382666</v>
      </c>
      <c r="I63" s="24">
        <f>'AEO 2023 Table 36 Raw'!L47</f>
        <v>22.378406999999999</v>
      </c>
      <c r="J63" s="24">
        <f>'AEO 2023 Table 36 Raw'!M47</f>
        <v>22.374884000000002</v>
      </c>
      <c r="K63" s="24">
        <f>'AEO 2023 Table 36 Raw'!N47</f>
        <v>22.371969</v>
      </c>
      <c r="L63" s="24">
        <f>'AEO 2023 Table 36 Raw'!O47</f>
        <v>22.369558000000001</v>
      </c>
      <c r="M63" s="24">
        <f>'AEO 2023 Table 36 Raw'!P47</f>
        <v>22.367563000000001</v>
      </c>
      <c r="N63" s="24">
        <f>'AEO 2023 Table 36 Raw'!Q47</f>
        <v>22.365911000000001</v>
      </c>
      <c r="O63" s="24">
        <f>'AEO 2023 Table 36 Raw'!R47</f>
        <v>22.364546000000001</v>
      </c>
      <c r="P63" s="24">
        <f>'AEO 2023 Table 36 Raw'!S47</f>
        <v>22.363416999999998</v>
      </c>
      <c r="Q63" s="24">
        <f>'AEO 2023 Table 36 Raw'!T47</f>
        <v>22.362480000000001</v>
      </c>
      <c r="R63" s="24">
        <f>'AEO 2023 Table 36 Raw'!U47</f>
        <v>22.361708</v>
      </c>
      <c r="S63" s="24">
        <f>'AEO 2023 Table 36 Raw'!V47</f>
        <v>22.361066999999998</v>
      </c>
      <c r="T63" s="24">
        <f>'AEO 2023 Table 36 Raw'!W47</f>
        <v>22.360537999999998</v>
      </c>
      <c r="U63" s="24">
        <f>'AEO 2023 Table 36 Raw'!X47</f>
        <v>22.360099999999999</v>
      </c>
      <c r="V63" s="24">
        <f>'AEO 2023 Table 36 Raw'!Y47</f>
        <v>22.359736999999999</v>
      </c>
      <c r="W63" s="24">
        <f>'AEO 2023 Table 36 Raw'!Z47</f>
        <v>22.359438000000001</v>
      </c>
      <c r="X63" s="24">
        <f>'AEO 2023 Table 36 Raw'!AA47</f>
        <v>22.359190000000002</v>
      </c>
      <c r="Y63" s="24">
        <f>'AEO 2023 Table 36 Raw'!AB47</f>
        <v>22.358984</v>
      </c>
      <c r="Z63" s="24">
        <f>'AEO 2023 Table 36 Raw'!AC47</f>
        <v>22.358813999999999</v>
      </c>
      <c r="AA63" s="24">
        <f>'AEO 2023 Table 36 Raw'!AD47</f>
        <v>22.358673</v>
      </c>
      <c r="AB63" s="24">
        <f>'AEO 2023 Table 36 Raw'!AE47</f>
        <v>22.358557000000001</v>
      </c>
      <c r="AC63" s="24">
        <f>'AEO 2023 Table 36 Raw'!AF47</f>
        <v>22.358460999999998</v>
      </c>
      <c r="AD63" s="24">
        <f>'AEO 2023 Table 36 Raw'!AG47</f>
        <v>22.358381000000001</v>
      </c>
      <c r="AE63" s="24">
        <f>'AEO 2023 Table 36 Raw'!AH47</f>
        <v>22.358315000000001</v>
      </c>
      <c r="AF63" s="29">
        <f>'AEO 2023 Table 36 Raw'!AI47</f>
        <v>0</v>
      </c>
    </row>
    <row r="64" spans="1:32" ht="12" customHeight="1">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9"/>
    </row>
    <row r="65" spans="1:32" ht="15" customHeight="1">
      <c r="A65" s="18" t="s">
        <v>328</v>
      </c>
      <c r="B65" s="20" t="s">
        <v>9</v>
      </c>
      <c r="C65" s="24">
        <f>'AEO 2023 Table 36 Raw'!F48</f>
        <v>430.83187900000001</v>
      </c>
      <c r="D65" s="24">
        <f>'AEO 2023 Table 36 Raw'!G48</f>
        <v>433.13122600000003</v>
      </c>
      <c r="E65" s="24">
        <f>'AEO 2023 Table 36 Raw'!H48</f>
        <v>433.96752900000001</v>
      </c>
      <c r="F65" s="24">
        <f>'AEO 2023 Table 36 Raw'!I48</f>
        <v>434.62820399999998</v>
      </c>
      <c r="G65" s="24">
        <f>'AEO 2023 Table 36 Raw'!J48</f>
        <v>435.16168199999998</v>
      </c>
      <c r="H65" s="24">
        <f>'AEO 2023 Table 36 Raw'!K48</f>
        <v>435.947113</v>
      </c>
      <c r="I65" s="24">
        <f>'AEO 2023 Table 36 Raw'!L48</f>
        <v>436.50567599999999</v>
      </c>
      <c r="J65" s="24">
        <f>'AEO 2023 Table 36 Raw'!M48</f>
        <v>436.95120200000002</v>
      </c>
      <c r="K65" s="24">
        <f>'AEO 2023 Table 36 Raw'!N48</f>
        <v>437.33203099999997</v>
      </c>
      <c r="L65" s="24">
        <f>'AEO 2023 Table 36 Raw'!O48</f>
        <v>437.57638500000002</v>
      </c>
      <c r="M65" s="24">
        <f>'AEO 2023 Table 36 Raw'!P48</f>
        <v>437.74392699999999</v>
      </c>
      <c r="N65" s="24">
        <f>'AEO 2023 Table 36 Raw'!Q48</f>
        <v>437.826752</v>
      </c>
      <c r="O65" s="24">
        <f>'AEO 2023 Table 36 Raw'!R48</f>
        <v>437.85824600000001</v>
      </c>
      <c r="P65" s="24">
        <f>'AEO 2023 Table 36 Raw'!S48</f>
        <v>437.879456</v>
      </c>
      <c r="Q65" s="24">
        <f>'AEO 2023 Table 36 Raw'!T48</f>
        <v>438.00381499999997</v>
      </c>
      <c r="R65" s="24">
        <f>'AEO 2023 Table 36 Raw'!U48</f>
        <v>438.20288099999999</v>
      </c>
      <c r="S65" s="24">
        <f>'AEO 2023 Table 36 Raw'!V48</f>
        <v>438.41198700000001</v>
      </c>
      <c r="T65" s="24">
        <f>'AEO 2023 Table 36 Raw'!W48</f>
        <v>438.63055400000002</v>
      </c>
      <c r="U65" s="24">
        <f>'AEO 2023 Table 36 Raw'!X48</f>
        <v>438.85791</v>
      </c>
      <c r="V65" s="24">
        <f>'AEO 2023 Table 36 Raw'!Y48</f>
        <v>439.09307899999999</v>
      </c>
      <c r="W65" s="24">
        <f>'AEO 2023 Table 36 Raw'!Z48</f>
        <v>439.33535799999999</v>
      </c>
      <c r="X65" s="24">
        <f>'AEO 2023 Table 36 Raw'!AA48</f>
        <v>439.584137</v>
      </c>
      <c r="Y65" s="24">
        <f>'AEO 2023 Table 36 Raw'!AB48</f>
        <v>439.83880599999998</v>
      </c>
      <c r="Z65" s="24">
        <f>'AEO 2023 Table 36 Raw'!AC48</f>
        <v>440.09887700000002</v>
      </c>
      <c r="AA65" s="24">
        <f>'AEO 2023 Table 36 Raw'!AD48</f>
        <v>440.36389200000002</v>
      </c>
      <c r="AB65" s="24">
        <f>'AEO 2023 Table 36 Raw'!AE48</f>
        <v>440.63324</v>
      </c>
      <c r="AC65" s="24">
        <f>'AEO 2023 Table 36 Raw'!AF48</f>
        <v>440.906677</v>
      </c>
      <c r="AD65" s="24">
        <f>'AEO 2023 Table 36 Raw'!AG48</f>
        <v>441.18383799999998</v>
      </c>
      <c r="AE65" s="24">
        <f>'AEO 2023 Table 36 Raw'!AH48</f>
        <v>441.46450800000002</v>
      </c>
      <c r="AF65" s="29">
        <f>'AEO 2023 Table 36 Raw'!AI48</f>
        <v>1E-3</v>
      </c>
    </row>
    <row r="66" spans="1:32" ht="15" customHeight="1">
      <c r="A66" s="18" t="s">
        <v>329</v>
      </c>
      <c r="B66" s="21" t="s">
        <v>330</v>
      </c>
      <c r="C66" s="24">
        <f>'AEO 2023 Table 36 Raw'!F49</f>
        <v>334.448914</v>
      </c>
      <c r="D66" s="24">
        <f>'AEO 2023 Table 36 Raw'!G49</f>
        <v>336.233856</v>
      </c>
      <c r="E66" s="24">
        <f>'AEO 2023 Table 36 Raw'!H49</f>
        <v>336.88305700000001</v>
      </c>
      <c r="F66" s="24">
        <f>'AEO 2023 Table 36 Raw'!I49</f>
        <v>337.39593500000001</v>
      </c>
      <c r="G66" s="24">
        <f>'AEO 2023 Table 36 Raw'!J49</f>
        <v>337.81005900000002</v>
      </c>
      <c r="H66" s="24">
        <f>'AEO 2023 Table 36 Raw'!K49</f>
        <v>338.41980000000001</v>
      </c>
      <c r="I66" s="24">
        <f>'AEO 2023 Table 36 Raw'!L49</f>
        <v>338.85339399999998</v>
      </c>
      <c r="J66" s="24">
        <f>'AEO 2023 Table 36 Raw'!M49</f>
        <v>339.19924900000001</v>
      </c>
      <c r="K66" s="24">
        <f>'AEO 2023 Table 36 Raw'!N49</f>
        <v>339.49490400000002</v>
      </c>
      <c r="L66" s="24">
        <f>'AEO 2023 Table 36 Raw'!O49</f>
        <v>339.68457000000001</v>
      </c>
      <c r="M66" s="24">
        <f>'AEO 2023 Table 36 Raw'!P49</f>
        <v>339.81463600000001</v>
      </c>
      <c r="N66" s="24">
        <f>'AEO 2023 Table 36 Raw'!Q49</f>
        <v>339.87893700000001</v>
      </c>
      <c r="O66" s="24">
        <f>'AEO 2023 Table 36 Raw'!R49</f>
        <v>339.90338100000002</v>
      </c>
      <c r="P66" s="24">
        <f>'AEO 2023 Table 36 Raw'!S49</f>
        <v>339.91986100000003</v>
      </c>
      <c r="Q66" s="24">
        <f>'AEO 2023 Table 36 Raw'!T49</f>
        <v>340.01638800000001</v>
      </c>
      <c r="R66" s="24">
        <f>'AEO 2023 Table 36 Raw'!U49</f>
        <v>340.170929</v>
      </c>
      <c r="S66" s="24">
        <f>'AEO 2023 Table 36 Raw'!V49</f>
        <v>340.33325200000002</v>
      </c>
      <c r="T66" s="24">
        <f>'AEO 2023 Table 36 Raw'!W49</f>
        <v>340.50292999999999</v>
      </c>
      <c r="U66" s="24">
        <f>'AEO 2023 Table 36 Raw'!X49</f>
        <v>340.67941300000001</v>
      </c>
      <c r="V66" s="24">
        <f>'AEO 2023 Table 36 Raw'!Y49</f>
        <v>340.86196899999999</v>
      </c>
      <c r="W66" s="24">
        <f>'AEO 2023 Table 36 Raw'!Z49</f>
        <v>341.050049</v>
      </c>
      <c r="X66" s="24">
        <f>'AEO 2023 Table 36 Raw'!AA49</f>
        <v>341.24316399999998</v>
      </c>
      <c r="Y66" s="24">
        <f>'AEO 2023 Table 36 Raw'!AB49</f>
        <v>341.44085699999999</v>
      </c>
      <c r="Z66" s="24">
        <f>'AEO 2023 Table 36 Raw'!AC49</f>
        <v>341.64276100000001</v>
      </c>
      <c r="AA66" s="24">
        <f>'AEO 2023 Table 36 Raw'!AD49</f>
        <v>341.84848</v>
      </c>
      <c r="AB66" s="24">
        <f>'AEO 2023 Table 36 Raw'!AE49</f>
        <v>342.05758700000001</v>
      </c>
      <c r="AC66" s="24">
        <f>'AEO 2023 Table 36 Raw'!AF49</f>
        <v>342.269836</v>
      </c>
      <c r="AD66" s="24">
        <f>'AEO 2023 Table 36 Raw'!AG49</f>
        <v>342.48501599999997</v>
      </c>
      <c r="AE66" s="24">
        <f>'AEO 2023 Table 36 Raw'!AH49</f>
        <v>342.70288099999999</v>
      </c>
      <c r="AF66" s="29">
        <f>'AEO 2023 Table 36 Raw'!AI49</f>
        <v>1E-3</v>
      </c>
    </row>
    <row r="67" spans="1:32" ht="15" customHeight="1">
      <c r="A67" s="18" t="s">
        <v>331</v>
      </c>
      <c r="B67" s="21" t="s">
        <v>307</v>
      </c>
      <c r="C67" s="24">
        <f>'AEO 2023 Table 36 Raw'!F50</f>
        <v>0</v>
      </c>
      <c r="D67" s="24">
        <f>'AEO 2023 Table 36 Raw'!G50</f>
        <v>0</v>
      </c>
      <c r="E67" s="24">
        <f>'AEO 2023 Table 36 Raw'!H50</f>
        <v>0</v>
      </c>
      <c r="F67" s="24">
        <f>'AEO 2023 Table 36 Raw'!I50</f>
        <v>0</v>
      </c>
      <c r="G67" s="24">
        <f>'AEO 2023 Table 36 Raw'!J50</f>
        <v>0</v>
      </c>
      <c r="H67" s="24">
        <f>'AEO 2023 Table 36 Raw'!K50</f>
        <v>0</v>
      </c>
      <c r="I67" s="24">
        <f>'AEO 2023 Table 36 Raw'!L50</f>
        <v>0</v>
      </c>
      <c r="J67" s="24">
        <f>'AEO 2023 Table 36 Raw'!M50</f>
        <v>0</v>
      </c>
      <c r="K67" s="24">
        <f>'AEO 2023 Table 36 Raw'!N50</f>
        <v>0</v>
      </c>
      <c r="L67" s="24">
        <f>'AEO 2023 Table 36 Raw'!O50</f>
        <v>0</v>
      </c>
      <c r="M67" s="24">
        <f>'AEO 2023 Table 36 Raw'!P50</f>
        <v>0</v>
      </c>
      <c r="N67" s="24">
        <f>'AEO 2023 Table 36 Raw'!Q50</f>
        <v>0</v>
      </c>
      <c r="O67" s="24">
        <f>'AEO 2023 Table 36 Raw'!R50</f>
        <v>0</v>
      </c>
      <c r="P67" s="24">
        <f>'AEO 2023 Table 36 Raw'!S50</f>
        <v>0</v>
      </c>
      <c r="Q67" s="24">
        <f>'AEO 2023 Table 36 Raw'!T50</f>
        <v>0</v>
      </c>
      <c r="R67" s="24">
        <f>'AEO 2023 Table 36 Raw'!U50</f>
        <v>0</v>
      </c>
      <c r="S67" s="24">
        <f>'AEO 2023 Table 36 Raw'!V50</f>
        <v>0</v>
      </c>
      <c r="T67" s="24">
        <f>'AEO 2023 Table 36 Raw'!W50</f>
        <v>0</v>
      </c>
      <c r="U67" s="24">
        <f>'AEO 2023 Table 36 Raw'!X50</f>
        <v>0</v>
      </c>
      <c r="V67" s="24">
        <f>'AEO 2023 Table 36 Raw'!Y50</f>
        <v>0</v>
      </c>
      <c r="W67" s="24">
        <f>'AEO 2023 Table 36 Raw'!Z50</f>
        <v>0</v>
      </c>
      <c r="X67" s="24">
        <f>'AEO 2023 Table 36 Raw'!AA50</f>
        <v>0</v>
      </c>
      <c r="Y67" s="24">
        <f>'AEO 2023 Table 36 Raw'!AB50</f>
        <v>0</v>
      </c>
      <c r="Z67" s="24">
        <f>'AEO 2023 Table 36 Raw'!AC50</f>
        <v>0</v>
      </c>
      <c r="AA67" s="24">
        <f>'AEO 2023 Table 36 Raw'!AD50</f>
        <v>0</v>
      </c>
      <c r="AB67" s="24">
        <f>'AEO 2023 Table 36 Raw'!AE50</f>
        <v>0</v>
      </c>
      <c r="AC67" s="24">
        <f>'AEO 2023 Table 36 Raw'!AF50</f>
        <v>0</v>
      </c>
      <c r="AD67" s="24">
        <f>'AEO 2023 Table 36 Raw'!AG50</f>
        <v>0</v>
      </c>
      <c r="AE67" s="24">
        <f>'AEO 2023 Table 36 Raw'!AH50</f>
        <v>0</v>
      </c>
      <c r="AF67" s="29" t="str">
        <f>'AEO 2023 Table 36 Raw'!AI50</f>
        <v>- -</v>
      </c>
    </row>
    <row r="68" spans="1:32" ht="15" customHeight="1">
      <c r="A68" s="18" t="s">
        <v>332</v>
      </c>
      <c r="B68" s="21" t="s">
        <v>333</v>
      </c>
      <c r="C68" s="24">
        <f>'AEO 2023 Table 36 Raw'!F51</f>
        <v>96.382973000000007</v>
      </c>
      <c r="D68" s="24">
        <f>'AEO 2023 Table 36 Raw'!G51</f>
        <v>96.897368999999998</v>
      </c>
      <c r="E68" s="24">
        <f>'AEO 2023 Table 36 Raw'!H51</f>
        <v>97.084457</v>
      </c>
      <c r="F68" s="24">
        <f>'AEO 2023 Table 36 Raw'!I51</f>
        <v>97.232269000000002</v>
      </c>
      <c r="G68" s="24">
        <f>'AEO 2023 Table 36 Raw'!J51</f>
        <v>97.351607999999999</v>
      </c>
      <c r="H68" s="24">
        <f>'AEO 2023 Table 36 Raw'!K51</f>
        <v>97.527321000000001</v>
      </c>
      <c r="I68" s="24">
        <f>'AEO 2023 Table 36 Raw'!L51</f>
        <v>97.652275000000003</v>
      </c>
      <c r="J68" s="24">
        <f>'AEO 2023 Table 36 Raw'!M51</f>
        <v>97.751960999999994</v>
      </c>
      <c r="K68" s="24">
        <f>'AEO 2023 Table 36 Raw'!N51</f>
        <v>97.837142999999998</v>
      </c>
      <c r="L68" s="24">
        <f>'AEO 2023 Table 36 Raw'!O51</f>
        <v>97.891814999999994</v>
      </c>
      <c r="M68" s="24">
        <f>'AEO 2023 Table 36 Raw'!P51</f>
        <v>97.929291000000006</v>
      </c>
      <c r="N68" s="24">
        <f>'AEO 2023 Table 36 Raw'!Q51</f>
        <v>97.947815000000006</v>
      </c>
      <c r="O68" s="24">
        <f>'AEO 2023 Table 36 Raw'!R51</f>
        <v>97.954857000000004</v>
      </c>
      <c r="P68" s="24">
        <f>'AEO 2023 Table 36 Raw'!S51</f>
        <v>97.959594999999993</v>
      </c>
      <c r="Q68" s="24">
        <f>'AEO 2023 Table 36 Raw'!T51</f>
        <v>97.987419000000003</v>
      </c>
      <c r="R68" s="24">
        <f>'AEO 2023 Table 36 Raw'!U51</f>
        <v>98.031966999999995</v>
      </c>
      <c r="S68" s="24">
        <f>'AEO 2023 Table 36 Raw'!V51</f>
        <v>98.078743000000003</v>
      </c>
      <c r="T68" s="24">
        <f>'AEO 2023 Table 36 Raw'!W51</f>
        <v>98.12764</v>
      </c>
      <c r="U68" s="24">
        <f>'AEO 2023 Table 36 Raw'!X51</f>
        <v>98.178512999999995</v>
      </c>
      <c r="V68" s="24">
        <f>'AEO 2023 Table 36 Raw'!Y51</f>
        <v>98.231116999999998</v>
      </c>
      <c r="W68" s="24">
        <f>'AEO 2023 Table 36 Raw'!Z51</f>
        <v>98.285308999999998</v>
      </c>
      <c r="X68" s="24">
        <f>'AEO 2023 Table 36 Raw'!AA51</f>
        <v>98.340964999999997</v>
      </c>
      <c r="Y68" s="24">
        <f>'AEO 2023 Table 36 Raw'!AB51</f>
        <v>98.397942</v>
      </c>
      <c r="Z68" s="24">
        <f>'AEO 2023 Table 36 Raw'!AC51</f>
        <v>98.456130999999999</v>
      </c>
      <c r="AA68" s="24">
        <f>'AEO 2023 Table 36 Raw'!AD51</f>
        <v>98.515411</v>
      </c>
      <c r="AB68" s="24">
        <f>'AEO 2023 Table 36 Raw'!AE51</f>
        <v>98.575667999999993</v>
      </c>
      <c r="AC68" s="24">
        <f>'AEO 2023 Table 36 Raw'!AF51</f>
        <v>98.636825999999999</v>
      </c>
      <c r="AD68" s="24">
        <f>'AEO 2023 Table 36 Raw'!AG51</f>
        <v>98.698836999999997</v>
      </c>
      <c r="AE68" s="24">
        <f>'AEO 2023 Table 36 Raw'!AH51</f>
        <v>98.761627000000004</v>
      </c>
      <c r="AF68" s="29">
        <f>'AEO 2023 Table 36 Raw'!AI51</f>
        <v>1E-3</v>
      </c>
    </row>
    <row r="69" spans="1:32" ht="12" customHeight="1">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9"/>
    </row>
    <row r="70" spans="1:32" ht="15" customHeight="1">
      <c r="A70" s="18" t="s">
        <v>334</v>
      </c>
      <c r="B70" s="20" t="s">
        <v>8</v>
      </c>
      <c r="C70" s="24">
        <f>'AEO 2023 Table 36 Raw'!F52</f>
        <v>210.97721899999999</v>
      </c>
      <c r="D70" s="24">
        <f>'AEO 2023 Table 36 Raw'!G52</f>
        <v>220.80746500000001</v>
      </c>
      <c r="E70" s="24">
        <f>'AEO 2023 Table 36 Raw'!H52</f>
        <v>225.15119899999999</v>
      </c>
      <c r="F70" s="24">
        <f>'AEO 2023 Table 36 Raw'!I52</f>
        <v>225.93090799999999</v>
      </c>
      <c r="G70" s="24">
        <f>'AEO 2023 Table 36 Raw'!J52</f>
        <v>226.441757</v>
      </c>
      <c r="H70" s="24">
        <f>'AEO 2023 Table 36 Raw'!K52</f>
        <v>226.74642900000001</v>
      </c>
      <c r="I70" s="24">
        <f>'AEO 2023 Table 36 Raw'!L52</f>
        <v>226.787048</v>
      </c>
      <c r="J70" s="24">
        <f>'AEO 2023 Table 36 Raw'!M52</f>
        <v>226.390717</v>
      </c>
      <c r="K70" s="24">
        <f>'AEO 2023 Table 36 Raw'!N52</f>
        <v>225.62441999999999</v>
      </c>
      <c r="L70" s="24">
        <f>'AEO 2023 Table 36 Raw'!O52</f>
        <v>224.46057099999999</v>
      </c>
      <c r="M70" s="24">
        <f>'AEO 2023 Table 36 Raw'!P52</f>
        <v>223.250336</v>
      </c>
      <c r="N70" s="24">
        <f>'AEO 2023 Table 36 Raw'!Q52</f>
        <v>223.04595900000001</v>
      </c>
      <c r="O70" s="24">
        <f>'AEO 2023 Table 36 Raw'!R52</f>
        <v>222.35723899999999</v>
      </c>
      <c r="P70" s="24">
        <f>'AEO 2023 Table 36 Raw'!S52</f>
        <v>221.455566</v>
      </c>
      <c r="Q70" s="24">
        <f>'AEO 2023 Table 36 Raw'!T52</f>
        <v>220.40602100000001</v>
      </c>
      <c r="R70" s="24">
        <f>'AEO 2023 Table 36 Raw'!U52</f>
        <v>218.77555799999999</v>
      </c>
      <c r="S70" s="24">
        <f>'AEO 2023 Table 36 Raw'!V52</f>
        <v>217.16113300000001</v>
      </c>
      <c r="T70" s="24">
        <f>'AEO 2023 Table 36 Raw'!W52</f>
        <v>215.39122</v>
      </c>
      <c r="U70" s="24">
        <f>'AEO 2023 Table 36 Raw'!X52</f>
        <v>213.471802</v>
      </c>
      <c r="V70" s="24">
        <f>'AEO 2023 Table 36 Raw'!Y52</f>
        <v>211.40820299999999</v>
      </c>
      <c r="W70" s="24">
        <f>'AEO 2023 Table 36 Raw'!Z52</f>
        <v>209.23976099999999</v>
      </c>
      <c r="X70" s="24">
        <f>'AEO 2023 Table 36 Raw'!AA52</f>
        <v>206.76431299999999</v>
      </c>
      <c r="Y70" s="24">
        <f>'AEO 2023 Table 36 Raw'!AB52</f>
        <v>204.38597100000001</v>
      </c>
      <c r="Z70" s="24">
        <f>'AEO 2023 Table 36 Raw'!AC52</f>
        <v>201.858643</v>
      </c>
      <c r="AA70" s="24">
        <f>'AEO 2023 Table 36 Raw'!AD52</f>
        <v>199.42544599999999</v>
      </c>
      <c r="AB70" s="24">
        <f>'AEO 2023 Table 36 Raw'!AE52</f>
        <v>196.48846399999999</v>
      </c>
      <c r="AC70" s="24">
        <f>'AEO 2023 Table 36 Raw'!AF52</f>
        <v>193.40808100000001</v>
      </c>
      <c r="AD70" s="24">
        <f>'AEO 2023 Table 36 Raw'!AG52</f>
        <v>189.779068</v>
      </c>
      <c r="AE70" s="24">
        <f>'AEO 2023 Table 36 Raw'!AH52</f>
        <v>186.44667100000001</v>
      </c>
      <c r="AF70" s="29">
        <f>'AEO 2023 Table 36 Raw'!AI52</f>
        <v>-4.0000000000000001E-3</v>
      </c>
    </row>
    <row r="71" spans="1:32" ht="15" customHeight="1">
      <c r="A71" s="18" t="s">
        <v>335</v>
      </c>
      <c r="B71" s="21" t="s">
        <v>336</v>
      </c>
      <c r="C71" s="24">
        <f>'AEO 2023 Table 36 Raw'!F53</f>
        <v>92.212233999999995</v>
      </c>
      <c r="D71" s="24">
        <f>'AEO 2023 Table 36 Raw'!G53</f>
        <v>95.837829999999997</v>
      </c>
      <c r="E71" s="24">
        <f>'AEO 2023 Table 36 Raw'!H53</f>
        <v>98.320953000000003</v>
      </c>
      <c r="F71" s="24">
        <f>'AEO 2023 Table 36 Raw'!I53</f>
        <v>98.870079000000004</v>
      </c>
      <c r="G71" s="24">
        <f>'AEO 2023 Table 36 Raw'!J53</f>
        <v>99.844643000000005</v>
      </c>
      <c r="H71" s="24">
        <f>'AEO 2023 Table 36 Raw'!K53</f>
        <v>100.614418</v>
      </c>
      <c r="I71" s="24">
        <f>'AEO 2023 Table 36 Raw'!L53</f>
        <v>101.247078</v>
      </c>
      <c r="J71" s="24">
        <f>'AEO 2023 Table 36 Raw'!M53</f>
        <v>101.616623</v>
      </c>
      <c r="K71" s="24">
        <f>'AEO 2023 Table 36 Raw'!N53</f>
        <v>101.724174</v>
      </c>
      <c r="L71" s="24">
        <f>'AEO 2023 Table 36 Raw'!O53</f>
        <v>101.53801</v>
      </c>
      <c r="M71" s="24">
        <f>'AEO 2023 Table 36 Raw'!P53</f>
        <v>101.311256</v>
      </c>
      <c r="N71" s="24">
        <f>'AEO 2023 Table 36 Raw'!Q53</f>
        <v>100.97640199999999</v>
      </c>
      <c r="O71" s="24">
        <f>'AEO 2023 Table 36 Raw'!R53</f>
        <v>100.756874</v>
      </c>
      <c r="P71" s="24">
        <f>'AEO 2023 Table 36 Raw'!S53</f>
        <v>100.295074</v>
      </c>
      <c r="Q71" s="24">
        <f>'AEO 2023 Table 36 Raw'!T53</f>
        <v>99.678466999999998</v>
      </c>
      <c r="R71" s="24">
        <f>'AEO 2023 Table 36 Raw'!U53</f>
        <v>98.421806000000004</v>
      </c>
      <c r="S71" s="24">
        <f>'AEO 2023 Table 36 Raw'!V53</f>
        <v>97.683716000000004</v>
      </c>
      <c r="T71" s="24">
        <f>'AEO 2023 Table 36 Raw'!W53</f>
        <v>96.918678</v>
      </c>
      <c r="U71" s="24">
        <f>'AEO 2023 Table 36 Raw'!X53</f>
        <v>96.071006999999994</v>
      </c>
      <c r="V71" s="24">
        <f>'AEO 2023 Table 36 Raw'!Y53</f>
        <v>95.130722000000006</v>
      </c>
      <c r="W71" s="24">
        <f>'AEO 2023 Table 36 Raw'!Z53</f>
        <v>94.233086</v>
      </c>
      <c r="X71" s="24">
        <f>'AEO 2023 Table 36 Raw'!AA53</f>
        <v>93.123824999999997</v>
      </c>
      <c r="Y71" s="24">
        <f>'AEO 2023 Table 36 Raw'!AB53</f>
        <v>92.204300000000003</v>
      </c>
      <c r="Z71" s="24">
        <f>'AEO 2023 Table 36 Raw'!AC53</f>
        <v>91.250327999999996</v>
      </c>
      <c r="AA71" s="24">
        <f>'AEO 2023 Table 36 Raw'!AD53</f>
        <v>90.658730000000006</v>
      </c>
      <c r="AB71" s="24">
        <f>'AEO 2023 Table 36 Raw'!AE53</f>
        <v>89.694473000000002</v>
      </c>
      <c r="AC71" s="24">
        <f>'AEO 2023 Table 36 Raw'!AF53</f>
        <v>88.826485000000005</v>
      </c>
      <c r="AD71" s="24">
        <f>'AEO 2023 Table 36 Raw'!AG53</f>
        <v>87.819648999999998</v>
      </c>
      <c r="AE71" s="24">
        <f>'AEO 2023 Table 36 Raw'!AH53</f>
        <v>86.904647999999995</v>
      </c>
      <c r="AF71" s="29">
        <f>'AEO 2023 Table 36 Raw'!AI53</f>
        <v>-2E-3</v>
      </c>
    </row>
    <row r="72" spans="1:32" ht="15" customHeight="1">
      <c r="A72" s="18" t="s">
        <v>337</v>
      </c>
      <c r="B72" s="21" t="s">
        <v>338</v>
      </c>
      <c r="C72" s="24">
        <f>'AEO 2023 Table 36 Raw'!F54</f>
        <v>12.007432</v>
      </c>
      <c r="D72" s="24">
        <f>'AEO 2023 Table 36 Raw'!G54</f>
        <v>12.465114</v>
      </c>
      <c r="E72" s="24">
        <f>'AEO 2023 Table 36 Raw'!H54</f>
        <v>12.775763</v>
      </c>
      <c r="F72" s="24">
        <f>'AEO 2023 Table 36 Raw'!I54</f>
        <v>12.835153999999999</v>
      </c>
      <c r="G72" s="24">
        <f>'AEO 2023 Table 36 Raw'!J54</f>
        <v>12.958027</v>
      </c>
      <c r="H72" s="24">
        <f>'AEO 2023 Table 36 Raw'!K54</f>
        <v>13.056922</v>
      </c>
      <c r="I72" s="24">
        <f>'AEO 2023 Table 36 Raw'!L54</f>
        <v>13.141268999999999</v>
      </c>
      <c r="J72" s="24">
        <f>'AEO 2023 Table 36 Raw'!M54</f>
        <v>13.190033</v>
      </c>
      <c r="K72" s="24">
        <f>'AEO 2023 Table 36 Raw'!N54</f>
        <v>13.202685000000001</v>
      </c>
      <c r="L72" s="24">
        <f>'AEO 2023 Table 36 Raw'!O54</f>
        <v>13.177554000000001</v>
      </c>
      <c r="M72" s="24">
        <f>'AEO 2023 Table 36 Raw'!P54</f>
        <v>13.150479000000001</v>
      </c>
      <c r="N72" s="24">
        <f>'AEO 2023 Table 36 Raw'!Q54</f>
        <v>13.109432999999999</v>
      </c>
      <c r="O72" s="24">
        <f>'AEO 2023 Table 36 Raw'!R54</f>
        <v>13.083599</v>
      </c>
      <c r="P72" s="24">
        <f>'AEO 2023 Table 36 Raw'!S54</f>
        <v>13.026247</v>
      </c>
      <c r="Q72" s="24">
        <f>'AEO 2023 Table 36 Raw'!T54</f>
        <v>12.949903000000001</v>
      </c>
      <c r="R72" s="24">
        <f>'AEO 2023 Table 36 Raw'!U54</f>
        <v>12.790073</v>
      </c>
      <c r="S72" s="24">
        <f>'AEO 2023 Table 36 Raw'!V54</f>
        <v>12.696982999999999</v>
      </c>
      <c r="T72" s="24">
        <f>'AEO 2023 Table 36 Raw'!W54</f>
        <v>12.600635</v>
      </c>
      <c r="U72" s="24">
        <f>'AEO 2023 Table 36 Raw'!X54</f>
        <v>12.493633000000001</v>
      </c>
      <c r="V72" s="24">
        <f>'AEO 2023 Table 36 Raw'!Y54</f>
        <v>12.374180000000001</v>
      </c>
      <c r="W72" s="24">
        <f>'AEO 2023 Table 36 Raw'!Z54</f>
        <v>12.260481</v>
      </c>
      <c r="X72" s="24">
        <f>'AEO 2023 Table 36 Raw'!AA54</f>
        <v>12.119045</v>
      </c>
      <c r="Y72" s="24">
        <f>'AEO 2023 Table 36 Raw'!AB54</f>
        <v>12.002355</v>
      </c>
      <c r="Z72" s="24">
        <f>'AEO 2023 Table 36 Raw'!AC54</f>
        <v>11.880788000000001</v>
      </c>
      <c r="AA72" s="24">
        <f>'AEO 2023 Table 36 Raw'!AD54</f>
        <v>11.808579999999999</v>
      </c>
      <c r="AB72" s="24">
        <f>'AEO 2023 Table 36 Raw'!AE54</f>
        <v>11.685587</v>
      </c>
      <c r="AC72" s="24">
        <f>'AEO 2023 Table 36 Raw'!AF54</f>
        <v>11.575792</v>
      </c>
      <c r="AD72" s="24">
        <f>'AEO 2023 Table 36 Raw'!AG54</f>
        <v>11.447132</v>
      </c>
      <c r="AE72" s="24">
        <f>'AEO 2023 Table 36 Raw'!AH54</f>
        <v>11.331303999999999</v>
      </c>
      <c r="AF72" s="29">
        <f>'AEO 2023 Table 36 Raw'!AI54</f>
        <v>-2E-3</v>
      </c>
    </row>
    <row r="73" spans="1:32" ht="15" customHeight="1">
      <c r="A73" s="18" t="s">
        <v>339</v>
      </c>
      <c r="B73" s="21" t="s">
        <v>340</v>
      </c>
      <c r="C73" s="24">
        <f>'AEO 2023 Table 36 Raw'!F55</f>
        <v>7.4320000000000002E-3</v>
      </c>
      <c r="D73" s="24">
        <f>'AEO 2023 Table 36 Raw'!G55</f>
        <v>7.7629999999999999E-3</v>
      </c>
      <c r="E73" s="24">
        <f>'AEO 2023 Table 36 Raw'!H55</f>
        <v>7.9489999999999995E-3</v>
      </c>
      <c r="F73" s="24">
        <f>'AEO 2023 Table 36 Raw'!I55</f>
        <v>8.0289999999999997E-3</v>
      </c>
      <c r="G73" s="24">
        <f>'AEO 2023 Table 36 Raw'!J55</f>
        <v>8.1410000000000007E-3</v>
      </c>
      <c r="H73" s="24">
        <f>'AEO 2023 Table 36 Raw'!K55</f>
        <v>8.2100000000000003E-3</v>
      </c>
      <c r="I73" s="24">
        <f>'AEO 2023 Table 36 Raw'!L55</f>
        <v>8.2570000000000005E-3</v>
      </c>
      <c r="J73" s="24">
        <f>'AEO 2023 Table 36 Raw'!M55</f>
        <v>8.2789999999999999E-3</v>
      </c>
      <c r="K73" s="24">
        <f>'AEO 2023 Table 36 Raw'!N55</f>
        <v>8.2830000000000004E-3</v>
      </c>
      <c r="L73" s="24">
        <f>'AEO 2023 Table 36 Raw'!O55</f>
        <v>8.2609999999999992E-3</v>
      </c>
      <c r="M73" s="24">
        <f>'AEO 2023 Table 36 Raw'!P55</f>
        <v>8.2290000000000002E-3</v>
      </c>
      <c r="N73" s="24">
        <f>'AEO 2023 Table 36 Raw'!Q55</f>
        <v>8.1890000000000001E-3</v>
      </c>
      <c r="O73" s="24">
        <f>'AEO 2023 Table 36 Raw'!R55</f>
        <v>8.1569999999999993E-3</v>
      </c>
      <c r="P73" s="24">
        <f>'AEO 2023 Table 36 Raw'!S55</f>
        <v>8.1069999999999996E-3</v>
      </c>
      <c r="Q73" s="24">
        <f>'AEO 2023 Table 36 Raw'!T55</f>
        <v>8.0420000000000005E-3</v>
      </c>
      <c r="R73" s="24">
        <f>'AEO 2023 Table 36 Raw'!U55</f>
        <v>7.9609999999999993E-3</v>
      </c>
      <c r="S73" s="24">
        <f>'AEO 2023 Table 36 Raw'!V55</f>
        <v>7.8829999999999994E-3</v>
      </c>
      <c r="T73" s="24">
        <f>'AEO 2023 Table 36 Raw'!W55</f>
        <v>7.803E-3</v>
      </c>
      <c r="U73" s="24">
        <f>'AEO 2023 Table 36 Raw'!X55</f>
        <v>7.7130000000000002E-3</v>
      </c>
      <c r="V73" s="24">
        <f>'AEO 2023 Table 36 Raw'!Y55</f>
        <v>7.6150000000000002E-3</v>
      </c>
      <c r="W73" s="24">
        <f>'AEO 2023 Table 36 Raw'!Z55</f>
        <v>7.5209999999999999E-3</v>
      </c>
      <c r="X73" s="24">
        <f>'AEO 2023 Table 36 Raw'!AA55</f>
        <v>7.3980000000000001E-3</v>
      </c>
      <c r="Y73" s="24">
        <f>'AEO 2023 Table 36 Raw'!AB55</f>
        <v>7.3070000000000001E-3</v>
      </c>
      <c r="Z73" s="24">
        <f>'AEO 2023 Table 36 Raw'!AC55</f>
        <v>7.2150000000000001E-3</v>
      </c>
      <c r="AA73" s="24">
        <f>'AEO 2023 Table 36 Raw'!AD55</f>
        <v>7.143E-3</v>
      </c>
      <c r="AB73" s="24">
        <f>'AEO 2023 Table 36 Raw'!AE55</f>
        <v>7.0499999999999998E-3</v>
      </c>
      <c r="AC73" s="24">
        <f>'AEO 2023 Table 36 Raw'!AF55</f>
        <v>6.9610000000000002E-3</v>
      </c>
      <c r="AD73" s="24">
        <f>'AEO 2023 Table 36 Raw'!AG55</f>
        <v>6.8640000000000003E-3</v>
      </c>
      <c r="AE73" s="24">
        <f>'AEO 2023 Table 36 Raw'!AH55</f>
        <v>6.7689999999999998E-3</v>
      </c>
      <c r="AF73" s="29">
        <f>'AEO 2023 Table 36 Raw'!AI55</f>
        <v>-3.0000000000000001E-3</v>
      </c>
    </row>
    <row r="74" spans="1:32" s="83" customFormat="1" ht="15" customHeight="1">
      <c r="A74" s="85" t="s">
        <v>341</v>
      </c>
      <c r="B74" s="86" t="s">
        <v>342</v>
      </c>
      <c r="C74" s="87">
        <f>'AEO 2023 Table 36 Raw'!F56</f>
        <v>52.012611</v>
      </c>
      <c r="D74" s="87">
        <f>'AEO 2023 Table 36 Raw'!G56</f>
        <v>54.015754999999999</v>
      </c>
      <c r="E74" s="87">
        <f>'AEO 2023 Table 36 Raw'!H56</f>
        <v>55.245651000000002</v>
      </c>
      <c r="F74" s="87">
        <f>'AEO 2023 Table 36 Raw'!I56</f>
        <v>55.522506999999997</v>
      </c>
      <c r="G74" s="87">
        <f>'AEO 2023 Table 36 Raw'!J56</f>
        <v>56.047764000000001</v>
      </c>
      <c r="H74" s="87">
        <f>'AEO 2023 Table 36 Raw'!K56</f>
        <v>56.442497000000003</v>
      </c>
      <c r="I74" s="87">
        <f>'AEO 2023 Table 36 Raw'!L56</f>
        <v>56.754584999999999</v>
      </c>
      <c r="J74" s="87">
        <f>'AEO 2023 Table 36 Raw'!M56</f>
        <v>56.903236</v>
      </c>
      <c r="K74" s="87">
        <f>'AEO 2023 Table 36 Raw'!N56</f>
        <v>56.888607</v>
      </c>
      <c r="L74" s="87">
        <f>'AEO 2023 Table 36 Raw'!O56</f>
        <v>56.712851999999998</v>
      </c>
      <c r="M74" s="87">
        <f>'AEO 2023 Table 36 Raw'!P56</f>
        <v>56.517417999999999</v>
      </c>
      <c r="N74" s="87">
        <f>'AEO 2023 Table 36 Raw'!Q56</f>
        <v>56.260185</v>
      </c>
      <c r="O74" s="87">
        <f>'AEO 2023 Table 36 Raw'!R56</f>
        <v>56.054282999999998</v>
      </c>
      <c r="P74" s="87">
        <f>'AEO 2023 Table 36 Raw'!S56</f>
        <v>55.704571000000001</v>
      </c>
      <c r="Q74" s="87">
        <f>'AEO 2023 Table 36 Raw'!T56</f>
        <v>55.261519999999997</v>
      </c>
      <c r="R74" s="87">
        <f>'AEO 2023 Table 36 Raw'!U56</f>
        <v>54.562843000000001</v>
      </c>
      <c r="S74" s="87">
        <f>'AEO 2023 Table 36 Raw'!V56</f>
        <v>54.018444000000002</v>
      </c>
      <c r="T74" s="87">
        <f>'AEO 2023 Table 36 Raw'!W56</f>
        <v>53.439864999999998</v>
      </c>
      <c r="U74" s="87">
        <f>'AEO 2023 Table 36 Raw'!X56</f>
        <v>52.799095000000001</v>
      </c>
      <c r="V74" s="87">
        <f>'AEO 2023 Table 36 Raw'!Y56</f>
        <v>52.084651999999998</v>
      </c>
      <c r="W74" s="87">
        <f>'AEO 2023 Table 36 Raw'!Z56</f>
        <v>51.363410999999999</v>
      </c>
      <c r="X74" s="87">
        <f>'AEO 2023 Table 36 Raw'!AA56</f>
        <v>50.487484000000002</v>
      </c>
      <c r="Y74" s="87">
        <f>'AEO 2023 Table 36 Raw'!AB56</f>
        <v>49.676124999999999</v>
      </c>
      <c r="Z74" s="87">
        <f>'AEO 2023 Table 36 Raw'!AC56</f>
        <v>48.788139000000001</v>
      </c>
      <c r="AA74" s="87">
        <f>'AEO 2023 Table 36 Raw'!AD56</f>
        <v>48.012000999999998</v>
      </c>
      <c r="AB74" s="87">
        <f>'AEO 2023 Table 36 Raw'!AE56</f>
        <v>46.925766000000003</v>
      </c>
      <c r="AC74" s="87">
        <f>'AEO 2023 Table 36 Raw'!AF56</f>
        <v>45.703896</v>
      </c>
      <c r="AD74" s="87">
        <f>'AEO 2023 Table 36 Raw'!AG56</f>
        <v>44.05574</v>
      </c>
      <c r="AE74" s="87">
        <f>'AEO 2023 Table 36 Raw'!AH56</f>
        <v>42.693801999999998</v>
      </c>
      <c r="AF74" s="88">
        <f>'AEO 2023 Table 36 Raw'!AI56</f>
        <v>-7.0000000000000001E-3</v>
      </c>
    </row>
    <row r="75" spans="1:32" ht="15" customHeight="1">
      <c r="A75" s="18" t="s">
        <v>343</v>
      </c>
      <c r="B75" s="21" t="s">
        <v>344</v>
      </c>
      <c r="C75" s="24">
        <f>'AEO 2023 Table 36 Raw'!F57</f>
        <v>26.102913000000001</v>
      </c>
      <c r="D75" s="24">
        <f>'AEO 2023 Table 36 Raw'!G57</f>
        <v>27.152719000000001</v>
      </c>
      <c r="E75" s="24">
        <f>'AEO 2023 Table 36 Raw'!H57</f>
        <v>27.997173</v>
      </c>
      <c r="F75" s="24">
        <f>'AEO 2023 Table 36 Raw'!I57</f>
        <v>28.156234999999999</v>
      </c>
      <c r="G75" s="24">
        <f>'AEO 2023 Table 36 Raw'!J57</f>
        <v>28.412040999999999</v>
      </c>
      <c r="H75" s="24">
        <f>'AEO 2023 Table 36 Raw'!K57</f>
        <v>28.617826000000001</v>
      </c>
      <c r="I75" s="24">
        <f>'AEO 2023 Table 36 Raw'!L57</f>
        <v>28.781718999999999</v>
      </c>
      <c r="J75" s="24">
        <f>'AEO 2023 Table 36 Raw'!M57</f>
        <v>28.881858999999999</v>
      </c>
      <c r="K75" s="24">
        <f>'AEO 2023 Table 36 Raw'!N57</f>
        <v>28.919270999999998</v>
      </c>
      <c r="L75" s="24">
        <f>'AEO 2023 Table 36 Raw'!O57</f>
        <v>28.863105999999998</v>
      </c>
      <c r="M75" s="24">
        <f>'AEO 2023 Table 36 Raw'!P57</f>
        <v>28.782406000000002</v>
      </c>
      <c r="N75" s="24">
        <f>'AEO 2023 Table 36 Raw'!Q57</f>
        <v>28.664639000000001</v>
      </c>
      <c r="O75" s="24">
        <f>'AEO 2023 Table 36 Raw'!R57</f>
        <v>28.58287</v>
      </c>
      <c r="P75" s="24">
        <f>'AEO 2023 Table 36 Raw'!S57</f>
        <v>28.431080000000001</v>
      </c>
      <c r="Q75" s="24">
        <f>'AEO 2023 Table 36 Raw'!T57</f>
        <v>28.230478000000002</v>
      </c>
      <c r="R75" s="24">
        <f>'AEO 2023 Table 36 Raw'!U57</f>
        <v>27.752499</v>
      </c>
      <c r="S75" s="24">
        <f>'AEO 2023 Table 36 Raw'!V57</f>
        <v>27.526546</v>
      </c>
      <c r="T75" s="24">
        <f>'AEO 2023 Table 36 Raw'!W57</f>
        <v>27.295058999999998</v>
      </c>
      <c r="U75" s="24">
        <f>'AEO 2023 Table 36 Raw'!X57</f>
        <v>27.037399000000001</v>
      </c>
      <c r="V75" s="24">
        <f>'AEO 2023 Table 36 Raw'!Y57</f>
        <v>26.753869999999999</v>
      </c>
      <c r="W75" s="24">
        <f>'AEO 2023 Table 36 Raw'!Z57</f>
        <v>26.484290999999999</v>
      </c>
      <c r="X75" s="24">
        <f>'AEO 2023 Table 36 Raw'!AA57</f>
        <v>26.160323999999999</v>
      </c>
      <c r="Y75" s="24">
        <f>'AEO 2023 Table 36 Raw'!AB57</f>
        <v>25.885159999999999</v>
      </c>
      <c r="Z75" s="24">
        <f>'AEO 2023 Table 36 Raw'!AC57</f>
        <v>25.601519</v>
      </c>
      <c r="AA75" s="24">
        <f>'AEO 2023 Table 36 Raw'!AD57</f>
        <v>25.421154000000001</v>
      </c>
      <c r="AB75" s="24">
        <f>'AEO 2023 Table 36 Raw'!AE57</f>
        <v>25.134627999999999</v>
      </c>
      <c r="AC75" s="24">
        <f>'AEO 2023 Table 36 Raw'!AF57</f>
        <v>24.876854000000002</v>
      </c>
      <c r="AD75" s="24">
        <f>'AEO 2023 Table 36 Raw'!AG57</f>
        <v>24.580860000000001</v>
      </c>
      <c r="AE75" s="24">
        <f>'AEO 2023 Table 36 Raw'!AH57</f>
        <v>24.309217</v>
      </c>
      <c r="AF75" s="29">
        <f>'AEO 2023 Table 36 Raw'!AI57</f>
        <v>-3.0000000000000001E-3</v>
      </c>
    </row>
    <row r="76" spans="1:32" ht="15" customHeight="1">
      <c r="A76" s="18" t="s">
        <v>345</v>
      </c>
      <c r="B76" s="21" t="s">
        <v>346</v>
      </c>
      <c r="C76" s="24">
        <f>'AEO 2023 Table 36 Raw'!F58</f>
        <v>1.4757659999999999</v>
      </c>
      <c r="D76" s="24">
        <f>'AEO 2023 Table 36 Raw'!G58</f>
        <v>1.5326839999999999</v>
      </c>
      <c r="E76" s="24">
        <f>'AEO 2023 Table 36 Raw'!H58</f>
        <v>1.572022</v>
      </c>
      <c r="F76" s="24">
        <f>'AEO 2023 Table 36 Raw'!I58</f>
        <v>1.5786210000000001</v>
      </c>
      <c r="G76" s="24">
        <f>'AEO 2023 Table 36 Raw'!J58</f>
        <v>1.5959749999999999</v>
      </c>
      <c r="H76" s="24">
        <f>'AEO 2023 Table 36 Raw'!K58</f>
        <v>1.6095010000000001</v>
      </c>
      <c r="I76" s="24">
        <f>'AEO 2023 Table 36 Raw'!L58</f>
        <v>1.6204449999999999</v>
      </c>
      <c r="J76" s="24">
        <f>'AEO 2023 Table 36 Raw'!M58</f>
        <v>1.6276649999999999</v>
      </c>
      <c r="K76" s="24">
        <f>'AEO 2023 Table 36 Raw'!N58</f>
        <v>1.6309739999999999</v>
      </c>
      <c r="L76" s="24">
        <f>'AEO 2023 Table 36 Raw'!O58</f>
        <v>1.629221</v>
      </c>
      <c r="M76" s="24">
        <f>'AEO 2023 Table 36 Raw'!P58</f>
        <v>1.6268180000000001</v>
      </c>
      <c r="N76" s="24">
        <f>'AEO 2023 Table 36 Raw'!Q58</f>
        <v>1.622336</v>
      </c>
      <c r="O76" s="24">
        <f>'AEO 2023 Table 36 Raw'!R58</f>
        <v>1.6196390000000001</v>
      </c>
      <c r="P76" s="24">
        <f>'AEO 2023 Table 36 Raw'!S58</f>
        <v>1.613038</v>
      </c>
      <c r="Q76" s="24">
        <f>'AEO 2023 Table 36 Raw'!T58</f>
        <v>1.6045199999999999</v>
      </c>
      <c r="R76" s="24">
        <f>'AEO 2023 Table 36 Raw'!U58</f>
        <v>1.5851</v>
      </c>
      <c r="S76" s="24">
        <f>'AEO 2023 Table 36 Raw'!V58</f>
        <v>1.57385</v>
      </c>
      <c r="T76" s="24">
        <f>'AEO 2023 Table 36 Raw'!W58</f>
        <v>1.56229</v>
      </c>
      <c r="U76" s="24">
        <f>'AEO 2023 Table 36 Raw'!X58</f>
        <v>1.549139</v>
      </c>
      <c r="V76" s="24">
        <f>'AEO 2023 Table 36 Raw'!Y58</f>
        <v>1.5342830000000001</v>
      </c>
      <c r="W76" s="24">
        <f>'AEO 2023 Table 36 Raw'!Z58</f>
        <v>1.520311</v>
      </c>
      <c r="X76" s="24">
        <f>'AEO 2023 Table 36 Raw'!AA58</f>
        <v>1.501987</v>
      </c>
      <c r="Y76" s="24">
        <f>'AEO 2023 Table 36 Raw'!AB58</f>
        <v>1.4879849999999999</v>
      </c>
      <c r="Z76" s="24">
        <f>'AEO 2023 Table 36 Raw'!AC58</f>
        <v>1.4732160000000001</v>
      </c>
      <c r="AA76" s="24">
        <f>'AEO 2023 Table 36 Raw'!AD58</f>
        <v>1.4655290000000001</v>
      </c>
      <c r="AB76" s="24">
        <f>'AEO 2023 Table 36 Raw'!AE58</f>
        <v>1.450458</v>
      </c>
      <c r="AC76" s="24">
        <f>'AEO 2023 Table 36 Raw'!AF58</f>
        <v>1.437376</v>
      </c>
      <c r="AD76" s="24">
        <f>'AEO 2023 Table 36 Raw'!AG58</f>
        <v>1.4216249999999999</v>
      </c>
      <c r="AE76" s="24">
        <f>'AEO 2023 Table 36 Raw'!AH58</f>
        <v>1.4077189999999999</v>
      </c>
      <c r="AF76" s="29">
        <f>'AEO 2023 Table 36 Raw'!AI58</f>
        <v>-2E-3</v>
      </c>
    </row>
    <row r="77" spans="1:32" ht="15" customHeight="1">
      <c r="A77" s="18" t="s">
        <v>347</v>
      </c>
      <c r="B77" s="21" t="s">
        <v>348</v>
      </c>
      <c r="C77" s="24">
        <f>'AEO 2023 Table 36 Raw'!F59</f>
        <v>0.58296300000000001</v>
      </c>
      <c r="D77" s="24">
        <f>'AEO 2023 Table 36 Raw'!G59</f>
        <v>0.63977200000000001</v>
      </c>
      <c r="E77" s="24">
        <f>'AEO 2023 Table 36 Raw'!H59</f>
        <v>0.69745900000000005</v>
      </c>
      <c r="F77" s="24">
        <f>'AEO 2023 Table 36 Raw'!I59</f>
        <v>0.74443499999999996</v>
      </c>
      <c r="G77" s="24">
        <f>'AEO 2023 Table 36 Raw'!J59</f>
        <v>0.79736899999999999</v>
      </c>
      <c r="H77" s="24">
        <f>'AEO 2023 Table 36 Raw'!K59</f>
        <v>0.85397599999999996</v>
      </c>
      <c r="I77" s="24">
        <f>'AEO 2023 Table 36 Raw'!L59</f>
        <v>0.91521699999999995</v>
      </c>
      <c r="J77" s="24">
        <f>'AEO 2023 Table 36 Raw'!M59</f>
        <v>0.97990200000000005</v>
      </c>
      <c r="K77" s="24">
        <f>'AEO 2023 Table 36 Raw'!N59</f>
        <v>1.0486899999999999</v>
      </c>
      <c r="L77" s="24">
        <f>'AEO 2023 Table 36 Raw'!O59</f>
        <v>1.1214440000000001</v>
      </c>
      <c r="M77" s="24">
        <f>'AEO 2023 Table 36 Raw'!P59</f>
        <v>1.2004459999999999</v>
      </c>
      <c r="N77" s="24">
        <f>'AEO 2023 Table 36 Raw'!Q59</f>
        <v>1.2863150000000001</v>
      </c>
      <c r="O77" s="24">
        <f>'AEO 2023 Table 36 Raw'!R59</f>
        <v>1.3831500000000001</v>
      </c>
      <c r="P77" s="24">
        <f>'AEO 2023 Table 36 Raw'!S59</f>
        <v>1.48702</v>
      </c>
      <c r="Q77" s="24">
        <f>'AEO 2023 Table 36 Raw'!T59</f>
        <v>1.599227</v>
      </c>
      <c r="R77" s="24">
        <f>'AEO 2023 Table 36 Raw'!U59</f>
        <v>1.699166</v>
      </c>
      <c r="S77" s="24">
        <f>'AEO 2023 Table 36 Raw'!V59</f>
        <v>1.8360780000000001</v>
      </c>
      <c r="T77" s="24">
        <f>'AEO 2023 Table 36 Raw'!W59</f>
        <v>1.989325</v>
      </c>
      <c r="U77" s="24">
        <f>'AEO 2023 Table 36 Raw'!X59</f>
        <v>2.1605850000000002</v>
      </c>
      <c r="V77" s="24">
        <f>'AEO 2023 Table 36 Raw'!Y59</f>
        <v>2.3529599999999999</v>
      </c>
      <c r="W77" s="24">
        <f>'AEO 2023 Table 36 Raw'!Z59</f>
        <v>2.5741770000000002</v>
      </c>
      <c r="X77" s="24">
        <f>'AEO 2023 Table 36 Raw'!AA59</f>
        <v>2.8250199999999999</v>
      </c>
      <c r="Y77" s="24">
        <f>'AEO 2023 Table 36 Raw'!AB59</f>
        <v>3.1230699999999998</v>
      </c>
      <c r="Z77" s="24">
        <f>'AEO 2023 Table 36 Raw'!AC59</f>
        <v>3.4774289999999999</v>
      </c>
      <c r="AA77" s="24">
        <f>'AEO 2023 Table 36 Raw'!AD59</f>
        <v>3.922498</v>
      </c>
      <c r="AB77" s="24">
        <f>'AEO 2023 Table 36 Raw'!AE59</f>
        <v>4.4694479999999999</v>
      </c>
      <c r="AC77" s="24">
        <f>'AEO 2023 Table 36 Raw'!AF59</f>
        <v>5.2043210000000002</v>
      </c>
      <c r="AD77" s="24">
        <f>'AEO 2023 Table 36 Raw'!AG59</f>
        <v>6.2864370000000003</v>
      </c>
      <c r="AE77" s="24">
        <f>'AEO 2023 Table 36 Raw'!AH59</f>
        <v>7.1351089999999999</v>
      </c>
      <c r="AF77" s="29">
        <f>'AEO 2023 Table 36 Raw'!AI59</f>
        <v>9.4E-2</v>
      </c>
    </row>
    <row r="78" spans="1:32" ht="15" customHeight="1">
      <c r="A78" s="18" t="s">
        <v>349</v>
      </c>
      <c r="B78" s="21" t="s">
        <v>350</v>
      </c>
      <c r="C78" s="24">
        <f>'AEO 2023 Table 36 Raw'!F60</f>
        <v>2.3116999999999999E-2</v>
      </c>
      <c r="D78" s="24">
        <f>'AEO 2023 Table 36 Raw'!G60</f>
        <v>2.4035000000000001E-2</v>
      </c>
      <c r="E78" s="24">
        <f>'AEO 2023 Table 36 Raw'!H60</f>
        <v>2.4938999999999999E-2</v>
      </c>
      <c r="F78" s="24">
        <f>'AEO 2023 Table 36 Raw'!I60</f>
        <v>2.5099E-2</v>
      </c>
      <c r="G78" s="24">
        <f>'AEO 2023 Table 36 Raw'!J60</f>
        <v>2.5319000000000001E-2</v>
      </c>
      <c r="H78" s="24">
        <f>'AEO 2023 Table 36 Raw'!K60</f>
        <v>2.5482000000000001E-2</v>
      </c>
      <c r="I78" s="24">
        <f>'AEO 2023 Table 36 Raw'!L60</f>
        <v>2.5596000000000001E-2</v>
      </c>
      <c r="J78" s="24">
        <f>'AEO 2023 Table 36 Raw'!M60</f>
        <v>2.5651E-2</v>
      </c>
      <c r="K78" s="24">
        <f>'AEO 2023 Table 36 Raw'!N60</f>
        <v>2.5658E-2</v>
      </c>
      <c r="L78" s="24">
        <f>'AEO 2023 Table 36 Raw'!O60</f>
        <v>2.5572999999999999E-2</v>
      </c>
      <c r="M78" s="24">
        <f>'AEO 2023 Table 36 Raw'!P60</f>
        <v>2.5453E-2</v>
      </c>
      <c r="N78" s="24">
        <f>'AEO 2023 Table 36 Raw'!Q60</f>
        <v>2.5301000000000001E-2</v>
      </c>
      <c r="O78" s="24">
        <f>'AEO 2023 Table 36 Raw'!R60</f>
        <v>2.5183000000000001E-2</v>
      </c>
      <c r="P78" s="24">
        <f>'AEO 2023 Table 36 Raw'!S60</f>
        <v>2.5003000000000001E-2</v>
      </c>
      <c r="Q78" s="24">
        <f>'AEO 2023 Table 36 Raw'!T60</f>
        <v>2.4774000000000001E-2</v>
      </c>
      <c r="R78" s="24">
        <f>'AEO 2023 Table 36 Raw'!U60</f>
        <v>2.4169E-2</v>
      </c>
      <c r="S78" s="24">
        <f>'AEO 2023 Table 36 Raw'!V60</f>
        <v>2.3938999999999998E-2</v>
      </c>
      <c r="T78" s="24">
        <f>'AEO 2023 Table 36 Raw'!W60</f>
        <v>2.3702000000000001E-2</v>
      </c>
      <c r="U78" s="24">
        <f>'AEO 2023 Table 36 Raw'!X60</f>
        <v>2.3444E-2</v>
      </c>
      <c r="V78" s="24">
        <f>'AEO 2023 Table 36 Raw'!Y60</f>
        <v>2.3163E-2</v>
      </c>
      <c r="W78" s="24">
        <f>'AEO 2023 Table 36 Raw'!Z60</f>
        <v>2.2893E-2</v>
      </c>
      <c r="X78" s="24">
        <f>'AEO 2023 Table 36 Raw'!AA60</f>
        <v>2.2575000000000001E-2</v>
      </c>
      <c r="Y78" s="24">
        <f>'AEO 2023 Table 36 Raw'!AB60</f>
        <v>2.2303E-2</v>
      </c>
      <c r="Z78" s="24">
        <f>'AEO 2023 Table 36 Raw'!AC60</f>
        <v>2.2027000000000001E-2</v>
      </c>
      <c r="AA78" s="24">
        <f>'AEO 2023 Table 36 Raw'!AD60</f>
        <v>2.1822999999999999E-2</v>
      </c>
      <c r="AB78" s="24">
        <f>'AEO 2023 Table 36 Raw'!AE60</f>
        <v>2.1545000000000002E-2</v>
      </c>
      <c r="AC78" s="24">
        <f>'AEO 2023 Table 36 Raw'!AF60</f>
        <v>2.1284000000000001E-2</v>
      </c>
      <c r="AD78" s="24">
        <f>'AEO 2023 Table 36 Raw'!AG60</f>
        <v>2.0996999999999998E-2</v>
      </c>
      <c r="AE78" s="24">
        <f>'AEO 2023 Table 36 Raw'!AH60</f>
        <v>2.0722999999999998E-2</v>
      </c>
      <c r="AF78" s="29">
        <f>'AEO 2023 Table 36 Raw'!AI60</f>
        <v>-4.0000000000000001E-3</v>
      </c>
    </row>
    <row r="79" spans="1:32" ht="15" customHeight="1">
      <c r="A79" s="18" t="s">
        <v>351</v>
      </c>
      <c r="B79" s="21" t="s">
        <v>352</v>
      </c>
      <c r="C79" s="24">
        <f>'AEO 2023 Table 36 Raw'!F61</f>
        <v>26.118862</v>
      </c>
      <c r="D79" s="24">
        <f>'AEO 2023 Table 36 Raw'!G61</f>
        <v>28.024412000000002</v>
      </c>
      <c r="E79" s="24">
        <f>'AEO 2023 Table 36 Raw'!H61</f>
        <v>29.477226000000002</v>
      </c>
      <c r="F79" s="24">
        <f>'AEO 2023 Table 36 Raw'!I61</f>
        <v>30.571621</v>
      </c>
      <c r="G79" s="24">
        <f>'AEO 2023 Table 36 Raw'!J61</f>
        <v>31.3964</v>
      </c>
      <c r="H79" s="24">
        <f>'AEO 2023 Table 36 Raw'!K61</f>
        <v>32.010112999999997</v>
      </c>
      <c r="I79" s="24">
        <f>'AEO 2023 Table 36 Raw'!L61</f>
        <v>32.464531000000001</v>
      </c>
      <c r="J79" s="24">
        <f>'AEO 2023 Table 36 Raw'!M61</f>
        <v>32.799759000000002</v>
      </c>
      <c r="K79" s="24">
        <f>'AEO 2023 Table 36 Raw'!N61</f>
        <v>33.046233999999998</v>
      </c>
      <c r="L79" s="24">
        <f>'AEO 2023 Table 36 Raw'!O61</f>
        <v>33.226050999999998</v>
      </c>
      <c r="M79" s="24">
        <f>'AEO 2023 Table 36 Raw'!P61</f>
        <v>33.352477999999998</v>
      </c>
      <c r="N79" s="24">
        <f>'AEO 2023 Table 36 Raw'!Q61</f>
        <v>33.43018</v>
      </c>
      <c r="O79" s="24">
        <f>'AEO 2023 Table 36 Raw'!R61</f>
        <v>33.466476</v>
      </c>
      <c r="P79" s="24">
        <f>'AEO 2023 Table 36 Raw'!S61</f>
        <v>33.469250000000002</v>
      </c>
      <c r="Q79" s="24">
        <f>'AEO 2023 Table 36 Raw'!T61</f>
        <v>33.445160000000001</v>
      </c>
      <c r="R79" s="24">
        <f>'AEO 2023 Table 36 Raw'!U61</f>
        <v>33.397396000000001</v>
      </c>
      <c r="S79" s="24">
        <f>'AEO 2023 Table 36 Raw'!V61</f>
        <v>33.349758000000001</v>
      </c>
      <c r="T79" s="24">
        <f>'AEO 2023 Table 36 Raw'!W61</f>
        <v>33.294384000000001</v>
      </c>
      <c r="U79" s="24">
        <f>'AEO 2023 Table 36 Raw'!X61</f>
        <v>33.234276000000001</v>
      </c>
      <c r="V79" s="24">
        <f>'AEO 2023 Table 36 Raw'!Y61</f>
        <v>33.167285999999997</v>
      </c>
      <c r="W79" s="24">
        <f>'AEO 2023 Table 36 Raw'!Z61</f>
        <v>33.096901000000003</v>
      </c>
      <c r="X79" s="24">
        <f>'AEO 2023 Table 36 Raw'!AA61</f>
        <v>33.025081999999998</v>
      </c>
      <c r="Y79" s="24">
        <f>'AEO 2023 Table 36 Raw'!AB61</f>
        <v>32.951076999999998</v>
      </c>
      <c r="Z79" s="24">
        <f>'AEO 2023 Table 36 Raw'!AC61</f>
        <v>32.875145000000003</v>
      </c>
      <c r="AA79" s="24">
        <f>'AEO 2023 Table 36 Raw'!AD61</f>
        <v>32.799278000000001</v>
      </c>
      <c r="AB79" s="24">
        <f>'AEO 2023 Table 36 Raw'!AE61</f>
        <v>32.723492</v>
      </c>
      <c r="AC79" s="24">
        <f>'AEO 2023 Table 36 Raw'!AF61</f>
        <v>32.646706000000002</v>
      </c>
      <c r="AD79" s="24">
        <f>'AEO 2023 Table 36 Raw'!AG61</f>
        <v>32.569450000000003</v>
      </c>
      <c r="AE79" s="24">
        <f>'AEO 2023 Table 36 Raw'!AH61</f>
        <v>32.494362000000002</v>
      </c>
      <c r="AF79" s="29">
        <f>'AEO 2023 Table 36 Raw'!AI61</f>
        <v>8.0000000000000002E-3</v>
      </c>
    </row>
    <row r="80" spans="1:32" ht="15" customHeight="1">
      <c r="A80" s="18" t="s">
        <v>353</v>
      </c>
      <c r="B80" s="21" t="s">
        <v>338</v>
      </c>
      <c r="C80" s="24">
        <f>'AEO 2023 Table 36 Raw'!F62</f>
        <v>0</v>
      </c>
      <c r="D80" s="24">
        <f>'AEO 2023 Table 36 Raw'!G62</f>
        <v>0</v>
      </c>
      <c r="E80" s="24">
        <f>'AEO 2023 Table 36 Raw'!H62</f>
        <v>0</v>
      </c>
      <c r="F80" s="24">
        <f>'AEO 2023 Table 36 Raw'!I62</f>
        <v>0</v>
      </c>
      <c r="G80" s="24">
        <f>'AEO 2023 Table 36 Raw'!J62</f>
        <v>0</v>
      </c>
      <c r="H80" s="24">
        <f>'AEO 2023 Table 36 Raw'!K62</f>
        <v>0</v>
      </c>
      <c r="I80" s="24">
        <f>'AEO 2023 Table 36 Raw'!L62</f>
        <v>0</v>
      </c>
      <c r="J80" s="24">
        <f>'AEO 2023 Table 36 Raw'!M62</f>
        <v>0</v>
      </c>
      <c r="K80" s="24">
        <f>'AEO 2023 Table 36 Raw'!N62</f>
        <v>0</v>
      </c>
      <c r="L80" s="24">
        <f>'AEO 2023 Table 36 Raw'!O62</f>
        <v>0</v>
      </c>
      <c r="M80" s="24">
        <f>'AEO 2023 Table 36 Raw'!P62</f>
        <v>0</v>
      </c>
      <c r="N80" s="24">
        <f>'AEO 2023 Table 36 Raw'!Q62</f>
        <v>0</v>
      </c>
      <c r="O80" s="24">
        <f>'AEO 2023 Table 36 Raw'!R62</f>
        <v>0</v>
      </c>
      <c r="P80" s="24">
        <f>'AEO 2023 Table 36 Raw'!S62</f>
        <v>0</v>
      </c>
      <c r="Q80" s="24">
        <f>'AEO 2023 Table 36 Raw'!T62</f>
        <v>0</v>
      </c>
      <c r="R80" s="24">
        <f>'AEO 2023 Table 36 Raw'!U62</f>
        <v>0</v>
      </c>
      <c r="S80" s="24">
        <f>'AEO 2023 Table 36 Raw'!V62</f>
        <v>0</v>
      </c>
      <c r="T80" s="24">
        <f>'AEO 2023 Table 36 Raw'!W62</f>
        <v>0</v>
      </c>
      <c r="U80" s="24">
        <f>'AEO 2023 Table 36 Raw'!X62</f>
        <v>0</v>
      </c>
      <c r="V80" s="24">
        <f>'AEO 2023 Table 36 Raw'!Y62</f>
        <v>0</v>
      </c>
      <c r="W80" s="24">
        <f>'AEO 2023 Table 36 Raw'!Z62</f>
        <v>0</v>
      </c>
      <c r="X80" s="24">
        <f>'AEO 2023 Table 36 Raw'!AA62</f>
        <v>0</v>
      </c>
      <c r="Y80" s="24">
        <f>'AEO 2023 Table 36 Raw'!AB62</f>
        <v>0</v>
      </c>
      <c r="Z80" s="24">
        <f>'AEO 2023 Table 36 Raw'!AC62</f>
        <v>0</v>
      </c>
      <c r="AA80" s="24">
        <f>'AEO 2023 Table 36 Raw'!AD62</f>
        <v>0</v>
      </c>
      <c r="AB80" s="24">
        <f>'AEO 2023 Table 36 Raw'!AE62</f>
        <v>0</v>
      </c>
      <c r="AC80" s="24">
        <f>'AEO 2023 Table 36 Raw'!AF62</f>
        <v>0</v>
      </c>
      <c r="AD80" s="24">
        <f>'AEO 2023 Table 36 Raw'!AG62</f>
        <v>0</v>
      </c>
      <c r="AE80" s="24">
        <f>'AEO 2023 Table 36 Raw'!AH62</f>
        <v>0</v>
      </c>
      <c r="AF80" s="29" t="str">
        <f>'AEO 2023 Table 36 Raw'!AI62</f>
        <v>- -</v>
      </c>
    </row>
    <row r="81" spans="1:32" ht="15" customHeight="1">
      <c r="A81" s="18" t="s">
        <v>354</v>
      </c>
      <c r="B81" s="21" t="s">
        <v>340</v>
      </c>
      <c r="C81" s="24">
        <f>'AEO 2023 Table 36 Raw'!F63</f>
        <v>0</v>
      </c>
      <c r="D81" s="24">
        <f>'AEO 2023 Table 36 Raw'!G63</f>
        <v>0</v>
      </c>
      <c r="E81" s="24">
        <f>'AEO 2023 Table 36 Raw'!H63</f>
        <v>0</v>
      </c>
      <c r="F81" s="24">
        <f>'AEO 2023 Table 36 Raw'!I63</f>
        <v>0</v>
      </c>
      <c r="G81" s="24">
        <f>'AEO 2023 Table 36 Raw'!J63</f>
        <v>0</v>
      </c>
      <c r="H81" s="24">
        <f>'AEO 2023 Table 36 Raw'!K63</f>
        <v>0</v>
      </c>
      <c r="I81" s="24">
        <f>'AEO 2023 Table 36 Raw'!L63</f>
        <v>0</v>
      </c>
      <c r="J81" s="24">
        <f>'AEO 2023 Table 36 Raw'!M63</f>
        <v>0</v>
      </c>
      <c r="K81" s="24">
        <f>'AEO 2023 Table 36 Raw'!N63</f>
        <v>0</v>
      </c>
      <c r="L81" s="24">
        <f>'AEO 2023 Table 36 Raw'!O63</f>
        <v>0</v>
      </c>
      <c r="M81" s="24">
        <f>'AEO 2023 Table 36 Raw'!P63</f>
        <v>0</v>
      </c>
      <c r="N81" s="24">
        <f>'AEO 2023 Table 36 Raw'!Q63</f>
        <v>0</v>
      </c>
      <c r="O81" s="24">
        <f>'AEO 2023 Table 36 Raw'!R63</f>
        <v>0</v>
      </c>
      <c r="P81" s="24">
        <f>'AEO 2023 Table 36 Raw'!S63</f>
        <v>0</v>
      </c>
      <c r="Q81" s="24">
        <f>'AEO 2023 Table 36 Raw'!T63</f>
        <v>0</v>
      </c>
      <c r="R81" s="24">
        <f>'AEO 2023 Table 36 Raw'!U63</f>
        <v>0</v>
      </c>
      <c r="S81" s="24">
        <f>'AEO 2023 Table 36 Raw'!V63</f>
        <v>0</v>
      </c>
      <c r="T81" s="24">
        <f>'AEO 2023 Table 36 Raw'!W63</f>
        <v>0</v>
      </c>
      <c r="U81" s="24">
        <f>'AEO 2023 Table 36 Raw'!X63</f>
        <v>0</v>
      </c>
      <c r="V81" s="24">
        <f>'AEO 2023 Table 36 Raw'!Y63</f>
        <v>0</v>
      </c>
      <c r="W81" s="24">
        <f>'AEO 2023 Table 36 Raw'!Z63</f>
        <v>0</v>
      </c>
      <c r="X81" s="24">
        <f>'AEO 2023 Table 36 Raw'!AA63</f>
        <v>0</v>
      </c>
      <c r="Y81" s="24">
        <f>'AEO 2023 Table 36 Raw'!AB63</f>
        <v>0</v>
      </c>
      <c r="Z81" s="24">
        <f>'AEO 2023 Table 36 Raw'!AC63</f>
        <v>0</v>
      </c>
      <c r="AA81" s="24">
        <f>'AEO 2023 Table 36 Raw'!AD63</f>
        <v>0</v>
      </c>
      <c r="AB81" s="24">
        <f>'AEO 2023 Table 36 Raw'!AE63</f>
        <v>0</v>
      </c>
      <c r="AC81" s="24">
        <f>'AEO 2023 Table 36 Raw'!AF63</f>
        <v>0</v>
      </c>
      <c r="AD81" s="24">
        <f>'AEO 2023 Table 36 Raw'!AG63</f>
        <v>0</v>
      </c>
      <c r="AE81" s="24">
        <f>'AEO 2023 Table 36 Raw'!AH63</f>
        <v>0</v>
      </c>
      <c r="AF81" s="29" t="str">
        <f>'AEO 2023 Table 36 Raw'!AI63</f>
        <v>- -</v>
      </c>
    </row>
    <row r="82" spans="1:32" s="7" customFormat="1" ht="15" customHeight="1">
      <c r="A82" s="89" t="s">
        <v>355</v>
      </c>
      <c r="B82" s="90" t="s">
        <v>342</v>
      </c>
      <c r="C82" s="91">
        <f>'AEO 2023 Table 36 Raw'!F64</f>
        <v>26.118862</v>
      </c>
      <c r="D82" s="91">
        <f>'AEO 2023 Table 36 Raw'!G64</f>
        <v>28.024412000000002</v>
      </c>
      <c r="E82" s="91">
        <f>'AEO 2023 Table 36 Raw'!H64</f>
        <v>29.477226000000002</v>
      </c>
      <c r="F82" s="91">
        <f>'AEO 2023 Table 36 Raw'!I64</f>
        <v>30.571621</v>
      </c>
      <c r="G82" s="91">
        <f>'AEO 2023 Table 36 Raw'!J64</f>
        <v>31.3964</v>
      </c>
      <c r="H82" s="91">
        <f>'AEO 2023 Table 36 Raw'!K64</f>
        <v>32.010112999999997</v>
      </c>
      <c r="I82" s="91">
        <f>'AEO 2023 Table 36 Raw'!L64</f>
        <v>32.464531000000001</v>
      </c>
      <c r="J82" s="91">
        <f>'AEO 2023 Table 36 Raw'!M64</f>
        <v>32.799759000000002</v>
      </c>
      <c r="K82" s="91">
        <f>'AEO 2023 Table 36 Raw'!N64</f>
        <v>33.046233999999998</v>
      </c>
      <c r="L82" s="91">
        <f>'AEO 2023 Table 36 Raw'!O64</f>
        <v>33.226050999999998</v>
      </c>
      <c r="M82" s="91">
        <f>'AEO 2023 Table 36 Raw'!P64</f>
        <v>33.352477999999998</v>
      </c>
      <c r="N82" s="91">
        <f>'AEO 2023 Table 36 Raw'!Q64</f>
        <v>33.43018</v>
      </c>
      <c r="O82" s="91">
        <f>'AEO 2023 Table 36 Raw'!R64</f>
        <v>33.466476</v>
      </c>
      <c r="P82" s="91">
        <f>'AEO 2023 Table 36 Raw'!S64</f>
        <v>33.469250000000002</v>
      </c>
      <c r="Q82" s="91">
        <f>'AEO 2023 Table 36 Raw'!T64</f>
        <v>33.445160000000001</v>
      </c>
      <c r="R82" s="91">
        <f>'AEO 2023 Table 36 Raw'!U64</f>
        <v>33.397396000000001</v>
      </c>
      <c r="S82" s="91">
        <f>'AEO 2023 Table 36 Raw'!V64</f>
        <v>33.349758000000001</v>
      </c>
      <c r="T82" s="91">
        <f>'AEO 2023 Table 36 Raw'!W64</f>
        <v>33.294384000000001</v>
      </c>
      <c r="U82" s="91">
        <f>'AEO 2023 Table 36 Raw'!X64</f>
        <v>33.234276000000001</v>
      </c>
      <c r="V82" s="91">
        <f>'AEO 2023 Table 36 Raw'!Y64</f>
        <v>33.167285999999997</v>
      </c>
      <c r="W82" s="91">
        <f>'AEO 2023 Table 36 Raw'!Z64</f>
        <v>33.096901000000003</v>
      </c>
      <c r="X82" s="91">
        <f>'AEO 2023 Table 36 Raw'!AA64</f>
        <v>33.025081999999998</v>
      </c>
      <c r="Y82" s="91">
        <f>'AEO 2023 Table 36 Raw'!AB64</f>
        <v>32.951076999999998</v>
      </c>
      <c r="Z82" s="91">
        <f>'AEO 2023 Table 36 Raw'!AC64</f>
        <v>32.875145000000003</v>
      </c>
      <c r="AA82" s="91">
        <f>'AEO 2023 Table 36 Raw'!AD64</f>
        <v>32.799278000000001</v>
      </c>
      <c r="AB82" s="91">
        <f>'AEO 2023 Table 36 Raw'!AE64</f>
        <v>32.723492</v>
      </c>
      <c r="AC82" s="91">
        <f>'AEO 2023 Table 36 Raw'!AF64</f>
        <v>32.646706000000002</v>
      </c>
      <c r="AD82" s="91">
        <f>'AEO 2023 Table 36 Raw'!AG64</f>
        <v>32.569450000000003</v>
      </c>
      <c r="AE82" s="91">
        <f>'AEO 2023 Table 36 Raw'!AH64</f>
        <v>32.494362000000002</v>
      </c>
      <c r="AF82" s="92">
        <f>'AEO 2023 Table 36 Raw'!AI64</f>
        <v>8.0000000000000002E-3</v>
      </c>
    </row>
    <row r="83" spans="1:32" ht="15" customHeight="1">
      <c r="A83" s="18" t="s">
        <v>356</v>
      </c>
      <c r="B83" s="21" t="s">
        <v>344</v>
      </c>
      <c r="C83" s="24">
        <f>'AEO 2023 Table 36 Raw'!F65</f>
        <v>0</v>
      </c>
      <c r="D83" s="24">
        <f>'AEO 2023 Table 36 Raw'!G65</f>
        <v>0</v>
      </c>
      <c r="E83" s="24">
        <f>'AEO 2023 Table 36 Raw'!H65</f>
        <v>0</v>
      </c>
      <c r="F83" s="24">
        <f>'AEO 2023 Table 36 Raw'!I65</f>
        <v>0</v>
      </c>
      <c r="G83" s="24">
        <f>'AEO 2023 Table 36 Raw'!J65</f>
        <v>0</v>
      </c>
      <c r="H83" s="24">
        <f>'AEO 2023 Table 36 Raw'!K65</f>
        <v>0</v>
      </c>
      <c r="I83" s="24">
        <f>'AEO 2023 Table 36 Raw'!L65</f>
        <v>0</v>
      </c>
      <c r="J83" s="24">
        <f>'AEO 2023 Table 36 Raw'!M65</f>
        <v>0</v>
      </c>
      <c r="K83" s="24">
        <f>'AEO 2023 Table 36 Raw'!N65</f>
        <v>0</v>
      </c>
      <c r="L83" s="24">
        <f>'AEO 2023 Table 36 Raw'!O65</f>
        <v>0</v>
      </c>
      <c r="M83" s="24">
        <f>'AEO 2023 Table 36 Raw'!P65</f>
        <v>0</v>
      </c>
      <c r="N83" s="24">
        <f>'AEO 2023 Table 36 Raw'!Q65</f>
        <v>0</v>
      </c>
      <c r="O83" s="24">
        <f>'AEO 2023 Table 36 Raw'!R65</f>
        <v>0</v>
      </c>
      <c r="P83" s="24">
        <f>'AEO 2023 Table 36 Raw'!S65</f>
        <v>0</v>
      </c>
      <c r="Q83" s="24">
        <f>'AEO 2023 Table 36 Raw'!T65</f>
        <v>0</v>
      </c>
      <c r="R83" s="24">
        <f>'AEO 2023 Table 36 Raw'!U65</f>
        <v>0</v>
      </c>
      <c r="S83" s="24">
        <f>'AEO 2023 Table 36 Raw'!V65</f>
        <v>0</v>
      </c>
      <c r="T83" s="24">
        <f>'AEO 2023 Table 36 Raw'!W65</f>
        <v>0</v>
      </c>
      <c r="U83" s="24">
        <f>'AEO 2023 Table 36 Raw'!X65</f>
        <v>0</v>
      </c>
      <c r="V83" s="24">
        <f>'AEO 2023 Table 36 Raw'!Y65</f>
        <v>0</v>
      </c>
      <c r="W83" s="24">
        <f>'AEO 2023 Table 36 Raw'!Z65</f>
        <v>0</v>
      </c>
      <c r="X83" s="24">
        <f>'AEO 2023 Table 36 Raw'!AA65</f>
        <v>0</v>
      </c>
      <c r="Y83" s="24">
        <f>'AEO 2023 Table 36 Raw'!AB65</f>
        <v>0</v>
      </c>
      <c r="Z83" s="24">
        <f>'AEO 2023 Table 36 Raw'!AC65</f>
        <v>0</v>
      </c>
      <c r="AA83" s="24">
        <f>'AEO 2023 Table 36 Raw'!AD65</f>
        <v>0</v>
      </c>
      <c r="AB83" s="24">
        <f>'AEO 2023 Table 36 Raw'!AE65</f>
        <v>0</v>
      </c>
      <c r="AC83" s="24">
        <f>'AEO 2023 Table 36 Raw'!AF65</f>
        <v>0</v>
      </c>
      <c r="AD83" s="24">
        <f>'AEO 2023 Table 36 Raw'!AG65</f>
        <v>0</v>
      </c>
      <c r="AE83" s="24">
        <f>'AEO 2023 Table 36 Raw'!AH65</f>
        <v>0</v>
      </c>
      <c r="AF83" s="29" t="str">
        <f>'AEO 2023 Table 36 Raw'!AI65</f>
        <v>- -</v>
      </c>
    </row>
    <row r="84" spans="1:32" ht="15" customHeight="1">
      <c r="A84" s="18" t="s">
        <v>357</v>
      </c>
      <c r="B84" s="21" t="s">
        <v>346</v>
      </c>
      <c r="C84" s="24">
        <f>'AEO 2023 Table 36 Raw'!F66</f>
        <v>0</v>
      </c>
      <c r="D84" s="24">
        <f>'AEO 2023 Table 36 Raw'!G66</f>
        <v>0</v>
      </c>
      <c r="E84" s="24">
        <f>'AEO 2023 Table 36 Raw'!H66</f>
        <v>0</v>
      </c>
      <c r="F84" s="24">
        <f>'AEO 2023 Table 36 Raw'!I66</f>
        <v>0</v>
      </c>
      <c r="G84" s="24">
        <f>'AEO 2023 Table 36 Raw'!J66</f>
        <v>0</v>
      </c>
      <c r="H84" s="24">
        <f>'AEO 2023 Table 36 Raw'!K66</f>
        <v>0</v>
      </c>
      <c r="I84" s="24">
        <f>'AEO 2023 Table 36 Raw'!L66</f>
        <v>0</v>
      </c>
      <c r="J84" s="24">
        <f>'AEO 2023 Table 36 Raw'!M66</f>
        <v>0</v>
      </c>
      <c r="K84" s="24">
        <f>'AEO 2023 Table 36 Raw'!N66</f>
        <v>0</v>
      </c>
      <c r="L84" s="24">
        <f>'AEO 2023 Table 36 Raw'!O66</f>
        <v>0</v>
      </c>
      <c r="M84" s="24">
        <f>'AEO 2023 Table 36 Raw'!P66</f>
        <v>0</v>
      </c>
      <c r="N84" s="24">
        <f>'AEO 2023 Table 36 Raw'!Q66</f>
        <v>0</v>
      </c>
      <c r="O84" s="24">
        <f>'AEO 2023 Table 36 Raw'!R66</f>
        <v>0</v>
      </c>
      <c r="P84" s="24">
        <f>'AEO 2023 Table 36 Raw'!S66</f>
        <v>0</v>
      </c>
      <c r="Q84" s="24">
        <f>'AEO 2023 Table 36 Raw'!T66</f>
        <v>0</v>
      </c>
      <c r="R84" s="24">
        <f>'AEO 2023 Table 36 Raw'!U66</f>
        <v>0</v>
      </c>
      <c r="S84" s="24">
        <f>'AEO 2023 Table 36 Raw'!V66</f>
        <v>0</v>
      </c>
      <c r="T84" s="24">
        <f>'AEO 2023 Table 36 Raw'!W66</f>
        <v>0</v>
      </c>
      <c r="U84" s="24">
        <f>'AEO 2023 Table 36 Raw'!X66</f>
        <v>0</v>
      </c>
      <c r="V84" s="24">
        <f>'AEO 2023 Table 36 Raw'!Y66</f>
        <v>0</v>
      </c>
      <c r="W84" s="24">
        <f>'AEO 2023 Table 36 Raw'!Z66</f>
        <v>0</v>
      </c>
      <c r="X84" s="24">
        <f>'AEO 2023 Table 36 Raw'!AA66</f>
        <v>0</v>
      </c>
      <c r="Y84" s="24">
        <f>'AEO 2023 Table 36 Raw'!AB66</f>
        <v>0</v>
      </c>
      <c r="Z84" s="24">
        <f>'AEO 2023 Table 36 Raw'!AC66</f>
        <v>0</v>
      </c>
      <c r="AA84" s="24">
        <f>'AEO 2023 Table 36 Raw'!AD66</f>
        <v>0</v>
      </c>
      <c r="AB84" s="24">
        <f>'AEO 2023 Table 36 Raw'!AE66</f>
        <v>0</v>
      </c>
      <c r="AC84" s="24">
        <f>'AEO 2023 Table 36 Raw'!AF66</f>
        <v>0</v>
      </c>
      <c r="AD84" s="24">
        <f>'AEO 2023 Table 36 Raw'!AG66</f>
        <v>0</v>
      </c>
      <c r="AE84" s="24">
        <f>'AEO 2023 Table 36 Raw'!AH66</f>
        <v>0</v>
      </c>
      <c r="AF84" s="29" t="str">
        <f>'AEO 2023 Table 36 Raw'!AI66</f>
        <v>- -</v>
      </c>
    </row>
    <row r="85" spans="1:32" ht="15" customHeight="1">
      <c r="A85" s="18" t="s">
        <v>358</v>
      </c>
      <c r="B85" s="21" t="s">
        <v>348</v>
      </c>
      <c r="C85" s="24">
        <f>'AEO 2023 Table 36 Raw'!F67</f>
        <v>0</v>
      </c>
      <c r="D85" s="24">
        <f>'AEO 2023 Table 36 Raw'!G67</f>
        <v>0</v>
      </c>
      <c r="E85" s="24">
        <f>'AEO 2023 Table 36 Raw'!H67</f>
        <v>0</v>
      </c>
      <c r="F85" s="24">
        <f>'AEO 2023 Table 36 Raw'!I67</f>
        <v>0</v>
      </c>
      <c r="G85" s="24">
        <f>'AEO 2023 Table 36 Raw'!J67</f>
        <v>0</v>
      </c>
      <c r="H85" s="24">
        <f>'AEO 2023 Table 36 Raw'!K67</f>
        <v>0</v>
      </c>
      <c r="I85" s="24">
        <f>'AEO 2023 Table 36 Raw'!L67</f>
        <v>0</v>
      </c>
      <c r="J85" s="24">
        <f>'AEO 2023 Table 36 Raw'!M67</f>
        <v>0</v>
      </c>
      <c r="K85" s="24">
        <f>'AEO 2023 Table 36 Raw'!N67</f>
        <v>0</v>
      </c>
      <c r="L85" s="24">
        <f>'AEO 2023 Table 36 Raw'!O67</f>
        <v>0</v>
      </c>
      <c r="M85" s="24">
        <f>'AEO 2023 Table 36 Raw'!P67</f>
        <v>0</v>
      </c>
      <c r="N85" s="24">
        <f>'AEO 2023 Table 36 Raw'!Q67</f>
        <v>0</v>
      </c>
      <c r="O85" s="24">
        <f>'AEO 2023 Table 36 Raw'!R67</f>
        <v>0</v>
      </c>
      <c r="P85" s="24">
        <f>'AEO 2023 Table 36 Raw'!S67</f>
        <v>0</v>
      </c>
      <c r="Q85" s="24">
        <f>'AEO 2023 Table 36 Raw'!T67</f>
        <v>0</v>
      </c>
      <c r="R85" s="24">
        <f>'AEO 2023 Table 36 Raw'!U67</f>
        <v>0</v>
      </c>
      <c r="S85" s="24">
        <f>'AEO 2023 Table 36 Raw'!V67</f>
        <v>0</v>
      </c>
      <c r="T85" s="24">
        <f>'AEO 2023 Table 36 Raw'!W67</f>
        <v>0</v>
      </c>
      <c r="U85" s="24">
        <f>'AEO 2023 Table 36 Raw'!X67</f>
        <v>0</v>
      </c>
      <c r="V85" s="24">
        <f>'AEO 2023 Table 36 Raw'!Y67</f>
        <v>0</v>
      </c>
      <c r="W85" s="24">
        <f>'AEO 2023 Table 36 Raw'!Z67</f>
        <v>0</v>
      </c>
      <c r="X85" s="24">
        <f>'AEO 2023 Table 36 Raw'!AA67</f>
        <v>0</v>
      </c>
      <c r="Y85" s="24">
        <f>'AEO 2023 Table 36 Raw'!AB67</f>
        <v>0</v>
      </c>
      <c r="Z85" s="24">
        <f>'AEO 2023 Table 36 Raw'!AC67</f>
        <v>0</v>
      </c>
      <c r="AA85" s="24">
        <f>'AEO 2023 Table 36 Raw'!AD67</f>
        <v>0</v>
      </c>
      <c r="AB85" s="24">
        <f>'AEO 2023 Table 36 Raw'!AE67</f>
        <v>0</v>
      </c>
      <c r="AC85" s="24">
        <f>'AEO 2023 Table 36 Raw'!AF67</f>
        <v>0</v>
      </c>
      <c r="AD85" s="24">
        <f>'AEO 2023 Table 36 Raw'!AG67</f>
        <v>0</v>
      </c>
      <c r="AE85" s="24">
        <f>'AEO 2023 Table 36 Raw'!AH67</f>
        <v>0</v>
      </c>
      <c r="AF85" s="29" t="str">
        <f>'AEO 2023 Table 36 Raw'!AI67</f>
        <v>- -</v>
      </c>
    </row>
    <row r="86" spans="1:32" ht="15" customHeight="1">
      <c r="A86" s="18" t="s">
        <v>359</v>
      </c>
      <c r="B86" s="21" t="s">
        <v>350</v>
      </c>
      <c r="C86" s="24">
        <f>'AEO 2023 Table 36 Raw'!F68</f>
        <v>0</v>
      </c>
      <c r="D86" s="24">
        <f>'AEO 2023 Table 36 Raw'!G68</f>
        <v>0</v>
      </c>
      <c r="E86" s="24">
        <f>'AEO 2023 Table 36 Raw'!H68</f>
        <v>0</v>
      </c>
      <c r="F86" s="24">
        <f>'AEO 2023 Table 36 Raw'!I68</f>
        <v>0</v>
      </c>
      <c r="G86" s="24">
        <f>'AEO 2023 Table 36 Raw'!J68</f>
        <v>0</v>
      </c>
      <c r="H86" s="24">
        <f>'AEO 2023 Table 36 Raw'!K68</f>
        <v>0</v>
      </c>
      <c r="I86" s="24">
        <f>'AEO 2023 Table 36 Raw'!L68</f>
        <v>0</v>
      </c>
      <c r="J86" s="24">
        <f>'AEO 2023 Table 36 Raw'!M68</f>
        <v>0</v>
      </c>
      <c r="K86" s="24">
        <f>'AEO 2023 Table 36 Raw'!N68</f>
        <v>0</v>
      </c>
      <c r="L86" s="24">
        <f>'AEO 2023 Table 36 Raw'!O68</f>
        <v>0</v>
      </c>
      <c r="M86" s="24">
        <f>'AEO 2023 Table 36 Raw'!P68</f>
        <v>0</v>
      </c>
      <c r="N86" s="24">
        <f>'AEO 2023 Table 36 Raw'!Q68</f>
        <v>0</v>
      </c>
      <c r="O86" s="24">
        <f>'AEO 2023 Table 36 Raw'!R68</f>
        <v>0</v>
      </c>
      <c r="P86" s="24">
        <f>'AEO 2023 Table 36 Raw'!S68</f>
        <v>0</v>
      </c>
      <c r="Q86" s="24">
        <f>'AEO 2023 Table 36 Raw'!T68</f>
        <v>0</v>
      </c>
      <c r="R86" s="24">
        <f>'AEO 2023 Table 36 Raw'!U68</f>
        <v>0</v>
      </c>
      <c r="S86" s="24">
        <f>'AEO 2023 Table 36 Raw'!V68</f>
        <v>0</v>
      </c>
      <c r="T86" s="24">
        <f>'AEO 2023 Table 36 Raw'!W68</f>
        <v>0</v>
      </c>
      <c r="U86" s="24">
        <f>'AEO 2023 Table 36 Raw'!X68</f>
        <v>0</v>
      </c>
      <c r="V86" s="24">
        <f>'AEO 2023 Table 36 Raw'!Y68</f>
        <v>0</v>
      </c>
      <c r="W86" s="24">
        <f>'AEO 2023 Table 36 Raw'!Z68</f>
        <v>0</v>
      </c>
      <c r="X86" s="24">
        <f>'AEO 2023 Table 36 Raw'!AA68</f>
        <v>0</v>
      </c>
      <c r="Y86" s="24">
        <f>'AEO 2023 Table 36 Raw'!AB68</f>
        <v>0</v>
      </c>
      <c r="Z86" s="24">
        <f>'AEO 2023 Table 36 Raw'!AC68</f>
        <v>0</v>
      </c>
      <c r="AA86" s="24">
        <f>'AEO 2023 Table 36 Raw'!AD68</f>
        <v>0</v>
      </c>
      <c r="AB86" s="24">
        <f>'AEO 2023 Table 36 Raw'!AE68</f>
        <v>0</v>
      </c>
      <c r="AC86" s="24">
        <f>'AEO 2023 Table 36 Raw'!AF68</f>
        <v>0</v>
      </c>
      <c r="AD86" s="24">
        <f>'AEO 2023 Table 36 Raw'!AG68</f>
        <v>0</v>
      </c>
      <c r="AE86" s="24">
        <f>'AEO 2023 Table 36 Raw'!AH68</f>
        <v>0</v>
      </c>
      <c r="AF86" s="29" t="str">
        <f>'AEO 2023 Table 36 Raw'!AI68</f>
        <v>- -</v>
      </c>
    </row>
    <row r="87" spans="1:32" ht="15" customHeight="1">
      <c r="A87" s="18" t="s">
        <v>360</v>
      </c>
      <c r="B87" s="21" t="s">
        <v>361</v>
      </c>
      <c r="C87" s="24">
        <f>'AEO 2023 Table 36 Raw'!F69</f>
        <v>93.831894000000005</v>
      </c>
      <c r="D87" s="24">
        <f>'AEO 2023 Table 36 Raw'!G69</f>
        <v>98.450194999999994</v>
      </c>
      <c r="E87" s="24">
        <f>'AEO 2023 Table 36 Raw'!H69</f>
        <v>99.158546000000001</v>
      </c>
      <c r="F87" s="24">
        <f>'AEO 2023 Table 36 Raw'!I69</f>
        <v>98.571014000000005</v>
      </c>
      <c r="G87" s="24">
        <f>'AEO 2023 Table 36 Raw'!J69</f>
        <v>97.556511</v>
      </c>
      <c r="H87" s="24">
        <f>'AEO 2023 Table 36 Raw'!K69</f>
        <v>96.613395999999995</v>
      </c>
      <c r="I87" s="24">
        <f>'AEO 2023 Table 36 Raw'!L69</f>
        <v>95.691032000000007</v>
      </c>
      <c r="J87" s="24">
        <f>'AEO 2023 Table 36 Raw'!M69</f>
        <v>94.739861000000005</v>
      </c>
      <c r="K87" s="24">
        <f>'AEO 2023 Table 36 Raw'!N69</f>
        <v>93.777550000000005</v>
      </c>
      <c r="L87" s="24">
        <f>'AEO 2023 Table 36 Raw'!O69</f>
        <v>92.791618</v>
      </c>
      <c r="M87" s="24">
        <f>'AEO 2023 Table 36 Raw'!P69</f>
        <v>91.866196000000002</v>
      </c>
      <c r="N87" s="24">
        <f>'AEO 2023 Table 36 Raw'!Q69</f>
        <v>91.598052999999993</v>
      </c>
      <c r="O87" s="24">
        <f>'AEO 2023 Table 36 Raw'!R69</f>
        <v>91.112289000000004</v>
      </c>
      <c r="P87" s="24">
        <f>'AEO 2023 Table 36 Raw'!S69</f>
        <v>90.708870000000005</v>
      </c>
      <c r="Q87" s="24">
        <f>'AEO 2023 Table 36 Raw'!T69</f>
        <v>90.372649999999993</v>
      </c>
      <c r="R87" s="24">
        <f>'AEO 2023 Table 36 Raw'!U69</f>
        <v>90.121039999999994</v>
      </c>
      <c r="S87" s="24">
        <f>'AEO 2023 Table 36 Raw'!V69</f>
        <v>89.542336000000006</v>
      </c>
      <c r="T87" s="24">
        <f>'AEO 2023 Table 36 Raw'!W69</f>
        <v>88.885452000000001</v>
      </c>
      <c r="U87" s="24">
        <f>'AEO 2023 Table 36 Raw'!X69</f>
        <v>88.194603000000001</v>
      </c>
      <c r="V87" s="24">
        <f>'AEO 2023 Table 36 Raw'!Y69</f>
        <v>87.485648999999995</v>
      </c>
      <c r="W87" s="24">
        <f>'AEO 2023 Table 36 Raw'!Z69</f>
        <v>86.702445999999995</v>
      </c>
      <c r="X87" s="24">
        <f>'AEO 2023 Table 36 Raw'!AA69</f>
        <v>85.868294000000006</v>
      </c>
      <c r="Y87" s="24">
        <f>'AEO 2023 Table 36 Raw'!AB69</f>
        <v>84.998230000000007</v>
      </c>
      <c r="Z87" s="24">
        <f>'AEO 2023 Table 36 Raw'!AC69</f>
        <v>84.089134000000001</v>
      </c>
      <c r="AA87" s="24">
        <f>'AEO 2023 Table 36 Raw'!AD69</f>
        <v>83.076744000000005</v>
      </c>
      <c r="AB87" s="24">
        <f>'AEO 2023 Table 36 Raw'!AE69</f>
        <v>82.045021000000006</v>
      </c>
      <c r="AC87" s="24">
        <f>'AEO 2023 Table 36 Raw'!AF69</f>
        <v>80.986785999999995</v>
      </c>
      <c r="AD87" s="24">
        <f>'AEO 2023 Table 36 Raw'!AG69</f>
        <v>79.893326000000002</v>
      </c>
      <c r="AE87" s="24">
        <f>'AEO 2023 Table 36 Raw'!AH69</f>
        <v>78.783607000000003</v>
      </c>
      <c r="AF87" s="29">
        <f>'AEO 2023 Table 36 Raw'!AI69</f>
        <v>-6.0000000000000001E-3</v>
      </c>
    </row>
    <row r="88" spans="1:32" ht="15" customHeight="1">
      <c r="A88" s="18" t="s">
        <v>362</v>
      </c>
      <c r="B88" s="21" t="s">
        <v>338</v>
      </c>
      <c r="C88" s="24">
        <f>'AEO 2023 Table 36 Raw'!F70</f>
        <v>9.4941010000000006</v>
      </c>
      <c r="D88" s="24">
        <f>'AEO 2023 Table 36 Raw'!G70</f>
        <v>9.9847319999999993</v>
      </c>
      <c r="E88" s="24">
        <f>'AEO 2023 Table 36 Raw'!H70</f>
        <v>10.080206</v>
      </c>
      <c r="F88" s="24">
        <f>'AEO 2023 Table 36 Raw'!I70</f>
        <v>10.044081</v>
      </c>
      <c r="G88" s="24">
        <f>'AEO 2023 Table 36 Raw'!J70</f>
        <v>9.9641859999999998</v>
      </c>
      <c r="H88" s="24">
        <f>'AEO 2023 Table 36 Raw'!K70</f>
        <v>9.8772070000000003</v>
      </c>
      <c r="I88" s="24">
        <f>'AEO 2023 Table 36 Raw'!L70</f>
        <v>9.7906929999999992</v>
      </c>
      <c r="J88" s="24">
        <f>'AEO 2023 Table 36 Raw'!M70</f>
        <v>9.7035470000000004</v>
      </c>
      <c r="K88" s="24">
        <f>'AEO 2023 Table 36 Raw'!N70</f>
        <v>9.6156869999999994</v>
      </c>
      <c r="L88" s="24">
        <f>'AEO 2023 Table 36 Raw'!O70</f>
        <v>9.5264279999999992</v>
      </c>
      <c r="M88" s="24">
        <f>'AEO 2023 Table 36 Raw'!P70</f>
        <v>9.4439309999999992</v>
      </c>
      <c r="N88" s="24">
        <f>'AEO 2023 Table 36 Raw'!Q70</f>
        <v>9.3760180000000002</v>
      </c>
      <c r="O88" s="24">
        <f>'AEO 2023 Table 36 Raw'!R70</f>
        <v>9.3193699999999993</v>
      </c>
      <c r="P88" s="24">
        <f>'AEO 2023 Table 36 Raw'!S70</f>
        <v>9.2722660000000001</v>
      </c>
      <c r="Q88" s="24">
        <f>'AEO 2023 Table 36 Raw'!T70</f>
        <v>9.2344460000000002</v>
      </c>
      <c r="R88" s="24">
        <f>'AEO 2023 Table 36 Raw'!U70</f>
        <v>9.2065929999999998</v>
      </c>
      <c r="S88" s="24">
        <f>'AEO 2023 Table 36 Raw'!V70</f>
        <v>9.1597399999999993</v>
      </c>
      <c r="T88" s="24">
        <f>'AEO 2023 Table 36 Raw'!W70</f>
        <v>9.1076730000000001</v>
      </c>
      <c r="U88" s="24">
        <f>'AEO 2023 Table 36 Raw'!X70</f>
        <v>9.0532129999999995</v>
      </c>
      <c r="V88" s="24">
        <f>'AEO 2023 Table 36 Raw'!Y70</f>
        <v>8.9974880000000006</v>
      </c>
      <c r="W88" s="24">
        <f>'AEO 2023 Table 36 Raw'!Z70</f>
        <v>8.9384180000000004</v>
      </c>
      <c r="X88" s="24">
        <f>'AEO 2023 Table 36 Raw'!AA70</f>
        <v>8.8755819999999996</v>
      </c>
      <c r="Y88" s="24">
        <f>'AEO 2023 Table 36 Raw'!AB70</f>
        <v>8.8098559999999999</v>
      </c>
      <c r="Z88" s="24">
        <f>'AEO 2023 Table 36 Raw'!AC70</f>
        <v>8.7419480000000007</v>
      </c>
      <c r="AA88" s="24">
        <f>'AEO 2023 Table 36 Raw'!AD70</f>
        <v>8.6711120000000008</v>
      </c>
      <c r="AB88" s="24">
        <f>'AEO 2023 Table 36 Raw'!AE70</f>
        <v>8.599361</v>
      </c>
      <c r="AC88" s="24">
        <f>'AEO 2023 Table 36 Raw'!AF70</f>
        <v>8.5273749999999993</v>
      </c>
      <c r="AD88" s="24">
        <f>'AEO 2023 Table 36 Raw'!AG70</f>
        <v>8.4545519999999996</v>
      </c>
      <c r="AE88" s="24">
        <f>'AEO 2023 Table 36 Raw'!AH70</f>
        <v>8.3815580000000001</v>
      </c>
      <c r="AF88" s="29">
        <f>'AEO 2023 Table 36 Raw'!AI70</f>
        <v>-4.0000000000000001E-3</v>
      </c>
    </row>
    <row r="89" spans="1:32" ht="15" customHeight="1">
      <c r="A89" s="18" t="s">
        <v>363</v>
      </c>
      <c r="B89" s="21" t="s">
        <v>340</v>
      </c>
      <c r="C89" s="24">
        <f>'AEO 2023 Table 36 Raw'!F71</f>
        <v>0</v>
      </c>
      <c r="D89" s="24">
        <f>'AEO 2023 Table 36 Raw'!G71</f>
        <v>0</v>
      </c>
      <c r="E89" s="24">
        <f>'AEO 2023 Table 36 Raw'!H71</f>
        <v>0</v>
      </c>
      <c r="F89" s="24">
        <f>'AEO 2023 Table 36 Raw'!I71</f>
        <v>0</v>
      </c>
      <c r="G89" s="24">
        <f>'AEO 2023 Table 36 Raw'!J71</f>
        <v>0</v>
      </c>
      <c r="H89" s="24">
        <f>'AEO 2023 Table 36 Raw'!K71</f>
        <v>0</v>
      </c>
      <c r="I89" s="24">
        <f>'AEO 2023 Table 36 Raw'!L71</f>
        <v>0</v>
      </c>
      <c r="J89" s="24">
        <f>'AEO 2023 Table 36 Raw'!M71</f>
        <v>0</v>
      </c>
      <c r="K89" s="24">
        <f>'AEO 2023 Table 36 Raw'!N71</f>
        <v>0</v>
      </c>
      <c r="L89" s="24">
        <f>'AEO 2023 Table 36 Raw'!O71</f>
        <v>0</v>
      </c>
      <c r="M89" s="24">
        <f>'AEO 2023 Table 36 Raw'!P71</f>
        <v>0</v>
      </c>
      <c r="N89" s="24">
        <f>'AEO 2023 Table 36 Raw'!Q71</f>
        <v>0</v>
      </c>
      <c r="O89" s="24">
        <f>'AEO 2023 Table 36 Raw'!R71</f>
        <v>0</v>
      </c>
      <c r="P89" s="24">
        <f>'AEO 2023 Table 36 Raw'!S71</f>
        <v>0</v>
      </c>
      <c r="Q89" s="24">
        <f>'AEO 2023 Table 36 Raw'!T71</f>
        <v>0</v>
      </c>
      <c r="R89" s="24">
        <f>'AEO 2023 Table 36 Raw'!U71</f>
        <v>0</v>
      </c>
      <c r="S89" s="24">
        <f>'AEO 2023 Table 36 Raw'!V71</f>
        <v>0</v>
      </c>
      <c r="T89" s="24">
        <f>'AEO 2023 Table 36 Raw'!W71</f>
        <v>0</v>
      </c>
      <c r="U89" s="24">
        <f>'AEO 2023 Table 36 Raw'!X71</f>
        <v>0</v>
      </c>
      <c r="V89" s="24">
        <f>'AEO 2023 Table 36 Raw'!Y71</f>
        <v>0</v>
      </c>
      <c r="W89" s="24">
        <f>'AEO 2023 Table 36 Raw'!Z71</f>
        <v>0</v>
      </c>
      <c r="X89" s="24">
        <f>'AEO 2023 Table 36 Raw'!AA71</f>
        <v>0</v>
      </c>
      <c r="Y89" s="24">
        <f>'AEO 2023 Table 36 Raw'!AB71</f>
        <v>0</v>
      </c>
      <c r="Z89" s="24">
        <f>'AEO 2023 Table 36 Raw'!AC71</f>
        <v>0</v>
      </c>
      <c r="AA89" s="24">
        <f>'AEO 2023 Table 36 Raw'!AD71</f>
        <v>0</v>
      </c>
      <c r="AB89" s="24">
        <f>'AEO 2023 Table 36 Raw'!AE71</f>
        <v>0</v>
      </c>
      <c r="AC89" s="24">
        <f>'AEO 2023 Table 36 Raw'!AF71</f>
        <v>0</v>
      </c>
      <c r="AD89" s="24">
        <f>'AEO 2023 Table 36 Raw'!AG71</f>
        <v>0</v>
      </c>
      <c r="AE89" s="24">
        <f>'AEO 2023 Table 36 Raw'!AH71</f>
        <v>0</v>
      </c>
      <c r="AF89" s="29" t="str">
        <f>'AEO 2023 Table 36 Raw'!AI71</f>
        <v>- -</v>
      </c>
    </row>
    <row r="90" spans="1:32" s="83" customFormat="1" ht="15" customHeight="1">
      <c r="A90" s="85" t="s">
        <v>364</v>
      </c>
      <c r="B90" s="86" t="s">
        <v>342</v>
      </c>
      <c r="C90" s="87">
        <f>'AEO 2023 Table 36 Raw'!F72</f>
        <v>75.219893999999996</v>
      </c>
      <c r="D90" s="87">
        <f>'AEO 2023 Table 36 Raw'!G72</f>
        <v>78.605819999999994</v>
      </c>
      <c r="E90" s="87">
        <f>'AEO 2023 Table 36 Raw'!H72</f>
        <v>78.857498000000007</v>
      </c>
      <c r="F90" s="87">
        <f>'AEO 2023 Table 36 Raw'!I72</f>
        <v>78.076453999999998</v>
      </c>
      <c r="G90" s="87">
        <f>'AEO 2023 Table 36 Raw'!J72</f>
        <v>76.964111000000003</v>
      </c>
      <c r="H90" s="87">
        <f>'AEO 2023 Table 36 Raw'!K72</f>
        <v>76.079750000000004</v>
      </c>
      <c r="I90" s="87">
        <f>'AEO 2023 Table 36 Raw'!L72</f>
        <v>75.233322000000001</v>
      </c>
      <c r="J90" s="87">
        <f>'AEO 2023 Table 36 Raw'!M72</f>
        <v>74.338866999999993</v>
      </c>
      <c r="K90" s="87">
        <f>'AEO 2023 Table 36 Raw'!N72</f>
        <v>73.430572999999995</v>
      </c>
      <c r="L90" s="87">
        <f>'AEO 2023 Table 36 Raw'!O72</f>
        <v>72.491912999999997</v>
      </c>
      <c r="M90" s="87">
        <f>'AEO 2023 Table 36 Raw'!P72</f>
        <v>71.594031999999999</v>
      </c>
      <c r="N90" s="87">
        <f>'AEO 2023 Table 36 Raw'!Q72</f>
        <v>71.837708000000006</v>
      </c>
      <c r="O90" s="87">
        <f>'AEO 2023 Table 36 Raw'!R72</f>
        <v>71.512496999999996</v>
      </c>
      <c r="P90" s="87">
        <f>'AEO 2023 Table 36 Raw'!S72</f>
        <v>71.239052000000001</v>
      </c>
      <c r="Q90" s="87">
        <f>'AEO 2023 Table 36 Raw'!T72</f>
        <v>70.989593999999997</v>
      </c>
      <c r="R90" s="87">
        <f>'AEO 2023 Table 36 Raw'!U72</f>
        <v>70.790924000000004</v>
      </c>
      <c r="S90" s="87">
        <f>'AEO 2023 Table 36 Raw'!V72</f>
        <v>70.163764999999998</v>
      </c>
      <c r="T90" s="87">
        <f>'AEO 2023 Table 36 Raw'!W72</f>
        <v>69.442642000000006</v>
      </c>
      <c r="U90" s="87">
        <f>'AEO 2023 Table 36 Raw'!X72</f>
        <v>68.681884999999994</v>
      </c>
      <c r="V90" s="87">
        <f>'AEO 2023 Table 36 Raw'!Y72</f>
        <v>67.900276000000005</v>
      </c>
      <c r="W90" s="87">
        <f>'AEO 2023 Table 36 Raw'!Z72</f>
        <v>67.010056000000006</v>
      </c>
      <c r="X90" s="87">
        <f>'AEO 2023 Table 36 Raw'!AA72</f>
        <v>66.063095000000004</v>
      </c>
      <c r="Y90" s="87">
        <f>'AEO 2023 Table 36 Raw'!AB72</f>
        <v>65.078491</v>
      </c>
      <c r="Z90" s="87">
        <f>'AEO 2023 Table 36 Raw'!AC72</f>
        <v>64.041968999999995</v>
      </c>
      <c r="AA90" s="87">
        <f>'AEO 2023 Table 36 Raw'!AD72</f>
        <v>62.83419</v>
      </c>
      <c r="AB90" s="87">
        <f>'AEO 2023 Table 36 Raw'!AE72</f>
        <v>61.602939999999997</v>
      </c>
      <c r="AC90" s="87">
        <f>'AEO 2023 Table 36 Raw'!AF72</f>
        <v>60.321541000000003</v>
      </c>
      <c r="AD90" s="87">
        <f>'AEO 2023 Table 36 Raw'!AG72</f>
        <v>58.979691000000003</v>
      </c>
      <c r="AE90" s="87">
        <f>'AEO 2023 Table 36 Raw'!AH72</f>
        <v>57.607379999999999</v>
      </c>
      <c r="AF90" s="88">
        <f>'AEO 2023 Table 36 Raw'!AI72</f>
        <v>-8.9999999999999993E-3</v>
      </c>
    </row>
    <row r="91" spans="1:32" ht="15" customHeight="1">
      <c r="A91" s="18" t="s">
        <v>365</v>
      </c>
      <c r="B91" s="21" t="s">
        <v>344</v>
      </c>
      <c r="C91" s="24">
        <f>'AEO 2023 Table 36 Raw'!F73</f>
        <v>0.92408599999999996</v>
      </c>
      <c r="D91" s="24">
        <f>'AEO 2023 Table 36 Raw'!G73</f>
        <v>1.0108280000000001</v>
      </c>
      <c r="E91" s="24">
        <f>'AEO 2023 Table 36 Raw'!H73</f>
        <v>1.0536110000000001</v>
      </c>
      <c r="F91" s="24">
        <f>'AEO 2023 Table 36 Raw'!I73</f>
        <v>1.083197</v>
      </c>
      <c r="G91" s="24">
        <f>'AEO 2023 Table 36 Raw'!J73</f>
        <v>1.1043369999999999</v>
      </c>
      <c r="H91" s="24">
        <f>'AEO 2023 Table 36 Raw'!K73</f>
        <v>1.1235299999999999</v>
      </c>
      <c r="I91" s="24">
        <f>'AEO 2023 Table 36 Raw'!L73</f>
        <v>1.1408499999999999</v>
      </c>
      <c r="J91" s="24">
        <f>'AEO 2023 Table 36 Raw'!M73</f>
        <v>1.1560729999999999</v>
      </c>
      <c r="K91" s="24">
        <f>'AEO 2023 Table 36 Raw'!N73</f>
        <v>1.171249</v>
      </c>
      <c r="L91" s="24">
        <f>'AEO 2023 Table 36 Raw'!O73</f>
        <v>1.185954</v>
      </c>
      <c r="M91" s="24">
        <f>'AEO 2023 Table 36 Raw'!P73</f>
        <v>1.2014899999999999</v>
      </c>
      <c r="N91" s="24">
        <f>'AEO 2023 Table 36 Raw'!Q73</f>
        <v>1.2187190000000001</v>
      </c>
      <c r="O91" s="24">
        <f>'AEO 2023 Table 36 Raw'!R73</f>
        <v>1.237236</v>
      </c>
      <c r="P91" s="24">
        <f>'AEO 2023 Table 36 Raw'!S73</f>
        <v>1.256583</v>
      </c>
      <c r="Q91" s="24">
        <f>'AEO 2023 Table 36 Raw'!T73</f>
        <v>1.277304</v>
      </c>
      <c r="R91" s="24">
        <f>'AEO 2023 Table 36 Raw'!U73</f>
        <v>1.299385</v>
      </c>
      <c r="S91" s="24">
        <f>'AEO 2023 Table 36 Raw'!V73</f>
        <v>1.318905</v>
      </c>
      <c r="T91" s="24">
        <f>'AEO 2023 Table 36 Raw'!W73</f>
        <v>1.3373429999999999</v>
      </c>
      <c r="U91" s="24">
        <f>'AEO 2023 Table 36 Raw'!X73</f>
        <v>1.355548</v>
      </c>
      <c r="V91" s="24">
        <f>'AEO 2023 Table 36 Raw'!Y73</f>
        <v>1.373292</v>
      </c>
      <c r="W91" s="24">
        <f>'AEO 2023 Table 36 Raw'!Z73</f>
        <v>1.390433</v>
      </c>
      <c r="X91" s="24">
        <f>'AEO 2023 Table 36 Raw'!AA73</f>
        <v>1.4067000000000001</v>
      </c>
      <c r="Y91" s="24">
        <f>'AEO 2023 Table 36 Raw'!AB73</f>
        <v>1.4226700000000001</v>
      </c>
      <c r="Z91" s="24">
        <f>'AEO 2023 Table 36 Raw'!AC73</f>
        <v>1.4381809999999999</v>
      </c>
      <c r="AA91" s="24">
        <f>'AEO 2023 Table 36 Raw'!AD73</f>
        <v>1.4527399999999999</v>
      </c>
      <c r="AB91" s="24">
        <f>'AEO 2023 Table 36 Raw'!AE73</f>
        <v>1.4629570000000001</v>
      </c>
      <c r="AC91" s="24">
        <f>'AEO 2023 Table 36 Raw'!AF73</f>
        <v>1.4730529999999999</v>
      </c>
      <c r="AD91" s="24">
        <f>'AEO 2023 Table 36 Raw'!AG73</f>
        <v>1.482996</v>
      </c>
      <c r="AE91" s="24">
        <f>'AEO 2023 Table 36 Raw'!AH73</f>
        <v>1.4928939999999999</v>
      </c>
      <c r="AF91" s="29">
        <f>'AEO 2023 Table 36 Raw'!AI73</f>
        <v>1.7000000000000001E-2</v>
      </c>
    </row>
    <row r="92" spans="1:32" ht="15" customHeight="1">
      <c r="A92" s="18" t="s">
        <v>366</v>
      </c>
      <c r="B92" s="21" t="s">
        <v>346</v>
      </c>
      <c r="C92" s="24">
        <f>'AEO 2023 Table 36 Raw'!F74</f>
        <v>7.6215450000000002</v>
      </c>
      <c r="D92" s="24">
        <f>'AEO 2023 Table 36 Raw'!G74</f>
        <v>8.0154069999999997</v>
      </c>
      <c r="E92" s="24">
        <f>'AEO 2023 Table 36 Raw'!H74</f>
        <v>8.0920509999999997</v>
      </c>
      <c r="F92" s="24">
        <f>'AEO 2023 Table 36 Raw'!I74</f>
        <v>8.0630500000000005</v>
      </c>
      <c r="G92" s="24">
        <f>'AEO 2023 Table 36 Raw'!J74</f>
        <v>7.9989129999999999</v>
      </c>
      <c r="H92" s="24">
        <f>'AEO 2023 Table 36 Raw'!K74</f>
        <v>7.9290890000000003</v>
      </c>
      <c r="I92" s="24">
        <f>'AEO 2023 Table 36 Raw'!L74</f>
        <v>7.8596399999999997</v>
      </c>
      <c r="J92" s="24">
        <f>'AEO 2023 Table 36 Raw'!M74</f>
        <v>7.7896799999999997</v>
      </c>
      <c r="K92" s="24">
        <f>'AEO 2023 Table 36 Raw'!N74</f>
        <v>7.71915</v>
      </c>
      <c r="L92" s="24">
        <f>'AEO 2023 Table 36 Raw'!O74</f>
        <v>7.6474950000000002</v>
      </c>
      <c r="M92" s="24">
        <f>'AEO 2023 Table 36 Raw'!P74</f>
        <v>7.5812689999999998</v>
      </c>
      <c r="N92" s="24">
        <f>'AEO 2023 Table 36 Raw'!Q74</f>
        <v>7.5267520000000001</v>
      </c>
      <c r="O92" s="24">
        <f>'AEO 2023 Table 36 Raw'!R74</f>
        <v>7.4812770000000004</v>
      </c>
      <c r="P92" s="24">
        <f>'AEO 2023 Table 36 Raw'!S74</f>
        <v>7.4434630000000004</v>
      </c>
      <c r="Q92" s="24">
        <f>'AEO 2023 Table 36 Raw'!T74</f>
        <v>7.4131020000000003</v>
      </c>
      <c r="R92" s="24">
        <f>'AEO 2023 Table 36 Raw'!U74</f>
        <v>7.3907420000000004</v>
      </c>
      <c r="S92" s="24">
        <f>'AEO 2023 Table 36 Raw'!V74</f>
        <v>7.3531319999999996</v>
      </c>
      <c r="T92" s="24">
        <f>'AEO 2023 Table 36 Raw'!W74</f>
        <v>7.3113330000000003</v>
      </c>
      <c r="U92" s="24">
        <f>'AEO 2023 Table 36 Raw'!X74</f>
        <v>7.2676160000000003</v>
      </c>
      <c r="V92" s="24">
        <f>'AEO 2023 Table 36 Raw'!Y74</f>
        <v>7.22288</v>
      </c>
      <c r="W92" s="24">
        <f>'AEO 2023 Table 36 Raw'!Z74</f>
        <v>7.1754610000000003</v>
      </c>
      <c r="X92" s="24">
        <f>'AEO 2023 Table 36 Raw'!AA74</f>
        <v>7.125019</v>
      </c>
      <c r="Y92" s="24">
        <f>'AEO 2023 Table 36 Raw'!AB74</f>
        <v>7.0722560000000003</v>
      </c>
      <c r="Z92" s="24">
        <f>'AEO 2023 Table 36 Raw'!AC74</f>
        <v>7.017741</v>
      </c>
      <c r="AA92" s="24">
        <f>'AEO 2023 Table 36 Raw'!AD74</f>
        <v>6.960877</v>
      </c>
      <c r="AB92" s="24">
        <f>'AEO 2023 Table 36 Raw'!AE74</f>
        <v>6.9032780000000002</v>
      </c>
      <c r="AC92" s="24">
        <f>'AEO 2023 Table 36 Raw'!AF74</f>
        <v>6.8454899999999999</v>
      </c>
      <c r="AD92" s="24">
        <f>'AEO 2023 Table 36 Raw'!AG74</f>
        <v>6.7870299999999997</v>
      </c>
      <c r="AE92" s="24">
        <f>'AEO 2023 Table 36 Raw'!AH74</f>
        <v>6.7284329999999999</v>
      </c>
      <c r="AF92" s="29">
        <f>'AEO 2023 Table 36 Raw'!AI74</f>
        <v>-4.0000000000000001E-3</v>
      </c>
    </row>
    <row r="93" spans="1:32" ht="15" customHeight="1">
      <c r="A93" s="18" t="s">
        <v>367</v>
      </c>
      <c r="B93" s="21" t="s">
        <v>348</v>
      </c>
      <c r="C93" s="24">
        <f>'AEO 2023 Table 36 Raw'!F75</f>
        <v>0.57226500000000002</v>
      </c>
      <c r="D93" s="24">
        <f>'AEO 2023 Table 36 Raw'!G75</f>
        <v>0.83341600000000005</v>
      </c>
      <c r="E93" s="24">
        <f>'AEO 2023 Table 36 Raw'!H75</f>
        <v>1.075178</v>
      </c>
      <c r="F93" s="24">
        <f>'AEO 2023 Table 36 Raw'!I75</f>
        <v>1.30423</v>
      </c>
      <c r="G93" s="24">
        <f>'AEO 2023 Table 36 Raw'!J75</f>
        <v>1.524958</v>
      </c>
      <c r="H93" s="24">
        <f>'AEO 2023 Table 36 Raw'!K75</f>
        <v>1.603828</v>
      </c>
      <c r="I93" s="24">
        <f>'AEO 2023 Table 36 Raw'!L75</f>
        <v>1.6665300000000001</v>
      </c>
      <c r="J93" s="24">
        <f>'AEO 2023 Table 36 Raw'!M75</f>
        <v>1.7516910000000001</v>
      </c>
      <c r="K93" s="24">
        <f>'AEO 2023 Table 36 Raw'!N75</f>
        <v>1.8409</v>
      </c>
      <c r="L93" s="24">
        <f>'AEO 2023 Table 36 Raw'!O75</f>
        <v>1.9398230000000001</v>
      </c>
      <c r="M93" s="24">
        <f>'AEO 2023 Table 36 Raw'!P75</f>
        <v>2.045474</v>
      </c>
      <c r="N93" s="24">
        <f>'AEO 2023 Table 36 Raw'!Q75</f>
        <v>1.638865</v>
      </c>
      <c r="O93" s="24">
        <f>'AEO 2023 Table 36 Raw'!R75</f>
        <v>1.561909</v>
      </c>
      <c r="P93" s="24">
        <f>'AEO 2023 Table 36 Raw'!S75</f>
        <v>1.4974970000000001</v>
      </c>
      <c r="Q93" s="24">
        <f>'AEO 2023 Table 36 Raw'!T75</f>
        <v>1.458207</v>
      </c>
      <c r="R93" s="24">
        <f>'AEO 2023 Table 36 Raw'!U75</f>
        <v>1.4334020000000001</v>
      </c>
      <c r="S93" s="24">
        <f>'AEO 2023 Table 36 Raw'!V75</f>
        <v>1.546791</v>
      </c>
      <c r="T93" s="24">
        <f>'AEO 2023 Table 36 Raw'!W75</f>
        <v>1.686464</v>
      </c>
      <c r="U93" s="24">
        <f>'AEO 2023 Table 36 Raw'!X75</f>
        <v>1.8363419999999999</v>
      </c>
      <c r="V93" s="24">
        <f>'AEO 2023 Table 36 Raw'!Y75</f>
        <v>1.9917119999999999</v>
      </c>
      <c r="W93" s="24">
        <f>'AEO 2023 Table 36 Raw'!Z75</f>
        <v>2.1880760000000001</v>
      </c>
      <c r="X93" s="24">
        <f>'AEO 2023 Table 36 Raw'!AA75</f>
        <v>2.3979050000000002</v>
      </c>
      <c r="Y93" s="24">
        <f>'AEO 2023 Table 36 Raw'!AB75</f>
        <v>2.6149490000000002</v>
      </c>
      <c r="Z93" s="24">
        <f>'AEO 2023 Table 36 Raw'!AC75</f>
        <v>2.8492980000000001</v>
      </c>
      <c r="AA93" s="24">
        <f>'AEO 2023 Table 36 Raw'!AD75</f>
        <v>3.1578240000000002</v>
      </c>
      <c r="AB93" s="24">
        <f>'AEO 2023 Table 36 Raw'!AE75</f>
        <v>3.4764889999999999</v>
      </c>
      <c r="AC93" s="24">
        <f>'AEO 2023 Table 36 Raw'!AF75</f>
        <v>3.8193260000000002</v>
      </c>
      <c r="AD93" s="24">
        <f>'AEO 2023 Table 36 Raw'!AG75</f>
        <v>4.1890539999999996</v>
      </c>
      <c r="AE93" s="24">
        <f>'AEO 2023 Table 36 Raw'!AH75</f>
        <v>4.5733420000000002</v>
      </c>
      <c r="AF93" s="29">
        <f>'AEO 2023 Table 36 Raw'!AI75</f>
        <v>7.6999999999999999E-2</v>
      </c>
    </row>
    <row r="94" spans="1:32" ht="15" customHeight="1">
      <c r="A94" s="18" t="s">
        <v>368</v>
      </c>
      <c r="B94" s="21" t="s">
        <v>350</v>
      </c>
      <c r="C94" s="24">
        <f>'AEO 2023 Table 36 Raw'!F76</f>
        <v>0</v>
      </c>
      <c r="D94" s="24">
        <f>'AEO 2023 Table 36 Raw'!G76</f>
        <v>0</v>
      </c>
      <c r="E94" s="24">
        <f>'AEO 2023 Table 36 Raw'!H76</f>
        <v>0</v>
      </c>
      <c r="F94" s="24">
        <f>'AEO 2023 Table 36 Raw'!I76</f>
        <v>0</v>
      </c>
      <c r="G94" s="24">
        <f>'AEO 2023 Table 36 Raw'!J76</f>
        <v>0</v>
      </c>
      <c r="H94" s="24">
        <f>'AEO 2023 Table 36 Raw'!K76</f>
        <v>0</v>
      </c>
      <c r="I94" s="24">
        <f>'AEO 2023 Table 36 Raw'!L76</f>
        <v>0</v>
      </c>
      <c r="J94" s="24">
        <f>'AEO 2023 Table 36 Raw'!M76</f>
        <v>0</v>
      </c>
      <c r="K94" s="24">
        <f>'AEO 2023 Table 36 Raw'!N76</f>
        <v>0</v>
      </c>
      <c r="L94" s="24">
        <f>'AEO 2023 Table 36 Raw'!O76</f>
        <v>0</v>
      </c>
      <c r="M94" s="24">
        <f>'AEO 2023 Table 36 Raw'!P76</f>
        <v>0</v>
      </c>
      <c r="N94" s="24">
        <f>'AEO 2023 Table 36 Raw'!Q76</f>
        <v>0</v>
      </c>
      <c r="O94" s="24">
        <f>'AEO 2023 Table 36 Raw'!R76</f>
        <v>0</v>
      </c>
      <c r="P94" s="24">
        <f>'AEO 2023 Table 36 Raw'!S76</f>
        <v>0</v>
      </c>
      <c r="Q94" s="24">
        <f>'AEO 2023 Table 36 Raw'!T76</f>
        <v>0</v>
      </c>
      <c r="R94" s="24">
        <f>'AEO 2023 Table 36 Raw'!U76</f>
        <v>0</v>
      </c>
      <c r="S94" s="24">
        <f>'AEO 2023 Table 36 Raw'!V76</f>
        <v>0</v>
      </c>
      <c r="T94" s="24">
        <f>'AEO 2023 Table 36 Raw'!W76</f>
        <v>0</v>
      </c>
      <c r="U94" s="24">
        <f>'AEO 2023 Table 36 Raw'!X76</f>
        <v>0</v>
      </c>
      <c r="V94" s="24">
        <f>'AEO 2023 Table 36 Raw'!Y76</f>
        <v>0</v>
      </c>
      <c r="W94" s="24">
        <f>'AEO 2023 Table 36 Raw'!Z76</f>
        <v>0</v>
      </c>
      <c r="X94" s="24">
        <f>'AEO 2023 Table 36 Raw'!AA76</f>
        <v>0</v>
      </c>
      <c r="Y94" s="24">
        <f>'AEO 2023 Table 36 Raw'!AB76</f>
        <v>0</v>
      </c>
      <c r="Z94" s="24">
        <f>'AEO 2023 Table 36 Raw'!AC76</f>
        <v>0</v>
      </c>
      <c r="AA94" s="24">
        <f>'AEO 2023 Table 36 Raw'!AD76</f>
        <v>0</v>
      </c>
      <c r="AB94" s="24">
        <f>'AEO 2023 Table 36 Raw'!AE76</f>
        <v>0</v>
      </c>
      <c r="AC94" s="24">
        <f>'AEO 2023 Table 36 Raw'!AF76</f>
        <v>0</v>
      </c>
      <c r="AD94" s="24">
        <f>'AEO 2023 Table 36 Raw'!AG76</f>
        <v>0</v>
      </c>
      <c r="AE94" s="24">
        <f>'AEO 2023 Table 36 Raw'!AH76</f>
        <v>0</v>
      </c>
      <c r="AF94" s="29" t="str">
        <f>'AEO 2023 Table 36 Raw'!AI76</f>
        <v>- -</v>
      </c>
    </row>
    <row r="95" spans="1:32" ht="15" customHeight="1">
      <c r="A95" s="18" t="s">
        <v>369</v>
      </c>
      <c r="B95" s="20" t="s">
        <v>7</v>
      </c>
      <c r="C95" s="24">
        <f>'AEO 2023 Table 36 Raw'!F77</f>
        <v>43.913421999999997</v>
      </c>
      <c r="D95" s="24">
        <f>'AEO 2023 Table 36 Raw'!G77</f>
        <v>45.563988000000002</v>
      </c>
      <c r="E95" s="24">
        <f>'AEO 2023 Table 36 Raw'!H77</f>
        <v>46.540951</v>
      </c>
      <c r="F95" s="24">
        <f>'AEO 2023 Table 36 Raw'!I77</f>
        <v>47.205399</v>
      </c>
      <c r="G95" s="24">
        <f>'AEO 2023 Table 36 Raw'!J77</f>
        <v>47.900013000000001</v>
      </c>
      <c r="H95" s="24">
        <f>'AEO 2023 Table 36 Raw'!K77</f>
        <v>48.570526000000001</v>
      </c>
      <c r="I95" s="24">
        <f>'AEO 2023 Table 36 Raw'!L77</f>
        <v>49.132919000000001</v>
      </c>
      <c r="J95" s="24">
        <f>'AEO 2023 Table 36 Raw'!M77</f>
        <v>49.707282999999997</v>
      </c>
      <c r="K95" s="24">
        <f>'AEO 2023 Table 36 Raw'!N77</f>
        <v>50.150032000000003</v>
      </c>
      <c r="L95" s="24">
        <f>'AEO 2023 Table 36 Raw'!O77</f>
        <v>50.598678999999997</v>
      </c>
      <c r="M95" s="24">
        <f>'AEO 2023 Table 36 Raw'!P77</f>
        <v>51.139499999999998</v>
      </c>
      <c r="N95" s="24">
        <f>'AEO 2023 Table 36 Raw'!Q77</f>
        <v>51.726661999999997</v>
      </c>
      <c r="O95" s="24">
        <f>'AEO 2023 Table 36 Raw'!R77</f>
        <v>52.369225</v>
      </c>
      <c r="P95" s="24">
        <f>'AEO 2023 Table 36 Raw'!S77</f>
        <v>52.923794000000001</v>
      </c>
      <c r="Q95" s="24">
        <f>'AEO 2023 Table 36 Raw'!T77</f>
        <v>53.456974000000002</v>
      </c>
      <c r="R95" s="24">
        <f>'AEO 2023 Table 36 Raw'!U77</f>
        <v>53.972693999999997</v>
      </c>
      <c r="S95" s="24">
        <f>'AEO 2023 Table 36 Raw'!V77</f>
        <v>54.509743</v>
      </c>
      <c r="T95" s="24">
        <f>'AEO 2023 Table 36 Raw'!W77</f>
        <v>55.033695000000002</v>
      </c>
      <c r="U95" s="24">
        <f>'AEO 2023 Table 36 Raw'!X77</f>
        <v>55.626582999999997</v>
      </c>
      <c r="V95" s="24">
        <f>'AEO 2023 Table 36 Raw'!Y77</f>
        <v>56.181145000000001</v>
      </c>
      <c r="W95" s="24">
        <f>'AEO 2023 Table 36 Raw'!Z77</f>
        <v>56.753779999999999</v>
      </c>
      <c r="X95" s="24">
        <f>'AEO 2023 Table 36 Raw'!AA77</f>
        <v>57.257598999999999</v>
      </c>
      <c r="Y95" s="24">
        <f>'AEO 2023 Table 36 Raw'!AB77</f>
        <v>57.815627999999997</v>
      </c>
      <c r="Z95" s="24">
        <f>'AEO 2023 Table 36 Raw'!AC77</f>
        <v>58.366591999999997</v>
      </c>
      <c r="AA95" s="24">
        <f>'AEO 2023 Table 36 Raw'!AD77</f>
        <v>59.116034999999997</v>
      </c>
      <c r="AB95" s="24">
        <f>'AEO 2023 Table 36 Raw'!AE77</f>
        <v>59.751427</v>
      </c>
      <c r="AC95" s="24">
        <f>'AEO 2023 Table 36 Raw'!AF77</f>
        <v>60.444682999999998</v>
      </c>
      <c r="AD95" s="24">
        <f>'AEO 2023 Table 36 Raw'!AG77</f>
        <v>61.080703999999997</v>
      </c>
      <c r="AE95" s="24">
        <f>'AEO 2023 Table 36 Raw'!AH77</f>
        <v>61.848125000000003</v>
      </c>
      <c r="AF95" s="29">
        <f>'AEO 2023 Table 36 Raw'!AI77</f>
        <v>1.2E-2</v>
      </c>
    </row>
    <row r="96" spans="1:32" ht="15" customHeight="1">
      <c r="A96" s="18" t="s">
        <v>370</v>
      </c>
      <c r="B96" s="21" t="s">
        <v>371</v>
      </c>
      <c r="C96" s="24">
        <f>'AEO 2023 Table 36 Raw'!F78</f>
        <v>7.5946369999999996</v>
      </c>
      <c r="D96" s="24">
        <f>'AEO 2023 Table 36 Raw'!G78</f>
        <v>8.2708110000000001</v>
      </c>
      <c r="E96" s="24">
        <f>'AEO 2023 Table 36 Raw'!H78</f>
        <v>8.8117520000000003</v>
      </c>
      <c r="F96" s="24">
        <f>'AEO 2023 Table 36 Raw'!I78</f>
        <v>9.2425239999999995</v>
      </c>
      <c r="G96" s="24">
        <f>'AEO 2023 Table 36 Raw'!J78</f>
        <v>9.5890699999999995</v>
      </c>
      <c r="H96" s="24">
        <f>'AEO 2023 Table 36 Raw'!K78</f>
        <v>9.8712160000000004</v>
      </c>
      <c r="I96" s="24">
        <f>'AEO 2023 Table 36 Raw'!L78</f>
        <v>10.105147000000001</v>
      </c>
      <c r="J96" s="24">
        <f>'AEO 2023 Table 36 Raw'!M78</f>
        <v>10.303372</v>
      </c>
      <c r="K96" s="24">
        <f>'AEO 2023 Table 36 Raw'!N78</f>
        <v>10.475068</v>
      </c>
      <c r="L96" s="24">
        <f>'AEO 2023 Table 36 Raw'!O78</f>
        <v>10.626023999999999</v>
      </c>
      <c r="M96" s="24">
        <f>'AEO 2023 Table 36 Raw'!P78</f>
        <v>10.758953999999999</v>
      </c>
      <c r="N96" s="24">
        <f>'AEO 2023 Table 36 Raw'!Q78</f>
        <v>10.875567999999999</v>
      </c>
      <c r="O96" s="24">
        <f>'AEO 2023 Table 36 Raw'!R78</f>
        <v>10.979032999999999</v>
      </c>
      <c r="P96" s="24">
        <f>'AEO 2023 Table 36 Raw'!S78</f>
        <v>11.071654000000001</v>
      </c>
      <c r="Q96" s="24">
        <f>'AEO 2023 Table 36 Raw'!T78</f>
        <v>11.154877000000001</v>
      </c>
      <c r="R96" s="24">
        <f>'AEO 2023 Table 36 Raw'!U78</f>
        <v>11.229654999999999</v>
      </c>
      <c r="S96" s="24">
        <f>'AEO 2023 Table 36 Raw'!V78</f>
        <v>11.304667</v>
      </c>
      <c r="T96" s="24">
        <f>'AEO 2023 Table 36 Raw'!W78</f>
        <v>11.377219</v>
      </c>
      <c r="U96" s="24">
        <f>'AEO 2023 Table 36 Raw'!X78</f>
        <v>11.447278000000001</v>
      </c>
      <c r="V96" s="24">
        <f>'AEO 2023 Table 36 Raw'!Y78</f>
        <v>11.515231999999999</v>
      </c>
      <c r="W96" s="24">
        <f>'AEO 2023 Table 36 Raw'!Z78</f>
        <v>11.582255999999999</v>
      </c>
      <c r="X96" s="24">
        <f>'AEO 2023 Table 36 Raw'!AA78</f>
        <v>11.648866999999999</v>
      </c>
      <c r="Y96" s="24">
        <f>'AEO 2023 Table 36 Raw'!AB78</f>
        <v>11.715138</v>
      </c>
      <c r="Z96" s="24">
        <f>'AEO 2023 Table 36 Raw'!AC78</f>
        <v>11.781057000000001</v>
      </c>
      <c r="AA96" s="24">
        <f>'AEO 2023 Table 36 Raw'!AD78</f>
        <v>11.847011999999999</v>
      </c>
      <c r="AB96" s="24">
        <f>'AEO 2023 Table 36 Raw'!AE78</f>
        <v>11.912785</v>
      </c>
      <c r="AC96" s="24">
        <f>'AEO 2023 Table 36 Raw'!AF78</f>
        <v>11.978335</v>
      </c>
      <c r="AD96" s="24">
        <f>'AEO 2023 Table 36 Raw'!AG78</f>
        <v>12.043905000000001</v>
      </c>
      <c r="AE96" s="24">
        <f>'AEO 2023 Table 36 Raw'!AH78</f>
        <v>12.109465</v>
      </c>
      <c r="AF96" s="29">
        <f>'AEO 2023 Table 36 Raw'!AI78</f>
        <v>1.7000000000000001E-2</v>
      </c>
    </row>
    <row r="97" spans="1:32" ht="15" customHeight="1">
      <c r="A97" s="18" t="s">
        <v>372</v>
      </c>
      <c r="B97" s="21" t="s">
        <v>348</v>
      </c>
      <c r="C97" s="24">
        <f>'AEO 2023 Table 36 Raw'!F79</f>
        <v>0.923149</v>
      </c>
      <c r="D97" s="24">
        <f>'AEO 2023 Table 36 Raw'!G79</f>
        <v>1.0053399999999999</v>
      </c>
      <c r="E97" s="24">
        <f>'AEO 2023 Table 36 Raw'!H79</f>
        <v>1.0710919999999999</v>
      </c>
      <c r="F97" s="24">
        <f>'AEO 2023 Table 36 Raw'!I79</f>
        <v>1.123454</v>
      </c>
      <c r="G97" s="24">
        <f>'AEO 2023 Table 36 Raw'!J79</f>
        <v>1.165578</v>
      </c>
      <c r="H97" s="24">
        <f>'AEO 2023 Table 36 Raw'!K79</f>
        <v>1.199873</v>
      </c>
      <c r="I97" s="24">
        <f>'AEO 2023 Table 36 Raw'!L79</f>
        <v>1.228308</v>
      </c>
      <c r="J97" s="24">
        <f>'AEO 2023 Table 36 Raw'!M79</f>
        <v>1.2524029999999999</v>
      </c>
      <c r="K97" s="24">
        <f>'AEO 2023 Table 36 Raw'!N79</f>
        <v>1.2732730000000001</v>
      </c>
      <c r="L97" s="24">
        <f>'AEO 2023 Table 36 Raw'!O79</f>
        <v>1.291622</v>
      </c>
      <c r="M97" s="24">
        <f>'AEO 2023 Table 36 Raw'!P79</f>
        <v>1.3077799999999999</v>
      </c>
      <c r="N97" s="24">
        <f>'AEO 2023 Table 36 Raw'!Q79</f>
        <v>1.321955</v>
      </c>
      <c r="O97" s="24">
        <f>'AEO 2023 Table 36 Raw'!R79</f>
        <v>1.3345309999999999</v>
      </c>
      <c r="P97" s="24">
        <f>'AEO 2023 Table 36 Raw'!S79</f>
        <v>1.34579</v>
      </c>
      <c r="Q97" s="24">
        <f>'AEO 2023 Table 36 Raw'!T79</f>
        <v>1.3559060000000001</v>
      </c>
      <c r="R97" s="24">
        <f>'AEO 2023 Table 36 Raw'!U79</f>
        <v>1.364995</v>
      </c>
      <c r="S97" s="24">
        <f>'AEO 2023 Table 36 Raw'!V79</f>
        <v>1.3741129999999999</v>
      </c>
      <c r="T97" s="24">
        <f>'AEO 2023 Table 36 Raw'!W79</f>
        <v>1.3829320000000001</v>
      </c>
      <c r="U97" s="24">
        <f>'AEO 2023 Table 36 Raw'!X79</f>
        <v>1.391448</v>
      </c>
      <c r="V97" s="24">
        <f>'AEO 2023 Table 36 Raw'!Y79</f>
        <v>1.399708</v>
      </c>
      <c r="W97" s="24">
        <f>'AEO 2023 Table 36 Raw'!Z79</f>
        <v>1.4078550000000001</v>
      </c>
      <c r="X97" s="24">
        <f>'AEO 2023 Table 36 Raw'!AA79</f>
        <v>1.4159520000000001</v>
      </c>
      <c r="Y97" s="24">
        <f>'AEO 2023 Table 36 Raw'!AB79</f>
        <v>1.4240060000000001</v>
      </c>
      <c r="Z97" s="24">
        <f>'AEO 2023 Table 36 Raw'!AC79</f>
        <v>1.4320189999999999</v>
      </c>
      <c r="AA97" s="24">
        <f>'AEO 2023 Table 36 Raw'!AD79</f>
        <v>1.440037</v>
      </c>
      <c r="AB97" s="24">
        <f>'AEO 2023 Table 36 Raw'!AE79</f>
        <v>1.4480310000000001</v>
      </c>
      <c r="AC97" s="24">
        <f>'AEO 2023 Table 36 Raw'!AF79</f>
        <v>1.455999</v>
      </c>
      <c r="AD97" s="24">
        <f>'AEO 2023 Table 36 Raw'!AG79</f>
        <v>1.4639690000000001</v>
      </c>
      <c r="AE97" s="24">
        <f>'AEO 2023 Table 36 Raw'!AH79</f>
        <v>1.471938</v>
      </c>
      <c r="AF97" s="29">
        <f>'AEO 2023 Table 36 Raw'!AI79</f>
        <v>1.7000000000000001E-2</v>
      </c>
    </row>
    <row r="98" spans="1:32" s="98" customFormat="1" ht="15" customHeight="1">
      <c r="A98" s="94" t="s">
        <v>373</v>
      </c>
      <c r="B98" s="95" t="s">
        <v>374</v>
      </c>
      <c r="C98" s="96">
        <f>'AEO 2023 Table 36 Raw'!F80</f>
        <v>6.6714880000000001</v>
      </c>
      <c r="D98" s="96">
        <f>'AEO 2023 Table 36 Raw'!G80</f>
        <v>7.2654709999999998</v>
      </c>
      <c r="E98" s="96">
        <f>'AEO 2023 Table 36 Raw'!H80</f>
        <v>7.7406600000000001</v>
      </c>
      <c r="F98" s="96">
        <f>'AEO 2023 Table 36 Raw'!I80</f>
        <v>8.1190700000000007</v>
      </c>
      <c r="G98" s="96">
        <f>'AEO 2023 Table 36 Raw'!J80</f>
        <v>8.4234919999999995</v>
      </c>
      <c r="H98" s="96">
        <f>'AEO 2023 Table 36 Raw'!K80</f>
        <v>8.6713430000000002</v>
      </c>
      <c r="I98" s="96">
        <f>'AEO 2023 Table 36 Raw'!L80</f>
        <v>8.8768399999999996</v>
      </c>
      <c r="J98" s="96">
        <f>'AEO 2023 Table 36 Raw'!M80</f>
        <v>9.0509690000000003</v>
      </c>
      <c r="K98" s="96">
        <f>'AEO 2023 Table 36 Raw'!N80</f>
        <v>9.2017959999999999</v>
      </c>
      <c r="L98" s="96">
        <f>'AEO 2023 Table 36 Raw'!O80</f>
        <v>9.3344020000000008</v>
      </c>
      <c r="M98" s="96">
        <f>'AEO 2023 Table 36 Raw'!P80</f>
        <v>9.451174</v>
      </c>
      <c r="N98" s="96">
        <f>'AEO 2023 Table 36 Raw'!Q80</f>
        <v>9.5536139999999996</v>
      </c>
      <c r="O98" s="96">
        <f>'AEO 2023 Table 36 Raw'!R80</f>
        <v>9.6445030000000003</v>
      </c>
      <c r="P98" s="96">
        <f>'AEO 2023 Table 36 Raw'!S80</f>
        <v>9.7258639999999996</v>
      </c>
      <c r="Q98" s="96">
        <f>'AEO 2023 Table 36 Raw'!T80</f>
        <v>9.7989709999999999</v>
      </c>
      <c r="R98" s="96">
        <f>'AEO 2023 Table 36 Raw'!U80</f>
        <v>9.8646600000000007</v>
      </c>
      <c r="S98" s="96">
        <f>'AEO 2023 Table 36 Raw'!V80</f>
        <v>9.9305540000000008</v>
      </c>
      <c r="T98" s="96">
        <f>'AEO 2023 Table 36 Raw'!W80</f>
        <v>9.9942869999999999</v>
      </c>
      <c r="U98" s="96">
        <f>'AEO 2023 Table 36 Raw'!X80</f>
        <v>10.05583</v>
      </c>
      <c r="V98" s="96">
        <f>'AEO 2023 Table 36 Raw'!Y80</f>
        <v>10.115524000000001</v>
      </c>
      <c r="W98" s="96">
        <f>'AEO 2023 Table 36 Raw'!Z80</f>
        <v>10.174401</v>
      </c>
      <c r="X98" s="96">
        <f>'AEO 2023 Table 36 Raw'!AA80</f>
        <v>10.232915</v>
      </c>
      <c r="Y98" s="96">
        <f>'AEO 2023 Table 36 Raw'!AB80</f>
        <v>10.291131999999999</v>
      </c>
      <c r="Z98" s="96">
        <f>'AEO 2023 Table 36 Raw'!AC80</f>
        <v>10.349038</v>
      </c>
      <c r="AA98" s="96">
        <f>'AEO 2023 Table 36 Raw'!AD80</f>
        <v>10.406974999999999</v>
      </c>
      <c r="AB98" s="96">
        <f>'AEO 2023 Table 36 Raw'!AE80</f>
        <v>10.464753</v>
      </c>
      <c r="AC98" s="96">
        <f>'AEO 2023 Table 36 Raw'!AF80</f>
        <v>10.522335999999999</v>
      </c>
      <c r="AD98" s="96">
        <f>'AEO 2023 Table 36 Raw'!AG80</f>
        <v>10.579936</v>
      </c>
      <c r="AE98" s="96">
        <f>'AEO 2023 Table 36 Raw'!AH80</f>
        <v>10.637527</v>
      </c>
      <c r="AF98" s="97">
        <f>'AEO 2023 Table 36 Raw'!AI80</f>
        <v>1.7000000000000001E-2</v>
      </c>
    </row>
    <row r="99" spans="1:32" ht="15" customHeight="1">
      <c r="A99" s="18" t="s">
        <v>375</v>
      </c>
      <c r="B99" s="21" t="s">
        <v>376</v>
      </c>
      <c r="C99" s="24">
        <f>'AEO 2023 Table 36 Raw'!F81</f>
        <v>0</v>
      </c>
      <c r="D99" s="24">
        <f>'AEO 2023 Table 36 Raw'!G81</f>
        <v>0</v>
      </c>
      <c r="E99" s="24">
        <f>'AEO 2023 Table 36 Raw'!H81</f>
        <v>0</v>
      </c>
      <c r="F99" s="24">
        <f>'AEO 2023 Table 36 Raw'!I81</f>
        <v>0</v>
      </c>
      <c r="G99" s="24">
        <f>'AEO 2023 Table 36 Raw'!J81</f>
        <v>0</v>
      </c>
      <c r="H99" s="24">
        <f>'AEO 2023 Table 36 Raw'!K81</f>
        <v>0</v>
      </c>
      <c r="I99" s="24">
        <f>'AEO 2023 Table 36 Raw'!L81</f>
        <v>0</v>
      </c>
      <c r="J99" s="24">
        <f>'AEO 2023 Table 36 Raw'!M81</f>
        <v>0</v>
      </c>
      <c r="K99" s="24">
        <f>'AEO 2023 Table 36 Raw'!N81</f>
        <v>0</v>
      </c>
      <c r="L99" s="24">
        <f>'AEO 2023 Table 36 Raw'!O81</f>
        <v>0</v>
      </c>
      <c r="M99" s="24">
        <f>'AEO 2023 Table 36 Raw'!P81</f>
        <v>0</v>
      </c>
      <c r="N99" s="24">
        <f>'AEO 2023 Table 36 Raw'!Q81</f>
        <v>0</v>
      </c>
      <c r="O99" s="24">
        <f>'AEO 2023 Table 36 Raw'!R81</f>
        <v>0</v>
      </c>
      <c r="P99" s="24">
        <f>'AEO 2023 Table 36 Raw'!S81</f>
        <v>0</v>
      </c>
      <c r="Q99" s="24">
        <f>'AEO 2023 Table 36 Raw'!T81</f>
        <v>0</v>
      </c>
      <c r="R99" s="24">
        <f>'AEO 2023 Table 36 Raw'!U81</f>
        <v>0</v>
      </c>
      <c r="S99" s="24">
        <f>'AEO 2023 Table 36 Raw'!V81</f>
        <v>0</v>
      </c>
      <c r="T99" s="24">
        <f>'AEO 2023 Table 36 Raw'!W81</f>
        <v>0</v>
      </c>
      <c r="U99" s="24">
        <f>'AEO 2023 Table 36 Raw'!X81</f>
        <v>0</v>
      </c>
      <c r="V99" s="24">
        <f>'AEO 2023 Table 36 Raw'!Y81</f>
        <v>0</v>
      </c>
      <c r="W99" s="24">
        <f>'AEO 2023 Table 36 Raw'!Z81</f>
        <v>0</v>
      </c>
      <c r="X99" s="24">
        <f>'AEO 2023 Table 36 Raw'!AA81</f>
        <v>0</v>
      </c>
      <c r="Y99" s="24">
        <f>'AEO 2023 Table 36 Raw'!AB81</f>
        <v>0</v>
      </c>
      <c r="Z99" s="24">
        <f>'AEO 2023 Table 36 Raw'!AC81</f>
        <v>0</v>
      </c>
      <c r="AA99" s="24">
        <f>'AEO 2023 Table 36 Raw'!AD81</f>
        <v>0</v>
      </c>
      <c r="AB99" s="24">
        <f>'AEO 2023 Table 36 Raw'!AE81</f>
        <v>0</v>
      </c>
      <c r="AC99" s="24">
        <f>'AEO 2023 Table 36 Raw'!AF81</f>
        <v>0</v>
      </c>
      <c r="AD99" s="24">
        <f>'AEO 2023 Table 36 Raw'!AG81</f>
        <v>0</v>
      </c>
      <c r="AE99" s="24">
        <f>'AEO 2023 Table 36 Raw'!AH81</f>
        <v>0</v>
      </c>
      <c r="AF99" s="29" t="str">
        <f>'AEO 2023 Table 36 Raw'!AI81</f>
        <v>- -</v>
      </c>
    </row>
    <row r="100" spans="1:32" ht="15" customHeight="1">
      <c r="A100" s="18" t="s">
        <v>377</v>
      </c>
      <c r="B100" s="21" t="s">
        <v>378</v>
      </c>
      <c r="C100" s="24">
        <f>'AEO 2023 Table 36 Raw'!F82</f>
        <v>0</v>
      </c>
      <c r="D100" s="24">
        <f>'AEO 2023 Table 36 Raw'!G82</f>
        <v>0</v>
      </c>
      <c r="E100" s="24">
        <f>'AEO 2023 Table 36 Raw'!H82</f>
        <v>0</v>
      </c>
      <c r="F100" s="24">
        <f>'AEO 2023 Table 36 Raw'!I82</f>
        <v>0</v>
      </c>
      <c r="G100" s="24">
        <f>'AEO 2023 Table 36 Raw'!J82</f>
        <v>0</v>
      </c>
      <c r="H100" s="24">
        <f>'AEO 2023 Table 36 Raw'!K82</f>
        <v>0</v>
      </c>
      <c r="I100" s="24">
        <f>'AEO 2023 Table 36 Raw'!L82</f>
        <v>0</v>
      </c>
      <c r="J100" s="24">
        <f>'AEO 2023 Table 36 Raw'!M82</f>
        <v>0</v>
      </c>
      <c r="K100" s="24">
        <f>'AEO 2023 Table 36 Raw'!N82</f>
        <v>0</v>
      </c>
      <c r="L100" s="24">
        <f>'AEO 2023 Table 36 Raw'!O82</f>
        <v>0</v>
      </c>
      <c r="M100" s="24">
        <f>'AEO 2023 Table 36 Raw'!P82</f>
        <v>0</v>
      </c>
      <c r="N100" s="24">
        <f>'AEO 2023 Table 36 Raw'!Q82</f>
        <v>0</v>
      </c>
      <c r="O100" s="24">
        <f>'AEO 2023 Table 36 Raw'!R82</f>
        <v>0</v>
      </c>
      <c r="P100" s="24">
        <f>'AEO 2023 Table 36 Raw'!S82</f>
        <v>0</v>
      </c>
      <c r="Q100" s="24">
        <f>'AEO 2023 Table 36 Raw'!T82</f>
        <v>0</v>
      </c>
      <c r="R100" s="24">
        <f>'AEO 2023 Table 36 Raw'!U82</f>
        <v>0</v>
      </c>
      <c r="S100" s="24">
        <f>'AEO 2023 Table 36 Raw'!V82</f>
        <v>0</v>
      </c>
      <c r="T100" s="24">
        <f>'AEO 2023 Table 36 Raw'!W82</f>
        <v>0</v>
      </c>
      <c r="U100" s="24">
        <f>'AEO 2023 Table 36 Raw'!X82</f>
        <v>0</v>
      </c>
      <c r="V100" s="24">
        <f>'AEO 2023 Table 36 Raw'!Y82</f>
        <v>0</v>
      </c>
      <c r="W100" s="24">
        <f>'AEO 2023 Table 36 Raw'!Z82</f>
        <v>0</v>
      </c>
      <c r="X100" s="24">
        <f>'AEO 2023 Table 36 Raw'!AA82</f>
        <v>0</v>
      </c>
      <c r="Y100" s="24">
        <f>'AEO 2023 Table 36 Raw'!AB82</f>
        <v>0</v>
      </c>
      <c r="Z100" s="24">
        <f>'AEO 2023 Table 36 Raw'!AC82</f>
        <v>0</v>
      </c>
      <c r="AA100" s="24">
        <f>'AEO 2023 Table 36 Raw'!AD82</f>
        <v>0</v>
      </c>
      <c r="AB100" s="24">
        <f>'AEO 2023 Table 36 Raw'!AE82</f>
        <v>0</v>
      </c>
      <c r="AC100" s="24">
        <f>'AEO 2023 Table 36 Raw'!AF82</f>
        <v>0</v>
      </c>
      <c r="AD100" s="24">
        <f>'AEO 2023 Table 36 Raw'!AG82</f>
        <v>0</v>
      </c>
      <c r="AE100" s="24">
        <f>'AEO 2023 Table 36 Raw'!AH82</f>
        <v>0</v>
      </c>
      <c r="AF100" s="29" t="str">
        <f>'AEO 2023 Table 36 Raw'!AI82</f>
        <v>- -</v>
      </c>
    </row>
    <row r="101" spans="1:32" ht="15" customHeight="1">
      <c r="A101" s="18" t="s">
        <v>379</v>
      </c>
      <c r="B101" s="21" t="s">
        <v>380</v>
      </c>
      <c r="C101" s="24">
        <f>'AEO 2023 Table 36 Raw'!F83</f>
        <v>17.032639</v>
      </c>
      <c r="D101" s="24">
        <f>'AEO 2023 Table 36 Raw'!G83</f>
        <v>17.333525000000002</v>
      </c>
      <c r="E101" s="24">
        <f>'AEO 2023 Table 36 Raw'!H83</f>
        <v>17.471111000000001</v>
      </c>
      <c r="F101" s="24">
        <f>'AEO 2023 Table 36 Raw'!I83</f>
        <v>17.514868</v>
      </c>
      <c r="G101" s="24">
        <f>'AEO 2023 Table 36 Raw'!J83</f>
        <v>17.667708999999999</v>
      </c>
      <c r="H101" s="24">
        <f>'AEO 2023 Table 36 Raw'!K83</f>
        <v>17.921016999999999</v>
      </c>
      <c r="I101" s="24">
        <f>'AEO 2023 Table 36 Raw'!L83</f>
        <v>18.139037999999999</v>
      </c>
      <c r="J101" s="24">
        <f>'AEO 2023 Table 36 Raw'!M83</f>
        <v>18.293453</v>
      </c>
      <c r="K101" s="24">
        <f>'AEO 2023 Table 36 Raw'!N83</f>
        <v>18.389309000000001</v>
      </c>
      <c r="L101" s="24">
        <f>'AEO 2023 Table 36 Raw'!O83</f>
        <v>18.446940999999999</v>
      </c>
      <c r="M101" s="24">
        <f>'AEO 2023 Table 36 Raw'!P83</f>
        <v>18.571213</v>
      </c>
      <c r="N101" s="24">
        <f>'AEO 2023 Table 36 Raw'!Q83</f>
        <v>18.730657999999998</v>
      </c>
      <c r="O101" s="24">
        <f>'AEO 2023 Table 36 Raw'!R83</f>
        <v>18.930088000000001</v>
      </c>
      <c r="P101" s="24">
        <f>'AEO 2023 Table 36 Raw'!S83</f>
        <v>19.092124999999999</v>
      </c>
      <c r="Q101" s="24">
        <f>'AEO 2023 Table 36 Raw'!T83</f>
        <v>19.259436000000001</v>
      </c>
      <c r="R101" s="24">
        <f>'AEO 2023 Table 36 Raw'!U83</f>
        <v>19.415512</v>
      </c>
      <c r="S101" s="24">
        <f>'AEO 2023 Table 36 Raw'!V83</f>
        <v>19.584526</v>
      </c>
      <c r="T101" s="24">
        <f>'AEO 2023 Table 36 Raw'!W83</f>
        <v>19.751868999999999</v>
      </c>
      <c r="U101" s="24">
        <f>'AEO 2023 Table 36 Raw'!X83</f>
        <v>19.950641999999998</v>
      </c>
      <c r="V101" s="24">
        <f>'AEO 2023 Table 36 Raw'!Y83</f>
        <v>20.133372999999999</v>
      </c>
      <c r="W101" s="24">
        <f>'AEO 2023 Table 36 Raw'!Z83</f>
        <v>20.325230000000001</v>
      </c>
      <c r="X101" s="24">
        <f>'AEO 2023 Table 36 Raw'!AA83</f>
        <v>20.481424000000001</v>
      </c>
      <c r="Y101" s="24">
        <f>'AEO 2023 Table 36 Raw'!AB83</f>
        <v>20.667052999999999</v>
      </c>
      <c r="Z101" s="24">
        <f>'AEO 2023 Table 36 Raw'!AC83</f>
        <v>20.844881000000001</v>
      </c>
      <c r="AA101" s="24">
        <f>'AEO 2023 Table 36 Raw'!AD83</f>
        <v>21.123301999999999</v>
      </c>
      <c r="AB101" s="24">
        <f>'AEO 2023 Table 36 Raw'!AE83</f>
        <v>21.333514999999998</v>
      </c>
      <c r="AC101" s="24">
        <f>'AEO 2023 Table 36 Raw'!AF83</f>
        <v>21.575635999999999</v>
      </c>
      <c r="AD101" s="24">
        <f>'AEO 2023 Table 36 Raw'!AG83</f>
        <v>21.790666999999999</v>
      </c>
      <c r="AE101" s="24">
        <f>'AEO 2023 Table 36 Raw'!AH83</f>
        <v>22.070596999999999</v>
      </c>
      <c r="AF101" s="29">
        <f>'AEO 2023 Table 36 Raw'!AI83</f>
        <v>8.9999999999999993E-3</v>
      </c>
    </row>
    <row r="102" spans="1:32" ht="15" customHeight="1">
      <c r="A102" s="18" t="s">
        <v>381</v>
      </c>
      <c r="B102" s="21" t="s">
        <v>348</v>
      </c>
      <c r="C102" s="24">
        <f>'AEO 2023 Table 36 Raw'!F84</f>
        <v>17.032639</v>
      </c>
      <c r="D102" s="24">
        <f>'AEO 2023 Table 36 Raw'!G84</f>
        <v>17.333525000000002</v>
      </c>
      <c r="E102" s="24">
        <f>'AEO 2023 Table 36 Raw'!H84</f>
        <v>17.471111000000001</v>
      </c>
      <c r="F102" s="24">
        <f>'AEO 2023 Table 36 Raw'!I84</f>
        <v>17.514868</v>
      </c>
      <c r="G102" s="24">
        <f>'AEO 2023 Table 36 Raw'!J84</f>
        <v>17.667708999999999</v>
      </c>
      <c r="H102" s="24">
        <f>'AEO 2023 Table 36 Raw'!K84</f>
        <v>17.921016999999999</v>
      </c>
      <c r="I102" s="24">
        <f>'AEO 2023 Table 36 Raw'!L84</f>
        <v>18.139037999999999</v>
      </c>
      <c r="J102" s="24">
        <f>'AEO 2023 Table 36 Raw'!M84</f>
        <v>18.293453</v>
      </c>
      <c r="K102" s="24">
        <f>'AEO 2023 Table 36 Raw'!N84</f>
        <v>18.389309000000001</v>
      </c>
      <c r="L102" s="24">
        <f>'AEO 2023 Table 36 Raw'!O84</f>
        <v>18.446940999999999</v>
      </c>
      <c r="M102" s="24">
        <f>'AEO 2023 Table 36 Raw'!P84</f>
        <v>18.571213</v>
      </c>
      <c r="N102" s="24">
        <f>'AEO 2023 Table 36 Raw'!Q84</f>
        <v>18.730657999999998</v>
      </c>
      <c r="O102" s="24">
        <f>'AEO 2023 Table 36 Raw'!R84</f>
        <v>18.930088000000001</v>
      </c>
      <c r="P102" s="24">
        <f>'AEO 2023 Table 36 Raw'!S84</f>
        <v>19.092124999999999</v>
      </c>
      <c r="Q102" s="24">
        <f>'AEO 2023 Table 36 Raw'!T84</f>
        <v>19.259436000000001</v>
      </c>
      <c r="R102" s="24">
        <f>'AEO 2023 Table 36 Raw'!U84</f>
        <v>19.415512</v>
      </c>
      <c r="S102" s="24">
        <f>'AEO 2023 Table 36 Raw'!V84</f>
        <v>19.584526</v>
      </c>
      <c r="T102" s="24">
        <f>'AEO 2023 Table 36 Raw'!W84</f>
        <v>19.751868999999999</v>
      </c>
      <c r="U102" s="24">
        <f>'AEO 2023 Table 36 Raw'!X84</f>
        <v>19.950641999999998</v>
      </c>
      <c r="V102" s="24">
        <f>'AEO 2023 Table 36 Raw'!Y84</f>
        <v>20.133372999999999</v>
      </c>
      <c r="W102" s="24">
        <f>'AEO 2023 Table 36 Raw'!Z84</f>
        <v>20.325230000000001</v>
      </c>
      <c r="X102" s="24">
        <f>'AEO 2023 Table 36 Raw'!AA84</f>
        <v>20.481424000000001</v>
      </c>
      <c r="Y102" s="24">
        <f>'AEO 2023 Table 36 Raw'!AB84</f>
        <v>20.667052999999999</v>
      </c>
      <c r="Z102" s="24">
        <f>'AEO 2023 Table 36 Raw'!AC84</f>
        <v>20.844881000000001</v>
      </c>
      <c r="AA102" s="24">
        <f>'AEO 2023 Table 36 Raw'!AD84</f>
        <v>21.123301999999999</v>
      </c>
      <c r="AB102" s="24">
        <f>'AEO 2023 Table 36 Raw'!AE84</f>
        <v>21.333514999999998</v>
      </c>
      <c r="AC102" s="24">
        <f>'AEO 2023 Table 36 Raw'!AF84</f>
        <v>21.575635999999999</v>
      </c>
      <c r="AD102" s="24">
        <f>'AEO 2023 Table 36 Raw'!AG84</f>
        <v>21.790666999999999</v>
      </c>
      <c r="AE102" s="24">
        <f>'AEO 2023 Table 36 Raw'!AH84</f>
        <v>22.070596999999999</v>
      </c>
      <c r="AF102" s="29">
        <f>'AEO 2023 Table 36 Raw'!AI84</f>
        <v>8.9999999999999993E-3</v>
      </c>
    </row>
    <row r="103" spans="1:32" ht="15" customHeight="1">
      <c r="A103" s="18" t="s">
        <v>382</v>
      </c>
      <c r="B103" s="21" t="s">
        <v>383</v>
      </c>
      <c r="C103" s="24">
        <f>'AEO 2023 Table 36 Raw'!F85</f>
        <v>19.286148000000001</v>
      </c>
      <c r="D103" s="24">
        <f>'AEO 2023 Table 36 Raw'!G85</f>
        <v>19.959654</v>
      </c>
      <c r="E103" s="24">
        <f>'AEO 2023 Table 36 Raw'!H85</f>
        <v>20.258087</v>
      </c>
      <c r="F103" s="24">
        <f>'AEO 2023 Table 36 Raw'!I85</f>
        <v>20.448008000000002</v>
      </c>
      <c r="G103" s="24">
        <f>'AEO 2023 Table 36 Raw'!J85</f>
        <v>20.643234</v>
      </c>
      <c r="H103" s="24">
        <f>'AEO 2023 Table 36 Raw'!K85</f>
        <v>20.778293999999999</v>
      </c>
      <c r="I103" s="24">
        <f>'AEO 2023 Table 36 Raw'!L85</f>
        <v>20.888736999999999</v>
      </c>
      <c r="J103" s="24">
        <f>'AEO 2023 Table 36 Raw'!M85</f>
        <v>21.11046</v>
      </c>
      <c r="K103" s="24">
        <f>'AEO 2023 Table 36 Raw'!N85</f>
        <v>21.285655999999999</v>
      </c>
      <c r="L103" s="24">
        <f>'AEO 2023 Table 36 Raw'!O85</f>
        <v>21.525711000000001</v>
      </c>
      <c r="M103" s="24">
        <f>'AEO 2023 Table 36 Raw'!P85</f>
        <v>21.809334</v>
      </c>
      <c r="N103" s="24">
        <f>'AEO 2023 Table 36 Raw'!Q85</f>
        <v>22.120438</v>
      </c>
      <c r="O103" s="24">
        <f>'AEO 2023 Table 36 Raw'!R85</f>
        <v>22.460100000000001</v>
      </c>
      <c r="P103" s="24">
        <f>'AEO 2023 Table 36 Raw'!S85</f>
        <v>22.760014000000002</v>
      </c>
      <c r="Q103" s="24">
        <f>'AEO 2023 Table 36 Raw'!T85</f>
        <v>23.042663999999998</v>
      </c>
      <c r="R103" s="24">
        <f>'AEO 2023 Table 36 Raw'!U85</f>
        <v>23.327525999999999</v>
      </c>
      <c r="S103" s="24">
        <f>'AEO 2023 Table 36 Raw'!V85</f>
        <v>23.620547999999999</v>
      </c>
      <c r="T103" s="24">
        <f>'AEO 2023 Table 36 Raw'!W85</f>
        <v>23.904606000000001</v>
      </c>
      <c r="U103" s="24">
        <f>'AEO 2023 Table 36 Raw'!X85</f>
        <v>24.228663999999998</v>
      </c>
      <c r="V103" s="24">
        <f>'AEO 2023 Table 36 Raw'!Y85</f>
        <v>24.532539</v>
      </c>
      <c r="W103" s="24">
        <f>'AEO 2023 Table 36 Raw'!Z85</f>
        <v>24.846294</v>
      </c>
      <c r="X103" s="24">
        <f>'AEO 2023 Table 36 Raw'!AA85</f>
        <v>25.127307999999999</v>
      </c>
      <c r="Y103" s="24">
        <f>'AEO 2023 Table 36 Raw'!AB85</f>
        <v>25.433437000000001</v>
      </c>
      <c r="Z103" s="24">
        <f>'AEO 2023 Table 36 Raw'!AC85</f>
        <v>25.740656000000001</v>
      </c>
      <c r="AA103" s="24">
        <f>'AEO 2023 Table 36 Raw'!AD85</f>
        <v>26.145723</v>
      </c>
      <c r="AB103" s="24">
        <f>'AEO 2023 Table 36 Raw'!AE85</f>
        <v>26.505127000000002</v>
      </c>
      <c r="AC103" s="24">
        <f>'AEO 2023 Table 36 Raw'!AF85</f>
        <v>26.890711</v>
      </c>
      <c r="AD103" s="24">
        <f>'AEO 2023 Table 36 Raw'!AG85</f>
        <v>27.246131999999999</v>
      </c>
      <c r="AE103" s="24">
        <f>'AEO 2023 Table 36 Raw'!AH85</f>
        <v>27.668061999999999</v>
      </c>
      <c r="AF103" s="29">
        <f>'AEO 2023 Table 36 Raw'!AI85</f>
        <v>1.2999999999999999E-2</v>
      </c>
    </row>
    <row r="104" spans="1:32" ht="15" customHeight="1">
      <c r="A104" s="18" t="s">
        <v>384</v>
      </c>
      <c r="B104" s="21" t="s">
        <v>348</v>
      </c>
      <c r="C104" s="24">
        <f>'AEO 2023 Table 36 Raw'!F86</f>
        <v>6.9668039999999998</v>
      </c>
      <c r="D104" s="24">
        <f>'AEO 2023 Table 36 Raw'!G86</f>
        <v>7.2055709999999999</v>
      </c>
      <c r="E104" s="24">
        <f>'AEO 2023 Table 36 Raw'!H86</f>
        <v>7.3069870000000003</v>
      </c>
      <c r="F104" s="24">
        <f>'AEO 2023 Table 36 Raw'!I86</f>
        <v>7.3605080000000003</v>
      </c>
      <c r="G104" s="24">
        <f>'AEO 2023 Table 36 Raw'!J86</f>
        <v>7.3962209999999997</v>
      </c>
      <c r="H104" s="24">
        <f>'AEO 2023 Table 36 Raw'!K86</f>
        <v>7.4034529999999998</v>
      </c>
      <c r="I104" s="24">
        <f>'AEO 2023 Table 36 Raw'!L86</f>
        <v>7.4034849999999999</v>
      </c>
      <c r="J104" s="24">
        <f>'AEO 2023 Table 36 Raw'!M86</f>
        <v>7.4601230000000003</v>
      </c>
      <c r="K104" s="24">
        <f>'AEO 2023 Table 36 Raw'!N86</f>
        <v>7.5075329999999996</v>
      </c>
      <c r="L104" s="24">
        <f>'AEO 2023 Table 36 Raw'!O86</f>
        <v>7.6063049999999999</v>
      </c>
      <c r="M104" s="24">
        <f>'AEO 2023 Table 36 Raw'!P86</f>
        <v>7.7227600000000001</v>
      </c>
      <c r="N104" s="24">
        <f>'AEO 2023 Table 36 Raw'!Q86</f>
        <v>7.8505010000000004</v>
      </c>
      <c r="O104" s="24">
        <f>'AEO 2023 Table 36 Raw'!R86</f>
        <v>7.987139</v>
      </c>
      <c r="P104" s="24">
        <f>'AEO 2023 Table 36 Raw'!S86</f>
        <v>8.1068239999999996</v>
      </c>
      <c r="Q104" s="24">
        <f>'AEO 2023 Table 36 Raw'!T86</f>
        <v>8.2209280000000007</v>
      </c>
      <c r="R104" s="24">
        <f>'AEO 2023 Table 36 Raw'!U86</f>
        <v>8.3371739999999992</v>
      </c>
      <c r="S104" s="24">
        <f>'AEO 2023 Table 36 Raw'!V86</f>
        <v>8.4559110000000004</v>
      </c>
      <c r="T104" s="24">
        <f>'AEO 2023 Table 36 Raw'!W86</f>
        <v>8.5701509999999992</v>
      </c>
      <c r="U104" s="24">
        <f>'AEO 2023 Table 36 Raw'!X86</f>
        <v>8.700564</v>
      </c>
      <c r="V104" s="24">
        <f>'AEO 2023 Table 36 Raw'!Y86</f>
        <v>8.8238339999999997</v>
      </c>
      <c r="W104" s="24">
        <f>'AEO 2023 Table 36 Raw'!Z86</f>
        <v>8.9493679999999998</v>
      </c>
      <c r="X104" s="24">
        <f>'AEO 2023 Table 36 Raw'!AA86</f>
        <v>9.0625599999999995</v>
      </c>
      <c r="Y104" s="24">
        <f>'AEO 2023 Table 36 Raw'!AB86</f>
        <v>9.1843959999999996</v>
      </c>
      <c r="Z104" s="24">
        <f>'AEO 2023 Table 36 Raw'!AC86</f>
        <v>9.3055529999999997</v>
      </c>
      <c r="AA104" s="24">
        <f>'AEO 2023 Table 36 Raw'!AD86</f>
        <v>9.4632129999999997</v>
      </c>
      <c r="AB104" s="24">
        <f>'AEO 2023 Table 36 Raw'!AE86</f>
        <v>9.6034579999999998</v>
      </c>
      <c r="AC104" s="24">
        <f>'AEO 2023 Table 36 Raw'!AF86</f>
        <v>9.7528290000000002</v>
      </c>
      <c r="AD104" s="24">
        <f>'AEO 2023 Table 36 Raw'!AG86</f>
        <v>9.890326</v>
      </c>
      <c r="AE104" s="24">
        <f>'AEO 2023 Table 36 Raw'!AH86</f>
        <v>10.053587</v>
      </c>
      <c r="AF104" s="29">
        <f>'AEO 2023 Table 36 Raw'!AI86</f>
        <v>1.2999999999999999E-2</v>
      </c>
    </row>
    <row r="105" spans="1:32" s="103" customFormat="1" ht="15" customHeight="1">
      <c r="A105" s="99" t="s">
        <v>385</v>
      </c>
      <c r="B105" s="100" t="s">
        <v>374</v>
      </c>
      <c r="C105" s="101">
        <f>'AEO 2023 Table 36 Raw'!F87</f>
        <v>12.319345</v>
      </c>
      <c r="D105" s="101">
        <f>'AEO 2023 Table 36 Raw'!G87</f>
        <v>12.754084000000001</v>
      </c>
      <c r="E105" s="101">
        <f>'AEO 2023 Table 36 Raw'!H87</f>
        <v>12.951098999999999</v>
      </c>
      <c r="F105" s="101">
        <f>'AEO 2023 Table 36 Raw'!I87</f>
        <v>13.0875</v>
      </c>
      <c r="G105" s="101">
        <f>'AEO 2023 Table 36 Raw'!J87</f>
        <v>13.247013000000001</v>
      </c>
      <c r="H105" s="101">
        <f>'AEO 2023 Table 36 Raw'!K87</f>
        <v>13.374840000000001</v>
      </c>
      <c r="I105" s="101">
        <f>'AEO 2023 Table 36 Raw'!L87</f>
        <v>13.485250000000001</v>
      </c>
      <c r="J105" s="101">
        <f>'AEO 2023 Table 36 Raw'!M87</f>
        <v>13.650337</v>
      </c>
      <c r="K105" s="101">
        <f>'AEO 2023 Table 36 Raw'!N87</f>
        <v>13.778123000000001</v>
      </c>
      <c r="L105" s="101">
        <f>'AEO 2023 Table 36 Raw'!O87</f>
        <v>13.919407</v>
      </c>
      <c r="M105" s="101">
        <f>'AEO 2023 Table 36 Raw'!P87</f>
        <v>14.086574000000001</v>
      </c>
      <c r="N105" s="101">
        <f>'AEO 2023 Table 36 Raw'!Q87</f>
        <v>14.269936</v>
      </c>
      <c r="O105" s="101">
        <f>'AEO 2023 Table 36 Raw'!R87</f>
        <v>14.47296</v>
      </c>
      <c r="P105" s="101">
        <f>'AEO 2023 Table 36 Raw'!S87</f>
        <v>14.65319</v>
      </c>
      <c r="Q105" s="101">
        <f>'AEO 2023 Table 36 Raw'!T87</f>
        <v>14.821736</v>
      </c>
      <c r="R105" s="101">
        <f>'AEO 2023 Table 36 Raw'!U87</f>
        <v>14.990353000000001</v>
      </c>
      <c r="S105" s="101">
        <f>'AEO 2023 Table 36 Raw'!V87</f>
        <v>15.164637000000001</v>
      </c>
      <c r="T105" s="101">
        <f>'AEO 2023 Table 36 Raw'!W87</f>
        <v>15.334455</v>
      </c>
      <c r="U105" s="101">
        <f>'AEO 2023 Table 36 Raw'!X87</f>
        <v>15.528098999999999</v>
      </c>
      <c r="V105" s="101">
        <f>'AEO 2023 Table 36 Raw'!Y87</f>
        <v>15.708705999999999</v>
      </c>
      <c r="W105" s="101">
        <f>'AEO 2023 Table 36 Raw'!Z87</f>
        <v>15.896927</v>
      </c>
      <c r="X105" s="101">
        <f>'AEO 2023 Table 36 Raw'!AA87</f>
        <v>16.064747000000001</v>
      </c>
      <c r="Y105" s="101">
        <f>'AEO 2023 Table 36 Raw'!AB87</f>
        <v>16.249043</v>
      </c>
      <c r="Z105" s="101">
        <f>'AEO 2023 Table 36 Raw'!AC87</f>
        <v>16.435102000000001</v>
      </c>
      <c r="AA105" s="101">
        <f>'AEO 2023 Table 36 Raw'!AD87</f>
        <v>16.682510000000001</v>
      </c>
      <c r="AB105" s="101">
        <f>'AEO 2023 Table 36 Raw'!AE87</f>
        <v>16.901668999999998</v>
      </c>
      <c r="AC105" s="101">
        <f>'AEO 2023 Table 36 Raw'!AF87</f>
        <v>17.137882000000001</v>
      </c>
      <c r="AD105" s="101">
        <f>'AEO 2023 Table 36 Raw'!AG87</f>
        <v>17.355803999999999</v>
      </c>
      <c r="AE105" s="101">
        <f>'AEO 2023 Table 36 Raw'!AH87</f>
        <v>17.614474999999999</v>
      </c>
      <c r="AF105" s="102">
        <f>'AEO 2023 Table 36 Raw'!AI87</f>
        <v>1.2999999999999999E-2</v>
      </c>
    </row>
    <row r="106" spans="1:32" ht="15" customHeight="1">
      <c r="A106" s="18" t="s">
        <v>386</v>
      </c>
      <c r="B106" s="21" t="s">
        <v>376</v>
      </c>
      <c r="C106" s="24">
        <f>'AEO 2023 Table 36 Raw'!F88</f>
        <v>0</v>
      </c>
      <c r="D106" s="24">
        <f>'AEO 2023 Table 36 Raw'!G88</f>
        <v>0</v>
      </c>
      <c r="E106" s="24">
        <f>'AEO 2023 Table 36 Raw'!H88</f>
        <v>0</v>
      </c>
      <c r="F106" s="24">
        <f>'AEO 2023 Table 36 Raw'!I88</f>
        <v>0</v>
      </c>
      <c r="G106" s="24">
        <f>'AEO 2023 Table 36 Raw'!J88</f>
        <v>0</v>
      </c>
      <c r="H106" s="24">
        <f>'AEO 2023 Table 36 Raw'!K88</f>
        <v>0</v>
      </c>
      <c r="I106" s="24">
        <f>'AEO 2023 Table 36 Raw'!L88</f>
        <v>0</v>
      </c>
      <c r="J106" s="24">
        <f>'AEO 2023 Table 36 Raw'!M88</f>
        <v>0</v>
      </c>
      <c r="K106" s="24">
        <f>'AEO 2023 Table 36 Raw'!N88</f>
        <v>0</v>
      </c>
      <c r="L106" s="24">
        <f>'AEO 2023 Table 36 Raw'!O88</f>
        <v>0</v>
      </c>
      <c r="M106" s="24">
        <f>'AEO 2023 Table 36 Raw'!P88</f>
        <v>0</v>
      </c>
      <c r="N106" s="24">
        <f>'AEO 2023 Table 36 Raw'!Q88</f>
        <v>0</v>
      </c>
      <c r="O106" s="24">
        <f>'AEO 2023 Table 36 Raw'!R88</f>
        <v>0</v>
      </c>
      <c r="P106" s="24">
        <f>'AEO 2023 Table 36 Raw'!S88</f>
        <v>0</v>
      </c>
      <c r="Q106" s="24">
        <f>'AEO 2023 Table 36 Raw'!T88</f>
        <v>0</v>
      </c>
      <c r="R106" s="24">
        <f>'AEO 2023 Table 36 Raw'!U88</f>
        <v>0</v>
      </c>
      <c r="S106" s="24">
        <f>'AEO 2023 Table 36 Raw'!V88</f>
        <v>0</v>
      </c>
      <c r="T106" s="24">
        <f>'AEO 2023 Table 36 Raw'!W88</f>
        <v>0</v>
      </c>
      <c r="U106" s="24">
        <f>'AEO 2023 Table 36 Raw'!X88</f>
        <v>0</v>
      </c>
      <c r="V106" s="24">
        <f>'AEO 2023 Table 36 Raw'!Y88</f>
        <v>0</v>
      </c>
      <c r="W106" s="24">
        <f>'AEO 2023 Table 36 Raw'!Z88</f>
        <v>0</v>
      </c>
      <c r="X106" s="24">
        <f>'AEO 2023 Table 36 Raw'!AA88</f>
        <v>0</v>
      </c>
      <c r="Y106" s="24">
        <f>'AEO 2023 Table 36 Raw'!AB88</f>
        <v>0</v>
      </c>
      <c r="Z106" s="24">
        <f>'AEO 2023 Table 36 Raw'!AC88</f>
        <v>0</v>
      </c>
      <c r="AA106" s="24">
        <f>'AEO 2023 Table 36 Raw'!AD88</f>
        <v>0</v>
      </c>
      <c r="AB106" s="24">
        <f>'AEO 2023 Table 36 Raw'!AE88</f>
        <v>0</v>
      </c>
      <c r="AC106" s="24">
        <f>'AEO 2023 Table 36 Raw'!AF88</f>
        <v>0</v>
      </c>
      <c r="AD106" s="24">
        <f>'AEO 2023 Table 36 Raw'!AG88</f>
        <v>0</v>
      </c>
      <c r="AE106" s="24">
        <f>'AEO 2023 Table 36 Raw'!AH88</f>
        <v>0</v>
      </c>
      <c r="AF106" s="29" t="str">
        <f>'AEO 2023 Table 36 Raw'!AI88</f>
        <v>- -</v>
      </c>
    </row>
    <row r="107" spans="1:32" ht="15" customHeight="1">
      <c r="A107" s="18" t="s">
        <v>387</v>
      </c>
      <c r="B107" s="21" t="s">
        <v>378</v>
      </c>
      <c r="C107" s="24">
        <f>'AEO 2023 Table 36 Raw'!F89</f>
        <v>0</v>
      </c>
      <c r="D107" s="24">
        <f>'AEO 2023 Table 36 Raw'!G89</f>
        <v>0</v>
      </c>
      <c r="E107" s="24">
        <f>'AEO 2023 Table 36 Raw'!H89</f>
        <v>0</v>
      </c>
      <c r="F107" s="24">
        <f>'AEO 2023 Table 36 Raw'!I89</f>
        <v>0</v>
      </c>
      <c r="G107" s="24">
        <f>'AEO 2023 Table 36 Raw'!J89</f>
        <v>0</v>
      </c>
      <c r="H107" s="24">
        <f>'AEO 2023 Table 36 Raw'!K89</f>
        <v>0</v>
      </c>
      <c r="I107" s="24">
        <f>'AEO 2023 Table 36 Raw'!L89</f>
        <v>0</v>
      </c>
      <c r="J107" s="24">
        <f>'AEO 2023 Table 36 Raw'!M89</f>
        <v>0</v>
      </c>
      <c r="K107" s="24">
        <f>'AEO 2023 Table 36 Raw'!N89</f>
        <v>0</v>
      </c>
      <c r="L107" s="24">
        <f>'AEO 2023 Table 36 Raw'!O89</f>
        <v>0</v>
      </c>
      <c r="M107" s="24">
        <f>'AEO 2023 Table 36 Raw'!P89</f>
        <v>0</v>
      </c>
      <c r="N107" s="24">
        <f>'AEO 2023 Table 36 Raw'!Q89</f>
        <v>0</v>
      </c>
      <c r="O107" s="24">
        <f>'AEO 2023 Table 36 Raw'!R89</f>
        <v>0</v>
      </c>
      <c r="P107" s="24">
        <f>'AEO 2023 Table 36 Raw'!S89</f>
        <v>0</v>
      </c>
      <c r="Q107" s="24">
        <f>'AEO 2023 Table 36 Raw'!T89</f>
        <v>0</v>
      </c>
      <c r="R107" s="24">
        <f>'AEO 2023 Table 36 Raw'!U89</f>
        <v>0</v>
      </c>
      <c r="S107" s="24">
        <f>'AEO 2023 Table 36 Raw'!V89</f>
        <v>0</v>
      </c>
      <c r="T107" s="24">
        <f>'AEO 2023 Table 36 Raw'!W89</f>
        <v>0</v>
      </c>
      <c r="U107" s="24">
        <f>'AEO 2023 Table 36 Raw'!X89</f>
        <v>0</v>
      </c>
      <c r="V107" s="24">
        <f>'AEO 2023 Table 36 Raw'!Y89</f>
        <v>0</v>
      </c>
      <c r="W107" s="24">
        <f>'AEO 2023 Table 36 Raw'!Z89</f>
        <v>0</v>
      </c>
      <c r="X107" s="24">
        <f>'AEO 2023 Table 36 Raw'!AA89</f>
        <v>0</v>
      </c>
      <c r="Y107" s="24">
        <f>'AEO 2023 Table 36 Raw'!AB89</f>
        <v>0</v>
      </c>
      <c r="Z107" s="24">
        <f>'AEO 2023 Table 36 Raw'!AC89</f>
        <v>0</v>
      </c>
      <c r="AA107" s="24">
        <f>'AEO 2023 Table 36 Raw'!AD89</f>
        <v>0</v>
      </c>
      <c r="AB107" s="24">
        <f>'AEO 2023 Table 36 Raw'!AE89</f>
        <v>0</v>
      </c>
      <c r="AC107" s="24">
        <f>'AEO 2023 Table 36 Raw'!AF89</f>
        <v>0</v>
      </c>
      <c r="AD107" s="24">
        <f>'AEO 2023 Table 36 Raw'!AG89</f>
        <v>0</v>
      </c>
      <c r="AE107" s="24">
        <f>'AEO 2023 Table 36 Raw'!AH89</f>
        <v>0</v>
      </c>
      <c r="AF107" s="29" t="str">
        <f>'AEO 2023 Table 36 Raw'!AI89</f>
        <v>- -</v>
      </c>
    </row>
    <row r="108" spans="1:32" ht="12" customHeight="1">
      <c r="C108" s="24"/>
      <c r="D108" s="24"/>
      <c r="E108" s="24"/>
      <c r="F108" s="24"/>
      <c r="G108" s="24"/>
      <c r="H108" s="24"/>
      <c r="I108" s="24"/>
      <c r="J108" s="24"/>
      <c r="K108" s="24"/>
      <c r="L108" s="24"/>
      <c r="M108" s="24"/>
      <c r="N108" s="24"/>
      <c r="O108" s="24"/>
      <c r="P108" s="24"/>
      <c r="Q108" s="24"/>
      <c r="R108" s="24"/>
      <c r="S108" s="24"/>
      <c r="T108" s="24"/>
      <c r="U108" s="24"/>
      <c r="V108" s="24"/>
      <c r="W108" s="24"/>
      <c r="X108" s="24"/>
      <c r="Y108" s="24"/>
      <c r="Z108" s="24"/>
      <c r="AA108" s="24"/>
      <c r="AB108" s="24"/>
      <c r="AC108" s="24"/>
      <c r="AD108" s="24"/>
      <c r="AE108" s="24"/>
      <c r="AF108" s="29"/>
    </row>
    <row r="109" spans="1:32" ht="15" customHeight="1">
      <c r="A109" s="18" t="s">
        <v>388</v>
      </c>
      <c r="B109" s="20" t="s">
        <v>5</v>
      </c>
      <c r="C109" s="24">
        <f>'AEO 2023 Table 36 Raw'!F90</f>
        <v>202.83663899999999</v>
      </c>
      <c r="D109" s="24">
        <f>'AEO 2023 Table 36 Raw'!G90</f>
        <v>199.16296399999999</v>
      </c>
      <c r="E109" s="24">
        <f>'AEO 2023 Table 36 Raw'!H90</f>
        <v>195.80548099999999</v>
      </c>
      <c r="F109" s="24">
        <f>'AEO 2023 Table 36 Raw'!I90</f>
        <v>193.737213</v>
      </c>
      <c r="G109" s="24">
        <f>'AEO 2023 Table 36 Raw'!J90</f>
        <v>192.813141</v>
      </c>
      <c r="H109" s="24">
        <f>'AEO 2023 Table 36 Raw'!K90</f>
        <v>191.8974</v>
      </c>
      <c r="I109" s="24">
        <f>'AEO 2023 Table 36 Raw'!L90</f>
        <v>190.73350500000001</v>
      </c>
      <c r="J109" s="24">
        <f>'AEO 2023 Table 36 Raw'!M90</f>
        <v>189.210464</v>
      </c>
      <c r="K109" s="24">
        <f>'AEO 2023 Table 36 Raw'!N90</f>
        <v>187.40353400000001</v>
      </c>
      <c r="L109" s="24">
        <f>'AEO 2023 Table 36 Raw'!O90</f>
        <v>185.676941</v>
      </c>
      <c r="M109" s="24">
        <f>'AEO 2023 Table 36 Raw'!P90</f>
        <v>184.46688800000001</v>
      </c>
      <c r="N109" s="24">
        <f>'AEO 2023 Table 36 Raw'!Q90</f>
        <v>183.61003099999999</v>
      </c>
      <c r="O109" s="24">
        <f>'AEO 2023 Table 36 Raw'!R90</f>
        <v>182.77757299999999</v>
      </c>
      <c r="P109" s="24">
        <f>'AEO 2023 Table 36 Raw'!S90</f>
        <v>181.99818400000001</v>
      </c>
      <c r="Q109" s="24">
        <f>'AEO 2023 Table 36 Raw'!T90</f>
        <v>181.450287</v>
      </c>
      <c r="R109" s="24">
        <f>'AEO 2023 Table 36 Raw'!U90</f>
        <v>181.105515</v>
      </c>
      <c r="S109" s="24">
        <f>'AEO 2023 Table 36 Raw'!V90</f>
        <v>180.74588</v>
      </c>
      <c r="T109" s="24">
        <f>'AEO 2023 Table 36 Raw'!W90</f>
        <v>180.38298</v>
      </c>
      <c r="U109" s="24">
        <f>'AEO 2023 Table 36 Raw'!X90</f>
        <v>180.29542499999999</v>
      </c>
      <c r="V109" s="24">
        <f>'AEO 2023 Table 36 Raw'!Y90</f>
        <v>180.16119399999999</v>
      </c>
      <c r="W109" s="24">
        <f>'AEO 2023 Table 36 Raw'!Z90</f>
        <v>179.988022</v>
      </c>
      <c r="X109" s="24">
        <f>'AEO 2023 Table 36 Raw'!AA90</f>
        <v>179.81350699999999</v>
      </c>
      <c r="Y109" s="24">
        <f>'AEO 2023 Table 36 Raw'!AB90</f>
        <v>179.55651900000001</v>
      </c>
      <c r="Z109" s="24">
        <f>'AEO 2023 Table 36 Raw'!AC90</f>
        <v>179.24385100000001</v>
      </c>
      <c r="AA109" s="24">
        <f>'AEO 2023 Table 36 Raw'!AD90</f>
        <v>178.94970699999999</v>
      </c>
      <c r="AB109" s="24">
        <f>'AEO 2023 Table 36 Raw'!AE90</f>
        <v>178.72766100000001</v>
      </c>
      <c r="AC109" s="24">
        <f>'AEO 2023 Table 36 Raw'!AF90</f>
        <v>178.49087499999999</v>
      </c>
      <c r="AD109" s="24">
        <f>'AEO 2023 Table 36 Raw'!AG90</f>
        <v>178.228363</v>
      </c>
      <c r="AE109" s="24">
        <f>'AEO 2023 Table 36 Raw'!AH90</f>
        <v>178.15554800000001</v>
      </c>
      <c r="AF109" s="29">
        <f>'AEO 2023 Table 36 Raw'!AI90</f>
        <v>-5.0000000000000001E-3</v>
      </c>
    </row>
    <row r="110" spans="1:32" ht="15" customHeight="1">
      <c r="A110" s="18" t="s">
        <v>389</v>
      </c>
      <c r="B110" s="21" t="s">
        <v>390</v>
      </c>
      <c r="C110" s="24">
        <f>'AEO 2023 Table 36 Raw'!F91</f>
        <v>163.608734</v>
      </c>
      <c r="D110" s="24">
        <f>'AEO 2023 Table 36 Raw'!G91</f>
        <v>160.38700900000001</v>
      </c>
      <c r="E110" s="24">
        <f>'AEO 2023 Table 36 Raw'!H91</f>
        <v>157.42775</v>
      </c>
      <c r="F110" s="24">
        <f>'AEO 2023 Table 36 Raw'!I91</f>
        <v>155.51083399999999</v>
      </c>
      <c r="G110" s="24">
        <f>'AEO 2023 Table 36 Raw'!J91</f>
        <v>154.51499899999999</v>
      </c>
      <c r="H110" s="24">
        <f>'AEO 2023 Table 36 Raw'!K91</f>
        <v>153.52697800000001</v>
      </c>
      <c r="I110" s="24">
        <f>'AEO 2023 Table 36 Raw'!L91</f>
        <v>152.34193400000001</v>
      </c>
      <c r="J110" s="24">
        <f>'AEO 2023 Table 36 Raw'!M91</f>
        <v>150.872345</v>
      </c>
      <c r="K110" s="24">
        <f>'AEO 2023 Table 36 Raw'!N91</f>
        <v>149.17961099999999</v>
      </c>
      <c r="L110" s="24">
        <f>'AEO 2023 Table 36 Raw'!O91</f>
        <v>147.55435199999999</v>
      </c>
      <c r="M110" s="24">
        <f>'AEO 2023 Table 36 Raw'!P91</f>
        <v>146.34231600000001</v>
      </c>
      <c r="N110" s="24">
        <f>'AEO 2023 Table 36 Raw'!Q91</f>
        <v>145.41207900000001</v>
      </c>
      <c r="O110" s="24">
        <f>'AEO 2023 Table 36 Raw'!R91</f>
        <v>144.50224299999999</v>
      </c>
      <c r="P110" s="24">
        <f>'AEO 2023 Table 36 Raw'!S91</f>
        <v>143.63537600000001</v>
      </c>
      <c r="Q110" s="24">
        <f>'AEO 2023 Table 36 Raw'!T91</f>
        <v>142.95182800000001</v>
      </c>
      <c r="R110" s="24">
        <f>'AEO 2023 Table 36 Raw'!U91</f>
        <v>142.42834500000001</v>
      </c>
      <c r="S110" s="24">
        <f>'AEO 2023 Table 36 Raw'!V91</f>
        <v>141.89295999999999</v>
      </c>
      <c r="T110" s="24">
        <f>'AEO 2023 Table 36 Raw'!W91</f>
        <v>141.35481300000001</v>
      </c>
      <c r="U110" s="24">
        <f>'AEO 2023 Table 36 Raw'!X91</f>
        <v>141.03187600000001</v>
      </c>
      <c r="V110" s="24">
        <f>'AEO 2023 Table 36 Raw'!Y91</f>
        <v>140.67157</v>
      </c>
      <c r="W110" s="24">
        <f>'AEO 2023 Table 36 Raw'!Z91</f>
        <v>140.28007500000001</v>
      </c>
      <c r="X110" s="24">
        <f>'AEO 2023 Table 36 Raw'!AA91</f>
        <v>139.886841</v>
      </c>
      <c r="Y110" s="24">
        <f>'AEO 2023 Table 36 Raw'!AB91</f>
        <v>139.42889400000001</v>
      </c>
      <c r="Z110" s="24">
        <f>'AEO 2023 Table 36 Raw'!AC91</f>
        <v>138.927322</v>
      </c>
      <c r="AA110" s="24">
        <f>'AEO 2023 Table 36 Raw'!AD91</f>
        <v>138.439819</v>
      </c>
      <c r="AB110" s="24">
        <f>'AEO 2023 Table 36 Raw'!AE91</f>
        <v>138.00765999999999</v>
      </c>
      <c r="AC110" s="24">
        <f>'AEO 2023 Table 36 Raw'!AF91</f>
        <v>137.56359900000001</v>
      </c>
      <c r="AD110" s="24">
        <f>'AEO 2023 Table 36 Raw'!AG91</f>
        <v>137.09927400000001</v>
      </c>
      <c r="AE110" s="24">
        <f>'AEO 2023 Table 36 Raw'!AH91</f>
        <v>136.780182</v>
      </c>
      <c r="AF110" s="29">
        <f>'AEO 2023 Table 36 Raw'!AI91</f>
        <v>-6.0000000000000001E-3</v>
      </c>
    </row>
    <row r="111" spans="1:32" ht="15" customHeight="1">
      <c r="A111" s="18" t="s">
        <v>391</v>
      </c>
      <c r="B111" s="21" t="s">
        <v>274</v>
      </c>
      <c r="C111" s="24">
        <f>'AEO 2023 Table 36 Raw'!F92</f>
        <v>39.227898000000003</v>
      </c>
      <c r="D111" s="24">
        <f>'AEO 2023 Table 36 Raw'!G92</f>
        <v>38.775948</v>
      </c>
      <c r="E111" s="24">
        <f>'AEO 2023 Table 36 Raw'!H92</f>
        <v>38.377730999999997</v>
      </c>
      <c r="F111" s="24">
        <f>'AEO 2023 Table 36 Raw'!I92</f>
        <v>38.226379000000001</v>
      </c>
      <c r="G111" s="24">
        <f>'AEO 2023 Table 36 Raw'!J92</f>
        <v>38.298149000000002</v>
      </c>
      <c r="H111" s="24">
        <f>'AEO 2023 Table 36 Raw'!K92</f>
        <v>38.370418999999998</v>
      </c>
      <c r="I111" s="24">
        <f>'AEO 2023 Table 36 Raw'!L92</f>
        <v>38.391570999999999</v>
      </c>
      <c r="J111" s="24">
        <f>'AEO 2023 Table 36 Raw'!M92</f>
        <v>38.338120000000004</v>
      </c>
      <c r="K111" s="24">
        <f>'AEO 2023 Table 36 Raw'!N92</f>
        <v>38.223914999999998</v>
      </c>
      <c r="L111" s="24">
        <f>'AEO 2023 Table 36 Raw'!O92</f>
        <v>38.122588999999998</v>
      </c>
      <c r="M111" s="24">
        <f>'AEO 2023 Table 36 Raw'!P92</f>
        <v>38.124577000000002</v>
      </c>
      <c r="N111" s="24">
        <f>'AEO 2023 Table 36 Raw'!Q92</f>
        <v>38.197955999999998</v>
      </c>
      <c r="O111" s="24">
        <f>'AEO 2023 Table 36 Raw'!R92</f>
        <v>38.275326</v>
      </c>
      <c r="P111" s="24">
        <f>'AEO 2023 Table 36 Raw'!S92</f>
        <v>38.362803999999997</v>
      </c>
      <c r="Q111" s="24">
        <f>'AEO 2023 Table 36 Raw'!T92</f>
        <v>38.498458999999997</v>
      </c>
      <c r="R111" s="24">
        <f>'AEO 2023 Table 36 Raw'!U92</f>
        <v>38.677174000000001</v>
      </c>
      <c r="S111" s="24">
        <f>'AEO 2023 Table 36 Raw'!V92</f>
        <v>38.852927999999999</v>
      </c>
      <c r="T111" s="24">
        <f>'AEO 2023 Table 36 Raw'!W92</f>
        <v>39.028163999999997</v>
      </c>
      <c r="U111" s="24">
        <f>'AEO 2023 Table 36 Raw'!X92</f>
        <v>39.263545999999998</v>
      </c>
      <c r="V111" s="24">
        <f>'AEO 2023 Table 36 Raw'!Y92</f>
        <v>39.489632</v>
      </c>
      <c r="W111" s="24">
        <f>'AEO 2023 Table 36 Raw'!Z92</f>
        <v>39.707951000000001</v>
      </c>
      <c r="X111" s="24">
        <f>'AEO 2023 Table 36 Raw'!AA92</f>
        <v>39.926662</v>
      </c>
      <c r="Y111" s="24">
        <f>'AEO 2023 Table 36 Raw'!AB92</f>
        <v>40.127631999999998</v>
      </c>
      <c r="Z111" s="24">
        <f>'AEO 2023 Table 36 Raw'!AC92</f>
        <v>40.316527999999998</v>
      </c>
      <c r="AA111" s="24">
        <f>'AEO 2023 Table 36 Raw'!AD92</f>
        <v>40.509892000000001</v>
      </c>
      <c r="AB111" s="24">
        <f>'AEO 2023 Table 36 Raw'!AE92</f>
        <v>40.720008999999997</v>
      </c>
      <c r="AC111" s="24">
        <f>'AEO 2023 Table 36 Raw'!AF92</f>
        <v>40.927284</v>
      </c>
      <c r="AD111" s="24">
        <f>'AEO 2023 Table 36 Raw'!AG92</f>
        <v>41.129097000000002</v>
      </c>
      <c r="AE111" s="24">
        <f>'AEO 2023 Table 36 Raw'!AH92</f>
        <v>41.375362000000003</v>
      </c>
      <c r="AF111" s="29">
        <f>'AEO 2023 Table 36 Raw'!AI92</f>
        <v>2E-3</v>
      </c>
    </row>
    <row r="112" spans="1:32" ht="12" customHeight="1">
      <c r="C112" s="24"/>
      <c r="D112" s="24"/>
      <c r="E112" s="24"/>
      <c r="F112" s="24"/>
      <c r="G112" s="24"/>
      <c r="H112" s="24"/>
      <c r="I112" s="24"/>
      <c r="J112" s="24"/>
      <c r="K112" s="24"/>
      <c r="L112" s="24"/>
      <c r="M112" s="24"/>
      <c r="N112" s="24"/>
      <c r="O112" s="24"/>
      <c r="P112" s="24"/>
      <c r="Q112" s="24"/>
      <c r="R112" s="24"/>
      <c r="S112" s="24"/>
      <c r="T112" s="24"/>
      <c r="U112" s="24"/>
      <c r="V112" s="24"/>
      <c r="W112" s="24"/>
      <c r="X112" s="24"/>
      <c r="Y112" s="24"/>
      <c r="Z112" s="24"/>
      <c r="AA112" s="24"/>
      <c r="AB112" s="24"/>
      <c r="AC112" s="24"/>
      <c r="AD112" s="24"/>
      <c r="AE112" s="24"/>
      <c r="AF112" s="29"/>
    </row>
    <row r="113" spans="1:32" ht="15" customHeight="1">
      <c r="A113" s="18" t="s">
        <v>392</v>
      </c>
      <c r="B113" s="21" t="s">
        <v>4</v>
      </c>
      <c r="C113" s="24">
        <f>'AEO 2023 Table 36 Raw'!F93</f>
        <v>125.945221</v>
      </c>
      <c r="D113" s="24">
        <f>'AEO 2023 Table 36 Raw'!G93</f>
        <v>125.92506400000001</v>
      </c>
      <c r="E113" s="24">
        <f>'AEO 2023 Table 36 Raw'!H93</f>
        <v>126.01237500000001</v>
      </c>
      <c r="F113" s="24">
        <f>'AEO 2023 Table 36 Raw'!I93</f>
        <v>126.049858</v>
      </c>
      <c r="G113" s="24">
        <f>'AEO 2023 Table 36 Raw'!J93</f>
        <v>126.11367</v>
      </c>
      <c r="H113" s="24">
        <f>'AEO 2023 Table 36 Raw'!K93</f>
        <v>125.98440600000001</v>
      </c>
      <c r="I113" s="24">
        <f>'AEO 2023 Table 36 Raw'!L93</f>
        <v>125.852997</v>
      </c>
      <c r="J113" s="24">
        <f>'AEO 2023 Table 36 Raw'!M93</f>
        <v>125.755234</v>
      </c>
      <c r="K113" s="24">
        <f>'AEO 2023 Table 36 Raw'!N93</f>
        <v>125.652069</v>
      </c>
      <c r="L113" s="24">
        <f>'AEO 2023 Table 36 Raw'!O93</f>
        <v>125.54579200000001</v>
      </c>
      <c r="M113" s="24">
        <f>'AEO 2023 Table 36 Raw'!P93</f>
        <v>125.439178</v>
      </c>
      <c r="N113" s="24">
        <f>'AEO 2023 Table 36 Raw'!Q93</f>
        <v>125.330147</v>
      </c>
      <c r="O113" s="24">
        <f>'AEO 2023 Table 36 Raw'!R93</f>
        <v>125.250381</v>
      </c>
      <c r="P113" s="24">
        <f>'AEO 2023 Table 36 Raw'!S93</f>
        <v>125.225021</v>
      </c>
      <c r="Q113" s="24">
        <f>'AEO 2023 Table 36 Raw'!T93</f>
        <v>125.255257</v>
      </c>
      <c r="R113" s="24">
        <f>'AEO 2023 Table 36 Raw'!U93</f>
        <v>125.318207</v>
      </c>
      <c r="S113" s="24">
        <f>'AEO 2023 Table 36 Raw'!V93</f>
        <v>125.411896</v>
      </c>
      <c r="T113" s="24">
        <f>'AEO 2023 Table 36 Raw'!W93</f>
        <v>125.52668799999999</v>
      </c>
      <c r="U113" s="24">
        <f>'AEO 2023 Table 36 Raw'!X93</f>
        <v>125.666534</v>
      </c>
      <c r="V113" s="24">
        <f>'AEO 2023 Table 36 Raw'!Y93</f>
        <v>125.797371</v>
      </c>
      <c r="W113" s="24">
        <f>'AEO 2023 Table 36 Raw'!Z93</f>
        <v>125.925034</v>
      </c>
      <c r="X113" s="24">
        <f>'AEO 2023 Table 36 Raw'!AA93</f>
        <v>126.04557</v>
      </c>
      <c r="Y113" s="24">
        <f>'AEO 2023 Table 36 Raw'!AB93</f>
        <v>126.16628300000001</v>
      </c>
      <c r="Z113" s="24">
        <f>'AEO 2023 Table 36 Raw'!AC93</f>
        <v>126.32028200000001</v>
      </c>
      <c r="AA113" s="24">
        <f>'AEO 2023 Table 36 Raw'!AD93</f>
        <v>126.49239300000001</v>
      </c>
      <c r="AB113" s="24">
        <f>'AEO 2023 Table 36 Raw'!AE93</f>
        <v>126.66081200000001</v>
      </c>
      <c r="AC113" s="24">
        <f>'AEO 2023 Table 36 Raw'!AF93</f>
        <v>126.811455</v>
      </c>
      <c r="AD113" s="24">
        <f>'AEO 2023 Table 36 Raw'!AG93</f>
        <v>126.974289</v>
      </c>
      <c r="AE113" s="24">
        <f>'AEO 2023 Table 36 Raw'!AH93</f>
        <v>127.158676</v>
      </c>
      <c r="AF113" s="29">
        <f>'AEO 2023 Table 36 Raw'!AI93</f>
        <v>0</v>
      </c>
    </row>
    <row r="114" spans="1:32" ht="15" customHeight="1">
      <c r="A114" s="18" t="s">
        <v>393</v>
      </c>
      <c r="B114" s="21" t="s">
        <v>3</v>
      </c>
      <c r="C114" s="24">
        <f>'AEO 2023 Table 36 Raw'!F94</f>
        <v>905.73223900000005</v>
      </c>
      <c r="D114" s="24">
        <f>'AEO 2023 Table 36 Raw'!G94</f>
        <v>820.54260299999999</v>
      </c>
      <c r="E114" s="24">
        <f>'AEO 2023 Table 36 Raw'!H94</f>
        <v>760.982483</v>
      </c>
      <c r="F114" s="24">
        <f>'AEO 2023 Table 36 Raw'!I94</f>
        <v>726.75244099999998</v>
      </c>
      <c r="G114" s="24">
        <f>'AEO 2023 Table 36 Raw'!J94</f>
        <v>695.850098</v>
      </c>
      <c r="H114" s="24">
        <f>'AEO 2023 Table 36 Raw'!K94</f>
        <v>653.98541299999999</v>
      </c>
      <c r="I114" s="24">
        <f>'AEO 2023 Table 36 Raw'!L94</f>
        <v>613.92791699999998</v>
      </c>
      <c r="J114" s="24">
        <f>'AEO 2023 Table 36 Raw'!M94</f>
        <v>612.03295900000001</v>
      </c>
      <c r="K114" s="24">
        <f>'AEO 2023 Table 36 Raw'!N94</f>
        <v>610.31640600000003</v>
      </c>
      <c r="L114" s="24">
        <f>'AEO 2023 Table 36 Raw'!O94</f>
        <v>611.89654499999995</v>
      </c>
      <c r="M114" s="24">
        <f>'AEO 2023 Table 36 Raw'!P94</f>
        <v>617.76355000000001</v>
      </c>
      <c r="N114" s="24">
        <f>'AEO 2023 Table 36 Raw'!Q94</f>
        <v>626.28515600000003</v>
      </c>
      <c r="O114" s="24">
        <f>'AEO 2023 Table 36 Raw'!R94</f>
        <v>630.76672399999995</v>
      </c>
      <c r="P114" s="24">
        <f>'AEO 2023 Table 36 Raw'!S94</f>
        <v>633.47729500000003</v>
      </c>
      <c r="Q114" s="24">
        <f>'AEO 2023 Table 36 Raw'!T94</f>
        <v>634.00311299999998</v>
      </c>
      <c r="R114" s="24">
        <f>'AEO 2023 Table 36 Raw'!U94</f>
        <v>632.96820100000002</v>
      </c>
      <c r="S114" s="24">
        <f>'AEO 2023 Table 36 Raw'!V94</f>
        <v>637.83142099999998</v>
      </c>
      <c r="T114" s="24">
        <f>'AEO 2023 Table 36 Raw'!W94</f>
        <v>636.66796899999997</v>
      </c>
      <c r="U114" s="24">
        <f>'AEO 2023 Table 36 Raw'!X94</f>
        <v>645.807007</v>
      </c>
      <c r="V114" s="24">
        <f>'AEO 2023 Table 36 Raw'!Y94</f>
        <v>652.42675799999995</v>
      </c>
      <c r="W114" s="24">
        <f>'AEO 2023 Table 36 Raw'!Z94</f>
        <v>658.166382</v>
      </c>
      <c r="X114" s="24">
        <f>'AEO 2023 Table 36 Raw'!AA94</f>
        <v>660.99408000000005</v>
      </c>
      <c r="Y114" s="24">
        <f>'AEO 2023 Table 36 Raw'!AB94</f>
        <v>665.09454300000004</v>
      </c>
      <c r="Z114" s="24">
        <f>'AEO 2023 Table 36 Raw'!AC94</f>
        <v>669.20263699999998</v>
      </c>
      <c r="AA114" s="24">
        <f>'AEO 2023 Table 36 Raw'!AD94</f>
        <v>674.53369099999998</v>
      </c>
      <c r="AB114" s="24">
        <f>'AEO 2023 Table 36 Raw'!AE94</f>
        <v>682.13464399999998</v>
      </c>
      <c r="AC114" s="24">
        <f>'AEO 2023 Table 36 Raw'!AF94</f>
        <v>689.49054000000001</v>
      </c>
      <c r="AD114" s="24">
        <f>'AEO 2023 Table 36 Raw'!AG94</f>
        <v>691.88214100000005</v>
      </c>
      <c r="AE114" s="24">
        <f>'AEO 2023 Table 36 Raw'!AH94</f>
        <v>696.77728300000001</v>
      </c>
      <c r="AF114" s="29">
        <f>'AEO 2023 Table 36 Raw'!AI94</f>
        <v>-8.9999999999999993E-3</v>
      </c>
    </row>
    <row r="115" spans="1:32" ht="12" customHeight="1">
      <c r="C115" s="24"/>
      <c r="D115" s="24"/>
      <c r="E115" s="24"/>
      <c r="F115" s="24"/>
      <c r="G115" s="24"/>
      <c r="H115" s="24"/>
      <c r="I115" s="24"/>
      <c r="J115" s="24"/>
      <c r="K115" s="24"/>
      <c r="L115" s="24"/>
      <c r="M115" s="24"/>
      <c r="N115" s="24"/>
      <c r="O115" s="24"/>
      <c r="P115" s="24"/>
      <c r="Q115" s="24"/>
      <c r="R115" s="24"/>
      <c r="S115" s="24"/>
      <c r="T115" s="24"/>
      <c r="U115" s="24"/>
      <c r="V115" s="24"/>
      <c r="W115" s="24"/>
      <c r="X115" s="24"/>
      <c r="Y115" s="24"/>
      <c r="Z115" s="24"/>
      <c r="AA115" s="24"/>
      <c r="AB115" s="24"/>
      <c r="AC115" s="24"/>
      <c r="AD115" s="24"/>
      <c r="AE115" s="24"/>
      <c r="AF115" s="29"/>
    </row>
    <row r="116" spans="1:32" ht="15" customHeight="1">
      <c r="A116" s="18" t="s">
        <v>394</v>
      </c>
      <c r="B116" s="20" t="s">
        <v>2</v>
      </c>
      <c r="C116" s="24">
        <f>'AEO 2023 Table 36 Raw'!F95</f>
        <v>332.52310199999999</v>
      </c>
      <c r="D116" s="24">
        <f>'AEO 2023 Table 36 Raw'!G95</f>
        <v>377.97052000000002</v>
      </c>
      <c r="E116" s="24">
        <f>'AEO 2023 Table 36 Raw'!H95</f>
        <v>384.00460800000002</v>
      </c>
      <c r="F116" s="24">
        <f>'AEO 2023 Table 36 Raw'!I95</f>
        <v>408.78292800000003</v>
      </c>
      <c r="G116" s="24">
        <f>'AEO 2023 Table 36 Raw'!J95</f>
        <v>446.260651</v>
      </c>
      <c r="H116" s="24">
        <f>'AEO 2023 Table 36 Raw'!K95</f>
        <v>477.17263800000001</v>
      </c>
      <c r="I116" s="24">
        <f>'AEO 2023 Table 36 Raw'!L95</f>
        <v>503.61007699999999</v>
      </c>
      <c r="J116" s="24">
        <f>'AEO 2023 Table 36 Raw'!M95</f>
        <v>527.57086200000003</v>
      </c>
      <c r="K116" s="24">
        <f>'AEO 2023 Table 36 Raw'!N95</f>
        <v>577.96905500000003</v>
      </c>
      <c r="L116" s="24">
        <f>'AEO 2023 Table 36 Raw'!O95</f>
        <v>628.36724900000002</v>
      </c>
      <c r="M116" s="24">
        <f>'AEO 2023 Table 36 Raw'!P95</f>
        <v>680.00372300000004</v>
      </c>
      <c r="N116" s="24">
        <f>'AEO 2023 Table 36 Raw'!Q95</f>
        <v>729.163635</v>
      </c>
      <c r="O116" s="24">
        <f>'AEO 2023 Table 36 Raw'!R95</f>
        <v>771.16210899999999</v>
      </c>
      <c r="P116" s="24">
        <f>'AEO 2023 Table 36 Raw'!S95</f>
        <v>796.36120600000004</v>
      </c>
      <c r="Q116" s="24">
        <f>'AEO 2023 Table 36 Raw'!T95</f>
        <v>814.39892599999996</v>
      </c>
      <c r="R116" s="24">
        <f>'AEO 2023 Table 36 Raw'!U95</f>
        <v>829.96002199999998</v>
      </c>
      <c r="S116" s="24">
        <f>'AEO 2023 Table 36 Raw'!V95</f>
        <v>838.35974099999999</v>
      </c>
      <c r="T116" s="24">
        <f>'AEO 2023 Table 36 Raw'!W95</f>
        <v>838.35974099999999</v>
      </c>
      <c r="U116" s="24">
        <f>'AEO 2023 Table 36 Raw'!X95</f>
        <v>839.59802200000001</v>
      </c>
      <c r="V116" s="24">
        <f>'AEO 2023 Table 36 Raw'!Y95</f>
        <v>838.35974099999999</v>
      </c>
      <c r="W116" s="24">
        <f>'AEO 2023 Table 36 Raw'!Z95</f>
        <v>838.35974099999999</v>
      </c>
      <c r="X116" s="24">
        <f>'AEO 2023 Table 36 Raw'!AA95</f>
        <v>838.35974099999999</v>
      </c>
      <c r="Y116" s="24">
        <f>'AEO 2023 Table 36 Raw'!AB95</f>
        <v>839.59802200000001</v>
      </c>
      <c r="Z116" s="24">
        <f>'AEO 2023 Table 36 Raw'!AC95</f>
        <v>838.35974099999999</v>
      </c>
      <c r="AA116" s="24">
        <f>'AEO 2023 Table 36 Raw'!AD95</f>
        <v>838.35974099999999</v>
      </c>
      <c r="AB116" s="24">
        <f>'AEO 2023 Table 36 Raw'!AE95</f>
        <v>838.35974099999999</v>
      </c>
      <c r="AC116" s="24">
        <f>'AEO 2023 Table 36 Raw'!AF95</f>
        <v>839.59802200000001</v>
      </c>
      <c r="AD116" s="24">
        <f>'AEO 2023 Table 36 Raw'!AG95</f>
        <v>838.35974099999999</v>
      </c>
      <c r="AE116" s="24">
        <f>'AEO 2023 Table 36 Raw'!AH95</f>
        <v>838.35974099999999</v>
      </c>
      <c r="AF116" s="29">
        <f>'AEO 2023 Table 36 Raw'!AI95</f>
        <v>3.4000000000000002E-2</v>
      </c>
    </row>
    <row r="117" spans="1:32" ht="15" customHeight="1" thickBot="1"/>
    <row r="118" spans="1:32" ht="15" customHeight="1">
      <c r="B118" s="113" t="s">
        <v>395</v>
      </c>
      <c r="C118" s="114"/>
      <c r="D118" s="114"/>
      <c r="E118" s="114"/>
      <c r="F118" s="114"/>
      <c r="G118" s="114"/>
      <c r="H118" s="114"/>
      <c r="I118" s="114"/>
      <c r="J118" s="114"/>
      <c r="K118" s="114"/>
      <c r="L118" s="114"/>
      <c r="M118" s="114"/>
      <c r="N118" s="114"/>
      <c r="O118" s="114"/>
      <c r="P118" s="114"/>
      <c r="Q118" s="114"/>
      <c r="R118" s="114"/>
      <c r="S118" s="114"/>
      <c r="T118" s="114"/>
      <c r="U118" s="114"/>
      <c r="V118" s="114"/>
      <c r="W118" s="114"/>
      <c r="X118" s="114"/>
      <c r="Y118" s="114"/>
      <c r="Z118" s="114"/>
      <c r="AA118" s="114"/>
      <c r="AB118" s="114"/>
      <c r="AC118" s="114"/>
      <c r="AD118" s="114"/>
      <c r="AE118" s="114"/>
      <c r="AF118" s="114"/>
    </row>
    <row r="119" spans="1:32" ht="15" customHeight="1">
      <c r="B119" s="22" t="s">
        <v>396</v>
      </c>
    </row>
    <row r="120" spans="1:32" ht="15" customHeight="1">
      <c r="B120" s="22" t="s">
        <v>397</v>
      </c>
    </row>
    <row r="121" spans="1:32" ht="15" customHeight="1">
      <c r="B121" s="22" t="s">
        <v>398</v>
      </c>
    </row>
    <row r="122" spans="1:32" ht="15" customHeight="1">
      <c r="B122" s="22" t="s">
        <v>399</v>
      </c>
    </row>
    <row r="123" spans="1:32" ht="15" customHeight="1">
      <c r="B123" s="22" t="s">
        <v>262</v>
      </c>
    </row>
    <row r="124" spans="1:32" ht="15" customHeight="1">
      <c r="B124" s="22" t="s">
        <v>261</v>
      </c>
    </row>
    <row r="125" spans="1:32" ht="15" customHeight="1">
      <c r="B125" s="22" t="s">
        <v>400</v>
      </c>
    </row>
    <row r="126" spans="1:32" ht="15" customHeight="1">
      <c r="B126" s="22" t="s">
        <v>401</v>
      </c>
    </row>
    <row r="127" spans="1:32" ht="15" customHeight="1">
      <c r="A127" s="18"/>
      <c r="B127" s="21"/>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c r="AA127" s="25"/>
      <c r="AB127" s="25"/>
      <c r="AC127" s="25"/>
      <c r="AD127" s="25"/>
      <c r="AE127" s="25"/>
      <c r="AF127" s="53"/>
    </row>
    <row r="128" spans="1:32" ht="12" customHeight="1">
      <c r="A128" s="18"/>
      <c r="B128" s="21"/>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c r="AA128" s="25"/>
      <c r="AB128" s="25"/>
      <c r="AC128" s="25"/>
      <c r="AD128" s="25"/>
      <c r="AE128" s="25"/>
      <c r="AF128" s="53"/>
    </row>
    <row r="129" spans="1:32" ht="12" customHeight="1">
      <c r="A129" s="18"/>
      <c r="B129" s="21"/>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c r="AA129" s="25"/>
      <c r="AB129" s="25"/>
      <c r="AC129" s="25"/>
      <c r="AD129" s="25"/>
      <c r="AE129" s="25"/>
      <c r="AF129" s="53"/>
    </row>
    <row r="130" spans="1:32" ht="12" customHeight="1">
      <c r="A130" s="18"/>
      <c r="B130" s="21"/>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c r="AA130" s="25"/>
      <c r="AB130" s="25"/>
      <c r="AC130" s="25"/>
      <c r="AD130" s="25"/>
      <c r="AE130" s="25"/>
      <c r="AF130" s="53"/>
    </row>
    <row r="131" spans="1:32" ht="12" customHeight="1">
      <c r="A131" s="18"/>
      <c r="B131" s="21"/>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c r="AA131" s="25"/>
      <c r="AB131" s="25"/>
      <c r="AC131" s="25"/>
      <c r="AD131" s="25"/>
      <c r="AE131" s="25"/>
      <c r="AF131" s="53"/>
    </row>
    <row r="132" spans="1:32" ht="12" customHeight="1">
      <c r="A132" s="18"/>
      <c r="B132" s="21"/>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c r="AA132" s="25"/>
      <c r="AB132" s="25"/>
      <c r="AC132" s="25"/>
      <c r="AD132" s="25"/>
      <c r="AE132" s="25"/>
      <c r="AF132" s="53"/>
    </row>
    <row r="133" spans="1:32" ht="12" customHeight="1"/>
    <row r="134" spans="1:32" ht="12" customHeight="1">
      <c r="A134" s="18"/>
      <c r="B134" s="20"/>
      <c r="C134" s="24"/>
      <c r="D134" s="24"/>
      <c r="E134" s="24"/>
      <c r="F134" s="24"/>
      <c r="G134" s="24"/>
      <c r="H134" s="24"/>
      <c r="I134" s="24"/>
      <c r="J134" s="24"/>
      <c r="K134" s="24"/>
      <c r="L134" s="24"/>
      <c r="M134" s="24"/>
      <c r="N134" s="24"/>
      <c r="O134" s="24"/>
      <c r="P134" s="24"/>
      <c r="Q134" s="24"/>
      <c r="R134" s="24"/>
      <c r="S134" s="24"/>
      <c r="T134" s="24"/>
      <c r="U134" s="24"/>
      <c r="V134" s="24"/>
      <c r="W134" s="24"/>
      <c r="X134" s="24"/>
      <c r="Y134" s="24"/>
      <c r="Z134" s="24"/>
      <c r="AA134" s="24"/>
      <c r="AB134" s="24"/>
      <c r="AC134" s="24"/>
      <c r="AD134" s="24"/>
      <c r="AE134" s="24"/>
      <c r="AF134" s="29"/>
    </row>
    <row r="135" spans="1:32" ht="12" customHeight="1">
      <c r="A135" s="18"/>
      <c r="B135" s="21"/>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c r="AA135" s="25"/>
      <c r="AB135" s="25"/>
      <c r="AC135" s="25"/>
      <c r="AD135" s="25"/>
      <c r="AE135" s="25"/>
      <c r="AF135" s="53"/>
    </row>
    <row r="136" spans="1:32" ht="12" customHeight="1">
      <c r="A136" s="18"/>
      <c r="B136" s="21"/>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c r="AA136" s="25"/>
      <c r="AB136" s="25"/>
      <c r="AC136" s="25"/>
      <c r="AD136" s="25"/>
      <c r="AE136" s="25"/>
      <c r="AF136" s="53"/>
    </row>
    <row r="137" spans="1:32" ht="12" customHeight="1">
      <c r="A137" s="18"/>
      <c r="B137" s="21"/>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c r="AA137" s="25"/>
      <c r="AB137" s="25"/>
      <c r="AC137" s="25"/>
      <c r="AD137" s="25"/>
      <c r="AE137" s="25"/>
      <c r="AF137" s="53"/>
    </row>
    <row r="138" spans="1:32" ht="12" customHeight="1">
      <c r="A138" s="18"/>
      <c r="B138" s="21"/>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c r="AA138" s="25"/>
      <c r="AB138" s="25"/>
      <c r="AC138" s="25"/>
      <c r="AD138" s="25"/>
      <c r="AE138" s="25"/>
      <c r="AF138" s="53"/>
    </row>
    <row r="139" spans="1:32" ht="12" customHeight="1">
      <c r="A139" s="18"/>
      <c r="B139" s="21"/>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c r="AA139" s="25"/>
      <c r="AB139" s="25"/>
      <c r="AC139" s="25"/>
      <c r="AD139" s="25"/>
      <c r="AE139" s="25"/>
      <c r="AF139" s="53"/>
    </row>
    <row r="140" spans="1:32" ht="12" customHeight="1">
      <c r="A140" s="18"/>
      <c r="B140" s="21"/>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c r="AA140" s="25"/>
      <c r="AB140" s="25"/>
      <c r="AC140" s="25"/>
      <c r="AD140" s="25"/>
      <c r="AE140" s="25"/>
      <c r="AF140" s="53"/>
    </row>
    <row r="141" spans="1:32" ht="12" customHeight="1">
      <c r="A141" s="18"/>
      <c r="B141" s="21"/>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c r="AA141" s="25"/>
      <c r="AB141" s="25"/>
      <c r="AC141" s="25"/>
      <c r="AD141" s="25"/>
      <c r="AE141" s="25"/>
      <c r="AF141" s="53"/>
    </row>
    <row r="142" spans="1:32" ht="12" customHeight="1"/>
    <row r="143" spans="1:32" ht="12" customHeight="1">
      <c r="A143" s="18"/>
      <c r="B143" s="20"/>
      <c r="C143" s="24"/>
      <c r="D143" s="24"/>
      <c r="E143" s="24"/>
      <c r="F143" s="24"/>
      <c r="G143" s="24"/>
      <c r="H143" s="24"/>
      <c r="I143" s="24"/>
      <c r="J143" s="24"/>
      <c r="K143" s="24"/>
      <c r="L143" s="24"/>
      <c r="M143" s="24"/>
      <c r="N143" s="24"/>
      <c r="O143" s="24"/>
      <c r="P143" s="24"/>
      <c r="Q143" s="24"/>
      <c r="R143" s="24"/>
      <c r="S143" s="24"/>
      <c r="T143" s="24"/>
      <c r="U143" s="24"/>
      <c r="V143" s="24"/>
      <c r="W143" s="24"/>
      <c r="X143" s="24"/>
      <c r="Y143" s="24"/>
      <c r="Z143" s="24"/>
      <c r="AA143" s="24"/>
      <c r="AB143" s="24"/>
      <c r="AC143" s="24"/>
      <c r="AD143" s="24"/>
      <c r="AE143" s="24"/>
      <c r="AF143" s="29"/>
    </row>
    <row r="144" spans="1:32" ht="12" customHeight="1">
      <c r="A144" s="18"/>
      <c r="B144" s="21"/>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c r="AA144" s="25"/>
      <c r="AB144" s="25"/>
      <c r="AC144" s="25"/>
      <c r="AD144" s="25"/>
      <c r="AE144" s="25"/>
      <c r="AF144" s="53"/>
    </row>
    <row r="145" spans="1:32" ht="12" customHeight="1">
      <c r="A145" s="18"/>
      <c r="B145" s="21"/>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c r="AA145" s="25"/>
      <c r="AB145" s="25"/>
      <c r="AC145" s="25"/>
      <c r="AD145" s="25"/>
      <c r="AE145" s="25"/>
      <c r="AF145" s="53"/>
    </row>
    <row r="146" spans="1:32" ht="12" customHeight="1">
      <c r="A146" s="18"/>
      <c r="B146" s="21"/>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c r="AA146" s="25"/>
      <c r="AB146" s="25"/>
      <c r="AC146" s="25"/>
      <c r="AD146" s="25"/>
      <c r="AE146" s="25"/>
      <c r="AF146" s="53"/>
    </row>
    <row r="147" spans="1:32" ht="12" customHeight="1">
      <c r="A147" s="18"/>
      <c r="B147" s="21"/>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c r="AA147" s="25"/>
      <c r="AB147" s="25"/>
      <c r="AC147" s="25"/>
      <c r="AD147" s="25"/>
      <c r="AE147" s="25"/>
      <c r="AF147" s="53"/>
    </row>
    <row r="148" spans="1:32" ht="12" customHeight="1">
      <c r="A148" s="18"/>
      <c r="B148" s="21"/>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c r="AA148" s="25"/>
      <c r="AB148" s="25"/>
      <c r="AC148" s="25"/>
      <c r="AD148" s="25"/>
      <c r="AE148" s="25"/>
      <c r="AF148" s="53"/>
    </row>
    <row r="149" spans="1:32" ht="12" customHeight="1">
      <c r="A149" s="18"/>
      <c r="B149" s="21"/>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c r="AA149" s="25"/>
      <c r="AB149" s="25"/>
      <c r="AC149" s="25"/>
      <c r="AD149" s="25"/>
      <c r="AE149" s="25"/>
      <c r="AF149" s="53"/>
    </row>
    <row r="150" spans="1:32" ht="15" customHeight="1">
      <c r="A150" s="18"/>
      <c r="B150" s="21"/>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c r="AA150" s="25"/>
      <c r="AB150" s="25"/>
      <c r="AC150" s="25"/>
      <c r="AD150" s="25"/>
      <c r="AE150" s="25"/>
      <c r="AF150" s="53"/>
    </row>
    <row r="153" spans="1:32" ht="15" customHeight="1">
      <c r="A153" s="18"/>
      <c r="B153" s="20"/>
      <c r="C153" s="24"/>
      <c r="D153" s="24"/>
      <c r="E153" s="24"/>
      <c r="F153" s="24"/>
      <c r="G153" s="24"/>
      <c r="H153" s="24"/>
      <c r="I153" s="24"/>
      <c r="J153" s="24"/>
      <c r="K153" s="24"/>
      <c r="L153" s="24"/>
      <c r="M153" s="24"/>
      <c r="N153" s="24"/>
      <c r="O153" s="24"/>
      <c r="P153" s="24"/>
      <c r="Q153" s="24"/>
      <c r="R153" s="24"/>
      <c r="S153" s="24"/>
      <c r="T153" s="24"/>
      <c r="U153" s="24"/>
      <c r="V153" s="24"/>
      <c r="W153" s="24"/>
      <c r="X153" s="24"/>
      <c r="Y153" s="24"/>
      <c r="Z153" s="24"/>
      <c r="AA153" s="24"/>
      <c r="AB153" s="24"/>
      <c r="AC153" s="24"/>
      <c r="AD153" s="24"/>
      <c r="AE153" s="24"/>
      <c r="AF153" s="29"/>
    </row>
    <row r="154" spans="1:32" ht="15" customHeight="1">
      <c r="A154" s="18"/>
      <c r="B154" s="21"/>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c r="AA154" s="25"/>
      <c r="AB154" s="25"/>
      <c r="AC154" s="25"/>
      <c r="AD154" s="25"/>
      <c r="AE154" s="25"/>
      <c r="AF154" s="53"/>
    </row>
    <row r="155" spans="1:32" ht="15" customHeight="1">
      <c r="A155" s="18"/>
      <c r="B155" s="21"/>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c r="AA155" s="25"/>
      <c r="AB155" s="25"/>
      <c r="AC155" s="25"/>
      <c r="AD155" s="25"/>
      <c r="AE155" s="25"/>
      <c r="AF155" s="53"/>
    </row>
    <row r="156" spans="1:32" ht="15" customHeight="1">
      <c r="A156" s="18"/>
      <c r="B156" s="21"/>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c r="AA156" s="25"/>
      <c r="AB156" s="25"/>
      <c r="AC156" s="25"/>
      <c r="AD156" s="25"/>
      <c r="AE156" s="25"/>
      <c r="AF156" s="53"/>
    </row>
    <row r="157" spans="1:32" ht="15" customHeight="1">
      <c r="A157" s="18"/>
      <c r="B157" s="21"/>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c r="AA157" s="25"/>
      <c r="AB157" s="25"/>
      <c r="AC157" s="25"/>
      <c r="AD157" s="25"/>
      <c r="AE157" s="25"/>
      <c r="AF157" s="53"/>
    </row>
    <row r="159" spans="1:32" ht="15" customHeight="1">
      <c r="A159" s="18"/>
      <c r="B159" s="20"/>
      <c r="C159" s="24"/>
      <c r="D159" s="24"/>
      <c r="E159" s="24"/>
      <c r="F159" s="24"/>
      <c r="G159" s="24"/>
      <c r="H159" s="24"/>
      <c r="I159" s="24"/>
      <c r="J159" s="24"/>
      <c r="K159" s="24"/>
      <c r="L159" s="24"/>
      <c r="M159" s="24"/>
      <c r="N159" s="24"/>
      <c r="O159" s="24"/>
      <c r="P159" s="24"/>
      <c r="Q159" s="24"/>
      <c r="R159" s="24"/>
      <c r="S159" s="24"/>
      <c r="T159" s="24"/>
      <c r="U159" s="24"/>
      <c r="V159" s="24"/>
      <c r="W159" s="24"/>
      <c r="X159" s="24"/>
      <c r="Y159" s="24"/>
      <c r="Z159" s="24"/>
      <c r="AA159" s="24"/>
      <c r="AB159" s="24"/>
      <c r="AC159" s="24"/>
      <c r="AD159" s="24"/>
      <c r="AE159" s="24"/>
      <c r="AF159" s="29"/>
    </row>
    <row r="160" spans="1:32" ht="15" customHeight="1">
      <c r="A160" s="18"/>
      <c r="B160" s="21"/>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c r="AA160" s="25"/>
      <c r="AB160" s="25"/>
      <c r="AC160" s="25"/>
      <c r="AD160" s="25"/>
      <c r="AE160" s="25"/>
      <c r="AF160" s="53"/>
    </row>
    <row r="161" spans="1:32" ht="15" customHeight="1">
      <c r="A161" s="18"/>
      <c r="B161" s="21"/>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c r="AA161" s="25"/>
      <c r="AB161" s="25"/>
      <c r="AC161" s="25"/>
      <c r="AD161" s="25"/>
      <c r="AE161" s="25"/>
      <c r="AF161" s="53"/>
    </row>
    <row r="162" spans="1:32" ht="15" customHeight="1">
      <c r="A162" s="18"/>
      <c r="B162" s="21"/>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c r="AA162" s="25"/>
      <c r="AB162" s="25"/>
      <c r="AC162" s="25"/>
      <c r="AD162" s="25"/>
      <c r="AE162" s="25"/>
      <c r="AF162" s="53"/>
    </row>
    <row r="163" spans="1:32" ht="12" customHeight="1">
      <c r="A163" s="18"/>
      <c r="B163" s="21"/>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c r="AA163" s="25"/>
      <c r="AB163" s="25"/>
      <c r="AC163" s="25"/>
      <c r="AD163" s="25"/>
      <c r="AE163" s="25"/>
      <c r="AF163" s="53"/>
    </row>
    <row r="165" spans="1:32" ht="15" customHeight="1">
      <c r="A165" s="18"/>
      <c r="B165" s="20"/>
      <c r="C165" s="24"/>
      <c r="D165" s="24"/>
      <c r="E165" s="24"/>
      <c r="F165" s="24"/>
      <c r="G165" s="24"/>
      <c r="H165" s="24"/>
      <c r="I165" s="24"/>
      <c r="J165" s="24"/>
      <c r="K165" s="24"/>
      <c r="L165" s="24"/>
      <c r="M165" s="24"/>
      <c r="N165" s="24"/>
      <c r="O165" s="24"/>
      <c r="P165" s="24"/>
      <c r="Q165" s="24"/>
      <c r="R165" s="24"/>
      <c r="S165" s="24"/>
      <c r="T165" s="24"/>
      <c r="U165" s="24"/>
      <c r="V165" s="24"/>
      <c r="W165" s="24"/>
      <c r="X165" s="24"/>
      <c r="Y165" s="24"/>
      <c r="Z165" s="24"/>
      <c r="AA165" s="24"/>
      <c r="AB165" s="24"/>
      <c r="AC165" s="24"/>
      <c r="AD165" s="24"/>
      <c r="AE165" s="24"/>
      <c r="AF165" s="29"/>
    </row>
    <row r="166" spans="1:32" ht="15" customHeight="1">
      <c r="A166" s="18"/>
      <c r="B166" s="21"/>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c r="AA166" s="25"/>
      <c r="AB166" s="25"/>
      <c r="AC166" s="25"/>
      <c r="AD166" s="25"/>
      <c r="AE166" s="25"/>
      <c r="AF166" s="53"/>
    </row>
    <row r="167" spans="1:32" ht="15" customHeight="1">
      <c r="A167" s="18"/>
      <c r="B167" s="21"/>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c r="AA167" s="25"/>
      <c r="AB167" s="25"/>
      <c r="AC167" s="25"/>
      <c r="AD167" s="25"/>
      <c r="AE167" s="25"/>
      <c r="AF167" s="53"/>
    </row>
    <row r="168" spans="1:32" ht="15" customHeight="1">
      <c r="A168" s="18"/>
      <c r="B168" s="21"/>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c r="AA168" s="25"/>
      <c r="AB168" s="25"/>
      <c r="AC168" s="25"/>
      <c r="AD168" s="25"/>
      <c r="AE168" s="25"/>
      <c r="AF168" s="53"/>
    </row>
    <row r="169" spans="1:32" ht="15" customHeight="1">
      <c r="A169" s="18"/>
      <c r="B169" s="21"/>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c r="AA169" s="25"/>
      <c r="AB169" s="25"/>
      <c r="AC169" s="25"/>
      <c r="AD169" s="25"/>
      <c r="AE169" s="25"/>
      <c r="AF169" s="53"/>
    </row>
    <row r="171" spans="1:32" ht="15" customHeight="1">
      <c r="A171" s="18"/>
      <c r="B171" s="20"/>
      <c r="C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9"/>
    </row>
    <row r="172" spans="1:32" ht="12" customHeight="1">
      <c r="A172" s="18"/>
      <c r="B172" s="21"/>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c r="AA172" s="25"/>
      <c r="AB172" s="25"/>
      <c r="AC172" s="25"/>
      <c r="AD172" s="25"/>
      <c r="AE172" s="25"/>
      <c r="AF172" s="53"/>
    </row>
    <row r="173" spans="1:32" ht="15" customHeight="1">
      <c r="A173" s="18"/>
      <c r="B173" s="21"/>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c r="AA173" s="25"/>
      <c r="AB173" s="25"/>
      <c r="AC173" s="25"/>
      <c r="AD173" s="25"/>
      <c r="AE173" s="25"/>
      <c r="AF173" s="53"/>
    </row>
    <row r="175" spans="1:32" ht="15" customHeight="1">
      <c r="A175" s="18"/>
      <c r="B175" s="20"/>
      <c r="C175" s="24"/>
      <c r="D175" s="24"/>
      <c r="E175" s="24"/>
      <c r="F175" s="24"/>
      <c r="G175" s="24"/>
      <c r="H175" s="24"/>
      <c r="I175" s="24"/>
      <c r="J175" s="24"/>
      <c r="K175" s="24"/>
      <c r="L175" s="24"/>
      <c r="M175" s="24"/>
      <c r="N175" s="24"/>
      <c r="O175" s="24"/>
      <c r="P175" s="24"/>
      <c r="Q175" s="24"/>
      <c r="R175" s="24"/>
      <c r="S175" s="24"/>
      <c r="T175" s="24"/>
      <c r="U175" s="24"/>
      <c r="V175" s="24"/>
      <c r="W175" s="24"/>
      <c r="X175" s="24"/>
      <c r="Y175" s="24"/>
      <c r="Z175" s="24"/>
      <c r="AA175" s="24"/>
      <c r="AB175" s="24"/>
      <c r="AC175" s="24"/>
      <c r="AD175" s="24"/>
      <c r="AE175" s="24"/>
      <c r="AF175" s="29"/>
    </row>
    <row r="176" spans="1:32" ht="15" customHeight="1">
      <c r="A176" s="18"/>
      <c r="B176" s="21"/>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c r="AA176" s="25"/>
      <c r="AB176" s="25"/>
      <c r="AC176" s="25"/>
      <c r="AD176" s="25"/>
      <c r="AE176" s="25"/>
      <c r="AF176" s="53"/>
    </row>
    <row r="177" spans="1:32" ht="15" customHeight="1">
      <c r="A177" s="18"/>
      <c r="B177" s="21"/>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c r="AA177" s="25"/>
      <c r="AB177" s="25"/>
      <c r="AC177" s="25"/>
      <c r="AD177" s="25"/>
      <c r="AE177" s="25"/>
      <c r="AF177" s="53"/>
    </row>
    <row r="178" spans="1:32" ht="15" customHeight="1">
      <c r="A178" s="18"/>
      <c r="B178" s="21"/>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c r="AA178" s="25"/>
      <c r="AB178" s="25"/>
      <c r="AC178" s="25"/>
      <c r="AD178" s="25"/>
      <c r="AE178" s="25"/>
      <c r="AF178" s="53"/>
    </row>
    <row r="180" spans="1:32" ht="15" customHeight="1">
      <c r="A180" s="18"/>
      <c r="B180" s="20"/>
      <c r="C180" s="24"/>
      <c r="D180" s="24"/>
      <c r="E180" s="24"/>
      <c r="F180" s="24"/>
      <c r="G180" s="24"/>
      <c r="H180" s="24"/>
      <c r="I180" s="24"/>
      <c r="J180" s="24"/>
      <c r="K180" s="24"/>
      <c r="L180" s="24"/>
      <c r="M180" s="24"/>
      <c r="N180" s="24"/>
      <c r="O180" s="24"/>
      <c r="P180" s="24"/>
      <c r="Q180" s="24"/>
      <c r="R180" s="24"/>
      <c r="S180" s="24"/>
      <c r="T180" s="24"/>
      <c r="U180" s="24"/>
      <c r="V180" s="24"/>
      <c r="W180" s="24"/>
      <c r="X180" s="24"/>
      <c r="Y180" s="24"/>
      <c r="Z180" s="24"/>
      <c r="AA180" s="24"/>
      <c r="AB180" s="24"/>
      <c r="AC180" s="24"/>
      <c r="AD180" s="24"/>
      <c r="AE180" s="24"/>
      <c r="AF180" s="29"/>
    </row>
    <row r="181" spans="1:32" ht="12" customHeight="1">
      <c r="A181" s="18"/>
      <c r="B181" s="21"/>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c r="AA181" s="25"/>
      <c r="AB181" s="25"/>
      <c r="AC181" s="25"/>
      <c r="AD181" s="25"/>
      <c r="AE181" s="25"/>
      <c r="AF181" s="53"/>
    </row>
    <row r="182" spans="1:32" ht="12" customHeight="1">
      <c r="A182" s="18"/>
      <c r="B182" s="21"/>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c r="AA182" s="25"/>
      <c r="AB182" s="25"/>
      <c r="AC182" s="25"/>
      <c r="AD182" s="25"/>
      <c r="AE182" s="25"/>
      <c r="AF182" s="53"/>
    </row>
    <row r="183" spans="1:32" ht="15" customHeight="1">
      <c r="A183" s="18"/>
      <c r="B183" s="21"/>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c r="AA183" s="25"/>
      <c r="AB183" s="25"/>
      <c r="AC183" s="25"/>
      <c r="AD183" s="25"/>
      <c r="AE183" s="25"/>
      <c r="AF183" s="53"/>
    </row>
    <row r="184" spans="1:32" ht="15" customHeight="1">
      <c r="A184" s="18"/>
      <c r="B184" s="21"/>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c r="AA184" s="25"/>
      <c r="AB184" s="25"/>
      <c r="AC184" s="25"/>
      <c r="AD184" s="25"/>
      <c r="AE184" s="25"/>
      <c r="AF184" s="53"/>
    </row>
    <row r="185" spans="1:32" ht="15" customHeight="1">
      <c r="A185" s="18"/>
      <c r="B185" s="21"/>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c r="AA185" s="25"/>
      <c r="AB185" s="25"/>
      <c r="AC185" s="25"/>
      <c r="AD185" s="25"/>
      <c r="AE185" s="25"/>
      <c r="AF185" s="53"/>
    </row>
    <row r="186" spans="1:32" ht="15" customHeight="1">
      <c r="A186" s="18"/>
      <c r="B186" s="21"/>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c r="AA186" s="25"/>
      <c r="AB186" s="25"/>
      <c r="AC186" s="25"/>
      <c r="AD186" s="25"/>
      <c r="AE186" s="25"/>
      <c r="AF186" s="53"/>
    </row>
    <row r="187" spans="1:32" ht="15" customHeight="1">
      <c r="A187" s="18"/>
      <c r="B187" s="21"/>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c r="AA187" s="25"/>
      <c r="AB187" s="25"/>
      <c r="AC187" s="25"/>
      <c r="AD187" s="25"/>
      <c r="AE187" s="25"/>
      <c r="AF187" s="53"/>
    </row>
    <row r="188" spans="1:32" ht="12" customHeight="1">
      <c r="A188" s="18"/>
      <c r="B188" s="21"/>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c r="AA188" s="25"/>
      <c r="AB188" s="25"/>
      <c r="AC188" s="25"/>
      <c r="AD188" s="25"/>
      <c r="AE188" s="25"/>
      <c r="AF188" s="53"/>
    </row>
    <row r="189" spans="1:32" ht="15" customHeight="1">
      <c r="A189" s="18"/>
      <c r="B189" s="21"/>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c r="AA189" s="25"/>
      <c r="AB189" s="25"/>
      <c r="AC189" s="25"/>
      <c r="AD189" s="25"/>
      <c r="AE189" s="25"/>
      <c r="AF189" s="53"/>
    </row>
    <row r="190" spans="1:32" ht="15" customHeight="1">
      <c r="A190" s="18"/>
      <c r="B190" s="21"/>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c r="AA190" s="25"/>
      <c r="AB190" s="25"/>
      <c r="AC190" s="25"/>
      <c r="AD190" s="25"/>
      <c r="AE190" s="25"/>
      <c r="AF190" s="53"/>
    </row>
    <row r="191" spans="1:32" ht="15" customHeight="1">
      <c r="A191" s="18"/>
      <c r="B191" s="21"/>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c r="AA191" s="25"/>
      <c r="AB191" s="25"/>
      <c r="AC191" s="25"/>
      <c r="AD191" s="25"/>
      <c r="AE191" s="25"/>
      <c r="AF191" s="53"/>
    </row>
    <row r="192" spans="1:32" ht="15" customHeight="1">
      <c r="A192" s="18"/>
      <c r="B192" s="21"/>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c r="AA192" s="25"/>
      <c r="AB192" s="25"/>
      <c r="AC192" s="25"/>
      <c r="AD192" s="25"/>
      <c r="AE192" s="25"/>
      <c r="AF192" s="53"/>
    </row>
    <row r="193" spans="1:32" ht="15" customHeight="1">
      <c r="A193" s="18"/>
      <c r="B193" s="21"/>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c r="AA193" s="25"/>
      <c r="AB193" s="25"/>
      <c r="AC193" s="25"/>
      <c r="AD193" s="25"/>
      <c r="AE193" s="25"/>
      <c r="AF193" s="53"/>
    </row>
    <row r="194" spans="1:32" ht="12" customHeight="1">
      <c r="A194" s="18"/>
      <c r="B194" s="21"/>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c r="AA194" s="25"/>
      <c r="AB194" s="25"/>
      <c r="AC194" s="25"/>
      <c r="AD194" s="25"/>
      <c r="AE194" s="25"/>
      <c r="AF194" s="53"/>
    </row>
    <row r="195" spans="1:32" ht="15" customHeight="1">
      <c r="A195" s="18"/>
      <c r="B195" s="21"/>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c r="AA195" s="25"/>
      <c r="AB195" s="25"/>
      <c r="AC195" s="25"/>
      <c r="AD195" s="25"/>
      <c r="AE195" s="25"/>
      <c r="AF195" s="53"/>
    </row>
    <row r="196" spans="1:32" ht="15" customHeight="1">
      <c r="A196" s="18"/>
      <c r="B196" s="21"/>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c r="AA196" s="25"/>
      <c r="AB196" s="25"/>
      <c r="AC196" s="25"/>
      <c r="AD196" s="25"/>
      <c r="AE196" s="25"/>
      <c r="AF196" s="53"/>
    </row>
    <row r="197" spans="1:32" ht="15" customHeight="1">
      <c r="A197" s="18"/>
      <c r="B197" s="21"/>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c r="AA197" s="25"/>
      <c r="AB197" s="25"/>
      <c r="AC197" s="25"/>
      <c r="AD197" s="25"/>
      <c r="AE197" s="25"/>
      <c r="AF197" s="53"/>
    </row>
    <row r="198" spans="1:32" ht="15" customHeight="1">
      <c r="A198" s="18"/>
      <c r="B198" s="21"/>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c r="AA198" s="25"/>
      <c r="AB198" s="25"/>
      <c r="AC198" s="25"/>
      <c r="AD198" s="25"/>
      <c r="AE198" s="25"/>
      <c r="AF198" s="53"/>
    </row>
    <row r="199" spans="1:32" ht="15" customHeight="1">
      <c r="A199" s="18"/>
      <c r="B199" s="21"/>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c r="AA199" s="25"/>
      <c r="AB199" s="25"/>
      <c r="AC199" s="25"/>
      <c r="AD199" s="25"/>
      <c r="AE199" s="25"/>
      <c r="AF199" s="53"/>
    </row>
    <row r="200" spans="1:32" ht="12" customHeight="1">
      <c r="A200" s="18"/>
      <c r="B200" s="21"/>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c r="AA200" s="25"/>
      <c r="AB200" s="25"/>
      <c r="AC200" s="25"/>
      <c r="AD200" s="25"/>
      <c r="AE200" s="25"/>
      <c r="AF200" s="53"/>
    </row>
    <row r="201" spans="1:32" ht="15" customHeight="1">
      <c r="A201" s="18"/>
      <c r="B201" s="21"/>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c r="AA201" s="25"/>
      <c r="AB201" s="25"/>
      <c r="AC201" s="25"/>
      <c r="AD201" s="25"/>
      <c r="AE201" s="25"/>
      <c r="AF201" s="53"/>
    </row>
    <row r="202" spans="1:32" ht="15" customHeight="1">
      <c r="A202" s="18"/>
      <c r="B202" s="21"/>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c r="AA202" s="25"/>
      <c r="AB202" s="25"/>
      <c r="AC202" s="25"/>
      <c r="AD202" s="25"/>
      <c r="AE202" s="25"/>
      <c r="AF202" s="53"/>
    </row>
    <row r="203" spans="1:32" ht="15" customHeight="1">
      <c r="A203" s="18"/>
      <c r="B203" s="21"/>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c r="AA203" s="25"/>
      <c r="AB203" s="25"/>
      <c r="AC203" s="25"/>
      <c r="AD203" s="25"/>
      <c r="AE203" s="25"/>
      <c r="AF203" s="53"/>
    </row>
    <row r="204" spans="1:32" ht="12" customHeight="1">
      <c r="A204" s="18"/>
      <c r="B204" s="21"/>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c r="AA204" s="25"/>
      <c r="AB204" s="25"/>
      <c r="AC204" s="25"/>
      <c r="AD204" s="25"/>
      <c r="AE204" s="25"/>
      <c r="AF204" s="53"/>
    </row>
    <row r="205" spans="1:32" ht="15" customHeight="1">
      <c r="A205" s="18"/>
      <c r="B205" s="20"/>
      <c r="C205" s="24"/>
      <c r="D205" s="24"/>
      <c r="E205" s="24"/>
      <c r="F205" s="24"/>
      <c r="G205" s="24"/>
      <c r="H205" s="24"/>
      <c r="I205" s="24"/>
      <c r="J205" s="24"/>
      <c r="K205" s="24"/>
      <c r="L205" s="24"/>
      <c r="M205" s="24"/>
      <c r="N205" s="24"/>
      <c r="O205" s="24"/>
      <c r="P205" s="24"/>
      <c r="Q205" s="24"/>
      <c r="R205" s="24"/>
      <c r="S205" s="24"/>
      <c r="T205" s="24"/>
      <c r="U205" s="24"/>
      <c r="V205" s="24"/>
      <c r="W205" s="24"/>
      <c r="X205" s="24"/>
      <c r="Y205" s="24"/>
      <c r="Z205" s="24"/>
      <c r="AA205" s="24"/>
      <c r="AB205" s="24"/>
      <c r="AC205" s="24"/>
      <c r="AD205" s="24"/>
      <c r="AE205" s="24"/>
      <c r="AF205" s="29"/>
    </row>
    <row r="206" spans="1:32" ht="15" customHeight="1">
      <c r="A206" s="18"/>
      <c r="B206" s="21"/>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c r="AA206" s="25"/>
      <c r="AB206" s="25"/>
      <c r="AC206" s="25"/>
      <c r="AD206" s="25"/>
      <c r="AE206" s="25"/>
      <c r="AF206" s="53"/>
    </row>
    <row r="207" spans="1:32" ht="15" customHeight="1">
      <c r="A207" s="18"/>
      <c r="B207" s="21"/>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c r="AA207" s="25"/>
      <c r="AB207" s="25"/>
      <c r="AC207" s="25"/>
      <c r="AD207" s="25"/>
      <c r="AE207" s="25"/>
      <c r="AF207" s="53"/>
    </row>
    <row r="208" spans="1:32" ht="15" customHeight="1">
      <c r="A208" s="18"/>
      <c r="B208" s="21"/>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c r="AA208" s="25"/>
      <c r="AB208" s="25"/>
      <c r="AC208" s="25"/>
      <c r="AD208" s="25"/>
      <c r="AE208" s="25"/>
      <c r="AF208" s="53"/>
    </row>
    <row r="209" spans="1:32" ht="12" customHeight="1">
      <c r="A209" s="18"/>
      <c r="B209" s="21"/>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c r="AA209" s="25"/>
      <c r="AB209" s="25"/>
      <c r="AC209" s="25"/>
      <c r="AD209" s="25"/>
      <c r="AE209" s="25"/>
      <c r="AF209" s="53"/>
    </row>
    <row r="210" spans="1:32" ht="15" customHeight="1">
      <c r="A210" s="18"/>
      <c r="B210" s="21"/>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c r="AA210" s="25"/>
      <c r="AB210" s="25"/>
      <c r="AC210" s="25"/>
      <c r="AD210" s="25"/>
      <c r="AE210" s="25"/>
      <c r="AF210" s="53"/>
    </row>
    <row r="211" spans="1:32" ht="15" customHeight="1">
      <c r="A211" s="18"/>
      <c r="B211" s="21"/>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c r="AA211" s="25"/>
      <c r="AB211" s="25"/>
      <c r="AC211" s="25"/>
      <c r="AD211" s="25"/>
      <c r="AE211" s="25"/>
      <c r="AF211" s="53"/>
    </row>
    <row r="212" spans="1:32" ht="15" customHeight="1">
      <c r="A212" s="18"/>
      <c r="B212" s="21"/>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c r="AA212" s="25"/>
      <c r="AB212" s="25"/>
      <c r="AC212" s="25"/>
      <c r="AD212" s="25"/>
      <c r="AE212" s="25"/>
      <c r="AF212" s="53"/>
    </row>
    <row r="213" spans="1:32" ht="15" customHeight="1">
      <c r="A213" s="18"/>
      <c r="B213" s="21"/>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c r="AA213" s="25"/>
      <c r="AB213" s="25"/>
      <c r="AC213" s="25"/>
      <c r="AD213" s="25"/>
      <c r="AE213" s="25"/>
      <c r="AF213" s="53"/>
    </row>
    <row r="214" spans="1:32" ht="15" customHeight="1">
      <c r="A214" s="18"/>
      <c r="B214" s="21"/>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c r="AA214" s="25"/>
      <c r="AB214" s="25"/>
      <c r="AC214" s="25"/>
      <c r="AD214" s="25"/>
      <c r="AE214" s="25"/>
      <c r="AF214" s="53"/>
    </row>
    <row r="215" spans="1:32" ht="15" customHeight="1">
      <c r="A215" s="18"/>
      <c r="B215" s="21"/>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c r="AA215" s="25"/>
      <c r="AB215" s="25"/>
      <c r="AC215" s="25"/>
      <c r="AD215" s="25"/>
      <c r="AE215" s="25"/>
      <c r="AF215" s="53"/>
    </row>
    <row r="216" spans="1:32" ht="15" customHeight="1">
      <c r="A216" s="18"/>
      <c r="B216" s="21"/>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c r="AA216" s="25"/>
      <c r="AB216" s="25"/>
      <c r="AC216" s="25"/>
      <c r="AD216" s="25"/>
      <c r="AE216" s="25"/>
      <c r="AF216" s="53"/>
    </row>
    <row r="217" spans="1:32" ht="15" customHeight="1">
      <c r="A217" s="18"/>
      <c r="B217" s="21"/>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c r="AA217" s="25"/>
      <c r="AB217" s="25"/>
      <c r="AC217" s="25"/>
      <c r="AD217" s="25"/>
      <c r="AE217" s="25"/>
      <c r="AF217" s="53"/>
    </row>
    <row r="219" spans="1:32" ht="15" customHeight="1">
      <c r="A219" s="18"/>
      <c r="B219" s="20"/>
      <c r="C219" s="24"/>
      <c r="D219" s="24"/>
      <c r="E219" s="24"/>
      <c r="F219" s="24"/>
      <c r="G219" s="24"/>
      <c r="H219" s="24"/>
      <c r="I219" s="24"/>
      <c r="J219" s="24"/>
      <c r="K219" s="24"/>
      <c r="L219" s="24"/>
      <c r="M219" s="24"/>
      <c r="N219" s="24"/>
      <c r="O219" s="24"/>
      <c r="P219" s="24"/>
      <c r="Q219" s="24"/>
      <c r="R219" s="24"/>
      <c r="S219" s="24"/>
      <c r="T219" s="24"/>
      <c r="U219" s="24"/>
      <c r="V219" s="24"/>
      <c r="W219" s="24"/>
      <c r="X219" s="24"/>
      <c r="Y219" s="24"/>
      <c r="Z219" s="24"/>
      <c r="AA219" s="24"/>
      <c r="AB219" s="24"/>
      <c r="AC219" s="24"/>
      <c r="AD219" s="24"/>
      <c r="AE219" s="24"/>
      <c r="AF219" s="29"/>
    </row>
    <row r="220" spans="1:32" ht="15" customHeight="1">
      <c r="A220" s="18"/>
      <c r="B220" s="21"/>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53"/>
    </row>
    <row r="221" spans="1:32" ht="15" customHeight="1">
      <c r="A221" s="18"/>
      <c r="B221" s="21"/>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c r="AA221" s="25"/>
      <c r="AB221" s="25"/>
      <c r="AC221" s="25"/>
      <c r="AD221" s="25"/>
      <c r="AE221" s="25"/>
      <c r="AF221" s="53"/>
    </row>
    <row r="223" spans="1:32" ht="15" customHeight="1">
      <c r="A223" s="18"/>
      <c r="B223" s="21"/>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c r="AA223" s="25"/>
      <c r="AB223" s="25"/>
      <c r="AC223" s="25"/>
      <c r="AD223" s="25"/>
      <c r="AE223" s="25"/>
      <c r="AF223" s="53"/>
    </row>
    <row r="224" spans="1:32" ht="15" customHeight="1">
      <c r="A224" s="18"/>
      <c r="B224" s="21"/>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c r="AA224" s="25"/>
      <c r="AB224" s="25"/>
      <c r="AC224" s="25"/>
      <c r="AD224" s="25"/>
      <c r="AE224" s="25"/>
      <c r="AF224" s="53"/>
    </row>
    <row r="226" spans="1:32" ht="15" customHeight="1">
      <c r="A226" s="18"/>
      <c r="B226" s="26"/>
      <c r="C226" s="27"/>
      <c r="D226" s="27"/>
      <c r="E226" s="27"/>
      <c r="F226" s="27"/>
      <c r="G226" s="27"/>
      <c r="H226" s="27"/>
      <c r="I226" s="27"/>
      <c r="J226" s="27"/>
      <c r="K226" s="27"/>
      <c r="L226" s="27"/>
      <c r="M226" s="27"/>
      <c r="N226" s="27"/>
      <c r="O226" s="27"/>
      <c r="P226" s="27"/>
      <c r="Q226" s="27"/>
      <c r="R226" s="27"/>
      <c r="S226" s="27"/>
      <c r="T226" s="27"/>
      <c r="U226" s="27"/>
      <c r="V226" s="27"/>
      <c r="W226" s="27"/>
      <c r="X226" s="27"/>
      <c r="Y226" s="27"/>
      <c r="Z226" s="27"/>
      <c r="AA226" s="27"/>
      <c r="AB226" s="27"/>
      <c r="AC226" s="27"/>
      <c r="AD226" s="27"/>
      <c r="AE226" s="27"/>
      <c r="AF226" s="54"/>
    </row>
    <row r="227" spans="1:32" ht="15" customHeight="1"/>
    <row r="228" spans="1:32" ht="15" customHeight="1">
      <c r="B228" s="28"/>
    </row>
    <row r="229" spans="1:32" ht="15" customHeight="1">
      <c r="B229" s="22"/>
    </row>
    <row r="230" spans="1:32" ht="15" customHeight="1">
      <c r="B230" s="22"/>
    </row>
    <row r="231" spans="1:32" ht="15" customHeight="1">
      <c r="B231" s="22"/>
    </row>
    <row r="232" spans="1:32" ht="15" customHeight="1">
      <c r="B232" s="22"/>
    </row>
    <row r="233" spans="1:32" ht="15" customHeight="1">
      <c r="B233" s="22"/>
    </row>
    <row r="234" spans="1:32" ht="15" customHeight="1">
      <c r="B234" s="22"/>
    </row>
    <row r="235" spans="1:32" ht="15" customHeight="1">
      <c r="B235" s="22"/>
    </row>
    <row r="236" spans="1:32" ht="15" customHeight="1">
      <c r="B236" s="22"/>
    </row>
    <row r="248" ht="12" customHeight="1"/>
    <row r="252" ht="12" customHeight="1"/>
    <row r="255" ht="12" customHeight="1"/>
    <row r="257" spans="2:32" ht="15" customHeight="1"/>
    <row r="258" spans="2:32" ht="15" customHeight="1">
      <c r="B258" s="108"/>
      <c r="C258" s="108"/>
      <c r="D258" s="108"/>
      <c r="E258" s="108"/>
      <c r="F258" s="108"/>
      <c r="G258" s="108"/>
      <c r="H258" s="108"/>
      <c r="I258" s="108"/>
      <c r="J258" s="108"/>
      <c r="K258" s="108"/>
      <c r="L258" s="108"/>
      <c r="M258" s="108"/>
      <c r="N258" s="108"/>
      <c r="O258" s="108"/>
      <c r="P258" s="108"/>
      <c r="Q258" s="108"/>
      <c r="R258" s="108"/>
      <c r="S258" s="108"/>
      <c r="T258" s="108"/>
      <c r="U258" s="108"/>
      <c r="V258" s="108"/>
      <c r="W258" s="108"/>
      <c r="X258" s="108"/>
      <c r="Y258" s="108"/>
      <c r="Z258" s="108"/>
      <c r="AA258" s="108"/>
      <c r="AB258" s="108"/>
      <c r="AC258" s="108"/>
      <c r="AD258" s="108"/>
      <c r="AE258" s="108"/>
      <c r="AF258" s="108"/>
    </row>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2" ht="15" customHeight="1"/>
    <row r="340" spans="2:32" ht="15" customHeight="1">
      <c r="B340" s="108"/>
      <c r="C340" s="108"/>
      <c r="D340" s="108"/>
      <c r="E340" s="108"/>
      <c r="F340" s="108"/>
      <c r="G340" s="108"/>
      <c r="H340" s="108"/>
      <c r="I340" s="108"/>
      <c r="J340" s="108"/>
      <c r="K340" s="108"/>
      <c r="L340" s="108"/>
      <c r="M340" s="108"/>
      <c r="N340" s="108"/>
      <c r="O340" s="108"/>
      <c r="P340" s="108"/>
      <c r="Q340" s="108"/>
      <c r="R340" s="108"/>
      <c r="S340" s="108"/>
      <c r="T340" s="108"/>
      <c r="U340" s="108"/>
      <c r="V340" s="108"/>
      <c r="W340" s="108"/>
      <c r="X340" s="108"/>
      <c r="Y340" s="108"/>
      <c r="Z340" s="108"/>
      <c r="AA340" s="108"/>
      <c r="AB340" s="108"/>
      <c r="AC340" s="108"/>
      <c r="AD340" s="108"/>
      <c r="AE340" s="108"/>
      <c r="AF340" s="108"/>
    </row>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2" ht="12" customHeight="1"/>
    <row r="451" spans="2:32" ht="15" customHeight="1"/>
    <row r="452" spans="2:32" ht="15" customHeight="1">
      <c r="B452" s="108"/>
      <c r="C452" s="108"/>
      <c r="D452" s="108"/>
      <c r="E452" s="108"/>
      <c r="F452" s="108"/>
      <c r="G452" s="108"/>
      <c r="H452" s="108"/>
      <c r="I452" s="108"/>
      <c r="J452" s="108"/>
      <c r="K452" s="108"/>
      <c r="L452" s="108"/>
      <c r="M452" s="108"/>
      <c r="N452" s="108"/>
      <c r="O452" s="108"/>
      <c r="P452" s="108"/>
      <c r="Q452" s="108"/>
      <c r="R452" s="108"/>
      <c r="S452" s="108"/>
      <c r="T452" s="108"/>
      <c r="U452" s="108"/>
      <c r="V452" s="108"/>
      <c r="W452" s="108"/>
      <c r="X452" s="108"/>
      <c r="Y452" s="108"/>
      <c r="Z452" s="108"/>
      <c r="AA452" s="108"/>
      <c r="AB452" s="108"/>
      <c r="AC452" s="108"/>
      <c r="AD452" s="108"/>
      <c r="AE452" s="108"/>
      <c r="AF452" s="108"/>
    </row>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3" ht="15" customHeight="1"/>
    <row r="504" ht="15" customHeight="1"/>
    <row r="510" ht="12" customHeight="1"/>
    <row r="527" ht="12" customHeight="1"/>
    <row r="529" ht="12" customHeight="1"/>
    <row r="535" ht="12" customHeight="1"/>
    <row r="552" spans="2:32" ht="12" customHeight="1"/>
    <row r="554" spans="2:32" ht="12" customHeight="1"/>
    <row r="556" spans="2:32" ht="15" customHeight="1"/>
    <row r="557" spans="2:32" ht="15" customHeight="1">
      <c r="B557" s="108"/>
      <c r="C557" s="108"/>
      <c r="D557" s="108"/>
      <c r="E557" s="108"/>
      <c r="F557" s="108"/>
      <c r="G557" s="108"/>
      <c r="H557" s="108"/>
      <c r="I557" s="108"/>
      <c r="J557" s="108"/>
      <c r="K557" s="108"/>
      <c r="L557" s="108"/>
      <c r="M557" s="108"/>
      <c r="N557" s="108"/>
      <c r="O557" s="108"/>
      <c r="P557" s="108"/>
      <c r="Q557" s="108"/>
      <c r="R557" s="108"/>
      <c r="S557" s="108"/>
      <c r="T557" s="108"/>
      <c r="U557" s="108"/>
      <c r="V557" s="108"/>
      <c r="W557" s="108"/>
      <c r="X557" s="108"/>
      <c r="Y557" s="108"/>
      <c r="Z557" s="108"/>
      <c r="AA557" s="108"/>
      <c r="AB557" s="108"/>
      <c r="AC557" s="108"/>
      <c r="AD557" s="108"/>
      <c r="AE557" s="108"/>
      <c r="AF557" s="108"/>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2" ht="12" customHeight="1"/>
    <row r="627" spans="2:32" ht="12" customHeight="1"/>
    <row r="630" spans="2:32" ht="12" customHeight="1"/>
    <row r="632" spans="2:32" ht="12" customHeight="1"/>
    <row r="633" spans="2:32" ht="12" customHeight="1"/>
    <row r="635" spans="2:32" ht="12" customHeight="1"/>
    <row r="637" spans="2:32" ht="15" customHeight="1"/>
    <row r="638" spans="2:32" ht="15" customHeight="1">
      <c r="B638" s="108"/>
      <c r="C638" s="108"/>
      <c r="D638" s="108"/>
      <c r="E638" s="108"/>
      <c r="F638" s="108"/>
      <c r="G638" s="108"/>
      <c r="H638" s="108"/>
      <c r="I638" s="108"/>
      <c r="J638" s="108"/>
      <c r="K638" s="108"/>
      <c r="L638" s="108"/>
      <c r="M638" s="108"/>
      <c r="N638" s="108"/>
      <c r="O638" s="108"/>
      <c r="P638" s="108"/>
      <c r="Q638" s="108"/>
      <c r="R638" s="108"/>
      <c r="S638" s="108"/>
      <c r="T638" s="108"/>
      <c r="U638" s="108"/>
      <c r="V638" s="108"/>
      <c r="W638" s="108"/>
      <c r="X638" s="108"/>
      <c r="Y638" s="108"/>
      <c r="Z638" s="108"/>
      <c r="AA638" s="108"/>
      <c r="AB638" s="108"/>
      <c r="AC638" s="108"/>
      <c r="AD638" s="108"/>
      <c r="AE638" s="108"/>
      <c r="AF638" s="108"/>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2" ht="15" customHeight="1"/>
    <row r="710" spans="2:32" ht="15" customHeight="1">
      <c r="B710" s="108"/>
      <c r="C710" s="108"/>
      <c r="D710" s="108"/>
      <c r="E710" s="108"/>
      <c r="F710" s="108"/>
      <c r="G710" s="108"/>
      <c r="H710" s="108"/>
      <c r="I710" s="108"/>
      <c r="J710" s="108"/>
      <c r="K710" s="108"/>
      <c r="L710" s="108"/>
      <c r="M710" s="108"/>
      <c r="N710" s="108"/>
      <c r="O710" s="108"/>
      <c r="P710" s="108"/>
      <c r="Q710" s="108"/>
      <c r="R710" s="108"/>
      <c r="S710" s="108"/>
      <c r="T710" s="108"/>
      <c r="U710" s="108"/>
      <c r="V710" s="108"/>
      <c r="W710" s="108"/>
      <c r="X710" s="108"/>
      <c r="Y710" s="108"/>
      <c r="Z710" s="108"/>
      <c r="AA710" s="108"/>
      <c r="AB710" s="108"/>
      <c r="AC710" s="108"/>
      <c r="AD710" s="108"/>
      <c r="AE710" s="108"/>
      <c r="AF710" s="108"/>
    </row>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2" ht="12" customHeight="1"/>
    <row r="885" spans="2:32" ht="15" customHeight="1"/>
    <row r="886" spans="2:32" ht="15" customHeight="1">
      <c r="B886" s="108"/>
      <c r="C886" s="108"/>
      <c r="D886" s="108"/>
      <c r="E886" s="108"/>
      <c r="F886" s="108"/>
      <c r="G886" s="108"/>
      <c r="H886" s="108"/>
      <c r="I886" s="108"/>
      <c r="J886" s="108"/>
      <c r="K886" s="108"/>
      <c r="L886" s="108"/>
      <c r="M886" s="108"/>
      <c r="N886" s="108"/>
      <c r="O886" s="108"/>
      <c r="P886" s="108"/>
      <c r="Q886" s="108"/>
      <c r="R886" s="108"/>
      <c r="S886" s="108"/>
      <c r="T886" s="108"/>
      <c r="U886" s="108"/>
      <c r="V886" s="108"/>
      <c r="W886" s="108"/>
      <c r="X886" s="108"/>
      <c r="Y886" s="108"/>
      <c r="Z886" s="108"/>
      <c r="AA886" s="108"/>
      <c r="AB886" s="108"/>
      <c r="AC886" s="108"/>
      <c r="AD886" s="108"/>
      <c r="AE886" s="108"/>
      <c r="AF886" s="108"/>
    </row>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2" ht="15" customHeight="1"/>
    <row r="969" spans="2:32" ht="15" customHeight="1">
      <c r="B969" s="108"/>
      <c r="C969" s="108"/>
      <c r="D969" s="108"/>
      <c r="E969" s="108"/>
      <c r="F969" s="108"/>
      <c r="G969" s="108"/>
      <c r="H969" s="108"/>
      <c r="I969" s="108"/>
      <c r="J969" s="108"/>
      <c r="K969" s="108"/>
      <c r="L969" s="108"/>
      <c r="M969" s="108"/>
      <c r="N969" s="108"/>
      <c r="O969" s="108"/>
      <c r="P969" s="108"/>
      <c r="Q969" s="108"/>
      <c r="R969" s="108"/>
      <c r="S969" s="108"/>
      <c r="T969" s="108"/>
      <c r="U969" s="108"/>
      <c r="V969" s="108"/>
      <c r="W969" s="108"/>
      <c r="X969" s="108"/>
      <c r="Y969" s="108"/>
      <c r="Z969" s="108"/>
      <c r="AA969" s="108"/>
      <c r="AB969" s="108"/>
      <c r="AC969" s="108"/>
      <c r="AD969" s="108"/>
      <c r="AE969" s="108"/>
      <c r="AF969" s="108"/>
    </row>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2" ht="12" customHeight="1"/>
    <row r="1070" spans="2:32" ht="15" customHeight="1"/>
    <row r="1071" spans="2:32" ht="15" customHeight="1">
      <c r="B1071" s="108"/>
      <c r="C1071" s="108"/>
      <c r="D1071" s="108"/>
      <c r="E1071" s="108"/>
      <c r="F1071" s="108"/>
      <c r="G1071" s="108"/>
      <c r="H1071" s="108"/>
      <c r="I1071" s="108"/>
      <c r="J1071" s="108"/>
      <c r="K1071" s="108"/>
      <c r="L1071" s="108"/>
      <c r="M1071" s="108"/>
      <c r="N1071" s="108"/>
      <c r="O1071" s="108"/>
      <c r="P1071" s="108"/>
      <c r="Q1071" s="108"/>
      <c r="R1071" s="108"/>
      <c r="S1071" s="108"/>
      <c r="T1071" s="108"/>
      <c r="U1071" s="108"/>
      <c r="V1071" s="108"/>
      <c r="W1071" s="108"/>
      <c r="X1071" s="108"/>
      <c r="Y1071" s="108"/>
      <c r="Z1071" s="108"/>
      <c r="AA1071" s="108"/>
      <c r="AB1071" s="108"/>
      <c r="AC1071" s="108"/>
      <c r="AD1071" s="108"/>
      <c r="AE1071" s="108"/>
      <c r="AF1071" s="108"/>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2" ht="15" customHeight="1">
      <c r="B1169" s="108"/>
      <c r="C1169" s="108"/>
      <c r="D1169" s="108"/>
      <c r="E1169" s="108"/>
      <c r="F1169" s="108"/>
      <c r="G1169" s="108"/>
      <c r="H1169" s="108"/>
      <c r="I1169" s="108"/>
      <c r="J1169" s="108"/>
      <c r="K1169" s="108"/>
      <c r="L1169" s="108"/>
      <c r="M1169" s="108"/>
      <c r="N1169" s="108"/>
      <c r="O1169" s="108"/>
      <c r="P1169" s="108"/>
      <c r="Q1169" s="108"/>
      <c r="R1169" s="108"/>
      <c r="S1169" s="108"/>
      <c r="T1169" s="108"/>
      <c r="U1169" s="108"/>
      <c r="V1169" s="108"/>
      <c r="W1169" s="108"/>
      <c r="X1169" s="108"/>
      <c r="Y1169" s="108"/>
      <c r="Z1169" s="108"/>
      <c r="AA1169" s="108"/>
      <c r="AB1169" s="108"/>
      <c r="AC1169" s="108"/>
      <c r="AD1169" s="108"/>
      <c r="AE1169" s="108"/>
      <c r="AF1169" s="108"/>
    </row>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2" ht="15" customHeight="1"/>
    <row r="1269" spans="2:32" ht="15" customHeight="1">
      <c r="B1269" s="108"/>
      <c r="C1269" s="108"/>
      <c r="D1269" s="108"/>
      <c r="E1269" s="108"/>
      <c r="F1269" s="108"/>
      <c r="G1269" s="108"/>
      <c r="H1269" s="108"/>
      <c r="I1269" s="108"/>
      <c r="J1269" s="108"/>
      <c r="K1269" s="108"/>
      <c r="L1269" s="108"/>
      <c r="M1269" s="108"/>
      <c r="N1269" s="108"/>
      <c r="O1269" s="108"/>
      <c r="P1269" s="108"/>
      <c r="Q1269" s="108"/>
      <c r="R1269" s="108"/>
      <c r="S1269" s="108"/>
      <c r="T1269" s="108"/>
      <c r="U1269" s="108"/>
      <c r="V1269" s="108"/>
      <c r="W1269" s="108"/>
      <c r="X1269" s="108"/>
      <c r="Y1269" s="108"/>
      <c r="Z1269" s="108"/>
      <c r="AA1269" s="108"/>
      <c r="AB1269" s="108"/>
      <c r="AC1269" s="108"/>
      <c r="AD1269" s="108"/>
      <c r="AE1269" s="108"/>
      <c r="AF1269" s="108"/>
    </row>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2" ht="15" customHeight="1"/>
    <row r="1484" spans="2:32" ht="15" customHeight="1">
      <c r="B1484" s="108"/>
      <c r="C1484" s="108"/>
      <c r="D1484" s="108"/>
      <c r="E1484" s="108"/>
      <c r="F1484" s="108"/>
      <c r="G1484" s="108"/>
      <c r="H1484" s="108"/>
      <c r="I1484" s="108"/>
      <c r="J1484" s="108"/>
      <c r="K1484" s="108"/>
      <c r="L1484" s="108"/>
      <c r="M1484" s="108"/>
      <c r="N1484" s="108"/>
      <c r="O1484" s="108"/>
      <c r="P1484" s="108"/>
      <c r="Q1484" s="108"/>
      <c r="R1484" s="108"/>
      <c r="S1484" s="108"/>
      <c r="T1484" s="108"/>
      <c r="U1484" s="108"/>
      <c r="V1484" s="108"/>
      <c r="W1484" s="108"/>
      <c r="X1484" s="108"/>
      <c r="Y1484" s="108"/>
      <c r="Z1484" s="108"/>
      <c r="AA1484" s="108"/>
      <c r="AB1484" s="108"/>
      <c r="AC1484" s="108"/>
      <c r="AD1484" s="108"/>
      <c r="AE1484" s="108"/>
      <c r="AF1484" s="108"/>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2" ht="15" customHeight="1">
      <c r="B1713" s="108"/>
      <c r="C1713" s="108"/>
      <c r="D1713" s="108"/>
      <c r="E1713" s="108"/>
      <c r="F1713" s="108"/>
      <c r="G1713" s="108"/>
      <c r="H1713" s="108"/>
      <c r="I1713" s="108"/>
      <c r="J1713" s="108"/>
      <c r="K1713" s="108"/>
      <c r="L1713" s="108"/>
      <c r="M1713" s="108"/>
      <c r="N1713" s="108"/>
      <c r="O1713" s="108"/>
      <c r="P1713" s="108"/>
      <c r="Q1713" s="108"/>
      <c r="R1713" s="108"/>
      <c r="S1713" s="108"/>
      <c r="T1713" s="108"/>
      <c r="U1713" s="108"/>
      <c r="V1713" s="108"/>
      <c r="W1713" s="108"/>
      <c r="X1713" s="108"/>
      <c r="Y1713" s="108"/>
      <c r="Z1713" s="108"/>
      <c r="AA1713" s="108"/>
      <c r="AB1713" s="108"/>
      <c r="AC1713" s="108"/>
      <c r="AD1713" s="108"/>
      <c r="AE1713" s="108"/>
      <c r="AF1713" s="108"/>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8" spans="2:32"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2" ht="15" customHeight="1"/>
    <row r="1990" spans="2:32" ht="15" customHeight="1">
      <c r="B1990" s="108"/>
      <c r="C1990" s="108"/>
      <c r="D1990" s="108"/>
      <c r="E1990" s="108"/>
      <c r="F1990" s="108"/>
      <c r="G1990" s="108"/>
      <c r="H1990" s="108"/>
      <c r="I1990" s="108"/>
      <c r="J1990" s="108"/>
      <c r="K1990" s="108"/>
      <c r="L1990" s="108"/>
      <c r="M1990" s="108"/>
      <c r="N1990" s="108"/>
      <c r="O1990" s="108"/>
      <c r="P1990" s="108"/>
      <c r="Q1990" s="108"/>
      <c r="R1990" s="108"/>
      <c r="S1990" s="108"/>
      <c r="T1990" s="108"/>
      <c r="U1990" s="108"/>
      <c r="V1990" s="108"/>
      <c r="W1990" s="108"/>
      <c r="X1990" s="108"/>
      <c r="Y1990" s="108"/>
      <c r="Z1990" s="108"/>
      <c r="AA1990" s="108"/>
      <c r="AB1990" s="108"/>
      <c r="AC1990" s="108"/>
      <c r="AD1990" s="108"/>
      <c r="AE1990" s="108"/>
      <c r="AF1990" s="108"/>
    </row>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2" ht="15" customHeight="1"/>
    <row r="2325" spans="2:32" ht="15" customHeight="1">
      <c r="B2325" s="108"/>
      <c r="C2325" s="108"/>
      <c r="D2325" s="108"/>
      <c r="E2325" s="108"/>
      <c r="F2325" s="108"/>
      <c r="G2325" s="108"/>
      <c r="H2325" s="108"/>
      <c r="I2325" s="108"/>
      <c r="J2325" s="108"/>
      <c r="K2325" s="108"/>
      <c r="L2325" s="108"/>
      <c r="M2325" s="108"/>
      <c r="N2325" s="108"/>
      <c r="O2325" s="108"/>
      <c r="P2325" s="108"/>
      <c r="Q2325" s="108"/>
      <c r="R2325" s="108"/>
      <c r="S2325" s="108"/>
      <c r="T2325" s="108"/>
      <c r="U2325" s="108"/>
      <c r="V2325" s="108"/>
      <c r="W2325" s="108"/>
      <c r="X2325" s="108"/>
      <c r="Y2325" s="108"/>
      <c r="Z2325" s="108"/>
      <c r="AA2325" s="108"/>
      <c r="AB2325" s="108"/>
      <c r="AC2325" s="108"/>
      <c r="AD2325" s="108"/>
      <c r="AE2325" s="108"/>
      <c r="AF2325" s="108"/>
    </row>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2" ht="15" customHeight="1"/>
    <row r="2645" spans="2:32" ht="15" customHeight="1">
      <c r="B2645" s="108"/>
      <c r="C2645" s="108"/>
      <c r="D2645" s="108"/>
      <c r="E2645" s="108"/>
      <c r="F2645" s="108"/>
      <c r="G2645" s="108"/>
      <c r="H2645" s="108"/>
      <c r="I2645" s="108"/>
      <c r="J2645" s="108"/>
      <c r="K2645" s="108"/>
      <c r="L2645" s="108"/>
      <c r="M2645" s="108"/>
      <c r="N2645" s="108"/>
      <c r="O2645" s="108"/>
      <c r="P2645" s="108"/>
      <c r="Q2645" s="108"/>
      <c r="R2645" s="108"/>
      <c r="S2645" s="108"/>
      <c r="T2645" s="108"/>
      <c r="U2645" s="108"/>
      <c r="V2645" s="108"/>
      <c r="W2645" s="108"/>
      <c r="X2645" s="108"/>
      <c r="Y2645" s="108"/>
      <c r="Z2645" s="108"/>
      <c r="AA2645" s="108"/>
      <c r="AB2645" s="108"/>
      <c r="AC2645" s="108"/>
      <c r="AD2645" s="108"/>
      <c r="AE2645" s="108"/>
      <c r="AF2645" s="108"/>
    </row>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2" ht="12" customHeight="1"/>
    <row r="2970" spans="2:32" ht="15" customHeight="1"/>
    <row r="2971" spans="2:32" ht="15" customHeight="1">
      <c r="B2971" s="108"/>
      <c r="C2971" s="108"/>
      <c r="D2971" s="108"/>
      <c r="E2971" s="108"/>
      <c r="F2971" s="108"/>
      <c r="G2971" s="108"/>
      <c r="H2971" s="108"/>
      <c r="I2971" s="108"/>
      <c r="J2971" s="108"/>
      <c r="K2971" s="108"/>
      <c r="L2971" s="108"/>
      <c r="M2971" s="108"/>
      <c r="N2971" s="108"/>
      <c r="O2971" s="108"/>
      <c r="P2971" s="108"/>
      <c r="Q2971" s="108"/>
      <c r="R2971" s="108"/>
      <c r="S2971" s="108"/>
      <c r="T2971" s="108"/>
      <c r="U2971" s="108"/>
      <c r="V2971" s="108"/>
      <c r="W2971" s="108"/>
      <c r="X2971" s="108"/>
      <c r="Y2971" s="108"/>
      <c r="Z2971" s="108"/>
      <c r="AA2971" s="108"/>
      <c r="AB2971" s="108"/>
      <c r="AC2971" s="108"/>
      <c r="AD2971" s="108"/>
      <c r="AE2971" s="108"/>
      <c r="AF2971" s="108"/>
    </row>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2" ht="15" customHeight="1"/>
    <row r="3293" spans="2:32" ht="15" customHeight="1">
      <c r="B3293" s="108"/>
      <c r="C3293" s="108"/>
      <c r="D3293" s="108"/>
      <c r="E3293" s="108"/>
      <c r="F3293" s="108"/>
      <c r="G3293" s="108"/>
      <c r="H3293" s="108"/>
      <c r="I3293" s="108"/>
      <c r="J3293" s="108"/>
      <c r="K3293" s="108"/>
      <c r="L3293" s="108"/>
      <c r="M3293" s="108"/>
      <c r="N3293" s="108"/>
      <c r="O3293" s="108"/>
      <c r="P3293" s="108"/>
      <c r="Q3293" s="108"/>
      <c r="R3293" s="108"/>
      <c r="S3293" s="108"/>
      <c r="T3293" s="108"/>
      <c r="U3293" s="108"/>
      <c r="V3293" s="108"/>
      <c r="W3293" s="108"/>
      <c r="X3293" s="108"/>
      <c r="Y3293" s="108"/>
      <c r="Z3293" s="108"/>
      <c r="AA3293" s="108"/>
      <c r="AB3293" s="108"/>
      <c r="AC3293" s="108"/>
      <c r="AD3293" s="108"/>
      <c r="AE3293" s="108"/>
      <c r="AF3293" s="108"/>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2" ht="12" customHeight="1"/>
    <row r="3399" spans="2:32" ht="12" customHeight="1"/>
    <row r="3401" spans="2:32" ht="15" customHeight="1"/>
    <row r="3402" spans="2:32" ht="15" customHeight="1">
      <c r="B3402" s="108"/>
      <c r="C3402" s="108"/>
      <c r="D3402" s="108"/>
      <c r="E3402" s="108"/>
      <c r="F3402" s="108"/>
      <c r="G3402" s="108"/>
      <c r="H3402" s="108"/>
      <c r="I3402" s="108"/>
      <c r="J3402" s="108"/>
      <c r="K3402" s="108"/>
      <c r="L3402" s="108"/>
      <c r="M3402" s="108"/>
      <c r="N3402" s="108"/>
      <c r="O3402" s="108"/>
      <c r="P3402" s="108"/>
      <c r="Q3402" s="108"/>
      <c r="R3402" s="108"/>
      <c r="S3402" s="108"/>
      <c r="T3402" s="108"/>
      <c r="U3402" s="108"/>
      <c r="V3402" s="108"/>
      <c r="W3402" s="108"/>
      <c r="X3402" s="108"/>
      <c r="Y3402" s="108"/>
      <c r="Z3402" s="108"/>
      <c r="AA3402" s="108"/>
      <c r="AB3402" s="108"/>
      <c r="AC3402" s="108"/>
      <c r="AD3402" s="108"/>
      <c r="AE3402" s="108"/>
      <c r="AF3402" s="108"/>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2" ht="12" customHeight="1"/>
    <row r="3524" spans="2:32" ht="12" customHeight="1"/>
    <row r="3526" spans="2:32" ht="15" customHeight="1"/>
    <row r="3527" spans="2:32" ht="15" customHeight="1">
      <c r="B3527" s="108"/>
      <c r="C3527" s="108"/>
      <c r="D3527" s="108"/>
      <c r="E3527" s="108"/>
      <c r="F3527" s="108"/>
      <c r="G3527" s="108"/>
      <c r="H3527" s="108"/>
      <c r="I3527" s="108"/>
      <c r="J3527" s="108"/>
      <c r="K3527" s="108"/>
      <c r="L3527" s="108"/>
      <c r="M3527" s="108"/>
      <c r="N3527" s="108"/>
      <c r="O3527" s="108"/>
      <c r="P3527" s="108"/>
      <c r="Q3527" s="108"/>
      <c r="R3527" s="108"/>
      <c r="S3527" s="108"/>
      <c r="T3527" s="108"/>
      <c r="U3527" s="108"/>
      <c r="V3527" s="108"/>
      <c r="W3527" s="108"/>
      <c r="X3527" s="108"/>
      <c r="Y3527" s="108"/>
      <c r="Z3527" s="108"/>
      <c r="AA3527" s="108"/>
      <c r="AB3527" s="108"/>
      <c r="AC3527" s="108"/>
      <c r="AD3527" s="108"/>
      <c r="AE3527" s="108"/>
      <c r="AF3527" s="108"/>
    </row>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2" ht="12" customHeight="1"/>
    <row r="3651" spans="2:32" ht="15" customHeight="1"/>
    <row r="3652" spans="2:32" ht="15" customHeight="1">
      <c r="B3652" s="108"/>
      <c r="C3652" s="108"/>
      <c r="D3652" s="108"/>
      <c r="E3652" s="108"/>
      <c r="F3652" s="108"/>
      <c r="G3652" s="108"/>
      <c r="H3652" s="108"/>
      <c r="I3652" s="108"/>
      <c r="J3652" s="108"/>
      <c r="K3652" s="108"/>
      <c r="L3652" s="108"/>
      <c r="M3652" s="108"/>
      <c r="N3652" s="108"/>
      <c r="O3652" s="108"/>
      <c r="P3652" s="108"/>
      <c r="Q3652" s="108"/>
      <c r="R3652" s="108"/>
      <c r="S3652" s="108"/>
      <c r="T3652" s="108"/>
      <c r="U3652" s="108"/>
      <c r="V3652" s="108"/>
      <c r="W3652" s="108"/>
      <c r="X3652" s="108"/>
      <c r="Y3652" s="108"/>
      <c r="Z3652" s="108"/>
      <c r="AA3652" s="108"/>
      <c r="AB3652" s="108"/>
      <c r="AC3652" s="108"/>
      <c r="AD3652" s="108"/>
      <c r="AE3652" s="108"/>
      <c r="AF3652" s="108"/>
    </row>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2" ht="15" customHeight="1">
      <c r="B3777" s="108"/>
      <c r="C3777" s="108"/>
      <c r="D3777" s="108"/>
      <c r="E3777" s="108"/>
      <c r="F3777" s="108"/>
      <c r="G3777" s="108"/>
      <c r="H3777" s="108"/>
      <c r="I3777" s="108"/>
      <c r="J3777" s="108"/>
      <c r="K3777" s="108"/>
      <c r="L3777" s="108"/>
      <c r="M3777" s="108"/>
      <c r="N3777" s="108"/>
      <c r="O3777" s="108"/>
      <c r="P3777" s="108"/>
      <c r="Q3777" s="108"/>
      <c r="R3777" s="108"/>
      <c r="S3777" s="108"/>
      <c r="T3777" s="108"/>
      <c r="U3777" s="108"/>
      <c r="V3777" s="108"/>
      <c r="W3777" s="108"/>
      <c r="X3777" s="108"/>
      <c r="Y3777" s="108"/>
      <c r="Z3777" s="108"/>
      <c r="AA3777" s="108"/>
      <c r="AB3777" s="108"/>
      <c r="AC3777" s="108"/>
      <c r="AD3777" s="108"/>
      <c r="AE3777" s="108"/>
      <c r="AF3777" s="108"/>
    </row>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2" ht="12" customHeight="1"/>
    <row r="3899" spans="2:32" ht="12" customHeight="1"/>
    <row r="3901" spans="2:32" ht="15" customHeight="1"/>
    <row r="3902" spans="2:32" ht="15" customHeight="1">
      <c r="B3902" s="108"/>
      <c r="C3902" s="108"/>
      <c r="D3902" s="108"/>
      <c r="E3902" s="108"/>
      <c r="F3902" s="108"/>
      <c r="G3902" s="108"/>
      <c r="H3902" s="108"/>
      <c r="I3902" s="108"/>
      <c r="J3902" s="108"/>
      <c r="K3902" s="108"/>
      <c r="L3902" s="108"/>
      <c r="M3902" s="108"/>
      <c r="N3902" s="108"/>
      <c r="O3902" s="108"/>
      <c r="P3902" s="108"/>
      <c r="Q3902" s="108"/>
      <c r="R3902" s="108"/>
      <c r="S3902" s="108"/>
      <c r="T3902" s="108"/>
      <c r="U3902" s="108"/>
      <c r="V3902" s="108"/>
      <c r="W3902" s="108"/>
      <c r="X3902" s="108"/>
      <c r="Y3902" s="108"/>
      <c r="Z3902" s="108"/>
      <c r="AA3902" s="108"/>
      <c r="AB3902" s="108"/>
      <c r="AC3902" s="108"/>
      <c r="AD3902" s="108"/>
      <c r="AE3902" s="108"/>
      <c r="AF3902" s="108"/>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2" ht="12" customHeight="1"/>
    <row r="4024" spans="2:32" ht="12" customHeight="1"/>
    <row r="4026" spans="2:32" ht="15" customHeight="1"/>
    <row r="4027" spans="2:32" ht="15" customHeight="1">
      <c r="B4027" s="108"/>
      <c r="C4027" s="108"/>
      <c r="D4027" s="108"/>
      <c r="E4027" s="108"/>
      <c r="F4027" s="108"/>
      <c r="G4027" s="108"/>
      <c r="H4027" s="108"/>
      <c r="I4027" s="108"/>
      <c r="J4027" s="108"/>
      <c r="K4027" s="108"/>
      <c r="L4027" s="108"/>
      <c r="M4027" s="108"/>
      <c r="N4027" s="108"/>
      <c r="O4027" s="108"/>
      <c r="P4027" s="108"/>
      <c r="Q4027" s="108"/>
      <c r="R4027" s="108"/>
      <c r="S4027" s="108"/>
      <c r="T4027" s="108"/>
      <c r="U4027" s="108"/>
      <c r="V4027" s="108"/>
      <c r="W4027" s="108"/>
      <c r="X4027" s="108"/>
      <c r="Y4027" s="108"/>
      <c r="Z4027" s="108"/>
      <c r="AA4027" s="108"/>
      <c r="AB4027" s="108"/>
      <c r="AC4027" s="108"/>
      <c r="AD4027" s="108"/>
      <c r="AE4027" s="108"/>
      <c r="AF4027" s="108"/>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2" ht="12" customHeight="1"/>
    <row r="4149" spans="2:32" ht="12" customHeight="1"/>
    <row r="4151" spans="2:32" ht="15" customHeight="1"/>
    <row r="4152" spans="2:32" ht="15" customHeight="1">
      <c r="B4152" s="108"/>
      <c r="C4152" s="108"/>
      <c r="D4152" s="108"/>
      <c r="E4152" s="108"/>
      <c r="F4152" s="108"/>
      <c r="G4152" s="108"/>
      <c r="H4152" s="108"/>
      <c r="I4152" s="108"/>
      <c r="J4152" s="108"/>
      <c r="K4152" s="108"/>
      <c r="L4152" s="108"/>
      <c r="M4152" s="108"/>
      <c r="N4152" s="108"/>
      <c r="O4152" s="108"/>
      <c r="P4152" s="108"/>
      <c r="Q4152" s="108"/>
      <c r="R4152" s="108"/>
      <c r="S4152" s="108"/>
      <c r="T4152" s="108"/>
      <c r="U4152" s="108"/>
      <c r="V4152" s="108"/>
      <c r="W4152" s="108"/>
      <c r="X4152" s="108"/>
      <c r="Y4152" s="108"/>
      <c r="Z4152" s="108"/>
      <c r="AA4152" s="108"/>
      <c r="AB4152" s="108"/>
      <c r="AC4152" s="108"/>
      <c r="AD4152" s="108"/>
      <c r="AE4152" s="108"/>
      <c r="AF4152" s="108"/>
    </row>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2" ht="12" customHeight="1"/>
    <row r="4276" spans="2:32" ht="15" customHeight="1"/>
    <row r="4277" spans="2:32" ht="15" customHeight="1">
      <c r="B4277" s="108"/>
      <c r="C4277" s="108"/>
      <c r="D4277" s="108"/>
      <c r="E4277" s="108"/>
      <c r="F4277" s="108"/>
      <c r="G4277" s="108"/>
      <c r="H4277" s="108"/>
      <c r="I4277" s="108"/>
      <c r="J4277" s="108"/>
      <c r="K4277" s="108"/>
      <c r="L4277" s="108"/>
      <c r="M4277" s="108"/>
      <c r="N4277" s="108"/>
      <c r="O4277" s="108"/>
      <c r="P4277" s="108"/>
      <c r="Q4277" s="108"/>
      <c r="R4277" s="108"/>
      <c r="S4277" s="108"/>
      <c r="T4277" s="108"/>
      <c r="U4277" s="108"/>
      <c r="V4277" s="108"/>
      <c r="W4277" s="108"/>
      <c r="X4277" s="108"/>
      <c r="Y4277" s="108"/>
      <c r="Z4277" s="108"/>
      <c r="AA4277" s="108"/>
      <c r="AB4277" s="108"/>
      <c r="AC4277" s="108"/>
      <c r="AD4277" s="108"/>
      <c r="AE4277" s="108"/>
      <c r="AF4277" s="108"/>
    </row>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2" ht="15" customHeight="1"/>
    <row r="4402" spans="2:32" ht="15" customHeight="1">
      <c r="B4402" s="108"/>
      <c r="C4402" s="108"/>
      <c r="D4402" s="108"/>
      <c r="E4402" s="108"/>
      <c r="F4402" s="108"/>
      <c r="G4402" s="108"/>
      <c r="H4402" s="108"/>
      <c r="I4402" s="108"/>
      <c r="J4402" s="108"/>
      <c r="K4402" s="108"/>
      <c r="L4402" s="108"/>
      <c r="M4402" s="108"/>
      <c r="N4402" s="108"/>
      <c r="O4402" s="108"/>
      <c r="P4402" s="108"/>
      <c r="Q4402" s="108"/>
      <c r="R4402" s="108"/>
      <c r="S4402" s="108"/>
      <c r="T4402" s="108"/>
      <c r="U4402" s="108"/>
      <c r="V4402" s="108"/>
      <c r="W4402" s="108"/>
      <c r="X4402" s="108"/>
      <c r="Y4402" s="108"/>
      <c r="Z4402" s="108"/>
      <c r="AA4402" s="108"/>
      <c r="AB4402" s="108"/>
      <c r="AC4402" s="108"/>
      <c r="AD4402" s="108"/>
      <c r="AE4402" s="108"/>
      <c r="AF4402" s="108"/>
    </row>
  </sheetData>
  <mergeCells count="28">
    <mergeCell ref="B638:AF638"/>
    <mergeCell ref="B118:AF118"/>
    <mergeCell ref="B258:AF258"/>
    <mergeCell ref="B340:AF340"/>
    <mergeCell ref="B452:AF452"/>
    <mergeCell ref="B557:AF557"/>
    <mergeCell ref="B2971:AF2971"/>
    <mergeCell ref="B710:AF710"/>
    <mergeCell ref="B886:AF886"/>
    <mergeCell ref="B969:AF969"/>
    <mergeCell ref="B1071:AF1071"/>
    <mergeCell ref="B1169:AF1169"/>
    <mergeCell ref="B1269:AF1269"/>
    <mergeCell ref="B1484:AF1484"/>
    <mergeCell ref="B1713:AF1713"/>
    <mergeCell ref="B1990:AF1990"/>
    <mergeCell ref="B2325:AF2325"/>
    <mergeCell ref="B2645:AF2645"/>
    <mergeCell ref="B4027:AF4027"/>
    <mergeCell ref="B4152:AF4152"/>
    <mergeCell ref="B4277:AF4277"/>
    <mergeCell ref="B4402:AF4402"/>
    <mergeCell ref="B3293:AF3293"/>
    <mergeCell ref="B3402:AF3402"/>
    <mergeCell ref="B3527:AF3527"/>
    <mergeCell ref="B3652:AF3652"/>
    <mergeCell ref="B3777:AF3777"/>
    <mergeCell ref="B3902:AF3902"/>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E71197-588B-468B-8F24-E8FB95D48A17}">
  <dimension ref="A1:AG46"/>
  <sheetViews>
    <sheetView workbookViewId="0">
      <selection activeCell="F17" sqref="F17"/>
    </sheetView>
  </sheetViews>
  <sheetFormatPr defaultRowHeight="14.75"/>
  <cols>
    <col min="1" max="1" width="90.26953125" bestFit="1" customWidth="1"/>
  </cols>
  <sheetData>
    <row r="1" spans="1:33">
      <c r="A1" t="s">
        <v>119</v>
      </c>
    </row>
    <row r="2" spans="1:33">
      <c r="A2" t="s">
        <v>955</v>
      </c>
    </row>
    <row r="3" spans="1:33">
      <c r="A3" t="s">
        <v>954</v>
      </c>
    </row>
    <row r="4" spans="1:33">
      <c r="A4" t="s">
        <v>87</v>
      </c>
    </row>
    <row r="5" spans="1:33">
      <c r="B5" t="s">
        <v>88</v>
      </c>
      <c r="C5" t="s">
        <v>116</v>
      </c>
      <c r="D5" t="s">
        <v>117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953</v>
      </c>
    </row>
    <row r="6" spans="1:33">
      <c r="A6" t="s">
        <v>120</v>
      </c>
    </row>
    <row r="7" spans="1:33">
      <c r="A7" t="s">
        <v>121</v>
      </c>
      <c r="B7" t="s">
        <v>952</v>
      </c>
      <c r="C7" t="s">
        <v>951</v>
      </c>
      <c r="D7" t="s">
        <v>153</v>
      </c>
      <c r="F7">
        <v>0.35758400000000001</v>
      </c>
      <c r="G7">
        <v>0.36508400000000002</v>
      </c>
      <c r="H7">
        <v>0.352908</v>
      </c>
      <c r="I7">
        <v>0.34767999999999999</v>
      </c>
      <c r="J7">
        <v>0.346055</v>
      </c>
      <c r="K7">
        <v>0.34590900000000002</v>
      </c>
      <c r="L7">
        <v>0.34611999999999998</v>
      </c>
      <c r="M7">
        <v>0.344416</v>
      </c>
      <c r="N7">
        <v>0.33970899999999998</v>
      </c>
      <c r="O7">
        <v>0.33490599999999998</v>
      </c>
      <c r="P7">
        <v>0.33075399999999999</v>
      </c>
      <c r="Q7">
        <v>0.32654899999999998</v>
      </c>
      <c r="R7">
        <v>0.32150299999999998</v>
      </c>
      <c r="S7">
        <v>0.31681100000000001</v>
      </c>
      <c r="T7">
        <v>0.31244499999999997</v>
      </c>
      <c r="U7">
        <v>0.30824000000000001</v>
      </c>
      <c r="V7">
        <v>0.30391499999999999</v>
      </c>
      <c r="W7">
        <v>0.29924699999999999</v>
      </c>
      <c r="X7">
        <v>0.29442400000000002</v>
      </c>
      <c r="Y7">
        <v>0.29009600000000002</v>
      </c>
      <c r="Z7">
        <v>0.28606100000000001</v>
      </c>
      <c r="AA7">
        <v>0.28284300000000001</v>
      </c>
      <c r="AB7">
        <v>0.27987899999999999</v>
      </c>
      <c r="AC7">
        <v>0.27653</v>
      </c>
      <c r="AD7">
        <v>0.273142</v>
      </c>
      <c r="AE7">
        <v>0.27020300000000003</v>
      </c>
      <c r="AF7">
        <v>0.267818</v>
      </c>
      <c r="AG7" s="12">
        <v>-1.0999999999999999E-2</v>
      </c>
    </row>
    <row r="8" spans="1:33">
      <c r="A8" t="s">
        <v>122</v>
      </c>
      <c r="B8" t="s">
        <v>950</v>
      </c>
      <c r="C8" t="s">
        <v>949</v>
      </c>
      <c r="D8" t="s">
        <v>153</v>
      </c>
      <c r="F8">
        <v>0.15810399999999999</v>
      </c>
      <c r="G8">
        <v>0.15810399999999999</v>
      </c>
      <c r="H8">
        <v>0.15810399999999999</v>
      </c>
      <c r="I8">
        <v>0.15810399999999999</v>
      </c>
      <c r="J8">
        <v>0.15810399999999999</v>
      </c>
      <c r="K8">
        <v>0.15810399999999999</v>
      </c>
      <c r="L8">
        <v>0.15810399999999999</v>
      </c>
      <c r="M8">
        <v>0.15810399999999999</v>
      </c>
      <c r="N8">
        <v>0.15810399999999999</v>
      </c>
      <c r="O8">
        <v>0.15810399999999999</v>
      </c>
      <c r="P8">
        <v>0.15810399999999999</v>
      </c>
      <c r="Q8">
        <v>0.15810399999999999</v>
      </c>
      <c r="R8">
        <v>0.15810399999999999</v>
      </c>
      <c r="S8">
        <v>0.15810399999999999</v>
      </c>
      <c r="T8">
        <v>0.15810399999999999</v>
      </c>
      <c r="U8">
        <v>0.15810399999999999</v>
      </c>
      <c r="V8">
        <v>0.15810399999999999</v>
      </c>
      <c r="W8">
        <v>0.15810399999999999</v>
      </c>
      <c r="X8">
        <v>0.15810399999999999</v>
      </c>
      <c r="Y8">
        <v>0.15810399999999999</v>
      </c>
      <c r="Z8">
        <v>0.15810399999999999</v>
      </c>
      <c r="AA8">
        <v>0.15810399999999999</v>
      </c>
      <c r="AB8">
        <v>0.15810399999999999</v>
      </c>
      <c r="AC8">
        <v>0.15810399999999999</v>
      </c>
      <c r="AD8">
        <v>0.15810399999999999</v>
      </c>
      <c r="AE8">
        <v>0.15810399999999999</v>
      </c>
      <c r="AF8">
        <v>0.15810399999999999</v>
      </c>
      <c r="AG8" s="12">
        <v>0</v>
      </c>
    </row>
    <row r="9" spans="1:33">
      <c r="A9" t="s">
        <v>123</v>
      </c>
      <c r="B9" t="s">
        <v>948</v>
      </c>
      <c r="C9" t="s">
        <v>947</v>
      </c>
      <c r="D9" t="s">
        <v>153</v>
      </c>
      <c r="F9">
        <v>2.2979759999999998</v>
      </c>
      <c r="G9">
        <v>2.3399939999999999</v>
      </c>
      <c r="H9">
        <v>2.3604579999999999</v>
      </c>
      <c r="I9">
        <v>2.3647659999999999</v>
      </c>
      <c r="J9">
        <v>2.367289</v>
      </c>
      <c r="K9">
        <v>2.3915989999999998</v>
      </c>
      <c r="L9">
        <v>2.4109129999999999</v>
      </c>
      <c r="M9">
        <v>2.4325329999999998</v>
      </c>
      <c r="N9">
        <v>2.4494790000000002</v>
      </c>
      <c r="O9">
        <v>2.4596119999999999</v>
      </c>
      <c r="P9">
        <v>2.4729670000000001</v>
      </c>
      <c r="Q9">
        <v>2.4876079999999998</v>
      </c>
      <c r="R9">
        <v>2.5197889999999998</v>
      </c>
      <c r="S9">
        <v>2.541722</v>
      </c>
      <c r="T9">
        <v>2.558646</v>
      </c>
      <c r="U9">
        <v>2.5798299999999998</v>
      </c>
      <c r="V9">
        <v>2.594392</v>
      </c>
      <c r="W9">
        <v>2.5935950000000001</v>
      </c>
      <c r="X9">
        <v>2.5951559999999998</v>
      </c>
      <c r="Y9">
        <v>2.5986570000000002</v>
      </c>
      <c r="Z9">
        <v>2.6012040000000001</v>
      </c>
      <c r="AA9">
        <v>2.6157759999999999</v>
      </c>
      <c r="AB9">
        <v>2.6268539999999998</v>
      </c>
      <c r="AC9">
        <v>2.6530469999999999</v>
      </c>
      <c r="AD9">
        <v>2.6796319999999998</v>
      </c>
      <c r="AE9">
        <v>2.7063009999999998</v>
      </c>
      <c r="AF9">
        <v>2.725619</v>
      </c>
      <c r="AG9" s="12">
        <v>7.0000000000000001E-3</v>
      </c>
    </row>
    <row r="10" spans="1:33">
      <c r="A10" t="s">
        <v>124</v>
      </c>
      <c r="B10" t="s">
        <v>946</v>
      </c>
      <c r="C10" t="s">
        <v>945</v>
      </c>
      <c r="D10" t="s">
        <v>153</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t="s">
        <v>6</v>
      </c>
    </row>
    <row r="11" spans="1:33">
      <c r="A11" t="s">
        <v>125</v>
      </c>
      <c r="B11" t="s">
        <v>944</v>
      </c>
      <c r="C11" t="s">
        <v>943</v>
      </c>
      <c r="D11" t="s">
        <v>153</v>
      </c>
      <c r="F11">
        <v>0.15371499999999999</v>
      </c>
      <c r="G11">
        <v>0.15761700000000001</v>
      </c>
      <c r="H11">
        <v>0.162138</v>
      </c>
      <c r="I11">
        <v>0.16675000000000001</v>
      </c>
      <c r="J11">
        <v>0.17074300000000001</v>
      </c>
      <c r="K11">
        <v>0.17504600000000001</v>
      </c>
      <c r="L11">
        <v>0.179064</v>
      </c>
      <c r="M11">
        <v>0.182534</v>
      </c>
      <c r="N11">
        <v>0.18581400000000001</v>
      </c>
      <c r="O11">
        <v>0.18872</v>
      </c>
      <c r="P11">
        <v>0.19150600000000001</v>
      </c>
      <c r="Q11">
        <v>0.19395799999999999</v>
      </c>
      <c r="R11">
        <v>0.196074</v>
      </c>
      <c r="S11">
        <v>0.19785</v>
      </c>
      <c r="T11">
        <v>0.19963</v>
      </c>
      <c r="U11">
        <v>0.20146800000000001</v>
      </c>
      <c r="V11">
        <v>0.203181</v>
      </c>
      <c r="W11">
        <v>0.20488600000000001</v>
      </c>
      <c r="X11">
        <v>0.20667199999999999</v>
      </c>
      <c r="Y11">
        <v>0.20837600000000001</v>
      </c>
      <c r="Z11">
        <v>0.21005599999999999</v>
      </c>
      <c r="AA11">
        <v>0.21170900000000001</v>
      </c>
      <c r="AB11">
        <v>0.213369</v>
      </c>
      <c r="AC11">
        <v>0.21509500000000001</v>
      </c>
      <c r="AD11">
        <v>0.216808</v>
      </c>
      <c r="AE11">
        <v>0.218557</v>
      </c>
      <c r="AF11">
        <v>0.22029799999999999</v>
      </c>
      <c r="AG11" s="12">
        <v>1.4E-2</v>
      </c>
    </row>
    <row r="12" spans="1:33">
      <c r="A12" t="s">
        <v>126</v>
      </c>
      <c r="B12" t="s">
        <v>942</v>
      </c>
      <c r="C12" t="s">
        <v>941</v>
      </c>
      <c r="D12" t="s">
        <v>153</v>
      </c>
      <c r="F12">
        <v>1.250399</v>
      </c>
      <c r="G12">
        <v>1.266635</v>
      </c>
      <c r="H12">
        <v>1.2824549999999999</v>
      </c>
      <c r="I12">
        <v>1.2809140000000001</v>
      </c>
      <c r="J12">
        <v>1.2802770000000001</v>
      </c>
      <c r="K12">
        <v>1.29914</v>
      </c>
      <c r="L12">
        <v>1.3148880000000001</v>
      </c>
      <c r="M12">
        <v>1.333216</v>
      </c>
      <c r="N12">
        <v>1.3467739999999999</v>
      </c>
      <c r="O12">
        <v>1.3532550000000001</v>
      </c>
      <c r="P12">
        <v>1.3633820000000001</v>
      </c>
      <c r="Q12">
        <v>1.3758980000000001</v>
      </c>
      <c r="R12">
        <v>1.404156</v>
      </c>
      <c r="S12">
        <v>1.4220029999999999</v>
      </c>
      <c r="T12">
        <v>1.436598</v>
      </c>
      <c r="U12">
        <v>1.4522139999999999</v>
      </c>
      <c r="V12">
        <v>1.459797</v>
      </c>
      <c r="W12">
        <v>1.454925</v>
      </c>
      <c r="X12">
        <v>1.4531160000000001</v>
      </c>
      <c r="Y12">
        <v>1.4439230000000001</v>
      </c>
      <c r="Z12">
        <v>1.4408810000000001</v>
      </c>
      <c r="AA12">
        <v>1.4493339999999999</v>
      </c>
      <c r="AB12">
        <v>1.455303</v>
      </c>
      <c r="AC12">
        <v>1.4743820000000001</v>
      </c>
      <c r="AD12">
        <v>1.495274</v>
      </c>
      <c r="AE12">
        <v>1.515387</v>
      </c>
      <c r="AF12">
        <v>1.5325610000000001</v>
      </c>
      <c r="AG12" s="12">
        <v>8.0000000000000002E-3</v>
      </c>
    </row>
    <row r="13" spans="1:33">
      <c r="A13" t="s">
        <v>127</v>
      </c>
      <c r="B13" t="s">
        <v>940</v>
      </c>
      <c r="C13" t="s">
        <v>939</v>
      </c>
      <c r="D13" t="s">
        <v>153</v>
      </c>
      <c r="F13">
        <v>0.89386100000000002</v>
      </c>
      <c r="G13">
        <v>0.91574199999999994</v>
      </c>
      <c r="H13">
        <v>0.91586500000000004</v>
      </c>
      <c r="I13">
        <v>0.91710199999999997</v>
      </c>
      <c r="J13">
        <v>0.916269</v>
      </c>
      <c r="K13">
        <v>0.91741399999999995</v>
      </c>
      <c r="L13">
        <v>0.91696</v>
      </c>
      <c r="M13">
        <v>0.91678300000000001</v>
      </c>
      <c r="N13">
        <v>0.91689100000000001</v>
      </c>
      <c r="O13">
        <v>0.91763799999999995</v>
      </c>
      <c r="P13">
        <v>0.91807899999999998</v>
      </c>
      <c r="Q13">
        <v>0.91775300000000004</v>
      </c>
      <c r="R13">
        <v>0.91955900000000002</v>
      </c>
      <c r="S13">
        <v>0.92186900000000005</v>
      </c>
      <c r="T13">
        <v>0.92241799999999996</v>
      </c>
      <c r="U13">
        <v>0.92614799999999997</v>
      </c>
      <c r="V13">
        <v>0.93141399999999996</v>
      </c>
      <c r="W13">
        <v>0.93378399999999995</v>
      </c>
      <c r="X13">
        <v>0.93536799999999998</v>
      </c>
      <c r="Y13">
        <v>0.946357</v>
      </c>
      <c r="Z13">
        <v>0.95026699999999997</v>
      </c>
      <c r="AA13">
        <v>0.95473300000000005</v>
      </c>
      <c r="AB13">
        <v>0.95818199999999998</v>
      </c>
      <c r="AC13">
        <v>0.96357000000000004</v>
      </c>
      <c r="AD13">
        <v>0.96755100000000005</v>
      </c>
      <c r="AE13">
        <v>0.97235700000000003</v>
      </c>
      <c r="AF13">
        <v>0.97275900000000004</v>
      </c>
      <c r="AG13" s="12">
        <v>3.0000000000000001E-3</v>
      </c>
    </row>
    <row r="14" spans="1:33">
      <c r="A14" t="s">
        <v>128</v>
      </c>
      <c r="B14" t="s">
        <v>938</v>
      </c>
      <c r="C14" t="s">
        <v>937</v>
      </c>
      <c r="D14" t="s">
        <v>153</v>
      </c>
      <c r="F14">
        <v>1.7789740000000001</v>
      </c>
      <c r="G14">
        <v>1.759161</v>
      </c>
      <c r="H14">
        <v>1.799855</v>
      </c>
      <c r="I14">
        <v>1.7780860000000001</v>
      </c>
      <c r="J14">
        <v>1.6544190000000001</v>
      </c>
      <c r="K14">
        <v>1.654129</v>
      </c>
      <c r="L14">
        <v>1.653265</v>
      </c>
      <c r="M14">
        <v>1.652377</v>
      </c>
      <c r="N14">
        <v>1.651233</v>
      </c>
      <c r="O14">
        <v>1.650358</v>
      </c>
      <c r="P14">
        <v>1.7022900000000001</v>
      </c>
      <c r="Q14">
        <v>1.7087049999999999</v>
      </c>
      <c r="R14">
        <v>1.6824509999999999</v>
      </c>
      <c r="S14">
        <v>1.6602539999999999</v>
      </c>
      <c r="T14">
        <v>1.700701</v>
      </c>
      <c r="U14">
        <v>1.697608</v>
      </c>
      <c r="V14">
        <v>1.6867030000000001</v>
      </c>
      <c r="W14">
        <v>1.6828989999999999</v>
      </c>
      <c r="X14">
        <v>1.6812119999999999</v>
      </c>
      <c r="Y14">
        <v>1.6780790000000001</v>
      </c>
      <c r="Z14">
        <v>1.678045</v>
      </c>
      <c r="AA14">
        <v>1.682606</v>
      </c>
      <c r="AB14">
        <v>1.6994009999999999</v>
      </c>
      <c r="AC14">
        <v>1.7268190000000001</v>
      </c>
      <c r="AD14">
        <v>1.732302</v>
      </c>
      <c r="AE14">
        <v>1.7536210000000001</v>
      </c>
      <c r="AF14">
        <v>1.7783070000000001</v>
      </c>
      <c r="AG14" s="12">
        <v>0</v>
      </c>
    </row>
    <row r="15" spans="1:33">
      <c r="A15" t="s">
        <v>129</v>
      </c>
      <c r="B15" t="s">
        <v>936</v>
      </c>
      <c r="C15" t="s">
        <v>935</v>
      </c>
      <c r="D15" t="s">
        <v>153</v>
      </c>
      <c r="F15">
        <v>2.4780000000000002E-3</v>
      </c>
      <c r="G15">
        <v>2.2899999999999999E-3</v>
      </c>
      <c r="H15">
        <v>2.0969999999999999E-3</v>
      </c>
      <c r="I15">
        <v>1.877E-3</v>
      </c>
      <c r="J15">
        <v>1.817E-3</v>
      </c>
      <c r="K15">
        <v>1.774E-3</v>
      </c>
      <c r="L15">
        <v>1.6980000000000001E-3</v>
      </c>
      <c r="M15">
        <v>1.56E-3</v>
      </c>
      <c r="N15">
        <v>1.457E-3</v>
      </c>
      <c r="O15">
        <v>1.3550000000000001E-3</v>
      </c>
      <c r="P15">
        <v>1.2689999999999999E-3</v>
      </c>
      <c r="Q15">
        <v>1.1919999999999999E-3</v>
      </c>
      <c r="R15">
        <v>1.1199999999999999E-3</v>
      </c>
      <c r="S15">
        <v>1.0820000000000001E-3</v>
      </c>
      <c r="T15">
        <v>9.990000000000001E-4</v>
      </c>
      <c r="U15">
        <v>9.7199999999999999E-4</v>
      </c>
      <c r="V15">
        <v>9.5299999999999996E-4</v>
      </c>
      <c r="W15">
        <v>9.3599999999999998E-4</v>
      </c>
      <c r="X15">
        <v>9.1500000000000001E-4</v>
      </c>
      <c r="Y15">
        <v>8.9400000000000005E-4</v>
      </c>
      <c r="Z15">
        <v>8.9599999999999999E-4</v>
      </c>
      <c r="AA15">
        <v>8.6899999999999998E-4</v>
      </c>
      <c r="AB15">
        <v>8.61E-4</v>
      </c>
      <c r="AC15">
        <v>8.7699999999999996E-4</v>
      </c>
      <c r="AD15">
        <v>8.7100000000000003E-4</v>
      </c>
      <c r="AE15">
        <v>8.6399999999999997E-4</v>
      </c>
      <c r="AF15">
        <v>8.4999999999999995E-4</v>
      </c>
      <c r="AG15" s="12">
        <v>-0.04</v>
      </c>
    </row>
    <row r="16" spans="1:33">
      <c r="A16" t="s">
        <v>130</v>
      </c>
      <c r="B16" t="s">
        <v>934</v>
      </c>
      <c r="C16" t="s">
        <v>933</v>
      </c>
      <c r="D16" t="s">
        <v>153</v>
      </c>
      <c r="F16">
        <v>1.159605</v>
      </c>
      <c r="G16">
        <v>1.1654150000000001</v>
      </c>
      <c r="H16">
        <v>1.1891879999999999</v>
      </c>
      <c r="I16">
        <v>1.192747</v>
      </c>
      <c r="J16">
        <v>1.1886890000000001</v>
      </c>
      <c r="K16">
        <v>1.182857</v>
      </c>
      <c r="L16">
        <v>1.175494</v>
      </c>
      <c r="M16">
        <v>1.1705669999999999</v>
      </c>
      <c r="N16">
        <v>1.163861</v>
      </c>
      <c r="O16">
        <v>1.158693</v>
      </c>
      <c r="P16">
        <v>1.1551720000000001</v>
      </c>
      <c r="Q16">
        <v>1.1513930000000001</v>
      </c>
      <c r="R16">
        <v>1.144156</v>
      </c>
      <c r="S16">
        <v>1.1372119999999999</v>
      </c>
      <c r="T16">
        <v>1.1325240000000001</v>
      </c>
      <c r="U16">
        <v>1.127766</v>
      </c>
      <c r="V16">
        <v>1.124725</v>
      </c>
      <c r="W16">
        <v>1.122018</v>
      </c>
      <c r="X16">
        <v>1.117999</v>
      </c>
      <c r="Y16">
        <v>1.1168499999999999</v>
      </c>
      <c r="Z16">
        <v>1.1142749999999999</v>
      </c>
      <c r="AA16">
        <v>1.113737</v>
      </c>
      <c r="AB16">
        <v>1.112255</v>
      </c>
      <c r="AC16">
        <v>1.1133569999999999</v>
      </c>
      <c r="AD16">
        <v>1.1117459999999999</v>
      </c>
      <c r="AE16">
        <v>1.112687</v>
      </c>
      <c r="AF16">
        <v>1.1165449999999999</v>
      </c>
      <c r="AG16" s="12">
        <v>-1E-3</v>
      </c>
    </row>
    <row r="17" spans="1:33">
      <c r="A17" t="s">
        <v>131</v>
      </c>
      <c r="B17" t="s">
        <v>932</v>
      </c>
      <c r="C17" t="s">
        <v>931</v>
      </c>
      <c r="D17" t="s">
        <v>153</v>
      </c>
      <c r="F17">
        <v>0.237456</v>
      </c>
      <c r="G17">
        <v>0.19763700000000001</v>
      </c>
      <c r="H17">
        <v>0.20088800000000001</v>
      </c>
      <c r="I17">
        <v>0.18940599999999999</v>
      </c>
      <c r="J17">
        <v>0.115795</v>
      </c>
      <c r="K17">
        <v>0.135879</v>
      </c>
      <c r="L17">
        <v>0.14164599999999999</v>
      </c>
      <c r="M17">
        <v>0.14424799999999999</v>
      </c>
      <c r="N17">
        <v>0.14546700000000001</v>
      </c>
      <c r="O17">
        <v>0.151586</v>
      </c>
      <c r="P17">
        <v>0.16537399999999999</v>
      </c>
      <c r="Q17">
        <v>0.175206</v>
      </c>
      <c r="R17">
        <v>0.17380300000000001</v>
      </c>
      <c r="S17">
        <v>0.182533</v>
      </c>
      <c r="T17">
        <v>0.181898</v>
      </c>
      <c r="U17">
        <v>0.179373</v>
      </c>
      <c r="V17">
        <v>0.17672599999999999</v>
      </c>
      <c r="W17">
        <v>0.173953</v>
      </c>
      <c r="X17">
        <v>0.17105300000000001</v>
      </c>
      <c r="Y17">
        <v>0.16802300000000001</v>
      </c>
      <c r="Z17">
        <v>0.16537099999999999</v>
      </c>
      <c r="AA17">
        <v>0.16207199999999999</v>
      </c>
      <c r="AB17">
        <v>0.158636</v>
      </c>
      <c r="AC17">
        <v>0.155059</v>
      </c>
      <c r="AD17">
        <v>0.151338</v>
      </c>
      <c r="AE17">
        <v>0.14747099999999999</v>
      </c>
      <c r="AF17">
        <v>0.143454</v>
      </c>
      <c r="AG17" s="12">
        <v>-1.9E-2</v>
      </c>
    </row>
    <row r="18" spans="1:33">
      <c r="A18" t="s">
        <v>132</v>
      </c>
      <c r="B18" t="s">
        <v>930</v>
      </c>
      <c r="C18" t="s">
        <v>929</v>
      </c>
      <c r="D18" t="s">
        <v>153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6</v>
      </c>
    </row>
    <row r="19" spans="1:33">
      <c r="A19" t="s">
        <v>133</v>
      </c>
      <c r="B19" t="s">
        <v>928</v>
      </c>
      <c r="C19" t="s">
        <v>927</v>
      </c>
      <c r="D19" t="s">
        <v>153</v>
      </c>
      <c r="F19">
        <v>3.0860000000000002E-3</v>
      </c>
      <c r="G19">
        <v>4.2420000000000001E-3</v>
      </c>
      <c r="H19">
        <v>4.2389999999999997E-3</v>
      </c>
      <c r="I19">
        <v>4.228E-3</v>
      </c>
      <c r="J19">
        <v>4.2490000000000002E-3</v>
      </c>
      <c r="K19">
        <v>4.2490000000000002E-3</v>
      </c>
      <c r="L19">
        <v>4.2490000000000002E-3</v>
      </c>
      <c r="M19">
        <v>4.2490000000000002E-3</v>
      </c>
      <c r="N19">
        <v>4.2500000000000003E-3</v>
      </c>
      <c r="O19">
        <v>4.2500000000000003E-3</v>
      </c>
      <c r="P19">
        <v>4.2500000000000003E-3</v>
      </c>
      <c r="Q19">
        <v>4.2500000000000003E-3</v>
      </c>
      <c r="R19">
        <v>4.2500000000000003E-3</v>
      </c>
      <c r="S19">
        <v>4.2509999999999996E-3</v>
      </c>
      <c r="T19">
        <v>4.2509999999999996E-3</v>
      </c>
      <c r="U19">
        <v>4.2509999999999996E-3</v>
      </c>
      <c r="V19">
        <v>4.2509999999999996E-3</v>
      </c>
      <c r="W19">
        <v>4.2509999999999996E-3</v>
      </c>
      <c r="X19">
        <v>4.2519999999999997E-3</v>
      </c>
      <c r="Y19">
        <v>4.2519999999999997E-3</v>
      </c>
      <c r="Z19">
        <v>4.2519999999999997E-3</v>
      </c>
      <c r="AA19">
        <v>4.2519999999999997E-3</v>
      </c>
      <c r="AB19">
        <v>4.2519999999999997E-3</v>
      </c>
      <c r="AC19">
        <v>4.2519999999999997E-3</v>
      </c>
      <c r="AD19">
        <v>4.2529999999999998E-3</v>
      </c>
      <c r="AE19">
        <v>4.2529999999999998E-3</v>
      </c>
      <c r="AF19">
        <v>4.2529999999999998E-3</v>
      </c>
      <c r="AG19" s="12">
        <v>1.2E-2</v>
      </c>
    </row>
    <row r="20" spans="1:33">
      <c r="A20" t="s">
        <v>134</v>
      </c>
      <c r="B20" t="s">
        <v>926</v>
      </c>
      <c r="C20" t="s">
        <v>925</v>
      </c>
      <c r="D20" t="s">
        <v>153</v>
      </c>
      <c r="F20">
        <v>0.37634899999999999</v>
      </c>
      <c r="G20">
        <v>0.38957700000000001</v>
      </c>
      <c r="H20">
        <v>0.403443</v>
      </c>
      <c r="I20">
        <v>0.38982800000000001</v>
      </c>
      <c r="J20">
        <v>0.34387000000000001</v>
      </c>
      <c r="K20">
        <v>0.32937</v>
      </c>
      <c r="L20">
        <v>0.33017800000000003</v>
      </c>
      <c r="M20">
        <v>0.33175300000000002</v>
      </c>
      <c r="N20">
        <v>0.336198</v>
      </c>
      <c r="O20">
        <v>0.33447500000000002</v>
      </c>
      <c r="P20">
        <v>0.376226</v>
      </c>
      <c r="Q20">
        <v>0.376664</v>
      </c>
      <c r="R20">
        <v>0.359122</v>
      </c>
      <c r="S20">
        <v>0.33517599999999997</v>
      </c>
      <c r="T20">
        <v>0.38102900000000001</v>
      </c>
      <c r="U20">
        <v>0.38524599999999998</v>
      </c>
      <c r="V20">
        <v>0.38004900000000003</v>
      </c>
      <c r="W20">
        <v>0.38174000000000002</v>
      </c>
      <c r="X20">
        <v>0.38699299999999998</v>
      </c>
      <c r="Y20">
        <v>0.38806000000000002</v>
      </c>
      <c r="Z20">
        <v>0.39325199999999999</v>
      </c>
      <c r="AA20">
        <v>0.40167599999999998</v>
      </c>
      <c r="AB20">
        <v>0.42339700000000002</v>
      </c>
      <c r="AC20">
        <v>0.45327299999999998</v>
      </c>
      <c r="AD20">
        <v>0.46409400000000001</v>
      </c>
      <c r="AE20">
        <v>0.488346</v>
      </c>
      <c r="AF20">
        <v>0.51320500000000002</v>
      </c>
      <c r="AG20" s="12">
        <v>1.2E-2</v>
      </c>
    </row>
    <row r="21" spans="1:33">
      <c r="A21" t="s">
        <v>135</v>
      </c>
      <c r="B21" t="s">
        <v>924</v>
      </c>
      <c r="C21" t="s">
        <v>923</v>
      </c>
      <c r="D21" t="s">
        <v>153</v>
      </c>
      <c r="F21">
        <v>3.4089610000000001</v>
      </c>
      <c r="G21">
        <v>3.8012649999999999</v>
      </c>
      <c r="H21">
        <v>4.3839610000000002</v>
      </c>
      <c r="I21">
        <v>4.7130270000000003</v>
      </c>
      <c r="J21">
        <v>4.8958620000000002</v>
      </c>
      <c r="K21">
        <v>5.2369219999999999</v>
      </c>
      <c r="L21">
        <v>5.6777030000000002</v>
      </c>
      <c r="M21">
        <v>6.1833179999999999</v>
      </c>
      <c r="N21">
        <v>6.7968820000000001</v>
      </c>
      <c r="O21">
        <v>7.3846509999999999</v>
      </c>
      <c r="P21">
        <v>8.0275560000000006</v>
      </c>
      <c r="Q21">
        <v>8.6695670000000007</v>
      </c>
      <c r="R21">
        <v>9.329504</v>
      </c>
      <c r="S21">
        <v>9.8697780000000002</v>
      </c>
      <c r="T21">
        <v>10.215384999999999</v>
      </c>
      <c r="U21">
        <v>10.659146</v>
      </c>
      <c r="V21">
        <v>10.981565</v>
      </c>
      <c r="W21">
        <v>11.158401</v>
      </c>
      <c r="X21">
        <v>11.315016</v>
      </c>
      <c r="Y21">
        <v>11.468982</v>
      </c>
      <c r="Z21">
        <v>11.629298</v>
      </c>
      <c r="AA21">
        <v>11.848853999999999</v>
      </c>
      <c r="AB21">
        <v>12.060473999999999</v>
      </c>
      <c r="AC21">
        <v>12.320989000000001</v>
      </c>
      <c r="AD21">
        <v>12.592124999999999</v>
      </c>
      <c r="AE21">
        <v>12.886576</v>
      </c>
      <c r="AF21">
        <v>13.147625</v>
      </c>
      <c r="AG21" s="12">
        <v>5.2999999999999999E-2</v>
      </c>
    </row>
    <row r="22" spans="1:33">
      <c r="A22" t="s">
        <v>124</v>
      </c>
      <c r="B22" t="s">
        <v>922</v>
      </c>
      <c r="C22" t="s">
        <v>921</v>
      </c>
      <c r="D22" t="s">
        <v>153</v>
      </c>
      <c r="F22">
        <v>0.82673799999999997</v>
      </c>
      <c r="G22">
        <v>0.89713500000000002</v>
      </c>
      <c r="H22">
        <v>0.93154300000000001</v>
      </c>
      <c r="I22">
        <v>0.96592900000000004</v>
      </c>
      <c r="J22">
        <v>0.96586000000000005</v>
      </c>
      <c r="K22">
        <v>0.96587599999999996</v>
      </c>
      <c r="L22">
        <v>0.96630300000000002</v>
      </c>
      <c r="M22">
        <v>0.96634299999999995</v>
      </c>
      <c r="N22">
        <v>0.96801599999999999</v>
      </c>
      <c r="O22">
        <v>0.96530099999999996</v>
      </c>
      <c r="P22">
        <v>0.96179599999999998</v>
      </c>
      <c r="Q22">
        <v>0.95052700000000001</v>
      </c>
      <c r="R22">
        <v>0.94846299999999995</v>
      </c>
      <c r="S22">
        <v>0.94750100000000004</v>
      </c>
      <c r="T22">
        <v>0.94209699999999996</v>
      </c>
      <c r="U22">
        <v>0.93090099999999998</v>
      </c>
      <c r="V22">
        <v>0.93122099999999997</v>
      </c>
      <c r="W22">
        <v>0.93847199999999997</v>
      </c>
      <c r="X22">
        <v>0.939299</v>
      </c>
      <c r="Y22">
        <v>0.93390899999999999</v>
      </c>
      <c r="Z22">
        <v>0.92494299999999996</v>
      </c>
      <c r="AA22">
        <v>0.92375600000000002</v>
      </c>
      <c r="AB22">
        <v>0.91442800000000002</v>
      </c>
      <c r="AC22">
        <v>0.906192</v>
      </c>
      <c r="AD22">
        <v>0.91056400000000004</v>
      </c>
      <c r="AE22">
        <v>0.90995899999999996</v>
      </c>
      <c r="AF22">
        <v>0.91156599999999999</v>
      </c>
      <c r="AG22" s="12">
        <v>4.0000000000000001E-3</v>
      </c>
    </row>
    <row r="23" spans="1:33">
      <c r="A23" t="s">
        <v>136</v>
      </c>
      <c r="B23" t="s">
        <v>920</v>
      </c>
      <c r="C23" t="s">
        <v>919</v>
      </c>
      <c r="D23" t="s">
        <v>153</v>
      </c>
      <c r="F23">
        <v>5.4584000000000001E-2</v>
      </c>
      <c r="G23">
        <v>5.2604999999999999E-2</v>
      </c>
      <c r="H23">
        <v>5.7382000000000002E-2</v>
      </c>
      <c r="I23">
        <v>5.9903999999999999E-2</v>
      </c>
      <c r="J23">
        <v>6.3532000000000005E-2</v>
      </c>
      <c r="K23">
        <v>6.8226999999999996E-2</v>
      </c>
      <c r="L23">
        <v>7.3581999999999995E-2</v>
      </c>
      <c r="M23">
        <v>7.8935000000000005E-2</v>
      </c>
      <c r="N23">
        <v>8.7332000000000007E-2</v>
      </c>
      <c r="O23">
        <v>9.4089999999999993E-2</v>
      </c>
      <c r="P23">
        <v>0.101714</v>
      </c>
      <c r="Q23">
        <v>0.109155</v>
      </c>
      <c r="R23">
        <v>0.116052</v>
      </c>
      <c r="S23">
        <v>0.122573</v>
      </c>
      <c r="T23">
        <v>0.12940699999999999</v>
      </c>
      <c r="U23">
        <v>0.13793</v>
      </c>
      <c r="V23">
        <v>0.146006</v>
      </c>
      <c r="W23">
        <v>0.152922</v>
      </c>
      <c r="X23">
        <v>0.15891</v>
      </c>
      <c r="Y23">
        <v>0.164662</v>
      </c>
      <c r="Z23">
        <v>0.169769</v>
      </c>
      <c r="AA23">
        <v>0.17407700000000001</v>
      </c>
      <c r="AB23">
        <v>0.17772399999999999</v>
      </c>
      <c r="AC23">
        <v>0.18113899999999999</v>
      </c>
      <c r="AD23">
        <v>0.18399499999999999</v>
      </c>
      <c r="AE23">
        <v>0.18574299999999999</v>
      </c>
      <c r="AF23">
        <v>0.18751699999999999</v>
      </c>
      <c r="AG23" s="12">
        <v>4.9000000000000002E-2</v>
      </c>
    </row>
    <row r="24" spans="1:33">
      <c r="A24" t="s">
        <v>137</v>
      </c>
      <c r="B24" t="s">
        <v>918</v>
      </c>
      <c r="C24" t="s">
        <v>917</v>
      </c>
      <c r="D24" t="s">
        <v>153</v>
      </c>
      <c r="F24">
        <v>0.140012</v>
      </c>
      <c r="G24">
        <v>0.14896499999999999</v>
      </c>
      <c r="H24">
        <v>0.15889500000000001</v>
      </c>
      <c r="I24">
        <v>0.166519</v>
      </c>
      <c r="J24">
        <v>0.170403</v>
      </c>
      <c r="K24">
        <v>0.177566</v>
      </c>
      <c r="L24">
        <v>0.18054600000000001</v>
      </c>
      <c r="M24">
        <v>0.18739</v>
      </c>
      <c r="N24">
        <v>0.195247</v>
      </c>
      <c r="O24">
        <v>0.20310800000000001</v>
      </c>
      <c r="P24">
        <v>0.208978</v>
      </c>
      <c r="Q24">
        <v>0.21029100000000001</v>
      </c>
      <c r="R24">
        <v>0.216747</v>
      </c>
      <c r="S24">
        <v>0.22294</v>
      </c>
      <c r="T24">
        <v>0.231348</v>
      </c>
      <c r="U24">
        <v>0.23567199999999999</v>
      </c>
      <c r="V24">
        <v>0.241007</v>
      </c>
      <c r="W24">
        <v>0.251419</v>
      </c>
      <c r="X24">
        <v>0.25957799999999998</v>
      </c>
      <c r="Y24">
        <v>0.26622400000000002</v>
      </c>
      <c r="Z24">
        <v>0.27033099999999999</v>
      </c>
      <c r="AA24">
        <v>0.27518900000000002</v>
      </c>
      <c r="AB24">
        <v>0.27833400000000003</v>
      </c>
      <c r="AC24">
        <v>0.28129599999999999</v>
      </c>
      <c r="AD24">
        <v>0.28270099999999998</v>
      </c>
      <c r="AE24">
        <v>0.28176899999999999</v>
      </c>
      <c r="AF24">
        <v>0.28175899999999998</v>
      </c>
      <c r="AG24" s="12">
        <v>2.7E-2</v>
      </c>
    </row>
    <row r="25" spans="1:33">
      <c r="A25" t="s">
        <v>126</v>
      </c>
      <c r="B25" t="s">
        <v>916</v>
      </c>
      <c r="C25" t="s">
        <v>915</v>
      </c>
      <c r="D25" t="s">
        <v>153</v>
      </c>
      <c r="F25">
        <v>0.167182</v>
      </c>
      <c r="G25">
        <v>0.16625400000000001</v>
      </c>
      <c r="H25">
        <v>0.16639999999999999</v>
      </c>
      <c r="I25">
        <v>0.16606799999999999</v>
      </c>
      <c r="J25">
        <v>0.15571699999999999</v>
      </c>
      <c r="K25">
        <v>0.15524399999999999</v>
      </c>
      <c r="L25">
        <v>0.156698</v>
      </c>
      <c r="M25">
        <v>0.15350800000000001</v>
      </c>
      <c r="N25">
        <v>0.15673300000000001</v>
      </c>
      <c r="O25">
        <v>0.157447</v>
      </c>
      <c r="P25">
        <v>0.156527</v>
      </c>
      <c r="Q25">
        <v>0.156527</v>
      </c>
      <c r="R25">
        <v>0.15692600000000001</v>
      </c>
      <c r="S25">
        <v>0.15528700000000001</v>
      </c>
      <c r="T25">
        <v>0.154694</v>
      </c>
      <c r="U25">
        <v>0.15443499999999999</v>
      </c>
      <c r="V25">
        <v>0.155837</v>
      </c>
      <c r="W25">
        <v>0.156749</v>
      </c>
      <c r="X25">
        <v>0.157413</v>
      </c>
      <c r="Y25">
        <v>0.157419</v>
      </c>
      <c r="Z25">
        <v>0.15798699999999999</v>
      </c>
      <c r="AA25">
        <v>0.1573</v>
      </c>
      <c r="AB25">
        <v>0.158133</v>
      </c>
      <c r="AC25">
        <v>0.15864600000000001</v>
      </c>
      <c r="AD25">
        <v>0.162274</v>
      </c>
      <c r="AE25">
        <v>0.163246</v>
      </c>
      <c r="AF25">
        <v>0.16087699999999999</v>
      </c>
      <c r="AG25" s="12">
        <v>-1E-3</v>
      </c>
    </row>
    <row r="26" spans="1:33">
      <c r="A26" t="s">
        <v>138</v>
      </c>
      <c r="B26" t="s">
        <v>914</v>
      </c>
      <c r="C26" t="s">
        <v>913</v>
      </c>
      <c r="D26" t="s">
        <v>153</v>
      </c>
      <c r="F26">
        <v>0.13592399999999999</v>
      </c>
      <c r="G26">
        <v>0.13561200000000001</v>
      </c>
      <c r="H26">
        <v>0.13617099999999999</v>
      </c>
      <c r="I26">
        <v>0.135905</v>
      </c>
      <c r="J26">
        <v>0.12787200000000001</v>
      </c>
      <c r="K26">
        <v>0.12797</v>
      </c>
      <c r="L26">
        <v>0.12910199999999999</v>
      </c>
      <c r="M26">
        <v>0.12610099999999999</v>
      </c>
      <c r="N26">
        <v>0.129963</v>
      </c>
      <c r="O26">
        <v>0.130414</v>
      </c>
      <c r="P26">
        <v>0.12878300000000001</v>
      </c>
      <c r="Q26">
        <v>0.12876099999999999</v>
      </c>
      <c r="R26">
        <v>0.12908700000000001</v>
      </c>
      <c r="S26">
        <v>0.12774099999999999</v>
      </c>
      <c r="T26">
        <v>0.127195</v>
      </c>
      <c r="U26">
        <v>0.12707199999999999</v>
      </c>
      <c r="V26">
        <v>0.12878800000000001</v>
      </c>
      <c r="W26">
        <v>0.129498</v>
      </c>
      <c r="X26">
        <v>0.13011800000000001</v>
      </c>
      <c r="Y26">
        <v>0.13012199999999999</v>
      </c>
      <c r="Z26">
        <v>0.13063</v>
      </c>
      <c r="AA26">
        <v>0.13004199999999999</v>
      </c>
      <c r="AB26">
        <v>0.130824</v>
      </c>
      <c r="AC26">
        <v>0.13145000000000001</v>
      </c>
      <c r="AD26">
        <v>0.13184699999999999</v>
      </c>
      <c r="AE26">
        <v>0.13325899999999999</v>
      </c>
      <c r="AF26">
        <v>0.132718</v>
      </c>
      <c r="AG26" s="12">
        <v>-1E-3</v>
      </c>
    </row>
    <row r="27" spans="1:33">
      <c r="A27" t="s">
        <v>139</v>
      </c>
      <c r="B27" t="s">
        <v>912</v>
      </c>
      <c r="C27" t="s">
        <v>911</v>
      </c>
      <c r="D27" t="s">
        <v>153</v>
      </c>
      <c r="F27">
        <v>3.1258000000000001E-2</v>
      </c>
      <c r="G27">
        <v>3.0641000000000002E-2</v>
      </c>
      <c r="H27">
        <v>3.0228999999999999E-2</v>
      </c>
      <c r="I27">
        <v>3.0162999999999999E-2</v>
      </c>
      <c r="J27">
        <v>2.7844000000000001E-2</v>
      </c>
      <c r="K27">
        <v>2.7275000000000001E-2</v>
      </c>
      <c r="L27">
        <v>2.7595999999999999E-2</v>
      </c>
      <c r="M27">
        <v>2.7407000000000001E-2</v>
      </c>
      <c r="N27">
        <v>2.6769000000000001E-2</v>
      </c>
      <c r="O27">
        <v>2.7033000000000001E-2</v>
      </c>
      <c r="P27">
        <v>2.7744000000000001E-2</v>
      </c>
      <c r="Q27">
        <v>2.7765999999999999E-2</v>
      </c>
      <c r="R27">
        <v>2.7838999999999999E-2</v>
      </c>
      <c r="S27">
        <v>2.7546000000000001E-2</v>
      </c>
      <c r="T27">
        <v>2.7498999999999999E-2</v>
      </c>
      <c r="U27">
        <v>2.7362000000000001E-2</v>
      </c>
      <c r="V27">
        <v>2.7050000000000001E-2</v>
      </c>
      <c r="W27">
        <v>2.725E-2</v>
      </c>
      <c r="X27">
        <v>2.7295E-2</v>
      </c>
      <c r="Y27">
        <v>2.7297999999999999E-2</v>
      </c>
      <c r="Z27">
        <v>2.7358E-2</v>
      </c>
      <c r="AA27">
        <v>2.7258000000000001E-2</v>
      </c>
      <c r="AB27">
        <v>2.7309E-2</v>
      </c>
      <c r="AC27">
        <v>2.7196000000000001E-2</v>
      </c>
      <c r="AD27">
        <v>3.0426000000000002E-2</v>
      </c>
      <c r="AE27">
        <v>2.9988000000000001E-2</v>
      </c>
      <c r="AF27">
        <v>2.8159E-2</v>
      </c>
      <c r="AG27" s="12">
        <v>-4.0000000000000001E-3</v>
      </c>
    </row>
    <row r="28" spans="1:33">
      <c r="A28" t="s">
        <v>140</v>
      </c>
      <c r="B28" t="s">
        <v>910</v>
      </c>
      <c r="C28" t="s">
        <v>909</v>
      </c>
      <c r="D28" t="s">
        <v>153</v>
      </c>
      <c r="F28">
        <v>9.1750000000000009E-3</v>
      </c>
      <c r="G28">
        <v>8.6870000000000003E-3</v>
      </c>
      <c r="H28">
        <v>9.6880000000000004E-3</v>
      </c>
      <c r="I28">
        <v>9.6740000000000003E-3</v>
      </c>
      <c r="J28">
        <v>9.691E-3</v>
      </c>
      <c r="K28">
        <v>9.6769999999999998E-3</v>
      </c>
      <c r="L28">
        <v>9.6810000000000004E-3</v>
      </c>
      <c r="M28">
        <v>9.6869999999999994E-3</v>
      </c>
      <c r="N28">
        <v>9.6810000000000004E-3</v>
      </c>
      <c r="O28">
        <v>9.672E-3</v>
      </c>
      <c r="P28">
        <v>9.5449999999999997E-3</v>
      </c>
      <c r="Q28">
        <v>9.0290000000000006E-3</v>
      </c>
      <c r="R28">
        <v>7.5339999999999999E-3</v>
      </c>
      <c r="S28">
        <v>6.4669999999999997E-3</v>
      </c>
      <c r="T28">
        <v>6.463E-3</v>
      </c>
      <c r="U28">
        <v>7.4520000000000003E-3</v>
      </c>
      <c r="V28">
        <v>7.4980000000000003E-3</v>
      </c>
      <c r="W28">
        <v>7.7549999999999997E-3</v>
      </c>
      <c r="X28">
        <v>8.9359999999999995E-3</v>
      </c>
      <c r="Y28">
        <v>7.5519999999999997E-3</v>
      </c>
      <c r="Z28">
        <v>7.5240000000000003E-3</v>
      </c>
      <c r="AA28">
        <v>9.2560000000000003E-3</v>
      </c>
      <c r="AB28">
        <v>9.1140000000000006E-3</v>
      </c>
      <c r="AC28">
        <v>8.9020000000000002E-3</v>
      </c>
      <c r="AD28">
        <v>9.0939999999999997E-3</v>
      </c>
      <c r="AE28">
        <v>9.1599999999999997E-3</v>
      </c>
      <c r="AF28">
        <v>9.2040000000000004E-3</v>
      </c>
      <c r="AG28" s="12">
        <v>0</v>
      </c>
    </row>
    <row r="29" spans="1:33">
      <c r="A29" t="s">
        <v>141</v>
      </c>
      <c r="B29" t="s">
        <v>908</v>
      </c>
      <c r="C29" t="s">
        <v>907</v>
      </c>
      <c r="D29" t="s">
        <v>153</v>
      </c>
      <c r="F29">
        <v>0.68615300000000001</v>
      </c>
      <c r="G29">
        <v>0.93048500000000001</v>
      </c>
      <c r="H29">
        <v>1.2610330000000001</v>
      </c>
      <c r="I29">
        <v>1.3598429999999999</v>
      </c>
      <c r="J29">
        <v>1.415033</v>
      </c>
      <c r="K29">
        <v>1.6002320000000001</v>
      </c>
      <c r="L29">
        <v>1.8484320000000001</v>
      </c>
      <c r="M29">
        <v>2.1320480000000002</v>
      </c>
      <c r="N29">
        <v>2.4913850000000002</v>
      </c>
      <c r="O29">
        <v>2.7691439999999998</v>
      </c>
      <c r="P29">
        <v>3.0268969999999999</v>
      </c>
      <c r="Q29">
        <v>3.242969</v>
      </c>
      <c r="R29">
        <v>3.384646</v>
      </c>
      <c r="S29">
        <v>3.5037780000000001</v>
      </c>
      <c r="T29">
        <v>3.6106509999999998</v>
      </c>
      <c r="U29">
        <v>3.746191</v>
      </c>
      <c r="V29">
        <v>3.8279139999999998</v>
      </c>
      <c r="W29">
        <v>3.9016329999999999</v>
      </c>
      <c r="X29">
        <v>3.9871080000000001</v>
      </c>
      <c r="Y29">
        <v>4.080622</v>
      </c>
      <c r="Z29">
        <v>4.1858589999999998</v>
      </c>
      <c r="AA29">
        <v>4.3243499999999999</v>
      </c>
      <c r="AB29">
        <v>4.4897999999999998</v>
      </c>
      <c r="AC29">
        <v>4.6728500000000004</v>
      </c>
      <c r="AD29">
        <v>4.855118</v>
      </c>
      <c r="AE29">
        <v>5.0042229999999996</v>
      </c>
      <c r="AF29">
        <v>5.151821</v>
      </c>
      <c r="AG29" s="12">
        <v>8.1000000000000003E-2</v>
      </c>
    </row>
    <row r="30" spans="1:33">
      <c r="A30" t="s">
        <v>142</v>
      </c>
      <c r="B30" t="s">
        <v>906</v>
      </c>
      <c r="C30" t="s">
        <v>905</v>
      </c>
      <c r="D30" t="s">
        <v>153</v>
      </c>
      <c r="F30">
        <v>1.5251170000000001</v>
      </c>
      <c r="G30">
        <v>1.5971340000000001</v>
      </c>
      <c r="H30">
        <v>1.7990200000000001</v>
      </c>
      <c r="I30">
        <v>1.98509</v>
      </c>
      <c r="J30">
        <v>2.1156259999999998</v>
      </c>
      <c r="K30">
        <v>2.2601019999999998</v>
      </c>
      <c r="L30">
        <v>2.4424610000000002</v>
      </c>
      <c r="M30">
        <v>2.6554060000000002</v>
      </c>
      <c r="N30">
        <v>2.88849</v>
      </c>
      <c r="O30">
        <v>3.1858900000000001</v>
      </c>
      <c r="P30">
        <v>3.5620989999999999</v>
      </c>
      <c r="Q30">
        <v>3.9910700000000001</v>
      </c>
      <c r="R30">
        <v>4.499136</v>
      </c>
      <c r="S30">
        <v>4.911232</v>
      </c>
      <c r="T30">
        <v>5.1407239999999996</v>
      </c>
      <c r="U30">
        <v>5.4465649999999997</v>
      </c>
      <c r="V30">
        <v>5.6720810000000004</v>
      </c>
      <c r="W30">
        <v>5.7494509999999996</v>
      </c>
      <c r="X30">
        <v>5.8037710000000002</v>
      </c>
      <c r="Y30">
        <v>5.8585940000000001</v>
      </c>
      <c r="Z30">
        <v>5.9128850000000002</v>
      </c>
      <c r="AA30">
        <v>5.9849259999999997</v>
      </c>
      <c r="AB30">
        <v>6.03294</v>
      </c>
      <c r="AC30">
        <v>6.1119630000000003</v>
      </c>
      <c r="AD30">
        <v>6.1883780000000002</v>
      </c>
      <c r="AE30">
        <v>6.3324749999999996</v>
      </c>
      <c r="AF30">
        <v>6.4448809999999996</v>
      </c>
      <c r="AG30" s="12">
        <v>5.7000000000000002E-2</v>
      </c>
    </row>
    <row r="31" spans="1:33">
      <c r="A31" t="s">
        <v>143</v>
      </c>
      <c r="B31" t="s">
        <v>904</v>
      </c>
      <c r="C31" t="s">
        <v>903</v>
      </c>
      <c r="D31" t="s">
        <v>153</v>
      </c>
      <c r="F31">
        <v>8.0015979999999995</v>
      </c>
      <c r="G31">
        <v>8.4236090000000008</v>
      </c>
      <c r="H31">
        <v>9.0552849999999996</v>
      </c>
      <c r="I31">
        <v>9.3616620000000008</v>
      </c>
      <c r="J31">
        <v>9.4217300000000002</v>
      </c>
      <c r="K31">
        <v>9.786664</v>
      </c>
      <c r="L31">
        <v>10.246105</v>
      </c>
      <c r="M31">
        <v>10.770749</v>
      </c>
      <c r="N31">
        <v>11.395408</v>
      </c>
      <c r="O31">
        <v>11.987632</v>
      </c>
      <c r="P31">
        <v>12.691672000000001</v>
      </c>
      <c r="Q31">
        <v>13.350533</v>
      </c>
      <c r="R31">
        <v>14.011350999999999</v>
      </c>
      <c r="S31">
        <v>14.546669</v>
      </c>
      <c r="T31">
        <v>14.945281</v>
      </c>
      <c r="U31">
        <v>15.402927999999999</v>
      </c>
      <c r="V31">
        <v>15.724679999999999</v>
      </c>
      <c r="W31">
        <v>15.892244</v>
      </c>
      <c r="X31">
        <v>16.043911000000001</v>
      </c>
      <c r="Y31">
        <v>16.193916999999999</v>
      </c>
      <c r="Z31">
        <v>16.352712</v>
      </c>
      <c r="AA31">
        <v>16.588183000000001</v>
      </c>
      <c r="AB31">
        <v>16.824712999999999</v>
      </c>
      <c r="AC31">
        <v>17.135487999999999</v>
      </c>
      <c r="AD31">
        <v>17.435305</v>
      </c>
      <c r="AE31">
        <v>17.774804</v>
      </c>
      <c r="AF31">
        <v>18.077473000000001</v>
      </c>
      <c r="AG31" s="12">
        <v>3.2000000000000001E-2</v>
      </c>
    </row>
    <row r="32" spans="1:33">
      <c r="A32" t="s">
        <v>22</v>
      </c>
    </row>
    <row r="33" spans="1:33">
      <c r="A33" t="s">
        <v>144</v>
      </c>
      <c r="B33" t="s">
        <v>902</v>
      </c>
      <c r="C33" t="s">
        <v>901</v>
      </c>
      <c r="D33" t="s">
        <v>153</v>
      </c>
      <c r="F33">
        <v>1.319796</v>
      </c>
      <c r="G33">
        <v>1.32233</v>
      </c>
      <c r="H33">
        <v>1.342438</v>
      </c>
      <c r="I33">
        <v>1.3444799999999999</v>
      </c>
      <c r="J33">
        <v>1.3445240000000001</v>
      </c>
      <c r="K33">
        <v>1.345372</v>
      </c>
      <c r="L33">
        <v>1.3445119999999999</v>
      </c>
      <c r="M33">
        <v>1.343896</v>
      </c>
      <c r="N33">
        <v>1.3436239999999999</v>
      </c>
      <c r="O33">
        <v>1.3442700000000001</v>
      </c>
      <c r="P33">
        <v>1.344401</v>
      </c>
      <c r="Q33">
        <v>1.343453</v>
      </c>
      <c r="R33">
        <v>1.345574</v>
      </c>
      <c r="S33">
        <v>1.348238</v>
      </c>
      <c r="T33">
        <v>1.348768</v>
      </c>
      <c r="U33">
        <v>1.3539870000000001</v>
      </c>
      <c r="V33">
        <v>1.3615010000000001</v>
      </c>
      <c r="W33">
        <v>1.364714</v>
      </c>
      <c r="X33">
        <v>1.3667530000000001</v>
      </c>
      <c r="Y33">
        <v>1.382163</v>
      </c>
      <c r="Z33">
        <v>1.387529</v>
      </c>
      <c r="AA33">
        <v>1.393813</v>
      </c>
      <c r="AB33">
        <v>1.3993390000000001</v>
      </c>
      <c r="AC33">
        <v>1.407653</v>
      </c>
      <c r="AD33">
        <v>1.4133979999999999</v>
      </c>
      <c r="AE33">
        <v>1.421891</v>
      </c>
      <c r="AF33">
        <v>1.4257960000000001</v>
      </c>
      <c r="AG33" s="12">
        <v>3.0000000000000001E-3</v>
      </c>
    </row>
    <row r="34" spans="1:33">
      <c r="A34" t="s">
        <v>145</v>
      </c>
      <c r="B34" t="s">
        <v>900</v>
      </c>
      <c r="C34" t="s">
        <v>899</v>
      </c>
      <c r="D34" t="s">
        <v>153</v>
      </c>
      <c r="F34">
        <v>1.493E-3</v>
      </c>
      <c r="G34">
        <v>1.4790000000000001E-3</v>
      </c>
      <c r="H34">
        <v>1.4679999999999999E-3</v>
      </c>
      <c r="I34">
        <v>1.4679999999999999E-3</v>
      </c>
      <c r="J34">
        <v>1.4679999999999999E-3</v>
      </c>
      <c r="K34">
        <v>1.4679999999999999E-3</v>
      </c>
      <c r="L34">
        <v>1.4679999999999999E-3</v>
      </c>
      <c r="M34">
        <v>1.4679999999999999E-3</v>
      </c>
      <c r="N34">
        <v>1.4679999999999999E-3</v>
      </c>
      <c r="O34">
        <v>1.4679999999999999E-3</v>
      </c>
      <c r="P34">
        <v>1.4679999999999999E-3</v>
      </c>
      <c r="Q34">
        <v>1.4679999999999999E-3</v>
      </c>
      <c r="R34">
        <v>1.4679999999999999E-3</v>
      </c>
      <c r="S34">
        <v>1.4679999999999999E-3</v>
      </c>
      <c r="T34">
        <v>1.4679999999999999E-3</v>
      </c>
      <c r="U34">
        <v>1.4679999999999999E-3</v>
      </c>
      <c r="V34">
        <v>1.4679999999999999E-3</v>
      </c>
      <c r="W34">
        <v>1.4679999999999999E-3</v>
      </c>
      <c r="X34">
        <v>1.4679999999999999E-3</v>
      </c>
      <c r="Y34">
        <v>1.4679999999999999E-3</v>
      </c>
      <c r="Z34">
        <v>1.4679999999999999E-3</v>
      </c>
      <c r="AA34">
        <v>1.4679999999999999E-3</v>
      </c>
      <c r="AB34">
        <v>1.4679999999999999E-3</v>
      </c>
      <c r="AC34">
        <v>1.4679999999999999E-3</v>
      </c>
      <c r="AD34">
        <v>1.4679999999999999E-3</v>
      </c>
      <c r="AE34">
        <v>1.4679999999999999E-3</v>
      </c>
      <c r="AF34">
        <v>1.4679999999999999E-3</v>
      </c>
      <c r="AG34" s="12">
        <v>-1E-3</v>
      </c>
    </row>
    <row r="35" spans="1:33">
      <c r="A35" t="s">
        <v>146</v>
      </c>
      <c r="B35" t="s">
        <v>898</v>
      </c>
      <c r="C35" t="s">
        <v>897</v>
      </c>
      <c r="D35" t="s">
        <v>153</v>
      </c>
      <c r="F35">
        <v>-0.15920599999999999</v>
      </c>
      <c r="G35">
        <v>-0.15610399999999999</v>
      </c>
      <c r="H35">
        <v>-0.15262100000000001</v>
      </c>
      <c r="I35">
        <v>-0.15132499999999999</v>
      </c>
      <c r="J35">
        <v>-0.15548699999999999</v>
      </c>
      <c r="K35">
        <v>-0.16220999999999999</v>
      </c>
      <c r="L35">
        <v>-0.16878799999999999</v>
      </c>
      <c r="M35">
        <v>-0.173237</v>
      </c>
      <c r="N35">
        <v>-0.17977399999999999</v>
      </c>
      <c r="O35">
        <v>-0.18569099999999999</v>
      </c>
      <c r="P35">
        <v>-0.18942899999999999</v>
      </c>
      <c r="Q35">
        <v>-0.19233600000000001</v>
      </c>
      <c r="R35">
        <v>-0.201766</v>
      </c>
      <c r="S35">
        <v>-0.21141199999999999</v>
      </c>
      <c r="T35">
        <v>-0.21671299999999999</v>
      </c>
      <c r="U35">
        <v>-0.226717</v>
      </c>
      <c r="V35">
        <v>-0.237292</v>
      </c>
      <c r="W35">
        <v>-0.243228</v>
      </c>
      <c r="X35">
        <v>-0.249306</v>
      </c>
      <c r="Y35">
        <v>-0.26588699999999998</v>
      </c>
      <c r="Z35">
        <v>-0.27382600000000001</v>
      </c>
      <c r="AA35">
        <v>-0.28067599999999998</v>
      </c>
      <c r="AB35">
        <v>-0.28769099999999997</v>
      </c>
      <c r="AC35">
        <v>-0.29488700000000001</v>
      </c>
      <c r="AD35">
        <v>-0.30224899999999999</v>
      </c>
      <c r="AE35">
        <v>-0.30980799999999997</v>
      </c>
      <c r="AF35">
        <v>-0.30986799999999998</v>
      </c>
      <c r="AG35" s="12">
        <v>2.5999999999999999E-2</v>
      </c>
    </row>
    <row r="36" spans="1:33">
      <c r="A36" t="s">
        <v>147</v>
      </c>
      <c r="B36" t="s">
        <v>896</v>
      </c>
      <c r="C36" t="s">
        <v>895</v>
      </c>
      <c r="D36" t="s">
        <v>153</v>
      </c>
      <c r="F36">
        <v>1.162083</v>
      </c>
      <c r="G36">
        <v>1.1677059999999999</v>
      </c>
      <c r="H36">
        <v>1.1912849999999999</v>
      </c>
      <c r="I36">
        <v>1.194623</v>
      </c>
      <c r="J36">
        <v>1.1905049999999999</v>
      </c>
      <c r="K36">
        <v>1.1846300000000001</v>
      </c>
      <c r="L36">
        <v>1.177192</v>
      </c>
      <c r="M36">
        <v>1.1721269999999999</v>
      </c>
      <c r="N36">
        <v>1.1653180000000001</v>
      </c>
      <c r="O36">
        <v>1.160048</v>
      </c>
      <c r="P36">
        <v>1.1564410000000001</v>
      </c>
      <c r="Q36">
        <v>1.152585</v>
      </c>
      <c r="R36">
        <v>1.145276</v>
      </c>
      <c r="S36">
        <v>1.1382939999999999</v>
      </c>
      <c r="T36">
        <v>1.1335230000000001</v>
      </c>
      <c r="U36">
        <v>1.1287370000000001</v>
      </c>
      <c r="V36">
        <v>1.125677</v>
      </c>
      <c r="W36">
        <v>1.122954</v>
      </c>
      <c r="X36">
        <v>1.118914</v>
      </c>
      <c r="Y36">
        <v>1.1177440000000001</v>
      </c>
      <c r="Z36">
        <v>1.11517</v>
      </c>
      <c r="AA36">
        <v>1.1146050000000001</v>
      </c>
      <c r="AB36">
        <v>1.113116</v>
      </c>
      <c r="AC36">
        <v>1.1142339999999999</v>
      </c>
      <c r="AD36">
        <v>1.112617</v>
      </c>
      <c r="AE36">
        <v>1.113551</v>
      </c>
      <c r="AF36">
        <v>1.1173960000000001</v>
      </c>
      <c r="AG36" s="12">
        <v>-2E-3</v>
      </c>
    </row>
    <row r="37" spans="1:33">
      <c r="A37" t="s">
        <v>148</v>
      </c>
    </row>
    <row r="38" spans="1:33">
      <c r="A38" t="s">
        <v>149</v>
      </c>
    </row>
    <row r="39" spans="1:33">
      <c r="A39" t="s">
        <v>150</v>
      </c>
      <c r="B39" t="s">
        <v>894</v>
      </c>
      <c r="C39" t="s">
        <v>893</v>
      </c>
      <c r="D39" t="s">
        <v>153</v>
      </c>
      <c r="F39">
        <v>0.25074299999999999</v>
      </c>
      <c r="G39">
        <v>0.28741800000000001</v>
      </c>
      <c r="H39">
        <v>0.32524900000000001</v>
      </c>
      <c r="I39">
        <v>0.35926799999999998</v>
      </c>
      <c r="J39">
        <v>0.39427200000000001</v>
      </c>
      <c r="K39">
        <v>0.42646600000000001</v>
      </c>
      <c r="L39">
        <v>0.46103499999999997</v>
      </c>
      <c r="M39">
        <v>0.49767400000000001</v>
      </c>
      <c r="N39">
        <v>0.53414399999999995</v>
      </c>
      <c r="O39">
        <v>0.56779400000000002</v>
      </c>
      <c r="P39">
        <v>0.60184199999999999</v>
      </c>
      <c r="Q39">
        <v>0.62786900000000001</v>
      </c>
      <c r="R39">
        <v>0.65475099999999997</v>
      </c>
      <c r="S39">
        <v>0.68227800000000005</v>
      </c>
      <c r="T39">
        <v>0.71080900000000002</v>
      </c>
      <c r="U39">
        <v>0.73968800000000001</v>
      </c>
      <c r="V39">
        <v>0.76835900000000001</v>
      </c>
      <c r="W39">
        <v>0.79810599999999998</v>
      </c>
      <c r="X39">
        <v>0.82866099999999998</v>
      </c>
      <c r="Y39">
        <v>0.85952600000000001</v>
      </c>
      <c r="Z39">
        <v>0.89091399999999998</v>
      </c>
      <c r="AA39">
        <v>0.92310300000000001</v>
      </c>
      <c r="AB39">
        <v>0.95589400000000002</v>
      </c>
      <c r="AC39">
        <v>0.98935200000000001</v>
      </c>
      <c r="AD39">
        <v>1.0238860000000001</v>
      </c>
      <c r="AE39">
        <v>1.0587310000000001</v>
      </c>
      <c r="AF39">
        <v>1.0941080000000001</v>
      </c>
      <c r="AG39" s="12">
        <v>5.8000000000000003E-2</v>
      </c>
    </row>
    <row r="40" spans="1:33">
      <c r="A40" t="s">
        <v>151</v>
      </c>
      <c r="B40" t="s">
        <v>892</v>
      </c>
      <c r="C40" t="s">
        <v>891</v>
      </c>
      <c r="D40" t="s">
        <v>153</v>
      </c>
      <c r="F40">
        <v>3.5527000000000003E-2</v>
      </c>
      <c r="G40">
        <v>4.2164E-2</v>
      </c>
      <c r="H40">
        <v>4.9453999999999998E-2</v>
      </c>
      <c r="I40">
        <v>5.5135999999999998E-2</v>
      </c>
      <c r="J40">
        <v>6.1081999999999997E-2</v>
      </c>
      <c r="K40">
        <v>6.3460000000000003E-2</v>
      </c>
      <c r="L40">
        <v>6.6100000000000006E-2</v>
      </c>
      <c r="M40">
        <v>6.8594000000000002E-2</v>
      </c>
      <c r="N40">
        <v>7.1124000000000007E-2</v>
      </c>
      <c r="O40">
        <v>7.0597999999999994E-2</v>
      </c>
      <c r="P40">
        <v>7.1290999999999993E-2</v>
      </c>
      <c r="Q40">
        <v>7.1442000000000005E-2</v>
      </c>
      <c r="R40">
        <v>7.1725999999999998E-2</v>
      </c>
      <c r="S40">
        <v>7.1845000000000006E-2</v>
      </c>
      <c r="T40">
        <v>7.2013999999999995E-2</v>
      </c>
      <c r="U40">
        <v>7.2104000000000001E-2</v>
      </c>
      <c r="V40">
        <v>7.1609999999999993E-2</v>
      </c>
      <c r="W40">
        <v>7.1702000000000002E-2</v>
      </c>
      <c r="X40">
        <v>7.1763999999999994E-2</v>
      </c>
      <c r="Y40">
        <v>7.1766999999999997E-2</v>
      </c>
      <c r="Z40">
        <v>7.1850999999999998E-2</v>
      </c>
      <c r="AA40">
        <v>7.1776999999999994E-2</v>
      </c>
      <c r="AB40">
        <v>7.1899000000000005E-2</v>
      </c>
      <c r="AC40">
        <v>7.1695999999999996E-2</v>
      </c>
      <c r="AD40">
        <v>7.1936E-2</v>
      </c>
      <c r="AE40">
        <v>7.1868000000000001E-2</v>
      </c>
      <c r="AF40">
        <v>7.2137999999999994E-2</v>
      </c>
      <c r="AG40" s="12">
        <v>2.8000000000000001E-2</v>
      </c>
    </row>
    <row r="41" spans="1:33">
      <c r="A41" t="s">
        <v>141</v>
      </c>
      <c r="B41" t="s">
        <v>890</v>
      </c>
      <c r="C41" t="s">
        <v>889</v>
      </c>
      <c r="D41" t="s">
        <v>153</v>
      </c>
      <c r="F41">
        <v>0.21395500000000001</v>
      </c>
      <c r="G41">
        <v>0.243113</v>
      </c>
      <c r="H41">
        <v>0.272787</v>
      </c>
      <c r="I41">
        <v>0.30072500000000002</v>
      </c>
      <c r="J41">
        <v>0.32933600000000002</v>
      </c>
      <c r="K41">
        <v>0.35830899999999999</v>
      </c>
      <c r="L41">
        <v>0.38930999999999999</v>
      </c>
      <c r="M41">
        <v>0.422234</v>
      </c>
      <c r="N41">
        <v>0.45493499999999998</v>
      </c>
      <c r="O41">
        <v>0.48869000000000001</v>
      </c>
      <c r="P41">
        <v>0.52184900000000001</v>
      </c>
      <c r="Q41">
        <v>0.54771800000000004</v>
      </c>
      <c r="R41">
        <v>0.57430800000000004</v>
      </c>
      <c r="S41">
        <v>0.60170699999999999</v>
      </c>
      <c r="T41">
        <v>0.63005800000000001</v>
      </c>
      <c r="U41">
        <v>0.65883599999999998</v>
      </c>
      <c r="V41">
        <v>0.68798899999999996</v>
      </c>
      <c r="W41">
        <v>0.71763200000000005</v>
      </c>
      <c r="X41">
        <v>0.74811099999999997</v>
      </c>
      <c r="Y41">
        <v>0.77895999999999999</v>
      </c>
      <c r="Z41">
        <v>0.810249</v>
      </c>
      <c r="AA41">
        <v>0.84249799999999997</v>
      </c>
      <c r="AB41">
        <v>0.87515299999999996</v>
      </c>
      <c r="AC41">
        <v>0.90879900000000002</v>
      </c>
      <c r="AD41">
        <v>0.94307700000000005</v>
      </c>
      <c r="AE41">
        <v>0.97797299999999998</v>
      </c>
      <c r="AF41">
        <v>1.013064</v>
      </c>
      <c r="AG41" s="12">
        <v>6.2E-2</v>
      </c>
    </row>
    <row r="42" spans="1:33">
      <c r="A42" t="s">
        <v>142</v>
      </c>
      <c r="B42" t="s">
        <v>888</v>
      </c>
      <c r="C42" t="s">
        <v>887</v>
      </c>
      <c r="D42" t="s">
        <v>153</v>
      </c>
      <c r="F42">
        <v>1.2600000000000001E-3</v>
      </c>
      <c r="G42">
        <v>2.1410000000000001E-3</v>
      </c>
      <c r="H42">
        <v>3.0070000000000001E-3</v>
      </c>
      <c r="I42">
        <v>3.4069999999999999E-3</v>
      </c>
      <c r="J42">
        <v>3.8549999999999999E-3</v>
      </c>
      <c r="K42">
        <v>4.6969999999999998E-3</v>
      </c>
      <c r="L42">
        <v>5.6249999999999998E-3</v>
      </c>
      <c r="M42">
        <v>6.8459999999999997E-3</v>
      </c>
      <c r="N42">
        <v>8.0850000000000002E-3</v>
      </c>
      <c r="O42">
        <v>8.5070000000000007E-3</v>
      </c>
      <c r="P42">
        <v>8.7030000000000007E-3</v>
      </c>
      <c r="Q42">
        <v>8.7089999999999997E-3</v>
      </c>
      <c r="R42">
        <v>8.7170000000000008E-3</v>
      </c>
      <c r="S42">
        <v>8.7259999999999994E-3</v>
      </c>
      <c r="T42">
        <v>8.737E-3</v>
      </c>
      <c r="U42">
        <v>8.7480000000000006E-3</v>
      </c>
      <c r="V42">
        <v>8.7600000000000004E-3</v>
      </c>
      <c r="W42">
        <v>8.7729999999999995E-3</v>
      </c>
      <c r="X42">
        <v>8.7860000000000004E-3</v>
      </c>
      <c r="Y42">
        <v>8.7989999999999995E-3</v>
      </c>
      <c r="Z42">
        <v>8.8129999999999997E-3</v>
      </c>
      <c r="AA42">
        <v>8.8269999999999998E-3</v>
      </c>
      <c r="AB42">
        <v>8.8419999999999992E-3</v>
      </c>
      <c r="AC42">
        <v>8.8579999999999996E-3</v>
      </c>
      <c r="AD42">
        <v>8.8730000000000007E-3</v>
      </c>
      <c r="AE42">
        <v>8.8900000000000003E-3</v>
      </c>
      <c r="AF42">
        <v>8.907E-3</v>
      </c>
      <c r="AG42" s="12">
        <v>7.8E-2</v>
      </c>
    </row>
    <row r="43" spans="1:33">
      <c r="A43" t="s">
        <v>152</v>
      </c>
      <c r="B43" t="s">
        <v>886</v>
      </c>
      <c r="C43" t="s">
        <v>885</v>
      </c>
      <c r="D43" t="s">
        <v>153</v>
      </c>
      <c r="F43">
        <v>0.20818700000000001</v>
      </c>
      <c r="G43">
        <v>0.22262299999999999</v>
      </c>
      <c r="H43">
        <v>0.23933299999999999</v>
      </c>
      <c r="I43">
        <v>0.24512</v>
      </c>
      <c r="J43">
        <v>0.25116899999999998</v>
      </c>
      <c r="K43">
        <v>0.26085900000000001</v>
      </c>
      <c r="L43">
        <v>0.27288800000000002</v>
      </c>
      <c r="M43">
        <v>0.28668100000000002</v>
      </c>
      <c r="N43">
        <v>0.29902800000000002</v>
      </c>
      <c r="O43">
        <v>0.312087</v>
      </c>
      <c r="P43">
        <v>0.32226100000000002</v>
      </c>
      <c r="Q43">
        <v>0.32997799999999999</v>
      </c>
      <c r="R43">
        <v>0.336752</v>
      </c>
      <c r="S43">
        <v>0.34578100000000001</v>
      </c>
      <c r="T43">
        <v>0.3523</v>
      </c>
      <c r="U43">
        <v>0.35697000000000001</v>
      </c>
      <c r="V43">
        <v>0.36337799999999998</v>
      </c>
      <c r="W43">
        <v>0.37340000000000001</v>
      </c>
      <c r="X43">
        <v>0.382718</v>
      </c>
      <c r="Y43">
        <v>0.391652</v>
      </c>
      <c r="Z43">
        <v>0.40115600000000001</v>
      </c>
      <c r="AA43">
        <v>0.41025</v>
      </c>
      <c r="AB43">
        <v>0.41951899999999998</v>
      </c>
      <c r="AC43">
        <v>0.42825099999999999</v>
      </c>
      <c r="AD43">
        <v>0.435228</v>
      </c>
      <c r="AE43">
        <v>0.44208599999999998</v>
      </c>
      <c r="AF43">
        <v>0.44732300000000003</v>
      </c>
      <c r="AG43" s="12">
        <v>0.03</v>
      </c>
    </row>
    <row r="44" spans="1:33">
      <c r="A44" t="s">
        <v>140</v>
      </c>
      <c r="B44" t="s">
        <v>884</v>
      </c>
      <c r="C44" t="s">
        <v>883</v>
      </c>
      <c r="D44" t="s">
        <v>153</v>
      </c>
      <c r="F44">
        <v>6.5970000000000001E-2</v>
      </c>
      <c r="G44">
        <v>6.3522999999999996E-2</v>
      </c>
      <c r="H44">
        <v>6.3758999999999996E-2</v>
      </c>
      <c r="I44">
        <v>6.2554999999999999E-2</v>
      </c>
      <c r="J44">
        <v>6.1929999999999999E-2</v>
      </c>
      <c r="K44">
        <v>6.1544000000000001E-2</v>
      </c>
      <c r="L44">
        <v>6.1365000000000003E-2</v>
      </c>
      <c r="M44">
        <v>6.0719000000000002E-2</v>
      </c>
      <c r="N44">
        <v>6.0527999999999998E-2</v>
      </c>
      <c r="O44">
        <v>5.8022999999999998E-2</v>
      </c>
      <c r="P44">
        <v>5.7785999999999997E-2</v>
      </c>
      <c r="Q44">
        <v>5.7960999999999999E-2</v>
      </c>
      <c r="R44">
        <v>5.8395000000000002E-2</v>
      </c>
      <c r="S44">
        <v>5.8285000000000003E-2</v>
      </c>
      <c r="T44">
        <v>5.8208000000000003E-2</v>
      </c>
      <c r="U44">
        <v>5.8202999999999998E-2</v>
      </c>
      <c r="V44">
        <v>5.7064999999999998E-2</v>
      </c>
      <c r="W44">
        <v>5.7070999999999997E-2</v>
      </c>
      <c r="X44">
        <v>5.7076000000000002E-2</v>
      </c>
      <c r="Y44">
        <v>5.6996999999999999E-2</v>
      </c>
      <c r="Z44">
        <v>5.7015000000000003E-2</v>
      </c>
      <c r="AA44">
        <v>5.6936E-2</v>
      </c>
      <c r="AB44">
        <v>5.7097000000000002E-2</v>
      </c>
      <c r="AC44">
        <v>5.6811E-2</v>
      </c>
      <c r="AD44">
        <v>5.6854000000000002E-2</v>
      </c>
      <c r="AE44">
        <v>5.6737000000000003E-2</v>
      </c>
      <c r="AF44">
        <v>5.6786999999999997E-2</v>
      </c>
      <c r="AG44" s="12">
        <v>-6.0000000000000001E-3</v>
      </c>
    </row>
    <row r="45" spans="1:33">
      <c r="A45" t="s">
        <v>141</v>
      </c>
      <c r="B45" t="s">
        <v>882</v>
      </c>
      <c r="C45" t="s">
        <v>881</v>
      </c>
      <c r="D45" t="s">
        <v>153</v>
      </c>
      <c r="F45">
        <v>0.13968800000000001</v>
      </c>
      <c r="G45">
        <v>0.15656900000000001</v>
      </c>
      <c r="H45">
        <v>0.173044</v>
      </c>
      <c r="I45">
        <v>0.180036</v>
      </c>
      <c r="J45">
        <v>0.18670900000000001</v>
      </c>
      <c r="K45">
        <v>0.19677900000000001</v>
      </c>
      <c r="L45">
        <v>0.208981</v>
      </c>
      <c r="M45">
        <v>0.223414</v>
      </c>
      <c r="N45">
        <v>0.23594399999999999</v>
      </c>
      <c r="O45">
        <v>0.25150099999999997</v>
      </c>
      <c r="P45">
        <v>0.26190999999999998</v>
      </c>
      <c r="Q45">
        <v>0.26944899999999999</v>
      </c>
      <c r="R45">
        <v>0.27578799999999998</v>
      </c>
      <c r="S45">
        <v>0.28492400000000001</v>
      </c>
      <c r="T45">
        <v>0.29151899999999997</v>
      </c>
      <c r="U45">
        <v>0.29619200000000001</v>
      </c>
      <c r="V45">
        <v>0.303734</v>
      </c>
      <c r="W45">
        <v>0.313745</v>
      </c>
      <c r="X45">
        <v>0.32305200000000001</v>
      </c>
      <c r="Y45">
        <v>0.332063</v>
      </c>
      <c r="Z45">
        <v>0.34154499999999999</v>
      </c>
      <c r="AA45">
        <v>0.35071600000000003</v>
      </c>
      <c r="AB45">
        <v>0.359819</v>
      </c>
      <c r="AC45">
        <v>0.368834</v>
      </c>
      <c r="AD45">
        <v>0.37576599999999999</v>
      </c>
      <c r="AE45">
        <v>0.38273800000000002</v>
      </c>
      <c r="AF45">
        <v>0.38792500000000002</v>
      </c>
      <c r="AG45" s="12">
        <v>0.04</v>
      </c>
    </row>
    <row r="46" spans="1:33">
      <c r="A46" t="s">
        <v>142</v>
      </c>
      <c r="B46" t="s">
        <v>880</v>
      </c>
      <c r="C46" t="s">
        <v>879</v>
      </c>
      <c r="D46" t="s">
        <v>153</v>
      </c>
      <c r="F46">
        <v>2.529E-3</v>
      </c>
      <c r="G46">
        <v>2.5309999999999998E-3</v>
      </c>
      <c r="H46">
        <v>2.5300000000000001E-3</v>
      </c>
      <c r="I46">
        <v>2.5300000000000001E-3</v>
      </c>
      <c r="J46">
        <v>2.5300000000000001E-3</v>
      </c>
      <c r="K46">
        <v>2.5360000000000001E-3</v>
      </c>
      <c r="L46">
        <v>2.5409999999999999E-3</v>
      </c>
      <c r="M46">
        <v>2.5479999999999999E-3</v>
      </c>
      <c r="N46">
        <v>2.5560000000000001E-3</v>
      </c>
      <c r="O46">
        <v>2.5630000000000002E-3</v>
      </c>
      <c r="P46">
        <v>2.565E-3</v>
      </c>
      <c r="Q46">
        <v>2.568E-3</v>
      </c>
      <c r="R46">
        <v>2.5690000000000001E-3</v>
      </c>
      <c r="S46">
        <v>2.5720000000000001E-3</v>
      </c>
      <c r="T46">
        <v>2.5730000000000002E-3</v>
      </c>
      <c r="U46">
        <v>2.575E-3</v>
      </c>
      <c r="V46">
        <v>2.578E-3</v>
      </c>
      <c r="W46">
        <v>2.5839999999999999E-3</v>
      </c>
      <c r="X46">
        <v>2.5890000000000002E-3</v>
      </c>
      <c r="Y46">
        <v>2.5920000000000001E-3</v>
      </c>
      <c r="Z46">
        <v>2.5959999999999998E-3</v>
      </c>
      <c r="AA46">
        <v>2.5990000000000002E-3</v>
      </c>
      <c r="AB46">
        <v>2.6029999999999998E-3</v>
      </c>
      <c r="AC46">
        <v>2.6059999999999998E-3</v>
      </c>
      <c r="AD46">
        <v>2.6080000000000001E-3</v>
      </c>
      <c r="AE46">
        <v>2.6099999999999999E-3</v>
      </c>
      <c r="AF46">
        <v>2.611E-3</v>
      </c>
      <c r="AG46" s="12">
        <v>1E-3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4EBAE-E995-4337-B6A5-FE165203F8EB}">
  <dimension ref="A1:AG96"/>
  <sheetViews>
    <sheetView workbookViewId="0">
      <selection activeCell="A17" sqref="A17:XFD17"/>
    </sheetView>
  </sheetViews>
  <sheetFormatPr defaultRowHeight="14.75"/>
  <cols>
    <col min="1" max="1" width="37.54296875" customWidth="1"/>
  </cols>
  <sheetData>
    <row r="1" spans="1:33">
      <c r="A1" t="s">
        <v>86</v>
      </c>
    </row>
    <row r="2" spans="1:33">
      <c r="A2" t="s">
        <v>1139</v>
      </c>
    </row>
    <row r="3" spans="1:33">
      <c r="A3" t="s">
        <v>1138</v>
      </c>
    </row>
    <row r="4" spans="1:33">
      <c r="A4" t="s">
        <v>87</v>
      </c>
    </row>
    <row r="5" spans="1:33">
      <c r="B5" t="s">
        <v>88</v>
      </c>
      <c r="C5" t="s">
        <v>116</v>
      </c>
      <c r="D5" t="s">
        <v>117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953</v>
      </c>
    </row>
    <row r="6" spans="1:33">
      <c r="A6" t="s">
        <v>13</v>
      </c>
      <c r="B6" t="s">
        <v>1137</v>
      </c>
      <c r="C6" t="s">
        <v>1136</v>
      </c>
      <c r="D6" t="s">
        <v>118</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12">
        <v>-8.0000000000000002E-3</v>
      </c>
    </row>
    <row r="7" spans="1:33">
      <c r="A7" t="s">
        <v>89</v>
      </c>
      <c r="B7" t="s">
        <v>1135</v>
      </c>
      <c r="C7" t="s">
        <v>1134</v>
      </c>
      <c r="D7" t="s">
        <v>118</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12">
        <v>-1.2E-2</v>
      </c>
    </row>
    <row r="8" spans="1:33">
      <c r="A8" t="s">
        <v>90</v>
      </c>
      <c r="B8" t="s">
        <v>1133</v>
      </c>
      <c r="C8" t="s">
        <v>1132</v>
      </c>
      <c r="D8" t="s">
        <v>118</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12">
        <v>-5.3999999999999999E-2</v>
      </c>
    </row>
    <row r="9" spans="1:33">
      <c r="A9" t="s">
        <v>91</v>
      </c>
      <c r="B9" t="s">
        <v>1131</v>
      </c>
      <c r="C9" t="s">
        <v>1130</v>
      </c>
      <c r="D9" t="s">
        <v>118</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12">
        <v>2.1000000000000001E-2</v>
      </c>
    </row>
    <row r="10" spans="1:33">
      <c r="A10" t="s">
        <v>92</v>
      </c>
      <c r="B10" t="s">
        <v>1129</v>
      </c>
      <c r="C10" t="s">
        <v>1128</v>
      </c>
      <c r="D10" t="s">
        <v>118</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12">
        <v>-8.2000000000000003E-2</v>
      </c>
    </row>
    <row r="11" spans="1:33">
      <c r="A11" t="s">
        <v>93</v>
      </c>
      <c r="B11" t="s">
        <v>1127</v>
      </c>
      <c r="C11" t="s">
        <v>1126</v>
      </c>
      <c r="D11" t="s">
        <v>118</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12">
        <v>-6.7000000000000004E-2</v>
      </c>
    </row>
    <row r="12" spans="1:33">
      <c r="A12" t="s">
        <v>94</v>
      </c>
      <c r="B12" t="s">
        <v>1125</v>
      </c>
      <c r="C12" t="s">
        <v>1124</v>
      </c>
      <c r="D12" t="s">
        <v>118</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12">
        <v>0.11799999999999999</v>
      </c>
    </row>
    <row r="13" spans="1:33">
      <c r="A13" t="s">
        <v>95</v>
      </c>
      <c r="B13" t="s">
        <v>1123</v>
      </c>
      <c r="C13" t="s">
        <v>1122</v>
      </c>
      <c r="D13" t="s">
        <v>118</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12">
        <v>-0.05</v>
      </c>
    </row>
    <row r="14" spans="1:33">
      <c r="A14" t="s">
        <v>96</v>
      </c>
      <c r="B14" t="s">
        <v>1121</v>
      </c>
      <c r="C14" t="s">
        <v>1120</v>
      </c>
      <c r="D14" t="s">
        <v>118</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12">
        <v>-1.4999999999999999E-2</v>
      </c>
    </row>
    <row r="15" spans="1:33">
      <c r="A15" t="s">
        <v>89</v>
      </c>
      <c r="B15" t="s">
        <v>1119</v>
      </c>
      <c r="C15" t="s">
        <v>1118</v>
      </c>
      <c r="D15" t="s">
        <v>118</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12">
        <v>-8.0000000000000002E-3</v>
      </c>
    </row>
    <row r="16" spans="1:33">
      <c r="A16" t="s">
        <v>90</v>
      </c>
      <c r="B16" t="s">
        <v>1117</v>
      </c>
      <c r="C16" t="s">
        <v>1116</v>
      </c>
      <c r="D16" t="s">
        <v>118</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12">
        <v>6.0000000000000001E-3</v>
      </c>
    </row>
    <row r="17" spans="1:33" s="83" customFormat="1">
      <c r="A17" s="83" t="s">
        <v>91</v>
      </c>
      <c r="B17" s="83" t="s">
        <v>1115</v>
      </c>
      <c r="C17" s="83" t="s">
        <v>1114</v>
      </c>
      <c r="D17" s="83" t="s">
        <v>118</v>
      </c>
      <c r="F17" s="83">
        <v>259.73095699999999</v>
      </c>
      <c r="G17" s="83">
        <v>246.746262</v>
      </c>
      <c r="H17" s="83">
        <v>233.65933200000001</v>
      </c>
      <c r="I17" s="83">
        <v>222.639511</v>
      </c>
      <c r="J17" s="83">
        <v>210.52593999999999</v>
      </c>
      <c r="K17" s="83">
        <v>198.44125399999999</v>
      </c>
      <c r="L17" s="83">
        <v>187.82809399999999</v>
      </c>
      <c r="M17" s="83">
        <v>176.83654799999999</v>
      </c>
      <c r="N17" s="83">
        <v>165.995453</v>
      </c>
      <c r="O17" s="83">
        <v>155.707672</v>
      </c>
      <c r="P17" s="83">
        <v>145.472443</v>
      </c>
      <c r="Q17" s="83">
        <v>135.48971599999999</v>
      </c>
      <c r="R17" s="83">
        <v>125.976921</v>
      </c>
      <c r="S17" s="83">
        <v>117.19341300000001</v>
      </c>
      <c r="T17" s="83">
        <v>109.041771</v>
      </c>
      <c r="U17" s="83">
        <v>101.510696</v>
      </c>
      <c r="V17" s="83">
        <v>94.802504999999996</v>
      </c>
      <c r="W17" s="83">
        <v>87.939010999999994</v>
      </c>
      <c r="X17" s="83">
        <v>81.827179000000001</v>
      </c>
      <c r="Y17" s="83">
        <v>76.176422000000002</v>
      </c>
      <c r="Z17" s="83">
        <v>70.805824000000001</v>
      </c>
      <c r="AA17" s="83">
        <v>65.785888999999997</v>
      </c>
      <c r="AB17" s="83">
        <v>61.069122</v>
      </c>
      <c r="AC17" s="83">
        <v>56.668498999999997</v>
      </c>
      <c r="AD17" s="83">
        <v>52.409759999999999</v>
      </c>
      <c r="AE17" s="83">
        <v>48.369202000000001</v>
      </c>
      <c r="AF17" s="83">
        <v>44.395896999999998</v>
      </c>
      <c r="AG17" s="84">
        <v>-6.6000000000000003E-2</v>
      </c>
    </row>
    <row r="18" spans="1:33">
      <c r="A18" t="s">
        <v>93</v>
      </c>
      <c r="B18" t="s">
        <v>1113</v>
      </c>
      <c r="C18" t="s">
        <v>1112</v>
      </c>
      <c r="D18" t="s">
        <v>118</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12">
        <v>7.0999999999999994E-2</v>
      </c>
    </row>
    <row r="19" spans="1:33">
      <c r="A19" t="s">
        <v>92</v>
      </c>
      <c r="B19" t="s">
        <v>1111</v>
      </c>
      <c r="C19" t="s">
        <v>1110</v>
      </c>
      <c r="D19" t="s">
        <v>118</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12">
        <v>0.107</v>
      </c>
    </row>
    <row r="20" spans="1:33">
      <c r="A20" t="s">
        <v>94</v>
      </c>
      <c r="B20" t="s">
        <v>1109</v>
      </c>
      <c r="C20" t="s">
        <v>1108</v>
      </c>
      <c r="D20" t="s">
        <v>118</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12">
        <v>0.127</v>
      </c>
    </row>
    <row r="21" spans="1:33">
      <c r="A21" t="s">
        <v>95</v>
      </c>
      <c r="B21" t="s">
        <v>1107</v>
      </c>
      <c r="C21" t="s">
        <v>1106</v>
      </c>
      <c r="D21" t="s">
        <v>118</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6</v>
      </c>
    </row>
    <row r="22" spans="1:33">
      <c r="A22" t="s">
        <v>97</v>
      </c>
      <c r="B22" t="s">
        <v>1105</v>
      </c>
      <c r="C22" t="s">
        <v>1104</v>
      </c>
      <c r="D22" t="s">
        <v>118</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12">
        <v>-1E-3</v>
      </c>
    </row>
    <row r="23" spans="1:33">
      <c r="A23" t="s">
        <v>98</v>
      </c>
      <c r="B23" t="s">
        <v>1103</v>
      </c>
      <c r="C23" t="s">
        <v>1102</v>
      </c>
      <c r="D23" t="s">
        <v>118</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12">
        <v>2.1999999999999999E-2</v>
      </c>
    </row>
    <row r="24" spans="1:33">
      <c r="A24" t="s">
        <v>91</v>
      </c>
      <c r="B24" t="s">
        <v>1101</v>
      </c>
      <c r="C24" t="s">
        <v>1100</v>
      </c>
      <c r="D24" t="s">
        <v>118</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12">
        <v>-6.0000000000000001E-3</v>
      </c>
    </row>
    <row r="25" spans="1:33">
      <c r="A25" t="s">
        <v>92</v>
      </c>
      <c r="B25" t="s">
        <v>1099</v>
      </c>
      <c r="C25" t="s">
        <v>1098</v>
      </c>
      <c r="D25" t="s">
        <v>118</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12">
        <v>3.4000000000000002E-2</v>
      </c>
    </row>
    <row r="26" spans="1:33">
      <c r="A26" t="s">
        <v>93</v>
      </c>
      <c r="B26" t="s">
        <v>1097</v>
      </c>
      <c r="C26" t="s">
        <v>1096</v>
      </c>
      <c r="D26" t="s">
        <v>118</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12">
        <v>1.4E-2</v>
      </c>
    </row>
    <row r="27" spans="1:33">
      <c r="A27" t="s">
        <v>90</v>
      </c>
      <c r="B27" t="s">
        <v>1095</v>
      </c>
      <c r="C27" t="s">
        <v>1094</v>
      </c>
      <c r="D27" t="s">
        <v>118</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12">
        <v>-9.5000000000000001E-2</v>
      </c>
    </row>
    <row r="28" spans="1:33">
      <c r="A28" t="s">
        <v>94</v>
      </c>
      <c r="B28" t="s">
        <v>1093</v>
      </c>
      <c r="C28" t="s">
        <v>1092</v>
      </c>
      <c r="D28" t="s">
        <v>118</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12">
        <v>0.14099999999999999</v>
      </c>
    </row>
    <row r="29" spans="1:33">
      <c r="A29" t="s">
        <v>95</v>
      </c>
      <c r="B29" t="s">
        <v>1091</v>
      </c>
      <c r="C29" t="s">
        <v>1090</v>
      </c>
      <c r="D29" t="s">
        <v>118</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6</v>
      </c>
    </row>
    <row r="30" spans="1:33">
      <c r="A30" t="s">
        <v>99</v>
      </c>
      <c r="B30" t="s">
        <v>1089</v>
      </c>
      <c r="C30" t="s">
        <v>1088</v>
      </c>
      <c r="D30" t="s">
        <v>118</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12">
        <v>-3.0000000000000001E-3</v>
      </c>
    </row>
    <row r="31" spans="1:33">
      <c r="A31" t="s">
        <v>91</v>
      </c>
      <c r="B31" t="s">
        <v>1087</v>
      </c>
      <c r="C31" t="s">
        <v>1086</v>
      </c>
      <c r="D31" t="s">
        <v>118</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12">
        <v>-3.0000000000000001E-3</v>
      </c>
    </row>
    <row r="32" spans="1:33">
      <c r="A32" t="s">
        <v>100</v>
      </c>
      <c r="B32" t="s">
        <v>1085</v>
      </c>
      <c r="C32" t="s">
        <v>1084</v>
      </c>
      <c r="D32" t="s">
        <v>118</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6</v>
      </c>
    </row>
    <row r="33" spans="1:33">
      <c r="A33" t="s">
        <v>101</v>
      </c>
      <c r="B33" t="s">
        <v>1083</v>
      </c>
      <c r="C33" t="s">
        <v>1082</v>
      </c>
      <c r="D33" t="s">
        <v>118</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6</v>
      </c>
    </row>
    <row r="34" spans="1:33">
      <c r="A34" t="s">
        <v>102</v>
      </c>
      <c r="B34" t="s">
        <v>1081</v>
      </c>
      <c r="C34" t="s">
        <v>1080</v>
      </c>
      <c r="D34" t="s">
        <v>118</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6</v>
      </c>
    </row>
    <row r="35" spans="1:33" s="1" customFormat="1">
      <c r="A35" s="1" t="s">
        <v>12</v>
      </c>
      <c r="B35" s="1" t="s">
        <v>1079</v>
      </c>
      <c r="C35" s="1" t="s">
        <v>1078</v>
      </c>
      <c r="D35" s="1" t="s">
        <v>118</v>
      </c>
      <c r="F35" s="1">
        <v>94.440971000000005</v>
      </c>
      <c r="G35" s="1">
        <v>95.330078</v>
      </c>
      <c r="H35" s="1">
        <v>94.566444000000004</v>
      </c>
      <c r="I35" s="1">
        <v>93.798164</v>
      </c>
      <c r="J35" s="1">
        <v>93.107506000000001</v>
      </c>
      <c r="K35" s="1">
        <v>92.339127000000005</v>
      </c>
      <c r="L35" s="1">
        <v>91.480575999999999</v>
      </c>
      <c r="M35" s="1">
        <v>90.543334999999999</v>
      </c>
      <c r="N35" s="1">
        <v>89.462424999999996</v>
      </c>
      <c r="O35" s="1">
        <v>88.707656999999998</v>
      </c>
      <c r="P35" s="1">
        <v>88.034156999999993</v>
      </c>
      <c r="Q35" s="1">
        <v>87.319710000000001</v>
      </c>
      <c r="R35" s="1">
        <v>86.579650999999998</v>
      </c>
      <c r="S35" s="1">
        <v>85.944571999999994</v>
      </c>
      <c r="T35" s="1">
        <v>85.341614000000007</v>
      </c>
      <c r="U35" s="1">
        <v>84.675208999999995</v>
      </c>
      <c r="V35" s="1">
        <v>84.112099000000001</v>
      </c>
      <c r="W35" s="1">
        <v>83.540062000000006</v>
      </c>
      <c r="X35" s="1">
        <v>82.973929999999996</v>
      </c>
      <c r="Y35" s="1">
        <v>82.355484000000004</v>
      </c>
      <c r="Z35" s="1">
        <v>81.679946999999999</v>
      </c>
      <c r="AA35" s="1">
        <v>81.034569000000005</v>
      </c>
      <c r="AB35" s="1">
        <v>80.382202000000007</v>
      </c>
      <c r="AC35" s="1">
        <v>79.953879999999998</v>
      </c>
      <c r="AD35" s="1">
        <v>79.430321000000006</v>
      </c>
      <c r="AE35" s="1">
        <v>78.866470000000007</v>
      </c>
      <c r="AF35" s="1">
        <v>78.277953999999994</v>
      </c>
      <c r="AG35" s="104">
        <v>-7.0000000000000001E-3</v>
      </c>
    </row>
    <row r="36" spans="1:33" s="83" customFormat="1">
      <c r="A36" s="83" t="s">
        <v>91</v>
      </c>
      <c r="B36" s="83" t="s">
        <v>1077</v>
      </c>
      <c r="C36" s="83" t="s">
        <v>1076</v>
      </c>
      <c r="D36" s="83" t="s">
        <v>118</v>
      </c>
      <c r="F36" s="83">
        <v>92.332252999999994</v>
      </c>
      <c r="G36" s="83">
        <v>93.278983999999994</v>
      </c>
      <c r="H36" s="83">
        <v>92.539314000000005</v>
      </c>
      <c r="I36" s="83">
        <v>91.795044000000004</v>
      </c>
      <c r="J36" s="83">
        <v>91.125641000000002</v>
      </c>
      <c r="K36" s="83">
        <v>90.379990000000006</v>
      </c>
      <c r="L36" s="83">
        <v>89.546463000000003</v>
      </c>
      <c r="M36" s="83">
        <v>88.635925</v>
      </c>
      <c r="N36" s="83">
        <v>87.584746999999993</v>
      </c>
      <c r="O36" s="83">
        <v>86.852417000000003</v>
      </c>
      <c r="P36" s="83">
        <v>86.199318000000005</v>
      </c>
      <c r="Q36" s="83">
        <v>85.505904999999998</v>
      </c>
      <c r="R36" s="83">
        <v>84.786452999999995</v>
      </c>
      <c r="S36" s="83">
        <v>84.170158000000001</v>
      </c>
      <c r="T36" s="83">
        <v>83.586044000000001</v>
      </c>
      <c r="U36" s="83">
        <v>82.940169999999995</v>
      </c>
      <c r="V36" s="83">
        <v>82.351212000000004</v>
      </c>
      <c r="W36" s="83">
        <v>81.693588000000005</v>
      </c>
      <c r="X36" s="83">
        <v>81.036438000000004</v>
      </c>
      <c r="Y36" s="83">
        <v>80.322616999999994</v>
      </c>
      <c r="Z36" s="83">
        <v>79.547393999999997</v>
      </c>
      <c r="AA36" s="83">
        <v>78.795531999999994</v>
      </c>
      <c r="AB36" s="83">
        <v>78.030472000000003</v>
      </c>
      <c r="AC36" s="83">
        <v>77.475707999999997</v>
      </c>
      <c r="AD36" s="83">
        <v>76.820853999999997</v>
      </c>
      <c r="AE36" s="83">
        <v>76.119011</v>
      </c>
      <c r="AF36" s="83">
        <v>75.385009999999994</v>
      </c>
      <c r="AG36" s="84">
        <v>-8.0000000000000002E-3</v>
      </c>
    </row>
    <row r="37" spans="1:33" s="83" customFormat="1">
      <c r="A37" s="83" t="s">
        <v>103</v>
      </c>
      <c r="B37" s="83" t="s">
        <v>1075</v>
      </c>
      <c r="C37" s="83" t="s">
        <v>1074</v>
      </c>
      <c r="D37" s="83" t="s">
        <v>118</v>
      </c>
      <c r="F37" s="83">
        <v>1.3822049999999999</v>
      </c>
      <c r="G37" s="83">
        <v>1.2632559999999999</v>
      </c>
      <c r="H37" s="83">
        <v>1.198018</v>
      </c>
      <c r="I37" s="83">
        <v>1.1309709999999999</v>
      </c>
      <c r="J37" s="83">
        <v>1.0674129999999999</v>
      </c>
      <c r="K37" s="83">
        <v>1.0042279999999999</v>
      </c>
      <c r="L37" s="83">
        <v>0.937581</v>
      </c>
      <c r="M37" s="83">
        <v>0.868587</v>
      </c>
      <c r="N37" s="83">
        <v>0.80069400000000002</v>
      </c>
      <c r="O37" s="83">
        <v>0.73563800000000001</v>
      </c>
      <c r="P37" s="83">
        <v>0.673956</v>
      </c>
      <c r="Q37" s="83">
        <v>0.61449699999999996</v>
      </c>
      <c r="R37" s="83">
        <v>0.56326799999999999</v>
      </c>
      <c r="S37" s="83">
        <v>0.50884700000000005</v>
      </c>
      <c r="T37" s="83">
        <v>0.44785000000000003</v>
      </c>
      <c r="U37" s="83">
        <v>0.38284099999999999</v>
      </c>
      <c r="V37" s="83">
        <v>0.32558700000000002</v>
      </c>
      <c r="W37" s="83">
        <v>0.32329599999999997</v>
      </c>
      <c r="X37" s="83">
        <v>0.321021</v>
      </c>
      <c r="Y37" s="83">
        <v>0.31855600000000001</v>
      </c>
      <c r="Z37" s="83">
        <v>0.31585600000000003</v>
      </c>
      <c r="AA37" s="83">
        <v>0.31325799999999998</v>
      </c>
      <c r="AB37" s="83">
        <v>0.310612</v>
      </c>
      <c r="AC37" s="83">
        <v>0.30888199999999999</v>
      </c>
      <c r="AD37" s="83">
        <v>0.306782</v>
      </c>
      <c r="AE37" s="83">
        <v>0.30452499999999999</v>
      </c>
      <c r="AF37" s="83">
        <v>0.302176</v>
      </c>
      <c r="AG37" s="84">
        <v>-5.7000000000000002E-2</v>
      </c>
    </row>
    <row r="38" spans="1:33">
      <c r="A38" t="s">
        <v>101</v>
      </c>
      <c r="B38" t="s">
        <v>1073</v>
      </c>
      <c r="C38" t="s">
        <v>1072</v>
      </c>
      <c r="D38" t="s">
        <v>118</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6</v>
      </c>
    </row>
    <row r="39" spans="1:33">
      <c r="A39" t="s">
        <v>102</v>
      </c>
      <c r="B39" t="s">
        <v>1071</v>
      </c>
      <c r="C39" t="s">
        <v>1070</v>
      </c>
      <c r="D39" t="s">
        <v>118</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12">
        <v>0.05</v>
      </c>
    </row>
    <row r="40" spans="1:33">
      <c r="A40" t="s">
        <v>11</v>
      </c>
      <c r="B40" t="s">
        <v>1069</v>
      </c>
      <c r="C40" t="s">
        <v>1068</v>
      </c>
      <c r="D40" t="s">
        <v>118</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12">
        <v>8.9999999999999993E-3</v>
      </c>
    </row>
    <row r="41" spans="1:33" s="83" customFormat="1">
      <c r="A41" s="83" t="s">
        <v>91</v>
      </c>
      <c r="B41" s="83" t="s">
        <v>1067</v>
      </c>
      <c r="C41" s="83" t="s">
        <v>1066</v>
      </c>
      <c r="D41" s="83" t="s">
        <v>118</v>
      </c>
      <c r="F41" s="83">
        <v>195.74534600000001</v>
      </c>
      <c r="G41" s="83">
        <v>212.661835</v>
      </c>
      <c r="H41" s="83">
        <v>224.314606</v>
      </c>
      <c r="I41" s="83">
        <v>228.064087</v>
      </c>
      <c r="J41" s="83">
        <v>233.18679800000001</v>
      </c>
      <c r="K41" s="83">
        <v>235.61990399999999</v>
      </c>
      <c r="L41" s="83">
        <v>238.52423099999999</v>
      </c>
      <c r="M41" s="83">
        <v>242.35704000000001</v>
      </c>
      <c r="N41" s="83">
        <v>248.63774100000001</v>
      </c>
      <c r="O41" s="83">
        <v>254.948486</v>
      </c>
      <c r="P41" s="83">
        <v>261.07586700000002</v>
      </c>
      <c r="Q41" s="83">
        <v>263.98260499999998</v>
      </c>
      <c r="R41" s="83">
        <v>266.61132800000001</v>
      </c>
      <c r="S41" s="83">
        <v>268.03750600000001</v>
      </c>
      <c r="T41" s="83">
        <v>270.21701000000002</v>
      </c>
      <c r="U41" s="83">
        <v>272.002228</v>
      </c>
      <c r="V41" s="83">
        <v>273.95889299999999</v>
      </c>
      <c r="W41" s="83">
        <v>276.39965799999999</v>
      </c>
      <c r="X41" s="83">
        <v>278.885986</v>
      </c>
      <c r="Y41" s="83">
        <v>280.99075299999998</v>
      </c>
      <c r="Z41" s="83">
        <v>283.009094</v>
      </c>
      <c r="AA41" s="83">
        <v>284.52014200000002</v>
      </c>
      <c r="AB41" s="83">
        <v>284.75753800000001</v>
      </c>
      <c r="AC41" s="83">
        <v>286.24276700000001</v>
      </c>
      <c r="AD41" s="83">
        <v>288.10394300000002</v>
      </c>
      <c r="AE41" s="83">
        <v>290.23345899999998</v>
      </c>
      <c r="AF41" s="83">
        <v>292.11120599999998</v>
      </c>
      <c r="AG41" s="84">
        <v>1.6E-2</v>
      </c>
    </row>
    <row r="42" spans="1:33" s="83" customFormat="1">
      <c r="A42" s="83" t="s">
        <v>103</v>
      </c>
      <c r="B42" s="83" t="s">
        <v>1065</v>
      </c>
      <c r="C42" s="83" t="s">
        <v>1064</v>
      </c>
      <c r="D42" s="83" t="s">
        <v>118</v>
      </c>
      <c r="F42" s="83">
        <v>550.43896500000005</v>
      </c>
      <c r="G42" s="83">
        <v>514.18347200000005</v>
      </c>
      <c r="H42" s="83">
        <v>510.80633499999999</v>
      </c>
      <c r="I42" s="83">
        <v>520.583618</v>
      </c>
      <c r="J42" s="83">
        <v>526.08252000000005</v>
      </c>
      <c r="K42" s="83">
        <v>535.16064500000005</v>
      </c>
      <c r="L42" s="83">
        <v>543.52642800000001</v>
      </c>
      <c r="M42" s="83">
        <v>549.77069100000006</v>
      </c>
      <c r="N42" s="83">
        <v>554.768372</v>
      </c>
      <c r="O42" s="83">
        <v>559.316101</v>
      </c>
      <c r="P42" s="83">
        <v>564.45159899999999</v>
      </c>
      <c r="Q42" s="83">
        <v>570.71923800000002</v>
      </c>
      <c r="R42" s="83">
        <v>575.59594700000002</v>
      </c>
      <c r="S42" s="83">
        <v>581.43194600000004</v>
      </c>
      <c r="T42" s="83">
        <v>585.571777</v>
      </c>
      <c r="U42" s="83">
        <v>590.16540499999996</v>
      </c>
      <c r="V42" s="83">
        <v>593.91705300000001</v>
      </c>
      <c r="W42" s="83">
        <v>597.12823500000002</v>
      </c>
      <c r="X42" s="83">
        <v>600.45532200000002</v>
      </c>
      <c r="Y42" s="83">
        <v>603.99230999999997</v>
      </c>
      <c r="Z42" s="83">
        <v>607.38354500000003</v>
      </c>
      <c r="AA42" s="83">
        <v>610.92431599999998</v>
      </c>
      <c r="AB42" s="83">
        <v>615.06170699999996</v>
      </c>
      <c r="AC42" s="83">
        <v>619.51269500000001</v>
      </c>
      <c r="AD42" s="83">
        <v>624.67334000000005</v>
      </c>
      <c r="AE42" s="83">
        <v>629.26171899999997</v>
      </c>
      <c r="AF42" s="83">
        <v>633.68322799999999</v>
      </c>
      <c r="AG42" s="84">
        <v>5.0000000000000001E-3</v>
      </c>
    </row>
    <row r="43" spans="1:33">
      <c r="A43" t="s">
        <v>101</v>
      </c>
      <c r="B43" t="s">
        <v>1063</v>
      </c>
      <c r="C43" t="s">
        <v>1062</v>
      </c>
      <c r="D43" t="s">
        <v>118</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6</v>
      </c>
    </row>
    <row r="44" spans="1:33">
      <c r="A44" t="s">
        <v>102</v>
      </c>
      <c r="B44" t="s">
        <v>1061</v>
      </c>
      <c r="C44" t="s">
        <v>1060</v>
      </c>
      <c r="D44" t="s">
        <v>118</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12">
        <v>2.5999999999999999E-2</v>
      </c>
    </row>
    <row r="45" spans="1:33">
      <c r="A45" t="s">
        <v>10</v>
      </c>
      <c r="B45" t="s">
        <v>1059</v>
      </c>
      <c r="C45" t="s">
        <v>1058</v>
      </c>
      <c r="D45" t="s">
        <v>118</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12">
        <v>8.9999999999999993E-3</v>
      </c>
    </row>
    <row r="46" spans="1:33">
      <c r="A46" t="s">
        <v>104</v>
      </c>
      <c r="B46" t="s">
        <v>1057</v>
      </c>
      <c r="C46" t="s">
        <v>1056</v>
      </c>
      <c r="D46" t="s">
        <v>118</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12">
        <v>8.9999999999999993E-3</v>
      </c>
    </row>
    <row r="47" spans="1:33">
      <c r="A47" t="s">
        <v>105</v>
      </c>
      <c r="B47" t="s">
        <v>1055</v>
      </c>
      <c r="C47" t="s">
        <v>1054</v>
      </c>
      <c r="D47" t="s">
        <v>118</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12">
        <v>0</v>
      </c>
    </row>
    <row r="48" spans="1:33">
      <c r="A48" t="s">
        <v>9</v>
      </c>
      <c r="B48" t="s">
        <v>1053</v>
      </c>
      <c r="C48" t="s">
        <v>1052</v>
      </c>
      <c r="D48" t="s">
        <v>118</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12">
        <v>2E-3</v>
      </c>
    </row>
    <row r="49" spans="1:33">
      <c r="A49" t="s">
        <v>106</v>
      </c>
      <c r="B49" t="s">
        <v>1051</v>
      </c>
      <c r="C49" t="s">
        <v>1050</v>
      </c>
      <c r="D49" t="s">
        <v>118</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12">
        <v>2E-3</v>
      </c>
    </row>
    <row r="50" spans="1:33">
      <c r="A50" t="s">
        <v>100</v>
      </c>
      <c r="B50" t="s">
        <v>1049</v>
      </c>
      <c r="C50" t="s">
        <v>1048</v>
      </c>
      <c r="D50" t="s">
        <v>118</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6</v>
      </c>
    </row>
    <row r="51" spans="1:33">
      <c r="A51" t="s">
        <v>107</v>
      </c>
      <c r="B51" t="s">
        <v>1047</v>
      </c>
      <c r="C51" t="s">
        <v>1046</v>
      </c>
      <c r="D51" t="s">
        <v>118</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12">
        <v>2E-3</v>
      </c>
    </row>
    <row r="52" spans="1:33">
      <c r="A52" t="s">
        <v>8</v>
      </c>
      <c r="B52" t="s">
        <v>1045</v>
      </c>
      <c r="C52" t="s">
        <v>1044</v>
      </c>
      <c r="D52" t="s">
        <v>118</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12">
        <v>-5.0000000000000001E-3</v>
      </c>
    </row>
    <row r="53" spans="1:33">
      <c r="A53" t="s">
        <v>108</v>
      </c>
      <c r="B53" t="s">
        <v>1043</v>
      </c>
      <c r="C53" t="s">
        <v>1042</v>
      </c>
      <c r="D53" t="s">
        <v>118</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12">
        <v>0</v>
      </c>
    </row>
    <row r="54" spans="1:33">
      <c r="A54" t="s">
        <v>98</v>
      </c>
      <c r="B54" t="s">
        <v>1041</v>
      </c>
      <c r="C54" t="s">
        <v>1040</v>
      </c>
      <c r="D54" t="s">
        <v>118</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12">
        <v>-3.0000000000000001E-3</v>
      </c>
    </row>
    <row r="55" spans="1:33">
      <c r="A55" t="s">
        <v>90</v>
      </c>
      <c r="B55" t="s">
        <v>1039</v>
      </c>
      <c r="C55" t="s">
        <v>1038</v>
      </c>
      <c r="D55" t="s">
        <v>118</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6</v>
      </c>
    </row>
    <row r="56" spans="1:33" s="83" customFormat="1">
      <c r="A56" s="83" t="s">
        <v>91</v>
      </c>
      <c r="B56" s="83" t="s">
        <v>1037</v>
      </c>
      <c r="C56" s="83" t="s">
        <v>1036</v>
      </c>
      <c r="D56" s="83" t="s">
        <v>118</v>
      </c>
      <c r="F56" s="83">
        <v>40.625771</v>
      </c>
      <c r="G56" s="83">
        <v>43.015372999999997</v>
      </c>
      <c r="H56" s="83">
        <v>44.437289999999997</v>
      </c>
      <c r="I56" s="83">
        <v>45.333485000000003</v>
      </c>
      <c r="J56" s="83">
        <v>45.963813999999999</v>
      </c>
      <c r="K56" s="83">
        <v>46.444603000000001</v>
      </c>
      <c r="L56" s="83">
        <v>46.903049000000003</v>
      </c>
      <c r="M56" s="83">
        <v>46.919742999999997</v>
      </c>
      <c r="N56" s="83">
        <v>46.674880999999999</v>
      </c>
      <c r="O56" s="83">
        <v>46.334845999999999</v>
      </c>
      <c r="P56" s="83">
        <v>46.093288000000001</v>
      </c>
      <c r="Q56" s="83">
        <v>45.718204</v>
      </c>
      <c r="R56" s="83">
        <v>45.301796000000003</v>
      </c>
      <c r="S56" s="83">
        <v>44.889698000000003</v>
      </c>
      <c r="T56" s="83">
        <v>44.538803000000001</v>
      </c>
      <c r="U56" s="83">
        <v>44.157210999999997</v>
      </c>
      <c r="V56" s="83">
        <v>43.730533999999999</v>
      </c>
      <c r="W56" s="83">
        <v>43.270508</v>
      </c>
      <c r="X56" s="83">
        <v>42.771523000000002</v>
      </c>
      <c r="Y56" s="83">
        <v>42.300243000000002</v>
      </c>
      <c r="Z56" s="83">
        <v>41.791203000000003</v>
      </c>
      <c r="AA56" s="83">
        <v>41.328612999999997</v>
      </c>
      <c r="AB56" s="83">
        <v>40.801394999999999</v>
      </c>
      <c r="AC56" s="83">
        <v>40.232635000000002</v>
      </c>
      <c r="AD56" s="83">
        <v>39.711196999999999</v>
      </c>
      <c r="AE56" s="83">
        <v>39.214508000000002</v>
      </c>
      <c r="AF56" s="83">
        <v>38.856288999999997</v>
      </c>
      <c r="AG56" s="84">
        <v>-2E-3</v>
      </c>
    </row>
    <row r="57" spans="1:33">
      <c r="A57" t="s">
        <v>92</v>
      </c>
      <c r="B57" t="s">
        <v>1035</v>
      </c>
      <c r="C57" t="s">
        <v>1034</v>
      </c>
      <c r="D57" t="s">
        <v>118</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12">
        <v>-6.0000000000000001E-3</v>
      </c>
    </row>
    <row r="58" spans="1:33">
      <c r="A58" t="s">
        <v>93</v>
      </c>
      <c r="B58" t="s">
        <v>1033</v>
      </c>
      <c r="C58" t="s">
        <v>1032</v>
      </c>
      <c r="D58" t="s">
        <v>118</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12">
        <v>4.0000000000000001E-3</v>
      </c>
    </row>
    <row r="59" spans="1:33">
      <c r="A59" t="s">
        <v>94</v>
      </c>
      <c r="B59" t="s">
        <v>1031</v>
      </c>
      <c r="C59" t="s">
        <v>1030</v>
      </c>
      <c r="D59" t="s">
        <v>118</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12">
        <v>4.5999999999999999E-2</v>
      </c>
    </row>
    <row r="60" spans="1:33">
      <c r="A60" t="s">
        <v>95</v>
      </c>
      <c r="B60" t="s">
        <v>1029</v>
      </c>
      <c r="C60" t="s">
        <v>1028</v>
      </c>
      <c r="D60" t="s">
        <v>118</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12">
        <v>-1.0999999999999999E-2</v>
      </c>
    </row>
    <row r="61" spans="1:33">
      <c r="A61" t="s">
        <v>109</v>
      </c>
      <c r="B61" t="s">
        <v>1027</v>
      </c>
      <c r="C61" t="s">
        <v>1026</v>
      </c>
      <c r="D61" t="s">
        <v>118</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12">
        <v>3.0000000000000001E-3</v>
      </c>
    </row>
    <row r="62" spans="1:33">
      <c r="A62" t="s">
        <v>98</v>
      </c>
      <c r="B62" t="s">
        <v>1025</v>
      </c>
      <c r="C62" t="s">
        <v>1024</v>
      </c>
      <c r="D62" t="s">
        <v>118</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6</v>
      </c>
    </row>
    <row r="63" spans="1:33">
      <c r="A63" t="s">
        <v>90</v>
      </c>
      <c r="B63" t="s">
        <v>1023</v>
      </c>
      <c r="C63" t="s">
        <v>1022</v>
      </c>
      <c r="D63" t="s">
        <v>118</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6</v>
      </c>
    </row>
    <row r="64" spans="1:33" s="83" customFormat="1">
      <c r="A64" s="83" t="s">
        <v>91</v>
      </c>
      <c r="B64" s="83" t="s">
        <v>1021</v>
      </c>
      <c r="C64" s="83" t="s">
        <v>1020</v>
      </c>
      <c r="D64" s="83" t="s">
        <v>118</v>
      </c>
      <c r="F64" s="83">
        <v>30.108592999999999</v>
      </c>
      <c r="G64" s="83">
        <v>31.324183000000001</v>
      </c>
      <c r="H64" s="83">
        <v>32.204268999999996</v>
      </c>
      <c r="I64" s="83">
        <v>32.814284999999998</v>
      </c>
      <c r="J64" s="83">
        <v>33.256686999999999</v>
      </c>
      <c r="K64" s="83">
        <v>33.580925000000001</v>
      </c>
      <c r="L64" s="83">
        <v>33.812759</v>
      </c>
      <c r="M64" s="83">
        <v>33.971854999999998</v>
      </c>
      <c r="N64" s="83">
        <v>34.074733999999999</v>
      </c>
      <c r="O64" s="83">
        <v>34.127521999999999</v>
      </c>
      <c r="P64" s="83">
        <v>34.138331999999998</v>
      </c>
      <c r="Q64" s="83">
        <v>34.117863</v>
      </c>
      <c r="R64" s="83">
        <v>34.071151999999998</v>
      </c>
      <c r="S64" s="83">
        <v>34.002563000000002</v>
      </c>
      <c r="T64" s="83">
        <v>33.932445999999999</v>
      </c>
      <c r="U64" s="83">
        <v>33.850540000000002</v>
      </c>
      <c r="V64" s="83">
        <v>33.759456999999998</v>
      </c>
      <c r="W64" s="83">
        <v>33.660358000000002</v>
      </c>
      <c r="X64" s="83">
        <v>33.556801</v>
      </c>
      <c r="Y64" s="83">
        <v>33.447479000000001</v>
      </c>
      <c r="Z64" s="83">
        <v>33.332580999999998</v>
      </c>
      <c r="AA64" s="83">
        <v>33.213673</v>
      </c>
      <c r="AB64" s="83">
        <v>33.091960999999998</v>
      </c>
      <c r="AC64" s="83">
        <v>32.971535000000003</v>
      </c>
      <c r="AD64" s="83">
        <v>32.850974999999998</v>
      </c>
      <c r="AE64" s="83">
        <v>32.727406000000002</v>
      </c>
      <c r="AF64" s="83">
        <v>32.602530999999999</v>
      </c>
      <c r="AG64" s="84">
        <v>3.0000000000000001E-3</v>
      </c>
    </row>
    <row r="65" spans="1:33">
      <c r="A65" t="s">
        <v>92</v>
      </c>
      <c r="B65" t="s">
        <v>1019</v>
      </c>
      <c r="C65" t="s">
        <v>1018</v>
      </c>
      <c r="D65" t="s">
        <v>118</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6</v>
      </c>
    </row>
    <row r="66" spans="1:33">
      <c r="A66" t="s">
        <v>93</v>
      </c>
      <c r="B66" t="s">
        <v>1017</v>
      </c>
      <c r="C66" t="s">
        <v>1016</v>
      </c>
      <c r="D66" t="s">
        <v>118</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6</v>
      </c>
    </row>
    <row r="67" spans="1:33">
      <c r="A67" t="s">
        <v>94</v>
      </c>
      <c r="B67" t="s">
        <v>1015</v>
      </c>
      <c r="C67" t="s">
        <v>1014</v>
      </c>
      <c r="D67" t="s">
        <v>118</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6</v>
      </c>
    </row>
    <row r="68" spans="1:33">
      <c r="A68" t="s">
        <v>95</v>
      </c>
      <c r="B68" t="s">
        <v>1013</v>
      </c>
      <c r="C68" t="s">
        <v>1012</v>
      </c>
      <c r="D68" t="s">
        <v>118</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6</v>
      </c>
    </row>
    <row r="69" spans="1:33">
      <c r="A69" t="s">
        <v>110</v>
      </c>
      <c r="B69" t="s">
        <v>1011</v>
      </c>
      <c r="C69" t="s">
        <v>1010</v>
      </c>
      <c r="D69" t="s">
        <v>118</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12">
        <v>-1.2999999999999999E-2</v>
      </c>
    </row>
    <row r="70" spans="1:33">
      <c r="A70" t="s">
        <v>98</v>
      </c>
      <c r="B70" t="s">
        <v>1009</v>
      </c>
      <c r="C70" t="s">
        <v>1008</v>
      </c>
      <c r="D70" t="s">
        <v>118</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12">
        <v>-1.6E-2</v>
      </c>
    </row>
    <row r="71" spans="1:33">
      <c r="A71" t="s">
        <v>90</v>
      </c>
      <c r="B71" t="s">
        <v>1007</v>
      </c>
      <c r="C71" t="s">
        <v>1006</v>
      </c>
      <c r="D71" t="s">
        <v>118</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6</v>
      </c>
    </row>
    <row r="72" spans="1:33" s="83" customFormat="1">
      <c r="A72" s="83" t="s">
        <v>91</v>
      </c>
      <c r="B72" s="83" t="s">
        <v>1005</v>
      </c>
      <c r="C72" s="83" t="s">
        <v>1004</v>
      </c>
      <c r="D72" s="83" t="s">
        <v>118</v>
      </c>
      <c r="F72" s="83">
        <v>81.477958999999998</v>
      </c>
      <c r="G72" s="83">
        <v>81.093315000000004</v>
      </c>
      <c r="H72" s="83">
        <v>80.154510000000002</v>
      </c>
      <c r="I72" s="83">
        <v>78.937209999999993</v>
      </c>
      <c r="J72" s="83">
        <v>77.701949999999997</v>
      </c>
      <c r="K72" s="83">
        <v>76.437241</v>
      </c>
      <c r="L72" s="83">
        <v>75.144149999999996</v>
      </c>
      <c r="M72" s="83">
        <v>73.840141000000003</v>
      </c>
      <c r="N72" s="83">
        <v>72.595862999999994</v>
      </c>
      <c r="O72" s="83">
        <v>71.452445999999995</v>
      </c>
      <c r="P72" s="83">
        <v>70.394264000000007</v>
      </c>
      <c r="Q72" s="83">
        <v>69.385695999999996</v>
      </c>
      <c r="R72" s="83">
        <v>68.423064999999994</v>
      </c>
      <c r="S72" s="83">
        <v>67.518416999999999</v>
      </c>
      <c r="T72" s="83">
        <v>66.499297999999996</v>
      </c>
      <c r="U72" s="83">
        <v>65.475020999999998</v>
      </c>
      <c r="V72" s="83">
        <v>64.446776999999997</v>
      </c>
      <c r="W72" s="83">
        <v>63.412239</v>
      </c>
      <c r="X72" s="83">
        <v>62.361404</v>
      </c>
      <c r="Y72" s="83">
        <v>61.303871000000001</v>
      </c>
      <c r="Z72" s="83">
        <v>60.239207999999998</v>
      </c>
      <c r="AA72" s="83">
        <v>59.170093999999999</v>
      </c>
      <c r="AB72" s="83">
        <v>58.090964999999997</v>
      </c>
      <c r="AC72" s="83">
        <v>57.008719999999997</v>
      </c>
      <c r="AD72" s="83">
        <v>55.921512999999997</v>
      </c>
      <c r="AE72" s="83">
        <v>54.843356999999997</v>
      </c>
      <c r="AF72" s="83">
        <v>53.770729000000003</v>
      </c>
      <c r="AG72" s="84">
        <v>-1.6E-2</v>
      </c>
    </row>
    <row r="73" spans="1:33">
      <c r="A73" t="s">
        <v>92</v>
      </c>
      <c r="B73" t="s">
        <v>1003</v>
      </c>
      <c r="C73" t="s">
        <v>1002</v>
      </c>
      <c r="D73" t="s">
        <v>118</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12">
        <v>8.0000000000000002E-3</v>
      </c>
    </row>
    <row r="74" spans="1:33">
      <c r="A74" t="s">
        <v>93</v>
      </c>
      <c r="B74" t="s">
        <v>1001</v>
      </c>
      <c r="C74" t="s">
        <v>1000</v>
      </c>
      <c r="D74" t="s">
        <v>118</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12">
        <v>-1.6E-2</v>
      </c>
    </row>
    <row r="75" spans="1:33">
      <c r="A75" t="s">
        <v>94</v>
      </c>
      <c r="B75" t="s">
        <v>999</v>
      </c>
      <c r="C75" t="s">
        <v>998</v>
      </c>
      <c r="D75" t="s">
        <v>118</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12">
        <v>0.10100000000000001</v>
      </c>
    </row>
    <row r="76" spans="1:33">
      <c r="A76" t="s">
        <v>95</v>
      </c>
      <c r="B76" t="s">
        <v>997</v>
      </c>
      <c r="C76" t="s">
        <v>996</v>
      </c>
      <c r="D76" t="s">
        <v>118</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6</v>
      </c>
    </row>
    <row r="77" spans="1:33" s="1" customFormat="1">
      <c r="A77" s="1" t="s">
        <v>7</v>
      </c>
      <c r="B77" s="1" t="s">
        <v>995</v>
      </c>
      <c r="C77" s="1" t="s">
        <v>994</v>
      </c>
      <c r="D77" s="1" t="s">
        <v>118</v>
      </c>
      <c r="F77" s="1">
        <v>43.892204</v>
      </c>
      <c r="G77" s="1">
        <v>46.490710999999997</v>
      </c>
      <c r="H77" s="1">
        <v>47.928882999999999</v>
      </c>
      <c r="I77" s="1">
        <v>48.711205</v>
      </c>
      <c r="J77" s="1">
        <v>49.231833999999999</v>
      </c>
      <c r="K77" s="1">
        <v>49.773636000000003</v>
      </c>
      <c r="L77" s="1">
        <v>50.393982000000001</v>
      </c>
      <c r="M77" s="1">
        <v>50.846916</v>
      </c>
      <c r="N77" s="1">
        <v>51.249969</v>
      </c>
      <c r="O77" s="1">
        <v>51.578491</v>
      </c>
      <c r="P77" s="1">
        <v>51.858665000000002</v>
      </c>
      <c r="Q77" s="1">
        <v>52.283653000000001</v>
      </c>
      <c r="R77" s="1">
        <v>52.821021999999999</v>
      </c>
      <c r="S77" s="1">
        <v>53.370353999999999</v>
      </c>
      <c r="T77" s="1">
        <v>53.936473999999997</v>
      </c>
      <c r="U77" s="1">
        <v>54.449078</v>
      </c>
      <c r="V77" s="1">
        <v>54.919967999999997</v>
      </c>
      <c r="W77" s="1">
        <v>55.340308999999998</v>
      </c>
      <c r="X77" s="1">
        <v>55.737267000000003</v>
      </c>
      <c r="Y77" s="1">
        <v>56.129337</v>
      </c>
      <c r="Z77" s="1">
        <v>56.455002</v>
      </c>
      <c r="AA77" s="1">
        <v>56.804771000000002</v>
      </c>
      <c r="AB77" s="1">
        <v>57.083145000000002</v>
      </c>
      <c r="AC77" s="1">
        <v>57.392547999999998</v>
      </c>
      <c r="AD77" s="1">
        <v>57.764831999999998</v>
      </c>
      <c r="AE77" s="1">
        <v>58.136749000000002</v>
      </c>
      <c r="AF77" s="1">
        <v>58.625304999999997</v>
      </c>
      <c r="AG77" s="104">
        <v>1.0999999999999999E-2</v>
      </c>
    </row>
    <row r="78" spans="1:33">
      <c r="A78" t="s">
        <v>111</v>
      </c>
      <c r="B78" t="s">
        <v>993</v>
      </c>
      <c r="C78" t="s">
        <v>992</v>
      </c>
      <c r="D78" t="s">
        <v>118</v>
      </c>
      <c r="F78">
        <v>8.7423819999999992</v>
      </c>
      <c r="G78">
        <v>9.3800589999999993</v>
      </c>
      <c r="H78">
        <v>9.8378320000000006</v>
      </c>
      <c r="I78">
        <v>10.165743000000001</v>
      </c>
      <c r="J78">
        <v>10.415087</v>
      </c>
      <c r="K78">
        <v>10.611311000000001</v>
      </c>
      <c r="L78">
        <v>10.771235000000001</v>
      </c>
      <c r="M78">
        <v>10.905773999999999</v>
      </c>
      <c r="N78">
        <v>11.020588</v>
      </c>
      <c r="O78">
        <v>11.119541</v>
      </c>
      <c r="P78">
        <v>11.206322</v>
      </c>
      <c r="Q78">
        <v>11.283692</v>
      </c>
      <c r="R78">
        <v>11.353813000000001</v>
      </c>
      <c r="S78">
        <v>11.417555</v>
      </c>
      <c r="T78">
        <v>11.481839000000001</v>
      </c>
      <c r="U78">
        <v>11.543386999999999</v>
      </c>
      <c r="V78">
        <v>11.602665</v>
      </c>
      <c r="W78">
        <v>11.660023000000001</v>
      </c>
      <c r="X78">
        <v>11.716011999999999</v>
      </c>
      <c r="Y78">
        <v>11.770652999999999</v>
      </c>
      <c r="Z78">
        <v>11.824216</v>
      </c>
      <c r="AA78">
        <v>11.876847</v>
      </c>
      <c r="AB78">
        <v>11.928874</v>
      </c>
      <c r="AC78">
        <v>11.980318</v>
      </c>
      <c r="AD78">
        <v>12.031491000000001</v>
      </c>
      <c r="AE78">
        <v>12.082007000000001</v>
      </c>
      <c r="AF78">
        <v>12.132166</v>
      </c>
      <c r="AG78" s="12">
        <v>1.2999999999999999E-2</v>
      </c>
    </row>
    <row r="79" spans="1:33">
      <c r="A79" t="s">
        <v>94</v>
      </c>
      <c r="B79" t="s">
        <v>991</v>
      </c>
      <c r="C79" t="s">
        <v>990</v>
      </c>
      <c r="D79" t="s">
        <v>118</v>
      </c>
      <c r="F79">
        <v>1.0626599999999999</v>
      </c>
      <c r="G79">
        <v>1.140172</v>
      </c>
      <c r="H79">
        <v>1.1958150000000001</v>
      </c>
      <c r="I79">
        <v>1.2356739999999999</v>
      </c>
      <c r="J79">
        <v>1.2659819999999999</v>
      </c>
      <c r="K79">
        <v>1.2898339999999999</v>
      </c>
      <c r="L79">
        <v>1.3092729999999999</v>
      </c>
      <c r="M79">
        <v>1.325626</v>
      </c>
      <c r="N79">
        <v>1.3395820000000001</v>
      </c>
      <c r="O79">
        <v>1.35161</v>
      </c>
      <c r="P79">
        <v>1.3621589999999999</v>
      </c>
      <c r="Q79">
        <v>1.3715630000000001</v>
      </c>
      <c r="R79">
        <v>1.3800870000000001</v>
      </c>
      <c r="S79">
        <v>1.3878349999999999</v>
      </c>
      <c r="T79">
        <v>1.3956489999999999</v>
      </c>
      <c r="U79">
        <v>1.40313</v>
      </c>
      <c r="V79">
        <v>1.410336</v>
      </c>
      <c r="W79">
        <v>1.4173070000000001</v>
      </c>
      <c r="X79">
        <v>1.424113</v>
      </c>
      <c r="Y79">
        <v>1.430755</v>
      </c>
      <c r="Z79">
        <v>1.437265</v>
      </c>
      <c r="AA79">
        <v>1.4436629999999999</v>
      </c>
      <c r="AB79">
        <v>1.449986</v>
      </c>
      <c r="AC79">
        <v>1.45624</v>
      </c>
      <c r="AD79">
        <v>1.462461</v>
      </c>
      <c r="AE79">
        <v>1.4685999999999999</v>
      </c>
      <c r="AF79">
        <v>1.4746980000000001</v>
      </c>
      <c r="AG79" s="12">
        <v>1.2999999999999999E-2</v>
      </c>
    </row>
    <row r="80" spans="1:33" s="83" customFormat="1">
      <c r="A80" s="83" t="s">
        <v>112</v>
      </c>
      <c r="B80" s="83" t="s">
        <v>989</v>
      </c>
      <c r="C80" s="83" t="s">
        <v>988</v>
      </c>
      <c r="D80" s="83" t="s">
        <v>118</v>
      </c>
      <c r="F80" s="83">
        <v>7.6797219999999999</v>
      </c>
      <c r="G80" s="83">
        <v>8.2398869999999995</v>
      </c>
      <c r="H80" s="83">
        <v>8.6420169999999992</v>
      </c>
      <c r="I80" s="83">
        <v>8.9300689999999996</v>
      </c>
      <c r="J80" s="83">
        <v>9.1491050000000005</v>
      </c>
      <c r="K80" s="83">
        <v>9.3214769999999998</v>
      </c>
      <c r="L80" s="83">
        <v>9.4619630000000008</v>
      </c>
      <c r="M80" s="83">
        <v>9.5801479999999994</v>
      </c>
      <c r="N80" s="83">
        <v>9.6810050000000007</v>
      </c>
      <c r="O80" s="83">
        <v>9.7679310000000008</v>
      </c>
      <c r="P80" s="83">
        <v>9.844163</v>
      </c>
      <c r="Q80" s="83">
        <v>9.9121290000000002</v>
      </c>
      <c r="R80" s="83">
        <v>9.9737259999999992</v>
      </c>
      <c r="S80" s="83">
        <v>10.029719999999999</v>
      </c>
      <c r="T80" s="83">
        <v>10.08619</v>
      </c>
      <c r="U80" s="83">
        <v>10.140257999999999</v>
      </c>
      <c r="V80" s="83">
        <v>10.192329000000001</v>
      </c>
      <c r="W80" s="83">
        <v>10.242716</v>
      </c>
      <c r="X80" s="83">
        <v>10.291899000000001</v>
      </c>
      <c r="Y80" s="83">
        <v>10.339898</v>
      </c>
      <c r="Z80" s="83">
        <v>10.386950000000001</v>
      </c>
      <c r="AA80" s="83">
        <v>10.433185</v>
      </c>
      <c r="AB80" s="83">
        <v>10.478888</v>
      </c>
      <c r="AC80" s="83">
        <v>10.524077999999999</v>
      </c>
      <c r="AD80" s="83">
        <v>10.569031000000001</v>
      </c>
      <c r="AE80" s="83">
        <v>10.613407</v>
      </c>
      <c r="AF80" s="83">
        <v>10.657468</v>
      </c>
      <c r="AG80" s="84">
        <v>1.2999999999999999E-2</v>
      </c>
    </row>
    <row r="81" spans="1:33">
      <c r="A81" t="s">
        <v>101</v>
      </c>
      <c r="B81" t="s">
        <v>987</v>
      </c>
      <c r="C81" t="s">
        <v>986</v>
      </c>
      <c r="D81" t="s">
        <v>118</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6</v>
      </c>
    </row>
    <row r="82" spans="1:33">
      <c r="A82" t="s">
        <v>102</v>
      </c>
      <c r="B82" t="s">
        <v>985</v>
      </c>
      <c r="C82" t="s">
        <v>984</v>
      </c>
      <c r="D82" t="s">
        <v>118</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6</v>
      </c>
    </row>
    <row r="83" spans="1:33">
      <c r="A83" t="s">
        <v>113</v>
      </c>
      <c r="B83" t="s">
        <v>983</v>
      </c>
      <c r="C83" t="s">
        <v>982</v>
      </c>
      <c r="D83" t="s">
        <v>118</v>
      </c>
      <c r="F83">
        <v>14.508388999999999</v>
      </c>
      <c r="G83">
        <v>15.421035</v>
      </c>
      <c r="H83">
        <v>16.002700999999998</v>
      </c>
      <c r="I83">
        <v>16.428796999999999</v>
      </c>
      <c r="J83">
        <v>16.870525000000001</v>
      </c>
      <c r="K83">
        <v>17.287436</v>
      </c>
      <c r="L83">
        <v>17.607780000000002</v>
      </c>
      <c r="M83">
        <v>17.836908000000001</v>
      </c>
      <c r="N83">
        <v>18.041525</v>
      </c>
      <c r="O83">
        <v>18.197558999999998</v>
      </c>
      <c r="P83">
        <v>18.347023</v>
      </c>
      <c r="Q83">
        <v>18.543555999999999</v>
      </c>
      <c r="R83">
        <v>18.732952000000001</v>
      </c>
      <c r="S83">
        <v>18.925523999999999</v>
      </c>
      <c r="T83">
        <v>19.122789000000001</v>
      </c>
      <c r="U83">
        <v>19.294951999999999</v>
      </c>
      <c r="V83">
        <v>19.444386000000002</v>
      </c>
      <c r="W83">
        <v>19.568449000000001</v>
      </c>
      <c r="X83">
        <v>19.677353</v>
      </c>
      <c r="Y83">
        <v>19.784870000000002</v>
      </c>
      <c r="Z83">
        <v>19.860029000000001</v>
      </c>
      <c r="AA83">
        <v>19.946988999999999</v>
      </c>
      <c r="AB83">
        <v>19.998484000000001</v>
      </c>
      <c r="AC83">
        <v>20.058503999999999</v>
      </c>
      <c r="AD83">
        <v>20.148382000000002</v>
      </c>
      <c r="AE83">
        <v>20.242802000000001</v>
      </c>
      <c r="AF83">
        <v>20.400482</v>
      </c>
      <c r="AG83" s="12">
        <v>1.2999999999999999E-2</v>
      </c>
    </row>
    <row r="84" spans="1:33">
      <c r="A84" t="s">
        <v>94</v>
      </c>
      <c r="B84" t="s">
        <v>981</v>
      </c>
      <c r="C84" t="s">
        <v>980</v>
      </c>
      <c r="D84" t="s">
        <v>118</v>
      </c>
      <c r="F84">
        <v>14.508388999999999</v>
      </c>
      <c r="G84">
        <v>15.421035</v>
      </c>
      <c r="H84">
        <v>16.002700999999998</v>
      </c>
      <c r="I84">
        <v>16.428796999999999</v>
      </c>
      <c r="J84">
        <v>16.870525000000001</v>
      </c>
      <c r="K84">
        <v>17.287436</v>
      </c>
      <c r="L84">
        <v>17.607780000000002</v>
      </c>
      <c r="M84">
        <v>17.836908000000001</v>
      </c>
      <c r="N84">
        <v>18.041525</v>
      </c>
      <c r="O84">
        <v>18.197558999999998</v>
      </c>
      <c r="P84">
        <v>18.347023</v>
      </c>
      <c r="Q84">
        <v>18.543555999999999</v>
      </c>
      <c r="R84">
        <v>18.732952000000001</v>
      </c>
      <c r="S84">
        <v>18.925523999999999</v>
      </c>
      <c r="T84">
        <v>19.122789000000001</v>
      </c>
      <c r="U84">
        <v>19.294951999999999</v>
      </c>
      <c r="V84">
        <v>19.444386000000002</v>
      </c>
      <c r="W84">
        <v>19.568449000000001</v>
      </c>
      <c r="X84">
        <v>19.677353</v>
      </c>
      <c r="Y84">
        <v>19.784870000000002</v>
      </c>
      <c r="Z84">
        <v>19.860029000000001</v>
      </c>
      <c r="AA84">
        <v>19.946988999999999</v>
      </c>
      <c r="AB84">
        <v>19.998484000000001</v>
      </c>
      <c r="AC84">
        <v>20.058503999999999</v>
      </c>
      <c r="AD84">
        <v>20.148382000000002</v>
      </c>
      <c r="AE84">
        <v>20.242802000000001</v>
      </c>
      <c r="AF84">
        <v>20.400482</v>
      </c>
      <c r="AG84" s="12">
        <v>1.2999999999999999E-2</v>
      </c>
    </row>
    <row r="85" spans="1:33">
      <c r="A85" t="s">
        <v>114</v>
      </c>
      <c r="B85" t="s">
        <v>979</v>
      </c>
      <c r="C85" t="s">
        <v>978</v>
      </c>
      <c r="D85" t="s">
        <v>118</v>
      </c>
      <c r="F85">
        <v>20.641434</v>
      </c>
      <c r="G85">
        <v>21.689616999999998</v>
      </c>
      <c r="H85">
        <v>22.088348</v>
      </c>
      <c r="I85">
        <v>22.116669000000002</v>
      </c>
      <c r="J85">
        <v>21.94622</v>
      </c>
      <c r="K85">
        <v>21.874889</v>
      </c>
      <c r="L85">
        <v>22.014965</v>
      </c>
      <c r="M85">
        <v>22.104230999999999</v>
      </c>
      <c r="N85">
        <v>22.187854999999999</v>
      </c>
      <c r="O85">
        <v>22.261389000000001</v>
      </c>
      <c r="P85">
        <v>22.305319000000001</v>
      </c>
      <c r="Q85">
        <v>22.456403999999999</v>
      </c>
      <c r="R85">
        <v>22.734255000000001</v>
      </c>
      <c r="S85">
        <v>23.027270999999999</v>
      </c>
      <c r="T85">
        <v>23.331844</v>
      </c>
      <c r="U85">
        <v>23.610738999999999</v>
      </c>
      <c r="V85">
        <v>23.872917000000001</v>
      </c>
      <c r="W85">
        <v>24.111839</v>
      </c>
      <c r="X85">
        <v>24.343903000000001</v>
      </c>
      <c r="Y85">
        <v>24.573816000000001</v>
      </c>
      <c r="Z85">
        <v>24.770754</v>
      </c>
      <c r="AA85">
        <v>24.980931999999999</v>
      </c>
      <c r="AB85">
        <v>25.155787</v>
      </c>
      <c r="AC85">
        <v>25.353729000000001</v>
      </c>
      <c r="AD85">
        <v>25.584959000000001</v>
      </c>
      <c r="AE85">
        <v>25.811942999999999</v>
      </c>
      <c r="AF85">
        <v>26.092656999999999</v>
      </c>
      <c r="AG85" s="12">
        <v>8.9999999999999993E-3</v>
      </c>
    </row>
    <row r="86" spans="1:33">
      <c r="A86" t="s">
        <v>94</v>
      </c>
      <c r="B86" t="s">
        <v>977</v>
      </c>
      <c r="C86" t="s">
        <v>976</v>
      </c>
      <c r="D86" t="s">
        <v>118</v>
      </c>
      <c r="F86">
        <v>7.5111889999999999</v>
      </c>
      <c r="G86">
        <v>7.855988</v>
      </c>
      <c r="H86">
        <v>8.0141960000000001</v>
      </c>
      <c r="I86">
        <v>8.0560130000000001</v>
      </c>
      <c r="J86">
        <v>8.0277329999999996</v>
      </c>
      <c r="K86">
        <v>8.0724560000000007</v>
      </c>
      <c r="L86">
        <v>8.107094</v>
      </c>
      <c r="M86">
        <v>8.1060300000000005</v>
      </c>
      <c r="N86">
        <v>8.1130739999999992</v>
      </c>
      <c r="O86">
        <v>8.1194109999999995</v>
      </c>
      <c r="P86">
        <v>8.102843</v>
      </c>
      <c r="Q86">
        <v>8.1355620000000002</v>
      </c>
      <c r="R86">
        <v>8.2269900000000007</v>
      </c>
      <c r="S86">
        <v>8.3286890000000007</v>
      </c>
      <c r="T86">
        <v>8.4335880000000003</v>
      </c>
      <c r="U86">
        <v>8.5265900000000006</v>
      </c>
      <c r="V86">
        <v>8.6186360000000004</v>
      </c>
      <c r="W86">
        <v>8.7029239999999994</v>
      </c>
      <c r="X86">
        <v>8.7860029999999991</v>
      </c>
      <c r="Y86">
        <v>8.8617150000000002</v>
      </c>
      <c r="Z86">
        <v>8.9281100000000002</v>
      </c>
      <c r="AA86">
        <v>8.9928310000000007</v>
      </c>
      <c r="AB86">
        <v>9.0486979999999999</v>
      </c>
      <c r="AC86">
        <v>9.1163530000000002</v>
      </c>
      <c r="AD86">
        <v>9.1924899999999994</v>
      </c>
      <c r="AE86">
        <v>9.2656609999999997</v>
      </c>
      <c r="AF86">
        <v>9.3441930000000006</v>
      </c>
      <c r="AG86" s="12">
        <v>8.0000000000000002E-3</v>
      </c>
    </row>
    <row r="87" spans="1:33" s="83" customFormat="1">
      <c r="A87" s="83" t="s">
        <v>112</v>
      </c>
      <c r="B87" s="83" t="s">
        <v>975</v>
      </c>
      <c r="C87" s="83" t="s">
        <v>974</v>
      </c>
      <c r="D87" s="83" t="s">
        <v>118</v>
      </c>
      <c r="F87" s="83">
        <v>13.130245</v>
      </c>
      <c r="G87" s="83">
        <v>13.833631</v>
      </c>
      <c r="H87" s="83">
        <v>14.074153000000001</v>
      </c>
      <c r="I87" s="83">
        <v>14.060656</v>
      </c>
      <c r="J87" s="83">
        <v>13.918488</v>
      </c>
      <c r="K87" s="83">
        <v>13.802433000000001</v>
      </c>
      <c r="L87" s="83">
        <v>13.907870000000001</v>
      </c>
      <c r="M87" s="83">
        <v>13.998201</v>
      </c>
      <c r="N87" s="83">
        <v>14.074781</v>
      </c>
      <c r="O87" s="83">
        <v>14.141977000000001</v>
      </c>
      <c r="P87" s="83">
        <v>14.202476000000001</v>
      </c>
      <c r="Q87" s="83">
        <v>14.320842000000001</v>
      </c>
      <c r="R87" s="83">
        <v>14.507265</v>
      </c>
      <c r="S87" s="83">
        <v>14.698584</v>
      </c>
      <c r="T87" s="83">
        <v>14.898256999999999</v>
      </c>
      <c r="U87" s="83">
        <v>15.084148000000001</v>
      </c>
      <c r="V87" s="83">
        <v>15.25428</v>
      </c>
      <c r="W87" s="83">
        <v>15.408915</v>
      </c>
      <c r="X87" s="83">
        <v>15.5579</v>
      </c>
      <c r="Y87" s="83">
        <v>15.712101000000001</v>
      </c>
      <c r="Z87" s="83">
        <v>15.842644</v>
      </c>
      <c r="AA87" s="83">
        <v>15.988101</v>
      </c>
      <c r="AB87" s="83">
        <v>16.107088000000001</v>
      </c>
      <c r="AC87" s="83">
        <v>16.237375</v>
      </c>
      <c r="AD87" s="83">
        <v>16.392468999999998</v>
      </c>
      <c r="AE87" s="83">
        <v>16.546282000000001</v>
      </c>
      <c r="AF87" s="83">
        <v>16.748464999999999</v>
      </c>
      <c r="AG87" s="84">
        <v>8.9999999999999993E-3</v>
      </c>
    </row>
    <row r="88" spans="1:33">
      <c r="A88" t="s">
        <v>101</v>
      </c>
      <c r="B88" t="s">
        <v>973</v>
      </c>
      <c r="C88" t="s">
        <v>972</v>
      </c>
      <c r="D88" t="s">
        <v>118</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6</v>
      </c>
    </row>
    <row r="89" spans="1:33">
      <c r="A89" t="s">
        <v>102</v>
      </c>
      <c r="B89" t="s">
        <v>971</v>
      </c>
      <c r="C89" t="s">
        <v>970</v>
      </c>
      <c r="D89" t="s">
        <v>118</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6</v>
      </c>
    </row>
    <row r="90" spans="1:33">
      <c r="A90" t="s">
        <v>5</v>
      </c>
      <c r="B90" t="s">
        <v>969</v>
      </c>
      <c r="C90" t="s">
        <v>968</v>
      </c>
      <c r="D90" t="s">
        <v>118</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12">
        <v>-5.0000000000000001E-3</v>
      </c>
    </row>
    <row r="91" spans="1:33">
      <c r="A91" t="s">
        <v>115</v>
      </c>
      <c r="B91" t="s">
        <v>967</v>
      </c>
      <c r="C91" t="s">
        <v>966</v>
      </c>
      <c r="D91" t="s">
        <v>118</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12">
        <v>-7.0000000000000001E-3</v>
      </c>
    </row>
    <row r="92" spans="1:33" s="83" customFormat="1">
      <c r="A92" s="83" t="s">
        <v>91</v>
      </c>
      <c r="B92" s="83" t="s">
        <v>965</v>
      </c>
      <c r="C92" s="83" t="s">
        <v>964</v>
      </c>
      <c r="D92" s="83" t="s">
        <v>118</v>
      </c>
      <c r="F92" s="83">
        <v>40.690426000000002</v>
      </c>
      <c r="G92" s="83">
        <v>40.654781</v>
      </c>
      <c r="H92" s="83">
        <v>40.768794999999997</v>
      </c>
      <c r="I92" s="83">
        <v>40.877197000000002</v>
      </c>
      <c r="J92" s="83">
        <v>40.889881000000003</v>
      </c>
      <c r="K92" s="83">
        <v>40.946841999999997</v>
      </c>
      <c r="L92" s="83">
        <v>40.946728</v>
      </c>
      <c r="M92" s="83">
        <v>40.871284000000003</v>
      </c>
      <c r="N92" s="83">
        <v>40.863349999999997</v>
      </c>
      <c r="O92" s="83">
        <v>40.880088999999998</v>
      </c>
      <c r="P92" s="83">
        <v>40.887752999999996</v>
      </c>
      <c r="Q92" s="83">
        <v>40.942219000000001</v>
      </c>
      <c r="R92" s="83">
        <v>41.006045999999998</v>
      </c>
      <c r="S92" s="83">
        <v>41.100960000000001</v>
      </c>
      <c r="T92" s="83">
        <v>41.208027000000001</v>
      </c>
      <c r="U92" s="83">
        <v>41.304946999999999</v>
      </c>
      <c r="V92" s="83">
        <v>41.404350000000001</v>
      </c>
      <c r="W92" s="83">
        <v>41.496921999999998</v>
      </c>
      <c r="X92" s="83">
        <v>41.611457999999999</v>
      </c>
      <c r="Y92" s="83">
        <v>41.712508999999997</v>
      </c>
      <c r="Z92" s="83">
        <v>41.782890000000002</v>
      </c>
      <c r="AA92" s="83">
        <v>41.839492999999997</v>
      </c>
      <c r="AB92" s="83">
        <v>41.88306</v>
      </c>
      <c r="AC92" s="83">
        <v>41.986381999999999</v>
      </c>
      <c r="AD92" s="83">
        <v>42.102791000000003</v>
      </c>
      <c r="AE92" s="83">
        <v>42.195900000000002</v>
      </c>
      <c r="AF92" s="83">
        <v>42.280914000000003</v>
      </c>
      <c r="AG92" s="84">
        <v>1E-3</v>
      </c>
    </row>
    <row r="93" spans="1:33">
      <c r="A93" t="s">
        <v>4</v>
      </c>
      <c r="B93" t="s">
        <v>963</v>
      </c>
      <c r="C93" t="s">
        <v>962</v>
      </c>
      <c r="D93" t="s">
        <v>118</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12">
        <v>0</v>
      </c>
    </row>
    <row r="94" spans="1:33">
      <c r="A94" t="s">
        <v>3</v>
      </c>
      <c r="B94" t="s">
        <v>961</v>
      </c>
      <c r="C94" t="s">
        <v>960</v>
      </c>
      <c r="D94" t="s">
        <v>118</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12">
        <v>-4.0000000000000001E-3</v>
      </c>
    </row>
    <row r="95" spans="1:33">
      <c r="A95" t="s">
        <v>598</v>
      </c>
      <c r="B95" t="s">
        <v>959</v>
      </c>
      <c r="C95" t="s">
        <v>958</v>
      </c>
      <c r="D95" t="s">
        <v>118</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12">
        <v>3.6999999999999998E-2</v>
      </c>
    </row>
    <row r="96" spans="1:33">
      <c r="A96" t="s">
        <v>2</v>
      </c>
      <c r="B96" t="s">
        <v>957</v>
      </c>
      <c r="C96" t="s">
        <v>956</v>
      </c>
      <c r="D96" t="s">
        <v>118</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12">
        <v>-3.0000000000000001E-3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30"/>
  <sheetViews>
    <sheetView workbookViewId="0">
      <selection activeCell="D15" sqref="D15"/>
    </sheetView>
  </sheetViews>
  <sheetFormatPr defaultRowHeight="14.75"/>
  <cols>
    <col min="1" max="1" width="19.26953125" customWidth="1"/>
    <col min="2" max="2" width="24.26953125" customWidth="1"/>
    <col min="3" max="3" width="14.26953125" customWidth="1"/>
    <col min="4" max="4" width="18.54296875" customWidth="1"/>
  </cols>
  <sheetData>
    <row r="1" spans="1:34">
      <c r="A1" t="s">
        <v>24</v>
      </c>
    </row>
    <row r="2" spans="1:34">
      <c r="A2" t="s">
        <v>41</v>
      </c>
    </row>
    <row r="3" spans="1:34">
      <c r="A3" t="s">
        <v>42</v>
      </c>
    </row>
    <row r="4" spans="1:34">
      <c r="A4" t="s">
        <v>43</v>
      </c>
    </row>
    <row r="6" spans="1:34" s="1" customFormat="1">
      <c r="A6" s="6" t="s">
        <v>26</v>
      </c>
      <c r="B6" s="6" t="s">
        <v>27</v>
      </c>
      <c r="C6" s="6"/>
      <c r="D6" s="6">
        <v>2023</v>
      </c>
      <c r="E6" s="6">
        <v>2024</v>
      </c>
      <c r="F6" s="6">
        <v>2025</v>
      </c>
      <c r="G6" s="6">
        <v>2026</v>
      </c>
      <c r="H6" s="6">
        <v>2027</v>
      </c>
      <c r="I6" s="6">
        <v>2028</v>
      </c>
      <c r="J6" s="6">
        <v>2029</v>
      </c>
      <c r="K6" s="6">
        <v>2030</v>
      </c>
      <c r="L6" s="6">
        <v>2031</v>
      </c>
      <c r="M6" s="6">
        <v>2032</v>
      </c>
      <c r="N6" s="6">
        <v>2033</v>
      </c>
      <c r="O6" s="6">
        <v>2034</v>
      </c>
      <c r="P6" s="6">
        <v>2035</v>
      </c>
      <c r="Q6" s="6">
        <v>2036</v>
      </c>
      <c r="R6" s="6">
        <v>2037</v>
      </c>
      <c r="S6" s="6">
        <v>2038</v>
      </c>
      <c r="T6" s="6">
        <v>2039</v>
      </c>
      <c r="U6" s="6">
        <v>2040</v>
      </c>
      <c r="V6" s="6">
        <v>2041</v>
      </c>
      <c r="W6" s="6">
        <v>2042</v>
      </c>
      <c r="X6" s="6">
        <v>2043</v>
      </c>
      <c r="Y6" s="6">
        <v>2044</v>
      </c>
      <c r="Z6" s="6">
        <v>2045</v>
      </c>
      <c r="AA6" s="6">
        <v>2046</v>
      </c>
      <c r="AB6" s="6">
        <v>2047</v>
      </c>
      <c r="AC6" s="6">
        <v>2048</v>
      </c>
      <c r="AD6" s="6">
        <v>2049</v>
      </c>
      <c r="AE6" s="6">
        <v>2050</v>
      </c>
      <c r="AF6" s="6"/>
      <c r="AG6" s="6"/>
      <c r="AH6" s="6"/>
    </row>
    <row r="7" spans="1:34">
      <c r="A7" t="s">
        <v>32</v>
      </c>
      <c r="B7" t="s">
        <v>28</v>
      </c>
      <c r="C7" t="s">
        <v>25</v>
      </c>
      <c r="D7" s="4">
        <f>INDEX('AEO 2023 Table 17'!30:30,MATCH(D$6,'AEO 2023 Table 17'!$1:$1,0))*1000</f>
        <v>189.84</v>
      </c>
      <c r="E7" s="81">
        <f>INDEX('AEO 2025 Table 17'!17:17,MATCH(E6,'AEO 2025 Table 17'!5:5,0))*1000</f>
        <v>237.45599999999999</v>
      </c>
      <c r="F7" s="81">
        <f>INDEX('AEO 2025 Table 17'!17:17,MATCH(F6,'AEO 2025 Table 17'!5:5,0))*1000</f>
        <v>197.637</v>
      </c>
      <c r="G7" s="81">
        <f>INDEX('AEO 2025 Table 17'!17:17,MATCH(G6,'AEO 2025 Table 17'!5:5,0))*1000</f>
        <v>200.88800000000001</v>
      </c>
      <c r="H7" s="81">
        <f>INDEX('AEO 2025 Table 17'!17:17,MATCH(H6,'AEO 2025 Table 17'!5:5,0))*1000</f>
        <v>189.40599999999998</v>
      </c>
      <c r="I7" s="81">
        <f>INDEX('AEO 2025 Table 17'!17:17,MATCH(I6,'AEO 2025 Table 17'!5:5,0))*1000</f>
        <v>115.795</v>
      </c>
      <c r="J7" s="81">
        <f>INDEX('AEO 2025 Table 17'!17:17,MATCH(J6,'AEO 2025 Table 17'!5:5,0))*1000</f>
        <v>135.87899999999999</v>
      </c>
      <c r="K7" s="81">
        <f>INDEX('AEO 2025 Table 17'!17:17,MATCH(K6,'AEO 2025 Table 17'!5:5,0))*1000</f>
        <v>141.64599999999999</v>
      </c>
      <c r="L7" s="81">
        <f>INDEX('AEO 2025 Table 17'!17:17,MATCH(L6,'AEO 2025 Table 17'!5:5,0))*1000</f>
        <v>144.24799999999999</v>
      </c>
      <c r="M7" s="81">
        <f>INDEX('AEO 2025 Table 17'!17:17,MATCH(M6,'AEO 2025 Table 17'!5:5,0))*1000</f>
        <v>145.46700000000001</v>
      </c>
      <c r="N7" s="81">
        <f>INDEX('AEO 2025 Table 17'!17:17,MATCH(N6,'AEO 2025 Table 17'!5:5,0))*1000</f>
        <v>151.58600000000001</v>
      </c>
      <c r="O7" s="81">
        <f>INDEX('AEO 2025 Table 17'!17:17,MATCH(O6,'AEO 2025 Table 17'!5:5,0))*1000</f>
        <v>165.374</v>
      </c>
      <c r="P7" s="81">
        <f>INDEX('AEO 2025 Table 17'!17:17,MATCH(P6,'AEO 2025 Table 17'!5:5,0))*1000</f>
        <v>175.20599999999999</v>
      </c>
      <c r="Q7" s="81">
        <f>INDEX('AEO 2025 Table 17'!17:17,MATCH(Q6,'AEO 2025 Table 17'!5:5,0))*1000</f>
        <v>173.80300000000003</v>
      </c>
      <c r="R7" s="81">
        <f>INDEX('AEO 2025 Table 17'!17:17,MATCH(R6,'AEO 2025 Table 17'!5:5,0))*1000</f>
        <v>182.53299999999999</v>
      </c>
      <c r="S7" s="81">
        <f>INDEX('AEO 2025 Table 17'!17:17,MATCH(S6,'AEO 2025 Table 17'!5:5,0))*1000</f>
        <v>181.898</v>
      </c>
      <c r="T7" s="81">
        <f>INDEX('AEO 2025 Table 17'!17:17,MATCH(T6,'AEO 2025 Table 17'!5:5,0))*1000</f>
        <v>179.37299999999999</v>
      </c>
      <c r="U7" s="81">
        <f>INDEX('AEO 2025 Table 17'!17:17,MATCH(U6,'AEO 2025 Table 17'!5:5,0))*1000</f>
        <v>176.726</v>
      </c>
      <c r="V7" s="81">
        <f>INDEX('AEO 2025 Table 17'!17:17,MATCH(V6,'AEO 2025 Table 17'!5:5,0))*1000</f>
        <v>173.953</v>
      </c>
      <c r="W7" s="81">
        <f>INDEX('AEO 2025 Table 17'!17:17,MATCH(W6,'AEO 2025 Table 17'!5:5,0))*1000</f>
        <v>171.053</v>
      </c>
      <c r="X7" s="81">
        <f>INDEX('AEO 2025 Table 17'!17:17,MATCH(X6,'AEO 2025 Table 17'!5:5,0))*1000</f>
        <v>168.023</v>
      </c>
      <c r="Y7" s="81">
        <f>INDEX('AEO 2025 Table 17'!17:17,MATCH(Y6,'AEO 2025 Table 17'!5:5,0))*1000</f>
        <v>165.37099999999998</v>
      </c>
      <c r="Z7" s="81">
        <f>INDEX('AEO 2025 Table 17'!17:17,MATCH(Z6,'AEO 2025 Table 17'!5:5,0))*1000</f>
        <v>162.072</v>
      </c>
      <c r="AA7" s="81">
        <f>INDEX('AEO 2025 Table 17'!17:17,MATCH(AA6,'AEO 2025 Table 17'!5:5,0))*1000</f>
        <v>158.636</v>
      </c>
      <c r="AB7" s="81">
        <f>INDEX('AEO 2025 Table 17'!17:17,MATCH(AB6,'AEO 2025 Table 17'!5:5,0))*1000</f>
        <v>155.059</v>
      </c>
      <c r="AC7" s="81">
        <f>INDEX('AEO 2025 Table 17'!17:17,MATCH(AC6,'AEO 2025 Table 17'!5:5,0))*1000</f>
        <v>151.33799999999999</v>
      </c>
      <c r="AD7" s="81">
        <f>INDEX('AEO 2025 Table 17'!17:17,MATCH(AD6,'AEO 2025 Table 17'!5:5,0))*1000</f>
        <v>147.471</v>
      </c>
      <c r="AE7" s="81">
        <f>INDEX('AEO 2025 Table 17'!17:17,MATCH(AE6,'AEO 2025 Table 17'!5:5,0))*1000</f>
        <v>143.45400000000001</v>
      </c>
      <c r="AF7" s="4"/>
      <c r="AG7" s="4"/>
      <c r="AH7" s="4"/>
    </row>
    <row r="8" spans="1:34">
      <c r="A8" t="s">
        <v>31</v>
      </c>
      <c r="B8" t="s">
        <v>29</v>
      </c>
      <c r="C8" t="s">
        <v>25</v>
      </c>
      <c r="D8" s="3">
        <f>INDEX('AEO 2023 Table 36 '!18:18,MATCH(D$6,'AEO 2023 Table 36 '!$13:$13,0))</f>
        <v>64.699020000000004</v>
      </c>
      <c r="E8" s="82">
        <f>INDEX('AEO 2025 Table 36'!9:9,MATCH(E6,'AEO 2025 Table 36'!5:5,0))</f>
        <v>87.055556999999993</v>
      </c>
      <c r="F8" s="82">
        <f>INDEX('AEO 2025 Table 36'!9:9,MATCH(F6,'AEO 2025 Table 36'!5:5,0))</f>
        <v>95.813736000000006</v>
      </c>
      <c r="G8" s="82">
        <f>INDEX('AEO 2025 Table 36'!9:9,MATCH(G6,'AEO 2025 Table 36'!5:5,0))</f>
        <v>104.507935</v>
      </c>
      <c r="H8" s="82">
        <f>INDEX('AEO 2025 Table 36'!9:9,MATCH(H6,'AEO 2025 Table 36'!5:5,0))</f>
        <v>111.845032</v>
      </c>
      <c r="I8" s="82">
        <f>INDEX('AEO 2025 Table 36'!9:9,MATCH(I6,'AEO 2025 Table 36'!5:5,0))</f>
        <v>118.39093800000001</v>
      </c>
      <c r="J8" s="82">
        <f>INDEX('AEO 2025 Table 36'!9:9,MATCH(J6,'AEO 2025 Table 36'!5:5,0))</f>
        <v>125.015457</v>
      </c>
      <c r="K8" s="82">
        <f>INDEX('AEO 2025 Table 36'!9:9,MATCH(K6,'AEO 2025 Table 36'!5:5,0))</f>
        <v>128.80909700000001</v>
      </c>
      <c r="L8" s="82">
        <f>INDEX('AEO 2025 Table 36'!9:9,MATCH(L6,'AEO 2025 Table 36'!5:5,0))</f>
        <v>132.43237300000001</v>
      </c>
      <c r="M8" s="82">
        <f>INDEX('AEO 2025 Table 36'!9:9,MATCH(M6,'AEO 2025 Table 36'!5:5,0))</f>
        <v>135.511551</v>
      </c>
      <c r="N8" s="82">
        <f>INDEX('AEO 2025 Table 36'!9:9,MATCH(N6,'AEO 2025 Table 36'!5:5,0))</f>
        <v>137.266876</v>
      </c>
      <c r="O8" s="82">
        <f>INDEX('AEO 2025 Table 36'!9:9,MATCH(O6,'AEO 2025 Table 36'!5:5,0))</f>
        <v>139.63299599999999</v>
      </c>
      <c r="P8" s="82">
        <f>INDEX('AEO 2025 Table 36'!9:9,MATCH(P6,'AEO 2025 Table 36'!5:5,0))</f>
        <v>141.013901</v>
      </c>
      <c r="Q8" s="82">
        <f>INDEX('AEO 2025 Table 36'!9:9,MATCH(Q6,'AEO 2025 Table 36'!5:5,0))</f>
        <v>142.85320999999999</v>
      </c>
      <c r="R8" s="82">
        <f>INDEX('AEO 2025 Table 36'!9:9,MATCH(R6,'AEO 2025 Table 36'!5:5,0))</f>
        <v>144.476776</v>
      </c>
      <c r="S8" s="82">
        <f>INDEX('AEO 2025 Table 36'!9:9,MATCH(S6,'AEO 2025 Table 36'!5:5,0))</f>
        <v>146.03744499999999</v>
      </c>
      <c r="T8" s="82">
        <f>INDEX('AEO 2025 Table 36'!9:9,MATCH(T6,'AEO 2025 Table 36'!5:5,0))</f>
        <v>147.20349100000001</v>
      </c>
      <c r="U8" s="82">
        <f>INDEX('AEO 2025 Table 36'!9:9,MATCH(U6,'AEO 2025 Table 36'!5:5,0))</f>
        <v>147.97177099999999</v>
      </c>
      <c r="V8" s="82">
        <f>INDEX('AEO 2025 Table 36'!9:9,MATCH(V6,'AEO 2025 Table 36'!5:5,0))</f>
        <v>148.60348500000001</v>
      </c>
      <c r="W8" s="82">
        <f>INDEX('AEO 2025 Table 36'!9:9,MATCH(W6,'AEO 2025 Table 36'!5:5,0))</f>
        <v>149.49903900000001</v>
      </c>
      <c r="X8" s="82">
        <f>INDEX('AEO 2025 Table 36'!9:9,MATCH(X6,'AEO 2025 Table 36'!5:5,0))</f>
        <v>149.937286</v>
      </c>
      <c r="Y8" s="82">
        <f>INDEX('AEO 2025 Table 36'!9:9,MATCH(Y6,'AEO 2025 Table 36'!5:5,0))</f>
        <v>149.69160500000001</v>
      </c>
      <c r="Z8" s="82">
        <f>INDEX('AEO 2025 Table 36'!9:9,MATCH(Z6,'AEO 2025 Table 36'!5:5,0))</f>
        <v>149.08166499999999</v>
      </c>
      <c r="AA8" s="82">
        <f>INDEX('AEO 2025 Table 36'!9:9,MATCH(AA6,'AEO 2025 Table 36'!5:5,0))</f>
        <v>148.949219</v>
      </c>
      <c r="AB8" s="82">
        <f>INDEX('AEO 2025 Table 36'!9:9,MATCH(AB6,'AEO 2025 Table 36'!5:5,0))</f>
        <v>148.95747399999999</v>
      </c>
      <c r="AC8" s="82">
        <f>INDEX('AEO 2025 Table 36'!9:9,MATCH(AC6,'AEO 2025 Table 36'!5:5,0))</f>
        <v>148.59544399999999</v>
      </c>
      <c r="AD8" s="82">
        <f>INDEX('AEO 2025 Table 36'!9:9,MATCH(AD6,'AEO 2025 Table 36'!5:5,0))</f>
        <v>148.537384</v>
      </c>
      <c r="AE8" s="82">
        <f>INDEX('AEO 2025 Table 36'!9:9,MATCH(AE6,'AEO 2025 Table 36'!5:5,0))</f>
        <v>148.52256800000001</v>
      </c>
      <c r="AF8" s="3"/>
      <c r="AG8" s="3"/>
      <c r="AH8" s="3"/>
    </row>
    <row r="9" spans="1:34">
      <c r="A9" t="s">
        <v>31</v>
      </c>
      <c r="B9" t="s">
        <v>30</v>
      </c>
      <c r="C9" t="s">
        <v>25</v>
      </c>
      <c r="D9" s="3">
        <f>INDEX('AEO 2023 Table 36 '!27:27,MATCH(D$6,'AEO 2023 Table 36 '!$13:$13,0))</f>
        <v>286.82144199999999</v>
      </c>
      <c r="E9" s="82">
        <f>INDEX('AEO 2025 Table 36'!17:17,MATCH(E6,'AEO 2025 Table 36'!5:5,0))</f>
        <v>259.73095699999999</v>
      </c>
      <c r="F9" s="82">
        <f>INDEX('AEO 2025 Table 36'!17:17,MATCH(F6,'AEO 2025 Table 36'!5:5,0))</f>
        <v>246.746262</v>
      </c>
      <c r="G9" s="82">
        <f>INDEX('AEO 2025 Table 36'!17:17,MATCH(G6,'AEO 2025 Table 36'!5:5,0))</f>
        <v>233.65933200000001</v>
      </c>
      <c r="H9" s="82">
        <f>INDEX('AEO 2025 Table 36'!17:17,MATCH(H6,'AEO 2025 Table 36'!5:5,0))</f>
        <v>222.639511</v>
      </c>
      <c r="I9" s="82">
        <f>INDEX('AEO 2025 Table 36'!17:17,MATCH(I6,'AEO 2025 Table 36'!5:5,0))</f>
        <v>210.52593999999999</v>
      </c>
      <c r="J9" s="82">
        <f>INDEX('AEO 2025 Table 36'!17:17,MATCH(J6,'AEO 2025 Table 36'!5:5,0))</f>
        <v>198.44125399999999</v>
      </c>
      <c r="K9" s="82">
        <f>INDEX('AEO 2025 Table 36'!17:17,MATCH(K6,'AEO 2025 Table 36'!5:5,0))</f>
        <v>187.82809399999999</v>
      </c>
      <c r="L9" s="82">
        <f>INDEX('AEO 2025 Table 36'!17:17,MATCH(L6,'AEO 2025 Table 36'!5:5,0))</f>
        <v>176.83654799999999</v>
      </c>
      <c r="M9" s="82">
        <f>INDEX('AEO 2025 Table 36'!17:17,MATCH(M6,'AEO 2025 Table 36'!5:5,0))</f>
        <v>165.995453</v>
      </c>
      <c r="N9" s="82">
        <f>INDEX('AEO 2025 Table 36'!17:17,MATCH(N6,'AEO 2025 Table 36'!5:5,0))</f>
        <v>155.707672</v>
      </c>
      <c r="O9" s="82">
        <f>INDEX('AEO 2025 Table 36'!17:17,MATCH(O6,'AEO 2025 Table 36'!5:5,0))</f>
        <v>145.472443</v>
      </c>
      <c r="P9" s="82">
        <f>INDEX('AEO 2025 Table 36'!17:17,MATCH(P6,'AEO 2025 Table 36'!5:5,0))</f>
        <v>135.48971599999999</v>
      </c>
      <c r="Q9" s="82">
        <f>INDEX('AEO 2025 Table 36'!17:17,MATCH(Q6,'AEO 2025 Table 36'!5:5,0))</f>
        <v>125.976921</v>
      </c>
      <c r="R9" s="82">
        <f>INDEX('AEO 2025 Table 36'!17:17,MATCH(R6,'AEO 2025 Table 36'!5:5,0))</f>
        <v>117.19341300000001</v>
      </c>
      <c r="S9" s="82">
        <f>INDEX('AEO 2025 Table 36'!17:17,MATCH(S6,'AEO 2025 Table 36'!5:5,0))</f>
        <v>109.041771</v>
      </c>
      <c r="T9" s="82">
        <f>INDEX('AEO 2025 Table 36'!17:17,MATCH(T6,'AEO 2025 Table 36'!5:5,0))</f>
        <v>101.510696</v>
      </c>
      <c r="U9" s="82">
        <f>INDEX('AEO 2025 Table 36'!17:17,MATCH(U6,'AEO 2025 Table 36'!5:5,0))</f>
        <v>94.802504999999996</v>
      </c>
      <c r="V9" s="82">
        <f>INDEX('AEO 2025 Table 36'!17:17,MATCH(V6,'AEO 2025 Table 36'!5:5,0))</f>
        <v>87.939010999999994</v>
      </c>
      <c r="W9" s="82">
        <f>INDEX('AEO 2025 Table 36'!17:17,MATCH(W6,'AEO 2025 Table 36'!5:5,0))</f>
        <v>81.827179000000001</v>
      </c>
      <c r="X9" s="82">
        <f>INDEX('AEO 2025 Table 36'!17:17,MATCH(X6,'AEO 2025 Table 36'!5:5,0))</f>
        <v>76.176422000000002</v>
      </c>
      <c r="Y9" s="82">
        <f>INDEX('AEO 2025 Table 36'!17:17,MATCH(Y6,'AEO 2025 Table 36'!5:5,0))</f>
        <v>70.805824000000001</v>
      </c>
      <c r="Z9" s="82">
        <f>INDEX('AEO 2025 Table 36'!17:17,MATCH(Z6,'AEO 2025 Table 36'!5:5,0))</f>
        <v>65.785888999999997</v>
      </c>
      <c r="AA9" s="82">
        <f>INDEX('AEO 2025 Table 36'!17:17,MATCH(AA6,'AEO 2025 Table 36'!5:5,0))</f>
        <v>61.069122</v>
      </c>
      <c r="AB9" s="82">
        <f>INDEX('AEO 2025 Table 36'!17:17,MATCH(AB6,'AEO 2025 Table 36'!5:5,0))</f>
        <v>56.668498999999997</v>
      </c>
      <c r="AC9" s="82">
        <f>INDEX('AEO 2025 Table 36'!17:17,MATCH(AC6,'AEO 2025 Table 36'!5:5,0))</f>
        <v>52.409759999999999</v>
      </c>
      <c r="AD9" s="82">
        <f>INDEX('AEO 2025 Table 36'!17:17,MATCH(AD6,'AEO 2025 Table 36'!5:5,0))</f>
        <v>48.369202000000001</v>
      </c>
      <c r="AE9" s="82">
        <f>INDEX('AEO 2025 Table 36'!17:17,MATCH(AE6,'AEO 2025 Table 36'!5:5,0))</f>
        <v>44.395896999999998</v>
      </c>
      <c r="AF9" s="3"/>
      <c r="AG9" s="3"/>
      <c r="AH9" s="3"/>
    </row>
    <row r="10" spans="1:34">
      <c r="A10" t="s">
        <v>31</v>
      </c>
      <c r="B10" t="s">
        <v>33</v>
      </c>
      <c r="C10" t="s">
        <v>25</v>
      </c>
      <c r="D10" s="3">
        <f>SUM(INDEX('AEO 2023 Table 36 '!74:74,MATCH(D$6,'AEO 2023 Table 36 '!$13:$13,0)),INDEX('AEO 2023 Table 36 '!82:82,MATCH(D$6,'AEO 2023 Table 36 '!$13:$13,0)),INDEX('AEO 2023 Table 36 '!90:90,MATCH(D$6,'AEO 2023 Table 36 '!$13:$13,0)))</f>
        <v>160.64598699999999</v>
      </c>
      <c r="E10" s="82">
        <f>SUM('AEO 2025 Table 36'!F56,'AEO 2025 Table 36'!F64,'AEO 2025 Table 36'!F72)</f>
        <v>152.212323</v>
      </c>
      <c r="F10" s="82">
        <f>SUM('AEO 2025 Table 36'!G56,'AEO 2025 Table 36'!G64,'AEO 2025 Table 36'!G72)</f>
        <v>155.43287100000001</v>
      </c>
      <c r="G10" s="82">
        <f>SUM('AEO 2025 Table 36'!H56,'AEO 2025 Table 36'!H64,'AEO 2025 Table 36'!H72)</f>
        <v>156.79606899999999</v>
      </c>
      <c r="H10" s="82">
        <f>SUM('AEO 2025 Table 36'!I56,'AEO 2025 Table 36'!I64,'AEO 2025 Table 36'!I72)</f>
        <v>157.08498</v>
      </c>
      <c r="I10" s="82">
        <f>SUM('AEO 2025 Table 36'!J56,'AEO 2025 Table 36'!J64,'AEO 2025 Table 36'!J72)</f>
        <v>156.922451</v>
      </c>
      <c r="J10" s="82">
        <f>SUM('AEO 2025 Table 36'!K56,'AEO 2025 Table 36'!K64,'AEO 2025 Table 36'!K72)</f>
        <v>156.46276900000001</v>
      </c>
      <c r="K10" s="82">
        <f>SUM('AEO 2025 Table 36'!L56,'AEO 2025 Table 36'!L64,'AEO 2025 Table 36'!L72)</f>
        <v>155.85995800000001</v>
      </c>
      <c r="L10" s="82">
        <f>SUM('AEO 2025 Table 36'!M56,'AEO 2025 Table 36'!M64,'AEO 2025 Table 36'!M72)</f>
        <v>154.731739</v>
      </c>
      <c r="M10" s="82">
        <f>SUM('AEO 2025 Table 36'!N56,'AEO 2025 Table 36'!N64,'AEO 2025 Table 36'!N72)</f>
        <v>153.34547800000001</v>
      </c>
      <c r="N10" s="82">
        <f>SUM('AEO 2025 Table 36'!O56,'AEO 2025 Table 36'!O64,'AEO 2025 Table 36'!O72)</f>
        <v>151.91481399999998</v>
      </c>
      <c r="O10" s="82">
        <f>SUM('AEO 2025 Table 36'!P56,'AEO 2025 Table 36'!P64,'AEO 2025 Table 36'!P72)</f>
        <v>150.62588399999999</v>
      </c>
      <c r="P10" s="82">
        <f>SUM('AEO 2025 Table 36'!Q56,'AEO 2025 Table 36'!Q64,'AEO 2025 Table 36'!Q72)</f>
        <v>149.22176300000001</v>
      </c>
      <c r="Q10" s="82">
        <f>SUM('AEO 2025 Table 36'!R56,'AEO 2025 Table 36'!R64,'AEO 2025 Table 36'!R72)</f>
        <v>147.79601300000002</v>
      </c>
      <c r="R10" s="82">
        <f>SUM('AEO 2025 Table 36'!S56,'AEO 2025 Table 36'!S64,'AEO 2025 Table 36'!S72)</f>
        <v>146.41067800000002</v>
      </c>
      <c r="S10" s="82">
        <f>SUM('AEO 2025 Table 36'!T56,'AEO 2025 Table 36'!T64,'AEO 2025 Table 36'!T72)</f>
        <v>144.97054700000001</v>
      </c>
      <c r="T10" s="82">
        <f>SUM('AEO 2025 Table 36'!U56,'AEO 2025 Table 36'!U64,'AEO 2025 Table 36'!U72)</f>
        <v>143.48277200000001</v>
      </c>
      <c r="U10" s="82">
        <f>SUM('AEO 2025 Table 36'!V56,'AEO 2025 Table 36'!V64,'AEO 2025 Table 36'!V72)</f>
        <v>141.936768</v>
      </c>
      <c r="V10" s="82">
        <f>SUM('AEO 2025 Table 36'!W56,'AEO 2025 Table 36'!W64,'AEO 2025 Table 36'!W72)</f>
        <v>140.34310500000001</v>
      </c>
      <c r="W10" s="82">
        <f>SUM('AEO 2025 Table 36'!X56,'AEO 2025 Table 36'!X64,'AEO 2025 Table 36'!X72)</f>
        <v>138.689728</v>
      </c>
      <c r="X10" s="82">
        <f>SUM('AEO 2025 Table 36'!Y56,'AEO 2025 Table 36'!Y64,'AEO 2025 Table 36'!Y72)</f>
        <v>137.05159300000003</v>
      </c>
      <c r="Y10" s="82">
        <f>SUM('AEO 2025 Table 36'!Z56,'AEO 2025 Table 36'!Z64,'AEO 2025 Table 36'!Z72)</f>
        <v>135.36299199999999</v>
      </c>
      <c r="Z10" s="82">
        <f>SUM('AEO 2025 Table 36'!AA56,'AEO 2025 Table 36'!AA64,'AEO 2025 Table 36'!AA72)</f>
        <v>133.71238</v>
      </c>
      <c r="AA10" s="82">
        <f>SUM('AEO 2025 Table 36'!AB56,'AEO 2025 Table 36'!AB64,'AEO 2025 Table 36'!AB72)</f>
        <v>131.98432099999999</v>
      </c>
      <c r="AB10" s="82">
        <f>SUM('AEO 2025 Table 36'!AC56,'AEO 2025 Table 36'!AC64,'AEO 2025 Table 36'!AC72)</f>
        <v>130.21289000000002</v>
      </c>
      <c r="AC10" s="82">
        <f>SUM('AEO 2025 Table 36'!AD56,'AEO 2025 Table 36'!AD64,'AEO 2025 Table 36'!AD72)</f>
        <v>128.48368500000001</v>
      </c>
      <c r="AD10" s="82">
        <f>SUM('AEO 2025 Table 36'!AE56,'AEO 2025 Table 36'!AE64,'AEO 2025 Table 36'!AE72)</f>
        <v>126.78527099999999</v>
      </c>
      <c r="AE10" s="82">
        <f>SUM('AEO 2025 Table 36'!AF56,'AEO 2025 Table 36'!AF64,'AEO 2025 Table 36'!AF72)</f>
        <v>125.22954900000001</v>
      </c>
      <c r="AF10" s="3"/>
      <c r="AG10" s="3"/>
      <c r="AH10" s="3"/>
    </row>
    <row r="11" spans="1:34">
      <c r="A11" t="s">
        <v>31</v>
      </c>
      <c r="B11" t="s">
        <v>34</v>
      </c>
      <c r="C11" t="s">
        <v>25</v>
      </c>
      <c r="D11" s="3">
        <f>INDEX('AEO 2023 Table 36 '!35:35,MATCH(D$6,'AEO 2023 Table 36 '!$13:$13,0))</f>
        <v>5150.2441410000001</v>
      </c>
      <c r="E11" s="93">
        <f>'AEO 2025 Table 36'!F24</f>
        <v>5262.0546880000002</v>
      </c>
      <c r="F11" s="93">
        <f>'AEO 2025 Table 36'!G24</f>
        <v>5295.5166019999997</v>
      </c>
      <c r="G11" s="93">
        <f>'AEO 2025 Table 36'!H24</f>
        <v>5284.3710940000001</v>
      </c>
      <c r="H11" s="93">
        <f>'AEO 2025 Table 36'!I24</f>
        <v>5261.173828</v>
      </c>
      <c r="I11" s="93">
        <f>'AEO 2025 Table 36'!J24</f>
        <v>5214.8681640000004</v>
      </c>
      <c r="J11" s="93">
        <f>'AEO 2025 Table 36'!K24</f>
        <v>5167.3994140000004</v>
      </c>
      <c r="K11" s="93">
        <f>'AEO 2025 Table 36'!L24</f>
        <v>5117.4399409999996</v>
      </c>
      <c r="L11" s="93">
        <f>'AEO 2025 Table 36'!M24</f>
        <v>5057.9794920000004</v>
      </c>
      <c r="M11" s="93">
        <f>'AEO 2025 Table 36'!N24</f>
        <v>4997.7973629999997</v>
      </c>
      <c r="N11" s="93">
        <f>'AEO 2025 Table 36'!O24</f>
        <v>4932.8691410000001</v>
      </c>
      <c r="O11" s="93">
        <f>'AEO 2025 Table 36'!P24</f>
        <v>4873.9633789999998</v>
      </c>
      <c r="P11" s="93">
        <f>'AEO 2025 Table 36'!Q24</f>
        <v>4818.3222660000001</v>
      </c>
      <c r="Q11" s="93">
        <f>'AEO 2025 Table 36'!R24</f>
        <v>4773.3173829999996</v>
      </c>
      <c r="R11" s="93">
        <f>'AEO 2025 Table 36'!S24</f>
        <v>4735.3779299999997</v>
      </c>
      <c r="S11" s="93">
        <f>'AEO 2025 Table 36'!T24</f>
        <v>4700.5795900000003</v>
      </c>
      <c r="T11" s="93">
        <f>'AEO 2025 Table 36'!U24</f>
        <v>4663.09375</v>
      </c>
      <c r="U11" s="93">
        <f>'AEO 2025 Table 36'!V24</f>
        <v>4630.2001950000003</v>
      </c>
      <c r="V11" s="93">
        <f>'AEO 2025 Table 36'!W24</f>
        <v>4599.0820309999999</v>
      </c>
      <c r="W11" s="93">
        <f>'AEO 2025 Table 36'!X24</f>
        <v>4572.8413090000004</v>
      </c>
      <c r="X11" s="93">
        <f>'AEO 2025 Table 36'!Y24</f>
        <v>4547.0268550000001</v>
      </c>
      <c r="Y11" s="93">
        <f>'AEO 2025 Table 36'!Z24</f>
        <v>4522.3266599999997</v>
      </c>
      <c r="Z11" s="93">
        <f>'AEO 2025 Table 36'!AA24</f>
        <v>4502.796875</v>
      </c>
      <c r="AA11" s="93">
        <f>'AEO 2025 Table 36'!AB24</f>
        <v>4482.5249020000001</v>
      </c>
      <c r="AB11" s="93">
        <f>'AEO 2025 Table 36'!AC24</f>
        <v>4479.8339839999999</v>
      </c>
      <c r="AC11" s="93">
        <f>'AEO 2025 Table 36'!AD24</f>
        <v>4478.9736329999996</v>
      </c>
      <c r="AD11" s="93">
        <f>'AEO 2025 Table 36'!AE24</f>
        <v>4475.9814450000003</v>
      </c>
      <c r="AE11" s="93">
        <f>'AEO 2025 Table 36'!AF24</f>
        <v>4467.7338870000003</v>
      </c>
      <c r="AF11" s="3"/>
      <c r="AG11" s="3"/>
      <c r="AH11" s="3"/>
    </row>
    <row r="12" spans="1:34">
      <c r="A12" t="s">
        <v>31</v>
      </c>
      <c r="B12" t="s">
        <v>35</v>
      </c>
      <c r="C12" t="s">
        <v>25</v>
      </c>
      <c r="D12" s="3">
        <f>SUM(INDEX('AEO 2023 Table 36 '!98:98,MATCH(D$6,'AEO 2023 Table 36 '!$13:$13,0)),INDEX('AEO 2023 Table 36 '!105:105,MATCH(D$6,'AEO 2023 Table 36 '!$13:$13,0)))</f>
        <v>20.019555</v>
      </c>
      <c r="E12" s="82">
        <f>SUM('AEO 2025 Table 36'!F80,'AEO 2025 Table 36'!F87)</f>
        <v>20.809967</v>
      </c>
      <c r="F12" s="82">
        <f>SUM('AEO 2025 Table 36'!G80,'AEO 2025 Table 36'!G87)</f>
        <v>22.073518</v>
      </c>
      <c r="G12" s="82">
        <f>SUM('AEO 2025 Table 36'!H80,'AEO 2025 Table 36'!H87)</f>
        <v>22.716169999999998</v>
      </c>
      <c r="H12" s="82">
        <f>SUM('AEO 2025 Table 36'!I80,'AEO 2025 Table 36'!I87)</f>
        <v>22.990724999999998</v>
      </c>
      <c r="I12" s="82">
        <f>SUM('AEO 2025 Table 36'!J80,'AEO 2025 Table 36'!J87)</f>
        <v>23.067593000000002</v>
      </c>
      <c r="J12" s="82">
        <f>SUM('AEO 2025 Table 36'!K80,'AEO 2025 Table 36'!K87)</f>
        <v>23.123910000000002</v>
      </c>
      <c r="K12" s="82">
        <f>SUM('AEO 2025 Table 36'!L80,'AEO 2025 Table 36'!L87)</f>
        <v>23.369833</v>
      </c>
      <c r="L12" s="82">
        <f>SUM('AEO 2025 Table 36'!M80,'AEO 2025 Table 36'!M87)</f>
        <v>23.578348999999999</v>
      </c>
      <c r="M12" s="82">
        <f>SUM('AEO 2025 Table 36'!N80,'AEO 2025 Table 36'!N87)</f>
        <v>23.755786000000001</v>
      </c>
      <c r="N12" s="82">
        <f>SUM('AEO 2025 Table 36'!O80,'AEO 2025 Table 36'!O87)</f>
        <v>23.909908000000001</v>
      </c>
      <c r="O12" s="82">
        <f>SUM('AEO 2025 Table 36'!P80,'AEO 2025 Table 36'!P87)</f>
        <v>24.046638999999999</v>
      </c>
      <c r="P12" s="82">
        <f>SUM('AEO 2025 Table 36'!Q80,'AEO 2025 Table 36'!Q87)</f>
        <v>24.232970999999999</v>
      </c>
      <c r="Q12" s="82">
        <f>SUM('AEO 2025 Table 36'!R80,'AEO 2025 Table 36'!R87)</f>
        <v>24.480991</v>
      </c>
      <c r="R12" s="82">
        <f>SUM('AEO 2025 Table 36'!S80,'AEO 2025 Table 36'!S87)</f>
        <v>24.728304000000001</v>
      </c>
      <c r="S12" s="82">
        <f>SUM('AEO 2025 Table 36'!T80,'AEO 2025 Table 36'!T87)</f>
        <v>24.984446999999999</v>
      </c>
      <c r="T12" s="82">
        <f>SUM('AEO 2025 Table 36'!U80,'AEO 2025 Table 36'!U87)</f>
        <v>25.224406000000002</v>
      </c>
      <c r="U12" s="82">
        <f>SUM('AEO 2025 Table 36'!V80,'AEO 2025 Table 36'!V87)</f>
        <v>25.446609000000002</v>
      </c>
      <c r="V12" s="82">
        <f>SUM('AEO 2025 Table 36'!W80,'AEO 2025 Table 36'!W87)</f>
        <v>25.651631000000002</v>
      </c>
      <c r="W12" s="82">
        <f>SUM('AEO 2025 Table 36'!X80,'AEO 2025 Table 36'!X87)</f>
        <v>25.849799000000001</v>
      </c>
      <c r="X12" s="82">
        <f>SUM('AEO 2025 Table 36'!Y80,'AEO 2025 Table 36'!Y87)</f>
        <v>26.051999000000002</v>
      </c>
      <c r="Y12" s="82">
        <f>SUM('AEO 2025 Table 36'!Z80,'AEO 2025 Table 36'!Z87)</f>
        <v>26.229593999999999</v>
      </c>
      <c r="Z12" s="82">
        <f>SUM('AEO 2025 Table 36'!AA80,'AEO 2025 Table 36'!AA87)</f>
        <v>26.421286000000002</v>
      </c>
      <c r="AA12" s="82">
        <f>SUM('AEO 2025 Table 36'!AB80,'AEO 2025 Table 36'!AB87)</f>
        <v>26.585976000000002</v>
      </c>
      <c r="AB12" s="82">
        <f>SUM('AEO 2025 Table 36'!AC80,'AEO 2025 Table 36'!AC87)</f>
        <v>26.761452999999999</v>
      </c>
      <c r="AC12" s="82">
        <f>SUM('AEO 2025 Table 36'!AD80,'AEO 2025 Table 36'!AD87)</f>
        <v>26.961500000000001</v>
      </c>
      <c r="AD12" s="82">
        <f>SUM('AEO 2025 Table 36'!AE80,'AEO 2025 Table 36'!AE87)</f>
        <v>27.159689</v>
      </c>
      <c r="AE12" s="82">
        <f>SUM('AEO 2025 Table 36'!AF80,'AEO 2025 Table 36'!AF87)</f>
        <v>27.405932999999997</v>
      </c>
      <c r="AF12" s="3"/>
      <c r="AG12" s="3"/>
      <c r="AH12" s="3"/>
    </row>
    <row r="13" spans="1:34">
      <c r="A13" t="s">
        <v>31</v>
      </c>
      <c r="B13" t="s">
        <v>36</v>
      </c>
      <c r="C13" t="s">
        <v>25</v>
      </c>
      <c r="D13" s="3">
        <f>INDEX('AEO 2023 Table 36 '!44:44,MATCH(D$6,'AEO 2023 Table 36 '!$13:$13,0))</f>
        <v>473.79251099999999</v>
      </c>
      <c r="E13" s="93">
        <f>'AEO 2025 Table 36'!F31</f>
        <v>434.230682</v>
      </c>
      <c r="F13" s="93">
        <f>'AEO 2025 Table 36'!G31</f>
        <v>443.75869799999998</v>
      </c>
      <c r="G13" s="93">
        <f>'AEO 2025 Table 36'!H31</f>
        <v>432.581299</v>
      </c>
      <c r="H13" s="93">
        <f>'AEO 2025 Table 36'!I31</f>
        <v>417.75234999999998</v>
      </c>
      <c r="I13" s="93">
        <f>'AEO 2025 Table 36'!J31</f>
        <v>417.42465199999998</v>
      </c>
      <c r="J13" s="93">
        <f>'AEO 2025 Table 36'!K31</f>
        <v>415.93777499999999</v>
      </c>
      <c r="K13" s="93">
        <f>'AEO 2025 Table 36'!L31</f>
        <v>403.47412100000003</v>
      </c>
      <c r="L13" s="93">
        <f>'AEO 2025 Table 36'!M31</f>
        <v>403.17804000000001</v>
      </c>
      <c r="M13" s="93">
        <f>'AEO 2025 Table 36'!N31</f>
        <v>383.83212300000002</v>
      </c>
      <c r="N13" s="93">
        <f>'AEO 2025 Table 36'!O31</f>
        <v>385.30667099999999</v>
      </c>
      <c r="O13" s="93">
        <f>'AEO 2025 Table 36'!P31</f>
        <v>381.27539100000001</v>
      </c>
      <c r="P13" s="93">
        <f>'AEO 2025 Table 36'!Q31</f>
        <v>381.04003899999998</v>
      </c>
      <c r="Q13" s="93">
        <f>'AEO 2025 Table 36'!R31</f>
        <v>382.19842499999999</v>
      </c>
      <c r="R13" s="93">
        <f>'AEO 2025 Table 36'!S31</f>
        <v>383.73739599999999</v>
      </c>
      <c r="S13" s="93">
        <f>'AEO 2025 Table 36'!T31</f>
        <v>388.55950899999999</v>
      </c>
      <c r="T13" s="93">
        <f>'AEO 2025 Table 36'!U31</f>
        <v>385.72473100000002</v>
      </c>
      <c r="U13" s="93">
        <f>'AEO 2025 Table 36'!V31</f>
        <v>387.17019699999997</v>
      </c>
      <c r="V13" s="93">
        <f>'AEO 2025 Table 36'!W31</f>
        <v>387.33422899999999</v>
      </c>
      <c r="W13" s="93">
        <f>'AEO 2025 Table 36'!X31</f>
        <v>388.97726399999999</v>
      </c>
      <c r="X13" s="93">
        <f>'AEO 2025 Table 36'!Y31</f>
        <v>390.85006700000002</v>
      </c>
      <c r="Y13" s="93">
        <f>'AEO 2025 Table 36'!Z31</f>
        <v>391.76263399999999</v>
      </c>
      <c r="Z13" s="93">
        <f>'AEO 2025 Table 36'!AA31</f>
        <v>392.73843399999998</v>
      </c>
      <c r="AA13" s="93">
        <f>'AEO 2025 Table 36'!AB31</f>
        <v>392.65093999999999</v>
      </c>
      <c r="AB13" s="93">
        <f>'AEO 2025 Table 36'!AC31</f>
        <v>396.48129299999999</v>
      </c>
      <c r="AC13" s="93">
        <f>'AEO 2025 Table 36'!AD31</f>
        <v>399.58117700000003</v>
      </c>
      <c r="AD13" s="93">
        <f>'AEO 2025 Table 36'!AE31</f>
        <v>402.097534</v>
      </c>
      <c r="AE13" s="93">
        <f>'AEO 2025 Table 36'!AF31</f>
        <v>402.97448700000001</v>
      </c>
      <c r="AF13" s="3"/>
      <c r="AG13" s="3"/>
      <c r="AH13" s="3"/>
    </row>
    <row r="14" spans="1:34">
      <c r="A14" t="s">
        <v>31</v>
      </c>
      <c r="B14" t="s">
        <v>37</v>
      </c>
      <c r="C14" t="s">
        <v>25</v>
      </c>
      <c r="D14" s="3">
        <f>INDEX('AEO 2023 Table 36 '!111:111,MATCH(D$6,'AEO 2023 Table 36 '!$13:$13,0))</f>
        <v>38.775948</v>
      </c>
      <c r="E14" s="82">
        <f>'AEO 2025 Table 36'!F92</f>
        <v>40.690426000000002</v>
      </c>
      <c r="F14" s="82">
        <f>'AEO 2025 Table 36'!G92</f>
        <v>40.654781</v>
      </c>
      <c r="G14" s="82">
        <f>'AEO 2025 Table 36'!H92</f>
        <v>40.768794999999997</v>
      </c>
      <c r="H14" s="82">
        <f>'AEO 2025 Table 36'!I92</f>
        <v>40.877197000000002</v>
      </c>
      <c r="I14" s="82">
        <f>'AEO 2025 Table 36'!J92</f>
        <v>40.889881000000003</v>
      </c>
      <c r="J14" s="82">
        <f>'AEO 2025 Table 36'!K92</f>
        <v>40.946841999999997</v>
      </c>
      <c r="K14" s="82">
        <f>'AEO 2025 Table 36'!L92</f>
        <v>40.946728</v>
      </c>
      <c r="L14" s="82">
        <f>'AEO 2025 Table 36'!M92</f>
        <v>40.871284000000003</v>
      </c>
      <c r="M14" s="82">
        <f>'AEO 2025 Table 36'!N92</f>
        <v>40.863349999999997</v>
      </c>
      <c r="N14" s="82">
        <f>'AEO 2025 Table 36'!O92</f>
        <v>40.880088999999998</v>
      </c>
      <c r="O14" s="82">
        <f>'AEO 2025 Table 36'!P92</f>
        <v>40.887752999999996</v>
      </c>
      <c r="P14" s="82">
        <f>'AEO 2025 Table 36'!Q92</f>
        <v>40.942219000000001</v>
      </c>
      <c r="Q14" s="82">
        <f>'AEO 2025 Table 36'!R92</f>
        <v>41.006045999999998</v>
      </c>
      <c r="R14" s="82">
        <f>'AEO 2025 Table 36'!S92</f>
        <v>41.100960000000001</v>
      </c>
      <c r="S14" s="82">
        <f>'AEO 2025 Table 36'!T92</f>
        <v>41.208027000000001</v>
      </c>
      <c r="T14" s="82">
        <f>'AEO 2025 Table 36'!U92</f>
        <v>41.304946999999999</v>
      </c>
      <c r="U14" s="82">
        <f>'AEO 2025 Table 36'!V92</f>
        <v>41.404350000000001</v>
      </c>
      <c r="V14" s="82">
        <f>'AEO 2025 Table 36'!W92</f>
        <v>41.496921999999998</v>
      </c>
      <c r="W14" s="82">
        <f>'AEO 2025 Table 36'!X92</f>
        <v>41.611457999999999</v>
      </c>
      <c r="X14" s="82">
        <f>'AEO 2025 Table 36'!Y92</f>
        <v>41.712508999999997</v>
      </c>
      <c r="Y14" s="82">
        <f>'AEO 2025 Table 36'!Z92</f>
        <v>41.782890000000002</v>
      </c>
      <c r="Z14" s="82">
        <f>'AEO 2025 Table 36'!AA92</f>
        <v>41.839492999999997</v>
      </c>
      <c r="AA14" s="82">
        <f>'AEO 2025 Table 36'!AB92</f>
        <v>41.88306</v>
      </c>
      <c r="AB14" s="82">
        <f>'AEO 2025 Table 36'!AC92</f>
        <v>41.986381999999999</v>
      </c>
      <c r="AC14" s="82">
        <f>'AEO 2025 Table 36'!AD92</f>
        <v>42.102791000000003</v>
      </c>
      <c r="AD14" s="82">
        <f>'AEO 2025 Table 36'!AE92</f>
        <v>42.195900000000002</v>
      </c>
      <c r="AE14" s="82">
        <f>'AEO 2025 Table 36'!AF92</f>
        <v>42.280914000000003</v>
      </c>
      <c r="AF14" s="3"/>
      <c r="AG14" s="3"/>
      <c r="AH14" s="3"/>
    </row>
    <row r="15" spans="1:34">
      <c r="A15" t="s">
        <v>31</v>
      </c>
      <c r="B15" t="s">
        <v>38</v>
      </c>
      <c r="C15" t="s">
        <v>25</v>
      </c>
      <c r="D15" s="3">
        <f>SUM(INDEX('AEO 2023 Table 36 '!50:50,MATCH(D$6,'AEO 2023 Table 36 '!$13:$13,0)),INDEX('AEO 2023 Table 36 '!56:56,MATCH(D$6,'AEO 2023 Table 36 '!$13:$13,0)))</f>
        <v>414.624618</v>
      </c>
      <c r="E15" s="3">
        <f>SUM('AEO 2025 Table 36'!F36,'AEO 2025 Table 36'!F41)</f>
        <v>288.07759900000002</v>
      </c>
      <c r="F15" s="3">
        <f>SUM('AEO 2025 Table 36'!G36,'AEO 2025 Table 36'!G41)</f>
        <v>305.94081899999998</v>
      </c>
      <c r="G15" s="3">
        <f>SUM('AEO 2025 Table 36'!H36,'AEO 2025 Table 36'!H41)</f>
        <v>316.85392000000002</v>
      </c>
      <c r="H15" s="3">
        <f>SUM('AEO 2025 Table 36'!I36,'AEO 2025 Table 36'!I41)</f>
        <v>319.85913099999999</v>
      </c>
      <c r="I15" s="3">
        <f>SUM('AEO 2025 Table 36'!J36,'AEO 2025 Table 36'!J41)</f>
        <v>324.31243900000004</v>
      </c>
      <c r="J15" s="3">
        <f>SUM('AEO 2025 Table 36'!K36,'AEO 2025 Table 36'!K41)</f>
        <v>325.99989399999998</v>
      </c>
      <c r="K15" s="3">
        <f>SUM('AEO 2025 Table 36'!L36,'AEO 2025 Table 36'!L41)</f>
        <v>328.070694</v>
      </c>
      <c r="L15" s="3">
        <f>SUM('AEO 2025 Table 36'!M36,'AEO 2025 Table 36'!M41)</f>
        <v>330.99296500000003</v>
      </c>
      <c r="M15" s="3">
        <f>SUM('AEO 2025 Table 36'!N36,'AEO 2025 Table 36'!N41)</f>
        <v>336.222488</v>
      </c>
      <c r="N15" s="3">
        <f>SUM('AEO 2025 Table 36'!O36,'AEO 2025 Table 36'!O41)</f>
        <v>341.80090300000001</v>
      </c>
      <c r="O15" s="3">
        <f>SUM('AEO 2025 Table 36'!P36,'AEO 2025 Table 36'!P41)</f>
        <v>347.27518500000002</v>
      </c>
      <c r="P15" s="3">
        <f>SUM('AEO 2025 Table 36'!Q36,'AEO 2025 Table 36'!Q41)</f>
        <v>349.48850999999996</v>
      </c>
      <c r="Q15" s="3">
        <f>SUM('AEO 2025 Table 36'!R36,'AEO 2025 Table 36'!R41)</f>
        <v>351.39778100000001</v>
      </c>
      <c r="R15" s="3">
        <f>SUM('AEO 2025 Table 36'!S36,'AEO 2025 Table 36'!S41)</f>
        <v>352.20766400000002</v>
      </c>
      <c r="S15" s="3">
        <f>SUM('AEO 2025 Table 36'!T36,'AEO 2025 Table 36'!T41)</f>
        <v>353.80305400000003</v>
      </c>
      <c r="T15" s="3">
        <f>SUM('AEO 2025 Table 36'!U36,'AEO 2025 Table 36'!U41)</f>
        <v>354.94239800000003</v>
      </c>
      <c r="U15" s="3">
        <f>SUM('AEO 2025 Table 36'!V36,'AEO 2025 Table 36'!V41)</f>
        <v>356.31010500000002</v>
      </c>
      <c r="V15" s="3">
        <f>SUM('AEO 2025 Table 36'!W36,'AEO 2025 Table 36'!W41)</f>
        <v>358.09324600000002</v>
      </c>
      <c r="W15" s="3">
        <f>SUM('AEO 2025 Table 36'!X36,'AEO 2025 Table 36'!X41)</f>
        <v>359.92242399999998</v>
      </c>
      <c r="X15" s="3">
        <f>SUM('AEO 2025 Table 36'!Y36,'AEO 2025 Table 36'!Y41)</f>
        <v>361.31336999999996</v>
      </c>
      <c r="Y15" s="3">
        <f>SUM('AEO 2025 Table 36'!Z36,'AEO 2025 Table 36'!Z41)</f>
        <v>362.556488</v>
      </c>
      <c r="Z15" s="3">
        <f>SUM('AEO 2025 Table 36'!AA36,'AEO 2025 Table 36'!AA41)</f>
        <v>363.315674</v>
      </c>
      <c r="AA15" s="3">
        <f>SUM('AEO 2025 Table 36'!AB36,'AEO 2025 Table 36'!AB41)</f>
        <v>362.78800999999999</v>
      </c>
      <c r="AB15" s="3">
        <f>SUM('AEO 2025 Table 36'!AC36,'AEO 2025 Table 36'!AC41)</f>
        <v>363.71847500000001</v>
      </c>
      <c r="AC15" s="3">
        <f>SUM('AEO 2025 Table 36'!AD36,'AEO 2025 Table 36'!AD41)</f>
        <v>364.92479700000001</v>
      </c>
      <c r="AD15" s="3">
        <f>SUM('AEO 2025 Table 36'!AE36,'AEO 2025 Table 36'!AE41)</f>
        <v>366.35246999999998</v>
      </c>
      <c r="AE15" s="3">
        <f>SUM('AEO 2025 Table 36'!AF36,'AEO 2025 Table 36'!AF41)</f>
        <v>367.496216</v>
      </c>
      <c r="AF15" s="3"/>
      <c r="AG15" s="3"/>
      <c r="AH15" s="3"/>
    </row>
    <row r="17" spans="1:36">
      <c r="A17" s="6" t="s">
        <v>39</v>
      </c>
      <c r="B17" s="7"/>
    </row>
    <row r="18" spans="1:36">
      <c r="A18" t="s">
        <v>29</v>
      </c>
      <c r="B18" s="5" t="b">
        <v>1</v>
      </c>
    </row>
    <row r="19" spans="1:36">
      <c r="A19" t="s">
        <v>30</v>
      </c>
      <c r="B19" s="5" t="b">
        <v>1</v>
      </c>
    </row>
    <row r="20" spans="1:36">
      <c r="A20" t="s">
        <v>33</v>
      </c>
      <c r="B20" s="5" t="b">
        <v>1</v>
      </c>
    </row>
    <row r="21" spans="1:36">
      <c r="A21" t="s">
        <v>34</v>
      </c>
      <c r="B21" s="5" t="b">
        <v>1</v>
      </c>
    </row>
    <row r="22" spans="1:36">
      <c r="A22" t="s">
        <v>35</v>
      </c>
      <c r="B22" s="5" t="b">
        <v>0</v>
      </c>
    </row>
    <row r="23" spans="1:36">
      <c r="A23" t="s">
        <v>36</v>
      </c>
      <c r="B23" s="5" t="b">
        <v>0</v>
      </c>
    </row>
    <row r="24" spans="1:36">
      <c r="A24" t="s">
        <v>37</v>
      </c>
      <c r="B24" s="5" t="b">
        <v>0</v>
      </c>
    </row>
    <row r="25" spans="1:36">
      <c r="A25" t="s">
        <v>38</v>
      </c>
      <c r="B25" s="5" t="b">
        <v>0</v>
      </c>
    </row>
    <row r="28" spans="1:36">
      <c r="A28" s="6" t="s">
        <v>40</v>
      </c>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row>
    <row r="29" spans="1:36">
      <c r="B29">
        <f t="shared" ref="B29:AC29" si="0">D6</f>
        <v>2023</v>
      </c>
      <c r="C29">
        <f t="shared" si="0"/>
        <v>2024</v>
      </c>
      <c r="D29">
        <f t="shared" si="0"/>
        <v>2025</v>
      </c>
      <c r="E29">
        <f t="shared" si="0"/>
        <v>2026</v>
      </c>
      <c r="F29">
        <f t="shared" si="0"/>
        <v>2027</v>
      </c>
      <c r="G29">
        <f t="shared" si="0"/>
        <v>2028</v>
      </c>
      <c r="H29">
        <f t="shared" si="0"/>
        <v>2029</v>
      </c>
      <c r="I29">
        <f t="shared" si="0"/>
        <v>2030</v>
      </c>
      <c r="J29">
        <f t="shared" si="0"/>
        <v>2031</v>
      </c>
      <c r="K29">
        <f t="shared" si="0"/>
        <v>2032</v>
      </c>
      <c r="L29">
        <f t="shared" si="0"/>
        <v>2033</v>
      </c>
      <c r="M29">
        <f t="shared" si="0"/>
        <v>2034</v>
      </c>
      <c r="N29">
        <f t="shared" si="0"/>
        <v>2035</v>
      </c>
      <c r="O29">
        <f t="shared" si="0"/>
        <v>2036</v>
      </c>
      <c r="P29">
        <f t="shared" si="0"/>
        <v>2037</v>
      </c>
      <c r="Q29">
        <f t="shared" si="0"/>
        <v>2038</v>
      </c>
      <c r="R29">
        <f t="shared" si="0"/>
        <v>2039</v>
      </c>
      <c r="S29">
        <f t="shared" si="0"/>
        <v>2040</v>
      </c>
      <c r="T29">
        <f t="shared" si="0"/>
        <v>2041</v>
      </c>
      <c r="U29">
        <f t="shared" si="0"/>
        <v>2042</v>
      </c>
      <c r="V29">
        <f t="shared" si="0"/>
        <v>2043</v>
      </c>
      <c r="W29">
        <f t="shared" si="0"/>
        <v>2044</v>
      </c>
      <c r="X29">
        <f t="shared" si="0"/>
        <v>2045</v>
      </c>
      <c r="Y29">
        <f t="shared" si="0"/>
        <v>2046</v>
      </c>
      <c r="Z29">
        <f t="shared" si="0"/>
        <v>2047</v>
      </c>
      <c r="AA29">
        <f t="shared" si="0"/>
        <v>2048</v>
      </c>
      <c r="AB29">
        <f t="shared" si="0"/>
        <v>2049</v>
      </c>
      <c r="AC29">
        <f t="shared" si="0"/>
        <v>2050</v>
      </c>
    </row>
    <row r="30" spans="1:36">
      <c r="A30" s="1" t="s">
        <v>23</v>
      </c>
      <c r="B30" s="2">
        <f t="shared" ref="B30:AC30" si="1">D7/(SUMIFS(D8:D15,$B18:$B25,TRUE)+D7)</f>
        <v>3.2438802317246634E-2</v>
      </c>
      <c r="C30" s="2">
        <f t="shared" si="1"/>
        <v>3.9585833615893101E-2</v>
      </c>
      <c r="D30" s="2">
        <f t="shared" si="1"/>
        <v>3.2988176963567352E-2</v>
      </c>
      <c r="E30" s="2">
        <f t="shared" si="1"/>
        <v>3.3592061558151781E-2</v>
      </c>
      <c r="F30" s="2">
        <f t="shared" si="1"/>
        <v>3.1874998222339357E-2</v>
      </c>
      <c r="G30" s="2">
        <f t="shared" si="1"/>
        <v>1.9908011754375773E-2</v>
      </c>
      <c r="H30" s="2">
        <f t="shared" si="1"/>
        <v>2.3495478192259833E-2</v>
      </c>
      <c r="I30" s="2">
        <f t="shared" si="1"/>
        <v>2.4713242009373016E-2</v>
      </c>
      <c r="J30" s="2">
        <f t="shared" si="1"/>
        <v>2.5457499438861282E-2</v>
      </c>
      <c r="K30" s="2">
        <f t="shared" si="1"/>
        <v>2.5984988171500023E-2</v>
      </c>
      <c r="L30" s="2">
        <f t="shared" si="1"/>
        <v>2.7414822845231571E-2</v>
      </c>
      <c r="M30" s="2">
        <f t="shared" si="1"/>
        <v>3.0204917782965933E-2</v>
      </c>
      <c r="N30" s="2">
        <f t="shared" si="1"/>
        <v>3.2330282257469367E-2</v>
      </c>
      <c r="O30" s="2">
        <f t="shared" si="1"/>
        <v>3.240328362369687E-2</v>
      </c>
      <c r="P30" s="2">
        <f t="shared" si="1"/>
        <v>3.4272114369912537E-2</v>
      </c>
      <c r="Q30" s="2">
        <f t="shared" si="1"/>
        <v>3.4433896475083707E-2</v>
      </c>
      <c r="R30" s="2">
        <f t="shared" si="1"/>
        <v>3.4266384618290291E-2</v>
      </c>
      <c r="S30" s="2">
        <f t="shared" si="1"/>
        <v>3.4040513977444335E-2</v>
      </c>
      <c r="T30" s="2">
        <f t="shared" si="1"/>
        <v>3.3777802111960777E-2</v>
      </c>
      <c r="U30" s="2">
        <f t="shared" si="1"/>
        <v>3.3448572906174312E-2</v>
      </c>
      <c r="V30" s="2">
        <f t="shared" si="1"/>
        <v>3.3087018733634767E-2</v>
      </c>
      <c r="W30" s="2">
        <f t="shared" si="1"/>
        <v>3.2788558661192499E-2</v>
      </c>
      <c r="X30" s="2">
        <f t="shared" si="1"/>
        <v>3.2327446868322056E-2</v>
      </c>
      <c r="Y30" s="2">
        <f t="shared" si="1"/>
        <v>3.1834395552664221E-2</v>
      </c>
      <c r="Z30" s="2">
        <f t="shared" si="1"/>
        <v>3.1194400497299647E-2</v>
      </c>
      <c r="AA30" s="2">
        <f t="shared" si="1"/>
        <v>3.0512920696853785E-2</v>
      </c>
      <c r="AB30" s="2">
        <f t="shared" si="1"/>
        <v>2.9809318466894396E-2</v>
      </c>
      <c r="AC30" s="2">
        <f t="shared" si="1"/>
        <v>2.9102094659627049E-2</v>
      </c>
      <c r="AD30" s="2"/>
      <c r="AE30" s="2"/>
      <c r="AF30" s="2"/>
      <c r="AG30" s="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1"/>
  <sheetViews>
    <sheetView workbookViewId="0">
      <selection activeCell="A5" sqref="A5"/>
    </sheetView>
  </sheetViews>
  <sheetFormatPr defaultRowHeight="14.75"/>
  <sheetData>
    <row r="1" spans="1:1">
      <c r="A1" t="s">
        <v>44</v>
      </c>
    </row>
    <row r="2" spans="1:1">
      <c r="A2" t="s">
        <v>45</v>
      </c>
    </row>
    <row r="4" spans="1:1">
      <c r="A4" t="s">
        <v>46</v>
      </c>
    </row>
    <row r="5" spans="1:1">
      <c r="A5">
        <v>0.55000000000000004</v>
      </c>
    </row>
    <row r="7" spans="1:1">
      <c r="A7" t="s">
        <v>55</v>
      </c>
    </row>
    <row r="8" spans="1:1">
      <c r="A8" t="s">
        <v>56</v>
      </c>
    </row>
    <row r="9" spans="1:1">
      <c r="A9" t="s">
        <v>57</v>
      </c>
    </row>
    <row r="11" spans="1:1">
      <c r="A11" s="9" t="s">
        <v>58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5B339-5229-4786-85AB-2B5868703D1E}">
  <dimension ref="A1:R63"/>
  <sheetViews>
    <sheetView topLeftCell="B1" workbookViewId="0">
      <selection activeCell="R11" sqref="R11"/>
    </sheetView>
  </sheetViews>
  <sheetFormatPr defaultRowHeight="14.75"/>
  <cols>
    <col min="1" max="1" width="50.1328125" customWidth="1"/>
    <col min="2" max="3" width="41.26953125" customWidth="1"/>
    <col min="8" max="8" width="25.1328125" customWidth="1"/>
    <col min="10" max="10" width="12" bestFit="1" customWidth="1"/>
  </cols>
  <sheetData>
    <row r="1" spans="1:18">
      <c r="A1" t="s">
        <v>603</v>
      </c>
    </row>
    <row r="2" spans="1:18">
      <c r="I2" t="s">
        <v>645</v>
      </c>
      <c r="J2" t="s">
        <v>646</v>
      </c>
    </row>
    <row r="3" spans="1:18">
      <c r="A3" t="s">
        <v>604</v>
      </c>
      <c r="B3">
        <v>2019</v>
      </c>
      <c r="C3">
        <v>2020</v>
      </c>
      <c r="D3">
        <v>2021</v>
      </c>
      <c r="H3" t="s">
        <v>643</v>
      </c>
      <c r="I3">
        <f>D18</f>
        <v>8</v>
      </c>
      <c r="J3">
        <f>I3*10^12/L10</f>
        <v>107793479781726.61</v>
      </c>
    </row>
    <row r="4" spans="1:18">
      <c r="A4" s="1" t="s">
        <v>605</v>
      </c>
      <c r="B4" s="55">
        <v>1087</v>
      </c>
      <c r="C4">
        <v>937</v>
      </c>
      <c r="D4" s="55">
        <v>1029</v>
      </c>
      <c r="H4" t="s">
        <v>644</v>
      </c>
      <c r="I4">
        <f>D29</f>
        <v>24</v>
      </c>
      <c r="J4">
        <f>I4*10^12/P10</f>
        <v>318772975028520.69</v>
      </c>
    </row>
    <row r="5" spans="1:18">
      <c r="A5" t="s">
        <v>606</v>
      </c>
      <c r="B5">
        <v>380</v>
      </c>
      <c r="C5">
        <v>328</v>
      </c>
      <c r="D5">
        <v>361</v>
      </c>
    </row>
    <row r="6" spans="1:18">
      <c r="A6" t="s">
        <v>607</v>
      </c>
      <c r="B6">
        <v>659</v>
      </c>
      <c r="C6">
        <v>566</v>
      </c>
      <c r="D6">
        <v>620</v>
      </c>
    </row>
    <row r="7" spans="1:18">
      <c r="A7" t="s">
        <v>608</v>
      </c>
      <c r="B7">
        <v>27</v>
      </c>
      <c r="C7">
        <v>24</v>
      </c>
      <c r="D7">
        <v>27</v>
      </c>
    </row>
    <row r="8" spans="1:18">
      <c r="A8" t="s">
        <v>609</v>
      </c>
      <c r="B8">
        <v>3</v>
      </c>
      <c r="C8">
        <v>3</v>
      </c>
      <c r="D8">
        <v>3</v>
      </c>
    </row>
    <row r="9" spans="1:18">
      <c r="A9" t="s">
        <v>610</v>
      </c>
      <c r="B9">
        <v>7</v>
      </c>
      <c r="C9">
        <v>7</v>
      </c>
      <c r="D9">
        <v>7</v>
      </c>
      <c r="H9" t="s">
        <v>647</v>
      </c>
      <c r="I9" t="s">
        <v>15</v>
      </c>
      <c r="J9" t="s">
        <v>16</v>
      </c>
      <c r="K9" t="s">
        <v>17</v>
      </c>
      <c r="L9" t="s">
        <v>18</v>
      </c>
      <c r="M9" t="s">
        <v>19</v>
      </c>
      <c r="N9" t="s">
        <v>21</v>
      </c>
      <c r="O9" t="s">
        <v>20</v>
      </c>
      <c r="P9" t="s">
        <v>82</v>
      </c>
      <c r="Q9" t="s">
        <v>83</v>
      </c>
      <c r="R9" t="s">
        <v>84</v>
      </c>
    </row>
    <row r="10" spans="1:18">
      <c r="A10" t="s">
        <v>611</v>
      </c>
      <c r="B10">
        <v>11</v>
      </c>
      <c r="C10">
        <v>10</v>
      </c>
      <c r="D10">
        <v>11</v>
      </c>
      <c r="H10" t="s">
        <v>648</v>
      </c>
      <c r="I10">
        <v>0</v>
      </c>
      <c r="J10">
        <v>5.2751937984496129E-2</v>
      </c>
      <c r="K10">
        <v>7.2920703974688528E-2</v>
      </c>
      <c r="L10">
        <v>7.4215991692627201E-2</v>
      </c>
      <c r="M10">
        <v>0</v>
      </c>
      <c r="N10">
        <v>0</v>
      </c>
      <c r="O10">
        <v>0</v>
      </c>
      <c r="P10">
        <v>7.5288690949578504E-2</v>
      </c>
      <c r="Q10">
        <v>6.7030064624894622E-2</v>
      </c>
      <c r="R10">
        <v>0</v>
      </c>
    </row>
    <row r="11" spans="1:18">
      <c r="A11" s="1" t="s">
        <v>612</v>
      </c>
      <c r="B11">
        <v>484</v>
      </c>
      <c r="C11">
        <v>455</v>
      </c>
      <c r="D11">
        <v>488</v>
      </c>
      <c r="H11" t="s">
        <v>649</v>
      </c>
      <c r="I11">
        <v>0</v>
      </c>
      <c r="J11">
        <v>7.2129997244481045E-5</v>
      </c>
      <c r="K11">
        <v>5.1729790668657905E-5</v>
      </c>
      <c r="L11">
        <v>3.5472529647984354E-5</v>
      </c>
      <c r="M11">
        <v>1.8952017309920747E-5</v>
      </c>
      <c r="N11">
        <v>3.5472529647984354E-5</v>
      </c>
      <c r="O11">
        <v>0</v>
      </c>
      <c r="P11">
        <v>3.5472529647984354E-5</v>
      </c>
      <c r="Q11">
        <v>7.4260856133811235E-5</v>
      </c>
      <c r="R11">
        <v>0</v>
      </c>
    </row>
    <row r="12" spans="1:18">
      <c r="A12" t="s">
        <v>606</v>
      </c>
      <c r="B12">
        <v>3</v>
      </c>
      <c r="C12">
        <v>3</v>
      </c>
      <c r="D12">
        <v>3</v>
      </c>
      <c r="H12" t="s">
        <v>650</v>
      </c>
      <c r="I12">
        <v>0</v>
      </c>
      <c r="J12">
        <v>8.1959997354104109E-5</v>
      </c>
      <c r="K12">
        <v>5.8541765656290731E-4</v>
      </c>
      <c r="L12">
        <v>7.9898018886840415E-5</v>
      </c>
      <c r="M12">
        <v>1.8247772938213255E-4</v>
      </c>
      <c r="N12">
        <v>7.9898018886840415E-5</v>
      </c>
      <c r="O12">
        <v>0</v>
      </c>
      <c r="P12">
        <v>7.9898018886840415E-5</v>
      </c>
      <c r="Q12">
        <v>8.4381253358586136E-5</v>
      </c>
      <c r="R12">
        <v>0</v>
      </c>
    </row>
    <row r="13" spans="1:18">
      <c r="A13" t="s">
        <v>607</v>
      </c>
      <c r="B13">
        <v>31</v>
      </c>
      <c r="C13">
        <v>30</v>
      </c>
      <c r="D13">
        <v>33</v>
      </c>
      <c r="H13" t="s">
        <v>651</v>
      </c>
      <c r="I13">
        <v>0</v>
      </c>
      <c r="J13">
        <v>1.8822699699274582E-3</v>
      </c>
      <c r="K13">
        <v>2.5993406587307788E-5</v>
      </c>
      <c r="L13">
        <v>6.9268706818346787E-4</v>
      </c>
      <c r="M13">
        <v>8.1079829774583076E-4</v>
      </c>
      <c r="N13">
        <v>6.9268706818346787E-4</v>
      </c>
      <c r="O13">
        <v>0</v>
      </c>
      <c r="P13">
        <v>6.9268706818346787E-4</v>
      </c>
      <c r="Q13">
        <v>1.9378758461337836E-3</v>
      </c>
      <c r="R13">
        <v>3.0853057030892032E-3</v>
      </c>
    </row>
    <row r="14" spans="1:18">
      <c r="A14" t="s">
        <v>608</v>
      </c>
      <c r="B14">
        <v>373</v>
      </c>
      <c r="C14">
        <v>353</v>
      </c>
      <c r="D14">
        <v>380</v>
      </c>
      <c r="H14" t="s">
        <v>652</v>
      </c>
      <c r="I14">
        <v>0</v>
      </c>
      <c r="J14">
        <v>1.6357517590208906E-5</v>
      </c>
      <c r="K14">
        <v>5.0684199129140162E-6</v>
      </c>
      <c r="L14">
        <v>2.8736272798149454E-5</v>
      </c>
      <c r="M14">
        <v>2.6644615879539754E-5</v>
      </c>
      <c r="N14">
        <v>2.8736272798149454E-5</v>
      </c>
      <c r="O14">
        <v>0</v>
      </c>
      <c r="P14">
        <v>2.8736272798149454E-5</v>
      </c>
      <c r="Q14">
        <v>1.6840750130012425E-5</v>
      </c>
      <c r="R14">
        <v>0</v>
      </c>
    </row>
    <row r="15" spans="1:18">
      <c r="A15" t="s">
        <v>609</v>
      </c>
      <c r="B15">
        <v>21</v>
      </c>
      <c r="C15">
        <v>20</v>
      </c>
      <c r="D15">
        <v>21</v>
      </c>
      <c r="H15" t="s">
        <v>653</v>
      </c>
      <c r="I15">
        <v>0</v>
      </c>
      <c r="J15">
        <v>1.5052176525077236E-5</v>
      </c>
      <c r="K15">
        <v>2.0316872030537864E-6</v>
      </c>
      <c r="L15">
        <v>2.6671624801661308E-5</v>
      </c>
      <c r="M15">
        <v>2.5845465109392136E-5</v>
      </c>
      <c r="N15">
        <v>2.6671624801661308E-5</v>
      </c>
      <c r="O15">
        <v>0</v>
      </c>
      <c r="P15">
        <v>2.6671624801661308E-5</v>
      </c>
      <c r="Q15">
        <v>1.5496846778474232E-5</v>
      </c>
      <c r="R15">
        <v>0</v>
      </c>
    </row>
    <row r="16" spans="1:18">
      <c r="A16" t="s">
        <v>613</v>
      </c>
      <c r="B16">
        <v>36</v>
      </c>
      <c r="C16">
        <v>31</v>
      </c>
      <c r="D16">
        <v>32</v>
      </c>
      <c r="H16" t="s">
        <v>654</v>
      </c>
      <c r="I16">
        <v>0</v>
      </c>
      <c r="J16">
        <v>2.4242424242424244E-7</v>
      </c>
      <c r="K16">
        <v>4.2501798364698814E-7</v>
      </c>
      <c r="L16">
        <v>1.4983881920767892E-4</v>
      </c>
      <c r="M16">
        <v>0</v>
      </c>
      <c r="N16">
        <v>1.4983881920767892E-4</v>
      </c>
      <c r="O16">
        <v>0</v>
      </c>
      <c r="P16">
        <v>1.4983881920767892E-4</v>
      </c>
      <c r="Q16">
        <v>0</v>
      </c>
      <c r="R16">
        <v>0</v>
      </c>
    </row>
    <row r="17" spans="1:18">
      <c r="A17" t="s">
        <v>611</v>
      </c>
      <c r="B17">
        <v>3</v>
      </c>
      <c r="C17">
        <v>3</v>
      </c>
      <c r="D17">
        <v>3</v>
      </c>
      <c r="H17" t="s">
        <v>655</v>
      </c>
      <c r="I17">
        <v>0</v>
      </c>
      <c r="J17">
        <v>2.2578264787615855E-6</v>
      </c>
      <c r="K17">
        <v>3.7646612624912489E-7</v>
      </c>
      <c r="L17">
        <v>8.5008187908751178E-6</v>
      </c>
      <c r="M17">
        <v>3.8768197664088202E-6</v>
      </c>
      <c r="N17">
        <v>8.5008187908751178E-6</v>
      </c>
      <c r="O17">
        <v>0</v>
      </c>
      <c r="P17">
        <v>8.5008187908751178E-6</v>
      </c>
      <c r="Q17">
        <v>2.3245270167711351E-6</v>
      </c>
      <c r="R17">
        <v>0</v>
      </c>
    </row>
    <row r="18" spans="1:18">
      <c r="A18" t="s">
        <v>614</v>
      </c>
      <c r="B18">
        <v>7</v>
      </c>
      <c r="C18">
        <v>8</v>
      </c>
      <c r="D18">
        <v>8</v>
      </c>
      <c r="H18" t="s">
        <v>656</v>
      </c>
      <c r="I18">
        <v>0</v>
      </c>
      <c r="J18">
        <v>5.8703488447801225E-6</v>
      </c>
      <c r="K18">
        <v>7.1158701917372055E-7</v>
      </c>
      <c r="L18">
        <v>8.9907736283645444E-6</v>
      </c>
      <c r="M18">
        <v>1.0079731392662933E-5</v>
      </c>
      <c r="N18">
        <v>8.9907736283645444E-6</v>
      </c>
      <c r="O18">
        <v>0</v>
      </c>
      <c r="P18">
        <v>8.9907736283645444E-6</v>
      </c>
      <c r="Q18">
        <v>6.0437702436049511E-6</v>
      </c>
      <c r="R18">
        <v>0</v>
      </c>
    </row>
    <row r="19" spans="1:18">
      <c r="A19" t="s">
        <v>615</v>
      </c>
      <c r="B19">
        <v>10</v>
      </c>
      <c r="C19">
        <v>8</v>
      </c>
      <c r="D19">
        <v>7</v>
      </c>
      <c r="H19" t="s">
        <v>657</v>
      </c>
      <c r="I19">
        <v>0</v>
      </c>
      <c r="J19">
        <v>9.9999999999999995E-7</v>
      </c>
      <c r="K19">
        <v>3.0000000000000001E-6</v>
      </c>
      <c r="L19">
        <v>3.0000000000000001E-6</v>
      </c>
      <c r="M19">
        <v>0</v>
      </c>
      <c r="N19">
        <v>0</v>
      </c>
      <c r="O19">
        <v>0</v>
      </c>
      <c r="P19">
        <v>3.0000000000000001E-6</v>
      </c>
      <c r="Q19">
        <v>3.0000000000000001E-6</v>
      </c>
      <c r="R19">
        <v>0</v>
      </c>
    </row>
    <row r="20" spans="1:18">
      <c r="A20" s="1" t="s">
        <v>104</v>
      </c>
      <c r="B20">
        <v>259</v>
      </c>
      <c r="C20">
        <v>160</v>
      </c>
      <c r="D20">
        <v>203</v>
      </c>
      <c r="H20" t="s">
        <v>658</v>
      </c>
      <c r="I20">
        <v>0</v>
      </c>
      <c r="J20">
        <v>1.0000000000000001E-7</v>
      </c>
      <c r="K20">
        <v>5.9999999999999997E-7</v>
      </c>
      <c r="L20">
        <v>5.9999999999999997E-7</v>
      </c>
      <c r="M20">
        <v>0</v>
      </c>
      <c r="N20">
        <v>0</v>
      </c>
      <c r="O20">
        <v>0</v>
      </c>
      <c r="P20">
        <v>5.9999999999999997E-7</v>
      </c>
      <c r="Q20">
        <v>5.9999999999999997E-7</v>
      </c>
      <c r="R20">
        <v>0</v>
      </c>
    </row>
    <row r="21" spans="1:18">
      <c r="A21" t="s">
        <v>616</v>
      </c>
      <c r="B21">
        <v>137</v>
      </c>
      <c r="C21">
        <v>91</v>
      </c>
      <c r="D21">
        <v>119</v>
      </c>
      <c r="H21" t="s">
        <v>659</v>
      </c>
      <c r="I21">
        <v>0</v>
      </c>
      <c r="J21">
        <v>0</v>
      </c>
      <c r="K21">
        <v>0</v>
      </c>
      <c r="L21">
        <v>0</v>
      </c>
      <c r="M21">
        <v>0</v>
      </c>
      <c r="N21">
        <v>0</v>
      </c>
      <c r="O21">
        <v>0</v>
      </c>
      <c r="P21">
        <v>0</v>
      </c>
      <c r="Q21">
        <v>0</v>
      </c>
      <c r="R21">
        <v>0</v>
      </c>
    </row>
    <row r="22" spans="1:18">
      <c r="A22" t="s">
        <v>617</v>
      </c>
      <c r="B22">
        <v>12</v>
      </c>
      <c r="C22">
        <v>12</v>
      </c>
      <c r="D22">
        <v>13</v>
      </c>
    </row>
    <row r="23" spans="1:18">
      <c r="A23" t="s">
        <v>618</v>
      </c>
      <c r="B23">
        <v>31</v>
      </c>
      <c r="C23">
        <v>18</v>
      </c>
      <c r="D23">
        <v>21</v>
      </c>
    </row>
    <row r="24" spans="1:18">
      <c r="A24" t="s">
        <v>615</v>
      </c>
      <c r="B24">
        <v>78</v>
      </c>
      <c r="C24">
        <v>40</v>
      </c>
      <c r="D24">
        <v>51</v>
      </c>
    </row>
    <row r="25" spans="1:18">
      <c r="A25" t="s">
        <v>619</v>
      </c>
      <c r="B25">
        <v>75</v>
      </c>
      <c r="C25">
        <v>37</v>
      </c>
      <c r="D25">
        <v>48</v>
      </c>
    </row>
    <row r="26" spans="1:18">
      <c r="A26" s="1" t="s">
        <v>105</v>
      </c>
      <c r="B26">
        <v>2</v>
      </c>
      <c r="C26">
        <v>1</v>
      </c>
      <c r="D26">
        <v>1</v>
      </c>
    </row>
    <row r="27" spans="1:18">
      <c r="A27" t="s">
        <v>618</v>
      </c>
      <c r="B27">
        <v>2</v>
      </c>
      <c r="C27">
        <v>1</v>
      </c>
      <c r="D27">
        <v>1</v>
      </c>
    </row>
    <row r="28" spans="1:18">
      <c r="A28" s="1" t="s">
        <v>100</v>
      </c>
      <c r="B28">
        <v>40</v>
      </c>
      <c r="C28">
        <v>29</v>
      </c>
      <c r="D28">
        <v>46</v>
      </c>
    </row>
    <row r="29" spans="1:18">
      <c r="A29" t="s">
        <v>620</v>
      </c>
      <c r="B29">
        <v>14</v>
      </c>
      <c r="C29">
        <v>7</v>
      </c>
      <c r="D29">
        <v>24</v>
      </c>
    </row>
    <row r="30" spans="1:18">
      <c r="A30" t="s">
        <v>615</v>
      </c>
      <c r="B30">
        <v>25</v>
      </c>
      <c r="C30">
        <v>22</v>
      </c>
      <c r="D30">
        <v>22</v>
      </c>
    </row>
    <row r="31" spans="1:18">
      <c r="A31" s="1" t="s">
        <v>621</v>
      </c>
      <c r="B31">
        <v>59</v>
      </c>
      <c r="C31">
        <v>59</v>
      </c>
      <c r="D31">
        <v>65</v>
      </c>
    </row>
    <row r="32" spans="1:18">
      <c r="A32" t="s">
        <v>606</v>
      </c>
      <c r="B32">
        <v>0</v>
      </c>
      <c r="C32">
        <v>0</v>
      </c>
      <c r="D32">
        <v>0</v>
      </c>
    </row>
    <row r="33" spans="1:4">
      <c r="A33" t="s">
        <v>607</v>
      </c>
      <c r="B33">
        <v>0</v>
      </c>
      <c r="C33">
        <v>0</v>
      </c>
      <c r="D33">
        <v>0</v>
      </c>
    </row>
    <row r="34" spans="1:4">
      <c r="A34" t="s">
        <v>622</v>
      </c>
      <c r="B34">
        <v>0</v>
      </c>
      <c r="C34">
        <v>0</v>
      </c>
      <c r="D34">
        <v>0</v>
      </c>
    </row>
    <row r="35" spans="1:4">
      <c r="A35" t="s">
        <v>609</v>
      </c>
      <c r="B35">
        <v>1</v>
      </c>
      <c r="C35">
        <v>1</v>
      </c>
      <c r="D35">
        <v>1</v>
      </c>
    </row>
    <row r="36" spans="1:4">
      <c r="A36" t="s">
        <v>623</v>
      </c>
      <c r="B36">
        <v>58</v>
      </c>
      <c r="C36">
        <v>58</v>
      </c>
      <c r="D36">
        <v>64</v>
      </c>
    </row>
    <row r="37" spans="1:4">
      <c r="A37" s="1" t="s">
        <v>624</v>
      </c>
      <c r="B37">
        <v>1</v>
      </c>
      <c r="C37">
        <v>0</v>
      </c>
      <c r="D37">
        <v>0</v>
      </c>
    </row>
    <row r="38" spans="1:4">
      <c r="A38" t="s">
        <v>606</v>
      </c>
      <c r="B38">
        <v>0</v>
      </c>
      <c r="C38">
        <v>0</v>
      </c>
      <c r="D38">
        <v>0</v>
      </c>
    </row>
    <row r="39" spans="1:4">
      <c r="A39" t="s">
        <v>607</v>
      </c>
      <c r="B39">
        <v>0</v>
      </c>
      <c r="C39">
        <v>0</v>
      </c>
      <c r="D39">
        <v>0</v>
      </c>
    </row>
    <row r="40" spans="1:4">
      <c r="A40" t="s">
        <v>608</v>
      </c>
      <c r="B40">
        <v>0</v>
      </c>
      <c r="C40">
        <v>0</v>
      </c>
      <c r="D40">
        <v>0</v>
      </c>
    </row>
    <row r="41" spans="1:4">
      <c r="A41" t="s">
        <v>609</v>
      </c>
      <c r="B41">
        <v>0</v>
      </c>
      <c r="C41">
        <v>0</v>
      </c>
      <c r="D41">
        <v>0</v>
      </c>
    </row>
    <row r="42" spans="1:4">
      <c r="A42" s="1" t="s">
        <v>625</v>
      </c>
      <c r="B42">
        <v>5</v>
      </c>
      <c r="C42">
        <v>4</v>
      </c>
      <c r="D42">
        <v>5</v>
      </c>
    </row>
    <row r="43" spans="1:4">
      <c r="A43" t="s">
        <v>606</v>
      </c>
      <c r="B43">
        <v>1</v>
      </c>
      <c r="C43">
        <v>1</v>
      </c>
      <c r="D43">
        <v>2</v>
      </c>
    </row>
    <row r="44" spans="1:4">
      <c r="A44" t="s">
        <v>607</v>
      </c>
      <c r="B44">
        <v>0</v>
      </c>
      <c r="C44">
        <v>0</v>
      </c>
      <c r="D44">
        <v>1</v>
      </c>
    </row>
    <row r="45" spans="1:4">
      <c r="A45" t="s">
        <v>609</v>
      </c>
      <c r="B45">
        <v>0</v>
      </c>
      <c r="C45">
        <v>0</v>
      </c>
      <c r="D45">
        <v>0</v>
      </c>
    </row>
    <row r="46" spans="1:4">
      <c r="A46" t="s">
        <v>613</v>
      </c>
      <c r="B46">
        <v>3</v>
      </c>
      <c r="C46">
        <v>2</v>
      </c>
      <c r="D46">
        <v>2</v>
      </c>
    </row>
    <row r="47" spans="1:4">
      <c r="A47" t="s">
        <v>626</v>
      </c>
      <c r="B47">
        <v>78.7</v>
      </c>
      <c r="C47">
        <v>68.099999999999994</v>
      </c>
      <c r="D47" s="55">
        <v>75.400000000000006</v>
      </c>
    </row>
    <row r="48" spans="1:4">
      <c r="A48" t="s">
        <v>627</v>
      </c>
      <c r="B48">
        <v>114</v>
      </c>
      <c r="C48">
        <v>70</v>
      </c>
      <c r="D48">
        <v>80</v>
      </c>
    </row>
    <row r="49" spans="1:4">
      <c r="A49" t="s">
        <v>628</v>
      </c>
      <c r="B49">
        <v>78.7</v>
      </c>
      <c r="C49">
        <v>68.099999999999994</v>
      </c>
      <c r="D49">
        <v>75.400000000000006</v>
      </c>
    </row>
    <row r="50" spans="1:4">
      <c r="A50" t="s">
        <v>629</v>
      </c>
      <c r="B50">
        <v>17.100000000000001</v>
      </c>
      <c r="C50">
        <v>17.7</v>
      </c>
      <c r="D50">
        <v>16.100000000000001</v>
      </c>
    </row>
    <row r="51" spans="1:4">
      <c r="A51" t="s">
        <v>630</v>
      </c>
    </row>
    <row r="52" spans="1:4">
      <c r="A52" t="s">
        <v>631</v>
      </c>
    </row>
    <row r="53" spans="1:4">
      <c r="A53" t="s">
        <v>632</v>
      </c>
    </row>
    <row r="54" spans="1:4">
      <c r="A54" t="s">
        <v>633</v>
      </c>
    </row>
    <row r="55" spans="1:4">
      <c r="A55" t="s">
        <v>634</v>
      </c>
    </row>
    <row r="56" spans="1:4">
      <c r="A56" t="s">
        <v>635</v>
      </c>
    </row>
    <row r="57" spans="1:4">
      <c r="A57" t="s">
        <v>636</v>
      </c>
    </row>
    <row r="58" spans="1:4">
      <c r="A58" t="s">
        <v>637</v>
      </c>
    </row>
    <row r="59" spans="1:4">
      <c r="A59" t="s">
        <v>638</v>
      </c>
    </row>
    <row r="60" spans="1:4">
      <c r="A60" t="s">
        <v>639</v>
      </c>
    </row>
    <row r="61" spans="1:4">
      <c r="A61" t="s">
        <v>640</v>
      </c>
    </row>
    <row r="62" spans="1:4">
      <c r="A62" t="s">
        <v>641</v>
      </c>
    </row>
    <row r="63" spans="1:4">
      <c r="A63" t="s">
        <v>642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
  <sheetViews>
    <sheetView workbookViewId="0">
      <selection activeCell="L34" sqref="L34"/>
    </sheetView>
  </sheetViews>
  <sheetFormatPr defaultRowHeight="14.75"/>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E11"/>
  <sheetViews>
    <sheetView topLeftCell="C1" workbookViewId="0">
      <selection activeCell="B1" sqref="B1:AE1"/>
    </sheetView>
  </sheetViews>
  <sheetFormatPr defaultRowHeight="14.75"/>
  <cols>
    <col min="1" max="1" width="25.132812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E11"/>
  <sheetViews>
    <sheetView workbookViewId="0">
      <selection activeCell="E20" sqref="E20"/>
    </sheetView>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workbookViewId="0"/>
  </sheetViews>
  <sheetFormatPr defaultRowHeight="14.75"/>
  <cols>
    <col min="1" max="1" width="22.54296875" customWidth="1"/>
  </cols>
  <sheetData>
    <row r="1" spans="1:35"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s="2">
        <f t="shared" ref="B4:AE4" si="0">1-B6</f>
        <v>0.92710534558203916</v>
      </c>
      <c r="C4" s="2">
        <f t="shared" si="0"/>
        <v>0.92710534558203916</v>
      </c>
      <c r="D4" s="2">
        <f t="shared" si="0"/>
        <v>0.92710534558203916</v>
      </c>
      <c r="E4" s="2">
        <f t="shared" si="0"/>
        <v>0.92710534558203916</v>
      </c>
      <c r="F4" s="2">
        <f t="shared" si="0"/>
        <v>0.92710534558203916</v>
      </c>
      <c r="G4" s="2">
        <f t="shared" si="0"/>
        <v>0.92710534558203916</v>
      </c>
      <c r="H4" s="2">
        <f t="shared" si="0"/>
        <v>0.92710534558203916</v>
      </c>
      <c r="I4" s="2">
        <f t="shared" si="0"/>
        <v>0.92710534558203916</v>
      </c>
      <c r="J4" s="2">
        <f t="shared" si="0"/>
        <v>0.92710534558203916</v>
      </c>
      <c r="K4" s="2">
        <f t="shared" si="0"/>
        <v>0.92710534558203916</v>
      </c>
      <c r="L4" s="2">
        <f t="shared" si="0"/>
        <v>0.92710534558203916</v>
      </c>
      <c r="M4" s="2">
        <f t="shared" si="0"/>
        <v>0.92710534558203916</v>
      </c>
      <c r="N4" s="2">
        <f t="shared" si="0"/>
        <v>0.92710534558203916</v>
      </c>
      <c r="O4" s="2">
        <f t="shared" si="0"/>
        <v>0.92710534558203916</v>
      </c>
      <c r="P4" s="2">
        <f t="shared" si="0"/>
        <v>0.92710534558203916</v>
      </c>
      <c r="Q4" s="2">
        <f t="shared" si="0"/>
        <v>0.92710534558203916</v>
      </c>
      <c r="R4" s="2">
        <f t="shared" si="0"/>
        <v>0.92710534558203916</v>
      </c>
      <c r="S4" s="2">
        <f t="shared" si="0"/>
        <v>0.92710534558203916</v>
      </c>
      <c r="T4" s="2">
        <f t="shared" si="0"/>
        <v>0.92710534558203916</v>
      </c>
      <c r="U4" s="2">
        <f t="shared" si="0"/>
        <v>0.92710534558203916</v>
      </c>
      <c r="V4" s="2">
        <f t="shared" si="0"/>
        <v>0.92710534558203916</v>
      </c>
      <c r="W4" s="2">
        <f t="shared" si="0"/>
        <v>0.92710534558203916</v>
      </c>
      <c r="X4" s="2">
        <f t="shared" si="0"/>
        <v>0.92710534558203916</v>
      </c>
      <c r="Y4" s="2">
        <f t="shared" si="0"/>
        <v>0.92710534558203916</v>
      </c>
      <c r="Z4" s="2">
        <f t="shared" si="0"/>
        <v>0.92710534558203916</v>
      </c>
      <c r="AA4" s="2">
        <f t="shared" si="0"/>
        <v>0.92710534558203916</v>
      </c>
      <c r="AB4" s="2">
        <f t="shared" si="0"/>
        <v>0.92710534558203916</v>
      </c>
      <c r="AC4" s="2">
        <f t="shared" si="0"/>
        <v>0.92710534558203916</v>
      </c>
      <c r="AD4" s="2">
        <f t="shared" si="0"/>
        <v>0.92710534558203916</v>
      </c>
      <c r="AE4" s="2">
        <f t="shared" si="0"/>
        <v>0.92710534558203916</v>
      </c>
      <c r="AF4" s="2"/>
      <c r="AG4" s="2"/>
      <c r="AH4" s="2"/>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s="2">
        <f>'ethanol content'!J3</f>
        <v>7.2894654417960836E-2</v>
      </c>
      <c r="C6" s="2">
        <f>$B$6</f>
        <v>7.2894654417960836E-2</v>
      </c>
      <c r="D6" s="2">
        <f t="shared" ref="D6:AE6" si="1">$B$6</f>
        <v>7.2894654417960836E-2</v>
      </c>
      <c r="E6" s="2">
        <f t="shared" si="1"/>
        <v>7.2894654417960836E-2</v>
      </c>
      <c r="F6" s="2">
        <f t="shared" si="1"/>
        <v>7.2894654417960836E-2</v>
      </c>
      <c r="G6" s="2">
        <f t="shared" si="1"/>
        <v>7.2894654417960836E-2</v>
      </c>
      <c r="H6" s="2">
        <f t="shared" si="1"/>
        <v>7.2894654417960836E-2</v>
      </c>
      <c r="I6" s="2">
        <f t="shared" si="1"/>
        <v>7.2894654417960836E-2</v>
      </c>
      <c r="J6" s="2">
        <f t="shared" si="1"/>
        <v>7.2894654417960836E-2</v>
      </c>
      <c r="K6" s="2">
        <f t="shared" si="1"/>
        <v>7.2894654417960836E-2</v>
      </c>
      <c r="L6" s="2">
        <f t="shared" si="1"/>
        <v>7.2894654417960836E-2</v>
      </c>
      <c r="M6" s="2">
        <f t="shared" si="1"/>
        <v>7.2894654417960836E-2</v>
      </c>
      <c r="N6" s="2">
        <f t="shared" si="1"/>
        <v>7.2894654417960836E-2</v>
      </c>
      <c r="O6" s="2">
        <f t="shared" si="1"/>
        <v>7.2894654417960836E-2</v>
      </c>
      <c r="P6" s="2">
        <f t="shared" si="1"/>
        <v>7.2894654417960836E-2</v>
      </c>
      <c r="Q6" s="2">
        <f t="shared" si="1"/>
        <v>7.2894654417960836E-2</v>
      </c>
      <c r="R6" s="2">
        <f t="shared" si="1"/>
        <v>7.2894654417960836E-2</v>
      </c>
      <c r="S6" s="2">
        <f t="shared" si="1"/>
        <v>7.2894654417960836E-2</v>
      </c>
      <c r="T6" s="2">
        <f t="shared" si="1"/>
        <v>7.2894654417960836E-2</v>
      </c>
      <c r="U6" s="2">
        <f t="shared" si="1"/>
        <v>7.2894654417960836E-2</v>
      </c>
      <c r="V6" s="2">
        <f t="shared" si="1"/>
        <v>7.2894654417960836E-2</v>
      </c>
      <c r="W6" s="2">
        <f t="shared" si="1"/>
        <v>7.2894654417960836E-2</v>
      </c>
      <c r="X6" s="2">
        <f t="shared" si="1"/>
        <v>7.2894654417960836E-2</v>
      </c>
      <c r="Y6" s="2">
        <f t="shared" si="1"/>
        <v>7.2894654417960836E-2</v>
      </c>
      <c r="Z6" s="2">
        <f t="shared" si="1"/>
        <v>7.2894654417960836E-2</v>
      </c>
      <c r="AA6" s="2">
        <f t="shared" si="1"/>
        <v>7.2894654417960836E-2</v>
      </c>
      <c r="AB6" s="2">
        <f t="shared" si="1"/>
        <v>7.2894654417960836E-2</v>
      </c>
      <c r="AC6" s="2">
        <f t="shared" si="1"/>
        <v>7.2894654417960836E-2</v>
      </c>
      <c r="AD6" s="2">
        <f t="shared" si="1"/>
        <v>7.2894654417960836E-2</v>
      </c>
      <c r="AE6" s="2">
        <f t="shared" si="1"/>
        <v>7.2894654417960836E-2</v>
      </c>
      <c r="AF6" s="2"/>
      <c r="AG6" s="2"/>
      <c r="AH6" s="2"/>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C11"/>
  <sheetViews>
    <sheetView workbookViewId="0">
      <selection activeCell="A4" sqref="A4"/>
    </sheetView>
  </sheetViews>
  <sheetFormatPr defaultRowHeight="14.75"/>
  <cols>
    <col min="1" max="1" width="22.54296875" customWidth="1"/>
  </cols>
  <sheetData>
    <row r="1" spans="1:29" ht="29.5">
      <c r="A1" s="10" t="s">
        <v>85</v>
      </c>
      <c r="B1">
        <f>'Biodiesel Fraction'!D6</f>
        <v>2023</v>
      </c>
      <c r="C1">
        <f>'Biodiesel Fraction'!E6</f>
        <v>2024</v>
      </c>
      <c r="D1">
        <f>'Biodiesel Fraction'!F6</f>
        <v>2025</v>
      </c>
      <c r="E1">
        <f>'Biodiesel Fraction'!G6</f>
        <v>2026</v>
      </c>
      <c r="F1">
        <f>'Biodiesel Fraction'!H6</f>
        <v>2027</v>
      </c>
      <c r="G1">
        <f>'Biodiesel Fraction'!I6</f>
        <v>2028</v>
      </c>
      <c r="H1">
        <f>'Biodiesel Fraction'!J6</f>
        <v>2029</v>
      </c>
      <c r="I1">
        <f>'Biodiesel Fraction'!K6</f>
        <v>2030</v>
      </c>
      <c r="J1">
        <f>'Biodiesel Fraction'!L6</f>
        <v>2031</v>
      </c>
      <c r="K1">
        <f>'Biodiesel Fraction'!M6</f>
        <v>2032</v>
      </c>
      <c r="L1">
        <f>'Biodiesel Fraction'!N6</f>
        <v>2033</v>
      </c>
      <c r="M1">
        <f>'Biodiesel Fraction'!O6</f>
        <v>2034</v>
      </c>
      <c r="N1">
        <f>'Biodiesel Fraction'!P6</f>
        <v>2035</v>
      </c>
      <c r="O1">
        <f>'Biodiesel Fraction'!Q6</f>
        <v>2036</v>
      </c>
      <c r="P1">
        <f>'Biodiesel Fraction'!R6</f>
        <v>2037</v>
      </c>
      <c r="Q1">
        <f>'Biodiesel Fraction'!S6</f>
        <v>2038</v>
      </c>
      <c r="R1">
        <f>'Biodiesel Fraction'!T6</f>
        <v>2039</v>
      </c>
      <c r="S1">
        <f>'Biodiesel Fraction'!U6</f>
        <v>2040</v>
      </c>
      <c r="T1">
        <f>'Biodiesel Fraction'!V6</f>
        <v>2041</v>
      </c>
      <c r="U1">
        <f>'Biodiesel Fraction'!W6</f>
        <v>2042</v>
      </c>
      <c r="V1">
        <f>'Biodiesel Fraction'!X6</f>
        <v>2043</v>
      </c>
      <c r="W1">
        <f>'Biodiesel Fraction'!Y6</f>
        <v>2044</v>
      </c>
      <c r="X1">
        <f>'Biodiesel Fraction'!Z6</f>
        <v>2045</v>
      </c>
      <c r="Y1">
        <f>'Biodiesel Fraction'!AA6</f>
        <v>2046</v>
      </c>
      <c r="Z1">
        <f>'Biodiesel Fraction'!AB6</f>
        <v>2047</v>
      </c>
      <c r="AA1">
        <f>'Biodiesel Fraction'!AC6</f>
        <v>2048</v>
      </c>
      <c r="AB1">
        <f>'Biodiesel Fraction'!AD6</f>
        <v>2049</v>
      </c>
      <c r="AC1">
        <f>'Biodiesel Fraction'!AE6</f>
        <v>2050</v>
      </c>
    </row>
    <row r="2" spans="1:29">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18</v>
      </c>
      <c r="B5">
        <f>IF('Biodiesel Fraction'!$B18,1-'Biodiesel Fraction'!B30,1)</f>
        <v>0.96756119768275339</v>
      </c>
      <c r="C5">
        <f>IF('Biodiesel Fraction'!$B18,1-'Biodiesel Fraction'!C30,1)</f>
        <v>0.96041416638410693</v>
      </c>
      <c r="D5">
        <f>IF('Biodiesel Fraction'!$B18,1-'Biodiesel Fraction'!D30,1)</f>
        <v>0.96701182303643263</v>
      </c>
      <c r="E5">
        <f>IF('Biodiesel Fraction'!$B18,1-'Biodiesel Fraction'!E30,1)</f>
        <v>0.96640793844184825</v>
      </c>
      <c r="F5">
        <f>IF('Biodiesel Fraction'!$B18,1-'Biodiesel Fraction'!F30,1)</f>
        <v>0.96812500177766059</v>
      </c>
      <c r="G5">
        <f>IF('Biodiesel Fraction'!$B18,1-'Biodiesel Fraction'!G30,1)</f>
        <v>0.98009198824562427</v>
      </c>
      <c r="H5">
        <f>IF('Biodiesel Fraction'!$B18,1-'Biodiesel Fraction'!H30,1)</f>
        <v>0.97650452180774017</v>
      </c>
      <c r="I5">
        <f>IF('Biodiesel Fraction'!$B18,1-'Biodiesel Fraction'!I30,1)</f>
        <v>0.97528675799062703</v>
      </c>
      <c r="J5">
        <f>IF('Biodiesel Fraction'!$B18,1-'Biodiesel Fraction'!J30,1)</f>
        <v>0.97454250056113867</v>
      </c>
      <c r="K5">
        <f>IF('Biodiesel Fraction'!$B18,1-'Biodiesel Fraction'!K30,1)</f>
        <v>0.97401501182850003</v>
      </c>
      <c r="L5">
        <f>IF('Biodiesel Fraction'!$B18,1-'Biodiesel Fraction'!L30,1)</f>
        <v>0.97258517715476844</v>
      </c>
      <c r="M5">
        <f>IF('Biodiesel Fraction'!$B18,1-'Biodiesel Fraction'!M30,1)</f>
        <v>0.96979508221703403</v>
      </c>
      <c r="N5">
        <f>IF('Biodiesel Fraction'!$B18,1-'Biodiesel Fraction'!N30,1)</f>
        <v>0.96766971774253063</v>
      </c>
      <c r="O5">
        <f>IF('Biodiesel Fraction'!$B18,1-'Biodiesel Fraction'!O30,1)</f>
        <v>0.96759671637630318</v>
      </c>
      <c r="P5">
        <f>IF('Biodiesel Fraction'!$B18,1-'Biodiesel Fraction'!P30,1)</f>
        <v>0.96572788563008749</v>
      </c>
      <c r="Q5">
        <f>IF('Biodiesel Fraction'!$B18,1-'Biodiesel Fraction'!Q30,1)</f>
        <v>0.96556610352491634</v>
      </c>
      <c r="R5">
        <f>IF('Biodiesel Fraction'!$B18,1-'Biodiesel Fraction'!R30,1)</f>
        <v>0.96573361538170976</v>
      </c>
      <c r="S5">
        <f>IF('Biodiesel Fraction'!$B18,1-'Biodiesel Fraction'!S30,1)</f>
        <v>0.96595948602255566</v>
      </c>
      <c r="T5">
        <f>IF('Biodiesel Fraction'!$B18,1-'Biodiesel Fraction'!T30,1)</f>
        <v>0.9662221978880392</v>
      </c>
      <c r="U5">
        <f>IF('Biodiesel Fraction'!$B18,1-'Biodiesel Fraction'!U30,1)</f>
        <v>0.96655142709382569</v>
      </c>
      <c r="V5">
        <f>IF('Biodiesel Fraction'!$B18,1-'Biodiesel Fraction'!V30,1)</f>
        <v>0.96691298126636527</v>
      </c>
      <c r="W5">
        <f>IF('Biodiesel Fraction'!$B18,1-'Biodiesel Fraction'!W30,1)</f>
        <v>0.96721144133880754</v>
      </c>
      <c r="X5">
        <f>IF('Biodiesel Fraction'!$B18,1-'Biodiesel Fraction'!X30,1)</f>
        <v>0.96767255313167799</v>
      </c>
      <c r="Y5">
        <f>IF('Biodiesel Fraction'!$B18,1-'Biodiesel Fraction'!Y30,1)</f>
        <v>0.96816560444733579</v>
      </c>
      <c r="Z5">
        <f>IF('Biodiesel Fraction'!$B18,1-'Biodiesel Fraction'!Z30,1)</f>
        <v>0.9688055995027004</v>
      </c>
      <c r="AA5">
        <f>IF('Biodiesel Fraction'!$B18,1-'Biodiesel Fraction'!AA30,1)</f>
        <v>0.96948707930314626</v>
      </c>
      <c r="AB5">
        <f>IF('Biodiesel Fraction'!$B18,1-'Biodiesel Fraction'!AB30,1)</f>
        <v>0.97019068153310561</v>
      </c>
      <c r="AC5">
        <f>IF('Biodiesel Fraction'!$B18,1-'Biodiesel Fraction'!AC30,1)</f>
        <v>0.9708979053403729</v>
      </c>
    </row>
    <row r="6" spans="1:29">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21</v>
      </c>
      <c r="B7">
        <f>IF('Biodiesel Fraction'!$B18,'Biodiesel Fraction'!B30,0)</f>
        <v>3.2438802317246634E-2</v>
      </c>
      <c r="C7">
        <f>IF('Biodiesel Fraction'!$B18,'Biodiesel Fraction'!C30,0)</f>
        <v>3.9585833615893101E-2</v>
      </c>
      <c r="D7">
        <f>IF('Biodiesel Fraction'!$B18,'Biodiesel Fraction'!D30,0)</f>
        <v>3.2988176963567352E-2</v>
      </c>
      <c r="E7">
        <f>IF('Biodiesel Fraction'!$B18,'Biodiesel Fraction'!E30,0)</f>
        <v>3.3592061558151781E-2</v>
      </c>
      <c r="F7">
        <f>IF('Biodiesel Fraction'!$B18,'Biodiesel Fraction'!F30,0)</f>
        <v>3.1874998222339357E-2</v>
      </c>
      <c r="G7">
        <f>IF('Biodiesel Fraction'!$B18,'Biodiesel Fraction'!G30,0)</f>
        <v>1.9908011754375773E-2</v>
      </c>
      <c r="H7">
        <f>IF('Biodiesel Fraction'!$B18,'Biodiesel Fraction'!H30,0)</f>
        <v>2.3495478192259833E-2</v>
      </c>
      <c r="I7">
        <f>IF('Biodiesel Fraction'!$B18,'Biodiesel Fraction'!I30,0)</f>
        <v>2.4713242009373016E-2</v>
      </c>
      <c r="J7">
        <f>IF('Biodiesel Fraction'!$B18,'Biodiesel Fraction'!J30,0)</f>
        <v>2.5457499438861282E-2</v>
      </c>
      <c r="K7">
        <f>IF('Biodiesel Fraction'!$B18,'Biodiesel Fraction'!K30,0)</f>
        <v>2.5984988171500023E-2</v>
      </c>
      <c r="L7">
        <f>IF('Biodiesel Fraction'!$B18,'Biodiesel Fraction'!L30,0)</f>
        <v>2.7414822845231571E-2</v>
      </c>
      <c r="M7">
        <f>IF('Biodiesel Fraction'!$B18,'Biodiesel Fraction'!M30,0)</f>
        <v>3.0204917782965933E-2</v>
      </c>
      <c r="N7">
        <f>IF('Biodiesel Fraction'!$B18,'Biodiesel Fraction'!N30,0)</f>
        <v>3.2330282257469367E-2</v>
      </c>
      <c r="O7">
        <f>IF('Biodiesel Fraction'!$B18,'Biodiesel Fraction'!O30,0)</f>
        <v>3.240328362369687E-2</v>
      </c>
      <c r="P7">
        <f>IF('Biodiesel Fraction'!$B18,'Biodiesel Fraction'!P30,0)</f>
        <v>3.4272114369912537E-2</v>
      </c>
      <c r="Q7">
        <f>IF('Biodiesel Fraction'!$B18,'Biodiesel Fraction'!Q30,0)</f>
        <v>3.4433896475083707E-2</v>
      </c>
      <c r="R7">
        <f>IF('Biodiesel Fraction'!$B18,'Biodiesel Fraction'!R30,0)</f>
        <v>3.4266384618290291E-2</v>
      </c>
      <c r="S7">
        <f>IF('Biodiesel Fraction'!$B18,'Biodiesel Fraction'!S30,0)</f>
        <v>3.4040513977444335E-2</v>
      </c>
      <c r="T7">
        <f>IF('Biodiesel Fraction'!$B18,'Biodiesel Fraction'!T30,0)</f>
        <v>3.3777802111960777E-2</v>
      </c>
      <c r="U7">
        <f>IF('Biodiesel Fraction'!$B18,'Biodiesel Fraction'!U30,0)</f>
        <v>3.3448572906174312E-2</v>
      </c>
      <c r="V7">
        <f>IF('Biodiesel Fraction'!$B18,'Biodiesel Fraction'!V30,0)</f>
        <v>3.3087018733634767E-2</v>
      </c>
      <c r="W7">
        <f>IF('Biodiesel Fraction'!$B18,'Biodiesel Fraction'!W30,0)</f>
        <v>3.2788558661192499E-2</v>
      </c>
      <c r="X7">
        <f>IF('Biodiesel Fraction'!$B18,'Biodiesel Fraction'!X30,0)</f>
        <v>3.2327446868322056E-2</v>
      </c>
      <c r="Y7">
        <f>IF('Biodiesel Fraction'!$B18,'Biodiesel Fraction'!Y30,0)</f>
        <v>3.1834395552664221E-2</v>
      </c>
      <c r="Z7">
        <f>IF('Biodiesel Fraction'!$B18,'Biodiesel Fraction'!Z30,0)</f>
        <v>3.1194400497299647E-2</v>
      </c>
      <c r="AA7">
        <f>IF('Biodiesel Fraction'!$B18,'Biodiesel Fraction'!AA30,0)</f>
        <v>3.0512920696853785E-2</v>
      </c>
      <c r="AB7">
        <f>IF('Biodiesel Fraction'!$B18,'Biodiesel Fraction'!AB30,0)</f>
        <v>2.9809318466894396E-2</v>
      </c>
      <c r="AC7">
        <f>IF('Biodiesel Fraction'!$B18,'Biodiesel Fraction'!AC30,0)</f>
        <v>2.9102094659627049E-2</v>
      </c>
    </row>
    <row r="8" spans="1:29">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G11"/>
  <sheetViews>
    <sheetView topLeftCell="C1" workbookViewId="0">
      <selection activeCell="B1" sqref="B1:AE1"/>
    </sheetView>
  </sheetViews>
  <sheetFormatPr defaultRowHeight="14.75"/>
  <cols>
    <col min="1" max="1" width="22.54296875" customWidth="1"/>
  </cols>
  <sheetData>
    <row r="1" spans="1:33"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3">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row>
    <row r="3" spans="1:33">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3">
      <c r="A4" t="s">
        <v>17</v>
      </c>
      <c r="B4" s="2">
        <f>1-B2-B6</f>
        <v>0.41719740551191759</v>
      </c>
      <c r="C4" s="2">
        <f>$B$4</f>
        <v>0.41719740551191759</v>
      </c>
      <c r="D4" s="2">
        <f t="shared" ref="D4:AE4" si="0">$B$4</f>
        <v>0.41719740551191759</v>
      </c>
      <c r="E4" s="2">
        <f t="shared" si="0"/>
        <v>0.41719740551191759</v>
      </c>
      <c r="F4" s="2">
        <f t="shared" si="0"/>
        <v>0.41719740551191759</v>
      </c>
      <c r="G4" s="2">
        <f t="shared" si="0"/>
        <v>0.41719740551191759</v>
      </c>
      <c r="H4" s="2">
        <f t="shared" si="0"/>
        <v>0.41719740551191759</v>
      </c>
      <c r="I4" s="2">
        <f t="shared" si="0"/>
        <v>0.41719740551191759</v>
      </c>
      <c r="J4" s="2">
        <f t="shared" si="0"/>
        <v>0.41719740551191759</v>
      </c>
      <c r="K4" s="2">
        <f t="shared" si="0"/>
        <v>0.41719740551191759</v>
      </c>
      <c r="L4" s="2">
        <f t="shared" si="0"/>
        <v>0.41719740551191759</v>
      </c>
      <c r="M4" s="2">
        <f t="shared" si="0"/>
        <v>0.41719740551191759</v>
      </c>
      <c r="N4" s="2">
        <f t="shared" si="0"/>
        <v>0.41719740551191759</v>
      </c>
      <c r="O4" s="2">
        <f t="shared" si="0"/>
        <v>0.41719740551191759</v>
      </c>
      <c r="P4" s="2">
        <f t="shared" si="0"/>
        <v>0.41719740551191759</v>
      </c>
      <c r="Q4" s="2">
        <f t="shared" si="0"/>
        <v>0.41719740551191759</v>
      </c>
      <c r="R4" s="2">
        <f t="shared" si="0"/>
        <v>0.41719740551191759</v>
      </c>
      <c r="S4" s="2">
        <f t="shared" si="0"/>
        <v>0.41719740551191759</v>
      </c>
      <c r="T4" s="2">
        <f t="shared" si="0"/>
        <v>0.41719740551191759</v>
      </c>
      <c r="U4" s="2">
        <f t="shared" si="0"/>
        <v>0.41719740551191759</v>
      </c>
      <c r="V4" s="2">
        <f t="shared" si="0"/>
        <v>0.41719740551191759</v>
      </c>
      <c r="W4" s="2">
        <f t="shared" si="0"/>
        <v>0.41719740551191759</v>
      </c>
      <c r="X4" s="2">
        <f t="shared" si="0"/>
        <v>0.41719740551191759</v>
      </c>
      <c r="Y4" s="2">
        <f t="shared" si="0"/>
        <v>0.41719740551191759</v>
      </c>
      <c r="Z4" s="2">
        <f t="shared" si="0"/>
        <v>0.41719740551191759</v>
      </c>
      <c r="AA4" s="2">
        <f t="shared" si="0"/>
        <v>0.41719740551191759</v>
      </c>
      <c r="AB4" s="2">
        <f t="shared" si="0"/>
        <v>0.41719740551191759</v>
      </c>
      <c r="AC4" s="2">
        <f t="shared" si="0"/>
        <v>0.41719740551191759</v>
      </c>
      <c r="AD4" s="2">
        <f t="shared" si="0"/>
        <v>0.41719740551191759</v>
      </c>
      <c r="AE4" s="2">
        <f t="shared" si="0"/>
        <v>0.41719740551191759</v>
      </c>
      <c r="AF4" s="2"/>
      <c r="AG4" s="2"/>
    </row>
    <row r="5" spans="1:33">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3">
      <c r="A6" t="s">
        <v>19</v>
      </c>
      <c r="B6" s="2">
        <f>(1-B2)*'ethanol content'!J3</f>
        <v>3.2802594488082371E-2</v>
      </c>
      <c r="C6" s="2">
        <f>$B$6</f>
        <v>3.2802594488082371E-2</v>
      </c>
      <c r="D6" s="2">
        <f t="shared" ref="D6:AE6" si="1">$B$6</f>
        <v>3.2802594488082371E-2</v>
      </c>
      <c r="E6" s="2">
        <f t="shared" si="1"/>
        <v>3.2802594488082371E-2</v>
      </c>
      <c r="F6" s="2">
        <f t="shared" si="1"/>
        <v>3.2802594488082371E-2</v>
      </c>
      <c r="G6" s="2">
        <f t="shared" si="1"/>
        <v>3.2802594488082371E-2</v>
      </c>
      <c r="H6" s="2">
        <f t="shared" si="1"/>
        <v>3.2802594488082371E-2</v>
      </c>
      <c r="I6" s="2">
        <f t="shared" si="1"/>
        <v>3.2802594488082371E-2</v>
      </c>
      <c r="J6" s="2">
        <f t="shared" si="1"/>
        <v>3.2802594488082371E-2</v>
      </c>
      <c r="K6" s="2">
        <f t="shared" si="1"/>
        <v>3.2802594488082371E-2</v>
      </c>
      <c r="L6" s="2">
        <f t="shared" si="1"/>
        <v>3.2802594488082371E-2</v>
      </c>
      <c r="M6" s="2">
        <f t="shared" si="1"/>
        <v>3.2802594488082371E-2</v>
      </c>
      <c r="N6" s="2">
        <f t="shared" si="1"/>
        <v>3.2802594488082371E-2</v>
      </c>
      <c r="O6" s="2">
        <f t="shared" si="1"/>
        <v>3.2802594488082371E-2</v>
      </c>
      <c r="P6" s="2">
        <f t="shared" si="1"/>
        <v>3.2802594488082371E-2</v>
      </c>
      <c r="Q6" s="2">
        <f t="shared" si="1"/>
        <v>3.2802594488082371E-2</v>
      </c>
      <c r="R6" s="2">
        <f t="shared" si="1"/>
        <v>3.2802594488082371E-2</v>
      </c>
      <c r="S6" s="2">
        <f t="shared" si="1"/>
        <v>3.2802594488082371E-2</v>
      </c>
      <c r="T6" s="2">
        <f t="shared" si="1"/>
        <v>3.2802594488082371E-2</v>
      </c>
      <c r="U6" s="2">
        <f t="shared" si="1"/>
        <v>3.2802594488082371E-2</v>
      </c>
      <c r="V6" s="2">
        <f t="shared" si="1"/>
        <v>3.2802594488082371E-2</v>
      </c>
      <c r="W6" s="2">
        <f t="shared" si="1"/>
        <v>3.2802594488082371E-2</v>
      </c>
      <c r="X6" s="2">
        <f t="shared" si="1"/>
        <v>3.2802594488082371E-2</v>
      </c>
      <c r="Y6" s="2">
        <f t="shared" si="1"/>
        <v>3.2802594488082371E-2</v>
      </c>
      <c r="Z6" s="2">
        <f t="shared" si="1"/>
        <v>3.2802594488082371E-2</v>
      </c>
      <c r="AA6" s="2">
        <f t="shared" si="1"/>
        <v>3.2802594488082371E-2</v>
      </c>
      <c r="AB6" s="2">
        <f t="shared" si="1"/>
        <v>3.2802594488082371E-2</v>
      </c>
      <c r="AC6" s="2">
        <f t="shared" si="1"/>
        <v>3.2802594488082371E-2</v>
      </c>
      <c r="AD6" s="2">
        <f t="shared" si="1"/>
        <v>3.2802594488082371E-2</v>
      </c>
      <c r="AE6" s="2">
        <f t="shared" si="1"/>
        <v>3.2802594488082371E-2</v>
      </c>
      <c r="AF6" s="2"/>
      <c r="AG6" s="2"/>
    </row>
    <row r="7" spans="1:33">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3">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3">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3">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3">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ignoredErrors>
    <ignoredError sqref="B5:C5" formulaRange="1"/>
  </ignoredError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C1" workbookViewId="0">
      <selection activeCell="AE1" sqref="AE1"/>
    </sheetView>
  </sheetViews>
  <sheetFormatPr defaultRowHeight="14.75"/>
  <cols>
    <col min="1" max="1" width="22.54296875" customWidth="1"/>
  </cols>
  <sheetData>
    <row r="1" spans="1:35"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workbookViewId="0">
      <selection activeCell="B1" sqref="B1:AE1"/>
    </sheetView>
  </sheetViews>
  <sheetFormatPr defaultRowHeight="14.75"/>
  <cols>
    <col min="1" max="1" width="22.54296875" customWidth="1"/>
  </cols>
  <sheetData>
    <row r="1" spans="1:35"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
  <sheetViews>
    <sheetView workbookViewId="0"/>
  </sheetViews>
  <sheetFormatPr defaultRowHeight="14.75"/>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E11"/>
  <sheetViews>
    <sheetView workbookViewId="0"/>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E11"/>
  <sheetViews>
    <sheetView workbookViewId="0">
      <selection activeCell="A11" sqref="A11"/>
    </sheetView>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topLeftCell="D1" workbookViewId="0">
      <selection activeCell="AF1" sqref="AF1"/>
    </sheetView>
  </sheetViews>
  <sheetFormatPr defaultRowHeight="14.75"/>
  <cols>
    <col min="1" max="1" width="22.54296875" customWidth="1"/>
  </cols>
  <sheetData>
    <row r="1" spans="1:35"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s="2">
        <f>1-B6</f>
        <v>0.92710534558203916</v>
      </c>
      <c r="C4" s="2">
        <f t="shared" ref="C4:AE4" si="0">1-C6</f>
        <v>0.92710534558203916</v>
      </c>
      <c r="D4" s="2">
        <f t="shared" si="0"/>
        <v>0.92710534558203916</v>
      </c>
      <c r="E4" s="2">
        <f t="shared" si="0"/>
        <v>0.92710534558203916</v>
      </c>
      <c r="F4" s="2">
        <f t="shared" si="0"/>
        <v>0.92710534558203916</v>
      </c>
      <c r="G4" s="2">
        <f t="shared" si="0"/>
        <v>0.92710534558203916</v>
      </c>
      <c r="H4" s="2">
        <f t="shared" si="0"/>
        <v>0.92710534558203916</v>
      </c>
      <c r="I4" s="2">
        <f t="shared" si="0"/>
        <v>0.92710534558203916</v>
      </c>
      <c r="J4" s="2">
        <f t="shared" si="0"/>
        <v>0.92710534558203916</v>
      </c>
      <c r="K4" s="2">
        <f t="shared" si="0"/>
        <v>0.92710534558203916</v>
      </c>
      <c r="L4" s="2">
        <f t="shared" si="0"/>
        <v>0.92710534558203916</v>
      </c>
      <c r="M4" s="2">
        <f t="shared" si="0"/>
        <v>0.92710534558203916</v>
      </c>
      <c r="N4" s="2">
        <f t="shared" si="0"/>
        <v>0.92710534558203916</v>
      </c>
      <c r="O4" s="2">
        <f t="shared" si="0"/>
        <v>0.92710534558203916</v>
      </c>
      <c r="P4" s="2">
        <f t="shared" si="0"/>
        <v>0.92710534558203916</v>
      </c>
      <c r="Q4" s="2">
        <f t="shared" si="0"/>
        <v>0.92710534558203916</v>
      </c>
      <c r="R4" s="2">
        <f t="shared" si="0"/>
        <v>0.92710534558203916</v>
      </c>
      <c r="S4" s="2">
        <f t="shared" si="0"/>
        <v>0.92710534558203916</v>
      </c>
      <c r="T4" s="2">
        <f t="shared" si="0"/>
        <v>0.92710534558203916</v>
      </c>
      <c r="U4" s="2">
        <f t="shared" si="0"/>
        <v>0.92710534558203916</v>
      </c>
      <c r="V4" s="2">
        <f t="shared" si="0"/>
        <v>0.92710534558203916</v>
      </c>
      <c r="W4" s="2">
        <f t="shared" si="0"/>
        <v>0.92710534558203916</v>
      </c>
      <c r="X4" s="2">
        <f t="shared" si="0"/>
        <v>0.92710534558203916</v>
      </c>
      <c r="Y4" s="2">
        <f t="shared" si="0"/>
        <v>0.92710534558203916</v>
      </c>
      <c r="Z4" s="2">
        <f t="shared" si="0"/>
        <v>0.92710534558203916</v>
      </c>
      <c r="AA4" s="2">
        <f t="shared" si="0"/>
        <v>0.92710534558203916</v>
      </c>
      <c r="AB4" s="2">
        <f t="shared" si="0"/>
        <v>0.92710534558203916</v>
      </c>
      <c r="AC4" s="2">
        <f t="shared" si="0"/>
        <v>0.92710534558203916</v>
      </c>
      <c r="AD4" s="2">
        <f t="shared" si="0"/>
        <v>0.92710534558203916</v>
      </c>
      <c r="AE4" s="2">
        <f t="shared" si="0"/>
        <v>0.92710534558203916</v>
      </c>
      <c r="AF4" s="2"/>
      <c r="AG4" s="2"/>
      <c r="AH4" s="2"/>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s="2">
        <f>'ethanol content'!$J$3</f>
        <v>7.2894654417960836E-2</v>
      </c>
      <c r="C6" s="2">
        <f>'ethanol content'!$J$3</f>
        <v>7.2894654417960836E-2</v>
      </c>
      <c r="D6" s="2">
        <f>'ethanol content'!$J$3</f>
        <v>7.2894654417960836E-2</v>
      </c>
      <c r="E6" s="2">
        <f>'ethanol content'!$J$3</f>
        <v>7.2894654417960836E-2</v>
      </c>
      <c r="F6" s="2">
        <f>'ethanol content'!$J$3</f>
        <v>7.2894654417960836E-2</v>
      </c>
      <c r="G6" s="2">
        <f>'ethanol content'!$J$3</f>
        <v>7.2894654417960836E-2</v>
      </c>
      <c r="H6" s="2">
        <f>'ethanol content'!$J$3</f>
        <v>7.2894654417960836E-2</v>
      </c>
      <c r="I6" s="2">
        <f>'ethanol content'!$J$3</f>
        <v>7.2894654417960836E-2</v>
      </c>
      <c r="J6" s="2">
        <f>'ethanol content'!$J$3</f>
        <v>7.2894654417960836E-2</v>
      </c>
      <c r="K6" s="2">
        <f>'ethanol content'!$J$3</f>
        <v>7.2894654417960836E-2</v>
      </c>
      <c r="L6" s="2">
        <f>'ethanol content'!$J$3</f>
        <v>7.2894654417960836E-2</v>
      </c>
      <c r="M6" s="2">
        <f>'ethanol content'!$J$3</f>
        <v>7.2894654417960836E-2</v>
      </c>
      <c r="N6" s="2">
        <f>'ethanol content'!$J$3</f>
        <v>7.2894654417960836E-2</v>
      </c>
      <c r="O6" s="2">
        <f>'ethanol content'!$J$3</f>
        <v>7.2894654417960836E-2</v>
      </c>
      <c r="P6" s="2">
        <f>'ethanol content'!$J$3</f>
        <v>7.2894654417960836E-2</v>
      </c>
      <c r="Q6" s="2">
        <f>'ethanol content'!$J$3</f>
        <v>7.2894654417960836E-2</v>
      </c>
      <c r="R6" s="2">
        <f>'ethanol content'!$J$3</f>
        <v>7.2894654417960836E-2</v>
      </c>
      <c r="S6" s="2">
        <f>'ethanol content'!$J$3</f>
        <v>7.2894654417960836E-2</v>
      </c>
      <c r="T6" s="2">
        <f>'ethanol content'!$J$3</f>
        <v>7.2894654417960836E-2</v>
      </c>
      <c r="U6" s="2">
        <f>'ethanol content'!$J$3</f>
        <v>7.2894654417960836E-2</v>
      </c>
      <c r="V6" s="2">
        <f>'ethanol content'!$J$3</f>
        <v>7.2894654417960836E-2</v>
      </c>
      <c r="W6" s="2">
        <f>'ethanol content'!$J$3</f>
        <v>7.2894654417960836E-2</v>
      </c>
      <c r="X6" s="2">
        <f>'ethanol content'!$J$3</f>
        <v>7.2894654417960836E-2</v>
      </c>
      <c r="Y6" s="2">
        <f>'ethanol content'!$J$3</f>
        <v>7.2894654417960836E-2</v>
      </c>
      <c r="Z6" s="2">
        <f>'ethanol content'!$J$3</f>
        <v>7.2894654417960836E-2</v>
      </c>
      <c r="AA6" s="2">
        <f>'ethanol content'!$J$3</f>
        <v>7.2894654417960836E-2</v>
      </c>
      <c r="AB6" s="2">
        <f>'ethanol content'!$J$3</f>
        <v>7.2894654417960836E-2</v>
      </c>
      <c r="AC6" s="2">
        <f>'ethanol content'!$J$3</f>
        <v>7.2894654417960836E-2</v>
      </c>
      <c r="AD6" s="2">
        <f>'ethanol content'!$J$3</f>
        <v>7.2894654417960836E-2</v>
      </c>
      <c r="AE6" s="2">
        <f>'ethanol content'!$J$3</f>
        <v>7.2894654417960836E-2</v>
      </c>
      <c r="AF6" s="2"/>
      <c r="AG6" s="2"/>
      <c r="AH6" s="2"/>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ignoredErrors>
    <ignoredError sqref="B5:AE5" formulaRange="1"/>
  </ignoredError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C11"/>
  <sheetViews>
    <sheetView topLeftCell="B1" workbookViewId="0">
      <selection activeCell="AC7" sqref="AC7"/>
    </sheetView>
  </sheetViews>
  <sheetFormatPr defaultRowHeight="14.75"/>
  <cols>
    <col min="1" max="1" width="22.54296875" customWidth="1"/>
  </cols>
  <sheetData>
    <row r="1" spans="1:29" ht="29.5">
      <c r="A1" s="10" t="s">
        <v>85</v>
      </c>
      <c r="B1">
        <f>'Biodiesel Fraction'!D6</f>
        <v>2023</v>
      </c>
      <c r="C1">
        <f>'Biodiesel Fraction'!E6</f>
        <v>2024</v>
      </c>
      <c r="D1">
        <f>'Biodiesel Fraction'!F6</f>
        <v>2025</v>
      </c>
      <c r="E1">
        <f>'Biodiesel Fraction'!G6</f>
        <v>2026</v>
      </c>
      <c r="F1">
        <f>'Biodiesel Fraction'!H6</f>
        <v>2027</v>
      </c>
      <c r="G1">
        <f>'Biodiesel Fraction'!I6</f>
        <v>2028</v>
      </c>
      <c r="H1">
        <f>'Biodiesel Fraction'!J6</f>
        <v>2029</v>
      </c>
      <c r="I1">
        <f>'Biodiesel Fraction'!K6</f>
        <v>2030</v>
      </c>
      <c r="J1">
        <f>'Biodiesel Fraction'!L6</f>
        <v>2031</v>
      </c>
      <c r="K1">
        <f>'Biodiesel Fraction'!M6</f>
        <v>2032</v>
      </c>
      <c r="L1">
        <f>'Biodiesel Fraction'!N6</f>
        <v>2033</v>
      </c>
      <c r="M1">
        <f>'Biodiesel Fraction'!O6</f>
        <v>2034</v>
      </c>
      <c r="N1">
        <f>'Biodiesel Fraction'!P6</f>
        <v>2035</v>
      </c>
      <c r="O1">
        <f>'Biodiesel Fraction'!Q6</f>
        <v>2036</v>
      </c>
      <c r="P1">
        <f>'Biodiesel Fraction'!R6</f>
        <v>2037</v>
      </c>
      <c r="Q1">
        <f>'Biodiesel Fraction'!S6</f>
        <v>2038</v>
      </c>
      <c r="R1">
        <f>'Biodiesel Fraction'!T6</f>
        <v>2039</v>
      </c>
      <c r="S1">
        <f>'Biodiesel Fraction'!U6</f>
        <v>2040</v>
      </c>
      <c r="T1">
        <f>'Biodiesel Fraction'!V6</f>
        <v>2041</v>
      </c>
      <c r="U1">
        <f>'Biodiesel Fraction'!W6</f>
        <v>2042</v>
      </c>
      <c r="V1">
        <f>'Biodiesel Fraction'!X6</f>
        <v>2043</v>
      </c>
      <c r="W1">
        <f>'Biodiesel Fraction'!Y6</f>
        <v>2044</v>
      </c>
      <c r="X1">
        <f>'Biodiesel Fraction'!Z6</f>
        <v>2045</v>
      </c>
      <c r="Y1">
        <f>'Biodiesel Fraction'!AA6</f>
        <v>2046</v>
      </c>
      <c r="Z1">
        <f>'Biodiesel Fraction'!AB6</f>
        <v>2047</v>
      </c>
      <c r="AA1">
        <f>'Biodiesel Fraction'!AC6</f>
        <v>2048</v>
      </c>
      <c r="AB1">
        <f>'Biodiesel Fraction'!AD6</f>
        <v>2049</v>
      </c>
      <c r="AC1">
        <f>'Biodiesel Fraction'!AE6</f>
        <v>2050</v>
      </c>
    </row>
    <row r="2" spans="1:29">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18</v>
      </c>
      <c r="B5">
        <f>IF('Biodiesel Fraction'!$B19,1-'Biodiesel Fraction'!B30,1)</f>
        <v>0.96756119768275339</v>
      </c>
      <c r="C5">
        <f>IF('Biodiesel Fraction'!$B19,1-'Biodiesel Fraction'!C30,1)</f>
        <v>0.96041416638410693</v>
      </c>
      <c r="D5">
        <f>IF('Biodiesel Fraction'!$B19,1-'Biodiesel Fraction'!D30,1)</f>
        <v>0.96701182303643263</v>
      </c>
      <c r="E5">
        <f>IF('Biodiesel Fraction'!$B19,1-'Biodiesel Fraction'!E30,1)</f>
        <v>0.96640793844184825</v>
      </c>
      <c r="F5">
        <f>IF('Biodiesel Fraction'!$B19,1-'Biodiesel Fraction'!F30,1)</f>
        <v>0.96812500177766059</v>
      </c>
      <c r="G5">
        <f>IF('Biodiesel Fraction'!$B19,1-'Biodiesel Fraction'!G30,1)</f>
        <v>0.98009198824562427</v>
      </c>
      <c r="H5">
        <f>IF('Biodiesel Fraction'!$B19,1-'Biodiesel Fraction'!H30,1)</f>
        <v>0.97650452180774017</v>
      </c>
      <c r="I5">
        <f>IF('Biodiesel Fraction'!$B19,1-'Biodiesel Fraction'!I30,1)</f>
        <v>0.97528675799062703</v>
      </c>
      <c r="J5">
        <f>IF('Biodiesel Fraction'!$B19,1-'Biodiesel Fraction'!J30,1)</f>
        <v>0.97454250056113867</v>
      </c>
      <c r="K5">
        <f>IF('Biodiesel Fraction'!$B19,1-'Biodiesel Fraction'!K30,1)</f>
        <v>0.97401501182850003</v>
      </c>
      <c r="L5">
        <f>IF('Biodiesel Fraction'!$B19,1-'Biodiesel Fraction'!L30,1)</f>
        <v>0.97258517715476844</v>
      </c>
      <c r="M5">
        <f>IF('Biodiesel Fraction'!$B19,1-'Biodiesel Fraction'!M30,1)</f>
        <v>0.96979508221703403</v>
      </c>
      <c r="N5">
        <f>IF('Biodiesel Fraction'!$B19,1-'Biodiesel Fraction'!N30,1)</f>
        <v>0.96766971774253063</v>
      </c>
      <c r="O5">
        <f>IF('Biodiesel Fraction'!$B19,1-'Biodiesel Fraction'!O30,1)</f>
        <v>0.96759671637630318</v>
      </c>
      <c r="P5">
        <f>IF('Biodiesel Fraction'!$B19,1-'Biodiesel Fraction'!P30,1)</f>
        <v>0.96572788563008749</v>
      </c>
      <c r="Q5">
        <f>IF('Biodiesel Fraction'!$B19,1-'Biodiesel Fraction'!Q30,1)</f>
        <v>0.96556610352491634</v>
      </c>
      <c r="R5">
        <f>IF('Biodiesel Fraction'!$B19,1-'Biodiesel Fraction'!R30,1)</f>
        <v>0.96573361538170976</v>
      </c>
      <c r="S5">
        <f>IF('Biodiesel Fraction'!$B19,1-'Biodiesel Fraction'!S30,1)</f>
        <v>0.96595948602255566</v>
      </c>
      <c r="T5">
        <f>IF('Biodiesel Fraction'!$B19,1-'Biodiesel Fraction'!T30,1)</f>
        <v>0.9662221978880392</v>
      </c>
      <c r="U5">
        <f>IF('Biodiesel Fraction'!$B19,1-'Biodiesel Fraction'!U30,1)</f>
        <v>0.96655142709382569</v>
      </c>
      <c r="V5">
        <f>IF('Biodiesel Fraction'!$B19,1-'Biodiesel Fraction'!V30,1)</f>
        <v>0.96691298126636527</v>
      </c>
      <c r="W5">
        <f>IF('Biodiesel Fraction'!$B19,1-'Biodiesel Fraction'!W30,1)</f>
        <v>0.96721144133880754</v>
      </c>
      <c r="X5">
        <f>IF('Biodiesel Fraction'!$B19,1-'Biodiesel Fraction'!X30,1)</f>
        <v>0.96767255313167799</v>
      </c>
      <c r="Y5">
        <f>IF('Biodiesel Fraction'!$B19,1-'Biodiesel Fraction'!Y30,1)</f>
        <v>0.96816560444733579</v>
      </c>
      <c r="Z5">
        <f>IF('Biodiesel Fraction'!$B19,1-'Biodiesel Fraction'!Z30,1)</f>
        <v>0.9688055995027004</v>
      </c>
      <c r="AA5">
        <f>IF('Biodiesel Fraction'!$B19,1-'Biodiesel Fraction'!AA30,1)</f>
        <v>0.96948707930314626</v>
      </c>
      <c r="AB5">
        <f>IF('Biodiesel Fraction'!$B19,1-'Biodiesel Fraction'!AB30,1)</f>
        <v>0.97019068153310561</v>
      </c>
      <c r="AC5">
        <f>IF('Biodiesel Fraction'!$B19,1-'Biodiesel Fraction'!AC30,1)</f>
        <v>0.9708979053403729</v>
      </c>
    </row>
    <row r="6" spans="1:29">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21</v>
      </c>
      <c r="B7">
        <f>IF('Biodiesel Fraction'!$B19,'Biodiesel Fraction'!B30,0)</f>
        <v>3.2438802317246634E-2</v>
      </c>
      <c r="C7">
        <f>IF('Biodiesel Fraction'!$B19,'Biodiesel Fraction'!C30,0)</f>
        <v>3.9585833615893101E-2</v>
      </c>
      <c r="D7">
        <f>IF('Biodiesel Fraction'!$B19,'Biodiesel Fraction'!D30,0)</f>
        <v>3.2988176963567352E-2</v>
      </c>
      <c r="E7">
        <f>IF('Biodiesel Fraction'!$B19,'Biodiesel Fraction'!E30,0)</f>
        <v>3.3592061558151781E-2</v>
      </c>
      <c r="F7">
        <f>IF('Biodiesel Fraction'!$B19,'Biodiesel Fraction'!F30,0)</f>
        <v>3.1874998222339357E-2</v>
      </c>
      <c r="G7">
        <f>IF('Biodiesel Fraction'!$B19,'Biodiesel Fraction'!G30,0)</f>
        <v>1.9908011754375773E-2</v>
      </c>
      <c r="H7">
        <f>IF('Biodiesel Fraction'!$B19,'Biodiesel Fraction'!H30,0)</f>
        <v>2.3495478192259833E-2</v>
      </c>
      <c r="I7">
        <f>IF('Biodiesel Fraction'!$B19,'Biodiesel Fraction'!I30,0)</f>
        <v>2.4713242009373016E-2</v>
      </c>
      <c r="J7">
        <f>IF('Biodiesel Fraction'!$B19,'Biodiesel Fraction'!J30,0)</f>
        <v>2.5457499438861282E-2</v>
      </c>
      <c r="K7">
        <f>IF('Biodiesel Fraction'!$B19,'Biodiesel Fraction'!K30,0)</f>
        <v>2.5984988171500023E-2</v>
      </c>
      <c r="L7">
        <f>IF('Biodiesel Fraction'!$B19,'Biodiesel Fraction'!L30,0)</f>
        <v>2.7414822845231571E-2</v>
      </c>
      <c r="M7">
        <f>IF('Biodiesel Fraction'!$B19,'Biodiesel Fraction'!M30,0)</f>
        <v>3.0204917782965933E-2</v>
      </c>
      <c r="N7">
        <f>IF('Biodiesel Fraction'!$B19,'Biodiesel Fraction'!N30,0)</f>
        <v>3.2330282257469367E-2</v>
      </c>
      <c r="O7">
        <f>IF('Biodiesel Fraction'!$B19,'Biodiesel Fraction'!O30,0)</f>
        <v>3.240328362369687E-2</v>
      </c>
      <c r="P7">
        <f>IF('Biodiesel Fraction'!$B19,'Biodiesel Fraction'!P30,0)</f>
        <v>3.4272114369912537E-2</v>
      </c>
      <c r="Q7">
        <f>IF('Biodiesel Fraction'!$B19,'Biodiesel Fraction'!Q30,0)</f>
        <v>3.4433896475083707E-2</v>
      </c>
      <c r="R7">
        <f>IF('Biodiesel Fraction'!$B19,'Biodiesel Fraction'!R30,0)</f>
        <v>3.4266384618290291E-2</v>
      </c>
      <c r="S7">
        <f>IF('Biodiesel Fraction'!$B19,'Biodiesel Fraction'!S30,0)</f>
        <v>3.4040513977444335E-2</v>
      </c>
      <c r="T7">
        <f>IF('Biodiesel Fraction'!$B19,'Biodiesel Fraction'!T30,0)</f>
        <v>3.3777802111960777E-2</v>
      </c>
      <c r="U7">
        <f>IF('Biodiesel Fraction'!$B19,'Biodiesel Fraction'!U30,0)</f>
        <v>3.3448572906174312E-2</v>
      </c>
      <c r="V7">
        <f>IF('Biodiesel Fraction'!$B19,'Biodiesel Fraction'!V30,0)</f>
        <v>3.3087018733634767E-2</v>
      </c>
      <c r="W7">
        <f>IF('Biodiesel Fraction'!$B19,'Biodiesel Fraction'!W30,0)</f>
        <v>3.2788558661192499E-2</v>
      </c>
      <c r="X7">
        <f>IF('Biodiesel Fraction'!$B19,'Biodiesel Fraction'!X30,0)</f>
        <v>3.2327446868322056E-2</v>
      </c>
      <c r="Y7">
        <f>IF('Biodiesel Fraction'!$B19,'Biodiesel Fraction'!Y30,0)</f>
        <v>3.1834395552664221E-2</v>
      </c>
      <c r="Z7">
        <f>IF('Biodiesel Fraction'!$B19,'Biodiesel Fraction'!Z30,0)</f>
        <v>3.1194400497299647E-2</v>
      </c>
      <c r="AA7">
        <f>IF('Biodiesel Fraction'!$B19,'Biodiesel Fraction'!AA30,0)</f>
        <v>3.0512920696853785E-2</v>
      </c>
      <c r="AB7">
        <f>IF('Biodiesel Fraction'!$B19,'Biodiesel Fraction'!AB30,0)</f>
        <v>2.9809318466894396E-2</v>
      </c>
      <c r="AC7">
        <f>IF('Biodiesel Fraction'!$B19,'Biodiesel Fraction'!AC30,0)</f>
        <v>2.9102094659627049E-2</v>
      </c>
    </row>
    <row r="8" spans="1:29">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topLeftCell="D1" workbookViewId="0">
      <selection activeCell="AF1" sqref="AF1"/>
    </sheetView>
  </sheetViews>
  <sheetFormatPr defaultRowHeight="14.75"/>
  <cols>
    <col min="1" max="1" width="22.54296875" customWidth="1"/>
  </cols>
  <sheetData>
    <row r="1" spans="1:35"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c r="AE2">
        <f>'Plug-in Hybrid Elec Fraction'!$A5</f>
        <v>0.55000000000000004</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s="2">
        <f>1-B2-B6</f>
        <v>0.41719740551191759</v>
      </c>
      <c r="C4" s="2">
        <f>$B$4</f>
        <v>0.41719740551191759</v>
      </c>
      <c r="D4" s="2">
        <f t="shared" ref="D4:AE4" si="0">$B$4</f>
        <v>0.41719740551191759</v>
      </c>
      <c r="E4" s="2">
        <f t="shared" si="0"/>
        <v>0.41719740551191759</v>
      </c>
      <c r="F4" s="2">
        <f t="shared" si="0"/>
        <v>0.41719740551191759</v>
      </c>
      <c r="G4" s="2">
        <f t="shared" si="0"/>
        <v>0.41719740551191759</v>
      </c>
      <c r="H4" s="2">
        <f t="shared" si="0"/>
        <v>0.41719740551191759</v>
      </c>
      <c r="I4" s="2">
        <f t="shared" si="0"/>
        <v>0.41719740551191759</v>
      </c>
      <c r="J4" s="2">
        <f t="shared" si="0"/>
        <v>0.41719740551191759</v>
      </c>
      <c r="K4" s="2">
        <f t="shared" si="0"/>
        <v>0.41719740551191759</v>
      </c>
      <c r="L4" s="2">
        <f t="shared" si="0"/>
        <v>0.41719740551191759</v>
      </c>
      <c r="M4" s="2">
        <f t="shared" si="0"/>
        <v>0.41719740551191759</v>
      </c>
      <c r="N4" s="2">
        <f t="shared" si="0"/>
        <v>0.41719740551191759</v>
      </c>
      <c r="O4" s="2">
        <f t="shared" si="0"/>
        <v>0.41719740551191759</v>
      </c>
      <c r="P4" s="2">
        <f t="shared" si="0"/>
        <v>0.41719740551191759</v>
      </c>
      <c r="Q4" s="2">
        <f t="shared" si="0"/>
        <v>0.41719740551191759</v>
      </c>
      <c r="R4" s="2">
        <f t="shared" si="0"/>
        <v>0.41719740551191759</v>
      </c>
      <c r="S4" s="2">
        <f t="shared" si="0"/>
        <v>0.41719740551191759</v>
      </c>
      <c r="T4" s="2">
        <f t="shared" si="0"/>
        <v>0.41719740551191759</v>
      </c>
      <c r="U4" s="2">
        <f t="shared" si="0"/>
        <v>0.41719740551191759</v>
      </c>
      <c r="V4" s="2">
        <f t="shared" si="0"/>
        <v>0.41719740551191759</v>
      </c>
      <c r="W4" s="2">
        <f t="shared" si="0"/>
        <v>0.41719740551191759</v>
      </c>
      <c r="X4" s="2">
        <f t="shared" si="0"/>
        <v>0.41719740551191759</v>
      </c>
      <c r="Y4" s="2">
        <f t="shared" si="0"/>
        <v>0.41719740551191759</v>
      </c>
      <c r="Z4" s="2">
        <f t="shared" si="0"/>
        <v>0.41719740551191759</v>
      </c>
      <c r="AA4" s="2">
        <f t="shared" si="0"/>
        <v>0.41719740551191759</v>
      </c>
      <c r="AB4" s="2">
        <f t="shared" si="0"/>
        <v>0.41719740551191759</v>
      </c>
      <c r="AC4" s="2">
        <f t="shared" si="0"/>
        <v>0.41719740551191759</v>
      </c>
      <c r="AD4" s="2">
        <f t="shared" si="0"/>
        <v>0.41719740551191759</v>
      </c>
      <c r="AE4" s="2">
        <f t="shared" si="0"/>
        <v>0.41719740551191759</v>
      </c>
      <c r="AF4" s="2"/>
      <c r="AG4" s="2"/>
      <c r="AH4" s="2"/>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s="2">
        <f>'ethanol content'!$J$3*(1-B2)</f>
        <v>3.2802594488082371E-2</v>
      </c>
      <c r="C6" s="2">
        <f>$B$6</f>
        <v>3.2802594488082371E-2</v>
      </c>
      <c r="D6" s="2">
        <f t="shared" ref="D6:AE6" si="1">$B$6</f>
        <v>3.2802594488082371E-2</v>
      </c>
      <c r="E6" s="2">
        <f t="shared" si="1"/>
        <v>3.2802594488082371E-2</v>
      </c>
      <c r="F6" s="2">
        <f t="shared" si="1"/>
        <v>3.2802594488082371E-2</v>
      </c>
      <c r="G6" s="2">
        <f t="shared" si="1"/>
        <v>3.2802594488082371E-2</v>
      </c>
      <c r="H6" s="2">
        <f t="shared" si="1"/>
        <v>3.2802594488082371E-2</v>
      </c>
      <c r="I6" s="2">
        <f t="shared" si="1"/>
        <v>3.2802594488082371E-2</v>
      </c>
      <c r="J6" s="2">
        <f t="shared" si="1"/>
        <v>3.2802594488082371E-2</v>
      </c>
      <c r="K6" s="2">
        <f t="shared" si="1"/>
        <v>3.2802594488082371E-2</v>
      </c>
      <c r="L6" s="2">
        <f t="shared" si="1"/>
        <v>3.2802594488082371E-2</v>
      </c>
      <c r="M6" s="2">
        <f t="shared" si="1"/>
        <v>3.2802594488082371E-2</v>
      </c>
      <c r="N6" s="2">
        <f t="shared" si="1"/>
        <v>3.2802594488082371E-2</v>
      </c>
      <c r="O6" s="2">
        <f t="shared" si="1"/>
        <v>3.2802594488082371E-2</v>
      </c>
      <c r="P6" s="2">
        <f t="shared" si="1"/>
        <v>3.2802594488082371E-2</v>
      </c>
      <c r="Q6" s="2">
        <f t="shared" si="1"/>
        <v>3.2802594488082371E-2</v>
      </c>
      <c r="R6" s="2">
        <f t="shared" si="1"/>
        <v>3.2802594488082371E-2</v>
      </c>
      <c r="S6" s="2">
        <f t="shared" si="1"/>
        <v>3.2802594488082371E-2</v>
      </c>
      <c r="T6" s="2">
        <f t="shared" si="1"/>
        <v>3.2802594488082371E-2</v>
      </c>
      <c r="U6" s="2">
        <f t="shared" si="1"/>
        <v>3.2802594488082371E-2</v>
      </c>
      <c r="V6" s="2">
        <f t="shared" si="1"/>
        <v>3.2802594488082371E-2</v>
      </c>
      <c r="W6" s="2">
        <f t="shared" si="1"/>
        <v>3.2802594488082371E-2</v>
      </c>
      <c r="X6" s="2">
        <f t="shared" si="1"/>
        <v>3.2802594488082371E-2</v>
      </c>
      <c r="Y6" s="2">
        <f t="shared" si="1"/>
        <v>3.2802594488082371E-2</v>
      </c>
      <c r="Z6" s="2">
        <f t="shared" si="1"/>
        <v>3.2802594488082371E-2</v>
      </c>
      <c r="AA6" s="2">
        <f t="shared" si="1"/>
        <v>3.2802594488082371E-2</v>
      </c>
      <c r="AB6" s="2">
        <f t="shared" si="1"/>
        <v>3.2802594488082371E-2</v>
      </c>
      <c r="AC6" s="2">
        <f t="shared" si="1"/>
        <v>3.2802594488082371E-2</v>
      </c>
      <c r="AD6" s="2">
        <f t="shared" si="1"/>
        <v>3.2802594488082371E-2</v>
      </c>
      <c r="AE6" s="2">
        <f t="shared" si="1"/>
        <v>3.2802594488082371E-2</v>
      </c>
      <c r="AF6" s="2"/>
      <c r="AG6" s="2"/>
      <c r="AH6" s="2"/>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ignoredErrors>
    <ignoredError sqref="B5:C5" formulaRange="1"/>
  </ignoredError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workbookViewId="0">
      <selection activeCell="B1" sqref="B1:AE1"/>
    </sheetView>
  </sheetViews>
  <sheetFormatPr defaultRowHeight="14.75"/>
  <cols>
    <col min="1" max="1" width="22.54296875" customWidth="1"/>
  </cols>
  <sheetData>
    <row r="1" spans="1:35"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B1" sqref="B1:AE1"/>
    </sheetView>
  </sheetViews>
  <sheetFormatPr defaultRowHeight="14.75"/>
  <cols>
    <col min="1" max="1" width="22.54296875" customWidth="1"/>
  </cols>
  <sheetData>
    <row r="1" spans="1:35"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0000"/>
  </sheetPr>
  <dimension ref="A1"/>
  <sheetViews>
    <sheetView workbookViewId="0"/>
  </sheetViews>
  <sheetFormatPr defaultRowHeight="14.75"/>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AE11"/>
  <sheetViews>
    <sheetView workbookViewId="0">
      <selection activeCell="B1" sqref="B1"/>
    </sheetView>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E11"/>
  <sheetViews>
    <sheetView workbookViewId="0"/>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E11"/>
  <sheetViews>
    <sheetView workbookViewId="0">
      <selection activeCell="A6" sqref="A6"/>
    </sheetView>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s="2">
        <f t="shared" ref="B4:AE4" si="0">1-B6</f>
        <v>0.92710534558203916</v>
      </c>
      <c r="C4" s="2">
        <f t="shared" si="0"/>
        <v>0.92710534558203916</v>
      </c>
      <c r="D4" s="2">
        <f t="shared" si="0"/>
        <v>0.92710534558203916</v>
      </c>
      <c r="E4" s="2">
        <f t="shared" si="0"/>
        <v>0.92710534558203916</v>
      </c>
      <c r="F4" s="2">
        <f t="shared" si="0"/>
        <v>0.92710534558203916</v>
      </c>
      <c r="G4" s="2">
        <f t="shared" si="0"/>
        <v>0.92710534558203916</v>
      </c>
      <c r="H4" s="2">
        <f t="shared" si="0"/>
        <v>0.92710534558203916</v>
      </c>
      <c r="I4" s="2">
        <f t="shared" si="0"/>
        <v>0.92710534558203916</v>
      </c>
      <c r="J4" s="2">
        <f t="shared" si="0"/>
        <v>0.92710534558203916</v>
      </c>
      <c r="K4" s="2">
        <f t="shared" si="0"/>
        <v>0.92710534558203916</v>
      </c>
      <c r="L4" s="2">
        <f t="shared" si="0"/>
        <v>0.92710534558203916</v>
      </c>
      <c r="M4" s="2">
        <f t="shared" si="0"/>
        <v>0.92710534558203916</v>
      </c>
      <c r="N4" s="2">
        <f t="shared" si="0"/>
        <v>0.92710534558203916</v>
      </c>
      <c r="O4" s="2">
        <f t="shared" si="0"/>
        <v>0.92710534558203916</v>
      </c>
      <c r="P4" s="2">
        <f t="shared" si="0"/>
        <v>0.92710534558203916</v>
      </c>
      <c r="Q4" s="2">
        <f t="shared" si="0"/>
        <v>0.92710534558203916</v>
      </c>
      <c r="R4" s="2">
        <f t="shared" si="0"/>
        <v>0.92710534558203916</v>
      </c>
      <c r="S4" s="2">
        <f t="shared" si="0"/>
        <v>0.92710534558203916</v>
      </c>
      <c r="T4" s="2">
        <f t="shared" si="0"/>
        <v>0.92710534558203916</v>
      </c>
      <c r="U4" s="2">
        <f t="shared" si="0"/>
        <v>0.92710534558203916</v>
      </c>
      <c r="V4" s="2">
        <f t="shared" si="0"/>
        <v>0.92710534558203916</v>
      </c>
      <c r="W4" s="2">
        <f t="shared" si="0"/>
        <v>0.92710534558203916</v>
      </c>
      <c r="X4" s="2">
        <f t="shared" si="0"/>
        <v>0.92710534558203916</v>
      </c>
      <c r="Y4" s="2">
        <f t="shared" si="0"/>
        <v>0.92710534558203916</v>
      </c>
      <c r="Z4" s="2">
        <f t="shared" si="0"/>
        <v>0.92710534558203916</v>
      </c>
      <c r="AA4" s="2">
        <f t="shared" si="0"/>
        <v>0.92710534558203916</v>
      </c>
      <c r="AB4" s="2">
        <f t="shared" si="0"/>
        <v>0.92710534558203916</v>
      </c>
      <c r="AC4" s="2">
        <f t="shared" si="0"/>
        <v>0.92710534558203916</v>
      </c>
      <c r="AD4" s="2">
        <f t="shared" si="0"/>
        <v>0.92710534558203916</v>
      </c>
      <c r="AE4" s="2">
        <f t="shared" si="0"/>
        <v>0.92710534558203916</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s="2">
        <f>'ethanol content'!$J$3</f>
        <v>7.2894654417960836E-2</v>
      </c>
      <c r="C6" s="2">
        <f>$B$6</f>
        <v>7.2894654417960836E-2</v>
      </c>
      <c r="D6" s="2">
        <f t="shared" ref="D6:AE6" si="1">$B$6</f>
        <v>7.2894654417960836E-2</v>
      </c>
      <c r="E6" s="2">
        <f t="shared" si="1"/>
        <v>7.2894654417960836E-2</v>
      </c>
      <c r="F6" s="2">
        <f t="shared" si="1"/>
        <v>7.2894654417960836E-2</v>
      </c>
      <c r="G6" s="2">
        <f t="shared" si="1"/>
        <v>7.2894654417960836E-2</v>
      </c>
      <c r="H6" s="2">
        <f t="shared" si="1"/>
        <v>7.2894654417960836E-2</v>
      </c>
      <c r="I6" s="2">
        <f t="shared" si="1"/>
        <v>7.2894654417960836E-2</v>
      </c>
      <c r="J6" s="2">
        <f t="shared" si="1"/>
        <v>7.2894654417960836E-2</v>
      </c>
      <c r="K6" s="2">
        <f t="shared" si="1"/>
        <v>7.2894654417960836E-2</v>
      </c>
      <c r="L6" s="2">
        <f t="shared" si="1"/>
        <v>7.2894654417960836E-2</v>
      </c>
      <c r="M6" s="2">
        <f t="shared" si="1"/>
        <v>7.2894654417960836E-2</v>
      </c>
      <c r="N6" s="2">
        <f t="shared" si="1"/>
        <v>7.2894654417960836E-2</v>
      </c>
      <c r="O6" s="2">
        <f t="shared" si="1"/>
        <v>7.2894654417960836E-2</v>
      </c>
      <c r="P6" s="2">
        <f t="shared" si="1"/>
        <v>7.2894654417960836E-2</v>
      </c>
      <c r="Q6" s="2">
        <f t="shared" si="1"/>
        <v>7.2894654417960836E-2</v>
      </c>
      <c r="R6" s="2">
        <f t="shared" si="1"/>
        <v>7.2894654417960836E-2</v>
      </c>
      <c r="S6" s="2">
        <f t="shared" si="1"/>
        <v>7.2894654417960836E-2</v>
      </c>
      <c r="T6" s="2">
        <f t="shared" si="1"/>
        <v>7.2894654417960836E-2</v>
      </c>
      <c r="U6" s="2">
        <f t="shared" si="1"/>
        <v>7.2894654417960836E-2</v>
      </c>
      <c r="V6" s="2">
        <f t="shared" si="1"/>
        <v>7.2894654417960836E-2</v>
      </c>
      <c r="W6" s="2">
        <f t="shared" si="1"/>
        <v>7.2894654417960836E-2</v>
      </c>
      <c r="X6" s="2">
        <f t="shared" si="1"/>
        <v>7.2894654417960836E-2</v>
      </c>
      <c r="Y6" s="2">
        <f t="shared" si="1"/>
        <v>7.2894654417960836E-2</v>
      </c>
      <c r="Z6" s="2">
        <f t="shared" si="1"/>
        <v>7.2894654417960836E-2</v>
      </c>
      <c r="AA6" s="2">
        <f t="shared" si="1"/>
        <v>7.2894654417960836E-2</v>
      </c>
      <c r="AB6" s="2">
        <f t="shared" si="1"/>
        <v>7.2894654417960836E-2</v>
      </c>
      <c r="AC6" s="2">
        <f t="shared" si="1"/>
        <v>7.2894654417960836E-2</v>
      </c>
      <c r="AD6" s="2">
        <f t="shared" si="1"/>
        <v>7.2894654417960836E-2</v>
      </c>
      <c r="AE6" s="2">
        <f t="shared" si="1"/>
        <v>7.2894654417960836E-2</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AC11"/>
  <sheetViews>
    <sheetView workbookViewId="0">
      <selection activeCell="B1" sqref="B1"/>
    </sheetView>
  </sheetViews>
  <sheetFormatPr defaultRowHeight="14.75"/>
  <cols>
    <col min="1" max="1" width="22.54296875" customWidth="1"/>
  </cols>
  <sheetData>
    <row r="1" spans="1:29" ht="29.5">
      <c r="A1" s="10" t="s">
        <v>85</v>
      </c>
      <c r="B1">
        <f>'Biodiesel Fraction'!D6</f>
        <v>2023</v>
      </c>
      <c r="C1">
        <f>'Biodiesel Fraction'!E6</f>
        <v>2024</v>
      </c>
      <c r="D1">
        <f>'Biodiesel Fraction'!F6</f>
        <v>2025</v>
      </c>
      <c r="E1">
        <f>'Biodiesel Fraction'!G6</f>
        <v>2026</v>
      </c>
      <c r="F1">
        <f>'Biodiesel Fraction'!H6</f>
        <v>2027</v>
      </c>
      <c r="G1">
        <f>'Biodiesel Fraction'!I6</f>
        <v>2028</v>
      </c>
      <c r="H1">
        <f>'Biodiesel Fraction'!J6</f>
        <v>2029</v>
      </c>
      <c r="I1">
        <f>'Biodiesel Fraction'!K6</f>
        <v>2030</v>
      </c>
      <c r="J1">
        <f>'Biodiesel Fraction'!L6</f>
        <v>2031</v>
      </c>
      <c r="K1">
        <f>'Biodiesel Fraction'!M6</f>
        <v>2032</v>
      </c>
      <c r="L1">
        <f>'Biodiesel Fraction'!N6</f>
        <v>2033</v>
      </c>
      <c r="M1">
        <f>'Biodiesel Fraction'!O6</f>
        <v>2034</v>
      </c>
      <c r="N1">
        <f>'Biodiesel Fraction'!P6</f>
        <v>2035</v>
      </c>
      <c r="O1">
        <f>'Biodiesel Fraction'!Q6</f>
        <v>2036</v>
      </c>
      <c r="P1">
        <f>'Biodiesel Fraction'!R6</f>
        <v>2037</v>
      </c>
      <c r="Q1">
        <f>'Biodiesel Fraction'!S6</f>
        <v>2038</v>
      </c>
      <c r="R1">
        <f>'Biodiesel Fraction'!T6</f>
        <v>2039</v>
      </c>
      <c r="S1">
        <f>'Biodiesel Fraction'!U6</f>
        <v>2040</v>
      </c>
      <c r="T1">
        <f>'Biodiesel Fraction'!V6</f>
        <v>2041</v>
      </c>
      <c r="U1">
        <f>'Biodiesel Fraction'!W6</f>
        <v>2042</v>
      </c>
      <c r="V1">
        <f>'Biodiesel Fraction'!X6</f>
        <v>2043</v>
      </c>
      <c r="W1">
        <f>'Biodiesel Fraction'!Y6</f>
        <v>2044</v>
      </c>
      <c r="X1">
        <f>'Biodiesel Fraction'!Z6</f>
        <v>2045</v>
      </c>
      <c r="Y1">
        <f>'Biodiesel Fraction'!AA6</f>
        <v>2046</v>
      </c>
      <c r="Z1">
        <f>'Biodiesel Fraction'!AB6</f>
        <v>2047</v>
      </c>
      <c r="AA1">
        <f>'Biodiesel Fraction'!AC6</f>
        <v>2048</v>
      </c>
      <c r="AB1">
        <f>'Biodiesel Fraction'!AD6</f>
        <v>2049</v>
      </c>
      <c r="AC1">
        <f>'Biodiesel Fraction'!AE6</f>
        <v>2050</v>
      </c>
    </row>
    <row r="2" spans="1:29">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18</v>
      </c>
      <c r="B5">
        <f>IF('Biodiesel Fraction'!$B20,1-'Biodiesel Fraction'!B30,1)</f>
        <v>0.96756119768275339</v>
      </c>
      <c r="C5">
        <f>IF('Biodiesel Fraction'!$B20,1-'Biodiesel Fraction'!C30,1)</f>
        <v>0.96041416638410693</v>
      </c>
      <c r="D5">
        <f>IF('Biodiesel Fraction'!$B20,1-'Biodiesel Fraction'!D30,1)</f>
        <v>0.96701182303643263</v>
      </c>
      <c r="E5">
        <f>IF('Biodiesel Fraction'!$B20,1-'Biodiesel Fraction'!E30,1)</f>
        <v>0.96640793844184825</v>
      </c>
      <c r="F5">
        <f>IF('Biodiesel Fraction'!$B20,1-'Biodiesel Fraction'!F30,1)</f>
        <v>0.96812500177766059</v>
      </c>
      <c r="G5">
        <f>IF('Biodiesel Fraction'!$B20,1-'Biodiesel Fraction'!G30,1)</f>
        <v>0.98009198824562427</v>
      </c>
      <c r="H5">
        <f>IF('Biodiesel Fraction'!$B20,1-'Biodiesel Fraction'!H30,1)</f>
        <v>0.97650452180774017</v>
      </c>
      <c r="I5">
        <f>IF('Biodiesel Fraction'!$B20,1-'Biodiesel Fraction'!I30,1)</f>
        <v>0.97528675799062703</v>
      </c>
      <c r="J5">
        <f>IF('Biodiesel Fraction'!$B20,1-'Biodiesel Fraction'!J30,1)</f>
        <v>0.97454250056113867</v>
      </c>
      <c r="K5">
        <f>IF('Biodiesel Fraction'!$B20,1-'Biodiesel Fraction'!K30,1)</f>
        <v>0.97401501182850003</v>
      </c>
      <c r="L5">
        <f>IF('Biodiesel Fraction'!$B20,1-'Biodiesel Fraction'!L30,1)</f>
        <v>0.97258517715476844</v>
      </c>
      <c r="M5">
        <f>IF('Biodiesel Fraction'!$B20,1-'Biodiesel Fraction'!M30,1)</f>
        <v>0.96979508221703403</v>
      </c>
      <c r="N5">
        <f>IF('Biodiesel Fraction'!$B20,1-'Biodiesel Fraction'!N30,1)</f>
        <v>0.96766971774253063</v>
      </c>
      <c r="O5">
        <f>IF('Biodiesel Fraction'!$B20,1-'Biodiesel Fraction'!O30,1)</f>
        <v>0.96759671637630318</v>
      </c>
      <c r="P5">
        <f>IF('Biodiesel Fraction'!$B20,1-'Biodiesel Fraction'!P30,1)</f>
        <v>0.96572788563008749</v>
      </c>
      <c r="Q5">
        <f>IF('Biodiesel Fraction'!$B20,1-'Biodiesel Fraction'!Q30,1)</f>
        <v>0.96556610352491634</v>
      </c>
      <c r="R5">
        <f>IF('Biodiesel Fraction'!$B20,1-'Biodiesel Fraction'!R30,1)</f>
        <v>0.96573361538170976</v>
      </c>
      <c r="S5">
        <f>IF('Biodiesel Fraction'!$B20,1-'Biodiesel Fraction'!S30,1)</f>
        <v>0.96595948602255566</v>
      </c>
      <c r="T5">
        <f>IF('Biodiesel Fraction'!$B20,1-'Biodiesel Fraction'!T30,1)</f>
        <v>0.9662221978880392</v>
      </c>
      <c r="U5">
        <f>IF('Biodiesel Fraction'!$B20,1-'Biodiesel Fraction'!U30,1)</f>
        <v>0.96655142709382569</v>
      </c>
      <c r="V5">
        <f>IF('Biodiesel Fraction'!$B20,1-'Biodiesel Fraction'!V30,1)</f>
        <v>0.96691298126636527</v>
      </c>
      <c r="W5">
        <f>IF('Biodiesel Fraction'!$B20,1-'Biodiesel Fraction'!W30,1)</f>
        <v>0.96721144133880754</v>
      </c>
      <c r="X5">
        <f>IF('Biodiesel Fraction'!$B20,1-'Biodiesel Fraction'!X30,1)</f>
        <v>0.96767255313167799</v>
      </c>
      <c r="Y5">
        <f>IF('Biodiesel Fraction'!$B20,1-'Biodiesel Fraction'!Y30,1)</f>
        <v>0.96816560444733579</v>
      </c>
      <c r="Z5">
        <f>IF('Biodiesel Fraction'!$B20,1-'Biodiesel Fraction'!Z30,1)</f>
        <v>0.9688055995027004</v>
      </c>
      <c r="AA5">
        <f>IF('Biodiesel Fraction'!$B20,1-'Biodiesel Fraction'!AA30,1)</f>
        <v>0.96948707930314626</v>
      </c>
      <c r="AB5">
        <f>IF('Biodiesel Fraction'!$B20,1-'Biodiesel Fraction'!AB30,1)</f>
        <v>0.97019068153310561</v>
      </c>
      <c r="AC5">
        <f>IF('Biodiesel Fraction'!$B20,1-'Biodiesel Fraction'!AC30,1)</f>
        <v>0.9708979053403729</v>
      </c>
    </row>
    <row r="6" spans="1:29">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21</v>
      </c>
      <c r="B7">
        <f>IF('Biodiesel Fraction'!$B20,'Biodiesel Fraction'!B30,0)</f>
        <v>3.2438802317246634E-2</v>
      </c>
      <c r="C7">
        <f>IF('Biodiesel Fraction'!$B20,'Biodiesel Fraction'!C30,0)</f>
        <v>3.9585833615893101E-2</v>
      </c>
      <c r="D7">
        <f>IF('Biodiesel Fraction'!$B20,'Biodiesel Fraction'!D30,0)</f>
        <v>3.2988176963567352E-2</v>
      </c>
      <c r="E7">
        <f>IF('Biodiesel Fraction'!$B20,'Biodiesel Fraction'!E30,0)</f>
        <v>3.3592061558151781E-2</v>
      </c>
      <c r="F7">
        <f>IF('Biodiesel Fraction'!$B20,'Biodiesel Fraction'!F30,0)</f>
        <v>3.1874998222339357E-2</v>
      </c>
      <c r="G7">
        <f>IF('Biodiesel Fraction'!$B20,'Biodiesel Fraction'!G30,0)</f>
        <v>1.9908011754375773E-2</v>
      </c>
      <c r="H7">
        <f>IF('Biodiesel Fraction'!$B20,'Biodiesel Fraction'!H30,0)</f>
        <v>2.3495478192259833E-2</v>
      </c>
      <c r="I7">
        <f>IF('Biodiesel Fraction'!$B20,'Biodiesel Fraction'!I30,0)</f>
        <v>2.4713242009373016E-2</v>
      </c>
      <c r="J7">
        <f>IF('Biodiesel Fraction'!$B20,'Biodiesel Fraction'!J30,0)</f>
        <v>2.5457499438861282E-2</v>
      </c>
      <c r="K7">
        <f>IF('Biodiesel Fraction'!$B20,'Biodiesel Fraction'!K30,0)</f>
        <v>2.5984988171500023E-2</v>
      </c>
      <c r="L7">
        <f>IF('Biodiesel Fraction'!$B20,'Biodiesel Fraction'!L30,0)</f>
        <v>2.7414822845231571E-2</v>
      </c>
      <c r="M7">
        <f>IF('Biodiesel Fraction'!$B20,'Biodiesel Fraction'!M30,0)</f>
        <v>3.0204917782965933E-2</v>
      </c>
      <c r="N7">
        <f>IF('Biodiesel Fraction'!$B20,'Biodiesel Fraction'!N30,0)</f>
        <v>3.2330282257469367E-2</v>
      </c>
      <c r="O7">
        <f>IF('Biodiesel Fraction'!$B20,'Biodiesel Fraction'!O30,0)</f>
        <v>3.240328362369687E-2</v>
      </c>
      <c r="P7">
        <f>IF('Biodiesel Fraction'!$B20,'Biodiesel Fraction'!P30,0)</f>
        <v>3.4272114369912537E-2</v>
      </c>
      <c r="Q7">
        <f>IF('Biodiesel Fraction'!$B20,'Biodiesel Fraction'!Q30,0)</f>
        <v>3.4433896475083707E-2</v>
      </c>
      <c r="R7">
        <f>IF('Biodiesel Fraction'!$B20,'Biodiesel Fraction'!R30,0)</f>
        <v>3.4266384618290291E-2</v>
      </c>
      <c r="S7">
        <f>IF('Biodiesel Fraction'!$B20,'Biodiesel Fraction'!S30,0)</f>
        <v>3.4040513977444335E-2</v>
      </c>
      <c r="T7">
        <f>IF('Biodiesel Fraction'!$B20,'Biodiesel Fraction'!T30,0)</f>
        <v>3.3777802111960777E-2</v>
      </c>
      <c r="U7">
        <f>IF('Biodiesel Fraction'!$B20,'Biodiesel Fraction'!U30,0)</f>
        <v>3.3448572906174312E-2</v>
      </c>
      <c r="V7">
        <f>IF('Biodiesel Fraction'!$B20,'Biodiesel Fraction'!V30,0)</f>
        <v>3.3087018733634767E-2</v>
      </c>
      <c r="W7">
        <f>IF('Biodiesel Fraction'!$B20,'Biodiesel Fraction'!W30,0)</f>
        <v>3.2788558661192499E-2</v>
      </c>
      <c r="X7">
        <f>IF('Biodiesel Fraction'!$B20,'Biodiesel Fraction'!X30,0)</f>
        <v>3.2327446868322056E-2</v>
      </c>
      <c r="Y7">
        <f>IF('Biodiesel Fraction'!$B20,'Biodiesel Fraction'!Y30,0)</f>
        <v>3.1834395552664221E-2</v>
      </c>
      <c r="Z7">
        <f>IF('Biodiesel Fraction'!$B20,'Biodiesel Fraction'!Z30,0)</f>
        <v>3.1194400497299647E-2</v>
      </c>
      <c r="AA7">
        <f>IF('Biodiesel Fraction'!$B20,'Biodiesel Fraction'!AA30,0)</f>
        <v>3.0512920696853785E-2</v>
      </c>
      <c r="AB7">
        <f>IF('Biodiesel Fraction'!$B20,'Biodiesel Fraction'!AB30,0)</f>
        <v>2.9809318466894396E-2</v>
      </c>
      <c r="AC7">
        <f>IF('Biodiesel Fraction'!$B20,'Biodiesel Fraction'!AC30,0)</f>
        <v>2.9102094659627049E-2</v>
      </c>
    </row>
    <row r="8" spans="1:29">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AC11"/>
  <sheetViews>
    <sheetView workbookViewId="0">
      <selection activeCell="C6" sqref="C6"/>
    </sheetView>
  </sheetViews>
  <sheetFormatPr defaultRowHeight="14.75"/>
  <cols>
    <col min="1" max="1" width="22.54296875" customWidth="1"/>
  </cols>
  <sheetData>
    <row r="1" spans="1:29" ht="29.5">
      <c r="A1" s="10" t="s">
        <v>85</v>
      </c>
      <c r="B1">
        <f>'Biodiesel Fraction'!D6</f>
        <v>2023</v>
      </c>
      <c r="C1">
        <f>'Biodiesel Fraction'!E6</f>
        <v>2024</v>
      </c>
      <c r="D1">
        <f>'Biodiesel Fraction'!F6</f>
        <v>2025</v>
      </c>
      <c r="E1">
        <f>'Biodiesel Fraction'!G6</f>
        <v>2026</v>
      </c>
      <c r="F1">
        <f>'Biodiesel Fraction'!H6</f>
        <v>2027</v>
      </c>
      <c r="G1">
        <f>'Biodiesel Fraction'!I6</f>
        <v>2028</v>
      </c>
      <c r="H1">
        <f>'Biodiesel Fraction'!J6</f>
        <v>2029</v>
      </c>
      <c r="I1">
        <f>'Biodiesel Fraction'!K6</f>
        <v>2030</v>
      </c>
      <c r="J1">
        <f>'Biodiesel Fraction'!L6</f>
        <v>2031</v>
      </c>
      <c r="K1">
        <f>'Biodiesel Fraction'!M6</f>
        <v>2032</v>
      </c>
      <c r="L1">
        <f>'Biodiesel Fraction'!N6</f>
        <v>2033</v>
      </c>
      <c r="M1">
        <f>'Biodiesel Fraction'!O6</f>
        <v>2034</v>
      </c>
      <c r="N1">
        <f>'Biodiesel Fraction'!P6</f>
        <v>2035</v>
      </c>
      <c r="O1">
        <f>'Biodiesel Fraction'!Q6</f>
        <v>2036</v>
      </c>
      <c r="P1">
        <f>'Biodiesel Fraction'!R6</f>
        <v>2037</v>
      </c>
      <c r="Q1">
        <f>'Biodiesel Fraction'!S6</f>
        <v>2038</v>
      </c>
      <c r="R1">
        <f>'Biodiesel Fraction'!T6</f>
        <v>2039</v>
      </c>
      <c r="S1">
        <f>'Biodiesel Fraction'!U6</f>
        <v>2040</v>
      </c>
      <c r="T1">
        <f>'Biodiesel Fraction'!V6</f>
        <v>2041</v>
      </c>
      <c r="U1">
        <f>'Biodiesel Fraction'!W6</f>
        <v>2042</v>
      </c>
      <c r="V1">
        <f>'Biodiesel Fraction'!X6</f>
        <v>2043</v>
      </c>
      <c r="W1">
        <f>'Biodiesel Fraction'!Y6</f>
        <v>2044</v>
      </c>
      <c r="X1">
        <f>'Biodiesel Fraction'!Z6</f>
        <v>2045</v>
      </c>
      <c r="Y1">
        <f>'Biodiesel Fraction'!AA6</f>
        <v>2046</v>
      </c>
      <c r="Z1">
        <f>'Biodiesel Fraction'!AB6</f>
        <v>2047</v>
      </c>
      <c r="AA1">
        <f>'Biodiesel Fraction'!AC6</f>
        <v>2048</v>
      </c>
      <c r="AB1">
        <f>'Biodiesel Fraction'!AD6</f>
        <v>2049</v>
      </c>
      <c r="AC1">
        <f>'Biodiesel Fraction'!AE6</f>
        <v>2050</v>
      </c>
    </row>
    <row r="2" spans="1:29">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row>
    <row r="3" spans="1:29">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18</v>
      </c>
      <c r="B5">
        <f>IF('Biodiesel Fraction'!$B20,1-'Biodiesel Fraction'!B30,1)*(1-B2)</f>
        <v>0.43540253895723896</v>
      </c>
      <c r="C5">
        <f>IF('Biodiesel Fraction'!$B20,1-'Biodiesel Fraction'!C30,1)*(1-C2)</f>
        <v>0.43218637487284806</v>
      </c>
      <c r="D5">
        <f>IF('Biodiesel Fraction'!$B20,1-'Biodiesel Fraction'!D30,1)*(1-D2)</f>
        <v>0.43515532036639465</v>
      </c>
      <c r="E5">
        <f>IF('Biodiesel Fraction'!$B20,1-'Biodiesel Fraction'!E30,1)*(1-E2)</f>
        <v>0.43488357229883168</v>
      </c>
      <c r="F5">
        <f>IF('Biodiesel Fraction'!$B20,1-'Biodiesel Fraction'!F30,1)*(1-F2)</f>
        <v>0.43565625079994724</v>
      </c>
      <c r="G5">
        <f>IF('Biodiesel Fraction'!$B20,1-'Biodiesel Fraction'!G30,1)*(1-G2)</f>
        <v>0.44104139471053089</v>
      </c>
      <c r="H5">
        <f>IF('Biodiesel Fraction'!$B20,1-'Biodiesel Fraction'!H30,1)*(1-H2)</f>
        <v>0.43942703481348305</v>
      </c>
      <c r="I5">
        <f>IF('Biodiesel Fraction'!$B20,1-'Biodiesel Fraction'!I30,1)*(1-I2)</f>
        <v>0.43887904109578213</v>
      </c>
      <c r="J5">
        <f>IF('Biodiesel Fraction'!$B20,1-'Biodiesel Fraction'!J30,1)*(1-J2)</f>
        <v>0.43854412525251235</v>
      </c>
      <c r="K5">
        <f>IF('Biodiesel Fraction'!$B20,1-'Biodiesel Fraction'!K30,1)*(1-K2)</f>
        <v>0.43830675532282498</v>
      </c>
      <c r="L5">
        <f>IF('Biodiesel Fraction'!$B20,1-'Biodiesel Fraction'!L30,1)*(1-L2)</f>
        <v>0.43766332971964578</v>
      </c>
      <c r="M5">
        <f>IF('Biodiesel Fraction'!$B20,1-'Biodiesel Fraction'!M30,1)*(1-M2)</f>
        <v>0.43640778699766525</v>
      </c>
      <c r="N5">
        <f>IF('Biodiesel Fraction'!$B20,1-'Biodiesel Fraction'!N30,1)*(1-N2)</f>
        <v>0.43545137298413872</v>
      </c>
      <c r="O5">
        <f>IF('Biodiesel Fraction'!$B20,1-'Biodiesel Fraction'!O30,1)*(1-O2)</f>
        <v>0.43541852236933637</v>
      </c>
      <c r="P5">
        <f>IF('Biodiesel Fraction'!$B20,1-'Biodiesel Fraction'!P30,1)*(1-P2)</f>
        <v>0.4345775485335393</v>
      </c>
      <c r="Q5">
        <f>IF('Biodiesel Fraction'!$B20,1-'Biodiesel Fraction'!Q30,1)*(1-Q2)</f>
        <v>0.4345047465862123</v>
      </c>
      <c r="R5">
        <f>IF('Biodiesel Fraction'!$B20,1-'Biodiesel Fraction'!R30,1)*(1-R2)</f>
        <v>0.43458012692176934</v>
      </c>
      <c r="S5">
        <f>IF('Biodiesel Fraction'!$B20,1-'Biodiesel Fraction'!S30,1)*(1-S2)</f>
        <v>0.43468176871015002</v>
      </c>
      <c r="T5">
        <f>IF('Biodiesel Fraction'!$B20,1-'Biodiesel Fraction'!T30,1)*(1-T2)</f>
        <v>0.43479998904961759</v>
      </c>
      <c r="U5">
        <f>IF('Biodiesel Fraction'!$B20,1-'Biodiesel Fraction'!U30,1)*(1-U2)</f>
        <v>0.4349481421922215</v>
      </c>
      <c r="V5">
        <f>IF('Biodiesel Fraction'!$B20,1-'Biodiesel Fraction'!V30,1)*(1-V2)</f>
        <v>0.43511084156986435</v>
      </c>
      <c r="W5">
        <f>IF('Biodiesel Fraction'!$B20,1-'Biodiesel Fraction'!W30,1)*(1-W2)</f>
        <v>0.43524514860246333</v>
      </c>
      <c r="X5">
        <f>IF('Biodiesel Fraction'!$B20,1-'Biodiesel Fraction'!X30,1)*(1-X2)</f>
        <v>0.43545264890925506</v>
      </c>
      <c r="Y5">
        <f>IF('Biodiesel Fraction'!$B20,1-'Biodiesel Fraction'!Y30,1)*(1-Y2)</f>
        <v>0.43567452200130108</v>
      </c>
      <c r="Z5">
        <f>IF('Biodiesel Fraction'!$B20,1-'Biodiesel Fraction'!Z30,1)*(1-Z2)</f>
        <v>0.43596251977621514</v>
      </c>
      <c r="AA5">
        <f>IF('Biodiesel Fraction'!$B20,1-'Biodiesel Fraction'!AA30,1)*(1-AA2)</f>
        <v>0.43626918568641576</v>
      </c>
      <c r="AB5">
        <f>IF('Biodiesel Fraction'!$B20,1-'Biodiesel Fraction'!AB30,1)*(1-AB2)</f>
        <v>0.43658580668989749</v>
      </c>
      <c r="AC5">
        <f>IF('Biodiesel Fraction'!$B20,1-'Biodiesel Fraction'!AC30,1)*(1-AC2)</f>
        <v>0.43690405740316779</v>
      </c>
    </row>
    <row r="6" spans="1:29">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21</v>
      </c>
      <c r="B7">
        <f>IF('Biodiesel Fraction'!$B20,'Biodiesel Fraction'!B30,0)*(1-B2)</f>
        <v>1.4597461042760985E-2</v>
      </c>
      <c r="C7">
        <f>IF('Biodiesel Fraction'!$B20,'Biodiesel Fraction'!C30,0)*(1-C2)</f>
        <v>1.7813625127151893E-2</v>
      </c>
      <c r="D7">
        <f>IF('Biodiesel Fraction'!$B20,'Biodiesel Fraction'!D30,0)*(1-D2)</f>
        <v>1.4844679633605307E-2</v>
      </c>
      <c r="E7">
        <f>IF('Biodiesel Fraction'!$B20,'Biodiesel Fraction'!E30,0)*(1-E2)</f>
        <v>1.51164277011683E-2</v>
      </c>
      <c r="F7">
        <f>IF('Biodiesel Fraction'!$B20,'Biodiesel Fraction'!F30,0)*(1-F2)</f>
        <v>1.434374920005271E-2</v>
      </c>
      <c r="G7">
        <f>IF('Biodiesel Fraction'!$B20,'Biodiesel Fraction'!G30,0)*(1-G2)</f>
        <v>8.9586052894690977E-3</v>
      </c>
      <c r="H7">
        <f>IF('Biodiesel Fraction'!$B20,'Biodiesel Fraction'!H30,0)*(1-H2)</f>
        <v>1.0572965186516924E-2</v>
      </c>
      <c r="I7">
        <f>IF('Biodiesel Fraction'!$B20,'Biodiesel Fraction'!I30,0)*(1-I2)</f>
        <v>1.1120958904217855E-2</v>
      </c>
      <c r="J7">
        <f>IF('Biodiesel Fraction'!$B20,'Biodiesel Fraction'!J30,0)*(1-J2)</f>
        <v>1.1455874747487577E-2</v>
      </c>
      <c r="K7">
        <f>IF('Biodiesel Fraction'!$B20,'Biodiesel Fraction'!K30,0)*(1-K2)</f>
        <v>1.1693244677175009E-2</v>
      </c>
      <c r="L7">
        <f>IF('Biodiesel Fraction'!$B20,'Biodiesel Fraction'!L30,0)*(1-L2)</f>
        <v>1.2336670280354206E-2</v>
      </c>
      <c r="M7">
        <f>IF('Biodiesel Fraction'!$B20,'Biodiesel Fraction'!M30,0)*(1-M2)</f>
        <v>1.3592213002334668E-2</v>
      </c>
      <c r="N7">
        <f>IF('Biodiesel Fraction'!$B20,'Biodiesel Fraction'!N30,0)*(1-N2)</f>
        <v>1.4548627015861213E-2</v>
      </c>
      <c r="O7">
        <f>IF('Biodiesel Fraction'!$B20,'Biodiesel Fraction'!O30,0)*(1-O2)</f>
        <v>1.458147763066359E-2</v>
      </c>
      <c r="P7">
        <f>IF('Biodiesel Fraction'!$B20,'Biodiesel Fraction'!P30,0)*(1-P2)</f>
        <v>1.5422451466460641E-2</v>
      </c>
      <c r="Q7">
        <f>IF('Biodiesel Fraction'!$B20,'Biodiesel Fraction'!Q30,0)*(1-Q2)</f>
        <v>1.5495253413787666E-2</v>
      </c>
      <c r="R7">
        <f>IF('Biodiesel Fraction'!$B20,'Biodiesel Fraction'!R30,0)*(1-R2)</f>
        <v>1.5419873078230629E-2</v>
      </c>
      <c r="S7">
        <f>IF('Biodiesel Fraction'!$B20,'Biodiesel Fraction'!S30,0)*(1-S2)</f>
        <v>1.5318231289849949E-2</v>
      </c>
      <c r="T7">
        <f>IF('Biodiesel Fraction'!$B20,'Biodiesel Fraction'!T30,0)*(1-T2)</f>
        <v>1.5200010950382347E-2</v>
      </c>
      <c r="U7">
        <f>IF('Biodiesel Fraction'!$B20,'Biodiesel Fraction'!U30,0)*(1-U2)</f>
        <v>1.505185780777844E-2</v>
      </c>
      <c r="V7">
        <f>IF('Biodiesel Fraction'!$B20,'Biodiesel Fraction'!V30,0)*(1-V2)</f>
        <v>1.4889158430135644E-2</v>
      </c>
      <c r="W7">
        <f>IF('Biodiesel Fraction'!$B20,'Biodiesel Fraction'!W30,0)*(1-W2)</f>
        <v>1.4754851397536623E-2</v>
      </c>
      <c r="X7">
        <f>IF('Biodiesel Fraction'!$B20,'Biodiesel Fraction'!X30,0)*(1-X2)</f>
        <v>1.4547351090744924E-2</v>
      </c>
      <c r="Y7">
        <f>IF('Biodiesel Fraction'!$B20,'Biodiesel Fraction'!Y30,0)*(1-Y2)</f>
        <v>1.4325477998698898E-2</v>
      </c>
      <c r="Z7">
        <f>IF('Biodiesel Fraction'!$B20,'Biodiesel Fraction'!Z30,0)*(1-Z2)</f>
        <v>1.4037480223784839E-2</v>
      </c>
      <c r="AA7">
        <f>IF('Biodiesel Fraction'!$B20,'Biodiesel Fraction'!AA30,0)*(1-AA2)</f>
        <v>1.3730814313584203E-2</v>
      </c>
      <c r="AB7">
        <f>IF('Biodiesel Fraction'!$B20,'Biodiesel Fraction'!AB30,0)*(1-AB2)</f>
        <v>1.3414193310102476E-2</v>
      </c>
      <c r="AC7">
        <f>IF('Biodiesel Fraction'!$B20,'Biodiesel Fraction'!AC30,0)*(1-AC2)</f>
        <v>1.3095942596832172E-2</v>
      </c>
    </row>
    <row r="8" spans="1:29">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3"/>
  </sheetPr>
  <dimension ref="A1:AI11"/>
  <sheetViews>
    <sheetView workbookViewId="0">
      <selection activeCell="B1" sqref="B1:AE1"/>
    </sheetView>
  </sheetViews>
  <sheetFormatPr defaultRowHeight="14.75"/>
  <cols>
    <col min="1" max="1" width="22.54296875" customWidth="1"/>
  </cols>
  <sheetData>
    <row r="1" spans="1:35"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3"/>
  </sheetPr>
  <dimension ref="A1:AI11"/>
  <sheetViews>
    <sheetView workbookViewId="0">
      <selection activeCell="B1" sqref="B1:AE1"/>
    </sheetView>
  </sheetViews>
  <sheetFormatPr defaultRowHeight="14.75"/>
  <cols>
    <col min="1" max="1" width="22.54296875" customWidth="1"/>
  </cols>
  <sheetData>
    <row r="1" spans="1:35"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0000"/>
  </sheetPr>
  <dimension ref="A1"/>
  <sheetViews>
    <sheetView workbookViewId="0"/>
  </sheetViews>
  <sheetFormatPr defaultRowHeight="14.75"/>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3"/>
  </sheetPr>
  <dimension ref="A1:AE11"/>
  <sheetViews>
    <sheetView workbookViewId="0">
      <selection activeCell="A11" sqref="A11"/>
    </sheetView>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3"/>
  </sheetPr>
  <dimension ref="A1:AE11"/>
  <sheetViews>
    <sheetView workbookViewId="0">
      <selection activeCell="A11" sqref="A11"/>
    </sheetView>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3"/>
  </sheetPr>
  <dimension ref="A1:AH11"/>
  <sheetViews>
    <sheetView topLeftCell="C1" workbookViewId="0">
      <selection activeCell="AE1" sqref="AE1"/>
    </sheetView>
  </sheetViews>
  <sheetFormatPr defaultRowHeight="14.75"/>
  <cols>
    <col min="1" max="1" width="22.54296875" customWidth="1"/>
  </cols>
  <sheetData>
    <row r="1" spans="1:34"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4">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4">
      <c r="A4" t="s">
        <v>17</v>
      </c>
      <c r="B4" s="2">
        <f>1-B6</f>
        <v>0.92710534558203916</v>
      </c>
      <c r="C4" s="2">
        <f t="shared" ref="C4:AE4" si="0">1-C6</f>
        <v>0.92710534558203916</v>
      </c>
      <c r="D4" s="2">
        <f t="shared" si="0"/>
        <v>0.92710534558203916</v>
      </c>
      <c r="E4" s="2">
        <f t="shared" si="0"/>
        <v>0.92710534558203916</v>
      </c>
      <c r="F4" s="2">
        <f t="shared" si="0"/>
        <v>0.92710534558203916</v>
      </c>
      <c r="G4" s="2">
        <f t="shared" si="0"/>
        <v>0.92710534558203916</v>
      </c>
      <c r="H4" s="2">
        <f t="shared" si="0"/>
        <v>0.92710534558203916</v>
      </c>
      <c r="I4" s="2">
        <f t="shared" si="0"/>
        <v>0.92710534558203916</v>
      </c>
      <c r="J4" s="2">
        <f t="shared" si="0"/>
        <v>0.92710534558203916</v>
      </c>
      <c r="K4" s="2">
        <f t="shared" si="0"/>
        <v>0.92710534558203916</v>
      </c>
      <c r="L4" s="2">
        <f t="shared" si="0"/>
        <v>0.92710534558203916</v>
      </c>
      <c r="M4" s="2">
        <f t="shared" si="0"/>
        <v>0.92710534558203916</v>
      </c>
      <c r="N4" s="2">
        <f t="shared" si="0"/>
        <v>0.92710534558203916</v>
      </c>
      <c r="O4" s="2">
        <f t="shared" si="0"/>
        <v>0.92710534558203916</v>
      </c>
      <c r="P4" s="2">
        <f t="shared" si="0"/>
        <v>0.92710534558203916</v>
      </c>
      <c r="Q4" s="2">
        <f t="shared" si="0"/>
        <v>0.92710534558203916</v>
      </c>
      <c r="R4" s="2">
        <f t="shared" si="0"/>
        <v>0.92710534558203916</v>
      </c>
      <c r="S4" s="2">
        <f t="shared" si="0"/>
        <v>0.92710534558203916</v>
      </c>
      <c r="T4" s="2">
        <f t="shared" si="0"/>
        <v>0.92710534558203916</v>
      </c>
      <c r="U4" s="2">
        <f t="shared" si="0"/>
        <v>0.92710534558203916</v>
      </c>
      <c r="V4" s="2">
        <f t="shared" si="0"/>
        <v>0.92710534558203916</v>
      </c>
      <c r="W4" s="2">
        <f t="shared" si="0"/>
        <v>0.92710534558203916</v>
      </c>
      <c r="X4" s="2">
        <f t="shared" si="0"/>
        <v>0.92710534558203916</v>
      </c>
      <c r="Y4" s="2">
        <f t="shared" si="0"/>
        <v>0.92710534558203916</v>
      </c>
      <c r="Z4" s="2">
        <f t="shared" si="0"/>
        <v>0.92710534558203916</v>
      </c>
      <c r="AA4" s="2">
        <f t="shared" si="0"/>
        <v>0.92710534558203916</v>
      </c>
      <c r="AB4" s="2">
        <f t="shared" si="0"/>
        <v>0.92710534558203916</v>
      </c>
      <c r="AC4" s="2">
        <f t="shared" si="0"/>
        <v>0.92710534558203916</v>
      </c>
      <c r="AD4" s="2">
        <f t="shared" si="0"/>
        <v>0.92710534558203916</v>
      </c>
      <c r="AE4" s="2">
        <f t="shared" si="0"/>
        <v>0.92710534558203916</v>
      </c>
      <c r="AF4" s="2"/>
      <c r="AG4" s="2"/>
      <c r="AH4" s="2"/>
    </row>
    <row r="5" spans="1:34">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4">
      <c r="A6" t="s">
        <v>19</v>
      </c>
      <c r="B6" s="2">
        <f>'ethanol content'!$J$3</f>
        <v>7.2894654417960836E-2</v>
      </c>
      <c r="C6" s="2">
        <f>$B$6</f>
        <v>7.2894654417960836E-2</v>
      </c>
      <c r="D6" s="2">
        <f t="shared" ref="D6:AE6" si="1">$B$6</f>
        <v>7.2894654417960836E-2</v>
      </c>
      <c r="E6" s="2">
        <f t="shared" si="1"/>
        <v>7.2894654417960836E-2</v>
      </c>
      <c r="F6" s="2">
        <f t="shared" si="1"/>
        <v>7.2894654417960836E-2</v>
      </c>
      <c r="G6" s="2">
        <f t="shared" si="1"/>
        <v>7.2894654417960836E-2</v>
      </c>
      <c r="H6" s="2">
        <f t="shared" si="1"/>
        <v>7.2894654417960836E-2</v>
      </c>
      <c r="I6" s="2">
        <f t="shared" si="1"/>
        <v>7.2894654417960836E-2</v>
      </c>
      <c r="J6" s="2">
        <f t="shared" si="1"/>
        <v>7.2894654417960836E-2</v>
      </c>
      <c r="K6" s="2">
        <f t="shared" si="1"/>
        <v>7.2894654417960836E-2</v>
      </c>
      <c r="L6" s="2">
        <f t="shared" si="1"/>
        <v>7.2894654417960836E-2</v>
      </c>
      <c r="M6" s="2">
        <f t="shared" si="1"/>
        <v>7.2894654417960836E-2</v>
      </c>
      <c r="N6" s="2">
        <f t="shared" si="1"/>
        <v>7.2894654417960836E-2</v>
      </c>
      <c r="O6" s="2">
        <f t="shared" si="1"/>
        <v>7.2894654417960836E-2</v>
      </c>
      <c r="P6" s="2">
        <f t="shared" si="1"/>
        <v>7.2894654417960836E-2</v>
      </c>
      <c r="Q6" s="2">
        <f t="shared" si="1"/>
        <v>7.2894654417960836E-2</v>
      </c>
      <c r="R6" s="2">
        <f t="shared" si="1"/>
        <v>7.2894654417960836E-2</v>
      </c>
      <c r="S6" s="2">
        <f t="shared" si="1"/>
        <v>7.2894654417960836E-2</v>
      </c>
      <c r="T6" s="2">
        <f t="shared" si="1"/>
        <v>7.2894654417960836E-2</v>
      </c>
      <c r="U6" s="2">
        <f t="shared" si="1"/>
        <v>7.2894654417960836E-2</v>
      </c>
      <c r="V6" s="2">
        <f t="shared" si="1"/>
        <v>7.2894654417960836E-2</v>
      </c>
      <c r="W6" s="2">
        <f t="shared" si="1"/>
        <v>7.2894654417960836E-2</v>
      </c>
      <c r="X6" s="2">
        <f t="shared" si="1"/>
        <v>7.2894654417960836E-2</v>
      </c>
      <c r="Y6" s="2">
        <f t="shared" si="1"/>
        <v>7.2894654417960836E-2</v>
      </c>
      <c r="Z6" s="2">
        <f t="shared" si="1"/>
        <v>7.2894654417960836E-2</v>
      </c>
      <c r="AA6" s="2">
        <f t="shared" si="1"/>
        <v>7.2894654417960836E-2</v>
      </c>
      <c r="AB6" s="2">
        <f t="shared" si="1"/>
        <v>7.2894654417960836E-2</v>
      </c>
      <c r="AC6" s="2">
        <f t="shared" si="1"/>
        <v>7.2894654417960836E-2</v>
      </c>
      <c r="AD6" s="2">
        <f t="shared" si="1"/>
        <v>7.2894654417960836E-2</v>
      </c>
      <c r="AE6" s="2">
        <f t="shared" si="1"/>
        <v>7.2894654417960836E-2</v>
      </c>
      <c r="AF6" s="2"/>
      <c r="AG6" s="2"/>
      <c r="AH6" s="2"/>
    </row>
    <row r="7" spans="1:34">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4">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4">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4">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4">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3"/>
  </sheetPr>
  <dimension ref="A1:AC11"/>
  <sheetViews>
    <sheetView workbookViewId="0"/>
  </sheetViews>
  <sheetFormatPr defaultRowHeight="14.75"/>
  <cols>
    <col min="1" max="1" width="22.54296875" customWidth="1"/>
  </cols>
  <sheetData>
    <row r="1" spans="1:29" ht="29.5">
      <c r="A1" s="10" t="s">
        <v>85</v>
      </c>
      <c r="B1">
        <f>'Biodiesel Fraction'!D6</f>
        <v>2023</v>
      </c>
      <c r="C1">
        <f>'Biodiesel Fraction'!E6</f>
        <v>2024</v>
      </c>
      <c r="D1">
        <f>'Biodiesel Fraction'!F6</f>
        <v>2025</v>
      </c>
      <c r="E1">
        <f>'Biodiesel Fraction'!G6</f>
        <v>2026</v>
      </c>
      <c r="F1">
        <f>'Biodiesel Fraction'!H6</f>
        <v>2027</v>
      </c>
      <c r="G1">
        <f>'Biodiesel Fraction'!I6</f>
        <v>2028</v>
      </c>
      <c r="H1">
        <f>'Biodiesel Fraction'!J6</f>
        <v>2029</v>
      </c>
      <c r="I1">
        <f>'Biodiesel Fraction'!K6</f>
        <v>2030</v>
      </c>
      <c r="J1">
        <f>'Biodiesel Fraction'!L6</f>
        <v>2031</v>
      </c>
      <c r="K1">
        <f>'Biodiesel Fraction'!M6</f>
        <v>2032</v>
      </c>
      <c r="L1">
        <f>'Biodiesel Fraction'!N6</f>
        <v>2033</v>
      </c>
      <c r="M1">
        <f>'Biodiesel Fraction'!O6</f>
        <v>2034</v>
      </c>
      <c r="N1">
        <f>'Biodiesel Fraction'!P6</f>
        <v>2035</v>
      </c>
      <c r="O1">
        <f>'Biodiesel Fraction'!Q6</f>
        <v>2036</v>
      </c>
      <c r="P1">
        <f>'Biodiesel Fraction'!R6</f>
        <v>2037</v>
      </c>
      <c r="Q1">
        <f>'Biodiesel Fraction'!S6</f>
        <v>2038</v>
      </c>
      <c r="R1">
        <f>'Biodiesel Fraction'!T6</f>
        <v>2039</v>
      </c>
      <c r="S1">
        <f>'Biodiesel Fraction'!U6</f>
        <v>2040</v>
      </c>
      <c r="T1">
        <f>'Biodiesel Fraction'!V6</f>
        <v>2041</v>
      </c>
      <c r="U1">
        <f>'Biodiesel Fraction'!W6</f>
        <v>2042</v>
      </c>
      <c r="V1">
        <f>'Biodiesel Fraction'!X6</f>
        <v>2043</v>
      </c>
      <c r="W1">
        <f>'Biodiesel Fraction'!Y6</f>
        <v>2044</v>
      </c>
      <c r="X1">
        <f>'Biodiesel Fraction'!Z6</f>
        <v>2045</v>
      </c>
      <c r="Y1">
        <f>'Biodiesel Fraction'!AA6</f>
        <v>2046</v>
      </c>
      <c r="Z1">
        <f>'Biodiesel Fraction'!AB6</f>
        <v>2047</v>
      </c>
      <c r="AA1">
        <f>'Biodiesel Fraction'!AC6</f>
        <v>2048</v>
      </c>
      <c r="AB1">
        <f>'Biodiesel Fraction'!AD6</f>
        <v>2049</v>
      </c>
      <c r="AC1">
        <f>'Biodiesel Fraction'!AE6</f>
        <v>2050</v>
      </c>
    </row>
    <row r="2" spans="1:29">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18</v>
      </c>
      <c r="B5">
        <f>IF('Biodiesel Fraction'!$B21,1-'Biodiesel Fraction'!B30,1)</f>
        <v>0.96756119768275339</v>
      </c>
      <c r="C5">
        <f>IF('Biodiesel Fraction'!$B21,1-'Biodiesel Fraction'!C30,1)</f>
        <v>0.96041416638410693</v>
      </c>
      <c r="D5">
        <f>IF('Biodiesel Fraction'!$B21,1-'Biodiesel Fraction'!D30,1)</f>
        <v>0.96701182303643263</v>
      </c>
      <c r="E5">
        <f>IF('Biodiesel Fraction'!$B21,1-'Biodiesel Fraction'!E30,1)</f>
        <v>0.96640793844184825</v>
      </c>
      <c r="F5">
        <f>IF('Biodiesel Fraction'!$B21,1-'Biodiesel Fraction'!F30,1)</f>
        <v>0.96812500177766059</v>
      </c>
      <c r="G5">
        <f>IF('Biodiesel Fraction'!$B21,1-'Biodiesel Fraction'!G30,1)</f>
        <v>0.98009198824562427</v>
      </c>
      <c r="H5">
        <f>IF('Biodiesel Fraction'!$B21,1-'Biodiesel Fraction'!H30,1)</f>
        <v>0.97650452180774017</v>
      </c>
      <c r="I5">
        <f>IF('Biodiesel Fraction'!$B21,1-'Biodiesel Fraction'!I30,1)</f>
        <v>0.97528675799062703</v>
      </c>
      <c r="J5">
        <f>IF('Biodiesel Fraction'!$B21,1-'Biodiesel Fraction'!J30,1)</f>
        <v>0.97454250056113867</v>
      </c>
      <c r="K5">
        <f>IF('Biodiesel Fraction'!$B21,1-'Biodiesel Fraction'!K30,1)</f>
        <v>0.97401501182850003</v>
      </c>
      <c r="L5">
        <f>IF('Biodiesel Fraction'!$B21,1-'Biodiesel Fraction'!L30,1)</f>
        <v>0.97258517715476844</v>
      </c>
      <c r="M5">
        <f>IF('Biodiesel Fraction'!$B21,1-'Biodiesel Fraction'!M30,1)</f>
        <v>0.96979508221703403</v>
      </c>
      <c r="N5">
        <f>IF('Biodiesel Fraction'!$B21,1-'Biodiesel Fraction'!N30,1)</f>
        <v>0.96766971774253063</v>
      </c>
      <c r="O5">
        <f>IF('Biodiesel Fraction'!$B21,1-'Biodiesel Fraction'!O30,1)</f>
        <v>0.96759671637630318</v>
      </c>
      <c r="P5">
        <f>IF('Biodiesel Fraction'!$B21,1-'Biodiesel Fraction'!P30,1)</f>
        <v>0.96572788563008749</v>
      </c>
      <c r="Q5">
        <f>IF('Biodiesel Fraction'!$B21,1-'Biodiesel Fraction'!Q30,1)</f>
        <v>0.96556610352491634</v>
      </c>
      <c r="R5">
        <f>IF('Biodiesel Fraction'!$B21,1-'Biodiesel Fraction'!R30,1)</f>
        <v>0.96573361538170976</v>
      </c>
      <c r="S5">
        <f>IF('Biodiesel Fraction'!$B21,1-'Biodiesel Fraction'!S30,1)</f>
        <v>0.96595948602255566</v>
      </c>
      <c r="T5">
        <f>IF('Biodiesel Fraction'!$B21,1-'Biodiesel Fraction'!T30,1)</f>
        <v>0.9662221978880392</v>
      </c>
      <c r="U5">
        <f>IF('Biodiesel Fraction'!$B21,1-'Biodiesel Fraction'!U30,1)</f>
        <v>0.96655142709382569</v>
      </c>
      <c r="V5">
        <f>IF('Biodiesel Fraction'!$B21,1-'Biodiesel Fraction'!V30,1)</f>
        <v>0.96691298126636527</v>
      </c>
      <c r="W5">
        <f>IF('Biodiesel Fraction'!$B21,1-'Biodiesel Fraction'!W30,1)</f>
        <v>0.96721144133880754</v>
      </c>
      <c r="X5">
        <f>IF('Biodiesel Fraction'!$B21,1-'Biodiesel Fraction'!X30,1)</f>
        <v>0.96767255313167799</v>
      </c>
      <c r="Y5">
        <f>IF('Biodiesel Fraction'!$B21,1-'Biodiesel Fraction'!Y30,1)</f>
        <v>0.96816560444733579</v>
      </c>
      <c r="Z5">
        <f>IF('Biodiesel Fraction'!$B21,1-'Biodiesel Fraction'!Z30,1)</f>
        <v>0.9688055995027004</v>
      </c>
      <c r="AA5">
        <f>IF('Biodiesel Fraction'!$B21,1-'Biodiesel Fraction'!AA30,1)</f>
        <v>0.96948707930314626</v>
      </c>
      <c r="AB5">
        <f>IF('Biodiesel Fraction'!$B21,1-'Biodiesel Fraction'!AB30,1)</f>
        <v>0.97019068153310561</v>
      </c>
      <c r="AC5">
        <f>IF('Biodiesel Fraction'!$B21,1-'Biodiesel Fraction'!AC30,1)</f>
        <v>0.9708979053403729</v>
      </c>
    </row>
    <row r="6" spans="1:29">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21</v>
      </c>
      <c r="B7">
        <f>IF('Biodiesel Fraction'!$B21,'Biodiesel Fraction'!B30,0)</f>
        <v>3.2438802317246634E-2</v>
      </c>
      <c r="C7">
        <f>IF('Biodiesel Fraction'!$B21,'Biodiesel Fraction'!C30,0)</f>
        <v>3.9585833615893101E-2</v>
      </c>
      <c r="D7">
        <f>IF('Biodiesel Fraction'!$B21,'Biodiesel Fraction'!D30,0)</f>
        <v>3.2988176963567352E-2</v>
      </c>
      <c r="E7">
        <f>IF('Biodiesel Fraction'!$B21,'Biodiesel Fraction'!E30,0)</f>
        <v>3.3592061558151781E-2</v>
      </c>
      <c r="F7">
        <f>IF('Biodiesel Fraction'!$B21,'Biodiesel Fraction'!F30,0)</f>
        <v>3.1874998222339357E-2</v>
      </c>
      <c r="G7">
        <f>IF('Biodiesel Fraction'!$B21,'Biodiesel Fraction'!G30,0)</f>
        <v>1.9908011754375773E-2</v>
      </c>
      <c r="H7">
        <f>IF('Biodiesel Fraction'!$B21,'Biodiesel Fraction'!H30,0)</f>
        <v>2.3495478192259833E-2</v>
      </c>
      <c r="I7">
        <f>IF('Biodiesel Fraction'!$B21,'Biodiesel Fraction'!I30,0)</f>
        <v>2.4713242009373016E-2</v>
      </c>
      <c r="J7">
        <f>IF('Biodiesel Fraction'!$B21,'Biodiesel Fraction'!J30,0)</f>
        <v>2.5457499438861282E-2</v>
      </c>
      <c r="K7">
        <f>IF('Biodiesel Fraction'!$B21,'Biodiesel Fraction'!K30,0)</f>
        <v>2.5984988171500023E-2</v>
      </c>
      <c r="L7">
        <f>IF('Biodiesel Fraction'!$B21,'Biodiesel Fraction'!L30,0)</f>
        <v>2.7414822845231571E-2</v>
      </c>
      <c r="M7">
        <f>IF('Biodiesel Fraction'!$B21,'Biodiesel Fraction'!M30,0)</f>
        <v>3.0204917782965933E-2</v>
      </c>
      <c r="N7">
        <f>IF('Biodiesel Fraction'!$B21,'Biodiesel Fraction'!N30,0)</f>
        <v>3.2330282257469367E-2</v>
      </c>
      <c r="O7">
        <f>IF('Biodiesel Fraction'!$B21,'Biodiesel Fraction'!O30,0)</f>
        <v>3.240328362369687E-2</v>
      </c>
      <c r="P7">
        <f>IF('Biodiesel Fraction'!$B21,'Biodiesel Fraction'!P30,0)</f>
        <v>3.4272114369912537E-2</v>
      </c>
      <c r="Q7">
        <f>IF('Biodiesel Fraction'!$B21,'Biodiesel Fraction'!Q30,0)</f>
        <v>3.4433896475083707E-2</v>
      </c>
      <c r="R7">
        <f>IF('Biodiesel Fraction'!$B21,'Biodiesel Fraction'!R30,0)</f>
        <v>3.4266384618290291E-2</v>
      </c>
      <c r="S7">
        <f>IF('Biodiesel Fraction'!$B21,'Biodiesel Fraction'!S30,0)</f>
        <v>3.4040513977444335E-2</v>
      </c>
      <c r="T7">
        <f>IF('Biodiesel Fraction'!$B21,'Biodiesel Fraction'!T30,0)</f>
        <v>3.3777802111960777E-2</v>
      </c>
      <c r="U7">
        <f>IF('Biodiesel Fraction'!$B21,'Biodiesel Fraction'!U30,0)</f>
        <v>3.3448572906174312E-2</v>
      </c>
      <c r="V7">
        <f>IF('Biodiesel Fraction'!$B21,'Biodiesel Fraction'!V30,0)</f>
        <v>3.3087018733634767E-2</v>
      </c>
      <c r="W7">
        <f>IF('Biodiesel Fraction'!$B21,'Biodiesel Fraction'!W30,0)</f>
        <v>3.2788558661192499E-2</v>
      </c>
      <c r="X7">
        <f>IF('Biodiesel Fraction'!$B21,'Biodiesel Fraction'!X30,0)</f>
        <v>3.2327446868322056E-2</v>
      </c>
      <c r="Y7">
        <f>IF('Biodiesel Fraction'!$B21,'Biodiesel Fraction'!Y30,0)</f>
        <v>3.1834395552664221E-2</v>
      </c>
      <c r="Z7">
        <f>IF('Biodiesel Fraction'!$B21,'Biodiesel Fraction'!Z30,0)</f>
        <v>3.1194400497299647E-2</v>
      </c>
      <c r="AA7">
        <f>IF('Biodiesel Fraction'!$B21,'Biodiesel Fraction'!AA30,0)</f>
        <v>3.0512920696853785E-2</v>
      </c>
      <c r="AB7">
        <f>IF('Biodiesel Fraction'!$B21,'Biodiesel Fraction'!AB30,0)</f>
        <v>2.9809318466894396E-2</v>
      </c>
      <c r="AC7">
        <f>IF('Biodiesel Fraction'!$B21,'Biodiesel Fraction'!AC30,0)</f>
        <v>2.9102094659627049E-2</v>
      </c>
    </row>
    <row r="8" spans="1:29">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3"/>
  </sheetPr>
  <dimension ref="A1:AC11"/>
  <sheetViews>
    <sheetView workbookViewId="0">
      <selection activeCell="B1" sqref="B1"/>
    </sheetView>
  </sheetViews>
  <sheetFormatPr defaultRowHeight="14.75"/>
  <cols>
    <col min="1" max="1" width="22.54296875" customWidth="1"/>
  </cols>
  <sheetData>
    <row r="1" spans="1:29" ht="29.5">
      <c r="A1" s="10" t="s">
        <v>85</v>
      </c>
      <c r="B1">
        <f>'Biodiesel Fraction'!D6</f>
        <v>2023</v>
      </c>
      <c r="C1">
        <f>'Biodiesel Fraction'!E6</f>
        <v>2024</v>
      </c>
      <c r="D1">
        <f>'Biodiesel Fraction'!F6</f>
        <v>2025</v>
      </c>
      <c r="E1">
        <f>'Biodiesel Fraction'!G6</f>
        <v>2026</v>
      </c>
      <c r="F1">
        <f>'Biodiesel Fraction'!H6</f>
        <v>2027</v>
      </c>
      <c r="G1">
        <f>'Biodiesel Fraction'!I6</f>
        <v>2028</v>
      </c>
      <c r="H1">
        <f>'Biodiesel Fraction'!J6</f>
        <v>2029</v>
      </c>
      <c r="I1">
        <f>'Biodiesel Fraction'!K6</f>
        <v>2030</v>
      </c>
      <c r="J1">
        <f>'Biodiesel Fraction'!L6</f>
        <v>2031</v>
      </c>
      <c r="K1">
        <f>'Biodiesel Fraction'!M6</f>
        <v>2032</v>
      </c>
      <c r="L1">
        <f>'Biodiesel Fraction'!N6</f>
        <v>2033</v>
      </c>
      <c r="M1">
        <f>'Biodiesel Fraction'!O6</f>
        <v>2034</v>
      </c>
      <c r="N1">
        <f>'Biodiesel Fraction'!P6</f>
        <v>2035</v>
      </c>
      <c r="O1">
        <f>'Biodiesel Fraction'!Q6</f>
        <v>2036</v>
      </c>
      <c r="P1">
        <f>'Biodiesel Fraction'!R6</f>
        <v>2037</v>
      </c>
      <c r="Q1">
        <f>'Biodiesel Fraction'!S6</f>
        <v>2038</v>
      </c>
      <c r="R1">
        <f>'Biodiesel Fraction'!T6</f>
        <v>2039</v>
      </c>
      <c r="S1">
        <f>'Biodiesel Fraction'!U6</f>
        <v>2040</v>
      </c>
      <c r="T1">
        <f>'Biodiesel Fraction'!V6</f>
        <v>2041</v>
      </c>
      <c r="U1">
        <f>'Biodiesel Fraction'!W6</f>
        <v>2042</v>
      </c>
      <c r="V1">
        <f>'Biodiesel Fraction'!X6</f>
        <v>2043</v>
      </c>
      <c r="W1">
        <f>'Biodiesel Fraction'!Y6</f>
        <v>2044</v>
      </c>
      <c r="X1">
        <f>'Biodiesel Fraction'!Z6</f>
        <v>2045</v>
      </c>
      <c r="Y1">
        <f>'Biodiesel Fraction'!AA6</f>
        <v>2046</v>
      </c>
      <c r="Z1">
        <f>'Biodiesel Fraction'!AB6</f>
        <v>2047</v>
      </c>
      <c r="AA1">
        <f>'Biodiesel Fraction'!AC6</f>
        <v>2048</v>
      </c>
      <c r="AB1">
        <f>'Biodiesel Fraction'!AD6</f>
        <v>2049</v>
      </c>
      <c r="AC1">
        <f>'Biodiesel Fraction'!AE6</f>
        <v>2050</v>
      </c>
    </row>
    <row r="2" spans="1:29">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row>
    <row r="3" spans="1:29">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18</v>
      </c>
      <c r="B5">
        <f>IF('Biodiesel Fraction'!$B21,1-'Biodiesel Fraction'!B30,1)*(1-B2)</f>
        <v>0.43540253895723896</v>
      </c>
      <c r="C5">
        <f>IF('Biodiesel Fraction'!$B21,1-'Biodiesel Fraction'!C30,1)*(1-C2)</f>
        <v>0.43218637487284806</v>
      </c>
      <c r="D5">
        <f>IF('Biodiesel Fraction'!$B21,1-'Biodiesel Fraction'!D30,1)*(1-D2)</f>
        <v>0.43515532036639465</v>
      </c>
      <c r="E5">
        <f>IF('Biodiesel Fraction'!$B21,1-'Biodiesel Fraction'!E30,1)*(1-E2)</f>
        <v>0.43488357229883168</v>
      </c>
      <c r="F5">
        <f>IF('Biodiesel Fraction'!$B21,1-'Biodiesel Fraction'!F30,1)*(1-F2)</f>
        <v>0.43565625079994724</v>
      </c>
      <c r="G5">
        <f>IF('Biodiesel Fraction'!$B21,1-'Biodiesel Fraction'!G30,1)*(1-G2)</f>
        <v>0.44104139471053089</v>
      </c>
      <c r="H5">
        <f>IF('Biodiesel Fraction'!$B21,1-'Biodiesel Fraction'!H30,1)*(1-H2)</f>
        <v>0.43942703481348305</v>
      </c>
      <c r="I5">
        <f>IF('Biodiesel Fraction'!$B21,1-'Biodiesel Fraction'!I30,1)*(1-I2)</f>
        <v>0.43887904109578213</v>
      </c>
      <c r="J5">
        <f>IF('Biodiesel Fraction'!$B21,1-'Biodiesel Fraction'!J30,1)*(1-J2)</f>
        <v>0.43854412525251235</v>
      </c>
      <c r="K5">
        <f>IF('Biodiesel Fraction'!$B21,1-'Biodiesel Fraction'!K30,1)*(1-K2)</f>
        <v>0.43830675532282498</v>
      </c>
      <c r="L5">
        <f>IF('Biodiesel Fraction'!$B21,1-'Biodiesel Fraction'!L30,1)*(1-L2)</f>
        <v>0.43766332971964578</v>
      </c>
      <c r="M5">
        <f>IF('Biodiesel Fraction'!$B21,1-'Biodiesel Fraction'!M30,1)*(1-M2)</f>
        <v>0.43640778699766525</v>
      </c>
      <c r="N5">
        <f>IF('Biodiesel Fraction'!$B21,1-'Biodiesel Fraction'!N30,1)*(1-N2)</f>
        <v>0.43545137298413872</v>
      </c>
      <c r="O5">
        <f>IF('Biodiesel Fraction'!$B21,1-'Biodiesel Fraction'!O30,1)*(1-O2)</f>
        <v>0.43541852236933637</v>
      </c>
      <c r="P5">
        <f>IF('Biodiesel Fraction'!$B21,1-'Biodiesel Fraction'!P30,1)*(1-P2)</f>
        <v>0.4345775485335393</v>
      </c>
      <c r="Q5">
        <f>IF('Biodiesel Fraction'!$B21,1-'Biodiesel Fraction'!Q30,1)*(1-Q2)</f>
        <v>0.4345047465862123</v>
      </c>
      <c r="R5">
        <f>IF('Biodiesel Fraction'!$B21,1-'Biodiesel Fraction'!R30,1)*(1-R2)</f>
        <v>0.43458012692176934</v>
      </c>
      <c r="S5">
        <f>IF('Biodiesel Fraction'!$B21,1-'Biodiesel Fraction'!S30,1)*(1-S2)</f>
        <v>0.43468176871015002</v>
      </c>
      <c r="T5">
        <f>IF('Biodiesel Fraction'!$B21,1-'Biodiesel Fraction'!T30,1)*(1-T2)</f>
        <v>0.43479998904961759</v>
      </c>
      <c r="U5">
        <f>IF('Biodiesel Fraction'!$B21,1-'Biodiesel Fraction'!U30,1)*(1-U2)</f>
        <v>0.4349481421922215</v>
      </c>
      <c r="V5">
        <f>IF('Biodiesel Fraction'!$B21,1-'Biodiesel Fraction'!V30,1)*(1-V2)</f>
        <v>0.43511084156986435</v>
      </c>
      <c r="W5">
        <f>IF('Biodiesel Fraction'!$B21,1-'Biodiesel Fraction'!W30,1)*(1-W2)</f>
        <v>0.43524514860246333</v>
      </c>
      <c r="X5">
        <f>IF('Biodiesel Fraction'!$B21,1-'Biodiesel Fraction'!X30,1)*(1-X2)</f>
        <v>0.43545264890925506</v>
      </c>
      <c r="Y5">
        <f>IF('Biodiesel Fraction'!$B21,1-'Biodiesel Fraction'!Y30,1)*(1-Y2)</f>
        <v>0.43567452200130108</v>
      </c>
      <c r="Z5">
        <f>IF('Biodiesel Fraction'!$B21,1-'Biodiesel Fraction'!Z30,1)*(1-Z2)</f>
        <v>0.43596251977621514</v>
      </c>
      <c r="AA5">
        <f>IF('Biodiesel Fraction'!$B21,1-'Biodiesel Fraction'!AA30,1)*(1-AA2)</f>
        <v>0.43626918568641576</v>
      </c>
      <c r="AB5">
        <f>IF('Biodiesel Fraction'!$B21,1-'Biodiesel Fraction'!AB30,1)*(1-AB2)</f>
        <v>0.43658580668989749</v>
      </c>
      <c r="AC5">
        <f>IF('Biodiesel Fraction'!$B21,1-'Biodiesel Fraction'!AC30,1)*(1-AC2)</f>
        <v>0.43690405740316779</v>
      </c>
    </row>
    <row r="6" spans="1:29">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21</v>
      </c>
      <c r="B7">
        <f>IF('Biodiesel Fraction'!$B21,'Biodiesel Fraction'!B30,0)*(1-B2)</f>
        <v>1.4597461042760985E-2</v>
      </c>
      <c r="C7">
        <f>IF('Biodiesel Fraction'!$B21,'Biodiesel Fraction'!C30,0)*(1-C2)</f>
        <v>1.7813625127151893E-2</v>
      </c>
      <c r="D7">
        <f>IF('Biodiesel Fraction'!$B21,'Biodiesel Fraction'!D30,0)*(1-D2)</f>
        <v>1.4844679633605307E-2</v>
      </c>
      <c r="E7">
        <f>IF('Biodiesel Fraction'!$B21,'Biodiesel Fraction'!E30,0)*(1-E2)</f>
        <v>1.51164277011683E-2</v>
      </c>
      <c r="F7">
        <f>IF('Biodiesel Fraction'!$B21,'Biodiesel Fraction'!F30,0)*(1-F2)</f>
        <v>1.434374920005271E-2</v>
      </c>
      <c r="G7">
        <f>IF('Biodiesel Fraction'!$B21,'Biodiesel Fraction'!G30,0)*(1-G2)</f>
        <v>8.9586052894690977E-3</v>
      </c>
      <c r="H7">
        <f>IF('Biodiesel Fraction'!$B21,'Biodiesel Fraction'!H30,0)*(1-H2)</f>
        <v>1.0572965186516924E-2</v>
      </c>
      <c r="I7">
        <f>IF('Biodiesel Fraction'!$B21,'Biodiesel Fraction'!I30,0)*(1-I2)</f>
        <v>1.1120958904217855E-2</v>
      </c>
      <c r="J7">
        <f>IF('Biodiesel Fraction'!$B21,'Biodiesel Fraction'!J30,0)*(1-J2)</f>
        <v>1.1455874747487577E-2</v>
      </c>
      <c r="K7">
        <f>IF('Biodiesel Fraction'!$B21,'Biodiesel Fraction'!K30,0)*(1-K2)</f>
        <v>1.1693244677175009E-2</v>
      </c>
      <c r="L7">
        <f>IF('Biodiesel Fraction'!$B21,'Biodiesel Fraction'!L30,0)*(1-L2)</f>
        <v>1.2336670280354206E-2</v>
      </c>
      <c r="M7">
        <f>IF('Biodiesel Fraction'!$B21,'Biodiesel Fraction'!M30,0)*(1-M2)</f>
        <v>1.3592213002334668E-2</v>
      </c>
      <c r="N7">
        <f>IF('Biodiesel Fraction'!$B21,'Biodiesel Fraction'!N30,0)*(1-N2)</f>
        <v>1.4548627015861213E-2</v>
      </c>
      <c r="O7">
        <f>IF('Biodiesel Fraction'!$B21,'Biodiesel Fraction'!O30,0)*(1-O2)</f>
        <v>1.458147763066359E-2</v>
      </c>
      <c r="P7">
        <f>IF('Biodiesel Fraction'!$B21,'Biodiesel Fraction'!P30,0)*(1-P2)</f>
        <v>1.5422451466460641E-2</v>
      </c>
      <c r="Q7">
        <f>IF('Biodiesel Fraction'!$B21,'Biodiesel Fraction'!Q30,0)*(1-Q2)</f>
        <v>1.5495253413787666E-2</v>
      </c>
      <c r="R7">
        <f>IF('Biodiesel Fraction'!$B21,'Biodiesel Fraction'!R30,0)*(1-R2)</f>
        <v>1.5419873078230629E-2</v>
      </c>
      <c r="S7">
        <f>IF('Biodiesel Fraction'!$B21,'Biodiesel Fraction'!S30,0)*(1-S2)</f>
        <v>1.5318231289849949E-2</v>
      </c>
      <c r="T7">
        <f>IF('Biodiesel Fraction'!$B21,'Biodiesel Fraction'!T30,0)*(1-T2)</f>
        <v>1.5200010950382347E-2</v>
      </c>
      <c r="U7">
        <f>IF('Biodiesel Fraction'!$B21,'Biodiesel Fraction'!U30,0)*(1-U2)</f>
        <v>1.505185780777844E-2</v>
      </c>
      <c r="V7">
        <f>IF('Biodiesel Fraction'!$B21,'Biodiesel Fraction'!V30,0)*(1-V2)</f>
        <v>1.4889158430135644E-2</v>
      </c>
      <c r="W7">
        <f>IF('Biodiesel Fraction'!$B21,'Biodiesel Fraction'!W30,0)*(1-W2)</f>
        <v>1.4754851397536623E-2</v>
      </c>
      <c r="X7">
        <f>IF('Biodiesel Fraction'!$B21,'Biodiesel Fraction'!X30,0)*(1-X2)</f>
        <v>1.4547351090744924E-2</v>
      </c>
      <c r="Y7">
        <f>IF('Biodiesel Fraction'!$B21,'Biodiesel Fraction'!Y30,0)*(1-Y2)</f>
        <v>1.4325477998698898E-2</v>
      </c>
      <c r="Z7">
        <f>IF('Biodiesel Fraction'!$B21,'Biodiesel Fraction'!Z30,0)*(1-Z2)</f>
        <v>1.4037480223784839E-2</v>
      </c>
      <c r="AA7">
        <f>IF('Biodiesel Fraction'!$B21,'Biodiesel Fraction'!AA30,0)*(1-AA2)</f>
        <v>1.3730814313584203E-2</v>
      </c>
      <c r="AB7">
        <f>IF('Biodiesel Fraction'!$B21,'Biodiesel Fraction'!AB30,0)*(1-AB2)</f>
        <v>1.3414193310102476E-2</v>
      </c>
      <c r="AC7">
        <f>IF('Biodiesel Fraction'!$B21,'Biodiesel Fraction'!AC30,0)*(1-AC2)</f>
        <v>1.3095942596832172E-2</v>
      </c>
    </row>
    <row r="8" spans="1:29">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3"/>
  </sheetPr>
  <dimension ref="A1:AI11"/>
  <sheetViews>
    <sheetView workbookViewId="0">
      <selection activeCell="B1" sqref="B1:AE1"/>
    </sheetView>
  </sheetViews>
  <sheetFormatPr defaultRowHeight="14.75"/>
  <cols>
    <col min="1" max="1" width="22.54296875" customWidth="1"/>
  </cols>
  <sheetData>
    <row r="1" spans="1:35"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3"/>
  </sheetPr>
  <dimension ref="A1:AI11"/>
  <sheetViews>
    <sheetView workbookViewId="0">
      <selection activeCell="B1" sqref="B1:AE1"/>
    </sheetView>
  </sheetViews>
  <sheetFormatPr defaultRowHeight="14.75"/>
  <cols>
    <col min="1" max="1" width="22.54296875" customWidth="1"/>
  </cols>
  <sheetData>
    <row r="1" spans="1:35"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FF0000"/>
  </sheetPr>
  <dimension ref="A1"/>
  <sheetViews>
    <sheetView workbookViewId="0"/>
  </sheetViews>
  <sheetFormatPr defaultRowHeight="14.75"/>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3"/>
  </sheetPr>
  <dimension ref="A1:AE11"/>
  <sheetViews>
    <sheetView workbookViewId="0">
      <selection activeCell="A11" sqref="A11"/>
    </sheetView>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3"/>
  </sheetPr>
  <dimension ref="A1:AE11"/>
  <sheetViews>
    <sheetView workbookViewId="0"/>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theme="3"/>
  </sheetPr>
  <dimension ref="A1:AE11"/>
  <sheetViews>
    <sheetView workbookViewId="0">
      <selection activeCell="A11" sqref="A11"/>
    </sheetView>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theme="3"/>
  </sheetPr>
  <dimension ref="A1:AE11"/>
  <sheetViews>
    <sheetView workbookViewId="0"/>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1</v>
      </c>
      <c r="C8">
        <v>1</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theme="3"/>
  </sheetPr>
  <dimension ref="A1:AE11"/>
  <sheetViews>
    <sheetView workbookViewId="0"/>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FF0000"/>
  </sheetPr>
  <dimension ref="A1"/>
  <sheetViews>
    <sheetView workbookViewId="0"/>
  </sheetViews>
  <sheetFormatPr defaultRowHeight="14.75"/>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theme="3"/>
  </sheetPr>
  <dimension ref="A1:AE11"/>
  <sheetViews>
    <sheetView workbookViewId="0"/>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theme="3"/>
  </sheetPr>
  <dimension ref="A1:AE11"/>
  <sheetViews>
    <sheetView workbookViewId="0"/>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theme="3"/>
  </sheetPr>
  <dimension ref="A1:AE11"/>
  <sheetViews>
    <sheetView workbookViewId="0"/>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theme="3"/>
  </sheetPr>
  <dimension ref="A1:AE11"/>
  <sheetViews>
    <sheetView workbookViewId="0">
      <selection activeCell="A11" sqref="A11"/>
    </sheetView>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1</v>
      </c>
      <c r="C8">
        <v>1</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theme="3"/>
  </sheetPr>
  <dimension ref="A1:AE11"/>
  <sheetViews>
    <sheetView workbookViewId="0"/>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FF0000"/>
  </sheetPr>
  <dimension ref="A1"/>
  <sheetViews>
    <sheetView workbookViewId="0"/>
  </sheetViews>
  <sheetFormatPr defaultRowHeight="14.75"/>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theme="3"/>
  </sheetPr>
  <dimension ref="A1:AE11"/>
  <sheetViews>
    <sheetView workbookViewId="0">
      <selection activeCell="A11" sqref="A11"/>
    </sheetView>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theme="3"/>
  </sheetPr>
  <dimension ref="A1:AE11"/>
  <sheetViews>
    <sheetView workbookViewId="0"/>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theme="3"/>
  </sheetPr>
  <dimension ref="A1:AE11"/>
  <sheetViews>
    <sheetView workbookViewId="0"/>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theme="3"/>
  </sheetPr>
  <dimension ref="A1:AE11"/>
  <sheetViews>
    <sheetView workbookViewId="0">
      <selection activeCell="A11" sqref="A11"/>
    </sheetView>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1</v>
      </c>
      <c r="C5">
        <v>1</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theme="3"/>
  </sheetPr>
  <dimension ref="A1:AE11"/>
  <sheetViews>
    <sheetView workbookViewId="0">
      <selection activeCell="A11" sqref="A11"/>
    </sheetView>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FF0000"/>
  </sheetPr>
  <dimension ref="A1"/>
  <sheetViews>
    <sheetView workbookViewId="0"/>
  </sheetViews>
  <sheetFormatPr defaultRowHeight="14.75"/>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theme="3"/>
  </sheetPr>
  <dimension ref="A1:AE11"/>
  <sheetViews>
    <sheetView workbookViewId="0"/>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theme="3"/>
  </sheetPr>
  <dimension ref="A1:AE11"/>
  <sheetViews>
    <sheetView workbookViewId="0">
      <selection activeCell="A11" sqref="A11"/>
    </sheetView>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theme="3"/>
  </sheetPr>
  <dimension ref="A1:AE11"/>
  <sheetViews>
    <sheetView workbookViewId="0">
      <selection activeCell="A11" sqref="A11"/>
    </sheetView>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theme="3"/>
  </sheetPr>
  <dimension ref="A1:AE11"/>
  <sheetViews>
    <sheetView workbookViewId="0">
      <selection activeCell="A11" sqref="A11"/>
    </sheetView>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1</v>
      </c>
      <c r="C5">
        <v>1</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theme="3"/>
  </sheetPr>
  <dimension ref="A1:AE11"/>
  <sheetViews>
    <sheetView workbookViewId="0"/>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rgb="FFFF0000"/>
  </sheetPr>
  <dimension ref="A1"/>
  <sheetViews>
    <sheetView workbookViewId="0"/>
  </sheetViews>
  <sheetFormatPr defaultRowHeight="14.75"/>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theme="3"/>
  </sheetPr>
  <dimension ref="A1:AE11"/>
  <sheetViews>
    <sheetView workbookViewId="0"/>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tabColor theme="3"/>
  </sheetPr>
  <dimension ref="A1:AE11"/>
  <sheetViews>
    <sheetView workbookViewId="0"/>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tabColor theme="3"/>
  </sheetPr>
  <dimension ref="A1:AE11"/>
  <sheetViews>
    <sheetView zoomScale="80" zoomScaleNormal="80" workbookViewId="0"/>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tabColor theme="3"/>
  </sheetPr>
  <dimension ref="A1:AE11"/>
  <sheetViews>
    <sheetView workbookViewId="0"/>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1</v>
      </c>
      <c r="C5">
        <v>1</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tabColor theme="3"/>
  </sheetPr>
  <dimension ref="A1:AE11"/>
  <sheetViews>
    <sheetView workbookViewId="0"/>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tabColor rgb="FFFF0000"/>
  </sheetPr>
  <dimension ref="A1"/>
  <sheetViews>
    <sheetView workbookViewId="0"/>
  </sheetViews>
  <sheetFormatPr defaultRowHeight="14.75"/>
  <sheetData/>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tabColor theme="3"/>
  </sheetPr>
  <dimension ref="A1:AE11"/>
  <sheetViews>
    <sheetView workbookViewId="0">
      <selection activeCell="F13" sqref="F13"/>
    </sheetView>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tabColor theme="3"/>
  </sheetPr>
  <dimension ref="A1:AE11"/>
  <sheetViews>
    <sheetView workbookViewId="0">
      <selection activeCell="B1" sqref="B1:C11"/>
    </sheetView>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tabColor theme="3"/>
  </sheetPr>
  <dimension ref="A1:AE11"/>
  <sheetViews>
    <sheetView workbookViewId="0">
      <selection activeCell="B1" sqref="B1:C11"/>
    </sheetView>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1</v>
      </c>
      <c r="C4">
        <v>1</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tabColor theme="3"/>
  </sheetPr>
  <dimension ref="A1:AF11"/>
  <sheetViews>
    <sheetView workbookViewId="0">
      <selection activeCell="B10" sqref="B10"/>
    </sheetView>
  </sheetViews>
  <sheetFormatPr defaultRowHeight="14.75"/>
  <cols>
    <col min="1" max="1" width="22.54296875" customWidth="1"/>
    <col min="31" max="31" width="10.86328125" customWidth="1"/>
    <col min="32" max="32" width="9.54296875" style="13" bestFit="1"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s="14">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f>'Freight Ships'!J3/SUM('Freight Ships'!J3:J4)</f>
        <v>0.2527003203514378</v>
      </c>
      <c r="C5">
        <f>B5</f>
        <v>0.2527003203514378</v>
      </c>
      <c r="D5">
        <f t="shared" ref="D5:AE5" si="0">C5</f>
        <v>0.2527003203514378</v>
      </c>
      <c r="E5">
        <f t="shared" si="0"/>
        <v>0.2527003203514378</v>
      </c>
      <c r="F5">
        <f t="shared" si="0"/>
        <v>0.2527003203514378</v>
      </c>
      <c r="G5">
        <f t="shared" si="0"/>
        <v>0.2527003203514378</v>
      </c>
      <c r="H5">
        <f t="shared" si="0"/>
        <v>0.2527003203514378</v>
      </c>
      <c r="I5">
        <f t="shared" si="0"/>
        <v>0.2527003203514378</v>
      </c>
      <c r="J5">
        <f t="shared" si="0"/>
        <v>0.2527003203514378</v>
      </c>
      <c r="K5">
        <f t="shared" si="0"/>
        <v>0.2527003203514378</v>
      </c>
      <c r="L5">
        <f t="shared" si="0"/>
        <v>0.2527003203514378</v>
      </c>
      <c r="M5">
        <f t="shared" si="0"/>
        <v>0.2527003203514378</v>
      </c>
      <c r="N5">
        <f t="shared" si="0"/>
        <v>0.2527003203514378</v>
      </c>
      <c r="O5">
        <f t="shared" si="0"/>
        <v>0.2527003203514378</v>
      </c>
      <c r="P5">
        <f t="shared" si="0"/>
        <v>0.2527003203514378</v>
      </c>
      <c r="Q5">
        <f t="shared" si="0"/>
        <v>0.2527003203514378</v>
      </c>
      <c r="R5">
        <f t="shared" si="0"/>
        <v>0.2527003203514378</v>
      </c>
      <c r="S5">
        <f t="shared" si="0"/>
        <v>0.2527003203514378</v>
      </c>
      <c r="T5">
        <f t="shared" si="0"/>
        <v>0.2527003203514378</v>
      </c>
      <c r="U5">
        <f t="shared" si="0"/>
        <v>0.2527003203514378</v>
      </c>
      <c r="V5">
        <f t="shared" si="0"/>
        <v>0.2527003203514378</v>
      </c>
      <c r="W5">
        <f t="shared" si="0"/>
        <v>0.2527003203514378</v>
      </c>
      <c r="X5">
        <f t="shared" si="0"/>
        <v>0.2527003203514378</v>
      </c>
      <c r="Y5">
        <f t="shared" si="0"/>
        <v>0.2527003203514378</v>
      </c>
      <c r="Z5">
        <f t="shared" si="0"/>
        <v>0.2527003203514378</v>
      </c>
      <c r="AA5">
        <f t="shared" si="0"/>
        <v>0.2527003203514378</v>
      </c>
      <c r="AB5">
        <f t="shared" si="0"/>
        <v>0.2527003203514378</v>
      </c>
      <c r="AC5">
        <f t="shared" si="0"/>
        <v>0.2527003203514378</v>
      </c>
      <c r="AD5">
        <f t="shared" si="0"/>
        <v>0.2527003203514378</v>
      </c>
      <c r="AE5">
        <f t="shared" si="0"/>
        <v>0.2527003203514378</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f>1-B5</f>
        <v>0.74729967964856225</v>
      </c>
      <c r="C9">
        <f>B9</f>
        <v>0.74729967964856225</v>
      </c>
      <c r="D9">
        <f t="shared" ref="D9:AE9" si="1">C9</f>
        <v>0.74729967964856225</v>
      </c>
      <c r="E9">
        <f t="shared" si="1"/>
        <v>0.74729967964856225</v>
      </c>
      <c r="F9">
        <f t="shared" si="1"/>
        <v>0.74729967964856225</v>
      </c>
      <c r="G9">
        <f t="shared" si="1"/>
        <v>0.74729967964856225</v>
      </c>
      <c r="H9">
        <f t="shared" si="1"/>
        <v>0.74729967964856225</v>
      </c>
      <c r="I9">
        <f t="shared" si="1"/>
        <v>0.74729967964856225</v>
      </c>
      <c r="J9">
        <f t="shared" si="1"/>
        <v>0.74729967964856225</v>
      </c>
      <c r="K9">
        <f t="shared" si="1"/>
        <v>0.74729967964856225</v>
      </c>
      <c r="L9">
        <f t="shared" si="1"/>
        <v>0.74729967964856225</v>
      </c>
      <c r="M9">
        <f t="shared" si="1"/>
        <v>0.74729967964856225</v>
      </c>
      <c r="N9">
        <f t="shared" si="1"/>
        <v>0.74729967964856225</v>
      </c>
      <c r="O9">
        <f t="shared" si="1"/>
        <v>0.74729967964856225</v>
      </c>
      <c r="P9">
        <f t="shared" si="1"/>
        <v>0.74729967964856225</v>
      </c>
      <c r="Q9">
        <f t="shared" si="1"/>
        <v>0.74729967964856225</v>
      </c>
      <c r="R9">
        <f t="shared" si="1"/>
        <v>0.74729967964856225</v>
      </c>
      <c r="S9">
        <f t="shared" si="1"/>
        <v>0.74729967964856225</v>
      </c>
      <c r="T9">
        <f t="shared" si="1"/>
        <v>0.74729967964856225</v>
      </c>
      <c r="U9">
        <f t="shared" si="1"/>
        <v>0.74729967964856225</v>
      </c>
      <c r="V9">
        <f t="shared" si="1"/>
        <v>0.74729967964856225</v>
      </c>
      <c r="W9">
        <f t="shared" si="1"/>
        <v>0.74729967964856225</v>
      </c>
      <c r="X9">
        <f t="shared" si="1"/>
        <v>0.74729967964856225</v>
      </c>
      <c r="Y9">
        <f t="shared" si="1"/>
        <v>0.74729967964856225</v>
      </c>
      <c r="Z9">
        <f t="shared" si="1"/>
        <v>0.74729967964856225</v>
      </c>
      <c r="AA9">
        <f t="shared" si="1"/>
        <v>0.74729967964856225</v>
      </c>
      <c r="AB9">
        <f t="shared" si="1"/>
        <v>0.74729967964856225</v>
      </c>
      <c r="AC9">
        <f t="shared" si="1"/>
        <v>0.74729967964856225</v>
      </c>
      <c r="AD9">
        <f t="shared" si="1"/>
        <v>0.74729967964856225</v>
      </c>
      <c r="AE9">
        <f t="shared" si="1"/>
        <v>0.74729967964856225</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tabColor theme="3"/>
  </sheetPr>
  <dimension ref="A1:AE11"/>
  <sheetViews>
    <sheetView workbookViewId="0">
      <selection activeCell="A11" sqref="A11"/>
    </sheetView>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tabColor rgb="FFFF0000"/>
  </sheetPr>
  <dimension ref="A1"/>
  <sheetViews>
    <sheetView workbookViewId="0"/>
  </sheetViews>
  <sheetFormatPr defaultRowHeight="14.75"/>
  <sheetData/>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tabColor theme="3"/>
  </sheetPr>
  <dimension ref="A1:AE11"/>
  <sheetViews>
    <sheetView workbookViewId="0">
      <selection activeCell="F14" sqref="F14"/>
    </sheetView>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tabColor theme="3"/>
  </sheetPr>
  <dimension ref="A1:AE11"/>
  <sheetViews>
    <sheetView topLeftCell="C1" workbookViewId="0">
      <selection activeCell="B1" sqref="B1:AE1"/>
    </sheetView>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tabColor theme="3"/>
  </sheetPr>
  <dimension ref="A1:AI11"/>
  <sheetViews>
    <sheetView workbookViewId="0">
      <selection activeCell="B1" sqref="B1:AE1"/>
    </sheetView>
  </sheetViews>
  <sheetFormatPr defaultRowHeight="14.75"/>
  <cols>
    <col min="1" max="1" width="22.54296875" customWidth="1"/>
  </cols>
  <sheetData>
    <row r="1" spans="1:35"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s="2">
        <f>1-B6</f>
        <v>0.89800000000000002</v>
      </c>
      <c r="C4" s="2">
        <f t="shared" ref="C4:AE4" si="0">1-C6</f>
        <v>0.89800000000000002</v>
      </c>
      <c r="D4" s="2">
        <f t="shared" si="0"/>
        <v>0.89800000000000002</v>
      </c>
      <c r="E4" s="2">
        <f t="shared" si="0"/>
        <v>0.89800000000000002</v>
      </c>
      <c r="F4" s="2">
        <f t="shared" si="0"/>
        <v>0.89800000000000002</v>
      </c>
      <c r="G4" s="2">
        <f t="shared" si="0"/>
        <v>0.89800000000000002</v>
      </c>
      <c r="H4" s="2">
        <f t="shared" si="0"/>
        <v>0.89800000000000002</v>
      </c>
      <c r="I4" s="2">
        <f t="shared" si="0"/>
        <v>0.89800000000000002</v>
      </c>
      <c r="J4" s="2">
        <f t="shared" si="0"/>
        <v>0.89800000000000002</v>
      </c>
      <c r="K4" s="2">
        <f t="shared" si="0"/>
        <v>0.89800000000000002</v>
      </c>
      <c r="L4" s="2">
        <f t="shared" si="0"/>
        <v>0.89800000000000002</v>
      </c>
      <c r="M4" s="2">
        <f t="shared" si="0"/>
        <v>0.89800000000000002</v>
      </c>
      <c r="N4" s="2">
        <f t="shared" si="0"/>
        <v>0.89800000000000002</v>
      </c>
      <c r="O4" s="2">
        <f t="shared" si="0"/>
        <v>0.89800000000000002</v>
      </c>
      <c r="P4" s="2">
        <f t="shared" si="0"/>
        <v>0.89800000000000002</v>
      </c>
      <c r="Q4" s="2">
        <f t="shared" si="0"/>
        <v>0.89800000000000002</v>
      </c>
      <c r="R4" s="2">
        <f t="shared" si="0"/>
        <v>0.89800000000000002</v>
      </c>
      <c r="S4" s="2">
        <f t="shared" si="0"/>
        <v>0.89800000000000002</v>
      </c>
      <c r="T4" s="2">
        <f t="shared" si="0"/>
        <v>0.89800000000000002</v>
      </c>
      <c r="U4" s="2">
        <f t="shared" si="0"/>
        <v>0.89800000000000002</v>
      </c>
      <c r="V4" s="2">
        <f t="shared" si="0"/>
        <v>0.89800000000000002</v>
      </c>
      <c r="W4" s="2">
        <f t="shared" si="0"/>
        <v>0.89800000000000002</v>
      </c>
      <c r="X4" s="2">
        <f t="shared" si="0"/>
        <v>0.89800000000000002</v>
      </c>
      <c r="Y4" s="2">
        <f t="shared" si="0"/>
        <v>0.89800000000000002</v>
      </c>
      <c r="Z4" s="2">
        <f t="shared" si="0"/>
        <v>0.89800000000000002</v>
      </c>
      <c r="AA4" s="2">
        <f t="shared" si="0"/>
        <v>0.89800000000000002</v>
      </c>
      <c r="AB4" s="2">
        <f t="shared" si="0"/>
        <v>0.89800000000000002</v>
      </c>
      <c r="AC4" s="2">
        <f t="shared" si="0"/>
        <v>0.89800000000000002</v>
      </c>
      <c r="AD4" s="2">
        <f t="shared" si="0"/>
        <v>0.89800000000000002</v>
      </c>
      <c r="AE4" s="2">
        <f t="shared" si="0"/>
        <v>0.89800000000000002</v>
      </c>
      <c r="AF4" s="2"/>
      <c r="AG4" s="2"/>
      <c r="AH4" s="2"/>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s="2">
        <f>'EIA-fuel-ethanol-motor-gasoline'!$C$46/100</f>
        <v>0.10199999999999999</v>
      </c>
      <c r="C6" s="2">
        <f>'EIA-fuel-ethanol-motor-gasoline'!$C$46/100</f>
        <v>0.10199999999999999</v>
      </c>
      <c r="D6" s="2">
        <f>'EIA-fuel-ethanol-motor-gasoline'!$C$46/100</f>
        <v>0.10199999999999999</v>
      </c>
      <c r="E6" s="2">
        <f>'EIA-fuel-ethanol-motor-gasoline'!$C$46/100</f>
        <v>0.10199999999999999</v>
      </c>
      <c r="F6" s="2">
        <f>'EIA-fuel-ethanol-motor-gasoline'!$C$46/100</f>
        <v>0.10199999999999999</v>
      </c>
      <c r="G6" s="2">
        <f>'EIA-fuel-ethanol-motor-gasoline'!$C$46/100</f>
        <v>0.10199999999999999</v>
      </c>
      <c r="H6" s="2">
        <f>'EIA-fuel-ethanol-motor-gasoline'!$C$46/100</f>
        <v>0.10199999999999999</v>
      </c>
      <c r="I6" s="2">
        <f>'EIA-fuel-ethanol-motor-gasoline'!$C$46/100</f>
        <v>0.10199999999999999</v>
      </c>
      <c r="J6" s="2">
        <f>'EIA-fuel-ethanol-motor-gasoline'!$C$46/100</f>
        <v>0.10199999999999999</v>
      </c>
      <c r="K6" s="2">
        <f>'EIA-fuel-ethanol-motor-gasoline'!$C$46/100</f>
        <v>0.10199999999999999</v>
      </c>
      <c r="L6" s="2">
        <f>'EIA-fuel-ethanol-motor-gasoline'!$C$46/100</f>
        <v>0.10199999999999999</v>
      </c>
      <c r="M6" s="2">
        <f>'EIA-fuel-ethanol-motor-gasoline'!$C$46/100</f>
        <v>0.10199999999999999</v>
      </c>
      <c r="N6" s="2">
        <f>'EIA-fuel-ethanol-motor-gasoline'!$C$46/100</f>
        <v>0.10199999999999999</v>
      </c>
      <c r="O6" s="2">
        <f>'EIA-fuel-ethanol-motor-gasoline'!$C$46/100</f>
        <v>0.10199999999999999</v>
      </c>
      <c r="P6" s="2">
        <f>'EIA-fuel-ethanol-motor-gasoline'!$C$46/100</f>
        <v>0.10199999999999999</v>
      </c>
      <c r="Q6" s="2">
        <f>'EIA-fuel-ethanol-motor-gasoline'!$C$46/100</f>
        <v>0.10199999999999999</v>
      </c>
      <c r="R6" s="2">
        <f>'EIA-fuel-ethanol-motor-gasoline'!$C$46/100</f>
        <v>0.10199999999999999</v>
      </c>
      <c r="S6" s="2">
        <f>'EIA-fuel-ethanol-motor-gasoline'!$C$46/100</f>
        <v>0.10199999999999999</v>
      </c>
      <c r="T6" s="2">
        <f>'EIA-fuel-ethanol-motor-gasoline'!$C$46/100</f>
        <v>0.10199999999999999</v>
      </c>
      <c r="U6" s="2">
        <f>'EIA-fuel-ethanol-motor-gasoline'!$C$46/100</f>
        <v>0.10199999999999999</v>
      </c>
      <c r="V6" s="2">
        <f>'EIA-fuel-ethanol-motor-gasoline'!$C$46/100</f>
        <v>0.10199999999999999</v>
      </c>
      <c r="W6" s="2">
        <f>'EIA-fuel-ethanol-motor-gasoline'!$C$46/100</f>
        <v>0.10199999999999999</v>
      </c>
      <c r="X6" s="2">
        <f>'EIA-fuel-ethanol-motor-gasoline'!$C$46/100</f>
        <v>0.10199999999999999</v>
      </c>
      <c r="Y6" s="2">
        <f>'EIA-fuel-ethanol-motor-gasoline'!$C$46/100</f>
        <v>0.10199999999999999</v>
      </c>
      <c r="Z6" s="2">
        <f>'EIA-fuel-ethanol-motor-gasoline'!$C$46/100</f>
        <v>0.10199999999999999</v>
      </c>
      <c r="AA6" s="2">
        <f>'EIA-fuel-ethanol-motor-gasoline'!$C$46/100</f>
        <v>0.10199999999999999</v>
      </c>
      <c r="AB6" s="2">
        <f>'EIA-fuel-ethanol-motor-gasoline'!$C$46/100</f>
        <v>0.10199999999999999</v>
      </c>
      <c r="AC6" s="2">
        <f>'EIA-fuel-ethanol-motor-gasoline'!$C$46/100</f>
        <v>0.10199999999999999</v>
      </c>
      <c r="AD6" s="2">
        <f>'EIA-fuel-ethanol-motor-gasoline'!$C$46/100</f>
        <v>0.10199999999999999</v>
      </c>
      <c r="AE6" s="2">
        <f>'EIA-fuel-ethanol-motor-gasoline'!$C$46/100</f>
        <v>0.10199999999999999</v>
      </c>
      <c r="AF6" s="2"/>
      <c r="AG6" s="2"/>
      <c r="AH6" s="2"/>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tabColor theme="3"/>
  </sheetPr>
  <dimension ref="A1:AC11"/>
  <sheetViews>
    <sheetView workbookViewId="0">
      <selection activeCell="B1" sqref="B1"/>
    </sheetView>
  </sheetViews>
  <sheetFormatPr defaultRowHeight="14.75"/>
  <cols>
    <col min="1" max="1" width="22.54296875" customWidth="1"/>
  </cols>
  <sheetData>
    <row r="1" spans="1:29" ht="29.5">
      <c r="A1" s="10" t="s">
        <v>85</v>
      </c>
      <c r="B1">
        <f>'Biodiesel Fraction'!D6</f>
        <v>2023</v>
      </c>
      <c r="C1">
        <f>'Biodiesel Fraction'!E6</f>
        <v>2024</v>
      </c>
      <c r="D1">
        <f>'Biodiesel Fraction'!F6</f>
        <v>2025</v>
      </c>
      <c r="E1">
        <f>'Biodiesel Fraction'!G6</f>
        <v>2026</v>
      </c>
      <c r="F1">
        <f>'Biodiesel Fraction'!H6</f>
        <v>2027</v>
      </c>
      <c r="G1">
        <f>'Biodiesel Fraction'!I6</f>
        <v>2028</v>
      </c>
      <c r="H1">
        <f>'Biodiesel Fraction'!J6</f>
        <v>2029</v>
      </c>
      <c r="I1">
        <f>'Biodiesel Fraction'!K6</f>
        <v>2030</v>
      </c>
      <c r="J1">
        <f>'Biodiesel Fraction'!L6</f>
        <v>2031</v>
      </c>
      <c r="K1">
        <f>'Biodiesel Fraction'!M6</f>
        <v>2032</v>
      </c>
      <c r="L1">
        <f>'Biodiesel Fraction'!N6</f>
        <v>2033</v>
      </c>
      <c r="M1">
        <f>'Biodiesel Fraction'!O6</f>
        <v>2034</v>
      </c>
      <c r="N1">
        <f>'Biodiesel Fraction'!P6</f>
        <v>2035</v>
      </c>
      <c r="O1">
        <f>'Biodiesel Fraction'!Q6</f>
        <v>2036</v>
      </c>
      <c r="P1">
        <f>'Biodiesel Fraction'!R6</f>
        <v>2037</v>
      </c>
      <c r="Q1">
        <f>'Biodiesel Fraction'!S6</f>
        <v>2038</v>
      </c>
      <c r="R1">
        <f>'Biodiesel Fraction'!T6</f>
        <v>2039</v>
      </c>
      <c r="S1">
        <f>'Biodiesel Fraction'!U6</f>
        <v>2040</v>
      </c>
      <c r="T1">
        <f>'Biodiesel Fraction'!V6</f>
        <v>2041</v>
      </c>
      <c r="U1">
        <f>'Biodiesel Fraction'!W6</f>
        <v>2042</v>
      </c>
      <c r="V1">
        <f>'Biodiesel Fraction'!X6</f>
        <v>2043</v>
      </c>
      <c r="W1">
        <f>'Biodiesel Fraction'!Y6</f>
        <v>2044</v>
      </c>
      <c r="X1">
        <f>'Biodiesel Fraction'!Z6</f>
        <v>2045</v>
      </c>
      <c r="Y1">
        <f>'Biodiesel Fraction'!AA6</f>
        <v>2046</v>
      </c>
      <c r="Z1">
        <f>'Biodiesel Fraction'!AB6</f>
        <v>2047</v>
      </c>
      <c r="AA1">
        <f>'Biodiesel Fraction'!AC6</f>
        <v>2048</v>
      </c>
      <c r="AB1">
        <f>'Biodiesel Fraction'!AD6</f>
        <v>2049</v>
      </c>
      <c r="AC1">
        <f>'Biodiesel Fraction'!AE6</f>
        <v>2050</v>
      </c>
    </row>
    <row r="2" spans="1:29">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18</v>
      </c>
      <c r="B5">
        <f>IF('Biodiesel Fraction'!$B18,1-'Biodiesel Fraction'!B30,1)</f>
        <v>0.96756119768275339</v>
      </c>
      <c r="C5">
        <f>IF('Biodiesel Fraction'!$B18,1-'Biodiesel Fraction'!C30,1)</f>
        <v>0.96041416638410693</v>
      </c>
      <c r="D5">
        <f>IF('Biodiesel Fraction'!$B18,1-'Biodiesel Fraction'!D30,1)</f>
        <v>0.96701182303643263</v>
      </c>
      <c r="E5">
        <f>IF('Biodiesel Fraction'!$B18,1-'Biodiesel Fraction'!E30,1)</f>
        <v>0.96640793844184825</v>
      </c>
      <c r="F5">
        <f>IF('Biodiesel Fraction'!$B18,1-'Biodiesel Fraction'!F30,1)</f>
        <v>0.96812500177766059</v>
      </c>
      <c r="G5">
        <f>IF('Biodiesel Fraction'!$B18,1-'Biodiesel Fraction'!G30,1)</f>
        <v>0.98009198824562427</v>
      </c>
      <c r="H5">
        <f>IF('Biodiesel Fraction'!$B18,1-'Biodiesel Fraction'!H30,1)</f>
        <v>0.97650452180774017</v>
      </c>
      <c r="I5">
        <f>IF('Biodiesel Fraction'!$B18,1-'Biodiesel Fraction'!I30,1)</f>
        <v>0.97528675799062703</v>
      </c>
      <c r="J5">
        <f>IF('Biodiesel Fraction'!$B18,1-'Biodiesel Fraction'!J30,1)</f>
        <v>0.97454250056113867</v>
      </c>
      <c r="K5">
        <f>IF('Biodiesel Fraction'!$B18,1-'Biodiesel Fraction'!K30,1)</f>
        <v>0.97401501182850003</v>
      </c>
      <c r="L5">
        <f>IF('Biodiesel Fraction'!$B18,1-'Biodiesel Fraction'!L30,1)</f>
        <v>0.97258517715476844</v>
      </c>
      <c r="M5">
        <f>IF('Biodiesel Fraction'!$B18,1-'Biodiesel Fraction'!M30,1)</f>
        <v>0.96979508221703403</v>
      </c>
      <c r="N5">
        <f>IF('Biodiesel Fraction'!$B18,1-'Biodiesel Fraction'!N30,1)</f>
        <v>0.96766971774253063</v>
      </c>
      <c r="O5">
        <f>IF('Biodiesel Fraction'!$B18,1-'Biodiesel Fraction'!O30,1)</f>
        <v>0.96759671637630318</v>
      </c>
      <c r="P5">
        <f>IF('Biodiesel Fraction'!$B18,1-'Biodiesel Fraction'!P30,1)</f>
        <v>0.96572788563008749</v>
      </c>
      <c r="Q5">
        <f>IF('Biodiesel Fraction'!$B18,1-'Biodiesel Fraction'!Q30,1)</f>
        <v>0.96556610352491634</v>
      </c>
      <c r="R5">
        <f>IF('Biodiesel Fraction'!$B18,1-'Biodiesel Fraction'!R30,1)</f>
        <v>0.96573361538170976</v>
      </c>
      <c r="S5">
        <f>IF('Biodiesel Fraction'!$B18,1-'Biodiesel Fraction'!S30,1)</f>
        <v>0.96595948602255566</v>
      </c>
      <c r="T5">
        <f>IF('Biodiesel Fraction'!$B18,1-'Biodiesel Fraction'!T30,1)</f>
        <v>0.9662221978880392</v>
      </c>
      <c r="U5">
        <f>IF('Biodiesel Fraction'!$B18,1-'Biodiesel Fraction'!U30,1)</f>
        <v>0.96655142709382569</v>
      </c>
      <c r="V5">
        <f>IF('Biodiesel Fraction'!$B18,1-'Biodiesel Fraction'!V30,1)</f>
        <v>0.96691298126636527</v>
      </c>
      <c r="W5">
        <f>IF('Biodiesel Fraction'!$B18,1-'Biodiesel Fraction'!W30,1)</f>
        <v>0.96721144133880754</v>
      </c>
      <c r="X5">
        <f>IF('Biodiesel Fraction'!$B18,1-'Biodiesel Fraction'!X30,1)</f>
        <v>0.96767255313167799</v>
      </c>
      <c r="Y5">
        <f>IF('Biodiesel Fraction'!$B18,1-'Biodiesel Fraction'!Y30,1)</f>
        <v>0.96816560444733579</v>
      </c>
      <c r="Z5">
        <f>IF('Biodiesel Fraction'!$B18,1-'Biodiesel Fraction'!Z30,1)</f>
        <v>0.9688055995027004</v>
      </c>
      <c r="AA5">
        <f>IF('Biodiesel Fraction'!$B18,1-'Biodiesel Fraction'!AA30,1)</f>
        <v>0.96948707930314626</v>
      </c>
      <c r="AB5">
        <f>IF('Biodiesel Fraction'!$B18,1-'Biodiesel Fraction'!AB30,1)</f>
        <v>0.97019068153310561</v>
      </c>
      <c r="AC5">
        <f>IF('Biodiesel Fraction'!$B18,1-'Biodiesel Fraction'!AC30,1)</f>
        <v>0.9708979053403729</v>
      </c>
    </row>
    <row r="6" spans="1:29">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21</v>
      </c>
      <c r="B7">
        <f>IF('Biodiesel Fraction'!$B18,'Biodiesel Fraction'!B30,0)</f>
        <v>3.2438802317246634E-2</v>
      </c>
      <c r="C7">
        <f>IF('Biodiesel Fraction'!$B18,'Biodiesel Fraction'!C30,0)</f>
        <v>3.9585833615893101E-2</v>
      </c>
      <c r="D7">
        <f>IF('Biodiesel Fraction'!$B18,'Biodiesel Fraction'!D30,0)</f>
        <v>3.2988176963567352E-2</v>
      </c>
      <c r="E7">
        <f>IF('Biodiesel Fraction'!$B18,'Biodiesel Fraction'!E30,0)</f>
        <v>3.3592061558151781E-2</v>
      </c>
      <c r="F7">
        <f>IF('Biodiesel Fraction'!$B18,'Biodiesel Fraction'!F30,0)</f>
        <v>3.1874998222339357E-2</v>
      </c>
      <c r="G7">
        <f>IF('Biodiesel Fraction'!$B18,'Biodiesel Fraction'!G30,0)</f>
        <v>1.9908011754375773E-2</v>
      </c>
      <c r="H7">
        <f>IF('Biodiesel Fraction'!$B18,'Biodiesel Fraction'!H30,0)</f>
        <v>2.3495478192259833E-2</v>
      </c>
      <c r="I7">
        <f>IF('Biodiesel Fraction'!$B18,'Biodiesel Fraction'!I30,0)</f>
        <v>2.4713242009373016E-2</v>
      </c>
      <c r="J7">
        <f>IF('Biodiesel Fraction'!$B18,'Biodiesel Fraction'!J30,0)</f>
        <v>2.5457499438861282E-2</v>
      </c>
      <c r="K7">
        <f>IF('Biodiesel Fraction'!$B18,'Biodiesel Fraction'!K30,0)</f>
        <v>2.5984988171500023E-2</v>
      </c>
      <c r="L7">
        <f>IF('Biodiesel Fraction'!$B18,'Biodiesel Fraction'!L30,0)</f>
        <v>2.7414822845231571E-2</v>
      </c>
      <c r="M7">
        <f>IF('Biodiesel Fraction'!$B18,'Biodiesel Fraction'!M30,0)</f>
        <v>3.0204917782965933E-2</v>
      </c>
      <c r="N7">
        <f>IF('Biodiesel Fraction'!$B18,'Biodiesel Fraction'!N30,0)</f>
        <v>3.2330282257469367E-2</v>
      </c>
      <c r="O7">
        <f>IF('Biodiesel Fraction'!$B18,'Biodiesel Fraction'!O30,0)</f>
        <v>3.240328362369687E-2</v>
      </c>
      <c r="P7">
        <f>IF('Biodiesel Fraction'!$B18,'Biodiesel Fraction'!P30,0)</f>
        <v>3.4272114369912537E-2</v>
      </c>
      <c r="Q7">
        <f>IF('Biodiesel Fraction'!$B18,'Biodiesel Fraction'!Q30,0)</f>
        <v>3.4433896475083707E-2</v>
      </c>
      <c r="R7">
        <f>IF('Biodiesel Fraction'!$B18,'Biodiesel Fraction'!R30,0)</f>
        <v>3.4266384618290291E-2</v>
      </c>
      <c r="S7">
        <f>IF('Biodiesel Fraction'!$B18,'Biodiesel Fraction'!S30,0)</f>
        <v>3.4040513977444335E-2</v>
      </c>
      <c r="T7">
        <f>IF('Biodiesel Fraction'!$B18,'Biodiesel Fraction'!T30,0)</f>
        <v>3.3777802111960777E-2</v>
      </c>
      <c r="U7">
        <f>IF('Biodiesel Fraction'!$B18,'Biodiesel Fraction'!U30,0)</f>
        <v>3.3448572906174312E-2</v>
      </c>
      <c r="V7">
        <f>IF('Biodiesel Fraction'!$B18,'Biodiesel Fraction'!V30,0)</f>
        <v>3.3087018733634767E-2</v>
      </c>
      <c r="W7">
        <f>IF('Biodiesel Fraction'!$B18,'Biodiesel Fraction'!W30,0)</f>
        <v>3.2788558661192499E-2</v>
      </c>
      <c r="X7">
        <f>IF('Biodiesel Fraction'!$B18,'Biodiesel Fraction'!X30,0)</f>
        <v>3.2327446868322056E-2</v>
      </c>
      <c r="Y7">
        <f>IF('Biodiesel Fraction'!$B18,'Biodiesel Fraction'!Y30,0)</f>
        <v>3.1834395552664221E-2</v>
      </c>
      <c r="Z7">
        <f>IF('Biodiesel Fraction'!$B18,'Biodiesel Fraction'!Z30,0)</f>
        <v>3.1194400497299647E-2</v>
      </c>
      <c r="AA7">
        <f>IF('Biodiesel Fraction'!$B18,'Biodiesel Fraction'!AA30,0)</f>
        <v>3.0512920696853785E-2</v>
      </c>
      <c r="AB7">
        <f>IF('Biodiesel Fraction'!$B18,'Biodiesel Fraction'!AB30,0)</f>
        <v>2.9809318466894396E-2</v>
      </c>
      <c r="AC7">
        <f>IF('Biodiesel Fraction'!$B18,'Biodiesel Fraction'!AC30,0)</f>
        <v>2.9102094659627049E-2</v>
      </c>
    </row>
    <row r="8" spans="1:29">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tabColor theme="3"/>
  </sheetPr>
  <dimension ref="A1:AH11"/>
  <sheetViews>
    <sheetView topLeftCell="B1" workbookViewId="0">
      <selection activeCell="B1" sqref="B1:AD1"/>
    </sheetView>
  </sheetViews>
  <sheetFormatPr defaultRowHeight="14.75"/>
  <cols>
    <col min="1" max="1" width="22.54296875" customWidth="1"/>
  </cols>
  <sheetData>
    <row r="1" spans="1:34" ht="29.5">
      <c r="A1" s="10" t="s">
        <v>85</v>
      </c>
      <c r="B1">
        <v>2022</v>
      </c>
      <c r="C1">
        <v>2023</v>
      </c>
      <c r="D1">
        <v>2024</v>
      </c>
      <c r="E1">
        <v>2025</v>
      </c>
      <c r="F1">
        <v>2026</v>
      </c>
      <c r="G1">
        <v>2027</v>
      </c>
      <c r="H1">
        <v>2028</v>
      </c>
      <c r="I1">
        <v>2029</v>
      </c>
      <c r="J1">
        <v>2030</v>
      </c>
      <c r="K1">
        <v>2031</v>
      </c>
      <c r="L1">
        <v>2032</v>
      </c>
      <c r="M1">
        <v>2033</v>
      </c>
      <c r="N1">
        <v>2034</v>
      </c>
      <c r="O1">
        <v>2035</v>
      </c>
      <c r="P1">
        <v>2036</v>
      </c>
      <c r="Q1">
        <v>2037</v>
      </c>
      <c r="R1">
        <v>2038</v>
      </c>
      <c r="S1">
        <v>2039</v>
      </c>
      <c r="T1">
        <v>2040</v>
      </c>
      <c r="U1">
        <v>2041</v>
      </c>
      <c r="V1">
        <v>2042</v>
      </c>
      <c r="W1">
        <v>2043</v>
      </c>
      <c r="X1">
        <v>2044</v>
      </c>
      <c r="Y1">
        <v>2045</v>
      </c>
      <c r="Z1">
        <v>2046</v>
      </c>
      <c r="AA1">
        <v>2047</v>
      </c>
      <c r="AB1">
        <v>2048</v>
      </c>
      <c r="AC1">
        <v>2049</v>
      </c>
      <c r="AD1">
        <v>2050</v>
      </c>
    </row>
    <row r="2" spans="1:34">
      <c r="A2" t="s">
        <v>15</v>
      </c>
      <c r="B2">
        <f>'Plug-in Hybrid Elec Fraction'!$A5</f>
        <v>0.55000000000000004</v>
      </c>
      <c r="C2">
        <f>'Plug-in Hybrid Elec Fraction'!$A5</f>
        <v>0.55000000000000004</v>
      </c>
      <c r="D2">
        <f>'Plug-in Hybrid Elec Fraction'!$A5</f>
        <v>0.55000000000000004</v>
      </c>
      <c r="E2">
        <f>'Plug-in Hybrid Elec Fraction'!$A5</f>
        <v>0.55000000000000004</v>
      </c>
      <c r="F2">
        <f>'Plug-in Hybrid Elec Fraction'!$A5</f>
        <v>0.55000000000000004</v>
      </c>
      <c r="G2">
        <f>'Plug-in Hybrid Elec Fraction'!$A5</f>
        <v>0.55000000000000004</v>
      </c>
      <c r="H2">
        <f>'Plug-in Hybrid Elec Fraction'!$A5</f>
        <v>0.55000000000000004</v>
      </c>
      <c r="I2">
        <f>'Plug-in Hybrid Elec Fraction'!$A5</f>
        <v>0.55000000000000004</v>
      </c>
      <c r="J2">
        <f>'Plug-in Hybrid Elec Fraction'!$A5</f>
        <v>0.55000000000000004</v>
      </c>
      <c r="K2">
        <f>'Plug-in Hybrid Elec Fraction'!$A5</f>
        <v>0.55000000000000004</v>
      </c>
      <c r="L2">
        <f>'Plug-in Hybrid Elec Fraction'!$A5</f>
        <v>0.55000000000000004</v>
      </c>
      <c r="M2">
        <f>'Plug-in Hybrid Elec Fraction'!$A5</f>
        <v>0.55000000000000004</v>
      </c>
      <c r="N2">
        <f>'Plug-in Hybrid Elec Fraction'!$A5</f>
        <v>0.55000000000000004</v>
      </c>
      <c r="O2">
        <f>'Plug-in Hybrid Elec Fraction'!$A5</f>
        <v>0.55000000000000004</v>
      </c>
      <c r="P2">
        <f>'Plug-in Hybrid Elec Fraction'!$A5</f>
        <v>0.55000000000000004</v>
      </c>
      <c r="Q2">
        <f>'Plug-in Hybrid Elec Fraction'!$A5</f>
        <v>0.55000000000000004</v>
      </c>
      <c r="R2">
        <f>'Plug-in Hybrid Elec Fraction'!$A5</f>
        <v>0.55000000000000004</v>
      </c>
      <c r="S2">
        <f>'Plug-in Hybrid Elec Fraction'!$A5</f>
        <v>0.55000000000000004</v>
      </c>
      <c r="T2">
        <f>'Plug-in Hybrid Elec Fraction'!$A5</f>
        <v>0.55000000000000004</v>
      </c>
      <c r="U2">
        <f>'Plug-in Hybrid Elec Fraction'!$A5</f>
        <v>0.55000000000000004</v>
      </c>
      <c r="V2">
        <f>'Plug-in Hybrid Elec Fraction'!$A5</f>
        <v>0.55000000000000004</v>
      </c>
      <c r="W2">
        <f>'Plug-in Hybrid Elec Fraction'!$A5</f>
        <v>0.55000000000000004</v>
      </c>
      <c r="X2">
        <f>'Plug-in Hybrid Elec Fraction'!$A5</f>
        <v>0.55000000000000004</v>
      </c>
      <c r="Y2">
        <f>'Plug-in Hybrid Elec Fraction'!$A5</f>
        <v>0.55000000000000004</v>
      </c>
      <c r="Z2">
        <f>'Plug-in Hybrid Elec Fraction'!$A5</f>
        <v>0.55000000000000004</v>
      </c>
      <c r="AA2">
        <f>'Plug-in Hybrid Elec Fraction'!$A5</f>
        <v>0.55000000000000004</v>
      </c>
      <c r="AB2">
        <f>'Plug-in Hybrid Elec Fraction'!$A5</f>
        <v>0.55000000000000004</v>
      </c>
      <c r="AC2">
        <f>'Plug-in Hybrid Elec Fraction'!$A5</f>
        <v>0.55000000000000004</v>
      </c>
      <c r="AD2">
        <f>'Plug-in Hybrid Elec Fraction'!$A5</f>
        <v>0.55000000000000004</v>
      </c>
    </row>
    <row r="3" spans="1:34">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row>
    <row r="4" spans="1:34">
      <c r="A4" t="s">
        <v>17</v>
      </c>
      <c r="B4" s="2">
        <f>'AEO 2023 Table 36 Raw'!F7/SUM('AEO 2023 Table 36 Raw'!F7:F8)*(1-B2)</f>
        <v>0.44903090794324652</v>
      </c>
      <c r="C4" s="2">
        <f>'AEO 2023 Table 36 Raw'!G7/SUM('AEO 2023 Table 36 Raw'!G7:G8)*(1-C2)</f>
        <v>0.44901641030474015</v>
      </c>
      <c r="D4" s="2">
        <f>'AEO 2023 Table 36 Raw'!H7/SUM('AEO 2023 Table 36 Raw'!H7:H8)*(1-D2)</f>
        <v>0.44907014634923614</v>
      </c>
      <c r="E4" s="2">
        <f>'AEO 2023 Table 36 Raw'!I7/SUM('AEO 2023 Table 36 Raw'!I7:I8)*(1-E2)</f>
        <v>0.44905728586452914</v>
      </c>
      <c r="F4" s="2">
        <f>'AEO 2023 Table 36 Raw'!J7/SUM('AEO 2023 Table 36 Raw'!J7:J8)*(1-F2)</f>
        <v>0.44906619405886128</v>
      </c>
      <c r="G4" s="2">
        <f>'AEO 2023 Table 36 Raw'!K7/SUM('AEO 2023 Table 36 Raw'!K7:K8)*(1-G2)</f>
        <v>0.44907918788558054</v>
      </c>
      <c r="H4" s="2">
        <f>'AEO 2023 Table 36 Raw'!L7/SUM('AEO 2023 Table 36 Raw'!L7:L8)*(1-H2)</f>
        <v>0.44909582893136263</v>
      </c>
      <c r="I4" s="2">
        <f>'AEO 2023 Table 36 Raw'!M7/SUM('AEO 2023 Table 36 Raw'!M7:M8)*(1-I2)</f>
        <v>0.44911496437710824</v>
      </c>
      <c r="J4" s="2">
        <f>'AEO 2023 Table 36 Raw'!N7/SUM('AEO 2023 Table 36 Raw'!N7:N8)*(1-J2)</f>
        <v>0.44913546096854412</v>
      </c>
      <c r="K4" s="2">
        <f>'AEO 2023 Table 36 Raw'!O7/SUM('AEO 2023 Table 36 Raw'!O7:O8)*(1-K2)</f>
        <v>0.44915682790667982</v>
      </c>
      <c r="L4" s="2">
        <f>'AEO 2023 Table 36 Raw'!P7/SUM('AEO 2023 Table 36 Raw'!P7:P8)*(1-L2)</f>
        <v>0.44917819055639702</v>
      </c>
      <c r="M4" s="2">
        <f>'AEO 2023 Table 36 Raw'!Q7/SUM('AEO 2023 Table 36 Raw'!Q7:Q8)*(1-M2)</f>
        <v>0.44919904275753453</v>
      </c>
      <c r="N4" s="2">
        <f>'AEO 2023 Table 36 Raw'!R7/SUM('AEO 2023 Table 36 Raw'!R7:R8)*(1-N2)</f>
        <v>0.4492184473356986</v>
      </c>
      <c r="O4" s="2">
        <f>'AEO 2023 Table 36 Raw'!S7/SUM('AEO 2023 Table 36 Raw'!S7:S8)*(1-O2)</f>
        <v>0.44923499311725906</v>
      </c>
      <c r="P4" s="2">
        <f>'AEO 2023 Table 36 Raw'!T7/SUM('AEO 2023 Table 36 Raw'!T7:T8)*(1-P2)</f>
        <v>0.44925048481808927</v>
      </c>
      <c r="Q4" s="2">
        <f>'AEO 2023 Table 36 Raw'!U7/SUM('AEO 2023 Table 36 Raw'!U7:U8)*(1-Q2)</f>
        <v>0.44926038506300203</v>
      </c>
      <c r="R4" s="2">
        <f>'AEO 2023 Table 36 Raw'!V7/SUM('AEO 2023 Table 36 Raw'!V7:V8)*(1-R2)</f>
        <v>0.44926643522378323</v>
      </c>
      <c r="S4" s="2">
        <f>'AEO 2023 Table 36 Raw'!W7/SUM('AEO 2023 Table 36 Raw'!W7:W8)*(1-S2)</f>
        <v>0.44926824376400976</v>
      </c>
      <c r="T4" s="2">
        <f>'AEO 2023 Table 36 Raw'!X7/SUM('AEO 2023 Table 36 Raw'!X7:X8)*(1-T2)</f>
        <v>0.44926669553836307</v>
      </c>
      <c r="U4" s="2">
        <f>'AEO 2023 Table 36 Raw'!Y7/SUM('AEO 2023 Table 36 Raw'!Y7:Y8)*(1-U2)</f>
        <v>0.44926316168124414</v>
      </c>
      <c r="V4" s="2">
        <f>'AEO 2023 Table 36 Raw'!Z7/SUM('AEO 2023 Table 36 Raw'!Z7:Z8)*(1-V2)</f>
        <v>0.44925805438935312</v>
      </c>
      <c r="W4" s="2">
        <f>'AEO 2023 Table 36 Raw'!AA7/SUM('AEO 2023 Table 36 Raw'!AA7:AA8)*(1-W2)</f>
        <v>0.44925018640576531</v>
      </c>
      <c r="X4" s="2">
        <f>'AEO 2023 Table 36 Raw'!AB7/SUM('AEO 2023 Table 36 Raw'!AB7:AB8)*(1-X2)</f>
        <v>0.44924352565773945</v>
      </c>
      <c r="Y4" s="2">
        <f>'AEO 2023 Table 36 Raw'!AC7/SUM('AEO 2023 Table 36 Raw'!AC7:AC8)*(1-Y2)</f>
        <v>0.44923645684598268</v>
      </c>
      <c r="Z4" s="2">
        <f>'AEO 2023 Table 36 Raw'!AD7/SUM('AEO 2023 Table 36 Raw'!AD7:AD8)*(1-Z2)</f>
        <v>0.4492314694333458</v>
      </c>
      <c r="AA4" s="2">
        <f>'AEO 2023 Table 36 Raw'!AE7/SUM('AEO 2023 Table 36 Raw'!AE7:AE8)*(1-AA2)</f>
        <v>0.44922378198109159</v>
      </c>
      <c r="AB4" s="2">
        <f>'AEO 2023 Table 36 Raw'!AF7/SUM('AEO 2023 Table 36 Raw'!AF7:AF8)*(1-AB2)</f>
        <v>0.44921792253441456</v>
      </c>
      <c r="AC4" s="2">
        <f>'AEO 2023 Table 36 Raw'!AG7/SUM('AEO 2023 Table 36 Raw'!AG7:AG8)*(1-AC2)</f>
        <v>0.44921021800824235</v>
      </c>
      <c r="AD4" s="2">
        <f>'AEO 2023 Table 36 Raw'!AH7/SUM('AEO 2023 Table 36 Raw'!AH7:AH8)*(1-AD2)</f>
        <v>0.44920449239135835</v>
      </c>
      <c r="AE4" s="2"/>
      <c r="AF4" s="2"/>
      <c r="AG4" s="2"/>
      <c r="AH4" s="2"/>
    </row>
    <row r="5" spans="1:34">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row>
    <row r="6" spans="1:34">
      <c r="A6" t="s">
        <v>19</v>
      </c>
      <c r="B6" s="2">
        <f>'AEO 2023 Table 36 Raw'!F8/SUM('AEO 2023 Table 36 Raw'!F7:F8)*(1-B2)</f>
        <v>9.6909205675343383E-4</v>
      </c>
      <c r="C6" s="2">
        <f>'AEO 2023 Table 36 Raw'!G8/SUM('AEO 2023 Table 36 Raw'!G7:G8)*(1-C2)</f>
        <v>9.8358969525984665E-4</v>
      </c>
      <c r="D6" s="2">
        <f>'AEO 2023 Table 36 Raw'!H8/SUM('AEO 2023 Table 36 Raw'!H7:H8)*(1-D2)</f>
        <v>9.2985365076385786E-4</v>
      </c>
      <c r="E6" s="2">
        <f>'AEO 2023 Table 36 Raw'!I8/SUM('AEO 2023 Table 36 Raw'!I7:I8)*(1-E2)</f>
        <v>9.4271413547086281E-4</v>
      </c>
      <c r="F6" s="2">
        <f>'AEO 2023 Table 36 Raw'!J8/SUM('AEO 2023 Table 36 Raw'!J7:J8)*(1-F2)</f>
        <v>9.3380594113868457E-4</v>
      </c>
      <c r="G6" s="2">
        <f>'AEO 2023 Table 36 Raw'!K8/SUM('AEO 2023 Table 36 Raw'!K7:K8)*(1-G2)</f>
        <v>9.2081211441941016E-4</v>
      </c>
      <c r="H6" s="2">
        <f>'AEO 2023 Table 36 Raw'!L8/SUM('AEO 2023 Table 36 Raw'!L7:L8)*(1-H2)</f>
        <v>9.0417106863733849E-4</v>
      </c>
      <c r="I6" s="2">
        <f>'AEO 2023 Table 36 Raw'!M8/SUM('AEO 2023 Table 36 Raw'!M7:M8)*(1-I2)</f>
        <v>8.8503562289174215E-4</v>
      </c>
      <c r="J6" s="2">
        <f>'AEO 2023 Table 36 Raw'!N8/SUM('AEO 2023 Table 36 Raw'!N7:N8)*(1-J2)</f>
        <v>8.6453903145585745E-4</v>
      </c>
      <c r="K6" s="2">
        <f>'AEO 2023 Table 36 Raw'!O8/SUM('AEO 2023 Table 36 Raw'!O7:O8)*(1-K2)</f>
        <v>8.4317209332012831E-4</v>
      </c>
      <c r="L6" s="2">
        <f>'AEO 2023 Table 36 Raw'!P8/SUM('AEO 2023 Table 36 Raw'!P7:P8)*(1-L2)</f>
        <v>8.2180944360294719E-4</v>
      </c>
      <c r="M6" s="2">
        <f>'AEO 2023 Table 36 Raw'!Q8/SUM('AEO 2023 Table 36 Raw'!Q7:Q8)*(1-M2)</f>
        <v>8.0095724246540467E-4</v>
      </c>
      <c r="N6" s="2">
        <f>'AEO 2023 Table 36 Raw'!R8/SUM('AEO 2023 Table 36 Raw'!R7:R8)*(1-N2)</f>
        <v>7.8155266430136004E-4</v>
      </c>
      <c r="O6" s="2">
        <f>'AEO 2023 Table 36 Raw'!S8/SUM('AEO 2023 Table 36 Raw'!S7:S8)*(1-O2)</f>
        <v>7.6500688274090645E-4</v>
      </c>
      <c r="P6" s="2">
        <f>'AEO 2023 Table 36 Raw'!T8/SUM('AEO 2023 Table 36 Raw'!T7:T8)*(1-P2)</f>
        <v>7.4951518191071671E-4</v>
      </c>
      <c r="Q6" s="2">
        <f>'AEO 2023 Table 36 Raw'!U8/SUM('AEO 2023 Table 36 Raw'!U7:U8)*(1-Q2)</f>
        <v>7.3961493699790503E-4</v>
      </c>
      <c r="R6" s="2">
        <f>'AEO 2023 Table 36 Raw'!V8/SUM('AEO 2023 Table 36 Raw'!V7:V8)*(1-R2)</f>
        <v>7.3356477621667202E-4</v>
      </c>
      <c r="S6" s="2">
        <f>'AEO 2023 Table 36 Raw'!W8/SUM('AEO 2023 Table 36 Raw'!W7:W8)*(1-S2)</f>
        <v>7.3175623599016281E-4</v>
      </c>
      <c r="T6" s="2">
        <f>'AEO 2023 Table 36 Raw'!X8/SUM('AEO 2023 Table 36 Raw'!X7:X8)*(1-T2)</f>
        <v>7.3330446163693023E-4</v>
      </c>
      <c r="U6" s="2">
        <f>'AEO 2023 Table 36 Raw'!Y8/SUM('AEO 2023 Table 36 Raw'!Y7:Y8)*(1-U2)</f>
        <v>7.3683831875582737E-4</v>
      </c>
      <c r="V6" s="2">
        <f>'AEO 2023 Table 36 Raw'!Z8/SUM('AEO 2023 Table 36 Raw'!Z7:Z8)*(1-V2)</f>
        <v>7.4194561064679131E-4</v>
      </c>
      <c r="W6" s="2">
        <f>'AEO 2023 Table 36 Raw'!AA8/SUM('AEO 2023 Table 36 Raw'!AA7:AA8)*(1-W2)</f>
        <v>7.4981359423463827E-4</v>
      </c>
      <c r="X6" s="2">
        <f>'AEO 2023 Table 36 Raw'!AB8/SUM('AEO 2023 Table 36 Raw'!AB7:AB8)*(1-X2)</f>
        <v>7.564743422604893E-4</v>
      </c>
      <c r="Y6" s="2">
        <f>'AEO 2023 Table 36 Raw'!AC8/SUM('AEO 2023 Table 36 Raw'!AC7:AC8)*(1-Y2)</f>
        <v>7.6354315401729674E-4</v>
      </c>
      <c r="Z6" s="2">
        <f>'AEO 2023 Table 36 Raw'!AD8/SUM('AEO 2023 Table 36 Raw'!AD7:AD8)*(1-Z2)</f>
        <v>7.6853056665414593E-4</v>
      </c>
      <c r="AA6" s="2">
        <f>'AEO 2023 Table 36 Raw'!AE8/SUM('AEO 2023 Table 36 Raw'!AE7:AE8)*(1-AA2)</f>
        <v>7.7621801890835813E-4</v>
      </c>
      <c r="AB6" s="2">
        <f>'AEO 2023 Table 36 Raw'!AF8/SUM('AEO 2023 Table 36 Raw'!AF7:AF8)*(1-AB2)</f>
        <v>7.8207746558535797E-4</v>
      </c>
      <c r="AC6" s="2">
        <f>'AEO 2023 Table 36 Raw'!AG8/SUM('AEO 2023 Table 36 Raw'!AG7:AG8)*(1-AC2)</f>
        <v>7.8978199175759752E-4</v>
      </c>
      <c r="AD6" s="2">
        <f>'AEO 2023 Table 36 Raw'!AH8/SUM('AEO 2023 Table 36 Raw'!AH7:AH8)*(1-AD2)</f>
        <v>7.9550760864159826E-4</v>
      </c>
      <c r="AE6" s="2"/>
      <c r="AF6" s="2"/>
      <c r="AG6" s="2"/>
      <c r="AH6" s="2"/>
    </row>
    <row r="7" spans="1:34">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row>
    <row r="8" spans="1:34">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row>
    <row r="9" spans="1:34">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row>
    <row r="10" spans="1:34">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row>
    <row r="11" spans="1:34">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row>
  </sheetData>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tabColor theme="3"/>
  </sheetPr>
  <dimension ref="A1:AI11"/>
  <sheetViews>
    <sheetView topLeftCell="C1" workbookViewId="0">
      <selection activeCell="B1" sqref="B1:AE1"/>
    </sheetView>
  </sheetViews>
  <sheetFormatPr defaultRowHeight="14.75"/>
  <cols>
    <col min="1" max="1" width="22.54296875" customWidth="1"/>
  </cols>
  <sheetData>
    <row r="1" spans="1:35"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tabColor theme="3"/>
  </sheetPr>
  <dimension ref="A1:AI11"/>
  <sheetViews>
    <sheetView workbookViewId="0">
      <selection activeCell="B1" sqref="B1:AE1"/>
    </sheetView>
  </sheetViews>
  <sheetFormatPr defaultRowHeight="14.75"/>
  <cols>
    <col min="1" max="1" width="22.54296875" customWidth="1"/>
  </cols>
  <sheetData>
    <row r="1" spans="1:35"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tabColor rgb="FFFF0000"/>
  </sheetPr>
  <dimension ref="A1"/>
  <sheetViews>
    <sheetView workbookViewId="0"/>
  </sheetViews>
  <sheetFormatPr defaultRowHeight="14.75"/>
  <sheetData/>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tabColor theme="3"/>
  </sheetPr>
  <dimension ref="A1:AE11"/>
  <sheetViews>
    <sheetView workbookViewId="0"/>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row>
    <row r="3" spans="1:31">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tabColor theme="3"/>
  </sheetPr>
  <dimension ref="A1:AE11"/>
  <sheetViews>
    <sheetView workbookViewId="0">
      <selection activeCell="A11" sqref="A11"/>
    </sheetView>
  </sheetViews>
  <sheetFormatPr defaultRowHeight="14.75"/>
  <cols>
    <col min="1" max="1" width="22.54296875" customWidth="1"/>
  </cols>
  <sheetData>
    <row r="1" spans="1:31" ht="29.5">
      <c r="A1" s="10" t="s">
        <v>85</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1">
      <c r="A3" t="s">
        <v>16</v>
      </c>
      <c r="B3">
        <v>1</v>
      </c>
      <c r="C3">
        <v>1</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row>
    <row r="4" spans="1:31">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row>
    <row r="5" spans="1:31">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1">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row>
    <row r="7" spans="1:31">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1">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tabColor theme="3"/>
  </sheetPr>
  <dimension ref="A1:AE11"/>
  <sheetViews>
    <sheetView topLeftCell="C1" workbookViewId="0">
      <selection activeCell="B1" sqref="B1:AE1"/>
    </sheetView>
  </sheetViews>
  <sheetFormatPr defaultRowHeight="14.75"/>
  <cols>
    <col min="1" max="1" width="22.54296875" customWidth="1"/>
  </cols>
  <sheetData>
    <row r="1" spans="1:31" ht="29.5">
      <c r="A1" s="10" t="s">
        <v>85</v>
      </c>
      <c r="B1">
        <f>'BPoEFUbVT-mtrbks-psgr-gasveh'!B1</f>
        <v>2021</v>
      </c>
      <c r="C1">
        <f>'BPoEFUbVT-mtrbks-psgr-gasveh'!C1</f>
        <v>2022</v>
      </c>
      <c r="D1">
        <f>'BPoEFUbVT-mtrbks-psgr-gasveh'!D1</f>
        <v>2023</v>
      </c>
      <c r="E1">
        <f>'BPoEFUbVT-mtrbks-psgr-gasveh'!E1</f>
        <v>2024</v>
      </c>
      <c r="F1">
        <f>'BPoEFUbVT-mtrbks-psgr-gasveh'!F1</f>
        <v>2025</v>
      </c>
      <c r="G1">
        <f>'BPoEFUbVT-mtrbks-psgr-gasveh'!G1</f>
        <v>2026</v>
      </c>
      <c r="H1">
        <f>'BPoEFUbVT-mtrbks-psgr-gasveh'!H1</f>
        <v>2027</v>
      </c>
      <c r="I1">
        <f>'BPoEFUbVT-mtrbks-psgr-gasveh'!I1</f>
        <v>2028</v>
      </c>
      <c r="J1">
        <f>'BPoEFUbVT-mtrbks-psgr-gasveh'!J1</f>
        <v>2029</v>
      </c>
      <c r="K1">
        <f>'BPoEFUbVT-mtrbks-psgr-gasveh'!K1</f>
        <v>2030</v>
      </c>
      <c r="L1">
        <f>'BPoEFUbVT-mtrbks-psgr-gasveh'!L1</f>
        <v>2031</v>
      </c>
      <c r="M1">
        <f>'BPoEFUbVT-mtrbks-psgr-gasveh'!M1</f>
        <v>2032</v>
      </c>
      <c r="N1">
        <f>'BPoEFUbVT-mtrbks-psgr-gasveh'!N1</f>
        <v>2033</v>
      </c>
      <c r="O1">
        <f>'BPoEFUbVT-mtrbks-psgr-gasveh'!O1</f>
        <v>2034</v>
      </c>
      <c r="P1">
        <f>'BPoEFUbVT-mtrbks-psgr-gasveh'!P1</f>
        <v>2035</v>
      </c>
      <c r="Q1">
        <f>'BPoEFUbVT-mtrbks-psgr-gasveh'!Q1</f>
        <v>2036</v>
      </c>
      <c r="R1">
        <f>'BPoEFUbVT-mtrbks-psgr-gasveh'!R1</f>
        <v>2037</v>
      </c>
      <c r="S1">
        <f>'BPoEFUbVT-mtrbks-psgr-gasveh'!S1</f>
        <v>2038</v>
      </c>
      <c r="T1">
        <f>'BPoEFUbVT-mtrbks-psgr-gasveh'!T1</f>
        <v>2039</v>
      </c>
      <c r="U1">
        <f>'BPoEFUbVT-mtrbks-psgr-gasveh'!U1</f>
        <v>2040</v>
      </c>
      <c r="V1">
        <f>'BPoEFUbVT-mtrbks-psgr-gasveh'!V1</f>
        <v>2041</v>
      </c>
      <c r="W1">
        <f>'BPoEFUbVT-mtrbks-psgr-gasveh'!W1</f>
        <v>2042</v>
      </c>
      <c r="X1">
        <f>'BPoEFUbVT-mtrbks-psgr-gasveh'!X1</f>
        <v>2043</v>
      </c>
      <c r="Y1">
        <f>'BPoEFUbVT-mtrbks-psgr-gasveh'!Y1</f>
        <v>2044</v>
      </c>
      <c r="Z1">
        <f>'BPoEFUbVT-mtrbks-psgr-gasveh'!Z1</f>
        <v>2045</v>
      </c>
      <c r="AA1">
        <f>'BPoEFUbVT-mtrbks-psgr-gasveh'!AA1</f>
        <v>2046</v>
      </c>
      <c r="AB1">
        <f>'BPoEFUbVT-mtrbks-psgr-gasveh'!AB1</f>
        <v>2047</v>
      </c>
      <c r="AC1">
        <f>'BPoEFUbVT-mtrbks-psgr-gasveh'!AC1</f>
        <v>2048</v>
      </c>
      <c r="AD1">
        <f>'BPoEFUbVT-mtrbks-psgr-gasveh'!AD1</f>
        <v>2049</v>
      </c>
      <c r="AE1">
        <f>'BPoEFUbVT-mtrbks-psgr-gasveh'!AE1</f>
        <v>2050</v>
      </c>
    </row>
    <row r="2" spans="1:31">
      <c r="A2" t="s">
        <v>15</v>
      </c>
      <c r="B2">
        <f>'BPoEFUbVT-mtrbks-psgr-gasveh'!B2</f>
        <v>0</v>
      </c>
      <c r="C2">
        <f>'BPoEFUbVT-mtrbks-psgr-gasveh'!C2</f>
        <v>0</v>
      </c>
      <c r="D2">
        <f>'BPoEFUbVT-mtrbks-psgr-gasveh'!D2</f>
        <v>0</v>
      </c>
      <c r="E2">
        <f>'BPoEFUbVT-mtrbks-psgr-gasveh'!E2</f>
        <v>0</v>
      </c>
      <c r="F2">
        <f>'BPoEFUbVT-mtrbks-psgr-gasveh'!F2</f>
        <v>0</v>
      </c>
      <c r="G2">
        <f>'BPoEFUbVT-mtrbks-psgr-gasveh'!G2</f>
        <v>0</v>
      </c>
      <c r="H2">
        <f>'BPoEFUbVT-mtrbks-psgr-gasveh'!H2</f>
        <v>0</v>
      </c>
      <c r="I2">
        <f>'BPoEFUbVT-mtrbks-psgr-gasveh'!I2</f>
        <v>0</v>
      </c>
      <c r="J2">
        <f>'BPoEFUbVT-mtrbks-psgr-gasveh'!J2</f>
        <v>0</v>
      </c>
      <c r="K2">
        <f>'BPoEFUbVT-mtrbks-psgr-gasveh'!K2</f>
        <v>0</v>
      </c>
      <c r="L2">
        <f>'BPoEFUbVT-mtrbks-psgr-gasveh'!L2</f>
        <v>0</v>
      </c>
      <c r="M2">
        <f>'BPoEFUbVT-mtrbks-psgr-gasveh'!M2</f>
        <v>0</v>
      </c>
      <c r="N2">
        <f>'BPoEFUbVT-mtrbks-psgr-gasveh'!N2</f>
        <v>0</v>
      </c>
      <c r="O2">
        <f>'BPoEFUbVT-mtrbks-psgr-gasveh'!O2</f>
        <v>0</v>
      </c>
      <c r="P2">
        <f>'BPoEFUbVT-mtrbks-psgr-gasveh'!P2</f>
        <v>0</v>
      </c>
      <c r="Q2">
        <f>'BPoEFUbVT-mtrbks-psgr-gasveh'!Q2</f>
        <v>0</v>
      </c>
      <c r="R2">
        <f>'BPoEFUbVT-mtrbks-psgr-gasveh'!R2</f>
        <v>0</v>
      </c>
      <c r="S2">
        <f>'BPoEFUbVT-mtrbks-psgr-gasveh'!S2</f>
        <v>0</v>
      </c>
      <c r="T2">
        <f>'BPoEFUbVT-mtrbks-psgr-gasveh'!T2</f>
        <v>0</v>
      </c>
      <c r="U2">
        <f>'BPoEFUbVT-mtrbks-psgr-gasveh'!U2</f>
        <v>0</v>
      </c>
      <c r="V2">
        <f>'BPoEFUbVT-mtrbks-psgr-gasveh'!V2</f>
        <v>0</v>
      </c>
      <c r="W2">
        <f>'BPoEFUbVT-mtrbks-psgr-gasveh'!W2</f>
        <v>0</v>
      </c>
      <c r="X2">
        <f>'BPoEFUbVT-mtrbks-psgr-gasveh'!X2</f>
        <v>0</v>
      </c>
      <c r="Y2">
        <f>'BPoEFUbVT-mtrbks-psgr-gasveh'!Y2</f>
        <v>0</v>
      </c>
      <c r="Z2">
        <f>'BPoEFUbVT-mtrbks-psgr-gasveh'!Z2</f>
        <v>0</v>
      </c>
      <c r="AA2">
        <f>'BPoEFUbVT-mtrbks-psgr-gasveh'!AA2</f>
        <v>0</v>
      </c>
      <c r="AB2">
        <f>'BPoEFUbVT-mtrbks-psgr-gasveh'!AB2</f>
        <v>0</v>
      </c>
      <c r="AC2">
        <f>'BPoEFUbVT-mtrbks-psgr-gasveh'!AC2</f>
        <v>0</v>
      </c>
      <c r="AD2">
        <f>'BPoEFUbVT-mtrbks-psgr-gasveh'!AD2</f>
        <v>0</v>
      </c>
      <c r="AE2">
        <f>'BPoEFUbVT-mtrbks-psgr-gasveh'!AE2</f>
        <v>0</v>
      </c>
    </row>
    <row r="3" spans="1:31">
      <c r="A3" t="s">
        <v>16</v>
      </c>
      <c r="B3">
        <f>'BPoEFUbVT-mtrbks-psgr-gasveh'!B3</f>
        <v>0</v>
      </c>
      <c r="C3">
        <f>'BPoEFUbVT-mtrbks-psgr-gasveh'!C3</f>
        <v>0</v>
      </c>
      <c r="D3">
        <f>'BPoEFUbVT-mtrbks-psgr-gasveh'!D3</f>
        <v>0</v>
      </c>
      <c r="E3">
        <f>'BPoEFUbVT-mtrbks-psgr-gasveh'!E3</f>
        <v>0</v>
      </c>
      <c r="F3">
        <f>'BPoEFUbVT-mtrbks-psgr-gasveh'!F3</f>
        <v>0</v>
      </c>
      <c r="G3">
        <f>'BPoEFUbVT-mtrbks-psgr-gasveh'!G3</f>
        <v>0</v>
      </c>
      <c r="H3">
        <f>'BPoEFUbVT-mtrbks-psgr-gasveh'!H3</f>
        <v>0</v>
      </c>
      <c r="I3">
        <f>'BPoEFUbVT-mtrbks-psgr-gasveh'!I3</f>
        <v>0</v>
      </c>
      <c r="J3">
        <f>'BPoEFUbVT-mtrbks-psgr-gasveh'!J3</f>
        <v>0</v>
      </c>
      <c r="K3">
        <f>'BPoEFUbVT-mtrbks-psgr-gasveh'!K3</f>
        <v>0</v>
      </c>
      <c r="L3">
        <f>'BPoEFUbVT-mtrbks-psgr-gasveh'!L3</f>
        <v>0</v>
      </c>
      <c r="M3">
        <f>'BPoEFUbVT-mtrbks-psgr-gasveh'!M3</f>
        <v>0</v>
      </c>
      <c r="N3">
        <f>'BPoEFUbVT-mtrbks-psgr-gasveh'!N3</f>
        <v>0</v>
      </c>
      <c r="O3">
        <f>'BPoEFUbVT-mtrbks-psgr-gasveh'!O3</f>
        <v>0</v>
      </c>
      <c r="P3">
        <f>'BPoEFUbVT-mtrbks-psgr-gasveh'!P3</f>
        <v>0</v>
      </c>
      <c r="Q3">
        <f>'BPoEFUbVT-mtrbks-psgr-gasveh'!Q3</f>
        <v>0</v>
      </c>
      <c r="R3">
        <f>'BPoEFUbVT-mtrbks-psgr-gasveh'!R3</f>
        <v>0</v>
      </c>
      <c r="S3">
        <f>'BPoEFUbVT-mtrbks-psgr-gasveh'!S3</f>
        <v>0</v>
      </c>
      <c r="T3">
        <f>'BPoEFUbVT-mtrbks-psgr-gasveh'!T3</f>
        <v>0</v>
      </c>
      <c r="U3">
        <f>'BPoEFUbVT-mtrbks-psgr-gasveh'!U3</f>
        <v>0</v>
      </c>
      <c r="V3">
        <f>'BPoEFUbVT-mtrbks-psgr-gasveh'!V3</f>
        <v>0</v>
      </c>
      <c r="W3">
        <f>'BPoEFUbVT-mtrbks-psgr-gasveh'!W3</f>
        <v>0</v>
      </c>
      <c r="X3">
        <f>'BPoEFUbVT-mtrbks-psgr-gasveh'!X3</f>
        <v>0</v>
      </c>
      <c r="Y3">
        <f>'BPoEFUbVT-mtrbks-psgr-gasveh'!Y3</f>
        <v>0</v>
      </c>
      <c r="Z3">
        <f>'BPoEFUbVT-mtrbks-psgr-gasveh'!Z3</f>
        <v>0</v>
      </c>
      <c r="AA3">
        <f>'BPoEFUbVT-mtrbks-psgr-gasveh'!AA3</f>
        <v>0</v>
      </c>
      <c r="AB3">
        <f>'BPoEFUbVT-mtrbks-psgr-gasveh'!AB3</f>
        <v>0</v>
      </c>
      <c r="AC3">
        <f>'BPoEFUbVT-mtrbks-psgr-gasveh'!AC3</f>
        <v>0</v>
      </c>
      <c r="AD3">
        <f>'BPoEFUbVT-mtrbks-psgr-gasveh'!AD3</f>
        <v>0</v>
      </c>
      <c r="AE3">
        <f>'BPoEFUbVT-mtrbks-psgr-gasveh'!AE3</f>
        <v>0</v>
      </c>
    </row>
    <row r="4" spans="1:31">
      <c r="A4" t="s">
        <v>17</v>
      </c>
      <c r="B4">
        <f>'BPoEFUbVT-mtrbks-psgr-gasveh'!B4</f>
        <v>0.89800000000000002</v>
      </c>
      <c r="C4">
        <f>'BPoEFUbVT-mtrbks-psgr-gasveh'!C4</f>
        <v>0.89800000000000002</v>
      </c>
      <c r="D4">
        <f>'BPoEFUbVT-mtrbks-psgr-gasveh'!D4</f>
        <v>0.89800000000000002</v>
      </c>
      <c r="E4">
        <f>'BPoEFUbVT-mtrbks-psgr-gasveh'!E4</f>
        <v>0.89800000000000002</v>
      </c>
      <c r="F4">
        <f>'BPoEFUbVT-mtrbks-psgr-gasveh'!F4</f>
        <v>0.89800000000000002</v>
      </c>
      <c r="G4">
        <f>'BPoEFUbVT-mtrbks-psgr-gasveh'!G4</f>
        <v>0.89800000000000002</v>
      </c>
      <c r="H4">
        <f>'BPoEFUbVT-mtrbks-psgr-gasveh'!H4</f>
        <v>0.89800000000000002</v>
      </c>
      <c r="I4">
        <f>'BPoEFUbVT-mtrbks-psgr-gasveh'!I4</f>
        <v>0.89800000000000002</v>
      </c>
      <c r="J4">
        <f>'BPoEFUbVT-mtrbks-psgr-gasveh'!J4</f>
        <v>0.89800000000000002</v>
      </c>
      <c r="K4">
        <f>'BPoEFUbVT-mtrbks-psgr-gasveh'!K4</f>
        <v>0.89800000000000002</v>
      </c>
      <c r="L4">
        <f>'BPoEFUbVT-mtrbks-psgr-gasveh'!L4</f>
        <v>0.89800000000000002</v>
      </c>
      <c r="M4">
        <f>'BPoEFUbVT-mtrbks-psgr-gasveh'!M4</f>
        <v>0.89800000000000002</v>
      </c>
      <c r="N4">
        <f>'BPoEFUbVT-mtrbks-psgr-gasveh'!N4</f>
        <v>0.89800000000000002</v>
      </c>
      <c r="O4">
        <f>'BPoEFUbVT-mtrbks-psgr-gasveh'!O4</f>
        <v>0.89800000000000002</v>
      </c>
      <c r="P4">
        <f>'BPoEFUbVT-mtrbks-psgr-gasveh'!P4</f>
        <v>0.89800000000000002</v>
      </c>
      <c r="Q4">
        <f>'BPoEFUbVT-mtrbks-psgr-gasveh'!Q4</f>
        <v>0.89800000000000002</v>
      </c>
      <c r="R4">
        <f>'BPoEFUbVT-mtrbks-psgr-gasveh'!R4</f>
        <v>0.89800000000000002</v>
      </c>
      <c r="S4">
        <f>'BPoEFUbVT-mtrbks-psgr-gasveh'!S4</f>
        <v>0.89800000000000002</v>
      </c>
      <c r="T4">
        <f>'BPoEFUbVT-mtrbks-psgr-gasveh'!T4</f>
        <v>0.89800000000000002</v>
      </c>
      <c r="U4">
        <f>'BPoEFUbVT-mtrbks-psgr-gasveh'!U4</f>
        <v>0.89800000000000002</v>
      </c>
      <c r="V4">
        <f>'BPoEFUbVT-mtrbks-psgr-gasveh'!V4</f>
        <v>0.89800000000000002</v>
      </c>
      <c r="W4">
        <f>'BPoEFUbVT-mtrbks-psgr-gasveh'!W4</f>
        <v>0.89800000000000002</v>
      </c>
      <c r="X4">
        <f>'BPoEFUbVT-mtrbks-psgr-gasveh'!X4</f>
        <v>0.89800000000000002</v>
      </c>
      <c r="Y4">
        <f>'BPoEFUbVT-mtrbks-psgr-gasveh'!Y4</f>
        <v>0.89800000000000002</v>
      </c>
      <c r="Z4">
        <f>'BPoEFUbVT-mtrbks-psgr-gasveh'!Z4</f>
        <v>0.89800000000000002</v>
      </c>
      <c r="AA4">
        <f>'BPoEFUbVT-mtrbks-psgr-gasveh'!AA4</f>
        <v>0.89800000000000002</v>
      </c>
      <c r="AB4">
        <f>'BPoEFUbVT-mtrbks-psgr-gasveh'!AB4</f>
        <v>0.89800000000000002</v>
      </c>
      <c r="AC4">
        <f>'BPoEFUbVT-mtrbks-psgr-gasveh'!AC4</f>
        <v>0.89800000000000002</v>
      </c>
      <c r="AD4">
        <f>'BPoEFUbVT-mtrbks-psgr-gasveh'!AD4</f>
        <v>0.89800000000000002</v>
      </c>
      <c r="AE4">
        <f>'BPoEFUbVT-mtrbks-psgr-gasveh'!AE4</f>
        <v>0.89800000000000002</v>
      </c>
    </row>
    <row r="5" spans="1:31">
      <c r="A5" t="s">
        <v>18</v>
      </c>
      <c r="B5">
        <f>'BPoEFUbVT-mtrbks-psgr-gasveh'!B5</f>
        <v>0</v>
      </c>
      <c r="C5">
        <f>'BPoEFUbVT-mtrbks-psgr-gasveh'!C5</f>
        <v>0</v>
      </c>
      <c r="D5">
        <f>'BPoEFUbVT-mtrbks-psgr-gasveh'!D5</f>
        <v>0</v>
      </c>
      <c r="E5">
        <f>'BPoEFUbVT-mtrbks-psgr-gasveh'!E5</f>
        <v>0</v>
      </c>
      <c r="F5">
        <f>'BPoEFUbVT-mtrbks-psgr-gasveh'!F5</f>
        <v>0</v>
      </c>
      <c r="G5">
        <f>'BPoEFUbVT-mtrbks-psgr-gasveh'!G5</f>
        <v>0</v>
      </c>
      <c r="H5">
        <f>'BPoEFUbVT-mtrbks-psgr-gasveh'!H5</f>
        <v>0</v>
      </c>
      <c r="I5">
        <f>'BPoEFUbVT-mtrbks-psgr-gasveh'!I5</f>
        <v>0</v>
      </c>
      <c r="J5">
        <f>'BPoEFUbVT-mtrbks-psgr-gasveh'!J5</f>
        <v>0</v>
      </c>
      <c r="K5">
        <f>'BPoEFUbVT-mtrbks-psgr-gasveh'!K5</f>
        <v>0</v>
      </c>
      <c r="L5">
        <f>'BPoEFUbVT-mtrbks-psgr-gasveh'!L5</f>
        <v>0</v>
      </c>
      <c r="M5">
        <f>'BPoEFUbVT-mtrbks-psgr-gasveh'!M5</f>
        <v>0</v>
      </c>
      <c r="N5">
        <f>'BPoEFUbVT-mtrbks-psgr-gasveh'!N5</f>
        <v>0</v>
      </c>
      <c r="O5">
        <f>'BPoEFUbVT-mtrbks-psgr-gasveh'!O5</f>
        <v>0</v>
      </c>
      <c r="P5">
        <f>'BPoEFUbVT-mtrbks-psgr-gasveh'!P5</f>
        <v>0</v>
      </c>
      <c r="Q5">
        <f>'BPoEFUbVT-mtrbks-psgr-gasveh'!Q5</f>
        <v>0</v>
      </c>
      <c r="R5">
        <f>'BPoEFUbVT-mtrbks-psgr-gasveh'!R5</f>
        <v>0</v>
      </c>
      <c r="S5">
        <f>'BPoEFUbVT-mtrbks-psgr-gasveh'!S5</f>
        <v>0</v>
      </c>
      <c r="T5">
        <f>'BPoEFUbVT-mtrbks-psgr-gasveh'!T5</f>
        <v>0</v>
      </c>
      <c r="U5">
        <f>'BPoEFUbVT-mtrbks-psgr-gasveh'!U5</f>
        <v>0</v>
      </c>
      <c r="V5">
        <f>'BPoEFUbVT-mtrbks-psgr-gasveh'!V5</f>
        <v>0</v>
      </c>
      <c r="W5">
        <f>'BPoEFUbVT-mtrbks-psgr-gasveh'!W5</f>
        <v>0</v>
      </c>
      <c r="X5">
        <f>'BPoEFUbVT-mtrbks-psgr-gasveh'!X5</f>
        <v>0</v>
      </c>
      <c r="Y5">
        <f>'BPoEFUbVT-mtrbks-psgr-gasveh'!Y5</f>
        <v>0</v>
      </c>
      <c r="Z5">
        <f>'BPoEFUbVT-mtrbks-psgr-gasveh'!Z5</f>
        <v>0</v>
      </c>
      <c r="AA5">
        <f>'BPoEFUbVT-mtrbks-psgr-gasveh'!AA5</f>
        <v>0</v>
      </c>
      <c r="AB5">
        <f>'BPoEFUbVT-mtrbks-psgr-gasveh'!AB5</f>
        <v>0</v>
      </c>
      <c r="AC5">
        <f>'BPoEFUbVT-mtrbks-psgr-gasveh'!AC5</f>
        <v>0</v>
      </c>
      <c r="AD5">
        <f>'BPoEFUbVT-mtrbks-psgr-gasveh'!AD5</f>
        <v>0</v>
      </c>
      <c r="AE5">
        <f>'BPoEFUbVT-mtrbks-psgr-gasveh'!AE5</f>
        <v>0</v>
      </c>
    </row>
    <row r="6" spans="1:31">
      <c r="A6" t="s">
        <v>19</v>
      </c>
      <c r="B6">
        <f>'BPoEFUbVT-mtrbks-psgr-gasveh'!B6</f>
        <v>0.10199999999999999</v>
      </c>
      <c r="C6">
        <f>'BPoEFUbVT-mtrbks-psgr-gasveh'!C6</f>
        <v>0.10199999999999999</v>
      </c>
      <c r="D6">
        <f>'BPoEFUbVT-mtrbks-psgr-gasveh'!D6</f>
        <v>0.10199999999999999</v>
      </c>
      <c r="E6">
        <f>'BPoEFUbVT-mtrbks-psgr-gasveh'!E6</f>
        <v>0.10199999999999999</v>
      </c>
      <c r="F6">
        <f>'BPoEFUbVT-mtrbks-psgr-gasveh'!F6</f>
        <v>0.10199999999999999</v>
      </c>
      <c r="G6">
        <f>'BPoEFUbVT-mtrbks-psgr-gasveh'!G6</f>
        <v>0.10199999999999999</v>
      </c>
      <c r="H6">
        <f>'BPoEFUbVT-mtrbks-psgr-gasveh'!H6</f>
        <v>0.10199999999999999</v>
      </c>
      <c r="I6">
        <f>'BPoEFUbVT-mtrbks-psgr-gasveh'!I6</f>
        <v>0.10199999999999999</v>
      </c>
      <c r="J6">
        <f>'BPoEFUbVT-mtrbks-psgr-gasveh'!J6</f>
        <v>0.10199999999999999</v>
      </c>
      <c r="K6">
        <f>'BPoEFUbVT-mtrbks-psgr-gasveh'!K6</f>
        <v>0.10199999999999999</v>
      </c>
      <c r="L6">
        <f>'BPoEFUbVT-mtrbks-psgr-gasveh'!L6</f>
        <v>0.10199999999999999</v>
      </c>
      <c r="M6">
        <f>'BPoEFUbVT-mtrbks-psgr-gasveh'!M6</f>
        <v>0.10199999999999999</v>
      </c>
      <c r="N6">
        <f>'BPoEFUbVT-mtrbks-psgr-gasveh'!N6</f>
        <v>0.10199999999999999</v>
      </c>
      <c r="O6">
        <f>'BPoEFUbVT-mtrbks-psgr-gasveh'!O6</f>
        <v>0.10199999999999999</v>
      </c>
      <c r="P6">
        <f>'BPoEFUbVT-mtrbks-psgr-gasveh'!P6</f>
        <v>0.10199999999999999</v>
      </c>
      <c r="Q6">
        <f>'BPoEFUbVT-mtrbks-psgr-gasveh'!Q6</f>
        <v>0.10199999999999999</v>
      </c>
      <c r="R6">
        <f>'BPoEFUbVT-mtrbks-psgr-gasveh'!R6</f>
        <v>0.10199999999999999</v>
      </c>
      <c r="S6">
        <f>'BPoEFUbVT-mtrbks-psgr-gasveh'!S6</f>
        <v>0.10199999999999999</v>
      </c>
      <c r="T6">
        <f>'BPoEFUbVT-mtrbks-psgr-gasveh'!T6</f>
        <v>0.10199999999999999</v>
      </c>
      <c r="U6">
        <f>'BPoEFUbVT-mtrbks-psgr-gasveh'!U6</f>
        <v>0.10199999999999999</v>
      </c>
      <c r="V6">
        <f>'BPoEFUbVT-mtrbks-psgr-gasveh'!V6</f>
        <v>0.10199999999999999</v>
      </c>
      <c r="W6">
        <f>'BPoEFUbVT-mtrbks-psgr-gasveh'!W6</f>
        <v>0.10199999999999999</v>
      </c>
      <c r="X6">
        <f>'BPoEFUbVT-mtrbks-psgr-gasveh'!X6</f>
        <v>0.10199999999999999</v>
      </c>
      <c r="Y6">
        <f>'BPoEFUbVT-mtrbks-psgr-gasveh'!Y6</f>
        <v>0.10199999999999999</v>
      </c>
      <c r="Z6">
        <f>'BPoEFUbVT-mtrbks-psgr-gasveh'!Z6</f>
        <v>0.10199999999999999</v>
      </c>
      <c r="AA6">
        <f>'BPoEFUbVT-mtrbks-psgr-gasveh'!AA6</f>
        <v>0.10199999999999999</v>
      </c>
      <c r="AB6">
        <f>'BPoEFUbVT-mtrbks-psgr-gasveh'!AB6</f>
        <v>0.10199999999999999</v>
      </c>
      <c r="AC6">
        <f>'BPoEFUbVT-mtrbks-psgr-gasveh'!AC6</f>
        <v>0.10199999999999999</v>
      </c>
      <c r="AD6">
        <f>'BPoEFUbVT-mtrbks-psgr-gasveh'!AD6</f>
        <v>0.10199999999999999</v>
      </c>
      <c r="AE6">
        <f>'BPoEFUbVT-mtrbks-psgr-gasveh'!AE6</f>
        <v>0.10199999999999999</v>
      </c>
    </row>
    <row r="7" spans="1:31">
      <c r="A7" t="s">
        <v>21</v>
      </c>
      <c r="B7">
        <f>'BPoEFUbVT-mtrbks-psgr-gasveh'!B7</f>
        <v>0</v>
      </c>
      <c r="C7">
        <f>'BPoEFUbVT-mtrbks-psgr-gasveh'!C7</f>
        <v>0</v>
      </c>
      <c r="D7">
        <f>'BPoEFUbVT-mtrbks-psgr-gasveh'!D7</f>
        <v>0</v>
      </c>
      <c r="E7">
        <f>'BPoEFUbVT-mtrbks-psgr-gasveh'!E7</f>
        <v>0</v>
      </c>
      <c r="F7">
        <f>'BPoEFUbVT-mtrbks-psgr-gasveh'!F7</f>
        <v>0</v>
      </c>
      <c r="G7">
        <f>'BPoEFUbVT-mtrbks-psgr-gasveh'!G7</f>
        <v>0</v>
      </c>
      <c r="H7">
        <f>'BPoEFUbVT-mtrbks-psgr-gasveh'!H7</f>
        <v>0</v>
      </c>
      <c r="I7">
        <f>'BPoEFUbVT-mtrbks-psgr-gasveh'!I7</f>
        <v>0</v>
      </c>
      <c r="J7">
        <f>'BPoEFUbVT-mtrbks-psgr-gasveh'!J7</f>
        <v>0</v>
      </c>
      <c r="K7">
        <f>'BPoEFUbVT-mtrbks-psgr-gasveh'!K7</f>
        <v>0</v>
      </c>
      <c r="L7">
        <f>'BPoEFUbVT-mtrbks-psgr-gasveh'!L7</f>
        <v>0</v>
      </c>
      <c r="M7">
        <f>'BPoEFUbVT-mtrbks-psgr-gasveh'!M7</f>
        <v>0</v>
      </c>
      <c r="N7">
        <f>'BPoEFUbVT-mtrbks-psgr-gasveh'!N7</f>
        <v>0</v>
      </c>
      <c r="O7">
        <f>'BPoEFUbVT-mtrbks-psgr-gasveh'!O7</f>
        <v>0</v>
      </c>
      <c r="P7">
        <f>'BPoEFUbVT-mtrbks-psgr-gasveh'!P7</f>
        <v>0</v>
      </c>
      <c r="Q7">
        <f>'BPoEFUbVT-mtrbks-psgr-gasveh'!Q7</f>
        <v>0</v>
      </c>
      <c r="R7">
        <f>'BPoEFUbVT-mtrbks-psgr-gasveh'!R7</f>
        <v>0</v>
      </c>
      <c r="S7">
        <f>'BPoEFUbVT-mtrbks-psgr-gasveh'!S7</f>
        <v>0</v>
      </c>
      <c r="T7">
        <f>'BPoEFUbVT-mtrbks-psgr-gasveh'!T7</f>
        <v>0</v>
      </c>
      <c r="U7">
        <f>'BPoEFUbVT-mtrbks-psgr-gasveh'!U7</f>
        <v>0</v>
      </c>
      <c r="V7">
        <f>'BPoEFUbVT-mtrbks-psgr-gasveh'!V7</f>
        <v>0</v>
      </c>
      <c r="W7">
        <f>'BPoEFUbVT-mtrbks-psgr-gasveh'!W7</f>
        <v>0</v>
      </c>
      <c r="X7">
        <f>'BPoEFUbVT-mtrbks-psgr-gasveh'!X7</f>
        <v>0</v>
      </c>
      <c r="Y7">
        <f>'BPoEFUbVT-mtrbks-psgr-gasveh'!Y7</f>
        <v>0</v>
      </c>
      <c r="Z7">
        <f>'BPoEFUbVT-mtrbks-psgr-gasveh'!Z7</f>
        <v>0</v>
      </c>
      <c r="AA7">
        <f>'BPoEFUbVT-mtrbks-psgr-gasveh'!AA7</f>
        <v>0</v>
      </c>
      <c r="AB7">
        <f>'BPoEFUbVT-mtrbks-psgr-gasveh'!AB7</f>
        <v>0</v>
      </c>
      <c r="AC7">
        <f>'BPoEFUbVT-mtrbks-psgr-gasveh'!AC7</f>
        <v>0</v>
      </c>
      <c r="AD7">
        <f>'BPoEFUbVT-mtrbks-psgr-gasveh'!AD7</f>
        <v>0</v>
      </c>
      <c r="AE7">
        <f>'BPoEFUbVT-mtrbks-psgr-gasveh'!AE7</f>
        <v>0</v>
      </c>
    </row>
    <row r="8" spans="1:31">
      <c r="A8" t="s">
        <v>20</v>
      </c>
      <c r="B8">
        <f>'BPoEFUbVT-mtrbks-psgr-gasveh'!B8</f>
        <v>0</v>
      </c>
      <c r="C8">
        <f>'BPoEFUbVT-mtrbks-psgr-gasveh'!C8</f>
        <v>0</v>
      </c>
      <c r="D8">
        <f>'BPoEFUbVT-mtrbks-psgr-gasveh'!D8</f>
        <v>0</v>
      </c>
      <c r="E8">
        <f>'BPoEFUbVT-mtrbks-psgr-gasveh'!E8</f>
        <v>0</v>
      </c>
      <c r="F8">
        <f>'BPoEFUbVT-mtrbks-psgr-gasveh'!F8</f>
        <v>0</v>
      </c>
      <c r="G8">
        <f>'BPoEFUbVT-mtrbks-psgr-gasveh'!G8</f>
        <v>0</v>
      </c>
      <c r="H8">
        <f>'BPoEFUbVT-mtrbks-psgr-gasveh'!H8</f>
        <v>0</v>
      </c>
      <c r="I8">
        <f>'BPoEFUbVT-mtrbks-psgr-gasveh'!I8</f>
        <v>0</v>
      </c>
      <c r="J8">
        <f>'BPoEFUbVT-mtrbks-psgr-gasveh'!J8</f>
        <v>0</v>
      </c>
      <c r="K8">
        <f>'BPoEFUbVT-mtrbks-psgr-gasveh'!K8</f>
        <v>0</v>
      </c>
      <c r="L8">
        <f>'BPoEFUbVT-mtrbks-psgr-gasveh'!L8</f>
        <v>0</v>
      </c>
      <c r="M8">
        <f>'BPoEFUbVT-mtrbks-psgr-gasveh'!M8</f>
        <v>0</v>
      </c>
      <c r="N8">
        <f>'BPoEFUbVT-mtrbks-psgr-gasveh'!N8</f>
        <v>0</v>
      </c>
      <c r="O8">
        <f>'BPoEFUbVT-mtrbks-psgr-gasveh'!O8</f>
        <v>0</v>
      </c>
      <c r="P8">
        <f>'BPoEFUbVT-mtrbks-psgr-gasveh'!P8</f>
        <v>0</v>
      </c>
      <c r="Q8">
        <f>'BPoEFUbVT-mtrbks-psgr-gasveh'!Q8</f>
        <v>0</v>
      </c>
      <c r="R8">
        <f>'BPoEFUbVT-mtrbks-psgr-gasveh'!R8</f>
        <v>0</v>
      </c>
      <c r="S8">
        <f>'BPoEFUbVT-mtrbks-psgr-gasveh'!S8</f>
        <v>0</v>
      </c>
      <c r="T8">
        <f>'BPoEFUbVT-mtrbks-psgr-gasveh'!T8</f>
        <v>0</v>
      </c>
      <c r="U8">
        <f>'BPoEFUbVT-mtrbks-psgr-gasveh'!U8</f>
        <v>0</v>
      </c>
      <c r="V8">
        <f>'BPoEFUbVT-mtrbks-psgr-gasveh'!V8</f>
        <v>0</v>
      </c>
      <c r="W8">
        <f>'BPoEFUbVT-mtrbks-psgr-gasveh'!W8</f>
        <v>0</v>
      </c>
      <c r="X8">
        <f>'BPoEFUbVT-mtrbks-psgr-gasveh'!X8</f>
        <v>0</v>
      </c>
      <c r="Y8">
        <f>'BPoEFUbVT-mtrbks-psgr-gasveh'!Y8</f>
        <v>0</v>
      </c>
      <c r="Z8">
        <f>'BPoEFUbVT-mtrbks-psgr-gasveh'!Z8</f>
        <v>0</v>
      </c>
      <c r="AA8">
        <f>'BPoEFUbVT-mtrbks-psgr-gasveh'!AA8</f>
        <v>0</v>
      </c>
      <c r="AB8">
        <f>'BPoEFUbVT-mtrbks-psgr-gasveh'!AB8</f>
        <v>0</v>
      </c>
      <c r="AC8">
        <f>'BPoEFUbVT-mtrbks-psgr-gasveh'!AC8</f>
        <v>0</v>
      </c>
      <c r="AD8">
        <f>'BPoEFUbVT-mtrbks-psgr-gasveh'!AD8</f>
        <v>0</v>
      </c>
      <c r="AE8">
        <f>'BPoEFUbVT-mtrbks-psgr-gasveh'!AE8</f>
        <v>0</v>
      </c>
    </row>
    <row r="9" spans="1:31">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1">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1">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tabColor theme="3"/>
  </sheetPr>
  <dimension ref="A1:AC11"/>
  <sheetViews>
    <sheetView workbookViewId="0">
      <selection activeCell="B1" sqref="B1"/>
    </sheetView>
  </sheetViews>
  <sheetFormatPr defaultRowHeight="14.75"/>
  <cols>
    <col min="1" max="1" width="22.54296875" customWidth="1"/>
  </cols>
  <sheetData>
    <row r="1" spans="1:29" ht="29.5">
      <c r="A1" s="10" t="s">
        <v>85</v>
      </c>
      <c r="B1">
        <f>'BPoEFUbVT-mtrbks-psgr-dslveh'!B1</f>
        <v>2023</v>
      </c>
      <c r="C1">
        <f>'BPoEFUbVT-mtrbks-psgr-dslveh'!C1</f>
        <v>2024</v>
      </c>
      <c r="D1">
        <f>'BPoEFUbVT-mtrbks-psgr-dslveh'!D1</f>
        <v>2025</v>
      </c>
      <c r="E1">
        <f>'BPoEFUbVT-mtrbks-psgr-dslveh'!E1</f>
        <v>2026</v>
      </c>
      <c r="F1">
        <f>'BPoEFUbVT-mtrbks-psgr-dslveh'!F1</f>
        <v>2027</v>
      </c>
      <c r="G1">
        <f>'BPoEFUbVT-mtrbks-psgr-dslveh'!G1</f>
        <v>2028</v>
      </c>
      <c r="H1">
        <f>'BPoEFUbVT-mtrbks-psgr-dslveh'!H1</f>
        <v>2029</v>
      </c>
      <c r="I1">
        <f>'BPoEFUbVT-mtrbks-psgr-dslveh'!I1</f>
        <v>2030</v>
      </c>
      <c r="J1">
        <f>'BPoEFUbVT-mtrbks-psgr-dslveh'!J1</f>
        <v>2031</v>
      </c>
      <c r="K1">
        <f>'BPoEFUbVT-mtrbks-psgr-dslveh'!K1</f>
        <v>2032</v>
      </c>
      <c r="L1">
        <f>'BPoEFUbVT-mtrbks-psgr-dslveh'!L1</f>
        <v>2033</v>
      </c>
      <c r="M1">
        <f>'BPoEFUbVT-mtrbks-psgr-dslveh'!M1</f>
        <v>2034</v>
      </c>
      <c r="N1">
        <f>'BPoEFUbVT-mtrbks-psgr-dslveh'!N1</f>
        <v>2035</v>
      </c>
      <c r="O1">
        <f>'BPoEFUbVT-mtrbks-psgr-dslveh'!O1</f>
        <v>2036</v>
      </c>
      <c r="P1">
        <f>'BPoEFUbVT-mtrbks-psgr-dslveh'!P1</f>
        <v>2037</v>
      </c>
      <c r="Q1">
        <f>'BPoEFUbVT-mtrbks-psgr-dslveh'!Q1</f>
        <v>2038</v>
      </c>
      <c r="R1">
        <f>'BPoEFUbVT-mtrbks-psgr-dslveh'!R1</f>
        <v>2039</v>
      </c>
      <c r="S1">
        <f>'BPoEFUbVT-mtrbks-psgr-dslveh'!S1</f>
        <v>2040</v>
      </c>
      <c r="T1">
        <f>'BPoEFUbVT-mtrbks-psgr-dslveh'!T1</f>
        <v>2041</v>
      </c>
      <c r="U1">
        <f>'BPoEFUbVT-mtrbks-psgr-dslveh'!U1</f>
        <v>2042</v>
      </c>
      <c r="V1">
        <f>'BPoEFUbVT-mtrbks-psgr-dslveh'!V1</f>
        <v>2043</v>
      </c>
      <c r="W1">
        <f>'BPoEFUbVT-mtrbks-psgr-dslveh'!W1</f>
        <v>2044</v>
      </c>
      <c r="X1">
        <f>'BPoEFUbVT-mtrbks-psgr-dslveh'!X1</f>
        <v>2045</v>
      </c>
      <c r="Y1">
        <f>'BPoEFUbVT-mtrbks-psgr-dslveh'!Y1</f>
        <v>2046</v>
      </c>
      <c r="Z1">
        <f>'BPoEFUbVT-mtrbks-psgr-dslveh'!Z1</f>
        <v>2047</v>
      </c>
      <c r="AA1">
        <f>'BPoEFUbVT-mtrbks-psgr-dslveh'!AA1</f>
        <v>2048</v>
      </c>
      <c r="AB1">
        <f>'BPoEFUbVT-mtrbks-psgr-dslveh'!AB1</f>
        <v>2049</v>
      </c>
      <c r="AC1">
        <f>'BPoEFUbVT-mtrbks-psgr-dslveh'!AC1</f>
        <v>2050</v>
      </c>
    </row>
    <row r="2" spans="1:29">
      <c r="A2" t="s">
        <v>15</v>
      </c>
      <c r="B2">
        <f>'BPoEFUbVT-mtrbks-psgr-dslveh'!B2</f>
        <v>0</v>
      </c>
      <c r="C2">
        <f>'BPoEFUbVT-mtrbks-psgr-dslveh'!C2</f>
        <v>0</v>
      </c>
      <c r="D2">
        <f>'BPoEFUbVT-mtrbks-psgr-dslveh'!D2</f>
        <v>0</v>
      </c>
      <c r="E2">
        <f>'BPoEFUbVT-mtrbks-psgr-dslveh'!E2</f>
        <v>0</v>
      </c>
      <c r="F2">
        <f>'BPoEFUbVT-mtrbks-psgr-dslveh'!F2</f>
        <v>0</v>
      </c>
      <c r="G2">
        <f>'BPoEFUbVT-mtrbks-psgr-dslveh'!G2</f>
        <v>0</v>
      </c>
      <c r="H2">
        <f>'BPoEFUbVT-mtrbks-psgr-dslveh'!H2</f>
        <v>0</v>
      </c>
      <c r="I2">
        <f>'BPoEFUbVT-mtrbks-psgr-dslveh'!I2</f>
        <v>0</v>
      </c>
      <c r="J2">
        <f>'BPoEFUbVT-mtrbks-psgr-dslveh'!J2</f>
        <v>0</v>
      </c>
      <c r="K2">
        <f>'BPoEFUbVT-mtrbks-psgr-dslveh'!K2</f>
        <v>0</v>
      </c>
      <c r="L2">
        <f>'BPoEFUbVT-mtrbks-psgr-dslveh'!L2</f>
        <v>0</v>
      </c>
      <c r="M2">
        <f>'BPoEFUbVT-mtrbks-psgr-dslveh'!M2</f>
        <v>0</v>
      </c>
      <c r="N2">
        <f>'BPoEFUbVT-mtrbks-psgr-dslveh'!N2</f>
        <v>0</v>
      </c>
      <c r="O2">
        <f>'BPoEFUbVT-mtrbks-psgr-dslveh'!O2</f>
        <v>0</v>
      </c>
      <c r="P2">
        <f>'BPoEFUbVT-mtrbks-psgr-dslveh'!P2</f>
        <v>0</v>
      </c>
      <c r="Q2">
        <f>'BPoEFUbVT-mtrbks-psgr-dslveh'!Q2</f>
        <v>0</v>
      </c>
      <c r="R2">
        <f>'BPoEFUbVT-mtrbks-psgr-dslveh'!R2</f>
        <v>0</v>
      </c>
      <c r="S2">
        <f>'BPoEFUbVT-mtrbks-psgr-dslveh'!S2</f>
        <v>0</v>
      </c>
      <c r="T2">
        <f>'BPoEFUbVT-mtrbks-psgr-dslveh'!T2</f>
        <v>0</v>
      </c>
      <c r="U2">
        <f>'BPoEFUbVT-mtrbks-psgr-dslveh'!U2</f>
        <v>0</v>
      </c>
      <c r="V2">
        <f>'BPoEFUbVT-mtrbks-psgr-dslveh'!V2</f>
        <v>0</v>
      </c>
      <c r="W2">
        <f>'BPoEFUbVT-mtrbks-psgr-dslveh'!W2</f>
        <v>0</v>
      </c>
      <c r="X2">
        <f>'BPoEFUbVT-mtrbks-psgr-dslveh'!X2</f>
        <v>0</v>
      </c>
      <c r="Y2">
        <f>'BPoEFUbVT-mtrbks-psgr-dslveh'!Y2</f>
        <v>0</v>
      </c>
      <c r="Z2">
        <f>'BPoEFUbVT-mtrbks-psgr-dslveh'!Z2</f>
        <v>0</v>
      </c>
      <c r="AA2">
        <f>'BPoEFUbVT-mtrbks-psgr-dslveh'!AA2</f>
        <v>0</v>
      </c>
      <c r="AB2">
        <f>'BPoEFUbVT-mtrbks-psgr-dslveh'!AB2</f>
        <v>0</v>
      </c>
      <c r="AC2">
        <f>'BPoEFUbVT-mtrbks-psgr-dslveh'!AC2</f>
        <v>0</v>
      </c>
    </row>
    <row r="3" spans="1:29">
      <c r="A3" t="s">
        <v>16</v>
      </c>
      <c r="B3">
        <f>'BPoEFUbVT-mtrbks-psgr-dslveh'!B3</f>
        <v>0</v>
      </c>
      <c r="C3">
        <f>'BPoEFUbVT-mtrbks-psgr-dslveh'!C3</f>
        <v>0</v>
      </c>
      <c r="D3">
        <f>'BPoEFUbVT-mtrbks-psgr-dslveh'!D3</f>
        <v>0</v>
      </c>
      <c r="E3">
        <f>'BPoEFUbVT-mtrbks-psgr-dslveh'!E3</f>
        <v>0</v>
      </c>
      <c r="F3">
        <f>'BPoEFUbVT-mtrbks-psgr-dslveh'!F3</f>
        <v>0</v>
      </c>
      <c r="G3">
        <f>'BPoEFUbVT-mtrbks-psgr-dslveh'!G3</f>
        <v>0</v>
      </c>
      <c r="H3">
        <f>'BPoEFUbVT-mtrbks-psgr-dslveh'!H3</f>
        <v>0</v>
      </c>
      <c r="I3">
        <f>'BPoEFUbVT-mtrbks-psgr-dslveh'!I3</f>
        <v>0</v>
      </c>
      <c r="J3">
        <f>'BPoEFUbVT-mtrbks-psgr-dslveh'!J3</f>
        <v>0</v>
      </c>
      <c r="K3">
        <f>'BPoEFUbVT-mtrbks-psgr-dslveh'!K3</f>
        <v>0</v>
      </c>
      <c r="L3">
        <f>'BPoEFUbVT-mtrbks-psgr-dslveh'!L3</f>
        <v>0</v>
      </c>
      <c r="M3">
        <f>'BPoEFUbVT-mtrbks-psgr-dslveh'!M3</f>
        <v>0</v>
      </c>
      <c r="N3">
        <f>'BPoEFUbVT-mtrbks-psgr-dslveh'!N3</f>
        <v>0</v>
      </c>
      <c r="O3">
        <f>'BPoEFUbVT-mtrbks-psgr-dslveh'!O3</f>
        <v>0</v>
      </c>
      <c r="P3">
        <f>'BPoEFUbVT-mtrbks-psgr-dslveh'!P3</f>
        <v>0</v>
      </c>
      <c r="Q3">
        <f>'BPoEFUbVT-mtrbks-psgr-dslveh'!Q3</f>
        <v>0</v>
      </c>
      <c r="R3">
        <f>'BPoEFUbVT-mtrbks-psgr-dslveh'!R3</f>
        <v>0</v>
      </c>
      <c r="S3">
        <f>'BPoEFUbVT-mtrbks-psgr-dslveh'!S3</f>
        <v>0</v>
      </c>
      <c r="T3">
        <f>'BPoEFUbVT-mtrbks-psgr-dslveh'!T3</f>
        <v>0</v>
      </c>
      <c r="U3">
        <f>'BPoEFUbVT-mtrbks-psgr-dslveh'!U3</f>
        <v>0</v>
      </c>
      <c r="V3">
        <f>'BPoEFUbVT-mtrbks-psgr-dslveh'!V3</f>
        <v>0</v>
      </c>
      <c r="W3">
        <f>'BPoEFUbVT-mtrbks-psgr-dslveh'!W3</f>
        <v>0</v>
      </c>
      <c r="X3">
        <f>'BPoEFUbVT-mtrbks-psgr-dslveh'!X3</f>
        <v>0</v>
      </c>
      <c r="Y3">
        <f>'BPoEFUbVT-mtrbks-psgr-dslveh'!Y3</f>
        <v>0</v>
      </c>
      <c r="Z3">
        <f>'BPoEFUbVT-mtrbks-psgr-dslveh'!Z3</f>
        <v>0</v>
      </c>
      <c r="AA3">
        <f>'BPoEFUbVT-mtrbks-psgr-dslveh'!AA3</f>
        <v>0</v>
      </c>
      <c r="AB3">
        <f>'BPoEFUbVT-mtrbks-psgr-dslveh'!AB3</f>
        <v>0</v>
      </c>
      <c r="AC3">
        <f>'BPoEFUbVT-mtrbks-psgr-dslveh'!AC3</f>
        <v>0</v>
      </c>
    </row>
    <row r="4" spans="1:29">
      <c r="A4" t="s">
        <v>17</v>
      </c>
      <c r="B4">
        <f>'BPoEFUbVT-mtrbks-psgr-dslveh'!B4</f>
        <v>0</v>
      </c>
      <c r="C4">
        <f>'BPoEFUbVT-mtrbks-psgr-dslveh'!C4</f>
        <v>0</v>
      </c>
      <c r="D4">
        <f>'BPoEFUbVT-mtrbks-psgr-dslveh'!D4</f>
        <v>0</v>
      </c>
      <c r="E4">
        <f>'BPoEFUbVT-mtrbks-psgr-dslveh'!E4</f>
        <v>0</v>
      </c>
      <c r="F4">
        <f>'BPoEFUbVT-mtrbks-psgr-dslveh'!F4</f>
        <v>0</v>
      </c>
      <c r="G4">
        <f>'BPoEFUbVT-mtrbks-psgr-dslveh'!G4</f>
        <v>0</v>
      </c>
      <c r="H4">
        <f>'BPoEFUbVT-mtrbks-psgr-dslveh'!H4</f>
        <v>0</v>
      </c>
      <c r="I4">
        <f>'BPoEFUbVT-mtrbks-psgr-dslveh'!I4</f>
        <v>0</v>
      </c>
      <c r="J4">
        <f>'BPoEFUbVT-mtrbks-psgr-dslveh'!J4</f>
        <v>0</v>
      </c>
      <c r="K4">
        <f>'BPoEFUbVT-mtrbks-psgr-dslveh'!K4</f>
        <v>0</v>
      </c>
      <c r="L4">
        <f>'BPoEFUbVT-mtrbks-psgr-dslveh'!L4</f>
        <v>0</v>
      </c>
      <c r="M4">
        <f>'BPoEFUbVT-mtrbks-psgr-dslveh'!M4</f>
        <v>0</v>
      </c>
      <c r="N4">
        <f>'BPoEFUbVT-mtrbks-psgr-dslveh'!N4</f>
        <v>0</v>
      </c>
      <c r="O4">
        <f>'BPoEFUbVT-mtrbks-psgr-dslveh'!O4</f>
        <v>0</v>
      </c>
      <c r="P4">
        <f>'BPoEFUbVT-mtrbks-psgr-dslveh'!P4</f>
        <v>0</v>
      </c>
      <c r="Q4">
        <f>'BPoEFUbVT-mtrbks-psgr-dslveh'!Q4</f>
        <v>0</v>
      </c>
      <c r="R4">
        <f>'BPoEFUbVT-mtrbks-psgr-dslveh'!R4</f>
        <v>0</v>
      </c>
      <c r="S4">
        <f>'BPoEFUbVT-mtrbks-psgr-dslveh'!S4</f>
        <v>0</v>
      </c>
      <c r="T4">
        <f>'BPoEFUbVT-mtrbks-psgr-dslveh'!T4</f>
        <v>0</v>
      </c>
      <c r="U4">
        <f>'BPoEFUbVT-mtrbks-psgr-dslveh'!U4</f>
        <v>0</v>
      </c>
      <c r="V4">
        <f>'BPoEFUbVT-mtrbks-psgr-dslveh'!V4</f>
        <v>0</v>
      </c>
      <c r="W4">
        <f>'BPoEFUbVT-mtrbks-psgr-dslveh'!W4</f>
        <v>0</v>
      </c>
      <c r="X4">
        <f>'BPoEFUbVT-mtrbks-psgr-dslveh'!X4</f>
        <v>0</v>
      </c>
      <c r="Y4">
        <f>'BPoEFUbVT-mtrbks-psgr-dslveh'!Y4</f>
        <v>0</v>
      </c>
      <c r="Z4">
        <f>'BPoEFUbVT-mtrbks-psgr-dslveh'!Z4</f>
        <v>0</v>
      </c>
      <c r="AA4">
        <f>'BPoEFUbVT-mtrbks-psgr-dslveh'!AA4</f>
        <v>0</v>
      </c>
      <c r="AB4">
        <f>'BPoEFUbVT-mtrbks-psgr-dslveh'!AB4</f>
        <v>0</v>
      </c>
      <c r="AC4">
        <f>'BPoEFUbVT-mtrbks-psgr-dslveh'!AC4</f>
        <v>0</v>
      </c>
    </row>
    <row r="5" spans="1:29">
      <c r="A5" t="s">
        <v>18</v>
      </c>
      <c r="B5">
        <f>'BPoEFUbVT-mtrbks-psgr-dslveh'!B5</f>
        <v>0.96756119768275339</v>
      </c>
      <c r="C5">
        <f>'BPoEFUbVT-mtrbks-psgr-dslveh'!C5</f>
        <v>0.96041416638410693</v>
      </c>
      <c r="D5">
        <f>'BPoEFUbVT-mtrbks-psgr-dslveh'!D5</f>
        <v>0.96701182303643263</v>
      </c>
      <c r="E5">
        <f>'BPoEFUbVT-mtrbks-psgr-dslveh'!E5</f>
        <v>0.96640793844184825</v>
      </c>
      <c r="F5">
        <f>'BPoEFUbVT-mtrbks-psgr-dslveh'!F5</f>
        <v>0.96812500177766059</v>
      </c>
      <c r="G5">
        <f>'BPoEFUbVT-mtrbks-psgr-dslveh'!G5</f>
        <v>0.98009198824562427</v>
      </c>
      <c r="H5">
        <f>'BPoEFUbVT-mtrbks-psgr-dslveh'!H5</f>
        <v>0.97650452180774017</v>
      </c>
      <c r="I5">
        <f>'BPoEFUbVT-mtrbks-psgr-dslveh'!I5</f>
        <v>0.97528675799062703</v>
      </c>
      <c r="J5">
        <f>'BPoEFUbVT-mtrbks-psgr-dslveh'!J5</f>
        <v>0.97454250056113867</v>
      </c>
      <c r="K5">
        <f>'BPoEFUbVT-mtrbks-psgr-dslveh'!K5</f>
        <v>0.97401501182850003</v>
      </c>
      <c r="L5">
        <f>'BPoEFUbVT-mtrbks-psgr-dslveh'!L5</f>
        <v>0.97258517715476844</v>
      </c>
      <c r="M5">
        <f>'BPoEFUbVT-mtrbks-psgr-dslveh'!M5</f>
        <v>0.96979508221703403</v>
      </c>
      <c r="N5">
        <f>'BPoEFUbVT-mtrbks-psgr-dslveh'!N5</f>
        <v>0.96766971774253063</v>
      </c>
      <c r="O5">
        <f>'BPoEFUbVT-mtrbks-psgr-dslveh'!O5</f>
        <v>0.96759671637630318</v>
      </c>
      <c r="P5">
        <f>'BPoEFUbVT-mtrbks-psgr-dslveh'!P5</f>
        <v>0.96572788563008749</v>
      </c>
      <c r="Q5">
        <f>'BPoEFUbVT-mtrbks-psgr-dslveh'!Q5</f>
        <v>0.96556610352491634</v>
      </c>
      <c r="R5">
        <f>'BPoEFUbVT-mtrbks-psgr-dslveh'!R5</f>
        <v>0.96573361538170976</v>
      </c>
      <c r="S5">
        <f>'BPoEFUbVT-mtrbks-psgr-dslveh'!S5</f>
        <v>0.96595948602255566</v>
      </c>
      <c r="T5">
        <f>'BPoEFUbVT-mtrbks-psgr-dslveh'!T5</f>
        <v>0.9662221978880392</v>
      </c>
      <c r="U5">
        <f>'BPoEFUbVT-mtrbks-psgr-dslveh'!U5</f>
        <v>0.96655142709382569</v>
      </c>
      <c r="V5">
        <f>'BPoEFUbVT-mtrbks-psgr-dslveh'!V5</f>
        <v>0.96691298126636527</v>
      </c>
      <c r="W5">
        <f>'BPoEFUbVT-mtrbks-psgr-dslveh'!W5</f>
        <v>0.96721144133880754</v>
      </c>
      <c r="X5">
        <f>'BPoEFUbVT-mtrbks-psgr-dslveh'!X5</f>
        <v>0.96767255313167799</v>
      </c>
      <c r="Y5">
        <f>'BPoEFUbVT-mtrbks-psgr-dslveh'!Y5</f>
        <v>0.96816560444733579</v>
      </c>
      <c r="Z5">
        <f>'BPoEFUbVT-mtrbks-psgr-dslveh'!Z5</f>
        <v>0.9688055995027004</v>
      </c>
      <c r="AA5">
        <f>'BPoEFUbVT-mtrbks-psgr-dslveh'!AA5</f>
        <v>0.96948707930314626</v>
      </c>
      <c r="AB5">
        <f>'BPoEFUbVT-mtrbks-psgr-dslveh'!AB5</f>
        <v>0.97019068153310561</v>
      </c>
      <c r="AC5">
        <f>'BPoEFUbVT-mtrbks-psgr-dslveh'!AC5</f>
        <v>0.9708979053403729</v>
      </c>
    </row>
    <row r="6" spans="1:29">
      <c r="A6" t="s">
        <v>19</v>
      </c>
      <c r="B6">
        <f>'BPoEFUbVT-mtrbks-psgr-dslveh'!B6</f>
        <v>0</v>
      </c>
      <c r="C6">
        <f>'BPoEFUbVT-mtrbks-psgr-dslveh'!C6</f>
        <v>0</v>
      </c>
      <c r="D6">
        <f>'BPoEFUbVT-mtrbks-psgr-dslveh'!D6</f>
        <v>0</v>
      </c>
      <c r="E6">
        <f>'BPoEFUbVT-mtrbks-psgr-dslveh'!E6</f>
        <v>0</v>
      </c>
      <c r="F6">
        <f>'BPoEFUbVT-mtrbks-psgr-dslveh'!F6</f>
        <v>0</v>
      </c>
      <c r="G6">
        <f>'BPoEFUbVT-mtrbks-psgr-dslveh'!G6</f>
        <v>0</v>
      </c>
      <c r="H6">
        <f>'BPoEFUbVT-mtrbks-psgr-dslveh'!H6</f>
        <v>0</v>
      </c>
      <c r="I6">
        <f>'BPoEFUbVT-mtrbks-psgr-dslveh'!I6</f>
        <v>0</v>
      </c>
      <c r="J6">
        <f>'BPoEFUbVT-mtrbks-psgr-dslveh'!J6</f>
        <v>0</v>
      </c>
      <c r="K6">
        <f>'BPoEFUbVT-mtrbks-psgr-dslveh'!K6</f>
        <v>0</v>
      </c>
      <c r="L6">
        <f>'BPoEFUbVT-mtrbks-psgr-dslveh'!L6</f>
        <v>0</v>
      </c>
      <c r="M6">
        <f>'BPoEFUbVT-mtrbks-psgr-dslveh'!M6</f>
        <v>0</v>
      </c>
      <c r="N6">
        <f>'BPoEFUbVT-mtrbks-psgr-dslveh'!N6</f>
        <v>0</v>
      </c>
      <c r="O6">
        <f>'BPoEFUbVT-mtrbks-psgr-dslveh'!O6</f>
        <v>0</v>
      </c>
      <c r="P6">
        <f>'BPoEFUbVT-mtrbks-psgr-dslveh'!P6</f>
        <v>0</v>
      </c>
      <c r="Q6">
        <f>'BPoEFUbVT-mtrbks-psgr-dslveh'!Q6</f>
        <v>0</v>
      </c>
      <c r="R6">
        <f>'BPoEFUbVT-mtrbks-psgr-dslveh'!R6</f>
        <v>0</v>
      </c>
      <c r="S6">
        <f>'BPoEFUbVT-mtrbks-psgr-dslveh'!S6</f>
        <v>0</v>
      </c>
      <c r="T6">
        <f>'BPoEFUbVT-mtrbks-psgr-dslveh'!T6</f>
        <v>0</v>
      </c>
      <c r="U6">
        <f>'BPoEFUbVT-mtrbks-psgr-dslveh'!U6</f>
        <v>0</v>
      </c>
      <c r="V6">
        <f>'BPoEFUbVT-mtrbks-psgr-dslveh'!V6</f>
        <v>0</v>
      </c>
      <c r="W6">
        <f>'BPoEFUbVT-mtrbks-psgr-dslveh'!W6</f>
        <v>0</v>
      </c>
      <c r="X6">
        <f>'BPoEFUbVT-mtrbks-psgr-dslveh'!X6</f>
        <v>0</v>
      </c>
      <c r="Y6">
        <f>'BPoEFUbVT-mtrbks-psgr-dslveh'!Y6</f>
        <v>0</v>
      </c>
      <c r="Z6">
        <f>'BPoEFUbVT-mtrbks-psgr-dslveh'!Z6</f>
        <v>0</v>
      </c>
      <c r="AA6">
        <f>'BPoEFUbVT-mtrbks-psgr-dslveh'!AA6</f>
        <v>0</v>
      </c>
      <c r="AB6">
        <f>'BPoEFUbVT-mtrbks-psgr-dslveh'!AB6</f>
        <v>0</v>
      </c>
      <c r="AC6">
        <f>'BPoEFUbVT-mtrbks-psgr-dslveh'!AC6</f>
        <v>0</v>
      </c>
    </row>
    <row r="7" spans="1:29">
      <c r="A7" t="s">
        <v>21</v>
      </c>
      <c r="B7">
        <f>'BPoEFUbVT-mtrbks-psgr-dslveh'!B7</f>
        <v>3.2438802317246634E-2</v>
      </c>
      <c r="C7">
        <f>'BPoEFUbVT-mtrbks-psgr-dslveh'!C7</f>
        <v>3.9585833615893101E-2</v>
      </c>
      <c r="D7">
        <f>'BPoEFUbVT-mtrbks-psgr-dslveh'!D7</f>
        <v>3.2988176963567352E-2</v>
      </c>
      <c r="E7">
        <f>'BPoEFUbVT-mtrbks-psgr-dslveh'!E7</f>
        <v>3.3592061558151781E-2</v>
      </c>
      <c r="F7">
        <f>'BPoEFUbVT-mtrbks-psgr-dslveh'!F7</f>
        <v>3.1874998222339357E-2</v>
      </c>
      <c r="G7">
        <f>'BPoEFUbVT-mtrbks-psgr-dslveh'!G7</f>
        <v>1.9908011754375773E-2</v>
      </c>
      <c r="H7">
        <f>'BPoEFUbVT-mtrbks-psgr-dslveh'!H7</f>
        <v>2.3495478192259833E-2</v>
      </c>
      <c r="I7">
        <f>'BPoEFUbVT-mtrbks-psgr-dslveh'!I7</f>
        <v>2.4713242009373016E-2</v>
      </c>
      <c r="J7">
        <f>'BPoEFUbVT-mtrbks-psgr-dslveh'!J7</f>
        <v>2.5457499438861282E-2</v>
      </c>
      <c r="K7">
        <f>'BPoEFUbVT-mtrbks-psgr-dslveh'!K7</f>
        <v>2.5984988171500023E-2</v>
      </c>
      <c r="L7">
        <f>'BPoEFUbVT-mtrbks-psgr-dslveh'!L7</f>
        <v>2.7414822845231571E-2</v>
      </c>
      <c r="M7">
        <f>'BPoEFUbVT-mtrbks-psgr-dslveh'!M7</f>
        <v>3.0204917782965933E-2</v>
      </c>
      <c r="N7">
        <f>'BPoEFUbVT-mtrbks-psgr-dslveh'!N7</f>
        <v>3.2330282257469367E-2</v>
      </c>
      <c r="O7">
        <f>'BPoEFUbVT-mtrbks-psgr-dslveh'!O7</f>
        <v>3.240328362369687E-2</v>
      </c>
      <c r="P7">
        <f>'BPoEFUbVT-mtrbks-psgr-dslveh'!P7</f>
        <v>3.4272114369912537E-2</v>
      </c>
      <c r="Q7">
        <f>'BPoEFUbVT-mtrbks-psgr-dslveh'!Q7</f>
        <v>3.4433896475083707E-2</v>
      </c>
      <c r="R7">
        <f>'BPoEFUbVT-mtrbks-psgr-dslveh'!R7</f>
        <v>3.4266384618290291E-2</v>
      </c>
      <c r="S7">
        <f>'BPoEFUbVT-mtrbks-psgr-dslveh'!S7</f>
        <v>3.4040513977444335E-2</v>
      </c>
      <c r="T7">
        <f>'BPoEFUbVT-mtrbks-psgr-dslveh'!T7</f>
        <v>3.3777802111960777E-2</v>
      </c>
      <c r="U7">
        <f>'BPoEFUbVT-mtrbks-psgr-dslveh'!U7</f>
        <v>3.3448572906174312E-2</v>
      </c>
      <c r="V7">
        <f>'BPoEFUbVT-mtrbks-psgr-dslveh'!V7</f>
        <v>3.3087018733634767E-2</v>
      </c>
      <c r="W7">
        <f>'BPoEFUbVT-mtrbks-psgr-dslveh'!W7</f>
        <v>3.2788558661192499E-2</v>
      </c>
      <c r="X7">
        <f>'BPoEFUbVT-mtrbks-psgr-dslveh'!X7</f>
        <v>3.2327446868322056E-2</v>
      </c>
      <c r="Y7">
        <f>'BPoEFUbVT-mtrbks-psgr-dslveh'!Y7</f>
        <v>3.1834395552664221E-2</v>
      </c>
      <c r="Z7">
        <f>'BPoEFUbVT-mtrbks-psgr-dslveh'!Z7</f>
        <v>3.1194400497299647E-2</v>
      </c>
      <c r="AA7">
        <f>'BPoEFUbVT-mtrbks-psgr-dslveh'!AA7</f>
        <v>3.0512920696853785E-2</v>
      </c>
      <c r="AB7">
        <f>'BPoEFUbVT-mtrbks-psgr-dslveh'!AB7</f>
        <v>2.9809318466894396E-2</v>
      </c>
      <c r="AC7">
        <f>'BPoEFUbVT-mtrbks-psgr-dslveh'!AC7</f>
        <v>2.9102094659627049E-2</v>
      </c>
    </row>
    <row r="8" spans="1:29">
      <c r="A8" t="s">
        <v>20</v>
      </c>
      <c r="B8">
        <f>'BPoEFUbVT-mtrbks-psgr-dslveh'!B8</f>
        <v>0</v>
      </c>
      <c r="C8">
        <f>'BPoEFUbVT-mtrbks-psgr-dslveh'!C8</f>
        <v>0</v>
      </c>
      <c r="D8">
        <f>'BPoEFUbVT-mtrbks-psgr-dslveh'!D8</f>
        <v>0</v>
      </c>
      <c r="E8">
        <f>'BPoEFUbVT-mtrbks-psgr-dslveh'!E8</f>
        <v>0</v>
      </c>
      <c r="F8">
        <f>'BPoEFUbVT-mtrbks-psgr-dslveh'!F8</f>
        <v>0</v>
      </c>
      <c r="G8">
        <f>'BPoEFUbVT-mtrbks-psgr-dslveh'!G8</f>
        <v>0</v>
      </c>
      <c r="H8">
        <f>'BPoEFUbVT-mtrbks-psgr-dslveh'!H8</f>
        <v>0</v>
      </c>
      <c r="I8">
        <f>'BPoEFUbVT-mtrbks-psgr-dslveh'!I8</f>
        <v>0</v>
      </c>
      <c r="J8">
        <f>'BPoEFUbVT-mtrbks-psgr-dslveh'!J8</f>
        <v>0</v>
      </c>
      <c r="K8">
        <f>'BPoEFUbVT-mtrbks-psgr-dslveh'!K8</f>
        <v>0</v>
      </c>
      <c r="L8">
        <f>'BPoEFUbVT-mtrbks-psgr-dslveh'!L8</f>
        <v>0</v>
      </c>
      <c r="M8">
        <f>'BPoEFUbVT-mtrbks-psgr-dslveh'!M8</f>
        <v>0</v>
      </c>
      <c r="N8">
        <f>'BPoEFUbVT-mtrbks-psgr-dslveh'!N8</f>
        <v>0</v>
      </c>
      <c r="O8">
        <f>'BPoEFUbVT-mtrbks-psgr-dslveh'!O8</f>
        <v>0</v>
      </c>
      <c r="P8">
        <f>'BPoEFUbVT-mtrbks-psgr-dslveh'!P8</f>
        <v>0</v>
      </c>
      <c r="Q8">
        <f>'BPoEFUbVT-mtrbks-psgr-dslveh'!Q8</f>
        <v>0</v>
      </c>
      <c r="R8">
        <f>'BPoEFUbVT-mtrbks-psgr-dslveh'!R8</f>
        <v>0</v>
      </c>
      <c r="S8">
        <f>'BPoEFUbVT-mtrbks-psgr-dslveh'!S8</f>
        <v>0</v>
      </c>
      <c r="T8">
        <f>'BPoEFUbVT-mtrbks-psgr-dslveh'!T8</f>
        <v>0</v>
      </c>
      <c r="U8">
        <f>'BPoEFUbVT-mtrbks-psgr-dslveh'!U8</f>
        <v>0</v>
      </c>
      <c r="V8">
        <f>'BPoEFUbVT-mtrbks-psgr-dslveh'!V8</f>
        <v>0</v>
      </c>
      <c r="W8">
        <f>'BPoEFUbVT-mtrbks-psgr-dslveh'!W8</f>
        <v>0</v>
      </c>
      <c r="X8">
        <f>'BPoEFUbVT-mtrbks-psgr-dslveh'!X8</f>
        <v>0</v>
      </c>
      <c r="Y8">
        <f>'BPoEFUbVT-mtrbks-psgr-dslveh'!Y8</f>
        <v>0</v>
      </c>
      <c r="Z8">
        <f>'BPoEFUbVT-mtrbks-psgr-dslveh'!Z8</f>
        <v>0</v>
      </c>
      <c r="AA8">
        <f>'BPoEFUbVT-mtrbks-psgr-dslveh'!AA8</f>
        <v>0</v>
      </c>
      <c r="AB8">
        <f>'BPoEFUbVT-mtrbks-psgr-dslveh'!AB8</f>
        <v>0</v>
      </c>
      <c r="AC8">
        <f>'BPoEFUbVT-mtrbks-psgr-dslveh'!AC8</f>
        <v>0</v>
      </c>
    </row>
    <row r="9" spans="1:29">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row>
    <row r="10" spans="1:29">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row>
    <row r="11" spans="1:29">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row>
  </sheetData>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tabColor theme="3"/>
  </sheetPr>
  <dimension ref="A1:AD11"/>
  <sheetViews>
    <sheetView workbookViewId="0">
      <selection activeCell="B1" sqref="B1"/>
    </sheetView>
  </sheetViews>
  <sheetFormatPr defaultRowHeight="14.75"/>
  <cols>
    <col min="1" max="1" width="22.54296875" customWidth="1"/>
  </cols>
  <sheetData>
    <row r="1" spans="1:30" ht="29.5">
      <c r="A1" s="10" t="s">
        <v>85</v>
      </c>
      <c r="B1">
        <f>'BPoEFUbVT-mtrbks-psgr-plghyb'!B1</f>
        <v>2022</v>
      </c>
      <c r="C1">
        <f>'BPoEFUbVT-mtrbks-psgr-plghyb'!C1</f>
        <v>2023</v>
      </c>
      <c r="D1">
        <f>'BPoEFUbVT-mtrbks-psgr-plghyb'!D1</f>
        <v>2024</v>
      </c>
      <c r="E1">
        <f>'BPoEFUbVT-mtrbks-psgr-plghyb'!E1</f>
        <v>2025</v>
      </c>
      <c r="F1">
        <f>'BPoEFUbVT-mtrbks-psgr-plghyb'!F1</f>
        <v>2026</v>
      </c>
      <c r="G1">
        <f>'BPoEFUbVT-mtrbks-psgr-plghyb'!G1</f>
        <v>2027</v>
      </c>
      <c r="H1">
        <f>'BPoEFUbVT-mtrbks-psgr-plghyb'!H1</f>
        <v>2028</v>
      </c>
      <c r="I1">
        <f>'BPoEFUbVT-mtrbks-psgr-plghyb'!I1</f>
        <v>2029</v>
      </c>
      <c r="J1">
        <f>'BPoEFUbVT-mtrbks-psgr-plghyb'!J1</f>
        <v>2030</v>
      </c>
      <c r="K1">
        <f>'BPoEFUbVT-mtrbks-psgr-plghyb'!K1</f>
        <v>2031</v>
      </c>
      <c r="L1">
        <f>'BPoEFUbVT-mtrbks-psgr-plghyb'!L1</f>
        <v>2032</v>
      </c>
      <c r="M1">
        <f>'BPoEFUbVT-mtrbks-psgr-plghyb'!M1</f>
        <v>2033</v>
      </c>
      <c r="N1">
        <f>'BPoEFUbVT-mtrbks-psgr-plghyb'!N1</f>
        <v>2034</v>
      </c>
      <c r="O1">
        <f>'BPoEFUbVT-mtrbks-psgr-plghyb'!O1</f>
        <v>2035</v>
      </c>
      <c r="P1">
        <f>'BPoEFUbVT-mtrbks-psgr-plghyb'!P1</f>
        <v>2036</v>
      </c>
      <c r="Q1">
        <f>'BPoEFUbVT-mtrbks-psgr-plghyb'!Q1</f>
        <v>2037</v>
      </c>
      <c r="R1">
        <f>'BPoEFUbVT-mtrbks-psgr-plghyb'!R1</f>
        <v>2038</v>
      </c>
      <c r="S1">
        <f>'BPoEFUbVT-mtrbks-psgr-plghyb'!S1</f>
        <v>2039</v>
      </c>
      <c r="T1">
        <f>'BPoEFUbVT-mtrbks-psgr-plghyb'!T1</f>
        <v>2040</v>
      </c>
      <c r="U1">
        <f>'BPoEFUbVT-mtrbks-psgr-plghyb'!U1</f>
        <v>2041</v>
      </c>
      <c r="V1">
        <f>'BPoEFUbVT-mtrbks-psgr-plghyb'!V1</f>
        <v>2042</v>
      </c>
      <c r="W1">
        <f>'BPoEFUbVT-mtrbks-psgr-plghyb'!W1</f>
        <v>2043</v>
      </c>
      <c r="X1">
        <f>'BPoEFUbVT-mtrbks-psgr-plghyb'!X1</f>
        <v>2044</v>
      </c>
      <c r="Y1">
        <f>'BPoEFUbVT-mtrbks-psgr-plghyb'!Y1</f>
        <v>2045</v>
      </c>
      <c r="Z1">
        <f>'BPoEFUbVT-mtrbks-psgr-plghyb'!Z1</f>
        <v>2046</v>
      </c>
      <c r="AA1">
        <f>'BPoEFUbVT-mtrbks-psgr-plghyb'!AA1</f>
        <v>2047</v>
      </c>
      <c r="AB1">
        <f>'BPoEFUbVT-mtrbks-psgr-plghyb'!AB1</f>
        <v>2048</v>
      </c>
      <c r="AC1">
        <f>'BPoEFUbVT-mtrbks-psgr-plghyb'!AC1</f>
        <v>2049</v>
      </c>
      <c r="AD1">
        <f>'BPoEFUbVT-mtrbks-psgr-plghyb'!AD1</f>
        <v>2050</v>
      </c>
    </row>
    <row r="2" spans="1:30">
      <c r="A2" t="s">
        <v>15</v>
      </c>
      <c r="B2">
        <f>'BPoEFUbVT-mtrbks-psgr-plghyb'!B2</f>
        <v>0.55000000000000004</v>
      </c>
      <c r="C2">
        <f>'BPoEFUbVT-mtrbks-psgr-plghyb'!C2</f>
        <v>0.55000000000000004</v>
      </c>
      <c r="D2">
        <f>'BPoEFUbVT-mtrbks-psgr-plghyb'!D2</f>
        <v>0.55000000000000004</v>
      </c>
      <c r="E2">
        <f>'BPoEFUbVT-mtrbks-psgr-plghyb'!E2</f>
        <v>0.55000000000000004</v>
      </c>
      <c r="F2">
        <f>'BPoEFUbVT-mtrbks-psgr-plghyb'!F2</f>
        <v>0.55000000000000004</v>
      </c>
      <c r="G2">
        <f>'BPoEFUbVT-mtrbks-psgr-plghyb'!G2</f>
        <v>0.55000000000000004</v>
      </c>
      <c r="H2">
        <f>'BPoEFUbVT-mtrbks-psgr-plghyb'!H2</f>
        <v>0.55000000000000004</v>
      </c>
      <c r="I2">
        <f>'BPoEFUbVT-mtrbks-psgr-plghyb'!I2</f>
        <v>0.55000000000000004</v>
      </c>
      <c r="J2">
        <f>'BPoEFUbVT-mtrbks-psgr-plghyb'!J2</f>
        <v>0.55000000000000004</v>
      </c>
      <c r="K2">
        <f>'BPoEFUbVT-mtrbks-psgr-plghyb'!K2</f>
        <v>0.55000000000000004</v>
      </c>
      <c r="L2">
        <f>'BPoEFUbVT-mtrbks-psgr-plghyb'!L2</f>
        <v>0.55000000000000004</v>
      </c>
      <c r="M2">
        <f>'BPoEFUbVT-mtrbks-psgr-plghyb'!M2</f>
        <v>0.55000000000000004</v>
      </c>
      <c r="N2">
        <f>'BPoEFUbVT-mtrbks-psgr-plghyb'!N2</f>
        <v>0.55000000000000004</v>
      </c>
      <c r="O2">
        <f>'BPoEFUbVT-mtrbks-psgr-plghyb'!O2</f>
        <v>0.55000000000000004</v>
      </c>
      <c r="P2">
        <f>'BPoEFUbVT-mtrbks-psgr-plghyb'!P2</f>
        <v>0.55000000000000004</v>
      </c>
      <c r="Q2">
        <f>'BPoEFUbVT-mtrbks-psgr-plghyb'!Q2</f>
        <v>0.55000000000000004</v>
      </c>
      <c r="R2">
        <f>'BPoEFUbVT-mtrbks-psgr-plghyb'!R2</f>
        <v>0.55000000000000004</v>
      </c>
      <c r="S2">
        <f>'BPoEFUbVT-mtrbks-psgr-plghyb'!S2</f>
        <v>0.55000000000000004</v>
      </c>
      <c r="T2">
        <f>'BPoEFUbVT-mtrbks-psgr-plghyb'!T2</f>
        <v>0.55000000000000004</v>
      </c>
      <c r="U2">
        <f>'BPoEFUbVT-mtrbks-psgr-plghyb'!U2</f>
        <v>0.55000000000000004</v>
      </c>
      <c r="V2">
        <f>'BPoEFUbVT-mtrbks-psgr-plghyb'!V2</f>
        <v>0.55000000000000004</v>
      </c>
      <c r="W2">
        <f>'BPoEFUbVT-mtrbks-psgr-plghyb'!W2</f>
        <v>0.55000000000000004</v>
      </c>
      <c r="X2">
        <f>'BPoEFUbVT-mtrbks-psgr-plghyb'!X2</f>
        <v>0.55000000000000004</v>
      </c>
      <c r="Y2">
        <f>'BPoEFUbVT-mtrbks-psgr-plghyb'!Y2</f>
        <v>0.55000000000000004</v>
      </c>
      <c r="Z2">
        <f>'BPoEFUbVT-mtrbks-psgr-plghyb'!Z2</f>
        <v>0.55000000000000004</v>
      </c>
      <c r="AA2">
        <f>'BPoEFUbVT-mtrbks-psgr-plghyb'!AA2</f>
        <v>0.55000000000000004</v>
      </c>
      <c r="AB2">
        <f>'BPoEFUbVT-mtrbks-psgr-plghyb'!AB2</f>
        <v>0.55000000000000004</v>
      </c>
      <c r="AC2">
        <f>'BPoEFUbVT-mtrbks-psgr-plghyb'!AC2</f>
        <v>0.55000000000000004</v>
      </c>
      <c r="AD2">
        <f>'BPoEFUbVT-mtrbks-psgr-plghyb'!AD2</f>
        <v>0.55000000000000004</v>
      </c>
    </row>
    <row r="3" spans="1:30">
      <c r="A3" t="s">
        <v>16</v>
      </c>
      <c r="B3">
        <f>'BPoEFUbVT-mtrbks-psgr-plghyb'!B3</f>
        <v>0</v>
      </c>
      <c r="C3">
        <f>'BPoEFUbVT-mtrbks-psgr-plghyb'!C3</f>
        <v>0</v>
      </c>
      <c r="D3">
        <f>'BPoEFUbVT-mtrbks-psgr-plghyb'!D3</f>
        <v>0</v>
      </c>
      <c r="E3">
        <f>'BPoEFUbVT-mtrbks-psgr-plghyb'!E3</f>
        <v>0</v>
      </c>
      <c r="F3">
        <f>'BPoEFUbVT-mtrbks-psgr-plghyb'!F3</f>
        <v>0</v>
      </c>
      <c r="G3">
        <f>'BPoEFUbVT-mtrbks-psgr-plghyb'!G3</f>
        <v>0</v>
      </c>
      <c r="H3">
        <f>'BPoEFUbVT-mtrbks-psgr-plghyb'!H3</f>
        <v>0</v>
      </c>
      <c r="I3">
        <f>'BPoEFUbVT-mtrbks-psgr-plghyb'!I3</f>
        <v>0</v>
      </c>
      <c r="J3">
        <f>'BPoEFUbVT-mtrbks-psgr-plghyb'!J3</f>
        <v>0</v>
      </c>
      <c r="K3">
        <f>'BPoEFUbVT-mtrbks-psgr-plghyb'!K3</f>
        <v>0</v>
      </c>
      <c r="L3">
        <f>'BPoEFUbVT-mtrbks-psgr-plghyb'!L3</f>
        <v>0</v>
      </c>
      <c r="M3">
        <f>'BPoEFUbVT-mtrbks-psgr-plghyb'!M3</f>
        <v>0</v>
      </c>
      <c r="N3">
        <f>'BPoEFUbVT-mtrbks-psgr-plghyb'!N3</f>
        <v>0</v>
      </c>
      <c r="O3">
        <f>'BPoEFUbVT-mtrbks-psgr-plghyb'!O3</f>
        <v>0</v>
      </c>
      <c r="P3">
        <f>'BPoEFUbVT-mtrbks-psgr-plghyb'!P3</f>
        <v>0</v>
      </c>
      <c r="Q3">
        <f>'BPoEFUbVT-mtrbks-psgr-plghyb'!Q3</f>
        <v>0</v>
      </c>
      <c r="R3">
        <f>'BPoEFUbVT-mtrbks-psgr-plghyb'!R3</f>
        <v>0</v>
      </c>
      <c r="S3">
        <f>'BPoEFUbVT-mtrbks-psgr-plghyb'!S3</f>
        <v>0</v>
      </c>
      <c r="T3">
        <f>'BPoEFUbVT-mtrbks-psgr-plghyb'!T3</f>
        <v>0</v>
      </c>
      <c r="U3">
        <f>'BPoEFUbVT-mtrbks-psgr-plghyb'!U3</f>
        <v>0</v>
      </c>
      <c r="V3">
        <f>'BPoEFUbVT-mtrbks-psgr-plghyb'!V3</f>
        <v>0</v>
      </c>
      <c r="W3">
        <f>'BPoEFUbVT-mtrbks-psgr-plghyb'!W3</f>
        <v>0</v>
      </c>
      <c r="X3">
        <f>'BPoEFUbVT-mtrbks-psgr-plghyb'!X3</f>
        <v>0</v>
      </c>
      <c r="Y3">
        <f>'BPoEFUbVT-mtrbks-psgr-plghyb'!Y3</f>
        <v>0</v>
      </c>
      <c r="Z3">
        <f>'BPoEFUbVT-mtrbks-psgr-plghyb'!Z3</f>
        <v>0</v>
      </c>
      <c r="AA3">
        <f>'BPoEFUbVT-mtrbks-psgr-plghyb'!AA3</f>
        <v>0</v>
      </c>
      <c r="AB3">
        <f>'BPoEFUbVT-mtrbks-psgr-plghyb'!AB3</f>
        <v>0</v>
      </c>
      <c r="AC3">
        <f>'BPoEFUbVT-mtrbks-psgr-plghyb'!AC3</f>
        <v>0</v>
      </c>
      <c r="AD3">
        <f>'BPoEFUbVT-mtrbks-psgr-plghyb'!AD3</f>
        <v>0</v>
      </c>
    </row>
    <row r="4" spans="1:30">
      <c r="A4" t="s">
        <v>17</v>
      </c>
      <c r="B4">
        <f>'BPoEFUbVT-mtrbks-psgr-plghyb'!B4</f>
        <v>0.44903090794324652</v>
      </c>
      <c r="C4">
        <f>'BPoEFUbVT-mtrbks-psgr-plghyb'!C4</f>
        <v>0.44901641030474015</v>
      </c>
      <c r="D4">
        <f>'BPoEFUbVT-mtrbks-psgr-plghyb'!D4</f>
        <v>0.44907014634923614</v>
      </c>
      <c r="E4">
        <f>'BPoEFUbVT-mtrbks-psgr-plghyb'!E4</f>
        <v>0.44905728586452914</v>
      </c>
      <c r="F4">
        <f>'BPoEFUbVT-mtrbks-psgr-plghyb'!F4</f>
        <v>0.44906619405886128</v>
      </c>
      <c r="G4">
        <f>'BPoEFUbVT-mtrbks-psgr-plghyb'!G4</f>
        <v>0.44907918788558054</v>
      </c>
      <c r="H4">
        <f>'BPoEFUbVT-mtrbks-psgr-plghyb'!H4</f>
        <v>0.44909582893136263</v>
      </c>
      <c r="I4">
        <f>'BPoEFUbVT-mtrbks-psgr-plghyb'!I4</f>
        <v>0.44911496437710824</v>
      </c>
      <c r="J4">
        <f>'BPoEFUbVT-mtrbks-psgr-plghyb'!J4</f>
        <v>0.44913546096854412</v>
      </c>
      <c r="K4">
        <f>'BPoEFUbVT-mtrbks-psgr-plghyb'!K4</f>
        <v>0.44915682790667982</v>
      </c>
      <c r="L4">
        <f>'BPoEFUbVT-mtrbks-psgr-plghyb'!L4</f>
        <v>0.44917819055639702</v>
      </c>
      <c r="M4">
        <f>'BPoEFUbVT-mtrbks-psgr-plghyb'!M4</f>
        <v>0.44919904275753453</v>
      </c>
      <c r="N4">
        <f>'BPoEFUbVT-mtrbks-psgr-plghyb'!N4</f>
        <v>0.4492184473356986</v>
      </c>
      <c r="O4">
        <f>'BPoEFUbVT-mtrbks-psgr-plghyb'!O4</f>
        <v>0.44923499311725906</v>
      </c>
      <c r="P4">
        <f>'BPoEFUbVT-mtrbks-psgr-plghyb'!P4</f>
        <v>0.44925048481808927</v>
      </c>
      <c r="Q4">
        <f>'BPoEFUbVT-mtrbks-psgr-plghyb'!Q4</f>
        <v>0.44926038506300203</v>
      </c>
      <c r="R4">
        <f>'BPoEFUbVT-mtrbks-psgr-plghyb'!R4</f>
        <v>0.44926643522378323</v>
      </c>
      <c r="S4">
        <f>'BPoEFUbVT-mtrbks-psgr-plghyb'!S4</f>
        <v>0.44926824376400976</v>
      </c>
      <c r="T4">
        <f>'BPoEFUbVT-mtrbks-psgr-plghyb'!T4</f>
        <v>0.44926669553836307</v>
      </c>
      <c r="U4">
        <f>'BPoEFUbVT-mtrbks-psgr-plghyb'!U4</f>
        <v>0.44926316168124414</v>
      </c>
      <c r="V4">
        <f>'BPoEFUbVT-mtrbks-psgr-plghyb'!V4</f>
        <v>0.44925805438935312</v>
      </c>
      <c r="W4">
        <f>'BPoEFUbVT-mtrbks-psgr-plghyb'!W4</f>
        <v>0.44925018640576531</v>
      </c>
      <c r="X4">
        <f>'BPoEFUbVT-mtrbks-psgr-plghyb'!X4</f>
        <v>0.44924352565773945</v>
      </c>
      <c r="Y4">
        <f>'BPoEFUbVT-mtrbks-psgr-plghyb'!Y4</f>
        <v>0.44923645684598268</v>
      </c>
      <c r="Z4">
        <f>'BPoEFUbVT-mtrbks-psgr-plghyb'!Z4</f>
        <v>0.4492314694333458</v>
      </c>
      <c r="AA4">
        <f>'BPoEFUbVT-mtrbks-psgr-plghyb'!AA4</f>
        <v>0.44922378198109159</v>
      </c>
      <c r="AB4">
        <f>'BPoEFUbVT-mtrbks-psgr-plghyb'!AB4</f>
        <v>0.44921792253441456</v>
      </c>
      <c r="AC4">
        <f>'BPoEFUbVT-mtrbks-psgr-plghyb'!AC4</f>
        <v>0.44921021800824235</v>
      </c>
      <c r="AD4">
        <f>'BPoEFUbVT-mtrbks-psgr-plghyb'!AD4</f>
        <v>0.44920449239135835</v>
      </c>
    </row>
    <row r="5" spans="1:30">
      <c r="A5" t="s">
        <v>18</v>
      </c>
      <c r="B5">
        <f>'BPoEFUbVT-mtrbks-psgr-plghyb'!B5</f>
        <v>0</v>
      </c>
      <c r="C5">
        <f>'BPoEFUbVT-mtrbks-psgr-plghyb'!C5</f>
        <v>0</v>
      </c>
      <c r="D5">
        <f>'BPoEFUbVT-mtrbks-psgr-plghyb'!D5</f>
        <v>0</v>
      </c>
      <c r="E5">
        <f>'BPoEFUbVT-mtrbks-psgr-plghyb'!E5</f>
        <v>0</v>
      </c>
      <c r="F5">
        <f>'BPoEFUbVT-mtrbks-psgr-plghyb'!F5</f>
        <v>0</v>
      </c>
      <c r="G5">
        <f>'BPoEFUbVT-mtrbks-psgr-plghyb'!G5</f>
        <v>0</v>
      </c>
      <c r="H5">
        <f>'BPoEFUbVT-mtrbks-psgr-plghyb'!H5</f>
        <v>0</v>
      </c>
      <c r="I5">
        <f>'BPoEFUbVT-mtrbks-psgr-plghyb'!I5</f>
        <v>0</v>
      </c>
      <c r="J5">
        <f>'BPoEFUbVT-mtrbks-psgr-plghyb'!J5</f>
        <v>0</v>
      </c>
      <c r="K5">
        <f>'BPoEFUbVT-mtrbks-psgr-plghyb'!K5</f>
        <v>0</v>
      </c>
      <c r="L5">
        <f>'BPoEFUbVT-mtrbks-psgr-plghyb'!L5</f>
        <v>0</v>
      </c>
      <c r="M5">
        <f>'BPoEFUbVT-mtrbks-psgr-plghyb'!M5</f>
        <v>0</v>
      </c>
      <c r="N5">
        <f>'BPoEFUbVT-mtrbks-psgr-plghyb'!N5</f>
        <v>0</v>
      </c>
      <c r="O5">
        <f>'BPoEFUbVT-mtrbks-psgr-plghyb'!O5</f>
        <v>0</v>
      </c>
      <c r="P5">
        <f>'BPoEFUbVT-mtrbks-psgr-plghyb'!P5</f>
        <v>0</v>
      </c>
      <c r="Q5">
        <f>'BPoEFUbVT-mtrbks-psgr-plghyb'!Q5</f>
        <v>0</v>
      </c>
      <c r="R5">
        <f>'BPoEFUbVT-mtrbks-psgr-plghyb'!R5</f>
        <v>0</v>
      </c>
      <c r="S5">
        <f>'BPoEFUbVT-mtrbks-psgr-plghyb'!S5</f>
        <v>0</v>
      </c>
      <c r="T5">
        <f>'BPoEFUbVT-mtrbks-psgr-plghyb'!T5</f>
        <v>0</v>
      </c>
      <c r="U5">
        <f>'BPoEFUbVT-mtrbks-psgr-plghyb'!U5</f>
        <v>0</v>
      </c>
      <c r="V5">
        <f>'BPoEFUbVT-mtrbks-psgr-plghyb'!V5</f>
        <v>0</v>
      </c>
      <c r="W5">
        <f>'BPoEFUbVT-mtrbks-psgr-plghyb'!W5</f>
        <v>0</v>
      </c>
      <c r="X5">
        <f>'BPoEFUbVT-mtrbks-psgr-plghyb'!X5</f>
        <v>0</v>
      </c>
      <c r="Y5">
        <f>'BPoEFUbVT-mtrbks-psgr-plghyb'!Y5</f>
        <v>0</v>
      </c>
      <c r="Z5">
        <f>'BPoEFUbVT-mtrbks-psgr-plghyb'!Z5</f>
        <v>0</v>
      </c>
      <c r="AA5">
        <f>'BPoEFUbVT-mtrbks-psgr-plghyb'!AA5</f>
        <v>0</v>
      </c>
      <c r="AB5">
        <f>'BPoEFUbVT-mtrbks-psgr-plghyb'!AB5</f>
        <v>0</v>
      </c>
      <c r="AC5">
        <f>'BPoEFUbVT-mtrbks-psgr-plghyb'!AC5</f>
        <v>0</v>
      </c>
      <c r="AD5">
        <f>'BPoEFUbVT-mtrbks-psgr-plghyb'!AD5</f>
        <v>0</v>
      </c>
    </row>
    <row r="6" spans="1:30">
      <c r="A6" t="s">
        <v>19</v>
      </c>
      <c r="B6">
        <f>'BPoEFUbVT-mtrbks-psgr-plghyb'!B6</f>
        <v>9.6909205675343383E-4</v>
      </c>
      <c r="C6">
        <f>'BPoEFUbVT-mtrbks-psgr-plghyb'!C6</f>
        <v>9.8358969525984665E-4</v>
      </c>
      <c r="D6">
        <f>'BPoEFUbVT-mtrbks-psgr-plghyb'!D6</f>
        <v>9.2985365076385786E-4</v>
      </c>
      <c r="E6">
        <f>'BPoEFUbVT-mtrbks-psgr-plghyb'!E6</f>
        <v>9.4271413547086281E-4</v>
      </c>
      <c r="F6">
        <f>'BPoEFUbVT-mtrbks-psgr-plghyb'!F6</f>
        <v>9.3380594113868457E-4</v>
      </c>
      <c r="G6">
        <f>'BPoEFUbVT-mtrbks-psgr-plghyb'!G6</f>
        <v>9.2081211441941016E-4</v>
      </c>
      <c r="H6">
        <f>'BPoEFUbVT-mtrbks-psgr-plghyb'!H6</f>
        <v>9.0417106863733849E-4</v>
      </c>
      <c r="I6">
        <f>'BPoEFUbVT-mtrbks-psgr-plghyb'!I6</f>
        <v>8.8503562289174215E-4</v>
      </c>
      <c r="J6">
        <f>'BPoEFUbVT-mtrbks-psgr-plghyb'!J6</f>
        <v>8.6453903145585745E-4</v>
      </c>
      <c r="K6">
        <f>'BPoEFUbVT-mtrbks-psgr-plghyb'!K6</f>
        <v>8.4317209332012831E-4</v>
      </c>
      <c r="L6">
        <f>'BPoEFUbVT-mtrbks-psgr-plghyb'!L6</f>
        <v>8.2180944360294719E-4</v>
      </c>
      <c r="M6">
        <f>'BPoEFUbVT-mtrbks-psgr-plghyb'!M6</f>
        <v>8.0095724246540467E-4</v>
      </c>
      <c r="N6">
        <f>'BPoEFUbVT-mtrbks-psgr-plghyb'!N6</f>
        <v>7.8155266430136004E-4</v>
      </c>
      <c r="O6">
        <f>'BPoEFUbVT-mtrbks-psgr-plghyb'!O6</f>
        <v>7.6500688274090645E-4</v>
      </c>
      <c r="P6">
        <f>'BPoEFUbVT-mtrbks-psgr-plghyb'!P6</f>
        <v>7.4951518191071671E-4</v>
      </c>
      <c r="Q6">
        <f>'BPoEFUbVT-mtrbks-psgr-plghyb'!Q6</f>
        <v>7.3961493699790503E-4</v>
      </c>
      <c r="R6">
        <f>'BPoEFUbVT-mtrbks-psgr-plghyb'!R6</f>
        <v>7.3356477621667202E-4</v>
      </c>
      <c r="S6">
        <f>'BPoEFUbVT-mtrbks-psgr-plghyb'!S6</f>
        <v>7.3175623599016281E-4</v>
      </c>
      <c r="T6">
        <f>'BPoEFUbVT-mtrbks-psgr-plghyb'!T6</f>
        <v>7.3330446163693023E-4</v>
      </c>
      <c r="U6">
        <f>'BPoEFUbVT-mtrbks-psgr-plghyb'!U6</f>
        <v>7.3683831875582737E-4</v>
      </c>
      <c r="V6">
        <f>'BPoEFUbVT-mtrbks-psgr-plghyb'!V6</f>
        <v>7.4194561064679131E-4</v>
      </c>
      <c r="W6">
        <f>'BPoEFUbVT-mtrbks-psgr-plghyb'!W6</f>
        <v>7.4981359423463827E-4</v>
      </c>
      <c r="X6">
        <f>'BPoEFUbVT-mtrbks-psgr-plghyb'!X6</f>
        <v>7.564743422604893E-4</v>
      </c>
      <c r="Y6">
        <f>'BPoEFUbVT-mtrbks-psgr-plghyb'!Y6</f>
        <v>7.6354315401729674E-4</v>
      </c>
      <c r="Z6">
        <f>'BPoEFUbVT-mtrbks-psgr-plghyb'!Z6</f>
        <v>7.6853056665414593E-4</v>
      </c>
      <c r="AA6">
        <f>'BPoEFUbVT-mtrbks-psgr-plghyb'!AA6</f>
        <v>7.7621801890835813E-4</v>
      </c>
      <c r="AB6">
        <f>'BPoEFUbVT-mtrbks-psgr-plghyb'!AB6</f>
        <v>7.8207746558535797E-4</v>
      </c>
      <c r="AC6">
        <f>'BPoEFUbVT-mtrbks-psgr-plghyb'!AC6</f>
        <v>7.8978199175759752E-4</v>
      </c>
      <c r="AD6">
        <f>'BPoEFUbVT-mtrbks-psgr-plghyb'!AD6</f>
        <v>7.9550760864159826E-4</v>
      </c>
    </row>
    <row r="7" spans="1:30">
      <c r="A7" t="s">
        <v>21</v>
      </c>
      <c r="B7">
        <f>'BPoEFUbVT-mtrbks-psgr-plghyb'!B7</f>
        <v>0</v>
      </c>
      <c r="C7">
        <f>'BPoEFUbVT-mtrbks-psgr-plghyb'!C7</f>
        <v>0</v>
      </c>
      <c r="D7">
        <f>'BPoEFUbVT-mtrbks-psgr-plghyb'!D7</f>
        <v>0</v>
      </c>
      <c r="E7">
        <f>'BPoEFUbVT-mtrbks-psgr-plghyb'!E7</f>
        <v>0</v>
      </c>
      <c r="F7">
        <f>'BPoEFUbVT-mtrbks-psgr-plghyb'!F7</f>
        <v>0</v>
      </c>
      <c r="G7">
        <f>'BPoEFUbVT-mtrbks-psgr-plghyb'!G7</f>
        <v>0</v>
      </c>
      <c r="H7">
        <f>'BPoEFUbVT-mtrbks-psgr-plghyb'!H7</f>
        <v>0</v>
      </c>
      <c r="I7">
        <f>'BPoEFUbVT-mtrbks-psgr-plghyb'!I7</f>
        <v>0</v>
      </c>
      <c r="J7">
        <f>'BPoEFUbVT-mtrbks-psgr-plghyb'!J7</f>
        <v>0</v>
      </c>
      <c r="K7">
        <f>'BPoEFUbVT-mtrbks-psgr-plghyb'!K7</f>
        <v>0</v>
      </c>
      <c r="L7">
        <f>'BPoEFUbVT-mtrbks-psgr-plghyb'!L7</f>
        <v>0</v>
      </c>
      <c r="M7">
        <f>'BPoEFUbVT-mtrbks-psgr-plghyb'!M7</f>
        <v>0</v>
      </c>
      <c r="N7">
        <f>'BPoEFUbVT-mtrbks-psgr-plghyb'!N7</f>
        <v>0</v>
      </c>
      <c r="O7">
        <f>'BPoEFUbVT-mtrbks-psgr-plghyb'!O7</f>
        <v>0</v>
      </c>
      <c r="P7">
        <f>'BPoEFUbVT-mtrbks-psgr-plghyb'!P7</f>
        <v>0</v>
      </c>
      <c r="Q7">
        <f>'BPoEFUbVT-mtrbks-psgr-plghyb'!Q7</f>
        <v>0</v>
      </c>
      <c r="R7">
        <f>'BPoEFUbVT-mtrbks-psgr-plghyb'!R7</f>
        <v>0</v>
      </c>
      <c r="S7">
        <f>'BPoEFUbVT-mtrbks-psgr-plghyb'!S7</f>
        <v>0</v>
      </c>
      <c r="T7">
        <f>'BPoEFUbVT-mtrbks-psgr-plghyb'!T7</f>
        <v>0</v>
      </c>
      <c r="U7">
        <f>'BPoEFUbVT-mtrbks-psgr-plghyb'!U7</f>
        <v>0</v>
      </c>
      <c r="V7">
        <f>'BPoEFUbVT-mtrbks-psgr-plghyb'!V7</f>
        <v>0</v>
      </c>
      <c r="W7">
        <f>'BPoEFUbVT-mtrbks-psgr-plghyb'!W7</f>
        <v>0</v>
      </c>
      <c r="X7">
        <f>'BPoEFUbVT-mtrbks-psgr-plghyb'!X7</f>
        <v>0</v>
      </c>
      <c r="Y7">
        <f>'BPoEFUbVT-mtrbks-psgr-plghyb'!Y7</f>
        <v>0</v>
      </c>
      <c r="Z7">
        <f>'BPoEFUbVT-mtrbks-psgr-plghyb'!Z7</f>
        <v>0</v>
      </c>
      <c r="AA7">
        <f>'BPoEFUbVT-mtrbks-psgr-plghyb'!AA7</f>
        <v>0</v>
      </c>
      <c r="AB7">
        <f>'BPoEFUbVT-mtrbks-psgr-plghyb'!AB7</f>
        <v>0</v>
      </c>
      <c r="AC7">
        <f>'BPoEFUbVT-mtrbks-psgr-plghyb'!AC7</f>
        <v>0</v>
      </c>
      <c r="AD7">
        <f>'BPoEFUbVT-mtrbks-psgr-plghyb'!AD7</f>
        <v>0</v>
      </c>
    </row>
    <row r="8" spans="1:30">
      <c r="A8" t="s">
        <v>20</v>
      </c>
      <c r="B8">
        <f>'BPoEFUbVT-mtrbks-psgr-plghyb'!B8</f>
        <v>0</v>
      </c>
      <c r="C8">
        <f>'BPoEFUbVT-mtrbks-psgr-plghyb'!C8</f>
        <v>0</v>
      </c>
      <c r="D8">
        <f>'BPoEFUbVT-mtrbks-psgr-plghyb'!D8</f>
        <v>0</v>
      </c>
      <c r="E8">
        <f>'BPoEFUbVT-mtrbks-psgr-plghyb'!E8</f>
        <v>0</v>
      </c>
      <c r="F8">
        <f>'BPoEFUbVT-mtrbks-psgr-plghyb'!F8</f>
        <v>0</v>
      </c>
      <c r="G8">
        <f>'BPoEFUbVT-mtrbks-psgr-plghyb'!G8</f>
        <v>0</v>
      </c>
      <c r="H8">
        <f>'BPoEFUbVT-mtrbks-psgr-plghyb'!H8</f>
        <v>0</v>
      </c>
      <c r="I8">
        <f>'BPoEFUbVT-mtrbks-psgr-plghyb'!I8</f>
        <v>0</v>
      </c>
      <c r="J8">
        <f>'BPoEFUbVT-mtrbks-psgr-plghyb'!J8</f>
        <v>0</v>
      </c>
      <c r="K8">
        <f>'BPoEFUbVT-mtrbks-psgr-plghyb'!K8</f>
        <v>0</v>
      </c>
      <c r="L8">
        <f>'BPoEFUbVT-mtrbks-psgr-plghyb'!L8</f>
        <v>0</v>
      </c>
      <c r="M8">
        <f>'BPoEFUbVT-mtrbks-psgr-plghyb'!M8</f>
        <v>0</v>
      </c>
      <c r="N8">
        <f>'BPoEFUbVT-mtrbks-psgr-plghyb'!N8</f>
        <v>0</v>
      </c>
      <c r="O8">
        <f>'BPoEFUbVT-mtrbks-psgr-plghyb'!O8</f>
        <v>0</v>
      </c>
      <c r="P8">
        <f>'BPoEFUbVT-mtrbks-psgr-plghyb'!P8</f>
        <v>0</v>
      </c>
      <c r="Q8">
        <f>'BPoEFUbVT-mtrbks-psgr-plghyb'!Q8</f>
        <v>0</v>
      </c>
      <c r="R8">
        <f>'BPoEFUbVT-mtrbks-psgr-plghyb'!R8</f>
        <v>0</v>
      </c>
      <c r="S8">
        <f>'BPoEFUbVT-mtrbks-psgr-plghyb'!S8</f>
        <v>0</v>
      </c>
      <c r="T8">
        <f>'BPoEFUbVT-mtrbks-psgr-plghyb'!T8</f>
        <v>0</v>
      </c>
      <c r="U8">
        <f>'BPoEFUbVT-mtrbks-psgr-plghyb'!U8</f>
        <v>0</v>
      </c>
      <c r="V8">
        <f>'BPoEFUbVT-mtrbks-psgr-plghyb'!V8</f>
        <v>0</v>
      </c>
      <c r="W8">
        <f>'BPoEFUbVT-mtrbks-psgr-plghyb'!W8</f>
        <v>0</v>
      </c>
      <c r="X8">
        <f>'BPoEFUbVT-mtrbks-psgr-plghyb'!X8</f>
        <v>0</v>
      </c>
      <c r="Y8">
        <f>'BPoEFUbVT-mtrbks-psgr-plghyb'!Y8</f>
        <v>0</v>
      </c>
      <c r="Z8">
        <f>'BPoEFUbVT-mtrbks-psgr-plghyb'!Z8</f>
        <v>0</v>
      </c>
      <c r="AA8">
        <f>'BPoEFUbVT-mtrbks-psgr-plghyb'!AA8</f>
        <v>0</v>
      </c>
      <c r="AB8">
        <f>'BPoEFUbVT-mtrbks-psgr-plghyb'!AB8</f>
        <v>0</v>
      </c>
      <c r="AC8">
        <f>'BPoEFUbVT-mtrbks-psgr-plghyb'!AC8</f>
        <v>0</v>
      </c>
      <c r="AD8">
        <f>'BPoEFUbVT-mtrbks-psgr-plghyb'!AD8</f>
        <v>0</v>
      </c>
    </row>
    <row r="9" spans="1:30">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row>
    <row r="10" spans="1:30">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row>
    <row r="11" spans="1:30">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row>
  </sheetData>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tabColor theme="3"/>
  </sheetPr>
  <dimension ref="A1:AI11"/>
  <sheetViews>
    <sheetView workbookViewId="0">
      <selection activeCell="B1" sqref="B1:AE1"/>
    </sheetView>
  </sheetViews>
  <sheetFormatPr defaultRowHeight="14.75"/>
  <cols>
    <col min="1" max="1" width="22.54296875" customWidth="1"/>
  </cols>
  <sheetData>
    <row r="1" spans="1:35" ht="29.5">
      <c r="A1" s="10" t="s">
        <v>85</v>
      </c>
      <c r="B1">
        <f>'BPoEFUbVT-mtrbks-psgr-gasveh'!B1</f>
        <v>2021</v>
      </c>
      <c r="C1">
        <f>'BPoEFUbVT-mtrbks-psgr-gasveh'!C1</f>
        <v>2022</v>
      </c>
      <c r="D1">
        <f>'BPoEFUbVT-mtrbks-psgr-gasveh'!D1</f>
        <v>2023</v>
      </c>
      <c r="E1">
        <f>'BPoEFUbVT-mtrbks-psgr-gasveh'!E1</f>
        <v>2024</v>
      </c>
      <c r="F1">
        <f>'BPoEFUbVT-mtrbks-psgr-gasveh'!F1</f>
        <v>2025</v>
      </c>
      <c r="G1">
        <f>'BPoEFUbVT-mtrbks-psgr-gasveh'!G1</f>
        <v>2026</v>
      </c>
      <c r="H1">
        <f>'BPoEFUbVT-mtrbks-psgr-gasveh'!H1</f>
        <v>2027</v>
      </c>
      <c r="I1">
        <f>'BPoEFUbVT-mtrbks-psgr-gasveh'!I1</f>
        <v>2028</v>
      </c>
      <c r="J1">
        <f>'BPoEFUbVT-mtrbks-psgr-gasveh'!J1</f>
        <v>2029</v>
      </c>
      <c r="K1">
        <f>'BPoEFUbVT-mtrbks-psgr-gasveh'!K1</f>
        <v>2030</v>
      </c>
      <c r="L1">
        <f>'BPoEFUbVT-mtrbks-psgr-gasveh'!L1</f>
        <v>2031</v>
      </c>
      <c r="M1">
        <f>'BPoEFUbVT-mtrbks-psgr-gasveh'!M1</f>
        <v>2032</v>
      </c>
      <c r="N1">
        <f>'BPoEFUbVT-mtrbks-psgr-gasveh'!N1</f>
        <v>2033</v>
      </c>
      <c r="O1">
        <f>'BPoEFUbVT-mtrbks-psgr-gasveh'!O1</f>
        <v>2034</v>
      </c>
      <c r="P1">
        <f>'BPoEFUbVT-mtrbks-psgr-gasveh'!P1</f>
        <v>2035</v>
      </c>
      <c r="Q1">
        <f>'BPoEFUbVT-mtrbks-psgr-gasveh'!Q1</f>
        <v>2036</v>
      </c>
      <c r="R1">
        <f>'BPoEFUbVT-mtrbks-psgr-gasveh'!R1</f>
        <v>2037</v>
      </c>
      <c r="S1">
        <f>'BPoEFUbVT-mtrbks-psgr-gasveh'!S1</f>
        <v>2038</v>
      </c>
      <c r="T1">
        <f>'BPoEFUbVT-mtrbks-psgr-gasveh'!T1</f>
        <v>2039</v>
      </c>
      <c r="U1">
        <f>'BPoEFUbVT-mtrbks-psgr-gasveh'!U1</f>
        <v>2040</v>
      </c>
      <c r="V1">
        <f>'BPoEFUbVT-mtrbks-psgr-gasveh'!V1</f>
        <v>2041</v>
      </c>
      <c r="W1">
        <f>'BPoEFUbVT-mtrbks-psgr-gasveh'!W1</f>
        <v>2042</v>
      </c>
      <c r="X1">
        <f>'BPoEFUbVT-mtrbks-psgr-gasveh'!X1</f>
        <v>2043</v>
      </c>
      <c r="Y1">
        <f>'BPoEFUbVT-mtrbks-psgr-gasveh'!Y1</f>
        <v>2044</v>
      </c>
      <c r="Z1">
        <f>'BPoEFUbVT-mtrbks-psgr-gasveh'!Z1</f>
        <v>2045</v>
      </c>
      <c r="AA1">
        <f>'BPoEFUbVT-mtrbks-psgr-gasveh'!AA1</f>
        <v>2046</v>
      </c>
      <c r="AB1">
        <f>'BPoEFUbVT-mtrbks-psgr-gasveh'!AB1</f>
        <v>2047</v>
      </c>
      <c r="AC1">
        <f>'BPoEFUbVT-mtrbks-psgr-gasveh'!AC1</f>
        <v>2048</v>
      </c>
      <c r="AD1">
        <f>'BPoEFUbVT-mtrbks-psgr-gasveh'!AD1</f>
        <v>2049</v>
      </c>
      <c r="AE1">
        <f>'BPoEFUbVT-mtrbks-psgr-gasveh'!AE1</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1</v>
      </c>
      <c r="C10">
        <v>1</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row>
    <row r="11" spans="1:35">
      <c r="A11" t="s">
        <v>84</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row>
  </sheetData>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sheetPr>
    <tabColor theme="3"/>
  </sheetPr>
  <dimension ref="A1:AI11"/>
  <sheetViews>
    <sheetView workbookViewId="0">
      <selection activeCell="B2" sqref="B2"/>
    </sheetView>
  </sheetViews>
  <sheetFormatPr defaultRowHeight="14.75"/>
  <cols>
    <col min="1" max="1" width="22.54296875" customWidth="1"/>
  </cols>
  <sheetData>
    <row r="1" spans="1:35" ht="29.5">
      <c r="A1" s="10" t="s">
        <v>85</v>
      </c>
      <c r="B1">
        <f>'BPoEFUbVT-mtrbks-psgr-gasveh'!B1</f>
        <v>2021</v>
      </c>
      <c r="C1">
        <f>'BPoEFUbVT-mtrbks-psgr-gasveh'!C1</f>
        <v>2022</v>
      </c>
      <c r="D1">
        <f>'BPoEFUbVT-mtrbks-psgr-gasveh'!D1</f>
        <v>2023</v>
      </c>
      <c r="E1">
        <f>'BPoEFUbVT-mtrbks-psgr-gasveh'!E1</f>
        <v>2024</v>
      </c>
      <c r="F1">
        <f>'BPoEFUbVT-mtrbks-psgr-gasveh'!F1</f>
        <v>2025</v>
      </c>
      <c r="G1">
        <f>'BPoEFUbVT-mtrbks-psgr-gasveh'!G1</f>
        <v>2026</v>
      </c>
      <c r="H1">
        <f>'BPoEFUbVT-mtrbks-psgr-gasveh'!H1</f>
        <v>2027</v>
      </c>
      <c r="I1">
        <f>'BPoEFUbVT-mtrbks-psgr-gasveh'!I1</f>
        <v>2028</v>
      </c>
      <c r="J1">
        <f>'BPoEFUbVT-mtrbks-psgr-gasveh'!J1</f>
        <v>2029</v>
      </c>
      <c r="K1">
        <f>'BPoEFUbVT-mtrbks-psgr-gasveh'!K1</f>
        <v>2030</v>
      </c>
      <c r="L1">
        <f>'BPoEFUbVT-mtrbks-psgr-gasveh'!L1</f>
        <v>2031</v>
      </c>
      <c r="M1">
        <f>'BPoEFUbVT-mtrbks-psgr-gasveh'!M1</f>
        <v>2032</v>
      </c>
      <c r="N1">
        <f>'BPoEFUbVT-mtrbks-psgr-gasveh'!N1</f>
        <v>2033</v>
      </c>
      <c r="O1">
        <f>'BPoEFUbVT-mtrbks-psgr-gasveh'!O1</f>
        <v>2034</v>
      </c>
      <c r="P1">
        <f>'BPoEFUbVT-mtrbks-psgr-gasveh'!P1</f>
        <v>2035</v>
      </c>
      <c r="Q1">
        <f>'BPoEFUbVT-mtrbks-psgr-gasveh'!Q1</f>
        <v>2036</v>
      </c>
      <c r="R1">
        <f>'BPoEFUbVT-mtrbks-psgr-gasveh'!R1</f>
        <v>2037</v>
      </c>
      <c r="S1">
        <f>'BPoEFUbVT-mtrbks-psgr-gasveh'!S1</f>
        <v>2038</v>
      </c>
      <c r="T1">
        <f>'BPoEFUbVT-mtrbks-psgr-gasveh'!T1</f>
        <v>2039</v>
      </c>
      <c r="U1">
        <f>'BPoEFUbVT-mtrbks-psgr-gasveh'!U1</f>
        <v>2040</v>
      </c>
      <c r="V1">
        <f>'BPoEFUbVT-mtrbks-psgr-gasveh'!V1</f>
        <v>2041</v>
      </c>
      <c r="W1">
        <f>'BPoEFUbVT-mtrbks-psgr-gasveh'!W1</f>
        <v>2042</v>
      </c>
      <c r="X1">
        <f>'BPoEFUbVT-mtrbks-psgr-gasveh'!X1</f>
        <v>2043</v>
      </c>
      <c r="Y1">
        <f>'BPoEFUbVT-mtrbks-psgr-gasveh'!Y1</f>
        <v>2044</v>
      </c>
      <c r="Z1">
        <f>'BPoEFUbVT-mtrbks-psgr-gasveh'!Z1</f>
        <v>2045</v>
      </c>
      <c r="AA1">
        <f>'BPoEFUbVT-mtrbks-psgr-gasveh'!AA1</f>
        <v>2046</v>
      </c>
      <c r="AB1">
        <f>'BPoEFUbVT-mtrbks-psgr-gasveh'!AB1</f>
        <v>2047</v>
      </c>
      <c r="AC1">
        <f>'BPoEFUbVT-mtrbks-psgr-gasveh'!AC1</f>
        <v>2048</v>
      </c>
      <c r="AD1">
        <f>'BPoEFUbVT-mtrbks-psgr-gasveh'!AD1</f>
        <v>2049</v>
      </c>
      <c r="AE1">
        <f>'BPoEFUbVT-mtrbks-psgr-gasveh'!AE1</f>
        <v>2050</v>
      </c>
    </row>
    <row r="2" spans="1:35">
      <c r="A2" t="s">
        <v>15</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row>
    <row r="3" spans="1:35">
      <c r="A3" t="s">
        <v>16</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row>
    <row r="4" spans="1:35">
      <c r="A4" t="s">
        <v>17</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I4" s="2"/>
    </row>
    <row r="5" spans="1:35">
      <c r="A5" t="s">
        <v>18</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row>
    <row r="6" spans="1:35">
      <c r="A6" t="s">
        <v>19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I6" s="2"/>
    </row>
    <row r="7" spans="1:35">
      <c r="A7" t="s">
        <v>21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row>
    <row r="8" spans="1:35">
      <c r="A8" t="s">
        <v>20</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row>
    <row r="9" spans="1:35">
      <c r="A9" t="s">
        <v>82</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row>
    <row r="10" spans="1:35">
      <c r="A10" t="s">
        <v>83</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row>
    <row r="11" spans="1:35">
      <c r="A11" t="s">
        <v>84</v>
      </c>
      <c r="B11">
        <v>1</v>
      </c>
      <c r="C11">
        <v>1</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97</vt:i4>
      </vt:variant>
    </vt:vector>
  </HeadingPairs>
  <TitlesOfParts>
    <vt:vector size="97" baseType="lpstr">
      <vt:lpstr>About</vt:lpstr>
      <vt:lpstr>source data&gt;</vt:lpstr>
      <vt:lpstr>EIA-fuel-ethanol-motor-gasoline</vt:lpstr>
      <vt:lpstr>AEO Table 73</vt:lpstr>
      <vt:lpstr>ethanol content</vt:lpstr>
      <vt:lpstr>AEO 2023 Table 17</vt:lpstr>
      <vt:lpstr>AEO 2023 Table 36 Raw</vt:lpstr>
      <vt:lpstr>AEO 2023 Table 36 </vt:lpstr>
      <vt:lpstr>AEO 2025 Table 17</vt:lpstr>
      <vt:lpstr>AEO 2025 Table 36</vt:lpstr>
      <vt:lpstr>Biodiesel Fraction</vt:lpstr>
      <vt:lpstr>Plug-in Hybrid Elec Fraction</vt:lpstr>
      <vt:lpstr>Freight Ships</vt:lpstr>
      <vt:lpstr>LDVs-psgr</vt:lpstr>
      <vt:lpstr>BPoEFUbVT-LDVs-psgr-batelc</vt:lpstr>
      <vt:lpstr>BPoEFUbVT-LDVs-psgr-natgas</vt:lpstr>
      <vt:lpstr>BPoEFUbVT-LDVs-psgr-gasveh</vt:lpstr>
      <vt:lpstr>BPoEFUbVT-LDVs-psgr-dslveh</vt:lpstr>
      <vt:lpstr>BPoEFUbVT-LDVs-psgr-plghyb</vt:lpstr>
      <vt:lpstr>BPoEFUbVT-LDVs-psgr-LPG</vt:lpstr>
      <vt:lpstr>BPoEFUbVT-LDVs-psgr-hydgn</vt:lpstr>
      <vt:lpstr>LDVs-frgt</vt:lpstr>
      <vt:lpstr>BPoEFUbVT-LDVs-frgt-batelc</vt:lpstr>
      <vt:lpstr>BPoEFUbVT-LDVs-frgt-natgas</vt:lpstr>
      <vt:lpstr>BPoEFUbVT-LDVs-frgt-gasveh</vt:lpstr>
      <vt:lpstr>BPoEFUbVT-LDVs-frgt-dslveh</vt:lpstr>
      <vt:lpstr>BPoEFUbVT-LDVs-frgt-plghyb</vt:lpstr>
      <vt:lpstr>BPoEFUbVT-LDVs-frgt-LPG</vt:lpstr>
      <vt:lpstr>BPoEFUbVT-LDVs-frgt-hydgn</vt:lpstr>
      <vt:lpstr>HDVs-psgr</vt:lpstr>
      <vt:lpstr>BPoEFUbVT-HDVs-psgr-batelc</vt:lpstr>
      <vt:lpstr>BPoEFUbVT-HDVs-psgr-natgas</vt:lpstr>
      <vt:lpstr>BPoEFUbVT-HDVs-psgr-gasveh</vt:lpstr>
      <vt:lpstr>BPoEFUbVT-HDVs-psgr-dslveh</vt:lpstr>
      <vt:lpstr>BPoEFUbVT-HDVs-psgr-plghyb</vt:lpstr>
      <vt:lpstr>BPoEFUbVT-HDVs-psgr-LPG</vt:lpstr>
      <vt:lpstr>BPoEFUbVT-HDVs-psgr-hydgn</vt:lpstr>
      <vt:lpstr>HDVs-frgt</vt:lpstr>
      <vt:lpstr>BPoEFUbVT-HDVs-frgt-batelc</vt:lpstr>
      <vt:lpstr>BPoEFUbVT-HDVs-frgt-natgas</vt:lpstr>
      <vt:lpstr>BPoEFUbVT-HDVs-frgt-gasveh</vt:lpstr>
      <vt:lpstr>BPoEFUbVT-HDVs-frgt-dslveh</vt:lpstr>
      <vt:lpstr>BPoEFUbVT-HDVs-frgt-plghyb</vt:lpstr>
      <vt:lpstr>BPoEFUbVT-HDVs-frgt-LPG</vt:lpstr>
      <vt:lpstr>BPoEFUbVT-HDVs-frgt-hydgn</vt:lpstr>
      <vt:lpstr>aircraft-psgr</vt:lpstr>
      <vt:lpstr>BPoEFUbVT-aircraft-psgr-batelc</vt:lpstr>
      <vt:lpstr>BPoEFUbVT-aircraft-psgr-natgas</vt:lpstr>
      <vt:lpstr>BPoEFUbVT-aircraft-psgr-gasveh</vt:lpstr>
      <vt:lpstr>BPoEFUbVT-aircraft-psgr-dslveh</vt:lpstr>
      <vt:lpstr>BPoEFUbVT-aircraft-psgr-hydgn</vt:lpstr>
      <vt:lpstr>aircraft-frgt</vt:lpstr>
      <vt:lpstr>BPoEFUbVT-aircraft-frgt-batelc</vt:lpstr>
      <vt:lpstr>BPoEFUbVT-aircraft-frgt-natgas</vt:lpstr>
      <vt:lpstr>BPoEFUbVT-aircraft-frgt-gasveh</vt:lpstr>
      <vt:lpstr>BPoEFUbVT-aircraft-frgt-dslveh</vt:lpstr>
      <vt:lpstr>BPoEFUbVT-aircraft-frgt-hydgn</vt:lpstr>
      <vt:lpstr>rail-psgr</vt:lpstr>
      <vt:lpstr>BPoEFUbVT-rail-psgr-batelc</vt:lpstr>
      <vt:lpstr>BPoEFUbVT-rail-psgr-natgas</vt:lpstr>
      <vt:lpstr>BPoEFUbVT-rail-psgr-gasveh</vt:lpstr>
      <vt:lpstr>BPoEFUbVT-rail-psgr-dslveh</vt:lpstr>
      <vt:lpstr>BPoEFUbVT-rail-psgr-hydgn</vt:lpstr>
      <vt:lpstr>rail-frgt</vt:lpstr>
      <vt:lpstr>BPoEFUbVT-rail-frgt-batelc</vt:lpstr>
      <vt:lpstr>BPoEFUbVT-rail-frgt-natgas</vt:lpstr>
      <vt:lpstr>BPoEFUbVT-rail-frgt-gasveh</vt:lpstr>
      <vt:lpstr>BPoEFUbVT-rail-frgt-dslveh</vt:lpstr>
      <vt:lpstr>BPoEFUbVT-rail-frgt-hydgn</vt:lpstr>
      <vt:lpstr>ships-psgr</vt:lpstr>
      <vt:lpstr>BPoEFUbVT-ships-psgr-batelc</vt:lpstr>
      <vt:lpstr>BPoEFUbVT-ships-psgr-natgas</vt:lpstr>
      <vt:lpstr>BPoEFUbVT-ships-psgr-gasveh</vt:lpstr>
      <vt:lpstr>BPoEFUbVT-ships-psgr-dslveh</vt:lpstr>
      <vt:lpstr>BPoEFUbVT-ships-psgr-hydgn</vt:lpstr>
      <vt:lpstr>ships-frgt</vt:lpstr>
      <vt:lpstr>BPoEFUbVT-ships-frgt-batelc</vt:lpstr>
      <vt:lpstr>BPoEFUbVT-ships-frgt-natgas</vt:lpstr>
      <vt:lpstr>BPoEFUbVT-ships-frgt-gasveh</vt:lpstr>
      <vt:lpstr>BPoEFUbVT-ships-frgt-dslveh</vt:lpstr>
      <vt:lpstr>BPoEFUbVT-ships-frgt-hydgn</vt:lpstr>
      <vt:lpstr>mtrbks-psgr</vt:lpstr>
      <vt:lpstr>BPoEFUbVT-mtrbks-psgr-batelc</vt:lpstr>
      <vt:lpstr>BPoEFUbVT-mtrbks-psgr-natgas</vt:lpstr>
      <vt:lpstr>BPoEFUbVT-mtrbks-psgr-gasveh</vt:lpstr>
      <vt:lpstr>BPoEFUbVT-mtrbks-psgr-dslveh</vt:lpstr>
      <vt:lpstr>BPoEFUbVT-mtrbks-psgr-plghyb</vt:lpstr>
      <vt:lpstr>BPoEFUbVT-mtrbks-psgr-LPG</vt:lpstr>
      <vt:lpstr>BPoEFUbVT-mtrbks-psgr-hydgn</vt:lpstr>
      <vt:lpstr>mtrbks-frgt</vt:lpstr>
      <vt:lpstr>BPoEFUbVT-mtrbks-frgt-batelc</vt:lpstr>
      <vt:lpstr>BPoEFUbVT-mtrbks-frgt-natgas</vt:lpstr>
      <vt:lpstr>BPoEFUbVT-mtrbks-frgt-gasveh</vt:lpstr>
      <vt:lpstr>BPoEFUbVT-mtrbks-frgt-dslveh</vt:lpstr>
      <vt:lpstr>BPoEFUbVT-mtrbks-frgt-plghyb</vt:lpstr>
      <vt:lpstr>BPoEFUbVT-mtrbks-frgt-LPG</vt:lpstr>
      <vt:lpstr>BPoEFUbVT-mtrbks-frgt-hydgn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2017-06-23T20:50:52Z</dcterms:created>
  <dcterms:modified xsi:type="dcterms:W3CDTF">2025-12-19T21:02:53Z</dcterms:modified>
</cp:coreProperties>
</file>