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C:\Users\RobbieOrvis\Models\EPS Structure Research\eps-us-develop\InputData\trans\AVL\"/>
    </mc:Choice>
  </mc:AlternateContent>
  <xr:revisionPtr revIDLastSave="0" documentId="13_ncr:1_{5D7E4FB1-3152-4A25-A017-817D5346699C}" xr6:coauthVersionLast="47" xr6:coauthVersionMax="47" xr10:uidLastSave="{00000000-0000-0000-0000-000000000000}"/>
  <bookViews>
    <workbookView xWindow="-120" yWindow="-120" windowWidth="57840" windowHeight="23520" firstSheet="4" activeTab="9" xr2:uid="{661390DE-D06E-402F-B49F-05F85B2DF025}"/>
  </bookViews>
  <sheets>
    <sheet name="About" sheetId="9" r:id="rId1"/>
    <sheet name="source data&gt;" sheetId="20" r:id="rId2"/>
    <sheet name="NTS 1-20" sheetId="11" r:id="rId3"/>
    <sheet name="AEO 2026 Table 45" sheetId="26" r:id="rId4"/>
    <sheet name="AEO 2026 Table 44" sheetId="27" r:id="rId5"/>
    <sheet name="AEO 2026 Table 49" sheetId="28" r:id="rId6"/>
    <sheet name="calcs&gt;" sheetId="21" r:id="rId7"/>
    <sheet name="Calculations" sheetId="2" r:id="rId8"/>
    <sheet name="Freight and Buses" sheetId="16" r:id="rId9"/>
    <sheet name="AVL"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B82" i="2"/>
  <c r="B80" i="2"/>
  <c r="B83" i="2" s="1"/>
  <c r="B84" i="2" s="1"/>
  <c r="B85" i="2" s="1"/>
  <c r="C85" i="2" s="1"/>
  <c r="B86" i="2" s="1"/>
  <c r="B5" i="10" s="1"/>
  <c r="C6" i="10"/>
  <c r="B69" i="2"/>
  <c r="B65" i="2"/>
  <c r="B7" i="10"/>
  <c r="B54" i="2"/>
  <c r="B57" i="2" s="1"/>
  <c r="B58" i="2" s="1"/>
  <c r="B59" i="2" s="1"/>
  <c r="B3" i="10"/>
  <c r="B27" i="16"/>
  <c r="B12" i="16"/>
  <c r="B11" i="16"/>
  <c r="B8" i="16"/>
  <c r="B7" i="16"/>
  <c r="B3" i="16"/>
  <c r="B2" i="16"/>
  <c r="B21" i="16"/>
  <c r="B17" i="16"/>
  <c r="B70" i="2" l="1"/>
  <c r="B71" i="2" s="1"/>
  <c r="B72" i="2" s="1"/>
  <c r="C72" i="2" s="1"/>
  <c r="B73" i="2" s="1"/>
  <c r="B6" i="10" s="1"/>
  <c r="B9" i="16"/>
  <c r="B4" i="16"/>
  <c r="B13" i="16"/>
  <c r="C3" i="10" s="1"/>
  <c r="B4" i="10" l="1"/>
  <c r="C4" i="10" s="1"/>
  <c r="C3" i="2" l="1"/>
  <c r="D3" i="2"/>
  <c r="C10" i="11"/>
  <c r="B10" i="11"/>
  <c r="D42" i="2" l="1"/>
  <c r="E42" i="2" s="1"/>
  <c r="D41" i="2"/>
  <c r="E41" i="2" s="1"/>
  <c r="D40" i="2"/>
  <c r="E40" i="2" s="1"/>
  <c r="D39" i="2"/>
  <c r="E39" i="2" s="1"/>
  <c r="D38" i="2"/>
  <c r="E38" i="2" s="1"/>
  <c r="D37" i="2"/>
  <c r="E37" i="2" s="1"/>
  <c r="D36" i="2"/>
  <c r="E36" i="2" s="1"/>
  <c r="D35" i="2"/>
  <c r="E35" i="2" s="1"/>
  <c r="D34" i="2"/>
  <c r="E34" i="2" s="1"/>
  <c r="D33" i="2"/>
  <c r="E33" i="2" s="1"/>
  <c r="A45" i="2" l="1"/>
  <c r="A48" i="2" s="1"/>
  <c r="C7" i="10" s="1"/>
  <c r="E3" i="2" l="1"/>
</calcChain>
</file>

<file path=xl/sharedStrings.xml><?xml version="1.0" encoding="utf-8"?>
<sst xmlns="http://schemas.openxmlformats.org/spreadsheetml/2006/main" count="1862" uniqueCount="1024">
  <si>
    <t>Car Avg Lifetime, years (Page 22, Table 7)</t>
  </si>
  <si>
    <t>Light Truck Avg Lifetime, years (Page 25, Table 8)</t>
  </si>
  <si>
    <t>Market Share-Weighted Average LDV Lifetime</t>
  </si>
  <si>
    <t>Bureau of Transportation Statistics</t>
  </si>
  <si>
    <t>http://www.rita.dot.gov/bts/sites/rita.dot.gov.bts/files/publications/national_transportation_statistics/index.html</t>
  </si>
  <si>
    <t>Oak Ridge National Laboratory</t>
  </si>
  <si>
    <t>Table</t>
  </si>
  <si>
    <t>CA Asset Type</t>
  </si>
  <si>
    <t>Lifetime (years)</t>
  </si>
  <si>
    <t>ships</t>
  </si>
  <si>
    <t>3000 - Harbor &amp; Port</t>
  </si>
  <si>
    <t>Motor vessels - diesel, ocean</t>
  </si>
  <si>
    <t>California State Controller's Office</t>
  </si>
  <si>
    <t>1992 (but still current)</t>
  </si>
  <si>
    <t>Audit Guidelines and Uniform Accounting Systems: Special Districts</t>
  </si>
  <si>
    <t>http://www.sco.ca.gov/ard_local_rep_uas_special_dist.html</t>
  </si>
  <si>
    <t>Appendix A: Suggested Useful Lives of Fixed Assets</t>
  </si>
  <si>
    <t>rail</t>
  </si>
  <si>
    <t>2000 - Water Utility</t>
  </si>
  <si>
    <t>railroads</t>
  </si>
  <si>
    <t>5000 - Transit</t>
  </si>
  <si>
    <t>locomotives, electric</t>
  </si>
  <si>
    <t>Value selected for use in model</t>
  </si>
  <si>
    <t>Neither of these asset types is exactly what I'd prefer (which would be something like "locomotives, diesel"</t>
  </si>
  <si>
    <t>or "locomotives, freight"), but they seem like reasonable values and are close to each other.</t>
  </si>
  <si>
    <t>http://www.boeing.com/assets/pdf/commercial/aircraft_economic_life_whitepaper.pdf</t>
  </si>
  <si>
    <t>Jiang, Helen.  Boeing.</t>
  </si>
  <si>
    <t>Key Findings on Airplane Economic Life</t>
  </si>
  <si>
    <t>Exhibits 1-3</t>
  </si>
  <si>
    <t>Exhibits 1-3 illustrate roughly the same results.</t>
  </si>
  <si>
    <t>Exhibit 1:</t>
  </si>
  <si>
    <t>Non-dotted lines (aircraft in service) have been constant at 23-24 years for the last 15 years.</t>
  </si>
  <si>
    <t>Exhibit 2:</t>
  </si>
  <si>
    <t>Non-dashed lines (aircraft age when they leave service) has been 22-26 for Pax (passengers) and 31-36 for freighters over the last 15 years.</t>
  </si>
  <si>
    <t>Exhibit 3:</t>
  </si>
  <si>
    <t>The curves for all aircraft except the 707 Pax and the 737-100/200 Pax cross or are on track to cross 50% survival around age 23-24.</t>
  </si>
  <si>
    <t>Motorcycle Trends in the United States</t>
  </si>
  <si>
    <t>http://www.rita.dot.gov/bts/sites/rita.dot.gov.bts/files/publications/special_reports_and_issue_briefs/special_report/2009_05_14/pdf/entire.pdf</t>
  </si>
  <si>
    <t>Page 3, Table 1</t>
  </si>
  <si>
    <t>Year</t>
  </si>
  <si>
    <t>Registered Motorcycles</t>
  </si>
  <si>
    <t>Motorcycles sold (new)</t>
  </si>
  <si>
    <t>Percentage of Fleet That Retired This Year</t>
  </si>
  <si>
    <t>Average Percent Fleet Retirement per Year</t>
  </si>
  <si>
    <t>Estimated Lifetime of Motorcycle (years)</t>
  </si>
  <si>
    <t>Retiring Motorcycles</t>
  </si>
  <si>
    <t>AVL Avg Vehicle Lifetime</t>
  </si>
  <si>
    <t>Sources:</t>
  </si>
  <si>
    <t>LDVs</t>
  </si>
  <si>
    <t>LDV Lifetimes</t>
  </si>
  <si>
    <t>LDVs: Market Shares of Cars and Light Trucks</t>
  </si>
  <si>
    <t>HDVs</t>
  </si>
  <si>
    <t>aircraft</t>
  </si>
  <si>
    <t>rail and ships</t>
  </si>
  <si>
    <t>motorbikes</t>
  </si>
  <si>
    <t>Heavy Truck Avg Lifetime, years (Table 3-14, Row 43)</t>
  </si>
  <si>
    <t>Transportation Energy Data Book Ed. 34</t>
  </si>
  <si>
    <t>Table 3-14, Row 43</t>
  </si>
  <si>
    <t>http://cta.ornl.gov/data/tedb34/Spreadsheets/Table3_14.xls</t>
  </si>
  <si>
    <t>National Transportation Statistics 2015</t>
  </si>
  <si>
    <t>Table 1-20:  Productions, Production Shares, and Production-Weighted Fuel Economies of New Domestic and Imported Automobiles (Thousands of vehicles)</t>
  </si>
  <si>
    <t>TOTAL productions</t>
  </si>
  <si>
    <t>N</t>
  </si>
  <si>
    <t>Car</t>
  </si>
  <si>
    <t>Car SUV</t>
  </si>
  <si>
    <t>Pickup</t>
  </si>
  <si>
    <t>Van</t>
  </si>
  <si>
    <t>Truck SUV</t>
  </si>
  <si>
    <t>Market share, percent</t>
  </si>
  <si>
    <t>Fuel economy, mpg</t>
  </si>
  <si>
    <r>
      <t>KEY:</t>
    </r>
    <r>
      <rPr>
        <sz val="9"/>
        <rFont val="Arial"/>
        <family val="2"/>
      </rPr>
      <t xml:space="preserve">  mpg = miles per gallon; N = data are not available;  R = revised; SUV = sport utility vehicle.</t>
    </r>
  </si>
  <si>
    <t>NOTES</t>
  </si>
  <si>
    <t>Numbers may not add to totals due to rounding.</t>
  </si>
  <si>
    <t xml:space="preserve">This table is not comparable to previous publication's tables due to changes in the source data. </t>
  </si>
  <si>
    <t>The Environmental Protection Agency changed the vehicle classifications, combining wagons with the rest of the cars and dropping the small, medium, large categories of cars, pickups, sport-utilities, and vans. The fuel economy displayed in those tables has been adjusted to provide the best estimate of real-world performance.</t>
  </si>
  <si>
    <t>SOURCE</t>
  </si>
  <si>
    <r>
      <t xml:space="preserve">U.S. Department of Energy, Office of Energy Efficiency and Renewable Energy, </t>
    </r>
    <r>
      <rPr>
        <i/>
        <sz val="9"/>
        <rFont val="Arial"/>
        <family val="2"/>
      </rPr>
      <t>Transportation Energy Data Book</t>
    </r>
    <r>
      <rPr>
        <sz val="9"/>
        <rFont val="Arial"/>
        <family val="2"/>
      </rPr>
      <t>, Edition 33, tables 4.7, table 4.9 and table 4.11 (Oak Ridge, TN), available at http://cta.ornl.gov/data/index.shtml as of Dec. 8, 2015.</t>
    </r>
  </si>
  <si>
    <t>Avg Light Truck Sales from 2010-2013, thousands of vehicles (Table 1-20, Rows 6-8)</t>
  </si>
  <si>
    <t>Avg Car Sales from 2010-2013, thousands of vehicles (Table 1-20, Rows 4-5)</t>
  </si>
  <si>
    <t>Table 1-20</t>
  </si>
  <si>
    <t>ThoughtCo</t>
  </si>
  <si>
    <t>How Long Do Buses and Other Transit Vehicles Last?</t>
  </si>
  <si>
    <t>https://www.thoughtco.com/buses-and-other-transit-lifetime-2798844</t>
  </si>
  <si>
    <t>Bus Lifetime</t>
  </si>
  <si>
    <t>Heavy Truck Start Year Vehicles</t>
  </si>
  <si>
    <t>Bus Start Year Vehicle</t>
  </si>
  <si>
    <t>Passenger</t>
  </si>
  <si>
    <t>Freight</t>
  </si>
  <si>
    <t>Freight HDVs</t>
  </si>
  <si>
    <t>Passenger HDVs (Buses)</t>
  </si>
  <si>
    <t>Vehicle Lifetime (years)</t>
  </si>
  <si>
    <t>Source: U.S. Energy Information Administration</t>
  </si>
  <si>
    <t>full name</t>
  </si>
  <si>
    <t>api key</t>
  </si>
  <si>
    <t>units</t>
  </si>
  <si>
    <t>New Car Sales</t>
  </si>
  <si>
    <t>Conventional Cars</t>
  </si>
  <si>
    <t>Gasoline ICE Vehicles</t>
  </si>
  <si>
    <t>thousands</t>
  </si>
  <si>
    <t>TDI Diesel ICE</t>
  </si>
  <si>
    <t>Total Conventional Cars</t>
  </si>
  <si>
    <t>Alternative-Fuel Cars</t>
  </si>
  <si>
    <t>Ethanol-Flex Fuel ICE</t>
  </si>
  <si>
    <t>Plug-in 20 Gasoline Hybrid</t>
  </si>
  <si>
    <t>Plug-in 50 Gasoline Hybrid</t>
  </si>
  <si>
    <t>- -</t>
  </si>
  <si>
    <t>Electric-Gasoline Hybrid</t>
  </si>
  <si>
    <t>Natural Gas ICE</t>
  </si>
  <si>
    <t>Natural Gas Bi-fuel</t>
  </si>
  <si>
    <t>Propane ICE</t>
  </si>
  <si>
    <t>Propane Bi-fuel</t>
  </si>
  <si>
    <t>Fuel Cell Hydrogen</t>
  </si>
  <si>
    <t>Total Alternative Cars</t>
  </si>
  <si>
    <t>percent</t>
  </si>
  <si>
    <t>Total New Car Sales</t>
  </si>
  <si>
    <t>New Light Truck Sales</t>
  </si>
  <si>
    <t>Conventional Light Trucks</t>
  </si>
  <si>
    <t>Total Conventional Light Trucks</t>
  </si>
  <si>
    <t>Alternative-Fuel Light Trucks</t>
  </si>
  <si>
    <t>Total Alternative Light Trucks</t>
  </si>
  <si>
    <t>Total New Light Truck Sales</t>
  </si>
  <si>
    <t>Total Sales</t>
  </si>
  <si>
    <t>Electric</t>
  </si>
  <si>
    <t>Fuel Cell</t>
  </si>
  <si>
    <t>New Trucks by Size Class</t>
  </si>
  <si>
    <t>Railroads</t>
  </si>
  <si>
    <t>Domestic Shipping</t>
  </si>
  <si>
    <t>International Shipping</t>
  </si>
  <si>
    <t>Total Fleet Vehicles</t>
  </si>
  <si>
    <t>Calibrated</t>
  </si>
  <si>
    <t>Average replacement time</t>
  </si>
  <si>
    <t>commercial truck sales</t>
  </si>
  <si>
    <t>commercial truck stock</t>
  </si>
  <si>
    <t>LDV/MDV sales</t>
  </si>
  <si>
    <t>LDV/MDV stock</t>
  </si>
  <si>
    <t>HDV sales</t>
  </si>
  <si>
    <t>HDV stock</t>
  </si>
  <si>
    <t>BNEF, bus sales 2021</t>
  </si>
  <si>
    <t>BNEF, bus fleet 2021</t>
  </si>
  <si>
    <t>average replacement time</t>
  </si>
  <si>
    <t>BNEF, LDV sales 2021 (M)</t>
  </si>
  <si>
    <t>BNEF, LDV fleet 2021 (M)</t>
  </si>
  <si>
    <t>Total Commercial Light Truck Stock</t>
  </si>
  <si>
    <t>Hydrogen ICE</t>
  </si>
  <si>
    <t>Gasoline Hybrid</t>
  </si>
  <si>
    <t>Fuel Cell Battery Dominant</t>
  </si>
  <si>
    <t>Plug-in Diesel Hybrid</t>
  </si>
  <si>
    <t>Plug-in Gasoline Hybrid</t>
  </si>
  <si>
    <t>Ethanol-Flex Fuel</t>
  </si>
  <si>
    <t>Compressed/Liquefied Natural Gas</t>
  </si>
  <si>
    <t>Propane</t>
  </si>
  <si>
    <t>Diesel</t>
  </si>
  <si>
    <t>Motor Gasoline</t>
  </si>
  <si>
    <t>Total Light Truck Stock</t>
  </si>
  <si>
    <t>300-Mile Electric Vehicle</t>
  </si>
  <si>
    <t>200-Mile Electric Vehicle</t>
  </si>
  <si>
    <t>100-Mile Electric Vehicle</t>
  </si>
  <si>
    <t>Light Truck Stock</t>
  </si>
  <si>
    <t>Total Car Stock</t>
  </si>
  <si>
    <t>Car Stock</t>
  </si>
  <si>
    <t>Table 45.  Transportation Fleet Car and Truck Stock by Type and Technology</t>
  </si>
  <si>
    <t>Total Commercial Light Truck Sales</t>
  </si>
  <si>
    <t>Commercial Light Truck Sales</t>
  </si>
  <si>
    <t>Percentage Alternative Light Truck Sales</t>
  </si>
  <si>
    <t>Percentage Alternative Car Sales</t>
  </si>
  <si>
    <t>Table 44.  Transportation Fleet Car and Truck Sales by Type and Technology</t>
  </si>
  <si>
    <t>trillion Btu</t>
  </si>
  <si>
    <t>Liquefied Natural Gas</t>
  </si>
  <si>
    <t>Compressed Natural Gas</t>
  </si>
  <si>
    <t>Residual Fuel Oil</t>
  </si>
  <si>
    <t>Distillate Fuel Oil (diesel)</t>
  </si>
  <si>
    <t>Fuel Consumption (trillion Btu)</t>
  </si>
  <si>
    <t>billion 2012 $</t>
  </si>
  <si>
    <t>Imports (billion 2012 dollars)</t>
  </si>
  <si>
    <t>Exports (billion 2012 dollars)</t>
  </si>
  <si>
    <t>Gross Trade (billion 2012 dollars)</t>
  </si>
  <si>
    <t>ton miles/thousand Btu</t>
  </si>
  <si>
    <t>Fuel Efficiency (ton miles per thousand Btu)</t>
  </si>
  <si>
    <t>billions</t>
  </si>
  <si>
    <t>Ton Miles Shipping (billion)</t>
  </si>
  <si>
    <t>Ton Miles by Rail (billion)</t>
  </si>
  <si>
    <t>Heavy Subtotal</t>
  </si>
  <si>
    <t>Heavy</t>
  </si>
  <si>
    <t>Medium Subtotal</t>
  </si>
  <si>
    <t>Medium</t>
  </si>
  <si>
    <t>Light Medium Subtotal</t>
  </si>
  <si>
    <t>Light Medium</t>
  </si>
  <si>
    <t>Sales (thousands)</t>
  </si>
  <si>
    <t>Average Fuel Efficiency</t>
  </si>
  <si>
    <t>Heavy Average</t>
  </si>
  <si>
    <t>mpg diesel equiv</t>
  </si>
  <si>
    <t>mpg gas equiv</t>
  </si>
  <si>
    <t>Medium Average</t>
  </si>
  <si>
    <t>mpg</t>
  </si>
  <si>
    <t>Light Medium Average</t>
  </si>
  <si>
    <t>Fuel Efficiency (miles per gallon)</t>
  </si>
  <si>
    <t>millions</t>
  </si>
  <si>
    <t>Total Stock</t>
  </si>
  <si>
    <t>Stock (millions)</t>
  </si>
  <si>
    <t>Total Consumption</t>
  </si>
  <si>
    <t xml:space="preserve"> and Heavy Total</t>
  </si>
  <si>
    <t xml:space="preserve"> Medium</t>
  </si>
  <si>
    <t>Consumption (trillion Btu)</t>
  </si>
  <si>
    <t>billion miles</t>
  </si>
  <si>
    <t>Total Vehicle Miles Traveled</t>
  </si>
  <si>
    <t>Vehicle Miles Traveled (billion miles)</t>
  </si>
  <si>
    <t>Freight Truck Stock by Size Class</t>
  </si>
  <si>
    <t>Table 49.  Freight Transportation Energy Use</t>
  </si>
  <si>
    <t>U.S. Energy Information Administration</t>
  </si>
  <si>
    <t>Annual Energy Outlook 2025</t>
  </si>
  <si>
    <t>https://www.eia.gov/outlooks/aeo/tables_side_xls.php</t>
  </si>
  <si>
    <t>Scenario: Alternative Transportation</t>
  </si>
  <si>
    <t>Table 44, 45, 38, 49</t>
  </si>
  <si>
    <t>AEO.2026.ELECTRNP.ECI_STK_NA_CLTR_NA_NA_NA_TH.A</t>
  </si>
  <si>
    <t>Fleet Stock: Commercial Light Trucks: Total: Alternative Electricity and Transportation</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</si>
  <si>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</si>
  <si>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</si>
  <si>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</si>
  <si>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</si>
  <si>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</si>
  <si>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</si>
  <si>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</si>
  <si>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</si>
  <si>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</si>
  <si>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</si>
  <si>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</si>
  <si>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</si>
  <si>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</si>
  <si>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</si>
  <si>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</si>
  <si>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</si>
  <si>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</si>
  <si>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</si>
  <si>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</si>
  <si>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</si>
  <si>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</si>
  <si>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</si>
  <si>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</si>
  <si>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</si>
  <si>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</si>
  <si>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</si>
  <si>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</si>
  <si>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</si>
  <si>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</si>
  <si>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</si>
  <si>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</si>
  <si>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</si>
  <si>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</si>
  <si>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</si>
  <si>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</si>
  <si>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</si>
  <si>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</si>
  <si>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</si>
  <si>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</si>
  <si>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</si>
  <si>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</si>
  <si>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</si>
  <si>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</si>
  <si>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</si>
  <si>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</si>
  <si>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</si>
  <si>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</si>
  <si>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</si>
  <si>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</si>
  <si>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</si>
  <si>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</si>
  <si>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</si>
  <si>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AEO.2026.ELECTRNP.ECI_STK_NA_FLC_NA_NA_NA_TH.A</t>
  </si>
  <si>
    <t>Fleet Vehicle Stock: Cars: Total: Alternative Electricity and Transportation</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</si>
  <si>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</si>
  <si>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</si>
  <si>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</si>
  <si>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</si>
  <si>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</si>
  <si>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</si>
  <si>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</si>
  <si>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</si>
  <si>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</si>
  <si>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</si>
  <si>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</si>
  <si>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</si>
  <si>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</si>
  <si>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</si>
  <si>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</si>
  <si>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</si>
  <si>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</si>
  <si>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</si>
  <si>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</si>
  <si>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</si>
  <si>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</si>
  <si>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</si>
  <si>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</si>
  <si>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</si>
  <si>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Growth (2025-2050)</t>
  </si>
  <si>
    <t>Thu Apr 23 2026 15:04:58 GMT-0700 (Pacific Daylight Time)</t>
  </si>
  <si>
    <t>https://www.eia.gov/outlooks/aeo/data/browser/#/?id=55-AEO2026&amp;cases=electrnp&amp;sourcekey=0</t>
  </si>
  <si>
    <t>AEO.2026.ELECTRNP.ECI_SAL_NA_CLTR_NA_NA_NA_TH.A</t>
  </si>
  <si>
    <t>Fleet Vehicle Sales: Commercial Light Trucks: Total: Alternative Electricity and Transportation</t>
  </si>
  <si>
    <t>AEO.2026.ELECTRNP.ECI_SAL_NA_CLTR_HYDICE_NA_NA_TH.A</t>
  </si>
  <si>
    <t>Fleet Vehicle Sales: Commercial Light Trucks: Hydrogen ICE: Alternative Electricity and Transportation</t>
  </si>
  <si>
    <t>AEO.2026.ELECTRNP.ECI_SAL_NA_CLTR_GASHEV_NA_NA_TH.A</t>
  </si>
  <si>
    <t>Fleet Vehicle Sales: Commercial Light Trucks: Gasoline Hybrid: Alternative Electricity and Transportation</t>
  </si>
  <si>
    <t>AEO.2026.ELECTRNP.ECI_SAL_NA_CLTR_FEUCELBATDOM_NA_NA_TH.A</t>
  </si>
  <si>
    <t>Fleet Vehicle Sales: Commercial Light Trucks: Fuel Cell Battery Dominant: Alternative Electricity and Transportation</t>
  </si>
  <si>
    <t>AEO.2026.ELECTRNP.ECI_SAL_NA_CLTR_FUC_NA_NA_TH.A</t>
  </si>
  <si>
    <t>Fleet Vehicle Sales: Commercial Light Trucks: Fuel Cell: Alternative Electricity and Transportation</t>
  </si>
  <si>
    <t>AEO.2026.ELECTRNP.ECI_SAL_NA_CLTR_EDH_NA_NA_TH.A</t>
  </si>
  <si>
    <t>Fleet Vehicle Sales: Commercial Light Trucks: Plug-in Diesel: Alternative Electricity and Transportation</t>
  </si>
  <si>
    <t>AEO.2026.ELECTRNP.ECI_SAL_NA_CLTR_EGH_NA_NA_TH.A</t>
  </si>
  <si>
    <t>Fleet Vehicle Sales: Commercial Light Trucks: Plug-in Gas: Alternative Electricity and Transportation</t>
  </si>
  <si>
    <t>AEO.2026.ELECTRNP.ECI_SAL_NA_CLTR_ELE_NA_NA_TH.A</t>
  </si>
  <si>
    <t>Fleet Vehicle Sales: Commercial Light Trucks: Electric: Alternative Electricity and Transportation</t>
  </si>
  <si>
    <t>AEO.2026.ELECTRNP.ECI_SAL_NA_CLTR_EFFI_NA_NA_TH.A</t>
  </si>
  <si>
    <t>Fleet Vehicle Sales: Commercial Light Trucks: Ethanol Flex: Alternative Electricity and Transportation</t>
  </si>
  <si>
    <t>AEO.2026.ELECTRNP.ECI_SAL_NA_CLTR_NG_NA_NA_TH.A</t>
  </si>
  <si>
    <t>Fleet Vehicle Sales: Commercial Light Trucks: CNG/LNG: Alternative Electricity and Transportation</t>
  </si>
  <si>
    <t>AEO.2026.ELECTRNP.ECI_SAL_NA_CLTR_PROP_NA_NA_TH.A</t>
  </si>
  <si>
    <t>Fleet Vehicle Sales: Commercial Light Trucks: Propane: Alternative Electricity and Transportation</t>
  </si>
  <si>
    <t>AEO.2026.ELECTRNP.ECI_SAL_NA_CLTR_TDS_NA_NA_TH.A</t>
  </si>
  <si>
    <t>Fleet Vehicle Sales: Commercial Light Trucks: TDI Diesel: Alternative Electricity and Transportation</t>
  </si>
  <si>
    <t>AEO.2026.ELECTRNP.ECI_SAL_NA_CLTR_GSL_NA_NA_TH.A</t>
  </si>
  <si>
    <t>Fleet Vehicle Sales: Commercial Light Trucks: Gasoline: Alternative Electricity and Transportation</t>
  </si>
  <si>
    <t>AEO.2026.ELECTRNP.ECI_SAL_NA_NA_NA_NA_NA_TH.A</t>
  </si>
  <si>
    <t>Transportation Fleet Vehicle Sales: Total Fleet Vehicles: Alternative Electricity and Transportation</t>
  </si>
  <si>
    <t>AEO.2026.ELECTRNP.ECI_SAL_NA_FLTR_NA_NA_NA_TH.A</t>
  </si>
  <si>
    <t>Fleet Vehicle Sales: Light Trucks: Total: Alternative Electricity and Transportation</t>
  </si>
  <si>
    <t>AEO.2026.ELECTRNP.ECI_SAL_ALF1_FLTR_NA_NA_NA_PCT.A</t>
  </si>
  <si>
    <t>Fleet Vehicle Sales: Light Trucks: Percentage Alternative: Alternative Electricity and Transportation</t>
  </si>
  <si>
    <t>AEO.2026.ELECTRNP.ECI_SAL_ALF1_FLTR_NA_NA_NA_TH.A</t>
  </si>
  <si>
    <t>Fleet Vehicle Sales: Alternative-Fuel Light Trucks: Total: Alternative Electricity and Transportation</t>
  </si>
  <si>
    <t>AEO.2026.ELECTRNP.ECI_SAL_ALF1_FLTR_FCH_NA_NA_TH.A</t>
  </si>
  <si>
    <t>Fleet Vehicle Sales: Alternative-Fuel Light Trucks: Fuel Cell Hydrogen: Alternative Electricity and Transportation</t>
  </si>
  <si>
    <t>AEO.2026.ELECTRNP.ECI_SAL_ALF1_FLTR_PBF_NA_NA_TH.A</t>
  </si>
  <si>
    <t>Fleet Vehicle Sales: Alternative-Fuel Light Trucks: Propane Bi-fuel: Alternative Electricity and Transportation</t>
  </si>
  <si>
    <t>AEO.2026.ELECTRNP.ECI_SAL_ALF1_FLTR_PROP_NA_NA_TH.A</t>
  </si>
  <si>
    <t>Fleet Vehicle Sales: Alternative-Fuel Light Trucks: Propane ICE: Alternative Electricity and Transportation</t>
  </si>
  <si>
    <t>AEO.2026.ELECTRNP.ECI_SAL_ALF1_FLTR_NBF_NA_NA_TH.A</t>
  </si>
  <si>
    <t>Fleet Vehicle Sales: Alternative-Fuel Light Trucks: Natural Gas Bi-fuel: Alternative Electricity and Transportation</t>
  </si>
  <si>
    <t>AEO.2026.ELECTRNP.ECI_SAL_ALF1_FLTR_NGI_NA_NA_TH.A</t>
  </si>
  <si>
    <t>Fleet Vehicle Sales: Alternative-Fuel Light Trucks: Natural Gas ICE: Alternative Electricity and Transportation</t>
  </si>
  <si>
    <t>AEO.2026.ELECTRNP.ECI_SAL_ALF1_FLTR_EGH_NA_NA_TH.A</t>
  </si>
  <si>
    <t>Fleet Vehicle Sales: Alternative-Fuel Light Trucks: Electric-Gasoline Hybrid: Alternative Electricity and Transportation</t>
  </si>
  <si>
    <t>AEO.2026.ELECTRNP.ECI_SAL_ALF1_FLTR_PI50GH_NA_NA_TH.A</t>
  </si>
  <si>
    <t>Fleet Vehicle Sales: Alternative-Fuel Light Trucks: Plug-in 50 Gasoline Hybrid: Alternative Electricity and Transportation</t>
  </si>
  <si>
    <t>AEO.2026.ELECTRNP.ECI_SAL_ALF1_FLTR_PI20GH_NA_NA_TH.A</t>
  </si>
  <si>
    <t>Fleet Vehicle Sales: Alternative-Fuel Light Trucks: Plug-in 20 Gasoline Hybrid: Alternative Electricity and Transportation</t>
  </si>
  <si>
    <t>AEO.2026.ELECTRNP.ECI_SAL_ALF1_FLTR_300MIEV_NA_NA_TH.A</t>
  </si>
  <si>
    <t>Fleet Vehicle Sales: Alternative-Fuel Light Trucks: 300-Mile Electric Vehicle: Alternative Electricity and Transportation</t>
  </si>
  <si>
    <t>AEO.2026.ELECTRNP.ECI_SAL_ALF1_FLTR_200MIEV_NA_NA_TH.A</t>
  </si>
  <si>
    <t>Fleet Vehicle Sales: Alternative-Fuel Light Trucks: 200-Mile Electric Vehicle: Alternative Electricity and Transportation</t>
  </si>
  <si>
    <t>AEO.2026.ELECTRNP.ECI_SAL_ALF1_FLTR_100MIEV_NA_NA_TH.A</t>
  </si>
  <si>
    <t>Fleet Vehicle Sales: Alternative-Fuel Light Trucks: 100-Mile Electric Vehicle: Alternative Electricity and Transportation</t>
  </si>
  <si>
    <t>AEO.2026.ELECTRNP.ECI_SAL_ALF1_FLTR_EFFI_NA_NA_TH.A</t>
  </si>
  <si>
    <t>Fleet Vehicle Sales: Alternative-Fuel Light Trucks: Ethanol-Flex Fuel ICE: Alternative Electricity and Transportation</t>
  </si>
  <si>
    <t>AEO.2026.ELECTRNP.ECI_SAL_CNV_FLTR_NA_NA_NA_TH.A</t>
  </si>
  <si>
    <t>Fleet Vehicle Sales: Conventional Light Trucks: Total: Alternative Electricity and Transportation</t>
  </si>
  <si>
    <t>AEO.2026.ELECTRNP.ECI_SAL_CNV_FLTR_TDS_NA_NA_TH.A</t>
  </si>
  <si>
    <t>Fleet Vehicle Sales: Conventional Light Trucks: TDI Diesel: Alternative Electricity and Transportation</t>
  </si>
  <si>
    <t>AEO.2026.ELECTRNP.ECI_SAL_CNV_FLTR_GSL_NA_NA_TH.A</t>
  </si>
  <si>
    <t>Fleet Vehicle Sales: Conventional Light Trucks: Gasoline: Alternative Electricity and Transportation</t>
  </si>
  <si>
    <t>AEO.2026.ELECTRNP.ECI_SAL_NA_FLC_NA_NA_NA_TH.A</t>
  </si>
  <si>
    <t>Fleet Vehicle Sales: Total New Car: Alternative Electricity and Transportation</t>
  </si>
  <si>
    <t>AEO.2026.ELECTRNP.ECI_SAL_ALF1_FLC_NA_NA_NA_PCT.A</t>
  </si>
  <si>
    <t>Fleet Vehicle Sales: Percentage Alternative Car: Alternative Electricity and Transportation</t>
  </si>
  <si>
    <t>AEO.2026.ELECTRNP.ECI_SAL_ALF1_FLC_NA_NA_NA_TH.A</t>
  </si>
  <si>
    <t>Fleet Vehicle Sales: Alternative-Fuel Cars: Total: Alternative Electricity and Transportation</t>
  </si>
  <si>
    <t>AEO.2026.ELECTRNP.ECI_SAL_ALF1_FLC_FCH_NA_NA_TH.A</t>
  </si>
  <si>
    <t>Fleet Vehicle Sales: Alternative-Fuel cars: Fuel Cell Hydrogen: Alternative Electricity and Transportation</t>
  </si>
  <si>
    <t>AEO.2026.ELECTRNP.ECI_SAL_ALF1_FLC_PBF_NA_NA_TH.A</t>
  </si>
  <si>
    <t>Fleet Vehicle Sales: Alternative-Fuel Cars: Propane Bi-fuel: Alternative Electricity and Transportation</t>
  </si>
  <si>
    <t>AEO.2026.ELECTRNP.ECI_SAL_ALF1_FLC_PROP_NA_NA_TH.A</t>
  </si>
  <si>
    <t>Fleet Vehicle Sales: Alternative-Fuel Cars: Propane ICE: Alternative Electricity and Transportation</t>
  </si>
  <si>
    <t>AEO.2026.ELECTRNP.ECI_SAL_ALF1_FLC_NBF_NA_NA_TH.A</t>
  </si>
  <si>
    <t>Fleet Vehicle Sales: Alternative-Fuel Cars: Natural Gas Bi-fuel: Alternative Electricity and Transportation</t>
  </si>
  <si>
    <t>AEO.2026.ELECTRNP.ECI_SAL_ALF1_FLC_NGI_NA_NA_TH.A</t>
  </si>
  <si>
    <t>Fleet Vehicle Sales: Alternative-Fuel Cars: Natural Gas ICE: Alternative Electricity and Transportation</t>
  </si>
  <si>
    <t>AEO.2026.ELECTRNP.ECI_SAL_ALF1_FLC_EGH_NA_NA_TH.A</t>
  </si>
  <si>
    <t>Fleet Vehicle Sales: Alternative-Fuel Cars: Electric-Gasoline Hybrid: Alternative Electricity and Transportation</t>
  </si>
  <si>
    <t>AEO.2026.ELECTRNP.ECI_SAL_ALF1_FLC_PI50GH_NA_NA_TH.A</t>
  </si>
  <si>
    <t>Fleet Vehicle Sales: Alternative-Fuel Cars: Plug-in 50 Gasoline Hybrid: Alternative Electricity and Transportation</t>
  </si>
  <si>
    <t>AEO.2026.ELECTRNP.ECI_SAL_ALF1_FLC_PI20GH_NA_NA_TH.A</t>
  </si>
  <si>
    <t>Fleet Vehicle Sales: Alternative-Fuel Cars: Plug-in 20 Gasoline Hybrid: Alternative Electricity and Transportation</t>
  </si>
  <si>
    <t>AEO.2026.ELECTRNP.ECI_SAL_ALF1_FLC_300MIEV_NA_NA_TH.A</t>
  </si>
  <si>
    <t>Fleet Vehicle Sales: Alternative-Fuel Cars: 300-Mile Electric Vehicle: Alternative Electricity and Transportation</t>
  </si>
  <si>
    <t>AEO.2026.ELECTRNP.ECI_SAL_ALF1_FLC_200MIEV_NA_NA_TH.A</t>
  </si>
  <si>
    <t>Fleet Vehicle Sales: Alternative-Fuel Cars: 200-Mile Electric Vehicle: Alternative Electricity and Transportation</t>
  </si>
  <si>
    <t>AEO.2026.ELECTRNP.ECI_SAL_ALF1_FLC_100MIEV_NA_NA_TH.A</t>
  </si>
  <si>
    <t>Fleet Vehicle Sales: Alternative-Fuel Cars: 100-Mile Electric Vehicle: Alternative Electricity and Transportation</t>
  </si>
  <si>
    <t>AEO.2026.ELECTRNP.ECI_SAL_ALF1_FLC_EFFI_NA_NA_TH.A</t>
  </si>
  <si>
    <t>Fleet Vehicle Sales: Alternative-Fuel Cars: Ethanol-Flex Fuel ICE: Alternative Electricity and Transportation</t>
  </si>
  <si>
    <t>AEO.2026.ELECTRNP.ECI_SAL_CNV_FLC_NA_NA_NA_TH.A</t>
  </si>
  <si>
    <t>Fleet Vehicle Sales: Conventional Cars: Total: Alternative Electricity and Transportation</t>
  </si>
  <si>
    <t>AEO.2026.ELECTRNP.ECI_SAL_CNV_FLC_TDS_NA_NA_TH.A</t>
  </si>
  <si>
    <t>Fleet Vehicle Sales: Conventional Cars: TDI Diesel: Alternative Electricity and Transportation</t>
  </si>
  <si>
    <t>AEO.2026.ELECTRNP.ECI_SAL_CNV_FLC_GSL_NA_NA_TH.A</t>
  </si>
  <si>
    <t>Fleet Vehicle Sales: Conventional Cars: Gasoline: Alternative Electricity and Transportation</t>
  </si>
  <si>
    <t>Thu Apr 23 2026 15:04:49 GMT-0700 (Pacific Daylight Time)</t>
  </si>
  <si>
    <t>https://www.eia.gov/outlooks/aeo/data/browser/#/?id=54-AEO2026&amp;cases=electrnp&amp;sourcekey=0</t>
  </si>
  <si>
    <t>AEO.2026.ELECTRNP.CNSM_NA_TRN_INTS_LNG_NA_NA_TRLBTU.A</t>
  </si>
  <si>
    <t>Freight: International Shipping: Fuel Use: LNG: Alternative Electricity and Transportation</t>
  </si>
  <si>
    <t>AEO.2026.ELECTRNP.CNSM_NA_TRN_INTS_CNG_NA_NA_TRLBTU.A</t>
  </si>
  <si>
    <t>Freight: International Shipping: Fuel Use: CNG: Alternative Electricity and Transportation</t>
  </si>
  <si>
    <t>AEO.2026.ELECTRNP.CNSM_NA_TRN_INTS_RFO_NA_NA_TRLBTU.A</t>
  </si>
  <si>
    <t>Freight: International Shipping: Fuel Use: Residual Fuel Oil: Alternative Electricity and Transportation</t>
  </si>
  <si>
    <t>AEO.2026.ELECTRNP.CNSM_NA_TRN_INTS_DFO_NA_NA_TRLBTU.A</t>
  </si>
  <si>
    <t>Freight: International Shipping: Fuel Use: Distillate Fuel Oil: Alternative Electricity and Transportation</t>
  </si>
  <si>
    <t>AEO.2026.ELECTRNP.ECI_IMP_TRN_INTS_NA_NA_NA_BLNY09DLR.A</t>
  </si>
  <si>
    <t>Freight: International Shipping: Imports: Alternative Electricity and Transportation</t>
  </si>
  <si>
    <t>AEO.2026.ELECTRNP.ECI_EXPT_TRN_INTS_NA_NA_NA_BLNY09DLR.A</t>
  </si>
  <si>
    <t>Freight: International Shipping: Exports: Alternative Electricity and Transportation</t>
  </si>
  <si>
    <t>AEO.2026.ELECTRNP.ECI_UGHT_TRN_INTS_NA_NA_NA_BLNY09DLR.A</t>
  </si>
  <si>
    <t>Freight: International Shipping: Gross Trade: Alternative Electricity and Transportation</t>
  </si>
  <si>
    <t>AEO.2026.ELECTRNP.CNSM_NA_TRN_DMT_LNG_NA_NA_TRLBTU.A</t>
  </si>
  <si>
    <t>Freight: Domestic Shipping: Fuel Use: LNG: Alternative Electricity and Transportation</t>
  </si>
  <si>
    <t>AEO.2026.ELECTRNP.CNSM_NA_TRN_DMT_CNG_NA_NA_TRLBTU.A</t>
  </si>
  <si>
    <t>Freight: Domestic Shipping: Fuel Use: CNG: Alternative Electricity and Transportation</t>
  </si>
  <si>
    <t>AEO.2026.ELECTRNP.CNSM_NA_TRN_DMT_RFO_NA_NA_TRLBTU.A</t>
  </si>
  <si>
    <t>Freight: Domestic Shipping: Fuel Use: Residual Fuel Oil: Alternative Electricity and Transportation</t>
  </si>
  <si>
    <t>AEO.2026.ELECTRNP.CNSM_NA_TRN_DMT_DFO_NA_NA_TRLBTU.A</t>
  </si>
  <si>
    <t>Freight: Domestic Shipping: Fuel Use: Distillate Fuel Oil: Alternative Electricity and Transportation</t>
  </si>
  <si>
    <t>AEO.2026.ELECTRNP.EFI_NA_TRN_DMT_NA_NA_NA_TONMLPTHBTU.A</t>
  </si>
  <si>
    <t>Freight: Domestic Shipping: Fuel Efficiency: Alternative Electricity and Transportation</t>
  </si>
  <si>
    <t>AEO.2026.ELECTRNP.ECI_FTM_TRN_DMT_NA_NA_NA_BLN.A</t>
  </si>
  <si>
    <t>Freight: Domestic Shipping: Ton Miles Shipping: Alternative Electricity and Transportation</t>
  </si>
  <si>
    <t>AEO.2026.ELECTRNP.CNSM_NA_TRN_RAIL_LNG_NA_NA_TRLBTU.A</t>
  </si>
  <si>
    <t>Freight: Railroads: Fuel Use: LNG: Alternative Electricity and Transportation</t>
  </si>
  <si>
    <t>AEO.2026.ELECTRNP.CNSM_NA_TRN_RAIL_CNG_NA_NA_TRLBTU.A</t>
  </si>
  <si>
    <t>Freight: Railroads: Fuel Use: CNG: Alternative Electricity and Transportation</t>
  </si>
  <si>
    <t>AEO.2026.ELECTRNP.CNSM_NA_TRN_RAIL_RFO_NA_NA_TRLBTU.A</t>
  </si>
  <si>
    <t>Freight: Railroads: Fuel Use: Residual Fuel Oil: Alternative Electricity and Transportation</t>
  </si>
  <si>
    <t>AEO.2026.ELECTRNP.CNSM_NA_TRN_RAIL_DFO_NA_NA_TRLBTU.A</t>
  </si>
  <si>
    <t>Freight: Railroads: Fuel Use: Distillate Fuel Oil: Alternative Electricity and Transportation</t>
  </si>
  <si>
    <t>AEO.2026.ELECTRNP.EFI_NA_TRN_RAIL_NA_NA_NA_TONMLPTHBTU.A</t>
  </si>
  <si>
    <t>Freight: Railroads: Fuel Efficiency: Alternative Electricity and Transportation</t>
  </si>
  <si>
    <t>AEO.2026.ELECTRNP.ECI_FTM_TRN_RAIL_NA_NA_NA_BLN.A</t>
  </si>
  <si>
    <t>Freight: Railroads: Ton Miles by Rail: Alternative Electricity and Transportation</t>
  </si>
  <si>
    <t>AEO.2026.ELECTRNP.ECI_SAL_FGHT_NA_NA_NA_NA_TH.A</t>
  </si>
  <si>
    <t>Freight: New Trucks: Sales: Alternative Electricity and Transportation</t>
  </si>
  <si>
    <t>AEO.2026.ELECTRNP.ECI_SAL_FGHT_RAD_NA_NA_NA_TH.A</t>
  </si>
  <si>
    <t>Freight: New Trucks: Sales: Heavy: Alternative Electricity and Transportation</t>
  </si>
  <si>
    <t>AEO.2026.ELECTRNP.ECI_SAL_FGHT_RAD_HYDICE_NA_NA_MPGDSEQ.A</t>
  </si>
  <si>
    <t>Freight: New Trucks: Sales: Heavy: Hydrogen ICE: Alternative Electricity and Transportation</t>
  </si>
  <si>
    <t>AEO.2026.ELECTRNP.ECI_SAL_FGHT_RAD_GASHEV_NA_NA_MPGGASEQ.A</t>
  </si>
  <si>
    <t>Freight: New Trucks: Sales: Heavy: Gasoline Hybrid: Alternative Electricity and Transportation</t>
  </si>
  <si>
    <t>AEO.2026.ELECTRNP.ECI_SAL_FGHT_RAD_FEUCELBATDOM_NA_NA_MPGDSEQ.A</t>
  </si>
  <si>
    <t>Freight: New Trucks: Sales: Heavy: Fuel Cell Battery Dominant: Alternative Electricity and Transportation</t>
  </si>
  <si>
    <t>AEO.2026.ELECTRNP.ECI_SAL_FGHT_RAD_FUC_NA_NA_TH.A</t>
  </si>
  <si>
    <t>Freight: New Trucks: Sales: Heavy: Fuel Cell: Alternative Electricity and Transportation</t>
  </si>
  <si>
    <t>AEO.2026.ELECTRNP.ECI_SAL_FGHT_RAD_EGH_NA_NA_TH.A</t>
  </si>
  <si>
    <t>Freight: New Trucks: Sales: Heavy: Plug-in Gasoline Hybrid: Alternative Electricity and Transportation</t>
  </si>
  <si>
    <t>AEO.2026.ELECTRNP.ECI_SAL_FGHT_RAD_EDH_NA_NA_TH.A</t>
  </si>
  <si>
    <t>Freight: New Trucks: Sales: Heavy: Plug-in Diesel Hybrid: Alternative Electricity and Transportation</t>
  </si>
  <si>
    <t>AEO.2026.ELECTRNP.ECI_SAL_FGHT_RAD_ELE_NA_NA_TH.A</t>
  </si>
  <si>
    <t>Freight: New Trucks: Sales: Heavy: Electric: Alternative Electricity and Transportation</t>
  </si>
  <si>
    <t>AEO.2026.ELECTRNP.ECI_SAL_FGHT_RAD_EFFI_NA_NA_TH.A</t>
  </si>
  <si>
    <t>Freight: New Trucks: Sales: Heavy: Ethanol-Flex Fuel: Alternative Electricity and Transportation</t>
  </si>
  <si>
    <t>AEO.2026.ELECTRNP.ECI_SAL_FGHT_RAD_NG_NA_NA_TH.A</t>
  </si>
  <si>
    <t>Freight: New Trucks: Sales: Heavy: Natural Gas: Alternative Electricity and Transportation</t>
  </si>
  <si>
    <t>AEO.2026.ELECTRNP.ECI_SAL_FGHT_RAD_PROP_NA_NA_TH.A</t>
  </si>
  <si>
    <t>Freight: New Trucks: Sales: Heavy: Propane: Alternative Electricity and Transportation</t>
  </si>
  <si>
    <t>AEO.2026.ELECTRNP.ECI_SAL_FGHT_RAD_MGS_NA_NA_TH.A</t>
  </si>
  <si>
    <t>Freight: New Trucks: Sales: Heavy: Motor Gasoline: Alternative Electricity and Transportation</t>
  </si>
  <si>
    <t>AEO.2026.ELECTRNP.ECI_SAL_FGHT_RAD_DSL_NA_NA_TH.A</t>
  </si>
  <si>
    <t>Freight: New Trucks: Sales: Heavy: Diesel: Alternative Electricity and Transportation</t>
  </si>
  <si>
    <t>AEO.2026.ELECTRNP.ECI_SAL_FGHT_SOSO_NA_NA_NA_TH.A</t>
  </si>
  <si>
    <t>Freight: New Trucks: Sales: Medium: Alternative Electricity and Transportation</t>
  </si>
  <si>
    <t>AEO.2026.ELECTRNP.ECI_SAL_FGHT_SOSO_HYDICE_NA_NA_MPGDSEQ.A</t>
  </si>
  <si>
    <t>Freight: New Trucks: Sales: Medium: Hydrogen ICE: Alternative Electricity and Transportation</t>
  </si>
  <si>
    <t>AEO.2026.ELECTRNP.ECI_SAL_FGHT_SOSO_GASHEV_NA_NA_MPGGASEQ.A</t>
  </si>
  <si>
    <t>Freight: New Trucks: Sales: Medium: Gasoline Hybrid: Alternative Electricity and Transportation</t>
  </si>
  <si>
    <t>AEO.2026.ELECTRNP.ECI_SAL_FGHT_SOSO_FEUCELBATDOM_NA_NA_MPGDSEQ.A</t>
  </si>
  <si>
    <t>Freight: New Trucks: Sales: Medium: Fuel Cell Battery Dominant: Alternative Electricity and Transportation</t>
  </si>
  <si>
    <t>AEO.2026.ELECTRNP.ECI_SAL_FGHT_SOSO_FUC_NA_NA_TH.A</t>
  </si>
  <si>
    <t>Freight: New Trucks: Sales: Medium: Fuel Cell: Alternative Electricity and Transportation</t>
  </si>
  <si>
    <t>AEO.2026.ELECTRNP.ECI_SAL_FGHT_SOSO_EGH_NA_NA_TH.A</t>
  </si>
  <si>
    <t>Freight: New Trucks: Sales: Medium: Plug-in Gasoline Hybrid: Alternative Electricity and Transportation</t>
  </si>
  <si>
    <t>AEO.2026.ELECTRNP.ECI_SAL_FGHT_SOSO_EDH_NA_NA_TH.A</t>
  </si>
  <si>
    <t>Freight: New Trucks: Sales: Medium: Plug-in Diesel Hybrid: Alternative Electricity and Transportation</t>
  </si>
  <si>
    <t>AEO.2026.ELECTRNP.ECI_SAL_FGHT_SOSO_ELE_NA_NA_TH.A</t>
  </si>
  <si>
    <t>Freight: New Trucks: Sales: Medium: Electric: Alternative Electricity and Transportation</t>
  </si>
  <si>
    <t>AEO.2026.ELECTRNP.ECI_SAL_FGHT_SOSO_EFFI_NA_NA_TH.A</t>
  </si>
  <si>
    <t>Freight: New Trucks: Sales: Medium: Ethanol-Flex Fuel: Alternative Electricity and Transportation</t>
  </si>
  <si>
    <t>AEO.2026.ELECTRNP.ECI_SAL_FGHT_SOSO_NG_NA_NA_TH.A</t>
  </si>
  <si>
    <t>Freight: New Trucks: Sales: Medium: Natural Gas: Alternative Electricity and Transportation</t>
  </si>
  <si>
    <t>AEO.2026.ELECTRNP.ECI_SAL_FGHT_SOSO_PROP_NA_NA_TH.A</t>
  </si>
  <si>
    <t>Freight: New Trucks: Sales: Medium: Propane: Alternative Electricity and Transportation</t>
  </si>
  <si>
    <t>AEO.2026.ELECTRNP.ECI_SAL_FGHT_SOSO_MGS_NA_NA_TH.A</t>
  </si>
  <si>
    <t>Freight: New Trucks: Sales: Medium: Motor Gasoline: Alternative Electricity and Transportation</t>
  </si>
  <si>
    <t>AEO.2026.ELECTRNP.ECI_SAL_FGHT_SOSO_DSL_NA_NA_TH.A</t>
  </si>
  <si>
    <t>Freight: New Trucks: Sales: Medium: Diesel: Alternative Electricity and Transportation</t>
  </si>
  <si>
    <t>AEO.2026.ELECTRNP.ECI_SAL_FGHT_LITEMED_NA_NA_NA_TH.A</t>
  </si>
  <si>
    <t>Freight: New Trucks: Sales: Light Medium: Alternative Electricity and Transportation</t>
  </si>
  <si>
    <t>AEO.2026.ELECTRNP.ECI_SAL_FGHT_LITEMED_HYDICE_NA_NA_MPGDSEQ.A</t>
  </si>
  <si>
    <t>Freight: New Trucks: Sales: Light Medium: Hydrogen ICE: Alternative Electricity and Transportation</t>
  </si>
  <si>
    <t>AEO.2026.ELECTRNP.ECI_SAL_FGHT_LITEMED_GASHEV_NA_NA_MPGGASEQ.A</t>
  </si>
  <si>
    <t>Freight: New Trucks: Sales: Light Medium: Gasoline Hybrid: Alternative Electricity and Transportation</t>
  </si>
  <si>
    <t>AEO.2026.ELECTRNP.ECI_SAL_FGHT_LITEMED_FEUCELBATDOM_NA_NA_MPGDSEQ.A</t>
  </si>
  <si>
    <t>Freight: New Trucks: Sales: Light Medium: Fuel Cell Battery Dominant: Alternative Electricity and Transportation</t>
  </si>
  <si>
    <t>AEO.2026.ELECTRNP.ECI_SAL_FGHT_LITEMED_FUC_NA_NA_TH.A</t>
  </si>
  <si>
    <t>Freight: New Trucks: Sales: Light Medium: Fuel Cell: Alternative Electricity and Transportation</t>
  </si>
  <si>
    <t>AEO.2026.ELECTRNP.ECI_SAL_FGHT_LITEMED_EGH_NA_NA_TH.A</t>
  </si>
  <si>
    <t>Freight: New Trucks: Sales: Light Medium: Plug-in Gasoline Hybrid: Alternative Electricity and Transportation</t>
  </si>
  <si>
    <t>AEO.2026.ELECTRNP.ECI_SAL_FGHT_LITEMED_EDH_NA_NA_TH.A</t>
  </si>
  <si>
    <t>Freight: New Trucks: Sales: Light Medium: Plug-in Diesel Hybrid: Alternative Electricity and Transportation</t>
  </si>
  <si>
    <t>AEO.2026.ELECTRNP.ECI_SAL_FGHT_LITEMED_ELE_NA_NA_TH.A</t>
  </si>
  <si>
    <t>Freight: New Trucks: Sales: Light Medium: Electric: Alternative Electricity and Transportation</t>
  </si>
  <si>
    <t>AEO.2026.ELECTRNP.ECI_SAL_FGHT_LITEMED_EFFI_NA_NA_TH.A</t>
  </si>
  <si>
    <t>Freight: New Trucks: Sales: Light Medium: Ethanol-Flex Fuel: Alternative Electricity and Transportation</t>
  </si>
  <si>
    <t>AEO.2026.ELECTRNP.ECI_SAL_FGHT_LITEMED_NG_NA_NA_TH.A</t>
  </si>
  <si>
    <t>Freight: New Trucks: Sales: Light Medium: Natural Gas: Alternative Electricity and Transportation</t>
  </si>
  <si>
    <t>AEO.2026.ELECTRNP.ECI_SAL_FGHT_LITEMED_PROP_NA_NA_TH.A</t>
  </si>
  <si>
    <t>Freight: New Trucks: Sales: Light Medium: Propane: Alternative Electricity and Transportation</t>
  </si>
  <si>
    <t>AEO.2026.ELECTRNP.ECI_SAL_FGHT_LITEMED_MGS_NA_NA_TH.A</t>
  </si>
  <si>
    <t>Freight: New Trucks: Sales: Light Medium: Motor Gasoline: Alternative Electricity and Transportation</t>
  </si>
  <si>
    <t>AEO.2026.ELECTRNP.ECI_SAL_FGHT_LITEMED_DSL_NA_NA_TH.A</t>
  </si>
  <si>
    <t>Freight: New Trucks: Sales: Light Medium: Diesel: Alternative Electricity and Transportation</t>
  </si>
  <si>
    <t>AEO.2026.ELECTRNP.EFI_NA_FGHT_NEW_NA_NA_NA_NA.A</t>
  </si>
  <si>
    <t>Freight: New Trucks: Fuel Efficiency: Alternative Electricity and Transportation</t>
  </si>
  <si>
    <t>AEO.2026.ELECTRNP.EFI_NA_FGHT_RADN_NA_NA_NA_NA.A</t>
  </si>
  <si>
    <t>Freight: New Trucks: Fuel Efficiency: Heavy: Average: Alternative Electricity and Transportation</t>
  </si>
  <si>
    <t>AEO.2026.ELECTRNP.EFI_NA_FGHT_RADN_HYDICE_NA_NA_MPGDSEQ.A</t>
  </si>
  <si>
    <t>Freight: New Trucks: Fuel Efficiency: Heavy: Hydrogen ICE: Alternative Electricity and Transportation</t>
  </si>
  <si>
    <t>AEO.2026.ELECTRNP.EFI_NA_FGHT_RADN_GASHEV_NA_NA_MPGGASEQ.A</t>
  </si>
  <si>
    <t>Freight: New Trucks: Fuel Efficiency: Heavy: Gasoline Hybrid: Alternative Electricity and Transportation</t>
  </si>
  <si>
    <t>AEO.2026.ELECTRNP.EFI_NA_FGHT_RADN_FEUCELBATDOM_NA_NA_MPGDSEQ.A</t>
  </si>
  <si>
    <t>Freight: New Trucks: Fuel Efficiency: Heavy: Fuel Cell Battery Dominant: Alternative Electricity and Transportation</t>
  </si>
  <si>
    <t>AEO.2026.ELECTRNP.EFI_NA_FGHT_RADN_FUC_NA_NA_MPGDSEQ.A</t>
  </si>
  <si>
    <t>Freight: New Trucks: Fuel Efficiency: Heavy: Fuel Cell: Alternative Electricity and Transportation</t>
  </si>
  <si>
    <t>AEO.2026.ELECTRNP.EFI_NA_FGHT_RADN_EGH_NA_NA_MPGGASEQ.A</t>
  </si>
  <si>
    <t>Freight: New Trucks: Fuel Efficiency: Heavy: Plug-in Gasoline Hybrid: Alternative Electricity and Transportation</t>
  </si>
  <si>
    <t>AEO.2026.ELECTRNP.EFI_NA_FGHT_RADN_EDH_NA_NA_MPGDSEQ.A</t>
  </si>
  <si>
    <t>Freight: New Trucks: Fuel Efficiency: Heavy: Plug-in Diesel Hybrid: Alternative Electricity and Transportation</t>
  </si>
  <si>
    <t>AEO.2026.ELECTRNP.EFI_NA_FGHT_RADN_ELE_NA_NA_MPGDSEQ.A</t>
  </si>
  <si>
    <t>Freight: New Trucks: Fuel Efficiency: Heavy: Electric: Alternative Electricity and Transportation</t>
  </si>
  <si>
    <t>AEO.2026.ELECTRNP.EFI_NA_FGHT_RADN_EFFI_NA_NA_MPGGASEQ.A</t>
  </si>
  <si>
    <t>Freight: New Trucks: Fuel Efficiency: Heavy: Ethanol-Flex Fuel: Alternative Electricity and Transportation</t>
  </si>
  <si>
    <t>AEO.2026.ELECTRNP.EFI_NA_FGHT_RADN_NG_NA_NA_MPGDSEQ.A</t>
  </si>
  <si>
    <t>Freight: New Trucks: Fuel Efficiency: Heavy: Natural Gas: Alternative Electricity and Transportation</t>
  </si>
  <si>
    <t>AEO.2026.ELECTRNP.EFI_NA_FGHT_RADN_PROP_NA_NA_MPGGASEQ.A</t>
  </si>
  <si>
    <t>Freight: New Trucks: Fuel Efficiency: Heavy: Propane: Alternative Electricity and Transportation</t>
  </si>
  <si>
    <t>AEO.2026.ELECTRNP.EFI_NA_FGHT_RADN_MGS_NA_NA_MPGGASEQ.A</t>
  </si>
  <si>
    <t>Freight: New Trucks: Fuel Efficiency: Heavy: Motor Gasoline: Alternative Electricity and Transportation</t>
  </si>
  <si>
    <t>AEO.2026.ELECTRNP.EFI_NA_FGHT_RADN_DSL_NA_NA_MPGDSEQ.A</t>
  </si>
  <si>
    <t>Freight: New Trucks: Fuel Efficiency: Heavy: Diesel: Alternative Electricity and Transportation</t>
  </si>
  <si>
    <t>AEO.2026.ELECTRNP.EFI_NA_FGHT_SOSON_NA_NA_NA_NA.A</t>
  </si>
  <si>
    <t>Freight: New Trucks: Fuel Efficiency: Medium: Average: Alternative Electricity and Transportation</t>
  </si>
  <si>
    <t>AEO.2026.ELECTRNP.EFI_NA_FGHT_SOSON_HYDICE_NA_NA_MPGDSEQ.A</t>
  </si>
  <si>
    <t>Freight: New Trucks: Fuel Efficiency: Medium: Hydrogen ICE: Alternative Electricity and Transportation</t>
  </si>
  <si>
    <t>AEO.2026.ELECTRNP.EFI_NA_FGHT_SOSON_GASHEV_NA_NA_MPGGASEQ.A</t>
  </si>
  <si>
    <t>Freight: New Trucks: Fuel Efficiency: Medium: Gasoline Hybrid: Alternative Electricity and Transportation</t>
  </si>
  <si>
    <t>AEO.2026.ELECTRNP.EFI_NA_FGHT_SOSON_FEUCELBATDOM_NA_NA_MPGDSEQ.A</t>
  </si>
  <si>
    <t>Freight: New Trucks: Fuel Efficiency: Medium: Fuel Cell Battery Dominant: Alternative Electricity and Transportation</t>
  </si>
  <si>
    <t>AEO.2026.ELECTRNP.EFI_NA_FGHT_SOSON_FUC_NA_NA_MPGGASEQ.A</t>
  </si>
  <si>
    <t>Freight: New Trucks: Fuel Efficiency: Medium: Fuel Cell: Alternative Electricity and Transportation</t>
  </si>
  <si>
    <t>AEO.2026.ELECTRNP.EFI_NA_FGHT_SOSON_EGH_NA_NA_MPGGASEQ.A</t>
  </si>
  <si>
    <t>Freight: New Trucks: Fuel Efficiency: Medium: Plug-in Gasoline Hybrid: Alternative Electricity and Transportation</t>
  </si>
  <si>
    <t>AEO.2026.ELECTRNP.EFI_NA_FGHT_SOSON_EDH_NA_NA_MPGGASEQ.A</t>
  </si>
  <si>
    <t>Freight: New Trucks: Fuel Efficiency: Medium: Plug-in Diesel Hybrid: Alternative Electricity and Transportation</t>
  </si>
  <si>
    <t>AEO.2026.ELECTRNP.EFI_NA_FGHT_SOSON_ELE_NA_NA_MPGGASEQ.A</t>
  </si>
  <si>
    <t>Freight: New Trucks: Fuel Efficiency: Medium: Electric: Alternative Electricity and Transportation</t>
  </si>
  <si>
    <t>AEO.2026.ELECTRNP.EFI_NA_FGHT_SOSON_EFFI_NA_NA_MPG.A</t>
  </si>
  <si>
    <t>Freight: New Trucks: Fuel Efficiency: Medium: Ethanol-Flex Fuel: Alternative Electricity and Transportation</t>
  </si>
  <si>
    <t>AEO.2026.ELECTRNP.EFI_NA_FGHT_SOSON_NG_NA_NA_MPGGASEQ.A</t>
  </si>
  <si>
    <t>Freight: New Trucks: Fuel Efficiency: Medium: Natural Gas: Alternative Electricity and Transportation</t>
  </si>
  <si>
    <t>AEO.2026.ELECTRNP.EFI_NA_FGHT_SOSON_PROP_NA_NA_MPGGASEQ.A</t>
  </si>
  <si>
    <t>Freight: New Trucks: Fuel Efficiency: Medium: Propane: Alternative Electricity and Transportation</t>
  </si>
  <si>
    <t>AEO.2026.ELECTRNP.EFI_NA_FGHT_SOSON_MGS_NA_NA_MPGGASEQ.A</t>
  </si>
  <si>
    <t>Freight: New Trucks: Fuel Efficiency: Medium: Motor Gasoline: Alternative Electricity and Transportation</t>
  </si>
  <si>
    <t>AEO.2026.ELECTRNP.EFI_NA_FGHT_SOSON_DSL_NA_NA_MPGDSEQ.A</t>
  </si>
  <si>
    <t>Freight: New Trucks: Fuel Efficiency: Medium: Diesel: Alternative Electricity and Transportation</t>
  </si>
  <si>
    <t>AEO.2026.ELECTRNP.EFI_NA_FGHT_LITEMEDN_NA_NA_NA_NA.A</t>
  </si>
  <si>
    <t>Freight: New Trucks: Fuel Efficiency: Light Medium: Average: Alternative Electricity and Transportation</t>
  </si>
  <si>
    <t>AEO.2026.ELECTRNP.EFI_NA_FGHT_LITEMEDN_HYDICE_NA_NA_MPGDSEQ.A</t>
  </si>
  <si>
    <t>Freight: New Trucks: Fuel Efficiency: Light Medium: Hydrogen ICE: Alternative Electricity and Transportation</t>
  </si>
  <si>
    <t>AEO.2026.ELECTRNP.EFI_NA_FGHT_LITEMEDN_GASHEV_NA_NA_MPGGASEQ.A</t>
  </si>
  <si>
    <t>Freight: New Trucks: Fuel Efficiency: Light Medium: Gasoline Hybrid: Alternative Electricity and Transportation</t>
  </si>
  <si>
    <t>AEO.2026.ELECTRNP.EFI_NA_FGHT_LITEMEDN_FEUCELBATDOM_NA_NA_MPGDSEQ.A</t>
  </si>
  <si>
    <t>Freight: New Trucks: Fuel Efficiency: Light Medium: Fuel Cell Battery Dominant: Alternative Electricity and Transportation</t>
  </si>
  <si>
    <t>AEO.2026.ELECTRNP.EFI_NA_FGHT_LITEMEDN_FUC_NA_NA_MPGDSEQ.A</t>
  </si>
  <si>
    <t>Freight: New Trucks: Fuel Efficiency: Light Medium: Fuel Cell: Alternative Electricity and Transportation</t>
  </si>
  <si>
    <t>AEO.2026.ELECTRNP.EFI_NA_FGHT_LITEMEDN_EGH_NA_NA_MPGGASEQ.A</t>
  </si>
  <si>
    <t>Freight: New Trucks: Fuel Efficiency: Light Medium: Plug-in Gasoline Hybrid: Alternative Electricity and Transportation</t>
  </si>
  <si>
    <t>AEO.2026.ELECTRNP.EFI_NA_FGHT_LITEMEDN_EDH_NA_NA_MPGDSEQ.A</t>
  </si>
  <si>
    <t>Freight: New Trucks: Fuel Efficiency: Light Medium: Plug-in Diesel Hybrid: Alternative Electricity and Transportation</t>
  </si>
  <si>
    <t>AEO.2026.ELECTRNP.EFI_NA_FGHT_LITEMEDN_ELE_NA_NA_MPGDSEQ.A</t>
  </si>
  <si>
    <t>Freight: New Trucks: Fuel Efficiency: Light Medium: Electric: Alternative Electricity and Transportation</t>
  </si>
  <si>
    <t>AEO.2026.ELECTRNP.EFI_NA_FGHT_LITEMEDN_EFFI_NA_NA_MPGGASEQ.A</t>
  </si>
  <si>
    <t>Freight: New Trucks: Fuel Efficiency: Light Medium: Ethanol-Flex Fuel: Alternative Electricity and Transportation</t>
  </si>
  <si>
    <t>AEO.2026.ELECTRNP.EFI_NA_FGHT_LITEMEDN_NG_NA_NA_MPGGASEQ.A</t>
  </si>
  <si>
    <t>Freight: New Trucks: Fuel Efficiency: Light Medium: Natural Gas: Alternative Electricity and Transportation</t>
  </si>
  <si>
    <t>AEO.2026.ELECTRNP.EFI_NA_FGHT_LITEMEDN_PROP_NA_NA_MPGGASEQ.A</t>
  </si>
  <si>
    <t>Freight: New Trucks: Fuel Efficiency: Light Medium: Propane: Alternative Electricity and Transportation</t>
  </si>
  <si>
    <t>AEO.2026.ELECTRNP.EFI_NA_FGHT_LITEMEDN_MGS_NA_NA_MPGGASEQ.A</t>
  </si>
  <si>
    <t>Freight: New Trucks: Fuel Efficiency: Light Medium: Motor Gasoline: Alternative Electricity and Transportation</t>
  </si>
  <si>
    <t>AEO.2026.ELECTRNP.EFI_NA_FGHT_LITEMEDN_DSL_NA_NA_MPGDSEQ.A</t>
  </si>
  <si>
    <t>Freight: New Trucks: Fuel Efficiency: Light Medium: Diesel: Alternative Electricity and Transportation</t>
  </si>
  <si>
    <t>AEO.2026.ELECTRNP.ECI_STK_FGHT_STK_NA_NA_NA_MILL.A</t>
  </si>
  <si>
    <t>Freight: Truck Stock: Alternative Electricity and Transportation</t>
  </si>
  <si>
    <t>AEO.2026.ELECTRNP.ECI_STK_FGHT_RADS_NA_NA_NA_MILL.A</t>
  </si>
  <si>
    <t>Freight: Truck Stock: Heavy: Alternative Electricity and Transportation</t>
  </si>
  <si>
    <t>AEO.2026.ELECTRNP.ECI_STK_FGHT_RADS_HYDICE_NA_NA_MILL.A</t>
  </si>
  <si>
    <t>Freight: Truck Stock: Heavy: Hydrogen ICE: Alternative Electricity and Transportation</t>
  </si>
  <si>
    <t>AEO.2026.ELECTRNP.ECI_STK_FGHT_RADS_GASHEV_NA_NA_MILL.A</t>
  </si>
  <si>
    <t>Freight: Truck Stock: Heavy: Gasoline Hybrid: Alternative Electricity and Transportation</t>
  </si>
  <si>
    <t>AEO.2026.ELECTRNP.ECI_STK_FGHT_RADS_FEUCELBATDOM_NA_NA_MILL.A</t>
  </si>
  <si>
    <t>Freight: Truck Stock: Heavy: Fuel Cell Battery Dominant: Alternative Electricity and Transportation</t>
  </si>
  <si>
    <t>AEO.2026.ELECTRNP.ECI_STK_FGHT_RADS_FUC_NA_NA_MILL.A</t>
  </si>
  <si>
    <t>Freight: Truck Stock: Heavy: Fuel Cell: Alternative Electricity and Transportation</t>
  </si>
  <si>
    <t>AEO.2026.ELECTRNP.ECI_STK_FGHT_RADS_EGH_NA_NA_MILL.A</t>
  </si>
  <si>
    <t>Freight: Truck Stock: Heavy: Plug-in Gasoline Hybrid: Alternative Electricity and Transportation</t>
  </si>
  <si>
    <t>AEO.2026.ELECTRNP.ECI_STK_FGHT_RADS_EDH_NA_NA_MILL.A</t>
  </si>
  <si>
    <t>Freight: Truck Stock: Heavy: Plug-in Diesel Hybrid: Alternative Electricity and Transportation</t>
  </si>
  <si>
    <t>AEO.2026.ELECTRNP.ECI_STK_FGHT_RADS_ELE_NA_NA_MILL.A</t>
  </si>
  <si>
    <t>Freight: Truck Stock: Heavy: Electric: Alternative Electricity and Transportation</t>
  </si>
  <si>
    <t>AEO.2026.ELECTRNP.ECI_STK_FGHT_RADS_EFFI_NA_NA_MILL.A</t>
  </si>
  <si>
    <t>Freight: Truck Stock: Heavy: Ethanol-Flex Fuel: Alternative Electricity and Transportation</t>
  </si>
  <si>
    <t>AEO.2026.ELECTRNP.ECI_STK_FGHT_RADS_NG_NA_NA_MILL.A</t>
  </si>
  <si>
    <t>Freight: Truck Stock: Heavy: Natural Gas: Alternative Electricity and Transportation</t>
  </si>
  <si>
    <t>AEO.2026.ELECTRNP.ECI_STK_FGHT_RADS_PROP_NA_NA_MILL.A</t>
  </si>
  <si>
    <t>Freight: Truck Stock: Heavy: Propane: Alternative Electricity and Transportation</t>
  </si>
  <si>
    <t>AEO.2026.ELECTRNP.ECI_STK_FGHT_RADS_MGS_NA_NA_MILL.A</t>
  </si>
  <si>
    <t>Freight: Truck Stock: Heavy: Motor Gasoline: Alternative Electricity and Transportation</t>
  </si>
  <si>
    <t>AEO.2026.ELECTRNP.ECI_STK_FGHT_RADS_DSL_NA_NA_MILL.A</t>
  </si>
  <si>
    <t>Freight: Truck Stock: Heavy: Diesel: Alternative Electricity and Transportation</t>
  </si>
  <si>
    <t>AEO.2026.ELECTRNP.ECI_STK_FGHT_SOSOS_NA_NA_NA_MILL.A</t>
  </si>
  <si>
    <t>Freight: Truck Stock: Medium: Alternative Electricity and Transportation</t>
  </si>
  <si>
    <t>AEO.2026.ELECTRNP.ECI_STK_FGHT_SOSOS_HYDICE_NA_NA_MILL.A</t>
  </si>
  <si>
    <t>Freight: Truck Stock: Medium: Hydrogen ICE: Alternative Electricity and Transportation</t>
  </si>
  <si>
    <t>AEO.2026.ELECTRNP.ECI_STK_FGHT_SOSOS_GASHEV_NA_NA_MILL.A</t>
  </si>
  <si>
    <t>Freight: Truck Stock: Medium: Gasoline Hybrid: Alternative Electricity and Transportation</t>
  </si>
  <si>
    <t>AEO.2026.ELECTRNP.ECI_STK_FGHT_SOSOS_FEUCELBATDOM_NA_NA_MILL.A</t>
  </si>
  <si>
    <t>Freight: Truck Stock: Medium: Fuel Cell Battery Dominant: Alternative Electricity and Transportation</t>
  </si>
  <si>
    <t>AEO.2026.ELECTRNP.ECI_STK_FGHT_SOSOS_FUC_NA_NA_MILL.A</t>
  </si>
  <si>
    <t>Freight: Truck Stock: Medium: Fuel Cell: Alternative Electricity and Transportation</t>
  </si>
  <si>
    <t>AEO.2026.ELECTRNP.ECI_STK_FGHT_SOSOS_EGH_NA_NA_MILL.A</t>
  </si>
  <si>
    <t>Freight: Truck Stock: Medium: Plug-in Gasoline Hybrid: Alternative Electricity and Transportation</t>
  </si>
  <si>
    <t>AEO.2026.ELECTRNP.ECI_STK_FGHT_SOSOS_EDH_NA_NA_MILL.A</t>
  </si>
  <si>
    <t>Freight: Truck Stock: Medium: Plug-in Diesel Hybrid: Alternative Electricity and Transportation</t>
  </si>
  <si>
    <t>AEO.2026.ELECTRNP.ECI_STK_FGHT_SOSOS_ELE_NA_NA_MILL.A</t>
  </si>
  <si>
    <t>Freight: Truck Stock: Medium: Electric: Alternative Electricity and Transportation</t>
  </si>
  <si>
    <t>AEO.2026.ELECTRNP.ECI_STK_FGHT_SOSOS_EFFI_NA_NA_MILL.A</t>
  </si>
  <si>
    <t>Freight: Truck Stock: Medium: Ethanol-Flex Fuel: Alternative Electricity and Transportation</t>
  </si>
  <si>
    <t>AEO.2026.ELECTRNP.ECI_STK_FGHT_SOSOS_NG_NA_NA_MILL.A</t>
  </si>
  <si>
    <t>Freight: Truck Stock: Medium: Natural Gas: Alternative Electricity and Transportation</t>
  </si>
  <si>
    <t>AEO.2026.ELECTRNP.ECI_STK_FGHT_SOSOS_PROP_NA_NA_MILL.A</t>
  </si>
  <si>
    <t>Freight: Truck Stock: Medium: Propane: Alternative Electricity and Transportation</t>
  </si>
  <si>
    <t>AEO.2026.ELECTRNP.ECI_STK_FGHT_SOSOS_MGS_NA_NA_MILL.A</t>
  </si>
  <si>
    <t>Freight: Truck Stock: Medium: Motor Gasoline: Alternative Electricity and Transportation</t>
  </si>
  <si>
    <t>AEO.2026.ELECTRNP.ECI_STK_FGHT_SOSOS_DSL_NA_NA_MILL.A</t>
  </si>
  <si>
    <t>Freight: Truck Stock: Medium: Diesel: Alternative Electricity and Transportation</t>
  </si>
  <si>
    <t>AEO.2026.ELECTRNP.ECI_STK_FGHT_LITEMEDS_NA_NA_NA_MILL.A</t>
  </si>
  <si>
    <t>Freight: Truck Stock: Light Medium: Alternative Electricity and Transportation</t>
  </si>
  <si>
    <t>AEO.2026.ELECTRNP.ECI_STK_FGHT_LITEMEDS_HYDICE_NA_NA_MILL.A</t>
  </si>
  <si>
    <t>Freight: Truck Stock: Light Medium: Hydrogen ICE: Alternative Electricity and Transportation</t>
  </si>
  <si>
    <t>AEO.2026.ELECTRNP.ECI_STK_FGHT_LITEMEDS_GASHEV_NA_NA_MILL.A</t>
  </si>
  <si>
    <t>Freight: Truck Stock: Light Medium: Gasoline Hybrid: Alternative Electricity and Transportation</t>
  </si>
  <si>
    <t>AEO.2026.ELECTRNP.ECI_STK_FGHT_LITEMEDS_FEUCELBATDOM_NA_NA_MILL.A</t>
  </si>
  <si>
    <t>Freight: Truck Stock: Light Medium: Fuel Cell Battery Dominant: Alternative Electricity and Transportation</t>
  </si>
  <si>
    <t>AEO.2026.ELECTRNP.ECI_STK_FGHT_LITEMEDS_FUC_NA_NA_MILL.A</t>
  </si>
  <si>
    <t>Freight: Truck Stock: Light Medium: Fuel Cell: Alternative Electricity and Transportation</t>
  </si>
  <si>
    <t>AEO.2026.ELECTRNP.ECI_STK_FGHT_LITEMEDS_EGH_NA_NA_MILL.A</t>
  </si>
  <si>
    <t>Freight: Truck Stock: Light Medium: Plug-in Gasoline Hybrid: Alternative Electricity and Transportation</t>
  </si>
  <si>
    <t>AEO.2026.ELECTRNP.ECI_STK_FGHT_LITEMEDS_EDH_NA_NA_MILL.A</t>
  </si>
  <si>
    <t>Freight: Truck Stock: Light Medium: Plug-in Diesel Hybrid: Alternative Electricity and Transportation</t>
  </si>
  <si>
    <t>AEO.2026.ELECTRNP.ECI_STK_FGHT_LITEMEDS_ELE_NA_NA_MILL.A</t>
  </si>
  <si>
    <t>Freight: Truck Stock: Light Medium: Electric: Alternative Electricity and Transportation</t>
  </si>
  <si>
    <t>AEO.2026.ELECTRNP.ECI_STK_FGHT_LITEMEDS_EFFI_NA_NA_MILL.A</t>
  </si>
  <si>
    <t>Freight: Truck Stock: Light Medium: Ethanol-Flex Fuel: Alternative Electricity and Transportation</t>
  </si>
  <si>
    <t>AEO.2026.ELECTRNP.ECI_STK_FGHT_LITEMEDS_NG_NA_NA_MILL.A</t>
  </si>
  <si>
    <t>Freight: Truck Stock: Light Medium: Natural Gas: Alternative Electricity and Transportation</t>
  </si>
  <si>
    <t>AEO.2026.ELECTRNP.ECI_STK_FGHT_LITEMEDS_PROP_NA_NA_MILL.A</t>
  </si>
  <si>
    <t>Freight: Truck Stock: Light Medium: Propane: Alternative Electricity and Transportation</t>
  </si>
  <si>
    <t>AEO.2026.ELECTRNP.ECI_STK_FGHT_LITEMEDS_MGS_NA_NA_MILL.A</t>
  </si>
  <si>
    <t>Freight: Truck Stock: Light Medium: Motor Gasoline: Alternative Electricity and Transportation</t>
  </si>
  <si>
    <t>AEO.2026.ELECTRNP.ECI_STK_FGHT_LITEMEDS_DSL_NA_NA_MILL.A</t>
  </si>
  <si>
    <t>Freight: Truck Stock: Light Medium: Diesel: Alternative Electricity and Transportation</t>
  </si>
  <si>
    <t>AEO.2026.ELECTRNP.EFI_NA_FGHT_STK_NA_NA_NA_NA.A</t>
  </si>
  <si>
    <t>Freight: Truck Stock: Fuel Efficiency: Alternative Electricity and Transportation</t>
  </si>
  <si>
    <t>AEO.2026.ELECTRNP.EFI_NA_FGHT_RADS_NA_NA_NA_NA.A</t>
  </si>
  <si>
    <t>Freight: Truck Stock: Fuel Efficiency: Heavy: Average: Alternative Electricity and Transportation</t>
  </si>
  <si>
    <t>AEO.2026.ELECTRNP.EFI_NA_FGHT_RADS_HYDICE_NA_NA_MPGDSEQ.A</t>
  </si>
  <si>
    <t>Freight: Truck Stock: Fuel Efficiency: Heavy: Hydrogen ICE: Alternative Electricity and Transportation</t>
  </si>
  <si>
    <t>AEO.2026.ELECTRNP.EFI_NA_FGHT_RADS_GASHEV_NA_NA_MPGGASEQ.A</t>
  </si>
  <si>
    <t>Freight: Truck Stock: Fuel Efficiency: Heavy: Gasoline Hybrid: Alternative Electricity and Transportation</t>
  </si>
  <si>
    <t>AEO.2026.ELECTRNP.EFI_NA_FGHT_RADS_FEUCELBATDOM_NA_NA_MPGDSEQ.A</t>
  </si>
  <si>
    <t>Freight: Truck Stock: Fuel Efficiency: Heavy: Fuel Cell Battery Dominant: Alternative Electricity and Transportation</t>
  </si>
  <si>
    <t>AEO.2026.ELECTRNP.EFI_NA_FGHT_RADS_FUC_NA_NA_MPGDSEQ.A</t>
  </si>
  <si>
    <t>Freight: Truck Stock: Fuel Efficiency: Heavy: Fuel Cell: Alternative Electricity and Transportation</t>
  </si>
  <si>
    <t>AEO.2026.ELECTRNP.EFI_NA_FGHT_RADS_EGH_NA_NA_MPGGASEQ.A</t>
  </si>
  <si>
    <t>Freight: Truck Stock: Fuel Efficiency: Heavy: Plug-in Gasoline Hybrid: Alternative Electricity and Transportation</t>
  </si>
  <si>
    <t>AEO.2026.ELECTRNP.EFI_NA_FGHT_RADS_EDH_NA_NA_MPGDSEQ.A</t>
  </si>
  <si>
    <t>Freight: Truck Stock: Fuel Efficiency: Heavy: Plug-in Diesel Hybrid: Alternative Electricity and Transportation</t>
  </si>
  <si>
    <t>AEO.2026.ELECTRNP.EFI_NA_FGHT_RADS_ELE_NA_NA_MPGDSEQ.A</t>
  </si>
  <si>
    <t>Freight: Truck Stock: Fuel Efficiency: Heavy: Electric: Alternative Electricity and Transportation</t>
  </si>
  <si>
    <t>AEO.2026.ELECTRNP.EFI_NA_FGHT_RADS_EFFI_NA_NA_MPGGASEQ.A</t>
  </si>
  <si>
    <t>Freight: Truck Stock: Fuel Efficiency: Heavy: Ethanol-Flex Fuel: Alternative Electricity and Transportation</t>
  </si>
  <si>
    <t>AEO.2026.ELECTRNP.EFI_NA_FGHT_RADS_NG_NA_NA_MPGDSEQ.A</t>
  </si>
  <si>
    <t>Freight: Truck Stock: Fuel Efficiency: Heavy: Natural Gas: Alternative Electricity and Transportation</t>
  </si>
  <si>
    <t>AEO.2026.ELECTRNP.EFI_NA_FGHT_RADS_PROP_NA_NA_MPGGASEQ.A</t>
  </si>
  <si>
    <t>Freight: Truck Stock: Fuel Efficiency: Heavy: Propane: Alternative Electricity and Transportation</t>
  </si>
  <si>
    <t>AEO.2026.ELECTRNP.EFI_NA_FGHT_RADS_MGS_NA_NA_MPGGASEQ.A</t>
  </si>
  <si>
    <t>Freight: Truck Stock: Fuel Efficiency: Heavy: Motor Gasoline: Alternative Electricity and Transportation</t>
  </si>
  <si>
    <t>AEO.2026.ELECTRNP.EFI_NA_FGHT_RADS_DSL_NA_NA_MPGDSEQ.A</t>
  </si>
  <si>
    <t>Freight: Truck Stock: Fuel Efficiency: Heavy: Diesel: Alternative Electricity and Transportation</t>
  </si>
  <si>
    <t>AEO.2026.ELECTRNP.EFI_NA_FGHT_SOSOS_NA_NA_NA_NA.A</t>
  </si>
  <si>
    <t>Freight: Truck Stock: Fuel Efficiency: Medium: Average: Alternative Electricity and Transportation</t>
  </si>
  <si>
    <t>AEO.2026.ELECTRNP.EFI_NA_FGHT_SOSOS_HYDICE_NA_NA_MPGDSEQ.A</t>
  </si>
  <si>
    <t>Freight: Truck Stock: Fuel Efficiency: Medium: Hydrogen ICE: Alternative Electricity and Transportation</t>
  </si>
  <si>
    <t>AEO.2026.ELECTRNP.EFI_NA_FGHT_SOSOS_GASHEV_NA_NA_MPGGASEQ.A</t>
  </si>
  <si>
    <t>Freight: Truck Stock: Fuel Efficiency: Medium: Gasoline Hybrid: Alternative Electricity and Transportation</t>
  </si>
  <si>
    <t>AEO.2026.ELECTRNP.EFI_NA_FGHT_SOSOS_FEUCELBATDOM_NA_NA_MPGDSEQ.A</t>
  </si>
  <si>
    <t>Freight: Truck Stock: Fuel Efficiency: Medium: Fuel Cell Battery Dominant: Alternative Electricity and Transportation</t>
  </si>
  <si>
    <t>AEO.2026.ELECTRNP.EFI_NA_FGHT_SOSOS_FUC_NA_NA_MPGGASEQ.A</t>
  </si>
  <si>
    <t>Freight: Truck Stock: Fuel Efficiency: Medium: Fuel Cell: Alternative Electricity and Transportation</t>
  </si>
  <si>
    <t>AEO.2026.ELECTRNP.EFI_NA_FGHT_SOSOS_EGH_NA_NA_MPGGASEQ.A</t>
  </si>
  <si>
    <t>Freight: Truck Stock: Fuel Efficiency: Medium: Plug-in Gasoline Hybrid: Alternative Electricity and Transportation</t>
  </si>
  <si>
    <t>AEO.2026.ELECTRNP.EFI_NA_FGHT_SOSOS_EDH_NA_NA_MPGGASEQ.A</t>
  </si>
  <si>
    <t>Freight: Truck Stock: Fuel Efficiency: Medium: Plug-in Diesel Hybrid: Alternative Electricity and Transportation</t>
  </si>
  <si>
    <t>AEO.2026.ELECTRNP.EFI_NA_FGHT_SOSOS_ELE_NA_NA_MPGGASEQ.A</t>
  </si>
  <si>
    <t>Freight: Truck Stock: Fuel Efficiency: Medium: Electric: Alternative Electricity and Transportation</t>
  </si>
  <si>
    <t>AEO.2026.ELECTRNP.EFI_NA_FGHT_SOSOS_EFFI_NA_NA_MPG.A</t>
  </si>
  <si>
    <t>Freight: Truck Stock: Fuel Efficiency: Medium: Ethanol-Flex Fuel: Alternative Electricity and Transportation</t>
  </si>
  <si>
    <t>AEO.2026.ELECTRNP.EFI_NA_FGHT_SOSOS_NG_NA_NA_MPGGASEQ.A</t>
  </si>
  <si>
    <t>Freight: Truck Stock: Fuel Efficiency: Medium: Natural Gas: Alternative Electricity and Transportation</t>
  </si>
  <si>
    <t>AEO.2026.ELECTRNP.EFI_NA_FGHT_SOSOS_PROP_NA_NA_MPGGASEQ.A</t>
  </si>
  <si>
    <t>Freight: Truck Stock: Fuel Efficiency: Medium: Propane: Alternative Electricity and Transportation</t>
  </si>
  <si>
    <t>AEO.2026.ELECTRNP.EFI_NA_FGHT_SOSOS_MGS_NA_NA_MPGGASEQ.A</t>
  </si>
  <si>
    <t>Freight: Truck Stock: Fuel Efficiency: Medium: Motor Gasoline: Alternative Electricity and Transportation</t>
  </si>
  <si>
    <t>AEO.2026.ELECTRNP.EFI_NA_FGHT_SOSOS_DSL_NA_NA_MPGDSEQ.A</t>
  </si>
  <si>
    <t>Freight: Truck Stock: Fuel Efficiency: Medium: Diesel: Alternative Electricity and Transportation</t>
  </si>
  <si>
    <t>AEO.2026.ELECTRNP.EFI_NA_FGHT_LITEMEDS_NA_NA_NA_NA.A</t>
  </si>
  <si>
    <t>Freight: Truck Stock: Fuel Efficiency: Light Medium: Average: Alternative Electricity and Transportation</t>
  </si>
  <si>
    <t>AEO.2026.ELECTRNP.EFI_NA_FGHT_LITEMEDS_HYDICE_NA_NA_MPGDSEQ.A</t>
  </si>
  <si>
    <t>Freight: Truck Stock: Fuel Efficiency: Light Medium: Hydrogen ICE: Alternative Electricity and Transportation</t>
  </si>
  <si>
    <t>AEO.2026.ELECTRNP.EFI_NA_FGHT_LITEMEDS_GASHEV_NA_NA_MPGGASEQ.A</t>
  </si>
  <si>
    <t>Freight: Truck Stock: Fuel Efficiency: Light Medium: Gasoline Hybrid: Alternative Electricity and Transportation</t>
  </si>
  <si>
    <t>AEO.2026.ELECTRNP.EFI_NA_FGHT_LITEMEDS_FEUCELBATDOM_NA_NA_MPGDSEQ.A</t>
  </si>
  <si>
    <t>Freight: Truck Stock: Fuel Efficiency: Light Medium: Fuel Cell Battery Dominant: Alternative Electricity and Transportation</t>
  </si>
  <si>
    <t>AEO.2026.ELECTRNP.EFI_NA_FGHT_LITEMEDS_FUC_NA_NA_MPGDSEQ.A</t>
  </si>
  <si>
    <t>Freight: Truck Stock: Fuel Efficiency: Light Medium: Fuel Cell: Alternative Electricity and Transportation</t>
  </si>
  <si>
    <t>AEO.2026.ELECTRNP.EFI_NA_FGHT_LITEMEDS_EGH_NA_NA_MPGGASEQ.A</t>
  </si>
  <si>
    <t>Freight: Truck Stock: Fuel Efficiency: Light Medium: Plug-in Gasoline Hybrid: Alternative Electricity and Transportation</t>
  </si>
  <si>
    <t>AEO.2026.ELECTRNP.EFI_NA_FGHT_LITEMEDS_EDH_NA_NA_MPGDSEQ.A</t>
  </si>
  <si>
    <t>Freight: Truck Stock: Fuel Efficiency: Light Medium: Plug-in Diesel Hybrid: Alternative Electricity and Transportation</t>
  </si>
  <si>
    <t>AEO.2026.ELECTRNP.EFI_NA_FGHT_LITEMEDS_ELE_NA_NA_MPGDSEQ.A</t>
  </si>
  <si>
    <t>Freight: Truck Stock: Fuel Efficiency: Light Medium: Electric: Alternative Electricity and Transportation</t>
  </si>
  <si>
    <t>AEO.2026.ELECTRNP.EFI_NA_FGHT_LITEMEDS_EFFI_NA_NA_MPGGASEQ.A</t>
  </si>
  <si>
    <t>Freight: Truck Stock: Fuel Efficiency: Light Medium: Ethanol-Flex Fuel: Alternative Electricity and Transportation</t>
  </si>
  <si>
    <t>AEO.2026.ELECTRNP.EFI_NA_FGHT_LITEMEDS_NG_NA_NA_MPGGASEQ.A</t>
  </si>
  <si>
    <t>Freight: Truck Stock: Fuel Efficiency: Light Medium: Natural Gas: Alternative Electricity and Transportation</t>
  </si>
  <si>
    <t>AEO.2026.ELECTRNP.EFI_NA_FGHT_LITEMEDS_PROP_NA_NA_MPGGASEQ.A</t>
  </si>
  <si>
    <t>Freight: Truck Stock: Fuel Efficiency: Light Medium: Propane: Alternative Electricity and Transportation</t>
  </si>
  <si>
    <t>AEO.2026.ELECTRNP.EFI_NA_FGHT_LITEMEDS_MGS_NA_NA_MPGGASEQ.A</t>
  </si>
  <si>
    <t>Freight: Truck Stock: Fuel Efficiency: Light Medium: Motor Gasoline: Alternative Electricity and Transportation</t>
  </si>
  <si>
    <t>AEO.2026.ELECTRNP.EFI_NA_FGHT_LITEMEDS_DSL_NA_NA_MPGDSEQ.A</t>
  </si>
  <si>
    <t>Freight: Truck Stock: Fuel Efficiency: Light Medium: Diesel: Alternative Electricity and Transportation</t>
  </si>
  <si>
    <t>AEO.2026.ELECTRNP.CNSM_NA_FGHT_STK_NA_NA_NA_TRLBTU.A</t>
  </si>
  <si>
    <t>Freight: Truck Stock: Use: Light Medium, Medium, and Heavy: Alternative Electricity and Transportation</t>
  </si>
  <si>
    <t>AEO.2026.ELECTRNP.CNSM_NA_FGHT_STK_HYDICE_NA_NA_TRLBTU.A</t>
  </si>
  <si>
    <t>Freight: Truck Stock: Use: Light Medium, Medium, and Heavy: Hydrogen ICE: Alternative Electricity and Transportation</t>
  </si>
  <si>
    <t>AEO.2026.ELECTRNP.CNSM_NA_FGHT_STK_GASHEV_NA_NA_TRLBTU.A</t>
  </si>
  <si>
    <t>Freight: Truck Stock: Use: Light Medium, Medium, and Heavy: Gasoline Hybrid: Alternative Electricity and Transportation</t>
  </si>
  <si>
    <t>AEO.2026.ELECTRNP.CNSM_NA_FGHT_STK_FEUCELBATDOM_NA_NA_TRLBTU.A</t>
  </si>
  <si>
    <t>Freight: Truck Stock: Use: Light Medium, Medium, and Heavy: Fuel Cell Battery Dominant: Alternative Electricity and Transportation</t>
  </si>
  <si>
    <t>AEO.2026.ELECTRNP.CNSM_NA_FGHT_STK_FUC_NA_NA_TRLBTU.A</t>
  </si>
  <si>
    <t>Freight: Truck Stock: Use: Light Medium, Medium, and Heavy: Fuel Cell: Alternative Electricity and Transportation</t>
  </si>
  <si>
    <t>AEO.2026.ELECTRNP.CNSM_NA_FGHT_STK_EGH_NA_NA_TRLBTU.A</t>
  </si>
  <si>
    <t>Freight: Truck Stock: Use: Light Medium, Medium, and Heavy: Plug-in Gasoline Hybrid: Alternative Electricity and Transportation</t>
  </si>
  <si>
    <t>AEO.2026.ELECTRNP.CNSM_NA_FGHT_STK_EDH_NA_NA_TRLBTU.A</t>
  </si>
  <si>
    <t>Freight: Truck Stock: Use: Light Medium, Medium, and Heavy: Plug-in Diesel Hybrid: Alternative Electricity and Transportation</t>
  </si>
  <si>
    <t>AEO.2026.ELECTRNP.CNSM_NA_FGHT_STK_ELE_NA_NA_TRLBTU.A</t>
  </si>
  <si>
    <t>Freight: Truck Stock: Use: Light Medium, Medium, and Heavy: Electric: Alternative Electricity and Transportation</t>
  </si>
  <si>
    <t>AEO.2026.ELECTRNP.CNSM_NA_FGHT_STK_EFFI_NA_NA_TRLBTU.A</t>
  </si>
  <si>
    <t>Freight: Truck Stock: Use: Light Medium, Medium, and Heavy: Ethanol-Flex Fuel: Alternative Electricity and Transportation</t>
  </si>
  <si>
    <t>AEO.2026.ELECTRNP.CNSM_NA_FGHT_STK_NG_NA_NA_TRLBTU.A</t>
  </si>
  <si>
    <t>Freight: Truck Stock: Use: Light Medium, Medium, and Heavy: Natural Gas: Alternative Electricity and Transportation</t>
  </si>
  <si>
    <t>AEO.2026.ELECTRNP.CNSM_NA_FGHT_STK_PROP_NA_NA_TRLBTU.A</t>
  </si>
  <si>
    <t>Freight: Truck Stock: Use: Light Medium, Medium, and Heavy: Propane: Alternative Electricity and Transportation</t>
  </si>
  <si>
    <t>AEO.2026.ELECTRNP.CNSM_NA_FGHT_STK_MGS_NA_NA_TRLBTU.A</t>
  </si>
  <si>
    <t>Freight: Truck Stock: Use: Light Medium, Medium, and Heavy: Motor Gasoline: Alternative Electricity and Transportation</t>
  </si>
  <si>
    <t>AEO.2026.ELECTRNP.CNSM_NA_FGHT_STK_DSL_NA_NA_TRLBTU.A</t>
  </si>
  <si>
    <t>Freight: Truck Stock: Use: Light Medium, Medium, and Heavy: Diesel: Alternative Electricity and Transportation</t>
  </si>
  <si>
    <t>AEO.2026.ELECTRNP.CNSM_NA_FGHT_RADS_NA_NA_NA_TRLBTU.A</t>
  </si>
  <si>
    <t>Freight: Truck Stock: Use: Heavy: Alternative Electricity and Transportation</t>
  </si>
  <si>
    <t>AEO.2026.ELECTRNP.CNSM_NA_FGHT_RADS_HYDICE_NA_NA_TRLBTU.A</t>
  </si>
  <si>
    <t>Freight: Truck Stock: Use: Heavy: Hydrogen ICE: Alternative Electricity and Transportation</t>
  </si>
  <si>
    <t>AEO.2026.ELECTRNP.CNSM_NA_FGHT_RADS_GASHEV_NA_NA_TRLBTU.A</t>
  </si>
  <si>
    <t>Freight: Truck Stock: Use: Heavy: Gasoline Hybrid: Alternative Electricity and Transportation</t>
  </si>
  <si>
    <t>AEO.2026.ELECTRNP.CNSM_NA_FGHT_RADS_FEUCELBATDOM_NA_NA_TRLBTU.A</t>
  </si>
  <si>
    <t>Freight: Truck Stock: Use: Heavy: Fuel Cell Battery Dominant: Alternative Electricity and Transportation</t>
  </si>
  <si>
    <t>AEO.2026.ELECTRNP.CNSM_NA_FGHT_RADS_FUC_NA_NA_TRLBTU.A</t>
  </si>
  <si>
    <t>Freight: Truck Stock: Use: Heavy: Fuel Cell: Alternative Electricity and Transportation</t>
  </si>
  <si>
    <t>AEO.2026.ELECTRNP.CNSM_NA_FGHT_RADS_EGH_NA_NA_TRLBTU.A</t>
  </si>
  <si>
    <t>Freight: Truck Stock: Use: Heavy: Plug-in Gasoline Hybrid: Alternative Electricity and Transportation</t>
  </si>
  <si>
    <t>AEO.2026.ELECTRNP.CNSM_NA_FGHT_RADS_EDH_NA_NA_TRLBTU.A</t>
  </si>
  <si>
    <t>Freight: Truck Stock: Use: Heavy: Plug-in Diesel Hybrid: Alternative Electricity and Transportation</t>
  </si>
  <si>
    <t>AEO.2026.ELECTRNP.CNSM_NA_FGHT_RADS_ELE_NA_NA_TRLBTU.A</t>
  </si>
  <si>
    <t>Freight: Truck Stock: Use: Heavy: Electric: Alternative Electricity and Transportation</t>
  </si>
  <si>
    <t>AEO.2026.ELECTRNP.CNSM_NA_FGHT_RADS_EFFI_NA_NA_TRLBTU.A</t>
  </si>
  <si>
    <t>Freight: Truck Stock: Use: Heavy: Ethanol-Flex Fuel: Alternative Electricity and Transportation</t>
  </si>
  <si>
    <t>AEO.2026.ELECTRNP.CNSM_NA_FGHT_RADS_NG_NA_NA_TRLBTU.A</t>
  </si>
  <si>
    <t>Freight: Truck Stock: Use: Heavy: Natural Gas: Alternative Electricity and Transportation</t>
  </si>
  <si>
    <t>AEO.2026.ELECTRNP.CNSM_NA_FGHT_RADS_PROP_NA_NA_TRLBTU.A</t>
  </si>
  <si>
    <t>Freight: Truck Stock: Use: Heavy: Propane: Alternative Electricity and Transportation</t>
  </si>
  <si>
    <t>AEO.2026.ELECTRNP.CNSM_NA_FGHT_RADS_MGS_NA_NA_TRLBTU.A</t>
  </si>
  <si>
    <t>Freight: Truck Stock: Use: Heavy: Motor Gasoline: Alternative Electricity and Transportation</t>
  </si>
  <si>
    <t>AEO.2026.ELECTRNP.CNSM_NA_FGHT_RADS_DSL_NA_NA_TRLBTU.A</t>
  </si>
  <si>
    <t>Freight: Truck Stock: Use: Heavy: Diesel: Alternative Electricity and Transportation</t>
  </si>
  <si>
    <t>AEO.2026.ELECTRNP.CNSM_NA_FGHT_SOSOS_NA_NA_NA_TRLBTU.A</t>
  </si>
  <si>
    <t>Freight: Truck Stock: Use: Medium: Alternative Electricity and Transportation</t>
  </si>
  <si>
    <t>AEO.2026.ELECTRNP.CNSM_NA_FGHT_SOSOS_HYDICE_NA_NA_TRLBTU.A</t>
  </si>
  <si>
    <t>Freight: Truck Stock: Use: Medium: Hydrogen ICE: Alternative Electricity and Transportation</t>
  </si>
  <si>
    <t>AEO.2026.ELECTRNP.CNSM_NA_FGHT_SOSOS_GASHEV_NA_NA_TRLBTU.A</t>
  </si>
  <si>
    <t>Freight: Truck Stock: Use: Medium: Gasoline Hybrid: Alternative Electricity and Transportation</t>
  </si>
  <si>
    <t>AEO.2026.ELECTRNP.CNSM_NA_FGHT_SOSOS_FEUCELBATDOM_NA_NA_TRLBTU.A</t>
  </si>
  <si>
    <t>Freight: Truck Stock: Use: Medium: Fuel Cell Battery Dominant: Alternative Electricity and Transportation</t>
  </si>
  <si>
    <t>AEO.2026.ELECTRNP.CNSM_NA_FGHT_SOSOS_FUC_NA_NA_TRLBTU.A</t>
  </si>
  <si>
    <t>Freight: Truck Stock: Use: Medium: Fuel Cell: Alternative Electricity and Transportation</t>
  </si>
  <si>
    <t>AEO.2026.ELECTRNP.CNSM_NA_FGHT_SOSOS_EGH_NA_NA_TRLBTU.A</t>
  </si>
  <si>
    <t>Freight: Truck Stock: Use: Medium: Plug-in Gasoline Hybrid: Alternative Electricity and Transportation</t>
  </si>
  <si>
    <t>AEO.2026.ELECTRNP.CNSM_NA_FGHT_SOSOS_EDH_NA_NA_TRLBTU.A</t>
  </si>
  <si>
    <t>Freight: Truck Stock: Use: Medium: Plug-in Diesel Hybrid: Alternative Electricity and Transportation</t>
  </si>
  <si>
    <t>AEO.2026.ELECTRNP.CNSM_NA_FGHT_SOSOS_ELE_NA_NA_TRLBTU.A</t>
  </si>
  <si>
    <t>Freight: Truck Stock: Use: Medium: Electric: Alternative Electricity and Transportation</t>
  </si>
  <si>
    <t>AEO.2026.ELECTRNP.CNSM_NA_FGHT_SOSOS_EFFI_NA_NA_TRLBTU.A</t>
  </si>
  <si>
    <t>Freight: Truck Stock: Use: Medium: Ethanol-Flex Fuel: Alternative Electricity and Transportation</t>
  </si>
  <si>
    <t>AEO.2026.ELECTRNP.CNSM_NA_FGHT_SOSOS_NG_NA_NA_TRLBTU.A</t>
  </si>
  <si>
    <t>Freight: Truck Stock: Use: Medium: Natural Gas: Alternative Electricity and Transportation</t>
  </si>
  <si>
    <t>AEO.2026.ELECTRNP.CNSM_NA_FGHT_SOSOS_PROP_NA_NA_TRLBTU.A</t>
  </si>
  <si>
    <t>Freight: Truck Stock: Use: Medium: Propane: Alternative Electricity and Transportation</t>
  </si>
  <si>
    <t>AEO.2026.ELECTRNP.CNSM_NA_FGHT_SOSOS_MGS_NA_NA_TRLBTU.A</t>
  </si>
  <si>
    <t>Freight: Truck Stock: Use: Medium: Motor Gasoline: Alternative Electricity and Transportation</t>
  </si>
  <si>
    <t>AEO.2026.ELECTRNP.CNSM_NA_FGHT_SOSOS_DSL_NA_NA_TRLBTU.A</t>
  </si>
  <si>
    <t>Freight: Truck Stock: Use: Medium: Diesel: Alternative Electricity and Transportation</t>
  </si>
  <si>
    <t>AEO.2026.ELECTRNP.CNSM_NA_FGHT_LITEMEDS_NA_NA_NA_TRLBTU.A</t>
  </si>
  <si>
    <t>Freight: Truck Stock: Use: Light Medium: Alternative Electricity and Transportation</t>
  </si>
  <si>
    <t>AEO.2026.ELECTRNP.CNSM_NA_FGHT_LITEMEDS_HYDICE_NA_NA_TRLBTU.A</t>
  </si>
  <si>
    <t>Freight: Truck Stock: Use: Light Medium: Hydrogen ICE: Alternative Electricity and Transportation</t>
  </si>
  <si>
    <t>AEO.2026.ELECTRNP.CNSM_NA_FGHT_LITEMEDS_GASHEV_NA_NA_TRLBTU.A</t>
  </si>
  <si>
    <t>Freight: Truck Stock: Use: Light Medium: Gasoline Hybrid: Alternative Electricity and Transportation</t>
  </si>
  <si>
    <t>AEO.2026.ELECTRNP.CNSM_NA_FGHT_LITEMEDS_FEUCELBATDOM_NA_NA_TRLBTU.A</t>
  </si>
  <si>
    <t>Freight: Truck Stock: Use: Light Medium: Fuel Cell Battery Dominant: Alternative Electricity and Transportation</t>
  </si>
  <si>
    <t>AEO.2026.ELECTRNP.CNSM_NA_FGHT_LITEMEDS_FUC_NA_NA_TRLBTU.A</t>
  </si>
  <si>
    <t>Freight: Truck Stock: Use: Light Medium: Fuel Cell: Alternative Electricity and Transportation</t>
  </si>
  <si>
    <t>AEO.2026.ELECTRNP.CNSM_NA_FGHT_LITEMEDS_EGH_NA_NA_TRLBTU.A</t>
  </si>
  <si>
    <t>Freight: Truck Stock: Use: Light Medium: Plug-in Gasoline Hybrid: Alternative Electricity and Transportation</t>
  </si>
  <si>
    <t>AEO.2026.ELECTRNP.CNSM_NA_FGHT_LITEMEDS_EDH_NA_NA_TRLBTU.A</t>
  </si>
  <si>
    <t>Freight: Truck Stock: Use: Light Medium: Plug-in Diesel Hybrid: Alternative Electricity and Transportation</t>
  </si>
  <si>
    <t>AEO.2026.ELECTRNP.CNSM_NA_FGHT_LITEMEDS_ELE_NA_NA_TRLBTU.A</t>
  </si>
  <si>
    <t>Freight: Truck Stock: Use: Light Medium: Electric: Alternative Electricity and Transportation</t>
  </si>
  <si>
    <t>AEO.2026.ELECTRNP.CNSM_NA_FGHT_LITEMEDS_EFFI_NA_NA_TRLBTU.A</t>
  </si>
  <si>
    <t>Freight: Truck Stock: Use: Light Medium: Ethanol-Flex Fuel: Alternative Electricity and Transportation</t>
  </si>
  <si>
    <t>AEO.2026.ELECTRNP.CNSM_NA_FGHT_LITEMEDS_NG_NA_NA_TRLBTU.A</t>
  </si>
  <si>
    <t>Freight: Truck Stock: Use: Light Medium: Natural Gas: Alternative Electricity and Transportation</t>
  </si>
  <si>
    <t>AEO.2026.ELECTRNP.CNSM_NA_FGHT_LITEMEDS_PROP_NA_NA_TRLBTU.A</t>
  </si>
  <si>
    <t>Freight: Truck Stock: Use: Light Medium: Propane: Alternative Electricity and Transportation</t>
  </si>
  <si>
    <t>AEO.2026.ELECTRNP.CNSM_NA_FGHT_LITEMEDS_MGS_NA_NA_TRLBTU.A</t>
  </si>
  <si>
    <t>Freight: Truck Stock: Use: Light Medium: Motor Gasoline: Alternative Electricity and Transportation</t>
  </si>
  <si>
    <t>AEO.2026.ELECTRNP.CNSM_NA_FGHT_LITEMEDS_DSL_NA_NA_TRLBTU.A</t>
  </si>
  <si>
    <t>Freight: Truck Stock: Use: Light Medium: Diesel: Alternative Electricity and Transportation</t>
  </si>
  <si>
    <t>AEO.2026.ELECTRNP.ECI_VMT_FGHT_STK_NA_NA_NA_BLNMLS.A</t>
  </si>
  <si>
    <t>Freight: Truck Stock: Vehicle Miles Traveled: Alternative Electricity and Transportation</t>
  </si>
  <si>
    <t>AEO.2026.ELECTRNP.ECI_VMT_FGHT_RADS_NA_NA_NA_BLNMLS.A</t>
  </si>
  <si>
    <t>Freight: Truck Stock: Vehicle Miles Traveled: Heavy: Alternative Electricity and Transportation</t>
  </si>
  <si>
    <t>AEO.2026.ELECTRNP.ECI_VMT_FGHT_RADS_HYDICE_NA_NA_BLNMLS.A</t>
  </si>
  <si>
    <t>Freight: Truck Stock: Vehicle Miles Traveled: Heavy: Hydrogen ICE: Alternative Electricity and Transportation</t>
  </si>
  <si>
    <t>AEO.2026.ELECTRNP.ECI_VMT_FGHT_RADS_GASHEV_NA_NA_BLNMLS.A</t>
  </si>
  <si>
    <t>Freight: Truck Stock: Vehicle Miles Traveled: Heavy: Gasoline Hybrid: Alternative Electricity and Transportation</t>
  </si>
  <si>
    <t>AEO.2026.ELECTRNP.ECI_VMT_FGHT_RADS_FEUCELBATDOM_NA_NA_BLNMLS.A</t>
  </si>
  <si>
    <t>Freight: Truck Stock: Vehicle Miles Traveled: Heavy: Fuel Cell Battery Dominant: Alternative Electricity and Transportation</t>
  </si>
  <si>
    <t>AEO.2026.ELECTRNP.ECI_VMT_FGHT_RADS_FUC_NA_NA_BLNMLS.A</t>
  </si>
  <si>
    <t>Freight: Truck Stock: Vehicle Miles Traveled: Heavy: Fuel Cell: Alternative Electricity and Transportation</t>
  </si>
  <si>
    <t>AEO.2026.ELECTRNP.ECI_VMT_FGHT_RADS_EGH_NA_NA_BLNMLS.A</t>
  </si>
  <si>
    <t>Freight: Truck Stock: Vehicle Miles Traveled: Heavy: Plug-in Gasoline Hybrid: Alternative Electricity and Transportation</t>
  </si>
  <si>
    <t>AEO.2026.ELECTRNP.ECI_VMT_FGHT_RADS_EDH_NA_NA_BLNMLS.A</t>
  </si>
  <si>
    <t>Freight: Truck Stock: Vehicle Miles Traveled: Heavy: Plug-in Diesel Hybrid: Alternative Electricity and Transportation</t>
  </si>
  <si>
    <t>AEO.2026.ELECTRNP.ECI_VMT_FGHT_RADS_ELE_NA_NA_BLNMLS.A</t>
  </si>
  <si>
    <t>Freight: Truck Stock: Vehicle Miles Traveled: Heavy: Electric: Alternative Electricity and Transportation</t>
  </si>
  <si>
    <t>AEO.2026.ELECTRNP.ECI_VMT_FGHT_RADS_EFFI_NA_NA_BLNMLS.A</t>
  </si>
  <si>
    <t>Freight: Truck Stock: Vehicle Miles Traveled: Heavy: Ethanol-Flex Fuel: Alternative Electricity and Transportation</t>
  </si>
  <si>
    <t>AEO.2026.ELECTRNP.ECI_VMT_FGHT_RADS_NG_NA_NA_BLNMLS.A</t>
  </si>
  <si>
    <t>Freight: Truck Stock: Vehicle Miles Traveled: Heavy: Natural Gas: Alternative Electricity and Transportation</t>
  </si>
  <si>
    <t>AEO.2026.ELECTRNP.ECI_VMT_FGHT_RADS_PROP_NA_NA_BLNMLS.A</t>
  </si>
  <si>
    <t>Freight: Truck Stock: Vehicle Miles Traveled: Heavy: Propane: Alternative Electricity and Transportation</t>
  </si>
  <si>
    <t>AEO.2026.ELECTRNP.ECI_VMT_FGHT_RADS_MGS_NA_NA_BLNMLS.A</t>
  </si>
  <si>
    <t>Freight: Truck Stock: Vehicle Miles Traveled: Heavy: Motor Gasoline: Alternative Electricity and Transportation</t>
  </si>
  <si>
    <t>AEO.2026.ELECTRNP.ECI_VMT_FGHT_RADS_DSL_NA_NA_BLNMLS.A</t>
  </si>
  <si>
    <t>Freight: Truck Stock: Vehicle Miles Traveled: Heavy: Diesel: Alternative Electricity and Transportation</t>
  </si>
  <si>
    <t>AEO.2026.ELECTRNP.ECI_VMT_FGHT_SOSOS_NA_NA_NA_BLNMLS.A</t>
  </si>
  <si>
    <t>Freight: Truck Stock: Vehicle Miles Traveled: Medium: Alternative Electricity and Transportation</t>
  </si>
  <si>
    <t>AEO.2026.ELECTRNP.ECI_VMT_FGHT_SOSOS_HYDICE_NA_NA_BLNMLS.A</t>
  </si>
  <si>
    <t>Freight: Truck Stock: Vehicle Miles Traveled: Medium: Hydrogen ICE: Alternative Electricity and Transportation</t>
  </si>
  <si>
    <t>AEO.2026.ELECTRNP.ECI_VMT_FGHT_SOSOS_GASHEV_NA_NA_BLNMLS.A</t>
  </si>
  <si>
    <t>Freight: Truck Stock: Vehicle Miles Traveled: Medium: Gasoline Hybrid: Alternative Electricity and Transportation</t>
  </si>
  <si>
    <t>AEO.2026.ELECTRNP.ECI_VMT_FGHT_SOSOS_FEUCELBATDOM_NA_NA_BLNMLS.A</t>
  </si>
  <si>
    <t>Freight: Truck Stock: Vehicle Miles Traveled: Medium: Fuel Cell Battery Dominant: Alternative Electricity and Transportation</t>
  </si>
  <si>
    <t>AEO.2026.ELECTRNP.ECI_VMT_FGHT_SOSOS_FUC_NA_NA_BLNMLS.A</t>
  </si>
  <si>
    <t>Freight: Truck Stock: Vehicle Miles Traveled: Medium: Fuel Cell: Alternative Electricity and Transportation</t>
  </si>
  <si>
    <t>AEO.2026.ELECTRNP.ECI_VMT_FGHT_SOSOS_EGH_NA_NA_BLNMLS.A</t>
  </si>
  <si>
    <t>Freight: Truck Stock: Vehicle Miles Traveled: Medium: Plug-in Gasoline Hybrid: Alternative Electricity and Transportation</t>
  </si>
  <si>
    <t>AEO.2026.ELECTRNP.ECI_VMT_FGHT_SOSOS_EDH_NA_NA_BLNMLS.A</t>
  </si>
  <si>
    <t>Freight: Truck Stock: Vehicle Miles Traveled: Medium: Plug-in Diesel Hybrid: Alternative Electricity and Transportation</t>
  </si>
  <si>
    <t>AEO.2026.ELECTRNP.ECI_VMT_FGHT_SOSOS_ELE_NA_NA_BLNMLS.A</t>
  </si>
  <si>
    <t>Freight: Truck Stock: Vehicle Miles Traveled: Medium: Electric: Alternative Electricity and Transportation</t>
  </si>
  <si>
    <t>AEO.2026.ELECTRNP.ECI_VMT_FGHT_SOSOS_EFFI_NA_NA_BLNMLS.A</t>
  </si>
  <si>
    <t>Freight: Truck Stock: Vehicle Miles Traveled: Medium: Ethanol-Flex Fuel: Alternative Electricity and Transportation</t>
  </si>
  <si>
    <t>AEO.2026.ELECTRNP.ECI_VMT_FGHT_SOSOS_NG_NA_NA_BLNMLS.A</t>
  </si>
  <si>
    <t>Freight: Truck Stock: Vehicle Miles Traveled: Medium: Natural Gas: Alternative Electricity and Transportation</t>
  </si>
  <si>
    <t>AEO.2026.ELECTRNP.ECI_VMT_FGHT_SOSOS_PROP_NA_NA_BLNMLS.A</t>
  </si>
  <si>
    <t>Freight: Truck Stock: Vehicle Miles Traveled: Medium: Propane: Alternative Electricity and Transportation</t>
  </si>
  <si>
    <t>AEO.2026.ELECTRNP.ECI_VMT_FGHT_SOSOS_MGS_NA_NA_BLNMLS.A</t>
  </si>
  <si>
    <t>Freight: Truck Stock: Vehicle Miles Traveled: Medium: Motor Gasoline: Alternative Electricity and Transportation</t>
  </si>
  <si>
    <t>AEO.2026.ELECTRNP.ECI_VMT_FGHT_SOSOS_DSL_NA_NA_BLNMLS.A</t>
  </si>
  <si>
    <t>Freight: Truck Stock: Vehicle Miles Traveled: Medium: Diesel: Alternative Electricity and Transportation</t>
  </si>
  <si>
    <t>AEO.2026.ELECTRNP.ECI_VMT_FGHT_LITEMEDS_NA_NA_NA_BLNMLS.A</t>
  </si>
  <si>
    <t>Freight: Truck Stock: Vehicle Miles Traveled: Light Medium: Alternative Electricity and Transportation</t>
  </si>
  <si>
    <t>AEO.2026.ELECTRNP.ECI_VMT_FGHT_LITEMEDS_HYDICE_NA_NA_BLNMLS.A</t>
  </si>
  <si>
    <t>Freight: Truck Stock: Vehicle Miles Traveled: Light Medium: Hydrogen ICE: Alternative Electricity and Transportation</t>
  </si>
  <si>
    <t>AEO.2026.ELECTRNP.ECI_VMT_FGHT_LITEMEDS_GASHEV_NA_NA_BLNMLS.A</t>
  </si>
  <si>
    <t>Freight: Truck Stock: Vehicle Miles Traveled: Light Medium: Gasoline Hybrid: Alternative Electricity and Transportation</t>
  </si>
  <si>
    <t>AEO.2026.ELECTRNP.ECI_VMT_FGHT_LITEMEDS_FEUCELBATDOM_NA_NA_BLNMLS.A</t>
  </si>
  <si>
    <t>Freight: Truck Stock: Vehicle Miles Traveled: Light Medium: Fuel Cell Battery Dominant: Alternative Electricity and Transportation</t>
  </si>
  <si>
    <t>AEO.2026.ELECTRNP.ECI_VMT_FGHT_LITEMEDS_FUC_NA_NA_BLNMLS.A</t>
  </si>
  <si>
    <t>Freight: Truck Stock: Vehicle Miles Traveled: Light Medium: Fuel Cell: Alternative Electricity and Transportation</t>
  </si>
  <si>
    <t>AEO.2026.ELECTRNP.ECI_VMT_FGHT_LITEMEDS_EGH_NA_NA_BLNMLS.A</t>
  </si>
  <si>
    <t>Freight: Truck Stock: Vehicle Miles Traveled: Light Medium: Plug-in Gasoline Hybrid: Alternative Electricity and Transportation</t>
  </si>
  <si>
    <t>AEO.2026.ELECTRNP.ECI_VMT_FGHT_LITEMEDS_EDH_NA_NA_BLNMLS.A</t>
  </si>
  <si>
    <t>Freight: Truck Stock: Vehicle Miles Traveled: Light Medium: Plug-in Diesel Hybrid: Alternative Electricity and Transportation</t>
  </si>
  <si>
    <t>AEO.2026.ELECTRNP.ECI_VMT_FGHT_LITEMEDS_ELE_NA_NA_BLNMLS.A</t>
  </si>
  <si>
    <t>Freight: Truck Stock: Vehicle Miles Traveled: Light Medium: Electric: Alternative Electricity and Transportation</t>
  </si>
  <si>
    <t>AEO.2026.ELECTRNP.ECI_VMT_FGHT_LITEMEDS_EFFI_NA_NA_BLNMLS.A</t>
  </si>
  <si>
    <t>Freight: Truck Stock: Vehicle Miles Traveled: Light Medium: Ethanol-Flex Fuel: Alternative Electricity and Transportation</t>
  </si>
  <si>
    <t>AEO.2026.ELECTRNP.ECI_VMT_FGHT_LITEMEDS_NG_NA_NA_BLNMLS.A</t>
  </si>
  <si>
    <t>Freight: Truck Stock: Vehicle Miles Traveled: Light Medium: Natural Gas: Alternative Electricity and Transportation</t>
  </si>
  <si>
    <t>AEO.2026.ELECTRNP.ECI_VMT_FGHT_LITEMEDS_PROP_NA_NA_BLNMLS.A</t>
  </si>
  <si>
    <t>Freight: Truck Stock: Vehicle Miles Traveled: Light Medium: Propane: Alternative Electricity and Transportation</t>
  </si>
  <si>
    <t>AEO.2026.ELECTRNP.ECI_VMT_FGHT_LITEMEDS_MGS_NA_NA_BLNMLS.A</t>
  </si>
  <si>
    <t>Freight: Truck Stock: Vehicle Miles Traveled: Light Medium: Motor Gasoline: Alternative Electricity and Transportation</t>
  </si>
  <si>
    <t>AEO.2026.ELECTRNP.ECI_VMT_FGHT_LITEMEDS_DSL_NA_NA_BLNMLS.A</t>
  </si>
  <si>
    <t>Freight: Truck Stock: Vehicle Miles Traveled: Light Medium: Diesel: Alternative Electricity and Transportation</t>
  </si>
  <si>
    <t>Thu Apr 23 2026 15:05:43 GMT-0700 (Pacific Daylight Time)</t>
  </si>
  <si>
    <t>https://www.eia.gov/outlooks/aeo/data/browser/#/?id=58-AEO2026&amp;cases=electrnp&amp;sourcekey=0</t>
  </si>
  <si>
    <t>FHWA registered buses, 2015-2023 average (MV-1 via BTS NTS 1-11, Jul 2026)</t>
  </si>
  <si>
    <t>School bus sales, 2015-2024 average (School Bus Fleet OEM survey, US)</t>
  </si>
  <si>
    <t>Transit bus deliveries, 2015-2021 average (BTS NTS 1-12)</t>
  </si>
  <si>
    <t>Implied replacement time from these two sales series alone (lower bound on sales, so an upper bound on life)</t>
  </si>
  <si>
    <t>Transit buses (NTD, ~100k) average 7.2 years old, consistent with the BNEF 12-year figure above; school buses (~500k) average 9-10 years old, implying 16-18 years; coaches and shuttle/private buses (~450k) have no published sales</t>
  </si>
  <si>
    <t>FHWA MV-1 registered motorcycles 2015 (BTS NTS 1-11)</t>
  </si>
  <si>
    <t>FHWA MV-1 registered motorcycles 2024</t>
  </si>
  <si>
    <t>Fleet growth per year, 2015-2024</t>
  </si>
  <si>
    <t>MIC on-road new sales 2024 (on-highway + dual-sport + scooter; MIC via RevZilla Common Tread 2026-02-03)</t>
  </si>
  <si>
    <t>MIC on-road new sales 2025 (same source)</t>
  </si>
  <si>
    <t>Implied retirements per year (average on-road sales - fleet growth)</t>
  </si>
  <si>
    <t>Implied retirement rate on the 2015-2024 average fleet</t>
  </si>
  <si>
    <t>Implied mean life (years) = 1 / rate; the default survival tier (shape 1.06) puts the median at ~0.72 x mean</t>
  </si>
  <si>
    <t>Selected median lifetime, years. The 17.2 above (rows 31-48) is a 1997-2007 stock-flow on MIC totals that include off-highway bikes</t>
  </si>
  <si>
    <t>USCG registered recreational vessels 2015</t>
  </si>
  <si>
    <t>USCG registered recreational vessels 2024</t>
  </si>
  <si>
    <t>fleet change per year 2015-2024</t>
  </si>
  <si>
    <t>NMMA new powerboat retail units (incl. PWC), 2016-2021 (BTS NTS 1-12) and 2024-2025 (NMMA release / trade press)</t>
  </si>
  <si>
    <t>year</t>
  </si>
  <si>
    <t>average sales</t>
  </si>
  <si>
    <t>implied retirements per year = average sales - fleet change</t>
  </si>
  <si>
    <t>retirement rate on the average fleet</t>
  </si>
  <si>
    <t>mean life = 1 / rate; median = mean x LN(2)^(1/k) / GAMMA(1+1/k) with the default shape k = 2 (VWSPbV)</t>
  </si>
  <si>
    <t>Selected median lifetime, passenger ships (recreational boats), years</t>
  </si>
  <si>
    <t>Rail revenue vehicles built in year (NTD 2024 age-distribution file, vehicles still in the fleet; ages 5-12 used, newer years under-reported)</t>
  </si>
  <si>
    <t>year built</t>
  </si>
  <si>
    <t>vehicles</t>
  </si>
  <si>
    <t>average vehicles built per year, 2012-2019</t>
  </si>
  <si>
    <t>transit rail vehicles 2014 and 2024 (BTS NTS 1-11: light + heavy + commuter cars and locomotives)</t>
  </si>
  <si>
    <t>fleet change per year 2014-2024</t>
  </si>
  <si>
    <t>implied retirements per year = vehicles built - fleet change</t>
  </si>
  <si>
    <t>mean life = 1 / rate; median = mean x LN(2)^(1/k) / GAMMA(1+1/k) with the default shape k = 2 (VWSPbV rail)</t>
  </si>
  <si>
    <t>Selected median lifetime, passenger rail vehicles, years</t>
  </si>
  <si>
    <t>Note: FTA's minimum useful life for rail cars is 25 years; NTD 2024 shows 30% of rail vehicles over 30 years old and an average age of 22.7, consistent with a long median.</t>
  </si>
  <si>
    <t>Bus fleet and sales (bus lifetime)</t>
  </si>
  <si>
    <t>U.S. Federal Highway Administration; School Bus Fleet; Bureau of Transportation Statistics; BloombergNEF</t>
  </si>
  <si>
    <t>FHWA Highway Statistics MV-1 (via BTS NTS 1-11); School Bus Fleet OEM sales survey; BTS NTS 1-12 transit bus deliveries; BNEF transit bus sales and fleet 2021</t>
  </si>
  <si>
    <t>https://www.bts.gov/content/number-us-aircraft-vehicles-vessels-and-other-conveyances</t>
  </si>
  <si>
    <t>On tab 'Freight and Buses'. School and transit buses are the only bus segments with published sales, so the selected life is their turnover; registered-bus totals include private buses with no sales series.</t>
  </si>
  <si>
    <t>Motorcycle fleet and sales (motorbike lifetime)</t>
  </si>
  <si>
    <t>U.S. Federal Highway Administration; Motorcycle Industry Council</t>
  </si>
  <si>
    <t>FHWA Highway Statistics MV-1 registered motorcycles 2015-2024; MIC on-highway, dual-sport and scooter retail sales</t>
  </si>
  <si>
    <t>https://www.fhwa.dot.gov/policyinformation/statistics.cfm</t>
  </si>
  <si>
    <t>On tab 'Calculations' (motorbike block). On-road sales only; the BTS motorcycle sales series includes off-highway bikes and would overstate turnover.</t>
  </si>
  <si>
    <t>Registered boats and boat sales (recreational boat lifetime)</t>
  </si>
  <si>
    <t>U.S. Coast Guard; National Marine Manufacturers Association</t>
  </si>
  <si>
    <t>USCG Recreational Boating Statistics, registered vessels 2015-2024 (via BTS NTS 1-11); NMMA new powerboat retail units 2016-2021 (BTS NTS 1-12) and 2024-2025 (NMMA releases)</t>
  </si>
  <si>
    <t>https://www.uscgboating.org/statistics/</t>
  </si>
  <si>
    <t>On tab 'Calculations' (boat block). NMMA's powerboat count includes personal watercraft and excludes sailboats, which matches the registered fleet well enough for a turnover rate.</t>
  </si>
  <si>
    <t>Rail vehicles and years built (passenger rail lifetime)</t>
  </si>
  <si>
    <t>Federal Transit Administration, National Transit Database; Bureau of Transportation Statistics</t>
  </si>
  <si>
    <t>NTD Vehicles - Age Distribution, 2024 report year (rail vehicles by year built); BTS NTS Table 1-11 transit rail vehicles 2014 and 2024</t>
  </si>
  <si>
    <t>https://data.transportation.gov/Public-Transit/2022-2025-NTD-Annual-Data-Vehicles-Age-Distribution-/6abt-uhgq</t>
  </si>
  <si>
    <t>On tab 'Calculations' (passenger rail block). Vehicles built 2012-19 that are still in the fleet stand in for deliveries; later years are under-reported as agencies catch up, so they are not used.</t>
  </si>
  <si>
    <t>Notes:</t>
  </si>
  <si>
    <t>What this file is</t>
  </si>
  <si>
    <t>The median lifetime of each vehicle type, in whole years. It sets the survival curves (the VWSPbV, VWSbV and VWLbV files) for every type that has no fitted curve of its own, and so the retirement flow that the model replaces each year. Passenger LDVs, freight LDVs and heavy trucks carry fitted survival curves, so their values here are used only where a single number is needed. Where a stock-flow is used below, the lifetime is the fleet divided by the retirements that sales and fleet change imply, converted from a mean to a median with the survival curve's shape; the 'Calculations' and 'Freight and Buses' tabs show each step. The dark-blue tab is exported.</t>
  </si>
  <si>
    <t>Passenger LDVs, 17 years</t>
  </si>
  <si>
    <t>Calibrated so that the model's passenger LDV sales match observed sales (about 15 million a year), starting from average car and light-truck lifetimes of 13 and 14 years in the BTS motor-vehicle data.</t>
  </si>
  <si>
    <t>Freight LDVs, 15 years</t>
  </si>
  <si>
    <t>The same calibration logic applied to commercial light and medium trucks, against AEO's sales-to-stock replacement time.</t>
  </si>
  <si>
    <t>Buses, 13 years</t>
  </si>
  <si>
    <t>The turnover of the segments with published sales: about 480,000 school buses and 103,000 transit buses against roughly 45,000 sales a year. Transit buses average 7 years old and school buses are older, consistent with 13. A longer life would make the model buy far fewer buses than are sold; the registered-bus total, which includes private buses with no sales series, is not used.</t>
  </si>
  <si>
    <t>Heavy trucks, 20 years</t>
  </si>
  <si>
    <t>AEO's class 7-8 sales-to-stock replacement time, consistent with the Transportation Energy Data Book's 28-year maximum age.</t>
  </si>
  <si>
    <t>Passenger and freight aircraft, 24 years</t>
  </si>
  <si>
    <t>Boeing's analysis of aircraft economic life: aircraft in service average 23-24 years and leave service at 22-26 years (passenger) and 31-36 (freighters). One value is used for both.</t>
  </si>
  <si>
    <t>Passenger rail, 47 years</t>
  </si>
  <si>
    <t>Stock-flow of NTD data on the car basis: about 575 rail vehicles a year were built in 2012-19 and are still in service, while the fleet grew about 160 a year, so retirements are about 420 a year, 2% of the fleet. NTD shows 30% of rail vehicles over 30 years old and an average age of 23, so a long median is what the fleet looks like; FTA's 25-year useful life is a minimum for funding, not an observed life.</t>
  </si>
  <si>
    <t>Freight rail, 34 years</t>
  </si>
  <si>
    <t>The California State Controller's suggested asset lives for railroads (33) and electric locomotives (35). The AAR year-built data show 42% of Class I locomotives built before 2000, consistent with a long life; rebuilds extend it further but are not modeled separately.</t>
  </si>
  <si>
    <t>Recreational boats, 38 years</t>
  </si>
  <si>
    <t>Stock-flow of Coast Guard registrations against NMMA powerboat sales: about 270,000 boats sold a year against a fleet falling 20,000 a year gives about 290,000 retirements, 2.5% of 11.8 million boats. The 33-year ocean motor-vessel life applies to freight ships, not boats.</t>
  </si>
  <si>
    <t>Freight ships, 33 years</t>
  </si>
  <si>
    <t>The California State Controller's suggested asset life for ocean diesel motor vessels.</t>
  </si>
  <si>
    <t>Motorbikes, 22 years</t>
  </si>
  <si>
    <t>Stock-flow of FHWA registered motorcycles (growing 73,000 a year over 2015-24) against on-road sales of 354,000 to 386,000: retirements of about 300,000 a year, 3.3% of the fleet. The older 17-year figure came from the 2000s motorcycle boom with off-highway bikes included. Freight motorbikes do not exist in the U.S. model and take the same value.</t>
  </si>
  <si>
    <t>Motorbike lifetime on the on-road scope</t>
  </si>
  <si>
    <t>Recreational boat lifetime from the registration/NMMA stock-flow</t>
  </si>
  <si>
    <t>Passenger rail lifetime from the NTD deliveries / NTS fleet stock-flow, car basis</t>
  </si>
  <si>
    <t>Bus lifetime, all registered buses</t>
  </si>
  <si>
    <t>Selected bus lifetime, years: the turnover of the observable segments (school ~480k + transit ~103k buses against ~45k sales/yr = 13 years). The FHWA fleet above carries ~450k further registered buses with no sales, travel or AEO counterpart (scope issue logged ), so modeled sales on that fleet exceed published sales by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</si>
</sst>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_)"/>
    <numFmt numFmtId="165" formatCode="\(\R\)General"/>
    <numFmt numFmtId="166" formatCode="\(\R\)\ ###0"/>
    <numFmt numFmtId="167" formatCode="0.0"/>
    <numFmt numFmtId="168" formatCode="\(\R\)0.0"/>
    <numFmt numFmtId="169" formatCode="#,##0_)"/>
  </numFmts>
  <fonts count="39">
    <font>
      <sz val="11"/>
      <color theme="1"/>
      <name val="Calibri"/>
      <family val="2"/>
      <scheme val="minor"/>
    </font>
    <font>
      <b/>
      <sz val="11"/>
      <color theme="1"/>
      <name val="Calibri"/>
      <family val="2"/>
      <scheme val="minor"/>
    </font>
    <font>
      <u/>
      <sz val="11"/>
      <color theme="10"/>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0"/>
      <name val="Helv"/>
    </font>
    <font>
      <b/>
      <sz val="10"/>
      <name val="Helv"/>
    </font>
    <font>
      <i/>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name val="Calibri"/>
      <family val="2"/>
      <scheme val="minor"/>
    </font>
    <font>
      <b/>
      <sz val="12"/>
      <name val="Helv"/>
    </font>
    <font>
      <b/>
      <sz val="12"/>
      <name val="Arial"/>
      <family val="2"/>
    </font>
    <font>
      <b/>
      <sz val="11"/>
      <name val="Arial Narrow"/>
      <family val="2"/>
    </font>
    <font>
      <sz val="11"/>
      <name val="Arial Narrow"/>
      <family val="2"/>
    </font>
    <font>
      <sz val="10"/>
      <name val="Arial"/>
      <family val="2"/>
    </font>
    <font>
      <sz val="9"/>
      <name val="Helv"/>
    </font>
    <font>
      <b/>
      <sz val="9"/>
      <name val="Arial"/>
      <family val="2"/>
    </font>
    <font>
      <sz val="9"/>
      <name val="Arial"/>
      <family val="2"/>
    </font>
    <font>
      <i/>
      <sz val="9"/>
      <name val="Arial"/>
      <family val="2"/>
    </font>
    <font>
      <sz val="9"/>
      <color indexed="8"/>
      <name val="Calibri"/>
      <family val="2"/>
    </font>
    <font>
      <u/>
      <sz val="11"/>
      <color rgb="FF0556C1"/>
      <name val="Calibri"/>
      <family val="2"/>
      <scheme val="minor"/>
    </font>
  </fonts>
  <fills count="41">
    <fill>
      <patternFill patternType="none"/>
    </fill>
    <fill>
      <patternFill patternType="gray125"/>
    </fill>
    <fill>
      <patternFill patternType="solid">
        <fgColor theme="0" tint="-0.249977111117893"/>
        <bgColor indexed="64"/>
      </patternFill>
    </fill>
    <fill>
      <patternFill patternType="solid">
        <fgColor theme="6"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9"/>
      </patternFill>
    </fill>
    <fill>
      <patternFill patternType="solid">
        <fgColor rgb="FFFFFF00"/>
        <bgColor indexed="64"/>
      </patternFill>
    </fill>
    <fill>
      <patternFill patternType="solid">
        <fgColor rgb="FFFFFF99"/>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D9D9D9"/>
        <bgColor indexed="64"/>
      </patternFill>
    </fill>
  </fills>
  <borders count="30">
    <border>
      <left/>
      <right/>
      <top/>
      <bottom/>
      <diagonal/>
    </border>
    <border>
      <left/>
      <right/>
      <top/>
      <bottom style="thick">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n">
        <color indexed="2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63">
    <xf numFmtId="0" fontId="0" fillId="0" borderId="0"/>
    <xf numFmtId="0" fontId="2" fillId="0" borderId="0" applyNumberFormat="0" applyFill="0" applyBorder="0" applyAlignment="0" applyProtection="0"/>
    <xf numFmtId="0" fontId="3" fillId="0" borderId="1" applyNumberFormat="0" applyProtection="0">
      <alignment wrapText="1"/>
    </xf>
    <xf numFmtId="0" fontId="4" fillId="0" borderId="4" applyNumberFormat="0" applyFont="0" applyProtection="0">
      <alignment wrapText="1"/>
    </xf>
    <xf numFmtId="0" fontId="3" fillId="0" borderId="9" applyNumberFormat="0" applyProtection="0">
      <alignment horizontal="left" wrapText="1"/>
    </xf>
    <xf numFmtId="0" fontId="3" fillId="0" borderId="8" applyNumberFormat="0" applyFill="0" applyProtection="0">
      <alignment wrapText="1"/>
    </xf>
    <xf numFmtId="0" fontId="3" fillId="0" borderId="6" applyNumberFormat="0" applyProtection="0">
      <alignment wrapText="1"/>
    </xf>
    <xf numFmtId="0" fontId="4" fillId="0" borderId="5" applyNumberFormat="0" applyProtection="0">
      <alignment vertical="top" wrapText="1"/>
    </xf>
    <xf numFmtId="0" fontId="4" fillId="0" borderId="7" applyNumberFormat="0" applyFont="0" applyFill="0" applyProtection="0">
      <alignment wrapText="1"/>
    </xf>
    <xf numFmtId="0" fontId="4" fillId="0" borderId="0" applyNumberFormat="0" applyFill="0" applyBorder="0" applyAlignment="0" applyProtection="0"/>
    <xf numFmtId="0" fontId="5"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4" fillId="0" borderId="0" applyNumberFormat="0" applyProtection="0">
      <alignment vertical="top" wrapText="1"/>
    </xf>
    <xf numFmtId="0" fontId="7" fillId="0" borderId="0" applyNumberFormat="0" applyProtection="0">
      <alignment horizontal="left"/>
    </xf>
    <xf numFmtId="164" fontId="8" fillId="0" borderId="10" applyNumberFormat="0" applyFill="0">
      <alignment horizontal="right"/>
    </xf>
    <xf numFmtId="0" fontId="9" fillId="0" borderId="10">
      <alignment horizontal="left"/>
    </xf>
    <xf numFmtId="9" fontId="11" fillId="0" borderId="0" applyFont="0" applyFill="0" applyBorder="0" applyAlignment="0" applyProtection="0"/>
    <xf numFmtId="0" fontId="12" fillId="0" borderId="0" applyNumberFormat="0" applyFill="0" applyBorder="0" applyAlignment="0" applyProtection="0"/>
    <xf numFmtId="0" fontId="13" fillId="0" borderId="1" applyNumberFormat="0" applyFill="0" applyAlignment="0" applyProtection="0"/>
    <xf numFmtId="0" fontId="14" fillId="0" borderId="13" applyNumberFormat="0" applyFill="0" applyAlignment="0" applyProtection="0"/>
    <xf numFmtId="0" fontId="15" fillId="0" borderId="14" applyNumberFormat="0" applyFill="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0" applyNumberFormat="0" applyBorder="0" applyAlignment="0" applyProtection="0"/>
    <xf numFmtId="0" fontId="19" fillId="7" borderId="15" applyNumberFormat="0" applyAlignment="0" applyProtection="0"/>
    <xf numFmtId="0" fontId="20" fillId="8" borderId="16" applyNumberFormat="0" applyAlignment="0" applyProtection="0"/>
    <xf numFmtId="0" fontId="21" fillId="8" borderId="15" applyNumberFormat="0" applyAlignment="0" applyProtection="0"/>
    <xf numFmtId="0" fontId="22" fillId="0" borderId="17" applyNumberFormat="0" applyFill="0" applyAlignment="0" applyProtection="0"/>
    <xf numFmtId="0" fontId="23" fillId="9" borderId="18" applyNumberFormat="0" applyAlignment="0" applyProtection="0"/>
    <xf numFmtId="0" fontId="24" fillId="0" borderId="0" applyNumberFormat="0" applyFill="0" applyBorder="0" applyAlignment="0" applyProtection="0"/>
    <xf numFmtId="0" fontId="11" fillId="10" borderId="19" applyNumberFormat="0" applyFont="0" applyAlignment="0" applyProtection="0"/>
    <xf numFmtId="0" fontId="25" fillId="0" borderId="0" applyNumberFormat="0" applyFill="0" applyBorder="0" applyAlignment="0" applyProtection="0"/>
    <xf numFmtId="0" fontId="1" fillId="0" borderId="20" applyNumberFormat="0" applyFill="0" applyAlignment="0" applyProtection="0"/>
    <xf numFmtId="0" fontId="26"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26" fillId="34" borderId="0" applyNumberFormat="0" applyBorder="0" applyAlignment="0" applyProtection="0"/>
    <xf numFmtId="0" fontId="28" fillId="0" borderId="0">
      <alignment horizontal="left"/>
    </xf>
    <xf numFmtId="0" fontId="9" fillId="35" borderId="0">
      <alignment horizontal="centerContinuous" wrapText="1"/>
    </xf>
    <xf numFmtId="0" fontId="8" fillId="0" borderId="10">
      <alignment horizontal="left" vertical="center"/>
    </xf>
    <xf numFmtId="169" fontId="33" fillId="0" borderId="10">
      <alignment horizontal="right" vertical="center"/>
    </xf>
    <xf numFmtId="0" fontId="37" fillId="0" borderId="0"/>
  </cellStyleXfs>
  <cellXfs count="96">
    <xf numFmtId="0" fontId="0" fillId="0" borderId="0" xfId="0"/>
    <xf numFmtId="0" fontId="1" fillId="0" borderId="0" xfId="0" applyFont="1"/>
    <xf numFmtId="0" fontId="1" fillId="0" borderId="0" xfId="0" applyFont="1" applyAlignment="1">
      <alignment horizontal="right" wrapText="1"/>
    </xf>
    <xf numFmtId="0" fontId="0" fillId="0" borderId="0" xfId="0" applyAlignment="1">
      <alignment horizontal="right"/>
    </xf>
    <xf numFmtId="0" fontId="2" fillId="0" borderId="0" xfId="1"/>
    <xf numFmtId="1" fontId="0" fillId="0" borderId="0" xfId="0" applyNumberFormat="1" applyAlignment="1">
      <alignment horizontal="right"/>
    </xf>
    <xf numFmtId="0" fontId="1" fillId="2" borderId="0" xfId="0" applyFont="1" applyFill="1"/>
    <xf numFmtId="0" fontId="1" fillId="3" borderId="2" xfId="0" applyFont="1" applyFill="1" applyBorder="1" applyAlignment="1">
      <alignment horizontal="right" wrapText="1"/>
    </xf>
    <xf numFmtId="2" fontId="0" fillId="3" borderId="3" xfId="0" applyNumberFormat="1" applyFill="1" applyBorder="1" applyAlignment="1">
      <alignment horizontal="right"/>
    </xf>
    <xf numFmtId="0" fontId="0" fillId="0" borderId="0" xfId="0" applyAlignment="1">
      <alignment horizontal="left"/>
    </xf>
    <xf numFmtId="0" fontId="1" fillId="2" borderId="0" xfId="0" applyFont="1" applyFill="1" applyAlignment="1">
      <alignment horizontal="left"/>
    </xf>
    <xf numFmtId="0" fontId="10" fillId="3" borderId="11" xfId="0" applyFont="1" applyFill="1" applyBorder="1" applyAlignment="1">
      <alignment horizontal="left"/>
    </xf>
    <xf numFmtId="0" fontId="0" fillId="3" borderId="12" xfId="0" applyFill="1" applyBorder="1" applyAlignment="1">
      <alignment horizontal="left"/>
    </xf>
    <xf numFmtId="0" fontId="0" fillId="3" borderId="11" xfId="0" applyFill="1" applyBorder="1"/>
    <xf numFmtId="0" fontId="1" fillId="0" borderId="0" xfId="0" applyFont="1" applyAlignment="1">
      <alignment horizontal="left" wrapText="1"/>
    </xf>
    <xf numFmtId="0" fontId="1" fillId="0" borderId="0" xfId="0" applyFont="1" applyAlignment="1">
      <alignment horizontal="left"/>
    </xf>
    <xf numFmtId="1" fontId="0" fillId="0" borderId="0" xfId="0" applyNumberFormat="1" applyAlignment="1">
      <alignment horizontal="left"/>
    </xf>
    <xf numFmtId="0" fontId="10" fillId="3" borderId="2" xfId="0" applyFont="1" applyFill="1" applyBorder="1" applyAlignment="1">
      <alignment horizontal="left"/>
    </xf>
    <xf numFmtId="1" fontId="0" fillId="3" borderId="3" xfId="0" applyNumberFormat="1" applyFill="1" applyBorder="1" applyAlignment="1">
      <alignment horizontal="left"/>
    </xf>
    <xf numFmtId="0" fontId="2" fillId="0" borderId="0" xfId="1" applyFill="1"/>
    <xf numFmtId="0" fontId="0" fillId="0" borderId="24" xfId="0" applyBorder="1" applyAlignment="1">
      <alignment horizontal="left"/>
    </xf>
    <xf numFmtId="0" fontId="0" fillId="0" borderId="21" xfId="0" applyBorder="1" applyAlignment="1">
      <alignment wrapText="1"/>
    </xf>
    <xf numFmtId="3" fontId="0" fillId="0" borderId="28" xfId="0" applyNumberFormat="1" applyBorder="1" applyAlignment="1">
      <alignment horizontal="left"/>
    </xf>
    <xf numFmtId="3" fontId="0" fillId="0" borderId="27" xfId="0" applyNumberFormat="1" applyBorder="1" applyAlignment="1">
      <alignment horizontal="left"/>
    </xf>
    <xf numFmtId="3" fontId="0" fillId="0" borderId="0" xfId="0" applyNumberFormat="1" applyAlignment="1">
      <alignment horizontal="left"/>
    </xf>
    <xf numFmtId="0" fontId="0" fillId="0" borderId="26" xfId="0" applyBorder="1" applyAlignment="1">
      <alignment horizontal="left"/>
    </xf>
    <xf numFmtId="0" fontId="0" fillId="0" borderId="22" xfId="0" applyBorder="1" applyAlignment="1">
      <alignment wrapText="1"/>
    </xf>
    <xf numFmtId="3" fontId="0" fillId="0" borderId="25" xfId="0" applyNumberFormat="1" applyBorder="1" applyAlignment="1">
      <alignment horizontal="left"/>
    </xf>
    <xf numFmtId="10" fontId="0" fillId="0" borderId="0" xfId="0" applyNumberFormat="1" applyAlignment="1">
      <alignment horizontal="left"/>
    </xf>
    <xf numFmtId="0" fontId="0" fillId="0" borderId="23" xfId="0" applyBorder="1" applyAlignment="1">
      <alignment wrapText="1"/>
    </xf>
    <xf numFmtId="0" fontId="0" fillId="0" borderId="0" xfId="0" applyAlignment="1">
      <alignment wrapText="1"/>
    </xf>
    <xf numFmtId="10" fontId="0" fillId="0" borderId="0" xfId="16" applyNumberFormat="1" applyFont="1" applyAlignment="1">
      <alignment horizontal="left"/>
    </xf>
    <xf numFmtId="0" fontId="27" fillId="2" borderId="0" xfId="0" applyFont="1" applyFill="1"/>
    <xf numFmtId="0" fontId="0" fillId="2" borderId="0" xfId="0" applyFill="1"/>
    <xf numFmtId="0" fontId="0" fillId="2" borderId="0" xfId="0" applyFill="1" applyAlignment="1">
      <alignment horizontal="right"/>
    </xf>
    <xf numFmtId="2" fontId="0" fillId="3" borderId="3" xfId="0" applyNumberFormat="1" applyFill="1" applyBorder="1" applyAlignment="1">
      <alignment horizontal="left"/>
    </xf>
    <xf numFmtId="0" fontId="1" fillId="3" borderId="2" xfId="0" applyFont="1" applyFill="1" applyBorder="1" applyAlignment="1">
      <alignment wrapText="1"/>
    </xf>
    <xf numFmtId="1" fontId="0" fillId="0" borderId="0" xfId="0" applyNumberFormat="1"/>
    <xf numFmtId="0" fontId="30" fillId="0" borderId="29" xfId="59" applyFont="1" applyFill="1" applyBorder="1" applyAlignment="1">
      <alignment horizontal="center" wrapText="1"/>
    </xf>
    <xf numFmtId="1" fontId="30" fillId="0" borderId="29" xfId="59" applyNumberFormat="1" applyFont="1" applyFill="1" applyBorder="1" applyAlignment="1">
      <alignment horizontal="center"/>
    </xf>
    <xf numFmtId="165" fontId="30" fillId="0" borderId="29" xfId="59" applyNumberFormat="1" applyFont="1" applyFill="1" applyBorder="1" applyAlignment="1">
      <alignment horizontal="center"/>
    </xf>
    <xf numFmtId="165" fontId="30" fillId="0" borderId="29" xfId="0" applyNumberFormat="1" applyFont="1" applyBorder="1" applyAlignment="1">
      <alignment horizontal="center"/>
    </xf>
    <xf numFmtId="0" fontId="30" fillId="0" borderId="29" xfId="59" applyFont="1" applyFill="1" applyBorder="1" applyAlignment="1">
      <alignment horizontal="center"/>
    </xf>
    <xf numFmtId="0" fontId="30" fillId="0" borderId="0" xfId="59" applyFont="1" applyFill="1" applyAlignment="1">
      <alignment horizontal="center" wrapText="1"/>
    </xf>
    <xf numFmtId="1" fontId="30" fillId="0" borderId="0" xfId="59" applyNumberFormat="1" applyFont="1" applyFill="1" applyAlignment="1">
      <alignment horizontal="center"/>
    </xf>
    <xf numFmtId="166" fontId="30" fillId="0" borderId="0" xfId="59" applyNumberFormat="1" applyFont="1" applyFill="1" applyAlignment="1">
      <alignment horizontal="center"/>
    </xf>
    <xf numFmtId="0" fontId="30" fillId="0" borderId="0" xfId="0" applyFont="1" applyAlignment="1">
      <alignment horizontal="center"/>
    </xf>
    <xf numFmtId="0" fontId="30" fillId="0" borderId="0" xfId="60" applyFont="1" applyBorder="1" applyAlignment="1">
      <alignment horizontal="left"/>
    </xf>
    <xf numFmtId="3" fontId="30" fillId="0" borderId="0" xfId="0" applyNumberFormat="1" applyFont="1"/>
    <xf numFmtId="3" fontId="30" fillId="0" borderId="0" xfId="0" applyNumberFormat="1" applyFont="1" applyAlignment="1">
      <alignment horizontal="right"/>
    </xf>
    <xf numFmtId="0" fontId="31" fillId="0" borderId="0" xfId="60" applyFont="1" applyBorder="1" applyAlignment="1">
      <alignment horizontal="left" indent="1"/>
    </xf>
    <xf numFmtId="3" fontId="31" fillId="0" borderId="0" xfId="0" applyNumberFormat="1" applyFont="1" applyAlignment="1">
      <alignment horizontal="right"/>
    </xf>
    <xf numFmtId="3" fontId="31" fillId="0" borderId="0" xfId="0" applyNumberFormat="1" applyFont="1"/>
    <xf numFmtId="167" fontId="30" fillId="0" borderId="0" xfId="60" applyNumberFormat="1" applyFont="1" applyBorder="1" applyAlignment="1">
      <alignment horizontal="left"/>
    </xf>
    <xf numFmtId="0" fontId="31" fillId="0" borderId="0" xfId="0" applyFont="1"/>
    <xf numFmtId="167" fontId="31" fillId="0" borderId="0" xfId="16" applyNumberFormat="1" applyFont="1" applyFill="1"/>
    <xf numFmtId="167" fontId="31" fillId="0" borderId="0" xfId="16" applyNumberFormat="1" applyFont="1" applyFill="1" applyBorder="1"/>
    <xf numFmtId="168" fontId="31" fillId="0" borderId="0" xfId="16" applyNumberFormat="1" applyFont="1" applyFill="1"/>
    <xf numFmtId="3" fontId="31" fillId="0" borderId="0" xfId="61" applyNumberFormat="1" applyFont="1" applyBorder="1" applyAlignment="1">
      <alignment horizontal="right"/>
    </xf>
    <xf numFmtId="167" fontId="31" fillId="0" borderId="0" xfId="0" applyNumberFormat="1" applyFont="1"/>
    <xf numFmtId="0" fontId="31" fillId="0" borderId="27" xfId="60" applyFont="1" applyBorder="1" applyAlignment="1">
      <alignment horizontal="left" indent="1"/>
    </xf>
    <xf numFmtId="167" fontId="31" fillId="0" borderId="27" xfId="0" applyNumberFormat="1" applyFont="1" applyBorder="1"/>
    <xf numFmtId="0" fontId="31" fillId="0" borderId="27" xfId="0" applyFont="1" applyBorder="1"/>
    <xf numFmtId="0" fontId="32" fillId="0" borderId="0" xfId="0" applyFont="1" applyAlignment="1">
      <alignment horizontal="left" vertical="center"/>
    </xf>
    <xf numFmtId="0" fontId="1" fillId="0" borderId="2" xfId="0" applyFont="1" applyBorder="1" applyAlignment="1">
      <alignment horizontal="right" wrapText="1"/>
    </xf>
    <xf numFmtId="0" fontId="0" fillId="0" borderId="3" xfId="0" applyBorder="1" applyAlignment="1">
      <alignment horizontal="right"/>
    </xf>
    <xf numFmtId="1" fontId="0" fillId="0" borderId="3" xfId="0" applyNumberFormat="1" applyBorder="1" applyAlignment="1">
      <alignment horizontal="right"/>
    </xf>
    <xf numFmtId="2" fontId="0" fillId="0" borderId="0" xfId="0" applyNumberFormat="1" applyAlignment="1">
      <alignment horizontal="right"/>
    </xf>
    <xf numFmtId="0" fontId="0" fillId="3" borderId="3" xfId="0" applyFill="1" applyBorder="1" applyAlignment="1">
      <alignment horizontal="right"/>
    </xf>
    <xf numFmtId="0" fontId="1" fillId="0" borderId="0" xfId="0" applyFont="1" applyAlignment="1">
      <alignment wrapText="1"/>
    </xf>
    <xf numFmtId="0" fontId="0" fillId="36" borderId="0" xfId="0" applyFill="1"/>
    <xf numFmtId="10" fontId="0" fillId="0" borderId="0" xfId="0" applyNumberFormat="1"/>
    <xf numFmtId="0" fontId="0" fillId="0" borderId="0" xfId="0" applyAlignment="1">
      <alignment horizontal="right" wrapText="1"/>
    </xf>
    <xf numFmtId="11" fontId="0" fillId="0" borderId="0" xfId="0" applyNumberFormat="1" applyAlignment="1">
      <alignment horizontal="right" wrapText="1"/>
    </xf>
    <xf numFmtId="1" fontId="0" fillId="36" borderId="0" xfId="0" applyNumberFormat="1" applyFill="1"/>
    <xf numFmtId="0" fontId="10" fillId="0" borderId="0" xfId="0" applyFont="1"/>
    <xf numFmtId="1" fontId="0" fillId="37" borderId="0" xfId="0" applyNumberFormat="1" applyFill="1"/>
    <xf numFmtId="0" fontId="0" fillId="38" borderId="0" xfId="0" applyFill="1"/>
    <xf numFmtId="10" fontId="0" fillId="36" borderId="0" xfId="0" applyNumberFormat="1" applyFill="1"/>
    <xf numFmtId="0" fontId="0" fillId="39" borderId="0" xfId="0" applyFill="1"/>
    <xf numFmtId="10" fontId="0" fillId="39" borderId="0" xfId="0" applyNumberFormat="1" applyFill="1"/>
    <xf numFmtId="0" fontId="35" fillId="0" borderId="0" xfId="15" applyFont="1" applyBorder="1" applyAlignment="1">
      <alignment horizontal="left" vertical="center" wrapText="1"/>
    </xf>
    <xf numFmtId="0" fontId="32" fillId="0" borderId="0" xfId="0" applyFont="1" applyAlignment="1">
      <alignment horizontal="left" vertical="center" wrapText="1"/>
    </xf>
    <xf numFmtId="0" fontId="34" fillId="0" borderId="0" xfId="0" applyFont="1" applyAlignment="1">
      <alignment horizontal="left" vertical="center" wrapText="1"/>
    </xf>
    <xf numFmtId="0" fontId="35" fillId="0" borderId="0" xfId="0" applyFont="1" applyAlignment="1">
      <alignment horizontal="left" vertical="center" wrapText="1"/>
    </xf>
    <xf numFmtId="0" fontId="29" fillId="0" borderId="27" xfId="58" applyFont="1" applyBorder="1" applyAlignment="1">
      <alignment horizontal="left" wrapText="1"/>
    </xf>
    <xf numFmtId="0" fontId="29" fillId="0" borderId="0" xfId="58" applyFont="1" applyAlignment="1">
      <alignment horizontal="left" wrapText="1"/>
    </xf>
    <xf numFmtId="0" fontId="34" fillId="0" borderId="22" xfId="15" applyFont="1" applyBorder="1" applyAlignment="1">
      <alignment horizontal="left" vertical="center" wrapText="1"/>
    </xf>
    <xf numFmtId="0" fontId="34" fillId="0" borderId="0" xfId="15" applyFont="1" applyBorder="1" applyAlignment="1">
      <alignment horizontal="left" vertical="center" wrapText="1"/>
    </xf>
    <xf numFmtId="0" fontId="0" fillId="0" borderId="0" xfId="0" applyFont="1" applyFill="1" applyAlignment="1"/>
    <xf numFmtId="0" fontId="1" fillId="0" borderId="0" xfId="0" applyFont="1" applyFill="1" applyAlignment="1"/>
    <xf numFmtId="0" fontId="1" fillId="40" borderId="0" xfId="0" applyFont="1" applyFill="1" applyAlignment="1">
      <alignment vertical="top" wrapText="1"/>
    </xf>
    <xf numFmtId="0" fontId="0" fillId="0" borderId="0" xfId="0" applyFont="1" applyFill="1" applyAlignment="1">
      <alignment horizontal="left" vertical="top" wrapText="1"/>
    </xf>
    <xf numFmtId="0" fontId="0" fillId="0" borderId="0" xfId="0" applyFont="1" applyFill="1" applyAlignment="1">
      <alignment horizontal="left" vertical="top"/>
    </xf>
    <xf numFmtId="0" fontId="38" fillId="0" borderId="0" xfId="1" applyFont="1" applyFill="1" applyAlignment="1">
      <alignment horizontal="left" vertical="top"/>
    </xf>
    <xf numFmtId="0" fontId="1" fillId="0" borderId="0" xfId="0" applyFont="1" applyFill="1" applyAlignment="1">
      <alignment vertical="top"/>
    </xf>
  </cellXfs>
  <cellStyles count="63">
    <cellStyle name="20% - Accent1" xfId="35" builtinId="30" customBuiltin="1"/>
    <cellStyle name="20% - Accent2" xfId="39" builtinId="34" customBuiltin="1"/>
    <cellStyle name="20% - Accent3" xfId="43" builtinId="38" customBuiltin="1"/>
    <cellStyle name="20% - Accent4" xfId="47" builtinId="42" customBuiltin="1"/>
    <cellStyle name="20% - Accent5" xfId="51" builtinId="46" customBuiltin="1"/>
    <cellStyle name="20% - Accent6" xfId="55" builtinId="50" customBuiltin="1"/>
    <cellStyle name="40% - Accent1" xfId="36" builtinId="31" customBuiltin="1"/>
    <cellStyle name="40% - Accent2" xfId="40" builtinId="35" customBuiltin="1"/>
    <cellStyle name="40% - Accent3" xfId="44" builtinId="39" customBuiltin="1"/>
    <cellStyle name="40% - Accent4" xfId="48" builtinId="43" customBuiltin="1"/>
    <cellStyle name="40% - Accent5" xfId="52" builtinId="47" customBuiltin="1"/>
    <cellStyle name="40% - Accent6" xfId="56" builtinId="51" customBuiltin="1"/>
    <cellStyle name="60% - Accent1" xfId="37" builtinId="32" customBuiltin="1"/>
    <cellStyle name="60% - Accent2" xfId="41" builtinId="36" customBuiltin="1"/>
    <cellStyle name="60% - Accent3" xfId="45" builtinId="40" customBuiltin="1"/>
    <cellStyle name="60% - Accent4" xfId="49" builtinId="44" customBuiltin="1"/>
    <cellStyle name="60% - Accent5" xfId="53" builtinId="48" customBuiltin="1"/>
    <cellStyle name="60% - Accent6" xfId="57" builtinId="52" customBuiltin="1"/>
    <cellStyle name="Accent1" xfId="34" builtinId="29" customBuiltin="1"/>
    <cellStyle name="Accent2" xfId="38" builtinId="33" customBuiltin="1"/>
    <cellStyle name="Accent3" xfId="42" builtinId="37" customBuiltin="1"/>
    <cellStyle name="Accent4" xfId="46" builtinId="41" customBuiltin="1"/>
    <cellStyle name="Accent5" xfId="50" builtinId="45" customBuiltin="1"/>
    <cellStyle name="Accent6" xfId="54" builtinId="49" customBuiltin="1"/>
    <cellStyle name="Bad" xfId="23" builtinId="27" customBuiltin="1"/>
    <cellStyle name="Body: normal cell" xfId="3" xr:uid="{00000000-0005-0000-0000-000019000000}"/>
    <cellStyle name="Calculation" xfId="27" builtinId="22" customBuiltin="1"/>
    <cellStyle name="Check Cell" xfId="29" builtinId="23" customBuiltin="1"/>
    <cellStyle name="Data" xfId="14" xr:uid="{00000000-0005-0000-0000-00001C000000}"/>
    <cellStyle name="Data no deci" xfId="61" xr:uid="{00000000-0005-0000-0000-00001D000000}"/>
    <cellStyle name="Explanatory Text" xfId="32" builtinId="53" customBuiltin="1"/>
    <cellStyle name="Followed Hyperlink" xfId="11" builtinId="9" customBuiltin="1"/>
    <cellStyle name="Font: Calibri, 9pt regular" xfId="9" xr:uid="{00000000-0005-0000-0000-000020000000}"/>
    <cellStyle name="Footnotes: all except top row" xfId="12" xr:uid="{00000000-0005-0000-0000-000021000000}"/>
    <cellStyle name="Footnotes: top row" xfId="7" xr:uid="{00000000-0005-0000-0000-000022000000}"/>
    <cellStyle name="Good" xfId="22" builtinId="26" customBuiltin="1"/>
    <cellStyle name="Header: bottom row" xfId="2" xr:uid="{00000000-0005-0000-0000-000024000000}"/>
    <cellStyle name="Header: top rows" xfId="4" xr:uid="{00000000-0005-0000-0000-000025000000}"/>
    <cellStyle name="Heading 1" xfId="18" builtinId="16" customBuiltin="1"/>
    <cellStyle name="Heading 2" xfId="19" builtinId="17" customBuiltin="1"/>
    <cellStyle name="Heading 3" xfId="20" builtinId="18" customBuiltin="1"/>
    <cellStyle name="Heading 4" xfId="21" builtinId="19" customBuiltin="1"/>
    <cellStyle name="Hed Side" xfId="15" xr:uid="{00000000-0005-0000-0000-00002A000000}"/>
    <cellStyle name="Hed Side Regular" xfId="60" xr:uid="{00000000-0005-0000-0000-00002B000000}"/>
    <cellStyle name="Hed Top" xfId="59" xr:uid="{00000000-0005-0000-0000-00002C000000}"/>
    <cellStyle name="Hyperlink" xfId="1" builtinId="8"/>
    <cellStyle name="Hyperlink 2" xfId="10" xr:uid="{00000000-0005-0000-0000-00002E000000}"/>
    <cellStyle name="Input" xfId="25" builtinId="20" customBuiltin="1"/>
    <cellStyle name="Linked Cell" xfId="28" builtinId="24" customBuiltin="1"/>
    <cellStyle name="Neutral" xfId="24" builtinId="28" customBuiltin="1"/>
    <cellStyle name="Normal" xfId="0" builtinId="0"/>
    <cellStyle name="Normal 2" xfId="62" xr:uid="{6BD6DE87-5039-4F46-B9F3-CD2F5894CA3D}"/>
    <cellStyle name="Note" xfId="31" builtinId="10" customBuiltin="1"/>
    <cellStyle name="Output" xfId="26" builtinId="21" customBuiltin="1"/>
    <cellStyle name="Parent row" xfId="6" xr:uid="{00000000-0005-0000-0000-000035000000}"/>
    <cellStyle name="Percent" xfId="16" builtinId="5"/>
    <cellStyle name="Section Break" xfId="8" xr:uid="{00000000-0005-0000-0000-000037000000}"/>
    <cellStyle name="Section Break: parent row" xfId="5" xr:uid="{00000000-0005-0000-0000-000038000000}"/>
    <cellStyle name="Table title" xfId="13" xr:uid="{00000000-0005-0000-0000-000039000000}"/>
    <cellStyle name="Title" xfId="17" builtinId="15" customBuiltin="1"/>
    <cellStyle name="Title-2" xfId="58" xr:uid="{00000000-0005-0000-0000-00003B000000}"/>
    <cellStyle name="Total" xfId="33" builtinId="25" customBuiltin="1"/>
    <cellStyle name="Warning Text" xfId="30" builtinId="11" customBuiltin="1"/>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thoughtco.com/buses-and-other-transit-lifetime-2798844" TargetMode="External"/><Relationship Id="rId7" Type="http://schemas.openxmlformats.org/officeDocument/2006/relationships/hyperlink" Target="https://data.transportation.gov/Public-Transit/2022-2025-NTD-Annual-Data-Vehicles-Age-Distribution-/6abt-uhgq" TargetMode="External"/><Relationship Id="rId2" Type="http://schemas.openxmlformats.org/officeDocument/2006/relationships/hyperlink" Target="http://www.rita.dot.gov/bts/sites/rita.dot.gov.bts/files/publications/special_reports_and_issue_briefs/special_report/2009_05_14/pdf/entire.pdf" TargetMode="External"/><Relationship Id="rId1" Type="http://schemas.openxmlformats.org/officeDocument/2006/relationships/hyperlink" Target="http://www.sco.ca.gov/ard_local_rep_uas_special_dist.html" TargetMode="External"/><Relationship Id="rId6" Type="http://schemas.openxmlformats.org/officeDocument/2006/relationships/hyperlink" Target="https://www.uscgboating.org/statistics/" TargetMode="External"/><Relationship Id="rId5" Type="http://schemas.openxmlformats.org/officeDocument/2006/relationships/hyperlink" Target="https://www.fhwa.dot.gov/policyinformation/statistics.cfm" TargetMode="External"/><Relationship Id="rId4" Type="http://schemas.openxmlformats.org/officeDocument/2006/relationships/hyperlink" Target="https://www.bts.gov/content/number-us-aircraft-vehicles-vessels-and-other-conveyan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
  <sheetViews>
    <sheetView topLeftCell="A32" workbookViewId="0">
      <selection activeCell="B52" sqref="B47:B52"/>
    </sheetView>
  </sheetViews>
  <sheetFormatPr defaultRowHeight="15"/>
  <cols>
    <col min="1" max="1" width="16.7109375" customWidth="1"/>
    <col min="2" max="2" width="100.7109375" customWidth="1"/>
    <col min="3" max="3" width="3.7109375" customWidth="1"/>
    <col min="4" max="4" width="100.7109375" customWidth="1"/>
  </cols>
  <sheetData>
    <row r="1" spans="1:4">
      <c r="A1" s="1" t="s">
        <v>46</v>
      </c>
    </row>
    <row r="3" spans="1:4">
      <c r="A3" s="1" t="s">
        <v>47</v>
      </c>
      <c r="B3" s="32" t="s">
        <v>49</v>
      </c>
      <c r="C3" s="89"/>
      <c r="D3" s="91" t="s">
        <v>976</v>
      </c>
    </row>
    <row r="4" spans="1:4">
      <c r="B4" s="75" t="s">
        <v>129</v>
      </c>
      <c r="C4" s="89"/>
      <c r="D4" s="93" t="s">
        <v>977</v>
      </c>
    </row>
    <row r="5" spans="1:4">
      <c r="C5" s="89"/>
      <c r="D5" s="93" t="s">
        <v>978</v>
      </c>
    </row>
    <row r="6" spans="1:4">
      <c r="B6" s="6" t="s">
        <v>50</v>
      </c>
      <c r="C6" s="89"/>
      <c r="D6" s="93">
        <v>2026</v>
      </c>
    </row>
    <row r="7" spans="1:4">
      <c r="B7" t="s">
        <v>3</v>
      </c>
      <c r="C7" s="89"/>
      <c r="D7" s="94" t="s">
        <v>979</v>
      </c>
    </row>
    <row r="8" spans="1:4" ht="30">
      <c r="B8" s="9">
        <v>2016</v>
      </c>
      <c r="C8" s="89"/>
      <c r="D8" s="92" t="s">
        <v>980</v>
      </c>
    </row>
    <row r="9" spans="1:4">
      <c r="B9" t="s">
        <v>59</v>
      </c>
      <c r="C9" s="89"/>
      <c r="D9" s="89"/>
    </row>
    <row r="10" spans="1:4">
      <c r="B10" s="4" t="s">
        <v>4</v>
      </c>
      <c r="C10" s="89"/>
      <c r="D10" s="91" t="s">
        <v>981</v>
      </c>
    </row>
    <row r="11" spans="1:4">
      <c r="B11" t="s">
        <v>79</v>
      </c>
      <c r="C11" s="89"/>
      <c r="D11" s="93" t="s">
        <v>982</v>
      </c>
    </row>
    <row r="12" spans="1:4">
      <c r="C12" s="89"/>
      <c r="D12" s="93" t="s">
        <v>983</v>
      </c>
    </row>
    <row r="13" spans="1:4">
      <c r="B13" s="6" t="s">
        <v>88</v>
      </c>
      <c r="C13" s="89"/>
      <c r="D13" s="93">
        <v>2026</v>
      </c>
    </row>
    <row r="14" spans="1:4">
      <c r="B14" t="s">
        <v>5</v>
      </c>
      <c r="C14" s="89"/>
      <c r="D14" s="94" t="s">
        <v>984</v>
      </c>
    </row>
    <row r="15" spans="1:4" ht="30">
      <c r="B15" s="9">
        <v>2015</v>
      </c>
      <c r="C15" s="89"/>
      <c r="D15" s="92" t="s">
        <v>985</v>
      </c>
    </row>
    <row r="16" spans="1:4">
      <c r="B16" t="s">
        <v>56</v>
      </c>
      <c r="C16" s="89"/>
      <c r="D16" s="89"/>
    </row>
    <row r="17" spans="2:4">
      <c r="B17" s="4" t="s">
        <v>58</v>
      </c>
      <c r="C17" s="89"/>
      <c r="D17" s="91" t="s">
        <v>986</v>
      </c>
    </row>
    <row r="18" spans="2:4">
      <c r="B18" t="s">
        <v>57</v>
      </c>
      <c r="C18" s="89"/>
      <c r="D18" s="93" t="s">
        <v>987</v>
      </c>
    </row>
    <row r="19" spans="2:4">
      <c r="C19" s="89"/>
      <c r="D19" s="93" t="s">
        <v>988</v>
      </c>
    </row>
    <row r="20" spans="2:4">
      <c r="B20" s="6" t="s">
        <v>89</v>
      </c>
      <c r="C20" s="89"/>
      <c r="D20" s="93">
        <v>2026</v>
      </c>
    </row>
    <row r="21" spans="2:4">
      <c r="B21" t="s">
        <v>80</v>
      </c>
      <c r="C21" s="89"/>
      <c r="D21" s="94" t="s">
        <v>989</v>
      </c>
    </row>
    <row r="22" spans="2:4" ht="30">
      <c r="B22" s="9">
        <v>2019</v>
      </c>
      <c r="C22" s="89"/>
      <c r="D22" s="92" t="s">
        <v>990</v>
      </c>
    </row>
    <row r="23" spans="2:4">
      <c r="B23" t="s">
        <v>81</v>
      </c>
      <c r="C23" s="89"/>
      <c r="D23" s="89"/>
    </row>
    <row r="24" spans="2:4">
      <c r="B24" s="4" t="s">
        <v>82</v>
      </c>
      <c r="C24" s="89"/>
      <c r="D24" s="91" t="s">
        <v>991</v>
      </c>
    </row>
    <row r="25" spans="2:4">
      <c r="C25" s="89"/>
      <c r="D25" s="93" t="s">
        <v>992</v>
      </c>
    </row>
    <row r="26" spans="2:4">
      <c r="B26" s="6" t="s">
        <v>52</v>
      </c>
      <c r="C26" s="89"/>
      <c r="D26" s="93" t="s">
        <v>993</v>
      </c>
    </row>
    <row r="27" spans="2:4">
      <c r="B27" t="s">
        <v>26</v>
      </c>
      <c r="C27" s="89"/>
      <c r="D27" s="93">
        <v>2026</v>
      </c>
    </row>
    <row r="28" spans="2:4">
      <c r="B28" s="9">
        <v>2013</v>
      </c>
      <c r="C28" s="89"/>
      <c r="D28" s="94" t="s">
        <v>994</v>
      </c>
    </row>
    <row r="29" spans="2:4" ht="30">
      <c r="B29" t="s">
        <v>27</v>
      </c>
      <c r="C29" s="89"/>
      <c r="D29" s="92" t="s">
        <v>995</v>
      </c>
    </row>
    <row r="30" spans="2:4">
      <c r="B30" s="4" t="s">
        <v>25</v>
      </c>
      <c r="C30" s="89"/>
      <c r="D30" s="89"/>
    </row>
    <row r="31" spans="2:4">
      <c r="B31" t="s">
        <v>28</v>
      </c>
      <c r="C31" s="89"/>
      <c r="D31" s="89"/>
    </row>
    <row r="32" spans="2:4">
      <c r="C32" s="89"/>
      <c r="D32" s="89"/>
    </row>
    <row r="33" spans="2:4">
      <c r="B33" s="6" t="s">
        <v>53</v>
      </c>
      <c r="C33" s="89"/>
      <c r="D33" s="89"/>
    </row>
    <row r="34" spans="2:4">
      <c r="B34" t="s">
        <v>12</v>
      </c>
      <c r="C34" s="89"/>
      <c r="D34" s="89"/>
    </row>
    <row r="35" spans="2:4">
      <c r="B35" t="s">
        <v>13</v>
      </c>
      <c r="C35" s="89"/>
      <c r="D35" s="89"/>
    </row>
    <row r="36" spans="2:4">
      <c r="B36" t="s">
        <v>14</v>
      </c>
      <c r="C36" s="89"/>
      <c r="D36" s="89"/>
    </row>
    <row r="37" spans="2:4">
      <c r="B37" s="19" t="s">
        <v>15</v>
      </c>
      <c r="C37" s="89"/>
      <c r="D37" s="89"/>
    </row>
    <row r="38" spans="2:4">
      <c r="B38" t="s">
        <v>16</v>
      </c>
      <c r="C38" s="89"/>
      <c r="D38" s="89"/>
    </row>
    <row r="39" spans="2:4">
      <c r="C39" s="89"/>
      <c r="D39" s="89"/>
    </row>
    <row r="40" spans="2:4">
      <c r="B40" s="6" t="s">
        <v>54</v>
      </c>
      <c r="C40" s="89"/>
      <c r="D40" s="89"/>
    </row>
    <row r="41" spans="2:4">
      <c r="B41" t="s">
        <v>3</v>
      </c>
      <c r="C41" s="89"/>
      <c r="D41" s="89"/>
    </row>
    <row r="42" spans="2:4">
      <c r="B42" s="9">
        <v>2009</v>
      </c>
      <c r="C42" s="89"/>
      <c r="D42" s="89"/>
    </row>
    <row r="43" spans="2:4">
      <c r="B43" t="s">
        <v>36</v>
      </c>
      <c r="C43" s="89"/>
      <c r="D43" s="89"/>
    </row>
    <row r="44" spans="2:4">
      <c r="B44" s="19" t="s">
        <v>37</v>
      </c>
      <c r="C44" s="89"/>
      <c r="D44" s="89"/>
    </row>
    <row r="45" spans="2:4">
      <c r="B45" t="s">
        <v>38</v>
      </c>
      <c r="C45" s="89"/>
      <c r="D45" s="89"/>
    </row>
    <row r="46" spans="2:4">
      <c r="C46" s="89"/>
      <c r="D46" s="89"/>
    </row>
    <row r="47" spans="2:4">
      <c r="B47" s="77" t="s">
        <v>208</v>
      </c>
      <c r="C47" s="89"/>
      <c r="D47" s="89"/>
    </row>
    <row r="48" spans="2:4">
      <c r="B48" s="9">
        <v>2025</v>
      </c>
      <c r="C48" s="89"/>
      <c r="D48" s="89"/>
    </row>
    <row r="49" spans="1:4">
      <c r="B49" t="s">
        <v>209</v>
      </c>
      <c r="C49" s="89"/>
      <c r="D49" s="89"/>
    </row>
    <row r="50" spans="1:4">
      <c r="B50" t="s">
        <v>211</v>
      </c>
      <c r="C50" s="89"/>
      <c r="D50" s="89"/>
    </row>
    <row r="51" spans="1:4">
      <c r="B51" t="s">
        <v>210</v>
      </c>
      <c r="C51" s="89"/>
      <c r="D51" s="89"/>
    </row>
    <row r="52" spans="1:4">
      <c r="B52" t="s">
        <v>212</v>
      </c>
      <c r="C52" s="89"/>
      <c r="D52" s="89"/>
    </row>
    <row r="53" spans="1:4">
      <c r="A53" s="90" t="s">
        <v>996</v>
      </c>
      <c r="B53" s="89"/>
      <c r="C53" s="89"/>
      <c r="D53" s="89"/>
    </row>
    <row r="54" spans="1:4" ht="105">
      <c r="A54" s="95" t="s">
        <v>997</v>
      </c>
      <c r="B54" s="92" t="s">
        <v>998</v>
      </c>
      <c r="C54" s="89"/>
      <c r="D54" s="89"/>
    </row>
    <row r="55" spans="1:4" ht="30">
      <c r="A55" s="95" t="s">
        <v>999</v>
      </c>
      <c r="B55" s="92" t="s">
        <v>1000</v>
      </c>
      <c r="C55" s="89"/>
      <c r="D55" s="89"/>
    </row>
    <row r="56" spans="1:4" ht="30">
      <c r="A56" s="95" t="s">
        <v>1001</v>
      </c>
      <c r="B56" s="92" t="s">
        <v>1002</v>
      </c>
      <c r="C56" s="89"/>
      <c r="D56" s="89"/>
    </row>
    <row r="57" spans="1:4" ht="60">
      <c r="A57" s="95" t="s">
        <v>1003</v>
      </c>
      <c r="B57" s="92" t="s">
        <v>1004</v>
      </c>
      <c r="C57" s="89"/>
      <c r="D57" s="89"/>
    </row>
    <row r="58" spans="1:4" ht="30">
      <c r="A58" s="95" t="s">
        <v>1005</v>
      </c>
      <c r="B58" s="92" t="s">
        <v>1006</v>
      </c>
      <c r="C58" s="89"/>
      <c r="D58" s="89"/>
    </row>
    <row r="59" spans="1:4" ht="30">
      <c r="A59" s="95" t="s">
        <v>1007</v>
      </c>
      <c r="B59" s="92" t="s">
        <v>1008</v>
      </c>
      <c r="C59" s="89"/>
      <c r="D59" s="89"/>
    </row>
    <row r="60" spans="1:4" ht="60">
      <c r="A60" s="95" t="s">
        <v>1009</v>
      </c>
      <c r="B60" s="92" t="s">
        <v>1010</v>
      </c>
      <c r="C60" s="89"/>
      <c r="D60" s="89"/>
    </row>
    <row r="61" spans="1:4" ht="45">
      <c r="A61" s="95" t="s">
        <v>1011</v>
      </c>
      <c r="B61" s="92" t="s">
        <v>1012</v>
      </c>
      <c r="C61" s="89"/>
      <c r="D61" s="89"/>
    </row>
    <row r="62" spans="1:4" ht="45">
      <c r="A62" s="95" t="s">
        <v>1013</v>
      </c>
      <c r="B62" s="92" t="s">
        <v>1014</v>
      </c>
      <c r="C62" s="89"/>
      <c r="D62" s="89"/>
    </row>
    <row r="63" spans="1:4">
      <c r="A63" s="95" t="s">
        <v>1015</v>
      </c>
      <c r="B63" s="92" t="s">
        <v>1016</v>
      </c>
      <c r="C63" s="89"/>
      <c r="D63" s="89"/>
    </row>
    <row r="64" spans="1:4" ht="60">
      <c r="A64" s="95" t="s">
        <v>1017</v>
      </c>
      <c r="B64" s="92" t="s">
        <v>1018</v>
      </c>
      <c r="C64" s="89"/>
      <c r="D64" s="89"/>
    </row>
    <row r="65" spans="1:4">
      <c r="A65" s="89"/>
      <c r="B65" s="89"/>
      <c r="C65" s="89"/>
      <c r="D65" s="89"/>
    </row>
    <row r="66" spans="1:4">
      <c r="A66" s="89"/>
      <c r="B66" s="89"/>
      <c r="C66" s="89"/>
      <c r="D66" s="89"/>
    </row>
    <row r="67" spans="1:4">
      <c r="A67" s="89"/>
      <c r="B67" s="89"/>
      <c r="C67" s="89"/>
      <c r="D67" s="89"/>
    </row>
    <row r="68" spans="1:4">
      <c r="A68" s="89"/>
      <c r="B68" s="89"/>
      <c r="C68" s="89"/>
      <c r="D68" s="89"/>
    </row>
    <row r="69" spans="1:4">
      <c r="A69" s="89"/>
      <c r="B69" s="89"/>
      <c r="C69" s="89"/>
      <c r="D69" s="89"/>
    </row>
    <row r="70" spans="1:4">
      <c r="A70" s="89"/>
      <c r="B70" s="89"/>
      <c r="C70" s="89"/>
      <c r="D70" s="89"/>
    </row>
    <row r="71" spans="1:4">
      <c r="A71" s="89"/>
      <c r="B71" s="89"/>
      <c r="C71" s="89"/>
      <c r="D71" s="89"/>
    </row>
    <row r="72" spans="1:4">
      <c r="A72" s="89"/>
      <c r="B72" s="89"/>
      <c r="C72" s="89"/>
      <c r="D72" s="89"/>
    </row>
    <row r="73" spans="1:4">
      <c r="A73" s="89"/>
      <c r="B73" s="89"/>
      <c r="C73" s="89"/>
      <c r="D73" s="89"/>
    </row>
    <row r="74" spans="1:4">
      <c r="A74" s="89"/>
      <c r="B74" s="89"/>
      <c r="C74" s="89"/>
      <c r="D74" s="89"/>
    </row>
    <row r="75" spans="1:4">
      <c r="A75" s="89"/>
      <c r="B75" s="89"/>
      <c r="C75" s="89"/>
      <c r="D75" s="89"/>
    </row>
    <row r="76" spans="1:4">
      <c r="A76" s="89"/>
      <c r="B76" s="89"/>
      <c r="C76" s="89"/>
      <c r="D76" s="89"/>
    </row>
    <row r="77" spans="1:4">
      <c r="A77" s="89"/>
      <c r="B77" s="89"/>
      <c r="C77" s="89"/>
      <c r="D77" s="89"/>
    </row>
    <row r="78" spans="1:4">
      <c r="A78" s="89"/>
      <c r="B78" s="89"/>
      <c r="C78" s="89"/>
      <c r="D78" s="89"/>
    </row>
    <row r="79" spans="1:4">
      <c r="A79" s="89"/>
      <c r="B79" s="89"/>
      <c r="C79" s="89"/>
      <c r="D79" s="89"/>
    </row>
    <row r="80" spans="1:4">
      <c r="A80" s="89"/>
      <c r="B80" s="89"/>
      <c r="C80" s="89"/>
      <c r="D80" s="89"/>
    </row>
    <row r="81" spans="1:4">
      <c r="A81" s="89"/>
      <c r="B81" s="89"/>
      <c r="C81" s="89"/>
      <c r="D81" s="89"/>
    </row>
    <row r="82" spans="1:4">
      <c r="A82" s="89"/>
      <c r="B82" s="89"/>
      <c r="C82" s="89"/>
      <c r="D82" s="89"/>
    </row>
    <row r="83" spans="1:4">
      <c r="A83" s="89"/>
      <c r="B83" s="89"/>
      <c r="C83" s="89"/>
      <c r="D83" s="89"/>
    </row>
    <row r="84" spans="1:4">
      <c r="A84" s="89"/>
      <c r="B84" s="89"/>
      <c r="C84" s="89"/>
      <c r="D84" s="89"/>
    </row>
    <row r="85" spans="1:4">
      <c r="A85" s="89"/>
      <c r="B85" s="89"/>
      <c r="C85" s="89"/>
      <c r="D85" s="89"/>
    </row>
    <row r="86" spans="1:4">
      <c r="A86" s="89"/>
      <c r="B86" s="89"/>
      <c r="C86" s="89"/>
      <c r="D86" s="89"/>
    </row>
    <row r="87" spans="1:4">
      <c r="A87" s="89"/>
      <c r="B87" s="89"/>
      <c r="C87" s="89"/>
      <c r="D87" s="89"/>
    </row>
    <row r="88" spans="1:4">
      <c r="A88" s="89"/>
      <c r="B88" s="89"/>
      <c r="C88" s="89"/>
      <c r="D88" s="89"/>
    </row>
    <row r="89" spans="1:4">
      <c r="A89" s="89"/>
      <c r="B89" s="89"/>
      <c r="C89" s="89"/>
      <c r="D89" s="89"/>
    </row>
    <row r="90" spans="1:4">
      <c r="A90" s="89"/>
      <c r="B90" s="89"/>
      <c r="C90" s="89"/>
      <c r="D90" s="89"/>
    </row>
    <row r="91" spans="1:4">
      <c r="A91" s="89"/>
      <c r="B91" s="89"/>
      <c r="C91" s="89"/>
      <c r="D91" s="89"/>
    </row>
    <row r="92" spans="1:4">
      <c r="A92" s="89"/>
      <c r="B92" s="89"/>
      <c r="C92" s="89"/>
      <c r="D92" s="89"/>
    </row>
    <row r="93" spans="1:4">
      <c r="A93" s="89"/>
      <c r="B93" s="89"/>
      <c r="C93" s="89"/>
      <c r="D93" s="89"/>
    </row>
    <row r="94" spans="1:4">
      <c r="A94" s="89"/>
      <c r="B94" s="89"/>
      <c r="C94" s="89"/>
      <c r="D94" s="89"/>
    </row>
    <row r="95" spans="1:4">
      <c r="A95" s="89"/>
      <c r="B95" s="89"/>
      <c r="C95" s="89"/>
      <c r="D95" s="89"/>
    </row>
    <row r="96" spans="1:4">
      <c r="A96" s="89"/>
      <c r="B96" s="89"/>
      <c r="C96" s="89"/>
      <c r="D96" s="89"/>
    </row>
    <row r="97" spans="1:4">
      <c r="A97" s="89"/>
      <c r="B97" s="89"/>
      <c r="C97" s="89"/>
      <c r="D97" s="89"/>
    </row>
    <row r="98" spans="1:4">
      <c r="A98" s="89"/>
      <c r="B98" s="89"/>
      <c r="C98" s="89"/>
      <c r="D98" s="89"/>
    </row>
    <row r="99" spans="1:4">
      <c r="A99" s="89"/>
      <c r="B99" s="89"/>
      <c r="C99" s="89"/>
      <c r="D99" s="89"/>
    </row>
    <row r="100" spans="1:4">
      <c r="A100" s="89"/>
      <c r="B100" s="89"/>
      <c r="C100" s="89"/>
      <c r="D100" s="89"/>
    </row>
  </sheetData>
  <hyperlinks>
    <hyperlink ref="B37" r:id="rId1" xr:uid="{00000000-0004-0000-0000-000001000000}"/>
    <hyperlink ref="B44" r:id="rId2" xr:uid="{00000000-0004-0000-0000-000002000000}"/>
    <hyperlink ref="B24" r:id="rId3" xr:uid="{00000000-0004-0000-0000-000003000000}"/>
    <hyperlink ref="D7" r:id="rId4" xr:uid="{AE1ED473-C317-4586-8E7C-3913E3678FE3}"/>
    <hyperlink ref="D14" r:id="rId5" xr:uid="{725E843F-0466-43B7-BE3B-C86AEC1AAA77}"/>
    <hyperlink ref="D21" r:id="rId6" xr:uid="{B6D2E4AD-8691-46A9-9BA3-B045ED4BD49F}"/>
    <hyperlink ref="D28" r:id="rId7" xr:uid="{E456897A-BD69-4CA1-965E-BFF63C5FB74A}"/>
  </hyperlinks>
  <pageMargins left="0.7" right="0.7" top="0.75" bottom="0.75" header="0.3" footer="0.3"/>
  <pageSetup orientation="portrait" horizontalDpi="1200" verticalDpi="120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C4A93-28F7-4CED-928D-DBC0E004F0EE}">
  <sheetPr>
    <tabColor theme="0" tint="-0.499984740745262"/>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29"/>
  <sheetViews>
    <sheetView workbookViewId="0">
      <selection sqref="A1:AB1"/>
    </sheetView>
  </sheetViews>
  <sheetFormatPr defaultColWidth="9.140625" defaultRowHeight="15"/>
  <cols>
    <col min="1" max="1" width="19.42578125" customWidth="1"/>
    <col min="2" max="27" width="7.85546875" customWidth="1"/>
    <col min="28" max="28" width="7.140625" customWidth="1"/>
  </cols>
  <sheetData>
    <row r="1" spans="1:54" ht="16.5" customHeight="1" thickBot="1">
      <c r="A1" s="85" t="s">
        <v>60</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6.5" customHeight="1">
      <c r="A2" s="38"/>
      <c r="B2" s="39">
        <v>1980</v>
      </c>
      <c r="C2" s="40">
        <v>1985</v>
      </c>
      <c r="D2" s="40">
        <v>1990</v>
      </c>
      <c r="E2" s="40">
        <v>1991</v>
      </c>
      <c r="F2" s="40">
        <v>1992</v>
      </c>
      <c r="G2" s="40">
        <v>1993</v>
      </c>
      <c r="H2" s="40">
        <v>1994</v>
      </c>
      <c r="I2" s="40">
        <v>1995</v>
      </c>
      <c r="J2" s="40">
        <v>1996</v>
      </c>
      <c r="K2" s="40">
        <v>1997</v>
      </c>
      <c r="L2" s="40">
        <v>1998</v>
      </c>
      <c r="M2" s="40">
        <v>1999</v>
      </c>
      <c r="N2" s="40">
        <v>2000</v>
      </c>
      <c r="O2" s="40">
        <v>2001</v>
      </c>
      <c r="P2" s="40">
        <v>2002</v>
      </c>
      <c r="Q2" s="40">
        <v>2003</v>
      </c>
      <c r="R2" s="40">
        <v>2004</v>
      </c>
      <c r="S2" s="40">
        <v>2005</v>
      </c>
      <c r="T2" s="40">
        <v>2006</v>
      </c>
      <c r="U2" s="40">
        <v>2007</v>
      </c>
      <c r="V2" s="40">
        <v>2008</v>
      </c>
      <c r="W2" s="40">
        <v>2009</v>
      </c>
      <c r="X2" s="40">
        <v>2010</v>
      </c>
      <c r="Y2" s="40">
        <v>2011</v>
      </c>
      <c r="Z2" s="41">
        <v>2012</v>
      </c>
      <c r="AA2" s="40">
        <v>2013</v>
      </c>
      <c r="AB2" s="42">
        <v>2014</v>
      </c>
      <c r="AC2" s="43"/>
      <c r="AD2" s="44"/>
      <c r="AE2" s="44"/>
      <c r="AF2" s="44"/>
      <c r="AG2" s="44"/>
      <c r="AH2" s="44"/>
      <c r="AI2" s="44"/>
      <c r="AJ2" s="44"/>
      <c r="AK2" s="44"/>
      <c r="AL2" s="44"/>
      <c r="AM2" s="44"/>
      <c r="AN2" s="44"/>
      <c r="AO2" s="44"/>
      <c r="AP2" s="44"/>
      <c r="AQ2" s="44"/>
      <c r="AR2" s="44"/>
      <c r="AS2" s="44"/>
      <c r="AT2" s="44"/>
      <c r="AU2" s="45"/>
      <c r="AV2" s="45"/>
      <c r="AW2" s="45"/>
      <c r="AX2" s="45"/>
      <c r="AY2" s="45"/>
      <c r="AZ2" s="45"/>
      <c r="BA2" s="45"/>
      <c r="BB2" s="46"/>
    </row>
    <row r="3" spans="1:54" ht="16.5" customHeight="1">
      <c r="A3" s="47" t="s">
        <v>61</v>
      </c>
      <c r="B3" s="48">
        <v>11306</v>
      </c>
      <c r="C3" s="48">
        <v>14460</v>
      </c>
      <c r="D3" s="48">
        <v>12615</v>
      </c>
      <c r="E3" s="48">
        <v>12573</v>
      </c>
      <c r="F3" s="48">
        <v>12172</v>
      </c>
      <c r="G3" s="48">
        <v>13211</v>
      </c>
      <c r="H3" s="48">
        <v>14125</v>
      </c>
      <c r="I3" s="48">
        <v>15145</v>
      </c>
      <c r="J3" s="48">
        <v>13144</v>
      </c>
      <c r="K3" s="48">
        <v>14458</v>
      </c>
      <c r="L3" s="48">
        <v>14456</v>
      </c>
      <c r="M3" s="48">
        <v>15215</v>
      </c>
      <c r="N3" s="48">
        <v>16571</v>
      </c>
      <c r="O3" s="48">
        <v>15605</v>
      </c>
      <c r="P3" s="48">
        <v>16115</v>
      </c>
      <c r="Q3" s="48">
        <v>15773</v>
      </c>
      <c r="R3" s="48">
        <v>15709</v>
      </c>
      <c r="S3" s="48">
        <v>15892</v>
      </c>
      <c r="T3" s="48">
        <v>15104</v>
      </c>
      <c r="U3" s="48">
        <v>15276</v>
      </c>
      <c r="V3" s="48">
        <v>13898</v>
      </c>
      <c r="W3" s="48">
        <v>9316</v>
      </c>
      <c r="X3" s="48">
        <v>11110</v>
      </c>
      <c r="Y3" s="48">
        <v>12003</v>
      </c>
      <c r="Z3" s="48">
        <v>13438</v>
      </c>
      <c r="AA3" s="48">
        <v>14846</v>
      </c>
      <c r="AB3" s="49" t="s">
        <v>62</v>
      </c>
      <c r="AC3" s="47"/>
      <c r="AD3" s="48"/>
      <c r="AE3" s="48"/>
      <c r="AF3" s="48"/>
      <c r="AG3" s="48"/>
      <c r="AH3" s="48"/>
      <c r="AI3" s="48"/>
      <c r="AJ3" s="48"/>
      <c r="AK3" s="48"/>
      <c r="AL3" s="48"/>
      <c r="AM3" s="48"/>
      <c r="AN3" s="48"/>
      <c r="AO3" s="48"/>
      <c r="AP3" s="48"/>
      <c r="AQ3" s="48"/>
      <c r="AR3" s="48"/>
      <c r="AS3" s="48"/>
      <c r="AT3" s="48"/>
      <c r="AU3" s="48"/>
      <c r="AV3" s="48"/>
      <c r="AW3" s="48"/>
      <c r="AX3" s="48"/>
      <c r="AY3" s="48"/>
      <c r="AZ3" s="48"/>
      <c r="BA3" s="48"/>
      <c r="BB3" s="48"/>
    </row>
    <row r="4" spans="1:54" ht="16.5" customHeight="1">
      <c r="A4" s="50" t="s">
        <v>63</v>
      </c>
      <c r="B4" s="51">
        <v>9443</v>
      </c>
      <c r="C4" s="51">
        <v>10791</v>
      </c>
      <c r="D4" s="51">
        <v>8810</v>
      </c>
      <c r="E4" s="51">
        <v>8524</v>
      </c>
      <c r="F4" s="51">
        <v>8108</v>
      </c>
      <c r="G4" s="51">
        <v>8456</v>
      </c>
      <c r="H4" s="51">
        <v>8415</v>
      </c>
      <c r="I4" s="51">
        <v>9396</v>
      </c>
      <c r="J4" s="51">
        <v>7890</v>
      </c>
      <c r="K4" s="51">
        <v>8334</v>
      </c>
      <c r="L4" s="51">
        <v>7971</v>
      </c>
      <c r="M4" s="51">
        <v>8376</v>
      </c>
      <c r="N4" s="51">
        <v>9125</v>
      </c>
      <c r="O4" s="51">
        <v>8405</v>
      </c>
      <c r="P4" s="51">
        <v>8301</v>
      </c>
      <c r="Q4" s="51">
        <v>7921</v>
      </c>
      <c r="R4" s="51">
        <v>7537</v>
      </c>
      <c r="S4" s="51">
        <v>8027</v>
      </c>
      <c r="T4" s="51">
        <v>7993</v>
      </c>
      <c r="U4" s="51">
        <v>8082</v>
      </c>
      <c r="V4" s="51">
        <v>7319</v>
      </c>
      <c r="W4" s="51">
        <v>5636</v>
      </c>
      <c r="X4" s="51">
        <v>6055</v>
      </c>
      <c r="Y4" s="52">
        <v>5728</v>
      </c>
      <c r="Z4" s="52">
        <v>7379</v>
      </c>
      <c r="AA4" s="52">
        <v>7907</v>
      </c>
      <c r="AB4" s="51" t="s">
        <v>62</v>
      </c>
      <c r="AC4" s="50"/>
      <c r="AD4" s="51"/>
      <c r="AE4" s="51"/>
      <c r="AF4" s="51"/>
      <c r="AG4" s="51"/>
      <c r="AH4" s="51"/>
      <c r="AI4" s="51"/>
      <c r="AJ4" s="51"/>
      <c r="AK4" s="51"/>
      <c r="AL4" s="51"/>
      <c r="AM4" s="51"/>
      <c r="AN4" s="51"/>
      <c r="AO4" s="51"/>
      <c r="AP4" s="51"/>
      <c r="AQ4" s="51"/>
      <c r="AR4" s="51"/>
      <c r="AS4" s="51"/>
      <c r="AT4" s="51"/>
      <c r="AU4" s="51"/>
      <c r="AV4" s="51"/>
      <c r="AW4" s="51"/>
      <c r="AX4" s="51"/>
      <c r="AY4" s="51"/>
      <c r="AZ4" s="51"/>
      <c r="BA4" s="52"/>
      <c r="BB4" s="52"/>
    </row>
    <row r="5" spans="1:54" ht="16.5" customHeight="1">
      <c r="A5" s="50" t="s">
        <v>64</v>
      </c>
      <c r="B5" s="51">
        <v>0</v>
      </c>
      <c r="C5" s="51">
        <v>88</v>
      </c>
      <c r="D5" s="51">
        <v>65</v>
      </c>
      <c r="E5" s="51">
        <v>224</v>
      </c>
      <c r="F5" s="51">
        <v>243</v>
      </c>
      <c r="G5" s="51">
        <v>473</v>
      </c>
      <c r="H5" s="51">
        <v>332</v>
      </c>
      <c r="I5" s="51">
        <v>220</v>
      </c>
      <c r="J5" s="51">
        <v>287</v>
      </c>
      <c r="K5" s="51">
        <v>361</v>
      </c>
      <c r="L5" s="51">
        <v>454</v>
      </c>
      <c r="M5" s="51">
        <v>488</v>
      </c>
      <c r="N5" s="51">
        <v>617</v>
      </c>
      <c r="O5" s="51">
        <v>743</v>
      </c>
      <c r="P5" s="51">
        <v>603</v>
      </c>
      <c r="Q5" s="51">
        <v>575</v>
      </c>
      <c r="R5" s="51">
        <v>639</v>
      </c>
      <c r="S5" s="51">
        <v>813</v>
      </c>
      <c r="T5" s="51">
        <v>751</v>
      </c>
      <c r="U5" s="51">
        <v>919</v>
      </c>
      <c r="V5" s="51">
        <v>924</v>
      </c>
      <c r="W5" s="51">
        <v>608</v>
      </c>
      <c r="X5" s="51">
        <v>915</v>
      </c>
      <c r="Y5" s="52">
        <v>1207</v>
      </c>
      <c r="Z5" s="52">
        <v>1269</v>
      </c>
      <c r="AA5" s="52">
        <v>1470</v>
      </c>
      <c r="AB5" s="51" t="s">
        <v>62</v>
      </c>
      <c r="AC5" s="50"/>
      <c r="AD5" s="51"/>
      <c r="AE5" s="51"/>
      <c r="AF5" s="51"/>
      <c r="AG5" s="51"/>
      <c r="AH5" s="51"/>
      <c r="AI5" s="51"/>
      <c r="AJ5" s="51"/>
      <c r="AK5" s="51"/>
      <c r="AL5" s="51"/>
      <c r="AM5" s="51"/>
      <c r="AN5" s="51"/>
      <c r="AO5" s="51"/>
      <c r="AP5" s="51"/>
      <c r="AQ5" s="51"/>
      <c r="AR5" s="51"/>
      <c r="AS5" s="51"/>
      <c r="AT5" s="51"/>
      <c r="AU5" s="51"/>
      <c r="AV5" s="51"/>
      <c r="AW5" s="51"/>
      <c r="AX5" s="51"/>
      <c r="AY5" s="51"/>
      <c r="AZ5" s="51"/>
      <c r="BA5" s="52"/>
      <c r="BB5" s="52"/>
    </row>
    <row r="6" spans="1:54" ht="16.5" customHeight="1">
      <c r="A6" s="50" t="s">
        <v>65</v>
      </c>
      <c r="B6" s="51">
        <v>1437</v>
      </c>
      <c r="C6" s="51">
        <v>2078</v>
      </c>
      <c r="D6" s="51">
        <v>1835</v>
      </c>
      <c r="E6" s="51">
        <v>1920</v>
      </c>
      <c r="F6" s="51">
        <v>1840</v>
      </c>
      <c r="G6" s="51">
        <v>2002</v>
      </c>
      <c r="H6" s="51">
        <v>2669</v>
      </c>
      <c r="I6" s="51">
        <v>2271</v>
      </c>
      <c r="J6" s="51">
        <v>1955</v>
      </c>
      <c r="K6" s="51">
        <v>2408</v>
      </c>
      <c r="L6" s="51">
        <v>2415</v>
      </c>
      <c r="M6" s="51">
        <v>2544</v>
      </c>
      <c r="N6" s="51">
        <v>2612</v>
      </c>
      <c r="O6" s="51">
        <v>2519</v>
      </c>
      <c r="P6" s="51">
        <v>2380</v>
      </c>
      <c r="Q6" s="51">
        <v>2474</v>
      </c>
      <c r="R6" s="51">
        <v>2505</v>
      </c>
      <c r="S6" s="51">
        <v>2300</v>
      </c>
      <c r="T6" s="51">
        <v>2188</v>
      </c>
      <c r="U6" s="51">
        <v>2113</v>
      </c>
      <c r="V6" s="51">
        <v>1794</v>
      </c>
      <c r="W6" s="51">
        <v>989</v>
      </c>
      <c r="X6" s="51">
        <v>1276</v>
      </c>
      <c r="Y6" s="52">
        <v>1479</v>
      </c>
      <c r="Z6" s="52">
        <v>1357</v>
      </c>
      <c r="AA6" s="52">
        <v>1577</v>
      </c>
      <c r="AB6" s="51" t="s">
        <v>62</v>
      </c>
      <c r="AC6" s="50"/>
      <c r="AD6" s="51"/>
      <c r="AE6" s="51"/>
      <c r="AF6" s="51"/>
      <c r="AG6" s="51"/>
      <c r="AH6" s="51"/>
      <c r="AI6" s="51"/>
      <c r="AJ6" s="51"/>
      <c r="AK6" s="51"/>
      <c r="AL6" s="51"/>
      <c r="AM6" s="51"/>
      <c r="AN6" s="51"/>
      <c r="AO6" s="51"/>
      <c r="AP6" s="51"/>
      <c r="AQ6" s="51"/>
      <c r="AR6" s="51"/>
      <c r="AS6" s="51"/>
      <c r="AT6" s="51"/>
      <c r="AU6" s="51"/>
      <c r="AV6" s="51"/>
      <c r="AW6" s="51"/>
      <c r="AX6" s="51"/>
      <c r="AY6" s="51"/>
      <c r="AZ6" s="51"/>
      <c r="BA6" s="52"/>
      <c r="BB6" s="52"/>
    </row>
    <row r="7" spans="1:54" ht="16.5" customHeight="1">
      <c r="A7" s="50" t="s">
        <v>66</v>
      </c>
      <c r="B7" s="51">
        <v>242</v>
      </c>
      <c r="C7" s="51">
        <v>855</v>
      </c>
      <c r="D7" s="51">
        <v>1262</v>
      </c>
      <c r="E7" s="51">
        <v>1034</v>
      </c>
      <c r="F7" s="51">
        <v>1221</v>
      </c>
      <c r="G7" s="51">
        <v>1441</v>
      </c>
      <c r="H7" s="51">
        <v>1418</v>
      </c>
      <c r="I7" s="51">
        <v>1662</v>
      </c>
      <c r="J7" s="51">
        <v>1409</v>
      </c>
      <c r="K7" s="51">
        <v>1265</v>
      </c>
      <c r="L7" s="51">
        <v>1489</v>
      </c>
      <c r="M7" s="51">
        <v>1463</v>
      </c>
      <c r="N7" s="51">
        <v>1691</v>
      </c>
      <c r="O7" s="51">
        <v>1232</v>
      </c>
      <c r="P7" s="51">
        <v>1243</v>
      </c>
      <c r="Q7" s="51">
        <v>1232</v>
      </c>
      <c r="R7" s="51">
        <v>953</v>
      </c>
      <c r="S7" s="51">
        <v>1481</v>
      </c>
      <c r="T7" s="51">
        <v>1166</v>
      </c>
      <c r="U7" s="51">
        <v>847</v>
      </c>
      <c r="V7" s="51">
        <v>790</v>
      </c>
      <c r="W7" s="51">
        <v>368</v>
      </c>
      <c r="X7" s="51">
        <v>559</v>
      </c>
      <c r="Y7" s="52">
        <v>521</v>
      </c>
      <c r="Z7" s="52">
        <v>661</v>
      </c>
      <c r="AA7" s="52">
        <v>571</v>
      </c>
      <c r="AB7" s="51" t="s">
        <v>62</v>
      </c>
      <c r="AC7" s="50"/>
      <c r="AD7" s="51"/>
      <c r="AE7" s="51"/>
      <c r="AF7" s="51"/>
      <c r="AG7" s="51"/>
      <c r="AH7" s="51"/>
      <c r="AI7" s="51"/>
      <c r="AJ7" s="51"/>
      <c r="AK7" s="51"/>
      <c r="AL7" s="51"/>
      <c r="AM7" s="51"/>
      <c r="AN7" s="51"/>
      <c r="AO7" s="51"/>
      <c r="AP7" s="51"/>
      <c r="AQ7" s="51"/>
      <c r="AR7" s="51"/>
      <c r="AS7" s="51"/>
      <c r="AT7" s="51"/>
      <c r="AU7" s="51"/>
      <c r="AV7" s="51"/>
      <c r="AW7" s="51"/>
      <c r="AX7" s="51"/>
      <c r="AY7" s="51"/>
      <c r="AZ7" s="51"/>
      <c r="BA7" s="52"/>
      <c r="BB7" s="52"/>
    </row>
    <row r="8" spans="1:54" ht="16.5" customHeight="1">
      <c r="A8" s="50" t="s">
        <v>67</v>
      </c>
      <c r="B8" s="51">
        <v>184</v>
      </c>
      <c r="C8" s="51">
        <v>648</v>
      </c>
      <c r="D8" s="51">
        <v>643</v>
      </c>
      <c r="E8" s="51">
        <v>871</v>
      </c>
      <c r="F8" s="51">
        <v>761</v>
      </c>
      <c r="G8" s="51">
        <v>838</v>
      </c>
      <c r="H8" s="51">
        <v>1291</v>
      </c>
      <c r="I8" s="51">
        <v>1596</v>
      </c>
      <c r="J8" s="51">
        <v>1603</v>
      </c>
      <c r="K8" s="51">
        <v>2089</v>
      </c>
      <c r="L8" s="51">
        <v>2127</v>
      </c>
      <c r="M8" s="51">
        <v>2342</v>
      </c>
      <c r="N8" s="51">
        <v>2526</v>
      </c>
      <c r="O8" s="51">
        <v>2707</v>
      </c>
      <c r="P8" s="51">
        <v>3588</v>
      </c>
      <c r="Q8" s="51">
        <v>3571</v>
      </c>
      <c r="R8" s="51">
        <v>4075</v>
      </c>
      <c r="S8" s="51">
        <v>3272</v>
      </c>
      <c r="T8" s="51">
        <v>3006</v>
      </c>
      <c r="U8" s="51">
        <v>3314</v>
      </c>
      <c r="V8" s="51">
        <v>3072</v>
      </c>
      <c r="W8" s="51">
        <v>1713</v>
      </c>
      <c r="X8" s="51">
        <v>2305</v>
      </c>
      <c r="Y8" s="52">
        <v>3069</v>
      </c>
      <c r="Z8" s="52">
        <v>2773</v>
      </c>
      <c r="AA8" s="52">
        <v>3321</v>
      </c>
      <c r="AB8" s="51" t="s">
        <v>62</v>
      </c>
      <c r="AC8" s="50"/>
      <c r="AD8" s="51"/>
      <c r="AE8" s="51"/>
      <c r="AF8" s="51"/>
      <c r="AG8" s="51"/>
      <c r="AH8" s="51"/>
      <c r="AI8" s="51"/>
      <c r="AJ8" s="51"/>
      <c r="AK8" s="51"/>
      <c r="AL8" s="51"/>
      <c r="AM8" s="51"/>
      <c r="AN8" s="51"/>
      <c r="AO8" s="51"/>
      <c r="AP8" s="51"/>
      <c r="AQ8" s="51"/>
      <c r="AR8" s="51"/>
      <c r="AS8" s="51"/>
      <c r="AT8" s="51"/>
      <c r="AU8" s="51"/>
      <c r="AV8" s="51"/>
      <c r="AW8" s="51"/>
      <c r="AX8" s="51"/>
      <c r="AY8" s="51"/>
      <c r="AZ8" s="51"/>
      <c r="BA8" s="52"/>
      <c r="BB8" s="52"/>
    </row>
    <row r="9" spans="1:54" ht="16.5" customHeight="1">
      <c r="A9" s="53" t="s">
        <v>68</v>
      </c>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3"/>
      <c r="AD9" s="54"/>
      <c r="AE9" s="54"/>
      <c r="AF9" s="54"/>
      <c r="AG9" s="54"/>
      <c r="AH9" s="54"/>
      <c r="AI9" s="54"/>
      <c r="AJ9" s="54"/>
      <c r="AK9" s="54"/>
      <c r="AL9" s="54"/>
      <c r="AM9" s="54"/>
      <c r="AN9" s="54"/>
      <c r="AO9" s="54"/>
      <c r="AP9" s="54"/>
      <c r="AQ9" s="54"/>
      <c r="AR9" s="54"/>
      <c r="AS9" s="54"/>
      <c r="AT9" s="54"/>
      <c r="AU9" s="54"/>
      <c r="AV9" s="54"/>
      <c r="AW9" s="54"/>
      <c r="AX9" s="54"/>
      <c r="AY9" s="54"/>
      <c r="AZ9" s="54"/>
      <c r="BA9" s="54"/>
      <c r="BB9" s="54"/>
    </row>
    <row r="10" spans="1:54" ht="16.5" customHeight="1">
      <c r="A10" s="50" t="s">
        <v>63</v>
      </c>
      <c r="B10" s="55">
        <f>B4/B$3*100</f>
        <v>83.522023704227848</v>
      </c>
      <c r="C10" s="55">
        <f>C4/C$3*100</f>
        <v>74.626556016597505</v>
      </c>
      <c r="D10" s="55">
        <v>69.8</v>
      </c>
      <c r="E10" s="55">
        <v>67.800000000000011</v>
      </c>
      <c r="F10" s="55">
        <v>66.600000000000009</v>
      </c>
      <c r="G10" s="55">
        <v>64</v>
      </c>
      <c r="H10" s="55">
        <v>59.599999999999994</v>
      </c>
      <c r="I10" s="55">
        <v>62</v>
      </c>
      <c r="J10" s="55">
        <v>60</v>
      </c>
      <c r="K10" s="55">
        <v>57.599999999999994</v>
      </c>
      <c r="L10" s="55">
        <v>55.1</v>
      </c>
      <c r="M10" s="55">
        <v>55.1</v>
      </c>
      <c r="N10" s="55">
        <v>55.1</v>
      </c>
      <c r="O10" s="55">
        <v>53.900000000000006</v>
      </c>
      <c r="P10" s="55">
        <v>51.5</v>
      </c>
      <c r="Q10" s="55">
        <v>50.2</v>
      </c>
      <c r="R10" s="55">
        <v>48</v>
      </c>
      <c r="S10" s="55">
        <v>50.5</v>
      </c>
      <c r="T10" s="55">
        <v>52.900000000000006</v>
      </c>
      <c r="U10" s="55">
        <v>52.900000000000006</v>
      </c>
      <c r="V10" s="55">
        <v>52.7</v>
      </c>
      <c r="W10" s="55">
        <v>60.5</v>
      </c>
      <c r="X10" s="55">
        <v>54.500000000000007</v>
      </c>
      <c r="Y10" s="55">
        <v>47.699999999999996</v>
      </c>
      <c r="Z10" s="55">
        <v>54.900000000000006</v>
      </c>
      <c r="AA10" s="55">
        <v>53.300000000000004</v>
      </c>
      <c r="AB10" s="55">
        <v>51.300000000000004</v>
      </c>
      <c r="AC10" s="50"/>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row>
    <row r="11" spans="1:54" ht="16.5" customHeight="1">
      <c r="A11" s="50" t="s">
        <v>64</v>
      </c>
      <c r="B11" s="55">
        <v>0</v>
      </c>
      <c r="C11" s="55">
        <v>0.6</v>
      </c>
      <c r="D11" s="55">
        <v>0.5</v>
      </c>
      <c r="E11" s="55">
        <v>1.7999999999999998</v>
      </c>
      <c r="F11" s="55">
        <v>2</v>
      </c>
      <c r="G11" s="55">
        <v>3.5999999999999996</v>
      </c>
      <c r="H11" s="55">
        <v>2.2999999999999998</v>
      </c>
      <c r="I11" s="55">
        <v>1.5</v>
      </c>
      <c r="J11" s="55">
        <v>2.1999999999999997</v>
      </c>
      <c r="K11" s="55">
        <v>2.5</v>
      </c>
      <c r="L11" s="55">
        <v>3.1</v>
      </c>
      <c r="M11" s="55">
        <v>3.2</v>
      </c>
      <c r="N11" s="55">
        <v>3.6999999999999997</v>
      </c>
      <c r="O11" s="55">
        <v>4.8</v>
      </c>
      <c r="P11" s="55">
        <v>3.6999999999999997</v>
      </c>
      <c r="Q11" s="55">
        <v>3.5999999999999996</v>
      </c>
      <c r="R11" s="55">
        <v>4.1000000000000005</v>
      </c>
      <c r="S11" s="55">
        <v>5.0999999999999996</v>
      </c>
      <c r="T11" s="55">
        <v>5</v>
      </c>
      <c r="U11" s="55">
        <v>6</v>
      </c>
      <c r="V11" s="55">
        <v>6.6000000000000005</v>
      </c>
      <c r="W11" s="55">
        <v>6.5</v>
      </c>
      <c r="X11" s="55">
        <v>8.2000000000000011</v>
      </c>
      <c r="Y11" s="55">
        <v>10.100000000000001</v>
      </c>
      <c r="Z11" s="55">
        <v>9.4</v>
      </c>
      <c r="AA11" s="55">
        <v>9.9</v>
      </c>
      <c r="AB11" s="55">
        <v>10</v>
      </c>
      <c r="AC11" s="50"/>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row>
    <row r="12" spans="1:54" ht="16.5" customHeight="1">
      <c r="A12" s="50" t="s">
        <v>65</v>
      </c>
      <c r="B12" s="57">
        <v>12.7</v>
      </c>
      <c r="C12" s="55">
        <v>14.399999999999999</v>
      </c>
      <c r="D12" s="55">
        <v>14.499999999999998</v>
      </c>
      <c r="E12" s="55">
        <v>15.299999999999999</v>
      </c>
      <c r="F12" s="55">
        <v>15.1</v>
      </c>
      <c r="G12" s="55">
        <v>15.2</v>
      </c>
      <c r="H12" s="55">
        <v>18.899999999999999</v>
      </c>
      <c r="I12" s="55">
        <v>15</v>
      </c>
      <c r="J12" s="55">
        <v>14.899999999999999</v>
      </c>
      <c r="K12" s="55">
        <v>16.7</v>
      </c>
      <c r="L12" s="55">
        <v>16.7</v>
      </c>
      <c r="M12" s="55">
        <v>16.7</v>
      </c>
      <c r="N12" s="55">
        <v>15.8</v>
      </c>
      <c r="O12" s="55">
        <v>16.100000000000001</v>
      </c>
      <c r="P12" s="55">
        <v>14.799999999999999</v>
      </c>
      <c r="Q12" s="55">
        <v>15.7</v>
      </c>
      <c r="R12" s="55">
        <v>15.9</v>
      </c>
      <c r="S12" s="55">
        <v>14.499999999999998</v>
      </c>
      <c r="T12" s="55">
        <v>14.499999999999998</v>
      </c>
      <c r="U12" s="55">
        <v>13.8</v>
      </c>
      <c r="V12" s="55">
        <v>12.9</v>
      </c>
      <c r="W12" s="55">
        <v>10.6</v>
      </c>
      <c r="X12" s="55">
        <v>11.5</v>
      </c>
      <c r="Y12" s="55">
        <v>12.3</v>
      </c>
      <c r="Z12" s="55">
        <v>10.100000000000001</v>
      </c>
      <c r="AA12" s="55">
        <v>10.6</v>
      </c>
      <c r="AB12" s="55">
        <v>11.5</v>
      </c>
      <c r="AC12" s="50"/>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row>
    <row r="13" spans="1:54" ht="16.5" customHeight="1">
      <c r="A13" s="50" t="s">
        <v>66</v>
      </c>
      <c r="B13" s="57">
        <v>2.1</v>
      </c>
      <c r="C13" s="55">
        <v>5.8999999999999995</v>
      </c>
      <c r="D13" s="55">
        <v>10</v>
      </c>
      <c r="E13" s="55">
        <v>8.2000000000000011</v>
      </c>
      <c r="F13" s="55">
        <v>10</v>
      </c>
      <c r="G13" s="55">
        <v>10.9</v>
      </c>
      <c r="H13" s="55">
        <v>10</v>
      </c>
      <c r="I13" s="55">
        <v>11</v>
      </c>
      <c r="J13" s="55">
        <v>10.7</v>
      </c>
      <c r="K13" s="55">
        <v>8.7999999999999989</v>
      </c>
      <c r="L13" s="55">
        <v>10.299999999999999</v>
      </c>
      <c r="M13" s="55">
        <v>9.6</v>
      </c>
      <c r="N13" s="55">
        <v>10.199999999999999</v>
      </c>
      <c r="O13" s="55">
        <v>7.9</v>
      </c>
      <c r="P13" s="55">
        <v>7.7</v>
      </c>
      <c r="Q13" s="55">
        <v>7.8</v>
      </c>
      <c r="R13" s="55">
        <v>6.1</v>
      </c>
      <c r="S13" s="55">
        <v>9.3000000000000007</v>
      </c>
      <c r="T13" s="55">
        <v>7.7</v>
      </c>
      <c r="U13" s="55">
        <v>5.5</v>
      </c>
      <c r="V13" s="55">
        <v>5.7</v>
      </c>
      <c r="W13" s="55">
        <v>4</v>
      </c>
      <c r="X13" s="55">
        <v>5</v>
      </c>
      <c r="Y13" s="55">
        <v>4.3</v>
      </c>
      <c r="Z13" s="55">
        <v>4.9000000000000004</v>
      </c>
      <c r="AA13" s="55">
        <v>3.8</v>
      </c>
      <c r="AB13" s="55">
        <v>3.9</v>
      </c>
      <c r="AC13" s="50"/>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row>
    <row r="14" spans="1:54" ht="16.5" customHeight="1">
      <c r="A14" s="50" t="s">
        <v>67</v>
      </c>
      <c r="B14" s="57">
        <v>1.6</v>
      </c>
      <c r="C14" s="55">
        <v>4.5</v>
      </c>
      <c r="D14" s="55">
        <v>5.0999999999999996</v>
      </c>
      <c r="E14" s="55">
        <v>6.9</v>
      </c>
      <c r="F14" s="55">
        <v>6.2</v>
      </c>
      <c r="G14" s="55">
        <v>6.3</v>
      </c>
      <c r="H14" s="55">
        <v>9.1</v>
      </c>
      <c r="I14" s="55">
        <v>10.5</v>
      </c>
      <c r="J14" s="55">
        <v>12.2</v>
      </c>
      <c r="K14" s="55">
        <v>14.499999999999998</v>
      </c>
      <c r="L14" s="55">
        <v>14.7</v>
      </c>
      <c r="M14" s="55">
        <v>15.4</v>
      </c>
      <c r="N14" s="55">
        <v>15.2</v>
      </c>
      <c r="O14" s="55">
        <v>17.299999999999997</v>
      </c>
      <c r="P14" s="55">
        <v>22.3</v>
      </c>
      <c r="Q14" s="55">
        <v>22.6</v>
      </c>
      <c r="R14" s="55">
        <v>25.900000000000002</v>
      </c>
      <c r="S14" s="55">
        <v>20.599999999999998</v>
      </c>
      <c r="T14" s="55">
        <v>19.900000000000002</v>
      </c>
      <c r="U14" s="55">
        <v>21.7</v>
      </c>
      <c r="V14" s="55">
        <v>22.1</v>
      </c>
      <c r="W14" s="55">
        <v>18.399999999999999</v>
      </c>
      <c r="X14" s="55">
        <v>20.8</v>
      </c>
      <c r="Y14" s="55">
        <v>25.6</v>
      </c>
      <c r="Z14" s="55">
        <v>20.599999999999998</v>
      </c>
      <c r="AA14" s="55">
        <v>22.400000000000002</v>
      </c>
      <c r="AB14" s="55">
        <v>23.3</v>
      </c>
      <c r="AC14" s="50"/>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row>
    <row r="15" spans="1:54" ht="16.5" customHeight="1">
      <c r="A15" s="47" t="s">
        <v>69</v>
      </c>
      <c r="B15" s="58"/>
      <c r="C15" s="58"/>
      <c r="D15" s="58"/>
      <c r="E15" s="58"/>
      <c r="F15" s="58"/>
      <c r="G15" s="58"/>
      <c r="H15" s="58"/>
      <c r="I15" s="58"/>
      <c r="J15" s="58"/>
      <c r="K15" s="58"/>
      <c r="L15" s="58"/>
      <c r="M15" s="58"/>
      <c r="N15" s="58"/>
      <c r="O15" s="58"/>
      <c r="P15" s="58"/>
      <c r="Q15" s="58"/>
      <c r="R15" s="58"/>
      <c r="S15" s="58"/>
      <c r="T15" s="58"/>
      <c r="U15" s="58"/>
      <c r="V15" s="58"/>
      <c r="W15" s="58"/>
      <c r="X15" s="58"/>
      <c r="Y15" s="58"/>
      <c r="Z15" s="58"/>
      <c r="AA15" s="54"/>
      <c r="AB15" s="54"/>
      <c r="AC15" s="47"/>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row>
    <row r="16" spans="1:54" ht="16.5" customHeight="1">
      <c r="A16" s="50" t="s">
        <v>63</v>
      </c>
      <c r="B16" s="59">
        <v>20</v>
      </c>
      <c r="C16" s="59">
        <v>23</v>
      </c>
      <c r="D16" s="59">
        <v>23.3</v>
      </c>
      <c r="E16" s="59">
        <v>23.4</v>
      </c>
      <c r="F16" s="59">
        <v>23.1</v>
      </c>
      <c r="G16" s="59">
        <v>23.5</v>
      </c>
      <c r="H16" s="59">
        <v>23.3</v>
      </c>
      <c r="I16" s="59">
        <v>23.4</v>
      </c>
      <c r="J16" s="59">
        <v>23.3</v>
      </c>
      <c r="K16" s="59">
        <v>23.4</v>
      </c>
      <c r="L16" s="59">
        <v>23.4</v>
      </c>
      <c r="M16" s="59">
        <v>23</v>
      </c>
      <c r="N16" s="59">
        <v>22.9</v>
      </c>
      <c r="O16" s="59">
        <v>23</v>
      </c>
      <c r="P16" s="59">
        <v>23.1</v>
      </c>
      <c r="Q16" s="59">
        <v>23.3</v>
      </c>
      <c r="R16" s="59">
        <v>23.1</v>
      </c>
      <c r="S16" s="59">
        <v>23.5</v>
      </c>
      <c r="T16" s="59">
        <v>23.3</v>
      </c>
      <c r="U16" s="59">
        <v>24.1</v>
      </c>
      <c r="V16" s="59">
        <v>24.3</v>
      </c>
      <c r="W16" s="59">
        <v>25.3</v>
      </c>
      <c r="X16" s="59">
        <v>26.2</v>
      </c>
      <c r="Y16" s="59">
        <v>26</v>
      </c>
      <c r="Z16" s="59">
        <v>27.8</v>
      </c>
      <c r="AA16" s="54">
        <v>28.3</v>
      </c>
      <c r="AB16" s="54">
        <v>28.7</v>
      </c>
      <c r="AC16" s="50"/>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row>
    <row r="17" spans="1:54" ht="16.5" customHeight="1">
      <c r="A17" s="50" t="s">
        <v>64</v>
      </c>
      <c r="B17" s="59">
        <v>14.6</v>
      </c>
      <c r="C17" s="59">
        <v>20.100000000000001</v>
      </c>
      <c r="D17" s="59">
        <v>18.8</v>
      </c>
      <c r="E17" s="59">
        <v>18.2</v>
      </c>
      <c r="F17" s="59">
        <v>17.8</v>
      </c>
      <c r="G17" s="59">
        <v>17</v>
      </c>
      <c r="H17" s="59">
        <v>18</v>
      </c>
      <c r="I17" s="59">
        <v>17.8</v>
      </c>
      <c r="J17" s="59">
        <v>18.399999999999999</v>
      </c>
      <c r="K17" s="59">
        <v>19.2</v>
      </c>
      <c r="L17" s="59">
        <v>18.2</v>
      </c>
      <c r="M17" s="59">
        <v>18.5</v>
      </c>
      <c r="N17" s="59">
        <v>17.899999999999999</v>
      </c>
      <c r="O17" s="59">
        <v>18.8</v>
      </c>
      <c r="P17" s="59">
        <v>19.3</v>
      </c>
      <c r="Q17" s="59">
        <v>19.899999999999999</v>
      </c>
      <c r="R17" s="59">
        <v>20</v>
      </c>
      <c r="S17" s="59">
        <v>20.2</v>
      </c>
      <c r="T17" s="59">
        <v>20.5</v>
      </c>
      <c r="U17" s="59">
        <v>20.6</v>
      </c>
      <c r="V17" s="59">
        <v>21.2</v>
      </c>
      <c r="W17" s="59">
        <v>22</v>
      </c>
      <c r="X17" s="59">
        <v>23</v>
      </c>
      <c r="Y17" s="59">
        <v>23.6</v>
      </c>
      <c r="Z17" s="59">
        <v>23.4</v>
      </c>
      <c r="AA17" s="54">
        <v>24.5</v>
      </c>
      <c r="AB17" s="54">
        <v>24.3</v>
      </c>
      <c r="AC17" s="50"/>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row>
    <row r="18" spans="1:54" ht="16.5" customHeight="1">
      <c r="A18" s="50" t="s">
        <v>65</v>
      </c>
      <c r="B18" s="59">
        <v>16.5</v>
      </c>
      <c r="C18" s="59">
        <v>18.2</v>
      </c>
      <c r="D18" s="59">
        <v>17.399999999999999</v>
      </c>
      <c r="E18" s="59">
        <v>18.2</v>
      </c>
      <c r="F18" s="59">
        <v>17.5</v>
      </c>
      <c r="G18" s="59">
        <v>17.600000000000001</v>
      </c>
      <c r="H18" s="59">
        <v>17.399999999999999</v>
      </c>
      <c r="I18" s="59">
        <v>16.899999999999999</v>
      </c>
      <c r="J18" s="59">
        <v>17.100000000000001</v>
      </c>
      <c r="K18" s="59">
        <v>16.8</v>
      </c>
      <c r="L18" s="59">
        <v>17</v>
      </c>
      <c r="M18" s="59">
        <v>16.3</v>
      </c>
      <c r="N18" s="59">
        <v>16.7</v>
      </c>
      <c r="O18" s="59">
        <v>16</v>
      </c>
      <c r="P18" s="59">
        <v>15.8</v>
      </c>
      <c r="Q18" s="59">
        <v>16.100000000000001</v>
      </c>
      <c r="R18" s="59">
        <v>15.7</v>
      </c>
      <c r="S18" s="59">
        <v>15.8</v>
      </c>
      <c r="T18" s="59">
        <v>16.100000000000001</v>
      </c>
      <c r="U18" s="59">
        <v>16.2</v>
      </c>
      <c r="V18" s="59">
        <v>16.5</v>
      </c>
      <c r="W18" s="59">
        <v>16.899999999999999</v>
      </c>
      <c r="X18" s="59">
        <v>16.899999999999999</v>
      </c>
      <c r="Y18" s="59">
        <v>17.2</v>
      </c>
      <c r="Z18" s="59">
        <v>17.2</v>
      </c>
      <c r="AA18" s="54">
        <v>17.399999999999999</v>
      </c>
      <c r="AB18" s="59">
        <v>18</v>
      </c>
      <c r="AC18" s="50"/>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row>
    <row r="19" spans="1:54" ht="16.5" customHeight="1">
      <c r="A19" s="50" t="s">
        <v>66</v>
      </c>
      <c r="B19" s="59">
        <v>14.1</v>
      </c>
      <c r="C19" s="59">
        <v>16.5</v>
      </c>
      <c r="D19" s="59">
        <v>17.8</v>
      </c>
      <c r="E19" s="59">
        <v>17.899999999999999</v>
      </c>
      <c r="F19" s="59">
        <v>17.899999999999999</v>
      </c>
      <c r="G19" s="59">
        <v>18.2</v>
      </c>
      <c r="H19" s="59">
        <v>17.8</v>
      </c>
      <c r="I19" s="59">
        <v>18.100000000000001</v>
      </c>
      <c r="J19" s="59">
        <v>18.3</v>
      </c>
      <c r="K19" s="59">
        <v>18.2</v>
      </c>
      <c r="L19" s="59">
        <v>18.7</v>
      </c>
      <c r="M19" s="59">
        <v>18.3</v>
      </c>
      <c r="N19" s="59">
        <v>18.600000000000001</v>
      </c>
      <c r="O19" s="59">
        <v>18</v>
      </c>
      <c r="P19" s="59">
        <v>18.7</v>
      </c>
      <c r="Q19" s="59">
        <v>19</v>
      </c>
      <c r="R19" s="59">
        <v>19.2</v>
      </c>
      <c r="S19" s="59">
        <v>19.3</v>
      </c>
      <c r="T19" s="59">
        <v>19.5</v>
      </c>
      <c r="U19" s="59">
        <v>19.5</v>
      </c>
      <c r="V19" s="59">
        <v>19.8</v>
      </c>
      <c r="W19" s="59">
        <v>20.100000000000001</v>
      </c>
      <c r="X19" s="59">
        <v>20.100000000000001</v>
      </c>
      <c r="Y19" s="59">
        <v>21</v>
      </c>
      <c r="Z19" s="59">
        <v>21.4</v>
      </c>
      <c r="AA19" s="54">
        <v>21.1</v>
      </c>
      <c r="AB19" s="54">
        <v>21.2</v>
      </c>
      <c r="AC19" s="50"/>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row>
    <row r="20" spans="1:54" ht="16.5" customHeight="1" thickBot="1">
      <c r="A20" s="60" t="s">
        <v>67</v>
      </c>
      <c r="B20" s="61">
        <v>13.2</v>
      </c>
      <c r="C20" s="61">
        <v>16.5</v>
      </c>
      <c r="D20" s="61">
        <v>16.399999999999999</v>
      </c>
      <c r="E20" s="61">
        <v>16.7</v>
      </c>
      <c r="F20" s="61">
        <v>16.2</v>
      </c>
      <c r="G20" s="61">
        <v>16.3</v>
      </c>
      <c r="H20" s="61">
        <v>16</v>
      </c>
      <c r="I20" s="61">
        <v>16</v>
      </c>
      <c r="J20" s="61">
        <v>16.2</v>
      </c>
      <c r="K20" s="61">
        <v>16.100000000000001</v>
      </c>
      <c r="L20" s="61">
        <v>16.2</v>
      </c>
      <c r="M20" s="61">
        <v>16.100000000000001</v>
      </c>
      <c r="N20" s="61">
        <v>16</v>
      </c>
      <c r="O20" s="61">
        <v>16.399999999999999</v>
      </c>
      <c r="P20" s="61">
        <v>16.3</v>
      </c>
      <c r="Q20" s="61">
        <v>16.399999999999999</v>
      </c>
      <c r="R20" s="61">
        <v>16.5</v>
      </c>
      <c r="S20" s="61">
        <v>16.7</v>
      </c>
      <c r="T20" s="61">
        <v>17.2</v>
      </c>
      <c r="U20" s="61">
        <v>17.7</v>
      </c>
      <c r="V20" s="61">
        <v>18.2</v>
      </c>
      <c r="W20" s="61">
        <v>19.3</v>
      </c>
      <c r="X20" s="61">
        <v>19.7</v>
      </c>
      <c r="Y20" s="61">
        <v>19.8</v>
      </c>
      <c r="Z20" s="61">
        <v>20</v>
      </c>
      <c r="AA20" s="62">
        <v>20.9</v>
      </c>
      <c r="AB20" s="62">
        <v>21.2</v>
      </c>
      <c r="AC20" s="50"/>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row>
    <row r="21" spans="1:54" s="63" customFormat="1" ht="12.75" customHeight="1">
      <c r="A21" s="87" t="s">
        <v>70</v>
      </c>
      <c r="B21" s="87"/>
      <c r="C21" s="87"/>
      <c r="D21" s="87"/>
      <c r="E21" s="87"/>
      <c r="F21" s="87"/>
      <c r="G21" s="87"/>
      <c r="H21" s="87"/>
      <c r="I21" s="87"/>
      <c r="J21" s="87"/>
      <c r="K21" s="87"/>
      <c r="L21" s="87"/>
      <c r="M21" s="87"/>
      <c r="N21" s="87"/>
      <c r="O21" s="87"/>
      <c r="P21" s="87"/>
      <c r="Q21" s="87"/>
    </row>
    <row r="22" spans="1:54" s="63" customFormat="1" ht="12.75" customHeight="1">
      <c r="A22" s="88"/>
      <c r="B22" s="88"/>
      <c r="C22" s="88"/>
      <c r="D22" s="88"/>
      <c r="E22" s="88"/>
      <c r="F22" s="88"/>
      <c r="G22" s="88"/>
      <c r="H22" s="88"/>
      <c r="I22" s="88"/>
      <c r="J22" s="88"/>
      <c r="K22" s="88"/>
      <c r="L22" s="88"/>
      <c r="M22" s="88"/>
      <c r="N22" s="88"/>
      <c r="O22" s="88"/>
      <c r="P22" s="88"/>
      <c r="Q22" s="88"/>
    </row>
    <row r="23" spans="1:54" s="63" customFormat="1" ht="12.75" customHeight="1">
      <c r="A23" s="88" t="s">
        <v>71</v>
      </c>
      <c r="B23" s="88"/>
      <c r="C23" s="88"/>
      <c r="D23" s="88"/>
      <c r="E23" s="88"/>
      <c r="F23" s="88"/>
      <c r="G23" s="88"/>
      <c r="H23" s="88"/>
      <c r="I23" s="88"/>
      <c r="J23" s="88"/>
      <c r="K23" s="88"/>
      <c r="L23" s="88"/>
      <c r="M23" s="88"/>
      <c r="N23" s="88"/>
      <c r="O23" s="88"/>
      <c r="P23" s="88"/>
      <c r="Q23" s="88"/>
    </row>
    <row r="24" spans="1:54" s="63" customFormat="1" ht="12.75" customHeight="1">
      <c r="A24" s="81" t="s">
        <v>72</v>
      </c>
      <c r="B24" s="81"/>
      <c r="C24" s="81"/>
      <c r="D24" s="81"/>
      <c r="E24" s="81"/>
      <c r="F24" s="81"/>
      <c r="G24" s="81"/>
      <c r="H24" s="81"/>
      <c r="I24" s="81"/>
      <c r="J24" s="81"/>
      <c r="K24" s="81"/>
      <c r="L24" s="81"/>
      <c r="M24" s="81"/>
      <c r="N24" s="81"/>
      <c r="O24" s="81"/>
      <c r="P24" s="81"/>
      <c r="Q24" s="81"/>
    </row>
    <row r="25" spans="1:54" s="63" customFormat="1" ht="12.75" customHeight="1">
      <c r="A25" s="81" t="s">
        <v>73</v>
      </c>
      <c r="B25" s="81"/>
      <c r="C25" s="81"/>
      <c r="D25" s="81"/>
      <c r="E25" s="81"/>
      <c r="F25" s="81"/>
      <c r="G25" s="81"/>
      <c r="H25" s="81"/>
      <c r="I25" s="81"/>
      <c r="J25" s="81"/>
      <c r="K25" s="81"/>
      <c r="L25" s="81"/>
      <c r="M25" s="81"/>
      <c r="N25" s="81"/>
      <c r="O25" s="81"/>
      <c r="P25" s="81"/>
      <c r="Q25" s="81"/>
    </row>
    <row r="26" spans="1:54" s="63" customFormat="1" ht="27.75" customHeight="1">
      <c r="A26" s="82" t="s">
        <v>74</v>
      </c>
      <c r="B26" s="82"/>
      <c r="C26" s="82"/>
      <c r="D26" s="82"/>
      <c r="E26" s="82"/>
      <c r="F26" s="82"/>
      <c r="G26" s="82"/>
      <c r="H26" s="82"/>
      <c r="I26" s="82"/>
      <c r="J26" s="82"/>
      <c r="K26" s="82"/>
      <c r="L26" s="82"/>
      <c r="M26" s="82"/>
      <c r="N26" s="82"/>
      <c r="O26" s="82"/>
      <c r="P26" s="82"/>
      <c r="Q26" s="82"/>
    </row>
    <row r="27" spans="1:54" s="63" customFormat="1" ht="12.75" customHeight="1">
      <c r="A27" s="82"/>
      <c r="B27" s="82"/>
      <c r="C27" s="82"/>
      <c r="D27" s="82"/>
      <c r="E27" s="82"/>
      <c r="F27" s="82"/>
      <c r="G27" s="82"/>
      <c r="H27" s="82"/>
      <c r="I27" s="82"/>
      <c r="J27" s="82"/>
      <c r="K27" s="82"/>
      <c r="L27" s="82"/>
      <c r="M27" s="82"/>
      <c r="N27" s="82"/>
      <c r="O27" s="82"/>
      <c r="P27" s="82"/>
      <c r="Q27" s="82"/>
    </row>
    <row r="28" spans="1:54" s="63" customFormat="1" ht="12.75" customHeight="1">
      <c r="A28" s="83" t="s">
        <v>75</v>
      </c>
      <c r="B28" s="83"/>
      <c r="C28" s="83"/>
      <c r="D28" s="83"/>
      <c r="E28" s="83"/>
      <c r="F28" s="83"/>
      <c r="G28" s="83"/>
      <c r="H28" s="83"/>
      <c r="I28" s="83"/>
      <c r="J28" s="83"/>
      <c r="K28" s="83"/>
      <c r="L28" s="83"/>
      <c r="M28" s="83"/>
      <c r="N28" s="83"/>
      <c r="O28" s="83"/>
      <c r="P28" s="83"/>
      <c r="Q28" s="83"/>
    </row>
    <row r="29" spans="1:54" s="63" customFormat="1" ht="25.5" customHeight="1">
      <c r="A29" s="84" t="s">
        <v>76</v>
      </c>
      <c r="B29" s="84"/>
      <c r="C29" s="84"/>
      <c r="D29" s="84"/>
      <c r="E29" s="84"/>
      <c r="F29" s="84"/>
      <c r="G29" s="84"/>
      <c r="H29" s="84"/>
      <c r="I29" s="84"/>
      <c r="J29" s="84"/>
      <c r="K29" s="84"/>
      <c r="L29" s="84"/>
      <c r="M29" s="84"/>
      <c r="N29" s="84"/>
      <c r="O29" s="84"/>
      <c r="P29" s="84"/>
      <c r="Q29" s="84"/>
    </row>
  </sheetData>
  <mergeCells count="11">
    <mergeCell ref="A24:Q24"/>
    <mergeCell ref="A1:AB1"/>
    <mergeCell ref="AC1:BB1"/>
    <mergeCell ref="A21:Q21"/>
    <mergeCell ref="A22:Q22"/>
    <mergeCell ref="A23:Q23"/>
    <mergeCell ref="A25:Q25"/>
    <mergeCell ref="A26:Q26"/>
    <mergeCell ref="A27:Q27"/>
    <mergeCell ref="A28:Q28"/>
    <mergeCell ref="A29:Q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E242C-91F7-4A9C-88A2-A61A983F34B7}">
  <dimension ref="A1:AE51"/>
  <sheetViews>
    <sheetView workbookViewId="0"/>
  </sheetViews>
  <sheetFormatPr defaultRowHeight="15"/>
  <cols>
    <col min="1" max="1" width="36.140625" customWidth="1"/>
  </cols>
  <sheetData>
    <row r="1" spans="1:31">
      <c r="A1" t="s">
        <v>160</v>
      </c>
    </row>
    <row r="2" spans="1:31">
      <c r="A2" t="s">
        <v>295</v>
      </c>
    </row>
    <row r="3" spans="1:31">
      <c r="A3" t="s">
        <v>294</v>
      </c>
    </row>
    <row r="4" spans="1:31">
      <c r="A4" t="s">
        <v>91</v>
      </c>
    </row>
    <row r="5" spans="1:31">
      <c r="B5" t="s">
        <v>92</v>
      </c>
      <c r="C5" t="s">
        <v>93</v>
      </c>
      <c r="D5" t="s">
        <v>94</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293</v>
      </c>
    </row>
    <row r="6" spans="1:31">
      <c r="A6" t="s">
        <v>159</v>
      </c>
    </row>
    <row r="7" spans="1:31">
      <c r="A7" t="s">
        <v>96</v>
      </c>
    </row>
    <row r="8" spans="1:31">
      <c r="A8" t="s">
        <v>97</v>
      </c>
      <c r="B8" t="s">
        <v>292</v>
      </c>
      <c r="C8" t="s">
        <v>291</v>
      </c>
      <c r="D8" t="s">
        <v>98</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71">
        <v>-3.6999999999999998E-2</v>
      </c>
    </row>
    <row r="9" spans="1:31">
      <c r="A9" t="s">
        <v>99</v>
      </c>
      <c r="B9" t="s">
        <v>290</v>
      </c>
      <c r="C9" t="s">
        <v>289</v>
      </c>
      <c r="D9" t="s">
        <v>98</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71">
        <v>-0.11700000000000001</v>
      </c>
    </row>
    <row r="10" spans="1:31">
      <c r="A10" t="s">
        <v>100</v>
      </c>
      <c r="B10" t="s">
        <v>288</v>
      </c>
      <c r="C10" t="s">
        <v>287</v>
      </c>
      <c r="D10" t="s">
        <v>98</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71">
        <v>-3.6999999999999998E-2</v>
      </c>
    </row>
    <row r="11" spans="1:31">
      <c r="A11" t="s">
        <v>101</v>
      </c>
    </row>
    <row r="12" spans="1:31">
      <c r="A12" t="s">
        <v>102</v>
      </c>
      <c r="B12" t="s">
        <v>286</v>
      </c>
      <c r="C12" t="s">
        <v>285</v>
      </c>
      <c r="D12" t="s">
        <v>98</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71">
        <v>-0.113</v>
      </c>
    </row>
    <row r="13" spans="1:31">
      <c r="A13" t="s">
        <v>156</v>
      </c>
      <c r="B13" t="s">
        <v>284</v>
      </c>
      <c r="C13" t="s">
        <v>283</v>
      </c>
      <c r="D13" t="s">
        <v>98</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71">
        <v>1.7000000000000001E-2</v>
      </c>
    </row>
    <row r="14" spans="1:31">
      <c r="A14" t="s">
        <v>155</v>
      </c>
      <c r="B14" t="s">
        <v>282</v>
      </c>
      <c r="C14" t="s">
        <v>281</v>
      </c>
      <c r="D14" t="s">
        <v>98</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71">
        <v>5.3999999999999999E-2</v>
      </c>
    </row>
    <row r="15" spans="1:31">
      <c r="A15" t="s">
        <v>154</v>
      </c>
      <c r="B15" t="s">
        <v>280</v>
      </c>
      <c r="C15" t="s">
        <v>279</v>
      </c>
      <c r="D15" t="s">
        <v>98</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71">
        <v>6.2E-2</v>
      </c>
    </row>
    <row r="16" spans="1:31">
      <c r="A16" t="s">
        <v>103</v>
      </c>
      <c r="B16" t="s">
        <v>278</v>
      </c>
      <c r="C16" t="s">
        <v>277</v>
      </c>
      <c r="D16" t="s">
        <v>98</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71">
        <v>-3.2000000000000001E-2</v>
      </c>
    </row>
    <row r="17" spans="1:31">
      <c r="A17" t="s">
        <v>104</v>
      </c>
      <c r="B17" t="s">
        <v>276</v>
      </c>
      <c r="C17" t="s">
        <v>275</v>
      </c>
      <c r="D17" t="s">
        <v>98</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71">
        <v>0.01</v>
      </c>
    </row>
    <row r="18" spans="1:31">
      <c r="A18" t="s">
        <v>106</v>
      </c>
      <c r="B18" t="s">
        <v>274</v>
      </c>
      <c r="C18" t="s">
        <v>273</v>
      </c>
      <c r="D18" t="s">
        <v>98</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71">
        <v>2.3E-2</v>
      </c>
    </row>
    <row r="19" spans="1:31">
      <c r="A19" t="s">
        <v>111</v>
      </c>
      <c r="B19" t="s">
        <v>272</v>
      </c>
      <c r="C19" t="s">
        <v>271</v>
      </c>
      <c r="D19" t="s">
        <v>98</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71">
        <v>-0.113</v>
      </c>
    </row>
    <row r="20" spans="1:31">
      <c r="A20" t="s">
        <v>112</v>
      </c>
      <c r="B20" t="s">
        <v>270</v>
      </c>
      <c r="C20" t="s">
        <v>269</v>
      </c>
      <c r="D20" t="s">
        <v>98</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71">
        <v>3.3000000000000002E-2</v>
      </c>
    </row>
    <row r="21" spans="1:31">
      <c r="A21" t="s">
        <v>158</v>
      </c>
      <c r="B21" t="s">
        <v>268</v>
      </c>
      <c r="C21" t="s">
        <v>267</v>
      </c>
      <c r="D21" t="s">
        <v>98</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71">
        <v>-1.7000000000000001E-2</v>
      </c>
    </row>
    <row r="22" spans="1:31">
      <c r="A22" t="s">
        <v>157</v>
      </c>
    </row>
    <row r="23" spans="1:31">
      <c r="A23" t="s">
        <v>116</v>
      </c>
    </row>
    <row r="24" spans="1:31">
      <c r="A24" t="s">
        <v>97</v>
      </c>
      <c r="B24" t="s">
        <v>266</v>
      </c>
      <c r="C24" t="s">
        <v>265</v>
      </c>
      <c r="D24" t="s">
        <v>98</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71">
        <v>-5.0000000000000001E-3</v>
      </c>
    </row>
    <row r="25" spans="1:31">
      <c r="A25" t="s">
        <v>99</v>
      </c>
      <c r="B25" t="s">
        <v>264</v>
      </c>
      <c r="C25" t="s">
        <v>263</v>
      </c>
      <c r="D25" t="s">
        <v>98</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71">
        <v>2.1999999999999999E-2</v>
      </c>
    </row>
    <row r="26" spans="1:31">
      <c r="A26" t="s">
        <v>117</v>
      </c>
      <c r="B26" t="s">
        <v>262</v>
      </c>
      <c r="C26" t="s">
        <v>261</v>
      </c>
      <c r="D26" t="s">
        <v>98</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71">
        <v>-4.0000000000000001E-3</v>
      </c>
    </row>
    <row r="27" spans="1:31">
      <c r="A27" t="s">
        <v>118</v>
      </c>
    </row>
    <row r="28" spans="1:31">
      <c r="A28" t="s">
        <v>102</v>
      </c>
      <c r="B28" t="s">
        <v>260</v>
      </c>
      <c r="C28" t="s">
        <v>259</v>
      </c>
      <c r="D28" t="s">
        <v>98</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71">
        <v>-0.114</v>
      </c>
    </row>
    <row r="29" spans="1:31">
      <c r="A29" t="s">
        <v>156</v>
      </c>
      <c r="B29" t="s">
        <v>258</v>
      </c>
      <c r="C29" t="s">
        <v>257</v>
      </c>
      <c r="D29" t="s">
        <v>98</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71">
        <v>8.8999999999999996E-2</v>
      </c>
    </row>
    <row r="30" spans="1:31">
      <c r="A30" t="s">
        <v>155</v>
      </c>
      <c r="B30" t="s">
        <v>256</v>
      </c>
      <c r="C30" t="s">
        <v>255</v>
      </c>
      <c r="D30" t="s">
        <v>98</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71">
        <v>0.14199999999999999</v>
      </c>
    </row>
    <row r="31" spans="1:31">
      <c r="A31" t="s">
        <v>154</v>
      </c>
      <c r="B31" t="s">
        <v>254</v>
      </c>
      <c r="C31" t="s">
        <v>253</v>
      </c>
      <c r="D31" t="s">
        <v>98</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71">
        <v>0.113</v>
      </c>
    </row>
    <row r="32" spans="1:31">
      <c r="A32" t="s">
        <v>103</v>
      </c>
      <c r="B32" t="s">
        <v>252</v>
      </c>
      <c r="C32" t="s">
        <v>251</v>
      </c>
      <c r="D32" t="s">
        <v>98</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71">
        <v>3.5000000000000003E-2</v>
      </c>
    </row>
    <row r="33" spans="1:31">
      <c r="A33" t="s">
        <v>104</v>
      </c>
      <c r="B33" t="s">
        <v>250</v>
      </c>
      <c r="C33" t="s">
        <v>249</v>
      </c>
      <c r="D33" t="s">
        <v>98</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71">
        <v>6.5000000000000002E-2</v>
      </c>
    </row>
    <row r="34" spans="1:31">
      <c r="A34" t="s">
        <v>106</v>
      </c>
      <c r="B34" t="s">
        <v>248</v>
      </c>
      <c r="C34" t="s">
        <v>247</v>
      </c>
      <c r="D34" t="s">
        <v>98</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71">
        <v>7.3999999999999996E-2</v>
      </c>
    </row>
    <row r="35" spans="1:31">
      <c r="A35" t="s">
        <v>111</v>
      </c>
      <c r="B35" t="s">
        <v>246</v>
      </c>
      <c r="C35" t="s">
        <v>245</v>
      </c>
      <c r="D35" t="s">
        <v>98</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105</v>
      </c>
    </row>
    <row r="36" spans="1:31">
      <c r="A36" t="s">
        <v>119</v>
      </c>
      <c r="B36" t="s">
        <v>244</v>
      </c>
      <c r="C36" t="s">
        <v>243</v>
      </c>
      <c r="D36" t="s">
        <v>98</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71">
        <v>5.0999999999999997E-2</v>
      </c>
    </row>
    <row r="37" spans="1:31">
      <c r="A37" t="s">
        <v>153</v>
      </c>
      <c r="B37" t="s">
        <v>242</v>
      </c>
      <c r="C37" t="s">
        <v>241</v>
      </c>
      <c r="D37" t="s">
        <v>98</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71">
        <v>1.0999999999999999E-2</v>
      </c>
    </row>
    <row r="38" spans="1:31">
      <c r="A38" t="s">
        <v>128</v>
      </c>
      <c r="B38" t="s">
        <v>240</v>
      </c>
      <c r="C38" t="s">
        <v>239</v>
      </c>
      <c r="D38" t="s">
        <v>98</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71">
        <v>3.0000000000000001E-3</v>
      </c>
    </row>
    <row r="39" spans="1:31">
      <c r="A39" t="s">
        <v>152</v>
      </c>
      <c r="B39" t="s">
        <v>238</v>
      </c>
      <c r="C39" t="s">
        <v>237</v>
      </c>
      <c r="D39" t="s">
        <v>98</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71">
        <v>-8.9999999999999993E-3</v>
      </c>
    </row>
    <row r="40" spans="1:31">
      <c r="A40" t="s">
        <v>151</v>
      </c>
      <c r="B40" t="s">
        <v>236</v>
      </c>
      <c r="C40" t="s">
        <v>235</v>
      </c>
      <c r="D40" t="s">
        <v>98</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71">
        <v>-3.5999999999999997E-2</v>
      </c>
    </row>
    <row r="41" spans="1:31">
      <c r="A41" t="s">
        <v>150</v>
      </c>
      <c r="B41" t="s">
        <v>234</v>
      </c>
      <c r="C41" t="s">
        <v>233</v>
      </c>
      <c r="D41" t="s">
        <v>98</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71">
        <v>5.8000000000000003E-2</v>
      </c>
    </row>
    <row r="42" spans="1:31">
      <c r="A42" t="s">
        <v>149</v>
      </c>
      <c r="B42" t="s">
        <v>232</v>
      </c>
      <c r="C42" t="s">
        <v>231</v>
      </c>
      <c r="D42" t="s">
        <v>98</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71">
        <v>0.11799999999999999</v>
      </c>
    </row>
    <row r="43" spans="1:31">
      <c r="A43" t="s">
        <v>148</v>
      </c>
      <c r="B43" t="s">
        <v>230</v>
      </c>
      <c r="C43" t="s">
        <v>229</v>
      </c>
      <c r="D43" t="s">
        <v>98</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71">
        <v>-6.4000000000000001E-2</v>
      </c>
    </row>
    <row r="44" spans="1:31">
      <c r="A44" t="s">
        <v>122</v>
      </c>
      <c r="B44" t="s">
        <v>228</v>
      </c>
      <c r="C44" t="s">
        <v>227</v>
      </c>
      <c r="D44" t="s">
        <v>98</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71">
        <v>0.10100000000000001</v>
      </c>
    </row>
    <row r="45" spans="1:31">
      <c r="A45" t="s">
        <v>147</v>
      </c>
      <c r="B45" t="s">
        <v>226</v>
      </c>
      <c r="C45" t="s">
        <v>225</v>
      </c>
      <c r="D45" t="s">
        <v>98</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105</v>
      </c>
    </row>
    <row r="46" spans="1:31">
      <c r="A46" t="s">
        <v>146</v>
      </c>
      <c r="B46" t="s">
        <v>224</v>
      </c>
      <c r="C46" t="s">
        <v>223</v>
      </c>
      <c r="D46" t="s">
        <v>98</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105</v>
      </c>
    </row>
    <row r="47" spans="1:31">
      <c r="A47" t="s">
        <v>123</v>
      </c>
      <c r="B47" t="s">
        <v>222</v>
      </c>
      <c r="C47" t="s">
        <v>221</v>
      </c>
      <c r="D47" t="s">
        <v>98</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105</v>
      </c>
    </row>
    <row r="48" spans="1:31">
      <c r="A48" t="s">
        <v>145</v>
      </c>
      <c r="B48" t="s">
        <v>220</v>
      </c>
      <c r="C48" t="s">
        <v>219</v>
      </c>
      <c r="D48" t="s">
        <v>98</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105</v>
      </c>
    </row>
    <row r="49" spans="1:31">
      <c r="A49" t="s">
        <v>144</v>
      </c>
      <c r="B49" t="s">
        <v>218</v>
      </c>
      <c r="C49" t="s">
        <v>217</v>
      </c>
      <c r="D49" t="s">
        <v>98</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71">
        <v>0.35499999999999998</v>
      </c>
    </row>
    <row r="50" spans="1:31">
      <c r="A50" t="s">
        <v>143</v>
      </c>
      <c r="B50" t="s">
        <v>216</v>
      </c>
      <c r="C50" t="s">
        <v>215</v>
      </c>
      <c r="D50" t="s">
        <v>98</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105</v>
      </c>
    </row>
    <row r="51" spans="1:31">
      <c r="A51" t="s">
        <v>142</v>
      </c>
      <c r="B51" t="s">
        <v>214</v>
      </c>
      <c r="C51" t="s">
        <v>213</v>
      </c>
      <c r="D51" t="s">
        <v>98</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71">
        <v>-1E-3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A5AEF-9E67-40E6-9D62-E676E5223E58}">
  <dimension ref="A1:AE62"/>
  <sheetViews>
    <sheetView workbookViewId="0"/>
  </sheetViews>
  <sheetFormatPr defaultRowHeight="15"/>
  <sheetData>
    <row r="1" spans="1:31">
      <c r="A1" t="s">
        <v>165</v>
      </c>
    </row>
    <row r="2" spans="1:31">
      <c r="A2" t="s">
        <v>397</v>
      </c>
    </row>
    <row r="3" spans="1:31">
      <c r="A3" t="s">
        <v>396</v>
      </c>
    </row>
    <row r="4" spans="1:31">
      <c r="A4" t="s">
        <v>91</v>
      </c>
    </row>
    <row r="5" spans="1:31">
      <c r="B5" t="s">
        <v>92</v>
      </c>
      <c r="C5" t="s">
        <v>93</v>
      </c>
      <c r="D5" t="s">
        <v>94</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293</v>
      </c>
    </row>
    <row r="6" spans="1:31">
      <c r="A6" t="s">
        <v>95</v>
      </c>
    </row>
    <row r="7" spans="1:31">
      <c r="A7" t="s">
        <v>96</v>
      </c>
      <c r="D7" t="s">
        <v>98</v>
      </c>
    </row>
    <row r="8" spans="1:31">
      <c r="A8" t="s">
        <v>97</v>
      </c>
      <c r="B8" t="s">
        <v>395</v>
      </c>
      <c r="C8" t="s">
        <v>394</v>
      </c>
      <c r="D8" t="s">
        <v>98</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s="71">
        <v>-2.5999999999999999E-2</v>
      </c>
    </row>
    <row r="9" spans="1:31">
      <c r="A9" t="s">
        <v>99</v>
      </c>
      <c r="B9" t="s">
        <v>393</v>
      </c>
      <c r="C9" t="s">
        <v>392</v>
      </c>
      <c r="D9" t="s">
        <v>98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105</v>
      </c>
    </row>
    <row r="10" spans="1:31">
      <c r="A10" t="s">
        <v>100</v>
      </c>
      <c r="B10" t="s">
        <v>391</v>
      </c>
      <c r="C10" t="s">
        <v>390</v>
      </c>
      <c r="D10" t="s">
        <v>98</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s="71">
        <v>-2.5999999999999999E-2</v>
      </c>
    </row>
    <row r="11" spans="1:31">
      <c r="A11" t="s">
        <v>101</v>
      </c>
    </row>
    <row r="12" spans="1:31">
      <c r="A12" t="s">
        <v>102</v>
      </c>
      <c r="B12" t="s">
        <v>389</v>
      </c>
      <c r="C12" t="s">
        <v>388</v>
      </c>
      <c r="D12" t="s">
        <v>98</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105</v>
      </c>
    </row>
    <row r="13" spans="1:31">
      <c r="A13" t="s">
        <v>156</v>
      </c>
      <c r="B13" t="s">
        <v>387</v>
      </c>
      <c r="C13" t="s">
        <v>386</v>
      </c>
      <c r="D13" t="s">
        <v>98</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s="71">
        <v>0.02</v>
      </c>
    </row>
    <row r="14" spans="1:31">
      <c r="A14" t="s">
        <v>155</v>
      </c>
      <c r="B14" t="s">
        <v>385</v>
      </c>
      <c r="C14" t="s">
        <v>384</v>
      </c>
      <c r="D14" t="s">
        <v>98</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s="71">
        <v>5.3999999999999999E-2</v>
      </c>
    </row>
    <row r="15" spans="1:31">
      <c r="A15" t="s">
        <v>154</v>
      </c>
      <c r="B15" t="s">
        <v>383</v>
      </c>
      <c r="C15" t="s">
        <v>382</v>
      </c>
      <c r="D15" t="s">
        <v>98</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s="71">
        <v>3.7999999999999999E-2</v>
      </c>
    </row>
    <row r="16" spans="1:31">
      <c r="A16" t="s">
        <v>103</v>
      </c>
      <c r="B16" t="s">
        <v>381</v>
      </c>
      <c r="C16" t="s">
        <v>380</v>
      </c>
      <c r="D16" t="s">
        <v>98</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s="71">
        <v>-1.4E-2</v>
      </c>
    </row>
    <row r="17" spans="1:31">
      <c r="A17" t="s">
        <v>104</v>
      </c>
      <c r="B17" t="s">
        <v>379</v>
      </c>
      <c r="C17" t="s">
        <v>378</v>
      </c>
      <c r="D17" t="s">
        <v>98</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s="71">
        <v>0.01</v>
      </c>
    </row>
    <row r="18" spans="1:31">
      <c r="A18" t="s">
        <v>106</v>
      </c>
      <c r="B18" t="s">
        <v>377</v>
      </c>
      <c r="C18" t="s">
        <v>376</v>
      </c>
      <c r="D18" t="s">
        <v>98</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s="71">
        <v>1.7000000000000001E-2</v>
      </c>
    </row>
    <row r="19" spans="1:31">
      <c r="A19" t="s">
        <v>107</v>
      </c>
      <c r="B19" t="s">
        <v>375</v>
      </c>
      <c r="C19" t="s">
        <v>374</v>
      </c>
      <c r="D19" t="s">
        <v>98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105</v>
      </c>
    </row>
    <row r="20" spans="1:31">
      <c r="A20" t="s">
        <v>108</v>
      </c>
      <c r="B20" t="s">
        <v>373</v>
      </c>
      <c r="C20" t="s">
        <v>372</v>
      </c>
      <c r="D20" t="s">
        <v>98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105</v>
      </c>
    </row>
    <row r="21" spans="1:31">
      <c r="A21" t="s">
        <v>109</v>
      </c>
      <c r="B21" t="s">
        <v>371</v>
      </c>
      <c r="C21" t="s">
        <v>370</v>
      </c>
      <c r="D21" t="s">
        <v>98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105</v>
      </c>
    </row>
    <row r="22" spans="1:31">
      <c r="A22" t="s">
        <v>110</v>
      </c>
      <c r="B22" t="s">
        <v>369</v>
      </c>
      <c r="C22" t="s">
        <v>368</v>
      </c>
      <c r="D22" t="s">
        <v>98</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105</v>
      </c>
    </row>
    <row r="23" spans="1:31">
      <c r="A23" t="s">
        <v>111</v>
      </c>
      <c r="B23" t="s">
        <v>367</v>
      </c>
      <c r="C23" t="s">
        <v>366</v>
      </c>
      <c r="D23" t="s">
        <v>98</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s="71">
        <v>-8.8999999999999996E-2</v>
      </c>
    </row>
    <row r="24" spans="1:31">
      <c r="A24" t="s">
        <v>112</v>
      </c>
      <c r="B24" t="s">
        <v>365</v>
      </c>
      <c r="C24" t="s">
        <v>364</v>
      </c>
      <c r="D24" t="s">
        <v>98</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s="71">
        <v>3.1E-2</v>
      </c>
    </row>
    <row r="25" spans="1:31">
      <c r="A25" t="s">
        <v>164</v>
      </c>
      <c r="B25" t="s">
        <v>363</v>
      </c>
      <c r="C25" t="s">
        <v>362</v>
      </c>
      <c r="D25" t="s">
        <v>113</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s="71">
        <v>3.7999999999999999E-2</v>
      </c>
    </row>
    <row r="26" spans="1:31">
      <c r="A26" t="s">
        <v>114</v>
      </c>
      <c r="B26" t="s">
        <v>361</v>
      </c>
      <c r="C26" t="s">
        <v>360</v>
      </c>
      <c r="D26" t="s">
        <v>98</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s="71">
        <v>-6.0000000000000001E-3</v>
      </c>
    </row>
    <row r="27" spans="1:31">
      <c r="A27" t="s">
        <v>115</v>
      </c>
    </row>
    <row r="28" spans="1:31">
      <c r="A28" t="s">
        <v>116</v>
      </c>
    </row>
    <row r="29" spans="1:31">
      <c r="A29" t="s">
        <v>97</v>
      </c>
      <c r="B29" t="s">
        <v>359</v>
      </c>
      <c r="C29" t="s">
        <v>358</v>
      </c>
      <c r="D29" t="s">
        <v>98</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s="71">
        <v>-1.2999999999999999E-2</v>
      </c>
    </row>
    <row r="30" spans="1:31">
      <c r="A30" t="s">
        <v>99</v>
      </c>
      <c r="B30" t="s">
        <v>357</v>
      </c>
      <c r="C30" t="s">
        <v>356</v>
      </c>
      <c r="D30" t="s">
        <v>98</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s="71">
        <v>-1E-3</v>
      </c>
    </row>
    <row r="31" spans="1:31">
      <c r="A31" t="s">
        <v>117</v>
      </c>
      <c r="B31" t="s">
        <v>355</v>
      </c>
      <c r="C31" t="s">
        <v>354</v>
      </c>
      <c r="D31" t="s">
        <v>98</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s="71">
        <v>-1.2999999999999999E-2</v>
      </c>
    </row>
    <row r="32" spans="1:31">
      <c r="A32" t="s">
        <v>118</v>
      </c>
    </row>
    <row r="33" spans="1:31">
      <c r="A33" t="s">
        <v>102</v>
      </c>
      <c r="B33" t="s">
        <v>353</v>
      </c>
      <c r="C33" t="s">
        <v>352</v>
      </c>
      <c r="D33" t="s">
        <v>98</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s="71">
        <v>3.0000000000000001E-3</v>
      </c>
    </row>
    <row r="34" spans="1:31">
      <c r="A34" t="s">
        <v>156</v>
      </c>
      <c r="B34" t="s">
        <v>351</v>
      </c>
      <c r="C34" t="s">
        <v>350</v>
      </c>
      <c r="D34" t="s">
        <v>98</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s="71">
        <v>4.2000000000000003E-2</v>
      </c>
    </row>
    <row r="35" spans="1:31">
      <c r="A35" t="s">
        <v>155</v>
      </c>
      <c r="B35" t="s">
        <v>349</v>
      </c>
      <c r="C35" t="s">
        <v>348</v>
      </c>
      <c r="D35" t="s">
        <v>98</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s="71">
        <v>9.4E-2</v>
      </c>
    </row>
    <row r="36" spans="1:31">
      <c r="A36" t="s">
        <v>154</v>
      </c>
      <c r="B36" t="s">
        <v>347</v>
      </c>
      <c r="C36" t="s">
        <v>346</v>
      </c>
      <c r="D36" t="s">
        <v>98</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s="71">
        <v>5.8000000000000003E-2</v>
      </c>
    </row>
    <row r="37" spans="1:31">
      <c r="A37" t="s">
        <v>103</v>
      </c>
      <c r="B37" t="s">
        <v>345</v>
      </c>
      <c r="C37" t="s">
        <v>344</v>
      </c>
      <c r="D37" t="s">
        <v>98</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s="71">
        <v>1.6E-2</v>
      </c>
    </row>
    <row r="38" spans="1:31">
      <c r="A38" t="s">
        <v>104</v>
      </c>
      <c r="B38" t="s">
        <v>343</v>
      </c>
      <c r="C38" t="s">
        <v>342</v>
      </c>
      <c r="D38" t="s">
        <v>98</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s="71">
        <v>6.0000000000000001E-3</v>
      </c>
    </row>
    <row r="39" spans="1:31">
      <c r="A39" t="s">
        <v>106</v>
      </c>
      <c r="B39" t="s">
        <v>341</v>
      </c>
      <c r="C39" t="s">
        <v>340</v>
      </c>
      <c r="D39" t="s">
        <v>98</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s="71">
        <v>0.03</v>
      </c>
    </row>
    <row r="40" spans="1:31">
      <c r="A40" t="s">
        <v>107</v>
      </c>
      <c r="B40" t="s">
        <v>339</v>
      </c>
      <c r="C40" t="s">
        <v>338</v>
      </c>
      <c r="D40" t="s">
        <v>98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105</v>
      </c>
    </row>
    <row r="41" spans="1:31">
      <c r="A41" t="s">
        <v>108</v>
      </c>
      <c r="B41" t="s">
        <v>337</v>
      </c>
      <c r="C41" t="s">
        <v>336</v>
      </c>
      <c r="D41" t="s">
        <v>98</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105</v>
      </c>
    </row>
    <row r="42" spans="1:31">
      <c r="A42" t="s">
        <v>109</v>
      </c>
      <c r="B42" t="s">
        <v>335</v>
      </c>
      <c r="C42" t="s">
        <v>334</v>
      </c>
      <c r="D42" t="s">
        <v>98</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105</v>
      </c>
    </row>
    <row r="43" spans="1:31">
      <c r="A43" t="s">
        <v>110</v>
      </c>
      <c r="B43" t="s">
        <v>333</v>
      </c>
      <c r="C43" t="s">
        <v>332</v>
      </c>
      <c r="D43" t="s">
        <v>98</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105</v>
      </c>
    </row>
    <row r="44" spans="1:31">
      <c r="A44" t="s">
        <v>111</v>
      </c>
      <c r="B44" t="s">
        <v>331</v>
      </c>
      <c r="C44" t="s">
        <v>330</v>
      </c>
      <c r="D44" t="s">
        <v>98</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105</v>
      </c>
    </row>
    <row r="45" spans="1:31">
      <c r="A45" t="s">
        <v>119</v>
      </c>
      <c r="B45" t="s">
        <v>329</v>
      </c>
      <c r="C45" t="s">
        <v>328</v>
      </c>
      <c r="D45" t="s">
        <v>98</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s="71">
        <v>0.04</v>
      </c>
    </row>
    <row r="46" spans="1:31">
      <c r="A46" t="s">
        <v>163</v>
      </c>
      <c r="B46" t="s">
        <v>327</v>
      </c>
      <c r="C46" t="s">
        <v>326</v>
      </c>
      <c r="D46" t="s">
        <v>113</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s="71">
        <v>3.5999999999999997E-2</v>
      </c>
    </row>
    <row r="47" spans="1:31">
      <c r="A47" t="s">
        <v>120</v>
      </c>
      <c r="B47" t="s">
        <v>325</v>
      </c>
      <c r="C47" t="s">
        <v>324</v>
      </c>
      <c r="D47" t="s">
        <v>98</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s="71">
        <v>4.0000000000000001E-3</v>
      </c>
    </row>
    <row r="48" spans="1:31">
      <c r="A48" t="s">
        <v>128</v>
      </c>
      <c r="B48" t="s">
        <v>323</v>
      </c>
      <c r="C48" t="s">
        <v>322</v>
      </c>
      <c r="D48" t="s">
        <v>98</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s="71">
        <v>1E-3</v>
      </c>
    </row>
    <row r="49" spans="1:31">
      <c r="A49" t="s">
        <v>162</v>
      </c>
    </row>
    <row r="50" spans="1:31">
      <c r="A50" t="s">
        <v>152</v>
      </c>
      <c r="B50" t="s">
        <v>321</v>
      </c>
      <c r="C50" t="s">
        <v>320</v>
      </c>
      <c r="D50" t="s">
        <v>98</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s="71">
        <v>-4.2999999999999997E-2</v>
      </c>
    </row>
    <row r="51" spans="1:31">
      <c r="A51" t="s">
        <v>151</v>
      </c>
      <c r="B51" t="s">
        <v>319</v>
      </c>
      <c r="C51" t="s">
        <v>318</v>
      </c>
      <c r="D51" t="s">
        <v>98</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s="71">
        <v>-5.5E-2</v>
      </c>
    </row>
    <row r="52" spans="1:31">
      <c r="A52" t="s">
        <v>150</v>
      </c>
      <c r="B52" t="s">
        <v>317</v>
      </c>
      <c r="C52" t="s">
        <v>316</v>
      </c>
      <c r="D52" t="s">
        <v>98</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s="71">
        <v>6.0000000000000001E-3</v>
      </c>
    </row>
    <row r="53" spans="1:31">
      <c r="A53" t="s">
        <v>149</v>
      </c>
      <c r="B53" t="s">
        <v>315</v>
      </c>
      <c r="C53" t="s">
        <v>314</v>
      </c>
      <c r="D53" t="s">
        <v>98</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s="71">
        <v>8.6999999999999994E-2</v>
      </c>
    </row>
    <row r="54" spans="1:31">
      <c r="A54" t="s">
        <v>148</v>
      </c>
      <c r="B54" t="s">
        <v>313</v>
      </c>
      <c r="C54" t="s">
        <v>312</v>
      </c>
      <c r="D54" t="s">
        <v>98</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105</v>
      </c>
    </row>
    <row r="55" spans="1:31">
      <c r="A55" t="s">
        <v>122</v>
      </c>
      <c r="B55" t="s">
        <v>311</v>
      </c>
      <c r="C55" t="s">
        <v>310</v>
      </c>
      <c r="D55" t="s">
        <v>98</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s="71">
        <v>1.7999999999999999E-2</v>
      </c>
    </row>
    <row r="56" spans="1:31">
      <c r="A56" t="s">
        <v>147</v>
      </c>
      <c r="B56" t="s">
        <v>309</v>
      </c>
      <c r="C56" t="s">
        <v>308</v>
      </c>
      <c r="D56" t="s">
        <v>98</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105</v>
      </c>
    </row>
    <row r="57" spans="1:31">
      <c r="A57" t="s">
        <v>146</v>
      </c>
      <c r="B57" t="s">
        <v>307</v>
      </c>
      <c r="C57" t="s">
        <v>306</v>
      </c>
      <c r="D57" t="s">
        <v>98</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105</v>
      </c>
    </row>
    <row r="58" spans="1:31">
      <c r="A58" t="s">
        <v>123</v>
      </c>
      <c r="B58" t="s">
        <v>305</v>
      </c>
      <c r="C58" t="s">
        <v>304</v>
      </c>
      <c r="D58" t="s">
        <v>98</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105</v>
      </c>
    </row>
    <row r="59" spans="1:31">
      <c r="A59" t="s">
        <v>145</v>
      </c>
      <c r="B59" t="s">
        <v>303</v>
      </c>
      <c r="C59" t="s">
        <v>302</v>
      </c>
      <c r="D59" t="s">
        <v>98</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105</v>
      </c>
    </row>
    <row r="60" spans="1:31">
      <c r="A60" t="s">
        <v>144</v>
      </c>
      <c r="B60" t="s">
        <v>301</v>
      </c>
      <c r="C60" t="s">
        <v>300</v>
      </c>
      <c r="D60" t="s">
        <v>98</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s="71">
        <v>0.22800000000000001</v>
      </c>
    </row>
    <row r="61" spans="1:31">
      <c r="A61" t="s">
        <v>143</v>
      </c>
      <c r="B61" t="s">
        <v>299</v>
      </c>
      <c r="C61" t="s">
        <v>298</v>
      </c>
      <c r="D61" t="s">
        <v>98</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105</v>
      </c>
    </row>
    <row r="62" spans="1:31">
      <c r="A62" t="s">
        <v>161</v>
      </c>
      <c r="B62" t="s">
        <v>297</v>
      </c>
      <c r="C62" t="s">
        <v>296</v>
      </c>
      <c r="D62" t="s">
        <v>98</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s="71">
        <v>6.0000000000000001E-3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A9C08-B4DB-4D28-8975-A9AE65B9BD07}">
  <dimension ref="A1:AE309"/>
  <sheetViews>
    <sheetView workbookViewId="0"/>
  </sheetViews>
  <sheetFormatPr defaultRowHeight="15"/>
  <cols>
    <col min="1" max="1" width="32" customWidth="1"/>
  </cols>
  <sheetData>
    <row r="1" spans="1:31">
      <c r="A1" t="s">
        <v>207</v>
      </c>
    </row>
    <row r="2" spans="1:31">
      <c r="A2" t="s">
        <v>941</v>
      </c>
    </row>
    <row r="3" spans="1:31">
      <c r="A3" t="s">
        <v>940</v>
      </c>
    </row>
    <row r="4" spans="1:31">
      <c r="A4" t="s">
        <v>91</v>
      </c>
    </row>
    <row r="5" spans="1:31">
      <c r="B5" t="s">
        <v>92</v>
      </c>
      <c r="C5" t="s">
        <v>93</v>
      </c>
      <c r="D5" t="s">
        <v>94</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293</v>
      </c>
    </row>
    <row r="6" spans="1:31">
      <c r="A6" t="s">
        <v>206</v>
      </c>
    </row>
    <row r="7" spans="1:31">
      <c r="A7" t="s">
        <v>205</v>
      </c>
    </row>
    <row r="8" spans="1:31">
      <c r="A8" t="s">
        <v>186</v>
      </c>
    </row>
    <row r="9" spans="1:31">
      <c r="A9" t="s">
        <v>151</v>
      </c>
      <c r="B9" t="s">
        <v>939</v>
      </c>
      <c r="C9" t="s">
        <v>938</v>
      </c>
      <c r="D9" t="s">
        <v>203</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s="71">
        <v>-2.1999999999999999E-2</v>
      </c>
    </row>
    <row r="10" spans="1:31">
      <c r="A10" t="s">
        <v>152</v>
      </c>
      <c r="B10" t="s">
        <v>937</v>
      </c>
      <c r="C10" t="s">
        <v>936</v>
      </c>
      <c r="D10" t="s">
        <v>203</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s="71">
        <v>7.0000000000000001E-3</v>
      </c>
    </row>
    <row r="11" spans="1:31">
      <c r="A11" t="s">
        <v>150</v>
      </c>
      <c r="B11" t="s">
        <v>935</v>
      </c>
      <c r="C11" t="s">
        <v>934</v>
      </c>
      <c r="D11" t="s">
        <v>203</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s="71">
        <v>2.5999999999999999E-2</v>
      </c>
    </row>
    <row r="12" spans="1:31">
      <c r="A12" t="s">
        <v>149</v>
      </c>
      <c r="B12" t="s">
        <v>933</v>
      </c>
      <c r="C12" t="s">
        <v>932</v>
      </c>
      <c r="D12" t="s">
        <v>203</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s="71">
        <v>9.7000000000000003E-2</v>
      </c>
    </row>
    <row r="13" spans="1:31">
      <c r="A13" t="s">
        <v>148</v>
      </c>
      <c r="B13" t="s">
        <v>931</v>
      </c>
      <c r="C13" t="s">
        <v>930</v>
      </c>
      <c r="D13" t="s">
        <v>203</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s="71">
        <v>-0.115</v>
      </c>
    </row>
    <row r="14" spans="1:31">
      <c r="A14" t="s">
        <v>122</v>
      </c>
      <c r="B14" t="s">
        <v>929</v>
      </c>
      <c r="C14" t="s">
        <v>928</v>
      </c>
      <c r="D14" t="s">
        <v>203</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s="71">
        <v>0.192</v>
      </c>
    </row>
    <row r="15" spans="1:31">
      <c r="A15" t="s">
        <v>146</v>
      </c>
      <c r="B15" t="s">
        <v>927</v>
      </c>
      <c r="C15" t="s">
        <v>926</v>
      </c>
      <c r="D15" t="s">
        <v>203</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105</v>
      </c>
    </row>
    <row r="16" spans="1:31">
      <c r="A16" t="s">
        <v>147</v>
      </c>
      <c r="B16" t="s">
        <v>925</v>
      </c>
      <c r="C16" t="s">
        <v>924</v>
      </c>
      <c r="D16" t="s">
        <v>203</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105</v>
      </c>
    </row>
    <row r="17" spans="1:31">
      <c r="A17" t="s">
        <v>123</v>
      </c>
      <c r="B17" t="s">
        <v>923</v>
      </c>
      <c r="C17" t="s">
        <v>922</v>
      </c>
      <c r="D17" t="s">
        <v>203</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105</v>
      </c>
    </row>
    <row r="18" spans="1:31">
      <c r="A18" t="s">
        <v>145</v>
      </c>
      <c r="B18" t="s">
        <v>921</v>
      </c>
      <c r="C18" t="s">
        <v>920</v>
      </c>
      <c r="D18" t="s">
        <v>203</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105</v>
      </c>
    </row>
    <row r="19" spans="1:31">
      <c r="A19" t="s">
        <v>144</v>
      </c>
      <c r="B19" t="s">
        <v>919</v>
      </c>
      <c r="C19" t="s">
        <v>918</v>
      </c>
      <c r="D19" t="s">
        <v>203</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s="71">
        <v>0.27300000000000002</v>
      </c>
    </row>
    <row r="20" spans="1:31">
      <c r="A20" t="s">
        <v>143</v>
      </c>
      <c r="B20" t="s">
        <v>917</v>
      </c>
      <c r="C20" t="s">
        <v>916</v>
      </c>
      <c r="D20" t="s">
        <v>203</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105</v>
      </c>
    </row>
    <row r="21" spans="1:31">
      <c r="A21" t="s">
        <v>185</v>
      </c>
      <c r="B21" t="s">
        <v>915</v>
      </c>
      <c r="C21" t="s">
        <v>914</v>
      </c>
      <c r="D21" t="s">
        <v>203</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s="71">
        <v>1.2999999999999999E-2</v>
      </c>
    </row>
    <row r="22" spans="1:31">
      <c r="A22" t="s">
        <v>184</v>
      </c>
    </row>
    <row r="23" spans="1:31">
      <c r="A23" t="s">
        <v>151</v>
      </c>
      <c r="B23" t="s">
        <v>913</v>
      </c>
      <c r="C23" t="s">
        <v>912</v>
      </c>
      <c r="D23" t="s">
        <v>203</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s="71">
        <v>-1.2E-2</v>
      </c>
    </row>
    <row r="24" spans="1:31">
      <c r="A24" t="s">
        <v>152</v>
      </c>
      <c r="B24" t="s">
        <v>911</v>
      </c>
      <c r="C24" t="s">
        <v>910</v>
      </c>
      <c r="D24" t="s">
        <v>203</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s="71">
        <v>1E-3</v>
      </c>
    </row>
    <row r="25" spans="1:31">
      <c r="A25" t="s">
        <v>150</v>
      </c>
      <c r="B25" t="s">
        <v>909</v>
      </c>
      <c r="C25" t="s">
        <v>908</v>
      </c>
      <c r="D25" t="s">
        <v>203</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s="71">
        <v>-0.1</v>
      </c>
    </row>
    <row r="26" spans="1:31">
      <c r="A26" t="s">
        <v>149</v>
      </c>
      <c r="B26" t="s">
        <v>907</v>
      </c>
      <c r="C26" t="s">
        <v>906</v>
      </c>
      <c r="D26" t="s">
        <v>203</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s="71">
        <v>3.9E-2</v>
      </c>
    </row>
    <row r="27" spans="1:31">
      <c r="A27" t="s">
        <v>148</v>
      </c>
      <c r="B27" t="s">
        <v>905</v>
      </c>
      <c r="C27" t="s">
        <v>904</v>
      </c>
      <c r="D27" t="s">
        <v>203</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s="71">
        <v>-9.5000000000000001E-2</v>
      </c>
    </row>
    <row r="28" spans="1:31">
      <c r="A28" t="s">
        <v>122</v>
      </c>
      <c r="B28" t="s">
        <v>903</v>
      </c>
      <c r="C28" t="s">
        <v>902</v>
      </c>
      <c r="D28" t="s">
        <v>203</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s="71">
        <v>4.3999999999999997E-2</v>
      </c>
    </row>
    <row r="29" spans="1:31">
      <c r="A29" t="s">
        <v>146</v>
      </c>
      <c r="B29" t="s">
        <v>901</v>
      </c>
      <c r="C29" t="s">
        <v>900</v>
      </c>
      <c r="D29" t="s">
        <v>203</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105</v>
      </c>
    </row>
    <row r="30" spans="1:31">
      <c r="A30" t="s">
        <v>147</v>
      </c>
      <c r="B30" t="s">
        <v>899</v>
      </c>
      <c r="C30" t="s">
        <v>898</v>
      </c>
      <c r="D30" t="s">
        <v>203</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s="71">
        <v>-8.3000000000000004E-2</v>
      </c>
    </row>
    <row r="31" spans="1:31">
      <c r="A31" t="s">
        <v>123</v>
      </c>
      <c r="B31" t="s">
        <v>897</v>
      </c>
      <c r="C31" t="s">
        <v>896</v>
      </c>
      <c r="D31" t="s">
        <v>203</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105</v>
      </c>
    </row>
    <row r="32" spans="1:31">
      <c r="A32" t="s">
        <v>145</v>
      </c>
      <c r="B32" t="s">
        <v>895</v>
      </c>
      <c r="C32" t="s">
        <v>894</v>
      </c>
      <c r="D32" t="s">
        <v>203</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105</v>
      </c>
    </row>
    <row r="33" spans="1:31">
      <c r="A33" t="s">
        <v>144</v>
      </c>
      <c r="B33" t="s">
        <v>893</v>
      </c>
      <c r="C33" t="s">
        <v>892</v>
      </c>
      <c r="D33" t="s">
        <v>203</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s="71">
        <v>0.22800000000000001</v>
      </c>
    </row>
    <row r="34" spans="1:31">
      <c r="A34" t="s">
        <v>143</v>
      </c>
      <c r="B34" t="s">
        <v>891</v>
      </c>
      <c r="C34" t="s">
        <v>890</v>
      </c>
      <c r="D34" t="s">
        <v>203</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105</v>
      </c>
    </row>
    <row r="35" spans="1:31">
      <c r="A35" t="s">
        <v>183</v>
      </c>
      <c r="B35" t="s">
        <v>889</v>
      </c>
      <c r="C35" t="s">
        <v>888</v>
      </c>
      <c r="D35" t="s">
        <v>203</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s="71">
        <v>-1E-3</v>
      </c>
    </row>
    <row r="36" spans="1:31">
      <c r="A36" t="s">
        <v>182</v>
      </c>
    </row>
    <row r="37" spans="1:31">
      <c r="A37" t="s">
        <v>151</v>
      </c>
      <c r="B37" t="s">
        <v>887</v>
      </c>
      <c r="C37" t="s">
        <v>886</v>
      </c>
      <c r="D37" t="s">
        <v>203</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s="71">
        <v>8.0000000000000002E-3</v>
      </c>
    </row>
    <row r="38" spans="1:31">
      <c r="A38" t="s">
        <v>152</v>
      </c>
      <c r="B38" t="s">
        <v>885</v>
      </c>
      <c r="C38" t="s">
        <v>884</v>
      </c>
      <c r="D38" t="s">
        <v>203</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s="71">
        <v>-3.5999999999999997E-2</v>
      </c>
    </row>
    <row r="39" spans="1:31">
      <c r="A39" t="s">
        <v>150</v>
      </c>
      <c r="B39" t="s">
        <v>883</v>
      </c>
      <c r="C39" t="s">
        <v>882</v>
      </c>
      <c r="D39" t="s">
        <v>203</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s="71">
        <v>-9.2999999999999999E-2</v>
      </c>
    </row>
    <row r="40" spans="1:31">
      <c r="A40" t="s">
        <v>149</v>
      </c>
      <c r="B40" t="s">
        <v>881</v>
      </c>
      <c r="C40" t="s">
        <v>880</v>
      </c>
      <c r="D40" t="s">
        <v>203</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s="71">
        <v>4.4999999999999998E-2</v>
      </c>
    </row>
    <row r="41" spans="1:31">
      <c r="A41" t="s">
        <v>148</v>
      </c>
      <c r="B41" t="s">
        <v>879</v>
      </c>
      <c r="C41" t="s">
        <v>878</v>
      </c>
      <c r="D41" t="s">
        <v>203</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105</v>
      </c>
    </row>
    <row r="42" spans="1:31">
      <c r="A42" t="s">
        <v>122</v>
      </c>
      <c r="B42" t="s">
        <v>877</v>
      </c>
      <c r="C42" t="s">
        <v>876</v>
      </c>
      <c r="D42" t="s">
        <v>203</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s="71">
        <v>0.05</v>
      </c>
    </row>
    <row r="43" spans="1:31">
      <c r="A43" t="s">
        <v>146</v>
      </c>
      <c r="B43" t="s">
        <v>875</v>
      </c>
      <c r="C43" t="s">
        <v>874</v>
      </c>
      <c r="D43" t="s">
        <v>203</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105</v>
      </c>
    </row>
    <row r="44" spans="1:31">
      <c r="A44" t="s">
        <v>147</v>
      </c>
      <c r="B44" t="s">
        <v>873</v>
      </c>
      <c r="C44" t="s">
        <v>872</v>
      </c>
      <c r="D44" t="s">
        <v>203</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105</v>
      </c>
    </row>
    <row r="45" spans="1:31">
      <c r="A45" t="s">
        <v>123</v>
      </c>
      <c r="B45" t="s">
        <v>871</v>
      </c>
      <c r="C45" t="s">
        <v>870</v>
      </c>
      <c r="D45" t="s">
        <v>203</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105</v>
      </c>
    </row>
    <row r="46" spans="1:31">
      <c r="A46" t="s">
        <v>145</v>
      </c>
      <c r="B46" t="s">
        <v>869</v>
      </c>
      <c r="C46" t="s">
        <v>868</v>
      </c>
      <c r="D46" t="s">
        <v>203</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105</v>
      </c>
    </row>
    <row r="47" spans="1:31">
      <c r="A47" t="s">
        <v>144</v>
      </c>
      <c r="B47" t="s">
        <v>867</v>
      </c>
      <c r="C47" t="s">
        <v>866</v>
      </c>
      <c r="D47" t="s">
        <v>203</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105</v>
      </c>
    </row>
    <row r="48" spans="1:31">
      <c r="A48" t="s">
        <v>143</v>
      </c>
      <c r="B48" t="s">
        <v>865</v>
      </c>
      <c r="C48" t="s">
        <v>864</v>
      </c>
      <c r="D48" t="s">
        <v>203</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105</v>
      </c>
    </row>
    <row r="49" spans="1:31">
      <c r="A49" t="s">
        <v>181</v>
      </c>
      <c r="B49" t="s">
        <v>863</v>
      </c>
      <c r="C49" t="s">
        <v>862</v>
      </c>
      <c r="D49" t="s">
        <v>203</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s="71">
        <v>8.9999999999999993E-3</v>
      </c>
    </row>
    <row r="50" spans="1:31">
      <c r="A50" t="s">
        <v>204</v>
      </c>
      <c r="B50" t="s">
        <v>861</v>
      </c>
      <c r="C50" t="s">
        <v>860</v>
      </c>
      <c r="D50" t="s">
        <v>203</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s="71">
        <v>8.9999999999999993E-3</v>
      </c>
    </row>
    <row r="51" spans="1:31">
      <c r="A51" t="s">
        <v>202</v>
      </c>
    </row>
    <row r="52" spans="1:31">
      <c r="A52" t="s">
        <v>186</v>
      </c>
    </row>
    <row r="53" spans="1:31">
      <c r="A53" t="s">
        <v>151</v>
      </c>
      <c r="B53" t="s">
        <v>859</v>
      </c>
      <c r="C53" t="s">
        <v>858</v>
      </c>
      <c r="D53" t="s">
        <v>166</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s="71">
        <v>-2.5000000000000001E-2</v>
      </c>
    </row>
    <row r="54" spans="1:31">
      <c r="A54" t="s">
        <v>152</v>
      </c>
      <c r="B54" t="s">
        <v>857</v>
      </c>
      <c r="C54" t="s">
        <v>856</v>
      </c>
      <c r="D54" t="s">
        <v>166</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s="71">
        <v>5.0000000000000001E-3</v>
      </c>
    </row>
    <row r="55" spans="1:31">
      <c r="A55" t="s">
        <v>150</v>
      </c>
      <c r="B55" t="s">
        <v>855</v>
      </c>
      <c r="C55" t="s">
        <v>854</v>
      </c>
      <c r="D55" t="s">
        <v>166</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s="71">
        <v>1.6E-2</v>
      </c>
    </row>
    <row r="56" spans="1:31">
      <c r="A56" t="s">
        <v>149</v>
      </c>
      <c r="B56" t="s">
        <v>853</v>
      </c>
      <c r="C56" t="s">
        <v>852</v>
      </c>
      <c r="D56" t="s">
        <v>166</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s="71">
        <v>9.1999999999999998E-2</v>
      </c>
    </row>
    <row r="57" spans="1:31">
      <c r="A57" t="s">
        <v>148</v>
      </c>
      <c r="B57" t="s">
        <v>851</v>
      </c>
      <c r="C57" t="s">
        <v>850</v>
      </c>
      <c r="D57" t="s">
        <v>166</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s="71">
        <v>-0.115</v>
      </c>
    </row>
    <row r="58" spans="1:31">
      <c r="A58" t="s">
        <v>122</v>
      </c>
      <c r="B58" t="s">
        <v>849</v>
      </c>
      <c r="C58" t="s">
        <v>848</v>
      </c>
      <c r="D58" t="s">
        <v>166</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s="71">
        <v>0.189</v>
      </c>
    </row>
    <row r="59" spans="1:31">
      <c r="A59" t="s">
        <v>146</v>
      </c>
      <c r="B59" t="s">
        <v>847</v>
      </c>
      <c r="C59" t="s">
        <v>846</v>
      </c>
      <c r="D59" t="s">
        <v>166</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105</v>
      </c>
    </row>
    <row r="60" spans="1:31">
      <c r="A60" t="s">
        <v>147</v>
      </c>
      <c r="B60" t="s">
        <v>845</v>
      </c>
      <c r="C60" t="s">
        <v>844</v>
      </c>
      <c r="D60" t="s">
        <v>166</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105</v>
      </c>
    </row>
    <row r="61" spans="1:31">
      <c r="A61" t="s">
        <v>123</v>
      </c>
      <c r="B61" t="s">
        <v>843</v>
      </c>
      <c r="C61" t="s">
        <v>842</v>
      </c>
      <c r="D61" t="s">
        <v>166</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105</v>
      </c>
    </row>
    <row r="62" spans="1:31">
      <c r="A62" t="s">
        <v>145</v>
      </c>
      <c r="B62" t="s">
        <v>841</v>
      </c>
      <c r="C62" t="s">
        <v>840</v>
      </c>
      <c r="D62" t="s">
        <v>166</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105</v>
      </c>
    </row>
    <row r="63" spans="1:31">
      <c r="A63" t="s">
        <v>144</v>
      </c>
      <c r="B63" t="s">
        <v>839</v>
      </c>
      <c r="C63" t="s">
        <v>838</v>
      </c>
      <c r="D63" t="s">
        <v>166</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s="71">
        <v>0.27100000000000002</v>
      </c>
    </row>
    <row r="64" spans="1:31">
      <c r="A64" t="s">
        <v>143</v>
      </c>
      <c r="B64" t="s">
        <v>837</v>
      </c>
      <c r="C64" t="s">
        <v>836</v>
      </c>
      <c r="D64" t="s">
        <v>166</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105</v>
      </c>
    </row>
    <row r="65" spans="1:31">
      <c r="A65" t="s">
        <v>185</v>
      </c>
      <c r="B65" t="s">
        <v>835</v>
      </c>
      <c r="C65" t="s">
        <v>834</v>
      </c>
      <c r="D65" t="s">
        <v>166</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s="71">
        <v>6.0000000000000001E-3</v>
      </c>
    </row>
    <row r="66" spans="1:31">
      <c r="A66" t="s">
        <v>184</v>
      </c>
    </row>
    <row r="67" spans="1:31">
      <c r="A67" t="s">
        <v>151</v>
      </c>
      <c r="B67" t="s">
        <v>833</v>
      </c>
      <c r="C67" t="s">
        <v>832</v>
      </c>
      <c r="D67" t="s">
        <v>166</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s="71">
        <v>-2.1000000000000001E-2</v>
      </c>
    </row>
    <row r="68" spans="1:31">
      <c r="A68" t="s">
        <v>152</v>
      </c>
      <c r="B68" t="s">
        <v>831</v>
      </c>
      <c r="C68" t="s">
        <v>830</v>
      </c>
      <c r="D68" t="s">
        <v>166</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s="71">
        <v>-4.0000000000000001E-3</v>
      </c>
    </row>
    <row r="69" spans="1:31">
      <c r="A69" t="s">
        <v>150</v>
      </c>
      <c r="B69" t="s">
        <v>829</v>
      </c>
      <c r="C69" t="s">
        <v>828</v>
      </c>
      <c r="D69" t="s">
        <v>166</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s="71">
        <v>-0.104</v>
      </c>
    </row>
    <row r="70" spans="1:31">
      <c r="A70" t="s">
        <v>149</v>
      </c>
      <c r="B70" t="s">
        <v>827</v>
      </c>
      <c r="C70" t="s">
        <v>826</v>
      </c>
      <c r="D70" t="s">
        <v>166</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s="71">
        <v>2.8000000000000001E-2</v>
      </c>
    </row>
    <row r="71" spans="1:31">
      <c r="A71" t="s">
        <v>148</v>
      </c>
      <c r="B71" t="s">
        <v>825</v>
      </c>
      <c r="C71" t="s">
        <v>824</v>
      </c>
      <c r="D71" t="s">
        <v>166</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s="71">
        <v>-9.5000000000000001E-2</v>
      </c>
    </row>
    <row r="72" spans="1:31">
      <c r="A72" t="s">
        <v>122</v>
      </c>
      <c r="B72" t="s">
        <v>823</v>
      </c>
      <c r="C72" t="s">
        <v>822</v>
      </c>
      <c r="D72" t="s">
        <v>166</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s="71">
        <v>4.5999999999999999E-2</v>
      </c>
    </row>
    <row r="73" spans="1:31">
      <c r="A73" t="s">
        <v>146</v>
      </c>
      <c r="B73" t="s">
        <v>821</v>
      </c>
      <c r="C73" t="s">
        <v>820</v>
      </c>
      <c r="D73" t="s">
        <v>166</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105</v>
      </c>
    </row>
    <row r="74" spans="1:31">
      <c r="A74" t="s">
        <v>147</v>
      </c>
      <c r="B74" t="s">
        <v>819</v>
      </c>
      <c r="C74" t="s">
        <v>818</v>
      </c>
      <c r="D74" t="s">
        <v>166</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s="71">
        <v>-8.3000000000000004E-2</v>
      </c>
    </row>
    <row r="75" spans="1:31">
      <c r="A75" t="s">
        <v>123</v>
      </c>
      <c r="B75" t="s">
        <v>817</v>
      </c>
      <c r="C75" t="s">
        <v>816</v>
      </c>
      <c r="D75" t="s">
        <v>166</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105</v>
      </c>
    </row>
    <row r="76" spans="1:31">
      <c r="A76" t="s">
        <v>145</v>
      </c>
      <c r="B76" t="s">
        <v>815</v>
      </c>
      <c r="C76" t="s">
        <v>814</v>
      </c>
      <c r="D76" t="s">
        <v>166</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105</v>
      </c>
    </row>
    <row r="77" spans="1:31">
      <c r="A77" t="s">
        <v>144</v>
      </c>
      <c r="B77" t="s">
        <v>813</v>
      </c>
      <c r="C77" t="s">
        <v>812</v>
      </c>
      <c r="D77" t="s">
        <v>166</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s="71">
        <v>0.22500000000000001</v>
      </c>
    </row>
    <row r="78" spans="1:31">
      <c r="A78" t="s">
        <v>143</v>
      </c>
      <c r="B78" t="s">
        <v>811</v>
      </c>
      <c r="C78" t="s">
        <v>810</v>
      </c>
      <c r="D78" t="s">
        <v>166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105</v>
      </c>
    </row>
    <row r="79" spans="1:31">
      <c r="A79" t="s">
        <v>183</v>
      </c>
      <c r="B79" t="s">
        <v>809</v>
      </c>
      <c r="C79" t="s">
        <v>808</v>
      </c>
      <c r="D79" t="s">
        <v>166</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s="71">
        <v>-8.9999999999999993E-3</v>
      </c>
    </row>
    <row r="80" spans="1:31">
      <c r="A80" t="s">
        <v>182</v>
      </c>
    </row>
    <row r="81" spans="1:31">
      <c r="A81" t="s">
        <v>151</v>
      </c>
      <c r="B81" t="s">
        <v>807</v>
      </c>
      <c r="C81" t="s">
        <v>806</v>
      </c>
      <c r="D81" t="s">
        <v>166</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s="71">
        <v>0</v>
      </c>
    </row>
    <row r="82" spans="1:31">
      <c r="A82" t="s">
        <v>152</v>
      </c>
      <c r="B82" t="s">
        <v>805</v>
      </c>
      <c r="C82" t="s">
        <v>804</v>
      </c>
      <c r="D82" t="s">
        <v>166</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s="71">
        <v>-4.3999999999999997E-2</v>
      </c>
    </row>
    <row r="83" spans="1:31">
      <c r="A83" t="s">
        <v>150</v>
      </c>
      <c r="B83" t="s">
        <v>803</v>
      </c>
      <c r="C83" t="s">
        <v>802</v>
      </c>
      <c r="D83" t="s">
        <v>166</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s="71">
        <v>-9.2999999999999999E-2</v>
      </c>
    </row>
    <row r="84" spans="1:31">
      <c r="A84" t="s">
        <v>149</v>
      </c>
      <c r="B84" t="s">
        <v>801</v>
      </c>
      <c r="C84" t="s">
        <v>800</v>
      </c>
      <c r="D84" t="s">
        <v>166</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s="71">
        <v>3.6999999999999998E-2</v>
      </c>
    </row>
    <row r="85" spans="1:31">
      <c r="A85" t="s">
        <v>148</v>
      </c>
      <c r="B85" t="s">
        <v>799</v>
      </c>
      <c r="C85" t="s">
        <v>798</v>
      </c>
      <c r="D85" t="s">
        <v>166</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105</v>
      </c>
    </row>
    <row r="86" spans="1:31">
      <c r="A86" t="s">
        <v>122</v>
      </c>
      <c r="B86" t="s">
        <v>797</v>
      </c>
      <c r="C86" t="s">
        <v>796</v>
      </c>
      <c r="D86" t="s">
        <v>166</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s="71">
        <v>4.4999999999999998E-2</v>
      </c>
    </row>
    <row r="87" spans="1:31">
      <c r="A87" t="s">
        <v>146</v>
      </c>
      <c r="B87" t="s">
        <v>795</v>
      </c>
      <c r="C87" t="s">
        <v>794</v>
      </c>
      <c r="D87" t="s">
        <v>166</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105</v>
      </c>
    </row>
    <row r="88" spans="1:31">
      <c r="A88" t="s">
        <v>147</v>
      </c>
      <c r="B88" t="s">
        <v>793</v>
      </c>
      <c r="C88" t="s">
        <v>792</v>
      </c>
      <c r="D88" t="s">
        <v>166</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105</v>
      </c>
    </row>
    <row r="89" spans="1:31">
      <c r="A89" t="s">
        <v>123</v>
      </c>
      <c r="B89" t="s">
        <v>791</v>
      </c>
      <c r="C89" t="s">
        <v>790</v>
      </c>
      <c r="D89" t="s">
        <v>166</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105</v>
      </c>
    </row>
    <row r="90" spans="1:31">
      <c r="A90" t="s">
        <v>145</v>
      </c>
      <c r="B90" t="s">
        <v>789</v>
      </c>
      <c r="C90" t="s">
        <v>788</v>
      </c>
      <c r="D90" t="s">
        <v>166</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105</v>
      </c>
    </row>
    <row r="91" spans="1:31">
      <c r="A91" t="s">
        <v>144</v>
      </c>
      <c r="B91" t="s">
        <v>787</v>
      </c>
      <c r="C91" t="s">
        <v>786</v>
      </c>
      <c r="D91" t="s">
        <v>166</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105</v>
      </c>
    </row>
    <row r="92" spans="1:31">
      <c r="A92" t="s">
        <v>143</v>
      </c>
      <c r="B92" t="s">
        <v>785</v>
      </c>
      <c r="C92" t="s">
        <v>784</v>
      </c>
      <c r="D92" t="s">
        <v>166</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105</v>
      </c>
    </row>
    <row r="93" spans="1:31">
      <c r="A93" t="s">
        <v>181</v>
      </c>
      <c r="B93" t="s">
        <v>783</v>
      </c>
      <c r="C93" t="s">
        <v>782</v>
      </c>
      <c r="D93" t="s">
        <v>166</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s="71">
        <v>1E-3</v>
      </c>
    </row>
    <row r="94" spans="1:31">
      <c r="A94" t="s">
        <v>186</v>
      </c>
      <c r="B94" t="s">
        <v>201</v>
      </c>
      <c r="C94" t="s">
        <v>200</v>
      </c>
    </row>
    <row r="95" spans="1:31">
      <c r="A95" t="s">
        <v>151</v>
      </c>
      <c r="B95" t="s">
        <v>781</v>
      </c>
      <c r="C95" t="s">
        <v>780</v>
      </c>
      <c r="D95" t="s">
        <v>166</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s="71">
        <v>-4.0000000000000001E-3</v>
      </c>
    </row>
    <row r="96" spans="1:31">
      <c r="A96" t="s">
        <v>152</v>
      </c>
      <c r="B96" t="s">
        <v>779</v>
      </c>
      <c r="C96" t="s">
        <v>778</v>
      </c>
      <c r="D96" t="s">
        <v>166</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s="71">
        <v>1E-3</v>
      </c>
    </row>
    <row r="97" spans="1:31">
      <c r="A97" t="s">
        <v>150</v>
      </c>
      <c r="B97" t="s">
        <v>777</v>
      </c>
      <c r="C97" t="s">
        <v>776</v>
      </c>
      <c r="D97" t="s">
        <v>166</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s="71">
        <v>-9.1999999999999998E-2</v>
      </c>
    </row>
    <row r="98" spans="1:31">
      <c r="A98" t="s">
        <v>149</v>
      </c>
      <c r="B98" t="s">
        <v>775</v>
      </c>
      <c r="C98" t="s">
        <v>774</v>
      </c>
      <c r="D98" t="s">
        <v>166</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s="71">
        <v>3.7999999999999999E-2</v>
      </c>
    </row>
    <row r="99" spans="1:31">
      <c r="A99" t="s">
        <v>148</v>
      </c>
      <c r="B99" t="s">
        <v>773</v>
      </c>
      <c r="C99" t="s">
        <v>772</v>
      </c>
      <c r="D99" t="s">
        <v>166</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s="71">
        <v>-0.111</v>
      </c>
    </row>
    <row r="100" spans="1:31">
      <c r="A100" t="s">
        <v>122</v>
      </c>
      <c r="B100" t="s">
        <v>771</v>
      </c>
      <c r="C100" t="s">
        <v>770</v>
      </c>
      <c r="D100" t="s">
        <v>166</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s="71">
        <v>0.123</v>
      </c>
    </row>
    <row r="101" spans="1:31">
      <c r="A101" t="s">
        <v>146</v>
      </c>
      <c r="B101" t="s">
        <v>769</v>
      </c>
      <c r="C101" t="s">
        <v>768</v>
      </c>
      <c r="D101" t="s">
        <v>166</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105</v>
      </c>
    </row>
    <row r="102" spans="1:31">
      <c r="A102" t="s">
        <v>147</v>
      </c>
      <c r="B102" t="s">
        <v>767</v>
      </c>
      <c r="C102" t="s">
        <v>766</v>
      </c>
      <c r="D102" t="s">
        <v>166</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s="71">
        <v>-8.3000000000000004E-2</v>
      </c>
    </row>
    <row r="103" spans="1:31">
      <c r="A103" t="s">
        <v>123</v>
      </c>
      <c r="B103" t="s">
        <v>765</v>
      </c>
      <c r="C103" t="s">
        <v>764</v>
      </c>
      <c r="D103" t="s">
        <v>166</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105</v>
      </c>
    </row>
    <row r="104" spans="1:31">
      <c r="A104" t="s">
        <v>145</v>
      </c>
      <c r="B104" t="s">
        <v>763</v>
      </c>
      <c r="C104" t="s">
        <v>762</v>
      </c>
      <c r="D104" t="s">
        <v>166</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105</v>
      </c>
    </row>
    <row r="105" spans="1:31">
      <c r="A105" t="s">
        <v>144</v>
      </c>
      <c r="B105" t="s">
        <v>761</v>
      </c>
      <c r="C105" t="s">
        <v>760</v>
      </c>
      <c r="D105" t="s">
        <v>166</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s="71">
        <v>0.25700000000000001</v>
      </c>
    </row>
    <row r="106" spans="1:31">
      <c r="A106" t="s">
        <v>143</v>
      </c>
      <c r="B106" t="s">
        <v>759</v>
      </c>
      <c r="C106" t="s">
        <v>758</v>
      </c>
      <c r="D106" t="s">
        <v>166</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105</v>
      </c>
    </row>
    <row r="107" spans="1:31">
      <c r="A107" t="s">
        <v>199</v>
      </c>
      <c r="B107" t="s">
        <v>757</v>
      </c>
      <c r="C107" t="s">
        <v>756</v>
      </c>
      <c r="D107" t="s">
        <v>166</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s="71">
        <v>0</v>
      </c>
    </row>
    <row r="108" spans="1:31">
      <c r="A108" t="s">
        <v>195</v>
      </c>
    </row>
    <row r="109" spans="1:31">
      <c r="A109" t="s">
        <v>186</v>
      </c>
    </row>
    <row r="110" spans="1:31">
      <c r="A110" t="s">
        <v>151</v>
      </c>
      <c r="B110" t="s">
        <v>755</v>
      </c>
      <c r="C110" t="s">
        <v>754</v>
      </c>
      <c r="D110" t="s">
        <v>190</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s="71">
        <v>3.0000000000000001E-3</v>
      </c>
    </row>
    <row r="111" spans="1:31">
      <c r="A111" t="s">
        <v>152</v>
      </c>
      <c r="B111" t="s">
        <v>753</v>
      </c>
      <c r="C111" t="s">
        <v>752</v>
      </c>
      <c r="D111" t="s">
        <v>191</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s="71">
        <v>2E-3</v>
      </c>
    </row>
    <row r="112" spans="1:31">
      <c r="A112" t="s">
        <v>150</v>
      </c>
      <c r="B112" t="s">
        <v>751</v>
      </c>
      <c r="C112" t="s">
        <v>750</v>
      </c>
      <c r="D112" t="s">
        <v>191</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s="71">
        <v>0.01</v>
      </c>
    </row>
    <row r="113" spans="1:31">
      <c r="A113" t="s">
        <v>149</v>
      </c>
      <c r="B113" t="s">
        <v>749</v>
      </c>
      <c r="C113" t="s">
        <v>748</v>
      </c>
      <c r="D113" t="s">
        <v>191</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s="71">
        <v>5.0000000000000001E-3</v>
      </c>
    </row>
    <row r="114" spans="1:31">
      <c r="A114" t="s">
        <v>148</v>
      </c>
      <c r="B114" t="s">
        <v>747</v>
      </c>
      <c r="C114" t="s">
        <v>746</v>
      </c>
      <c r="D114" t="s">
        <v>191</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s="71">
        <v>0</v>
      </c>
    </row>
    <row r="115" spans="1:31">
      <c r="A115" t="s">
        <v>122</v>
      </c>
      <c r="B115" t="s">
        <v>745</v>
      </c>
      <c r="C115" t="s">
        <v>744</v>
      </c>
      <c r="D115" t="s">
        <v>190</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s="71">
        <v>1E-3</v>
      </c>
    </row>
    <row r="116" spans="1:31">
      <c r="A116" t="s">
        <v>146</v>
      </c>
      <c r="B116" t="s">
        <v>743</v>
      </c>
      <c r="C116" t="s">
        <v>742</v>
      </c>
      <c r="D116" t="s">
        <v>190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105</v>
      </c>
    </row>
    <row r="117" spans="1:31">
      <c r="A117" t="s">
        <v>147</v>
      </c>
      <c r="B117" t="s">
        <v>741</v>
      </c>
      <c r="C117" t="s">
        <v>740</v>
      </c>
      <c r="D117" t="s">
        <v>191</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105</v>
      </c>
    </row>
    <row r="118" spans="1:31">
      <c r="A118" t="s">
        <v>123</v>
      </c>
      <c r="B118" t="s">
        <v>739</v>
      </c>
      <c r="C118" t="s">
        <v>738</v>
      </c>
      <c r="D118" t="s">
        <v>190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105</v>
      </c>
    </row>
    <row r="119" spans="1:31">
      <c r="A119" t="s">
        <v>145</v>
      </c>
      <c r="B119" t="s">
        <v>737</v>
      </c>
      <c r="C119" t="s">
        <v>736</v>
      </c>
      <c r="D119" t="s">
        <v>190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105</v>
      </c>
    </row>
    <row r="120" spans="1:31">
      <c r="A120" t="s">
        <v>144</v>
      </c>
      <c r="B120" t="s">
        <v>735</v>
      </c>
      <c r="C120" t="s">
        <v>734</v>
      </c>
      <c r="D120" t="s">
        <v>191</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s="71">
        <v>1E-3</v>
      </c>
    </row>
    <row r="121" spans="1:31">
      <c r="A121" t="s">
        <v>143</v>
      </c>
      <c r="B121" t="s">
        <v>733</v>
      </c>
      <c r="C121" t="s">
        <v>732</v>
      </c>
      <c r="D121" t="s">
        <v>190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105</v>
      </c>
    </row>
    <row r="122" spans="1:31">
      <c r="A122" t="s">
        <v>194</v>
      </c>
      <c r="B122" t="s">
        <v>731</v>
      </c>
      <c r="C122" t="s">
        <v>730</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s="71">
        <v>6.0000000000000001E-3</v>
      </c>
    </row>
    <row r="123" spans="1:31">
      <c r="A123" t="s">
        <v>184</v>
      </c>
    </row>
    <row r="124" spans="1:31">
      <c r="A124" t="s">
        <v>151</v>
      </c>
      <c r="B124" t="s">
        <v>729</v>
      </c>
      <c r="C124" t="s">
        <v>728</v>
      </c>
      <c r="D124" t="s">
        <v>190</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s="71">
        <v>8.9999999999999993E-3</v>
      </c>
    </row>
    <row r="125" spans="1:31">
      <c r="A125" t="s">
        <v>152</v>
      </c>
      <c r="B125" t="s">
        <v>727</v>
      </c>
      <c r="C125" t="s">
        <v>726</v>
      </c>
      <c r="D125" t="s">
        <v>191</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s="71">
        <v>5.0000000000000001E-3</v>
      </c>
    </row>
    <row r="126" spans="1:31">
      <c r="A126" t="s">
        <v>150</v>
      </c>
      <c r="B126" t="s">
        <v>725</v>
      </c>
      <c r="C126" t="s">
        <v>724</v>
      </c>
      <c r="D126" t="s">
        <v>191</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s="71">
        <v>4.0000000000000001E-3</v>
      </c>
    </row>
    <row r="127" spans="1:31">
      <c r="A127" t="s">
        <v>149</v>
      </c>
      <c r="B127" t="s">
        <v>723</v>
      </c>
      <c r="C127" t="s">
        <v>722</v>
      </c>
      <c r="D127" t="s">
        <v>191</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s="71">
        <v>0.01</v>
      </c>
    </row>
    <row r="128" spans="1:31">
      <c r="A128" t="s">
        <v>148</v>
      </c>
      <c r="B128" t="s">
        <v>721</v>
      </c>
      <c r="C128" t="s">
        <v>720</v>
      </c>
      <c r="D128" t="s">
        <v>193</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s="71">
        <v>0</v>
      </c>
    </row>
    <row r="129" spans="1:31">
      <c r="A129" t="s">
        <v>122</v>
      </c>
      <c r="B129" t="s">
        <v>719</v>
      </c>
      <c r="C129" t="s">
        <v>718</v>
      </c>
      <c r="D129" t="s">
        <v>191</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s="71">
        <v>-3.0000000000000001E-3</v>
      </c>
    </row>
    <row r="130" spans="1:31">
      <c r="A130" t="s">
        <v>146</v>
      </c>
      <c r="B130" t="s">
        <v>717</v>
      </c>
      <c r="C130" t="s">
        <v>716</v>
      </c>
      <c r="D130" t="s">
        <v>191</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105</v>
      </c>
    </row>
    <row r="131" spans="1:31">
      <c r="A131" t="s">
        <v>147</v>
      </c>
      <c r="B131" t="s">
        <v>715</v>
      </c>
      <c r="C131" t="s">
        <v>714</v>
      </c>
      <c r="D131" t="s">
        <v>191</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s="71">
        <v>0</v>
      </c>
    </row>
    <row r="132" spans="1:31">
      <c r="A132" t="s">
        <v>123</v>
      </c>
      <c r="B132" t="s">
        <v>713</v>
      </c>
      <c r="C132" t="s">
        <v>712</v>
      </c>
      <c r="D132" t="s">
        <v>191</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105</v>
      </c>
    </row>
    <row r="133" spans="1:31">
      <c r="A133" t="s">
        <v>145</v>
      </c>
      <c r="B133" t="s">
        <v>711</v>
      </c>
      <c r="C133" t="s">
        <v>710</v>
      </c>
      <c r="D133" t="s">
        <v>190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105</v>
      </c>
    </row>
    <row r="134" spans="1:31">
      <c r="A134" t="s">
        <v>144</v>
      </c>
      <c r="B134" t="s">
        <v>709</v>
      </c>
      <c r="C134" t="s">
        <v>708</v>
      </c>
      <c r="D134" t="s">
        <v>191</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s="71">
        <v>3.0000000000000001E-3</v>
      </c>
    </row>
    <row r="135" spans="1:31">
      <c r="A135" t="s">
        <v>143</v>
      </c>
      <c r="B135" t="s">
        <v>707</v>
      </c>
      <c r="C135" t="s">
        <v>706</v>
      </c>
      <c r="D135" t="s">
        <v>190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105</v>
      </c>
    </row>
    <row r="136" spans="1:31">
      <c r="A136" t="s">
        <v>192</v>
      </c>
      <c r="B136" t="s">
        <v>705</v>
      </c>
      <c r="C136" t="s">
        <v>704</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s="71">
        <v>7.0000000000000001E-3</v>
      </c>
    </row>
    <row r="137" spans="1:31">
      <c r="A137" t="s">
        <v>182</v>
      </c>
    </row>
    <row r="138" spans="1:31">
      <c r="A138" t="s">
        <v>151</v>
      </c>
      <c r="B138" t="s">
        <v>703</v>
      </c>
      <c r="C138" t="s">
        <v>702</v>
      </c>
      <c r="D138" t="s">
        <v>190</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s="71">
        <v>8.0000000000000002E-3</v>
      </c>
    </row>
    <row r="139" spans="1:31">
      <c r="A139" t="s">
        <v>152</v>
      </c>
      <c r="B139" t="s">
        <v>701</v>
      </c>
      <c r="C139" t="s">
        <v>700</v>
      </c>
      <c r="D139" t="s">
        <v>191</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s="71">
        <v>8.9999999999999993E-3</v>
      </c>
    </row>
    <row r="140" spans="1:31">
      <c r="A140" t="s">
        <v>150</v>
      </c>
      <c r="B140" t="s">
        <v>699</v>
      </c>
      <c r="C140" t="s">
        <v>698</v>
      </c>
      <c r="D140" t="s">
        <v>191</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s="71">
        <v>0</v>
      </c>
    </row>
    <row r="141" spans="1:31">
      <c r="A141" t="s">
        <v>149</v>
      </c>
      <c r="B141" t="s">
        <v>697</v>
      </c>
      <c r="C141" t="s">
        <v>696</v>
      </c>
      <c r="D141" t="s">
        <v>190</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s="71">
        <v>8.0000000000000002E-3</v>
      </c>
    </row>
    <row r="142" spans="1:31">
      <c r="A142" t="s">
        <v>148</v>
      </c>
      <c r="B142" t="s">
        <v>695</v>
      </c>
      <c r="C142" t="s">
        <v>694</v>
      </c>
      <c r="D142" t="s">
        <v>191</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105</v>
      </c>
    </row>
    <row r="143" spans="1:31">
      <c r="A143" t="s">
        <v>122</v>
      </c>
      <c r="B143" t="s">
        <v>693</v>
      </c>
      <c r="C143" t="s">
        <v>692</v>
      </c>
      <c r="D143" t="s">
        <v>190</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s="71">
        <v>3.0000000000000001E-3</v>
      </c>
    </row>
    <row r="144" spans="1:31">
      <c r="A144" t="s">
        <v>146</v>
      </c>
      <c r="B144" t="s">
        <v>691</v>
      </c>
      <c r="C144" t="s">
        <v>690</v>
      </c>
      <c r="D144" t="s">
        <v>190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105</v>
      </c>
    </row>
    <row r="145" spans="1:31">
      <c r="A145" t="s">
        <v>147</v>
      </c>
      <c r="B145" t="s">
        <v>689</v>
      </c>
      <c r="C145" t="s">
        <v>688</v>
      </c>
      <c r="D145" t="s">
        <v>191</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105</v>
      </c>
    </row>
    <row r="146" spans="1:31">
      <c r="A146" t="s">
        <v>123</v>
      </c>
      <c r="B146" t="s">
        <v>687</v>
      </c>
      <c r="C146" t="s">
        <v>686</v>
      </c>
      <c r="D146" t="s">
        <v>190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105</v>
      </c>
    </row>
    <row r="147" spans="1:31">
      <c r="A147" t="s">
        <v>145</v>
      </c>
      <c r="B147" t="s">
        <v>685</v>
      </c>
      <c r="C147" t="s">
        <v>684</v>
      </c>
      <c r="D147" t="s">
        <v>190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105</v>
      </c>
    </row>
    <row r="148" spans="1:31">
      <c r="A148" t="s">
        <v>144</v>
      </c>
      <c r="B148" t="s">
        <v>683</v>
      </c>
      <c r="C148" t="s">
        <v>682</v>
      </c>
      <c r="D148" t="s">
        <v>191</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105</v>
      </c>
    </row>
    <row r="149" spans="1:31">
      <c r="A149" t="s">
        <v>143</v>
      </c>
      <c r="B149" t="s">
        <v>681</v>
      </c>
      <c r="C149" t="s">
        <v>680</v>
      </c>
      <c r="D149" t="s">
        <v>190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105</v>
      </c>
    </row>
    <row r="150" spans="1:31">
      <c r="A150" t="s">
        <v>189</v>
      </c>
      <c r="B150" t="s">
        <v>679</v>
      </c>
      <c r="C150" t="s">
        <v>678</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s="71">
        <v>8.0000000000000002E-3</v>
      </c>
    </row>
    <row r="151" spans="1:31">
      <c r="A151" t="s">
        <v>188</v>
      </c>
      <c r="B151" t="s">
        <v>677</v>
      </c>
      <c r="C151" t="s">
        <v>676</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s="71">
        <v>8.0000000000000002E-3</v>
      </c>
    </row>
    <row r="152" spans="1:31">
      <c r="A152" t="s">
        <v>198</v>
      </c>
    </row>
    <row r="153" spans="1:31">
      <c r="A153" t="s">
        <v>186</v>
      </c>
    </row>
    <row r="154" spans="1:31">
      <c r="A154" t="s">
        <v>151</v>
      </c>
      <c r="B154" t="s">
        <v>675</v>
      </c>
      <c r="C154" t="s">
        <v>674</v>
      </c>
      <c r="D154" t="s">
        <v>196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s="71">
        <v>-4.0000000000000001E-3</v>
      </c>
    </row>
    <row r="155" spans="1:31">
      <c r="A155" t="s">
        <v>152</v>
      </c>
      <c r="B155" t="s">
        <v>673</v>
      </c>
      <c r="C155" t="s">
        <v>672</v>
      </c>
      <c r="D155" t="s">
        <v>196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s="71">
        <v>2.3E-2</v>
      </c>
    </row>
    <row r="156" spans="1:31">
      <c r="A156" t="s">
        <v>150</v>
      </c>
      <c r="B156" t="s">
        <v>671</v>
      </c>
      <c r="C156" t="s">
        <v>670</v>
      </c>
      <c r="D156" t="s">
        <v>196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s="71">
        <v>-6.0000000000000001E-3</v>
      </c>
    </row>
    <row r="157" spans="1:31">
      <c r="A157" t="s">
        <v>149</v>
      </c>
      <c r="B157" t="s">
        <v>669</v>
      </c>
      <c r="C157" t="s">
        <v>668</v>
      </c>
      <c r="D157" t="s">
        <v>196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s="71">
        <v>0.126</v>
      </c>
    </row>
    <row r="158" spans="1:31">
      <c r="A158" t="s">
        <v>148</v>
      </c>
      <c r="B158" t="s">
        <v>667</v>
      </c>
      <c r="C158" t="s">
        <v>666</v>
      </c>
      <c r="D158" t="s">
        <v>196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s="71">
        <v>-6.5000000000000002E-2</v>
      </c>
    </row>
    <row r="159" spans="1:31">
      <c r="A159" t="s">
        <v>122</v>
      </c>
      <c r="B159" t="s">
        <v>665</v>
      </c>
      <c r="C159" t="s">
        <v>664</v>
      </c>
      <c r="D159" t="s">
        <v>196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s="71">
        <v>0.21199999999999999</v>
      </c>
    </row>
    <row r="160" spans="1:31">
      <c r="A160" t="s">
        <v>146</v>
      </c>
      <c r="B160" t="s">
        <v>663</v>
      </c>
      <c r="C160" t="s">
        <v>662</v>
      </c>
      <c r="D160" t="s">
        <v>196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105</v>
      </c>
    </row>
    <row r="161" spans="1:31">
      <c r="A161" t="s">
        <v>147</v>
      </c>
      <c r="B161" t="s">
        <v>661</v>
      </c>
      <c r="C161" t="s">
        <v>660</v>
      </c>
      <c r="D161" t="s">
        <v>196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105</v>
      </c>
    </row>
    <row r="162" spans="1:31">
      <c r="A162" t="s">
        <v>123</v>
      </c>
      <c r="B162" t="s">
        <v>659</v>
      </c>
      <c r="C162" t="s">
        <v>658</v>
      </c>
      <c r="D162" t="s">
        <v>196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105</v>
      </c>
    </row>
    <row r="163" spans="1:31">
      <c r="A163" t="s">
        <v>145</v>
      </c>
      <c r="B163" t="s">
        <v>657</v>
      </c>
      <c r="C163" t="s">
        <v>656</v>
      </c>
      <c r="D163" t="s">
        <v>196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105</v>
      </c>
    </row>
    <row r="164" spans="1:31">
      <c r="A164" t="s">
        <v>144</v>
      </c>
      <c r="B164" t="s">
        <v>655</v>
      </c>
      <c r="C164" t="s">
        <v>654</v>
      </c>
      <c r="D164" t="s">
        <v>196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s="71">
        <v>0.33</v>
      </c>
    </row>
    <row r="165" spans="1:31">
      <c r="A165" t="s">
        <v>143</v>
      </c>
      <c r="B165" t="s">
        <v>653</v>
      </c>
      <c r="C165" t="s">
        <v>652</v>
      </c>
      <c r="D165" t="s">
        <v>196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105</v>
      </c>
    </row>
    <row r="166" spans="1:31" s="70" customFormat="1">
      <c r="A166" s="70" t="s">
        <v>185</v>
      </c>
      <c r="B166" s="70" t="s">
        <v>651</v>
      </c>
      <c r="C166" s="70" t="s">
        <v>650</v>
      </c>
      <c r="D166" s="70" t="s">
        <v>196</v>
      </c>
      <c r="E166" s="70">
        <v>5.7115710000000002</v>
      </c>
      <c r="F166" s="70">
        <v>5.8793040000000003</v>
      </c>
      <c r="G166" s="70">
        <v>6.0593890000000004</v>
      </c>
      <c r="H166" s="70">
        <v>6.2427799999999998</v>
      </c>
      <c r="I166" s="70">
        <v>6.431324</v>
      </c>
      <c r="J166" s="70">
        <v>6.628965</v>
      </c>
      <c r="K166" s="70">
        <v>6.8280130000000003</v>
      </c>
      <c r="L166" s="70">
        <v>7.0310769999999998</v>
      </c>
      <c r="M166" s="70">
        <v>7.2286590000000004</v>
      </c>
      <c r="N166" s="70">
        <v>7.4252359999999999</v>
      </c>
      <c r="O166" s="70">
        <v>7.6170400000000003</v>
      </c>
      <c r="P166" s="70">
        <v>7.8034590000000001</v>
      </c>
      <c r="Q166" s="70">
        <v>7.9885890000000002</v>
      </c>
      <c r="R166" s="70">
        <v>8.1732069999999997</v>
      </c>
      <c r="S166" s="70">
        <v>8.3510360000000006</v>
      </c>
      <c r="T166" s="70">
        <v>8.5221140000000002</v>
      </c>
      <c r="U166" s="70">
        <v>8.6916510000000002</v>
      </c>
      <c r="V166" s="70">
        <v>8.8551350000000006</v>
      </c>
      <c r="W166" s="70">
        <v>9.02576</v>
      </c>
      <c r="X166" s="70">
        <v>9.1965900000000005</v>
      </c>
      <c r="Y166" s="70">
        <v>9.3623499999999993</v>
      </c>
      <c r="Z166" s="70">
        <v>9.5174509999999994</v>
      </c>
      <c r="AA166" s="70">
        <v>9.6720459999999999</v>
      </c>
      <c r="AB166" s="70">
        <v>9.8205880000000008</v>
      </c>
      <c r="AC166" s="70">
        <v>9.9564520000000005</v>
      </c>
      <c r="AD166" s="70">
        <v>10.08164</v>
      </c>
      <c r="AE166" s="78">
        <v>2.3E-2</v>
      </c>
    </row>
    <row r="167" spans="1:31">
      <c r="A167" t="s">
        <v>184</v>
      </c>
    </row>
    <row r="168" spans="1:31">
      <c r="A168" t="s">
        <v>151</v>
      </c>
      <c r="B168" t="s">
        <v>649</v>
      </c>
      <c r="C168" t="s">
        <v>648</v>
      </c>
      <c r="D168" t="s">
        <v>196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s="71">
        <v>-5.0000000000000001E-3</v>
      </c>
    </row>
    <row r="169" spans="1:31">
      <c r="A169" t="s">
        <v>152</v>
      </c>
      <c r="B169" t="s">
        <v>647</v>
      </c>
      <c r="C169" t="s">
        <v>646</v>
      </c>
      <c r="D169" t="s">
        <v>196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s="71">
        <v>8.0000000000000002E-3</v>
      </c>
    </row>
    <row r="170" spans="1:31">
      <c r="A170" t="s">
        <v>150</v>
      </c>
      <c r="B170" t="s">
        <v>645</v>
      </c>
      <c r="C170" t="s">
        <v>644</v>
      </c>
      <c r="D170" t="s">
        <v>196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s="71">
        <v>-8.2000000000000003E-2</v>
      </c>
    </row>
    <row r="171" spans="1:31">
      <c r="A171" t="s">
        <v>149</v>
      </c>
      <c r="B171" t="s">
        <v>643</v>
      </c>
      <c r="C171" t="s">
        <v>642</v>
      </c>
      <c r="D171" t="s">
        <v>196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s="71">
        <v>6.4000000000000001E-2</v>
      </c>
    </row>
    <row r="172" spans="1:31">
      <c r="A172" t="s">
        <v>148</v>
      </c>
      <c r="B172" t="s">
        <v>641</v>
      </c>
      <c r="C172" t="s">
        <v>640</v>
      </c>
      <c r="D172" t="s">
        <v>196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s="71">
        <v>-5.1999999999999998E-2</v>
      </c>
    </row>
    <row r="173" spans="1:31">
      <c r="A173" t="s">
        <v>122</v>
      </c>
      <c r="B173" t="s">
        <v>639</v>
      </c>
      <c r="C173" t="s">
        <v>638</v>
      </c>
      <c r="D173" t="s">
        <v>196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s="71">
        <v>7.0999999999999994E-2</v>
      </c>
    </row>
    <row r="174" spans="1:31">
      <c r="A174" t="s">
        <v>146</v>
      </c>
      <c r="B174" t="s">
        <v>637</v>
      </c>
      <c r="C174" t="s">
        <v>636</v>
      </c>
      <c r="D174" t="s">
        <v>196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105</v>
      </c>
    </row>
    <row r="175" spans="1:31">
      <c r="A175" t="s">
        <v>147</v>
      </c>
      <c r="B175" t="s">
        <v>635</v>
      </c>
      <c r="C175" t="s">
        <v>634</v>
      </c>
      <c r="D175" t="s">
        <v>196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s="71">
        <v>-1.9E-2</v>
      </c>
    </row>
    <row r="176" spans="1:31">
      <c r="A176" t="s">
        <v>123</v>
      </c>
      <c r="B176" t="s">
        <v>633</v>
      </c>
      <c r="C176" t="s">
        <v>632</v>
      </c>
      <c r="D176" t="s">
        <v>196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105</v>
      </c>
    </row>
    <row r="177" spans="1:31">
      <c r="A177" t="s">
        <v>145</v>
      </c>
      <c r="B177" t="s">
        <v>631</v>
      </c>
      <c r="C177" t="s">
        <v>630</v>
      </c>
      <c r="D177" t="s">
        <v>196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105</v>
      </c>
    </row>
    <row r="178" spans="1:31">
      <c r="A178" t="s">
        <v>144</v>
      </c>
      <c r="B178" t="s">
        <v>629</v>
      </c>
      <c r="C178" t="s">
        <v>628</v>
      </c>
      <c r="D178" t="s">
        <v>196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s="71">
        <v>0.27500000000000002</v>
      </c>
    </row>
    <row r="179" spans="1:31">
      <c r="A179" t="s">
        <v>143</v>
      </c>
      <c r="B179" t="s">
        <v>627</v>
      </c>
      <c r="C179" t="s">
        <v>626</v>
      </c>
      <c r="D179" t="s">
        <v>196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105</v>
      </c>
    </row>
    <row r="180" spans="1:31" s="70" customFormat="1">
      <c r="A180" s="70" t="s">
        <v>183</v>
      </c>
      <c r="B180" s="70" t="s">
        <v>625</v>
      </c>
      <c r="C180" s="70" t="s">
        <v>624</v>
      </c>
      <c r="D180" s="70" t="s">
        <v>196</v>
      </c>
      <c r="E180" s="70">
        <v>4.0657500000000004</v>
      </c>
      <c r="F180" s="70">
        <v>4.0873030000000004</v>
      </c>
      <c r="G180" s="70">
        <v>4.1278769999999998</v>
      </c>
      <c r="H180" s="70">
        <v>4.171017</v>
      </c>
      <c r="I180" s="70">
        <v>4.2092689999999999</v>
      </c>
      <c r="J180" s="70">
        <v>4.2492270000000003</v>
      </c>
      <c r="K180" s="70">
        <v>4.2856310000000004</v>
      </c>
      <c r="L180" s="70">
        <v>4.3263170000000004</v>
      </c>
      <c r="M180" s="70">
        <v>4.3584940000000003</v>
      </c>
      <c r="N180" s="70">
        <v>4.3858829999999998</v>
      </c>
      <c r="O180" s="70">
        <v>4.4158590000000002</v>
      </c>
      <c r="P180" s="70">
        <v>4.4446240000000001</v>
      </c>
      <c r="Q180" s="70">
        <v>4.472855</v>
      </c>
      <c r="R180" s="70">
        <v>4.4955429999999996</v>
      </c>
      <c r="S180" s="70">
        <v>4.5140710000000004</v>
      </c>
      <c r="T180" s="70">
        <v>4.5259270000000003</v>
      </c>
      <c r="U180" s="70">
        <v>4.5358349999999996</v>
      </c>
      <c r="V180" s="70">
        <v>4.5470509999999997</v>
      </c>
      <c r="W180" s="70">
        <v>4.568441</v>
      </c>
      <c r="X180" s="70">
        <v>4.5969749999999996</v>
      </c>
      <c r="Y180" s="70">
        <v>4.6244420000000002</v>
      </c>
      <c r="Z180" s="70">
        <v>4.6458279999999998</v>
      </c>
      <c r="AA180" s="70">
        <v>4.663176</v>
      </c>
      <c r="AB180" s="70">
        <v>4.6755880000000003</v>
      </c>
      <c r="AC180" s="70">
        <v>4.6816820000000003</v>
      </c>
      <c r="AD180" s="70">
        <v>4.6813149999999997</v>
      </c>
      <c r="AE180" s="78">
        <v>6.0000000000000001E-3</v>
      </c>
    </row>
    <row r="181" spans="1:31">
      <c r="A181" t="s">
        <v>182</v>
      </c>
    </row>
    <row r="182" spans="1:31">
      <c r="A182" t="s">
        <v>151</v>
      </c>
      <c r="B182" t="s">
        <v>623</v>
      </c>
      <c r="C182" t="s">
        <v>622</v>
      </c>
      <c r="D182" t="s">
        <v>196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s="71">
        <v>1.2E-2</v>
      </c>
    </row>
    <row r="183" spans="1:31">
      <c r="A183" t="s">
        <v>152</v>
      </c>
      <c r="B183" t="s">
        <v>621</v>
      </c>
      <c r="C183" t="s">
        <v>620</v>
      </c>
      <c r="D183" t="s">
        <v>196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s="71">
        <v>-5.0999999999999997E-2</v>
      </c>
    </row>
    <row r="184" spans="1:31">
      <c r="A184" t="s">
        <v>150</v>
      </c>
      <c r="B184" t="s">
        <v>619</v>
      </c>
      <c r="C184" t="s">
        <v>618</v>
      </c>
      <c r="D184" t="s">
        <v>196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s="71">
        <v>-5.7000000000000002E-2</v>
      </c>
    </row>
    <row r="185" spans="1:31">
      <c r="A185" t="s">
        <v>149</v>
      </c>
      <c r="B185" t="s">
        <v>617</v>
      </c>
      <c r="C185" t="s">
        <v>616</v>
      </c>
      <c r="D185" t="s">
        <v>196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s="71">
        <v>4.3999999999999997E-2</v>
      </c>
    </row>
    <row r="186" spans="1:31">
      <c r="A186" t="s">
        <v>148</v>
      </c>
      <c r="B186" t="s">
        <v>615</v>
      </c>
      <c r="C186" t="s">
        <v>614</v>
      </c>
      <c r="D186" t="s">
        <v>196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105</v>
      </c>
    </row>
    <row r="187" spans="1:31">
      <c r="A187" t="s">
        <v>122</v>
      </c>
      <c r="B187" t="s">
        <v>613</v>
      </c>
      <c r="C187" t="s">
        <v>612</v>
      </c>
      <c r="D187" t="s">
        <v>196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s="71">
        <v>8.4000000000000005E-2</v>
      </c>
    </row>
    <row r="188" spans="1:31">
      <c r="A188" t="s">
        <v>146</v>
      </c>
      <c r="B188" t="s">
        <v>611</v>
      </c>
      <c r="C188" t="s">
        <v>610</v>
      </c>
      <c r="D188" t="s">
        <v>196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105</v>
      </c>
    </row>
    <row r="189" spans="1:31">
      <c r="A189" t="s">
        <v>147</v>
      </c>
      <c r="B189" t="s">
        <v>609</v>
      </c>
      <c r="C189" t="s">
        <v>608</v>
      </c>
      <c r="D189" t="s">
        <v>196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105</v>
      </c>
    </row>
    <row r="190" spans="1:31">
      <c r="A190" t="s">
        <v>123</v>
      </c>
      <c r="B190" t="s">
        <v>607</v>
      </c>
      <c r="C190" t="s">
        <v>606</v>
      </c>
      <c r="D190" t="s">
        <v>196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105</v>
      </c>
    </row>
    <row r="191" spans="1:31">
      <c r="A191" t="s">
        <v>145</v>
      </c>
      <c r="B191" t="s">
        <v>605</v>
      </c>
      <c r="C191" t="s">
        <v>604</v>
      </c>
      <c r="D191" t="s">
        <v>196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105</v>
      </c>
    </row>
    <row r="192" spans="1:31">
      <c r="A192" t="s">
        <v>144</v>
      </c>
      <c r="B192" t="s">
        <v>603</v>
      </c>
      <c r="C192" t="s">
        <v>602</v>
      </c>
      <c r="D192" t="s">
        <v>196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105</v>
      </c>
    </row>
    <row r="193" spans="1:31">
      <c r="A193" t="s">
        <v>143</v>
      </c>
      <c r="B193" t="s">
        <v>601</v>
      </c>
      <c r="C193" t="s">
        <v>600</v>
      </c>
      <c r="D193" t="s">
        <v>196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105</v>
      </c>
    </row>
    <row r="194" spans="1:31" s="79" customFormat="1">
      <c r="A194" s="79" t="s">
        <v>181</v>
      </c>
      <c r="B194" s="79" t="s">
        <v>599</v>
      </c>
      <c r="C194" s="79" t="s">
        <v>598</v>
      </c>
      <c r="D194" s="79" t="s">
        <v>196</v>
      </c>
      <c r="E194" s="79">
        <v>5.720675</v>
      </c>
      <c r="F194" s="79">
        <v>5.786778</v>
      </c>
      <c r="G194" s="79">
        <v>5.8900569999999997</v>
      </c>
      <c r="H194" s="79">
        <v>5.9989869999999996</v>
      </c>
      <c r="I194" s="79">
        <v>6.1027120000000004</v>
      </c>
      <c r="J194" s="79">
        <v>6.2092499999999999</v>
      </c>
      <c r="K194" s="79">
        <v>6.3191629999999996</v>
      </c>
      <c r="L194" s="79">
        <v>6.429996</v>
      </c>
      <c r="M194" s="79">
        <v>6.5374549999999996</v>
      </c>
      <c r="N194" s="79">
        <v>6.634468</v>
      </c>
      <c r="O194" s="79">
        <v>6.7340600000000004</v>
      </c>
      <c r="P194" s="79">
        <v>6.8347290000000003</v>
      </c>
      <c r="Q194" s="79">
        <v>6.9296110000000004</v>
      </c>
      <c r="R194" s="79">
        <v>7.0165740000000003</v>
      </c>
      <c r="S194" s="79">
        <v>7.0896619999999997</v>
      </c>
      <c r="T194" s="79">
        <v>7.1539590000000004</v>
      </c>
      <c r="U194" s="79">
        <v>7.2051999999999996</v>
      </c>
      <c r="V194" s="79">
        <v>7.2670779999999997</v>
      </c>
      <c r="W194" s="79">
        <v>7.3361650000000003</v>
      </c>
      <c r="X194" s="79">
        <v>7.412941</v>
      </c>
      <c r="Y194" s="79">
        <v>7.4904260000000003</v>
      </c>
      <c r="Z194" s="79">
        <v>7.5574339999999998</v>
      </c>
      <c r="AA194" s="79">
        <v>7.6125629999999997</v>
      </c>
      <c r="AB194" s="79">
        <v>7.6564629999999996</v>
      </c>
      <c r="AC194" s="79">
        <v>7.6862450000000004</v>
      </c>
      <c r="AD194" s="79">
        <v>7.7035980000000004</v>
      </c>
      <c r="AE194" s="80">
        <v>1.2E-2</v>
      </c>
    </row>
    <row r="195" spans="1:31">
      <c r="A195" t="s">
        <v>197</v>
      </c>
      <c r="B195" t="s">
        <v>597</v>
      </c>
      <c r="C195" t="s">
        <v>596</v>
      </c>
      <c r="D195" t="s">
        <v>196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s="71">
        <v>1.4999999999999999E-2</v>
      </c>
    </row>
    <row r="196" spans="1:31">
      <c r="A196" t="s">
        <v>124</v>
      </c>
    </row>
    <row r="197" spans="1:31">
      <c r="A197" t="s">
        <v>195</v>
      </c>
    </row>
    <row r="198" spans="1:31">
      <c r="A198" t="s">
        <v>186</v>
      </c>
    </row>
    <row r="199" spans="1:31">
      <c r="A199" t="s">
        <v>151</v>
      </c>
      <c r="B199" t="s">
        <v>595</v>
      </c>
      <c r="C199" t="s">
        <v>594</v>
      </c>
      <c r="D199" t="s">
        <v>190</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s="71">
        <v>3.0000000000000001E-3</v>
      </c>
    </row>
    <row r="200" spans="1:31">
      <c r="A200" t="s">
        <v>152</v>
      </c>
      <c r="B200" t="s">
        <v>593</v>
      </c>
      <c r="C200" t="s">
        <v>592</v>
      </c>
      <c r="D200" t="s">
        <v>191</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s="71">
        <v>2E-3</v>
      </c>
    </row>
    <row r="201" spans="1:31">
      <c r="A201" t="s">
        <v>150</v>
      </c>
      <c r="B201" t="s">
        <v>591</v>
      </c>
      <c r="C201" t="s">
        <v>590</v>
      </c>
      <c r="D201" t="s">
        <v>191</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s="71">
        <v>2E-3</v>
      </c>
    </row>
    <row r="202" spans="1:31">
      <c r="A202" t="s">
        <v>149</v>
      </c>
      <c r="B202" t="s">
        <v>589</v>
      </c>
      <c r="C202" t="s">
        <v>588</v>
      </c>
      <c r="D202" t="s">
        <v>191</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s="71">
        <v>5.0000000000000001E-3</v>
      </c>
    </row>
    <row r="203" spans="1:31">
      <c r="A203" t="s">
        <v>148</v>
      </c>
      <c r="B203" t="s">
        <v>587</v>
      </c>
      <c r="C203" t="s">
        <v>586</v>
      </c>
      <c r="D203" t="s">
        <v>191</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s="71">
        <v>2E-3</v>
      </c>
    </row>
    <row r="204" spans="1:31">
      <c r="A204" t="s">
        <v>122</v>
      </c>
      <c r="B204" t="s">
        <v>585</v>
      </c>
      <c r="C204" t="s">
        <v>584</v>
      </c>
      <c r="D204" t="s">
        <v>190</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s="71">
        <v>0</v>
      </c>
    </row>
    <row r="205" spans="1:31">
      <c r="A205" t="s">
        <v>146</v>
      </c>
      <c r="B205" t="s">
        <v>583</v>
      </c>
      <c r="C205" t="s">
        <v>582</v>
      </c>
      <c r="D205" t="s">
        <v>190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105</v>
      </c>
    </row>
    <row r="206" spans="1:31">
      <c r="A206" t="s">
        <v>147</v>
      </c>
      <c r="B206" t="s">
        <v>581</v>
      </c>
      <c r="C206" t="s">
        <v>580</v>
      </c>
      <c r="D206" t="s">
        <v>191</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105</v>
      </c>
    </row>
    <row r="207" spans="1:31">
      <c r="A207" t="s">
        <v>123</v>
      </c>
      <c r="B207" t="s">
        <v>579</v>
      </c>
      <c r="C207" t="s">
        <v>578</v>
      </c>
      <c r="D207" t="s">
        <v>190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105</v>
      </c>
    </row>
    <row r="208" spans="1:31">
      <c r="A208" t="s">
        <v>145</v>
      </c>
      <c r="B208" t="s">
        <v>577</v>
      </c>
      <c r="C208" t="s">
        <v>576</v>
      </c>
      <c r="D208" t="s">
        <v>190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105</v>
      </c>
    </row>
    <row r="209" spans="1:31">
      <c r="A209" t="s">
        <v>144</v>
      </c>
      <c r="B209" t="s">
        <v>575</v>
      </c>
      <c r="C209" t="s">
        <v>574</v>
      </c>
      <c r="D209" t="s">
        <v>191</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s="71">
        <v>1E-3</v>
      </c>
    </row>
    <row r="210" spans="1:31">
      <c r="A210" t="s">
        <v>143</v>
      </c>
      <c r="B210" t="s">
        <v>573</v>
      </c>
      <c r="C210" t="s">
        <v>572</v>
      </c>
      <c r="D210" t="s">
        <v>190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105</v>
      </c>
    </row>
    <row r="211" spans="1:31">
      <c r="A211" t="s">
        <v>194</v>
      </c>
      <c r="B211" t="s">
        <v>571</v>
      </c>
      <c r="C211" t="s">
        <v>570</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s="71">
        <v>1.0999999999999999E-2</v>
      </c>
    </row>
    <row r="212" spans="1:31">
      <c r="A212" t="s">
        <v>184</v>
      </c>
    </row>
    <row r="213" spans="1:31">
      <c r="A213" t="s">
        <v>151</v>
      </c>
      <c r="B213" t="s">
        <v>569</v>
      </c>
      <c r="C213" t="s">
        <v>568</v>
      </c>
      <c r="D213" t="s">
        <v>190</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s="71">
        <v>6.0000000000000001E-3</v>
      </c>
    </row>
    <row r="214" spans="1:31">
      <c r="A214" t="s">
        <v>152</v>
      </c>
      <c r="B214" t="s">
        <v>567</v>
      </c>
      <c r="C214" t="s">
        <v>566</v>
      </c>
      <c r="D214" t="s">
        <v>191</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s="71">
        <v>6.0000000000000001E-3</v>
      </c>
    </row>
    <row r="215" spans="1:31">
      <c r="A215" t="s">
        <v>150</v>
      </c>
      <c r="B215" t="s">
        <v>565</v>
      </c>
      <c r="C215" t="s">
        <v>564</v>
      </c>
      <c r="D215" t="s">
        <v>191</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s="71">
        <v>1.2E-2</v>
      </c>
    </row>
    <row r="216" spans="1:31">
      <c r="A216" t="s">
        <v>149</v>
      </c>
      <c r="B216" t="s">
        <v>563</v>
      </c>
      <c r="C216" t="s">
        <v>562</v>
      </c>
      <c r="D216" t="s">
        <v>191</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s="71">
        <v>8.9999999999999993E-3</v>
      </c>
    </row>
    <row r="217" spans="1:31">
      <c r="A217" t="s">
        <v>148</v>
      </c>
      <c r="B217" t="s">
        <v>561</v>
      </c>
      <c r="C217" t="s">
        <v>560</v>
      </c>
      <c r="D217" t="s">
        <v>193</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s="71">
        <v>7.0000000000000001E-3</v>
      </c>
    </row>
    <row r="218" spans="1:31">
      <c r="A218" t="s">
        <v>122</v>
      </c>
      <c r="B218" t="s">
        <v>559</v>
      </c>
      <c r="C218" t="s">
        <v>558</v>
      </c>
      <c r="D218" t="s">
        <v>191</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s="71">
        <v>1E-3</v>
      </c>
    </row>
    <row r="219" spans="1:31">
      <c r="A219" t="s">
        <v>146</v>
      </c>
      <c r="B219" t="s">
        <v>557</v>
      </c>
      <c r="C219" t="s">
        <v>556</v>
      </c>
      <c r="D219" t="s">
        <v>191</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105</v>
      </c>
    </row>
    <row r="220" spans="1:31">
      <c r="A220" t="s">
        <v>147</v>
      </c>
      <c r="B220" t="s">
        <v>555</v>
      </c>
      <c r="C220" t="s">
        <v>554</v>
      </c>
      <c r="D220" t="s">
        <v>191</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s="71">
        <v>0</v>
      </c>
    </row>
    <row r="221" spans="1:31">
      <c r="A221" t="s">
        <v>123</v>
      </c>
      <c r="B221" t="s">
        <v>553</v>
      </c>
      <c r="C221" t="s">
        <v>552</v>
      </c>
      <c r="D221" t="s">
        <v>191</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105</v>
      </c>
    </row>
    <row r="222" spans="1:31">
      <c r="A222" t="s">
        <v>145</v>
      </c>
      <c r="B222" t="s">
        <v>551</v>
      </c>
      <c r="C222" t="s">
        <v>550</v>
      </c>
      <c r="D222" t="s">
        <v>190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105</v>
      </c>
    </row>
    <row r="223" spans="1:31">
      <c r="A223" t="s">
        <v>144</v>
      </c>
      <c r="B223" t="s">
        <v>549</v>
      </c>
      <c r="C223" t="s">
        <v>548</v>
      </c>
      <c r="D223" t="s">
        <v>191</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s="71">
        <v>3.0000000000000001E-3</v>
      </c>
    </row>
    <row r="224" spans="1:31">
      <c r="A224" t="s">
        <v>143</v>
      </c>
      <c r="B224" t="s">
        <v>547</v>
      </c>
      <c r="C224" t="s">
        <v>546</v>
      </c>
      <c r="D224" t="s">
        <v>190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105</v>
      </c>
    </row>
    <row r="225" spans="1:31">
      <c r="A225" t="s">
        <v>192</v>
      </c>
      <c r="B225" t="s">
        <v>545</v>
      </c>
      <c r="C225" t="s">
        <v>544</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s="71">
        <v>6.0000000000000001E-3</v>
      </c>
    </row>
    <row r="226" spans="1:31">
      <c r="A226" t="s">
        <v>182</v>
      </c>
    </row>
    <row r="227" spans="1:31">
      <c r="A227" t="s">
        <v>151</v>
      </c>
      <c r="B227" t="s">
        <v>543</v>
      </c>
      <c r="C227" t="s">
        <v>542</v>
      </c>
      <c r="D227" t="s">
        <v>190</v>
      </c>
      <c r="E227">
        <v>6.9770060000000003</v>
      </c>
      <c r="F227">
        <v>7.1109780000000002</v>
      </c>
      <c r="G227">
        <v>7.2955300000000003</v>
      </c>
      <c r="H227">
        <v>7.4186639999999997</v>
      </c>
      <c r="I227">
        <v>7.4927789999999996</v>
      </c>
      <c r="J227">
        <v>7.5834159999999997</v>
      </c>
      <c r="K227">
        <v>7.6653849999999997</v>
      </c>
      <c r="L227">
        <v>7.9378399999999996</v>
      </c>
      <c r="M227">
        <v>8.0344110000000004</v>
      </c>
      <c r="N227">
        <v>8.0786079999999991</v>
      </c>
      <c r="O227">
        <v>8.1083540000000003</v>
      </c>
      <c r="P227">
        <v>8.1106020000000001</v>
      </c>
      <c r="Q227">
        <v>8.11252</v>
      </c>
      <c r="R227">
        <v>8.1118170000000003</v>
      </c>
      <c r="S227">
        <v>8.1111109999999993</v>
      </c>
      <c r="T227">
        <v>8.1083800000000004</v>
      </c>
      <c r="U227">
        <v>8.1065570000000005</v>
      </c>
      <c r="V227">
        <v>8.1034670000000002</v>
      </c>
      <c r="W227">
        <v>8.1017309999999991</v>
      </c>
      <c r="X227">
        <v>8.1001720000000006</v>
      </c>
      <c r="Y227">
        <v>8.096959</v>
      </c>
      <c r="Z227">
        <v>8.0953909999999993</v>
      </c>
      <c r="AA227">
        <v>8.0922509999999992</v>
      </c>
      <c r="AB227">
        <v>8.0913930000000001</v>
      </c>
      <c r="AC227">
        <v>8.0899479999999997</v>
      </c>
      <c r="AD227">
        <v>8.0880690000000008</v>
      </c>
      <c r="AE227" s="71">
        <v>6.0000000000000001E-3</v>
      </c>
    </row>
    <row r="228" spans="1:31">
      <c r="A228" t="s">
        <v>152</v>
      </c>
      <c r="B228" t="s">
        <v>541</v>
      </c>
      <c r="C228" t="s">
        <v>540</v>
      </c>
      <c r="D228" t="s">
        <v>191</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s="71">
        <v>7.0000000000000001E-3</v>
      </c>
    </row>
    <row r="229" spans="1:31">
      <c r="A229" t="s">
        <v>150</v>
      </c>
      <c r="B229" t="s">
        <v>539</v>
      </c>
      <c r="C229" t="s">
        <v>538</v>
      </c>
      <c r="D229" t="s">
        <v>191</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s="71">
        <v>0</v>
      </c>
    </row>
    <row r="230" spans="1:31">
      <c r="A230" t="s">
        <v>149</v>
      </c>
      <c r="B230" t="s">
        <v>537</v>
      </c>
      <c r="C230" t="s">
        <v>536</v>
      </c>
      <c r="D230" t="s">
        <v>190</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s="71">
        <v>0.01</v>
      </c>
    </row>
    <row r="231" spans="1:31">
      <c r="A231" t="s">
        <v>148</v>
      </c>
      <c r="B231" t="s">
        <v>535</v>
      </c>
      <c r="C231" t="s">
        <v>534</v>
      </c>
      <c r="D231" t="s">
        <v>191</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105</v>
      </c>
    </row>
    <row r="232" spans="1:31">
      <c r="A232" t="s">
        <v>122</v>
      </c>
      <c r="B232" t="s">
        <v>533</v>
      </c>
      <c r="C232" t="s">
        <v>532</v>
      </c>
      <c r="D232" t="s">
        <v>190</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s="71">
        <v>5.0000000000000001E-3</v>
      </c>
    </row>
    <row r="233" spans="1:31">
      <c r="A233" t="s">
        <v>146</v>
      </c>
      <c r="B233" t="s">
        <v>531</v>
      </c>
      <c r="C233" t="s">
        <v>530</v>
      </c>
      <c r="D233" t="s">
        <v>190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105</v>
      </c>
    </row>
    <row r="234" spans="1:31">
      <c r="A234" t="s">
        <v>147</v>
      </c>
      <c r="B234" t="s">
        <v>529</v>
      </c>
      <c r="C234" t="s">
        <v>528</v>
      </c>
      <c r="D234" t="s">
        <v>191</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105</v>
      </c>
    </row>
    <row r="235" spans="1:31">
      <c r="A235" t="s">
        <v>123</v>
      </c>
      <c r="B235" t="s">
        <v>527</v>
      </c>
      <c r="C235" t="s">
        <v>526</v>
      </c>
      <c r="D235" t="s">
        <v>190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105</v>
      </c>
    </row>
    <row r="236" spans="1:31">
      <c r="A236" t="s">
        <v>145</v>
      </c>
      <c r="B236" t="s">
        <v>525</v>
      </c>
      <c r="C236" t="s">
        <v>524</v>
      </c>
      <c r="D236" t="s">
        <v>190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105</v>
      </c>
    </row>
    <row r="237" spans="1:31">
      <c r="A237" t="s">
        <v>144</v>
      </c>
      <c r="B237" t="s">
        <v>523</v>
      </c>
      <c r="C237" t="s">
        <v>522</v>
      </c>
      <c r="D237" t="s">
        <v>191</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105</v>
      </c>
    </row>
    <row r="238" spans="1:31">
      <c r="A238" t="s">
        <v>143</v>
      </c>
      <c r="B238" t="s">
        <v>521</v>
      </c>
      <c r="C238" t="s">
        <v>520</v>
      </c>
      <c r="D238" t="s">
        <v>190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105</v>
      </c>
    </row>
    <row r="239" spans="1:31">
      <c r="A239" t="s">
        <v>189</v>
      </c>
      <c r="B239" t="s">
        <v>519</v>
      </c>
      <c r="C239" t="s">
        <v>518</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s="71">
        <v>6.0000000000000001E-3</v>
      </c>
    </row>
    <row r="240" spans="1:31">
      <c r="A240" t="s">
        <v>188</v>
      </c>
      <c r="B240" t="s">
        <v>517</v>
      </c>
      <c r="C240" t="s">
        <v>516</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s="71">
        <v>8.0000000000000002E-3</v>
      </c>
    </row>
    <row r="241" spans="1:31">
      <c r="A241" t="s">
        <v>187</v>
      </c>
    </row>
    <row r="242" spans="1:31">
      <c r="A242" t="s">
        <v>186</v>
      </c>
    </row>
    <row r="243" spans="1:31">
      <c r="A243" t="s">
        <v>151</v>
      </c>
      <c r="B243" t="s">
        <v>515</v>
      </c>
      <c r="C243" t="s">
        <v>514</v>
      </c>
      <c r="D243" t="s">
        <v>98</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s="71">
        <v>-5.8000000000000003E-2</v>
      </c>
    </row>
    <row r="244" spans="1:31">
      <c r="A244" t="s">
        <v>152</v>
      </c>
      <c r="B244" t="s">
        <v>513</v>
      </c>
      <c r="C244" t="s">
        <v>512</v>
      </c>
      <c r="D244" t="s">
        <v>98</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s="71">
        <v>-4.1000000000000002E-2</v>
      </c>
    </row>
    <row r="245" spans="1:31">
      <c r="A245" t="s">
        <v>150</v>
      </c>
      <c r="B245" t="s">
        <v>511</v>
      </c>
      <c r="C245" t="s">
        <v>510</v>
      </c>
      <c r="D245" t="s">
        <v>98</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s="71">
        <v>1.0999999999999999E-2</v>
      </c>
    </row>
    <row r="246" spans="1:31">
      <c r="A246" t="s">
        <v>149</v>
      </c>
      <c r="B246" t="s">
        <v>509</v>
      </c>
      <c r="C246" t="s">
        <v>508</v>
      </c>
      <c r="D246" t="s">
        <v>98</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s="71">
        <v>4.9000000000000002E-2</v>
      </c>
    </row>
    <row r="247" spans="1:31">
      <c r="A247" t="s">
        <v>148</v>
      </c>
      <c r="B247" t="s">
        <v>507</v>
      </c>
      <c r="C247" t="s">
        <v>506</v>
      </c>
      <c r="D247" t="s">
        <v>98</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s="71">
        <v>1.0999999999999999E-2</v>
      </c>
    </row>
    <row r="248" spans="1:31">
      <c r="A248" t="s">
        <v>122</v>
      </c>
      <c r="B248" t="s">
        <v>505</v>
      </c>
      <c r="C248" t="s">
        <v>504</v>
      </c>
      <c r="D248" t="s">
        <v>98</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s="71">
        <v>0.192</v>
      </c>
    </row>
    <row r="249" spans="1:31">
      <c r="A249" t="s">
        <v>146</v>
      </c>
      <c r="B249" t="s">
        <v>503</v>
      </c>
      <c r="C249" t="s">
        <v>502</v>
      </c>
      <c r="D249" t="s">
        <v>98</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105</v>
      </c>
    </row>
    <row r="250" spans="1:31">
      <c r="A250" t="s">
        <v>147</v>
      </c>
      <c r="B250" t="s">
        <v>501</v>
      </c>
      <c r="C250" t="s">
        <v>500</v>
      </c>
      <c r="D250" t="s">
        <v>98</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105</v>
      </c>
    </row>
    <row r="251" spans="1:31">
      <c r="A251" t="s">
        <v>123</v>
      </c>
      <c r="B251" t="s">
        <v>499</v>
      </c>
      <c r="C251" t="s">
        <v>498</v>
      </c>
      <c r="D251" t="s">
        <v>98</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105</v>
      </c>
    </row>
    <row r="252" spans="1:31">
      <c r="A252" t="s">
        <v>145</v>
      </c>
      <c r="B252" t="s">
        <v>497</v>
      </c>
      <c r="C252" t="s">
        <v>496</v>
      </c>
      <c r="D252" t="s">
        <v>98</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105</v>
      </c>
    </row>
    <row r="253" spans="1:31">
      <c r="A253" t="s">
        <v>144</v>
      </c>
      <c r="B253" t="s">
        <v>495</v>
      </c>
      <c r="C253" t="s">
        <v>494</v>
      </c>
      <c r="D253" t="s">
        <v>98</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s="71">
        <v>0.19500000000000001</v>
      </c>
    </row>
    <row r="254" spans="1:31">
      <c r="A254" t="s">
        <v>143</v>
      </c>
      <c r="B254" t="s">
        <v>493</v>
      </c>
      <c r="C254" t="s">
        <v>492</v>
      </c>
      <c r="D254" t="s">
        <v>98</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105</v>
      </c>
    </row>
    <row r="255" spans="1:31" s="70" customFormat="1">
      <c r="A255" s="70" t="s">
        <v>185</v>
      </c>
      <c r="B255" s="70" t="s">
        <v>491</v>
      </c>
      <c r="C255" s="70" t="s">
        <v>490</v>
      </c>
      <c r="D255" s="70" t="s">
        <v>98</v>
      </c>
      <c r="E255" s="70">
        <v>312.05038500000001</v>
      </c>
      <c r="F255" s="70">
        <v>306.40390000000002</v>
      </c>
      <c r="G255" s="70">
        <v>320.47683699999999</v>
      </c>
      <c r="H255" s="70">
        <v>328.08535799999999</v>
      </c>
      <c r="I255" s="70">
        <v>338.56896999999998</v>
      </c>
      <c r="J255" s="70">
        <v>351.83932499999997</v>
      </c>
      <c r="K255" s="70">
        <v>361.365723</v>
      </c>
      <c r="L255" s="70">
        <v>368.813446</v>
      </c>
      <c r="M255" s="70">
        <v>377.51062000000002</v>
      </c>
      <c r="N255" s="70">
        <v>383.87072799999999</v>
      </c>
      <c r="O255" s="70">
        <v>389.67355300000003</v>
      </c>
      <c r="P255" s="70">
        <v>389.13681000000003</v>
      </c>
      <c r="Q255" s="70">
        <v>393.80273399999999</v>
      </c>
      <c r="R255" s="70">
        <v>398.50732399999998</v>
      </c>
      <c r="S255" s="70">
        <v>402.226044</v>
      </c>
      <c r="T255" s="70">
        <v>405.97412100000003</v>
      </c>
      <c r="U255" s="70">
        <v>407.93576000000002</v>
      </c>
      <c r="V255" s="70">
        <v>409.60849000000002</v>
      </c>
      <c r="W255" s="70">
        <v>411.73507699999999</v>
      </c>
      <c r="X255" s="70">
        <v>414.10400399999997</v>
      </c>
      <c r="Y255" s="70">
        <v>417.37853999999999</v>
      </c>
      <c r="Z255" s="70">
        <v>419.37756300000001</v>
      </c>
      <c r="AA255" s="70">
        <v>422.123199</v>
      </c>
      <c r="AB255" s="70">
        <v>423.37692299999998</v>
      </c>
      <c r="AC255" s="70">
        <v>424.12063599999999</v>
      </c>
      <c r="AD255" s="70">
        <v>422.36987299999998</v>
      </c>
      <c r="AE255" s="78">
        <v>1.2E-2</v>
      </c>
    </row>
    <row r="256" spans="1:31">
      <c r="A256" t="s">
        <v>184</v>
      </c>
    </row>
    <row r="257" spans="1:31">
      <c r="A257" t="s">
        <v>151</v>
      </c>
      <c r="B257" t="s">
        <v>489</v>
      </c>
      <c r="C257" t="s">
        <v>488</v>
      </c>
      <c r="D257" t="s">
        <v>98</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s="71">
        <v>-1.0999999999999999E-2</v>
      </c>
    </row>
    <row r="258" spans="1:31">
      <c r="A258" t="s">
        <v>152</v>
      </c>
      <c r="B258" t="s">
        <v>487</v>
      </c>
      <c r="C258" t="s">
        <v>486</v>
      </c>
      <c r="D258" t="s">
        <v>98</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s="71">
        <v>-1E-3</v>
      </c>
    </row>
    <row r="259" spans="1:31">
      <c r="A259" t="s">
        <v>150</v>
      </c>
      <c r="B259" t="s">
        <v>485</v>
      </c>
      <c r="C259" t="s">
        <v>484</v>
      </c>
      <c r="D259" t="s">
        <v>98</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s="71">
        <v>2E-3</v>
      </c>
    </row>
    <row r="260" spans="1:31">
      <c r="A260" t="s">
        <v>149</v>
      </c>
      <c r="B260" t="s">
        <v>483</v>
      </c>
      <c r="C260" t="s">
        <v>482</v>
      </c>
      <c r="D260" t="s">
        <v>98</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s="71">
        <v>0</v>
      </c>
    </row>
    <row r="261" spans="1:31">
      <c r="A261" t="s">
        <v>148</v>
      </c>
      <c r="B261" t="s">
        <v>481</v>
      </c>
      <c r="C261" t="s">
        <v>480</v>
      </c>
      <c r="D261" t="s">
        <v>98</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s="71">
        <v>2E-3</v>
      </c>
    </row>
    <row r="262" spans="1:31">
      <c r="A262" t="s">
        <v>122</v>
      </c>
      <c r="B262" t="s">
        <v>479</v>
      </c>
      <c r="C262" t="s">
        <v>478</v>
      </c>
      <c r="D262" t="s">
        <v>98</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s="71">
        <v>2E-3</v>
      </c>
    </row>
    <row r="263" spans="1:31">
      <c r="A263" t="s">
        <v>146</v>
      </c>
      <c r="B263" t="s">
        <v>477</v>
      </c>
      <c r="C263" t="s">
        <v>476</v>
      </c>
      <c r="D263" t="s">
        <v>98</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105</v>
      </c>
    </row>
    <row r="264" spans="1:31">
      <c r="A264" t="s">
        <v>147</v>
      </c>
      <c r="B264" t="s">
        <v>475</v>
      </c>
      <c r="C264" t="s">
        <v>474</v>
      </c>
      <c r="D264" t="s">
        <v>98</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s="71">
        <v>-1</v>
      </c>
    </row>
    <row r="265" spans="1:31">
      <c r="A265" t="s">
        <v>123</v>
      </c>
      <c r="B265" t="s">
        <v>473</v>
      </c>
      <c r="C265" t="s">
        <v>472</v>
      </c>
      <c r="D265" t="s">
        <v>98</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105</v>
      </c>
    </row>
    <row r="266" spans="1:31">
      <c r="A266" t="s">
        <v>145</v>
      </c>
      <c r="B266" t="s">
        <v>471</v>
      </c>
      <c r="C266" t="s">
        <v>470</v>
      </c>
      <c r="D266" t="s">
        <v>98</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105</v>
      </c>
    </row>
    <row r="267" spans="1:31">
      <c r="A267" t="s">
        <v>144</v>
      </c>
      <c r="B267" t="s">
        <v>469</v>
      </c>
      <c r="C267" t="s">
        <v>468</v>
      </c>
      <c r="D267" t="s">
        <v>98</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s="71">
        <v>0.14099999999999999</v>
      </c>
    </row>
    <row r="268" spans="1:31">
      <c r="A268" t="s">
        <v>143</v>
      </c>
      <c r="B268" t="s">
        <v>467</v>
      </c>
      <c r="C268" t="s">
        <v>466</v>
      </c>
      <c r="D268" t="s">
        <v>98</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105</v>
      </c>
    </row>
    <row r="269" spans="1:31" s="70" customFormat="1">
      <c r="A269" s="70" t="s">
        <v>183</v>
      </c>
      <c r="B269" s="70" t="s">
        <v>465</v>
      </c>
      <c r="C269" s="70" t="s">
        <v>464</v>
      </c>
      <c r="D269" s="70" t="s">
        <v>98</v>
      </c>
      <c r="E269" s="70">
        <v>156.405945</v>
      </c>
      <c r="F269" s="70">
        <v>164.22943100000001</v>
      </c>
      <c r="G269" s="70">
        <v>178.63836699999999</v>
      </c>
      <c r="H269" s="70">
        <v>179.71537799999999</v>
      </c>
      <c r="I269" s="70">
        <v>178.58071899999999</v>
      </c>
      <c r="J269" s="70">
        <v>179.68109100000001</v>
      </c>
      <c r="K269" s="70">
        <v>181.16154499999999</v>
      </c>
      <c r="L269" s="70">
        <v>183.47612000000001</v>
      </c>
      <c r="M269" s="70">
        <v>185.848175</v>
      </c>
      <c r="N269" s="70">
        <v>186.16751099999999</v>
      </c>
      <c r="O269" s="70">
        <v>186.66716</v>
      </c>
      <c r="P269" s="70">
        <v>184.377914</v>
      </c>
      <c r="Q269" s="70">
        <v>181.58715799999999</v>
      </c>
      <c r="R269" s="70">
        <v>178.86975100000001</v>
      </c>
      <c r="S269" s="70">
        <v>177.03923</v>
      </c>
      <c r="T269" s="70">
        <v>176.84678600000001</v>
      </c>
      <c r="U269" s="70">
        <v>177.09390300000001</v>
      </c>
      <c r="V269" s="70">
        <v>176.942429</v>
      </c>
      <c r="W269" s="70">
        <v>177.72143600000001</v>
      </c>
      <c r="X269" s="70">
        <v>177.98066700000001</v>
      </c>
      <c r="Y269" s="70">
        <v>177.50794999999999</v>
      </c>
      <c r="Z269" s="70">
        <v>175.60389699999999</v>
      </c>
      <c r="AA269" s="70">
        <v>172.63400300000001</v>
      </c>
      <c r="AB269" s="70">
        <v>169.477386</v>
      </c>
      <c r="AC269" s="70">
        <v>166.87162799999999</v>
      </c>
      <c r="AD269" s="70">
        <v>165.80062899999999</v>
      </c>
      <c r="AE269" s="78">
        <v>2E-3</v>
      </c>
    </row>
    <row r="270" spans="1:31">
      <c r="A270" t="s">
        <v>182</v>
      </c>
    </row>
    <row r="271" spans="1:31">
      <c r="A271" t="s">
        <v>151</v>
      </c>
      <c r="B271" t="s">
        <v>463</v>
      </c>
      <c r="C271" t="s">
        <v>462</v>
      </c>
      <c r="D271" t="s">
        <v>98</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s="71">
        <v>1E-3</v>
      </c>
    </row>
    <row r="272" spans="1:31">
      <c r="A272" t="s">
        <v>152</v>
      </c>
      <c r="B272" t="s">
        <v>461</v>
      </c>
      <c r="C272" t="s">
        <v>460</v>
      </c>
      <c r="D272" t="s">
        <v>98</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s="71">
        <v>2E-3</v>
      </c>
    </row>
    <row r="273" spans="1:31">
      <c r="A273" t="s">
        <v>150</v>
      </c>
      <c r="B273" t="s">
        <v>459</v>
      </c>
      <c r="C273" t="s">
        <v>458</v>
      </c>
      <c r="D273" t="s">
        <v>98</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105</v>
      </c>
    </row>
    <row r="274" spans="1:31">
      <c r="A274" t="s">
        <v>149</v>
      </c>
      <c r="B274" t="s">
        <v>457</v>
      </c>
      <c r="C274" t="s">
        <v>456</v>
      </c>
      <c r="D274" t="s">
        <v>98</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s="71">
        <v>3.6999999999999998E-2</v>
      </c>
    </row>
    <row r="275" spans="1:31">
      <c r="A275" t="s">
        <v>148</v>
      </c>
      <c r="B275" t="s">
        <v>455</v>
      </c>
      <c r="C275" t="s">
        <v>454</v>
      </c>
      <c r="D275" t="s">
        <v>98</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105</v>
      </c>
    </row>
    <row r="276" spans="1:31">
      <c r="A276" t="s">
        <v>122</v>
      </c>
      <c r="B276" t="s">
        <v>453</v>
      </c>
      <c r="C276" t="s">
        <v>452</v>
      </c>
      <c r="D276" t="s">
        <v>98</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s="71">
        <v>2E-3</v>
      </c>
    </row>
    <row r="277" spans="1:31">
      <c r="A277" t="s">
        <v>146</v>
      </c>
      <c r="B277" t="s">
        <v>451</v>
      </c>
      <c r="C277" t="s">
        <v>450</v>
      </c>
      <c r="D277" t="s">
        <v>98</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105</v>
      </c>
    </row>
    <row r="278" spans="1:31">
      <c r="A278" t="s">
        <v>147</v>
      </c>
      <c r="B278" t="s">
        <v>449</v>
      </c>
      <c r="C278" t="s">
        <v>448</v>
      </c>
      <c r="D278" t="s">
        <v>98</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105</v>
      </c>
    </row>
    <row r="279" spans="1:31">
      <c r="A279" t="s">
        <v>123</v>
      </c>
      <c r="B279" t="s">
        <v>447</v>
      </c>
      <c r="C279" t="s">
        <v>446</v>
      </c>
      <c r="D279" t="s">
        <v>98</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105</v>
      </c>
    </row>
    <row r="280" spans="1:31">
      <c r="A280" t="s">
        <v>145</v>
      </c>
      <c r="B280" t="s">
        <v>445</v>
      </c>
      <c r="C280" t="s">
        <v>444</v>
      </c>
      <c r="D280" t="s">
        <v>98</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105</v>
      </c>
    </row>
    <row r="281" spans="1:31">
      <c r="A281" t="s">
        <v>144</v>
      </c>
      <c r="B281" t="s">
        <v>443</v>
      </c>
      <c r="C281" t="s">
        <v>442</v>
      </c>
      <c r="D281" t="s">
        <v>98</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105</v>
      </c>
    </row>
    <row r="282" spans="1:31">
      <c r="A282" t="s">
        <v>143</v>
      </c>
      <c r="B282" t="s">
        <v>441</v>
      </c>
      <c r="C282" t="s">
        <v>440</v>
      </c>
      <c r="D282" t="s">
        <v>98</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105</v>
      </c>
    </row>
    <row r="283" spans="1:31" s="79" customFormat="1">
      <c r="A283" s="79" t="s">
        <v>181</v>
      </c>
      <c r="B283" s="79" t="s">
        <v>439</v>
      </c>
      <c r="C283" s="79" t="s">
        <v>438</v>
      </c>
      <c r="D283" s="79" t="s">
        <v>98</v>
      </c>
      <c r="E283" s="79">
        <v>287.91030899999998</v>
      </c>
      <c r="F283" s="79">
        <v>302.31176799999997</v>
      </c>
      <c r="G283" s="79">
        <v>328.83560199999999</v>
      </c>
      <c r="H283" s="79">
        <v>330.81811499999998</v>
      </c>
      <c r="I283" s="79">
        <v>328.72949199999999</v>
      </c>
      <c r="J283" s="79">
        <v>330.755066</v>
      </c>
      <c r="K283" s="79">
        <v>333.48022500000002</v>
      </c>
      <c r="L283" s="79">
        <v>337.74099699999999</v>
      </c>
      <c r="M283" s="79">
        <v>342.10742199999999</v>
      </c>
      <c r="N283" s="79">
        <v>342.69525099999998</v>
      </c>
      <c r="O283" s="79">
        <v>343.61498999999998</v>
      </c>
      <c r="P283" s="79">
        <v>339.40093999999999</v>
      </c>
      <c r="Q283" s="79">
        <v>334.26376299999998</v>
      </c>
      <c r="R283" s="79">
        <v>329.26162699999998</v>
      </c>
      <c r="S283" s="79">
        <v>325.89205900000002</v>
      </c>
      <c r="T283" s="79">
        <v>325.537781</v>
      </c>
      <c r="U283" s="79">
        <v>325.99264499999998</v>
      </c>
      <c r="V283" s="79">
        <v>325.71386699999999</v>
      </c>
      <c r="W283" s="79">
        <v>327.14776599999999</v>
      </c>
      <c r="X283" s="79">
        <v>327.62493899999998</v>
      </c>
      <c r="Y283" s="79">
        <v>326.75476099999997</v>
      </c>
      <c r="Z283" s="79">
        <v>323.249908</v>
      </c>
      <c r="AA283" s="79">
        <v>317.78286700000001</v>
      </c>
      <c r="AB283" s="79">
        <v>311.97226000000001</v>
      </c>
      <c r="AC283" s="79">
        <v>307.175568</v>
      </c>
      <c r="AD283" s="79">
        <v>305.20400999999998</v>
      </c>
      <c r="AE283" s="80">
        <v>2E-3</v>
      </c>
    </row>
    <row r="284" spans="1:31">
      <c r="A284" t="s">
        <v>121</v>
      </c>
      <c r="B284" t="s">
        <v>437</v>
      </c>
      <c r="C284" t="s">
        <v>436</v>
      </c>
      <c r="D284" t="s">
        <v>98</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s="71">
        <v>7.0000000000000001E-3</v>
      </c>
    </row>
    <row r="285" spans="1:31">
      <c r="A285" t="s">
        <v>125</v>
      </c>
    </row>
    <row r="286" spans="1:31">
      <c r="A286" t="s">
        <v>180</v>
      </c>
      <c r="B286" t="s">
        <v>435</v>
      </c>
      <c r="C286" t="s">
        <v>434</v>
      </c>
      <c r="D286" t="s">
        <v>178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s="71">
        <v>0</v>
      </c>
    </row>
    <row r="287" spans="1:31">
      <c r="A287" t="s">
        <v>177</v>
      </c>
      <c r="B287" t="s">
        <v>433</v>
      </c>
      <c r="C287" t="s">
        <v>432</v>
      </c>
      <c r="D287" t="s">
        <v>176</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s="71">
        <v>1E-3</v>
      </c>
    </row>
    <row r="288" spans="1:31">
      <c r="A288" t="s">
        <v>171</v>
      </c>
    </row>
    <row r="289" spans="1:31">
      <c r="A289" t="s">
        <v>170</v>
      </c>
      <c r="B289" t="s">
        <v>431</v>
      </c>
      <c r="C289" t="s">
        <v>430</v>
      </c>
      <c r="D289" t="s">
        <v>166</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s="71">
        <v>-1E-3</v>
      </c>
    </row>
    <row r="290" spans="1:31">
      <c r="A290" t="s">
        <v>169</v>
      </c>
      <c r="B290" t="s">
        <v>429</v>
      </c>
      <c r="C290" t="s">
        <v>428</v>
      </c>
      <c r="D290" t="s">
        <v>166</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105</v>
      </c>
    </row>
    <row r="291" spans="1:31">
      <c r="A291" t="s">
        <v>168</v>
      </c>
      <c r="B291" t="s">
        <v>427</v>
      </c>
      <c r="C291" t="s">
        <v>426</v>
      </c>
      <c r="D291" t="s">
        <v>166</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105</v>
      </c>
    </row>
    <row r="292" spans="1:31">
      <c r="A292" t="s">
        <v>167</v>
      </c>
      <c r="B292" t="s">
        <v>425</v>
      </c>
      <c r="C292" t="s">
        <v>424</v>
      </c>
      <c r="D292" t="s">
        <v>166</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105</v>
      </c>
    </row>
    <row r="293" spans="1:31">
      <c r="A293" t="s">
        <v>126</v>
      </c>
    </row>
    <row r="294" spans="1:31">
      <c r="A294" t="s">
        <v>179</v>
      </c>
      <c r="B294" t="s">
        <v>423</v>
      </c>
      <c r="C294" t="s">
        <v>422</v>
      </c>
      <c r="D294" t="s">
        <v>178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s="71">
        <v>-2E-3</v>
      </c>
    </row>
    <row r="295" spans="1:31">
      <c r="A295" t="s">
        <v>177</v>
      </c>
      <c r="B295" t="s">
        <v>421</v>
      </c>
      <c r="C295" t="s">
        <v>420</v>
      </c>
      <c r="D295" t="s">
        <v>176</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s="71">
        <v>4.0000000000000001E-3</v>
      </c>
    </row>
    <row r="296" spans="1:31">
      <c r="A296" t="s">
        <v>171</v>
      </c>
    </row>
    <row r="297" spans="1:31">
      <c r="A297" t="s">
        <v>170</v>
      </c>
      <c r="B297" t="s">
        <v>419</v>
      </c>
      <c r="C297" t="s">
        <v>418</v>
      </c>
      <c r="D297" t="s">
        <v>166</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s="71">
        <v>-7.0000000000000001E-3</v>
      </c>
    </row>
    <row r="298" spans="1:31">
      <c r="A298" t="s">
        <v>169</v>
      </c>
      <c r="B298" t="s">
        <v>417</v>
      </c>
      <c r="C298" t="s">
        <v>416</v>
      </c>
      <c r="D298" t="s">
        <v>166</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s="71">
        <v>-5.3999999999999999E-2</v>
      </c>
    </row>
    <row r="299" spans="1:31">
      <c r="A299" t="s">
        <v>168</v>
      </c>
      <c r="B299" t="s">
        <v>415</v>
      </c>
      <c r="C299" t="s">
        <v>414</v>
      </c>
      <c r="D299" t="s">
        <v>166</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105</v>
      </c>
    </row>
    <row r="300" spans="1:31">
      <c r="A300" t="s">
        <v>167</v>
      </c>
      <c r="B300" t="s">
        <v>413</v>
      </c>
      <c r="C300" t="s">
        <v>412</v>
      </c>
      <c r="D300" t="s">
        <v>166</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s="71">
        <v>5.0999999999999997E-2</v>
      </c>
    </row>
    <row r="301" spans="1:31">
      <c r="A301" t="s">
        <v>127</v>
      </c>
    </row>
    <row r="302" spans="1:31">
      <c r="A302" t="s">
        <v>175</v>
      </c>
      <c r="B302" t="s">
        <v>411</v>
      </c>
      <c r="C302" t="s">
        <v>410</v>
      </c>
      <c r="D302" t="s">
        <v>172</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s="71">
        <v>2.5000000000000001E-2</v>
      </c>
    </row>
    <row r="303" spans="1:31">
      <c r="A303" t="s">
        <v>174</v>
      </c>
      <c r="B303" t="s">
        <v>409</v>
      </c>
      <c r="C303" t="s">
        <v>408</v>
      </c>
      <c r="D303" t="s">
        <v>172</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s="71">
        <v>2.3E-2</v>
      </c>
    </row>
    <row r="304" spans="1:31">
      <c r="A304" t="s">
        <v>173</v>
      </c>
      <c r="B304" t="s">
        <v>407</v>
      </c>
      <c r="C304" t="s">
        <v>406</v>
      </c>
      <c r="D304" t="s">
        <v>172</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s="71">
        <v>2.7E-2</v>
      </c>
    </row>
    <row r="305" spans="1:31">
      <c r="A305" t="s">
        <v>171</v>
      </c>
    </row>
    <row r="306" spans="1:31">
      <c r="A306" t="s">
        <v>170</v>
      </c>
      <c r="B306" t="s">
        <v>405</v>
      </c>
      <c r="C306" t="s">
        <v>404</v>
      </c>
      <c r="D306" t="s">
        <v>166</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s="71">
        <v>1.4999999999999999E-2</v>
      </c>
    </row>
    <row r="307" spans="1:31">
      <c r="A307" t="s">
        <v>169</v>
      </c>
      <c r="B307" t="s">
        <v>403</v>
      </c>
      <c r="C307" t="s">
        <v>402</v>
      </c>
      <c r="D307" t="s">
        <v>166</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s="71">
        <v>0.01</v>
      </c>
    </row>
    <row r="308" spans="1:31">
      <c r="A308" t="s">
        <v>168</v>
      </c>
      <c r="B308" t="s">
        <v>401</v>
      </c>
      <c r="C308" t="s">
        <v>400</v>
      </c>
      <c r="D308" t="s">
        <v>166</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105</v>
      </c>
    </row>
    <row r="309" spans="1:31">
      <c r="A309" t="s">
        <v>167</v>
      </c>
      <c r="B309" t="s">
        <v>399</v>
      </c>
      <c r="C309" t="s">
        <v>398</v>
      </c>
      <c r="D309" t="s">
        <v>166</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s="71">
        <v>2.5000000000000001E-2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EE4D-9B1F-4539-B43D-827FDA040D95}">
  <sheetPr>
    <tabColor theme="9"/>
  </sheetPr>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7"/>
  <sheetViews>
    <sheetView workbookViewId="0"/>
  </sheetViews>
  <sheetFormatPr defaultColWidth="9.140625" defaultRowHeight="15"/>
  <cols>
    <col min="1" max="1" width="30.140625" style="3" customWidth="1"/>
    <col min="2" max="2" width="29.85546875" style="3" customWidth="1"/>
    <col min="3" max="3" width="25.140625" style="3" customWidth="1"/>
    <col min="4" max="4" width="22.85546875" style="3" customWidth="1"/>
    <col min="5" max="5" width="25.140625" style="3" customWidth="1"/>
    <col min="6" max="14" width="9.140625" style="3"/>
    <col min="15" max="15" width="15.42578125" style="3" customWidth="1"/>
    <col min="16" max="16" width="22.5703125" style="3" customWidth="1"/>
    <col min="17" max="16384" width="9.140625" style="3"/>
  </cols>
  <sheetData>
    <row r="1" spans="1:16" customFormat="1" ht="15.75" thickBot="1">
      <c r="A1" s="6" t="s">
        <v>48</v>
      </c>
      <c r="B1" s="33"/>
      <c r="C1" s="33"/>
      <c r="D1" s="33"/>
      <c r="E1" s="33"/>
    </row>
    <row r="2" spans="1:16" s="2" customFormat="1" ht="60">
      <c r="A2" s="2" t="s">
        <v>0</v>
      </c>
      <c r="B2" s="7" t="s">
        <v>1</v>
      </c>
      <c r="C2" s="2" t="s">
        <v>78</v>
      </c>
      <c r="D2" s="2" t="s">
        <v>77</v>
      </c>
      <c r="E2" s="7" t="s">
        <v>2</v>
      </c>
      <c r="O2" s="72"/>
      <c r="P2" s="73"/>
    </row>
    <row r="3" spans="1:16" ht="15.75" thickBot="1">
      <c r="A3" s="3">
        <v>13</v>
      </c>
      <c r="B3" s="68">
        <v>14</v>
      </c>
      <c r="C3" s="5">
        <f>AVERAGE(SUM('NTS 1-20'!X4:X5),SUM('NTS 1-20'!Y4:Y5),SUM('NTS 1-20'!Z4:Z5),SUM('NTS 1-20'!AA4:AA5))</f>
        <v>7982.5</v>
      </c>
      <c r="D3" s="5">
        <f>AVERAGE(SUM('NTS 1-20'!X6:X8),SUM('NTS 1-20'!Y6:Y8),SUM('NTS 1-20'!Z6:Z8),SUM('NTS 1-20'!AA6:AA8))</f>
        <v>4867.25</v>
      </c>
      <c r="E3" s="8">
        <f>(A3*C3+B3*D3)/(C3+D3)</f>
        <v>13.378781688359696</v>
      </c>
      <c r="P3" s="73"/>
    </row>
    <row r="4" spans="1:16">
      <c r="P4" s="73"/>
    </row>
    <row r="5" spans="1:16" ht="15.75" thickBot="1">
      <c r="A5" s="10" t="s">
        <v>51</v>
      </c>
      <c r="P5" s="73"/>
    </row>
    <row r="6" spans="1:16" ht="30">
      <c r="A6" s="7" t="s">
        <v>55</v>
      </c>
      <c r="B6" s="64" t="s">
        <v>84</v>
      </c>
      <c r="C6" s="7" t="s">
        <v>83</v>
      </c>
      <c r="D6" s="64" t="s">
        <v>85</v>
      </c>
      <c r="E6" s="2"/>
    </row>
    <row r="7" spans="1:16" ht="15.75" thickBot="1">
      <c r="A7" s="68">
        <v>28</v>
      </c>
      <c r="B7" s="65">
        <v>11932239</v>
      </c>
      <c r="C7" s="68">
        <v>23</v>
      </c>
      <c r="D7" s="66">
        <v>1007829.3084223459</v>
      </c>
      <c r="E7" s="67"/>
    </row>
    <row r="10" spans="1:16">
      <c r="A10" s="10" t="s">
        <v>52</v>
      </c>
      <c r="B10" s="34"/>
      <c r="C10" s="34"/>
      <c r="D10" s="34"/>
      <c r="E10" s="34"/>
    </row>
    <row r="11" spans="1:16" s="9" customFormat="1">
      <c r="A11" s="15" t="s">
        <v>29</v>
      </c>
      <c r="B11" s="14"/>
      <c r="C11" s="15"/>
    </row>
    <row r="12" spans="1:16" s="9" customFormat="1">
      <c r="A12" s="9" t="s">
        <v>30</v>
      </c>
      <c r="B12" s="16" t="s">
        <v>31</v>
      </c>
    </row>
    <row r="13" spans="1:16" s="9" customFormat="1">
      <c r="A13" s="9" t="s">
        <v>32</v>
      </c>
      <c r="B13" s="16" t="s">
        <v>33</v>
      </c>
    </row>
    <row r="14" spans="1:16" s="9" customFormat="1" ht="15.75" thickBot="1">
      <c r="A14" s="9" t="s">
        <v>34</v>
      </c>
      <c r="B14" s="16" t="s">
        <v>35</v>
      </c>
    </row>
    <row r="15" spans="1:16" s="9" customFormat="1">
      <c r="A15" s="17" t="s">
        <v>22</v>
      </c>
    </row>
    <row r="16" spans="1:16" s="9" customFormat="1" ht="15.75" thickBot="1">
      <c r="A16" s="18">
        <v>24</v>
      </c>
    </row>
    <row r="18" spans="1:5">
      <c r="A18" s="10" t="s">
        <v>17</v>
      </c>
      <c r="B18" s="34"/>
      <c r="C18" s="34"/>
      <c r="D18" s="34"/>
      <c r="E18" s="34"/>
    </row>
    <row r="19" spans="1:5">
      <c r="A19" s="15" t="s">
        <v>6</v>
      </c>
      <c r="B19" s="15" t="s">
        <v>7</v>
      </c>
      <c r="C19" s="15" t="s">
        <v>8</v>
      </c>
    </row>
    <row r="20" spans="1:5">
      <c r="A20" t="s">
        <v>18</v>
      </c>
      <c r="B20" t="s">
        <v>19</v>
      </c>
      <c r="C20" s="9">
        <v>33</v>
      </c>
    </row>
    <row r="21" spans="1:5" ht="15.75" thickBot="1">
      <c r="A21" t="s">
        <v>20</v>
      </c>
      <c r="B21" t="s">
        <v>21</v>
      </c>
      <c r="C21" s="9">
        <v>35</v>
      </c>
    </row>
    <row r="22" spans="1:5" ht="15.75" thickBot="1">
      <c r="A22"/>
      <c r="B22" s="11" t="s">
        <v>22</v>
      </c>
      <c r="C22" s="12">
        <v>34</v>
      </c>
    </row>
    <row r="23" spans="1:5">
      <c r="A23" t="s">
        <v>23</v>
      </c>
    </row>
    <row r="24" spans="1:5">
      <c r="A24" t="s">
        <v>24</v>
      </c>
    </row>
    <row r="26" spans="1:5">
      <c r="A26" s="10" t="s">
        <v>9</v>
      </c>
      <c r="B26" s="34"/>
      <c r="C26" s="34"/>
      <c r="D26" s="34"/>
      <c r="E26" s="34"/>
    </row>
    <row r="27" spans="1:5" ht="15.75" thickBot="1">
      <c r="A27" s="15" t="s">
        <v>6</v>
      </c>
      <c r="B27" s="15" t="s">
        <v>7</v>
      </c>
      <c r="C27" s="15" t="s">
        <v>8</v>
      </c>
    </row>
    <row r="28" spans="1:5" ht="15.75" thickBot="1">
      <c r="A28" t="s">
        <v>10</v>
      </c>
      <c r="B28" s="13" t="s">
        <v>11</v>
      </c>
      <c r="C28" s="12">
        <v>33</v>
      </c>
    </row>
    <row r="30" spans="1:5" ht="15.75" thickBot="1">
      <c r="A30" s="10" t="s">
        <v>54</v>
      </c>
      <c r="B30" s="34"/>
      <c r="C30" s="34"/>
      <c r="D30" s="34"/>
      <c r="E30" s="34"/>
    </row>
    <row r="31" spans="1:5" ht="30">
      <c r="A31" s="21" t="s">
        <v>39</v>
      </c>
      <c r="B31" s="26" t="s">
        <v>40</v>
      </c>
      <c r="C31" s="29" t="s">
        <v>41</v>
      </c>
      <c r="D31" s="30" t="s">
        <v>45</v>
      </c>
      <c r="E31" s="30" t="s">
        <v>42</v>
      </c>
    </row>
    <row r="32" spans="1:5">
      <c r="A32" s="20">
        <v>1997</v>
      </c>
      <c r="B32" s="24">
        <v>3826373</v>
      </c>
      <c r="C32" s="27">
        <v>260000</v>
      </c>
      <c r="D32" s="9"/>
      <c r="E32" s="9"/>
    </row>
    <row r="33" spans="1:5">
      <c r="A33" s="20">
        <v>1998</v>
      </c>
      <c r="B33" s="24">
        <v>3879450</v>
      </c>
      <c r="C33" s="27">
        <v>311000</v>
      </c>
      <c r="D33" s="24">
        <f t="shared" ref="D33:D41" si="0">C33-(B33-B32)</f>
        <v>257923</v>
      </c>
      <c r="E33" s="31">
        <f>D33/B33</f>
        <v>6.6484424338501588E-2</v>
      </c>
    </row>
    <row r="34" spans="1:5">
      <c r="A34" s="20">
        <v>1999</v>
      </c>
      <c r="B34" s="24">
        <v>4152433</v>
      </c>
      <c r="C34" s="27">
        <v>394000</v>
      </c>
      <c r="D34" s="24">
        <f t="shared" si="0"/>
        <v>121017</v>
      </c>
      <c r="E34" s="31">
        <f t="shared" ref="E34:E42" si="1">D34/B34</f>
        <v>2.9143636995467476E-2</v>
      </c>
    </row>
    <row r="35" spans="1:5">
      <c r="A35" s="20">
        <v>2000</v>
      </c>
      <c r="B35" s="24">
        <v>4346068</v>
      </c>
      <c r="C35" s="27">
        <v>490000</v>
      </c>
      <c r="D35" s="24">
        <f t="shared" si="0"/>
        <v>296365</v>
      </c>
      <c r="E35" s="31">
        <f t="shared" si="1"/>
        <v>6.8191523924614153E-2</v>
      </c>
    </row>
    <row r="36" spans="1:5">
      <c r="A36" s="20">
        <v>2001</v>
      </c>
      <c r="B36" s="24">
        <v>4903056</v>
      </c>
      <c r="C36" s="27">
        <v>577000</v>
      </c>
      <c r="D36" s="24">
        <f t="shared" si="0"/>
        <v>20012</v>
      </c>
      <c r="E36" s="31">
        <f t="shared" si="1"/>
        <v>4.0815360868813244E-3</v>
      </c>
    </row>
    <row r="37" spans="1:5">
      <c r="A37" s="20">
        <v>2002</v>
      </c>
      <c r="B37" s="24">
        <v>5004156</v>
      </c>
      <c r="C37" s="27">
        <v>640000</v>
      </c>
      <c r="D37" s="24">
        <f t="shared" si="0"/>
        <v>538900</v>
      </c>
      <c r="E37" s="31">
        <f t="shared" si="1"/>
        <v>0.10769048766665149</v>
      </c>
    </row>
    <row r="38" spans="1:5">
      <c r="A38" s="20">
        <v>2003</v>
      </c>
      <c r="B38" s="24">
        <v>5370035</v>
      </c>
      <c r="C38" s="27">
        <v>683000</v>
      </c>
      <c r="D38" s="24">
        <f t="shared" si="0"/>
        <v>317121</v>
      </c>
      <c r="E38" s="31">
        <f t="shared" si="1"/>
        <v>5.9053805049687755E-2</v>
      </c>
    </row>
    <row r="39" spans="1:5">
      <c r="A39" s="20">
        <v>2004</v>
      </c>
      <c r="B39" s="24">
        <v>5780870</v>
      </c>
      <c r="C39" s="27">
        <v>750000</v>
      </c>
      <c r="D39" s="24">
        <f t="shared" si="0"/>
        <v>339165</v>
      </c>
      <c r="E39" s="31">
        <f t="shared" si="1"/>
        <v>5.8670234757052138E-2</v>
      </c>
    </row>
    <row r="40" spans="1:5">
      <c r="A40" s="20">
        <v>2005</v>
      </c>
      <c r="B40" s="24">
        <v>6227146</v>
      </c>
      <c r="C40" s="27">
        <v>831000</v>
      </c>
      <c r="D40" s="24">
        <f t="shared" si="0"/>
        <v>384724</v>
      </c>
      <c r="E40" s="31">
        <f t="shared" si="1"/>
        <v>6.1781753631599455E-2</v>
      </c>
    </row>
    <row r="41" spans="1:5">
      <c r="A41" s="20">
        <v>2006</v>
      </c>
      <c r="B41" s="24">
        <v>6678958</v>
      </c>
      <c r="C41" s="27">
        <v>892000</v>
      </c>
      <c r="D41" s="24">
        <f t="shared" si="0"/>
        <v>440188</v>
      </c>
      <c r="E41" s="31">
        <f t="shared" si="1"/>
        <v>6.5906687839630079E-2</v>
      </c>
    </row>
    <row r="42" spans="1:5" ht="15.75" thickBot="1">
      <c r="A42" s="25">
        <v>2007</v>
      </c>
      <c r="B42" s="23">
        <v>7138476</v>
      </c>
      <c r="C42" s="22">
        <v>885000</v>
      </c>
      <c r="D42" s="24">
        <f>C42-(B42-B41)</f>
        <v>425482</v>
      </c>
      <c r="E42" s="31">
        <f t="shared" si="1"/>
        <v>5.9604038733197397E-2</v>
      </c>
    </row>
    <row r="43" spans="1:5">
      <c r="A43"/>
      <c r="B43"/>
      <c r="C43"/>
      <c r="D43"/>
      <c r="E43"/>
    </row>
    <row r="44" spans="1:5">
      <c r="A44" s="1" t="s">
        <v>43</v>
      </c>
      <c r="B44"/>
      <c r="C44"/>
      <c r="D44"/>
    </row>
    <row r="45" spans="1:5">
      <c r="A45" s="28">
        <f>AVERAGE(E33:E42)</f>
        <v>5.8060812902328285E-2</v>
      </c>
      <c r="B45"/>
      <c r="C45"/>
      <c r="D45"/>
    </row>
    <row r="46" spans="1:5" ht="15.75" thickBot="1">
      <c r="A46"/>
      <c r="B46"/>
      <c r="C46"/>
      <c r="D46"/>
    </row>
    <row r="47" spans="1:5" ht="30">
      <c r="A47" s="36" t="s">
        <v>44</v>
      </c>
      <c r="B47"/>
      <c r="C47"/>
      <c r="D47"/>
    </row>
    <row r="48" spans="1:5" ht="15.75" thickBot="1">
      <c r="A48" s="35">
        <f>1/A45</f>
        <v>17.22332068760786</v>
      </c>
      <c r="B48"/>
      <c r="C48"/>
      <c r="D48"/>
    </row>
    <row r="51" spans="1:2">
      <c r="A51" s="3" t="s">
        <v>1019</v>
      </c>
    </row>
    <row r="52" spans="1:2">
      <c r="A52" s="3" t="s">
        <v>947</v>
      </c>
      <c r="B52" s="3">
        <v>8600936</v>
      </c>
    </row>
    <row r="53" spans="1:2">
      <c r="A53" s="3" t="s">
        <v>948</v>
      </c>
      <c r="B53" s="3">
        <v>9261249</v>
      </c>
    </row>
    <row r="54" spans="1:2">
      <c r="A54" s="3" t="s">
        <v>949</v>
      </c>
      <c r="B54" s="3">
        <f>(B53-B52)/9</f>
        <v>73368.111111111109</v>
      </c>
    </row>
    <row r="55" spans="1:2">
      <c r="A55" s="3" t="s">
        <v>950</v>
      </c>
      <c r="B55" s="3">
        <v>386168</v>
      </c>
    </row>
    <row r="56" spans="1:2">
      <c r="A56" s="3" t="s">
        <v>951</v>
      </c>
      <c r="B56" s="3">
        <v>354354</v>
      </c>
    </row>
    <row r="57" spans="1:2">
      <c r="A57" s="3" t="s">
        <v>952</v>
      </c>
      <c r="B57" s="3">
        <f>AVERAGE(B55:B56)-B54</f>
        <v>296892.88888888888</v>
      </c>
    </row>
    <row r="58" spans="1:2">
      <c r="A58" s="3" t="s">
        <v>953</v>
      </c>
      <c r="B58" s="3">
        <f>B57/AVERAGE(B52:B53)</f>
        <v>3.3242617170171386E-2</v>
      </c>
    </row>
    <row r="59" spans="1:2">
      <c r="A59" s="3" t="s">
        <v>954</v>
      </c>
      <c r="B59" s="3">
        <f>1/B58</f>
        <v>30.081867347595615</v>
      </c>
    </row>
    <row r="60" spans="1:2">
      <c r="A60" s="3" t="s">
        <v>955</v>
      </c>
      <c r="B60" s="3">
        <v>22</v>
      </c>
    </row>
    <row r="62" spans="1:2">
      <c r="A62" s="3" t="s">
        <v>1020</v>
      </c>
    </row>
    <row r="63" spans="1:2">
      <c r="A63" s="3" t="s">
        <v>956</v>
      </c>
      <c r="B63" s="3">
        <v>11867049</v>
      </c>
    </row>
    <row r="64" spans="1:2">
      <c r="A64" s="3" t="s">
        <v>957</v>
      </c>
      <c r="B64" s="3">
        <v>11674073</v>
      </c>
    </row>
    <row r="65" spans="1:14">
      <c r="A65" s="3" t="s">
        <v>958</v>
      </c>
      <c r="B65" s="3">
        <f>(B64-B63)/9</f>
        <v>-21441.777777777777</v>
      </c>
    </row>
    <row r="66" spans="1:14">
      <c r="A66" s="3" t="s">
        <v>959</v>
      </c>
    </row>
    <row r="67" spans="1:14">
      <c r="A67" s="3" t="s">
        <v>960</v>
      </c>
      <c r="B67" s="3">
        <v>2016</v>
      </c>
      <c r="C67" s="3">
        <v>2017</v>
      </c>
      <c r="D67" s="3">
        <v>2018</v>
      </c>
      <c r="E67" s="3">
        <v>2019</v>
      </c>
      <c r="F67" s="3">
        <v>2020</v>
      </c>
      <c r="G67" s="3">
        <v>2021</v>
      </c>
      <c r="H67" s="3">
        <v>2024</v>
      </c>
      <c r="I67" s="3">
        <v>2025</v>
      </c>
    </row>
    <row r="68" spans="1:14">
      <c r="A68" s="3" t="s">
        <v>94</v>
      </c>
      <c r="B68" s="3">
        <v>248000</v>
      </c>
      <c r="C68" s="3">
        <v>262000</v>
      </c>
      <c r="D68" s="3">
        <v>281800</v>
      </c>
      <c r="E68" s="3">
        <v>280000</v>
      </c>
      <c r="F68" s="3">
        <v>318550</v>
      </c>
      <c r="G68" s="3">
        <v>305734</v>
      </c>
      <c r="H68" s="3">
        <v>231576</v>
      </c>
      <c r="I68" s="3">
        <v>215237</v>
      </c>
    </row>
    <row r="69" spans="1:14">
      <c r="A69" s="3" t="s">
        <v>961</v>
      </c>
      <c r="B69" s="3">
        <f>AVERAGE(B68:I68)</f>
        <v>267862.125</v>
      </c>
    </row>
    <row r="70" spans="1:14">
      <c r="A70" s="3" t="s">
        <v>962</v>
      </c>
      <c r="B70" s="3">
        <f>B69-B65</f>
        <v>289303.90277777775</v>
      </c>
    </row>
    <row r="71" spans="1:14">
      <c r="A71" s="3" t="s">
        <v>963</v>
      </c>
      <c r="B71" s="3">
        <f>B70/AVERAGE(B63:B64)</f>
        <v>2.4578599335900623E-2</v>
      </c>
    </row>
    <row r="72" spans="1:14">
      <c r="A72" s="3" t="s">
        <v>964</v>
      </c>
      <c r="B72" s="3">
        <f>1/B71</f>
        <v>40.685800941445606</v>
      </c>
      <c r="C72" s="3">
        <f>B72*LN(2)^(1/2)/EXP(GAMMALN(1+1/2))</f>
        <v>38.22175811814737</v>
      </c>
    </row>
    <row r="73" spans="1:14">
      <c r="A73" s="3" t="s">
        <v>965</v>
      </c>
      <c r="B73" s="3">
        <f>ROUND(C72,0)</f>
        <v>38</v>
      </c>
    </row>
    <row r="76" spans="1:14">
      <c r="A76" s="3" t="s">
        <v>1021</v>
      </c>
    </row>
    <row r="77" spans="1:14">
      <c r="A77" s="3" t="s">
        <v>966</v>
      </c>
    </row>
    <row r="78" spans="1:14">
      <c r="A78" s="3" t="s">
        <v>967</v>
      </c>
      <c r="B78" s="3">
        <v>2012</v>
      </c>
      <c r="C78" s="3">
        <v>2013</v>
      </c>
      <c r="D78" s="3">
        <v>2014</v>
      </c>
      <c r="E78" s="3">
        <v>2015</v>
      </c>
      <c r="F78" s="3">
        <v>2016</v>
      </c>
      <c r="G78" s="3">
        <v>2017</v>
      </c>
      <c r="H78" s="3">
        <v>2018</v>
      </c>
      <c r="I78" s="3">
        <v>2019</v>
      </c>
      <c r="J78" s="3">
        <v>2020</v>
      </c>
      <c r="K78" s="3">
        <v>2021</v>
      </c>
      <c r="L78" s="3">
        <v>2022</v>
      </c>
      <c r="M78" s="3">
        <v>2023</v>
      </c>
      <c r="N78" s="3">
        <v>2024</v>
      </c>
    </row>
    <row r="79" spans="1:14">
      <c r="A79" s="3" t="s">
        <v>968</v>
      </c>
      <c r="B79" s="3">
        <v>555</v>
      </c>
      <c r="C79" s="3">
        <v>746</v>
      </c>
      <c r="D79" s="3">
        <v>806</v>
      </c>
      <c r="E79" s="3">
        <v>377</v>
      </c>
      <c r="F79" s="3">
        <v>315</v>
      </c>
      <c r="G79" s="3">
        <v>486</v>
      </c>
      <c r="H79" s="3">
        <v>538</v>
      </c>
      <c r="I79" s="3">
        <v>778</v>
      </c>
      <c r="J79" s="3">
        <v>304</v>
      </c>
      <c r="K79" s="3">
        <v>567</v>
      </c>
      <c r="L79" s="3">
        <v>383</v>
      </c>
      <c r="M79" s="3">
        <v>366</v>
      </c>
      <c r="N79" s="3">
        <v>195</v>
      </c>
    </row>
    <row r="80" spans="1:14">
      <c r="A80" s="3" t="s">
        <v>969</v>
      </c>
      <c r="B80" s="3">
        <f>AVERAGE(B79:I79)</f>
        <v>575.125</v>
      </c>
    </row>
    <row r="81" spans="1:3">
      <c r="A81" s="3" t="s">
        <v>970</v>
      </c>
      <c r="B81" s="3">
        <v>20172</v>
      </c>
      <c r="C81" s="3">
        <v>21728</v>
      </c>
    </row>
    <row r="82" spans="1:3">
      <c r="A82" s="3" t="s">
        <v>971</v>
      </c>
      <c r="B82" s="3">
        <f>(C81-B81)/10</f>
        <v>155.6</v>
      </c>
    </row>
    <row r="83" spans="1:3">
      <c r="A83" s="3" t="s">
        <v>972</v>
      </c>
      <c r="B83" s="3">
        <f>B80-B82</f>
        <v>419.52499999999998</v>
      </c>
    </row>
    <row r="84" spans="1:3">
      <c r="A84" s="3" t="s">
        <v>963</v>
      </c>
      <c r="B84" s="3">
        <f>B83/AVERAGE(B81:C81)</f>
        <v>2.002505966587112E-2</v>
      </c>
    </row>
    <row r="85" spans="1:3">
      <c r="A85" s="3" t="s">
        <v>973</v>
      </c>
      <c r="B85" s="3">
        <f>1/B84</f>
        <v>49.937429235444853</v>
      </c>
      <c r="C85" s="3">
        <f>B85*LN(2)^(1/2)/EXP(GAMMALN(1+1/2))</f>
        <v>46.913082626202716</v>
      </c>
    </row>
    <row r="86" spans="1:3">
      <c r="A86" s="3" t="s">
        <v>974</v>
      </c>
      <c r="B86" s="3">
        <f>ROUND(C85,0)</f>
        <v>47</v>
      </c>
    </row>
    <row r="87" spans="1:3">
      <c r="A87" s="3" t="s">
        <v>975</v>
      </c>
    </row>
  </sheetData>
  <pageMargins left="0.7" right="0.7" top="0.75" bottom="0.75" header="0.3" footer="0.3"/>
  <ignoredErrors>
    <ignoredError sqref="C3:D3"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31426-123E-4577-A9C8-93E89562BFE4}">
  <dimension ref="A2:B29"/>
  <sheetViews>
    <sheetView workbookViewId="0">
      <selection activeCell="H11" sqref="H11"/>
    </sheetView>
  </sheetViews>
  <sheetFormatPr defaultRowHeight="15"/>
  <cols>
    <col min="1" max="1" width="25.140625" customWidth="1"/>
  </cols>
  <sheetData>
    <row r="2" spans="1:2">
      <c r="A2" t="s">
        <v>131</v>
      </c>
      <c r="B2" s="76">
        <f>'AEO 2026 Table 44'!E62*1000</f>
        <v>493783.44700000004</v>
      </c>
    </row>
    <row r="3" spans="1:2">
      <c r="A3" t="s">
        <v>132</v>
      </c>
      <c r="B3" s="76">
        <f>'AEO 2026 Table 45'!E51*1000</f>
        <v>14618137.695</v>
      </c>
    </row>
    <row r="4" spans="1:2">
      <c r="A4" t="s">
        <v>130</v>
      </c>
      <c r="B4" s="37">
        <f>1/(B2/B3)</f>
        <v>29.604349404203496</v>
      </c>
    </row>
    <row r="5" spans="1:2">
      <c r="B5" s="37"/>
    </row>
    <row r="6" spans="1:2">
      <c r="B6" s="37"/>
    </row>
    <row r="7" spans="1:2">
      <c r="A7" t="s">
        <v>133</v>
      </c>
      <c r="B7" s="76">
        <f>SUM('AEO 2026 Table 49'!E255,'AEO 2026 Table 49'!E269)*1000</f>
        <v>468456.32999999996</v>
      </c>
    </row>
    <row r="8" spans="1:2">
      <c r="A8" t="s">
        <v>134</v>
      </c>
      <c r="B8" s="76">
        <f>SUM('AEO 2026 Table 49'!E166,'AEO 2026 Table 49'!E180)*10^6</f>
        <v>9777321</v>
      </c>
    </row>
    <row r="9" spans="1:2">
      <c r="A9" t="s">
        <v>130</v>
      </c>
      <c r="B9" s="37">
        <f>1/(B7/B8)</f>
        <v>20.871360623945463</v>
      </c>
    </row>
    <row r="10" spans="1:2">
      <c r="B10" s="37"/>
    </row>
    <row r="11" spans="1:2">
      <c r="A11" t="s">
        <v>135</v>
      </c>
      <c r="B11" s="76">
        <f>'AEO 2026 Table 49'!E283*1000</f>
        <v>287910.30900000001</v>
      </c>
    </row>
    <row r="12" spans="1:2">
      <c r="A12" t="s">
        <v>136</v>
      </c>
      <c r="B12" s="76">
        <f>'AEO 2026 Table 49'!E194*10^6</f>
        <v>5720675</v>
      </c>
    </row>
    <row r="13" spans="1:2">
      <c r="A13" t="s">
        <v>130</v>
      </c>
      <c r="B13" s="37">
        <f>1/(B11/B12)</f>
        <v>19.869642806017062</v>
      </c>
    </row>
    <row r="15" spans="1:2">
      <c r="A15" t="s">
        <v>137</v>
      </c>
      <c r="B15">
        <v>6000</v>
      </c>
    </row>
    <row r="16" spans="1:2">
      <c r="A16" t="s">
        <v>138</v>
      </c>
      <c r="B16">
        <v>73000</v>
      </c>
    </row>
    <row r="17" spans="1:2">
      <c r="A17" t="s">
        <v>139</v>
      </c>
      <c r="B17">
        <f>1/(B15/B16)</f>
        <v>12.166666666666668</v>
      </c>
    </row>
    <row r="19" spans="1:2">
      <c r="A19" t="s">
        <v>140</v>
      </c>
      <c r="B19">
        <v>14</v>
      </c>
    </row>
    <row r="20" spans="1:2">
      <c r="A20" t="s">
        <v>141</v>
      </c>
      <c r="B20">
        <v>237</v>
      </c>
    </row>
    <row r="21" spans="1:2">
      <c r="A21" t="s">
        <v>139</v>
      </c>
      <c r="B21">
        <f>1/(B19/B20)</f>
        <v>16.928571428571427</v>
      </c>
    </row>
    <row r="23" spans="1:2">
      <c r="A23" t="s">
        <v>1022</v>
      </c>
    </row>
    <row r="24" spans="1:2">
      <c r="A24" t="s">
        <v>942</v>
      </c>
      <c r="B24">
        <v>965000</v>
      </c>
    </row>
    <row r="25" spans="1:2">
      <c r="A25" t="s">
        <v>943</v>
      </c>
      <c r="B25">
        <v>36100</v>
      </c>
    </row>
    <row r="26" spans="1:2">
      <c r="A26" t="s">
        <v>944</v>
      </c>
      <c r="B26">
        <v>8500</v>
      </c>
    </row>
    <row r="27" spans="1:2">
      <c r="A27" t="s">
        <v>945</v>
      </c>
      <c r="B27">
        <f>1/((B25+B26)/B24)</f>
        <v>21.63677130044843</v>
      </c>
    </row>
    <row r="28" spans="1:2">
      <c r="A28" t="s">
        <v>946</v>
      </c>
    </row>
    <row r="29" spans="1:2">
      <c r="A29" t="s">
        <v>1023</v>
      </c>
      <c r="B29">
        <v>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C7"/>
  <sheetViews>
    <sheetView tabSelected="1" workbookViewId="0">
      <selection activeCell="C7" sqref="C7"/>
    </sheetView>
  </sheetViews>
  <sheetFormatPr defaultRowHeight="15"/>
  <cols>
    <col min="1" max="1" width="14.5703125" customWidth="1"/>
    <col min="2" max="2" width="19" customWidth="1"/>
    <col min="3" max="3" width="15.5703125" customWidth="1"/>
  </cols>
  <sheetData>
    <row r="1" spans="1:3" ht="45">
      <c r="A1" s="69" t="s">
        <v>90</v>
      </c>
      <c r="B1" s="3" t="s">
        <v>86</v>
      </c>
      <c r="C1" s="3" t="s">
        <v>87</v>
      </c>
    </row>
    <row r="2" spans="1:3">
      <c r="A2" t="s">
        <v>48</v>
      </c>
      <c r="B2" s="70">
        <v>17</v>
      </c>
      <c r="C2" s="70">
        <v>15</v>
      </c>
    </row>
    <row r="3" spans="1:3">
      <c r="A3" t="s">
        <v>51</v>
      </c>
      <c r="B3" s="74">
        <f>'Freight and Buses'!B29</f>
        <v>13</v>
      </c>
      <c r="C3" s="74">
        <f>ROUND('Freight and Buses'!B13,0)</f>
        <v>20</v>
      </c>
    </row>
    <row r="4" spans="1:3">
      <c r="A4" t="s">
        <v>52</v>
      </c>
      <c r="B4" s="37">
        <f>ROUND(Calculations!A16,0)</f>
        <v>24</v>
      </c>
      <c r="C4" s="37">
        <f>B4</f>
        <v>24</v>
      </c>
    </row>
    <row r="5" spans="1:3">
      <c r="A5" t="s">
        <v>17</v>
      </c>
      <c r="B5">
        <f>Calculations!B86</f>
        <v>47</v>
      </c>
      <c r="C5">
        <f>ROUND(Calculations!C22,0)</f>
        <v>34</v>
      </c>
    </row>
    <row r="6" spans="1:3">
      <c r="A6" t="s">
        <v>9</v>
      </c>
      <c r="B6">
        <f>Calculations!B73</f>
        <v>38</v>
      </c>
      <c r="C6">
        <f>ROUND(Calculations!C28,0)</f>
        <v>33</v>
      </c>
    </row>
    <row r="7" spans="1:3">
      <c r="A7" t="s">
        <v>54</v>
      </c>
      <c r="B7">
        <f>Calculations!B60</f>
        <v>22</v>
      </c>
      <c r="C7">
        <f>B7</f>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source data&gt;</vt:lpstr>
      <vt:lpstr>NTS 1-20</vt:lpstr>
      <vt:lpstr>AEO 2026 Table 45</vt:lpstr>
      <vt:lpstr>AEO 2026 Table 44</vt:lpstr>
      <vt:lpstr>AEO 2026 Table 49</vt:lpstr>
      <vt:lpstr>calcs&gt;</vt:lpstr>
      <vt:lpstr>Calculations</vt:lpstr>
      <vt:lpstr>Freight and Buses</vt:lpstr>
      <vt:lpstr>AVL</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2014-03-17T23:54:25Z</dcterms:created>
  <dcterms:modified xsi:type="dcterms:W3CDTF">2026-10-14T16:22:31Z</dcterms:modified>
</cp:coreProperties>
</file>