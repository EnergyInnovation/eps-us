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AVL\"/>
    </mc:Choice>
  </mc:AlternateContent>
  <xr:revisionPtr revIDLastSave="0" documentId="13_ncr:1_{FA827B10-E881-4A82-AA32-F77783B36D84}" xr6:coauthVersionLast="47" xr6:coauthVersionMax="47" xr10:uidLastSave="{00000000-0000-0000-0000-000000000000}"/>
  <bookViews>
    <workbookView xWindow="-90" yWindow="-90" windowWidth="19380" windowHeight="10260" xr2:uid="{661390DE-D06E-402F-B49F-05F85B2DF025}"/>
  </bookViews>
  <sheets>
    <sheet name="About" sheetId="9" r:id="rId1"/>
    <sheet name="source data&gt;" sheetId="20" r:id="rId2"/>
    <sheet name="NTS 1-20" sheetId="11" r:id="rId3"/>
    <sheet name="AEO 2025 Table 44" sheetId="23" r:id="rId4"/>
    <sheet name="AEO 2025 Table 45" sheetId="22" r:id="rId5"/>
    <sheet name="AEO 2025 Table 38" sheetId="24" r:id="rId6"/>
    <sheet name="AEO 2025 Table 49" sheetId="25" r:id="rId7"/>
    <sheet name="calcs&gt;" sheetId="21" r:id="rId8"/>
    <sheet name="Calculations" sheetId="2" r:id="rId9"/>
    <sheet name="Freight and Buses" sheetId="16" r:id="rId10"/>
    <sheet name="AVL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6" l="1"/>
  <c r="B11" i="16"/>
  <c r="B8" i="16"/>
  <c r="C8" i="16"/>
  <c r="B7" i="16"/>
  <c r="B3" i="16"/>
  <c r="B2" i="16"/>
  <c r="B3" i="10"/>
  <c r="B21" i="16"/>
  <c r="B17" i="16"/>
  <c r="C2" i="10"/>
  <c r="B9" i="16" l="1"/>
  <c r="B4" i="16"/>
  <c r="B13" i="16"/>
  <c r="C3" i="10" s="1"/>
  <c r="B6" i="10" l="1"/>
  <c r="C6" i="10" s="1"/>
  <c r="B5" i="10"/>
  <c r="C5" i="10" s="1"/>
  <c r="B4" i="10"/>
  <c r="C4" i="10" s="1"/>
  <c r="C3" i="2" l="1"/>
  <c r="D3" i="2"/>
  <c r="C10" i="11"/>
  <c r="B10" i="11"/>
  <c r="D42" i="2" l="1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A45" i="2" l="1"/>
  <c r="A48" i="2" s="1"/>
  <c r="B7" i="10" s="1"/>
  <c r="C7" i="10" s="1"/>
  <c r="E3" i="2" l="1"/>
</calcChain>
</file>

<file path=xl/sharedStrings.xml><?xml version="1.0" encoding="utf-8"?>
<sst xmlns="http://schemas.openxmlformats.org/spreadsheetml/2006/main" count="2128" uniqueCount="1106">
  <si>
    <t>Car Avg Lifetime, years (Page 22, Table 7)</t>
  </si>
  <si>
    <t>Light Truck Avg Lifetime, years (Page 25, Table 8)</t>
  </si>
  <si>
    <t>Market Share-Weighted Average LDV Lifetime</t>
  </si>
  <si>
    <t>Bureau of Transportation Statistics</t>
  </si>
  <si>
    <t>http://www.rita.dot.gov/bts/sites/rita.dot.gov.bts/files/publications/national_transportation_statistics/index.html</t>
  </si>
  <si>
    <t>Oak Ridge National Laboratory</t>
  </si>
  <si>
    <t>Table</t>
  </si>
  <si>
    <t>CA Asset Type</t>
  </si>
  <si>
    <t>Lifetime (years)</t>
  </si>
  <si>
    <t>ships</t>
  </si>
  <si>
    <t>3000 - Harbor &amp; Port</t>
  </si>
  <si>
    <t>Motor vessels - diesel, ocean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</si>
  <si>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</si>
  <si>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</si>
  <si>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</si>
  <si>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</si>
  <si>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</si>
  <si>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rail</t>
  </si>
  <si>
    <t>2000 - Water Utility</t>
  </si>
  <si>
    <t>railroads</t>
  </si>
  <si>
    <t>5000 - Transit</t>
  </si>
  <si>
    <t>locomotives, electric</t>
  </si>
  <si>
    <t>Value selected for use in model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</si>
  <si>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</si>
  <si>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</si>
  <si>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http://www.boeing.com/assets/pdf/commercial/aircraft_economic_life_whitepaper.pdf</t>
  </si>
  <si>
    <t>Jiang, Helen.  Boeing.</t>
  </si>
  <si>
    <t>Key Findings on Airplane Economic Life</t>
  </si>
  <si>
    <t>Exhibits 1-3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</si>
  <si>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</si>
  <si>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</si>
  <si>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</si>
  <si>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</si>
  <si>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</si>
  <si>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</si>
  <si>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</si>
  <si>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Motorcycle Trends in the United States</t>
  </si>
  <si>
    <t>http://www.rita.dot.gov/bts/sites/rita.dot.gov.bts/files/publications/special_reports_and_issue_briefs/special_report/2009_05_14/pdf/entire.pdf</t>
  </si>
  <si>
    <t>Page 3, Table 1</t>
  </si>
  <si>
    <t>Year</t>
  </si>
  <si>
    <t>Registered Motorcycles</t>
  </si>
  <si>
    <t>Motorcycles sold (new)</t>
  </si>
  <si>
    <t>Percentage of Fleet That Retired This Year</t>
  </si>
  <si>
    <t>Average Percent Fleet Retirement per Year</t>
  </si>
  <si>
    <t>Estimated Lifetime of Motorcycle (years)</t>
  </si>
  <si>
    <t>Retiring Motorcycles</t>
  </si>
  <si>
    <t>AVL Avg Vehicle Lifetime</t>
  </si>
  <si>
    <t>Sources:</t>
  </si>
  <si>
    <t>LDVs</t>
  </si>
  <si>
    <t>LDV Lifetimes</t>
  </si>
  <si>
    <t>LDVs: Market Shares of Cars and Light Trucks</t>
  </si>
  <si>
    <t>HDVs</t>
  </si>
  <si>
    <t>aircraft</t>
  </si>
  <si>
    <t>rail and ships</t>
  </si>
  <si>
    <t>motorbikes</t>
  </si>
  <si>
    <t>Heavy Truck Avg Lifetime, years (Table 3-14, Row 43)</t>
  </si>
  <si>
    <t>Transportation Energy Data Book Ed. 34</t>
  </si>
  <si>
    <t>Table 3-14, Row 43</t>
  </si>
  <si>
    <t>http://cta.ornl.gov/data/tedb34/Spreadsheets/Table3_14.xls</t>
  </si>
  <si>
    <t>National Transportation Statistics 2015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</si>
  <si>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</si>
  <si>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</si>
  <si>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</si>
  <si>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</si>
  <si>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</si>
  <si>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</si>
  <si>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</si>
  <si>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</si>
  <si>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</si>
  <si>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</si>
  <si>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</si>
  <si>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</si>
  <si>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</si>
  <si>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</si>
  <si>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</si>
  <si>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</si>
  <si>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</si>
  <si>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Avg Light Truck Sales from 2010-2013, thousands of vehicles (Table 1-20, Rows 6-8)</t>
  </si>
  <si>
    <t>Avg Car Sales from 2010-2013, thousands of vehicles (Table 1-20, Rows 4-5)</t>
  </si>
  <si>
    <t>Table 1-20</t>
  </si>
  <si>
    <t>About</t>
  </si>
  <si>
    <t>The model requires the lifetime to be an integer, so we round to the nearest integer.</t>
  </si>
  <si>
    <t>ThoughtCo</t>
  </si>
  <si>
    <t>How Long Do Buses and Other Transit Vehicles Last?</t>
  </si>
  <si>
    <t>https://www.thoughtco.com/buses-and-other-transit-lifetime-2798844</t>
  </si>
  <si>
    <t>Bus Lifetime</t>
  </si>
  <si>
    <t>Heavy Truck Start Year Vehicles</t>
  </si>
  <si>
    <t>Bus Start Year Vehicle</t>
  </si>
  <si>
    <t>Passenger</t>
  </si>
  <si>
    <t>Freight</t>
  </si>
  <si>
    <t>Freight HDVs</t>
  </si>
  <si>
    <t>Passenger HDVs (Buses)</t>
  </si>
  <si>
    <t>We assume passenger and freight modes are the same for aircraft, rail, and ships.</t>
  </si>
  <si>
    <t>There are no freight motorbikes in the U.S. EPS, so we arbitrarily set their lifetime equal to passenger motorbikes.</t>
  </si>
  <si>
    <t>Vehicle Lifetime (years)</t>
  </si>
  <si>
    <t>Table 38.  Light-Duty Vehicle Sales by Technology Type</t>
  </si>
  <si>
    <t>Source: U.S. Energy Information Administration</t>
  </si>
  <si>
    <t>full name</t>
  </si>
  <si>
    <t>api key</t>
  </si>
  <si>
    <t>units</t>
  </si>
  <si>
    <t>New Car Sales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</si>
  <si>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</si>
  <si>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</si>
  <si>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</si>
  <si>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</si>
  <si>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</si>
  <si>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</si>
  <si>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</si>
  <si>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Plug-in 20 Gasoline Hybrid</t>
  </si>
  <si>
    <t>Plug-in 50 Gasoline Hybrid</t>
  </si>
  <si>
    <t>Electric-Diesel Hybrid</t>
  </si>
  <si>
    <t>- -</t>
  </si>
  <si>
    <t>Electric-Gasoline Hybrid</t>
  </si>
  <si>
    <t>Natural Gas ICE</t>
  </si>
  <si>
    <t>Natural Gas Bi-fuel</t>
  </si>
  <si>
    <t>Propane ICE</t>
  </si>
  <si>
    <t>Propane Bi-fuel</t>
  </si>
  <si>
    <t>Fuel Cell Methanol</t>
  </si>
  <si>
    <t>Fuel Cell Hydrogen</t>
  </si>
  <si>
    <t>Total Alternative Cars</t>
  </si>
  <si>
    <t>percent</t>
  </si>
  <si>
    <t>Total New Car Sales</t>
  </si>
  <si>
    <t>New Light Truck Sales</t>
  </si>
  <si>
    <t>Conventional Light Trucks</t>
  </si>
  <si>
    <t>Total Conventional Light Trucks</t>
  </si>
  <si>
    <t>Alternative-Fuel Light Trucks</t>
  </si>
  <si>
    <t>Total Alternative Light Trucks</t>
  </si>
  <si>
    <t>Total New Light Truck Sales</t>
  </si>
  <si>
    <t>EPACT Legislative  Alternative Sales</t>
  </si>
  <si>
    <t>ZEVP Legislative Alternative Sales</t>
  </si>
  <si>
    <t>Total Sales</t>
  </si>
  <si>
    <t xml:space="preserve"> Cars and Light Trucks</t>
  </si>
  <si>
    <t>Conventional Gasoline</t>
  </si>
  <si>
    <t>TDI Diesel</t>
  </si>
  <si>
    <t>Flex-Fuel</t>
  </si>
  <si>
    <t>Electric</t>
  </si>
  <si>
    <t>Plug-in Electric Hybrid</t>
  </si>
  <si>
    <t>Electric Hybrid</t>
  </si>
  <si>
    <t>Gaseous (Propane and Natural Gas)</t>
  </si>
  <si>
    <t>Fuel Cell</t>
  </si>
  <si>
    <t>Total Vehicles Sales</t>
  </si>
  <si>
    <t>Conventional Gasoline Microhybrids</t>
  </si>
  <si>
    <t>TDI Diesel Microhybrids</t>
  </si>
  <si>
    <t>Total Alternative-Fueled Vehicle Sales</t>
  </si>
  <si>
    <t>New Trucks by Size Class</t>
  </si>
  <si>
    <t>Railroads</t>
  </si>
  <si>
    <t>Domestic Shipping</t>
  </si>
  <si>
    <t>International Shipping</t>
  </si>
  <si>
    <t>Total Fleet Vehicles</t>
  </si>
  <si>
    <t>Calibrated</t>
  </si>
  <si>
    <t>We calibrate the value for passenger LDVs to match annual passenger LDV sales in the model, which were roughly 15 million in 2021.</t>
  </si>
  <si>
    <t>Average replacement time</t>
  </si>
  <si>
    <t>commercial truck sales</t>
  </si>
  <si>
    <t>commercial truck stock</t>
  </si>
  <si>
    <t>LDV/MDV sales</t>
  </si>
  <si>
    <t>LDV/MDV stock</t>
  </si>
  <si>
    <t>HDV sales</t>
  </si>
  <si>
    <t>HDV stock</t>
  </si>
  <si>
    <t>BNEF, bus sales 2021</t>
  </si>
  <si>
    <t>BNEF, bus fleet 2021</t>
  </si>
  <si>
    <t>average replacement time</t>
  </si>
  <si>
    <t>BNEF, LDV sales 2021 (M)</t>
  </si>
  <si>
    <t>BNEF, LDV fleet 2021 (M)</t>
  </si>
  <si>
    <t>AEO.2025.ALTTRNP.ECI_STK_NA_CLTR_NA_NA_NA_TH.A</t>
  </si>
  <si>
    <t>Fleet Stock: Commercial Light Trucks: Total: Alternative Transportation</t>
  </si>
  <si>
    <t>Total Commercial Light Truck Stock</t>
  </si>
  <si>
    <t>AEO.2025.ALTTRNP.ECI_STK_NA_CLTR_HYDICE_NA_NA_TH.A</t>
  </si>
  <si>
    <t>Fleet Stock: Commercial Light Trucks: Hydrogen ICE: Alternative Transportation</t>
  </si>
  <si>
    <t>Hydrogen ICE</t>
  </si>
  <si>
    <t>AEO.2025.ALTTRNP.ECI_STK_NA_CLTR_GASHEV_NA_NA_TH.A</t>
  </si>
  <si>
    <t>Fleet Stock: Commercial Light Trucks: Gasoline Hybrid: Alternative Transportation</t>
  </si>
  <si>
    <t>Gasoline Hybrid</t>
  </si>
  <si>
    <t>AEO.2025.ALTTRNP.ECI_STK_NA_CLTR_FEUCELBATDOM_NA_NA_TH.A</t>
  </si>
  <si>
    <t>Fleet Stock: Commercial Light Trucks: Fuel Cell Battery Dominant: Alternative Transportation</t>
  </si>
  <si>
    <t>Fuel Cell Battery Dominant</t>
  </si>
  <si>
    <t>AEO.2025.ALTTRNP.ECI_STK_NA_CLTR_FUC_NA_NA_TH.A</t>
  </si>
  <si>
    <t>Fleet Stock: Commercial Light Trucks: Fuel Cell: Alternative Transportation</t>
  </si>
  <si>
    <t>AEO.2025.ALTTRNP.ECI_STK_NA_CLTR_EDH_NA_NA_TH.A</t>
  </si>
  <si>
    <t>Fleet Stock: Commercial Light Trucks: Plug-in Diesel: Alternative Transportation</t>
  </si>
  <si>
    <t>Plug-in Diesel Hybrid</t>
  </si>
  <si>
    <t>AEO.2025.ALTTRNP.ECI_STK_NA_CLTR_EGH_NA_NA_TH.A</t>
  </si>
  <si>
    <t>Fleet Stock: Commercial Light Trucks: Plug-in Gas: Alternative Transportation</t>
  </si>
  <si>
    <t>Plug-in Gasoline Hybrid</t>
  </si>
  <si>
    <t>AEO.2025.ALTTRNP.ECI_STK_NA_CLTR_ELE_NA_NA_TH.A</t>
  </si>
  <si>
    <t>Fleet Stock: Commercial Light Trucks: Electric: Alternative Transportation</t>
  </si>
  <si>
    <t>AEO.2025.ALTTRNP.ECI_STK_NA_CLTR_EFFI_NA_NA_TH.A</t>
  </si>
  <si>
    <t>Fleet Stock: Commercial Light Trucks: Ethanol Flex: Alternative Transportation</t>
  </si>
  <si>
    <t>Ethanol-Flex Fuel</t>
  </si>
  <si>
    <t>AEO.2025.ALTTRNP.ECI_STK_NA_CLTR_NG_NA_NA_TH.A</t>
  </si>
  <si>
    <t>Fleet Stock: Commercial Light Trucks: CNG/LNG: Alternative Transportation</t>
  </si>
  <si>
    <t>Compressed/Liquefied Natural Gas</t>
  </si>
  <si>
    <t>AEO.2025.ALTTRNP.ECI_STK_NA_CLTR_PROP_NA_NA_TH.A</t>
  </si>
  <si>
    <t>Fleet Stock: Commercial Light Trucks: Propane: Alternative Transportation</t>
  </si>
  <si>
    <t>Propane</t>
  </si>
  <si>
    <t>AEO.2025.ALTTRNP.ECI_STK_NA_CLTR_TDS_NA_NA_TH.A</t>
  </si>
  <si>
    <t>Fleet Stock: Commercial Light Trucks: TDI Diesel: Alternative Transportation</t>
  </si>
  <si>
    <t>Diesel</t>
  </si>
  <si>
    <t>AEO.2025.ALTTRNP.ECI_STK_NA_CLTR_GSL_NA_NA_TH.A</t>
  </si>
  <si>
    <t>Fleet Stock: Commercial Light Trucks: Gasoline: Alternative Transportation</t>
  </si>
  <si>
    <t>Motor Gasoline</t>
  </si>
  <si>
    <t>AEO.2025.ALTTRNP.ECI_STK_NA_NA_NA_NA_NA_TH.A</t>
  </si>
  <si>
    <t>Fleet Stock: Total Fleet Vehicles: Alternative Transportation</t>
  </si>
  <si>
    <t>AEO.2025.ALTTRNP.ECI_STK_NA_FLTR_NA_NA_NA_TH.A</t>
  </si>
  <si>
    <t>Fleet Vehicle Stock: Light Trucks: Total: Alternative Transportation</t>
  </si>
  <si>
    <t>Total Light Truck Stock</t>
  </si>
  <si>
    <t>AEO.2025.ALTTRNP.ECI_STK_ALF1_FLTR_NA_NA_NA_TH.A</t>
  </si>
  <si>
    <t>Fleet Vehicle Stock: Alternative-Fuel Light Trucks: Total: Alternative Transportation</t>
  </si>
  <si>
    <t>AEO.2025.ALTTRNP.ECI_STK_ALF1_FLTR_FCH_NA_NA_TH.A</t>
  </si>
  <si>
    <t>Fleet Vehicle Stock: Alternative-Fuel Light Trucks: Fuel Cell Hydrogen: Alternative Transportation</t>
  </si>
  <si>
    <t>AEO.2025.ALTTRNP.ECI_STK_ALF1_FLTR_FCLMTH_NA_NA_TH.A</t>
  </si>
  <si>
    <t>Fleet Vehicle Stock: Alternative-Fuel Light Trucks: Fuel Cell Methanol: Alternative Transportation</t>
  </si>
  <si>
    <t>AEO.2025.ALTTRNP.ECI_STK_ALF1_FLTR_PBF_NA_NA_TH.A</t>
  </si>
  <si>
    <t>Fleet Vehicle Stock: Alternative-Fuel Light Trucks: Propane Bi-fuel: Alternative Transportation</t>
  </si>
  <si>
    <t>AEO.2025.ALTTRNP.ECI_STK_ALF1_FLTR_PROP_NA_NA_TH.A</t>
  </si>
  <si>
    <t>Fleet Vehicle Stock: Alternative-Fuel Light Trucks: Propane ICE: Alternative Transportation</t>
  </si>
  <si>
    <t>AEO.2025.ALTTRNP.ECI_STK_ALF1_FLTR_NBF_NA_NA_TH.A</t>
  </si>
  <si>
    <t>Fleet Vehicle Stock: Alternative-Fuel Light Trucks: Natural Gas Bi-fuel: Alternative Transportation</t>
  </si>
  <si>
    <t>AEO.2025.ALTTRNP.ECI_STK_ALF1_FLTR_NGI_NA_NA_TH.A</t>
  </si>
  <si>
    <t>Fleet Vehicle Stock: Alternative-Fuel Light Trucks: Natural Gas ICE: Alternative Transportation</t>
  </si>
  <si>
    <t>AEO.2025.ALTTRNP.ECI_STK_ALF1_FLTR_EGH_NA_NA_TH.A</t>
  </si>
  <si>
    <t>Fleet Vehicle Stock: Alternative-Fuel Light Trucks: Electric-Gasoline Hybrid: Alternative Transportation</t>
  </si>
  <si>
    <t>AEO.2025.ALTTRNP.ECI_STK_ALF1_FLTR_EDH_NA_NA_TH.A</t>
  </si>
  <si>
    <t>Fleet Vehicle Stock: Alternative-Fuel Light Trucks: Electric-Diesel Hybrid: Alternative Transportation</t>
  </si>
  <si>
    <t>AEO.2025.ALTTRNP.ECI_STK_ALF1_FLTR_PI50GH_NA_NA_TH.A</t>
  </si>
  <si>
    <t>Fleet Vehicle Stock: Alternative-Fuel Light Trucks: Plug-in 50 Gasoline Hybrid: Alternative Transportation</t>
  </si>
  <si>
    <t>AEO.2025.ALTTRNP.ECI_STK_ALF1_FLTR_PI20GH_NA_NA_TH.A</t>
  </si>
  <si>
    <t>Fleet Vehicle Stock: Alternative-Fuel Light Trucks: Plug-in 20 Gasoline Hybrid: Alternative Transportation</t>
  </si>
  <si>
    <t>AEO.2025.ALTTRNP.ECI_STK_ALF1_FLTR_300MIEV_NA_NA_TH.A</t>
  </si>
  <si>
    <t>Fleet Vehicle Stock: Alternative-Fuel Light Trucks: 300-Mile Electric Vehicle: Alternative Transportation</t>
  </si>
  <si>
    <t>300-Mile Electric Vehicle</t>
  </si>
  <si>
    <t>AEO.2025.ALTTRNP.ECI_STK_ALF1_FLTR_200MIEV_NA_NA_TH.A</t>
  </si>
  <si>
    <t>Fleet Vehicle Stock: Alternative-Fuel Light Trucks: 200-Mile Electric Vehicle: Alternative Transportation</t>
  </si>
  <si>
    <t>200-Mile Electric Vehicle</t>
  </si>
  <si>
    <t>AEO.2025.ALTTRNP.ECI_STK_ALF1_FLTR_100MIEV_NA_NA_TH.A</t>
  </si>
  <si>
    <t>Fleet Vehicle Stock: Alternative-Fuel Light Trucks: 100-Mile Electric Vehicle: Alternative Transportation</t>
  </si>
  <si>
    <t>100-Mile Electric Vehicle</t>
  </si>
  <si>
    <t>AEO.2025.ALTTRNP.ECI_STK_ALF1_FLTR_EFFI_NA_NA_TH.A</t>
  </si>
  <si>
    <t>Fleet Vehicle Stock: Alternative-Fuel Light Trucks: Ethanol-Flex Fuel ICE: Alternative Transportation</t>
  </si>
  <si>
    <t>AEO.2025.ALTTRNP.ECI_STK_CNV_FLTR_NA_NA_NA_TH.A</t>
  </si>
  <si>
    <t>Fleet Vehicle Stock: Conventional Light Trucks: Total: Alternative Transportation</t>
  </si>
  <si>
    <t>AEO.2025.ALTTRNP.ECI_STK_CNV_FLTR_TDS_NA_NA_TH.A</t>
  </si>
  <si>
    <t>Fleet Vehicle Stock: Conventional Light Trucks: TDI Diesel: Alternative Transportation</t>
  </si>
  <si>
    <t>AEO.2025.ALTTRNP.ECI_STK_CNV_FLTR_GSL_NA_NA_TH.A</t>
  </si>
  <si>
    <t>Fleet Vehicle Stock: Conventional Light Trucks: Gasoline: Alternative Transportation</t>
  </si>
  <si>
    <t>Light Truck Stock</t>
  </si>
  <si>
    <t>AEO.2025.ALTTRNP.ECI_STK_NA_FLC_NA_NA_NA_TH.A</t>
  </si>
  <si>
    <t>Fleet Vehicle Stock: Cars: Total: Alternative Transportation</t>
  </si>
  <si>
    <t>Total Car Stock</t>
  </si>
  <si>
    <t>AEO.2025.ALTTRNP.ECI_STK_ALF1_FLC_NA_NA_NA_TH.A</t>
  </si>
  <si>
    <t>Fleet Vehicle Stock: Alternative-Fuel Cars: Total: Alternative Transportation</t>
  </si>
  <si>
    <t>AEO.2025.ALTTRNP.ECI_STK_ALF1_FLC_FCH_NA_NA_TH.A</t>
  </si>
  <si>
    <t>Fleet Vehicle Stock: Alternative-Fuel Cars: Fuel Cell Hydrogen: Alternative Transportation</t>
  </si>
  <si>
    <t>AEO.2025.ALTTRNP.ECI_STK_ALF1_FLC_FCLMTH_NA_NA_TH.A</t>
  </si>
  <si>
    <t>Fleet Vehicle Stock: Alternative-Fuel Cars: Fuel Cell Methanol: Alternative Transportation</t>
  </si>
  <si>
    <t>AEO.2025.ALTTRNP.ECI_STK_ALF1_FLC_PBF_NA_NA_TH.A</t>
  </si>
  <si>
    <t>Fleet Vehicle Stock: Alternative-Fuel Cars: Propane Bi-fuel: Alternative Transportation</t>
  </si>
  <si>
    <t>AEO.2025.ALTTRNP.ECI_STK_ALF1_FLC_PROP_NA_NA_TH.A</t>
  </si>
  <si>
    <t>Fleet Vehicle Stock: Alternative-Fuel Cars: Propane ICE: Alternative Transportation</t>
  </si>
  <si>
    <t>AEO.2025.ALTTRNP.ECI_STK_ALF1_FLC_NBF_NA_NA_TH.A</t>
  </si>
  <si>
    <t>Fleet Vehicle Stock: Alternative-Fuel Cars: Natural Gas Bi-fuel: Alternative Transportation</t>
  </si>
  <si>
    <t>AEO.2025.ALTTRNP.ECI_STK_ALF1_FLC_NGI_NA_NA_TH.A</t>
  </si>
  <si>
    <t>Fleet Vehicle Stock: Alternative-Fuel Cars: Natural Gas ICE: Alternative Transportation</t>
  </si>
  <si>
    <t>AEO.2025.ALTTRNP.ECI_STK_ALF1_FLC_EGH_NA_NA_TH.A</t>
  </si>
  <si>
    <t>Fleet Vehicle Stock: Alternative-Fuel Cars: Electric-Gasoline Hybrid: Alternative Transportation</t>
  </si>
  <si>
    <t>AEO.2025.ALTTRNP.ECI_STK_ALF1_FLC_EDH_NA_NA_TH.A</t>
  </si>
  <si>
    <t>Fleet Vehicle Stock: Alternative-Fuel Cars: Electric-Diesel Hybrid: Alternative Transportation</t>
  </si>
  <si>
    <t>AEO.2025.ALTTRNP.ECI_STK_ALF1_FLC_PI50GH_NA_NA_TH.A</t>
  </si>
  <si>
    <t>Fleet Vehicle Stock: Alternative-Fuel Cars: Plug-in 50 Gasoline Hybrid: Alternative Transportation</t>
  </si>
  <si>
    <t>AEO.2025.ALTTRNP.ECI_STK_ALF1_FLC_PI20GH_NA_NA_TH.A</t>
  </si>
  <si>
    <t>Fleet Vehicle Stock: Alternative-Fuel Cars: Plug-in 20 Gasoline Hybrid: Alternative Transportation</t>
  </si>
  <si>
    <t>AEO.2025.ALTTRNP.ECI_STK_ALF1_FLC_300MIEV_NA_NA_TH.A</t>
  </si>
  <si>
    <t>Fleet Vehicle Stock: Alternative-Fuel Cars: 300-Mile Electric Vehicle: Alternative Transportation</t>
  </si>
  <si>
    <t>AEO.2025.ALTTRNP.ECI_STK_ALF1_FLC_200MIEV_NA_NA_TH.A</t>
  </si>
  <si>
    <t>Fleet Vehicle Stock: Alternative-Fuel Cars: 200-Mile Electric Vehicle: Alternative Transportation</t>
  </si>
  <si>
    <t>AEO.2025.ALTTRNP.ECI_STK_ALF1_FLC_100MIEV_NA_NA_TH.A</t>
  </si>
  <si>
    <t>Fleet Vehicle Stock: Alternative-Fuel Cars: 100-Mile Electric Vehicle: Alternative Transportation</t>
  </si>
  <si>
    <t>AEO.2025.ALTTRNP.ECI_STK_ALF1_FLC_EFFI_NA_NA_TH.A</t>
  </si>
  <si>
    <t>Fleet Vehicle Stock: Alternative-Fuel Cars: Ethanol-Flex Fuel ICE: Alternative Transportation</t>
  </si>
  <si>
    <t>AEO.2025.ALTTRNP.ECI_STK_CNV_FLC_NA_NA_NA_TH.A</t>
  </si>
  <si>
    <t>Fleet Vehicle Stock: Conventional Cars: Total: Alternative Transportation</t>
  </si>
  <si>
    <t>AEO.2025.ALTTRNP.ECI_STK_CNV_FLC_TDS_NA_NA_TH.A</t>
  </si>
  <si>
    <t>Fleet Vehicle Stock: Conventional Cars: TDI Diesel: Alternative Transportation</t>
  </si>
  <si>
    <t>AEO.2025.ALTTRNP.ECI_STK_CNV_FLC_GSL_NA_NA_TH.A</t>
  </si>
  <si>
    <t>Fleet Vehicle Stock: Conventional Cars: Gasoline: Alternative Transportation</t>
  </si>
  <si>
    <t>Car Stock</t>
  </si>
  <si>
    <t>Growth (2024-2050)</t>
  </si>
  <si>
    <t>Fri Dec 05 2025 14:50:52 GMT-0800 (Pacific Standard Time)</t>
  </si>
  <si>
    <t>https://www.eia.gov/outlooks/aeo/data/browser/#/?id=55-AEO2025&amp;cases=alttrnp&amp;sourcekey=0</t>
  </si>
  <si>
    <t>Table 45.  Transportation Fleet Car and Truck Stock by Type and Technology</t>
  </si>
  <si>
    <t>AEO.2025.ALTTRNP.ECI_SAL_NA_CLTR_NA_NA_NA_TH.A</t>
  </si>
  <si>
    <t>Fleet Vehicle Sales: Commercial Light Trucks: Total: Alternative Transportation</t>
  </si>
  <si>
    <t>Total Commercial Light Truck Sales</t>
  </si>
  <si>
    <t>AEO.2025.ALTTRNP.ECI_SAL_NA_CLTR_HYDICE_NA_NA_TH.A</t>
  </si>
  <si>
    <t>Fleet Vehicle Sales: Commercial Light Trucks: Hydrogen ICE: Alternative Transportation</t>
  </si>
  <si>
    <t>AEO.2025.ALTTRNP.ECI_SAL_NA_CLTR_GASHEV_NA_NA_TH.A</t>
  </si>
  <si>
    <t>Fleet Vehicle Sales: Commercial Light Trucks: Gasoline Hybrid: Alternative Transportation</t>
  </si>
  <si>
    <t>AEO.2025.ALTTRNP.ECI_SAL_NA_CLTR_FEUCELBATDOM_NA_NA_TH.A</t>
  </si>
  <si>
    <t>Fleet Vehicle Sales: Commercial Light Trucks: Fuel Cell Battery Dominant: Alternative Transportation</t>
  </si>
  <si>
    <t>AEO.2025.ALTTRNP.ECI_SAL_NA_CLTR_FUC_NA_NA_TH.A</t>
  </si>
  <si>
    <t>Fleet Vehicle Sales: Commercial Light Trucks: Fuel Cell: Alternative Transportation</t>
  </si>
  <si>
    <t>AEO.2025.ALTTRNP.ECI_SAL_NA_CLTR_EDH_NA_NA_TH.A</t>
  </si>
  <si>
    <t>Fleet Vehicle Sales: Commercial Light Trucks: Plug-in Diesel: Alternative Transportation</t>
  </si>
  <si>
    <t>AEO.2025.ALTTRNP.ECI_SAL_NA_CLTR_EGH_NA_NA_TH.A</t>
  </si>
  <si>
    <t>Fleet Vehicle Sales: Commercial Light Trucks: Plug-in Gas: Alternative Transportation</t>
  </si>
  <si>
    <t>AEO.2025.ALTTRNP.ECI_SAL_NA_CLTR_ELE_NA_NA_TH.A</t>
  </si>
  <si>
    <t>Fleet Vehicle Sales: Commercial Light Trucks: Electric: Alternative Transportation</t>
  </si>
  <si>
    <t>AEO.2025.ALTTRNP.ECI_SAL_NA_CLTR_EFFI_NA_NA_TH.A</t>
  </si>
  <si>
    <t>Fleet Vehicle Sales: Commercial Light Trucks: Ethanol Flex: Alternative Transportation</t>
  </si>
  <si>
    <t>AEO.2025.ALTTRNP.ECI_SAL_NA_CLTR_NG_NA_NA_TH.A</t>
  </si>
  <si>
    <t>Fleet Vehicle Sales: Commercial Light Trucks: CNG/LNG: Alternative Transportation</t>
  </si>
  <si>
    <t>AEO.2025.ALTTRNP.ECI_SAL_NA_CLTR_PROP_NA_NA_TH.A</t>
  </si>
  <si>
    <t>Fleet Vehicle Sales: Commercial Light Trucks: Propane: Alternative Transportation</t>
  </si>
  <si>
    <t>AEO.2025.ALTTRNP.ECI_SAL_NA_CLTR_TDS_NA_NA_TH.A</t>
  </si>
  <si>
    <t>Fleet Vehicle Sales: Commercial Light Trucks: TDI Diesel: Alternative Transportation</t>
  </si>
  <si>
    <t>AEO.2025.ALTTRNP.ECI_SAL_NA_CLTR_GSL_NA_NA_TH.A</t>
  </si>
  <si>
    <t>Fleet Vehicle Sales: Commercial Light Trucks: Gasoline: Alternative Transportation</t>
  </si>
  <si>
    <t>Commercial Light Truck Sales</t>
  </si>
  <si>
    <t>AEO.2025.ALTTRNP.ECI_SAL_NA_NA_NA_NA_NA_TH.A</t>
  </si>
  <si>
    <t>Transportation Fleet Vehicle Sales: Total Fleet Vehicles: Alternative Transportation</t>
  </si>
  <si>
    <t>AEO.2025.ALTTRNP.ECI_SAL_NA_FLTR_NA_NA_NA_TH.A</t>
  </si>
  <si>
    <t>Fleet Vehicle Sales: Light Trucks: Total: Alternative Transportation</t>
  </si>
  <si>
    <t>AEO.2025.ALTTRNP.ECI_SAL_ALF1_FLTR_NA_NA_NA_PCT.A</t>
  </si>
  <si>
    <t>Fleet Vehicle Sales: Light Trucks: Percentage Alternative: Alternative Transportation</t>
  </si>
  <si>
    <t>Percentage Alternative Light Truck Sales</t>
  </si>
  <si>
    <t>AEO.2025.ALTTRNP.ECI_SAL_ALF1_FLTR_NA_NA_NA_TH.A</t>
  </si>
  <si>
    <t>Fleet Vehicle Sales: Alternative-Fuel Light Trucks: Total: Alternative Transportation</t>
  </si>
  <si>
    <t>AEO.2025.ALTTRNP.ECI_SAL_ALF1_FLTR_FCH_NA_NA_TH.A</t>
  </si>
  <si>
    <t>Fleet Vehicle Sales: Alternative-Fuel Light Trucks: Fuel Cell Hydrogen: Alternative Transportation</t>
  </si>
  <si>
    <t>AEO.2025.ALTTRNP.ECI_SAL_ALF1_FLTR_FCLMTH_NA_NA_TH.A</t>
  </si>
  <si>
    <t>Fleet Vehicle Sales: Alternative-Fuel Light Trucks: Fuel Cell Methanol: Alternative Transportation</t>
  </si>
  <si>
    <t>AEO.2025.ALTTRNP.ECI_SAL_ALF1_FLTR_PBF_NA_NA_TH.A</t>
  </si>
  <si>
    <t>Fleet Vehicle Sales: Alternative-Fuel Light Trucks: Propane Bi-fuel: Alternative Transportation</t>
  </si>
  <si>
    <t>AEO.2025.ALTTRNP.ECI_SAL_ALF1_FLTR_PROP_NA_NA_TH.A</t>
  </si>
  <si>
    <t>Fleet Vehicle Sales: Alternative-Fuel Light Trucks: Propane ICE: Alternative Transportation</t>
  </si>
  <si>
    <t>AEO.2025.ALTTRNP.ECI_SAL_ALF1_FLTR_NBF_NA_NA_TH.A</t>
  </si>
  <si>
    <t>Fleet Vehicle Sales: Alternative-Fuel Light Trucks: Natural Gas Bi-fuel: Alternative Transportation</t>
  </si>
  <si>
    <t>AEO.2025.ALTTRNP.ECI_SAL_ALF1_FLTR_NGI_NA_NA_TH.A</t>
  </si>
  <si>
    <t>Fleet Vehicle Sales: Alternative-Fuel Light Trucks: Natural Gas ICE: Alternative Transportation</t>
  </si>
  <si>
    <t>AEO.2025.ALTTRNP.ECI_SAL_ALF1_FLTR_EGH_NA_NA_TH.A</t>
  </si>
  <si>
    <t>Fleet Vehicle Sales: Alternative-Fuel Light Trucks: Electric-Gasoline Hybrid: Alternative Transportation</t>
  </si>
  <si>
    <t>AEO.2025.ALTTRNP.ECI_SAL_ALF1_FLTR_EDH_NA_NA_TH.A</t>
  </si>
  <si>
    <t>Fleet Vehicle Sales: Alternative-Fuel Light Trucks: Electric-Diesel Hybrid: Alternative Transportation</t>
  </si>
  <si>
    <t>AEO.2025.ALTTRNP.ECI_SAL_ALF1_FLTR_PI50GH_NA_NA_TH.A</t>
  </si>
  <si>
    <t>Fleet Vehicle Sales: Alternative-Fuel Light Trucks: Plug-in 50 Gasoline Hybrid: Alternative Transportation</t>
  </si>
  <si>
    <t>AEO.2025.ALTTRNP.ECI_SAL_ALF1_FLTR_PI20GH_NA_NA_TH.A</t>
  </si>
  <si>
    <t>Fleet Vehicle Sales: Alternative-Fuel Light Trucks: Plug-in 20 Gasoline Hybrid: Alternative Transportation</t>
  </si>
  <si>
    <t>AEO.2025.ALTTRNP.ECI_SAL_ALF1_FLTR_300MIEV_NA_NA_TH.A</t>
  </si>
  <si>
    <t>Fleet Vehicle Sales: Alternative-Fuel Light Trucks: 300-Mile Electric Vehicle: Alternative Transportation</t>
  </si>
  <si>
    <t>AEO.2025.ALTTRNP.ECI_SAL_ALF1_FLTR_200MIEV_NA_NA_TH.A</t>
  </si>
  <si>
    <t>Fleet Vehicle Sales: Alternative-Fuel Light Trucks: 200-Mile Electric Vehicle: Alternative Transportation</t>
  </si>
  <si>
    <t>AEO.2025.ALTTRNP.ECI_SAL_ALF1_FLTR_100MIEV_NA_NA_TH.A</t>
  </si>
  <si>
    <t>Fleet Vehicle Sales: Alternative-Fuel Light Trucks: 100-Mile Electric Vehicle: Alternative Transportation</t>
  </si>
  <si>
    <t>AEO.2025.ALTTRNP.ECI_SAL_ALF1_FLTR_EFFI_NA_NA_TH.A</t>
  </si>
  <si>
    <t>Fleet Vehicle Sales: Alternative-Fuel Light Trucks: Ethanol-Flex Fuel ICE: Alternative Transportation</t>
  </si>
  <si>
    <t>AEO.2025.ALTTRNP.ECI_SAL_CNV_FLTR_NA_NA_NA_TH.A</t>
  </si>
  <si>
    <t>Fleet Vehicle Sales: Conventional Light Trucks: Total: Alternative Transportation</t>
  </si>
  <si>
    <t>AEO.2025.ALTTRNP.ECI_SAL_CNV_FLTR_TDS_NA_NA_TH.A</t>
  </si>
  <si>
    <t>Fleet Vehicle Sales: Conventional Light Trucks: TDI Diesel: Alternative Transportation</t>
  </si>
  <si>
    <t>AEO.2025.ALTTRNP.ECI_SAL_CNV_FLTR_GSL_NA_NA_TH.A</t>
  </si>
  <si>
    <t>Fleet Vehicle Sales: Conventional Light Trucks: Gasoline: Alternative Transportation</t>
  </si>
  <si>
    <t>AEO.2025.ALTTRNP.ECI_SAL_NA_FLC_NA_NA_NA_TH.A</t>
  </si>
  <si>
    <t>Fleet Vehicle Sales: Total New Car: Alternative Transportation</t>
  </si>
  <si>
    <t>AEO.2025.ALTTRNP.ECI_SAL_ALF1_FLC_NA_NA_NA_PCT.A</t>
  </si>
  <si>
    <t>Fleet Vehicle Sales: Percentage Alternative Car: Alternative Transportation</t>
  </si>
  <si>
    <t>Percentage Alternative Car Sales</t>
  </si>
  <si>
    <t>AEO.2025.ALTTRNP.ECI_SAL_ALF1_FLC_NA_NA_NA_TH.A</t>
  </si>
  <si>
    <t>Fleet Vehicle Sales: Alternative-Fuel Cars: Total: Alternative Transportation</t>
  </si>
  <si>
    <t>AEO.2025.ALTTRNP.ECI_SAL_ALF1_FLC_FCH_NA_NA_TH.A</t>
  </si>
  <si>
    <t>Fleet Vehicle Sales: Alternative-Fuel cars: Fuel Cell Hydrogen: Alternative Transportation</t>
  </si>
  <si>
    <t>AEO.2025.ALTTRNP.ECI_SAL_ALF1_FLC_FCLMTH_NA_NA_TH.A</t>
  </si>
  <si>
    <t>Fleet Vehicle Sales: Alternative-Fuel Cars: Fuel Cell Methanol: Alternative Transportation</t>
  </si>
  <si>
    <t>AEO.2025.ALTTRNP.ECI_SAL_ALF1_FLC_PBF_NA_NA_TH.A</t>
  </si>
  <si>
    <t>Fleet Vehicle Sales: Alternative-Fuel Cars: Propane Bi-fuel: Alternative Transportation</t>
  </si>
  <si>
    <t>AEO.2025.ALTTRNP.ECI_SAL_ALF1_FLC_PROP_NA_NA_TH.A</t>
  </si>
  <si>
    <t>Fleet Vehicle Sales: Alternative-Fuel Cars: Propane ICE: Alternative Transportation</t>
  </si>
  <si>
    <t>AEO.2025.ALTTRNP.ECI_SAL_ALF1_FLC_NBF_NA_NA_TH.A</t>
  </si>
  <si>
    <t>Fleet Vehicle Sales: Alternative-Fuel Cars: Natural Gas Bi-fuel: Alternative Transportation</t>
  </si>
  <si>
    <t>AEO.2025.ALTTRNP.ECI_SAL_ALF1_FLC_NGI_NA_NA_TH.A</t>
  </si>
  <si>
    <t>Fleet Vehicle Sales: Alternative-Fuel Cars: Natural Gas ICE: Alternative Transportation</t>
  </si>
  <si>
    <t>AEO.2025.ALTTRNP.ECI_SAL_ALF1_FLC_EGH_NA_NA_TH.A</t>
  </si>
  <si>
    <t>Fleet Vehicle Sales: Alternative-Fuel Cars: Electric-Gasoline Hybrid: Alternative Transportation</t>
  </si>
  <si>
    <t>AEO.2025.ALTTRNP.ECI_SAL_ALF1_FLC_EDH_NA_NA_TH.A</t>
  </si>
  <si>
    <t>Fleet Vehicle Sales: Alternative-Fuel Cars: Electric-Diesel Hybrid: Alternative Transportation</t>
  </si>
  <si>
    <t>AEO.2025.ALTTRNP.ECI_SAL_ALF1_FLC_PI50GH_NA_NA_TH.A</t>
  </si>
  <si>
    <t>Fleet Vehicle Sales: Alternative-Fuel Cars: Plug-in 50 Gasoline Hybrid: Alternative Transportation</t>
  </si>
  <si>
    <t>AEO.2025.ALTTRNP.ECI_SAL_ALF1_FLC_PI20GH_NA_NA_TH.A</t>
  </si>
  <si>
    <t>Fleet Vehicle Sales: Alternative-Fuel Cars: Plug-in 20 Gasoline Hybrid: Alternative Transportation</t>
  </si>
  <si>
    <t>AEO.2025.ALTTRNP.ECI_SAL_ALF1_FLC_300MIEV_NA_NA_TH.A</t>
  </si>
  <si>
    <t>Fleet Vehicle Sales: Alternative-Fuel Cars: 300-Mile Electric Vehicle: Alternative Transportation</t>
  </si>
  <si>
    <t>AEO.2025.ALTTRNP.ECI_SAL_ALF1_FLC_200MIEV_NA_NA_TH.A</t>
  </si>
  <si>
    <t>Fleet Vehicle Sales: Alternative-Fuel Cars: 200-Mile Electric Vehicle: Alternative Transportation</t>
  </si>
  <si>
    <t>AEO.2025.ALTTRNP.ECI_SAL_ALF1_FLC_100MIEV_NA_NA_TH.A</t>
  </si>
  <si>
    <t>Fleet Vehicle Sales: Alternative-Fuel Cars: 100-Mile Electric Vehicle: Alternative Transportation</t>
  </si>
  <si>
    <t>AEO.2025.ALTTRNP.ECI_SAL_ALF1_FLC_EFFI_NA_NA_TH.A</t>
  </si>
  <si>
    <t>Fleet Vehicle Sales: Alternative-Fuel Cars: Ethanol-Flex Fuel ICE: Alternative Transportation</t>
  </si>
  <si>
    <t>AEO.2025.ALTTRNP.ECI_SAL_CNV_FLC_NA_NA_NA_TH.A</t>
  </si>
  <si>
    <t>Fleet Vehicle Sales: Conventional Cars: Total: Alternative Transportation</t>
  </si>
  <si>
    <t>AEO.2025.ALTTRNP.ECI_SAL_CNV_FLC_TDS_NA_NA_TH.A</t>
  </si>
  <si>
    <t>Fleet Vehicle Sales: Conventional Cars: TDI Diesel: Alternative Transportation</t>
  </si>
  <si>
    <t>AEO.2025.ALTTRNP.ECI_SAL_CNV_FLC_GSL_NA_NA_TH.A</t>
  </si>
  <si>
    <t>Fleet Vehicle Sales: Conventional Cars: Gasoline: Alternative Transportation</t>
  </si>
  <si>
    <t>Fri Dec 05 2025 14:50:42 GMT-0800 (Pacific Standard Time)</t>
  </si>
  <si>
    <t>https://www.eia.gov/outlooks/aeo/data/browser/#/?id=54-AEO2025&amp;cases=alttrnp&amp;sourcekey=0</t>
  </si>
  <si>
    <t>Table 44.  Transportation Fleet Car and Truck Sales by Type and Technology</t>
  </si>
  <si>
    <t>AEO.2025.ALTTRNP.ECI_SAL_TRN_LDTY_NA_NA_NA_TH.A</t>
  </si>
  <si>
    <t>Light-Duty Vehicle Sales: Alternative-Fueled Vehicles: Alternative Transportation</t>
  </si>
  <si>
    <t>AEO.2025.ALTTRNP.ECI_SAL_TRN_MCHY_TDS_NA_NA_TH.A</t>
  </si>
  <si>
    <t>Light-Duty Vehicle Sales: Microhybrids: TDI Diesel: Alternative Transportation</t>
  </si>
  <si>
    <t>AEO.2025.ALTTRNP.ECI_SAL_TRN_MCHY_CVG_NA_NA_TH.A</t>
  </si>
  <si>
    <t>Light-Duty Vehicle Sales: Microhybrids: Conventional Gasoline: Alternative Transportation</t>
  </si>
  <si>
    <t>Light-Duty Vehicle Sales: Total Vehicles Sales: Alternative Transportation</t>
  </si>
  <si>
    <t>AEO.2025.ALTTRNP.ECI_SAL_TRN_LDTY_FUC_NA_NA_TH.A</t>
  </si>
  <si>
    <t>Light-Duty Vehicle Sales: Total Sales, Cars and Light Trucks: Fuel Cell: Alternative Transportation</t>
  </si>
  <si>
    <t>AEO.2025.ALTTRNP.ECI_SAL_TRN_LDTY_GSU_NA_NA_TH.A</t>
  </si>
  <si>
    <t>Light-Duty Vehicle Sales: Total Sales, Cars and Light Trucks: Gaseous: Alternative Transportation</t>
  </si>
  <si>
    <t>AEO.2025.ALTTRNP.ECI_SAL_TRN_LDTY_EHY_NA_NA_TH.A</t>
  </si>
  <si>
    <t>Light-Duty Vehicle Sales: Total Sales, Cars and Light Trucks: Electric Hybrid: Alternative Transportation</t>
  </si>
  <si>
    <t>AEO.2025.ALTTRNP.ECI_SAL_TRN_LDTY_PIE_NA_NA_TH.A</t>
  </si>
  <si>
    <t>Light-Duty Vehicle Sales: Total Sales, Cars and Light Trucks: Plug-in Electric Hybrid: Alternative Transportation</t>
  </si>
  <si>
    <t>AEO.2025.ALTTRNP.ECI_SAL_TRN_LDTY_ELE_NA_NA_TH.A</t>
  </si>
  <si>
    <t>Light-Duty Vehicle Sales: Total Sales, Cars and Light Trucks: Electric: Alternative Transportation</t>
  </si>
  <si>
    <t>AEO.2025.ALTTRNP.ECI_SAL_TRN_LDTY_FXF_NA_NA_TH.A</t>
  </si>
  <si>
    <t>Light-Duty Vehicle Sales: Total Sales, Cars and Light Trucks: Flex-Fuel: Alternative Transportation</t>
  </si>
  <si>
    <t>AEO.2025.ALTTRNP.ECI_SAL_TRN_LDTY_TDS_NA_NA_TH.A</t>
  </si>
  <si>
    <t>Light-Duty Vehicle Sales: Total Sales, Cars and Light Trucks: TDI Diesel: Alternative Transportation</t>
  </si>
  <si>
    <t>AEO.2025.ALTTRNP.ECI_SAL_TRN_LDTY_CVG_NA_NA_TH.A</t>
  </si>
  <si>
    <t>Light-Duty Vehicle Sales: Total Sales, Cars and Light Trucks: Conventional Gasoline: Alternative Transportation</t>
  </si>
  <si>
    <t>AEO.2025.ALTTRNP.ECI_SAL_TRN_LDTY_ZVPLG_NA_NA_TH.A</t>
  </si>
  <si>
    <t>Light-Duty Vehicle Sales: ZEVP Legislative Alternative Sales: Alternative Transportation</t>
  </si>
  <si>
    <t>AEO.2025.ALTTRNP.ECI_SAL_TRN_LDTY_EPACLEGI_NA_NA_TH.A</t>
  </si>
  <si>
    <t>Light-Duty Vehicle Sales: EPACT Legislative Alternative Sales: Alternative Transportation</t>
  </si>
  <si>
    <t>AEO.2025.ALTTRNP.ECI_SAL_TRN_LDTY_ALT_NA_NA_PCT.A</t>
  </si>
  <si>
    <t>Light-Duty Vehicle Sales: Percentage Total Alternative Sales: Alternative Transportation</t>
  </si>
  <si>
    <t>Percentage Total Alternative Sales</t>
  </si>
  <si>
    <t>AEO.2025.ALTTRNP.ECI_SAL_TRN_LTK_NA_NA_NA_TH.A</t>
  </si>
  <si>
    <t>Light-Duty Vehicle Sales: Total New Truck: Alternative Transportation</t>
  </si>
  <si>
    <t>AEO.2025.ALTTRNP.ECI_SAL_TRN_LTK_ALT_NA_NA_PCT.A</t>
  </si>
  <si>
    <t>Light-Duty Vehicle Sales: Percentage Alternative Light Truck Sales: Alternative Transportation</t>
  </si>
  <si>
    <t>AEO.2025.ALTTRNP.ECI_SAL_TRN_LTK_ALT_NA_NA_TH.A</t>
  </si>
  <si>
    <t>Light-Duty Vehicle Sales: Alternative-Fuel Light Trucks: Total: Alternative Transportation</t>
  </si>
  <si>
    <t>AEO.2025.ALTTRNP.ECI_SAL_TRN_LTK_FCH_NA_NA_TH.A</t>
  </si>
  <si>
    <t>Light-Duty Vehicle Sales: Alternative-Fuel Light Trucks: Fuel Cell Hydrogen: Alternative Transportation</t>
  </si>
  <si>
    <t>AEO.2025.ALTTRNP.ECI_SAL_TRN_LTK_FCLMTH_NA_NA_TH.A</t>
  </si>
  <si>
    <t>Light-Duty Vehicle Sales: Alternative-Fuel Light Trucks: Fuel Cell Methanol: Alternative Transportation</t>
  </si>
  <si>
    <t>AEO.2025.ALTTRNP.ECI_SAL_TRN_LTK_PBF_NA_NA_TH.A</t>
  </si>
  <si>
    <t>Light-Duty Vehicle Sales: Alternative-Fuel Light Trucks: Propane Bi-fuel: Alternative Transportation</t>
  </si>
  <si>
    <t>AEO.2025.ALTTRNP.ECI_SAL_TRN_LTK_PROP_NA_NA_TH.A</t>
  </si>
  <si>
    <t>Light-Duty Vehicle Sales: Alternative-Fuel Light Trucks: Propane ICE: Alternative Transportation</t>
  </si>
  <si>
    <t>AEO.2025.ALTTRNP.ECI_SAL_TRN_LTK_NBF_NA_NA_TH.A</t>
  </si>
  <si>
    <t>Light-Duty Vehicle Sales: Alternative-Fuel Light Trucks: Natural Gas Bi-fuel: Alternative Transportation</t>
  </si>
  <si>
    <t>AEO.2025.ALTTRNP.ECI_SAL_TRN_LTK_NGI_NA_NA_TH.A</t>
  </si>
  <si>
    <t>Light-Duty Vehicle Sales: Alternative-Fuel Light Trucks: Natural Gas ICE: Alternative Transportation</t>
  </si>
  <si>
    <t>AEO.2025.ALTTRNP.ECI_SAL_TRN_LTK_EGH_NA_NA_TH.A</t>
  </si>
  <si>
    <t>Light-Duty Vehicle Sales: Alternative-Fuel Light Trucks: Electric-Gasoline Hybrid: Alternative Transportation</t>
  </si>
  <si>
    <t>AEO.2025.ALTTRNP.ECI_SAL_TRN_LTK_EDH_NA_NA_TH.A</t>
  </si>
  <si>
    <t>Light-Duty Vehicle Sales: Alternative-Fuel Light Trucks: Electric-Diesel Hybrid: Alternative Transportation</t>
  </si>
  <si>
    <t>AEO.2025.ALTTRNP.ECI_SAL_TRN_LTK_PI50GH_NA_NA_TH.A</t>
  </si>
  <si>
    <t>Light-Duty Vehicle Sales: Alternative-Fuel Light Trucks: Plug-in 50 Gasoline Hybrid: Alternative Transportation</t>
  </si>
  <si>
    <t>AEO.2025.ALTTRNP.ECI_SAL_TRN_LTK_PI20GH_NA_NA_TH.A</t>
  </si>
  <si>
    <t>Light-Duty Vehicle Sales: Alternative-Fuel Light Trucks: Plug-in 20 Gasoline Hybrid: Alternative Transportation</t>
  </si>
  <si>
    <t>AEO.2025.ALTTRNP.ECI_SAL_TRN_LTK_300MIEV_NA_NA_TH.A</t>
  </si>
  <si>
    <t>Light-Duty Vehicle Sales: Alternative-Fuel Light Trucks: 300-Mile Electric Vehicle: Alternative Transportation</t>
  </si>
  <si>
    <t>AEO.2025.ALTTRNP.ECI_SAL_TRN_LTK_200MIEV_NA_NA_TH.A</t>
  </si>
  <si>
    <t>Light-Duty Vehicle Sales: Alternative-Fuel Light Trucks: 200-Mile Electric Vehicle: Alternative Transportation</t>
  </si>
  <si>
    <t>AEO.2025.ALTTRNP.ECI_SAL_TRN_LTK_100MIEV_NA_NA_TH.A</t>
  </si>
  <si>
    <t>Light-Duty Vehicle Sales: Alternative-Fuel Light Trucks: 100-Mile Electric Vehicle: Alternative Transportation</t>
  </si>
  <si>
    <t>AEO.2025.ALTTRNP.ECI_SAL_TRN_LTK_EFFI_NA_NA_TH.A</t>
  </si>
  <si>
    <t>Light-Duty Vehicle Sales: Alternative-Fuel Light Trucks: Ethanol-Flex Fuel ICE: Alternative Transportation</t>
  </si>
  <si>
    <t>AEO.2025.ALTTRNP.ECI_SAL_TRN_LTK_CNV_NA_NA_TH.A</t>
  </si>
  <si>
    <t>Light-Duty Vehicle Sales: Conventional Light Trucks: Total: Alternative Transportation</t>
  </si>
  <si>
    <t>AEO.2025.ALTTRNP.ECI_SAL_TRN_LTK_DSL_NA_NA_TH.A</t>
  </si>
  <si>
    <t>Light-Duty Vehicle Sales: Conventional Light Trucks: TDI Diesel: Alternative Transportation</t>
  </si>
  <si>
    <t>AEO.2025.ALTTRNP.ECI_SAL_TRN_LTK_GSL_NA_NA_TH.A</t>
  </si>
  <si>
    <t>Light-Duty Vehicle Sales: Conventional Light Trucks: Gasoline: Alternative Transportation</t>
  </si>
  <si>
    <t>AEO.2025.ALTTRNP.ECI_SAL_TRN_CAR_TOT_NA_NA_TH.A</t>
  </si>
  <si>
    <t>Light-Duty Vehicle Sales: Total New Car: Alternative Transportation</t>
  </si>
  <si>
    <t>AEO.2025.ALTTRNP.ECI_SAL_TRN_CAR_ALT_NA_NA_PCT.A</t>
  </si>
  <si>
    <t>Light-Duty Vehicle Sales: Percentage Alternative Car: Alternative Transportation</t>
  </si>
  <si>
    <t>AEO.2025.ALTTRNP.ECI_SAL_TRN_CAR_ALT_NA_NA_TH.A</t>
  </si>
  <si>
    <t>Light-Duty Vehicle Sales: Alternative-Fuel Cars: Total: Alternative Transportation</t>
  </si>
  <si>
    <t>AEO.2025.ALTTRNP.ECI_SAL_TRN_CAR_FCH_NA_NA_TH.A</t>
  </si>
  <si>
    <t>Light-Duty Vehicle Sales: Alternative-Fuel cars: Fuel Cell Hydrogen: Alternative Transportation</t>
  </si>
  <si>
    <t>AEO.2025.ALTTRNP.ECI_SAL_TRN_CAR_FCLMTH_NA_NA_TH.A</t>
  </si>
  <si>
    <t>Light-Duty Vehicle Sales: Alternative-Fuel Cars: Fuel Cell Methanol: Alternative Transportation</t>
  </si>
  <si>
    <t>AEO.2025.ALTTRNP.ECI_SAL_TRN_CAR_PBF_NA_NA_TH.A</t>
  </si>
  <si>
    <t>Light-Duty Vehicle Sales: Alternative-Fuel Cars: Propane: Alternative Transportation</t>
  </si>
  <si>
    <t>AEO.2025.ALTTRNP.ECI_SAL_TRN_CAR_PROP_NA_NA_TH.A</t>
  </si>
  <si>
    <t>AEO.2025.ALTTRNP.ECI_SAL_TRN_CAR_NBF_NA_NA_TH.A</t>
  </si>
  <si>
    <t>Light-Duty Vehicle Sales: Alternative-Fuel Cars: Natural Gas Bi-fuel: Alternative Transportation</t>
  </si>
  <si>
    <t>AEO.2025.ALTTRNP.ECI_SAL_TRN_CAR_NGI_NA_NA_TH.A</t>
  </si>
  <si>
    <t>Light-Duty Vehicle Sales: Alternative-Fuel Cars: Natural Gas ICE: Alternative Transportation</t>
  </si>
  <si>
    <t>AEO.2025.ALTTRNP.ECI_SAL_TRN_CAR_EGH_NA_NA_TH.A</t>
  </si>
  <si>
    <t>Light-Duty Vehicle Sales: Alternative-Fuel Cars: Electric-Gasoline Hybrid: Alternative Transportation</t>
  </si>
  <si>
    <t>AEO.2025.ALTTRNP.ECI_SAL_TRN_CAR_EDH_NA_NA_TH.A</t>
  </si>
  <si>
    <t>Light-Duty Vehicle Sales: Alternative-Fuel Cars: Electric-Diesel Hybrid: Alternative Transportation</t>
  </si>
  <si>
    <t>AEO.2025.ALTTRNP.ECI_SAL_TRN_CAR_PI50GH_NA_NA_TH.A</t>
  </si>
  <si>
    <t>Light-Duty Vehicle Sales: Alternative-Fuel Cars: Plug-in 50 Gasoline Hybrid: Alternative Transportation</t>
  </si>
  <si>
    <t>AEO.2025.ALTTRNP.ECI_SAL_TRN_CAR_PI20GH_NA_NA_TH.A</t>
  </si>
  <si>
    <t>Light-Duty Vehicle Sales: Alternative-Fuel Cars: Plug-in 20 Gasoline Hybrid: Alternative Transportation</t>
  </si>
  <si>
    <t>AEO.2025.ALTTRNP.ECI_SAL_TRN_CAR_300MIEV_NA_NA_TH.A</t>
  </si>
  <si>
    <t>Light-Duty Vehicle Sales: Alternative-Fuel Cars: 300-Mile Electric Vehicle: Alternative Transportation</t>
  </si>
  <si>
    <t>AEO.2025.ALTTRNP.ECI_SAL_TRN_CAR_200MIEV_NA_NA_TH.A</t>
  </si>
  <si>
    <t>Light-Duty Vehicle Sales: Alternative-Fuel Cars: 200-Mile Electric Vehicle: Alternative Transportation</t>
  </si>
  <si>
    <t>AEO.2025.ALTTRNP.ECI_SAL_TRN_CAR_100MIEV_NA_NA_TH.A</t>
  </si>
  <si>
    <t>Light-Duty Vehicle Sales: Alternative-Fuel Cars: 100-Mile Electric Vehicle: Alternative Transportation</t>
  </si>
  <si>
    <t>AEO.2025.ALTTRNP.ECI_SAL_TRN_CAR_EFFI_NA_NA_TH.A</t>
  </si>
  <si>
    <t>Light-Duty Vehicle Sales: Alternative-Fuel Cars: Ethanol-Flex Fuel ICE: Alternative Transportation</t>
  </si>
  <si>
    <t>AEO.2025.ALTTRNP.ECI_SAL_TRN_CAR_CNV_NA_NA_TH.A</t>
  </si>
  <si>
    <t>Light-Duty Vehicle Sales: Conventional Cars: Total: Alternative Transportation</t>
  </si>
  <si>
    <t>AEO.2025.ALTTRNP.ECI_SAL_TRN_CAR_TDS_NA_NA_TH.A</t>
  </si>
  <si>
    <t>Light-Duty Vehicle Sales: Conventional Cars: TDI Diesel: Alternative Transportation</t>
  </si>
  <si>
    <t>AEO.2025.ALTTRNP.ECI_SAL_TRN_CAR_GSL_NA_NA_TH.A</t>
  </si>
  <si>
    <t>Light-Duty Vehicle Sales: Conventional Cars: Gasoline: Alternative Transportation</t>
  </si>
  <si>
    <t>Fri Dec 05 2025 14:49:32 GMT-0800 (Pacific Standard Time)</t>
  </si>
  <si>
    <t>https://www.eia.gov/outlooks/aeo/data/browser/#/?id=48-AEO2025&amp;cases=alttrnp&amp;sourcekey=0</t>
  </si>
  <si>
    <t>trillion Btu</t>
  </si>
  <si>
    <t>AEO.2025.ALTTRNP.CNSM_NA_TRN_INTS_LNG_NA_NA_TRLBTU.A</t>
  </si>
  <si>
    <t>Freight: International Shipping: Fuel Use: LNG: Alternative Transportation</t>
  </si>
  <si>
    <t>Liquefied Natural Gas</t>
  </si>
  <si>
    <t>AEO.2025.ALTTRNP.CNSM_NA_TRN_INTS_CNG_NA_NA_TRLBTU.A</t>
  </si>
  <si>
    <t>Freight: International Shipping: Fuel Use: CNG: Alternative Transportation</t>
  </si>
  <si>
    <t>Compressed Natural Gas</t>
  </si>
  <si>
    <t>AEO.2025.ALTTRNP.CNSM_NA_TRN_INTS_RFO_NA_NA_TRLBTU.A</t>
  </si>
  <si>
    <t>Freight: International Shipping: Fuel Use: Residual Fuel Oil: Alternative Transportation</t>
  </si>
  <si>
    <t>Residual Fuel Oil</t>
  </si>
  <si>
    <t>AEO.2025.ALTTRNP.CNSM_NA_TRN_INTS_DFO_NA_NA_TRLBTU.A</t>
  </si>
  <si>
    <t>Freight: International Shipping: Fuel Use: Distillate Fuel Oil: Alternative Transportation</t>
  </si>
  <si>
    <t>Distillate Fuel Oil (diesel)</t>
  </si>
  <si>
    <t>Fuel Consumption (trillion Btu)</t>
  </si>
  <si>
    <t>billion 2012 $</t>
  </si>
  <si>
    <t>AEO.2025.ALTTRNP.ECI_IMP_TRN_INTS_NA_NA_NA_BLNY09DLR.A</t>
  </si>
  <si>
    <t>Freight: International Shipping: Imports: Alternative Transportation</t>
  </si>
  <si>
    <t>Imports (billion 2012 dollars)</t>
  </si>
  <si>
    <t>AEO.2025.ALTTRNP.ECI_EXPT_TRN_INTS_NA_NA_NA_BLNY09DLR.A</t>
  </si>
  <si>
    <t>Freight: International Shipping: Exports: Alternative Transportation</t>
  </si>
  <si>
    <t>Exports (billion 2012 dollars)</t>
  </si>
  <si>
    <t>AEO.2025.ALTTRNP.ECI_UGHT_TRN_INTS_NA_NA_NA_BLNY09DLR.A</t>
  </si>
  <si>
    <t>Freight: International Shipping: Gross Trade: Alternative Transportation</t>
  </si>
  <si>
    <t>Gross Trade (billion 2012 dollars)</t>
  </si>
  <si>
    <t>AEO.2025.ALTTRNP.CNSM_NA_TRN_DMT_LNG_NA_NA_TRLBTU.A</t>
  </si>
  <si>
    <t>Freight: Domestic Shipping: Fuel Use: LNG: Alternative Transportation</t>
  </si>
  <si>
    <t>AEO.2025.ALTTRNP.CNSM_NA_TRN_DMT_CNG_NA_NA_TRLBTU.A</t>
  </si>
  <si>
    <t>Freight: Domestic Shipping: Fuel Use: CNG: Alternative Transportation</t>
  </si>
  <si>
    <t>AEO.2025.ALTTRNP.CNSM_NA_TRN_DMT_RFO_NA_NA_TRLBTU.A</t>
  </si>
  <si>
    <t>Freight: Domestic Shipping: Fuel Use: Residual Fuel Oil: Alternative Transportation</t>
  </si>
  <si>
    <t>AEO.2025.ALTTRNP.CNSM_NA_TRN_DMT_DFO_NA_NA_TRLBTU.A</t>
  </si>
  <si>
    <t>Freight: Domestic Shipping: Fuel Use: Distillate Fuel Oil: Alternative Transportation</t>
  </si>
  <si>
    <t>ton miles/thousand Btu</t>
  </si>
  <si>
    <t>AEO.2025.ALTTRNP.EFI_NA_TRN_DMT_NA_NA_NA_TONMLPTHBTU.A</t>
  </si>
  <si>
    <t>Freight: Domestic Shipping: Fuel Efficiency: Alternative Transportation</t>
  </si>
  <si>
    <t>Fuel Efficiency (ton miles per thousand Btu)</t>
  </si>
  <si>
    <t>billions</t>
  </si>
  <si>
    <t>AEO.2025.ALTTRNP.ECI_FTM_TRN_DMT_NA_NA_NA_BLN.A</t>
  </si>
  <si>
    <t>Freight: Domestic Shipping: Ton Miles Shipping: Alternative Transportation</t>
  </si>
  <si>
    <t>Ton Miles Shipping (billion)</t>
  </si>
  <si>
    <t>AEO.2025.ALTTRNP.CNSM_NA_TRN_RAIL_LNG_NA_NA_TRLBTU.A</t>
  </si>
  <si>
    <t>Freight: Railroads: Fuel Use: LNG: Alternative Transportation</t>
  </si>
  <si>
    <t>AEO.2025.ALTTRNP.CNSM_NA_TRN_RAIL_CNG_NA_NA_TRLBTU.A</t>
  </si>
  <si>
    <t>Freight: Railroads: Fuel Use: CNG: Alternative Transportation</t>
  </si>
  <si>
    <t>AEO.2025.ALTTRNP.CNSM_NA_TRN_RAIL_RFO_NA_NA_TRLBTU.A</t>
  </si>
  <si>
    <t>Freight: Railroads: Fuel Use: Residual Fuel Oil: Alternative Transportation</t>
  </si>
  <si>
    <t>AEO.2025.ALTTRNP.CNSM_NA_TRN_RAIL_DFO_NA_NA_TRLBTU.A</t>
  </si>
  <si>
    <t>Freight: Railroads: Fuel Use: Distillate Fuel Oil: Alternative Transportation</t>
  </si>
  <si>
    <t>AEO.2025.ALTTRNP.EFI_NA_TRN_RAIL_NA_NA_NA_TONMLPTHBTU.A</t>
  </si>
  <si>
    <t>Freight: Railroads: Fuel Efficiency: Alternative Transportation</t>
  </si>
  <si>
    <t>AEO.2025.ALTTRNP.ECI_FTM_TRN_RAIL_NA_NA_NA_BLN.A</t>
  </si>
  <si>
    <t>Freight: Railroads: Ton Miles by Rail: Alternative Transportation</t>
  </si>
  <si>
    <t>Ton Miles by Rail (billion)</t>
  </si>
  <si>
    <t>AEO.2025.ALTTRNP.ECI_SAL_FGHT_NA_NA_NA_NA_TH.A</t>
  </si>
  <si>
    <t>Freight: New Trucks: Sales: Alternative Transportation</t>
  </si>
  <si>
    <t>AEO.2025.ALTTRNP.ECI_SAL_FGHT_RAD_NA_NA_NA_TH.A</t>
  </si>
  <si>
    <t>Freight: New Trucks: Sales: Heavy: Alternative Transportation</t>
  </si>
  <si>
    <t>Heavy Subtotal</t>
  </si>
  <si>
    <t>AEO.2025.ALTTRNP.ECI_SAL_FGHT_RAD_HYDICE_NA_NA_MPGDSEQ.A</t>
  </si>
  <si>
    <t>Freight: New Trucks: Sales: Heavy: Hydrogen ICE: Alternative Transportation</t>
  </si>
  <si>
    <t>AEO.2025.ALTTRNP.ECI_SAL_FGHT_RAD_GASHEV_NA_NA_MPGGASEQ.A</t>
  </si>
  <si>
    <t>Freight: New Trucks: Sales: Heavy: Gasoline Hybrid: Alternative Transportation</t>
  </si>
  <si>
    <t>AEO.2025.ALTTRNP.ECI_SAL_FGHT_RAD_FEUCELBATDOM_NA_NA_MPGDSEQ.A</t>
  </si>
  <si>
    <t>Freight: New Trucks: Sales: Heavy: Fuel Cell Battery Dominant: Alternative Transportation</t>
  </si>
  <si>
    <t>AEO.2025.ALTTRNP.ECI_SAL_FGHT_RAD_FUC_NA_NA_TH.A</t>
  </si>
  <si>
    <t>Freight: New Trucks: Sales: Heavy: Fuel Cell: Alternative Transportation</t>
  </si>
  <si>
    <t>AEO.2025.ALTTRNP.ECI_SAL_FGHT_RAD_EGH_NA_NA_TH.A</t>
  </si>
  <si>
    <t>Freight: New Trucks: Sales: Heavy: Plug-in Gasoline Hybrid: Alternative Transportation</t>
  </si>
  <si>
    <t>AEO.2025.ALTTRNP.ECI_SAL_FGHT_RAD_EDH_NA_NA_TH.A</t>
  </si>
  <si>
    <t>Freight: New Trucks: Sales: Heavy: Plug-in Diesel Hybrid: Alternative Transportation</t>
  </si>
  <si>
    <t>AEO.2025.ALTTRNP.ECI_SAL_FGHT_RAD_ELE_NA_NA_TH.A</t>
  </si>
  <si>
    <t>Freight: New Trucks: Sales: Heavy: Electric: Alternative Transportation</t>
  </si>
  <si>
    <t>AEO.2025.ALTTRNP.ECI_SAL_FGHT_RAD_EFFI_NA_NA_TH.A</t>
  </si>
  <si>
    <t>Freight: New Trucks: Sales: Heavy: Ethanol-Flex Fuel: Alternative Transportation</t>
  </si>
  <si>
    <t>AEO.2025.ALTTRNP.ECI_SAL_FGHT_RAD_NG_NA_NA_TH.A</t>
  </si>
  <si>
    <t>Freight: New Trucks: Sales: Heavy: Natural Gas: Alternative Transportation</t>
  </si>
  <si>
    <t>AEO.2025.ALTTRNP.ECI_SAL_FGHT_RAD_PROP_NA_NA_TH.A</t>
  </si>
  <si>
    <t>Freight: New Trucks: Sales: Heavy: Propane: Alternative Transportation</t>
  </si>
  <si>
    <t>AEO.2025.ALTTRNP.ECI_SAL_FGHT_RAD_MGS_NA_NA_TH.A</t>
  </si>
  <si>
    <t>Freight: New Trucks: Sales: Heavy: Motor Gasoline: Alternative Transportation</t>
  </si>
  <si>
    <t>AEO.2025.ALTTRNP.ECI_SAL_FGHT_RAD_DSL_NA_NA_TH.A</t>
  </si>
  <si>
    <t>Freight: New Trucks: Sales: Heavy: Diesel: Alternative Transportation</t>
  </si>
  <si>
    <t>Heavy</t>
  </si>
  <si>
    <t>AEO.2025.ALTTRNP.ECI_SAL_FGHT_SOSO_NA_NA_NA_TH.A</t>
  </si>
  <si>
    <t>Freight: New Trucks: Sales: Medium: Alternative Transportation</t>
  </si>
  <si>
    <t>Medium Subtotal</t>
  </si>
  <si>
    <t>AEO.2025.ALTTRNP.ECI_SAL_FGHT_SOSO_HYDICE_NA_NA_MPGDSEQ.A</t>
  </si>
  <si>
    <t>Freight: New Trucks: Sales: Medium: Hydrogen ICE: Alternative Transportation</t>
  </si>
  <si>
    <t>AEO.2025.ALTTRNP.ECI_SAL_FGHT_SOSO_GASHEV_NA_NA_MPGGASEQ.A</t>
  </si>
  <si>
    <t>Freight: New Trucks: Sales: Medium: Gasoline Hybrid: Alternative Transportation</t>
  </si>
  <si>
    <t>AEO.2025.ALTTRNP.ECI_SAL_FGHT_SOSO_FEUCELBATDOM_NA_NA_MPGDSEQ.A</t>
  </si>
  <si>
    <t>Freight: New Trucks: Sales: Medium: Fuel Cell Battery Dominant: Alternative Transportation</t>
  </si>
  <si>
    <t>AEO.2025.ALTTRNP.ECI_SAL_FGHT_SOSO_FUC_NA_NA_TH.A</t>
  </si>
  <si>
    <t>Freight: New Trucks: Sales: Medium: Fuel Cell: Alternative Transportation</t>
  </si>
  <si>
    <t>AEO.2025.ALTTRNP.ECI_SAL_FGHT_SOSO_EGH_NA_NA_TH.A</t>
  </si>
  <si>
    <t>Freight: New Trucks: Sales: Medium: Plug-in Gasoline Hybrid: Alternative Transportation</t>
  </si>
  <si>
    <t>AEO.2025.ALTTRNP.ECI_SAL_FGHT_SOSO_EDH_NA_NA_TH.A</t>
  </si>
  <si>
    <t>Freight: New Trucks: Sales: Medium: Plug-in Diesel Hybrid: Alternative Transportation</t>
  </si>
  <si>
    <t>AEO.2025.ALTTRNP.ECI_SAL_FGHT_SOSO_ELE_NA_NA_TH.A</t>
  </si>
  <si>
    <t>Freight: New Trucks: Sales: Medium: Electric: Alternative Transportation</t>
  </si>
  <si>
    <t>AEO.2025.ALTTRNP.ECI_SAL_FGHT_SOSO_EFFI_NA_NA_TH.A</t>
  </si>
  <si>
    <t>Freight: New Trucks: Sales: Medium: Ethanol-Flex Fuel: Alternative Transportation</t>
  </si>
  <si>
    <t>AEO.2025.ALTTRNP.ECI_SAL_FGHT_SOSO_NG_NA_NA_TH.A</t>
  </si>
  <si>
    <t>Freight: New Trucks: Sales: Medium: Natural Gas: Alternative Transportation</t>
  </si>
  <si>
    <t>AEO.2025.ALTTRNP.ECI_SAL_FGHT_SOSO_PROP_NA_NA_TH.A</t>
  </si>
  <si>
    <t>Freight: New Trucks: Sales: Medium: Propane: Alternative Transportation</t>
  </si>
  <si>
    <t>AEO.2025.ALTTRNP.ECI_SAL_FGHT_SOSO_MGS_NA_NA_TH.A</t>
  </si>
  <si>
    <t>Freight: New Trucks: Sales: Medium: Motor Gasoline: Alternative Transportation</t>
  </si>
  <si>
    <t>AEO.2025.ALTTRNP.ECI_SAL_FGHT_SOSO_DSL_NA_NA_TH.A</t>
  </si>
  <si>
    <t>Freight: New Trucks: Sales: Medium: Diesel: Alternative Transportation</t>
  </si>
  <si>
    <t>Medium</t>
  </si>
  <si>
    <t>AEO.2025.ALTTRNP.ECI_SAL_FGHT_LITEMED_NA_NA_NA_TH.A</t>
  </si>
  <si>
    <t>Freight: New Trucks: Sales: Light Medium: Alternative Transportation</t>
  </si>
  <si>
    <t>Light Medium Subtotal</t>
  </si>
  <si>
    <t>AEO.2025.ALTTRNP.ECI_SAL_FGHT_LITEMED_HYDICE_NA_NA_MPGDSEQ.A</t>
  </si>
  <si>
    <t>Freight: New Trucks: Sales: Light Medium: Hydrogen ICE: Alternative Transportation</t>
  </si>
  <si>
    <t>AEO.2025.ALTTRNP.ECI_SAL_FGHT_LITEMED_GASHEV_NA_NA_MPGGASEQ.A</t>
  </si>
  <si>
    <t>Freight: New Trucks: Sales: Light Medium: Gasoline Hybrid: Alternative Transportation</t>
  </si>
  <si>
    <t>AEO.2025.ALTTRNP.ECI_SAL_FGHT_LITEMED_FEUCELBATDOM_NA_NA_MPGDSEQ.A</t>
  </si>
  <si>
    <t>Freight: New Trucks: Sales: Light Medium: Fuel Cell Battery Dominant: Alternative Transportation</t>
  </si>
  <si>
    <t>AEO.2025.ALTTRNP.ECI_SAL_FGHT_LITEMED_FUC_NA_NA_TH.A</t>
  </si>
  <si>
    <t>Freight: New Trucks: Sales: Light Medium: Fuel Cell: Alternative Transportation</t>
  </si>
  <si>
    <t>AEO.2025.ALTTRNP.ECI_SAL_FGHT_LITEMED_EGH_NA_NA_TH.A</t>
  </si>
  <si>
    <t>Freight: New Trucks: Sales: Light Medium: Plug-in Gasoline Hybrid: Alternative Transportation</t>
  </si>
  <si>
    <t>AEO.2025.ALTTRNP.ECI_SAL_FGHT_LITEMED_EDH_NA_NA_TH.A</t>
  </si>
  <si>
    <t>Freight: New Trucks: Sales: Light Medium: Plug-in Diesel Hybrid: Alternative Transportation</t>
  </si>
  <si>
    <t>AEO.2025.ALTTRNP.ECI_SAL_FGHT_LITEMED_ELE_NA_NA_TH.A</t>
  </si>
  <si>
    <t>Freight: New Trucks: Sales: Light Medium: Electric: Alternative Transportation</t>
  </si>
  <si>
    <t>AEO.2025.ALTTRNP.ECI_SAL_FGHT_LITEMED_EFFI_NA_NA_TH.A</t>
  </si>
  <si>
    <t>Freight: New Trucks: Sales: Light Medium: Ethanol-Flex Fuel: Alternative Transportation</t>
  </si>
  <si>
    <t>AEO.2025.ALTTRNP.ECI_SAL_FGHT_LITEMED_NG_NA_NA_TH.A</t>
  </si>
  <si>
    <t>Freight: New Trucks: Sales: Light Medium: Natural Gas: Alternative Transportation</t>
  </si>
  <si>
    <t>AEO.2025.ALTTRNP.ECI_SAL_FGHT_LITEMED_PROP_NA_NA_TH.A</t>
  </si>
  <si>
    <t>Freight: New Trucks: Sales: Light Medium: Propane: Alternative Transportation</t>
  </si>
  <si>
    <t>AEO.2025.ALTTRNP.ECI_SAL_FGHT_LITEMED_MGS_NA_NA_TH.A</t>
  </si>
  <si>
    <t>Freight: New Trucks: Sales: Light Medium: Motor Gasoline: Alternative Transportation</t>
  </si>
  <si>
    <t>AEO.2025.ALTTRNP.ECI_SAL_FGHT_LITEMED_DSL_NA_NA_TH.A</t>
  </si>
  <si>
    <t>Freight: New Trucks: Sales: Light Medium: Diesel: Alternative Transportation</t>
  </si>
  <si>
    <t>Light Medium</t>
  </si>
  <si>
    <t>Sales (thousands)</t>
  </si>
  <si>
    <t>AEO.2025.ALTTRNP.EFI_NA_FGHT_NEW_NA_NA_NA_NA.A</t>
  </si>
  <si>
    <t>Freight: New Trucks: Fuel Efficiency: Alternative Transportation</t>
  </si>
  <si>
    <t>Average Fuel Efficiency</t>
  </si>
  <si>
    <t>AEO.2025.ALTTRNP.EFI_NA_FGHT_RADN_NA_NA_NA_NA.A</t>
  </si>
  <si>
    <t>Freight: New Trucks: Fuel Efficiency: Heavy: Average: Alternative Transportation</t>
  </si>
  <si>
    <t>Heavy Average</t>
  </si>
  <si>
    <t>mpg diesel equiv</t>
  </si>
  <si>
    <t>AEO.2025.ALTTRNP.EFI_NA_FGHT_RADN_HYDICE_NA_NA_MPGDSEQ.A</t>
  </si>
  <si>
    <t>Freight: New Trucks: Fuel Efficiency: Heavy: Hydrogen ICE: Alternative Transportation</t>
  </si>
  <si>
    <t>mpg gas equiv</t>
  </si>
  <si>
    <t>AEO.2025.ALTTRNP.EFI_NA_FGHT_RADN_GASHEV_NA_NA_MPGGASEQ.A</t>
  </si>
  <si>
    <t>Freight: New Trucks: Fuel Efficiency: Heavy: Gasoline Hybrid: Alternative Transportation</t>
  </si>
  <si>
    <t>AEO.2025.ALTTRNP.EFI_NA_FGHT_RADN_FEUCELBATDOM_NA_NA_MPGDSEQ.A</t>
  </si>
  <si>
    <t>Freight: New Trucks: Fuel Efficiency: Heavy: Fuel Cell Battery Dominant: Alternative Transportation</t>
  </si>
  <si>
    <t>AEO.2025.ALTTRNP.EFI_NA_FGHT_RADN_FUC_NA_NA_MPGDSEQ.A</t>
  </si>
  <si>
    <t>Freight: New Trucks: Fuel Efficiency: Heavy: Fuel Cell: Alternative Transportation</t>
  </si>
  <si>
    <t>AEO.2025.ALTTRNP.EFI_NA_FGHT_RADN_EGH_NA_NA_MPGGASEQ.A</t>
  </si>
  <si>
    <t>Freight: New Trucks: Fuel Efficiency: Heavy: Plug-in Gasoline Hybrid: Alternative Transportation</t>
  </si>
  <si>
    <t>AEO.2025.ALTTRNP.EFI_NA_FGHT_RADN_EDH_NA_NA_MPGDSEQ.A</t>
  </si>
  <si>
    <t>Freight: New Trucks: Fuel Efficiency: Heavy: Plug-in Diesel Hybrid: Alternative Transportation</t>
  </si>
  <si>
    <t>AEO.2025.ALTTRNP.EFI_NA_FGHT_RADN_ELE_NA_NA_MPGDSEQ.A</t>
  </si>
  <si>
    <t>Freight: New Trucks: Fuel Efficiency: Heavy: Electric: Alternative Transportation</t>
  </si>
  <si>
    <t>AEO.2025.ALTTRNP.EFI_NA_FGHT_RADN_EFFI_NA_NA_MPGGASEQ.A</t>
  </si>
  <si>
    <t>Freight: New Trucks: Fuel Efficiency: Heavy: Ethanol-Flex Fuel: Alternative Transportation</t>
  </si>
  <si>
    <t>AEO.2025.ALTTRNP.EFI_NA_FGHT_RADN_NG_NA_NA_MPGDSEQ.A</t>
  </si>
  <si>
    <t>Freight: New Trucks: Fuel Efficiency: Heavy: Natural Gas: Alternative Transportation</t>
  </si>
  <si>
    <t>AEO.2025.ALTTRNP.EFI_NA_FGHT_RADN_PROP_NA_NA_MPGGASEQ.A</t>
  </si>
  <si>
    <t>Freight: New Trucks: Fuel Efficiency: Heavy: Propane: Alternative Transportation</t>
  </si>
  <si>
    <t>AEO.2025.ALTTRNP.EFI_NA_FGHT_RADN_MGS_NA_NA_MPGGASEQ.A</t>
  </si>
  <si>
    <t>Freight: New Trucks: Fuel Efficiency: Heavy: Motor Gasoline: Alternative Transportation</t>
  </si>
  <si>
    <t>AEO.2025.ALTTRNP.EFI_NA_FGHT_RADN_DSL_NA_NA_MPGDSEQ.A</t>
  </si>
  <si>
    <t>Freight: New Trucks: Fuel Efficiency: Heavy: Diesel: Alternative Transportation</t>
  </si>
  <si>
    <t>AEO.2025.ALTTRNP.EFI_NA_FGHT_SOSON_NA_NA_NA_NA.A</t>
  </si>
  <si>
    <t>Freight: New Trucks: Fuel Efficiency: Medium: Average: Alternative Transportation</t>
  </si>
  <si>
    <t>Medium Average</t>
  </si>
  <si>
    <t>AEO.2025.ALTTRNP.EFI_NA_FGHT_SOSON_HYDICE_NA_NA_MPGDSEQ.A</t>
  </si>
  <si>
    <t>Freight: New Trucks: Fuel Efficiency: Medium: Hydrogen ICE: Alternative Transportation</t>
  </si>
  <si>
    <t>AEO.2025.ALTTRNP.EFI_NA_FGHT_SOSON_GASHEV_NA_NA_MPGGASEQ.A</t>
  </si>
  <si>
    <t>Freight: New Trucks: Fuel Efficiency: Medium: Gasoline Hybrid: Alternative Transportation</t>
  </si>
  <si>
    <t>AEO.2025.ALTTRNP.EFI_NA_FGHT_SOSON_FEUCELBATDOM_NA_NA_MPGDSEQ.A</t>
  </si>
  <si>
    <t>Freight: New Trucks: Fuel Efficiency: Medium: Fuel Cell Battery Dominant: Alternative Transportation</t>
  </si>
  <si>
    <t>AEO.2025.ALTTRNP.EFI_NA_FGHT_SOSON_FUC_NA_NA_MPGGASEQ.A</t>
  </si>
  <si>
    <t>Freight: New Trucks: Fuel Efficiency: Medium: Fuel Cell: Alternative Transportation</t>
  </si>
  <si>
    <t>AEO.2025.ALTTRNP.EFI_NA_FGHT_SOSON_EGH_NA_NA_MPGGASEQ.A</t>
  </si>
  <si>
    <t>Freight: New Trucks: Fuel Efficiency: Medium: Plug-in Gasoline Hybrid: Alternative Transportation</t>
  </si>
  <si>
    <t>AEO.2025.ALTTRNP.EFI_NA_FGHT_SOSON_EDH_NA_NA_MPGGASEQ.A</t>
  </si>
  <si>
    <t>Freight: New Trucks: Fuel Efficiency: Medium: Plug-in Diesel Hybrid: Alternative Transportation</t>
  </si>
  <si>
    <t>AEO.2025.ALTTRNP.EFI_NA_FGHT_SOSON_ELE_NA_NA_MPGGASEQ.A</t>
  </si>
  <si>
    <t>Freight: New Trucks: Fuel Efficiency: Medium: Electric: Alternative Transportation</t>
  </si>
  <si>
    <t>mpg</t>
  </si>
  <si>
    <t>AEO.2025.ALTTRNP.EFI_NA_FGHT_SOSON_EFFI_NA_NA_MPG.A</t>
  </si>
  <si>
    <t>Freight: New Trucks: Fuel Efficiency: Medium: Ethanol-Flex Fuel: Alternative Transportation</t>
  </si>
  <si>
    <t>AEO.2025.ALTTRNP.EFI_NA_FGHT_SOSON_NG_NA_NA_MPGGASEQ.A</t>
  </si>
  <si>
    <t>Freight: New Trucks: Fuel Efficiency: Medium: Natural Gas: Alternative Transportation</t>
  </si>
  <si>
    <t>AEO.2025.ALTTRNP.EFI_NA_FGHT_SOSON_PROP_NA_NA_MPGGASEQ.A</t>
  </si>
  <si>
    <t>Freight: New Trucks: Fuel Efficiency: Medium: Propane: Alternative Transportation</t>
  </si>
  <si>
    <t>AEO.2025.ALTTRNP.EFI_NA_FGHT_SOSON_MGS_NA_NA_MPGGASEQ.A</t>
  </si>
  <si>
    <t>Freight: New Trucks: Fuel Efficiency: Medium: Motor Gasoline: Alternative Transportation</t>
  </si>
  <si>
    <t>AEO.2025.ALTTRNP.EFI_NA_FGHT_SOSON_DSL_NA_NA_MPGDSEQ.A</t>
  </si>
  <si>
    <t>Freight: New Trucks: Fuel Efficiency: Medium: Diesel: Alternative Transportation</t>
  </si>
  <si>
    <t>AEO.2025.ALTTRNP.EFI_NA_FGHT_LITEMEDN_NA_NA_NA_NA.A</t>
  </si>
  <si>
    <t>Freight: New Trucks: Fuel Efficiency: Light Medium: Average: Alternative Transportation</t>
  </si>
  <si>
    <t>Light Medium Average</t>
  </si>
  <si>
    <t>AEO.2025.ALTTRNP.EFI_NA_FGHT_LITEMEDN_HYDICE_NA_NA_MPGDSEQ.A</t>
  </si>
  <si>
    <t>Freight: New Trucks: Fuel Efficiency: Light Medium: Hydrogen ICE: Alternative Transportation</t>
  </si>
  <si>
    <t>AEO.2025.ALTTRNP.EFI_NA_FGHT_LITEMEDN_GASHEV_NA_NA_MPGGASEQ.A</t>
  </si>
  <si>
    <t>Freight: New Trucks: Fuel Efficiency: Light Medium: Gasoline Hybrid: Alternative Transportation</t>
  </si>
  <si>
    <t>AEO.2025.ALTTRNP.EFI_NA_FGHT_LITEMEDN_FEUCELBATDOM_NA_NA_MPGDSEQ.A</t>
  </si>
  <si>
    <t>Freight: New Trucks: Fuel Efficiency: Light Medium: Fuel Cell Battery Dominant: Alternative Transportation</t>
  </si>
  <si>
    <t>AEO.2025.ALTTRNP.EFI_NA_FGHT_LITEMEDN_FUC_NA_NA_MPGDSEQ.A</t>
  </si>
  <si>
    <t>Freight: New Trucks: Fuel Efficiency: Light Medium: Fuel Cell: Alternative Transportation</t>
  </si>
  <si>
    <t>AEO.2025.ALTTRNP.EFI_NA_FGHT_LITEMEDN_EGH_NA_NA_MPGGASEQ.A</t>
  </si>
  <si>
    <t>Freight: New Trucks: Fuel Efficiency: Light Medium: Plug-in Gasoline Hybrid: Alternative Transportation</t>
  </si>
  <si>
    <t>AEO.2025.ALTTRNP.EFI_NA_FGHT_LITEMEDN_EDH_NA_NA_MPGDSEQ.A</t>
  </si>
  <si>
    <t>Freight: New Trucks: Fuel Efficiency: Light Medium: Plug-in Diesel Hybrid: Alternative Transportation</t>
  </si>
  <si>
    <t>AEO.2025.ALTTRNP.EFI_NA_FGHT_LITEMEDN_ELE_NA_NA_MPGDSEQ.A</t>
  </si>
  <si>
    <t>Freight: New Trucks: Fuel Efficiency: Light Medium: Electric: Alternative Transportation</t>
  </si>
  <si>
    <t>AEO.2025.ALTTRNP.EFI_NA_FGHT_LITEMEDN_EFFI_NA_NA_MPGGASEQ.A</t>
  </si>
  <si>
    <t>Freight: New Trucks: Fuel Efficiency: Light Medium: Ethanol-Flex Fuel: Alternative Transportation</t>
  </si>
  <si>
    <t>AEO.2025.ALTTRNP.EFI_NA_FGHT_LITEMEDN_NG_NA_NA_MPGGASEQ.A</t>
  </si>
  <si>
    <t>Freight: New Trucks: Fuel Efficiency: Light Medium: Natural Gas: Alternative Transportation</t>
  </si>
  <si>
    <t>AEO.2025.ALTTRNP.EFI_NA_FGHT_LITEMEDN_PROP_NA_NA_MPGGASEQ.A</t>
  </si>
  <si>
    <t>Freight: New Trucks: Fuel Efficiency: Light Medium: Propane: Alternative Transportation</t>
  </si>
  <si>
    <t>AEO.2025.ALTTRNP.EFI_NA_FGHT_LITEMEDN_MGS_NA_NA_MPGGASEQ.A</t>
  </si>
  <si>
    <t>Freight: New Trucks: Fuel Efficiency: Light Medium: Motor Gasoline: Alternative Transportation</t>
  </si>
  <si>
    <t>AEO.2025.ALTTRNP.EFI_NA_FGHT_LITEMEDN_DSL_NA_NA_MPGDSEQ.A</t>
  </si>
  <si>
    <t>Freight: New Trucks: Fuel Efficiency: Light Medium: Diesel: Alternative Transportation</t>
  </si>
  <si>
    <t>Fuel Efficiency (miles per gallon)</t>
  </si>
  <si>
    <t>millions</t>
  </si>
  <si>
    <t>AEO.2025.ALTTRNP.ECI_STK_FGHT_STK_NA_NA_NA_MILL.A</t>
  </si>
  <si>
    <t>Freight: Truck Stock: Alternative Transportation</t>
  </si>
  <si>
    <t>Total Stock</t>
  </si>
  <si>
    <t>AEO.2025.ALTTRNP.ECI_STK_FGHT_RADS_NA_NA_NA_MILL.A</t>
  </si>
  <si>
    <t>Freight: Truck Stock: Heavy: Alternative Transportation</t>
  </si>
  <si>
    <t>AEO.2025.ALTTRNP.ECI_STK_FGHT_RADS_HYDICE_NA_NA_MILL.A</t>
  </si>
  <si>
    <t>Freight: Truck Stock: Heavy: Hydrogen ICE: Alternative Transportation</t>
  </si>
  <si>
    <t>AEO.2025.ALTTRNP.ECI_STK_FGHT_RADS_GASHEV_NA_NA_MILL.A</t>
  </si>
  <si>
    <t>Freight: Truck Stock: Heavy: Gasoline Hybrid: Alternative Transportation</t>
  </si>
  <si>
    <t>AEO.2025.ALTTRNP.ECI_STK_FGHT_RADS_FEUCELBATDOM_NA_NA_MILL.A</t>
  </si>
  <si>
    <t>Freight: Truck Stock: Heavy: Fuel Cell Battery Dominant: Alternative Transportation</t>
  </si>
  <si>
    <t>AEO.2025.ALTTRNP.ECI_STK_FGHT_RADS_FUC_NA_NA_MILL.A</t>
  </si>
  <si>
    <t>Freight: Truck Stock: Heavy: Fuel Cell: Alternative Transportation</t>
  </si>
  <si>
    <t>AEO.2025.ALTTRNP.ECI_STK_FGHT_RADS_EGH_NA_NA_MILL.A</t>
  </si>
  <si>
    <t>Freight: Truck Stock: Heavy: Plug-in Gasoline Hybrid: Alternative Transportation</t>
  </si>
  <si>
    <t>AEO.2025.ALTTRNP.ECI_STK_FGHT_RADS_EDH_NA_NA_MILL.A</t>
  </si>
  <si>
    <t>Freight: Truck Stock: Heavy: Plug-in Diesel Hybrid: Alternative Transportation</t>
  </si>
  <si>
    <t>AEO.2025.ALTTRNP.ECI_STK_FGHT_RADS_ELE_NA_NA_MILL.A</t>
  </si>
  <si>
    <t>Freight: Truck Stock: Heavy: Electric: Alternative Transportation</t>
  </si>
  <si>
    <t>AEO.2025.ALTTRNP.ECI_STK_FGHT_RADS_EFFI_NA_NA_MILL.A</t>
  </si>
  <si>
    <t>Freight: Truck Stock: Heavy: Ethanol-Flex Fuel: Alternative Transportation</t>
  </si>
  <si>
    <t>AEO.2025.ALTTRNP.ECI_STK_FGHT_RADS_NG_NA_NA_MILL.A</t>
  </si>
  <si>
    <t>Freight: Truck Stock: Heavy: Natural Gas: Alternative Transportation</t>
  </si>
  <si>
    <t>AEO.2025.ALTTRNP.ECI_STK_FGHT_RADS_PROP_NA_NA_MILL.A</t>
  </si>
  <si>
    <t>Freight: Truck Stock: Heavy: Propane: Alternative Transportation</t>
  </si>
  <si>
    <t>AEO.2025.ALTTRNP.ECI_STK_FGHT_RADS_MGS_NA_NA_MILL.A</t>
  </si>
  <si>
    <t>Freight: Truck Stock: Heavy: Motor Gasoline: Alternative Transportation</t>
  </si>
  <si>
    <t>AEO.2025.ALTTRNP.ECI_STK_FGHT_RADS_DSL_NA_NA_MILL.A</t>
  </si>
  <si>
    <t>Freight: Truck Stock: Heavy: Diesel: Alternative Transportation</t>
  </si>
  <si>
    <t>AEO.2025.ALTTRNP.ECI_STK_FGHT_SOSOS_NA_NA_NA_MILL.A</t>
  </si>
  <si>
    <t>Freight: Truck Stock: Medium: Alternative Transportation</t>
  </si>
  <si>
    <t>AEO.2025.ALTTRNP.ECI_STK_FGHT_SOSOS_HYDICE_NA_NA_MILL.A</t>
  </si>
  <si>
    <t>Freight: Truck Stock: Medium: Hydrogen ICE: Alternative Transportation</t>
  </si>
  <si>
    <t>AEO.2025.ALTTRNP.ECI_STK_FGHT_SOSOS_GASHEV_NA_NA_MILL.A</t>
  </si>
  <si>
    <t>Freight: Truck Stock: Medium: Gasoline Hybrid: Alternative Transportation</t>
  </si>
  <si>
    <t>AEO.2025.ALTTRNP.ECI_STK_FGHT_SOSOS_FEUCELBATDOM_NA_NA_MILL.A</t>
  </si>
  <si>
    <t>Freight: Truck Stock: Medium: Fuel Cell Battery Dominant: Alternative Transportation</t>
  </si>
  <si>
    <t>AEO.2025.ALTTRNP.ECI_STK_FGHT_SOSOS_FUC_NA_NA_MILL.A</t>
  </si>
  <si>
    <t>Freight: Truck Stock: Medium: Fuel Cell: Alternative Transportation</t>
  </si>
  <si>
    <t>AEO.2025.ALTTRNP.ECI_STK_FGHT_SOSOS_EGH_NA_NA_MILL.A</t>
  </si>
  <si>
    <t>Freight: Truck Stock: Medium: Plug-in Gasoline Hybrid: Alternative Transportation</t>
  </si>
  <si>
    <t>AEO.2025.ALTTRNP.ECI_STK_FGHT_SOSOS_EDH_NA_NA_MILL.A</t>
  </si>
  <si>
    <t>Freight: Truck Stock: Medium: Plug-in Diesel Hybrid: Alternative Transportation</t>
  </si>
  <si>
    <t>AEO.2025.ALTTRNP.ECI_STK_FGHT_SOSOS_ELE_NA_NA_MILL.A</t>
  </si>
  <si>
    <t>Freight: Truck Stock: Medium: Electric: Alternative Transportation</t>
  </si>
  <si>
    <t>AEO.2025.ALTTRNP.ECI_STK_FGHT_SOSOS_EFFI_NA_NA_MILL.A</t>
  </si>
  <si>
    <t>Freight: Truck Stock: Medium: Ethanol-Flex Fuel: Alternative Transportation</t>
  </si>
  <si>
    <t>AEO.2025.ALTTRNP.ECI_STK_FGHT_SOSOS_NG_NA_NA_MILL.A</t>
  </si>
  <si>
    <t>Freight: Truck Stock: Medium: Natural Gas: Alternative Transportation</t>
  </si>
  <si>
    <t>AEO.2025.ALTTRNP.ECI_STK_FGHT_SOSOS_PROP_NA_NA_MILL.A</t>
  </si>
  <si>
    <t>Freight: Truck Stock: Medium: Propane: Alternative Transportation</t>
  </si>
  <si>
    <t>AEO.2025.ALTTRNP.ECI_STK_FGHT_SOSOS_MGS_NA_NA_MILL.A</t>
  </si>
  <si>
    <t>Freight: Truck Stock: Medium: Motor Gasoline: Alternative Transportation</t>
  </si>
  <si>
    <t>AEO.2025.ALTTRNP.ECI_STK_FGHT_SOSOS_DSL_NA_NA_MILL.A</t>
  </si>
  <si>
    <t>Freight: Truck Stock: Medium: Diesel: Alternative Transportation</t>
  </si>
  <si>
    <t>AEO.2025.ALTTRNP.ECI_STK_FGHT_LITEMEDS_NA_NA_NA_MILL.A</t>
  </si>
  <si>
    <t>Freight: Truck Stock: Light Medium: Alternative Transportation</t>
  </si>
  <si>
    <t>AEO.2025.ALTTRNP.ECI_STK_FGHT_LITEMEDS_HYDICE_NA_NA_MILL.A</t>
  </si>
  <si>
    <t>Freight: Truck Stock: Light Medium: Hydrogen ICE: Alternative Transportation</t>
  </si>
  <si>
    <t>AEO.2025.ALTTRNP.ECI_STK_FGHT_LITEMEDS_GASHEV_NA_NA_MILL.A</t>
  </si>
  <si>
    <t>Freight: Truck Stock: Light Medium: Gasoline Hybrid: Alternative Transportation</t>
  </si>
  <si>
    <t>AEO.2025.ALTTRNP.ECI_STK_FGHT_LITEMEDS_FEUCELBATDOM_NA_NA_MILL.A</t>
  </si>
  <si>
    <t>Freight: Truck Stock: Light Medium: Fuel Cell Battery Dominant: Alternative Transportation</t>
  </si>
  <si>
    <t>AEO.2025.ALTTRNP.ECI_STK_FGHT_LITEMEDS_FUC_NA_NA_MILL.A</t>
  </si>
  <si>
    <t>Freight: Truck Stock: Light Medium: Fuel Cell: Alternative Transportation</t>
  </si>
  <si>
    <t>AEO.2025.ALTTRNP.ECI_STK_FGHT_LITEMEDS_EGH_NA_NA_MILL.A</t>
  </si>
  <si>
    <t>Freight: Truck Stock: Light Medium: Plug-in Gasoline Hybrid: Alternative Transportation</t>
  </si>
  <si>
    <t>AEO.2025.ALTTRNP.ECI_STK_FGHT_LITEMEDS_EDH_NA_NA_MILL.A</t>
  </si>
  <si>
    <t>Freight: Truck Stock: Light Medium: Plug-in Diesel Hybrid: Alternative Transportation</t>
  </si>
  <si>
    <t>AEO.2025.ALTTRNP.ECI_STK_FGHT_LITEMEDS_ELE_NA_NA_MILL.A</t>
  </si>
  <si>
    <t>Freight: Truck Stock: Light Medium: Electric: Alternative Transportation</t>
  </si>
  <si>
    <t>AEO.2025.ALTTRNP.ECI_STK_FGHT_LITEMEDS_EFFI_NA_NA_MILL.A</t>
  </si>
  <si>
    <t>Freight: Truck Stock: Light Medium: Ethanol-Flex Fuel: Alternative Transportation</t>
  </si>
  <si>
    <t>AEO.2025.ALTTRNP.ECI_STK_FGHT_LITEMEDS_NG_NA_NA_MILL.A</t>
  </si>
  <si>
    <t>Freight: Truck Stock: Light Medium: Natural Gas: Alternative Transportation</t>
  </si>
  <si>
    <t>AEO.2025.ALTTRNP.ECI_STK_FGHT_LITEMEDS_PROP_NA_NA_MILL.A</t>
  </si>
  <si>
    <t>Freight: Truck Stock: Light Medium: Propane: Alternative Transportation</t>
  </si>
  <si>
    <t>AEO.2025.ALTTRNP.ECI_STK_FGHT_LITEMEDS_MGS_NA_NA_MILL.A</t>
  </si>
  <si>
    <t>Freight: Truck Stock: Light Medium: Motor Gasoline: Alternative Transportation</t>
  </si>
  <si>
    <t>AEO.2025.ALTTRNP.ECI_STK_FGHT_LITEMEDS_DSL_NA_NA_MILL.A</t>
  </si>
  <si>
    <t>Freight: Truck Stock: Light Medium: Diesel: Alternative Transportation</t>
  </si>
  <si>
    <t>Stock (millions)</t>
  </si>
  <si>
    <t>AEO.2025.ALTTRNP.EFI_NA_FGHT_STK_NA_NA_NA_NA.A</t>
  </si>
  <si>
    <t>Freight: Truck Stock: Fuel Efficiency: Alternative Transportation</t>
  </si>
  <si>
    <t>AEO.2025.ALTTRNP.EFI_NA_FGHT_RADS_NA_NA_NA_NA.A</t>
  </si>
  <si>
    <t>Freight: Truck Stock: Fuel Efficiency: Heavy: Average: Alternative Transportation</t>
  </si>
  <si>
    <t>AEO.2025.ALTTRNP.EFI_NA_FGHT_RADS_HYDICE_NA_NA_MPGDSEQ.A</t>
  </si>
  <si>
    <t>Freight: Truck Stock: Fuel Efficiency: Heavy: Hydrogen ICE: Alternative Transportation</t>
  </si>
  <si>
    <t>AEO.2025.ALTTRNP.EFI_NA_FGHT_RADS_GASHEV_NA_NA_MPGGASEQ.A</t>
  </si>
  <si>
    <t>Freight: Truck Stock: Fuel Efficiency: Heavy: Gasoline Hybrid: Alternative Transportation</t>
  </si>
  <si>
    <t>AEO.2025.ALTTRNP.EFI_NA_FGHT_RADS_FEUCELBATDOM_NA_NA_MPGDSEQ.A</t>
  </si>
  <si>
    <t>Freight: Truck Stock: Fuel Efficiency: Heavy: Fuel Cell Battery Dominant: Alternative Transportation</t>
  </si>
  <si>
    <t>AEO.2025.ALTTRNP.EFI_NA_FGHT_RADS_FUC_NA_NA_MPGDSEQ.A</t>
  </si>
  <si>
    <t>Freight: Truck Stock: Fuel Efficiency: Heavy: Fuel Cell: Alternative Transportation</t>
  </si>
  <si>
    <t>AEO.2025.ALTTRNP.EFI_NA_FGHT_RADS_EGH_NA_NA_MPGGASEQ.A</t>
  </si>
  <si>
    <t>Freight: Truck Stock: Fuel Efficiency: Heavy: Plug-in Gasoline Hybrid: Alternative Transportation</t>
  </si>
  <si>
    <t>AEO.2025.ALTTRNP.EFI_NA_FGHT_RADS_EDH_NA_NA_MPGDSEQ.A</t>
  </si>
  <si>
    <t>Freight: Truck Stock: Fuel Efficiency: Heavy: Plug-in Diesel Hybrid: Alternative Transportation</t>
  </si>
  <si>
    <t>AEO.2025.ALTTRNP.EFI_NA_FGHT_RADS_ELE_NA_NA_MPGDSEQ.A</t>
  </si>
  <si>
    <t>Freight: Truck Stock: Fuel Efficiency: Heavy: Electric: Alternative Transportation</t>
  </si>
  <si>
    <t>AEO.2025.ALTTRNP.EFI_NA_FGHT_RADS_EFFI_NA_NA_MPGGASEQ.A</t>
  </si>
  <si>
    <t>Freight: Truck Stock: Fuel Efficiency: Heavy: Ethanol-Flex Fuel: Alternative Transportation</t>
  </si>
  <si>
    <t>AEO.2025.ALTTRNP.EFI_NA_FGHT_RADS_NG_NA_NA_MPGDSEQ.A</t>
  </si>
  <si>
    <t>Freight: Truck Stock: Fuel Efficiency: Heavy: Natural Gas: Alternative Transportation</t>
  </si>
  <si>
    <t>AEO.2025.ALTTRNP.EFI_NA_FGHT_RADS_PROP_NA_NA_MPGGASEQ.A</t>
  </si>
  <si>
    <t>Freight: Truck Stock: Fuel Efficiency: Heavy: Propane: Alternative Transportation</t>
  </si>
  <si>
    <t>AEO.2025.ALTTRNP.EFI_NA_FGHT_RADS_MGS_NA_NA_MPGGASEQ.A</t>
  </si>
  <si>
    <t>Freight: Truck Stock: Fuel Efficiency: Heavy: Motor Gasoline: Alternative Transportation</t>
  </si>
  <si>
    <t>AEO.2025.ALTTRNP.EFI_NA_FGHT_RADS_DSL_NA_NA_MPGDSEQ.A</t>
  </si>
  <si>
    <t>Freight: Truck Stock: Fuel Efficiency: Heavy: Diesel: Alternative Transportation</t>
  </si>
  <si>
    <t>AEO.2025.ALTTRNP.EFI_NA_FGHT_SOSOS_NA_NA_NA_NA.A</t>
  </si>
  <si>
    <t>Freight: Truck Stock: Fuel Efficiency: Medium: Average: Alternative Transportation</t>
  </si>
  <si>
    <t>AEO.2025.ALTTRNP.EFI_NA_FGHT_SOSOS_HYDICE_NA_NA_MPGDSEQ.A</t>
  </si>
  <si>
    <t>Freight: Truck Stock: Fuel Efficiency: Medium: Hydrogen ICE: Alternative Transportation</t>
  </si>
  <si>
    <t>AEO.2025.ALTTRNP.EFI_NA_FGHT_SOSOS_GASHEV_NA_NA_MPGGASEQ.A</t>
  </si>
  <si>
    <t>Freight: Truck Stock: Fuel Efficiency: Medium: Gasoline Hybrid: Alternative Transportation</t>
  </si>
  <si>
    <t>AEO.2025.ALTTRNP.EFI_NA_FGHT_SOSOS_FEUCELBATDOM_NA_NA_MPGDSEQ.A</t>
  </si>
  <si>
    <t>Freight: Truck Stock: Fuel Efficiency: Medium: Fuel Cell Battery Dominant: Alternative Transportation</t>
  </si>
  <si>
    <t>AEO.2025.ALTTRNP.EFI_NA_FGHT_SOSOS_FUC_NA_NA_MPGGASEQ.A</t>
  </si>
  <si>
    <t>Freight: Truck Stock: Fuel Efficiency: Medium: Fuel Cell: Alternative Transportation</t>
  </si>
  <si>
    <t>AEO.2025.ALTTRNP.EFI_NA_FGHT_SOSOS_EGH_NA_NA_MPGGASEQ.A</t>
  </si>
  <si>
    <t>Freight: Truck Stock: Fuel Efficiency: Medium: Plug-in Gasoline Hybrid: Alternative Transportation</t>
  </si>
  <si>
    <t>AEO.2025.ALTTRNP.EFI_NA_FGHT_SOSOS_EDH_NA_NA_MPGGASEQ.A</t>
  </si>
  <si>
    <t>Freight: Truck Stock: Fuel Efficiency: Medium: Plug-in Diesel Hybrid: Alternative Transportation</t>
  </si>
  <si>
    <t>AEO.2025.ALTTRNP.EFI_NA_FGHT_SOSOS_ELE_NA_NA_MPGGASEQ.A</t>
  </si>
  <si>
    <t>Freight: Truck Stock: Fuel Efficiency: Medium: Electric: Alternative Transportation</t>
  </si>
  <si>
    <t>AEO.2025.ALTTRNP.EFI_NA_FGHT_SOSOS_EFFI_NA_NA_MPG.A</t>
  </si>
  <si>
    <t>Freight: Truck Stock: Fuel Efficiency: Medium: Ethanol-Flex Fuel: Alternative Transportation</t>
  </si>
  <si>
    <t>AEO.2025.ALTTRNP.EFI_NA_FGHT_SOSOS_NG_NA_NA_MPGGASEQ.A</t>
  </si>
  <si>
    <t>Freight: Truck Stock: Fuel Efficiency: Medium: Natural Gas: Alternative Transportation</t>
  </si>
  <si>
    <t>AEO.2025.ALTTRNP.EFI_NA_FGHT_SOSOS_PROP_NA_NA_MPGGASEQ.A</t>
  </si>
  <si>
    <t>Freight: Truck Stock: Fuel Efficiency: Medium: Propane: Alternative Transportation</t>
  </si>
  <si>
    <t>AEO.2025.ALTTRNP.EFI_NA_FGHT_SOSOS_MGS_NA_NA_MPGGASEQ.A</t>
  </si>
  <si>
    <t>Freight: Truck Stock: Fuel Efficiency: Medium: Motor Gasoline: Alternative Transportation</t>
  </si>
  <si>
    <t>AEO.2025.ALTTRNP.EFI_NA_FGHT_SOSOS_DSL_NA_NA_MPGDSEQ.A</t>
  </si>
  <si>
    <t>Freight: Truck Stock: Fuel Efficiency: Medium: Diesel: Alternative Transportation</t>
  </si>
  <si>
    <t>AEO.2025.ALTTRNP.EFI_NA_FGHT_LITEMEDS_NA_NA_NA_NA.A</t>
  </si>
  <si>
    <t>Freight: Truck Stock: Fuel Efficiency: Light Medium: Average: Alternative Transportation</t>
  </si>
  <si>
    <t>AEO.2025.ALTTRNP.EFI_NA_FGHT_LITEMEDS_HYDICE_NA_NA_MPGDSEQ.A</t>
  </si>
  <si>
    <t>Freight: Truck Stock: Fuel Efficiency: Light Medium: Hydrogen ICE: Alternative Transportation</t>
  </si>
  <si>
    <t>AEO.2025.ALTTRNP.EFI_NA_FGHT_LITEMEDS_GASHEV_NA_NA_MPGGASEQ.A</t>
  </si>
  <si>
    <t>Freight: Truck Stock: Fuel Efficiency: Light Medium: Gasoline Hybrid: Alternative Transportation</t>
  </si>
  <si>
    <t>AEO.2025.ALTTRNP.EFI_NA_FGHT_LITEMEDS_FEUCELBATDOM_NA_NA_MPGDSEQ.A</t>
  </si>
  <si>
    <t>Freight: Truck Stock: Fuel Efficiency: Light Medium: Fuel Cell Battery Dominant: Alternative Transportation</t>
  </si>
  <si>
    <t>AEO.2025.ALTTRNP.EFI_NA_FGHT_LITEMEDS_FUC_NA_NA_MPGDSEQ.A</t>
  </si>
  <si>
    <t>Freight: Truck Stock: Fuel Efficiency: Light Medium: Fuel Cell: Alternative Transportation</t>
  </si>
  <si>
    <t>AEO.2025.ALTTRNP.EFI_NA_FGHT_LITEMEDS_EGH_NA_NA_MPGGASEQ.A</t>
  </si>
  <si>
    <t>Freight: Truck Stock: Fuel Efficiency: Light Medium: Plug-in Gasoline Hybrid: Alternative Transportation</t>
  </si>
  <si>
    <t>AEO.2025.ALTTRNP.EFI_NA_FGHT_LITEMEDS_EDH_NA_NA_MPGDSEQ.A</t>
  </si>
  <si>
    <t>Freight: Truck Stock: Fuel Efficiency: Light Medium: Plug-in Diesel Hybrid: Alternative Transportation</t>
  </si>
  <si>
    <t>AEO.2025.ALTTRNP.EFI_NA_FGHT_LITEMEDS_ELE_NA_NA_MPGDSEQ.A</t>
  </si>
  <si>
    <t>Freight: Truck Stock: Fuel Efficiency: Light Medium: Electric: Alternative Transportation</t>
  </si>
  <si>
    <t>AEO.2025.ALTTRNP.EFI_NA_FGHT_LITEMEDS_EFFI_NA_NA_MPGGASEQ.A</t>
  </si>
  <si>
    <t>Freight: Truck Stock: Fuel Efficiency: Light Medium: Ethanol-Flex Fuel: Alternative Transportation</t>
  </si>
  <si>
    <t>AEO.2025.ALTTRNP.EFI_NA_FGHT_LITEMEDS_NG_NA_NA_MPGGASEQ.A</t>
  </si>
  <si>
    <t>Freight: Truck Stock: Fuel Efficiency: Light Medium: Natural Gas: Alternative Transportation</t>
  </si>
  <si>
    <t>AEO.2025.ALTTRNP.EFI_NA_FGHT_LITEMEDS_PROP_NA_NA_MPGGASEQ.A</t>
  </si>
  <si>
    <t>Freight: Truck Stock: Fuel Efficiency: Light Medium: Propane: Alternative Transportation</t>
  </si>
  <si>
    <t>AEO.2025.ALTTRNP.EFI_NA_FGHT_LITEMEDS_MGS_NA_NA_MPGGASEQ.A</t>
  </si>
  <si>
    <t>Freight: Truck Stock: Fuel Efficiency: Light Medium: Motor Gasoline: Alternative Transportation</t>
  </si>
  <si>
    <t>AEO.2025.ALTTRNP.EFI_NA_FGHT_LITEMEDS_DSL_NA_NA_MPGDSEQ.A</t>
  </si>
  <si>
    <t>Freight: Truck Stock: Fuel Efficiency: Light Medium: Diesel: Alternative Transportation</t>
  </si>
  <si>
    <t>AEO.2025.ALTTRNP.CNSM_NA_FGHT_STK_NA_NA_NA_TRLBTU.A</t>
  </si>
  <si>
    <t>Freight: Truck Stock: Use: Light Medium, Medium, and Heavy: Alternative Transportation</t>
  </si>
  <si>
    <t>Total Consumption</t>
  </si>
  <si>
    <t>AEO.2025.ALTTRNP.CNSM_NA_FGHT_STK_HYDICE_NA_NA_TRLBTU.A</t>
  </si>
  <si>
    <t>Freight: Truck Stock: Use: Light Medium, Medium, and Heavy: Hydrogen ICE: Alternative Transportation</t>
  </si>
  <si>
    <t>AEO.2025.ALTTRNP.CNSM_NA_FGHT_STK_GASHEV_NA_NA_TRLBTU.A</t>
  </si>
  <si>
    <t>Freight: Truck Stock: Use: Light Medium, Medium, and Heavy: Gasoline Hybrid: Alternative Transportation</t>
  </si>
  <si>
    <t>AEO.2025.ALTTRNP.CNSM_NA_FGHT_STK_FEUCELBATDOM_NA_NA_TRLBTU.A</t>
  </si>
  <si>
    <t>Freight: Truck Stock: Use: Light Medium, Medium, and Heavy: Fuel Cell Battery Dominant: Alternative Transportation</t>
  </si>
  <si>
    <t>AEO.2025.ALTTRNP.CNSM_NA_FGHT_STK_FUC_NA_NA_TRLBTU.A</t>
  </si>
  <si>
    <t>Freight: Truck Stock: Use: Light Medium, Medium, and Heavy: Fuel Cell: Alternative Transportation</t>
  </si>
  <si>
    <t>AEO.2025.ALTTRNP.CNSM_NA_FGHT_STK_EGH_NA_NA_TRLBTU.A</t>
  </si>
  <si>
    <t>Freight: Truck Stock: Use: Light Medium, Medium, and Heavy: Plug-in Gasoline Hybrid: Alternative Transportation</t>
  </si>
  <si>
    <t>AEO.2025.ALTTRNP.CNSM_NA_FGHT_STK_EDH_NA_NA_TRLBTU.A</t>
  </si>
  <si>
    <t>Freight: Truck Stock: Use: Light Medium, Medium, and Heavy: Plug-in Diesel Hybrid: Alternative Transportation</t>
  </si>
  <si>
    <t>AEO.2025.ALTTRNP.CNSM_NA_FGHT_STK_ELE_NA_NA_TRLBTU.A</t>
  </si>
  <si>
    <t>Freight: Truck Stock: Use: Light Medium, Medium, and Heavy: Electric: Alternative Transportation</t>
  </si>
  <si>
    <t>AEO.2025.ALTTRNP.CNSM_NA_FGHT_STK_EFFI_NA_NA_TRLBTU.A</t>
  </si>
  <si>
    <t>Freight: Truck Stock: Use: Light Medium, Medium, and Heavy: Ethanol-Flex Fuel: Alternative Transportation</t>
  </si>
  <si>
    <t>AEO.2025.ALTTRNP.CNSM_NA_FGHT_STK_NG_NA_NA_TRLBTU.A</t>
  </si>
  <si>
    <t>Freight: Truck Stock: Use: Light Medium, Medium, and Heavy: Natural Gas: Alternative Transportation</t>
  </si>
  <si>
    <t>AEO.2025.ALTTRNP.CNSM_NA_FGHT_STK_PROP_NA_NA_TRLBTU.A</t>
  </si>
  <si>
    <t>Freight: Truck Stock: Use: Light Medium, Medium, and Heavy: Propane: Alternative Transportation</t>
  </si>
  <si>
    <t>AEO.2025.ALTTRNP.CNSM_NA_FGHT_STK_MGS_NA_NA_TRLBTU.A</t>
  </si>
  <si>
    <t>Freight: Truck Stock: Use: Light Medium, Medium, and Heavy: Motor Gasoline: Alternative Transportation</t>
  </si>
  <si>
    <t>AEO.2025.ALTTRNP.CNSM_NA_FGHT_STK_DSL_NA_NA_TRLBTU.A</t>
  </si>
  <si>
    <t>Freight: Truck Stock: Use: Light Medium, Medium, and Heavy: Diesel: Alternative Transportation</t>
  </si>
  <si>
    <t xml:space="preserve"> and Heavy Total</t>
  </si>
  <si>
    <t xml:space="preserve"> Medium</t>
  </si>
  <si>
    <t>AEO.2025.ALTTRNP.CNSM_NA_FGHT_RADS_NA_NA_NA_TRLBTU.A</t>
  </si>
  <si>
    <t>Freight: Truck Stock: Use: Heavy: Alternative Transportation</t>
  </si>
  <si>
    <t>AEO.2025.ALTTRNP.CNSM_NA_FGHT_RADS_HYDICE_NA_NA_TRLBTU.A</t>
  </si>
  <si>
    <t>Freight: Truck Stock: Use: Heavy: Hydrogen ICE: Alternative Transportation</t>
  </si>
  <si>
    <t>AEO.2025.ALTTRNP.CNSM_NA_FGHT_RADS_GASHEV_NA_NA_TRLBTU.A</t>
  </si>
  <si>
    <t>Freight: Truck Stock: Use: Heavy: Gasoline Hybrid: Alternative Transportation</t>
  </si>
  <si>
    <t>AEO.2025.ALTTRNP.CNSM_NA_FGHT_RADS_FEUCELBATDOM_NA_NA_TRLBTU.A</t>
  </si>
  <si>
    <t>Freight: Truck Stock: Use: Heavy: Fuel Cell Battery Dominant: Alternative Transportation</t>
  </si>
  <si>
    <t>AEO.2025.ALTTRNP.CNSM_NA_FGHT_RADS_FUC_NA_NA_TRLBTU.A</t>
  </si>
  <si>
    <t>Freight: Truck Stock: Use: Heavy: Fuel Cell: Alternative Transportation</t>
  </si>
  <si>
    <t>AEO.2025.ALTTRNP.CNSM_NA_FGHT_RADS_EGH_NA_NA_TRLBTU.A</t>
  </si>
  <si>
    <t>Freight: Truck Stock: Use: Heavy: Plug-in Gasoline Hybrid: Alternative Transportation</t>
  </si>
  <si>
    <t>AEO.2025.ALTTRNP.CNSM_NA_FGHT_RADS_EDH_NA_NA_TRLBTU.A</t>
  </si>
  <si>
    <t>Freight: Truck Stock: Use: Heavy: Plug-in Diesel Hybrid: Alternative Transportation</t>
  </si>
  <si>
    <t>AEO.2025.ALTTRNP.CNSM_NA_FGHT_RADS_ELE_NA_NA_TRLBTU.A</t>
  </si>
  <si>
    <t>Freight: Truck Stock: Use: Heavy: Electric: Alternative Transportation</t>
  </si>
  <si>
    <t>AEO.2025.ALTTRNP.CNSM_NA_FGHT_RADS_EFFI_NA_NA_TRLBTU.A</t>
  </si>
  <si>
    <t>Freight: Truck Stock: Use: Heavy: Ethanol-Flex Fuel: Alternative Transportation</t>
  </si>
  <si>
    <t>AEO.2025.ALTTRNP.CNSM_NA_FGHT_RADS_NG_NA_NA_TRLBTU.A</t>
  </si>
  <si>
    <t>Freight: Truck Stock: Use: Heavy: Natural Gas: Alternative Transportation</t>
  </si>
  <si>
    <t>AEO.2025.ALTTRNP.CNSM_NA_FGHT_RADS_PROP_NA_NA_TRLBTU.A</t>
  </si>
  <si>
    <t>Freight: Truck Stock: Use: Heavy: Propane: Alternative Transportation</t>
  </si>
  <si>
    <t>AEO.2025.ALTTRNP.CNSM_NA_FGHT_RADS_MGS_NA_NA_TRLBTU.A</t>
  </si>
  <si>
    <t>Freight: Truck Stock: Use: Heavy: Motor Gasoline: Alternative Transportation</t>
  </si>
  <si>
    <t>AEO.2025.ALTTRNP.CNSM_NA_FGHT_RADS_DSL_NA_NA_TRLBTU.A</t>
  </si>
  <si>
    <t>Freight: Truck Stock: Use: Heavy: Diesel: Alternative Transportation</t>
  </si>
  <si>
    <t>AEO.2025.ALTTRNP.CNSM_NA_FGHT_SOSOS_NA_NA_NA_TRLBTU.A</t>
  </si>
  <si>
    <t>Freight: Truck Stock: Use: Medium: Alternative Transportation</t>
  </si>
  <si>
    <t>AEO.2025.ALTTRNP.CNSM_NA_FGHT_SOSOS_HYDICE_NA_NA_TRLBTU.A</t>
  </si>
  <si>
    <t>Freight: Truck Stock: Use: Medium: Hydrogen ICE: Alternative Transportation</t>
  </si>
  <si>
    <t>AEO.2025.ALTTRNP.CNSM_NA_FGHT_SOSOS_GASHEV_NA_NA_TRLBTU.A</t>
  </si>
  <si>
    <t>Freight: Truck Stock: Use: Medium: Gasoline Hybrid: Alternative Transportation</t>
  </si>
  <si>
    <t>AEO.2025.ALTTRNP.CNSM_NA_FGHT_SOSOS_FEUCELBATDOM_NA_NA_TRLBTU.A</t>
  </si>
  <si>
    <t>Freight: Truck Stock: Use: Medium: Fuel Cell Battery Dominant: Alternative Transportation</t>
  </si>
  <si>
    <t>AEO.2025.ALTTRNP.CNSM_NA_FGHT_SOSOS_FUC_NA_NA_TRLBTU.A</t>
  </si>
  <si>
    <t>Freight: Truck Stock: Use: Medium: Fuel Cell: Alternative Transportation</t>
  </si>
  <si>
    <t>AEO.2025.ALTTRNP.CNSM_NA_FGHT_SOSOS_EGH_NA_NA_TRLBTU.A</t>
  </si>
  <si>
    <t>Freight: Truck Stock: Use: Medium: Plug-in Gasoline Hybrid: Alternative Transportation</t>
  </si>
  <si>
    <t>AEO.2025.ALTTRNP.CNSM_NA_FGHT_SOSOS_EDH_NA_NA_TRLBTU.A</t>
  </si>
  <si>
    <t>Freight: Truck Stock: Use: Medium: Plug-in Diesel Hybrid: Alternative Transportation</t>
  </si>
  <si>
    <t>AEO.2025.ALTTRNP.CNSM_NA_FGHT_SOSOS_ELE_NA_NA_TRLBTU.A</t>
  </si>
  <si>
    <t>Freight: Truck Stock: Use: Medium: Electric: Alternative Transportation</t>
  </si>
  <si>
    <t>AEO.2025.ALTTRNP.CNSM_NA_FGHT_SOSOS_EFFI_NA_NA_TRLBTU.A</t>
  </si>
  <si>
    <t>Freight: Truck Stock: Use: Medium: Ethanol-Flex Fuel: Alternative Transportation</t>
  </si>
  <si>
    <t>AEO.2025.ALTTRNP.CNSM_NA_FGHT_SOSOS_NG_NA_NA_TRLBTU.A</t>
  </si>
  <si>
    <t>Freight: Truck Stock: Use: Medium: Natural Gas: Alternative Transportation</t>
  </si>
  <si>
    <t>AEO.2025.ALTTRNP.CNSM_NA_FGHT_SOSOS_PROP_NA_NA_TRLBTU.A</t>
  </si>
  <si>
    <t>Freight: Truck Stock: Use: Medium: Propane: Alternative Transportation</t>
  </si>
  <si>
    <t>AEO.2025.ALTTRNP.CNSM_NA_FGHT_SOSOS_MGS_NA_NA_TRLBTU.A</t>
  </si>
  <si>
    <t>Freight: Truck Stock: Use: Medium: Motor Gasoline: Alternative Transportation</t>
  </si>
  <si>
    <t>AEO.2025.ALTTRNP.CNSM_NA_FGHT_SOSOS_DSL_NA_NA_TRLBTU.A</t>
  </si>
  <si>
    <t>Freight: Truck Stock: Use: Medium: Diesel: Alternative Transportation</t>
  </si>
  <si>
    <t>AEO.2025.ALTTRNP.CNSM_NA_FGHT_LITEMEDS_NA_NA_NA_TRLBTU.A</t>
  </si>
  <si>
    <t>Freight: Truck Stock: Use: Light Medium: Alternative Transportation</t>
  </si>
  <si>
    <t>AEO.2025.ALTTRNP.CNSM_NA_FGHT_LITEMEDS_HYDICE_NA_NA_TRLBTU.A</t>
  </si>
  <si>
    <t>Freight: Truck Stock: Use: Light Medium: Hydrogen ICE: Alternative Transportation</t>
  </si>
  <si>
    <t>AEO.2025.ALTTRNP.CNSM_NA_FGHT_LITEMEDS_GASHEV_NA_NA_TRLBTU.A</t>
  </si>
  <si>
    <t>Freight: Truck Stock: Use: Light Medium: Gasoline Hybrid: Alternative Transportation</t>
  </si>
  <si>
    <t>AEO.2025.ALTTRNP.CNSM_NA_FGHT_LITEMEDS_FEUCELBATDOM_NA_NA_TRLBTU.A</t>
  </si>
  <si>
    <t>Freight: Truck Stock: Use: Light Medium: Fuel Cell Battery Dominant: Alternative Transportation</t>
  </si>
  <si>
    <t>AEO.2025.ALTTRNP.CNSM_NA_FGHT_LITEMEDS_FUC_NA_NA_TRLBTU.A</t>
  </si>
  <si>
    <t>Freight: Truck Stock: Use: Light Medium: Fuel Cell: Alternative Transportation</t>
  </si>
  <si>
    <t>AEO.2025.ALTTRNP.CNSM_NA_FGHT_LITEMEDS_EGH_NA_NA_TRLBTU.A</t>
  </si>
  <si>
    <t>Freight: Truck Stock: Use: Light Medium: Plug-in Gasoline Hybrid: Alternative Transportation</t>
  </si>
  <si>
    <t>AEO.2025.ALTTRNP.CNSM_NA_FGHT_LITEMEDS_EDH_NA_NA_TRLBTU.A</t>
  </si>
  <si>
    <t>Freight: Truck Stock: Use: Light Medium: Plug-in Diesel Hybrid: Alternative Transportation</t>
  </si>
  <si>
    <t>AEO.2025.ALTTRNP.CNSM_NA_FGHT_LITEMEDS_ELE_NA_NA_TRLBTU.A</t>
  </si>
  <si>
    <t>Freight: Truck Stock: Use: Light Medium: Electric: Alternative Transportation</t>
  </si>
  <si>
    <t>AEO.2025.ALTTRNP.CNSM_NA_FGHT_LITEMEDS_EFFI_NA_NA_TRLBTU.A</t>
  </si>
  <si>
    <t>Freight: Truck Stock: Use: Light Medium: Ethanol-Flex Fuel: Alternative Transportation</t>
  </si>
  <si>
    <t>AEO.2025.ALTTRNP.CNSM_NA_FGHT_LITEMEDS_NG_NA_NA_TRLBTU.A</t>
  </si>
  <si>
    <t>Freight: Truck Stock: Use: Light Medium: Natural Gas: Alternative Transportation</t>
  </si>
  <si>
    <t>AEO.2025.ALTTRNP.CNSM_NA_FGHT_LITEMEDS_PROP_NA_NA_TRLBTU.A</t>
  </si>
  <si>
    <t>Freight: Truck Stock: Use: Light Medium: Propane: Alternative Transportation</t>
  </si>
  <si>
    <t>AEO.2025.ALTTRNP.CNSM_NA_FGHT_LITEMEDS_MGS_NA_NA_TRLBTU.A</t>
  </si>
  <si>
    <t>Freight: Truck Stock: Use: Light Medium: Motor Gasoline: Alternative Transportation</t>
  </si>
  <si>
    <t>AEO.2025.ALTTRNP.CNSM_NA_FGHT_LITEMEDS_DSL_NA_NA_TRLBTU.A</t>
  </si>
  <si>
    <t>Freight: Truck Stock: Use: Light Medium: Diesel: Alternative Transportation</t>
  </si>
  <si>
    <t>Consumption (trillion Btu)</t>
  </si>
  <si>
    <t>billion miles</t>
  </si>
  <si>
    <t>AEO.2025.ALTTRNP.ECI_VMT_FGHT_STK_NA_NA_NA_BLNMLS.A</t>
  </si>
  <si>
    <t>Freight: Truck Stock: Vehicle Miles Traveled: Alternative Transportation</t>
  </si>
  <si>
    <t>Total Vehicle Miles Traveled</t>
  </si>
  <si>
    <t>AEO.2025.ALTTRNP.ECI_VMT_FGHT_RADS_NA_NA_NA_BLNMLS.A</t>
  </si>
  <si>
    <t>Freight: Truck Stock: Vehicle Miles Traveled: Heavy: Alternative Transportation</t>
  </si>
  <si>
    <t>AEO.2025.ALTTRNP.ECI_VMT_FGHT_RADS_HYDICE_NA_NA_BLNMLS.A</t>
  </si>
  <si>
    <t>Freight: Truck Stock: Vehicle Miles Traveled: Heavy: Hydrogen ICE: Alternative Transportation</t>
  </si>
  <si>
    <t>AEO.2025.ALTTRNP.ECI_VMT_FGHT_RADS_GASHEV_NA_NA_BLNMLS.A</t>
  </si>
  <si>
    <t>Freight: Truck Stock: Vehicle Miles Traveled: Heavy: Gasoline Hybrid: Alternative Transportation</t>
  </si>
  <si>
    <t>AEO.2025.ALTTRNP.ECI_VMT_FGHT_RADS_FEUCELBATDOM_NA_NA_BLNMLS.A</t>
  </si>
  <si>
    <t>Freight: Truck Stock: Vehicle Miles Traveled: Heavy: Fuel Cell Battery Dominant: Alternative Transportation</t>
  </si>
  <si>
    <t>AEO.2025.ALTTRNP.ECI_VMT_FGHT_RADS_FUC_NA_NA_BLNMLS.A</t>
  </si>
  <si>
    <t>Freight: Truck Stock: Vehicle Miles Traveled: Heavy: Fuel Cell: Alternative Transportation</t>
  </si>
  <si>
    <t>AEO.2025.ALTTRNP.ECI_VMT_FGHT_RADS_EGH_NA_NA_BLNMLS.A</t>
  </si>
  <si>
    <t>Freight: Truck Stock: Vehicle Miles Traveled: Heavy: Plug-in Gasoline Hybrid: Alternative Transportation</t>
  </si>
  <si>
    <t>AEO.2025.ALTTRNP.ECI_VMT_FGHT_RADS_EDH_NA_NA_BLNMLS.A</t>
  </si>
  <si>
    <t>Freight: Truck Stock: Vehicle Miles Traveled: Heavy: Plug-in Diesel Hybrid: Alternative Transportation</t>
  </si>
  <si>
    <t>AEO.2025.ALTTRNP.ECI_VMT_FGHT_RADS_ELE_NA_NA_BLNMLS.A</t>
  </si>
  <si>
    <t>Freight: Truck Stock: Vehicle Miles Traveled: Heavy: Electric: Alternative Transportation</t>
  </si>
  <si>
    <t>AEO.2025.ALTTRNP.ECI_VMT_FGHT_RADS_EFFI_NA_NA_BLNMLS.A</t>
  </si>
  <si>
    <t>Freight: Truck Stock: Vehicle Miles Traveled: Heavy: Ethanol-Flex Fuel: Alternative Transportation</t>
  </si>
  <si>
    <t>AEO.2025.ALTTRNP.ECI_VMT_FGHT_RADS_NG_NA_NA_BLNMLS.A</t>
  </si>
  <si>
    <t>Freight: Truck Stock: Vehicle Miles Traveled: Heavy: Natural Gas: Alternative Transportation</t>
  </si>
  <si>
    <t>AEO.2025.ALTTRNP.ECI_VMT_FGHT_RADS_PROP_NA_NA_BLNMLS.A</t>
  </si>
  <si>
    <t>Freight: Truck Stock: Vehicle Miles Traveled: Heavy: Propane: Alternative Transportation</t>
  </si>
  <si>
    <t>AEO.2025.ALTTRNP.ECI_VMT_FGHT_RADS_MGS_NA_NA_BLNMLS.A</t>
  </si>
  <si>
    <t>Freight: Truck Stock: Vehicle Miles Traveled: Heavy: Motor Gasoline: Alternative Transportation</t>
  </si>
  <si>
    <t>AEO.2025.ALTTRNP.ECI_VMT_FGHT_RADS_DSL_NA_NA_BLNMLS.A</t>
  </si>
  <si>
    <t>Freight: Truck Stock: Vehicle Miles Traveled: Heavy: Diesel: Alternative Transportation</t>
  </si>
  <si>
    <t>AEO.2025.ALTTRNP.ECI_VMT_FGHT_SOSOS_NA_NA_NA_BLNMLS.A</t>
  </si>
  <si>
    <t>Freight: Truck Stock: Vehicle Miles Traveled: Medium: Alternative Transportation</t>
  </si>
  <si>
    <t>AEO.2025.ALTTRNP.ECI_VMT_FGHT_SOSOS_HYDICE_NA_NA_BLNMLS.A</t>
  </si>
  <si>
    <t>Freight: Truck Stock: Vehicle Miles Traveled: Medium: Hydrogen ICE: Alternative Transportation</t>
  </si>
  <si>
    <t>AEO.2025.ALTTRNP.ECI_VMT_FGHT_SOSOS_GASHEV_NA_NA_BLNMLS.A</t>
  </si>
  <si>
    <t>Freight: Truck Stock: Vehicle Miles Traveled: Medium: Gasoline Hybrid: Alternative Transportation</t>
  </si>
  <si>
    <t>AEO.2025.ALTTRNP.ECI_VMT_FGHT_SOSOS_FEUCELBATDOM_NA_NA_BLNMLS.A</t>
  </si>
  <si>
    <t>Freight: Truck Stock: Vehicle Miles Traveled: Medium: Fuel Cell Battery Dominant: Alternative Transportation</t>
  </si>
  <si>
    <t>AEO.2025.ALTTRNP.ECI_VMT_FGHT_SOSOS_FUC_NA_NA_BLNMLS.A</t>
  </si>
  <si>
    <t>Freight: Truck Stock: Vehicle Miles Traveled: Medium: Fuel Cell: Alternative Transportation</t>
  </si>
  <si>
    <t>AEO.2025.ALTTRNP.ECI_VMT_FGHT_SOSOS_EGH_NA_NA_BLNMLS.A</t>
  </si>
  <si>
    <t>Freight: Truck Stock: Vehicle Miles Traveled: Medium: Plug-in Gasoline Hybrid: Alternative Transportation</t>
  </si>
  <si>
    <t>AEO.2025.ALTTRNP.ECI_VMT_FGHT_SOSOS_EDH_NA_NA_BLNMLS.A</t>
  </si>
  <si>
    <t>Freight: Truck Stock: Vehicle Miles Traveled: Medium: Plug-in Diesel Hybrid: Alternative Transportation</t>
  </si>
  <si>
    <t>AEO.2025.ALTTRNP.ECI_VMT_FGHT_SOSOS_ELE_NA_NA_BLNMLS.A</t>
  </si>
  <si>
    <t>Freight: Truck Stock: Vehicle Miles Traveled: Medium: Electric: Alternative Transportation</t>
  </si>
  <si>
    <t>AEO.2025.ALTTRNP.ECI_VMT_FGHT_SOSOS_EFFI_NA_NA_BLNMLS.A</t>
  </si>
  <si>
    <t>Freight: Truck Stock: Vehicle Miles Traveled: Medium: Ethanol-Flex Fuel: Alternative Transportation</t>
  </si>
  <si>
    <t>AEO.2025.ALTTRNP.ECI_VMT_FGHT_SOSOS_NG_NA_NA_BLNMLS.A</t>
  </si>
  <si>
    <t>Freight: Truck Stock: Vehicle Miles Traveled: Medium: Natural Gas: Alternative Transportation</t>
  </si>
  <si>
    <t>AEO.2025.ALTTRNP.ECI_VMT_FGHT_SOSOS_PROP_NA_NA_BLNMLS.A</t>
  </si>
  <si>
    <t>Freight: Truck Stock: Vehicle Miles Traveled: Medium: Propane: Alternative Transportation</t>
  </si>
  <si>
    <t>AEO.2025.ALTTRNP.ECI_VMT_FGHT_SOSOS_MGS_NA_NA_BLNMLS.A</t>
  </si>
  <si>
    <t>Freight: Truck Stock: Vehicle Miles Traveled: Medium: Motor Gasoline: Alternative Transportation</t>
  </si>
  <si>
    <t>AEO.2025.ALTTRNP.ECI_VMT_FGHT_SOSOS_DSL_NA_NA_BLNMLS.A</t>
  </si>
  <si>
    <t>Freight: Truck Stock: Vehicle Miles Traveled: Medium: Diesel: Alternative Transportation</t>
  </si>
  <si>
    <t>AEO.2025.ALTTRNP.ECI_VMT_FGHT_LITEMEDS_NA_NA_NA_BLNMLS.A</t>
  </si>
  <si>
    <t>Freight: Truck Stock: Vehicle Miles Traveled: Light Medium: Alternative Transportation</t>
  </si>
  <si>
    <t>AEO.2025.ALTTRNP.ECI_VMT_FGHT_LITEMEDS_HYDICE_NA_NA_BLNMLS.A</t>
  </si>
  <si>
    <t>Freight: Truck Stock: Vehicle Miles Traveled: Light Medium: Hydrogen ICE: Alternative Transportation</t>
  </si>
  <si>
    <t>AEO.2025.ALTTRNP.ECI_VMT_FGHT_LITEMEDS_GASHEV_NA_NA_BLNMLS.A</t>
  </si>
  <si>
    <t>Freight: Truck Stock: Vehicle Miles Traveled: Light Medium: Gasoline Hybrid: Alternative Transportation</t>
  </si>
  <si>
    <t>AEO.2025.ALTTRNP.ECI_VMT_FGHT_LITEMEDS_FEUCELBATDOM_NA_NA_BLNMLS.A</t>
  </si>
  <si>
    <t>Freight: Truck Stock: Vehicle Miles Traveled: Light Medium: Fuel Cell Battery Dominant: Alternative Transportation</t>
  </si>
  <si>
    <t>AEO.2025.ALTTRNP.ECI_VMT_FGHT_LITEMEDS_FUC_NA_NA_BLNMLS.A</t>
  </si>
  <si>
    <t>Freight: Truck Stock: Vehicle Miles Traveled: Light Medium: Fuel Cell: Alternative Transportation</t>
  </si>
  <si>
    <t>AEO.2025.ALTTRNP.ECI_VMT_FGHT_LITEMEDS_EGH_NA_NA_BLNMLS.A</t>
  </si>
  <si>
    <t>Freight: Truck Stock: Vehicle Miles Traveled: Light Medium: Plug-in Gasoline Hybrid: Alternative Transportation</t>
  </si>
  <si>
    <t>AEO.2025.ALTTRNP.ECI_VMT_FGHT_LITEMEDS_EDH_NA_NA_BLNMLS.A</t>
  </si>
  <si>
    <t>Freight: Truck Stock: Vehicle Miles Traveled: Light Medium: Plug-in Diesel Hybrid: Alternative Transportation</t>
  </si>
  <si>
    <t>AEO.2025.ALTTRNP.ECI_VMT_FGHT_LITEMEDS_ELE_NA_NA_BLNMLS.A</t>
  </si>
  <si>
    <t>Freight: Truck Stock: Vehicle Miles Traveled: Light Medium: Electric: Alternative Transportation</t>
  </si>
  <si>
    <t>AEO.2025.ALTTRNP.ECI_VMT_FGHT_LITEMEDS_EFFI_NA_NA_BLNMLS.A</t>
  </si>
  <si>
    <t>Freight: Truck Stock: Vehicle Miles Traveled: Light Medium: Ethanol-Flex Fuel: Alternative Transportation</t>
  </si>
  <si>
    <t>AEO.2025.ALTTRNP.ECI_VMT_FGHT_LITEMEDS_NG_NA_NA_BLNMLS.A</t>
  </si>
  <si>
    <t>Freight: Truck Stock: Vehicle Miles Traveled: Light Medium: Natural Gas: Alternative Transportation</t>
  </si>
  <si>
    <t>AEO.2025.ALTTRNP.ECI_VMT_FGHT_LITEMEDS_PROP_NA_NA_BLNMLS.A</t>
  </si>
  <si>
    <t>Freight: Truck Stock: Vehicle Miles Traveled: Light Medium: Propane: Alternative Transportation</t>
  </si>
  <si>
    <t>AEO.2025.ALTTRNP.ECI_VMT_FGHT_LITEMEDS_MGS_NA_NA_BLNMLS.A</t>
  </si>
  <si>
    <t>Freight: Truck Stock: Vehicle Miles Traveled: Light Medium: Motor Gasoline: Alternative Transportation</t>
  </si>
  <si>
    <t>AEO.2025.ALTTRNP.ECI_VMT_FGHT_LITEMEDS_DSL_NA_NA_BLNMLS.A</t>
  </si>
  <si>
    <t>Freight: Truck Stock: Vehicle Miles Traveled: Light Medium: Diesel: Alternative Transportation</t>
  </si>
  <si>
    <t>Vehicle Miles Traveled (billion miles)</t>
  </si>
  <si>
    <t>Freight Truck Stock by Size Class</t>
  </si>
  <si>
    <t>Fri Dec 05 2025 14:51:45 GMT-0800 (Pacific Standard Time)</t>
  </si>
  <si>
    <t>https://www.eia.gov/outlooks/aeo/data/browser/#/?id=58-AEO2025&amp;cases=alttrnp&amp;sourcekey=0</t>
  </si>
  <si>
    <t>Table 49.  Freight Transportation Energy Use</t>
  </si>
  <si>
    <t>U.S. Energy Information Administration</t>
  </si>
  <si>
    <t>Annual Energy Outlook 2025</t>
  </si>
  <si>
    <t>https://www.eia.gov/outlooks/aeo/tables_side_xls.php</t>
  </si>
  <si>
    <t>Scenario: Alternative Transportation</t>
  </si>
  <si>
    <t>Table 44, 45, 38, 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</si>
</sst>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###0.00_)"/>
    <numFmt numFmtId="165" formatCode="\(\R\)General"/>
    <numFmt numFmtId="166" formatCode="\(\R\)\ ###0"/>
    <numFmt numFmtId="167" formatCode="0.0"/>
    <numFmt numFmtId="168" formatCode="\(\R\)0.0"/>
    <numFmt numFmtId="169" formatCode="#,##0_)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9"/>
      <name val="Helv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9"/>
      <color indexed="8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4" applyNumberFormat="0" applyFont="0" applyProtection="0">
      <alignment wrapText="1"/>
    </xf>
    <xf numFmtId="0" fontId="3" fillId="0" borderId="9" applyNumberFormat="0" applyProtection="0">
      <alignment horizontal="left" wrapText="1"/>
    </xf>
    <xf numFmtId="0" fontId="3" fillId="0" borderId="8" applyNumberFormat="0" applyFill="0" applyProtection="0">
      <alignment wrapText="1"/>
    </xf>
    <xf numFmtId="0" fontId="3" fillId="0" borderId="6" applyNumberFormat="0" applyProtection="0">
      <alignment wrapText="1"/>
    </xf>
    <xf numFmtId="0" fontId="4" fillId="0" borderId="5" applyNumberFormat="0" applyProtection="0">
      <alignment vertical="top" wrapText="1"/>
    </xf>
    <xf numFmtId="0" fontId="4" fillId="0" borderId="7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4" fontId="8" fillId="0" borderId="10" applyNumberFormat="0" applyFill="0">
      <alignment horizontal="right"/>
    </xf>
    <xf numFmtId="0" fontId="9" fillId="0" borderId="10">
      <alignment horizontal="left"/>
    </xf>
    <xf numFmtId="9" fontId="1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15" applyNumberFormat="0" applyAlignment="0" applyProtection="0"/>
    <xf numFmtId="0" fontId="20" fillId="8" borderId="16" applyNumberFormat="0" applyAlignment="0" applyProtection="0"/>
    <xf numFmtId="0" fontId="21" fillId="8" borderId="15" applyNumberFormat="0" applyAlignment="0" applyProtection="0"/>
    <xf numFmtId="0" fontId="22" fillId="0" borderId="17" applyNumberFormat="0" applyFill="0" applyAlignment="0" applyProtection="0"/>
    <xf numFmtId="0" fontId="23" fillId="9" borderId="18" applyNumberFormat="0" applyAlignment="0" applyProtection="0"/>
    <xf numFmtId="0" fontId="24" fillId="0" borderId="0" applyNumberFormat="0" applyFill="0" applyBorder="0" applyAlignment="0" applyProtection="0"/>
    <xf numFmtId="0" fontId="11" fillId="10" borderId="19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6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26" fillId="34" borderId="0" applyNumberFormat="0" applyBorder="0" applyAlignment="0" applyProtection="0"/>
    <xf numFmtId="0" fontId="28" fillId="0" borderId="0">
      <alignment horizontal="left"/>
    </xf>
    <xf numFmtId="0" fontId="9" fillId="35" borderId="0">
      <alignment horizontal="centerContinuous" wrapText="1"/>
    </xf>
    <xf numFmtId="0" fontId="8" fillId="0" borderId="10">
      <alignment horizontal="left" vertical="center"/>
    </xf>
    <xf numFmtId="169" fontId="33" fillId="0" borderId="10">
      <alignment horizontal="right" vertical="center"/>
    </xf>
    <xf numFmtId="0" fontId="37" fillId="0" borderId="0"/>
  </cellStyleXfs>
  <cellXfs count="8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2" fillId="0" borderId="0" xfId="1"/>
    <xf numFmtId="1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2" xfId="0" applyFont="1" applyFill="1" applyBorder="1" applyAlignment="1">
      <alignment horizontal="right" wrapText="1"/>
    </xf>
    <xf numFmtId="2" fontId="0" fillId="3" borderId="3" xfId="0" applyNumberFormat="1" applyFill="1" applyBorder="1" applyAlignment="1">
      <alignment horizontal="righ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0" fillId="3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1" xfId="0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10" fillId="3" borderId="2" xfId="0" applyFont="1" applyFill="1" applyBorder="1" applyAlignment="1">
      <alignment horizontal="left"/>
    </xf>
    <xf numFmtId="1" fontId="0" fillId="3" borderId="3" xfId="0" applyNumberFormat="1" applyFill="1" applyBorder="1" applyAlignment="1">
      <alignment horizontal="left"/>
    </xf>
    <xf numFmtId="0" fontId="2" fillId="0" borderId="0" xfId="1" applyFill="1"/>
    <xf numFmtId="0" fontId="0" fillId="0" borderId="24" xfId="0" applyBorder="1" applyAlignment="1">
      <alignment horizontal="left"/>
    </xf>
    <xf numFmtId="0" fontId="0" fillId="0" borderId="21" xfId="0" applyBorder="1" applyAlignment="1">
      <alignment wrapText="1"/>
    </xf>
    <xf numFmtId="3" fontId="0" fillId="0" borderId="28" xfId="0" applyNumberFormat="1" applyBorder="1" applyAlignment="1">
      <alignment horizontal="left"/>
    </xf>
    <xf numFmtId="3" fontId="0" fillId="0" borderId="27" xfId="0" applyNumberForma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26" xfId="0" applyBorder="1" applyAlignment="1">
      <alignment horizontal="left"/>
    </xf>
    <xf numFmtId="0" fontId="0" fillId="0" borderId="22" xfId="0" applyBorder="1" applyAlignment="1">
      <alignment wrapText="1"/>
    </xf>
    <xf numFmtId="3" fontId="0" fillId="0" borderId="25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23" xfId="0" applyBorder="1" applyAlignment="1">
      <alignment wrapText="1"/>
    </xf>
    <xf numFmtId="0" fontId="0" fillId="0" borderId="0" xfId="0" applyAlignment="1">
      <alignment wrapText="1"/>
    </xf>
    <xf numFmtId="10" fontId="0" fillId="0" borderId="0" xfId="16" applyNumberFormat="1" applyFont="1" applyAlignment="1">
      <alignment horizontal="left"/>
    </xf>
    <xf numFmtId="0" fontId="27" fillId="2" borderId="0" xfId="0" applyFont="1" applyFill="1"/>
    <xf numFmtId="0" fontId="0" fillId="2" borderId="0" xfId="0" applyFill="1"/>
    <xf numFmtId="0" fontId="0" fillId="2" borderId="0" xfId="0" applyFill="1" applyAlignment="1">
      <alignment horizontal="right"/>
    </xf>
    <xf numFmtId="2" fontId="0" fillId="3" borderId="3" xfId="0" applyNumberFormat="1" applyFill="1" applyBorder="1" applyAlignment="1">
      <alignment horizontal="left"/>
    </xf>
    <xf numFmtId="0" fontId="1" fillId="3" borderId="2" xfId="0" applyFont="1" applyFill="1" applyBorder="1" applyAlignment="1">
      <alignment wrapText="1"/>
    </xf>
    <xf numFmtId="1" fontId="0" fillId="0" borderId="0" xfId="0" applyNumberFormat="1"/>
    <xf numFmtId="0" fontId="30" fillId="0" borderId="29" xfId="59" applyFont="1" applyFill="1" applyBorder="1" applyAlignment="1">
      <alignment horizontal="center" wrapText="1"/>
    </xf>
    <xf numFmtId="1" fontId="30" fillId="0" borderId="29" xfId="59" applyNumberFormat="1" applyFont="1" applyFill="1" applyBorder="1" applyAlignment="1">
      <alignment horizontal="center"/>
    </xf>
    <xf numFmtId="165" fontId="30" fillId="0" borderId="29" xfId="59" applyNumberFormat="1" applyFont="1" applyFill="1" applyBorder="1" applyAlignment="1">
      <alignment horizontal="center"/>
    </xf>
    <xf numFmtId="165" fontId="30" fillId="0" borderId="29" xfId="0" applyNumberFormat="1" applyFont="1" applyBorder="1" applyAlignment="1">
      <alignment horizontal="center"/>
    </xf>
    <xf numFmtId="0" fontId="30" fillId="0" borderId="29" xfId="59" applyFont="1" applyFill="1" applyBorder="1" applyAlignment="1">
      <alignment horizontal="center"/>
    </xf>
    <xf numFmtId="0" fontId="30" fillId="0" borderId="0" xfId="59" applyFont="1" applyFill="1" applyAlignment="1">
      <alignment horizontal="center" wrapText="1"/>
    </xf>
    <xf numFmtId="1" fontId="30" fillId="0" borderId="0" xfId="59" applyNumberFormat="1" applyFont="1" applyFill="1" applyAlignment="1">
      <alignment horizontal="center"/>
    </xf>
    <xf numFmtId="166" fontId="30" fillId="0" borderId="0" xfId="59" applyNumberFormat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60" applyFont="1" applyBorder="1" applyAlignment="1">
      <alignment horizontal="left"/>
    </xf>
    <xf numFmtId="3" fontId="30" fillId="0" borderId="0" xfId="0" applyNumberFormat="1" applyFont="1"/>
    <xf numFmtId="3" fontId="30" fillId="0" borderId="0" xfId="0" applyNumberFormat="1" applyFont="1" applyAlignment="1">
      <alignment horizontal="right"/>
    </xf>
    <xf numFmtId="0" fontId="31" fillId="0" borderId="0" xfId="60" applyFont="1" applyBorder="1" applyAlignment="1">
      <alignment horizontal="left" indent="1"/>
    </xf>
    <xf numFmtId="3" fontId="31" fillId="0" borderId="0" xfId="0" applyNumberFormat="1" applyFont="1" applyAlignment="1">
      <alignment horizontal="right"/>
    </xf>
    <xf numFmtId="3" fontId="31" fillId="0" borderId="0" xfId="0" applyNumberFormat="1" applyFont="1"/>
    <xf numFmtId="167" fontId="30" fillId="0" borderId="0" xfId="60" applyNumberFormat="1" applyFont="1" applyBorder="1" applyAlignment="1">
      <alignment horizontal="left"/>
    </xf>
    <xf numFmtId="0" fontId="31" fillId="0" borderId="0" xfId="0" applyFont="1"/>
    <xf numFmtId="167" fontId="31" fillId="0" borderId="0" xfId="16" applyNumberFormat="1" applyFont="1" applyFill="1"/>
    <xf numFmtId="167" fontId="31" fillId="0" borderId="0" xfId="16" applyNumberFormat="1" applyFont="1" applyFill="1" applyBorder="1"/>
    <xf numFmtId="168" fontId="31" fillId="0" borderId="0" xfId="16" applyNumberFormat="1" applyFont="1" applyFill="1"/>
    <xf numFmtId="3" fontId="31" fillId="0" borderId="0" xfId="61" applyNumberFormat="1" applyFont="1" applyBorder="1" applyAlignment="1">
      <alignment horizontal="right"/>
    </xf>
    <xf numFmtId="167" fontId="31" fillId="0" borderId="0" xfId="0" applyNumberFormat="1" applyFont="1"/>
    <xf numFmtId="0" fontId="31" fillId="0" borderId="27" xfId="60" applyFont="1" applyBorder="1" applyAlignment="1">
      <alignment horizontal="left" indent="1"/>
    </xf>
    <xf numFmtId="167" fontId="31" fillId="0" borderId="27" xfId="0" applyNumberFormat="1" applyFont="1" applyBorder="1"/>
    <xf numFmtId="0" fontId="31" fillId="0" borderId="27" xfId="0" applyFont="1" applyBorder="1"/>
    <xf numFmtId="0" fontId="32" fillId="0" borderId="0" xfId="0" applyFont="1" applyAlignment="1">
      <alignment horizontal="left" vertical="center"/>
    </xf>
    <xf numFmtId="0" fontId="1" fillId="0" borderId="2" xfId="0" applyFont="1" applyBorder="1" applyAlignment="1">
      <alignment horizontal="right" wrapText="1"/>
    </xf>
    <xf numFmtId="0" fontId="0" fillId="0" borderId="3" xfId="0" applyBorder="1" applyAlignment="1">
      <alignment horizontal="right"/>
    </xf>
    <xf numFmtId="1" fontId="0" fillId="0" borderId="3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3" borderId="3" xfId="0" applyFill="1" applyBorder="1" applyAlignment="1">
      <alignment horizontal="right"/>
    </xf>
    <xf numFmtId="0" fontId="1" fillId="0" borderId="0" xfId="0" applyFont="1" applyAlignment="1">
      <alignment wrapText="1"/>
    </xf>
    <xf numFmtId="0" fontId="0" fillId="36" borderId="0" xfId="0" applyFill="1"/>
    <xf numFmtId="10" fontId="0" fillId="0" borderId="0" xfId="0" applyNumberFormat="1"/>
    <xf numFmtId="0" fontId="0" fillId="0" borderId="0" xfId="0" applyAlignment="1">
      <alignment horizontal="right" wrapText="1"/>
    </xf>
    <xf numFmtId="11" fontId="0" fillId="0" borderId="0" xfId="0" applyNumberFormat="1" applyAlignment="1">
      <alignment horizontal="right" wrapText="1"/>
    </xf>
    <xf numFmtId="1" fontId="0" fillId="36" borderId="0" xfId="0" applyNumberFormat="1" applyFill="1"/>
    <xf numFmtId="0" fontId="10" fillId="0" borderId="0" xfId="0" applyFont="1"/>
    <xf numFmtId="1" fontId="0" fillId="37" borderId="0" xfId="0" applyNumberFormat="1" applyFill="1"/>
    <xf numFmtId="0" fontId="0" fillId="37" borderId="0" xfId="0" applyFill="1"/>
    <xf numFmtId="10" fontId="0" fillId="37" borderId="0" xfId="0" applyNumberFormat="1" applyFill="1"/>
    <xf numFmtId="10" fontId="1" fillId="0" borderId="0" xfId="0" applyNumberFormat="1" applyFont="1"/>
    <xf numFmtId="0" fontId="35" fillId="0" borderId="0" xfId="15" applyFont="1" applyBorder="1" applyAlignment="1">
      <alignment horizontal="left" vertical="center" wrapText="1"/>
    </xf>
    <xf numFmtId="0" fontId="29" fillId="0" borderId="27" xfId="58" applyFont="1" applyBorder="1" applyAlignment="1">
      <alignment horizontal="left" wrapText="1"/>
    </xf>
    <xf numFmtId="0" fontId="29" fillId="0" borderId="0" xfId="58" applyFont="1" applyAlignment="1">
      <alignment horizontal="left" wrapText="1"/>
    </xf>
    <xf numFmtId="0" fontId="34" fillId="0" borderId="22" xfId="15" applyFont="1" applyBorder="1" applyAlignment="1">
      <alignment horizontal="left" vertical="center" wrapText="1"/>
    </xf>
    <xf numFmtId="0" fontId="34" fillId="0" borderId="0" xfId="15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0" fillId="38" borderId="0" xfId="0" applyFill="1"/>
  </cellXfs>
  <cellStyles count="63">
    <cellStyle name="20% - Accent1" xfId="35" builtinId="30" customBuiltin="1"/>
    <cellStyle name="20% - Accent2" xfId="39" builtinId="34" customBuiltin="1"/>
    <cellStyle name="20% - Accent3" xfId="43" builtinId="38" customBuiltin="1"/>
    <cellStyle name="20% - Accent4" xfId="47" builtinId="42" customBuiltin="1"/>
    <cellStyle name="20% - Accent5" xfId="51" builtinId="46" customBuiltin="1"/>
    <cellStyle name="20% - Accent6" xfId="55" builtinId="50" customBuiltin="1"/>
    <cellStyle name="40% - Accent1" xfId="36" builtinId="31" customBuiltin="1"/>
    <cellStyle name="40% - Accent2" xfId="40" builtinId="35" customBuiltin="1"/>
    <cellStyle name="40% - Accent3" xfId="44" builtinId="39" customBuiltin="1"/>
    <cellStyle name="40% - Accent4" xfId="48" builtinId="43" customBuiltin="1"/>
    <cellStyle name="40% - Accent5" xfId="52" builtinId="47" customBuiltin="1"/>
    <cellStyle name="40% - Accent6" xfId="56" builtinId="51" customBuiltin="1"/>
    <cellStyle name="60% - Accent1" xfId="37" builtinId="32" customBuiltin="1"/>
    <cellStyle name="60% - Accent2" xfId="41" builtinId="36" customBuiltin="1"/>
    <cellStyle name="60% - Accent3" xfId="45" builtinId="40" customBuiltin="1"/>
    <cellStyle name="60% - Accent4" xfId="49" builtinId="44" customBuiltin="1"/>
    <cellStyle name="60% - Accent5" xfId="53" builtinId="48" customBuiltin="1"/>
    <cellStyle name="60% - Accent6" xfId="57" builtinId="52" customBuiltin="1"/>
    <cellStyle name="Accent1" xfId="34" builtinId="29" customBuiltin="1"/>
    <cellStyle name="Accent2" xfId="38" builtinId="33" customBuiltin="1"/>
    <cellStyle name="Accent3" xfId="42" builtinId="37" customBuiltin="1"/>
    <cellStyle name="Accent4" xfId="46" builtinId="41" customBuiltin="1"/>
    <cellStyle name="Accent5" xfId="50" builtinId="45" customBuiltin="1"/>
    <cellStyle name="Accent6" xfId="54" builtinId="49" customBuiltin="1"/>
    <cellStyle name="Bad" xfId="23" builtinId="27" customBuiltin="1"/>
    <cellStyle name="Body: normal cell" xfId="3" xr:uid="{00000000-0005-0000-0000-000019000000}"/>
    <cellStyle name="Calculation" xfId="27" builtinId="22" customBuiltin="1"/>
    <cellStyle name="Check Cell" xfId="29" builtinId="23" customBuiltin="1"/>
    <cellStyle name="Data" xfId="14" xr:uid="{00000000-0005-0000-0000-00001C000000}"/>
    <cellStyle name="Data no deci" xfId="61" xr:uid="{00000000-0005-0000-0000-00001D000000}"/>
    <cellStyle name="Explanatory Text" xfId="32" builtinId="53" customBuiltin="1"/>
    <cellStyle name="Followed Hyperlink" xfId="11" builtinId="9" customBuiltin="1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Good" xfId="22" builtinId="26" customBuiltin="1"/>
    <cellStyle name="Header: bottom row" xfId="2" xr:uid="{00000000-0005-0000-0000-000024000000}"/>
    <cellStyle name="Header: top rows" xfId="4" xr:uid="{00000000-0005-0000-0000-000025000000}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Hed Side" xfId="15" xr:uid="{00000000-0005-0000-0000-00002A000000}"/>
    <cellStyle name="Hed Side Regular" xfId="60" xr:uid="{00000000-0005-0000-0000-00002B000000}"/>
    <cellStyle name="Hed Top" xfId="59" xr:uid="{00000000-0005-0000-0000-00002C000000}"/>
    <cellStyle name="Hyperlink" xfId="1" builtinId="8"/>
    <cellStyle name="Hyperlink 2" xfId="10" xr:uid="{00000000-0005-0000-0000-00002E000000}"/>
    <cellStyle name="Input" xfId="25" builtinId="20" customBuiltin="1"/>
    <cellStyle name="Linked Cell" xfId="28" builtinId="24" customBuiltin="1"/>
    <cellStyle name="Neutral" xfId="24" builtinId="28" customBuiltin="1"/>
    <cellStyle name="Normal" xfId="0" builtinId="0"/>
    <cellStyle name="Normal 2" xfId="62" xr:uid="{6BD6DE87-5039-4F46-B9F3-CD2F5894CA3D}"/>
    <cellStyle name="Note" xfId="31" builtinId="10" customBuiltin="1"/>
    <cellStyle name="Output" xfId="26" builtinId="21" customBuiltin="1"/>
    <cellStyle name="Parent row" xfId="6" xr:uid="{00000000-0005-0000-0000-000035000000}"/>
    <cellStyle name="Percent" xfId="16" builtinId="5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" xfId="17" builtinId="15" customBuiltin="1"/>
    <cellStyle name="Title-2" xfId="58" xr:uid="{00000000-0005-0000-0000-00003B000000}"/>
    <cellStyle name="Total" xfId="33" builtinId="25" customBuiltin="1"/>
    <cellStyle name="Warning Text" xfId="30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oughtco.com/buses-and-other-transit-lifetime-2798844" TargetMode="External"/><Relationship Id="rId2" Type="http://schemas.openxmlformats.org/officeDocument/2006/relationships/hyperlink" Target="http://www.rita.dot.gov/bts/sites/rita.dot.gov.bts/files/publications/special_reports_and_issue_briefs/special_report/2009_05_14/pdf/entire.pdf" TargetMode="External"/><Relationship Id="rId1" Type="http://schemas.openxmlformats.org/officeDocument/2006/relationships/hyperlink" Target="http://www.sco.ca.gov/ard_local_rep_uas_special_dist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0"/>
  <sheetViews>
    <sheetView tabSelected="1" topLeftCell="A41" workbookViewId="0">
      <selection activeCell="B52" sqref="B47:B52"/>
    </sheetView>
  </sheetViews>
  <sheetFormatPr defaultRowHeight="14.75" x14ac:dyDescent="0.75"/>
  <cols>
    <col min="2" max="2" width="132.26953125" customWidth="1"/>
  </cols>
  <sheetData>
    <row r="1" spans="1:2" x14ac:dyDescent="0.75">
      <c r="A1" s="1" t="s">
        <v>46</v>
      </c>
    </row>
    <row r="3" spans="1:2" x14ac:dyDescent="0.75">
      <c r="A3" s="1" t="s">
        <v>47</v>
      </c>
      <c r="B3" s="32" t="s">
        <v>49</v>
      </c>
    </row>
    <row r="4" spans="1:2" x14ac:dyDescent="0.75">
      <c r="B4" s="75" t="s">
        <v>149</v>
      </c>
    </row>
    <row r="6" spans="1:2" x14ac:dyDescent="0.75">
      <c r="B6" s="6" t="s">
        <v>50</v>
      </c>
    </row>
    <row r="7" spans="1:2" x14ac:dyDescent="0.75">
      <c r="B7" t="s">
        <v>3</v>
      </c>
    </row>
    <row r="8" spans="1:2" x14ac:dyDescent="0.75">
      <c r="B8" s="9">
        <v>2016</v>
      </c>
    </row>
    <row r="9" spans="1:2" x14ac:dyDescent="0.75">
      <c r="B9" t="s">
        <v>59</v>
      </c>
    </row>
    <row r="10" spans="1:2" x14ac:dyDescent="0.75">
      <c r="B10" s="4" t="s">
        <v>4</v>
      </c>
    </row>
    <row r="11" spans="1:2" x14ac:dyDescent="0.75">
      <c r="B11" t="s">
        <v>79</v>
      </c>
    </row>
    <row r="13" spans="1:2" x14ac:dyDescent="0.75">
      <c r="B13" s="6" t="s">
        <v>90</v>
      </c>
    </row>
    <row r="14" spans="1:2" x14ac:dyDescent="0.75">
      <c r="B14" t="s">
        <v>5</v>
      </c>
    </row>
    <row r="15" spans="1:2" x14ac:dyDescent="0.75">
      <c r="B15" s="9">
        <v>2015</v>
      </c>
    </row>
    <row r="16" spans="1:2" x14ac:dyDescent="0.75">
      <c r="B16" t="s">
        <v>56</v>
      </c>
    </row>
    <row r="17" spans="2:2" x14ac:dyDescent="0.75">
      <c r="B17" s="4" t="s">
        <v>58</v>
      </c>
    </row>
    <row r="18" spans="2:2" x14ac:dyDescent="0.75">
      <c r="B18" t="s">
        <v>57</v>
      </c>
    </row>
    <row r="20" spans="2:2" x14ac:dyDescent="0.75">
      <c r="B20" s="6" t="s">
        <v>91</v>
      </c>
    </row>
    <row r="21" spans="2:2" x14ac:dyDescent="0.75">
      <c r="B21" t="s">
        <v>82</v>
      </c>
    </row>
    <row r="22" spans="2:2" x14ac:dyDescent="0.75">
      <c r="B22" s="9">
        <v>2019</v>
      </c>
    </row>
    <row r="23" spans="2:2" x14ac:dyDescent="0.75">
      <c r="B23" t="s">
        <v>83</v>
      </c>
    </row>
    <row r="24" spans="2:2" x14ac:dyDescent="0.75">
      <c r="B24" s="4" t="s">
        <v>84</v>
      </c>
    </row>
    <row r="26" spans="2:2" x14ac:dyDescent="0.75">
      <c r="B26" s="6" t="s">
        <v>52</v>
      </c>
    </row>
    <row r="27" spans="2:2" x14ac:dyDescent="0.75">
      <c r="B27" t="s">
        <v>26</v>
      </c>
    </row>
    <row r="28" spans="2:2" x14ac:dyDescent="0.75">
      <c r="B28" s="9">
        <v>2013</v>
      </c>
    </row>
    <row r="29" spans="2:2" x14ac:dyDescent="0.75">
      <c r="B29" t="s">
        <v>27</v>
      </c>
    </row>
    <row r="30" spans="2:2" x14ac:dyDescent="0.75">
      <c r="B30" s="4" t="s">
        <v>25</v>
      </c>
    </row>
    <row r="31" spans="2:2" x14ac:dyDescent="0.75">
      <c r="B31" t="s">
        <v>28</v>
      </c>
    </row>
    <row r="33" spans="2:2" x14ac:dyDescent="0.75">
      <c r="B33" s="6" t="s">
        <v>53</v>
      </c>
    </row>
    <row r="34" spans="2:2" x14ac:dyDescent="0.75">
      <c r="B34" t="s">
        <v>12</v>
      </c>
    </row>
    <row r="35" spans="2:2" x14ac:dyDescent="0.75">
      <c r="B35" t="s">
        <v>13</v>
      </c>
    </row>
    <row r="36" spans="2:2" x14ac:dyDescent="0.75">
      <c r="B36" t="s">
        <v>14</v>
      </c>
    </row>
    <row r="37" spans="2:2" x14ac:dyDescent="0.75">
      <c r="B37" s="19" t="s">
        <v>15</v>
      </c>
    </row>
    <row r="38" spans="2:2" x14ac:dyDescent="0.75">
      <c r="B38" t="s">
        <v>16</v>
      </c>
    </row>
    <row r="40" spans="2:2" x14ac:dyDescent="0.75">
      <c r="B40" s="6" t="s">
        <v>54</v>
      </c>
    </row>
    <row r="41" spans="2:2" x14ac:dyDescent="0.75">
      <c r="B41" t="s">
        <v>3</v>
      </c>
    </row>
    <row r="42" spans="2:2" x14ac:dyDescent="0.75">
      <c r="B42" s="9">
        <v>2009</v>
      </c>
    </row>
    <row r="43" spans="2:2" x14ac:dyDescent="0.75">
      <c r="B43" t="s">
        <v>36</v>
      </c>
    </row>
    <row r="44" spans="2:2" x14ac:dyDescent="0.75">
      <c r="B44" s="19" t="s">
        <v>37</v>
      </c>
    </row>
    <row r="45" spans="2:2" x14ac:dyDescent="0.75">
      <c r="B45" t="s">
        <v>38</v>
      </c>
    </row>
    <row r="47" spans="2:2" x14ac:dyDescent="0.75">
      <c r="B47" s="88" t="s">
        <v>1101</v>
      </c>
    </row>
    <row r="48" spans="2:2" x14ac:dyDescent="0.75">
      <c r="B48" s="9">
        <v>2025</v>
      </c>
    </row>
    <row r="49" spans="1:2" x14ac:dyDescent="0.75">
      <c r="B49" t="s">
        <v>1102</v>
      </c>
    </row>
    <row r="50" spans="1:2" x14ac:dyDescent="0.75">
      <c r="B50" t="s">
        <v>1104</v>
      </c>
    </row>
    <row r="51" spans="1:2" x14ac:dyDescent="0.75">
      <c r="B51" t="s">
        <v>1103</v>
      </c>
    </row>
    <row r="52" spans="1:2" x14ac:dyDescent="0.75">
      <c r="B52" t="s">
        <v>1105</v>
      </c>
    </row>
    <row r="53" spans="1:2" x14ac:dyDescent="0.75">
      <c r="A53" s="1" t="s">
        <v>80</v>
      </c>
    </row>
    <row r="54" spans="1:2" x14ac:dyDescent="0.75">
      <c r="A54" t="s">
        <v>81</v>
      </c>
    </row>
    <row r="56" spans="1:2" x14ac:dyDescent="0.75">
      <c r="A56" t="s">
        <v>150</v>
      </c>
    </row>
    <row r="58" spans="1:2" x14ac:dyDescent="0.75">
      <c r="A58" t="s">
        <v>92</v>
      </c>
    </row>
    <row r="60" spans="1:2" x14ac:dyDescent="0.75">
      <c r="A60" t="s">
        <v>93</v>
      </c>
    </row>
  </sheetData>
  <hyperlinks>
    <hyperlink ref="B37" r:id="rId1" xr:uid="{00000000-0004-0000-0000-000001000000}"/>
    <hyperlink ref="B44" r:id="rId2" xr:uid="{00000000-0004-0000-0000-000002000000}"/>
    <hyperlink ref="B24" r:id="rId3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C4A93-28F7-4CED-928D-DBC0E004F0EE}">
  <sheetPr>
    <tabColor theme="0" tint="-0.499984740745262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1"/>
  <sheetViews>
    <sheetView workbookViewId="0">
      <selection sqref="A1:AB1"/>
    </sheetView>
  </sheetViews>
  <sheetFormatPr defaultColWidth="9.1328125" defaultRowHeight="14.75" x14ac:dyDescent="0.75"/>
  <cols>
    <col min="1" max="1" width="19.40625" customWidth="1"/>
    <col min="2" max="27" width="7.7265625" customWidth="1"/>
    <col min="28" max="28" width="7.1328125" customWidth="1"/>
  </cols>
  <sheetData>
    <row r="1" spans="1:54" ht="16.5" customHeight="1" thickBot="1" x14ac:dyDescent="0.9">
      <c r="A1" s="81" t="s">
        <v>60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</row>
    <row r="2" spans="1:54" ht="16.5" customHeight="1" x14ac:dyDescent="0.75">
      <c r="A2" s="38"/>
      <c r="B2" s="39">
        <v>1980</v>
      </c>
      <c r="C2" s="40">
        <v>1985</v>
      </c>
      <c r="D2" s="40">
        <v>1990</v>
      </c>
      <c r="E2" s="40">
        <v>1991</v>
      </c>
      <c r="F2" s="40">
        <v>1992</v>
      </c>
      <c r="G2" s="40">
        <v>1993</v>
      </c>
      <c r="H2" s="40">
        <v>1994</v>
      </c>
      <c r="I2" s="40">
        <v>1995</v>
      </c>
      <c r="J2" s="40">
        <v>1996</v>
      </c>
      <c r="K2" s="40">
        <v>1997</v>
      </c>
      <c r="L2" s="40">
        <v>1998</v>
      </c>
      <c r="M2" s="40">
        <v>1999</v>
      </c>
      <c r="N2" s="40">
        <v>2000</v>
      </c>
      <c r="O2" s="40">
        <v>2001</v>
      </c>
      <c r="P2" s="40">
        <v>2002</v>
      </c>
      <c r="Q2" s="40">
        <v>2003</v>
      </c>
      <c r="R2" s="40">
        <v>2004</v>
      </c>
      <c r="S2" s="40">
        <v>2005</v>
      </c>
      <c r="T2" s="40">
        <v>2006</v>
      </c>
      <c r="U2" s="40">
        <v>2007</v>
      </c>
      <c r="V2" s="40">
        <v>2008</v>
      </c>
      <c r="W2" s="40">
        <v>2009</v>
      </c>
      <c r="X2" s="40">
        <v>2010</v>
      </c>
      <c r="Y2" s="40">
        <v>2011</v>
      </c>
      <c r="Z2" s="41">
        <v>2012</v>
      </c>
      <c r="AA2" s="40">
        <v>2013</v>
      </c>
      <c r="AB2" s="42">
        <v>2014</v>
      </c>
      <c r="AC2" s="43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5"/>
      <c r="AV2" s="45"/>
      <c r="AW2" s="45"/>
      <c r="AX2" s="45"/>
      <c r="AY2" s="45"/>
      <c r="AZ2" s="45"/>
      <c r="BA2" s="45"/>
      <c r="BB2" s="46"/>
    </row>
    <row r="3" spans="1:54" ht="16.5" customHeight="1" x14ac:dyDescent="0.75">
      <c r="A3" s="47" t="s">
        <v>61</v>
      </c>
      <c r="B3" s="48">
        <v>11306</v>
      </c>
      <c r="C3" s="48">
        <v>14460</v>
      </c>
      <c r="D3" s="48">
        <v>12615</v>
      </c>
      <c r="E3" s="48">
        <v>12573</v>
      </c>
      <c r="F3" s="48">
        <v>12172</v>
      </c>
      <c r="G3" s="48">
        <v>13211</v>
      </c>
      <c r="H3" s="48">
        <v>14125</v>
      </c>
      <c r="I3" s="48">
        <v>15145</v>
      </c>
      <c r="J3" s="48">
        <v>13144</v>
      </c>
      <c r="K3" s="48">
        <v>14458</v>
      </c>
      <c r="L3" s="48">
        <v>14456</v>
      </c>
      <c r="M3" s="48">
        <v>15215</v>
      </c>
      <c r="N3" s="48">
        <v>16571</v>
      </c>
      <c r="O3" s="48">
        <v>15605</v>
      </c>
      <c r="P3" s="48">
        <v>16115</v>
      </c>
      <c r="Q3" s="48">
        <v>15773</v>
      </c>
      <c r="R3" s="48">
        <v>15709</v>
      </c>
      <c r="S3" s="48">
        <v>15892</v>
      </c>
      <c r="T3" s="48">
        <v>15104</v>
      </c>
      <c r="U3" s="48">
        <v>15276</v>
      </c>
      <c r="V3" s="48">
        <v>13898</v>
      </c>
      <c r="W3" s="48">
        <v>9316</v>
      </c>
      <c r="X3" s="48">
        <v>11110</v>
      </c>
      <c r="Y3" s="48">
        <v>12003</v>
      </c>
      <c r="Z3" s="48">
        <v>13438</v>
      </c>
      <c r="AA3" s="48">
        <v>14846</v>
      </c>
      <c r="AB3" s="49" t="s">
        <v>62</v>
      </c>
      <c r="AC3" s="47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</row>
    <row r="4" spans="1:54" ht="16.5" customHeight="1" x14ac:dyDescent="0.75">
      <c r="A4" s="50" t="s">
        <v>63</v>
      </c>
      <c r="B4" s="51">
        <v>9443</v>
      </c>
      <c r="C4" s="51">
        <v>10791</v>
      </c>
      <c r="D4" s="51">
        <v>8810</v>
      </c>
      <c r="E4" s="51">
        <v>8524</v>
      </c>
      <c r="F4" s="51">
        <v>8108</v>
      </c>
      <c r="G4" s="51">
        <v>8456</v>
      </c>
      <c r="H4" s="51">
        <v>8415</v>
      </c>
      <c r="I4" s="51">
        <v>9396</v>
      </c>
      <c r="J4" s="51">
        <v>7890</v>
      </c>
      <c r="K4" s="51">
        <v>8334</v>
      </c>
      <c r="L4" s="51">
        <v>7971</v>
      </c>
      <c r="M4" s="51">
        <v>8376</v>
      </c>
      <c r="N4" s="51">
        <v>9125</v>
      </c>
      <c r="O4" s="51">
        <v>8405</v>
      </c>
      <c r="P4" s="51">
        <v>8301</v>
      </c>
      <c r="Q4" s="51">
        <v>7921</v>
      </c>
      <c r="R4" s="51">
        <v>7537</v>
      </c>
      <c r="S4" s="51">
        <v>8027</v>
      </c>
      <c r="T4" s="51">
        <v>7993</v>
      </c>
      <c r="U4" s="51">
        <v>8082</v>
      </c>
      <c r="V4" s="51">
        <v>7319</v>
      </c>
      <c r="W4" s="51">
        <v>5636</v>
      </c>
      <c r="X4" s="51">
        <v>6055</v>
      </c>
      <c r="Y4" s="52">
        <v>5728</v>
      </c>
      <c r="Z4" s="52">
        <v>7379</v>
      </c>
      <c r="AA4" s="52">
        <v>7907</v>
      </c>
      <c r="AB4" s="51" t="s">
        <v>62</v>
      </c>
      <c r="AC4" s="50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2"/>
      <c r="BB4" s="52"/>
    </row>
    <row r="5" spans="1:54" ht="16.5" customHeight="1" x14ac:dyDescent="0.75">
      <c r="A5" s="50" t="s">
        <v>64</v>
      </c>
      <c r="B5" s="51">
        <v>0</v>
      </c>
      <c r="C5" s="51">
        <v>88</v>
      </c>
      <c r="D5" s="51">
        <v>65</v>
      </c>
      <c r="E5" s="51">
        <v>224</v>
      </c>
      <c r="F5" s="51">
        <v>243</v>
      </c>
      <c r="G5" s="51">
        <v>473</v>
      </c>
      <c r="H5" s="51">
        <v>332</v>
      </c>
      <c r="I5" s="51">
        <v>220</v>
      </c>
      <c r="J5" s="51">
        <v>287</v>
      </c>
      <c r="K5" s="51">
        <v>361</v>
      </c>
      <c r="L5" s="51">
        <v>454</v>
      </c>
      <c r="M5" s="51">
        <v>488</v>
      </c>
      <c r="N5" s="51">
        <v>617</v>
      </c>
      <c r="O5" s="51">
        <v>743</v>
      </c>
      <c r="P5" s="51">
        <v>603</v>
      </c>
      <c r="Q5" s="51">
        <v>575</v>
      </c>
      <c r="R5" s="51">
        <v>639</v>
      </c>
      <c r="S5" s="51">
        <v>813</v>
      </c>
      <c r="T5" s="51">
        <v>751</v>
      </c>
      <c r="U5" s="51">
        <v>919</v>
      </c>
      <c r="V5" s="51">
        <v>924</v>
      </c>
      <c r="W5" s="51">
        <v>608</v>
      </c>
      <c r="X5" s="51">
        <v>915</v>
      </c>
      <c r="Y5" s="52">
        <v>1207</v>
      </c>
      <c r="Z5" s="52">
        <v>1269</v>
      </c>
      <c r="AA5" s="52">
        <v>1470</v>
      </c>
      <c r="AB5" s="51" t="s">
        <v>62</v>
      </c>
      <c r="AC5" s="50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2"/>
      <c r="BB5" s="52"/>
    </row>
    <row r="6" spans="1:54" ht="16.5" customHeight="1" x14ac:dyDescent="0.75">
      <c r="A6" s="50" t="s">
        <v>65</v>
      </c>
      <c r="B6" s="51">
        <v>1437</v>
      </c>
      <c r="C6" s="51">
        <v>2078</v>
      </c>
      <c r="D6" s="51">
        <v>1835</v>
      </c>
      <c r="E6" s="51">
        <v>1920</v>
      </c>
      <c r="F6" s="51">
        <v>1840</v>
      </c>
      <c r="G6" s="51">
        <v>2002</v>
      </c>
      <c r="H6" s="51">
        <v>2669</v>
      </c>
      <c r="I6" s="51">
        <v>2271</v>
      </c>
      <c r="J6" s="51">
        <v>1955</v>
      </c>
      <c r="K6" s="51">
        <v>2408</v>
      </c>
      <c r="L6" s="51">
        <v>2415</v>
      </c>
      <c r="M6" s="51">
        <v>2544</v>
      </c>
      <c r="N6" s="51">
        <v>2612</v>
      </c>
      <c r="O6" s="51">
        <v>2519</v>
      </c>
      <c r="P6" s="51">
        <v>2380</v>
      </c>
      <c r="Q6" s="51">
        <v>2474</v>
      </c>
      <c r="R6" s="51">
        <v>2505</v>
      </c>
      <c r="S6" s="51">
        <v>2300</v>
      </c>
      <c r="T6" s="51">
        <v>2188</v>
      </c>
      <c r="U6" s="51">
        <v>2113</v>
      </c>
      <c r="V6" s="51">
        <v>1794</v>
      </c>
      <c r="W6" s="51">
        <v>989</v>
      </c>
      <c r="X6" s="51">
        <v>1276</v>
      </c>
      <c r="Y6" s="52">
        <v>1479</v>
      </c>
      <c r="Z6" s="52">
        <v>1357</v>
      </c>
      <c r="AA6" s="52">
        <v>1577</v>
      </c>
      <c r="AB6" s="51" t="s">
        <v>62</v>
      </c>
      <c r="AC6" s="50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2"/>
      <c r="BB6" s="52"/>
    </row>
    <row r="7" spans="1:54" ht="16.5" customHeight="1" x14ac:dyDescent="0.75">
      <c r="A7" s="50" t="s">
        <v>66</v>
      </c>
      <c r="B7" s="51">
        <v>242</v>
      </c>
      <c r="C7" s="51">
        <v>855</v>
      </c>
      <c r="D7" s="51">
        <v>1262</v>
      </c>
      <c r="E7" s="51">
        <v>1034</v>
      </c>
      <c r="F7" s="51">
        <v>1221</v>
      </c>
      <c r="G7" s="51">
        <v>1441</v>
      </c>
      <c r="H7" s="51">
        <v>1418</v>
      </c>
      <c r="I7" s="51">
        <v>1662</v>
      </c>
      <c r="J7" s="51">
        <v>1409</v>
      </c>
      <c r="K7" s="51">
        <v>1265</v>
      </c>
      <c r="L7" s="51">
        <v>1489</v>
      </c>
      <c r="M7" s="51">
        <v>1463</v>
      </c>
      <c r="N7" s="51">
        <v>1691</v>
      </c>
      <c r="O7" s="51">
        <v>1232</v>
      </c>
      <c r="P7" s="51">
        <v>1243</v>
      </c>
      <c r="Q7" s="51">
        <v>1232</v>
      </c>
      <c r="R7" s="51">
        <v>953</v>
      </c>
      <c r="S7" s="51">
        <v>1481</v>
      </c>
      <c r="T7" s="51">
        <v>1166</v>
      </c>
      <c r="U7" s="51">
        <v>847</v>
      </c>
      <c r="V7" s="51">
        <v>790</v>
      </c>
      <c r="W7" s="51">
        <v>368</v>
      </c>
      <c r="X7" s="51">
        <v>559</v>
      </c>
      <c r="Y7" s="52">
        <v>521</v>
      </c>
      <c r="Z7" s="52">
        <v>661</v>
      </c>
      <c r="AA7" s="52">
        <v>571</v>
      </c>
      <c r="AB7" s="51" t="s">
        <v>62</v>
      </c>
      <c r="AC7" s="50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2"/>
      <c r="BB7" s="52"/>
    </row>
    <row r="8" spans="1:54" ht="16.5" customHeight="1" x14ac:dyDescent="0.75">
      <c r="A8" s="50" t="s">
        <v>67</v>
      </c>
      <c r="B8" s="51">
        <v>184</v>
      </c>
      <c r="C8" s="51">
        <v>648</v>
      </c>
      <c r="D8" s="51">
        <v>643</v>
      </c>
      <c r="E8" s="51">
        <v>871</v>
      </c>
      <c r="F8" s="51">
        <v>761</v>
      </c>
      <c r="G8" s="51">
        <v>838</v>
      </c>
      <c r="H8" s="51">
        <v>1291</v>
      </c>
      <c r="I8" s="51">
        <v>1596</v>
      </c>
      <c r="J8" s="51">
        <v>1603</v>
      </c>
      <c r="K8" s="51">
        <v>2089</v>
      </c>
      <c r="L8" s="51">
        <v>2127</v>
      </c>
      <c r="M8" s="51">
        <v>2342</v>
      </c>
      <c r="N8" s="51">
        <v>2526</v>
      </c>
      <c r="O8" s="51">
        <v>2707</v>
      </c>
      <c r="P8" s="51">
        <v>3588</v>
      </c>
      <c r="Q8" s="51">
        <v>3571</v>
      </c>
      <c r="R8" s="51">
        <v>4075</v>
      </c>
      <c r="S8" s="51">
        <v>3272</v>
      </c>
      <c r="T8" s="51">
        <v>3006</v>
      </c>
      <c r="U8" s="51">
        <v>3314</v>
      </c>
      <c r="V8" s="51">
        <v>3072</v>
      </c>
      <c r="W8" s="51">
        <v>1713</v>
      </c>
      <c r="X8" s="51">
        <v>2305</v>
      </c>
      <c r="Y8" s="52">
        <v>3069</v>
      </c>
      <c r="Z8" s="52">
        <v>2773</v>
      </c>
      <c r="AA8" s="52">
        <v>3321</v>
      </c>
      <c r="AB8" s="51" t="s">
        <v>62</v>
      </c>
      <c r="AC8" s="50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2"/>
      <c r="BB8" s="52"/>
    </row>
    <row r="9" spans="1:54" ht="16.5" customHeight="1" x14ac:dyDescent="0.75">
      <c r="A9" s="53" t="s">
        <v>68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3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4" ht="16.5" customHeight="1" x14ac:dyDescent="0.75">
      <c r="A10" s="50" t="s">
        <v>63</v>
      </c>
      <c r="B10" s="55">
        <f>B4/B$3*100</f>
        <v>83.522023704227848</v>
      </c>
      <c r="C10" s="55">
        <f>C4/C$3*100</f>
        <v>74.626556016597505</v>
      </c>
      <c r="D10" s="55">
        <v>69.8</v>
      </c>
      <c r="E10" s="55">
        <v>67.800000000000011</v>
      </c>
      <c r="F10" s="55">
        <v>66.600000000000009</v>
      </c>
      <c r="G10" s="55">
        <v>64</v>
      </c>
      <c r="H10" s="55">
        <v>59.599999999999994</v>
      </c>
      <c r="I10" s="55">
        <v>62</v>
      </c>
      <c r="J10" s="55">
        <v>60</v>
      </c>
      <c r="K10" s="55">
        <v>57.599999999999994</v>
      </c>
      <c r="L10" s="55">
        <v>55.1</v>
      </c>
      <c r="M10" s="55">
        <v>55.1</v>
      </c>
      <c r="N10" s="55">
        <v>55.1</v>
      </c>
      <c r="O10" s="55">
        <v>53.900000000000006</v>
      </c>
      <c r="P10" s="55">
        <v>51.5</v>
      </c>
      <c r="Q10" s="55">
        <v>50.2</v>
      </c>
      <c r="R10" s="55">
        <v>48</v>
      </c>
      <c r="S10" s="55">
        <v>50.5</v>
      </c>
      <c r="T10" s="55">
        <v>52.900000000000006</v>
      </c>
      <c r="U10" s="55">
        <v>52.900000000000006</v>
      </c>
      <c r="V10" s="55">
        <v>52.7</v>
      </c>
      <c r="W10" s="55">
        <v>60.5</v>
      </c>
      <c r="X10" s="55">
        <v>54.500000000000007</v>
      </c>
      <c r="Y10" s="55">
        <v>47.699999999999996</v>
      </c>
      <c r="Z10" s="55">
        <v>54.900000000000006</v>
      </c>
      <c r="AA10" s="55">
        <v>53.300000000000004</v>
      </c>
      <c r="AB10" s="55">
        <v>51.300000000000004</v>
      </c>
      <c r="AC10" s="50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</row>
    <row r="11" spans="1:54" ht="16.5" customHeight="1" x14ac:dyDescent="0.75">
      <c r="A11" s="50" t="s">
        <v>64</v>
      </c>
      <c r="B11" s="55">
        <v>0</v>
      </c>
      <c r="C11" s="55">
        <v>0.6</v>
      </c>
      <c r="D11" s="55">
        <v>0.5</v>
      </c>
      <c r="E11" s="55">
        <v>1.7999999999999998</v>
      </c>
      <c r="F11" s="55">
        <v>2</v>
      </c>
      <c r="G11" s="55">
        <v>3.5999999999999996</v>
      </c>
      <c r="H11" s="55">
        <v>2.2999999999999998</v>
      </c>
      <c r="I11" s="55">
        <v>1.5</v>
      </c>
      <c r="J11" s="55">
        <v>2.1999999999999997</v>
      </c>
      <c r="K11" s="55">
        <v>2.5</v>
      </c>
      <c r="L11" s="55">
        <v>3.1</v>
      </c>
      <c r="M11" s="55">
        <v>3.2</v>
      </c>
      <c r="N11" s="55">
        <v>3.6999999999999997</v>
      </c>
      <c r="O11" s="55">
        <v>4.8</v>
      </c>
      <c r="P11" s="55">
        <v>3.6999999999999997</v>
      </c>
      <c r="Q11" s="55">
        <v>3.5999999999999996</v>
      </c>
      <c r="R11" s="55">
        <v>4.1000000000000005</v>
      </c>
      <c r="S11" s="55">
        <v>5.0999999999999996</v>
      </c>
      <c r="T11" s="55">
        <v>5</v>
      </c>
      <c r="U11" s="55">
        <v>6</v>
      </c>
      <c r="V11" s="55">
        <v>6.6000000000000005</v>
      </c>
      <c r="W11" s="55">
        <v>6.5</v>
      </c>
      <c r="X11" s="55">
        <v>8.2000000000000011</v>
      </c>
      <c r="Y11" s="55">
        <v>10.100000000000001</v>
      </c>
      <c r="Z11" s="55">
        <v>9.4</v>
      </c>
      <c r="AA11" s="55">
        <v>9.9</v>
      </c>
      <c r="AB11" s="55">
        <v>10</v>
      </c>
      <c r="AC11" s="50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</row>
    <row r="12" spans="1:54" ht="16.5" customHeight="1" x14ac:dyDescent="0.75">
      <c r="A12" s="50" t="s">
        <v>65</v>
      </c>
      <c r="B12" s="57">
        <v>12.7</v>
      </c>
      <c r="C12" s="55">
        <v>14.399999999999999</v>
      </c>
      <c r="D12" s="55">
        <v>14.499999999999998</v>
      </c>
      <c r="E12" s="55">
        <v>15.299999999999999</v>
      </c>
      <c r="F12" s="55">
        <v>15.1</v>
      </c>
      <c r="G12" s="55">
        <v>15.2</v>
      </c>
      <c r="H12" s="55">
        <v>18.899999999999999</v>
      </c>
      <c r="I12" s="55">
        <v>15</v>
      </c>
      <c r="J12" s="55">
        <v>14.899999999999999</v>
      </c>
      <c r="K12" s="55">
        <v>16.7</v>
      </c>
      <c r="L12" s="55">
        <v>16.7</v>
      </c>
      <c r="M12" s="55">
        <v>16.7</v>
      </c>
      <c r="N12" s="55">
        <v>15.8</v>
      </c>
      <c r="O12" s="55">
        <v>16.100000000000001</v>
      </c>
      <c r="P12" s="55">
        <v>14.799999999999999</v>
      </c>
      <c r="Q12" s="55">
        <v>15.7</v>
      </c>
      <c r="R12" s="55">
        <v>15.9</v>
      </c>
      <c r="S12" s="55">
        <v>14.499999999999998</v>
      </c>
      <c r="T12" s="55">
        <v>14.499999999999998</v>
      </c>
      <c r="U12" s="55">
        <v>13.8</v>
      </c>
      <c r="V12" s="55">
        <v>12.9</v>
      </c>
      <c r="W12" s="55">
        <v>10.6</v>
      </c>
      <c r="X12" s="55">
        <v>11.5</v>
      </c>
      <c r="Y12" s="55">
        <v>12.3</v>
      </c>
      <c r="Z12" s="55">
        <v>10.100000000000001</v>
      </c>
      <c r="AA12" s="55">
        <v>10.6</v>
      </c>
      <c r="AB12" s="55">
        <v>11.5</v>
      </c>
      <c r="AC12" s="50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</row>
    <row r="13" spans="1:54" ht="16.5" customHeight="1" x14ac:dyDescent="0.75">
      <c r="A13" s="50" t="s">
        <v>66</v>
      </c>
      <c r="B13" s="57">
        <v>2.1</v>
      </c>
      <c r="C13" s="55">
        <v>5.8999999999999995</v>
      </c>
      <c r="D13" s="55">
        <v>10</v>
      </c>
      <c r="E13" s="55">
        <v>8.2000000000000011</v>
      </c>
      <c r="F13" s="55">
        <v>10</v>
      </c>
      <c r="G13" s="55">
        <v>10.9</v>
      </c>
      <c r="H13" s="55">
        <v>10</v>
      </c>
      <c r="I13" s="55">
        <v>11</v>
      </c>
      <c r="J13" s="55">
        <v>10.7</v>
      </c>
      <c r="K13" s="55">
        <v>8.7999999999999989</v>
      </c>
      <c r="L13" s="55">
        <v>10.299999999999999</v>
      </c>
      <c r="M13" s="55">
        <v>9.6</v>
      </c>
      <c r="N13" s="55">
        <v>10.199999999999999</v>
      </c>
      <c r="O13" s="55">
        <v>7.9</v>
      </c>
      <c r="P13" s="55">
        <v>7.7</v>
      </c>
      <c r="Q13" s="55">
        <v>7.8</v>
      </c>
      <c r="R13" s="55">
        <v>6.1</v>
      </c>
      <c r="S13" s="55">
        <v>9.3000000000000007</v>
      </c>
      <c r="T13" s="55">
        <v>7.7</v>
      </c>
      <c r="U13" s="55">
        <v>5.5</v>
      </c>
      <c r="V13" s="55">
        <v>5.7</v>
      </c>
      <c r="W13" s="55">
        <v>4</v>
      </c>
      <c r="X13" s="55">
        <v>5</v>
      </c>
      <c r="Y13" s="55">
        <v>4.3</v>
      </c>
      <c r="Z13" s="55">
        <v>4.9000000000000004</v>
      </c>
      <c r="AA13" s="55">
        <v>3.8</v>
      </c>
      <c r="AB13" s="55">
        <v>3.9</v>
      </c>
      <c r="AC13" s="50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</row>
    <row r="14" spans="1:54" ht="16.5" customHeight="1" x14ac:dyDescent="0.75">
      <c r="A14" s="50" t="s">
        <v>67</v>
      </c>
      <c r="B14" s="57">
        <v>1.6</v>
      </c>
      <c r="C14" s="55">
        <v>4.5</v>
      </c>
      <c r="D14" s="55">
        <v>5.0999999999999996</v>
      </c>
      <c r="E14" s="55">
        <v>6.9</v>
      </c>
      <c r="F14" s="55">
        <v>6.2</v>
      </c>
      <c r="G14" s="55">
        <v>6.3</v>
      </c>
      <c r="H14" s="55">
        <v>9.1</v>
      </c>
      <c r="I14" s="55">
        <v>10.5</v>
      </c>
      <c r="J14" s="55">
        <v>12.2</v>
      </c>
      <c r="K14" s="55">
        <v>14.499999999999998</v>
      </c>
      <c r="L14" s="55">
        <v>14.7</v>
      </c>
      <c r="M14" s="55">
        <v>15.4</v>
      </c>
      <c r="N14" s="55">
        <v>15.2</v>
      </c>
      <c r="O14" s="55">
        <v>17.299999999999997</v>
      </c>
      <c r="P14" s="55">
        <v>22.3</v>
      </c>
      <c r="Q14" s="55">
        <v>22.6</v>
      </c>
      <c r="R14" s="55">
        <v>25.900000000000002</v>
      </c>
      <c r="S14" s="55">
        <v>20.599999999999998</v>
      </c>
      <c r="T14" s="55">
        <v>19.900000000000002</v>
      </c>
      <c r="U14" s="55">
        <v>21.7</v>
      </c>
      <c r="V14" s="55">
        <v>22.1</v>
      </c>
      <c r="W14" s="55">
        <v>18.399999999999999</v>
      </c>
      <c r="X14" s="55">
        <v>20.8</v>
      </c>
      <c r="Y14" s="55">
        <v>25.6</v>
      </c>
      <c r="Z14" s="55">
        <v>20.599999999999998</v>
      </c>
      <c r="AA14" s="55">
        <v>22.400000000000002</v>
      </c>
      <c r="AB14" s="55">
        <v>23.3</v>
      </c>
      <c r="AC14" s="50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</row>
    <row r="15" spans="1:54" ht="16.5" customHeight="1" x14ac:dyDescent="0.75">
      <c r="A15" s="47" t="s">
        <v>69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4"/>
      <c r="AB15" s="54"/>
      <c r="AC15" s="47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</row>
    <row r="16" spans="1:54" ht="16.5" customHeight="1" x14ac:dyDescent="0.75">
      <c r="A16" s="50" t="s">
        <v>63</v>
      </c>
      <c r="B16" s="59">
        <v>20</v>
      </c>
      <c r="C16" s="59">
        <v>23</v>
      </c>
      <c r="D16" s="59">
        <v>23.3</v>
      </c>
      <c r="E16" s="59">
        <v>23.4</v>
      </c>
      <c r="F16" s="59">
        <v>23.1</v>
      </c>
      <c r="G16" s="59">
        <v>23.5</v>
      </c>
      <c r="H16" s="59">
        <v>23.3</v>
      </c>
      <c r="I16" s="59">
        <v>23.4</v>
      </c>
      <c r="J16" s="59">
        <v>23.3</v>
      </c>
      <c r="K16" s="59">
        <v>23.4</v>
      </c>
      <c r="L16" s="59">
        <v>23.4</v>
      </c>
      <c r="M16" s="59">
        <v>23</v>
      </c>
      <c r="N16" s="59">
        <v>22.9</v>
      </c>
      <c r="O16" s="59">
        <v>23</v>
      </c>
      <c r="P16" s="59">
        <v>23.1</v>
      </c>
      <c r="Q16" s="59">
        <v>23.3</v>
      </c>
      <c r="R16" s="59">
        <v>23.1</v>
      </c>
      <c r="S16" s="59">
        <v>23.5</v>
      </c>
      <c r="T16" s="59">
        <v>23.3</v>
      </c>
      <c r="U16" s="59">
        <v>24.1</v>
      </c>
      <c r="V16" s="59">
        <v>24.3</v>
      </c>
      <c r="W16" s="59">
        <v>25.3</v>
      </c>
      <c r="X16" s="59">
        <v>26.2</v>
      </c>
      <c r="Y16" s="59">
        <v>26</v>
      </c>
      <c r="Z16" s="59">
        <v>27.8</v>
      </c>
      <c r="AA16" s="54">
        <v>28.3</v>
      </c>
      <c r="AB16" s="54">
        <v>28.7</v>
      </c>
      <c r="AC16" s="50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</row>
    <row r="17" spans="1:54" ht="16.5" customHeight="1" x14ac:dyDescent="0.75">
      <c r="A17" s="50" t="s">
        <v>64</v>
      </c>
      <c r="B17" s="59">
        <v>14.6</v>
      </c>
      <c r="C17" s="59">
        <v>20.100000000000001</v>
      </c>
      <c r="D17" s="59">
        <v>18.8</v>
      </c>
      <c r="E17" s="59">
        <v>18.2</v>
      </c>
      <c r="F17" s="59">
        <v>17.8</v>
      </c>
      <c r="G17" s="59">
        <v>17</v>
      </c>
      <c r="H17" s="59">
        <v>18</v>
      </c>
      <c r="I17" s="59">
        <v>17.8</v>
      </c>
      <c r="J17" s="59">
        <v>18.399999999999999</v>
      </c>
      <c r="K17" s="59">
        <v>19.2</v>
      </c>
      <c r="L17" s="59">
        <v>18.2</v>
      </c>
      <c r="M17" s="59">
        <v>18.5</v>
      </c>
      <c r="N17" s="59">
        <v>17.899999999999999</v>
      </c>
      <c r="O17" s="59">
        <v>18.8</v>
      </c>
      <c r="P17" s="59">
        <v>19.3</v>
      </c>
      <c r="Q17" s="59">
        <v>19.899999999999999</v>
      </c>
      <c r="R17" s="59">
        <v>20</v>
      </c>
      <c r="S17" s="59">
        <v>20.2</v>
      </c>
      <c r="T17" s="59">
        <v>20.5</v>
      </c>
      <c r="U17" s="59">
        <v>20.6</v>
      </c>
      <c r="V17" s="59">
        <v>21.2</v>
      </c>
      <c r="W17" s="59">
        <v>22</v>
      </c>
      <c r="X17" s="59">
        <v>23</v>
      </c>
      <c r="Y17" s="59">
        <v>23.6</v>
      </c>
      <c r="Z17" s="59">
        <v>23.4</v>
      </c>
      <c r="AA17" s="54">
        <v>24.5</v>
      </c>
      <c r="AB17" s="54">
        <v>24.3</v>
      </c>
      <c r="AC17" s="50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</row>
    <row r="18" spans="1:54" ht="16.5" customHeight="1" x14ac:dyDescent="0.75">
      <c r="A18" s="50" t="s">
        <v>65</v>
      </c>
      <c r="B18" s="59">
        <v>16.5</v>
      </c>
      <c r="C18" s="59">
        <v>18.2</v>
      </c>
      <c r="D18" s="59">
        <v>17.399999999999999</v>
      </c>
      <c r="E18" s="59">
        <v>18.2</v>
      </c>
      <c r="F18" s="59">
        <v>17.5</v>
      </c>
      <c r="G18" s="59">
        <v>17.600000000000001</v>
      </c>
      <c r="H18" s="59">
        <v>17.399999999999999</v>
      </c>
      <c r="I18" s="59">
        <v>16.899999999999999</v>
      </c>
      <c r="J18" s="59">
        <v>17.100000000000001</v>
      </c>
      <c r="K18" s="59">
        <v>16.8</v>
      </c>
      <c r="L18" s="59">
        <v>17</v>
      </c>
      <c r="M18" s="59">
        <v>16.3</v>
      </c>
      <c r="N18" s="59">
        <v>16.7</v>
      </c>
      <c r="O18" s="59">
        <v>16</v>
      </c>
      <c r="P18" s="59">
        <v>15.8</v>
      </c>
      <c r="Q18" s="59">
        <v>16.100000000000001</v>
      </c>
      <c r="R18" s="59">
        <v>15.7</v>
      </c>
      <c r="S18" s="59">
        <v>15.8</v>
      </c>
      <c r="T18" s="59">
        <v>16.100000000000001</v>
      </c>
      <c r="U18" s="59">
        <v>16.2</v>
      </c>
      <c r="V18" s="59">
        <v>16.5</v>
      </c>
      <c r="W18" s="59">
        <v>16.899999999999999</v>
      </c>
      <c r="X18" s="59">
        <v>16.899999999999999</v>
      </c>
      <c r="Y18" s="59">
        <v>17.2</v>
      </c>
      <c r="Z18" s="59">
        <v>17.2</v>
      </c>
      <c r="AA18" s="54">
        <v>17.399999999999999</v>
      </c>
      <c r="AB18" s="59">
        <v>18</v>
      </c>
      <c r="AC18" s="50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</row>
    <row r="19" spans="1:54" ht="16.5" customHeight="1" x14ac:dyDescent="0.75">
      <c r="A19" s="50" t="s">
        <v>66</v>
      </c>
      <c r="B19" s="59">
        <v>14.1</v>
      </c>
      <c r="C19" s="59">
        <v>16.5</v>
      </c>
      <c r="D19" s="59">
        <v>17.8</v>
      </c>
      <c r="E19" s="59">
        <v>17.899999999999999</v>
      </c>
      <c r="F19" s="59">
        <v>17.899999999999999</v>
      </c>
      <c r="G19" s="59">
        <v>18.2</v>
      </c>
      <c r="H19" s="59">
        <v>17.8</v>
      </c>
      <c r="I19" s="59">
        <v>18.100000000000001</v>
      </c>
      <c r="J19" s="59">
        <v>18.3</v>
      </c>
      <c r="K19" s="59">
        <v>18.2</v>
      </c>
      <c r="L19" s="59">
        <v>18.7</v>
      </c>
      <c r="M19" s="59">
        <v>18.3</v>
      </c>
      <c r="N19" s="59">
        <v>18.600000000000001</v>
      </c>
      <c r="O19" s="59">
        <v>18</v>
      </c>
      <c r="P19" s="59">
        <v>18.7</v>
      </c>
      <c r="Q19" s="59">
        <v>19</v>
      </c>
      <c r="R19" s="59">
        <v>19.2</v>
      </c>
      <c r="S19" s="59">
        <v>19.3</v>
      </c>
      <c r="T19" s="59">
        <v>19.5</v>
      </c>
      <c r="U19" s="59">
        <v>19.5</v>
      </c>
      <c r="V19" s="59">
        <v>19.8</v>
      </c>
      <c r="W19" s="59">
        <v>20.100000000000001</v>
      </c>
      <c r="X19" s="59">
        <v>20.100000000000001</v>
      </c>
      <c r="Y19" s="59">
        <v>21</v>
      </c>
      <c r="Z19" s="59">
        <v>21.4</v>
      </c>
      <c r="AA19" s="54">
        <v>21.1</v>
      </c>
      <c r="AB19" s="54">
        <v>21.2</v>
      </c>
      <c r="AC19" s="50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</row>
    <row r="20" spans="1:54" ht="16.5" customHeight="1" thickBot="1" x14ac:dyDescent="0.9">
      <c r="A20" s="60" t="s">
        <v>67</v>
      </c>
      <c r="B20" s="61">
        <v>13.2</v>
      </c>
      <c r="C20" s="61">
        <v>16.5</v>
      </c>
      <c r="D20" s="61">
        <v>16.399999999999999</v>
      </c>
      <c r="E20" s="61">
        <v>16.7</v>
      </c>
      <c r="F20" s="61">
        <v>16.2</v>
      </c>
      <c r="G20" s="61">
        <v>16.3</v>
      </c>
      <c r="H20" s="61">
        <v>16</v>
      </c>
      <c r="I20" s="61">
        <v>16</v>
      </c>
      <c r="J20" s="61">
        <v>16.2</v>
      </c>
      <c r="K20" s="61">
        <v>16.100000000000001</v>
      </c>
      <c r="L20" s="61">
        <v>16.2</v>
      </c>
      <c r="M20" s="61">
        <v>16.100000000000001</v>
      </c>
      <c r="N20" s="61">
        <v>16</v>
      </c>
      <c r="O20" s="61">
        <v>16.399999999999999</v>
      </c>
      <c r="P20" s="61">
        <v>16.3</v>
      </c>
      <c r="Q20" s="61">
        <v>16.399999999999999</v>
      </c>
      <c r="R20" s="61">
        <v>16.5</v>
      </c>
      <c r="S20" s="61">
        <v>16.7</v>
      </c>
      <c r="T20" s="61">
        <v>17.2</v>
      </c>
      <c r="U20" s="61">
        <v>17.7</v>
      </c>
      <c r="V20" s="61">
        <v>18.2</v>
      </c>
      <c r="W20" s="61">
        <v>19.3</v>
      </c>
      <c r="X20" s="61">
        <v>19.7</v>
      </c>
      <c r="Y20" s="61">
        <v>19.8</v>
      </c>
      <c r="Z20" s="61">
        <v>20</v>
      </c>
      <c r="AA20" s="62">
        <v>20.9</v>
      </c>
      <c r="AB20" s="62">
        <v>21.2</v>
      </c>
      <c r="AC20" s="50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</row>
    <row r="21" spans="1:54" s="63" customFormat="1" ht="12.75" customHeight="1" x14ac:dyDescent="0.75">
      <c r="A21" s="83" t="s">
        <v>70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</row>
    <row r="22" spans="1:54" s="63" customFormat="1" ht="12.75" customHeight="1" x14ac:dyDescent="0.7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</row>
    <row r="23" spans="1:54" s="63" customFormat="1" ht="12.75" customHeight="1" x14ac:dyDescent="0.75">
      <c r="A23" s="84" t="s">
        <v>71</v>
      </c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</row>
    <row r="24" spans="1:54" s="63" customFormat="1" ht="12.75" customHeight="1" x14ac:dyDescent="0.75">
      <c r="A24" s="80" t="s">
        <v>72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</row>
    <row r="25" spans="1:54" s="63" customFormat="1" ht="12.75" customHeight="1" x14ac:dyDescent="0.75">
      <c r="A25" s="80" t="s">
        <v>73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</row>
    <row r="26" spans="1:54" s="63" customFormat="1" ht="27.75" customHeight="1" x14ac:dyDescent="0.75">
      <c r="A26" s="85" t="s">
        <v>74</v>
      </c>
      <c r="B26" s="85"/>
      <c r="C26" s="85"/>
      <c r="D26" s="85"/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</row>
    <row r="27" spans="1:54" s="63" customFormat="1" ht="12.75" customHeight="1" x14ac:dyDescent="0.75">
      <c r="A27" s="85"/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</row>
    <row r="28" spans="1:54" s="63" customFormat="1" ht="12.75" customHeight="1" x14ac:dyDescent="0.75">
      <c r="A28" s="86" t="s">
        <v>75</v>
      </c>
      <c r="B28" s="86"/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</row>
    <row r="29" spans="1:54" s="63" customFormat="1" ht="25.5" customHeight="1" x14ac:dyDescent="0.75">
      <c r="A29" s="87" t="s">
        <v>76</v>
      </c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</row>
    <row r="33" customFormat="1" x14ac:dyDescent="0.75"/>
    <row r="34" customFormat="1" x14ac:dyDescent="0.75"/>
    <row r="35" customFormat="1" x14ac:dyDescent="0.75"/>
    <row r="36" customFormat="1" x14ac:dyDescent="0.75"/>
    <row r="37" customFormat="1" x14ac:dyDescent="0.75"/>
    <row r="38" customFormat="1" x14ac:dyDescent="0.75"/>
    <row r="39" customFormat="1" x14ac:dyDescent="0.75"/>
    <row r="40" customFormat="1" x14ac:dyDescent="0.75"/>
    <row r="41" customFormat="1" x14ac:dyDescent="0.75"/>
    <row r="42" customFormat="1" x14ac:dyDescent="0.75"/>
    <row r="43" customFormat="1" x14ac:dyDescent="0.75"/>
    <row r="44" customFormat="1" x14ac:dyDescent="0.75"/>
    <row r="45" customFormat="1" x14ac:dyDescent="0.75"/>
    <row r="46" customFormat="1" x14ac:dyDescent="0.75"/>
    <row r="47" customFormat="1" x14ac:dyDescent="0.75"/>
    <row r="48" customFormat="1" x14ac:dyDescent="0.75"/>
    <row r="49" customFormat="1" x14ac:dyDescent="0.75"/>
    <row r="50" customFormat="1" x14ac:dyDescent="0.75"/>
    <row r="51" customFormat="1" x14ac:dyDescent="0.75"/>
    <row r="52" customFormat="1" x14ac:dyDescent="0.75"/>
    <row r="53" customFormat="1" x14ac:dyDescent="0.75"/>
    <row r="54" customFormat="1" x14ac:dyDescent="0.75"/>
    <row r="55" customFormat="1" x14ac:dyDescent="0.75"/>
    <row r="56" customFormat="1" x14ac:dyDescent="0.75"/>
    <row r="57" customFormat="1" x14ac:dyDescent="0.75"/>
    <row r="58" customFormat="1" x14ac:dyDescent="0.75"/>
    <row r="59" customFormat="1" x14ac:dyDescent="0.75"/>
    <row r="60" customFormat="1" x14ac:dyDescent="0.75"/>
    <row r="61" customFormat="1" x14ac:dyDescent="0.75"/>
  </sheetData>
  <mergeCells count="11">
    <mergeCell ref="A25:Q25"/>
    <mergeCell ref="A26:Q26"/>
    <mergeCell ref="A27:Q27"/>
    <mergeCell ref="A28:Q28"/>
    <mergeCell ref="A29:Q29"/>
    <mergeCell ref="A24:Q24"/>
    <mergeCell ref="A1:AB1"/>
    <mergeCell ref="AC1:BB1"/>
    <mergeCell ref="A21:Q21"/>
    <mergeCell ref="A22:Q22"/>
    <mergeCell ref="A23:Q2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98BD0-2AB5-48C3-A94B-802255ACBC65}">
  <dimension ref="A1:AG66"/>
  <sheetViews>
    <sheetView workbookViewId="0">
      <selection activeCell="B8" sqref="B8"/>
    </sheetView>
  </sheetViews>
  <sheetFormatPr defaultRowHeight="14.75" x14ac:dyDescent="0.75"/>
  <cols>
    <col min="1" max="1" width="33.54296875" customWidth="1"/>
  </cols>
  <sheetData>
    <row r="1" spans="1:33" x14ac:dyDescent="0.75">
      <c r="A1" t="s">
        <v>403</v>
      </c>
    </row>
    <row r="2" spans="1:33" x14ac:dyDescent="0.75">
      <c r="A2" t="s">
        <v>402</v>
      </c>
    </row>
    <row r="3" spans="1:33" x14ac:dyDescent="0.75">
      <c r="A3" t="s">
        <v>401</v>
      </c>
    </row>
    <row r="4" spans="1:33" x14ac:dyDescent="0.75">
      <c r="A4" t="s">
        <v>96</v>
      </c>
    </row>
    <row r="5" spans="1:33" x14ac:dyDescent="0.7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75">
      <c r="A6" t="s">
        <v>100</v>
      </c>
    </row>
    <row r="7" spans="1:33" x14ac:dyDescent="0.75">
      <c r="A7" t="s">
        <v>101</v>
      </c>
      <c r="D7" t="s">
        <v>103</v>
      </c>
    </row>
    <row r="8" spans="1:33" x14ac:dyDescent="0.75">
      <c r="A8" t="s">
        <v>102</v>
      </c>
      <c r="B8" t="s">
        <v>400</v>
      </c>
      <c r="C8" t="s">
        <v>399</v>
      </c>
      <c r="D8" t="s">
        <v>103</v>
      </c>
      <c r="F8">
        <v>784.43450900000005</v>
      </c>
      <c r="G8">
        <v>788.60510299999999</v>
      </c>
      <c r="H8">
        <v>719.83294699999999</v>
      </c>
      <c r="I8">
        <v>644.82336399999997</v>
      </c>
      <c r="J8">
        <v>594.91729699999996</v>
      </c>
      <c r="K8">
        <v>588.12176499999998</v>
      </c>
      <c r="L8">
        <v>566.89837599999998</v>
      </c>
      <c r="M8">
        <v>542.12078899999995</v>
      </c>
      <c r="N8">
        <v>494.67938199999998</v>
      </c>
      <c r="O8">
        <v>504.83163500000001</v>
      </c>
      <c r="P8">
        <v>508.98098800000002</v>
      </c>
      <c r="Q8">
        <v>475.79760700000003</v>
      </c>
      <c r="R8">
        <v>459.26825000000002</v>
      </c>
      <c r="S8">
        <v>448.94854700000002</v>
      </c>
      <c r="T8">
        <v>440.72018400000002</v>
      </c>
      <c r="U8">
        <v>423.88696299999998</v>
      </c>
      <c r="V8">
        <v>406.23794600000002</v>
      </c>
      <c r="W8">
        <v>397.05886800000002</v>
      </c>
      <c r="X8">
        <v>389.113068</v>
      </c>
      <c r="Y8">
        <v>382.12612899999999</v>
      </c>
      <c r="Z8">
        <v>375.01599099999999</v>
      </c>
      <c r="AA8">
        <v>370.09939600000001</v>
      </c>
      <c r="AB8">
        <v>362.91711400000003</v>
      </c>
      <c r="AC8">
        <v>356.101471</v>
      </c>
      <c r="AD8">
        <v>348.87576300000001</v>
      </c>
      <c r="AE8">
        <v>342.317566</v>
      </c>
      <c r="AF8">
        <v>338.86404399999998</v>
      </c>
      <c r="AG8" s="71">
        <v>-3.2000000000000001E-2</v>
      </c>
    </row>
    <row r="9" spans="1:33" x14ac:dyDescent="0.75">
      <c r="A9" t="s">
        <v>104</v>
      </c>
      <c r="B9" t="s">
        <v>398</v>
      </c>
      <c r="C9" t="s">
        <v>397</v>
      </c>
      <c r="D9" t="s">
        <v>103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111</v>
      </c>
    </row>
    <row r="10" spans="1:33" x14ac:dyDescent="0.75">
      <c r="A10" t="s">
        <v>105</v>
      </c>
      <c r="B10" t="s">
        <v>396</v>
      </c>
      <c r="C10" t="s">
        <v>395</v>
      </c>
      <c r="D10" t="s">
        <v>103</v>
      </c>
      <c r="F10">
        <v>784.43450900000005</v>
      </c>
      <c r="G10">
        <v>788.60510299999999</v>
      </c>
      <c r="H10">
        <v>719.83294699999999</v>
      </c>
      <c r="I10">
        <v>644.82336399999997</v>
      </c>
      <c r="J10">
        <v>594.91729699999996</v>
      </c>
      <c r="K10">
        <v>588.12176499999998</v>
      </c>
      <c r="L10">
        <v>566.89837599999998</v>
      </c>
      <c r="M10">
        <v>542.12078899999995</v>
      </c>
      <c r="N10">
        <v>494.67938199999998</v>
      </c>
      <c r="O10">
        <v>504.83163500000001</v>
      </c>
      <c r="P10">
        <v>508.98098800000002</v>
      </c>
      <c r="Q10">
        <v>475.79760700000003</v>
      </c>
      <c r="R10">
        <v>459.26825000000002</v>
      </c>
      <c r="S10">
        <v>448.94854700000002</v>
      </c>
      <c r="T10">
        <v>440.72018400000002</v>
      </c>
      <c r="U10">
        <v>423.88696299999998</v>
      </c>
      <c r="V10">
        <v>406.23794600000002</v>
      </c>
      <c r="W10">
        <v>397.05886800000002</v>
      </c>
      <c r="X10">
        <v>389.113068</v>
      </c>
      <c r="Y10">
        <v>382.12612899999999</v>
      </c>
      <c r="Z10">
        <v>375.01599099999999</v>
      </c>
      <c r="AA10">
        <v>370.09939600000001</v>
      </c>
      <c r="AB10">
        <v>362.91711400000003</v>
      </c>
      <c r="AC10">
        <v>356.101471</v>
      </c>
      <c r="AD10">
        <v>348.87576300000001</v>
      </c>
      <c r="AE10">
        <v>342.317566</v>
      </c>
      <c r="AF10">
        <v>338.86404399999998</v>
      </c>
      <c r="AG10" s="71">
        <v>-3.2000000000000001E-2</v>
      </c>
    </row>
    <row r="11" spans="1:33" x14ac:dyDescent="0.75">
      <c r="A11" t="s">
        <v>106</v>
      </c>
    </row>
    <row r="12" spans="1:33" x14ac:dyDescent="0.75">
      <c r="A12" t="s">
        <v>107</v>
      </c>
      <c r="B12" t="s">
        <v>394</v>
      </c>
      <c r="C12" t="s">
        <v>393</v>
      </c>
      <c r="D12" t="s">
        <v>103</v>
      </c>
      <c r="F12">
        <v>0.499525</v>
      </c>
      <c r="G12">
        <v>0.44464700000000001</v>
      </c>
      <c r="H12">
        <v>0.39982499999999999</v>
      </c>
      <c r="I12">
        <v>0.35624600000000001</v>
      </c>
      <c r="J12">
        <v>0.32680999999999999</v>
      </c>
      <c r="K12">
        <v>0.31867800000000002</v>
      </c>
      <c r="L12">
        <v>0.29494900000000002</v>
      </c>
      <c r="M12">
        <v>0.27476800000000001</v>
      </c>
      <c r="N12">
        <v>0.25544299999999998</v>
      </c>
      <c r="O12">
        <v>0.29737400000000003</v>
      </c>
      <c r="P12">
        <v>0.286103</v>
      </c>
      <c r="Q12">
        <v>0.26638400000000001</v>
      </c>
      <c r="R12">
        <v>0.250054</v>
      </c>
      <c r="S12">
        <v>0.238069</v>
      </c>
      <c r="T12">
        <v>0.22670199999999999</v>
      </c>
      <c r="U12">
        <v>0.216226</v>
      </c>
      <c r="V12">
        <v>0.207816</v>
      </c>
      <c r="W12">
        <v>0.20014100000000001</v>
      </c>
      <c r="X12">
        <v>0.194137</v>
      </c>
      <c r="Y12">
        <v>0.186583</v>
      </c>
      <c r="Z12">
        <v>0.181672</v>
      </c>
      <c r="AA12">
        <v>0.17582900000000001</v>
      </c>
      <c r="AB12">
        <v>0.17127000000000001</v>
      </c>
      <c r="AC12">
        <v>0.167099</v>
      </c>
      <c r="AD12">
        <v>0.16156000000000001</v>
      </c>
      <c r="AE12">
        <v>0.15664800000000001</v>
      </c>
      <c r="AF12">
        <v>0.149751</v>
      </c>
      <c r="AG12" s="71">
        <v>-4.4999999999999998E-2</v>
      </c>
    </row>
    <row r="13" spans="1:33" x14ac:dyDescent="0.75">
      <c r="A13" t="s">
        <v>235</v>
      </c>
      <c r="B13" t="s">
        <v>392</v>
      </c>
      <c r="C13" t="s">
        <v>391</v>
      </c>
      <c r="D13" t="s">
        <v>103</v>
      </c>
      <c r="F13">
        <v>1.8120719999999999</v>
      </c>
      <c r="G13">
        <v>2.2689330000000001</v>
      </c>
      <c r="H13">
        <v>1.99691</v>
      </c>
      <c r="I13">
        <v>1.7898590000000001</v>
      </c>
      <c r="J13">
        <v>1.5203759999999999</v>
      </c>
      <c r="K13">
        <v>1.454553</v>
      </c>
      <c r="L13">
        <v>1.5793440000000001</v>
      </c>
      <c r="M13">
        <v>1.6429069999999999</v>
      </c>
      <c r="N13">
        <v>1.7444489999999999</v>
      </c>
      <c r="O13">
        <v>1.393624</v>
      </c>
      <c r="P13">
        <v>1.541952</v>
      </c>
      <c r="Q13">
        <v>1.632906</v>
      </c>
      <c r="R13">
        <v>1.6988909999999999</v>
      </c>
      <c r="S13">
        <v>1.768651</v>
      </c>
      <c r="T13">
        <v>1.8459239999999999</v>
      </c>
      <c r="U13">
        <v>1.926018</v>
      </c>
      <c r="V13">
        <v>1.847772</v>
      </c>
      <c r="W13">
        <v>1.8753059999999999</v>
      </c>
      <c r="X13">
        <v>1.8971340000000001</v>
      </c>
      <c r="Y13">
        <v>1.932463</v>
      </c>
      <c r="Z13">
        <v>1.943457</v>
      </c>
      <c r="AA13">
        <v>1.9739770000000001</v>
      </c>
      <c r="AB13">
        <v>1.9754</v>
      </c>
      <c r="AC13">
        <v>1.9706459999999999</v>
      </c>
      <c r="AD13">
        <v>1.9737560000000001</v>
      </c>
      <c r="AE13">
        <v>1.9768330000000001</v>
      </c>
      <c r="AF13">
        <v>2.0270619999999999</v>
      </c>
      <c r="AG13" s="71">
        <v>4.0000000000000001E-3</v>
      </c>
    </row>
    <row r="14" spans="1:33" x14ac:dyDescent="0.75">
      <c r="A14" t="s">
        <v>232</v>
      </c>
      <c r="B14" t="s">
        <v>390</v>
      </c>
      <c r="C14" t="s">
        <v>389</v>
      </c>
      <c r="D14" t="s">
        <v>103</v>
      </c>
      <c r="F14">
        <v>28.261880999999999</v>
      </c>
      <c r="G14">
        <v>38.827964999999999</v>
      </c>
      <c r="H14">
        <v>45.116959000000001</v>
      </c>
      <c r="I14">
        <v>52.248660999999998</v>
      </c>
      <c r="J14">
        <v>51.878227000000003</v>
      </c>
      <c r="K14">
        <v>50.928558000000002</v>
      </c>
      <c r="L14">
        <v>57.072463999999997</v>
      </c>
      <c r="M14">
        <v>60.315112999999997</v>
      </c>
      <c r="N14">
        <v>106.25708</v>
      </c>
      <c r="O14">
        <v>119.48831199999999</v>
      </c>
      <c r="P14">
        <v>132.11088599999999</v>
      </c>
      <c r="Q14">
        <v>160.379684</v>
      </c>
      <c r="R14">
        <v>163.89324999999999</v>
      </c>
      <c r="S14">
        <v>168.68611100000001</v>
      </c>
      <c r="T14">
        <v>174.61895799999999</v>
      </c>
      <c r="U14">
        <v>196.404236</v>
      </c>
      <c r="V14">
        <v>197.81399500000001</v>
      </c>
      <c r="W14">
        <v>199.81964099999999</v>
      </c>
      <c r="X14">
        <v>201.325684</v>
      </c>
      <c r="Y14">
        <v>204.80027799999999</v>
      </c>
      <c r="Z14">
        <v>205.47245799999999</v>
      </c>
      <c r="AA14">
        <v>208.98123200000001</v>
      </c>
      <c r="AB14">
        <v>208.69714400000001</v>
      </c>
      <c r="AC14">
        <v>208.51800499999999</v>
      </c>
      <c r="AD14">
        <v>209.250046</v>
      </c>
      <c r="AE14">
        <v>209.67111199999999</v>
      </c>
      <c r="AF14">
        <v>215.17984000000001</v>
      </c>
      <c r="AG14" s="71">
        <v>8.1000000000000003E-2</v>
      </c>
    </row>
    <row r="15" spans="1:33" x14ac:dyDescent="0.75">
      <c r="A15" t="s">
        <v>229</v>
      </c>
      <c r="B15" t="s">
        <v>388</v>
      </c>
      <c r="C15" t="s">
        <v>387</v>
      </c>
      <c r="D15" t="s">
        <v>103</v>
      </c>
      <c r="F15">
        <v>132.424362</v>
      </c>
      <c r="G15">
        <v>170.49464399999999</v>
      </c>
      <c r="H15">
        <v>247.71463</v>
      </c>
      <c r="I15">
        <v>294.67401100000001</v>
      </c>
      <c r="J15">
        <v>306.65930200000003</v>
      </c>
      <c r="K15">
        <v>306.75335699999999</v>
      </c>
      <c r="L15">
        <v>320.75988799999999</v>
      </c>
      <c r="M15">
        <v>322.800568</v>
      </c>
      <c r="N15">
        <v>319.40377799999999</v>
      </c>
      <c r="O15">
        <v>286.90090900000001</v>
      </c>
      <c r="P15">
        <v>303.31536899999998</v>
      </c>
      <c r="Q15">
        <v>305.35376000000002</v>
      </c>
      <c r="R15">
        <v>308.05944799999997</v>
      </c>
      <c r="S15">
        <v>312.60357699999997</v>
      </c>
      <c r="T15">
        <v>317.72872899999999</v>
      </c>
      <c r="U15">
        <v>319.70782500000001</v>
      </c>
      <c r="V15">
        <v>331.638306</v>
      </c>
      <c r="W15">
        <v>331.71945199999999</v>
      </c>
      <c r="X15">
        <v>331.958618</v>
      </c>
      <c r="Y15">
        <v>331.66711400000003</v>
      </c>
      <c r="Z15">
        <v>331.66134599999998</v>
      </c>
      <c r="AA15">
        <v>331.81442299999998</v>
      </c>
      <c r="AB15">
        <v>331.07153299999999</v>
      </c>
      <c r="AC15">
        <v>329.33157299999999</v>
      </c>
      <c r="AD15">
        <v>326.53762799999998</v>
      </c>
      <c r="AE15">
        <v>324.67233299999998</v>
      </c>
      <c r="AF15">
        <v>324.95455900000002</v>
      </c>
      <c r="AG15" s="71">
        <v>3.5000000000000003E-2</v>
      </c>
    </row>
    <row r="16" spans="1:33" x14ac:dyDescent="0.75">
      <c r="A16" t="s">
        <v>108</v>
      </c>
      <c r="B16" t="s">
        <v>386</v>
      </c>
      <c r="C16" t="s">
        <v>385</v>
      </c>
      <c r="D16" t="s">
        <v>103</v>
      </c>
      <c r="F16">
        <v>3.5073409999999998</v>
      </c>
      <c r="G16">
        <v>7.7986079999999998</v>
      </c>
      <c r="H16">
        <v>8.6493040000000008</v>
      </c>
      <c r="I16">
        <v>9.6501450000000002</v>
      </c>
      <c r="J16">
        <v>10.021833000000001</v>
      </c>
      <c r="K16">
        <v>9.0834460000000004</v>
      </c>
      <c r="L16">
        <v>8.9440220000000004</v>
      </c>
      <c r="M16">
        <v>8.8377289999999995</v>
      </c>
      <c r="N16">
        <v>7.7065039999999998</v>
      </c>
      <c r="O16">
        <v>6.6040929999999998</v>
      </c>
      <c r="P16">
        <v>7.0952640000000002</v>
      </c>
      <c r="Q16">
        <v>6.8489319999999996</v>
      </c>
      <c r="R16">
        <v>6.8631120000000001</v>
      </c>
      <c r="S16">
        <v>6.9256209999999996</v>
      </c>
      <c r="T16">
        <v>7.0349839999999997</v>
      </c>
      <c r="U16">
        <v>6.8981560000000002</v>
      </c>
      <c r="V16">
        <v>6.867108</v>
      </c>
      <c r="W16">
        <v>6.8533590000000002</v>
      </c>
      <c r="X16">
        <v>6.8328239999999996</v>
      </c>
      <c r="Y16">
        <v>6.8720179999999997</v>
      </c>
      <c r="Z16">
        <v>6.799086</v>
      </c>
      <c r="AA16">
        <v>6.8207750000000003</v>
      </c>
      <c r="AB16">
        <v>6.7274950000000002</v>
      </c>
      <c r="AC16">
        <v>6.6503959999999998</v>
      </c>
      <c r="AD16">
        <v>6.6114309999999996</v>
      </c>
      <c r="AE16">
        <v>6.5621470000000004</v>
      </c>
      <c r="AF16">
        <v>6.6693720000000001</v>
      </c>
      <c r="AG16" s="71">
        <v>2.5000000000000001E-2</v>
      </c>
    </row>
    <row r="17" spans="1:33" x14ac:dyDescent="0.75">
      <c r="A17" t="s">
        <v>109</v>
      </c>
      <c r="B17" t="s">
        <v>384</v>
      </c>
      <c r="C17" t="s">
        <v>383</v>
      </c>
      <c r="D17" t="s">
        <v>103</v>
      </c>
      <c r="F17">
        <v>2.9863240000000002</v>
      </c>
      <c r="G17">
        <v>5.3747369999999997</v>
      </c>
      <c r="H17">
        <v>11.55945</v>
      </c>
      <c r="I17">
        <v>13.241820000000001</v>
      </c>
      <c r="J17">
        <v>14.182071000000001</v>
      </c>
      <c r="K17">
        <v>13.766525</v>
      </c>
      <c r="L17">
        <v>13.783308999999999</v>
      </c>
      <c r="M17">
        <v>13.862266999999999</v>
      </c>
      <c r="N17">
        <v>11.152175</v>
      </c>
      <c r="O17">
        <v>8.6860949999999999</v>
      </c>
      <c r="P17">
        <v>9.4279279999999996</v>
      </c>
      <c r="Q17">
        <v>8.3606929999999995</v>
      </c>
      <c r="R17">
        <v>8.4198269999999997</v>
      </c>
      <c r="S17">
        <v>8.5317900000000009</v>
      </c>
      <c r="T17">
        <v>8.6843769999999996</v>
      </c>
      <c r="U17">
        <v>7.8047829999999996</v>
      </c>
      <c r="V17">
        <v>7.7435130000000001</v>
      </c>
      <c r="W17">
        <v>7.6860670000000004</v>
      </c>
      <c r="X17">
        <v>7.6261970000000003</v>
      </c>
      <c r="Y17">
        <v>7.6170980000000004</v>
      </c>
      <c r="Z17">
        <v>7.5064000000000002</v>
      </c>
      <c r="AA17">
        <v>7.4774050000000001</v>
      </c>
      <c r="AB17">
        <v>7.3508149999999999</v>
      </c>
      <c r="AC17">
        <v>7.2343859999999998</v>
      </c>
      <c r="AD17">
        <v>7.1425270000000003</v>
      </c>
      <c r="AE17">
        <v>7.0507090000000003</v>
      </c>
      <c r="AF17">
        <v>7.0947620000000002</v>
      </c>
      <c r="AG17" s="71">
        <v>3.4000000000000002E-2</v>
      </c>
    </row>
    <row r="18" spans="1:33" x14ac:dyDescent="0.75">
      <c r="A18" t="s">
        <v>110</v>
      </c>
      <c r="B18" t="s">
        <v>382</v>
      </c>
      <c r="C18" t="s">
        <v>381</v>
      </c>
      <c r="D18" t="s">
        <v>103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75">
      <c r="A19" t="s">
        <v>112</v>
      </c>
      <c r="B19" t="s">
        <v>380</v>
      </c>
      <c r="C19" t="s">
        <v>379</v>
      </c>
      <c r="D19" t="s">
        <v>103</v>
      </c>
      <c r="F19">
        <v>68.996880000000004</v>
      </c>
      <c r="G19">
        <v>89.183220000000006</v>
      </c>
      <c r="H19">
        <v>88.100143000000003</v>
      </c>
      <c r="I19">
        <v>97.486869999999996</v>
      </c>
      <c r="J19">
        <v>92.974463999999998</v>
      </c>
      <c r="K19">
        <v>95.624863000000005</v>
      </c>
      <c r="L19">
        <v>96.851394999999997</v>
      </c>
      <c r="M19">
        <v>97.387978000000004</v>
      </c>
      <c r="N19">
        <v>91.310805999999999</v>
      </c>
      <c r="O19">
        <v>94.746880000000004</v>
      </c>
      <c r="P19">
        <v>99.173500000000004</v>
      </c>
      <c r="Q19">
        <v>96.741630999999998</v>
      </c>
      <c r="R19">
        <v>96.909797999999995</v>
      </c>
      <c r="S19">
        <v>98.163169999999994</v>
      </c>
      <c r="T19">
        <v>99.791977000000003</v>
      </c>
      <c r="U19">
        <v>99.806274000000002</v>
      </c>
      <c r="V19">
        <v>98.397148000000001</v>
      </c>
      <c r="W19">
        <v>99.277191000000002</v>
      </c>
      <c r="X19">
        <v>100.24737500000001</v>
      </c>
      <c r="Y19">
        <v>101.281982</v>
      </c>
      <c r="Z19">
        <v>102.294586</v>
      </c>
      <c r="AA19">
        <v>103.67836800000001</v>
      </c>
      <c r="AB19">
        <v>104.52010300000001</v>
      </c>
      <c r="AC19">
        <v>105.202759</v>
      </c>
      <c r="AD19">
        <v>105.648537</v>
      </c>
      <c r="AE19">
        <v>106.31516999999999</v>
      </c>
      <c r="AF19">
        <v>107.915131</v>
      </c>
      <c r="AG19" s="71">
        <v>1.7000000000000001E-2</v>
      </c>
    </row>
    <row r="20" spans="1:33" x14ac:dyDescent="0.75">
      <c r="A20" t="s">
        <v>113</v>
      </c>
      <c r="B20" t="s">
        <v>378</v>
      </c>
      <c r="C20" t="s">
        <v>377</v>
      </c>
      <c r="D20" t="s">
        <v>103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111</v>
      </c>
    </row>
    <row r="21" spans="1:33" x14ac:dyDescent="0.75">
      <c r="A21" t="s">
        <v>114</v>
      </c>
      <c r="B21" t="s">
        <v>376</v>
      </c>
      <c r="C21" t="s">
        <v>375</v>
      </c>
      <c r="D21" t="s">
        <v>103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111</v>
      </c>
    </row>
    <row r="22" spans="1:33" x14ac:dyDescent="0.75">
      <c r="A22" t="s">
        <v>115</v>
      </c>
      <c r="B22" t="s">
        <v>374</v>
      </c>
      <c r="C22" t="s">
        <v>373</v>
      </c>
      <c r="D22" t="s">
        <v>103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111</v>
      </c>
    </row>
    <row r="23" spans="1:33" x14ac:dyDescent="0.75">
      <c r="A23" t="s">
        <v>116</v>
      </c>
      <c r="B23" t="s">
        <v>372</v>
      </c>
      <c r="C23" t="s">
        <v>371</v>
      </c>
      <c r="D23" t="s">
        <v>103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111</v>
      </c>
    </row>
    <row r="24" spans="1:33" x14ac:dyDescent="0.75">
      <c r="A24" t="s">
        <v>117</v>
      </c>
      <c r="B24" t="s">
        <v>370</v>
      </c>
      <c r="C24" t="s">
        <v>369</v>
      </c>
      <c r="D24" t="s">
        <v>103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111</v>
      </c>
    </row>
    <row r="25" spans="1:33" x14ac:dyDescent="0.75">
      <c r="A25" t="s">
        <v>118</v>
      </c>
      <c r="B25" t="s">
        <v>368</v>
      </c>
      <c r="C25" t="s">
        <v>367</v>
      </c>
      <c r="D25" t="s">
        <v>103</v>
      </c>
      <c r="F25">
        <v>7.5788999999999995E-2</v>
      </c>
      <c r="G25">
        <v>7.0356000000000002E-2</v>
      </c>
      <c r="H25">
        <v>7.6125999999999999E-2</v>
      </c>
      <c r="I25">
        <v>8.5218000000000002E-2</v>
      </c>
      <c r="J25">
        <v>8.8081000000000007E-2</v>
      </c>
      <c r="K25">
        <v>3.2989999999999998E-2</v>
      </c>
      <c r="L25">
        <v>4.1221000000000001E-2</v>
      </c>
      <c r="M25">
        <v>3.8205999999999997E-2</v>
      </c>
      <c r="N25">
        <v>3.4819000000000003E-2</v>
      </c>
      <c r="O25">
        <v>2.6412000000000001E-2</v>
      </c>
      <c r="P25">
        <v>2.7300999999999999E-2</v>
      </c>
      <c r="Q25">
        <v>3.1335000000000002E-2</v>
      </c>
      <c r="R25">
        <v>2.8819999999999998E-2</v>
      </c>
      <c r="S25">
        <v>2.7268000000000001E-2</v>
      </c>
      <c r="T25">
        <v>2.6453999999999998E-2</v>
      </c>
      <c r="U25">
        <v>2.5929000000000001E-2</v>
      </c>
      <c r="V25">
        <v>2.5724E-2</v>
      </c>
      <c r="W25">
        <v>2.5701999999999999E-2</v>
      </c>
      <c r="X25">
        <v>2.5692E-2</v>
      </c>
      <c r="Y25">
        <v>2.6187999999999999E-2</v>
      </c>
      <c r="Z25">
        <v>2.6089000000000001E-2</v>
      </c>
      <c r="AA25">
        <v>2.6630999999999998E-2</v>
      </c>
      <c r="AB25">
        <v>2.6866000000000001E-2</v>
      </c>
      <c r="AC25">
        <v>2.6661000000000001E-2</v>
      </c>
      <c r="AD25">
        <v>2.6929999999999999E-2</v>
      </c>
      <c r="AE25">
        <v>2.724E-2</v>
      </c>
      <c r="AF25">
        <v>2.9201999999999999E-2</v>
      </c>
      <c r="AG25" s="71">
        <v>-3.5999999999999997E-2</v>
      </c>
    </row>
    <row r="26" spans="1:33" x14ac:dyDescent="0.75">
      <c r="A26" t="s">
        <v>119</v>
      </c>
      <c r="B26" t="s">
        <v>366</v>
      </c>
      <c r="C26" t="s">
        <v>365</v>
      </c>
      <c r="D26" t="s">
        <v>103</v>
      </c>
      <c r="F26">
        <v>238.56416300000001</v>
      </c>
      <c r="G26">
        <v>314.46310399999999</v>
      </c>
      <c r="H26">
        <v>403.61337300000002</v>
      </c>
      <c r="I26">
        <v>469.53283699999997</v>
      </c>
      <c r="J26">
        <v>477.65115400000002</v>
      </c>
      <c r="K26">
        <v>477.96298200000001</v>
      </c>
      <c r="L26">
        <v>499.32659899999999</v>
      </c>
      <c r="M26">
        <v>505.15954599999998</v>
      </c>
      <c r="N26">
        <v>537.86499000000003</v>
      </c>
      <c r="O26">
        <v>518.14373799999998</v>
      </c>
      <c r="P26">
        <v>552.97827099999995</v>
      </c>
      <c r="Q26">
        <v>579.61529499999995</v>
      </c>
      <c r="R26">
        <v>586.12316899999996</v>
      </c>
      <c r="S26">
        <v>596.94427499999995</v>
      </c>
      <c r="T26">
        <v>609.95806900000002</v>
      </c>
      <c r="U26">
        <v>632.78949</v>
      </c>
      <c r="V26">
        <v>644.54132100000004</v>
      </c>
      <c r="W26">
        <v>647.45684800000004</v>
      </c>
      <c r="X26">
        <v>650.10766599999999</v>
      </c>
      <c r="Y26">
        <v>654.38372800000002</v>
      </c>
      <c r="Z26">
        <v>655.88507100000004</v>
      </c>
      <c r="AA26">
        <v>660.94860800000004</v>
      </c>
      <c r="AB26">
        <v>660.54064900000003</v>
      </c>
      <c r="AC26">
        <v>659.10150099999998</v>
      </c>
      <c r="AD26">
        <v>657.35241699999995</v>
      </c>
      <c r="AE26">
        <v>656.43212900000003</v>
      </c>
      <c r="AF26">
        <v>664.01965299999995</v>
      </c>
      <c r="AG26" s="71">
        <v>0.04</v>
      </c>
    </row>
    <row r="27" spans="1:33" x14ac:dyDescent="0.75">
      <c r="A27" t="s">
        <v>364</v>
      </c>
      <c r="B27" t="s">
        <v>363</v>
      </c>
      <c r="C27" t="s">
        <v>362</v>
      </c>
      <c r="D27" t="s">
        <v>120</v>
      </c>
      <c r="F27">
        <v>23.320086</v>
      </c>
      <c r="G27">
        <v>28.508037999999999</v>
      </c>
      <c r="H27">
        <v>35.926361</v>
      </c>
      <c r="I27">
        <v>42.134895</v>
      </c>
      <c r="J27">
        <v>44.533394000000001</v>
      </c>
      <c r="K27">
        <v>44.833488000000003</v>
      </c>
      <c r="L27">
        <v>46.831260999999998</v>
      </c>
      <c r="M27">
        <v>48.235371000000001</v>
      </c>
      <c r="N27">
        <v>52.091217</v>
      </c>
      <c r="O27">
        <v>50.650658</v>
      </c>
      <c r="P27">
        <v>52.071517999999998</v>
      </c>
      <c r="Q27">
        <v>54.918349999999997</v>
      </c>
      <c r="R27">
        <v>56.067340999999999</v>
      </c>
      <c r="S27">
        <v>57.075088999999998</v>
      </c>
      <c r="T27">
        <v>58.053744999999999</v>
      </c>
      <c r="U27">
        <v>59.884880000000003</v>
      </c>
      <c r="V27">
        <v>61.339359000000002</v>
      </c>
      <c r="W27">
        <v>61.986317</v>
      </c>
      <c r="X27">
        <v>62.557228000000002</v>
      </c>
      <c r="Y27">
        <v>63.133384999999997</v>
      </c>
      <c r="Z27">
        <v>63.622498</v>
      </c>
      <c r="AA27">
        <v>64.104545999999999</v>
      </c>
      <c r="AB27">
        <v>64.540099999999995</v>
      </c>
      <c r="AC27">
        <v>64.923125999999996</v>
      </c>
      <c r="AD27">
        <v>65.328368999999995</v>
      </c>
      <c r="AE27">
        <v>65.725395000000006</v>
      </c>
      <c r="AF27">
        <v>66.211028999999996</v>
      </c>
      <c r="AG27" s="71">
        <v>4.1000000000000002E-2</v>
      </c>
    </row>
    <row r="28" spans="1:33" x14ac:dyDescent="0.75">
      <c r="A28" t="s">
        <v>121</v>
      </c>
      <c r="B28" t="s">
        <v>361</v>
      </c>
      <c r="C28" t="s">
        <v>360</v>
      </c>
      <c r="D28" t="s">
        <v>103</v>
      </c>
      <c r="F28">
        <v>1022.998657</v>
      </c>
      <c r="G28">
        <v>1103.068237</v>
      </c>
      <c r="H28">
        <v>1123.446289</v>
      </c>
      <c r="I28">
        <v>1114.3562010000001</v>
      </c>
      <c r="J28">
        <v>1072.568481</v>
      </c>
      <c r="K28">
        <v>1066.084717</v>
      </c>
      <c r="L28">
        <v>1066.224976</v>
      </c>
      <c r="M28">
        <v>1047.2802730000001</v>
      </c>
      <c r="N28">
        <v>1032.5444339999999</v>
      </c>
      <c r="O28">
        <v>1022.975342</v>
      </c>
      <c r="P28">
        <v>1061.9592290000001</v>
      </c>
      <c r="Q28">
        <v>1055.412842</v>
      </c>
      <c r="R28">
        <v>1045.391357</v>
      </c>
      <c r="S28">
        <v>1045.892822</v>
      </c>
      <c r="T28">
        <v>1050.6782229999999</v>
      </c>
      <c r="U28">
        <v>1056.676514</v>
      </c>
      <c r="V28">
        <v>1050.779297</v>
      </c>
      <c r="W28">
        <v>1044.5157469999999</v>
      </c>
      <c r="X28">
        <v>1039.220703</v>
      </c>
      <c r="Y28">
        <v>1036.509888</v>
      </c>
      <c r="Z28">
        <v>1030.9011230000001</v>
      </c>
      <c r="AA28">
        <v>1031.0479740000001</v>
      </c>
      <c r="AB28">
        <v>1023.457764</v>
      </c>
      <c r="AC28">
        <v>1015.203003</v>
      </c>
      <c r="AD28">
        <v>1006.228149</v>
      </c>
      <c r="AE28">
        <v>998.74969499999997</v>
      </c>
      <c r="AF28">
        <v>1002.8836669999999</v>
      </c>
      <c r="AG28" s="71">
        <v>-1E-3</v>
      </c>
    </row>
    <row r="29" spans="1:33" x14ac:dyDescent="0.75">
      <c r="A29" t="s">
        <v>122</v>
      </c>
    </row>
    <row r="30" spans="1:33" x14ac:dyDescent="0.75">
      <c r="A30" t="s">
        <v>123</v>
      </c>
    </row>
    <row r="31" spans="1:33" x14ac:dyDescent="0.75">
      <c r="A31" t="s">
        <v>102</v>
      </c>
      <c r="B31" t="s">
        <v>359</v>
      </c>
      <c r="C31" t="s">
        <v>358</v>
      </c>
      <c r="D31" t="s">
        <v>103</v>
      </c>
      <c r="F31">
        <v>1496.6757809999999</v>
      </c>
      <c r="G31">
        <v>1377.971558</v>
      </c>
      <c r="H31">
        <v>1427.4399410000001</v>
      </c>
      <c r="I31">
        <v>1393.2626949999999</v>
      </c>
      <c r="J31">
        <v>1322.0467530000001</v>
      </c>
      <c r="K31">
        <v>1304.000366</v>
      </c>
      <c r="L31">
        <v>1262.0119629999999</v>
      </c>
      <c r="M31">
        <v>1210.9243160000001</v>
      </c>
      <c r="N31">
        <v>1185.505249</v>
      </c>
      <c r="O31">
        <v>1230.624634</v>
      </c>
      <c r="P31">
        <v>1190.0607910000001</v>
      </c>
      <c r="Q31">
        <v>1173.6994629999999</v>
      </c>
      <c r="R31">
        <v>1156.3549800000001</v>
      </c>
      <c r="S31">
        <v>1141.4197999999999</v>
      </c>
      <c r="T31">
        <v>1129.140625</v>
      </c>
      <c r="U31">
        <v>1118.5500489999999</v>
      </c>
      <c r="V31">
        <v>1113.621582</v>
      </c>
      <c r="W31">
        <v>1101.3292240000001</v>
      </c>
      <c r="X31">
        <v>1089.4492190000001</v>
      </c>
      <c r="Y31">
        <v>1072.699707</v>
      </c>
      <c r="Z31">
        <v>1063.3666989999999</v>
      </c>
      <c r="AA31">
        <v>1050.8432620000001</v>
      </c>
      <c r="AB31">
        <v>1039.8587649999999</v>
      </c>
      <c r="AC31">
        <v>1030.4208980000001</v>
      </c>
      <c r="AD31">
        <v>1013.346313</v>
      </c>
      <c r="AE31">
        <v>998.41656499999999</v>
      </c>
      <c r="AF31">
        <v>977.18316700000003</v>
      </c>
      <c r="AG31" s="71">
        <v>-1.6E-2</v>
      </c>
    </row>
    <row r="32" spans="1:33" x14ac:dyDescent="0.75">
      <c r="A32" t="s">
        <v>104</v>
      </c>
      <c r="B32" t="s">
        <v>357</v>
      </c>
      <c r="C32" t="s">
        <v>356</v>
      </c>
      <c r="D32" t="s">
        <v>103</v>
      </c>
      <c r="F32">
        <v>54.013474000000002</v>
      </c>
      <c r="G32">
        <v>49.944439000000003</v>
      </c>
      <c r="H32">
        <v>49.865611999999999</v>
      </c>
      <c r="I32">
        <v>48.529269999999997</v>
      </c>
      <c r="J32">
        <v>46.925986999999999</v>
      </c>
      <c r="K32">
        <v>47.499766999999999</v>
      </c>
      <c r="L32">
        <v>36.370528999999998</v>
      </c>
      <c r="M32">
        <v>35.405186</v>
      </c>
      <c r="N32">
        <v>35.109248999999998</v>
      </c>
      <c r="O32">
        <v>37.241875</v>
      </c>
      <c r="P32">
        <v>36.545138999999999</v>
      </c>
      <c r="Q32">
        <v>36.461646999999999</v>
      </c>
      <c r="R32">
        <v>36.629635</v>
      </c>
      <c r="S32">
        <v>36.154201999999998</v>
      </c>
      <c r="T32">
        <v>35.955478999999997</v>
      </c>
      <c r="U32">
        <v>35.884117000000003</v>
      </c>
      <c r="V32">
        <v>35.856667000000002</v>
      </c>
      <c r="W32">
        <v>35.612617</v>
      </c>
      <c r="X32">
        <v>35.254615999999999</v>
      </c>
      <c r="Y32">
        <v>34.768344999999997</v>
      </c>
      <c r="Z32">
        <v>34.447124000000002</v>
      </c>
      <c r="AA32">
        <v>34.062823999999999</v>
      </c>
      <c r="AB32">
        <v>33.677501999999997</v>
      </c>
      <c r="AC32">
        <v>33.413567</v>
      </c>
      <c r="AD32">
        <v>32.958419999999997</v>
      </c>
      <c r="AE32">
        <v>32.560550999999997</v>
      </c>
      <c r="AF32">
        <v>32.186157000000001</v>
      </c>
      <c r="AG32" s="71">
        <v>-0.02</v>
      </c>
    </row>
    <row r="33" spans="1:33" x14ac:dyDescent="0.75">
      <c r="A33" t="s">
        <v>124</v>
      </c>
      <c r="B33" t="s">
        <v>355</v>
      </c>
      <c r="C33" t="s">
        <v>354</v>
      </c>
      <c r="D33" t="s">
        <v>103</v>
      </c>
      <c r="F33">
        <v>1550.6892089999999</v>
      </c>
      <c r="G33">
        <v>1427.9160159999999</v>
      </c>
      <c r="H33">
        <v>1477.3055420000001</v>
      </c>
      <c r="I33">
        <v>1441.7919919999999</v>
      </c>
      <c r="J33">
        <v>1368.9727780000001</v>
      </c>
      <c r="K33">
        <v>1351.5001219999999</v>
      </c>
      <c r="L33">
        <v>1298.3824460000001</v>
      </c>
      <c r="M33">
        <v>1246.3294679999999</v>
      </c>
      <c r="N33">
        <v>1220.6145019999999</v>
      </c>
      <c r="O33">
        <v>1267.8664550000001</v>
      </c>
      <c r="P33">
        <v>1226.605957</v>
      </c>
      <c r="Q33">
        <v>1210.1611330000001</v>
      </c>
      <c r="R33">
        <v>1192.9846190000001</v>
      </c>
      <c r="S33">
        <v>1177.573975</v>
      </c>
      <c r="T33">
        <v>1165.0960689999999</v>
      </c>
      <c r="U33">
        <v>1154.4342039999999</v>
      </c>
      <c r="V33">
        <v>1149.4782709999999</v>
      </c>
      <c r="W33">
        <v>1136.9418949999999</v>
      </c>
      <c r="X33">
        <v>1124.703857</v>
      </c>
      <c r="Y33">
        <v>1107.468018</v>
      </c>
      <c r="Z33">
        <v>1097.8138429999999</v>
      </c>
      <c r="AA33">
        <v>1084.9061280000001</v>
      </c>
      <c r="AB33">
        <v>1073.536255</v>
      </c>
      <c r="AC33">
        <v>1063.8344729999999</v>
      </c>
      <c r="AD33">
        <v>1046.3046879999999</v>
      </c>
      <c r="AE33">
        <v>1030.977173</v>
      </c>
      <c r="AF33">
        <v>1009.369324</v>
      </c>
      <c r="AG33" s="71">
        <v>-1.6E-2</v>
      </c>
    </row>
    <row r="34" spans="1:33" x14ac:dyDescent="0.75">
      <c r="A34" t="s">
        <v>125</v>
      </c>
    </row>
    <row r="35" spans="1:33" x14ac:dyDescent="0.75">
      <c r="A35" t="s">
        <v>107</v>
      </c>
      <c r="B35" t="s">
        <v>353</v>
      </c>
      <c r="C35" t="s">
        <v>352</v>
      </c>
      <c r="D35" t="s">
        <v>103</v>
      </c>
      <c r="F35">
        <v>57.204937000000001</v>
      </c>
      <c r="G35">
        <v>52.795475000000003</v>
      </c>
      <c r="H35">
        <v>52.456871</v>
      </c>
      <c r="I35">
        <v>46.821922000000001</v>
      </c>
      <c r="J35">
        <v>44.198109000000002</v>
      </c>
      <c r="K35">
        <v>42.906174</v>
      </c>
      <c r="L35">
        <v>27.594023</v>
      </c>
      <c r="M35">
        <v>26.290958</v>
      </c>
      <c r="N35">
        <v>25.425574999999998</v>
      </c>
      <c r="O35">
        <v>27.341578999999999</v>
      </c>
      <c r="P35">
        <v>26.258495</v>
      </c>
      <c r="Q35">
        <v>25.675545</v>
      </c>
      <c r="R35">
        <v>25.218792000000001</v>
      </c>
      <c r="S35">
        <v>24.677727000000001</v>
      </c>
      <c r="T35">
        <v>24.191120000000002</v>
      </c>
      <c r="U35">
        <v>23.692411</v>
      </c>
      <c r="V35">
        <v>23.380018</v>
      </c>
      <c r="W35">
        <v>22.947206000000001</v>
      </c>
      <c r="X35">
        <v>22.546261000000001</v>
      </c>
      <c r="Y35">
        <v>22.014841000000001</v>
      </c>
      <c r="Z35">
        <v>21.680551999999999</v>
      </c>
      <c r="AA35">
        <v>21.254249999999999</v>
      </c>
      <c r="AB35">
        <v>20.909625999999999</v>
      </c>
      <c r="AC35">
        <v>20.627026000000001</v>
      </c>
      <c r="AD35">
        <v>20.165443</v>
      </c>
      <c r="AE35">
        <v>19.745695000000001</v>
      </c>
      <c r="AF35">
        <v>19.07929</v>
      </c>
      <c r="AG35" s="71">
        <v>-4.1000000000000002E-2</v>
      </c>
    </row>
    <row r="36" spans="1:33" x14ac:dyDescent="0.75">
      <c r="A36" t="s">
        <v>235</v>
      </c>
      <c r="B36" t="s">
        <v>351</v>
      </c>
      <c r="C36" t="s">
        <v>350</v>
      </c>
      <c r="D36" t="s">
        <v>103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111</v>
      </c>
    </row>
    <row r="37" spans="1:33" x14ac:dyDescent="0.75">
      <c r="A37" t="s">
        <v>232</v>
      </c>
      <c r="B37" t="s">
        <v>349</v>
      </c>
      <c r="C37" t="s">
        <v>348</v>
      </c>
      <c r="D37" t="s">
        <v>103</v>
      </c>
      <c r="F37">
        <v>12.450239</v>
      </c>
      <c r="G37">
        <v>21.502140000000001</v>
      </c>
      <c r="H37">
        <v>31.737911</v>
      </c>
      <c r="I37">
        <v>42.907432999999997</v>
      </c>
      <c r="J37">
        <v>46.079884</v>
      </c>
      <c r="K37">
        <v>41.218280999999998</v>
      </c>
      <c r="L37">
        <v>23.551639999999999</v>
      </c>
      <c r="M37">
        <v>26.311964</v>
      </c>
      <c r="N37">
        <v>30.175218999999998</v>
      </c>
      <c r="O37">
        <v>23.702193999999999</v>
      </c>
      <c r="P37">
        <v>26.182247</v>
      </c>
      <c r="Q37">
        <v>29.602585000000001</v>
      </c>
      <c r="R37">
        <v>32.617981</v>
      </c>
      <c r="S37">
        <v>35.260421999999998</v>
      </c>
      <c r="T37">
        <v>38.133918999999999</v>
      </c>
      <c r="U37">
        <v>41.216686000000003</v>
      </c>
      <c r="V37">
        <v>43.747017</v>
      </c>
      <c r="W37">
        <v>45.814158999999997</v>
      </c>
      <c r="X37">
        <v>47.570048999999997</v>
      </c>
      <c r="Y37">
        <v>49.463467000000001</v>
      </c>
      <c r="Z37">
        <v>51.000832000000003</v>
      </c>
      <c r="AA37">
        <v>52.737335000000002</v>
      </c>
      <c r="AB37">
        <v>54.003810999999999</v>
      </c>
      <c r="AC37">
        <v>55.042278000000003</v>
      </c>
      <c r="AD37">
        <v>56.031235000000002</v>
      </c>
      <c r="AE37">
        <v>57.006659999999997</v>
      </c>
      <c r="AF37">
        <v>58.835075000000003</v>
      </c>
      <c r="AG37" s="71">
        <v>6.2E-2</v>
      </c>
    </row>
    <row r="38" spans="1:33" x14ac:dyDescent="0.75">
      <c r="A38" t="s">
        <v>229</v>
      </c>
      <c r="B38" t="s">
        <v>347</v>
      </c>
      <c r="C38" t="s">
        <v>346</v>
      </c>
      <c r="D38" t="s">
        <v>103</v>
      </c>
      <c r="F38">
        <v>27.064063999999998</v>
      </c>
      <c r="G38">
        <v>52.583430999999997</v>
      </c>
      <c r="H38">
        <v>77.060890000000001</v>
      </c>
      <c r="I38">
        <v>102.197647</v>
      </c>
      <c r="J38">
        <v>114.63164500000001</v>
      </c>
      <c r="K38">
        <v>111.852844</v>
      </c>
      <c r="L38">
        <v>95.938559999999995</v>
      </c>
      <c r="M38">
        <v>101.41690800000001</v>
      </c>
      <c r="N38">
        <v>109.64160200000001</v>
      </c>
      <c r="O38">
        <v>92.508553000000006</v>
      </c>
      <c r="P38">
        <v>98.221633999999995</v>
      </c>
      <c r="Q38">
        <v>106.04376999999999</v>
      </c>
      <c r="R38">
        <v>112.73107899999999</v>
      </c>
      <c r="S38">
        <v>118.130287</v>
      </c>
      <c r="T38">
        <v>123.793198</v>
      </c>
      <c r="U38">
        <v>129.599411</v>
      </c>
      <c r="V38">
        <v>134.06059300000001</v>
      </c>
      <c r="W38">
        <v>137.487762</v>
      </c>
      <c r="X38">
        <v>140.21632399999999</v>
      </c>
      <c r="Y38">
        <v>142.91291799999999</v>
      </c>
      <c r="Z38">
        <v>145.174744</v>
      </c>
      <c r="AA38">
        <v>147.609421</v>
      </c>
      <c r="AB38">
        <v>149.108597</v>
      </c>
      <c r="AC38">
        <v>150.26869199999999</v>
      </c>
      <c r="AD38">
        <v>150.98097200000001</v>
      </c>
      <c r="AE38">
        <v>151.78967299999999</v>
      </c>
      <c r="AF38">
        <v>153.827744</v>
      </c>
      <c r="AG38" s="71">
        <v>6.9000000000000006E-2</v>
      </c>
    </row>
    <row r="39" spans="1:33" x14ac:dyDescent="0.75">
      <c r="A39" t="s">
        <v>108</v>
      </c>
      <c r="B39" t="s">
        <v>345</v>
      </c>
      <c r="C39" t="s">
        <v>344</v>
      </c>
      <c r="D39" t="s">
        <v>103</v>
      </c>
      <c r="F39">
        <v>53.752003000000002</v>
      </c>
      <c r="G39">
        <v>68.209205999999995</v>
      </c>
      <c r="H39">
        <v>86.803116000000003</v>
      </c>
      <c r="I39">
        <v>97.008292999999995</v>
      </c>
      <c r="J39">
        <v>100.884956</v>
      </c>
      <c r="K39">
        <v>91.801070999999993</v>
      </c>
      <c r="L39">
        <v>98.973129</v>
      </c>
      <c r="M39">
        <v>99.136353</v>
      </c>
      <c r="N39">
        <v>100.370193</v>
      </c>
      <c r="O39">
        <v>90.572738999999999</v>
      </c>
      <c r="P39">
        <v>93.593918000000002</v>
      </c>
      <c r="Q39">
        <v>98.526168999999996</v>
      </c>
      <c r="R39">
        <v>98.569443000000007</v>
      </c>
      <c r="S39">
        <v>100.957268</v>
      </c>
      <c r="T39">
        <v>103.702744</v>
      </c>
      <c r="U39">
        <v>106.644997</v>
      </c>
      <c r="V39">
        <v>108.47288500000001</v>
      </c>
      <c r="W39">
        <v>109.63871</v>
      </c>
      <c r="X39">
        <v>110.369652</v>
      </c>
      <c r="Y39">
        <v>110.943253</v>
      </c>
      <c r="Z39">
        <v>111.267799</v>
      </c>
      <c r="AA39">
        <v>111.59459699999999</v>
      </c>
      <c r="AB39">
        <v>111.604088</v>
      </c>
      <c r="AC39">
        <v>111.623779</v>
      </c>
      <c r="AD39">
        <v>111.179802</v>
      </c>
      <c r="AE39">
        <v>110.899582</v>
      </c>
      <c r="AF39">
        <v>110.877464</v>
      </c>
      <c r="AG39" s="71">
        <v>2.8000000000000001E-2</v>
      </c>
    </row>
    <row r="40" spans="1:33" x14ac:dyDescent="0.75">
      <c r="A40" t="s">
        <v>109</v>
      </c>
      <c r="B40" t="s">
        <v>343</v>
      </c>
      <c r="C40" t="s">
        <v>342</v>
      </c>
      <c r="D40" t="s">
        <v>103</v>
      </c>
      <c r="F40">
        <v>6.2398040000000004</v>
      </c>
      <c r="G40">
        <v>41.033366999999998</v>
      </c>
      <c r="H40">
        <v>33.491264000000001</v>
      </c>
      <c r="I40">
        <v>59.319519</v>
      </c>
      <c r="J40">
        <v>64.146193999999994</v>
      </c>
      <c r="K40">
        <v>56.612563999999999</v>
      </c>
      <c r="L40">
        <v>93.743606999999997</v>
      </c>
      <c r="M40">
        <v>94.803451999999993</v>
      </c>
      <c r="N40">
        <v>97.116614999999996</v>
      </c>
      <c r="O40">
        <v>87.741669000000002</v>
      </c>
      <c r="P40">
        <v>91.315535999999994</v>
      </c>
      <c r="Q40">
        <v>96.837806999999998</v>
      </c>
      <c r="R40">
        <v>111.96874200000001</v>
      </c>
      <c r="S40">
        <v>114.757774</v>
      </c>
      <c r="T40">
        <v>118.09607699999999</v>
      </c>
      <c r="U40">
        <v>121.683029</v>
      </c>
      <c r="V40">
        <v>124.33770800000001</v>
      </c>
      <c r="W40">
        <v>126.07081599999999</v>
      </c>
      <c r="X40">
        <v>127.396553</v>
      </c>
      <c r="Y40">
        <v>128.62271100000001</v>
      </c>
      <c r="Z40">
        <v>129.59318500000001</v>
      </c>
      <c r="AA40">
        <v>130.643631</v>
      </c>
      <c r="AB40">
        <v>131.23262</v>
      </c>
      <c r="AC40">
        <v>131.79276999999999</v>
      </c>
      <c r="AD40">
        <v>131.89404300000001</v>
      </c>
      <c r="AE40">
        <v>132.14880400000001</v>
      </c>
      <c r="AF40">
        <v>132.871262</v>
      </c>
      <c r="AG40" s="71">
        <v>0.125</v>
      </c>
    </row>
    <row r="41" spans="1:33" x14ac:dyDescent="0.75">
      <c r="A41" t="s">
        <v>110</v>
      </c>
      <c r="B41" t="s">
        <v>341</v>
      </c>
      <c r="C41" t="s">
        <v>340</v>
      </c>
      <c r="D41" t="s">
        <v>103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111</v>
      </c>
    </row>
    <row r="42" spans="1:33" x14ac:dyDescent="0.75">
      <c r="A42" t="s">
        <v>112</v>
      </c>
      <c r="B42" t="s">
        <v>339</v>
      </c>
      <c r="C42" t="s">
        <v>338</v>
      </c>
      <c r="D42" t="s">
        <v>103</v>
      </c>
      <c r="F42">
        <v>127.107361</v>
      </c>
      <c r="G42">
        <v>143.075684</v>
      </c>
      <c r="H42">
        <v>151.23448200000001</v>
      </c>
      <c r="I42">
        <v>154.57255599999999</v>
      </c>
      <c r="J42">
        <v>154.386932</v>
      </c>
      <c r="K42">
        <v>157.79763800000001</v>
      </c>
      <c r="L42">
        <v>172.67538500000001</v>
      </c>
      <c r="M42">
        <v>171.009827</v>
      </c>
      <c r="N42">
        <v>171.18524199999999</v>
      </c>
      <c r="O42">
        <v>184.117096</v>
      </c>
      <c r="P42">
        <v>183.09697</v>
      </c>
      <c r="Q42">
        <v>185.782623</v>
      </c>
      <c r="R42">
        <v>188.960373</v>
      </c>
      <c r="S42">
        <v>191.46608000000001</v>
      </c>
      <c r="T42">
        <v>194.41757200000001</v>
      </c>
      <c r="U42">
        <v>197.592026</v>
      </c>
      <c r="V42">
        <v>201.780304</v>
      </c>
      <c r="W42">
        <v>204.64619400000001</v>
      </c>
      <c r="X42">
        <v>207.600998</v>
      </c>
      <c r="Y42">
        <v>209.594223</v>
      </c>
      <c r="Z42">
        <v>213.05360400000001</v>
      </c>
      <c r="AA42">
        <v>215.91738900000001</v>
      </c>
      <c r="AB42">
        <v>219.13700900000001</v>
      </c>
      <c r="AC42">
        <v>222.65914900000001</v>
      </c>
      <c r="AD42">
        <v>224.52183500000001</v>
      </c>
      <c r="AE42">
        <v>226.87142900000001</v>
      </c>
      <c r="AF42">
        <v>227.840225</v>
      </c>
      <c r="AG42" s="71">
        <v>2.3E-2</v>
      </c>
    </row>
    <row r="43" spans="1:33" x14ac:dyDescent="0.75">
      <c r="A43" t="s">
        <v>113</v>
      </c>
      <c r="B43" t="s">
        <v>337</v>
      </c>
      <c r="C43" t="s">
        <v>336</v>
      </c>
      <c r="D43" t="s">
        <v>103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111</v>
      </c>
    </row>
    <row r="44" spans="1:33" x14ac:dyDescent="0.75">
      <c r="A44" t="s">
        <v>114</v>
      </c>
      <c r="B44" t="s">
        <v>335</v>
      </c>
      <c r="C44" t="s">
        <v>334</v>
      </c>
      <c r="D44" t="s">
        <v>103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111</v>
      </c>
    </row>
    <row r="45" spans="1:33" x14ac:dyDescent="0.75">
      <c r="A45" t="s">
        <v>115</v>
      </c>
      <c r="B45" t="s">
        <v>333</v>
      </c>
      <c r="C45" t="s">
        <v>332</v>
      </c>
      <c r="D45" t="s">
        <v>103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111</v>
      </c>
    </row>
    <row r="46" spans="1:33" x14ac:dyDescent="0.75">
      <c r="A46" t="s">
        <v>116</v>
      </c>
      <c r="B46" t="s">
        <v>331</v>
      </c>
      <c r="C46" t="s">
        <v>330</v>
      </c>
      <c r="D46" t="s">
        <v>103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75">
      <c r="A47" t="s">
        <v>117</v>
      </c>
      <c r="B47" t="s">
        <v>329</v>
      </c>
      <c r="C47" t="s">
        <v>328</v>
      </c>
      <c r="D47" t="s">
        <v>103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75">
      <c r="A48" t="s">
        <v>118</v>
      </c>
      <c r="B48" t="s">
        <v>327</v>
      </c>
      <c r="C48" t="s">
        <v>326</v>
      </c>
      <c r="D48" t="s">
        <v>103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111</v>
      </c>
    </row>
    <row r="49" spans="1:33" x14ac:dyDescent="0.75">
      <c r="A49" t="s">
        <v>126</v>
      </c>
      <c r="B49" t="s">
        <v>325</v>
      </c>
      <c r="C49" t="s">
        <v>324</v>
      </c>
      <c r="D49" t="s">
        <v>103</v>
      </c>
      <c r="F49">
        <v>283.81839000000002</v>
      </c>
      <c r="G49">
        <v>379.19931000000003</v>
      </c>
      <c r="H49">
        <v>432.784515</v>
      </c>
      <c r="I49">
        <v>502.82733200000001</v>
      </c>
      <c r="J49">
        <v>524.32769800000005</v>
      </c>
      <c r="K49">
        <v>502.18856799999998</v>
      </c>
      <c r="L49">
        <v>512.47631799999999</v>
      </c>
      <c r="M49">
        <v>518.96948199999997</v>
      </c>
      <c r="N49">
        <v>533.91442900000004</v>
      </c>
      <c r="O49">
        <v>505.98382600000002</v>
      </c>
      <c r="P49">
        <v>518.66882299999997</v>
      </c>
      <c r="Q49">
        <v>542.46850600000005</v>
      </c>
      <c r="R49">
        <v>570.06640600000003</v>
      </c>
      <c r="S49">
        <v>585.24957300000005</v>
      </c>
      <c r="T49">
        <v>602.33459500000004</v>
      </c>
      <c r="U49">
        <v>620.42858899999999</v>
      </c>
      <c r="V49">
        <v>635.778503</v>
      </c>
      <c r="W49">
        <v>646.60485800000004</v>
      </c>
      <c r="X49">
        <v>655.69982900000002</v>
      </c>
      <c r="Y49">
        <v>663.55139199999996</v>
      </c>
      <c r="Z49">
        <v>671.77069100000006</v>
      </c>
      <c r="AA49">
        <v>679.75665300000003</v>
      </c>
      <c r="AB49">
        <v>685.99572799999999</v>
      </c>
      <c r="AC49">
        <v>692.01367200000004</v>
      </c>
      <c r="AD49">
        <v>694.77331500000003</v>
      </c>
      <c r="AE49">
        <v>698.46179199999995</v>
      </c>
      <c r="AF49">
        <v>703.33105499999999</v>
      </c>
      <c r="AG49" s="71">
        <v>3.5999999999999997E-2</v>
      </c>
    </row>
    <row r="50" spans="1:33" x14ac:dyDescent="0.75">
      <c r="A50" t="s">
        <v>323</v>
      </c>
      <c r="B50" t="s">
        <v>322</v>
      </c>
      <c r="C50" t="s">
        <v>321</v>
      </c>
      <c r="D50" t="s">
        <v>120</v>
      </c>
      <c r="F50">
        <v>15.471093</v>
      </c>
      <c r="G50">
        <v>20.983681000000001</v>
      </c>
      <c r="H50">
        <v>22.657806000000001</v>
      </c>
      <c r="I50">
        <v>25.857365000000001</v>
      </c>
      <c r="J50">
        <v>27.693843999999999</v>
      </c>
      <c r="K50">
        <v>27.091308999999999</v>
      </c>
      <c r="L50">
        <v>28.300180000000001</v>
      </c>
      <c r="M50">
        <v>29.398389999999999</v>
      </c>
      <c r="N50">
        <v>30.430641000000001</v>
      </c>
      <c r="O50">
        <v>28.524607</v>
      </c>
      <c r="P50">
        <v>29.718461999999999</v>
      </c>
      <c r="Q50">
        <v>30.951691</v>
      </c>
      <c r="R50">
        <v>32.334083999999997</v>
      </c>
      <c r="S50">
        <v>33.199553999999999</v>
      </c>
      <c r="T50">
        <v>34.079673999999997</v>
      </c>
      <c r="U50">
        <v>34.956425000000003</v>
      </c>
      <c r="V50">
        <v>35.612720000000003</v>
      </c>
      <c r="W50">
        <v>36.253880000000002</v>
      </c>
      <c r="X50">
        <v>36.828716</v>
      </c>
      <c r="Y50">
        <v>37.467201000000003</v>
      </c>
      <c r="Z50">
        <v>37.962059000000004</v>
      </c>
      <c r="AA50">
        <v>38.520480999999997</v>
      </c>
      <c r="AB50">
        <v>38.987395999999997</v>
      </c>
      <c r="AC50">
        <v>39.411934000000002</v>
      </c>
      <c r="AD50">
        <v>39.904778</v>
      </c>
      <c r="AE50">
        <v>40.386612</v>
      </c>
      <c r="AF50">
        <v>41.065620000000003</v>
      </c>
      <c r="AG50" s="71">
        <v>3.7999999999999999E-2</v>
      </c>
    </row>
    <row r="51" spans="1:33" x14ac:dyDescent="0.75">
      <c r="A51" t="s">
        <v>127</v>
      </c>
      <c r="B51" t="s">
        <v>320</v>
      </c>
      <c r="C51" t="s">
        <v>319</v>
      </c>
      <c r="D51" t="s">
        <v>103</v>
      </c>
      <c r="F51">
        <v>1834.507568</v>
      </c>
      <c r="G51">
        <v>1807.115356</v>
      </c>
      <c r="H51">
        <v>1910.0900879999999</v>
      </c>
      <c r="I51">
        <v>1944.619385</v>
      </c>
      <c r="J51">
        <v>1893.3005370000001</v>
      </c>
      <c r="K51">
        <v>1853.688721</v>
      </c>
      <c r="L51">
        <v>1810.8587649999999</v>
      </c>
      <c r="M51">
        <v>1765.2989500000001</v>
      </c>
      <c r="N51">
        <v>1754.5289310000001</v>
      </c>
      <c r="O51">
        <v>1773.850342</v>
      </c>
      <c r="P51">
        <v>1745.27478</v>
      </c>
      <c r="Q51">
        <v>1752.629639</v>
      </c>
      <c r="R51">
        <v>1763.051025</v>
      </c>
      <c r="S51">
        <v>1762.823486</v>
      </c>
      <c r="T51">
        <v>1767.430664</v>
      </c>
      <c r="U51">
        <v>1774.862793</v>
      </c>
      <c r="V51">
        <v>1785.256836</v>
      </c>
      <c r="W51">
        <v>1783.5467530000001</v>
      </c>
      <c r="X51">
        <v>1780.403687</v>
      </c>
      <c r="Y51">
        <v>1771.019409</v>
      </c>
      <c r="Z51">
        <v>1769.5844729999999</v>
      </c>
      <c r="AA51">
        <v>1764.662842</v>
      </c>
      <c r="AB51">
        <v>1759.531982</v>
      </c>
      <c r="AC51">
        <v>1755.8481449999999</v>
      </c>
      <c r="AD51">
        <v>1741.0780030000001</v>
      </c>
      <c r="AE51">
        <v>1729.4389650000001</v>
      </c>
      <c r="AF51">
        <v>1712.700439</v>
      </c>
      <c r="AG51" s="71">
        <v>-3.0000000000000001E-3</v>
      </c>
    </row>
    <row r="52" spans="1:33" x14ac:dyDescent="0.75">
      <c r="A52" t="s">
        <v>148</v>
      </c>
      <c r="B52" t="s">
        <v>318</v>
      </c>
      <c r="C52" t="s">
        <v>317</v>
      </c>
      <c r="D52" t="s">
        <v>103</v>
      </c>
      <c r="F52">
        <v>2857.5063479999999</v>
      </c>
      <c r="G52">
        <v>2910.1835940000001</v>
      </c>
      <c r="H52">
        <v>3033.5363769999999</v>
      </c>
      <c r="I52">
        <v>3058.975586</v>
      </c>
      <c r="J52">
        <v>2965.8691410000001</v>
      </c>
      <c r="K52">
        <v>2919.7734380000002</v>
      </c>
      <c r="L52">
        <v>2877.08374</v>
      </c>
      <c r="M52">
        <v>2812.5791020000001</v>
      </c>
      <c r="N52">
        <v>2787.0732419999999</v>
      </c>
      <c r="O52">
        <v>2796.8256839999999</v>
      </c>
      <c r="P52">
        <v>2807.2338869999999</v>
      </c>
      <c r="Q52">
        <v>2808.0424800000001</v>
      </c>
      <c r="R52">
        <v>2808.4423830000001</v>
      </c>
      <c r="S52">
        <v>2808.7163089999999</v>
      </c>
      <c r="T52">
        <v>2818.1088869999999</v>
      </c>
      <c r="U52">
        <v>2831.539307</v>
      </c>
      <c r="V52">
        <v>2836.0361330000001</v>
      </c>
      <c r="W52">
        <v>2828.0625</v>
      </c>
      <c r="X52">
        <v>2819.6245119999999</v>
      </c>
      <c r="Y52">
        <v>2807.529297</v>
      </c>
      <c r="Z52">
        <v>2800.485596</v>
      </c>
      <c r="AA52">
        <v>2795.7109380000002</v>
      </c>
      <c r="AB52">
        <v>2782.9897460000002</v>
      </c>
      <c r="AC52">
        <v>2771.0512699999999</v>
      </c>
      <c r="AD52">
        <v>2747.3061520000001</v>
      </c>
      <c r="AE52">
        <v>2728.188721</v>
      </c>
      <c r="AF52">
        <v>2715.5839839999999</v>
      </c>
      <c r="AG52" s="71">
        <v>-2E-3</v>
      </c>
    </row>
    <row r="53" spans="1:33" x14ac:dyDescent="0.75">
      <c r="A53" t="s">
        <v>316</v>
      </c>
    </row>
    <row r="54" spans="1:33" x14ac:dyDescent="0.75">
      <c r="A54" t="s">
        <v>199</v>
      </c>
      <c r="B54" t="s">
        <v>315</v>
      </c>
      <c r="C54" t="s">
        <v>314</v>
      </c>
      <c r="D54" t="s">
        <v>103</v>
      </c>
      <c r="F54">
        <v>308.11190800000003</v>
      </c>
      <c r="G54">
        <v>312.59161399999999</v>
      </c>
      <c r="H54">
        <v>324.59042399999998</v>
      </c>
      <c r="I54">
        <v>325.98339800000002</v>
      </c>
      <c r="J54">
        <v>307.92767300000003</v>
      </c>
      <c r="K54">
        <v>291.56140099999999</v>
      </c>
      <c r="L54">
        <v>277.50204500000001</v>
      </c>
      <c r="M54">
        <v>256.64267000000001</v>
      </c>
      <c r="N54">
        <v>242.15841699999999</v>
      </c>
      <c r="O54">
        <v>234.620712</v>
      </c>
      <c r="P54">
        <v>226.047134</v>
      </c>
      <c r="Q54">
        <v>210.58648700000001</v>
      </c>
      <c r="R54">
        <v>200.724411</v>
      </c>
      <c r="S54">
        <v>192.04600500000001</v>
      </c>
      <c r="T54">
        <v>181.99903900000001</v>
      </c>
      <c r="U54">
        <v>172.91270399999999</v>
      </c>
      <c r="V54">
        <v>164.55763200000001</v>
      </c>
      <c r="W54">
        <v>150.27763400000001</v>
      </c>
      <c r="X54">
        <v>140.097092</v>
      </c>
      <c r="Y54">
        <v>131.64794900000001</v>
      </c>
      <c r="Z54">
        <v>123.323044</v>
      </c>
      <c r="AA54">
        <v>115.621033</v>
      </c>
      <c r="AB54">
        <v>107.038788</v>
      </c>
      <c r="AC54">
        <v>98.117767000000001</v>
      </c>
      <c r="AD54">
        <v>92.400558000000004</v>
      </c>
      <c r="AE54">
        <v>85.658126999999993</v>
      </c>
      <c r="AF54">
        <v>75.374442999999999</v>
      </c>
      <c r="AG54" s="71">
        <v>-5.2999999999999999E-2</v>
      </c>
    </row>
    <row r="55" spans="1:33" x14ac:dyDescent="0.75">
      <c r="A55" t="s">
        <v>196</v>
      </c>
      <c r="B55" t="s">
        <v>313</v>
      </c>
      <c r="C55" t="s">
        <v>312</v>
      </c>
      <c r="D55" t="s">
        <v>103</v>
      </c>
      <c r="F55">
        <v>67.145263999999997</v>
      </c>
      <c r="G55">
        <v>67.079284999999999</v>
      </c>
      <c r="H55">
        <v>68.688995000000006</v>
      </c>
      <c r="I55">
        <v>68.097374000000002</v>
      </c>
      <c r="J55">
        <v>63.543655000000001</v>
      </c>
      <c r="K55">
        <v>59.483044</v>
      </c>
      <c r="L55">
        <v>56.038043999999999</v>
      </c>
      <c r="M55">
        <v>51.293224000000002</v>
      </c>
      <c r="N55">
        <v>47.974766000000002</v>
      </c>
      <c r="O55">
        <v>46.126167000000002</v>
      </c>
      <c r="P55">
        <v>44.120026000000003</v>
      </c>
      <c r="Q55">
        <v>40.821418999999999</v>
      </c>
      <c r="R55">
        <v>38.693210999999998</v>
      </c>
      <c r="S55">
        <v>36.845607999999999</v>
      </c>
      <c r="T55">
        <v>34.764732000000002</v>
      </c>
      <c r="U55">
        <v>32.907845000000002</v>
      </c>
      <c r="V55">
        <v>31.219090999999999</v>
      </c>
      <c r="W55">
        <v>28.432919999999999</v>
      </c>
      <c r="X55">
        <v>26.446048999999999</v>
      </c>
      <c r="Y55">
        <v>24.804527</v>
      </c>
      <c r="Z55">
        <v>23.198021000000001</v>
      </c>
      <c r="AA55">
        <v>21.725245000000001</v>
      </c>
      <c r="AB55">
        <v>20.099218</v>
      </c>
      <c r="AC55">
        <v>18.405519000000002</v>
      </c>
      <c r="AD55">
        <v>17.319395</v>
      </c>
      <c r="AE55">
        <v>16.053578999999999</v>
      </c>
      <c r="AF55">
        <v>14.130248999999999</v>
      </c>
      <c r="AG55" s="71">
        <v>-5.8000000000000003E-2</v>
      </c>
    </row>
    <row r="56" spans="1:33" x14ac:dyDescent="0.75">
      <c r="A56" t="s">
        <v>193</v>
      </c>
      <c r="B56" t="s">
        <v>311</v>
      </c>
      <c r="C56" t="s">
        <v>310</v>
      </c>
      <c r="D56" t="s">
        <v>103</v>
      </c>
      <c r="F56">
        <v>4.7229999999999998E-3</v>
      </c>
      <c r="G56">
        <v>4.7990000000000003E-3</v>
      </c>
      <c r="H56">
        <v>4.9820000000000003E-3</v>
      </c>
      <c r="I56">
        <v>5.006E-3</v>
      </c>
      <c r="J56">
        <v>4.8549999999999999E-3</v>
      </c>
      <c r="K56">
        <v>4.764E-3</v>
      </c>
      <c r="L56">
        <v>4.6880000000000003E-3</v>
      </c>
      <c r="M56">
        <v>4.5760000000000002E-3</v>
      </c>
      <c r="N56">
        <v>4.5329999999999997E-3</v>
      </c>
      <c r="O56">
        <v>4.5500000000000002E-3</v>
      </c>
      <c r="P56">
        <v>4.5669999999999999E-3</v>
      </c>
      <c r="Q56">
        <v>4.5620000000000001E-3</v>
      </c>
      <c r="R56">
        <v>4.5570000000000003E-3</v>
      </c>
      <c r="S56">
        <v>4.5409999999999999E-3</v>
      </c>
      <c r="T56">
        <v>4.5380000000000004E-3</v>
      </c>
      <c r="U56">
        <v>4.5440000000000003E-3</v>
      </c>
      <c r="V56">
        <v>4.5129999999999997E-3</v>
      </c>
      <c r="W56">
        <v>4.4660000000000004E-3</v>
      </c>
      <c r="X56">
        <v>4.4050000000000001E-3</v>
      </c>
      <c r="Y56">
        <v>4.3600000000000002E-3</v>
      </c>
      <c r="Z56">
        <v>4.3179999999999998E-3</v>
      </c>
      <c r="AA56">
        <v>4.2640000000000004E-3</v>
      </c>
      <c r="AB56">
        <v>4.2209999999999999E-3</v>
      </c>
      <c r="AC56">
        <v>4.1910000000000003E-3</v>
      </c>
      <c r="AD56">
        <v>4.1219999999999998E-3</v>
      </c>
      <c r="AE56">
        <v>4.071E-3</v>
      </c>
      <c r="AF56">
        <v>4.045E-3</v>
      </c>
      <c r="AG56" s="71">
        <v>-6.0000000000000001E-3</v>
      </c>
    </row>
    <row r="57" spans="1:33" x14ac:dyDescent="0.75">
      <c r="A57" t="s">
        <v>190</v>
      </c>
      <c r="B57" t="s">
        <v>309</v>
      </c>
      <c r="C57" t="s">
        <v>308</v>
      </c>
      <c r="D57" t="s">
        <v>103</v>
      </c>
      <c r="F57">
        <v>3.2221289999999998</v>
      </c>
      <c r="G57">
        <v>3.0796030000000001</v>
      </c>
      <c r="H57">
        <v>3.4208189999999998</v>
      </c>
      <c r="I57">
        <v>3.5292789999999998</v>
      </c>
      <c r="J57">
        <v>3.7614519999999998</v>
      </c>
      <c r="K57">
        <v>4.0856279999999998</v>
      </c>
      <c r="L57">
        <v>4.3721180000000004</v>
      </c>
      <c r="M57">
        <v>4.5538429999999996</v>
      </c>
      <c r="N57">
        <v>4.9342030000000001</v>
      </c>
      <c r="O57">
        <v>5.4382279999999996</v>
      </c>
      <c r="P57">
        <v>6.0295370000000004</v>
      </c>
      <c r="Q57">
        <v>6.646255</v>
      </c>
      <c r="R57">
        <v>7.4135150000000003</v>
      </c>
      <c r="S57">
        <v>8.3628239999999998</v>
      </c>
      <c r="T57">
        <v>9.6407559999999997</v>
      </c>
      <c r="U57">
        <v>11.009352</v>
      </c>
      <c r="V57">
        <v>12.363512</v>
      </c>
      <c r="W57">
        <v>13.649505</v>
      </c>
      <c r="X57">
        <v>14.565557</v>
      </c>
      <c r="Y57">
        <v>15.518796999999999</v>
      </c>
      <c r="Z57">
        <v>16.400015</v>
      </c>
      <c r="AA57">
        <v>17.037451000000001</v>
      </c>
      <c r="AB57">
        <v>17.633512</v>
      </c>
      <c r="AC57">
        <v>18.208347</v>
      </c>
      <c r="AD57">
        <v>18.523561000000001</v>
      </c>
      <c r="AE57">
        <v>18.747091000000001</v>
      </c>
      <c r="AF57">
        <v>18.992578999999999</v>
      </c>
      <c r="AG57" s="71">
        <v>7.0999999999999994E-2</v>
      </c>
    </row>
    <row r="58" spans="1:33" x14ac:dyDescent="0.75">
      <c r="A58" t="s">
        <v>187</v>
      </c>
      <c r="B58" t="s">
        <v>307</v>
      </c>
      <c r="C58" t="s">
        <v>306</v>
      </c>
      <c r="D58" t="s">
        <v>103</v>
      </c>
      <c r="F58">
        <v>77.639152999999993</v>
      </c>
      <c r="G58">
        <v>78.865645999999998</v>
      </c>
      <c r="H58">
        <v>81.835151999999994</v>
      </c>
      <c r="I58">
        <v>82.176704000000001</v>
      </c>
      <c r="J58">
        <v>79.644226000000003</v>
      </c>
      <c r="K58">
        <v>78.084121999999994</v>
      </c>
      <c r="L58">
        <v>76.741425000000007</v>
      </c>
      <c r="M58">
        <v>74.806884999999994</v>
      </c>
      <c r="N58">
        <v>73.964622000000006</v>
      </c>
      <c r="O58">
        <v>74.068695000000005</v>
      </c>
      <c r="P58">
        <v>74.136307000000002</v>
      </c>
      <c r="Q58">
        <v>73.809455999999997</v>
      </c>
      <c r="R58">
        <v>73.447975</v>
      </c>
      <c r="S58">
        <v>72.851196000000002</v>
      </c>
      <c r="T58">
        <v>72.434119999999993</v>
      </c>
      <c r="U58">
        <v>72.119056999999998</v>
      </c>
      <c r="V58">
        <v>71.207947000000004</v>
      </c>
      <c r="W58">
        <v>70.024947999999995</v>
      </c>
      <c r="X58">
        <v>68.655890999999997</v>
      </c>
      <c r="Y58">
        <v>67.573265000000006</v>
      </c>
      <c r="Z58">
        <v>66.569205999999994</v>
      </c>
      <c r="AA58">
        <v>65.410797000000002</v>
      </c>
      <c r="AB58">
        <v>64.491553999999994</v>
      </c>
      <c r="AC58">
        <v>63.805706000000001</v>
      </c>
      <c r="AD58">
        <v>62.557727999999997</v>
      </c>
      <c r="AE58">
        <v>61.634956000000003</v>
      </c>
      <c r="AF58">
        <v>61.121136</v>
      </c>
      <c r="AG58" s="71">
        <v>-8.9999999999999993E-3</v>
      </c>
    </row>
    <row r="59" spans="1:33" x14ac:dyDescent="0.75">
      <c r="A59" t="s">
        <v>135</v>
      </c>
      <c r="B59" t="s">
        <v>305</v>
      </c>
      <c r="C59" t="s">
        <v>304</v>
      </c>
      <c r="D59" t="s">
        <v>103</v>
      </c>
      <c r="F59">
        <v>16.166</v>
      </c>
      <c r="G59">
        <v>16.426918000000001</v>
      </c>
      <c r="H59">
        <v>17.052851</v>
      </c>
      <c r="I59">
        <v>17.133610000000001</v>
      </c>
      <c r="J59">
        <v>16.619444000000001</v>
      </c>
      <c r="K59">
        <v>16.321263999999999</v>
      </c>
      <c r="L59">
        <v>16.085108000000002</v>
      </c>
      <c r="M59">
        <v>19.607945999999998</v>
      </c>
      <c r="N59">
        <v>23.500699999999998</v>
      </c>
      <c r="O59">
        <v>26.040392000000001</v>
      </c>
      <c r="P59">
        <v>30.453899</v>
      </c>
      <c r="Q59">
        <v>37.418593999999999</v>
      </c>
      <c r="R59">
        <v>44.007702000000002</v>
      </c>
      <c r="S59">
        <v>50.358719000000001</v>
      </c>
      <c r="T59">
        <v>56.303767999999998</v>
      </c>
      <c r="U59">
        <v>61.682155999999999</v>
      </c>
      <c r="V59">
        <v>65.400283999999999</v>
      </c>
      <c r="W59">
        <v>70.511780000000002</v>
      </c>
      <c r="X59">
        <v>74.636313999999999</v>
      </c>
      <c r="Y59">
        <v>78.882721000000004</v>
      </c>
      <c r="Z59">
        <v>82.320662999999996</v>
      </c>
      <c r="AA59">
        <v>83.991989000000004</v>
      </c>
      <c r="AB59">
        <v>85.502555999999998</v>
      </c>
      <c r="AC59">
        <v>86.436974000000006</v>
      </c>
      <c r="AD59">
        <v>86.012596000000002</v>
      </c>
      <c r="AE59">
        <v>86.235764000000003</v>
      </c>
      <c r="AF59">
        <v>87.363608999999997</v>
      </c>
      <c r="AG59" s="71">
        <v>6.7000000000000004E-2</v>
      </c>
    </row>
    <row r="60" spans="1:33" x14ac:dyDescent="0.75">
      <c r="A60" t="s">
        <v>182</v>
      </c>
      <c r="B60" t="s">
        <v>303</v>
      </c>
      <c r="C60" t="s">
        <v>302</v>
      </c>
      <c r="D60" t="s">
        <v>103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111</v>
      </c>
    </row>
    <row r="61" spans="1:33" x14ac:dyDescent="0.75">
      <c r="A61" t="s">
        <v>179</v>
      </c>
      <c r="B61" t="s">
        <v>301</v>
      </c>
      <c r="C61" t="s">
        <v>300</v>
      </c>
      <c r="D61" t="s">
        <v>103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111</v>
      </c>
    </row>
    <row r="62" spans="1:33" x14ac:dyDescent="0.75">
      <c r="A62" t="s">
        <v>139</v>
      </c>
      <c r="B62" t="s">
        <v>299</v>
      </c>
      <c r="C62" t="s">
        <v>298</v>
      </c>
      <c r="D62" t="s">
        <v>103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75">
      <c r="A63" t="s">
        <v>174</v>
      </c>
      <c r="B63" t="s">
        <v>297</v>
      </c>
      <c r="C63" t="s">
        <v>296</v>
      </c>
      <c r="D63" t="s">
        <v>103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111</v>
      </c>
    </row>
    <row r="64" spans="1:33" x14ac:dyDescent="0.75">
      <c r="A64" t="s">
        <v>171</v>
      </c>
      <c r="B64" t="s">
        <v>295</v>
      </c>
      <c r="C64" t="s">
        <v>294</v>
      </c>
      <c r="D64" t="s">
        <v>103</v>
      </c>
      <c r="F64">
        <v>0</v>
      </c>
      <c r="G64">
        <v>1.8639939999999999</v>
      </c>
      <c r="H64">
        <v>2.6052219999999999</v>
      </c>
      <c r="I64">
        <v>3.6325340000000002</v>
      </c>
      <c r="J64">
        <v>13.979903</v>
      </c>
      <c r="K64">
        <v>26.902542</v>
      </c>
      <c r="L64">
        <v>38.175776999999997</v>
      </c>
      <c r="M64">
        <v>51.137081000000002</v>
      </c>
      <c r="N64">
        <v>61.539425000000001</v>
      </c>
      <c r="O64">
        <v>69.551422000000002</v>
      </c>
      <c r="P64">
        <v>76.718299999999999</v>
      </c>
      <c r="Q64">
        <v>87.618613999999994</v>
      </c>
      <c r="R64">
        <v>92.094314999999995</v>
      </c>
      <c r="S64">
        <v>95.547295000000005</v>
      </c>
      <c r="T64">
        <v>101.930519</v>
      </c>
      <c r="U64">
        <v>108.185265</v>
      </c>
      <c r="V64">
        <v>114.322731</v>
      </c>
      <c r="W64">
        <v>124.38297300000001</v>
      </c>
      <c r="X64">
        <v>131.01068100000001</v>
      </c>
      <c r="Y64">
        <v>134.45678699999999</v>
      </c>
      <c r="Z64">
        <v>139.532532</v>
      </c>
      <c r="AA64">
        <v>146.235703</v>
      </c>
      <c r="AB64">
        <v>152.842972</v>
      </c>
      <c r="AC64">
        <v>160.214493</v>
      </c>
      <c r="AD64">
        <v>164.025757</v>
      </c>
      <c r="AE64">
        <v>169.004211</v>
      </c>
      <c r="AF64">
        <v>177.831131</v>
      </c>
      <c r="AG64" t="s">
        <v>111</v>
      </c>
    </row>
    <row r="65" spans="1:33" x14ac:dyDescent="0.75">
      <c r="A65" t="s">
        <v>168</v>
      </c>
      <c r="B65" t="s">
        <v>293</v>
      </c>
      <c r="C65" t="s">
        <v>292</v>
      </c>
      <c r="D65" t="s">
        <v>103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111</v>
      </c>
    </row>
    <row r="66" spans="1:33" x14ac:dyDescent="0.75">
      <c r="A66" t="s">
        <v>291</v>
      </c>
      <c r="B66" t="s">
        <v>290</v>
      </c>
      <c r="C66" t="s">
        <v>289</v>
      </c>
      <c r="D66" t="s">
        <v>103</v>
      </c>
      <c r="F66">
        <v>472.28918499999997</v>
      </c>
      <c r="G66">
        <v>479.91180400000002</v>
      </c>
      <c r="H66">
        <v>498.19842499999999</v>
      </c>
      <c r="I66">
        <v>500.55789199999998</v>
      </c>
      <c r="J66">
        <v>485.48117100000002</v>
      </c>
      <c r="K66">
        <v>476.44274899999999</v>
      </c>
      <c r="L66">
        <v>468.91924999999998</v>
      </c>
      <c r="M66">
        <v>458.04620399999999</v>
      </c>
      <c r="N66">
        <v>454.07669099999998</v>
      </c>
      <c r="O66">
        <v>455.850189</v>
      </c>
      <c r="P66">
        <v>457.50976600000001</v>
      </c>
      <c r="Q66">
        <v>456.90536500000002</v>
      </c>
      <c r="R66">
        <v>456.38568099999998</v>
      </c>
      <c r="S66">
        <v>456.01617399999998</v>
      </c>
      <c r="T66">
        <v>457.07745399999999</v>
      </c>
      <c r="U66">
        <v>458.82095299999997</v>
      </c>
      <c r="V66">
        <v>459.075714</v>
      </c>
      <c r="W66">
        <v>457.28420999999997</v>
      </c>
      <c r="X66">
        <v>455.41598499999998</v>
      </c>
      <c r="Y66">
        <v>452.88842799999998</v>
      </c>
      <c r="Z66">
        <v>451.34777800000001</v>
      </c>
      <c r="AA66">
        <v>450.02648900000003</v>
      </c>
      <c r="AB66">
        <v>447.61285400000003</v>
      </c>
      <c r="AC66">
        <v>445.192993</v>
      </c>
      <c r="AD66">
        <v>440.84371900000002</v>
      </c>
      <c r="AE66">
        <v>437.33783</v>
      </c>
      <c r="AF66">
        <v>434.81720000000001</v>
      </c>
      <c r="AG66" s="71">
        <v>-3.0000000000000001E-3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F1E4F-C2E1-4AC1-9426-39A4D1D07272}">
  <dimension ref="A1:AG63"/>
  <sheetViews>
    <sheetView workbookViewId="0"/>
  </sheetViews>
  <sheetFormatPr defaultRowHeight="14.75" x14ac:dyDescent="0.75"/>
  <cols>
    <col min="1" max="1" width="51" customWidth="1"/>
  </cols>
  <sheetData>
    <row r="1" spans="1:33" x14ac:dyDescent="0.75">
      <c r="A1" t="s">
        <v>288</v>
      </c>
    </row>
    <row r="2" spans="1:33" x14ac:dyDescent="0.75">
      <c r="A2" t="s">
        <v>287</v>
      </c>
    </row>
    <row r="3" spans="1:33" x14ac:dyDescent="0.75">
      <c r="A3" t="s">
        <v>286</v>
      </c>
    </row>
    <row r="4" spans="1:33" x14ac:dyDescent="0.75">
      <c r="A4" t="s">
        <v>96</v>
      </c>
    </row>
    <row r="5" spans="1:33" x14ac:dyDescent="0.7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75">
      <c r="A6" t="s">
        <v>284</v>
      </c>
    </row>
    <row r="7" spans="1:33" x14ac:dyDescent="0.75">
      <c r="A7" t="s">
        <v>101</v>
      </c>
    </row>
    <row r="8" spans="1:33" x14ac:dyDescent="0.75">
      <c r="A8" t="s">
        <v>102</v>
      </c>
      <c r="B8" t="s">
        <v>283</v>
      </c>
      <c r="C8" t="s">
        <v>282</v>
      </c>
      <c r="D8" t="s">
        <v>103</v>
      </c>
      <c r="F8">
        <v>5075.3691410000001</v>
      </c>
      <c r="G8">
        <v>4824.9785160000001</v>
      </c>
      <c r="H8">
        <v>4539.7255859999996</v>
      </c>
      <c r="I8">
        <v>4228.984375</v>
      </c>
      <c r="J8">
        <v>3937.797607</v>
      </c>
      <c r="K8">
        <v>3710.922607</v>
      </c>
      <c r="L8">
        <v>3512.5742190000001</v>
      </c>
      <c r="M8">
        <v>3327.20874</v>
      </c>
      <c r="N8">
        <v>3127.469482</v>
      </c>
      <c r="O8">
        <v>2978.8933109999998</v>
      </c>
      <c r="P8">
        <v>2861.579346</v>
      </c>
      <c r="Q8">
        <v>2729.3728030000002</v>
      </c>
      <c r="R8">
        <v>2603.5134280000002</v>
      </c>
      <c r="S8">
        <v>2492.501953</v>
      </c>
      <c r="T8">
        <v>2396.883057</v>
      </c>
      <c r="U8">
        <v>2302.8364259999998</v>
      </c>
      <c r="V8">
        <v>2209.5778810000002</v>
      </c>
      <c r="W8">
        <v>2126.6970209999999</v>
      </c>
      <c r="X8">
        <v>2053.3640140000002</v>
      </c>
      <c r="Y8">
        <v>1987.5832519999999</v>
      </c>
      <c r="Z8">
        <v>1926.649048</v>
      </c>
      <c r="AA8">
        <v>1871.7105710000001</v>
      </c>
      <c r="AB8">
        <v>1819.1607670000001</v>
      </c>
      <c r="AC8">
        <v>1769.278564</v>
      </c>
      <c r="AD8">
        <v>1721.4882809999999</v>
      </c>
      <c r="AE8">
        <v>1676.5722659999999</v>
      </c>
      <c r="AF8">
        <v>1637.205078</v>
      </c>
      <c r="AG8" s="71">
        <v>-4.2999999999999997E-2</v>
      </c>
    </row>
    <row r="9" spans="1:33" x14ac:dyDescent="0.75">
      <c r="A9" t="s">
        <v>104</v>
      </c>
      <c r="B9" t="s">
        <v>281</v>
      </c>
      <c r="C9" t="s">
        <v>280</v>
      </c>
      <c r="D9" t="s">
        <v>103</v>
      </c>
      <c r="F9">
        <v>15.97803</v>
      </c>
      <c r="G9">
        <v>13.911413</v>
      </c>
      <c r="H9">
        <v>12.051627</v>
      </c>
      <c r="I9">
        <v>10.370836000000001</v>
      </c>
      <c r="J9">
        <v>8.844614</v>
      </c>
      <c r="K9">
        <v>7.4791059999999998</v>
      </c>
      <c r="L9">
        <v>6.2849209999999998</v>
      </c>
      <c r="M9">
        <v>5.2521810000000002</v>
      </c>
      <c r="N9">
        <v>4.3723409999999996</v>
      </c>
      <c r="O9">
        <v>3.6431749999999998</v>
      </c>
      <c r="P9">
        <v>3.051164</v>
      </c>
      <c r="Q9">
        <v>2.5798580000000002</v>
      </c>
      <c r="R9">
        <v>2.2096680000000002</v>
      </c>
      <c r="S9">
        <v>1.920185</v>
      </c>
      <c r="T9">
        <v>1.695036</v>
      </c>
      <c r="U9">
        <v>1.51745</v>
      </c>
      <c r="V9">
        <v>1.3681749999999999</v>
      </c>
      <c r="W9">
        <v>1.2371019999999999</v>
      </c>
      <c r="X9">
        <v>1.1214569999999999</v>
      </c>
      <c r="Y9">
        <v>1.0183390000000001</v>
      </c>
      <c r="Z9">
        <v>0.92536499999999999</v>
      </c>
      <c r="AA9">
        <v>0.84118099999999996</v>
      </c>
      <c r="AB9">
        <v>0.76493500000000003</v>
      </c>
      <c r="AC9">
        <v>0.69586000000000003</v>
      </c>
      <c r="AD9">
        <v>0.63326300000000002</v>
      </c>
      <c r="AE9">
        <v>0.57652099999999995</v>
      </c>
      <c r="AF9">
        <v>0.52507000000000004</v>
      </c>
      <c r="AG9" s="71">
        <v>-0.123</v>
      </c>
    </row>
    <row r="10" spans="1:33" x14ac:dyDescent="0.75">
      <c r="A10" t="s">
        <v>105</v>
      </c>
      <c r="B10" t="s">
        <v>279</v>
      </c>
      <c r="C10" t="s">
        <v>278</v>
      </c>
      <c r="D10" t="s">
        <v>103</v>
      </c>
      <c r="F10">
        <v>5091.3471680000002</v>
      </c>
      <c r="G10">
        <v>4838.8901370000003</v>
      </c>
      <c r="H10">
        <v>4551.7773440000001</v>
      </c>
      <c r="I10">
        <v>4239.3549800000001</v>
      </c>
      <c r="J10">
        <v>3946.6423340000001</v>
      </c>
      <c r="K10">
        <v>3718.4016109999998</v>
      </c>
      <c r="L10">
        <v>3518.8591310000002</v>
      </c>
      <c r="M10">
        <v>3332.4609380000002</v>
      </c>
      <c r="N10">
        <v>3131.841797</v>
      </c>
      <c r="O10">
        <v>2982.5363769999999</v>
      </c>
      <c r="P10">
        <v>2864.630615</v>
      </c>
      <c r="Q10">
        <v>2731.9526369999999</v>
      </c>
      <c r="R10">
        <v>2605.7231449999999</v>
      </c>
      <c r="S10">
        <v>2494.4221189999998</v>
      </c>
      <c r="T10">
        <v>2398.578125</v>
      </c>
      <c r="U10">
        <v>2304.35376</v>
      </c>
      <c r="V10">
        <v>2210.9460450000001</v>
      </c>
      <c r="W10">
        <v>2127.9340820000002</v>
      </c>
      <c r="X10">
        <v>2054.4853520000001</v>
      </c>
      <c r="Y10">
        <v>1988.6015620000001</v>
      </c>
      <c r="Z10">
        <v>1927.5744629999999</v>
      </c>
      <c r="AA10">
        <v>1872.5517580000001</v>
      </c>
      <c r="AB10">
        <v>1819.925659</v>
      </c>
      <c r="AC10">
        <v>1769.974365</v>
      </c>
      <c r="AD10">
        <v>1722.121582</v>
      </c>
      <c r="AE10">
        <v>1677.1488039999999</v>
      </c>
      <c r="AF10">
        <v>1637.7301030000001</v>
      </c>
      <c r="AG10" s="71">
        <v>-4.2999999999999997E-2</v>
      </c>
    </row>
    <row r="11" spans="1:33" x14ac:dyDescent="0.75">
      <c r="A11" t="s">
        <v>106</v>
      </c>
    </row>
    <row r="12" spans="1:33" x14ac:dyDescent="0.75">
      <c r="A12" t="s">
        <v>107</v>
      </c>
      <c r="B12" t="s">
        <v>277</v>
      </c>
      <c r="C12" t="s">
        <v>276</v>
      </c>
      <c r="D12" t="s">
        <v>103</v>
      </c>
      <c r="F12">
        <v>185.83042900000001</v>
      </c>
      <c r="G12">
        <v>158.766052</v>
      </c>
      <c r="H12">
        <v>134.82157900000001</v>
      </c>
      <c r="I12">
        <v>113.52628300000001</v>
      </c>
      <c r="J12">
        <v>94.714484999999996</v>
      </c>
      <c r="K12">
        <v>78.336166000000006</v>
      </c>
      <c r="L12">
        <v>64.364654999999999</v>
      </c>
      <c r="M12">
        <v>52.711390999999999</v>
      </c>
      <c r="N12">
        <v>43.209826999999997</v>
      </c>
      <c r="O12">
        <v>35.860064999999999</v>
      </c>
      <c r="P12">
        <v>30.128226999999999</v>
      </c>
      <c r="Q12">
        <v>25.750183</v>
      </c>
      <c r="R12">
        <v>22.493084</v>
      </c>
      <c r="S12">
        <v>19.972109</v>
      </c>
      <c r="T12">
        <v>17.990849000000001</v>
      </c>
      <c r="U12">
        <v>16.438389000000001</v>
      </c>
      <c r="V12">
        <v>15.174291</v>
      </c>
      <c r="W12">
        <v>14.108563</v>
      </c>
      <c r="X12">
        <v>13.189731</v>
      </c>
      <c r="Y12">
        <v>12.385399</v>
      </c>
      <c r="Z12">
        <v>11.676161</v>
      </c>
      <c r="AA12">
        <v>11.033206</v>
      </c>
      <c r="AB12">
        <v>10.440344</v>
      </c>
      <c r="AC12">
        <v>9.8937559999999998</v>
      </c>
      <c r="AD12">
        <v>9.3882999999999992</v>
      </c>
      <c r="AE12">
        <v>8.9212100000000003</v>
      </c>
      <c r="AF12">
        <v>8.4870450000000002</v>
      </c>
      <c r="AG12" s="71">
        <v>-0.112</v>
      </c>
    </row>
    <row r="13" spans="1:33" x14ac:dyDescent="0.75">
      <c r="A13" t="s">
        <v>235</v>
      </c>
      <c r="B13" t="s">
        <v>275</v>
      </c>
      <c r="C13" t="s">
        <v>274</v>
      </c>
      <c r="D13" t="s">
        <v>103</v>
      </c>
      <c r="F13">
        <v>11.85019</v>
      </c>
      <c r="G13">
        <v>12.360404000000001</v>
      </c>
      <c r="H13">
        <v>12.04448</v>
      </c>
      <c r="I13">
        <v>11.302363</v>
      </c>
      <c r="J13">
        <v>10.383241</v>
      </c>
      <c r="K13">
        <v>9.6245969999999996</v>
      </c>
      <c r="L13">
        <v>9.1471199999999993</v>
      </c>
      <c r="M13">
        <v>8.7943309999999997</v>
      </c>
      <c r="N13">
        <v>8.563879</v>
      </c>
      <c r="O13">
        <v>7.9911260000000004</v>
      </c>
      <c r="P13">
        <v>7.7062759999999999</v>
      </c>
      <c r="Q13">
        <v>7.5855490000000003</v>
      </c>
      <c r="R13">
        <v>7.577725</v>
      </c>
      <c r="S13">
        <v>7.6397279999999999</v>
      </c>
      <c r="T13">
        <v>7.7614070000000002</v>
      </c>
      <c r="U13">
        <v>7.9287460000000003</v>
      </c>
      <c r="V13">
        <v>7.9740909999999996</v>
      </c>
      <c r="W13">
        <v>8.0476150000000004</v>
      </c>
      <c r="X13">
        <v>8.1398639999999993</v>
      </c>
      <c r="Y13">
        <v>8.2595290000000006</v>
      </c>
      <c r="Z13">
        <v>8.3617840000000001</v>
      </c>
      <c r="AA13">
        <v>8.4713049999999992</v>
      </c>
      <c r="AB13">
        <v>8.5565529999999992</v>
      </c>
      <c r="AC13">
        <v>8.6206870000000002</v>
      </c>
      <c r="AD13">
        <v>8.6789050000000003</v>
      </c>
      <c r="AE13">
        <v>8.7322120000000005</v>
      </c>
      <c r="AF13">
        <v>8.8282769999999999</v>
      </c>
      <c r="AG13" s="71">
        <v>-1.0999999999999999E-2</v>
      </c>
    </row>
    <row r="14" spans="1:33" x14ac:dyDescent="0.75">
      <c r="A14" t="s">
        <v>232</v>
      </c>
      <c r="B14" t="s">
        <v>273</v>
      </c>
      <c r="C14" t="s">
        <v>272</v>
      </c>
      <c r="D14" t="s">
        <v>103</v>
      </c>
      <c r="F14">
        <v>70.611594999999994</v>
      </c>
      <c r="G14">
        <v>89.524704</v>
      </c>
      <c r="H14">
        <v>108.11518100000001</v>
      </c>
      <c r="I14">
        <v>128.680252</v>
      </c>
      <c r="J14">
        <v>142.52853400000001</v>
      </c>
      <c r="K14">
        <v>151.677277</v>
      </c>
      <c r="L14">
        <v>165.152344</v>
      </c>
      <c r="M14">
        <v>179.082199</v>
      </c>
      <c r="N14">
        <v>235.65670800000001</v>
      </c>
      <c r="O14">
        <v>287.33294699999999</v>
      </c>
      <c r="P14">
        <v>334.09530599999999</v>
      </c>
      <c r="Q14">
        <v>392.77569599999998</v>
      </c>
      <c r="R14">
        <v>437.339966</v>
      </c>
      <c r="S14">
        <v>473.97659299999998</v>
      </c>
      <c r="T14">
        <v>507.04260299999999</v>
      </c>
      <c r="U14">
        <v>555.18975799999998</v>
      </c>
      <c r="V14">
        <v>592.68933100000004</v>
      </c>
      <c r="W14">
        <v>622.91485599999999</v>
      </c>
      <c r="X14">
        <v>647.55517599999996</v>
      </c>
      <c r="Y14">
        <v>671.56579599999998</v>
      </c>
      <c r="Z14">
        <v>692.02984600000002</v>
      </c>
      <c r="AA14">
        <v>712.49700900000005</v>
      </c>
      <c r="AB14">
        <v>728.66308600000002</v>
      </c>
      <c r="AC14">
        <v>741.73767099999998</v>
      </c>
      <c r="AD14">
        <v>753.25073199999997</v>
      </c>
      <c r="AE14">
        <v>763.21765100000005</v>
      </c>
      <c r="AF14">
        <v>776.83136000000002</v>
      </c>
      <c r="AG14" s="71">
        <v>9.7000000000000003E-2</v>
      </c>
    </row>
    <row r="15" spans="1:33" x14ac:dyDescent="0.75">
      <c r="A15" t="s">
        <v>229</v>
      </c>
      <c r="B15" t="s">
        <v>271</v>
      </c>
      <c r="C15" t="s">
        <v>270</v>
      </c>
      <c r="D15" t="s">
        <v>103</v>
      </c>
      <c r="F15">
        <v>278.55419899999998</v>
      </c>
      <c r="G15">
        <v>365.30419899999998</v>
      </c>
      <c r="H15">
        <v>506.17468300000002</v>
      </c>
      <c r="I15">
        <v>651.42443800000001</v>
      </c>
      <c r="J15">
        <v>761.15637200000003</v>
      </c>
      <c r="K15">
        <v>835.74780299999998</v>
      </c>
      <c r="L15">
        <v>906.38159199999996</v>
      </c>
      <c r="M15">
        <v>966.11364700000001</v>
      </c>
      <c r="N15">
        <v>1013.405945</v>
      </c>
      <c r="O15">
        <v>1021.955872</v>
      </c>
      <c r="P15">
        <v>1053.6198730000001</v>
      </c>
      <c r="Q15">
        <v>1086.2642820000001</v>
      </c>
      <c r="R15">
        <v>1118.510254</v>
      </c>
      <c r="S15">
        <v>1148.368774</v>
      </c>
      <c r="T15">
        <v>1176.9157709999999</v>
      </c>
      <c r="U15">
        <v>1200.628418</v>
      </c>
      <c r="V15">
        <v>1230.482422</v>
      </c>
      <c r="W15">
        <v>1251.8945309999999</v>
      </c>
      <c r="X15">
        <v>1267.2229</v>
      </c>
      <c r="Y15">
        <v>1277.7420649999999</v>
      </c>
      <c r="Z15">
        <v>1286.095947</v>
      </c>
      <c r="AA15">
        <v>1292.9970699999999</v>
      </c>
      <c r="AB15">
        <v>1297.8759769999999</v>
      </c>
      <c r="AC15">
        <v>1300.224976</v>
      </c>
      <c r="AD15">
        <v>1299.7360839999999</v>
      </c>
      <c r="AE15">
        <v>1298.2346190000001</v>
      </c>
      <c r="AF15">
        <v>1298.173828</v>
      </c>
      <c r="AG15" s="71">
        <v>6.0999999999999999E-2</v>
      </c>
    </row>
    <row r="16" spans="1:33" x14ac:dyDescent="0.75">
      <c r="A16" t="s">
        <v>108</v>
      </c>
      <c r="B16" t="s">
        <v>269</v>
      </c>
      <c r="C16" t="s">
        <v>268</v>
      </c>
      <c r="D16" t="s">
        <v>103</v>
      </c>
      <c r="F16">
        <v>24.319165999999999</v>
      </c>
      <c r="G16">
        <v>28.024124</v>
      </c>
      <c r="H16">
        <v>31.654152</v>
      </c>
      <c r="I16">
        <v>35.126587000000001</v>
      </c>
      <c r="J16">
        <v>37.782134999999997</v>
      </c>
      <c r="K16">
        <v>38.713366999999998</v>
      </c>
      <c r="L16">
        <v>39.330399</v>
      </c>
      <c r="M16">
        <v>39.821682000000003</v>
      </c>
      <c r="N16">
        <v>39.222110999999998</v>
      </c>
      <c r="O16">
        <v>37.875874000000003</v>
      </c>
      <c r="P16">
        <v>37.592007000000002</v>
      </c>
      <c r="Q16">
        <v>37.293441999999999</v>
      </c>
      <c r="R16">
        <v>37.181023000000003</v>
      </c>
      <c r="S16">
        <v>37.163882999999998</v>
      </c>
      <c r="T16">
        <v>37.256144999999997</v>
      </c>
      <c r="U16">
        <v>37.154494999999997</v>
      </c>
      <c r="V16">
        <v>37.032181000000001</v>
      </c>
      <c r="W16">
        <v>36.916473000000003</v>
      </c>
      <c r="X16">
        <v>36.799956999999999</v>
      </c>
      <c r="Y16">
        <v>36.725025000000002</v>
      </c>
      <c r="Z16">
        <v>36.564059999999998</v>
      </c>
      <c r="AA16">
        <v>36.438701999999999</v>
      </c>
      <c r="AB16">
        <v>36.224212999999999</v>
      </c>
      <c r="AC16">
        <v>35.973830999999997</v>
      </c>
      <c r="AD16">
        <v>35.735878</v>
      </c>
      <c r="AE16">
        <v>35.502071000000001</v>
      </c>
      <c r="AF16">
        <v>35.428936</v>
      </c>
      <c r="AG16" s="71">
        <v>1.4999999999999999E-2</v>
      </c>
    </row>
    <row r="17" spans="1:33" x14ac:dyDescent="0.75">
      <c r="A17" t="s">
        <v>109</v>
      </c>
      <c r="B17" t="s">
        <v>267</v>
      </c>
      <c r="C17" t="s">
        <v>266</v>
      </c>
      <c r="D17" t="s">
        <v>103</v>
      </c>
      <c r="F17">
        <v>16.713234</v>
      </c>
      <c r="G17">
        <v>19.646000000000001</v>
      </c>
      <c r="H17">
        <v>27.472750000000001</v>
      </c>
      <c r="I17">
        <v>34.305477000000003</v>
      </c>
      <c r="J17">
        <v>39.878402999999999</v>
      </c>
      <c r="K17">
        <v>43.144492999999997</v>
      </c>
      <c r="L17">
        <v>45.670814999999997</v>
      </c>
      <c r="M17">
        <v>47.934826000000001</v>
      </c>
      <c r="N17">
        <v>47.271560999999998</v>
      </c>
      <c r="O17">
        <v>44.810276000000002</v>
      </c>
      <c r="P17">
        <v>44.349277000000001</v>
      </c>
      <c r="Q17">
        <v>43.442248999999997</v>
      </c>
      <c r="R17">
        <v>43.141379999999998</v>
      </c>
      <c r="S17">
        <v>43.079932999999997</v>
      </c>
      <c r="T17">
        <v>43.204563</v>
      </c>
      <c r="U17">
        <v>42.328564</v>
      </c>
      <c r="V17">
        <v>41.575184</v>
      </c>
      <c r="W17">
        <v>40.920043999999997</v>
      </c>
      <c r="X17">
        <v>40.343662000000002</v>
      </c>
      <c r="Y17">
        <v>39.810692000000003</v>
      </c>
      <c r="Z17">
        <v>39.193900999999997</v>
      </c>
      <c r="AA17">
        <v>38.606316</v>
      </c>
      <c r="AB17">
        <v>37.957912</v>
      </c>
      <c r="AC17">
        <v>37.301848999999997</v>
      </c>
      <c r="AD17">
        <v>36.676651</v>
      </c>
      <c r="AE17">
        <v>36.085971999999998</v>
      </c>
      <c r="AF17">
        <v>35.664669000000004</v>
      </c>
      <c r="AG17" s="71">
        <v>0.03</v>
      </c>
    </row>
    <row r="18" spans="1:33" x14ac:dyDescent="0.75">
      <c r="A18" t="s">
        <v>110</v>
      </c>
      <c r="B18" t="s">
        <v>265</v>
      </c>
      <c r="C18" t="s">
        <v>264</v>
      </c>
      <c r="D18" t="s">
        <v>103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75">
      <c r="A19" t="s">
        <v>112</v>
      </c>
      <c r="B19" t="s">
        <v>263</v>
      </c>
      <c r="C19" t="s">
        <v>262</v>
      </c>
      <c r="D19" t="s">
        <v>103</v>
      </c>
      <c r="F19">
        <v>274.11764499999998</v>
      </c>
      <c r="G19">
        <v>308.045074</v>
      </c>
      <c r="H19">
        <v>323.019226</v>
      </c>
      <c r="I19">
        <v>335.71899400000001</v>
      </c>
      <c r="J19">
        <v>337.895355</v>
      </c>
      <c r="K19">
        <v>341.75335699999999</v>
      </c>
      <c r="L19">
        <v>345.65527300000002</v>
      </c>
      <c r="M19">
        <v>349.70907599999998</v>
      </c>
      <c r="N19">
        <v>346.89227299999999</v>
      </c>
      <c r="O19">
        <v>349.15042099999999</v>
      </c>
      <c r="P19">
        <v>355.91909800000002</v>
      </c>
      <c r="Q19">
        <v>358.722961</v>
      </c>
      <c r="R19">
        <v>360.87072799999999</v>
      </c>
      <c r="S19">
        <v>363.92602499999998</v>
      </c>
      <c r="T19">
        <v>368.21139499999998</v>
      </c>
      <c r="U19">
        <v>371.38156099999998</v>
      </c>
      <c r="V19">
        <v>372.19873000000001</v>
      </c>
      <c r="W19">
        <v>373.74975599999999</v>
      </c>
      <c r="X19">
        <v>376.01159699999999</v>
      </c>
      <c r="Y19">
        <v>378.73046900000003</v>
      </c>
      <c r="Z19">
        <v>381.48400900000001</v>
      </c>
      <c r="AA19">
        <v>384.61077899999998</v>
      </c>
      <c r="AB19">
        <v>387.44223</v>
      </c>
      <c r="AC19">
        <v>389.94586199999998</v>
      </c>
      <c r="AD19">
        <v>392.03338600000001</v>
      </c>
      <c r="AE19">
        <v>394.14669800000001</v>
      </c>
      <c r="AF19">
        <v>397.24316399999998</v>
      </c>
      <c r="AG19" s="71">
        <v>1.4E-2</v>
      </c>
    </row>
    <row r="20" spans="1:33" x14ac:dyDescent="0.75">
      <c r="A20" t="s">
        <v>113</v>
      </c>
      <c r="B20" t="s">
        <v>261</v>
      </c>
      <c r="C20" t="s">
        <v>260</v>
      </c>
      <c r="D20" t="s">
        <v>103</v>
      </c>
      <c r="F20">
        <v>9.9655229999999992</v>
      </c>
      <c r="G20">
        <v>9.0828399999999991</v>
      </c>
      <c r="H20">
        <v>8.2020130000000009</v>
      </c>
      <c r="I20">
        <v>7.3214189999999997</v>
      </c>
      <c r="J20">
        <v>6.466685</v>
      </c>
      <c r="K20">
        <v>5.6556509999999998</v>
      </c>
      <c r="L20">
        <v>4.984686</v>
      </c>
      <c r="M20">
        <v>4.3517099999999997</v>
      </c>
      <c r="N20">
        <v>3.793523</v>
      </c>
      <c r="O20">
        <v>3.3131689999999998</v>
      </c>
      <c r="P20">
        <v>2.91656</v>
      </c>
      <c r="Q20">
        <v>2.58629</v>
      </c>
      <c r="R20">
        <v>2.3151820000000001</v>
      </c>
      <c r="S20">
        <v>2.1367910000000001</v>
      </c>
      <c r="T20">
        <v>1.984197</v>
      </c>
      <c r="U20">
        <v>1.8572599999999999</v>
      </c>
      <c r="V20">
        <v>1.7442409999999999</v>
      </c>
      <c r="W20">
        <v>1.6380980000000001</v>
      </c>
      <c r="X20">
        <v>1.5384150000000001</v>
      </c>
      <c r="Y20">
        <v>1.444798</v>
      </c>
      <c r="Z20">
        <v>1.356878</v>
      </c>
      <c r="AA20">
        <v>1.2743070000000001</v>
      </c>
      <c r="AB20">
        <v>1.1967620000000001</v>
      </c>
      <c r="AC20">
        <v>1.123936</v>
      </c>
      <c r="AD20">
        <v>1.0555410000000001</v>
      </c>
      <c r="AE20">
        <v>0.99130799999999997</v>
      </c>
      <c r="AF20">
        <v>0.93098400000000003</v>
      </c>
      <c r="AG20" s="71">
        <v>-8.6999999999999994E-2</v>
      </c>
    </row>
    <row r="21" spans="1:33" x14ac:dyDescent="0.75">
      <c r="A21" t="s">
        <v>114</v>
      </c>
      <c r="B21" t="s">
        <v>259</v>
      </c>
      <c r="C21" t="s">
        <v>258</v>
      </c>
      <c r="D21" t="s">
        <v>103</v>
      </c>
      <c r="F21">
        <v>0.23644499999999999</v>
      </c>
      <c r="G21">
        <v>0.222056</v>
      </c>
      <c r="H21">
        <v>0.20854400000000001</v>
      </c>
      <c r="I21">
        <v>0.195853</v>
      </c>
      <c r="J21">
        <v>0.18393499999999999</v>
      </c>
      <c r="K21">
        <v>0.17274200000000001</v>
      </c>
      <c r="L21">
        <v>0.16223000000000001</v>
      </c>
      <c r="M21">
        <v>0.15235799999999999</v>
      </c>
      <c r="N21">
        <v>0.14308599999999999</v>
      </c>
      <c r="O21">
        <v>0.134379</v>
      </c>
      <c r="P21">
        <v>0.12620200000000001</v>
      </c>
      <c r="Q21">
        <v>0.118522</v>
      </c>
      <c r="R21">
        <v>0.11131000000000001</v>
      </c>
      <c r="S21">
        <v>0.104536</v>
      </c>
      <c r="T21">
        <v>9.8174999999999998E-2</v>
      </c>
      <c r="U21">
        <v>9.2201000000000005E-2</v>
      </c>
      <c r="V21">
        <v>8.659E-2</v>
      </c>
      <c r="W21">
        <v>8.1321000000000004E-2</v>
      </c>
      <c r="X21">
        <v>7.6371999999999995E-2</v>
      </c>
      <c r="Y21">
        <v>7.1724999999999997E-2</v>
      </c>
      <c r="Z21">
        <v>6.7360000000000003E-2</v>
      </c>
      <c r="AA21">
        <v>6.3260999999999998E-2</v>
      </c>
      <c r="AB21">
        <v>5.9410999999999999E-2</v>
      </c>
      <c r="AC21">
        <v>5.5795999999999998E-2</v>
      </c>
      <c r="AD21">
        <v>5.2400000000000002E-2</v>
      </c>
      <c r="AE21">
        <v>4.9211999999999999E-2</v>
      </c>
      <c r="AF21">
        <v>4.6217000000000001E-2</v>
      </c>
      <c r="AG21" s="71">
        <v>-6.0999999999999999E-2</v>
      </c>
    </row>
    <row r="22" spans="1:33" x14ac:dyDescent="0.75">
      <c r="A22" t="s">
        <v>115</v>
      </c>
      <c r="B22" t="s">
        <v>257</v>
      </c>
      <c r="C22" t="s">
        <v>256</v>
      </c>
      <c r="D22" t="s">
        <v>103</v>
      </c>
      <c r="F22">
        <v>1.530565</v>
      </c>
      <c r="G22">
        <v>1.330983</v>
      </c>
      <c r="H22">
        <v>1.206502</v>
      </c>
      <c r="I22">
        <v>1.130379</v>
      </c>
      <c r="J22">
        <v>1.0615920000000001</v>
      </c>
      <c r="K22">
        <v>0.99699099999999996</v>
      </c>
      <c r="L22">
        <v>0.93632099999999996</v>
      </c>
      <c r="M22">
        <v>0.87934299999999999</v>
      </c>
      <c r="N22">
        <v>0.82583200000000001</v>
      </c>
      <c r="O22">
        <v>0.77557799999999999</v>
      </c>
      <c r="P22">
        <v>0.72838199999999997</v>
      </c>
      <c r="Q22">
        <v>0.68405800000000005</v>
      </c>
      <c r="R22">
        <v>0.64243099999999997</v>
      </c>
      <c r="S22">
        <v>0.60333700000000001</v>
      </c>
      <c r="T22">
        <v>0.56662199999999996</v>
      </c>
      <c r="U22">
        <v>0.53214099999999998</v>
      </c>
      <c r="V22">
        <v>0.49975900000000001</v>
      </c>
      <c r="W22">
        <v>0.46934700000000001</v>
      </c>
      <c r="X22">
        <v>0.44078600000000001</v>
      </c>
      <c r="Y22">
        <v>0.41396300000000003</v>
      </c>
      <c r="Z22">
        <v>0.38877200000000001</v>
      </c>
      <c r="AA22">
        <v>0.36511399999999999</v>
      </c>
      <c r="AB22">
        <v>0.34289599999999998</v>
      </c>
      <c r="AC22">
        <v>0.32202900000000001</v>
      </c>
      <c r="AD22">
        <v>0.30243300000000001</v>
      </c>
      <c r="AE22">
        <v>0.28402899999999998</v>
      </c>
      <c r="AF22">
        <v>0.26674500000000001</v>
      </c>
      <c r="AG22" s="71">
        <v>-6.5000000000000002E-2</v>
      </c>
    </row>
    <row r="23" spans="1:33" x14ac:dyDescent="0.75">
      <c r="A23" t="s">
        <v>116</v>
      </c>
      <c r="B23" t="s">
        <v>255</v>
      </c>
      <c r="C23" t="s">
        <v>254</v>
      </c>
      <c r="D23" t="s">
        <v>103</v>
      </c>
      <c r="F23">
        <v>2.9953539999999998</v>
      </c>
      <c r="G23">
        <v>2.585502</v>
      </c>
      <c r="H23">
        <v>2.3061020000000001</v>
      </c>
      <c r="I23">
        <v>2.1352929999999999</v>
      </c>
      <c r="J23">
        <v>1.990221</v>
      </c>
      <c r="K23">
        <v>1.86911</v>
      </c>
      <c r="L23">
        <v>1.755369</v>
      </c>
      <c r="M23">
        <v>1.64855</v>
      </c>
      <c r="N23">
        <v>1.54823</v>
      </c>
      <c r="O23">
        <v>1.454016</v>
      </c>
      <c r="P23">
        <v>1.3655349999999999</v>
      </c>
      <c r="Q23">
        <v>1.282438</v>
      </c>
      <c r="R23">
        <v>1.2043969999999999</v>
      </c>
      <c r="S23">
        <v>1.1311059999999999</v>
      </c>
      <c r="T23">
        <v>1.0622750000000001</v>
      </c>
      <c r="U23">
        <v>0.99763299999999999</v>
      </c>
      <c r="V23">
        <v>0.93692399999999998</v>
      </c>
      <c r="W23">
        <v>0.87990900000000005</v>
      </c>
      <c r="X23">
        <v>0.82636399999999999</v>
      </c>
      <c r="Y23">
        <v>0.77607700000000002</v>
      </c>
      <c r="Z23">
        <v>0.72885</v>
      </c>
      <c r="AA23">
        <v>0.68449800000000005</v>
      </c>
      <c r="AB23">
        <v>0.64284399999999997</v>
      </c>
      <c r="AC23">
        <v>0.60372499999999996</v>
      </c>
      <c r="AD23">
        <v>0.56698700000000002</v>
      </c>
      <c r="AE23">
        <v>0.53248399999999996</v>
      </c>
      <c r="AF23">
        <v>0.50007999999999997</v>
      </c>
      <c r="AG23" s="71">
        <v>-6.7000000000000004E-2</v>
      </c>
    </row>
    <row r="24" spans="1:33" x14ac:dyDescent="0.75">
      <c r="A24" t="s">
        <v>117</v>
      </c>
      <c r="B24" t="s">
        <v>253</v>
      </c>
      <c r="C24" t="s">
        <v>252</v>
      </c>
      <c r="D24" t="s">
        <v>103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111</v>
      </c>
    </row>
    <row r="25" spans="1:33" x14ac:dyDescent="0.75">
      <c r="A25" t="s">
        <v>118</v>
      </c>
      <c r="B25" t="s">
        <v>251</v>
      </c>
      <c r="C25" t="s">
        <v>250</v>
      </c>
      <c r="D25" t="s">
        <v>103</v>
      </c>
      <c r="F25">
        <v>0.92445600000000006</v>
      </c>
      <c r="G25">
        <v>0.87777099999999997</v>
      </c>
      <c r="H25">
        <v>0.84600900000000001</v>
      </c>
      <c r="I25">
        <v>0.829878</v>
      </c>
      <c r="J25">
        <v>0.81545699999999999</v>
      </c>
      <c r="K25">
        <v>0.74329699999999999</v>
      </c>
      <c r="L25">
        <v>0.68915199999999999</v>
      </c>
      <c r="M25">
        <v>0.63259600000000005</v>
      </c>
      <c r="N25">
        <v>0.57752199999999998</v>
      </c>
      <c r="O25">
        <v>0.51954</v>
      </c>
      <c r="P25">
        <v>0.46768799999999999</v>
      </c>
      <c r="Q25">
        <v>0.42432799999999998</v>
      </c>
      <c r="R25">
        <v>0.38281500000000002</v>
      </c>
      <c r="S25">
        <v>0.34542499999999998</v>
      </c>
      <c r="T25">
        <v>0.31234699999999999</v>
      </c>
      <c r="U25">
        <v>0.283862</v>
      </c>
      <c r="V25">
        <v>0.26024999999999998</v>
      </c>
      <c r="W25">
        <v>0.241506</v>
      </c>
      <c r="X25">
        <v>0.22672100000000001</v>
      </c>
      <c r="Y25">
        <v>0.215305</v>
      </c>
      <c r="Z25">
        <v>0.205932</v>
      </c>
      <c r="AA25">
        <v>0.198986</v>
      </c>
      <c r="AB25">
        <v>0.19384899999999999</v>
      </c>
      <c r="AC25">
        <v>0.18962799999999999</v>
      </c>
      <c r="AD25">
        <v>0.186557</v>
      </c>
      <c r="AE25">
        <v>0.184422</v>
      </c>
      <c r="AF25">
        <v>0.18473300000000001</v>
      </c>
      <c r="AG25" s="71">
        <v>-0.06</v>
      </c>
    </row>
    <row r="26" spans="1:33" x14ac:dyDescent="0.75">
      <c r="A26" t="s">
        <v>119</v>
      </c>
      <c r="B26" t="s">
        <v>249</v>
      </c>
      <c r="C26" t="s">
        <v>248</v>
      </c>
      <c r="D26" t="s">
        <v>103</v>
      </c>
      <c r="F26">
        <v>877.64880400000004</v>
      </c>
      <c r="G26">
        <v>995.76965299999995</v>
      </c>
      <c r="H26">
        <v>1156.0711670000001</v>
      </c>
      <c r="I26">
        <v>1321.6972659999999</v>
      </c>
      <c r="J26">
        <v>1434.8564449999999</v>
      </c>
      <c r="K26">
        <v>1508.434814</v>
      </c>
      <c r="L26">
        <v>1584.2299800000001</v>
      </c>
      <c r="M26">
        <v>1651.8316649999999</v>
      </c>
      <c r="N26">
        <v>1741.1104740000001</v>
      </c>
      <c r="O26">
        <v>1791.1733400000001</v>
      </c>
      <c r="P26">
        <v>1869.014404</v>
      </c>
      <c r="Q26">
        <v>1956.929932</v>
      </c>
      <c r="R26">
        <v>2031.770264</v>
      </c>
      <c r="S26">
        <v>2098.4482419999999</v>
      </c>
      <c r="T26">
        <v>2162.40625</v>
      </c>
      <c r="U26">
        <v>2234.813232</v>
      </c>
      <c r="V26">
        <v>2300.6538089999999</v>
      </c>
      <c r="W26">
        <v>2351.8620609999998</v>
      </c>
      <c r="X26">
        <v>2392.3718260000001</v>
      </c>
      <c r="Y26">
        <v>2428.1411130000001</v>
      </c>
      <c r="Z26">
        <v>2458.1535640000002</v>
      </c>
      <c r="AA26">
        <v>2487.2404790000001</v>
      </c>
      <c r="AB26">
        <v>2509.5961910000001</v>
      </c>
      <c r="AC26">
        <v>2525.9938959999999</v>
      </c>
      <c r="AD26">
        <v>2537.6640619999998</v>
      </c>
      <c r="AE26">
        <v>2546.881836</v>
      </c>
      <c r="AF26">
        <v>2562.586182</v>
      </c>
      <c r="AG26" s="71">
        <v>4.2000000000000003E-2</v>
      </c>
    </row>
    <row r="27" spans="1:33" x14ac:dyDescent="0.75">
      <c r="A27" t="s">
        <v>247</v>
      </c>
      <c r="B27" t="s">
        <v>246</v>
      </c>
      <c r="C27" t="s">
        <v>245</v>
      </c>
      <c r="D27" t="s">
        <v>103</v>
      </c>
      <c r="F27">
        <v>5968.9960940000001</v>
      </c>
      <c r="G27">
        <v>5834.6596680000002</v>
      </c>
      <c r="H27">
        <v>5707.8486329999996</v>
      </c>
      <c r="I27">
        <v>5561.0522460000002</v>
      </c>
      <c r="J27">
        <v>5381.4990230000003</v>
      </c>
      <c r="K27">
        <v>5226.8364259999998</v>
      </c>
      <c r="L27">
        <v>5103.0888670000004</v>
      </c>
      <c r="M27">
        <v>4984.2924800000001</v>
      </c>
      <c r="N27">
        <v>4872.9521480000003</v>
      </c>
      <c r="O27">
        <v>4773.7099609999996</v>
      </c>
      <c r="P27">
        <v>4733.6450199999999</v>
      </c>
      <c r="Q27">
        <v>4688.8828119999998</v>
      </c>
      <c r="R27">
        <v>4637.4931640000004</v>
      </c>
      <c r="S27">
        <v>4592.8701170000004</v>
      </c>
      <c r="T27">
        <v>4560.984375</v>
      </c>
      <c r="U27">
        <v>4539.1669920000004</v>
      </c>
      <c r="V27">
        <v>4511.5996089999999</v>
      </c>
      <c r="W27">
        <v>4479.7958980000003</v>
      </c>
      <c r="X27">
        <v>4446.857422</v>
      </c>
      <c r="Y27">
        <v>4416.7426759999998</v>
      </c>
      <c r="Z27">
        <v>4385.7280270000001</v>
      </c>
      <c r="AA27">
        <v>4359.7919920000004</v>
      </c>
      <c r="AB27">
        <v>4329.5219729999999</v>
      </c>
      <c r="AC27">
        <v>4295.9682620000003</v>
      </c>
      <c r="AD27">
        <v>4259.7856449999999</v>
      </c>
      <c r="AE27">
        <v>4224.0307620000003</v>
      </c>
      <c r="AF27">
        <v>4200.3164059999999</v>
      </c>
      <c r="AG27" s="71">
        <v>-1.2999999999999999E-2</v>
      </c>
    </row>
    <row r="28" spans="1:33" x14ac:dyDescent="0.75">
      <c r="A28" t="s">
        <v>244</v>
      </c>
    </row>
    <row r="29" spans="1:33" x14ac:dyDescent="0.75">
      <c r="A29" t="s">
        <v>123</v>
      </c>
    </row>
    <row r="30" spans="1:33" x14ac:dyDescent="0.75">
      <c r="A30" t="s">
        <v>102</v>
      </c>
      <c r="B30" t="s">
        <v>243</v>
      </c>
      <c r="C30" t="s">
        <v>242</v>
      </c>
      <c r="D30" t="s">
        <v>103</v>
      </c>
      <c r="F30">
        <v>8923.6708980000003</v>
      </c>
      <c r="G30">
        <v>8934.9296880000002</v>
      </c>
      <c r="H30">
        <v>8996.3759769999997</v>
      </c>
      <c r="I30">
        <v>9034.2822269999997</v>
      </c>
      <c r="J30">
        <v>9016.0234380000002</v>
      </c>
      <c r="K30">
        <v>8998.5683590000008</v>
      </c>
      <c r="L30">
        <v>8953.484375</v>
      </c>
      <c r="M30">
        <v>8875.3603519999997</v>
      </c>
      <c r="N30">
        <v>8791.2802730000003</v>
      </c>
      <c r="O30">
        <v>8767.2148440000001</v>
      </c>
      <c r="P30">
        <v>8699.2333980000003</v>
      </c>
      <c r="Q30">
        <v>8619.7167969999991</v>
      </c>
      <c r="R30">
        <v>8527.5742190000001</v>
      </c>
      <c r="S30">
        <v>8429.8212889999995</v>
      </c>
      <c r="T30">
        <v>8330.1591800000006</v>
      </c>
      <c r="U30">
        <v>8231.0175780000009</v>
      </c>
      <c r="V30">
        <v>8138.2236329999996</v>
      </c>
      <c r="W30">
        <v>8043.1137699999999</v>
      </c>
      <c r="X30">
        <v>7947.3481449999999</v>
      </c>
      <c r="Y30">
        <v>7847.076172</v>
      </c>
      <c r="Z30">
        <v>7751.6323240000002</v>
      </c>
      <c r="AA30">
        <v>7657.0732420000004</v>
      </c>
      <c r="AB30">
        <v>7565.3295900000003</v>
      </c>
      <c r="AC30">
        <v>7477.5024409999996</v>
      </c>
      <c r="AD30">
        <v>7385.466797</v>
      </c>
      <c r="AE30">
        <v>7292.4482420000004</v>
      </c>
      <c r="AF30">
        <v>7192.4799800000001</v>
      </c>
      <c r="AG30" s="71">
        <v>-8.0000000000000002E-3</v>
      </c>
    </row>
    <row r="31" spans="1:33" x14ac:dyDescent="0.75">
      <c r="A31" t="s">
        <v>104</v>
      </c>
      <c r="B31" t="s">
        <v>241</v>
      </c>
      <c r="C31" t="s">
        <v>240</v>
      </c>
      <c r="D31" t="s">
        <v>103</v>
      </c>
      <c r="F31">
        <v>137.90730300000001</v>
      </c>
      <c r="G31">
        <v>169.558716</v>
      </c>
      <c r="H31">
        <v>195.61637899999999</v>
      </c>
      <c r="I31">
        <v>215.700165</v>
      </c>
      <c r="J31">
        <v>232.51667800000001</v>
      </c>
      <c r="K31">
        <v>248.90654000000001</v>
      </c>
      <c r="L31">
        <v>252.898788</v>
      </c>
      <c r="M31">
        <v>256.48461900000001</v>
      </c>
      <c r="N31">
        <v>259.75921599999998</v>
      </c>
      <c r="O31">
        <v>265.14529399999998</v>
      </c>
      <c r="P31">
        <v>269.12326000000002</v>
      </c>
      <c r="Q31">
        <v>272.22946200000001</v>
      </c>
      <c r="R31">
        <v>274.67004400000002</v>
      </c>
      <c r="S31">
        <v>275.89349399999998</v>
      </c>
      <c r="T31">
        <v>276.39572099999998</v>
      </c>
      <c r="U31">
        <v>276.40319799999997</v>
      </c>
      <c r="V31">
        <v>276.028595</v>
      </c>
      <c r="W31">
        <v>275.10641500000003</v>
      </c>
      <c r="X31">
        <v>273.64254799999998</v>
      </c>
      <c r="Y31">
        <v>271.65329000000003</v>
      </c>
      <c r="Z31">
        <v>269.47427399999998</v>
      </c>
      <c r="AA31">
        <v>267.15741000000003</v>
      </c>
      <c r="AB31">
        <v>264.77932700000002</v>
      </c>
      <c r="AC31">
        <v>262.48089599999997</v>
      </c>
      <c r="AD31">
        <v>260.10845899999998</v>
      </c>
      <c r="AE31">
        <v>257.75994900000001</v>
      </c>
      <c r="AF31">
        <v>255.434586</v>
      </c>
      <c r="AG31" s="71">
        <v>2.4E-2</v>
      </c>
    </row>
    <row r="32" spans="1:33" x14ac:dyDescent="0.75">
      <c r="A32" t="s">
        <v>124</v>
      </c>
      <c r="B32" t="s">
        <v>239</v>
      </c>
      <c r="C32" t="s">
        <v>238</v>
      </c>
      <c r="D32" t="s">
        <v>103</v>
      </c>
      <c r="F32">
        <v>9061.578125</v>
      </c>
      <c r="G32">
        <v>9104.4882809999999</v>
      </c>
      <c r="H32">
        <v>9191.9921880000002</v>
      </c>
      <c r="I32">
        <v>9249.9824219999991</v>
      </c>
      <c r="J32">
        <v>9248.5400389999995</v>
      </c>
      <c r="K32">
        <v>9247.4746090000008</v>
      </c>
      <c r="L32">
        <v>9206.3828119999998</v>
      </c>
      <c r="M32">
        <v>9131.8447269999997</v>
      </c>
      <c r="N32">
        <v>9051.0390619999998</v>
      </c>
      <c r="O32">
        <v>9032.3603519999997</v>
      </c>
      <c r="P32">
        <v>8968.3564449999994</v>
      </c>
      <c r="Q32">
        <v>8891.9462889999995</v>
      </c>
      <c r="R32">
        <v>8802.2441409999992</v>
      </c>
      <c r="S32">
        <v>8705.7148440000001</v>
      </c>
      <c r="T32">
        <v>8606.5546880000002</v>
      </c>
      <c r="U32">
        <v>8507.4208980000003</v>
      </c>
      <c r="V32">
        <v>8414.2519530000009</v>
      </c>
      <c r="W32">
        <v>8318.2197269999997</v>
      </c>
      <c r="X32">
        <v>8220.9902340000008</v>
      </c>
      <c r="Y32">
        <v>8118.7294920000004</v>
      </c>
      <c r="Z32">
        <v>8021.1064450000003</v>
      </c>
      <c r="AA32">
        <v>7924.2304690000001</v>
      </c>
      <c r="AB32">
        <v>7830.1088870000003</v>
      </c>
      <c r="AC32">
        <v>7739.9833980000003</v>
      </c>
      <c r="AD32">
        <v>7645.5751950000003</v>
      </c>
      <c r="AE32">
        <v>7550.2080079999996</v>
      </c>
      <c r="AF32">
        <v>7447.9145509999998</v>
      </c>
      <c r="AG32" s="71">
        <v>-8.0000000000000002E-3</v>
      </c>
    </row>
    <row r="33" spans="1:33" x14ac:dyDescent="0.75">
      <c r="A33" t="s">
        <v>125</v>
      </c>
    </row>
    <row r="34" spans="1:33" x14ac:dyDescent="0.75">
      <c r="A34" t="s">
        <v>107</v>
      </c>
      <c r="B34" t="s">
        <v>237</v>
      </c>
      <c r="C34" t="s">
        <v>236</v>
      </c>
      <c r="D34" t="s">
        <v>103</v>
      </c>
      <c r="F34">
        <v>1155.04126</v>
      </c>
      <c r="G34">
        <v>1046.2299800000001</v>
      </c>
      <c r="H34">
        <v>969.38226299999997</v>
      </c>
      <c r="I34">
        <v>895.04504399999996</v>
      </c>
      <c r="J34">
        <v>825.72241199999996</v>
      </c>
      <c r="K34">
        <v>761.86456299999998</v>
      </c>
      <c r="L34">
        <v>689.284851</v>
      </c>
      <c r="M34">
        <v>624.50824</v>
      </c>
      <c r="N34">
        <v>567.14739999999995</v>
      </c>
      <c r="O34">
        <v>519.63403300000004</v>
      </c>
      <c r="P34">
        <v>477.88128699999999</v>
      </c>
      <c r="Q34">
        <v>441.70361300000002</v>
      </c>
      <c r="R34">
        <v>410.44512900000001</v>
      </c>
      <c r="S34">
        <v>383.56692500000003</v>
      </c>
      <c r="T34">
        <v>360.60861199999999</v>
      </c>
      <c r="U34">
        <v>340.47805799999998</v>
      </c>
      <c r="V34">
        <v>322.67721599999999</v>
      </c>
      <c r="W34">
        <v>306.82074</v>
      </c>
      <c r="X34">
        <v>292.656677</v>
      </c>
      <c r="Y34">
        <v>279.93524200000002</v>
      </c>
      <c r="Z34">
        <v>268.63595600000002</v>
      </c>
      <c r="AA34">
        <v>258.403076</v>
      </c>
      <c r="AB34">
        <v>249.22020000000001</v>
      </c>
      <c r="AC34">
        <v>241.054306</v>
      </c>
      <c r="AD34">
        <v>233.569885</v>
      </c>
      <c r="AE34">
        <v>226.67430100000001</v>
      </c>
      <c r="AF34">
        <v>220.02392599999999</v>
      </c>
      <c r="AG34" s="71">
        <v>-6.2E-2</v>
      </c>
    </row>
    <row r="35" spans="1:33" x14ac:dyDescent="0.75">
      <c r="A35" t="s">
        <v>235</v>
      </c>
      <c r="B35" t="s">
        <v>234</v>
      </c>
      <c r="C35" t="s">
        <v>233</v>
      </c>
      <c r="D35" t="s">
        <v>103</v>
      </c>
      <c r="F35">
        <v>0.304786</v>
      </c>
      <c r="G35">
        <v>0.26952100000000001</v>
      </c>
      <c r="H35">
        <v>0.24009</v>
      </c>
      <c r="I35">
        <v>0.21415899999999999</v>
      </c>
      <c r="J35">
        <v>0.19064700000000001</v>
      </c>
      <c r="K35">
        <v>0.169484</v>
      </c>
      <c r="L35">
        <v>0.15060999999999999</v>
      </c>
      <c r="M35">
        <v>0.13395099999999999</v>
      </c>
      <c r="N35">
        <v>0.11940099999999999</v>
      </c>
      <c r="O35">
        <v>0.106739</v>
      </c>
      <c r="P35">
        <v>9.5671999999999993E-2</v>
      </c>
      <c r="Q35">
        <v>8.6231000000000002E-2</v>
      </c>
      <c r="R35">
        <v>7.8274999999999997E-2</v>
      </c>
      <c r="S35">
        <v>7.1275000000000005E-2</v>
      </c>
      <c r="T35">
        <v>6.4934000000000006E-2</v>
      </c>
      <c r="U35">
        <v>5.9186999999999997E-2</v>
      </c>
      <c r="V35">
        <v>5.3976000000000003E-2</v>
      </c>
      <c r="W35">
        <v>4.9249000000000001E-2</v>
      </c>
      <c r="X35">
        <v>4.4957999999999998E-2</v>
      </c>
      <c r="Y35">
        <v>4.1061E-2</v>
      </c>
      <c r="Z35">
        <v>3.7520999999999999E-2</v>
      </c>
      <c r="AA35">
        <v>3.4303E-2</v>
      </c>
      <c r="AB35">
        <v>3.1376000000000001E-2</v>
      </c>
      <c r="AC35">
        <v>2.8712000000000001E-2</v>
      </c>
      <c r="AD35">
        <v>2.6287000000000001E-2</v>
      </c>
      <c r="AE35">
        <v>2.4077999999999999E-2</v>
      </c>
      <c r="AF35">
        <v>2.2065000000000001E-2</v>
      </c>
      <c r="AG35" s="71">
        <v>-9.6000000000000002E-2</v>
      </c>
    </row>
    <row r="36" spans="1:33" x14ac:dyDescent="0.75">
      <c r="A36" t="s">
        <v>232</v>
      </c>
      <c r="B36" t="s">
        <v>231</v>
      </c>
      <c r="C36" t="s">
        <v>230</v>
      </c>
      <c r="D36" t="s">
        <v>103</v>
      </c>
      <c r="F36">
        <v>29.193622999999999</v>
      </c>
      <c r="G36">
        <v>46.883118000000003</v>
      </c>
      <c r="H36">
        <v>72.163596999999996</v>
      </c>
      <c r="I36">
        <v>105.34955600000001</v>
      </c>
      <c r="J36">
        <v>137.55737300000001</v>
      </c>
      <c r="K36">
        <v>161.12240600000001</v>
      </c>
      <c r="L36">
        <v>164.73718299999999</v>
      </c>
      <c r="M36">
        <v>171.40036000000001</v>
      </c>
      <c r="N36">
        <v>181.326065</v>
      </c>
      <c r="O36">
        <v>183.96523999999999</v>
      </c>
      <c r="P36">
        <v>189.50070199999999</v>
      </c>
      <c r="Q36">
        <v>197.57170099999999</v>
      </c>
      <c r="R36">
        <v>207.47743199999999</v>
      </c>
      <c r="S36">
        <v>218.45459</v>
      </c>
      <c r="T36">
        <v>230.42562899999999</v>
      </c>
      <c r="U36">
        <v>243.47865300000001</v>
      </c>
      <c r="V36">
        <v>256.976471</v>
      </c>
      <c r="W36">
        <v>270.49215700000002</v>
      </c>
      <c r="X36">
        <v>283.80999800000001</v>
      </c>
      <c r="Y36">
        <v>297.20404100000002</v>
      </c>
      <c r="Z36">
        <v>310.42214999999999</v>
      </c>
      <c r="AA36">
        <v>323.80087300000002</v>
      </c>
      <c r="AB36">
        <v>336.92816199999999</v>
      </c>
      <c r="AC36">
        <v>349.70022599999999</v>
      </c>
      <c r="AD36">
        <v>362.153931</v>
      </c>
      <c r="AE36">
        <v>374.337402</v>
      </c>
      <c r="AF36">
        <v>387.13504</v>
      </c>
      <c r="AG36" s="71">
        <v>0.105</v>
      </c>
    </row>
    <row r="37" spans="1:33" x14ac:dyDescent="0.75">
      <c r="A37" t="s">
        <v>229</v>
      </c>
      <c r="B37" t="s">
        <v>228</v>
      </c>
      <c r="C37" t="s">
        <v>227</v>
      </c>
      <c r="D37" t="s">
        <v>103</v>
      </c>
      <c r="F37">
        <v>55.996479000000001</v>
      </c>
      <c r="G37">
        <v>101.541</v>
      </c>
      <c r="H37">
        <v>164.25482199999999</v>
      </c>
      <c r="I37">
        <v>242.84007299999999</v>
      </c>
      <c r="J37">
        <v>323.41137700000002</v>
      </c>
      <c r="K37">
        <v>390.88372800000002</v>
      </c>
      <c r="L37">
        <v>434.73364299999997</v>
      </c>
      <c r="M37">
        <v>480.23126200000002</v>
      </c>
      <c r="N37">
        <v>529.794128</v>
      </c>
      <c r="O37">
        <v>557.75793499999997</v>
      </c>
      <c r="P37">
        <v>590.23730499999999</v>
      </c>
      <c r="Q37">
        <v>627.13812299999995</v>
      </c>
      <c r="R37">
        <v>666.81011999999998</v>
      </c>
      <c r="S37">
        <v>707.13928199999998</v>
      </c>
      <c r="T37">
        <v>747.65612799999997</v>
      </c>
      <c r="U37">
        <v>788.294983</v>
      </c>
      <c r="V37">
        <v>827.68963599999995</v>
      </c>
      <c r="W37">
        <v>864.985229</v>
      </c>
      <c r="X37">
        <v>899.77923599999997</v>
      </c>
      <c r="Y37">
        <v>932.42382799999996</v>
      </c>
      <c r="Z37">
        <v>962.87609899999995</v>
      </c>
      <c r="AA37">
        <v>991.71551499999998</v>
      </c>
      <c r="AB37">
        <v>1018.316833</v>
      </c>
      <c r="AC37">
        <v>1042.7836910000001</v>
      </c>
      <c r="AD37">
        <v>1065.0063479999999</v>
      </c>
      <c r="AE37">
        <v>1085.4464109999999</v>
      </c>
      <c r="AF37">
        <v>1105.575928</v>
      </c>
      <c r="AG37" s="71">
        <v>0.122</v>
      </c>
    </row>
    <row r="38" spans="1:33" x14ac:dyDescent="0.75">
      <c r="A38" t="s">
        <v>108</v>
      </c>
      <c r="B38" t="s">
        <v>226</v>
      </c>
      <c r="C38" t="s">
        <v>225</v>
      </c>
      <c r="D38" t="s">
        <v>103</v>
      </c>
      <c r="F38">
        <v>97.912818999999999</v>
      </c>
      <c r="G38">
        <v>134.01071200000001</v>
      </c>
      <c r="H38">
        <v>177.149429</v>
      </c>
      <c r="I38">
        <v>219.80748</v>
      </c>
      <c r="J38">
        <v>256.24221799999998</v>
      </c>
      <c r="K38">
        <v>276.30212399999999</v>
      </c>
      <c r="L38">
        <v>301.77990699999998</v>
      </c>
      <c r="M38">
        <v>325.33950800000002</v>
      </c>
      <c r="N38">
        <v>348.625</v>
      </c>
      <c r="O38">
        <v>359.59054600000002</v>
      </c>
      <c r="P38">
        <v>374.19546500000001</v>
      </c>
      <c r="Q38">
        <v>392.92120399999999</v>
      </c>
      <c r="R38">
        <v>409.413544</v>
      </c>
      <c r="S38">
        <v>425.30969199999998</v>
      </c>
      <c r="T38">
        <v>440.83248900000001</v>
      </c>
      <c r="U38">
        <v>456.33038299999998</v>
      </c>
      <c r="V38">
        <v>470.58193999999997</v>
      </c>
      <c r="W38">
        <v>483.10613999999998</v>
      </c>
      <c r="X38">
        <v>493.90570100000002</v>
      </c>
      <c r="Y38">
        <v>503.30599999999998</v>
      </c>
      <c r="Z38">
        <v>511.40454099999999</v>
      </c>
      <c r="AA38">
        <v>518.49438499999997</v>
      </c>
      <c r="AB38">
        <v>524.45532200000002</v>
      </c>
      <c r="AC38">
        <v>529.55364999999995</v>
      </c>
      <c r="AD38">
        <v>533.50720200000001</v>
      </c>
      <c r="AE38">
        <v>536.76220699999999</v>
      </c>
      <c r="AF38">
        <v>539.71234100000004</v>
      </c>
      <c r="AG38" s="71">
        <v>6.8000000000000005E-2</v>
      </c>
    </row>
    <row r="39" spans="1:33" x14ac:dyDescent="0.75">
      <c r="A39" t="s">
        <v>109</v>
      </c>
      <c r="B39" t="s">
        <v>224</v>
      </c>
      <c r="C39" t="s">
        <v>223</v>
      </c>
      <c r="D39" t="s">
        <v>103</v>
      </c>
      <c r="F39">
        <v>11.816848</v>
      </c>
      <c r="G39">
        <v>50.810218999999996</v>
      </c>
      <c r="H39">
        <v>73.271743999999998</v>
      </c>
      <c r="I39">
        <v>117.075783</v>
      </c>
      <c r="J39">
        <v>153.87335200000001</v>
      </c>
      <c r="K39">
        <v>174.812759</v>
      </c>
      <c r="L39">
        <v>229.112289</v>
      </c>
      <c r="M39">
        <v>276.06066900000002</v>
      </c>
      <c r="N39">
        <v>319.51800500000002</v>
      </c>
      <c r="O39">
        <v>347.213348</v>
      </c>
      <c r="P39">
        <v>376.59454299999999</v>
      </c>
      <c r="Q39">
        <v>409.30499300000002</v>
      </c>
      <c r="R39">
        <v>453.83206200000001</v>
      </c>
      <c r="S39">
        <v>494.26196299999998</v>
      </c>
      <c r="T39">
        <v>531.905396</v>
      </c>
      <c r="U39">
        <v>567.30883800000004</v>
      </c>
      <c r="V39">
        <v>600.24633800000004</v>
      </c>
      <c r="W39">
        <v>630.32580600000006</v>
      </c>
      <c r="X39">
        <v>657.58557099999996</v>
      </c>
      <c r="Y39">
        <v>682.30548099999999</v>
      </c>
      <c r="Z39">
        <v>704.52813700000002</v>
      </c>
      <c r="AA39">
        <v>724.65411400000005</v>
      </c>
      <c r="AB39">
        <v>742.43994099999998</v>
      </c>
      <c r="AC39">
        <v>758.198486</v>
      </c>
      <c r="AD39">
        <v>771.72662400000002</v>
      </c>
      <c r="AE39">
        <v>783.55999799999995</v>
      </c>
      <c r="AF39">
        <v>794.37731900000006</v>
      </c>
      <c r="AG39" s="71">
        <v>0.17599999999999999</v>
      </c>
    </row>
    <row r="40" spans="1:33" x14ac:dyDescent="0.75">
      <c r="A40" t="s">
        <v>110</v>
      </c>
      <c r="B40" t="s">
        <v>222</v>
      </c>
      <c r="C40" t="s">
        <v>221</v>
      </c>
      <c r="D40" t="s">
        <v>103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111</v>
      </c>
    </row>
    <row r="41" spans="1:33" x14ac:dyDescent="0.75">
      <c r="A41" t="s">
        <v>112</v>
      </c>
      <c r="B41" t="s">
        <v>220</v>
      </c>
      <c r="C41" t="s">
        <v>219</v>
      </c>
      <c r="D41" t="s">
        <v>103</v>
      </c>
      <c r="F41">
        <v>333.523438</v>
      </c>
      <c r="G41">
        <v>425.20144699999997</v>
      </c>
      <c r="H41">
        <v>504.40875199999999</v>
      </c>
      <c r="I41">
        <v>570.01074200000005</v>
      </c>
      <c r="J41">
        <v>625.60528599999998</v>
      </c>
      <c r="K41">
        <v>677.85968000000003</v>
      </c>
      <c r="L41">
        <v>738.84222399999999</v>
      </c>
      <c r="M41">
        <v>791.16101100000003</v>
      </c>
      <c r="N41">
        <v>838.12988299999995</v>
      </c>
      <c r="O41">
        <v>892.63708499999996</v>
      </c>
      <c r="P41">
        <v>938.61102300000005</v>
      </c>
      <c r="Q41">
        <v>981.43957499999999</v>
      </c>
      <c r="R41">
        <v>1021.3232420000001</v>
      </c>
      <c r="S41">
        <v>1057.832764</v>
      </c>
      <c r="T41">
        <v>1091.7021480000001</v>
      </c>
      <c r="U41">
        <v>1123.2170410000001</v>
      </c>
      <c r="V41">
        <v>1153.5466309999999</v>
      </c>
      <c r="W41">
        <v>1181.3538820000001</v>
      </c>
      <c r="X41">
        <v>1207.1405030000001</v>
      </c>
      <c r="Y41">
        <v>1230.2967530000001</v>
      </c>
      <c r="Z41">
        <v>1252.8519289999999</v>
      </c>
      <c r="AA41">
        <v>1274.3450929999999</v>
      </c>
      <c r="AB41">
        <v>1295.3204350000001</v>
      </c>
      <c r="AC41">
        <v>1316.1180420000001</v>
      </c>
      <c r="AD41">
        <v>1335.119995</v>
      </c>
      <c r="AE41">
        <v>1353.2185059999999</v>
      </c>
      <c r="AF41">
        <v>1369.207275</v>
      </c>
      <c r="AG41" s="71">
        <v>5.6000000000000001E-2</v>
      </c>
    </row>
    <row r="42" spans="1:33" x14ac:dyDescent="0.75">
      <c r="A42" t="s">
        <v>113</v>
      </c>
      <c r="B42" t="s">
        <v>218</v>
      </c>
      <c r="C42" t="s">
        <v>217</v>
      </c>
      <c r="D42" t="s">
        <v>103</v>
      </c>
      <c r="F42">
        <v>2.4554840000000002</v>
      </c>
      <c r="G42">
        <v>2.287175</v>
      </c>
      <c r="H42">
        <v>2.1252430000000002</v>
      </c>
      <c r="I42">
        <v>1.9716119999999999</v>
      </c>
      <c r="J42">
        <v>1.831831</v>
      </c>
      <c r="K42">
        <v>1.71017</v>
      </c>
      <c r="L42">
        <v>1.5955760000000001</v>
      </c>
      <c r="M42">
        <v>1.4848509999999999</v>
      </c>
      <c r="N42">
        <v>1.3787309999999999</v>
      </c>
      <c r="O42">
        <v>1.2786459999999999</v>
      </c>
      <c r="P42">
        <v>1.185225</v>
      </c>
      <c r="Q42">
        <v>1.098376</v>
      </c>
      <c r="R42">
        <v>1.02034</v>
      </c>
      <c r="S42">
        <v>0.95485399999999998</v>
      </c>
      <c r="T42">
        <v>0.89369699999999996</v>
      </c>
      <c r="U42">
        <v>0.83906000000000003</v>
      </c>
      <c r="V42">
        <v>0.78777399999999997</v>
      </c>
      <c r="W42">
        <v>0.73963400000000001</v>
      </c>
      <c r="X42">
        <v>0.69444700000000004</v>
      </c>
      <c r="Y42">
        <v>0.65202899999999997</v>
      </c>
      <c r="Z42">
        <v>0.61221199999999998</v>
      </c>
      <c r="AA42">
        <v>0.57483399999999996</v>
      </c>
      <c r="AB42">
        <v>0.53974699999999998</v>
      </c>
      <c r="AC42">
        <v>0.50680899999999995</v>
      </c>
      <c r="AD42">
        <v>0.47588799999999998</v>
      </c>
      <c r="AE42">
        <v>0.44685900000000001</v>
      </c>
      <c r="AF42">
        <v>0.41960799999999998</v>
      </c>
      <c r="AG42" s="71">
        <v>-6.6000000000000003E-2</v>
      </c>
    </row>
    <row r="43" spans="1:33" x14ac:dyDescent="0.75">
      <c r="A43" t="s">
        <v>114</v>
      </c>
      <c r="B43" t="s">
        <v>216</v>
      </c>
      <c r="C43" t="s">
        <v>215</v>
      </c>
      <c r="D43" t="s">
        <v>103</v>
      </c>
      <c r="F43">
        <v>1.8494280000000001</v>
      </c>
      <c r="G43">
        <v>1.7358819999999999</v>
      </c>
      <c r="H43">
        <v>1.6293310000000001</v>
      </c>
      <c r="I43">
        <v>1.529345</v>
      </c>
      <c r="J43">
        <v>1.435516</v>
      </c>
      <c r="K43">
        <v>1.347464</v>
      </c>
      <c r="L43">
        <v>1.2648330000000001</v>
      </c>
      <c r="M43">
        <v>1.187287</v>
      </c>
      <c r="N43">
        <v>1.1145119999999999</v>
      </c>
      <c r="O43">
        <v>1.046214</v>
      </c>
      <c r="P43">
        <v>0.98211599999999999</v>
      </c>
      <c r="Q43">
        <v>0.92195899999999997</v>
      </c>
      <c r="R43">
        <v>0.86550000000000005</v>
      </c>
      <c r="S43">
        <v>0.81251099999999998</v>
      </c>
      <c r="T43">
        <v>0.76277700000000004</v>
      </c>
      <c r="U43">
        <v>0.71609800000000001</v>
      </c>
      <c r="V43">
        <v>0.67228600000000005</v>
      </c>
      <c r="W43">
        <v>0.63116399999999995</v>
      </c>
      <c r="X43">
        <v>0.59256600000000004</v>
      </c>
      <c r="Y43">
        <v>0.55633699999999997</v>
      </c>
      <c r="Z43">
        <v>0.52233099999999999</v>
      </c>
      <c r="AA43">
        <v>0.49041000000000001</v>
      </c>
      <c r="AB43">
        <v>0.460447</v>
      </c>
      <c r="AC43">
        <v>0.43232199999999998</v>
      </c>
      <c r="AD43">
        <v>0.40592</v>
      </c>
      <c r="AE43">
        <v>0.38113599999999997</v>
      </c>
      <c r="AF43">
        <v>0.35787099999999999</v>
      </c>
      <c r="AG43" s="71">
        <v>-6.0999999999999999E-2</v>
      </c>
    </row>
    <row r="44" spans="1:33" x14ac:dyDescent="0.75">
      <c r="A44" t="s">
        <v>115</v>
      </c>
      <c r="B44" t="s">
        <v>214</v>
      </c>
      <c r="C44" t="s">
        <v>213</v>
      </c>
      <c r="D44" t="s">
        <v>103</v>
      </c>
      <c r="F44">
        <v>4.6614789999999999</v>
      </c>
      <c r="G44">
        <v>4.2481010000000001</v>
      </c>
      <c r="H44">
        <v>3.9314930000000001</v>
      </c>
      <c r="I44">
        <v>3.6802589999999999</v>
      </c>
      <c r="J44">
        <v>3.4544060000000001</v>
      </c>
      <c r="K44">
        <v>3.2424620000000002</v>
      </c>
      <c r="L44">
        <v>3.0435690000000002</v>
      </c>
      <c r="M44">
        <v>2.8569200000000001</v>
      </c>
      <c r="N44">
        <v>2.681759</v>
      </c>
      <c r="O44">
        <v>2.5173749999999999</v>
      </c>
      <c r="P44">
        <v>2.363102</v>
      </c>
      <c r="Q44">
        <v>2.218318</v>
      </c>
      <c r="R44">
        <v>2.0824370000000001</v>
      </c>
      <c r="S44">
        <v>1.9549080000000001</v>
      </c>
      <c r="T44">
        <v>1.8352170000000001</v>
      </c>
      <c r="U44">
        <v>1.72288</v>
      </c>
      <c r="V44">
        <v>1.617443</v>
      </c>
      <c r="W44">
        <v>1.5184820000000001</v>
      </c>
      <c r="X44">
        <v>1.425597</v>
      </c>
      <c r="Y44">
        <v>1.338414</v>
      </c>
      <c r="Z44">
        <v>1.2565820000000001</v>
      </c>
      <c r="AA44">
        <v>1.17977</v>
      </c>
      <c r="AB44">
        <v>1.1076699999999999</v>
      </c>
      <c r="AC44">
        <v>1.039992</v>
      </c>
      <c r="AD44">
        <v>0.97646299999999997</v>
      </c>
      <c r="AE44">
        <v>0.91682900000000001</v>
      </c>
      <c r="AF44">
        <v>0.86084899999999998</v>
      </c>
      <c r="AG44" s="71">
        <v>-6.3E-2</v>
      </c>
    </row>
    <row r="45" spans="1:33" x14ac:dyDescent="0.75">
      <c r="A45" t="s">
        <v>116</v>
      </c>
      <c r="B45" t="s">
        <v>212</v>
      </c>
      <c r="C45" t="s">
        <v>211</v>
      </c>
      <c r="D45" t="s">
        <v>103</v>
      </c>
      <c r="F45">
        <v>4.3379099999999999</v>
      </c>
      <c r="G45">
        <v>4.0715789999999998</v>
      </c>
      <c r="H45">
        <v>3.8216589999999999</v>
      </c>
      <c r="I45">
        <v>3.5871339999999998</v>
      </c>
      <c r="J45">
        <v>3.3670529999999999</v>
      </c>
      <c r="K45">
        <v>3.160523</v>
      </c>
      <c r="L45">
        <v>2.966707</v>
      </c>
      <c r="M45">
        <v>2.784818</v>
      </c>
      <c r="N45">
        <v>2.6141209999999999</v>
      </c>
      <c r="O45">
        <v>2.4539240000000002</v>
      </c>
      <c r="P45">
        <v>2.303579</v>
      </c>
      <c r="Q45">
        <v>2.1624780000000001</v>
      </c>
      <c r="R45">
        <v>2.0300509999999998</v>
      </c>
      <c r="S45">
        <v>1.905762</v>
      </c>
      <c r="T45">
        <v>1.78911</v>
      </c>
      <c r="U45">
        <v>1.6796230000000001</v>
      </c>
      <c r="V45">
        <v>1.5768599999999999</v>
      </c>
      <c r="W45">
        <v>1.480407</v>
      </c>
      <c r="X45">
        <v>1.3898740000000001</v>
      </c>
      <c r="Y45">
        <v>1.304897</v>
      </c>
      <c r="Z45">
        <v>1.2251339999999999</v>
      </c>
      <c r="AA45">
        <v>1.150264</v>
      </c>
      <c r="AB45">
        <v>1.079985</v>
      </c>
      <c r="AC45">
        <v>1.0140150000000001</v>
      </c>
      <c r="AD45">
        <v>0.95208899999999996</v>
      </c>
      <c r="AE45">
        <v>0.893957</v>
      </c>
      <c r="AF45">
        <v>0.83938800000000002</v>
      </c>
      <c r="AG45" s="71">
        <v>-6.0999999999999999E-2</v>
      </c>
    </row>
    <row r="46" spans="1:33" x14ac:dyDescent="0.75">
      <c r="A46" t="s">
        <v>117</v>
      </c>
      <c r="B46" t="s">
        <v>210</v>
      </c>
      <c r="C46" t="s">
        <v>209</v>
      </c>
      <c r="D46" t="s">
        <v>103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75">
      <c r="A47" t="s">
        <v>118</v>
      </c>
      <c r="B47" t="s">
        <v>208</v>
      </c>
      <c r="C47" t="s">
        <v>207</v>
      </c>
      <c r="D47" t="s">
        <v>103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75">
      <c r="A48" t="s">
        <v>126</v>
      </c>
      <c r="B48" t="s">
        <v>206</v>
      </c>
      <c r="C48" t="s">
        <v>205</v>
      </c>
      <c r="D48" t="s">
        <v>103</v>
      </c>
      <c r="F48">
        <v>1697.0936280000001</v>
      </c>
      <c r="G48">
        <v>1817.2886960000001</v>
      </c>
      <c r="H48">
        <v>1972.378418</v>
      </c>
      <c r="I48">
        <v>2161.1110840000001</v>
      </c>
      <c r="J48">
        <v>2332.6914059999999</v>
      </c>
      <c r="K48">
        <v>2452.475586</v>
      </c>
      <c r="L48">
        <v>2567.5112300000001</v>
      </c>
      <c r="M48">
        <v>2677.1489259999998</v>
      </c>
      <c r="N48">
        <v>2792.4487300000001</v>
      </c>
      <c r="O48">
        <v>2868.2006839999999</v>
      </c>
      <c r="P48">
        <v>2953.9499510000001</v>
      </c>
      <c r="Q48">
        <v>3056.5666500000002</v>
      </c>
      <c r="R48">
        <v>3175.3781739999999</v>
      </c>
      <c r="S48">
        <v>3292.2641600000002</v>
      </c>
      <c r="T48">
        <v>3408.4760740000002</v>
      </c>
      <c r="U48">
        <v>3524.1247560000002</v>
      </c>
      <c r="V48">
        <v>3636.4267580000001</v>
      </c>
      <c r="W48">
        <v>3741.5029300000001</v>
      </c>
      <c r="X48">
        <v>3839.0251459999999</v>
      </c>
      <c r="Y48">
        <v>3929.3642580000001</v>
      </c>
      <c r="Z48">
        <v>4014.3725589999999</v>
      </c>
      <c r="AA48">
        <v>4094.8427729999999</v>
      </c>
      <c r="AB48">
        <v>4169.9003910000001</v>
      </c>
      <c r="AC48">
        <v>4240.4301759999998</v>
      </c>
      <c r="AD48">
        <v>4303.9208980000003</v>
      </c>
      <c r="AE48">
        <v>4362.6616210000002</v>
      </c>
      <c r="AF48">
        <v>4418.5317379999997</v>
      </c>
      <c r="AG48" s="71">
        <v>3.6999999999999998E-2</v>
      </c>
    </row>
    <row r="49" spans="1:33" x14ac:dyDescent="0.75">
      <c r="A49" t="s">
        <v>204</v>
      </c>
      <c r="B49" t="s">
        <v>203</v>
      </c>
      <c r="C49" t="s">
        <v>202</v>
      </c>
      <c r="D49" t="s">
        <v>103</v>
      </c>
      <c r="F49">
        <v>10758.671875</v>
      </c>
      <c r="G49">
        <v>10921.777344</v>
      </c>
      <c r="H49">
        <v>11164.371094</v>
      </c>
      <c r="I49">
        <v>11411.09375</v>
      </c>
      <c r="J49">
        <v>11581.231444999999</v>
      </c>
      <c r="K49">
        <v>11699.950194999999</v>
      </c>
      <c r="L49">
        <v>11773.894531</v>
      </c>
      <c r="M49">
        <v>11808.994140999999</v>
      </c>
      <c r="N49">
        <v>11843.488281</v>
      </c>
      <c r="O49">
        <v>11900.560546999999</v>
      </c>
      <c r="P49">
        <v>11922.306640999999</v>
      </c>
      <c r="Q49">
        <v>11948.512694999999</v>
      </c>
      <c r="R49">
        <v>11977.622069999999</v>
      </c>
      <c r="S49">
        <v>11997.978515999999</v>
      </c>
      <c r="T49">
        <v>12015.03125</v>
      </c>
      <c r="U49">
        <v>12031.545898</v>
      </c>
      <c r="V49">
        <v>12050.678711</v>
      </c>
      <c r="W49">
        <v>12059.722656</v>
      </c>
      <c r="X49">
        <v>12060.015625</v>
      </c>
      <c r="Y49">
        <v>12048.09375</v>
      </c>
      <c r="Z49">
        <v>12035.478515999999</v>
      </c>
      <c r="AA49">
        <v>12019.073242</v>
      </c>
      <c r="AB49">
        <v>12000.009765999999</v>
      </c>
      <c r="AC49">
        <v>11980.414062</v>
      </c>
      <c r="AD49">
        <v>11949.496094</v>
      </c>
      <c r="AE49">
        <v>11912.869140999999</v>
      </c>
      <c r="AF49">
        <v>11866.446289</v>
      </c>
      <c r="AG49" s="71">
        <v>4.0000000000000001E-3</v>
      </c>
    </row>
    <row r="50" spans="1:33" x14ac:dyDescent="0.75">
      <c r="A50" t="s">
        <v>148</v>
      </c>
      <c r="B50" t="s">
        <v>201</v>
      </c>
      <c r="C50" t="s">
        <v>200</v>
      </c>
      <c r="D50" t="s">
        <v>103</v>
      </c>
      <c r="F50">
        <v>16727.667968999998</v>
      </c>
      <c r="G50">
        <v>16756.4375</v>
      </c>
      <c r="H50">
        <v>16872.21875</v>
      </c>
      <c r="I50">
        <v>16972.146484000001</v>
      </c>
      <c r="J50">
        <v>16962.730468999998</v>
      </c>
      <c r="K50">
        <v>16926.787109000001</v>
      </c>
      <c r="L50">
        <v>16876.984375</v>
      </c>
      <c r="M50">
        <v>16793.287109000001</v>
      </c>
      <c r="N50">
        <v>16716.441406000002</v>
      </c>
      <c r="O50">
        <v>16674.269531000002</v>
      </c>
      <c r="P50">
        <v>16655.951172000001</v>
      </c>
      <c r="Q50">
        <v>16637.394531000002</v>
      </c>
      <c r="R50">
        <v>16615.115234000001</v>
      </c>
      <c r="S50">
        <v>16590.847656000002</v>
      </c>
      <c r="T50">
        <v>16576.015625</v>
      </c>
      <c r="U50">
        <v>16570.712890999999</v>
      </c>
      <c r="V50">
        <v>16562.277343999998</v>
      </c>
      <c r="W50">
        <v>16539.519531000002</v>
      </c>
      <c r="X50">
        <v>16506.873047000001</v>
      </c>
      <c r="Y50">
        <v>16464.835938</v>
      </c>
      <c r="Z50">
        <v>16421.207031000002</v>
      </c>
      <c r="AA50">
        <v>16378.865234000001</v>
      </c>
      <c r="AB50">
        <v>16329.53125</v>
      </c>
      <c r="AC50">
        <v>16276.382812</v>
      </c>
      <c r="AD50">
        <v>16209.28125</v>
      </c>
      <c r="AE50">
        <v>16136.900390999999</v>
      </c>
      <c r="AF50">
        <v>16066.762694999999</v>
      </c>
      <c r="AG50" s="71">
        <v>-2E-3</v>
      </c>
    </row>
    <row r="51" spans="1:33" x14ac:dyDescent="0.75">
      <c r="A51" t="s">
        <v>199</v>
      </c>
      <c r="B51" t="s">
        <v>198</v>
      </c>
      <c r="C51" t="s">
        <v>197</v>
      </c>
      <c r="D51" t="s">
        <v>103</v>
      </c>
      <c r="F51">
        <v>7855.1132809999999</v>
      </c>
      <c r="G51">
        <v>7665.2778319999998</v>
      </c>
      <c r="H51">
        <v>7542.0371089999999</v>
      </c>
      <c r="I51">
        <v>7458.8955079999996</v>
      </c>
      <c r="J51">
        <v>7381.9428710000002</v>
      </c>
      <c r="K51">
        <v>7305.078125</v>
      </c>
      <c r="L51">
        <v>7231.6528319999998</v>
      </c>
      <c r="M51">
        <v>7145.1933589999999</v>
      </c>
      <c r="N51">
        <v>7057.2055659999996</v>
      </c>
      <c r="O51">
        <v>6962.4838870000003</v>
      </c>
      <c r="P51">
        <v>6857.5385740000002</v>
      </c>
      <c r="Q51">
        <v>6737.0883789999998</v>
      </c>
      <c r="R51">
        <v>6609.517578</v>
      </c>
      <c r="S51">
        <v>6471.2866210000002</v>
      </c>
      <c r="T51">
        <v>6324.4775390000004</v>
      </c>
      <c r="U51">
        <v>6176.3608400000003</v>
      </c>
      <c r="V51">
        <v>6024.8154299999997</v>
      </c>
      <c r="W51">
        <v>5867.7143550000001</v>
      </c>
      <c r="X51">
        <v>5707.9418949999999</v>
      </c>
      <c r="Y51">
        <v>5552.0722660000001</v>
      </c>
      <c r="Z51">
        <v>5403.2841799999997</v>
      </c>
      <c r="AA51">
        <v>5252.5429690000001</v>
      </c>
      <c r="AB51">
        <v>5096.5878910000001</v>
      </c>
      <c r="AC51">
        <v>4938.9458009999998</v>
      </c>
      <c r="AD51">
        <v>4781.4506840000004</v>
      </c>
      <c r="AE51">
        <v>4618.0205079999996</v>
      </c>
      <c r="AF51">
        <v>4445.1220700000003</v>
      </c>
      <c r="AG51" s="71">
        <v>-2.1999999999999999E-2</v>
      </c>
    </row>
    <row r="52" spans="1:33" x14ac:dyDescent="0.75">
      <c r="A52" t="s">
        <v>196</v>
      </c>
      <c r="B52" t="s">
        <v>195</v>
      </c>
      <c r="C52" t="s">
        <v>194</v>
      </c>
      <c r="D52" t="s">
        <v>103</v>
      </c>
      <c r="F52">
        <v>5019.189453</v>
      </c>
      <c r="G52">
        <v>4921.7592770000001</v>
      </c>
      <c r="H52">
        <v>4824.1694340000004</v>
      </c>
      <c r="I52">
        <v>4722.1992190000001</v>
      </c>
      <c r="J52">
        <v>4612.9482420000004</v>
      </c>
      <c r="K52">
        <v>4494.3481449999999</v>
      </c>
      <c r="L52">
        <v>4367.1333009999998</v>
      </c>
      <c r="M52">
        <v>4225.6899409999996</v>
      </c>
      <c r="N52">
        <v>4089.4565429999998</v>
      </c>
      <c r="O52">
        <v>3940.4841310000002</v>
      </c>
      <c r="P52">
        <v>3786.7536620000001</v>
      </c>
      <c r="Q52">
        <v>3621.6906739999999</v>
      </c>
      <c r="R52">
        <v>3452.0083009999998</v>
      </c>
      <c r="S52">
        <v>3278.1594239999999</v>
      </c>
      <c r="T52">
        <v>3098.8549800000001</v>
      </c>
      <c r="U52">
        <v>2921.928711</v>
      </c>
      <c r="V52">
        <v>2743.2478030000002</v>
      </c>
      <c r="W52">
        <v>2576.4331050000001</v>
      </c>
      <c r="X52">
        <v>2419.2429200000001</v>
      </c>
      <c r="Y52">
        <v>2284.141357</v>
      </c>
      <c r="Z52">
        <v>2165.0585940000001</v>
      </c>
      <c r="AA52">
        <v>2049.0903320000002</v>
      </c>
      <c r="AB52">
        <v>1935.6875</v>
      </c>
      <c r="AC52">
        <v>1827.8242190000001</v>
      </c>
      <c r="AD52">
        <v>1724.5014650000001</v>
      </c>
      <c r="AE52">
        <v>1614.953125</v>
      </c>
      <c r="AF52">
        <v>1504.0860600000001</v>
      </c>
      <c r="AG52" s="71">
        <v>-4.4999999999999998E-2</v>
      </c>
    </row>
    <row r="53" spans="1:33" x14ac:dyDescent="0.75">
      <c r="A53" t="s">
        <v>193</v>
      </c>
      <c r="B53" t="s">
        <v>192</v>
      </c>
      <c r="C53" t="s">
        <v>191</v>
      </c>
      <c r="D53" t="s">
        <v>103</v>
      </c>
      <c r="F53">
        <v>2.9177000000000002E-2</v>
      </c>
      <c r="G53">
        <v>2.7893999999999999E-2</v>
      </c>
      <c r="H53">
        <v>2.8336E-2</v>
      </c>
      <c r="I53">
        <v>3.0077E-2</v>
      </c>
      <c r="J53">
        <v>3.2547E-2</v>
      </c>
      <c r="K53">
        <v>3.5536999999999999E-2</v>
      </c>
      <c r="L53">
        <v>3.8737000000000001E-2</v>
      </c>
      <c r="M53">
        <v>4.2036999999999998E-2</v>
      </c>
      <c r="N53">
        <v>4.5574000000000003E-2</v>
      </c>
      <c r="O53">
        <v>4.9294999999999999E-2</v>
      </c>
      <c r="P53">
        <v>5.287E-2</v>
      </c>
      <c r="Q53">
        <v>5.6437000000000001E-2</v>
      </c>
      <c r="R53">
        <v>6.0086000000000001E-2</v>
      </c>
      <c r="S53">
        <v>6.3736000000000001E-2</v>
      </c>
      <c r="T53">
        <v>6.7337999999999995E-2</v>
      </c>
      <c r="U53">
        <v>7.0847999999999994E-2</v>
      </c>
      <c r="V53">
        <v>7.4158000000000002E-2</v>
      </c>
      <c r="W53">
        <v>7.7238000000000001E-2</v>
      </c>
      <c r="X53">
        <v>8.0093999999999999E-2</v>
      </c>
      <c r="Y53">
        <v>8.2702999999999999E-2</v>
      </c>
      <c r="Z53">
        <v>8.5087999999999997E-2</v>
      </c>
      <c r="AA53">
        <v>8.7237999999999996E-2</v>
      </c>
      <c r="AB53">
        <v>8.9149999999999993E-2</v>
      </c>
      <c r="AC53">
        <v>9.0864E-2</v>
      </c>
      <c r="AD53">
        <v>9.2346999999999999E-2</v>
      </c>
      <c r="AE53">
        <v>9.3637999999999999E-2</v>
      </c>
      <c r="AF53">
        <v>9.4775999999999999E-2</v>
      </c>
      <c r="AG53" s="71">
        <v>4.5999999999999999E-2</v>
      </c>
    </row>
    <row r="54" spans="1:33" x14ac:dyDescent="0.75">
      <c r="A54" t="s">
        <v>190</v>
      </c>
      <c r="B54" t="s">
        <v>189</v>
      </c>
      <c r="C54" t="s">
        <v>188</v>
      </c>
      <c r="D54" t="s">
        <v>103</v>
      </c>
      <c r="F54">
        <v>14.902305999999999</v>
      </c>
      <c r="G54">
        <v>17.576094000000001</v>
      </c>
      <c r="H54">
        <v>20.585961999999999</v>
      </c>
      <c r="I54">
        <v>23.665554</v>
      </c>
      <c r="J54">
        <v>26.919802000000001</v>
      </c>
      <c r="K54">
        <v>30.452202</v>
      </c>
      <c r="L54">
        <v>34.228214000000001</v>
      </c>
      <c r="M54">
        <v>38.143214999999998</v>
      </c>
      <c r="N54">
        <v>42.358657999999998</v>
      </c>
      <c r="O54">
        <v>46.960566999999998</v>
      </c>
      <c r="P54">
        <v>52.145308999999997</v>
      </c>
      <c r="Q54">
        <v>57.921512999999997</v>
      </c>
      <c r="R54">
        <v>64.438721000000001</v>
      </c>
      <c r="S54">
        <v>71.862915000000001</v>
      </c>
      <c r="T54">
        <v>80.503356999999994</v>
      </c>
      <c r="U54">
        <v>90.419799999999995</v>
      </c>
      <c r="V54">
        <v>101.53952</v>
      </c>
      <c r="W54">
        <v>113.773949</v>
      </c>
      <c r="X54">
        <v>126.754311</v>
      </c>
      <c r="Y54">
        <v>140.46791099999999</v>
      </c>
      <c r="Z54">
        <v>154.83050499999999</v>
      </c>
      <c r="AA54">
        <v>169.555542</v>
      </c>
      <c r="AB54">
        <v>184.507767</v>
      </c>
      <c r="AC54">
        <v>199.626755</v>
      </c>
      <c r="AD54">
        <v>214.75408899999999</v>
      </c>
      <c r="AE54">
        <v>229.751678</v>
      </c>
      <c r="AF54">
        <v>244.68684400000001</v>
      </c>
      <c r="AG54" s="71">
        <v>0.114</v>
      </c>
    </row>
    <row r="55" spans="1:33" x14ac:dyDescent="0.75">
      <c r="A55" t="s">
        <v>187</v>
      </c>
      <c r="B55" t="s">
        <v>186</v>
      </c>
      <c r="C55" t="s">
        <v>185</v>
      </c>
      <c r="D55" t="s">
        <v>103</v>
      </c>
      <c r="F55">
        <v>1675.231567</v>
      </c>
      <c r="G55">
        <v>1730.6750489999999</v>
      </c>
      <c r="H55">
        <v>1783.8242190000001</v>
      </c>
      <c r="I55">
        <v>1831.4544679999999</v>
      </c>
      <c r="J55">
        <v>1871.336914</v>
      </c>
      <c r="K55">
        <v>1903.2607419999999</v>
      </c>
      <c r="L55">
        <v>1927.773682</v>
      </c>
      <c r="M55">
        <v>1944.653198</v>
      </c>
      <c r="N55">
        <v>1955.0585940000001</v>
      </c>
      <c r="O55">
        <v>1961.609741</v>
      </c>
      <c r="P55">
        <v>1964.1290280000001</v>
      </c>
      <c r="Q55">
        <v>1963.711914</v>
      </c>
      <c r="R55">
        <v>1961.604736</v>
      </c>
      <c r="S55">
        <v>1957.994751</v>
      </c>
      <c r="T55">
        <v>1953.357422</v>
      </c>
      <c r="U55">
        <v>1948.336914</v>
      </c>
      <c r="V55">
        <v>1942.3992920000001</v>
      </c>
      <c r="W55">
        <v>1935.624268</v>
      </c>
      <c r="X55">
        <v>1928.533081</v>
      </c>
      <c r="Y55">
        <v>1920.6376949999999</v>
      </c>
      <c r="Z55">
        <v>1908.769775</v>
      </c>
      <c r="AA55">
        <v>1892.4993899999999</v>
      </c>
      <c r="AB55">
        <v>1874.248047</v>
      </c>
      <c r="AC55">
        <v>1852.163086</v>
      </c>
      <c r="AD55">
        <v>1827.4487300000001</v>
      </c>
      <c r="AE55">
        <v>1796.4149170000001</v>
      </c>
      <c r="AF55">
        <v>1764.8702390000001</v>
      </c>
      <c r="AG55" s="71">
        <v>2E-3</v>
      </c>
    </row>
    <row r="56" spans="1:33" x14ac:dyDescent="0.75">
      <c r="A56" t="s">
        <v>135</v>
      </c>
      <c r="B56" t="s">
        <v>184</v>
      </c>
      <c r="C56" t="s">
        <v>183</v>
      </c>
      <c r="D56" t="s">
        <v>103</v>
      </c>
      <c r="F56">
        <v>39.214866999999998</v>
      </c>
      <c r="G56">
        <v>55.817169</v>
      </c>
      <c r="H56">
        <v>73.137619000000001</v>
      </c>
      <c r="I56">
        <v>90.519867000000005</v>
      </c>
      <c r="J56">
        <v>107.33844000000001</v>
      </c>
      <c r="K56">
        <v>123.803017</v>
      </c>
      <c r="L56">
        <v>139.94560200000001</v>
      </c>
      <c r="M56">
        <v>159.49374399999999</v>
      </c>
      <c r="N56">
        <v>182.792282</v>
      </c>
      <c r="O56">
        <v>208.52500900000001</v>
      </c>
      <c r="P56">
        <v>238.42692600000001</v>
      </c>
      <c r="Q56">
        <v>274.92523199999999</v>
      </c>
      <c r="R56">
        <v>317.51724200000001</v>
      </c>
      <c r="S56">
        <v>365.99771099999998</v>
      </c>
      <c r="T56">
        <v>419.79144300000002</v>
      </c>
      <c r="U56">
        <v>478.25216699999999</v>
      </c>
      <c r="V56">
        <v>539.66424600000005</v>
      </c>
      <c r="W56">
        <v>605.26666299999999</v>
      </c>
      <c r="X56">
        <v>673.98651099999995</v>
      </c>
      <c r="Y56">
        <v>745.78527799999995</v>
      </c>
      <c r="Z56">
        <v>819.63543700000002</v>
      </c>
      <c r="AA56">
        <v>893.70117200000004</v>
      </c>
      <c r="AB56">
        <v>967.68975799999998</v>
      </c>
      <c r="AC56">
        <v>1040.8363039999999</v>
      </c>
      <c r="AD56">
        <v>1111.6138920000001</v>
      </c>
      <c r="AE56">
        <v>1180.5131839999999</v>
      </c>
      <c r="AF56">
        <v>1248.1435550000001</v>
      </c>
      <c r="AG56" s="71">
        <v>0.14199999999999999</v>
      </c>
    </row>
    <row r="57" spans="1:33" x14ac:dyDescent="0.75">
      <c r="A57" t="s">
        <v>182</v>
      </c>
      <c r="B57" t="s">
        <v>181</v>
      </c>
      <c r="C57" t="s">
        <v>180</v>
      </c>
      <c r="D57" t="s">
        <v>103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111</v>
      </c>
    </row>
    <row r="58" spans="1:33" x14ac:dyDescent="0.75">
      <c r="A58" t="s">
        <v>179</v>
      </c>
      <c r="B58" t="s">
        <v>178</v>
      </c>
      <c r="C58" t="s">
        <v>177</v>
      </c>
      <c r="D58" t="s">
        <v>103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111</v>
      </c>
    </row>
    <row r="59" spans="1:33" x14ac:dyDescent="0.75">
      <c r="A59" t="s">
        <v>139</v>
      </c>
      <c r="B59" t="s">
        <v>176</v>
      </c>
      <c r="C59" t="s">
        <v>175</v>
      </c>
      <c r="D59" t="s">
        <v>103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111</v>
      </c>
    </row>
    <row r="60" spans="1:33" x14ac:dyDescent="0.75">
      <c r="A60" t="s">
        <v>174</v>
      </c>
      <c r="B60" t="s">
        <v>173</v>
      </c>
      <c r="C60" t="s">
        <v>172</v>
      </c>
      <c r="D60" t="s">
        <v>103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111</v>
      </c>
    </row>
    <row r="61" spans="1:33" x14ac:dyDescent="0.75">
      <c r="A61" t="s">
        <v>171</v>
      </c>
      <c r="B61" t="s">
        <v>170</v>
      </c>
      <c r="C61" t="s">
        <v>169</v>
      </c>
      <c r="D61" t="s">
        <v>103</v>
      </c>
      <c r="F61">
        <v>0</v>
      </c>
      <c r="G61">
        <v>1.8639939999999999</v>
      </c>
      <c r="H61">
        <v>4.4663040000000001</v>
      </c>
      <c r="I61">
        <v>8.0814699999999995</v>
      </c>
      <c r="J61">
        <v>22.056372</v>
      </c>
      <c r="K61">
        <v>48.933228</v>
      </c>
      <c r="L61">
        <v>87.077995000000001</v>
      </c>
      <c r="M61">
        <v>138.116333</v>
      </c>
      <c r="N61">
        <v>199.388733</v>
      </c>
      <c r="O61">
        <v>268.62094100000002</v>
      </c>
      <c r="P61">
        <v>344.759705</v>
      </c>
      <c r="Q61">
        <v>431.41665599999999</v>
      </c>
      <c r="R61">
        <v>522.13275099999998</v>
      </c>
      <c r="S61">
        <v>615.81591800000001</v>
      </c>
      <c r="T61">
        <v>715.17797900000005</v>
      </c>
      <c r="U61">
        <v>819.816101</v>
      </c>
      <c r="V61">
        <v>929.444885</v>
      </c>
      <c r="W61">
        <v>1047.6220699999999</v>
      </c>
      <c r="X61">
        <v>1170.4960940000001</v>
      </c>
      <c r="Y61">
        <v>1294.7873540000001</v>
      </c>
      <c r="Z61">
        <v>1421.6793210000001</v>
      </c>
      <c r="AA61">
        <v>1552.3092039999999</v>
      </c>
      <c r="AB61">
        <v>1686.1538089999999</v>
      </c>
      <c r="AC61">
        <v>1823.432495</v>
      </c>
      <c r="AD61">
        <v>1960.1687010000001</v>
      </c>
      <c r="AE61">
        <v>2097.6840820000002</v>
      </c>
      <c r="AF61">
        <v>2239.413086</v>
      </c>
      <c r="AG61" t="s">
        <v>111</v>
      </c>
    </row>
    <row r="62" spans="1:33" x14ac:dyDescent="0.75">
      <c r="A62" t="s">
        <v>168</v>
      </c>
      <c r="B62" t="s">
        <v>167</v>
      </c>
      <c r="C62" t="s">
        <v>166</v>
      </c>
      <c r="D62" t="s">
        <v>103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75">
      <c r="A63" t="s">
        <v>165</v>
      </c>
      <c r="B63" t="s">
        <v>164</v>
      </c>
      <c r="C63" t="s">
        <v>163</v>
      </c>
      <c r="D63" t="s">
        <v>103</v>
      </c>
      <c r="F63">
        <v>14603.680664</v>
      </c>
      <c r="G63">
        <v>14392.998046999999</v>
      </c>
      <c r="H63">
        <v>14248.249023</v>
      </c>
      <c r="I63">
        <v>14134.845703000001</v>
      </c>
      <c r="J63">
        <v>14022.575194999999</v>
      </c>
      <c r="K63">
        <v>13905.910156</v>
      </c>
      <c r="L63">
        <v>13787.850586</v>
      </c>
      <c r="M63">
        <v>13651.332031</v>
      </c>
      <c r="N63">
        <v>13526.305664</v>
      </c>
      <c r="O63">
        <v>13388.733398</v>
      </c>
      <c r="P63">
        <v>13243.805664</v>
      </c>
      <c r="Q63">
        <v>13086.811523</v>
      </c>
      <c r="R63">
        <v>12927.279296999999</v>
      </c>
      <c r="S63">
        <v>12761.181640999999</v>
      </c>
      <c r="T63">
        <v>12592.228515999999</v>
      </c>
      <c r="U63">
        <v>12435.185546999999</v>
      </c>
      <c r="V63">
        <v>12281.185546999999</v>
      </c>
      <c r="W63">
        <v>12146.511719</v>
      </c>
      <c r="X63">
        <v>12027.034180000001</v>
      </c>
      <c r="Y63">
        <v>11937.974609000001</v>
      </c>
      <c r="Z63">
        <v>11873.34375</v>
      </c>
      <c r="AA63">
        <v>11809.786133</v>
      </c>
      <c r="AB63">
        <v>11744.964844</v>
      </c>
      <c r="AC63">
        <v>11682.918944999999</v>
      </c>
      <c r="AD63">
        <v>11620.030273</v>
      </c>
      <c r="AE63">
        <v>11537.429688</v>
      </c>
      <c r="AF63">
        <v>11446.416992</v>
      </c>
      <c r="AG63" s="71">
        <v>-8.9999999999999993E-3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0767C-6285-4C0E-BDF9-7A9F61BDC9F4}">
  <dimension ref="A1:AG67"/>
  <sheetViews>
    <sheetView workbookViewId="0"/>
  </sheetViews>
  <sheetFormatPr defaultRowHeight="14.75" x14ac:dyDescent="0.75"/>
  <sheetData>
    <row r="1" spans="1:33" x14ac:dyDescent="0.75">
      <c r="A1" t="s">
        <v>95</v>
      </c>
    </row>
    <row r="2" spans="1:33" x14ac:dyDescent="0.75">
      <c r="A2" t="s">
        <v>514</v>
      </c>
    </row>
    <row r="3" spans="1:33" x14ac:dyDescent="0.75">
      <c r="A3" t="s">
        <v>513</v>
      </c>
    </row>
    <row r="4" spans="1:33" x14ac:dyDescent="0.75">
      <c r="A4" t="s">
        <v>96</v>
      </c>
    </row>
    <row r="5" spans="1:33" x14ac:dyDescent="0.7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75">
      <c r="A6" t="s">
        <v>100</v>
      </c>
    </row>
    <row r="7" spans="1:33" x14ac:dyDescent="0.75">
      <c r="A7" t="s">
        <v>101</v>
      </c>
    </row>
    <row r="8" spans="1:33" x14ac:dyDescent="0.75">
      <c r="A8" t="s">
        <v>102</v>
      </c>
      <c r="B8" t="s">
        <v>512</v>
      </c>
      <c r="C8" t="s">
        <v>511</v>
      </c>
      <c r="D8" t="s">
        <v>103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71">
        <v>-2.8000000000000001E-2</v>
      </c>
    </row>
    <row r="9" spans="1:33" x14ac:dyDescent="0.75">
      <c r="A9" t="s">
        <v>104</v>
      </c>
      <c r="B9" t="s">
        <v>510</v>
      </c>
      <c r="C9" t="s">
        <v>509</v>
      </c>
      <c r="D9" t="s">
        <v>103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111</v>
      </c>
    </row>
    <row r="10" spans="1:33" x14ac:dyDescent="0.75">
      <c r="A10" t="s">
        <v>105</v>
      </c>
      <c r="B10" t="s">
        <v>508</v>
      </c>
      <c r="C10" t="s">
        <v>507</v>
      </c>
      <c r="D10" t="s">
        <v>103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71">
        <v>-2.8000000000000001E-2</v>
      </c>
    </row>
    <row r="11" spans="1:33" x14ac:dyDescent="0.75">
      <c r="A11" t="s">
        <v>106</v>
      </c>
    </row>
    <row r="12" spans="1:33" x14ac:dyDescent="0.75">
      <c r="A12" t="s">
        <v>107</v>
      </c>
      <c r="B12" t="s">
        <v>506</v>
      </c>
      <c r="C12" t="s">
        <v>505</v>
      </c>
      <c r="D12" t="s">
        <v>103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71">
        <v>-4.5999999999999999E-2</v>
      </c>
    </row>
    <row r="13" spans="1:33" x14ac:dyDescent="0.75">
      <c r="A13" t="s">
        <v>235</v>
      </c>
      <c r="B13" t="s">
        <v>504</v>
      </c>
      <c r="C13" t="s">
        <v>503</v>
      </c>
      <c r="D13" t="s">
        <v>103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71">
        <v>1.0999999999999999E-2</v>
      </c>
    </row>
    <row r="14" spans="1:33" x14ac:dyDescent="0.75">
      <c r="A14" t="s">
        <v>232</v>
      </c>
      <c r="B14" t="s">
        <v>502</v>
      </c>
      <c r="C14" t="s">
        <v>501</v>
      </c>
      <c r="D14" t="s">
        <v>103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71">
        <v>7.0999999999999994E-2</v>
      </c>
    </row>
    <row r="15" spans="1:33" x14ac:dyDescent="0.75">
      <c r="A15" t="s">
        <v>229</v>
      </c>
      <c r="B15" t="s">
        <v>500</v>
      </c>
      <c r="C15" t="s">
        <v>499</v>
      </c>
      <c r="D15" t="s">
        <v>103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71">
        <v>2.5000000000000001E-2</v>
      </c>
    </row>
    <row r="16" spans="1:33" x14ac:dyDescent="0.75">
      <c r="A16" t="s">
        <v>108</v>
      </c>
      <c r="B16" t="s">
        <v>498</v>
      </c>
      <c r="C16" t="s">
        <v>497</v>
      </c>
      <c r="D16" t="s">
        <v>103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71">
        <v>2.3E-2</v>
      </c>
    </row>
    <row r="17" spans="1:33" x14ac:dyDescent="0.75">
      <c r="A17" t="s">
        <v>109</v>
      </c>
      <c r="B17" t="s">
        <v>496</v>
      </c>
      <c r="C17" t="s">
        <v>495</v>
      </c>
      <c r="D17" t="s">
        <v>103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71">
        <v>0.03</v>
      </c>
    </row>
    <row r="18" spans="1:33" x14ac:dyDescent="0.75">
      <c r="A18" t="s">
        <v>110</v>
      </c>
      <c r="B18" t="s">
        <v>494</v>
      </c>
      <c r="C18" t="s">
        <v>493</v>
      </c>
      <c r="D18" t="s">
        <v>103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75">
      <c r="A19" t="s">
        <v>112</v>
      </c>
      <c r="B19" t="s">
        <v>492</v>
      </c>
      <c r="C19" t="s">
        <v>491</v>
      </c>
      <c r="D19" t="s">
        <v>103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71">
        <v>1.7999999999999999E-2</v>
      </c>
    </row>
    <row r="20" spans="1:33" x14ac:dyDescent="0.75">
      <c r="A20" t="s">
        <v>113</v>
      </c>
      <c r="B20" t="s">
        <v>490</v>
      </c>
      <c r="C20" t="s">
        <v>489</v>
      </c>
      <c r="D20" t="s">
        <v>103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111</v>
      </c>
    </row>
    <row r="21" spans="1:33" x14ac:dyDescent="0.75">
      <c r="A21" t="s">
        <v>114</v>
      </c>
      <c r="B21" t="s">
        <v>488</v>
      </c>
      <c r="C21" t="s">
        <v>487</v>
      </c>
      <c r="D21" t="s">
        <v>103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111</v>
      </c>
    </row>
    <row r="22" spans="1:33" x14ac:dyDescent="0.75">
      <c r="A22" t="s">
        <v>115</v>
      </c>
      <c r="B22" t="s">
        <v>485</v>
      </c>
      <c r="C22" t="s">
        <v>486</v>
      </c>
      <c r="D22" t="s">
        <v>103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111</v>
      </c>
    </row>
    <row r="23" spans="1:33" x14ac:dyDescent="0.75">
      <c r="A23" t="s">
        <v>116</v>
      </c>
      <c r="B23" t="s">
        <v>485</v>
      </c>
      <c r="C23" t="s">
        <v>484</v>
      </c>
      <c r="D23" t="s">
        <v>103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111</v>
      </c>
    </row>
    <row r="24" spans="1:33" x14ac:dyDescent="0.75">
      <c r="A24" t="s">
        <v>117</v>
      </c>
      <c r="B24" t="s">
        <v>483</v>
      </c>
      <c r="C24" t="s">
        <v>482</v>
      </c>
      <c r="D24" t="s">
        <v>103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111</v>
      </c>
    </row>
    <row r="25" spans="1:33" x14ac:dyDescent="0.75">
      <c r="A25" t="s">
        <v>118</v>
      </c>
      <c r="B25" t="s">
        <v>481</v>
      </c>
      <c r="C25" t="s">
        <v>480</v>
      </c>
      <c r="D25" t="s">
        <v>103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71">
        <v>-3.7999999999999999E-2</v>
      </c>
    </row>
    <row r="26" spans="1:33" x14ac:dyDescent="0.75">
      <c r="A26" t="s">
        <v>119</v>
      </c>
      <c r="B26" t="s">
        <v>479</v>
      </c>
      <c r="C26" t="s">
        <v>478</v>
      </c>
      <c r="D26" t="s">
        <v>103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71">
        <v>3.1E-2</v>
      </c>
    </row>
    <row r="27" spans="1:33" x14ac:dyDescent="0.75">
      <c r="A27" t="s">
        <v>364</v>
      </c>
      <c r="B27" t="s">
        <v>477</v>
      </c>
      <c r="C27" t="s">
        <v>476</v>
      </c>
      <c r="D27" t="s">
        <v>120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71">
        <v>3.2000000000000001E-2</v>
      </c>
    </row>
    <row r="28" spans="1:33" x14ac:dyDescent="0.75">
      <c r="A28" t="s">
        <v>121</v>
      </c>
      <c r="B28" t="s">
        <v>475</v>
      </c>
      <c r="C28" t="s">
        <v>474</v>
      </c>
      <c r="D28" t="s">
        <v>103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71">
        <v>-1E-3</v>
      </c>
    </row>
    <row r="29" spans="1:33" x14ac:dyDescent="0.75">
      <c r="A29" t="s">
        <v>122</v>
      </c>
    </row>
    <row r="30" spans="1:33" x14ac:dyDescent="0.75">
      <c r="A30" t="s">
        <v>123</v>
      </c>
    </row>
    <row r="31" spans="1:33" x14ac:dyDescent="0.75">
      <c r="A31" t="s">
        <v>102</v>
      </c>
      <c r="B31" t="s">
        <v>473</v>
      </c>
      <c r="C31" t="s">
        <v>472</v>
      </c>
      <c r="D31" t="s">
        <v>103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71">
        <v>-1.7999999999999999E-2</v>
      </c>
    </row>
    <row r="32" spans="1:33" x14ac:dyDescent="0.75">
      <c r="A32" t="s">
        <v>104</v>
      </c>
      <c r="B32" t="s">
        <v>471</v>
      </c>
      <c r="C32" t="s">
        <v>470</v>
      </c>
      <c r="D32" t="s">
        <v>103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71">
        <v>-0.02</v>
      </c>
    </row>
    <row r="33" spans="1:33" x14ac:dyDescent="0.75">
      <c r="A33" t="s">
        <v>124</v>
      </c>
      <c r="B33" t="s">
        <v>469</v>
      </c>
      <c r="C33" t="s">
        <v>468</v>
      </c>
      <c r="D33" t="s">
        <v>103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71">
        <v>-1.7999999999999999E-2</v>
      </c>
    </row>
    <row r="34" spans="1:33" x14ac:dyDescent="0.75">
      <c r="A34" t="s">
        <v>125</v>
      </c>
    </row>
    <row r="35" spans="1:33" x14ac:dyDescent="0.75">
      <c r="A35" t="s">
        <v>107</v>
      </c>
      <c r="B35" t="s">
        <v>467</v>
      </c>
      <c r="C35" t="s">
        <v>466</v>
      </c>
      <c r="D35" t="s">
        <v>103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71">
        <v>-4.2999999999999997E-2</v>
      </c>
    </row>
    <row r="36" spans="1:33" x14ac:dyDescent="0.75">
      <c r="A36" t="s">
        <v>235</v>
      </c>
      <c r="B36" t="s">
        <v>465</v>
      </c>
      <c r="C36" t="s">
        <v>464</v>
      </c>
      <c r="D36" t="s">
        <v>103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111</v>
      </c>
    </row>
    <row r="37" spans="1:33" x14ac:dyDescent="0.75">
      <c r="A37" t="s">
        <v>232</v>
      </c>
      <c r="B37" t="s">
        <v>463</v>
      </c>
      <c r="C37" t="s">
        <v>462</v>
      </c>
      <c r="D37" t="s">
        <v>103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71">
        <v>6.0999999999999999E-2</v>
      </c>
    </row>
    <row r="38" spans="1:33" x14ac:dyDescent="0.75">
      <c r="A38" t="s">
        <v>229</v>
      </c>
      <c r="B38" t="s">
        <v>461</v>
      </c>
      <c r="C38" t="s">
        <v>460</v>
      </c>
      <c r="D38" t="s">
        <v>103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71">
        <v>5.8999999999999997E-2</v>
      </c>
    </row>
    <row r="39" spans="1:33" x14ac:dyDescent="0.75">
      <c r="A39" t="s">
        <v>108</v>
      </c>
      <c r="B39" t="s">
        <v>459</v>
      </c>
      <c r="C39" t="s">
        <v>458</v>
      </c>
      <c r="D39" t="s">
        <v>103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71">
        <v>2.7E-2</v>
      </c>
    </row>
    <row r="40" spans="1:33" x14ac:dyDescent="0.75">
      <c r="A40" t="s">
        <v>109</v>
      </c>
      <c r="B40" t="s">
        <v>457</v>
      </c>
      <c r="C40" t="s">
        <v>456</v>
      </c>
      <c r="D40" t="s">
        <v>103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71">
        <v>9.0999999999999998E-2</v>
      </c>
    </row>
    <row r="41" spans="1:33" x14ac:dyDescent="0.75">
      <c r="A41" t="s">
        <v>110</v>
      </c>
      <c r="B41" t="s">
        <v>455</v>
      </c>
      <c r="C41" t="s">
        <v>454</v>
      </c>
      <c r="D41" t="s">
        <v>103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111</v>
      </c>
    </row>
    <row r="42" spans="1:33" x14ac:dyDescent="0.75">
      <c r="A42" t="s">
        <v>112</v>
      </c>
      <c r="B42" t="s">
        <v>453</v>
      </c>
      <c r="C42" t="s">
        <v>452</v>
      </c>
      <c r="D42" t="s">
        <v>103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71">
        <v>2.1000000000000001E-2</v>
      </c>
    </row>
    <row r="43" spans="1:33" x14ac:dyDescent="0.75">
      <c r="A43" t="s">
        <v>113</v>
      </c>
      <c r="B43" t="s">
        <v>451</v>
      </c>
      <c r="C43" t="s">
        <v>450</v>
      </c>
      <c r="D43" t="s">
        <v>103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111</v>
      </c>
    </row>
    <row r="44" spans="1:33" x14ac:dyDescent="0.75">
      <c r="A44" t="s">
        <v>114</v>
      </c>
      <c r="B44" t="s">
        <v>449</v>
      </c>
      <c r="C44" t="s">
        <v>448</v>
      </c>
      <c r="D44" t="s">
        <v>103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111</v>
      </c>
    </row>
    <row r="45" spans="1:33" x14ac:dyDescent="0.75">
      <c r="A45" t="s">
        <v>115</v>
      </c>
      <c r="B45" t="s">
        <v>447</v>
      </c>
      <c r="C45" t="s">
        <v>446</v>
      </c>
      <c r="D45" t="s">
        <v>103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111</v>
      </c>
    </row>
    <row r="46" spans="1:33" x14ac:dyDescent="0.75">
      <c r="A46" t="s">
        <v>116</v>
      </c>
      <c r="B46" t="s">
        <v>445</v>
      </c>
      <c r="C46" t="s">
        <v>444</v>
      </c>
      <c r="D46" t="s">
        <v>103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75">
      <c r="A47" t="s">
        <v>117</v>
      </c>
      <c r="B47" t="s">
        <v>443</v>
      </c>
      <c r="C47" t="s">
        <v>442</v>
      </c>
      <c r="D47" t="s">
        <v>103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75">
      <c r="A48" t="s">
        <v>118</v>
      </c>
      <c r="B48" t="s">
        <v>441</v>
      </c>
      <c r="C48" t="s">
        <v>440</v>
      </c>
      <c r="D48" t="s">
        <v>103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111</v>
      </c>
    </row>
    <row r="49" spans="1:33" x14ac:dyDescent="0.75">
      <c r="A49" t="s">
        <v>126</v>
      </c>
      <c r="B49" t="s">
        <v>439</v>
      </c>
      <c r="C49" t="s">
        <v>438</v>
      </c>
      <c r="D49" t="s">
        <v>103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71">
        <v>3.4000000000000002E-2</v>
      </c>
    </row>
    <row r="50" spans="1:33" x14ac:dyDescent="0.75">
      <c r="A50" t="s">
        <v>323</v>
      </c>
      <c r="B50" t="s">
        <v>437</v>
      </c>
      <c r="C50" t="s">
        <v>436</v>
      </c>
      <c r="D50" t="s">
        <v>120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71">
        <v>3.7999999999999999E-2</v>
      </c>
    </row>
    <row r="51" spans="1:33" x14ac:dyDescent="0.75">
      <c r="A51" t="s">
        <v>127</v>
      </c>
      <c r="B51" t="s">
        <v>435</v>
      </c>
      <c r="C51" t="s">
        <v>434</v>
      </c>
      <c r="D51" t="s">
        <v>103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71">
        <v>-4.0000000000000001E-3</v>
      </c>
    </row>
    <row r="52" spans="1:33" x14ac:dyDescent="0.75">
      <c r="A52" t="s">
        <v>433</v>
      </c>
      <c r="B52" t="s">
        <v>432</v>
      </c>
      <c r="C52" t="s">
        <v>431</v>
      </c>
      <c r="D52" t="s">
        <v>120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71">
        <v>3.5000000000000003E-2</v>
      </c>
    </row>
    <row r="53" spans="1:33" x14ac:dyDescent="0.75">
      <c r="A53" t="s">
        <v>128</v>
      </c>
      <c r="B53" t="s">
        <v>430</v>
      </c>
      <c r="C53" t="s">
        <v>429</v>
      </c>
      <c r="D53" t="s">
        <v>103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71">
        <v>3.2000000000000001E-2</v>
      </c>
    </row>
    <row r="54" spans="1:33" x14ac:dyDescent="0.75">
      <c r="A54" t="s">
        <v>129</v>
      </c>
      <c r="B54" t="s">
        <v>428</v>
      </c>
      <c r="C54" t="s">
        <v>427</v>
      </c>
      <c r="D54" t="s">
        <v>103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111</v>
      </c>
    </row>
    <row r="55" spans="1:33" x14ac:dyDescent="0.75">
      <c r="A55" t="s">
        <v>130</v>
      </c>
      <c r="B55" t="s">
        <v>131</v>
      </c>
    </row>
    <row r="56" spans="1:33" x14ac:dyDescent="0.75">
      <c r="A56" t="s">
        <v>132</v>
      </c>
      <c r="B56" t="s">
        <v>426</v>
      </c>
      <c r="C56" t="s">
        <v>425</v>
      </c>
      <c r="D56" t="s">
        <v>103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71">
        <v>-2.1999999999999999E-2</v>
      </c>
    </row>
    <row r="57" spans="1:33" x14ac:dyDescent="0.75">
      <c r="A57" t="s">
        <v>133</v>
      </c>
      <c r="B57" t="s">
        <v>424</v>
      </c>
      <c r="C57" t="s">
        <v>423</v>
      </c>
      <c r="D57" t="s">
        <v>103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71">
        <v>-0.02</v>
      </c>
    </row>
    <row r="58" spans="1:33" x14ac:dyDescent="0.75">
      <c r="A58" t="s">
        <v>134</v>
      </c>
      <c r="B58" t="s">
        <v>422</v>
      </c>
      <c r="C58" t="s">
        <v>421</v>
      </c>
      <c r="D58" t="s">
        <v>103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71">
        <v>-4.2999999999999997E-2</v>
      </c>
    </row>
    <row r="59" spans="1:33" x14ac:dyDescent="0.75">
      <c r="A59" t="s">
        <v>135</v>
      </c>
      <c r="B59" t="s">
        <v>420</v>
      </c>
      <c r="C59" t="s">
        <v>419</v>
      </c>
      <c r="D59" t="s">
        <v>103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71">
        <v>0.04</v>
      </c>
    </row>
    <row r="60" spans="1:33" x14ac:dyDescent="0.75">
      <c r="A60" t="s">
        <v>136</v>
      </c>
      <c r="B60" t="s">
        <v>418</v>
      </c>
      <c r="C60" t="s">
        <v>417</v>
      </c>
      <c r="D60" t="s">
        <v>103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71">
        <v>4.8000000000000001E-2</v>
      </c>
    </row>
    <row r="61" spans="1:33" x14ac:dyDescent="0.75">
      <c r="A61" t="s">
        <v>137</v>
      </c>
      <c r="B61" t="s">
        <v>416</v>
      </c>
      <c r="C61" t="s">
        <v>415</v>
      </c>
      <c r="D61" t="s">
        <v>103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71">
        <v>0.02</v>
      </c>
    </row>
    <row r="62" spans="1:33" x14ac:dyDescent="0.75">
      <c r="A62" t="s">
        <v>138</v>
      </c>
      <c r="B62" t="s">
        <v>414</v>
      </c>
      <c r="C62" t="s">
        <v>413</v>
      </c>
      <c r="D62" t="s">
        <v>103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75">
      <c r="A63" t="s">
        <v>139</v>
      </c>
      <c r="B63" t="s">
        <v>412</v>
      </c>
      <c r="C63" t="s">
        <v>411</v>
      </c>
      <c r="D63" t="s">
        <v>103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71">
        <v>-3.7999999999999999E-2</v>
      </c>
    </row>
    <row r="64" spans="1:33" x14ac:dyDescent="0.75">
      <c r="A64" t="s">
        <v>140</v>
      </c>
      <c r="B64" t="s">
        <v>410</v>
      </c>
      <c r="C64" t="s">
        <v>404</v>
      </c>
      <c r="D64" t="s">
        <v>103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71">
        <v>-3.0000000000000001E-3</v>
      </c>
    </row>
    <row r="65" spans="1:33" x14ac:dyDescent="0.75">
      <c r="A65" t="s">
        <v>141</v>
      </c>
      <c r="B65" t="s">
        <v>409</v>
      </c>
      <c r="C65" t="s">
        <v>408</v>
      </c>
      <c r="D65" t="s">
        <v>103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71">
        <v>-0.01</v>
      </c>
    </row>
    <row r="66" spans="1:33" x14ac:dyDescent="0.75">
      <c r="A66" t="s">
        <v>142</v>
      </c>
      <c r="B66" t="s">
        <v>407</v>
      </c>
      <c r="C66" t="s">
        <v>406</v>
      </c>
      <c r="D66" t="s">
        <v>103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71">
        <v>-1.9E-2</v>
      </c>
    </row>
    <row r="67" spans="1:33" x14ac:dyDescent="0.75">
      <c r="A67" t="s">
        <v>143</v>
      </c>
      <c r="B67" t="s">
        <v>405</v>
      </c>
      <c r="C67" t="s">
        <v>404</v>
      </c>
      <c r="D67" t="s">
        <v>103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71">
        <v>3.1E-2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A17A9-9291-44B9-93C2-28F7BD4C132B}">
  <dimension ref="A1:AG309"/>
  <sheetViews>
    <sheetView workbookViewId="0"/>
  </sheetViews>
  <sheetFormatPr defaultRowHeight="14.75" x14ac:dyDescent="0.75"/>
  <cols>
    <col min="1" max="1" width="37.26953125" customWidth="1"/>
    <col min="2" max="2" width="52" customWidth="1"/>
  </cols>
  <sheetData>
    <row r="1" spans="1:33" x14ac:dyDescent="0.75">
      <c r="A1" t="s">
        <v>1100</v>
      </c>
    </row>
    <row r="2" spans="1:33" x14ac:dyDescent="0.75">
      <c r="A2" t="s">
        <v>1099</v>
      </c>
    </row>
    <row r="3" spans="1:33" x14ac:dyDescent="0.75">
      <c r="A3" t="s">
        <v>1098</v>
      </c>
    </row>
    <row r="4" spans="1:33" x14ac:dyDescent="0.75">
      <c r="A4" t="s">
        <v>96</v>
      </c>
    </row>
    <row r="5" spans="1:33" x14ac:dyDescent="0.7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75">
      <c r="A6" t="s">
        <v>1097</v>
      </c>
    </row>
    <row r="7" spans="1:33" x14ac:dyDescent="0.75">
      <c r="A7" t="s">
        <v>1096</v>
      </c>
    </row>
    <row r="8" spans="1:33" x14ac:dyDescent="0.75">
      <c r="A8" t="s">
        <v>653</v>
      </c>
    </row>
    <row r="9" spans="1:33" x14ac:dyDescent="0.75">
      <c r="A9" t="s">
        <v>196</v>
      </c>
      <c r="B9" t="s">
        <v>1095</v>
      </c>
      <c r="C9" t="s">
        <v>1094</v>
      </c>
      <c r="D9" t="s">
        <v>1014</v>
      </c>
      <c r="F9">
        <v>54.137805999999998</v>
      </c>
      <c r="G9">
        <v>54.071216999999997</v>
      </c>
      <c r="H9">
        <v>53.457313999999997</v>
      </c>
      <c r="I9">
        <v>52.647182000000001</v>
      </c>
      <c r="J9">
        <v>51.595882000000003</v>
      </c>
      <c r="K9">
        <v>50.530312000000002</v>
      </c>
      <c r="L9">
        <v>49.352173000000001</v>
      </c>
      <c r="M9">
        <v>47.958195000000003</v>
      </c>
      <c r="N9">
        <v>46.364254000000003</v>
      </c>
      <c r="O9">
        <v>44.630927999999997</v>
      </c>
      <c r="P9">
        <v>42.877257999999998</v>
      </c>
      <c r="Q9">
        <v>41.088706999999999</v>
      </c>
      <c r="R9">
        <v>39.341450000000002</v>
      </c>
      <c r="S9">
        <v>37.609543000000002</v>
      </c>
      <c r="T9">
        <v>35.849299999999999</v>
      </c>
      <c r="U9">
        <v>34.028595000000003</v>
      </c>
      <c r="V9">
        <v>32.296920999999998</v>
      </c>
      <c r="W9">
        <v>30.546603999999999</v>
      </c>
      <c r="X9">
        <v>28.828039</v>
      </c>
      <c r="Y9">
        <v>27.093805</v>
      </c>
      <c r="Z9">
        <v>25.4589</v>
      </c>
      <c r="AA9">
        <v>23.970109999999998</v>
      </c>
      <c r="AB9">
        <v>22.591919000000001</v>
      </c>
      <c r="AC9">
        <v>21.348120000000002</v>
      </c>
      <c r="AD9">
        <v>20.125426999999998</v>
      </c>
      <c r="AE9">
        <v>18.939999</v>
      </c>
      <c r="AF9">
        <v>17.824724</v>
      </c>
      <c r="AG9" s="71">
        <v>-4.2000000000000003E-2</v>
      </c>
    </row>
    <row r="10" spans="1:33" x14ac:dyDescent="0.75">
      <c r="A10" t="s">
        <v>199</v>
      </c>
      <c r="B10" t="s">
        <v>1093</v>
      </c>
      <c r="C10" t="s">
        <v>1092</v>
      </c>
      <c r="D10" t="s">
        <v>1014</v>
      </c>
      <c r="F10">
        <v>24.34918</v>
      </c>
      <c r="G10">
        <v>26.157592999999999</v>
      </c>
      <c r="H10">
        <v>27.731414999999998</v>
      </c>
      <c r="I10">
        <v>29.117968000000001</v>
      </c>
      <c r="J10">
        <v>30.147932000000001</v>
      </c>
      <c r="K10">
        <v>30.947813</v>
      </c>
      <c r="L10">
        <v>31.490299</v>
      </c>
      <c r="M10">
        <v>31.687159999999999</v>
      </c>
      <c r="N10">
        <v>31.595020000000002</v>
      </c>
      <c r="O10">
        <v>31.298421999999999</v>
      </c>
      <c r="P10">
        <v>30.888570999999999</v>
      </c>
      <c r="Q10">
        <v>30.361319000000002</v>
      </c>
      <c r="R10">
        <v>29.795849</v>
      </c>
      <c r="S10">
        <v>29.181716999999999</v>
      </c>
      <c r="T10">
        <v>28.457778999999999</v>
      </c>
      <c r="U10">
        <v>27.608362</v>
      </c>
      <c r="V10">
        <v>26.763168</v>
      </c>
      <c r="W10">
        <v>25.832671999999999</v>
      </c>
      <c r="X10">
        <v>24.834416999999998</v>
      </c>
      <c r="Y10">
        <v>23.746389000000001</v>
      </c>
      <c r="Z10">
        <v>22.699881000000001</v>
      </c>
      <c r="AA10">
        <v>21.744126999999999</v>
      </c>
      <c r="AB10">
        <v>20.840295999999999</v>
      </c>
      <c r="AC10">
        <v>20.011322</v>
      </c>
      <c r="AD10">
        <v>19.174472999999999</v>
      </c>
      <c r="AE10">
        <v>18.349557999999998</v>
      </c>
      <c r="AF10">
        <v>17.565284999999999</v>
      </c>
      <c r="AG10" s="71">
        <v>-1.2E-2</v>
      </c>
    </row>
    <row r="11" spans="1:33" x14ac:dyDescent="0.75">
      <c r="A11" t="s">
        <v>193</v>
      </c>
      <c r="B11" t="s">
        <v>1091</v>
      </c>
      <c r="C11" t="s">
        <v>1090</v>
      </c>
      <c r="D11" t="s">
        <v>1014</v>
      </c>
      <c r="F11">
        <v>7.2999999999999996E-4</v>
      </c>
      <c r="G11">
        <v>7.3099999999999999E-4</v>
      </c>
      <c r="H11">
        <v>7.3200000000000001E-4</v>
      </c>
      <c r="I11">
        <v>7.3499999999999998E-4</v>
      </c>
      <c r="J11">
        <v>7.4899999999999999E-4</v>
      </c>
      <c r="K11">
        <v>7.6800000000000002E-4</v>
      </c>
      <c r="L11">
        <v>7.8799999999999996E-4</v>
      </c>
      <c r="M11">
        <v>8.0999999999999996E-4</v>
      </c>
      <c r="N11">
        <v>8.3500000000000002E-4</v>
      </c>
      <c r="O11">
        <v>8.3000000000000001E-4</v>
      </c>
      <c r="P11">
        <v>8.1499999999999997E-4</v>
      </c>
      <c r="Q11">
        <v>8.1700000000000002E-4</v>
      </c>
      <c r="R11">
        <v>8.3000000000000001E-4</v>
      </c>
      <c r="S11">
        <v>8.4999999999999995E-4</v>
      </c>
      <c r="T11">
        <v>8.7500000000000002E-4</v>
      </c>
      <c r="U11">
        <v>9.0200000000000002E-4</v>
      </c>
      <c r="V11">
        <v>9.3000000000000005E-4</v>
      </c>
      <c r="W11">
        <v>9.5799999999999998E-4</v>
      </c>
      <c r="X11">
        <v>9.8299999999999993E-4</v>
      </c>
      <c r="Y11">
        <v>1.0070000000000001E-3</v>
      </c>
      <c r="Z11">
        <v>1.0280000000000001E-3</v>
      </c>
      <c r="AA11">
        <v>1.0510000000000001E-3</v>
      </c>
      <c r="AB11">
        <v>1.073E-3</v>
      </c>
      <c r="AC11">
        <v>1.0970000000000001E-3</v>
      </c>
      <c r="AD11">
        <v>1.119E-3</v>
      </c>
      <c r="AE11">
        <v>1.139E-3</v>
      </c>
      <c r="AF11">
        <v>1.158E-3</v>
      </c>
      <c r="AG11" s="71">
        <v>1.7999999999999999E-2</v>
      </c>
    </row>
    <row r="12" spans="1:33" x14ac:dyDescent="0.75">
      <c r="A12" t="s">
        <v>190</v>
      </c>
      <c r="B12" t="s">
        <v>1089</v>
      </c>
      <c r="C12" t="s">
        <v>1088</v>
      </c>
      <c r="D12" t="s">
        <v>1014</v>
      </c>
      <c r="F12">
        <v>7.9604999999999995E-2</v>
      </c>
      <c r="G12">
        <v>0.21027499999999999</v>
      </c>
      <c r="H12">
        <v>0.35547800000000002</v>
      </c>
      <c r="I12">
        <v>0.50833300000000003</v>
      </c>
      <c r="J12">
        <v>0.60356399999999999</v>
      </c>
      <c r="K12">
        <v>0.70265</v>
      </c>
      <c r="L12">
        <v>0.77752100000000002</v>
      </c>
      <c r="M12">
        <v>0.81933999999999996</v>
      </c>
      <c r="N12">
        <v>0.84735300000000002</v>
      </c>
      <c r="O12">
        <v>0.85540499999999997</v>
      </c>
      <c r="P12">
        <v>0.87202400000000002</v>
      </c>
      <c r="Q12">
        <v>0.90455399999999997</v>
      </c>
      <c r="R12">
        <v>0.94545400000000002</v>
      </c>
      <c r="S12">
        <v>0.99856599999999995</v>
      </c>
      <c r="T12">
        <v>1.076068</v>
      </c>
      <c r="U12">
        <v>1.161184</v>
      </c>
      <c r="V12">
        <v>1.2678579999999999</v>
      </c>
      <c r="W12">
        <v>1.4032100000000001</v>
      </c>
      <c r="X12">
        <v>1.557526</v>
      </c>
      <c r="Y12">
        <v>1.728326</v>
      </c>
      <c r="Z12">
        <v>1.898649</v>
      </c>
      <c r="AA12">
        <v>2.0823230000000001</v>
      </c>
      <c r="AB12">
        <v>2.2790659999999998</v>
      </c>
      <c r="AC12">
        <v>2.5033970000000001</v>
      </c>
      <c r="AD12">
        <v>2.7353589999999999</v>
      </c>
      <c r="AE12">
        <v>2.980953</v>
      </c>
      <c r="AF12">
        <v>3.2338290000000001</v>
      </c>
      <c r="AG12" s="71">
        <v>0.153</v>
      </c>
    </row>
    <row r="13" spans="1:33" x14ac:dyDescent="0.75">
      <c r="A13" t="s">
        <v>187</v>
      </c>
      <c r="B13" t="s">
        <v>1087</v>
      </c>
      <c r="C13" t="s">
        <v>1086</v>
      </c>
      <c r="D13" t="s">
        <v>1014</v>
      </c>
      <c r="F13">
        <v>3.2588729999999999</v>
      </c>
      <c r="G13">
        <v>2.9694029999999998</v>
      </c>
      <c r="H13">
        <v>2.670283</v>
      </c>
      <c r="I13">
        <v>2.3920520000000001</v>
      </c>
      <c r="J13">
        <v>2.1450879999999999</v>
      </c>
      <c r="K13">
        <v>1.9372720000000001</v>
      </c>
      <c r="L13">
        <v>1.7542489999999999</v>
      </c>
      <c r="M13">
        <v>1.591224</v>
      </c>
      <c r="N13">
        <v>1.443881</v>
      </c>
      <c r="O13">
        <v>1.3078000000000001</v>
      </c>
      <c r="P13">
        <v>1.183535</v>
      </c>
      <c r="Q13">
        <v>1.0700609999999999</v>
      </c>
      <c r="R13">
        <v>0.96449200000000002</v>
      </c>
      <c r="S13">
        <v>0.86558299999999999</v>
      </c>
      <c r="T13">
        <v>0.77333399999999997</v>
      </c>
      <c r="U13">
        <v>0.68865200000000004</v>
      </c>
      <c r="V13">
        <v>0.61294800000000005</v>
      </c>
      <c r="W13">
        <v>0.54637000000000002</v>
      </c>
      <c r="X13">
        <v>0.48824699999999999</v>
      </c>
      <c r="Y13">
        <v>0.43711</v>
      </c>
      <c r="Z13">
        <v>0.388071</v>
      </c>
      <c r="AA13">
        <v>0.34228599999999998</v>
      </c>
      <c r="AB13">
        <v>0.29872399999999999</v>
      </c>
      <c r="AC13">
        <v>0.26012600000000002</v>
      </c>
      <c r="AD13">
        <v>0.21887200000000001</v>
      </c>
      <c r="AE13">
        <v>0.17858399999999999</v>
      </c>
      <c r="AF13">
        <v>0.14052200000000001</v>
      </c>
      <c r="AG13" s="71">
        <v>-0.114</v>
      </c>
    </row>
    <row r="14" spans="1:33" x14ac:dyDescent="0.75">
      <c r="A14" t="s">
        <v>135</v>
      </c>
      <c r="B14" t="s">
        <v>1085</v>
      </c>
      <c r="C14" t="s">
        <v>1084</v>
      </c>
      <c r="D14" t="s">
        <v>1014</v>
      </c>
      <c r="F14">
        <v>8.7280999999999997E-2</v>
      </c>
      <c r="G14">
        <v>0.119507</v>
      </c>
      <c r="H14">
        <v>0.14918300000000001</v>
      </c>
      <c r="I14">
        <v>0.17560000000000001</v>
      </c>
      <c r="J14">
        <v>0.198771</v>
      </c>
      <c r="K14">
        <v>0.22067600000000001</v>
      </c>
      <c r="L14">
        <v>0.24584900000000001</v>
      </c>
      <c r="M14">
        <v>0.31488500000000003</v>
      </c>
      <c r="N14">
        <v>0.43936399999999998</v>
      </c>
      <c r="O14">
        <v>0.55638799999999999</v>
      </c>
      <c r="P14">
        <v>0.74443599999999999</v>
      </c>
      <c r="Q14">
        <v>1.0531710000000001</v>
      </c>
      <c r="R14">
        <v>1.4948330000000001</v>
      </c>
      <c r="S14">
        <v>2.0432519999999998</v>
      </c>
      <c r="T14">
        <v>2.7092320000000001</v>
      </c>
      <c r="U14">
        <v>3.4966200000000001</v>
      </c>
      <c r="V14">
        <v>4.4216449999999998</v>
      </c>
      <c r="W14">
        <v>5.5475440000000003</v>
      </c>
      <c r="X14">
        <v>6.8312460000000002</v>
      </c>
      <c r="Y14">
        <v>8.2411890000000003</v>
      </c>
      <c r="Z14">
        <v>9.6649480000000008</v>
      </c>
      <c r="AA14">
        <v>11.152545999999999</v>
      </c>
      <c r="AB14">
        <v>12.684813</v>
      </c>
      <c r="AC14">
        <v>14.333284000000001</v>
      </c>
      <c r="AD14">
        <v>16.026073</v>
      </c>
      <c r="AE14">
        <v>17.724495000000001</v>
      </c>
      <c r="AF14">
        <v>19.422892000000001</v>
      </c>
      <c r="AG14" s="71">
        <v>0.23100000000000001</v>
      </c>
    </row>
    <row r="15" spans="1:33" x14ac:dyDescent="0.75">
      <c r="A15" t="s">
        <v>179</v>
      </c>
      <c r="B15" t="s">
        <v>1083</v>
      </c>
      <c r="C15" t="s">
        <v>1082</v>
      </c>
      <c r="D15" t="s">
        <v>1014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111</v>
      </c>
    </row>
    <row r="16" spans="1:33" x14ac:dyDescent="0.75">
      <c r="A16" t="s">
        <v>182</v>
      </c>
      <c r="B16" t="s">
        <v>1081</v>
      </c>
      <c r="C16" t="s">
        <v>1080</v>
      </c>
      <c r="D16" t="s">
        <v>1014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111</v>
      </c>
    </row>
    <row r="17" spans="1:33" x14ac:dyDescent="0.75">
      <c r="A17" t="s">
        <v>139</v>
      </c>
      <c r="B17" t="s">
        <v>1079</v>
      </c>
      <c r="C17" t="s">
        <v>1078</v>
      </c>
      <c r="D17" t="s">
        <v>1014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111</v>
      </c>
    </row>
    <row r="18" spans="1:33" x14ac:dyDescent="0.75">
      <c r="A18" t="s">
        <v>174</v>
      </c>
      <c r="B18" t="s">
        <v>1077</v>
      </c>
      <c r="C18" t="s">
        <v>1076</v>
      </c>
      <c r="D18" t="s">
        <v>1014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75">
      <c r="A19" t="s">
        <v>171</v>
      </c>
      <c r="B19" t="s">
        <v>1075</v>
      </c>
      <c r="C19" t="s">
        <v>1074</v>
      </c>
      <c r="D19" t="s">
        <v>1014</v>
      </c>
      <c r="F19">
        <v>0</v>
      </c>
      <c r="G19">
        <v>0.109322</v>
      </c>
      <c r="H19">
        <v>0.28561399999999998</v>
      </c>
      <c r="I19">
        <v>0.52429300000000001</v>
      </c>
      <c r="J19">
        <v>1.3492900000000001</v>
      </c>
      <c r="K19">
        <v>2.8503099999999999</v>
      </c>
      <c r="L19">
        <v>5.0136310000000002</v>
      </c>
      <c r="M19">
        <v>7.7647050000000002</v>
      </c>
      <c r="N19">
        <v>11.073954000000001</v>
      </c>
      <c r="O19">
        <v>14.758941</v>
      </c>
      <c r="P19">
        <v>18.660900000000002</v>
      </c>
      <c r="Q19">
        <v>22.600832</v>
      </c>
      <c r="R19">
        <v>26.474253000000001</v>
      </c>
      <c r="S19">
        <v>30.237411000000002</v>
      </c>
      <c r="T19">
        <v>34.006458000000002</v>
      </c>
      <c r="U19">
        <v>37.792834999999997</v>
      </c>
      <c r="V19">
        <v>41.462817999999999</v>
      </c>
      <c r="W19">
        <v>44.911160000000002</v>
      </c>
      <c r="X19">
        <v>48.150188</v>
      </c>
      <c r="Y19">
        <v>51.148192999999999</v>
      </c>
      <c r="Z19">
        <v>53.948368000000002</v>
      </c>
      <c r="AA19">
        <v>56.632454000000003</v>
      </c>
      <c r="AB19">
        <v>59.163367999999998</v>
      </c>
      <c r="AC19">
        <v>61.704948000000002</v>
      </c>
      <c r="AD19">
        <v>64.027450999999999</v>
      </c>
      <c r="AE19">
        <v>66.138740999999996</v>
      </c>
      <c r="AF19">
        <v>68.037430000000001</v>
      </c>
      <c r="AG19" t="s">
        <v>111</v>
      </c>
    </row>
    <row r="20" spans="1:33" x14ac:dyDescent="0.75">
      <c r="A20" t="s">
        <v>168</v>
      </c>
      <c r="B20" t="s">
        <v>1073</v>
      </c>
      <c r="C20" t="s">
        <v>1072</v>
      </c>
      <c r="D20" t="s">
        <v>1014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111</v>
      </c>
    </row>
    <row r="21" spans="1:33" s="77" customFormat="1" x14ac:dyDescent="0.75">
      <c r="A21" s="77" t="s">
        <v>628</v>
      </c>
      <c r="B21" s="77" t="s">
        <v>1071</v>
      </c>
      <c r="C21" s="77" t="s">
        <v>1070</v>
      </c>
      <c r="D21" s="77" t="s">
        <v>1014</v>
      </c>
      <c r="F21" s="77">
        <v>81.913414000000003</v>
      </c>
      <c r="G21" s="77">
        <v>83.637932000000006</v>
      </c>
      <c r="H21" s="77">
        <v>84.649970999999994</v>
      </c>
      <c r="I21" s="77">
        <v>85.366112000000001</v>
      </c>
      <c r="J21" s="77">
        <v>86.041008000000005</v>
      </c>
      <c r="K21" s="77">
        <v>87.189673999999997</v>
      </c>
      <c r="L21" s="77">
        <v>88.634345999999994</v>
      </c>
      <c r="M21" s="77">
        <v>90.136009000000001</v>
      </c>
      <c r="N21" s="77">
        <v>91.764342999999997</v>
      </c>
      <c r="O21" s="77">
        <v>93.408591999999999</v>
      </c>
      <c r="P21" s="77">
        <v>95.227249</v>
      </c>
      <c r="Q21" s="77">
        <v>97.079216000000002</v>
      </c>
      <c r="R21" s="77">
        <v>99.016814999999994</v>
      </c>
      <c r="S21" s="77">
        <v>100.936539</v>
      </c>
      <c r="T21" s="77">
        <v>102.872658</v>
      </c>
      <c r="U21" s="77">
        <v>104.776962</v>
      </c>
      <c r="V21" s="77">
        <v>106.826088</v>
      </c>
      <c r="W21" s="77">
        <v>108.78827699999999</v>
      </c>
      <c r="X21" s="77">
        <v>110.690437</v>
      </c>
      <c r="Y21" s="77">
        <v>112.395782</v>
      </c>
      <c r="Z21" s="77">
        <v>114.059608</v>
      </c>
      <c r="AA21" s="77">
        <v>115.924751</v>
      </c>
      <c r="AB21" s="77">
        <v>117.859016</v>
      </c>
      <c r="AC21" s="77">
        <v>120.16201</v>
      </c>
      <c r="AD21" s="77">
        <v>122.30836499999999</v>
      </c>
      <c r="AE21" s="77">
        <v>124.313187</v>
      </c>
      <c r="AF21" s="77">
        <v>126.225555</v>
      </c>
      <c r="AG21" s="78">
        <v>1.7000000000000001E-2</v>
      </c>
    </row>
    <row r="22" spans="1:33" x14ac:dyDescent="0.75">
      <c r="A22" t="s">
        <v>625</v>
      </c>
    </row>
    <row r="23" spans="1:33" x14ac:dyDescent="0.75">
      <c r="A23" t="s">
        <v>196</v>
      </c>
      <c r="B23" t="s">
        <v>1069</v>
      </c>
      <c r="C23" t="s">
        <v>1068</v>
      </c>
      <c r="D23" t="s">
        <v>1014</v>
      </c>
      <c r="F23">
        <v>37.131771000000001</v>
      </c>
      <c r="G23">
        <v>36.594059000000001</v>
      </c>
      <c r="H23">
        <v>35.836998000000001</v>
      </c>
      <c r="I23">
        <v>35.128596999999999</v>
      </c>
      <c r="J23">
        <v>34.429993000000003</v>
      </c>
      <c r="K23">
        <v>33.848514999999999</v>
      </c>
      <c r="L23">
        <v>33.334881000000003</v>
      </c>
      <c r="M23">
        <v>32.813395999999997</v>
      </c>
      <c r="N23">
        <v>32.307029999999997</v>
      </c>
      <c r="O23">
        <v>31.735132</v>
      </c>
      <c r="P23">
        <v>31.138124000000001</v>
      </c>
      <c r="Q23">
        <v>30.495702999999999</v>
      </c>
      <c r="R23">
        <v>29.854996</v>
      </c>
      <c r="S23">
        <v>29.198588999999998</v>
      </c>
      <c r="T23">
        <v>28.521305000000002</v>
      </c>
      <c r="U23">
        <v>27.823361999999999</v>
      </c>
      <c r="V23">
        <v>27.163891</v>
      </c>
      <c r="W23">
        <v>26.519552000000001</v>
      </c>
      <c r="X23">
        <v>25.929789</v>
      </c>
      <c r="Y23">
        <v>25.381256</v>
      </c>
      <c r="Z23">
        <v>24.876940000000001</v>
      </c>
      <c r="AA23">
        <v>24.434802999999999</v>
      </c>
      <c r="AB23">
        <v>24.024281999999999</v>
      </c>
      <c r="AC23">
        <v>23.739571000000002</v>
      </c>
      <c r="AD23">
        <v>23.487732000000001</v>
      </c>
      <c r="AE23">
        <v>23.243437</v>
      </c>
      <c r="AF23">
        <v>22.989767000000001</v>
      </c>
      <c r="AG23" s="71">
        <v>-1.7999999999999999E-2</v>
      </c>
    </row>
    <row r="24" spans="1:33" x14ac:dyDescent="0.75">
      <c r="A24" t="s">
        <v>199</v>
      </c>
      <c r="B24" t="s">
        <v>1067</v>
      </c>
      <c r="C24" t="s">
        <v>1066</v>
      </c>
      <c r="D24" t="s">
        <v>1014</v>
      </c>
      <c r="F24">
        <v>24.710927999999999</v>
      </c>
      <c r="G24">
        <v>24.792711000000001</v>
      </c>
      <c r="H24">
        <v>24.766380000000002</v>
      </c>
      <c r="I24">
        <v>24.778901999999999</v>
      </c>
      <c r="J24">
        <v>24.779399999999999</v>
      </c>
      <c r="K24">
        <v>24.825973999999999</v>
      </c>
      <c r="L24">
        <v>24.892790000000002</v>
      </c>
      <c r="M24">
        <v>24.93458</v>
      </c>
      <c r="N24">
        <v>24.980650000000001</v>
      </c>
      <c r="O24">
        <v>24.957380000000001</v>
      </c>
      <c r="P24">
        <v>24.906849000000001</v>
      </c>
      <c r="Q24">
        <v>24.796883000000001</v>
      </c>
      <c r="R24">
        <v>24.652761000000002</v>
      </c>
      <c r="S24">
        <v>24.494171000000001</v>
      </c>
      <c r="T24">
        <v>24.287745999999999</v>
      </c>
      <c r="U24">
        <v>24.046125</v>
      </c>
      <c r="V24">
        <v>23.807701000000002</v>
      </c>
      <c r="W24">
        <v>23.569877999999999</v>
      </c>
      <c r="X24">
        <v>23.351219</v>
      </c>
      <c r="Y24">
        <v>23.130773999999999</v>
      </c>
      <c r="Z24">
        <v>22.915935999999999</v>
      </c>
      <c r="AA24">
        <v>22.730301000000001</v>
      </c>
      <c r="AB24">
        <v>22.550166999999998</v>
      </c>
      <c r="AC24">
        <v>22.463426999999999</v>
      </c>
      <c r="AD24">
        <v>22.392613999999998</v>
      </c>
      <c r="AE24">
        <v>22.314965999999998</v>
      </c>
      <c r="AF24">
        <v>22.208449999999999</v>
      </c>
      <c r="AG24" s="71">
        <v>-4.0000000000000001E-3</v>
      </c>
    </row>
    <row r="25" spans="1:33" x14ac:dyDescent="0.75">
      <c r="A25" t="s">
        <v>193</v>
      </c>
      <c r="B25" t="s">
        <v>1065</v>
      </c>
      <c r="C25" t="s">
        <v>1064</v>
      </c>
      <c r="D25" t="s">
        <v>1014</v>
      </c>
      <c r="F25">
        <v>2.5683000000000001E-2</v>
      </c>
      <c r="G25">
        <v>2.2918999999999998E-2</v>
      </c>
      <c r="H25">
        <v>2.0313999999999999E-2</v>
      </c>
      <c r="I25">
        <v>1.7925E-2</v>
      </c>
      <c r="J25">
        <v>1.5859000000000002E-2</v>
      </c>
      <c r="K25">
        <v>1.3155999999999999E-2</v>
      </c>
      <c r="L25">
        <v>1.1735000000000001E-2</v>
      </c>
      <c r="M25">
        <v>1.0444E-2</v>
      </c>
      <c r="N25">
        <v>9.3609999999999995E-3</v>
      </c>
      <c r="O25">
        <v>8.4089999999999998E-3</v>
      </c>
      <c r="P25">
        <v>7.3990000000000002E-3</v>
      </c>
      <c r="Q25">
        <v>6.6379999999999998E-3</v>
      </c>
      <c r="R25">
        <v>6.0309999999999999E-3</v>
      </c>
      <c r="S25">
        <v>5.5360000000000001E-3</v>
      </c>
      <c r="T25">
        <v>5.097E-3</v>
      </c>
      <c r="U25">
        <v>4.7149999999999996E-3</v>
      </c>
      <c r="V25">
        <v>4.4050000000000001E-3</v>
      </c>
      <c r="W25">
        <v>4.1209999999999997E-3</v>
      </c>
      <c r="X25">
        <v>3.8730000000000001E-3</v>
      </c>
      <c r="Y25">
        <v>3.6489999999999999E-3</v>
      </c>
      <c r="Z25">
        <v>3.4320000000000002E-3</v>
      </c>
      <c r="AA25">
        <v>3.297E-3</v>
      </c>
      <c r="AB25">
        <v>3.143E-3</v>
      </c>
      <c r="AC25">
        <v>3.0079999999999998E-3</v>
      </c>
      <c r="AD25">
        <v>2.6610000000000002E-3</v>
      </c>
      <c r="AE25">
        <v>2.1099999999999999E-3</v>
      </c>
      <c r="AF25">
        <v>1.676E-3</v>
      </c>
      <c r="AG25" s="71">
        <v>-0.1</v>
      </c>
    </row>
    <row r="26" spans="1:33" x14ac:dyDescent="0.75">
      <c r="A26" t="s">
        <v>190</v>
      </c>
      <c r="B26" t="s">
        <v>1063</v>
      </c>
      <c r="C26" t="s">
        <v>1062</v>
      </c>
      <c r="D26" t="s">
        <v>1014</v>
      </c>
      <c r="F26">
        <v>0.21660399999999999</v>
      </c>
      <c r="G26">
        <v>0.29153400000000002</v>
      </c>
      <c r="H26">
        <v>0.36267500000000003</v>
      </c>
      <c r="I26">
        <v>0.42705700000000002</v>
      </c>
      <c r="J26">
        <v>0.483323</v>
      </c>
      <c r="K26">
        <v>0.533188</v>
      </c>
      <c r="L26">
        <v>0.57804699999999998</v>
      </c>
      <c r="M26">
        <v>0.61812299999999998</v>
      </c>
      <c r="N26">
        <v>0.65573599999999999</v>
      </c>
      <c r="O26">
        <v>0.691272</v>
      </c>
      <c r="P26">
        <v>0.72470299999999999</v>
      </c>
      <c r="Q26">
        <v>0.75561</v>
      </c>
      <c r="R26">
        <v>0.78383000000000003</v>
      </c>
      <c r="S26">
        <v>0.81074299999999999</v>
      </c>
      <c r="T26">
        <v>0.83725300000000002</v>
      </c>
      <c r="U26">
        <v>0.86216999999999999</v>
      </c>
      <c r="V26">
        <v>0.885768</v>
      </c>
      <c r="W26">
        <v>0.90606100000000001</v>
      </c>
      <c r="X26">
        <v>0.92689299999999997</v>
      </c>
      <c r="Y26">
        <v>0.94793899999999998</v>
      </c>
      <c r="Z26">
        <v>0.96773900000000002</v>
      </c>
      <c r="AA26">
        <v>0.98745300000000003</v>
      </c>
      <c r="AB26">
        <v>1.006273</v>
      </c>
      <c r="AC26">
        <v>1.030934</v>
      </c>
      <c r="AD26">
        <v>1.0588070000000001</v>
      </c>
      <c r="AE26">
        <v>1.0924590000000001</v>
      </c>
      <c r="AF26">
        <v>1.1249199999999999</v>
      </c>
      <c r="AG26" s="71">
        <v>6.5000000000000002E-2</v>
      </c>
    </row>
    <row r="27" spans="1:33" x14ac:dyDescent="0.75">
      <c r="A27" t="s">
        <v>187</v>
      </c>
      <c r="B27" t="s">
        <v>1061</v>
      </c>
      <c r="C27" t="s">
        <v>1060</v>
      </c>
      <c r="D27" t="s">
        <v>1014</v>
      </c>
      <c r="F27">
        <v>0.56315499999999996</v>
      </c>
      <c r="G27">
        <v>0.50854999999999995</v>
      </c>
      <c r="H27">
        <v>0.45326300000000003</v>
      </c>
      <c r="I27">
        <v>0.40201100000000001</v>
      </c>
      <c r="J27">
        <v>0.35692600000000002</v>
      </c>
      <c r="K27">
        <v>0.320183</v>
      </c>
      <c r="L27">
        <v>0.28773399999999999</v>
      </c>
      <c r="M27">
        <v>0.25882300000000003</v>
      </c>
      <c r="N27">
        <v>0.233901</v>
      </c>
      <c r="O27">
        <v>0.21024899999999999</v>
      </c>
      <c r="P27">
        <v>0.1898</v>
      </c>
      <c r="Q27">
        <v>0.17246700000000001</v>
      </c>
      <c r="R27">
        <v>0.15728500000000001</v>
      </c>
      <c r="S27">
        <v>0.144478</v>
      </c>
      <c r="T27">
        <v>0.13336400000000001</v>
      </c>
      <c r="U27">
        <v>0.12360599999999999</v>
      </c>
      <c r="V27">
        <v>0.11543100000000001</v>
      </c>
      <c r="W27">
        <v>0.10784100000000001</v>
      </c>
      <c r="X27">
        <v>0.100605</v>
      </c>
      <c r="Y27">
        <v>9.3598000000000001E-2</v>
      </c>
      <c r="Z27">
        <v>8.6728E-2</v>
      </c>
      <c r="AA27">
        <v>7.9933000000000004E-2</v>
      </c>
      <c r="AB27">
        <v>7.2932999999999998E-2</v>
      </c>
      <c r="AC27">
        <v>6.5624000000000002E-2</v>
      </c>
      <c r="AD27">
        <v>5.7986999999999997E-2</v>
      </c>
      <c r="AE27">
        <v>5.0445999999999998E-2</v>
      </c>
      <c r="AF27">
        <v>4.2520000000000002E-2</v>
      </c>
      <c r="AG27" s="71">
        <v>-9.5000000000000001E-2</v>
      </c>
    </row>
    <row r="28" spans="1:33" x14ac:dyDescent="0.75">
      <c r="A28" t="s">
        <v>135</v>
      </c>
      <c r="B28" t="s">
        <v>1059</v>
      </c>
      <c r="C28" t="s">
        <v>1058</v>
      </c>
      <c r="D28" t="s">
        <v>1014</v>
      </c>
      <c r="F28">
        <v>2.1684999999999999E-2</v>
      </c>
      <c r="G28">
        <v>2.3281E-2</v>
      </c>
      <c r="H28">
        <v>2.4604000000000001E-2</v>
      </c>
      <c r="I28">
        <v>2.5850999999999999E-2</v>
      </c>
      <c r="J28">
        <v>2.6849999999999999E-2</v>
      </c>
      <c r="K28">
        <v>2.7718E-2</v>
      </c>
      <c r="L28">
        <v>2.8584999999999999E-2</v>
      </c>
      <c r="M28">
        <v>2.93E-2</v>
      </c>
      <c r="N28">
        <v>3.0084E-2</v>
      </c>
      <c r="O28">
        <v>3.0797999999999999E-2</v>
      </c>
      <c r="P28">
        <v>3.1477999999999999E-2</v>
      </c>
      <c r="Q28">
        <v>3.2091000000000001E-2</v>
      </c>
      <c r="R28">
        <v>3.2672E-2</v>
      </c>
      <c r="S28">
        <v>3.3252999999999998E-2</v>
      </c>
      <c r="T28">
        <v>3.3787999999999999E-2</v>
      </c>
      <c r="U28">
        <v>3.4255000000000001E-2</v>
      </c>
      <c r="V28">
        <v>3.4696999999999999E-2</v>
      </c>
      <c r="W28">
        <v>3.5131999999999997E-2</v>
      </c>
      <c r="X28">
        <v>3.5562999999999997E-2</v>
      </c>
      <c r="Y28">
        <v>3.5920000000000001E-2</v>
      </c>
      <c r="Z28">
        <v>3.6223999999999999E-2</v>
      </c>
      <c r="AA28">
        <v>3.6521999999999999E-2</v>
      </c>
      <c r="AB28">
        <v>3.6776999999999997E-2</v>
      </c>
      <c r="AC28">
        <v>3.7164000000000003E-2</v>
      </c>
      <c r="AD28">
        <v>3.7578E-2</v>
      </c>
      <c r="AE28">
        <v>3.7975000000000002E-2</v>
      </c>
      <c r="AF28">
        <v>3.8295000000000003E-2</v>
      </c>
      <c r="AG28" s="71">
        <v>2.1999999999999999E-2</v>
      </c>
    </row>
    <row r="29" spans="1:33" x14ac:dyDescent="0.75">
      <c r="A29" t="s">
        <v>179</v>
      </c>
      <c r="B29" t="s">
        <v>1057</v>
      </c>
      <c r="C29" t="s">
        <v>1056</v>
      </c>
      <c r="D29" t="s">
        <v>1014</v>
      </c>
      <c r="F29">
        <v>0</v>
      </c>
      <c r="G29">
        <v>0</v>
      </c>
      <c r="H29">
        <v>1.812E-3</v>
      </c>
      <c r="I29">
        <v>4.4209999999999996E-3</v>
      </c>
      <c r="J29">
        <v>8.4100000000000008E-3</v>
      </c>
      <c r="K29">
        <v>1.3413E-2</v>
      </c>
      <c r="L29">
        <v>1.8973E-2</v>
      </c>
      <c r="M29">
        <v>2.5016E-2</v>
      </c>
      <c r="N29">
        <v>3.1123999999999999E-2</v>
      </c>
      <c r="O29">
        <v>2.8725000000000001E-2</v>
      </c>
      <c r="P29">
        <v>2.6502000000000001E-2</v>
      </c>
      <c r="Q29">
        <v>2.4417999999999999E-2</v>
      </c>
      <c r="R29">
        <v>2.2536E-2</v>
      </c>
      <c r="S29">
        <v>2.0787E-2</v>
      </c>
      <c r="T29">
        <v>1.9154999999999998E-2</v>
      </c>
      <c r="U29">
        <v>1.7624999999999998E-2</v>
      </c>
      <c r="V29">
        <v>1.6230000000000001E-2</v>
      </c>
      <c r="W29">
        <v>1.4954E-2</v>
      </c>
      <c r="X29">
        <v>1.3782000000000001E-2</v>
      </c>
      <c r="Y29">
        <v>1.2718E-2</v>
      </c>
      <c r="Z29">
        <v>1.1752E-2</v>
      </c>
      <c r="AA29">
        <v>1.0893E-2</v>
      </c>
      <c r="AB29">
        <v>1.0121E-2</v>
      </c>
      <c r="AC29">
        <v>9.3299999999999998E-3</v>
      </c>
      <c r="AD29">
        <v>8.5830000000000004E-3</v>
      </c>
      <c r="AE29">
        <v>7.9159999999999994E-3</v>
      </c>
      <c r="AF29">
        <v>7.3150000000000003E-3</v>
      </c>
      <c r="AG29" t="s">
        <v>111</v>
      </c>
    </row>
    <row r="30" spans="1:33" x14ac:dyDescent="0.75">
      <c r="A30" t="s">
        <v>182</v>
      </c>
      <c r="B30" t="s">
        <v>1055</v>
      </c>
      <c r="C30" t="s">
        <v>1054</v>
      </c>
      <c r="D30" t="s">
        <v>1014</v>
      </c>
      <c r="F30">
        <v>0</v>
      </c>
      <c r="G30">
        <v>8.5570000000000004E-3</v>
      </c>
      <c r="H30">
        <v>1.7385999999999999E-2</v>
      </c>
      <c r="I30">
        <v>2.0511000000000001E-2</v>
      </c>
      <c r="J30">
        <v>1.9573E-2</v>
      </c>
      <c r="K30">
        <v>1.7939E-2</v>
      </c>
      <c r="L30">
        <v>1.6412E-2</v>
      </c>
      <c r="M30">
        <v>1.5066E-2</v>
      </c>
      <c r="N30">
        <v>1.3932999999999999E-2</v>
      </c>
      <c r="O30">
        <v>1.2857E-2</v>
      </c>
      <c r="P30">
        <v>1.1854999999999999E-2</v>
      </c>
      <c r="Q30">
        <v>1.0898E-2</v>
      </c>
      <c r="R30">
        <v>1.0045999999999999E-2</v>
      </c>
      <c r="S30">
        <v>9.2049999999999996E-3</v>
      </c>
      <c r="T30">
        <v>8.4309999999999993E-3</v>
      </c>
      <c r="U30">
        <v>7.7409999999999996E-3</v>
      </c>
      <c r="V30">
        <v>7.1500000000000001E-3</v>
      </c>
      <c r="W30">
        <v>6.6150000000000002E-3</v>
      </c>
      <c r="X30">
        <v>6.071E-3</v>
      </c>
      <c r="Y30">
        <v>5.5319999999999996E-3</v>
      </c>
      <c r="Z30">
        <v>5.0140000000000002E-3</v>
      </c>
      <c r="AA30">
        <v>4.6039999999999996E-3</v>
      </c>
      <c r="AB30">
        <v>4.2789999999999998E-3</v>
      </c>
      <c r="AC30">
        <v>4.006E-3</v>
      </c>
      <c r="AD30">
        <v>3.7469999999999999E-3</v>
      </c>
      <c r="AE30">
        <v>3.4919999999999999E-3</v>
      </c>
      <c r="AF30">
        <v>3.2469999999999999E-3</v>
      </c>
      <c r="AG30" t="s">
        <v>111</v>
      </c>
    </row>
    <row r="31" spans="1:33" x14ac:dyDescent="0.75">
      <c r="A31" t="s">
        <v>139</v>
      </c>
      <c r="B31" t="s">
        <v>1053</v>
      </c>
      <c r="C31" t="s">
        <v>1052</v>
      </c>
      <c r="D31" t="s">
        <v>1014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111</v>
      </c>
    </row>
    <row r="32" spans="1:33" x14ac:dyDescent="0.75">
      <c r="A32" t="s">
        <v>174</v>
      </c>
      <c r="B32" t="s">
        <v>1051</v>
      </c>
      <c r="C32" t="s">
        <v>1050</v>
      </c>
      <c r="D32" t="s">
        <v>1014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111</v>
      </c>
    </row>
    <row r="33" spans="1:33" x14ac:dyDescent="0.75">
      <c r="A33" t="s">
        <v>171</v>
      </c>
      <c r="B33" t="s">
        <v>1049</v>
      </c>
      <c r="C33" t="s">
        <v>1048</v>
      </c>
      <c r="D33" t="s">
        <v>1014</v>
      </c>
      <c r="F33">
        <v>0</v>
      </c>
      <c r="G33">
        <v>6.4962000000000006E-2</v>
      </c>
      <c r="H33">
        <v>0.15284300000000001</v>
      </c>
      <c r="I33">
        <v>0.26397999999999999</v>
      </c>
      <c r="J33">
        <v>0.39148899999999998</v>
      </c>
      <c r="K33">
        <v>0.54012800000000005</v>
      </c>
      <c r="L33">
        <v>0.72535000000000005</v>
      </c>
      <c r="M33">
        <v>0.96550199999999997</v>
      </c>
      <c r="N33">
        <v>1.2885960000000001</v>
      </c>
      <c r="O33">
        <v>1.7231620000000001</v>
      </c>
      <c r="P33">
        <v>2.2904900000000001</v>
      </c>
      <c r="Q33">
        <v>2.9959259999999999</v>
      </c>
      <c r="R33">
        <v>3.8416109999999999</v>
      </c>
      <c r="S33">
        <v>4.8051320000000004</v>
      </c>
      <c r="T33">
        <v>5.8463799999999999</v>
      </c>
      <c r="U33">
        <v>6.9121439999999996</v>
      </c>
      <c r="V33">
        <v>7.9788759999999996</v>
      </c>
      <c r="W33">
        <v>9.0158009999999997</v>
      </c>
      <c r="X33">
        <v>10.012964</v>
      </c>
      <c r="Y33">
        <v>10.950036000000001</v>
      </c>
      <c r="Z33">
        <v>11.814178999999999</v>
      </c>
      <c r="AA33">
        <v>12.617074000000001</v>
      </c>
      <c r="AB33">
        <v>13.349224</v>
      </c>
      <c r="AC33">
        <v>14.081083</v>
      </c>
      <c r="AD33">
        <v>14.773883</v>
      </c>
      <c r="AE33">
        <v>15.412091</v>
      </c>
      <c r="AF33">
        <v>15.978241000000001</v>
      </c>
      <c r="AG33" t="s">
        <v>111</v>
      </c>
    </row>
    <row r="34" spans="1:33" x14ac:dyDescent="0.75">
      <c r="A34" t="s">
        <v>168</v>
      </c>
      <c r="B34" t="s">
        <v>1047</v>
      </c>
      <c r="C34" t="s">
        <v>1046</v>
      </c>
      <c r="D34" t="s">
        <v>1014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111</v>
      </c>
    </row>
    <row r="35" spans="1:33" s="77" customFormat="1" x14ac:dyDescent="0.75">
      <c r="A35" s="77" t="s">
        <v>600</v>
      </c>
      <c r="B35" s="77" t="s">
        <v>1045</v>
      </c>
      <c r="C35" s="77" t="s">
        <v>1044</v>
      </c>
      <c r="D35" s="77" t="s">
        <v>1014</v>
      </c>
      <c r="F35" s="77">
        <v>62.669761999999999</v>
      </c>
      <c r="G35" s="77">
        <v>62.306469</v>
      </c>
      <c r="H35" s="77">
        <v>61.636169000000002</v>
      </c>
      <c r="I35" s="77">
        <v>61.069248000000002</v>
      </c>
      <c r="J35" s="77">
        <v>60.511715000000002</v>
      </c>
      <c r="K35" s="77">
        <v>60.140095000000002</v>
      </c>
      <c r="L35" s="77">
        <v>59.894455000000001</v>
      </c>
      <c r="M35" s="77">
        <v>59.670211999999999</v>
      </c>
      <c r="N35" s="77">
        <v>59.550327000000003</v>
      </c>
      <c r="O35" s="77">
        <v>59.398045000000003</v>
      </c>
      <c r="P35" s="77">
        <v>59.327106000000001</v>
      </c>
      <c r="Q35" s="77">
        <v>59.290576999999999</v>
      </c>
      <c r="R35" s="77">
        <v>59.361587999999998</v>
      </c>
      <c r="S35" s="77">
        <v>59.521720999999999</v>
      </c>
      <c r="T35" s="77">
        <v>59.692307</v>
      </c>
      <c r="U35" s="77">
        <v>59.831532000000003</v>
      </c>
      <c r="V35" s="77">
        <v>60.013888999999999</v>
      </c>
      <c r="W35" s="77">
        <v>60.179622999999999</v>
      </c>
      <c r="X35" s="77">
        <v>60.380524000000001</v>
      </c>
      <c r="Y35" s="77">
        <v>60.561053999999999</v>
      </c>
      <c r="Z35" s="77">
        <v>60.717669999999998</v>
      </c>
      <c r="AA35" s="77">
        <v>60.904583000000002</v>
      </c>
      <c r="AB35" s="77">
        <v>61.056731999999997</v>
      </c>
      <c r="AC35" s="77">
        <v>61.433689000000001</v>
      </c>
      <c r="AD35" s="77">
        <v>61.823250000000002</v>
      </c>
      <c r="AE35" s="77">
        <v>62.164485999999997</v>
      </c>
      <c r="AF35" s="77">
        <v>62.394100000000002</v>
      </c>
      <c r="AG35" s="78">
        <v>0</v>
      </c>
    </row>
    <row r="36" spans="1:33" x14ac:dyDescent="0.75">
      <c r="A36" t="s">
        <v>597</v>
      </c>
    </row>
    <row r="37" spans="1:33" x14ac:dyDescent="0.75">
      <c r="A37" t="s">
        <v>196</v>
      </c>
      <c r="B37" t="s">
        <v>1043</v>
      </c>
      <c r="C37" t="s">
        <v>1042</v>
      </c>
      <c r="D37" t="s">
        <v>1014</v>
      </c>
      <c r="F37">
        <v>192.94982899999999</v>
      </c>
      <c r="G37">
        <v>197.59063699999999</v>
      </c>
      <c r="H37">
        <v>200.97595200000001</v>
      </c>
      <c r="I37">
        <v>204.19201699999999</v>
      </c>
      <c r="J37">
        <v>206.488708</v>
      </c>
      <c r="K37">
        <v>208.58886699999999</v>
      </c>
      <c r="L37">
        <v>210.49195900000001</v>
      </c>
      <c r="M37">
        <v>211.89570599999999</v>
      </c>
      <c r="N37">
        <v>213.206253</v>
      </c>
      <c r="O37">
        <v>214.241714</v>
      </c>
      <c r="P37">
        <v>215.399506</v>
      </c>
      <c r="Q37">
        <v>216.51177999999999</v>
      </c>
      <c r="R37">
        <v>217.892349</v>
      </c>
      <c r="S37">
        <v>219.42524700000001</v>
      </c>
      <c r="T37">
        <v>220.96220400000001</v>
      </c>
      <c r="U37">
        <v>222.213562</v>
      </c>
      <c r="V37">
        <v>223.48240699999999</v>
      </c>
      <c r="W37">
        <v>224.63845800000001</v>
      </c>
      <c r="X37">
        <v>225.79357899999999</v>
      </c>
      <c r="Y37">
        <v>226.73658800000001</v>
      </c>
      <c r="Z37">
        <v>227.47717299999999</v>
      </c>
      <c r="AA37">
        <v>228.256531</v>
      </c>
      <c r="AB37">
        <v>228.81037900000001</v>
      </c>
      <c r="AC37">
        <v>230.14291399999999</v>
      </c>
      <c r="AD37">
        <v>231.487762</v>
      </c>
      <c r="AE37">
        <v>232.64764400000001</v>
      </c>
      <c r="AF37">
        <v>233.4263</v>
      </c>
      <c r="AG37" s="71">
        <v>7.0000000000000001E-3</v>
      </c>
    </row>
    <row r="38" spans="1:33" x14ac:dyDescent="0.75">
      <c r="A38" t="s">
        <v>199</v>
      </c>
      <c r="B38" t="s">
        <v>1041</v>
      </c>
      <c r="C38" t="s">
        <v>1040</v>
      </c>
      <c r="D38" t="s">
        <v>1014</v>
      </c>
      <c r="F38">
        <v>0.17944199999999999</v>
      </c>
      <c r="G38">
        <v>0.15498799999999999</v>
      </c>
      <c r="H38">
        <v>0.13519600000000001</v>
      </c>
      <c r="I38">
        <v>0.119259</v>
      </c>
      <c r="J38">
        <v>0.106646</v>
      </c>
      <c r="K38">
        <v>9.7213999999999995E-2</v>
      </c>
      <c r="L38">
        <v>8.9940000000000006E-2</v>
      </c>
      <c r="M38">
        <v>8.3801E-2</v>
      </c>
      <c r="N38">
        <v>7.8592999999999996E-2</v>
      </c>
      <c r="O38">
        <v>7.3761999999999994E-2</v>
      </c>
      <c r="P38">
        <v>7.0135000000000003E-2</v>
      </c>
      <c r="Q38">
        <v>6.7147999999999999E-2</v>
      </c>
      <c r="R38">
        <v>6.4902000000000001E-2</v>
      </c>
      <c r="S38">
        <v>6.2685000000000005E-2</v>
      </c>
      <c r="T38">
        <v>6.0434000000000002E-2</v>
      </c>
      <c r="U38">
        <v>5.8535999999999998E-2</v>
      </c>
      <c r="V38">
        <v>5.7188000000000003E-2</v>
      </c>
      <c r="W38">
        <v>5.5987000000000002E-2</v>
      </c>
      <c r="X38">
        <v>5.4594999999999998E-2</v>
      </c>
      <c r="Y38">
        <v>5.3534999999999999E-2</v>
      </c>
      <c r="Z38">
        <v>5.2807E-2</v>
      </c>
      <c r="AA38">
        <v>5.2412E-2</v>
      </c>
      <c r="AB38">
        <v>5.2122000000000002E-2</v>
      </c>
      <c r="AC38">
        <v>5.2130000000000003E-2</v>
      </c>
      <c r="AD38">
        <v>5.2162E-2</v>
      </c>
      <c r="AE38">
        <v>5.2194999999999998E-2</v>
      </c>
      <c r="AF38">
        <v>5.2098999999999999E-2</v>
      </c>
      <c r="AG38" s="71">
        <v>-4.5999999999999999E-2</v>
      </c>
    </row>
    <row r="39" spans="1:33" x14ac:dyDescent="0.75">
      <c r="A39" t="s">
        <v>193</v>
      </c>
      <c r="B39" t="s">
        <v>1039</v>
      </c>
      <c r="C39" t="s">
        <v>1038</v>
      </c>
      <c r="D39" t="s">
        <v>1014</v>
      </c>
      <c r="F39">
        <v>4.7856000000000003E-2</v>
      </c>
      <c r="G39">
        <v>5.7736999999999997E-2</v>
      </c>
      <c r="H39">
        <v>6.6908999999999996E-2</v>
      </c>
      <c r="I39">
        <v>7.5483999999999996E-2</v>
      </c>
      <c r="J39">
        <v>8.2448999999999995E-2</v>
      </c>
      <c r="K39">
        <v>8.8404999999999997E-2</v>
      </c>
      <c r="L39">
        <v>9.3265000000000001E-2</v>
      </c>
      <c r="M39">
        <v>9.6863000000000005E-2</v>
      </c>
      <c r="N39">
        <v>9.9866999999999997E-2</v>
      </c>
      <c r="O39">
        <v>0.102191</v>
      </c>
      <c r="P39">
        <v>0.104356</v>
      </c>
      <c r="Q39">
        <v>0.105952</v>
      </c>
      <c r="R39">
        <v>0.10739799999999999</v>
      </c>
      <c r="S39">
        <v>0.108672</v>
      </c>
      <c r="T39">
        <v>0.109947</v>
      </c>
      <c r="U39">
        <v>0.111064</v>
      </c>
      <c r="V39">
        <v>0.11217199999999999</v>
      </c>
      <c r="W39">
        <v>0.11304699999999999</v>
      </c>
      <c r="X39">
        <v>0.113818</v>
      </c>
      <c r="Y39">
        <v>0.114437</v>
      </c>
      <c r="Z39">
        <v>0.114983</v>
      </c>
      <c r="AA39">
        <v>0.115591</v>
      </c>
      <c r="AB39">
        <v>0.11615499999999999</v>
      </c>
      <c r="AC39">
        <v>0.11715</v>
      </c>
      <c r="AD39">
        <v>0.118132</v>
      </c>
      <c r="AE39">
        <v>0.118927</v>
      </c>
      <c r="AF39">
        <v>0.119593</v>
      </c>
      <c r="AG39" s="71">
        <v>3.5999999999999997E-2</v>
      </c>
    </row>
    <row r="40" spans="1:33" x14ac:dyDescent="0.75">
      <c r="A40" t="s">
        <v>190</v>
      </c>
      <c r="B40" t="s">
        <v>1037</v>
      </c>
      <c r="C40" t="s">
        <v>1036</v>
      </c>
      <c r="D40" t="s">
        <v>1014</v>
      </c>
      <c r="F40">
        <v>2.1094580000000001</v>
      </c>
      <c r="G40">
        <v>2.214413</v>
      </c>
      <c r="H40">
        <v>2.3001610000000001</v>
      </c>
      <c r="I40">
        <v>2.3472629999999999</v>
      </c>
      <c r="J40">
        <v>2.3785280000000002</v>
      </c>
      <c r="K40">
        <v>2.4064909999999999</v>
      </c>
      <c r="L40">
        <v>2.4318550000000001</v>
      </c>
      <c r="M40">
        <v>2.4521289999999998</v>
      </c>
      <c r="N40">
        <v>2.4740410000000002</v>
      </c>
      <c r="O40">
        <v>2.4960559999999998</v>
      </c>
      <c r="P40">
        <v>2.521617</v>
      </c>
      <c r="Q40">
        <v>2.5483570000000002</v>
      </c>
      <c r="R40">
        <v>2.5778829999999999</v>
      </c>
      <c r="S40">
        <v>2.617191</v>
      </c>
      <c r="T40">
        <v>2.654404</v>
      </c>
      <c r="U40">
        <v>2.6962579999999998</v>
      </c>
      <c r="V40">
        <v>2.7533029999999998</v>
      </c>
      <c r="W40">
        <v>2.8257400000000001</v>
      </c>
      <c r="X40">
        <v>2.9015680000000001</v>
      </c>
      <c r="Y40">
        <v>2.9739230000000001</v>
      </c>
      <c r="Z40">
        <v>3.0567959999999998</v>
      </c>
      <c r="AA40">
        <v>3.1516289999999998</v>
      </c>
      <c r="AB40">
        <v>3.2652610000000002</v>
      </c>
      <c r="AC40">
        <v>3.4182450000000002</v>
      </c>
      <c r="AD40">
        <v>3.6164770000000002</v>
      </c>
      <c r="AE40">
        <v>3.8481260000000002</v>
      </c>
      <c r="AF40">
        <v>4.1315439999999999</v>
      </c>
      <c r="AG40" s="71">
        <v>2.5999999999999999E-2</v>
      </c>
    </row>
    <row r="41" spans="1:33" x14ac:dyDescent="0.75">
      <c r="A41" t="s">
        <v>187</v>
      </c>
      <c r="B41" t="s">
        <v>1035</v>
      </c>
      <c r="C41" t="s">
        <v>1034</v>
      </c>
      <c r="D41" t="s">
        <v>1014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111</v>
      </c>
    </row>
    <row r="42" spans="1:33" x14ac:dyDescent="0.75">
      <c r="A42" t="s">
        <v>135</v>
      </c>
      <c r="B42" t="s">
        <v>1033</v>
      </c>
      <c r="C42" t="s">
        <v>1032</v>
      </c>
      <c r="D42" t="s">
        <v>1014</v>
      </c>
      <c r="F42">
        <v>0.18515499999999999</v>
      </c>
      <c r="G42">
        <v>0.24551999999999999</v>
      </c>
      <c r="H42">
        <v>0.30169099999999999</v>
      </c>
      <c r="I42">
        <v>0.35297400000000001</v>
      </c>
      <c r="J42">
        <v>0.39618599999999998</v>
      </c>
      <c r="K42">
        <v>0.43319400000000002</v>
      </c>
      <c r="L42">
        <v>0.46518399999999999</v>
      </c>
      <c r="M42">
        <v>0.49213899999999999</v>
      </c>
      <c r="N42">
        <v>0.51570899999999997</v>
      </c>
      <c r="O42">
        <v>0.53597600000000001</v>
      </c>
      <c r="P42">
        <v>0.55396900000000004</v>
      </c>
      <c r="Q42">
        <v>0.56943999999999995</v>
      </c>
      <c r="R42">
        <v>0.58362599999999998</v>
      </c>
      <c r="S42">
        <v>0.596418</v>
      </c>
      <c r="T42">
        <v>0.60785299999999998</v>
      </c>
      <c r="U42">
        <v>0.61746599999999996</v>
      </c>
      <c r="V42">
        <v>0.62655300000000003</v>
      </c>
      <c r="W42">
        <v>0.63464799999999999</v>
      </c>
      <c r="X42">
        <v>0.64217500000000005</v>
      </c>
      <c r="Y42">
        <v>0.64864299999999997</v>
      </c>
      <c r="Z42">
        <v>0.65428299999999995</v>
      </c>
      <c r="AA42">
        <v>0.66003299999999998</v>
      </c>
      <c r="AB42">
        <v>0.66523100000000002</v>
      </c>
      <c r="AC42">
        <v>0.67273099999999997</v>
      </c>
      <c r="AD42">
        <v>0.68039099999999997</v>
      </c>
      <c r="AE42">
        <v>0.68770299999999995</v>
      </c>
      <c r="AF42">
        <v>0.69397600000000004</v>
      </c>
      <c r="AG42" s="71">
        <v>5.1999999999999998E-2</v>
      </c>
    </row>
    <row r="43" spans="1:33" x14ac:dyDescent="0.75">
      <c r="A43" t="s">
        <v>179</v>
      </c>
      <c r="B43" t="s">
        <v>1031</v>
      </c>
      <c r="C43" t="s">
        <v>1030</v>
      </c>
      <c r="D43" t="s">
        <v>1014</v>
      </c>
      <c r="F43">
        <v>0</v>
      </c>
      <c r="G43">
        <v>0</v>
      </c>
      <c r="H43">
        <v>1.5969999999999999E-3</v>
      </c>
      <c r="I43">
        <v>4.424E-3</v>
      </c>
      <c r="J43">
        <v>7.4520000000000003E-3</v>
      </c>
      <c r="K43">
        <v>1.0940999999999999E-2</v>
      </c>
      <c r="L43">
        <v>1.4944000000000001E-2</v>
      </c>
      <c r="M43">
        <v>1.9642E-2</v>
      </c>
      <c r="N43">
        <v>2.5437999999999999E-2</v>
      </c>
      <c r="O43">
        <v>2.3895E-2</v>
      </c>
      <c r="P43">
        <v>2.2523999999999999E-2</v>
      </c>
      <c r="Q43">
        <v>2.1420999999999999E-2</v>
      </c>
      <c r="R43">
        <v>2.0462999999999999E-2</v>
      </c>
      <c r="S43">
        <v>1.9831000000000001E-2</v>
      </c>
      <c r="T43">
        <v>1.9446999999999999E-2</v>
      </c>
      <c r="U43">
        <v>1.9268E-2</v>
      </c>
      <c r="V43">
        <v>1.9012999999999999E-2</v>
      </c>
      <c r="W43">
        <v>1.8571000000000001E-2</v>
      </c>
      <c r="X43">
        <v>1.7878000000000002E-2</v>
      </c>
      <c r="Y43">
        <v>1.6910999999999999E-2</v>
      </c>
      <c r="Z43">
        <v>1.5798E-2</v>
      </c>
      <c r="AA43">
        <v>1.456E-2</v>
      </c>
      <c r="AB43">
        <v>1.3139E-2</v>
      </c>
      <c r="AC43">
        <v>1.1603E-2</v>
      </c>
      <c r="AD43">
        <v>1.0300999999999999E-2</v>
      </c>
      <c r="AE43">
        <v>9.221E-3</v>
      </c>
      <c r="AF43">
        <v>8.345E-3</v>
      </c>
      <c r="AG43" t="s">
        <v>111</v>
      </c>
    </row>
    <row r="44" spans="1:33" x14ac:dyDescent="0.75">
      <c r="A44" t="s">
        <v>182</v>
      </c>
      <c r="B44" t="s">
        <v>1029</v>
      </c>
      <c r="C44" t="s">
        <v>1028</v>
      </c>
      <c r="D44" t="s">
        <v>1014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111</v>
      </c>
    </row>
    <row r="45" spans="1:33" x14ac:dyDescent="0.75">
      <c r="A45" t="s">
        <v>139</v>
      </c>
      <c r="B45" t="s">
        <v>1027</v>
      </c>
      <c r="C45" t="s">
        <v>1026</v>
      </c>
      <c r="D45" t="s">
        <v>1014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111</v>
      </c>
    </row>
    <row r="46" spans="1:33" x14ac:dyDescent="0.75">
      <c r="A46" t="s">
        <v>174</v>
      </c>
      <c r="B46" t="s">
        <v>1025</v>
      </c>
      <c r="C46" t="s">
        <v>1024</v>
      </c>
      <c r="D46" t="s">
        <v>1014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75">
      <c r="A47" t="s">
        <v>171</v>
      </c>
      <c r="B47" t="s">
        <v>1023</v>
      </c>
      <c r="C47" t="s">
        <v>1022</v>
      </c>
      <c r="D47" t="s">
        <v>1014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75">
      <c r="A48" t="s">
        <v>168</v>
      </c>
      <c r="B48" t="s">
        <v>1021</v>
      </c>
      <c r="C48" t="s">
        <v>1020</v>
      </c>
      <c r="D48" t="s">
        <v>1014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111</v>
      </c>
    </row>
    <row r="49" spans="1:33" x14ac:dyDescent="0.75">
      <c r="A49" t="s">
        <v>572</v>
      </c>
      <c r="B49" t="s">
        <v>1019</v>
      </c>
      <c r="C49" t="s">
        <v>1018</v>
      </c>
      <c r="D49" t="s">
        <v>1014</v>
      </c>
      <c r="F49">
        <v>195.47178600000001</v>
      </c>
      <c r="G49">
        <v>200.263214</v>
      </c>
      <c r="H49">
        <v>203.781387</v>
      </c>
      <c r="I49">
        <v>207.091309</v>
      </c>
      <c r="J49">
        <v>209.459946</v>
      </c>
      <c r="K49">
        <v>211.624908</v>
      </c>
      <c r="L49">
        <v>213.58685299999999</v>
      </c>
      <c r="M49">
        <v>215.039703</v>
      </c>
      <c r="N49">
        <v>216.39988700000001</v>
      </c>
      <c r="O49">
        <v>217.47335799999999</v>
      </c>
      <c r="P49">
        <v>218.671783</v>
      </c>
      <c r="Q49">
        <v>219.823669</v>
      </c>
      <c r="R49">
        <v>221.246475</v>
      </c>
      <c r="S49">
        <v>222.829758</v>
      </c>
      <c r="T49">
        <v>224.413895</v>
      </c>
      <c r="U49">
        <v>225.715836</v>
      </c>
      <c r="V49">
        <v>227.05023199999999</v>
      </c>
      <c r="W49">
        <v>228.286179</v>
      </c>
      <c r="X49">
        <v>229.52342200000001</v>
      </c>
      <c r="Y49">
        <v>230.54377700000001</v>
      </c>
      <c r="Z49">
        <v>231.37148999999999</v>
      </c>
      <c r="AA49">
        <v>232.25056499999999</v>
      </c>
      <c r="AB49">
        <v>232.92233300000001</v>
      </c>
      <c r="AC49">
        <v>234.414322</v>
      </c>
      <c r="AD49">
        <v>235.96463</v>
      </c>
      <c r="AE49">
        <v>237.36372399999999</v>
      </c>
      <c r="AF49">
        <v>238.431488</v>
      </c>
      <c r="AG49" s="71">
        <v>8.0000000000000002E-3</v>
      </c>
    </row>
    <row r="50" spans="1:33" x14ac:dyDescent="0.75">
      <c r="A50" t="s">
        <v>1017</v>
      </c>
      <c r="B50" t="s">
        <v>1016</v>
      </c>
      <c r="C50" t="s">
        <v>1015</v>
      </c>
      <c r="D50" t="s">
        <v>1014</v>
      </c>
      <c r="F50">
        <v>340.05352800000003</v>
      </c>
      <c r="G50">
        <v>346.20687900000001</v>
      </c>
      <c r="H50">
        <v>350.06643700000001</v>
      </c>
      <c r="I50">
        <v>353.524384</v>
      </c>
      <c r="J50">
        <v>356.01034499999997</v>
      </c>
      <c r="K50">
        <v>358.95349099999999</v>
      </c>
      <c r="L50">
        <v>362.113586</v>
      </c>
      <c r="M50">
        <v>364.84457400000002</v>
      </c>
      <c r="N50">
        <v>367.71246300000001</v>
      </c>
      <c r="O50">
        <v>370.27838100000002</v>
      </c>
      <c r="P50">
        <v>373.22351099999997</v>
      </c>
      <c r="Q50">
        <v>376.19232199999999</v>
      </c>
      <c r="R50">
        <v>379.62286399999999</v>
      </c>
      <c r="S50">
        <v>383.28610200000003</v>
      </c>
      <c r="T50">
        <v>386.97692899999998</v>
      </c>
      <c r="U50">
        <v>390.32254</v>
      </c>
      <c r="V50">
        <v>393.88848899999999</v>
      </c>
      <c r="W50">
        <v>397.25256300000001</v>
      </c>
      <c r="X50">
        <v>400.59161399999999</v>
      </c>
      <c r="Y50">
        <v>403.49899299999998</v>
      </c>
      <c r="Z50">
        <v>406.14782700000001</v>
      </c>
      <c r="AA50">
        <v>409.07757600000002</v>
      </c>
      <c r="AB50">
        <v>411.83511399999998</v>
      </c>
      <c r="AC50">
        <v>416.007904</v>
      </c>
      <c r="AD50">
        <v>420.09542800000003</v>
      </c>
      <c r="AE50">
        <v>423.83947799999999</v>
      </c>
      <c r="AF50">
        <v>427.049103</v>
      </c>
      <c r="AG50" s="71">
        <v>8.9999999999999993E-3</v>
      </c>
    </row>
    <row r="51" spans="1:33" x14ac:dyDescent="0.75">
      <c r="A51" t="s">
        <v>1013</v>
      </c>
    </row>
    <row r="52" spans="1:33" x14ac:dyDescent="0.75">
      <c r="A52" t="s">
        <v>653</v>
      </c>
    </row>
    <row r="53" spans="1:33" x14ac:dyDescent="0.75">
      <c r="A53" t="s">
        <v>196</v>
      </c>
      <c r="B53" t="s">
        <v>1012</v>
      </c>
      <c r="C53" t="s">
        <v>1011</v>
      </c>
      <c r="D53" t="s">
        <v>515</v>
      </c>
      <c r="F53">
        <v>539.32830799999999</v>
      </c>
      <c r="G53">
        <v>535.87744099999998</v>
      </c>
      <c r="H53">
        <v>526.47082499999999</v>
      </c>
      <c r="I53">
        <v>514.90979000000004</v>
      </c>
      <c r="J53">
        <v>500.66012599999999</v>
      </c>
      <c r="K53">
        <v>487.09197999999998</v>
      </c>
      <c r="L53">
        <v>472.83761600000003</v>
      </c>
      <c r="M53">
        <v>456.98330700000002</v>
      </c>
      <c r="N53">
        <v>439.54986600000001</v>
      </c>
      <c r="O53">
        <v>421.112213</v>
      </c>
      <c r="P53">
        <v>402.77359000000001</v>
      </c>
      <c r="Q53">
        <v>384.41812099999999</v>
      </c>
      <c r="R53">
        <v>366.71688799999998</v>
      </c>
      <c r="S53">
        <v>349.36556999999999</v>
      </c>
      <c r="T53">
        <v>331.83755500000001</v>
      </c>
      <c r="U53">
        <v>313.92739899999998</v>
      </c>
      <c r="V53">
        <v>297.00720200000001</v>
      </c>
      <c r="W53">
        <v>280.08450299999998</v>
      </c>
      <c r="X53">
        <v>263.625</v>
      </c>
      <c r="Y53">
        <v>247.19342</v>
      </c>
      <c r="Z53">
        <v>231.70181299999999</v>
      </c>
      <c r="AA53">
        <v>217.603363</v>
      </c>
      <c r="AB53">
        <v>204.607315</v>
      </c>
      <c r="AC53">
        <v>192.892731</v>
      </c>
      <c r="AD53">
        <v>181.41439800000001</v>
      </c>
      <c r="AE53">
        <v>170.285416</v>
      </c>
      <c r="AF53">
        <v>159.76902799999999</v>
      </c>
      <c r="AG53" s="71">
        <v>-4.5999999999999999E-2</v>
      </c>
    </row>
    <row r="54" spans="1:33" x14ac:dyDescent="0.75">
      <c r="A54" t="s">
        <v>199</v>
      </c>
      <c r="B54" t="s">
        <v>1010</v>
      </c>
      <c r="C54" t="s">
        <v>1009</v>
      </c>
      <c r="D54" t="s">
        <v>515</v>
      </c>
      <c r="F54">
        <v>270.20654300000001</v>
      </c>
      <c r="G54">
        <v>286.74316399999998</v>
      </c>
      <c r="H54">
        <v>300.59240699999998</v>
      </c>
      <c r="I54">
        <v>312.42083700000001</v>
      </c>
      <c r="J54">
        <v>320.31881700000002</v>
      </c>
      <c r="K54">
        <v>326.26678500000003</v>
      </c>
      <c r="L54">
        <v>329.71170000000001</v>
      </c>
      <c r="M54">
        <v>329.802032</v>
      </c>
      <c r="N54">
        <v>327.10320999999999</v>
      </c>
      <c r="O54">
        <v>322.50714099999999</v>
      </c>
      <c r="P54">
        <v>316.945312</v>
      </c>
      <c r="Q54">
        <v>310.35699499999998</v>
      </c>
      <c r="R54">
        <v>303.54803500000003</v>
      </c>
      <c r="S54">
        <v>296.39196800000002</v>
      </c>
      <c r="T54">
        <v>288.21630900000002</v>
      </c>
      <c r="U54">
        <v>278.85684199999997</v>
      </c>
      <c r="V54">
        <v>269.63986199999999</v>
      </c>
      <c r="W54">
        <v>259.62844799999999</v>
      </c>
      <c r="X54">
        <v>249.007294</v>
      </c>
      <c r="Y54">
        <v>237.562637</v>
      </c>
      <c r="Z54">
        <v>226.576401</v>
      </c>
      <c r="AA54">
        <v>216.55032299999999</v>
      </c>
      <c r="AB54">
        <v>207.086716</v>
      </c>
      <c r="AC54">
        <v>198.388046</v>
      </c>
      <c r="AD54">
        <v>189.61007699999999</v>
      </c>
      <c r="AE54">
        <v>180.95361299999999</v>
      </c>
      <c r="AF54">
        <v>172.71246300000001</v>
      </c>
      <c r="AG54" s="71">
        <v>-1.7000000000000001E-2</v>
      </c>
    </row>
    <row r="55" spans="1:33" x14ac:dyDescent="0.75">
      <c r="A55" t="s">
        <v>193</v>
      </c>
      <c r="B55" t="s">
        <v>1008</v>
      </c>
      <c r="C55" t="s">
        <v>1007</v>
      </c>
      <c r="D55" t="s">
        <v>515</v>
      </c>
      <c r="F55">
        <v>9.8759999999999994E-3</v>
      </c>
      <c r="G55">
        <v>9.6780000000000008E-3</v>
      </c>
      <c r="H55">
        <v>9.4769999999999993E-3</v>
      </c>
      <c r="I55">
        <v>9.3229999999999997E-3</v>
      </c>
      <c r="J55">
        <v>9.3380000000000008E-3</v>
      </c>
      <c r="K55">
        <v>9.4339999999999997E-3</v>
      </c>
      <c r="L55">
        <v>9.5499999999999995E-3</v>
      </c>
      <c r="M55">
        <v>9.6950000000000005E-3</v>
      </c>
      <c r="N55">
        <v>9.8689999999999993E-3</v>
      </c>
      <c r="O55">
        <v>9.639E-3</v>
      </c>
      <c r="P55">
        <v>9.2820000000000003E-3</v>
      </c>
      <c r="Q55">
        <v>9.1350000000000008E-3</v>
      </c>
      <c r="R55">
        <v>9.1500000000000001E-3</v>
      </c>
      <c r="S55">
        <v>9.2680000000000002E-3</v>
      </c>
      <c r="T55">
        <v>9.4549999999999999E-3</v>
      </c>
      <c r="U55">
        <v>9.6740000000000003E-3</v>
      </c>
      <c r="V55">
        <v>9.9190000000000007E-3</v>
      </c>
      <c r="W55">
        <v>1.0160000000000001E-2</v>
      </c>
      <c r="X55">
        <v>1.0387E-2</v>
      </c>
      <c r="Y55">
        <v>1.0591E-2</v>
      </c>
      <c r="Z55">
        <v>1.0782E-2</v>
      </c>
      <c r="AA55">
        <v>1.0982E-2</v>
      </c>
      <c r="AB55">
        <v>1.1176999999999999E-2</v>
      </c>
      <c r="AC55">
        <v>1.14E-2</v>
      </c>
      <c r="AD55">
        <v>1.1604E-2</v>
      </c>
      <c r="AE55">
        <v>1.1789000000000001E-2</v>
      </c>
      <c r="AF55">
        <v>1.1957000000000001E-2</v>
      </c>
      <c r="AG55" s="71">
        <v>7.0000000000000001E-3</v>
      </c>
    </row>
    <row r="56" spans="1:33" x14ac:dyDescent="0.75">
      <c r="A56" t="s">
        <v>190</v>
      </c>
      <c r="B56" t="s">
        <v>1006</v>
      </c>
      <c r="C56" t="s">
        <v>1005</v>
      </c>
      <c r="D56" t="s">
        <v>515</v>
      </c>
      <c r="F56">
        <v>0.92232899999999995</v>
      </c>
      <c r="G56">
        <v>2.4081709999999998</v>
      </c>
      <c r="H56">
        <v>4.0482360000000002</v>
      </c>
      <c r="I56">
        <v>5.7588280000000003</v>
      </c>
      <c r="J56">
        <v>6.7716529999999997</v>
      </c>
      <c r="K56">
        <v>7.8335220000000003</v>
      </c>
      <c r="L56">
        <v>8.6189680000000006</v>
      </c>
      <c r="M56">
        <v>9.037191</v>
      </c>
      <c r="N56">
        <v>9.3006480000000007</v>
      </c>
      <c r="O56">
        <v>9.3489950000000004</v>
      </c>
      <c r="P56">
        <v>9.4854869999999991</v>
      </c>
      <c r="Q56">
        <v>9.7867789999999992</v>
      </c>
      <c r="R56">
        <v>10.174992</v>
      </c>
      <c r="S56">
        <v>10.690709</v>
      </c>
      <c r="T56">
        <v>11.461022</v>
      </c>
      <c r="U56">
        <v>12.313684</v>
      </c>
      <c r="V56">
        <v>13.393580999999999</v>
      </c>
      <c r="W56">
        <v>14.774547999999999</v>
      </c>
      <c r="X56">
        <v>16.355795000000001</v>
      </c>
      <c r="Y56">
        <v>18.112090999999999</v>
      </c>
      <c r="Z56">
        <v>19.866278000000001</v>
      </c>
      <c r="AA56">
        <v>21.762203</v>
      </c>
      <c r="AB56">
        <v>23.796016999999999</v>
      </c>
      <c r="AC56">
        <v>26.11871</v>
      </c>
      <c r="AD56">
        <v>28.521559</v>
      </c>
      <c r="AE56">
        <v>31.067458999999999</v>
      </c>
      <c r="AF56">
        <v>33.688952999999998</v>
      </c>
      <c r="AG56" s="71">
        <v>0.14799999999999999</v>
      </c>
    </row>
    <row r="57" spans="1:33" x14ac:dyDescent="0.75">
      <c r="A57" t="s">
        <v>187</v>
      </c>
      <c r="B57" t="s">
        <v>1004</v>
      </c>
      <c r="C57" t="s">
        <v>1003</v>
      </c>
      <c r="D57" t="s">
        <v>515</v>
      </c>
      <c r="F57">
        <v>40.716315999999999</v>
      </c>
      <c r="G57">
        <v>37.109366999999999</v>
      </c>
      <c r="H57">
        <v>33.380229999999997</v>
      </c>
      <c r="I57">
        <v>29.907885</v>
      </c>
      <c r="J57">
        <v>26.824255000000001</v>
      </c>
      <c r="K57">
        <v>24.225940999999999</v>
      </c>
      <c r="L57">
        <v>21.93648</v>
      </c>
      <c r="M57">
        <v>19.895927</v>
      </c>
      <c r="N57">
        <v>18.051977000000001</v>
      </c>
      <c r="O57">
        <v>16.351952000000001</v>
      </c>
      <c r="P57">
        <v>14.802211</v>
      </c>
      <c r="Q57">
        <v>13.389184</v>
      </c>
      <c r="R57">
        <v>12.073988999999999</v>
      </c>
      <c r="S57">
        <v>10.838914000000001</v>
      </c>
      <c r="T57">
        <v>9.6831160000000001</v>
      </c>
      <c r="U57">
        <v>8.6211570000000002</v>
      </c>
      <c r="V57">
        <v>7.6712660000000001</v>
      </c>
      <c r="W57">
        <v>6.8364719999999997</v>
      </c>
      <c r="X57">
        <v>6.1080100000000002</v>
      </c>
      <c r="Y57">
        <v>5.4671849999999997</v>
      </c>
      <c r="Z57">
        <v>4.8528729999999998</v>
      </c>
      <c r="AA57">
        <v>4.2811690000000002</v>
      </c>
      <c r="AB57">
        <v>3.7411020000000001</v>
      </c>
      <c r="AC57">
        <v>3.2653530000000002</v>
      </c>
      <c r="AD57">
        <v>2.7555480000000001</v>
      </c>
      <c r="AE57">
        <v>2.2511809999999999</v>
      </c>
      <c r="AF57">
        <v>1.7685310000000001</v>
      </c>
      <c r="AG57" s="71">
        <v>-0.114</v>
      </c>
    </row>
    <row r="58" spans="1:33" x14ac:dyDescent="0.75">
      <c r="A58" t="s">
        <v>135</v>
      </c>
      <c r="B58" t="s">
        <v>1002</v>
      </c>
      <c r="C58" t="s">
        <v>1001</v>
      </c>
      <c r="D58" t="s">
        <v>515</v>
      </c>
      <c r="F58">
        <v>0.29254200000000002</v>
      </c>
      <c r="G58">
        <v>0.39745999999999998</v>
      </c>
      <c r="H58">
        <v>0.494035</v>
      </c>
      <c r="I58">
        <v>0.57998000000000005</v>
      </c>
      <c r="J58">
        <v>0.65522100000000005</v>
      </c>
      <c r="K58">
        <v>0.72641299999999998</v>
      </c>
      <c r="L58">
        <v>0.80841700000000005</v>
      </c>
      <c r="M58">
        <v>1.033936</v>
      </c>
      <c r="N58">
        <v>1.440906</v>
      </c>
      <c r="O58">
        <v>1.823518</v>
      </c>
      <c r="P58">
        <v>2.43858</v>
      </c>
      <c r="Q58">
        <v>3.4486059999999998</v>
      </c>
      <c r="R58">
        <v>4.8937140000000001</v>
      </c>
      <c r="S58">
        <v>6.688231</v>
      </c>
      <c r="T58">
        <v>8.867578</v>
      </c>
      <c r="U58">
        <v>11.444328000000001</v>
      </c>
      <c r="V58">
        <v>14.47161</v>
      </c>
      <c r="W58">
        <v>18.156417999999999</v>
      </c>
      <c r="X58">
        <v>22.357728999999999</v>
      </c>
      <c r="Y58">
        <v>26.97221</v>
      </c>
      <c r="Z58">
        <v>31.631969000000002</v>
      </c>
      <c r="AA58">
        <v>36.500670999999997</v>
      </c>
      <c r="AB58">
        <v>41.514029999999998</v>
      </c>
      <c r="AC58">
        <v>46.904494999999997</v>
      </c>
      <c r="AD58">
        <v>52.434565999999997</v>
      </c>
      <c r="AE58">
        <v>57.970725999999999</v>
      </c>
      <c r="AF58">
        <v>63.491337000000001</v>
      </c>
      <c r="AG58" s="71">
        <v>0.23</v>
      </c>
    </row>
    <row r="59" spans="1:33" x14ac:dyDescent="0.75">
      <c r="A59" t="s">
        <v>179</v>
      </c>
      <c r="B59" t="s">
        <v>1000</v>
      </c>
      <c r="C59" t="s">
        <v>999</v>
      </c>
      <c r="D59" t="s">
        <v>515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111</v>
      </c>
    </row>
    <row r="60" spans="1:33" x14ac:dyDescent="0.75">
      <c r="A60" t="s">
        <v>182</v>
      </c>
      <c r="B60" t="s">
        <v>998</v>
      </c>
      <c r="C60" t="s">
        <v>997</v>
      </c>
      <c r="D60" t="s">
        <v>515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111</v>
      </c>
    </row>
    <row r="61" spans="1:33" x14ac:dyDescent="0.75">
      <c r="A61" t="s">
        <v>139</v>
      </c>
      <c r="B61" t="s">
        <v>996</v>
      </c>
      <c r="C61" t="s">
        <v>995</v>
      </c>
      <c r="D61" t="s">
        <v>515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111</v>
      </c>
    </row>
    <row r="62" spans="1:33" x14ac:dyDescent="0.75">
      <c r="A62" t="s">
        <v>174</v>
      </c>
      <c r="B62" t="s">
        <v>994</v>
      </c>
      <c r="C62" t="s">
        <v>993</v>
      </c>
      <c r="D62" t="s">
        <v>515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75">
      <c r="A63" t="s">
        <v>171</v>
      </c>
      <c r="B63" t="s">
        <v>992</v>
      </c>
      <c r="C63" t="s">
        <v>991</v>
      </c>
      <c r="D63" t="s">
        <v>515</v>
      </c>
      <c r="F63">
        <v>0</v>
      </c>
      <c r="G63">
        <v>0.95440199999999997</v>
      </c>
      <c r="H63">
        <v>2.4927169999999998</v>
      </c>
      <c r="I63">
        <v>4.5722139999999998</v>
      </c>
      <c r="J63">
        <v>11.711790000000001</v>
      </c>
      <c r="K63">
        <v>24.769062000000002</v>
      </c>
      <c r="L63">
        <v>43.507514999999998</v>
      </c>
      <c r="M63">
        <v>67.176765000000003</v>
      </c>
      <c r="N63">
        <v>95.398871999999997</v>
      </c>
      <c r="O63">
        <v>126.438271</v>
      </c>
      <c r="P63">
        <v>158.769058</v>
      </c>
      <c r="Q63">
        <v>191.04911799999999</v>
      </c>
      <c r="R63">
        <v>222.48751799999999</v>
      </c>
      <c r="S63">
        <v>252.82922400000001</v>
      </c>
      <c r="T63">
        <v>283.12927200000001</v>
      </c>
      <c r="U63">
        <v>313.562836</v>
      </c>
      <c r="V63">
        <v>343.07336400000003</v>
      </c>
      <c r="W63">
        <v>370.79885899999999</v>
      </c>
      <c r="X63">
        <v>396.84454299999999</v>
      </c>
      <c r="Y63">
        <v>420.95086700000002</v>
      </c>
      <c r="Z63">
        <v>443.47396900000001</v>
      </c>
      <c r="AA63">
        <v>465.08380099999999</v>
      </c>
      <c r="AB63">
        <v>485.47805799999998</v>
      </c>
      <c r="AC63">
        <v>505.99935900000003</v>
      </c>
      <c r="AD63">
        <v>524.76403800000003</v>
      </c>
      <c r="AE63">
        <v>541.83367899999996</v>
      </c>
      <c r="AF63">
        <v>557.18951400000003</v>
      </c>
      <c r="AG63" t="s">
        <v>111</v>
      </c>
    </row>
    <row r="64" spans="1:33" x14ac:dyDescent="0.75">
      <c r="A64" t="s">
        <v>168</v>
      </c>
      <c r="B64" t="s">
        <v>990</v>
      </c>
      <c r="C64" t="s">
        <v>989</v>
      </c>
      <c r="D64" t="s">
        <v>515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111</v>
      </c>
    </row>
    <row r="65" spans="1:33" x14ac:dyDescent="0.75">
      <c r="A65" t="s">
        <v>628</v>
      </c>
      <c r="B65" t="s">
        <v>988</v>
      </c>
      <c r="C65" t="s">
        <v>987</v>
      </c>
      <c r="D65" t="s">
        <v>515</v>
      </c>
      <c r="F65">
        <v>851.47570800000005</v>
      </c>
      <c r="G65">
        <v>863.49969499999997</v>
      </c>
      <c r="H65">
        <v>867.48779300000001</v>
      </c>
      <c r="I65">
        <v>868.15893600000004</v>
      </c>
      <c r="J65">
        <v>866.95111099999997</v>
      </c>
      <c r="K65">
        <v>870.92315699999995</v>
      </c>
      <c r="L65">
        <v>877.43029799999999</v>
      </c>
      <c r="M65">
        <v>883.93908699999997</v>
      </c>
      <c r="N65">
        <v>890.85497999999995</v>
      </c>
      <c r="O65">
        <v>897.59155299999998</v>
      </c>
      <c r="P65">
        <v>905.22363299999995</v>
      </c>
      <c r="Q65">
        <v>912.45806900000002</v>
      </c>
      <c r="R65">
        <v>919.90423599999997</v>
      </c>
      <c r="S65">
        <v>926.81359899999995</v>
      </c>
      <c r="T65">
        <v>933.20452899999998</v>
      </c>
      <c r="U65">
        <v>938.73590100000001</v>
      </c>
      <c r="V65">
        <v>945.26709000000005</v>
      </c>
      <c r="W65">
        <v>950.28949</v>
      </c>
      <c r="X65">
        <v>954.308899</v>
      </c>
      <c r="Y65">
        <v>956.26916500000004</v>
      </c>
      <c r="Z65">
        <v>958.11425799999995</v>
      </c>
      <c r="AA65">
        <v>961.79260299999999</v>
      </c>
      <c r="AB65">
        <v>966.23419200000001</v>
      </c>
      <c r="AC65">
        <v>973.58013900000003</v>
      </c>
      <c r="AD65">
        <v>979.51165800000001</v>
      </c>
      <c r="AE65">
        <v>984.37377900000001</v>
      </c>
      <c r="AF65">
        <v>988.63177499999995</v>
      </c>
      <c r="AG65" s="71">
        <v>6.0000000000000001E-3</v>
      </c>
    </row>
    <row r="66" spans="1:33" x14ac:dyDescent="0.75">
      <c r="A66" t="s">
        <v>625</v>
      </c>
    </row>
    <row r="67" spans="1:33" x14ac:dyDescent="0.75">
      <c r="A67" t="s">
        <v>196</v>
      </c>
      <c r="B67" t="s">
        <v>986</v>
      </c>
      <c r="C67" t="s">
        <v>985</v>
      </c>
      <c r="D67" t="s">
        <v>515</v>
      </c>
      <c r="F67">
        <v>572.37652600000001</v>
      </c>
      <c r="G67">
        <v>558.80456500000003</v>
      </c>
      <c r="H67">
        <v>541.12286400000005</v>
      </c>
      <c r="I67">
        <v>523.78063999999995</v>
      </c>
      <c r="J67">
        <v>506.713165</v>
      </c>
      <c r="K67">
        <v>491.63479599999999</v>
      </c>
      <c r="L67">
        <v>477.74710099999999</v>
      </c>
      <c r="M67">
        <v>464.060181</v>
      </c>
      <c r="N67">
        <v>450.953217</v>
      </c>
      <c r="O67">
        <v>437.35858200000001</v>
      </c>
      <c r="P67">
        <v>423.99996900000002</v>
      </c>
      <c r="Q67">
        <v>410.70755000000003</v>
      </c>
      <c r="R67">
        <v>398.23928799999999</v>
      </c>
      <c r="S67">
        <v>386.23608400000001</v>
      </c>
      <c r="T67">
        <v>374.49648999999999</v>
      </c>
      <c r="U67">
        <v>362.95611600000001</v>
      </c>
      <c r="V67">
        <v>352.30072000000001</v>
      </c>
      <c r="W67">
        <v>342.16351300000002</v>
      </c>
      <c r="X67">
        <v>333.05093399999998</v>
      </c>
      <c r="Y67">
        <v>324.80343599999998</v>
      </c>
      <c r="Z67">
        <v>317.37185699999998</v>
      </c>
      <c r="AA67">
        <v>310.901184</v>
      </c>
      <c r="AB67">
        <v>304.93978900000002</v>
      </c>
      <c r="AC67">
        <v>300.66876200000002</v>
      </c>
      <c r="AD67">
        <v>296.874573</v>
      </c>
      <c r="AE67">
        <v>293.21627799999999</v>
      </c>
      <c r="AF67">
        <v>289.48172</v>
      </c>
      <c r="AG67" s="71">
        <v>-2.5999999999999999E-2</v>
      </c>
    </row>
    <row r="68" spans="1:33" x14ac:dyDescent="0.75">
      <c r="A68" t="s">
        <v>199</v>
      </c>
      <c r="B68" t="s">
        <v>984</v>
      </c>
      <c r="C68" t="s">
        <v>983</v>
      </c>
      <c r="D68" t="s">
        <v>515</v>
      </c>
      <c r="F68">
        <v>359.68539399999997</v>
      </c>
      <c r="G68">
        <v>360.30960099999999</v>
      </c>
      <c r="H68">
        <v>358.48315400000001</v>
      </c>
      <c r="I68">
        <v>356.47775300000001</v>
      </c>
      <c r="J68">
        <v>353.87088</v>
      </c>
      <c r="K68">
        <v>351.62857100000002</v>
      </c>
      <c r="L68">
        <v>349.46173099999999</v>
      </c>
      <c r="M68">
        <v>346.85674999999998</v>
      </c>
      <c r="N68">
        <v>344.34634399999999</v>
      </c>
      <c r="O68">
        <v>341.01715100000001</v>
      </c>
      <c r="P68">
        <v>337.59548999999998</v>
      </c>
      <c r="Q68">
        <v>333.75140399999998</v>
      </c>
      <c r="R68">
        <v>329.916473</v>
      </c>
      <c r="S68">
        <v>326.27279700000003</v>
      </c>
      <c r="T68">
        <v>322.26357999999999</v>
      </c>
      <c r="U68">
        <v>318.03363000000002</v>
      </c>
      <c r="V68">
        <v>314.02862499999998</v>
      </c>
      <c r="W68">
        <v>310.18368500000003</v>
      </c>
      <c r="X68">
        <v>306.739441</v>
      </c>
      <c r="Y68">
        <v>303.39968900000002</v>
      </c>
      <c r="Z68">
        <v>300.22131300000001</v>
      </c>
      <c r="AA68">
        <v>297.467285</v>
      </c>
      <c r="AB68">
        <v>294.79830900000002</v>
      </c>
      <c r="AC68">
        <v>293.383667</v>
      </c>
      <c r="AD68">
        <v>292.20773300000002</v>
      </c>
      <c r="AE68">
        <v>290.96585099999999</v>
      </c>
      <c r="AF68">
        <v>289.34399400000001</v>
      </c>
      <c r="AG68" s="71">
        <v>-8.0000000000000002E-3</v>
      </c>
    </row>
    <row r="69" spans="1:33" x14ac:dyDescent="0.75">
      <c r="A69" t="s">
        <v>193</v>
      </c>
      <c r="B69" t="s">
        <v>982</v>
      </c>
      <c r="C69" t="s">
        <v>981</v>
      </c>
      <c r="D69" t="s">
        <v>515</v>
      </c>
      <c r="F69">
        <v>0.47085199999999999</v>
      </c>
      <c r="G69">
        <v>0.41935099999999997</v>
      </c>
      <c r="H69">
        <v>0.37104700000000002</v>
      </c>
      <c r="I69">
        <v>0.32684800000000003</v>
      </c>
      <c r="J69">
        <v>0.28870000000000001</v>
      </c>
      <c r="K69">
        <v>0.238845</v>
      </c>
      <c r="L69">
        <v>0.21263199999999999</v>
      </c>
      <c r="M69">
        <v>0.188775</v>
      </c>
      <c r="N69">
        <v>0.168763</v>
      </c>
      <c r="O69">
        <v>0.15124199999999999</v>
      </c>
      <c r="P69">
        <v>0.13289300000000001</v>
      </c>
      <c r="Q69">
        <v>0.11908299999999999</v>
      </c>
      <c r="R69">
        <v>0.107998</v>
      </c>
      <c r="S69">
        <v>9.8922999999999997E-2</v>
      </c>
      <c r="T69">
        <v>9.0830999999999995E-2</v>
      </c>
      <c r="U69">
        <v>8.3752999999999994E-2</v>
      </c>
      <c r="V69">
        <v>7.8001000000000001E-2</v>
      </c>
      <c r="W69">
        <v>7.2731000000000004E-2</v>
      </c>
      <c r="X69">
        <v>6.8098000000000006E-2</v>
      </c>
      <c r="Y69">
        <v>6.3923999999999995E-2</v>
      </c>
      <c r="Z69">
        <v>5.9880999999999997E-2</v>
      </c>
      <c r="AA69">
        <v>5.7341000000000003E-2</v>
      </c>
      <c r="AB69">
        <v>5.4455000000000003E-2</v>
      </c>
      <c r="AC69">
        <v>5.1909999999999998E-2</v>
      </c>
      <c r="AD69">
        <v>4.5478999999999999E-2</v>
      </c>
      <c r="AE69">
        <v>3.5347999999999997E-2</v>
      </c>
      <c r="AF69">
        <v>2.7369999999999998E-2</v>
      </c>
      <c r="AG69" s="71">
        <v>-0.104</v>
      </c>
    </row>
    <row r="70" spans="1:33" x14ac:dyDescent="0.75">
      <c r="A70" t="s">
        <v>190</v>
      </c>
      <c r="B70" t="s">
        <v>980</v>
      </c>
      <c r="C70" t="s">
        <v>979</v>
      </c>
      <c r="D70" t="s">
        <v>515</v>
      </c>
      <c r="F70">
        <v>3.8930639999999999</v>
      </c>
      <c r="G70">
        <v>5.1351810000000002</v>
      </c>
      <c r="H70">
        <v>6.2655669999999999</v>
      </c>
      <c r="I70">
        <v>7.246683</v>
      </c>
      <c r="J70">
        <v>8.0653629999999996</v>
      </c>
      <c r="K70">
        <v>8.758089</v>
      </c>
      <c r="L70">
        <v>9.3531890000000004</v>
      </c>
      <c r="M70">
        <v>9.8592479999999991</v>
      </c>
      <c r="N70">
        <v>10.31508</v>
      </c>
      <c r="O70">
        <v>10.730149000000001</v>
      </c>
      <c r="P70">
        <v>11.108435999999999</v>
      </c>
      <c r="Q70">
        <v>11.447547</v>
      </c>
      <c r="R70">
        <v>11.750847</v>
      </c>
      <c r="S70">
        <v>12.036473000000001</v>
      </c>
      <c r="T70">
        <v>12.319575</v>
      </c>
      <c r="U70">
        <v>12.586885000000001</v>
      </c>
      <c r="V70">
        <v>12.844605</v>
      </c>
      <c r="W70">
        <v>13.062322999999999</v>
      </c>
      <c r="X70">
        <v>13.289071</v>
      </c>
      <c r="Y70">
        <v>13.52201</v>
      </c>
      <c r="Z70">
        <v>13.743242</v>
      </c>
      <c r="AA70">
        <v>13.97</v>
      </c>
      <c r="AB70">
        <v>14.187524</v>
      </c>
      <c r="AC70">
        <v>14.488526999999999</v>
      </c>
      <c r="AD70">
        <v>14.832860999999999</v>
      </c>
      <c r="AE70">
        <v>15.254797999999999</v>
      </c>
      <c r="AF70">
        <v>15.66183</v>
      </c>
      <c r="AG70" s="71">
        <v>5.5E-2</v>
      </c>
    </row>
    <row r="71" spans="1:33" x14ac:dyDescent="0.75">
      <c r="A71" t="s">
        <v>187</v>
      </c>
      <c r="B71" t="s">
        <v>978</v>
      </c>
      <c r="C71" t="s">
        <v>977</v>
      </c>
      <c r="D71" t="s">
        <v>515</v>
      </c>
      <c r="F71">
        <v>9.0335409999999996</v>
      </c>
      <c r="G71">
        <v>8.1573930000000008</v>
      </c>
      <c r="H71">
        <v>7.269139</v>
      </c>
      <c r="I71">
        <v>6.4449149999999999</v>
      </c>
      <c r="J71">
        <v>5.7201279999999999</v>
      </c>
      <c r="K71">
        <v>5.1299650000000003</v>
      </c>
      <c r="L71">
        <v>4.6090689999999999</v>
      </c>
      <c r="M71">
        <v>4.1451770000000003</v>
      </c>
      <c r="N71">
        <v>3.7455750000000001</v>
      </c>
      <c r="O71">
        <v>3.3678439999999998</v>
      </c>
      <c r="P71">
        <v>3.0418370000000001</v>
      </c>
      <c r="Q71">
        <v>2.7652130000000001</v>
      </c>
      <c r="R71">
        <v>2.5227219999999999</v>
      </c>
      <c r="S71">
        <v>2.3180540000000001</v>
      </c>
      <c r="T71">
        <v>2.140215</v>
      </c>
      <c r="U71">
        <v>1.9839070000000001</v>
      </c>
      <c r="V71">
        <v>1.8526009999999999</v>
      </c>
      <c r="W71">
        <v>1.7306029999999999</v>
      </c>
      <c r="X71">
        <v>1.61426</v>
      </c>
      <c r="Y71">
        <v>1.5015909999999999</v>
      </c>
      <c r="Z71">
        <v>1.3909229999999999</v>
      </c>
      <c r="AA71">
        <v>1.2808109999999999</v>
      </c>
      <c r="AB71">
        <v>1.1661630000000001</v>
      </c>
      <c r="AC71">
        <v>1.0466299999999999</v>
      </c>
      <c r="AD71">
        <v>0.92224600000000001</v>
      </c>
      <c r="AE71">
        <v>0.80049199999999998</v>
      </c>
      <c r="AF71">
        <v>0.67332499999999995</v>
      </c>
      <c r="AG71" s="71">
        <v>-9.5000000000000001E-2</v>
      </c>
    </row>
    <row r="72" spans="1:33" x14ac:dyDescent="0.75">
      <c r="A72" t="s">
        <v>135</v>
      </c>
      <c r="B72" t="s">
        <v>976</v>
      </c>
      <c r="C72" t="s">
        <v>975</v>
      </c>
      <c r="D72" t="s">
        <v>515</v>
      </c>
      <c r="F72">
        <v>0.124458</v>
      </c>
      <c r="G72">
        <v>0.13747599999999999</v>
      </c>
      <c r="H72">
        <v>0.148559</v>
      </c>
      <c r="I72">
        <v>0.15875900000000001</v>
      </c>
      <c r="J72">
        <v>0.16692299999999999</v>
      </c>
      <c r="K72">
        <v>0.17386299999999999</v>
      </c>
      <c r="L72">
        <v>0.18042900000000001</v>
      </c>
      <c r="M72">
        <v>0.18590899999999999</v>
      </c>
      <c r="N72">
        <v>0.191583</v>
      </c>
      <c r="O72">
        <v>0.19669300000000001</v>
      </c>
      <c r="P72">
        <v>0.20150699999999999</v>
      </c>
      <c r="Q72">
        <v>0.20583699999999999</v>
      </c>
      <c r="R72">
        <v>0.20995</v>
      </c>
      <c r="S72">
        <v>0.21395600000000001</v>
      </c>
      <c r="T72">
        <v>0.21765999999999999</v>
      </c>
      <c r="U72">
        <v>0.22089800000000001</v>
      </c>
      <c r="V72">
        <v>0.22397800000000001</v>
      </c>
      <c r="W72">
        <v>0.226935</v>
      </c>
      <c r="X72">
        <v>0.22981099999999999</v>
      </c>
      <c r="Y72">
        <v>0.23222400000000001</v>
      </c>
      <c r="Z72">
        <v>0.23428499999999999</v>
      </c>
      <c r="AA72">
        <v>0.236315</v>
      </c>
      <c r="AB72">
        <v>0.23807500000000001</v>
      </c>
      <c r="AC72">
        <v>0.240677</v>
      </c>
      <c r="AD72">
        <v>0.243424</v>
      </c>
      <c r="AE72">
        <v>0.246055</v>
      </c>
      <c r="AF72">
        <v>0.2482</v>
      </c>
      <c r="AG72" s="71">
        <v>2.7E-2</v>
      </c>
    </row>
    <row r="73" spans="1:33" x14ac:dyDescent="0.75">
      <c r="A73" t="s">
        <v>179</v>
      </c>
      <c r="B73" t="s">
        <v>974</v>
      </c>
      <c r="C73" t="s">
        <v>973</v>
      </c>
      <c r="D73" t="s">
        <v>515</v>
      </c>
      <c r="F73">
        <v>0</v>
      </c>
      <c r="G73">
        <v>0</v>
      </c>
      <c r="H73">
        <v>2.5073000000000002E-2</v>
      </c>
      <c r="I73">
        <v>6.0426000000000001E-2</v>
      </c>
      <c r="J73">
        <v>0.113721</v>
      </c>
      <c r="K73">
        <v>0.179671</v>
      </c>
      <c r="L73">
        <v>0.25176300000000001</v>
      </c>
      <c r="M73">
        <v>0.32860099999999998</v>
      </c>
      <c r="N73">
        <v>0.404474</v>
      </c>
      <c r="O73">
        <v>0.37326100000000001</v>
      </c>
      <c r="P73">
        <v>0.34434900000000002</v>
      </c>
      <c r="Q73">
        <v>0.31725999999999999</v>
      </c>
      <c r="R73">
        <v>0.29278799999999999</v>
      </c>
      <c r="S73">
        <v>0.27005200000000001</v>
      </c>
      <c r="T73">
        <v>0.24882099999999999</v>
      </c>
      <c r="U73">
        <v>0.22892100000000001</v>
      </c>
      <c r="V73">
        <v>0.210812</v>
      </c>
      <c r="W73">
        <v>0.19425799999999999</v>
      </c>
      <c r="X73">
        <v>0.179063</v>
      </c>
      <c r="Y73">
        <v>0.16525899999999999</v>
      </c>
      <c r="Z73">
        <v>0.152697</v>
      </c>
      <c r="AA73">
        <v>0.141516</v>
      </c>
      <c r="AB73">
        <v>0.131435</v>
      </c>
      <c r="AC73">
        <v>0.121158</v>
      </c>
      <c r="AD73">
        <v>0.11146499999999999</v>
      </c>
      <c r="AE73">
        <v>0.10281899999999999</v>
      </c>
      <c r="AF73">
        <v>9.5043000000000002E-2</v>
      </c>
      <c r="AG73" t="s">
        <v>111</v>
      </c>
    </row>
    <row r="74" spans="1:33" x14ac:dyDescent="0.75">
      <c r="A74" t="s">
        <v>182</v>
      </c>
      <c r="B74" t="s">
        <v>972</v>
      </c>
      <c r="C74" t="s">
        <v>971</v>
      </c>
      <c r="D74" t="s">
        <v>515</v>
      </c>
      <c r="F74">
        <v>0</v>
      </c>
      <c r="G74">
        <v>0.115331</v>
      </c>
      <c r="H74">
        <v>0.231573</v>
      </c>
      <c r="I74">
        <v>0.27211000000000002</v>
      </c>
      <c r="J74">
        <v>0.25937199999999999</v>
      </c>
      <c r="K74">
        <v>0.23771500000000001</v>
      </c>
      <c r="L74">
        <v>0.21748300000000001</v>
      </c>
      <c r="M74">
        <v>0.19966</v>
      </c>
      <c r="N74">
        <v>0.18464700000000001</v>
      </c>
      <c r="O74">
        <v>0.17038800000000001</v>
      </c>
      <c r="P74">
        <v>0.157113</v>
      </c>
      <c r="Q74">
        <v>0.144426</v>
      </c>
      <c r="R74">
        <v>0.133132</v>
      </c>
      <c r="S74">
        <v>0.12199</v>
      </c>
      <c r="T74">
        <v>0.11172899999999999</v>
      </c>
      <c r="U74">
        <v>0.10259</v>
      </c>
      <c r="V74">
        <v>9.4766000000000003E-2</v>
      </c>
      <c r="W74">
        <v>8.7656999999999999E-2</v>
      </c>
      <c r="X74">
        <v>8.0437999999999996E-2</v>
      </c>
      <c r="Y74">
        <v>7.3296E-2</v>
      </c>
      <c r="Z74">
        <v>6.6423999999999997E-2</v>
      </c>
      <c r="AA74">
        <v>6.1006999999999999E-2</v>
      </c>
      <c r="AB74">
        <v>5.67E-2</v>
      </c>
      <c r="AC74">
        <v>5.3085E-2</v>
      </c>
      <c r="AD74">
        <v>4.9660999999999997E-2</v>
      </c>
      <c r="AE74">
        <v>4.6268999999999998E-2</v>
      </c>
      <c r="AF74">
        <v>4.3032000000000001E-2</v>
      </c>
      <c r="AG74" t="s">
        <v>111</v>
      </c>
    </row>
    <row r="75" spans="1:33" x14ac:dyDescent="0.75">
      <c r="A75" t="s">
        <v>139</v>
      </c>
      <c r="B75" t="s">
        <v>970</v>
      </c>
      <c r="C75" t="s">
        <v>969</v>
      </c>
      <c r="D75" t="s">
        <v>515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111</v>
      </c>
    </row>
    <row r="76" spans="1:33" x14ac:dyDescent="0.75">
      <c r="A76" t="s">
        <v>174</v>
      </c>
      <c r="B76" t="s">
        <v>968</v>
      </c>
      <c r="C76" t="s">
        <v>967</v>
      </c>
      <c r="D76" t="s">
        <v>515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111</v>
      </c>
    </row>
    <row r="77" spans="1:33" x14ac:dyDescent="0.75">
      <c r="A77" t="s">
        <v>171</v>
      </c>
      <c r="B77" t="s">
        <v>966</v>
      </c>
      <c r="C77" t="s">
        <v>965</v>
      </c>
      <c r="D77" t="s">
        <v>515</v>
      </c>
      <c r="F77">
        <v>0</v>
      </c>
      <c r="G77">
        <v>0.82384199999999996</v>
      </c>
      <c r="H77">
        <v>1.9341729999999999</v>
      </c>
      <c r="I77">
        <v>3.335515</v>
      </c>
      <c r="J77">
        <v>4.9386640000000002</v>
      </c>
      <c r="K77">
        <v>6.8005509999999996</v>
      </c>
      <c r="L77">
        <v>9.1020889999999994</v>
      </c>
      <c r="M77">
        <v>12.05625</v>
      </c>
      <c r="N77">
        <v>16.004729999999999</v>
      </c>
      <c r="O77">
        <v>21.257300999999998</v>
      </c>
      <c r="P77">
        <v>28.049462999999999</v>
      </c>
      <c r="Q77">
        <v>36.463977999999997</v>
      </c>
      <c r="R77">
        <v>46.535229000000001</v>
      </c>
      <c r="S77">
        <v>57.997871000000004</v>
      </c>
      <c r="T77">
        <v>70.372337000000002</v>
      </c>
      <c r="U77">
        <v>83.024604999999994</v>
      </c>
      <c r="V77">
        <v>95.680374</v>
      </c>
      <c r="W77">
        <v>107.98371899999999</v>
      </c>
      <c r="X77">
        <v>119.816109</v>
      </c>
      <c r="Y77">
        <v>130.934631</v>
      </c>
      <c r="Z77">
        <v>141.18704199999999</v>
      </c>
      <c r="AA77">
        <v>150.71357699999999</v>
      </c>
      <c r="AB77">
        <v>159.40013099999999</v>
      </c>
      <c r="AC77">
        <v>168.087479</v>
      </c>
      <c r="AD77">
        <v>176.31300400000001</v>
      </c>
      <c r="AE77">
        <v>183.890884</v>
      </c>
      <c r="AF77">
        <v>190.61299099999999</v>
      </c>
      <c r="AG77" t="s">
        <v>111</v>
      </c>
    </row>
    <row r="78" spans="1:33" x14ac:dyDescent="0.75">
      <c r="A78" t="s">
        <v>168</v>
      </c>
      <c r="B78" t="s">
        <v>964</v>
      </c>
      <c r="C78" t="s">
        <v>963</v>
      </c>
      <c r="D78" t="s">
        <v>515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111</v>
      </c>
    </row>
    <row r="79" spans="1:33" x14ac:dyDescent="0.75">
      <c r="A79" t="s">
        <v>600</v>
      </c>
      <c r="B79" t="s">
        <v>962</v>
      </c>
      <c r="C79" t="s">
        <v>961</v>
      </c>
      <c r="D79" t="s">
        <v>515</v>
      </c>
      <c r="F79">
        <v>945.583618</v>
      </c>
      <c r="G79">
        <v>933.902649</v>
      </c>
      <c r="H79">
        <v>915.85144000000003</v>
      </c>
      <c r="I79">
        <v>898.10369900000001</v>
      </c>
      <c r="J79">
        <v>880.13720699999999</v>
      </c>
      <c r="K79">
        <v>864.78234899999995</v>
      </c>
      <c r="L79">
        <v>851.13555899999994</v>
      </c>
      <c r="M79">
        <v>837.88061500000003</v>
      </c>
      <c r="N79">
        <v>826.31481900000006</v>
      </c>
      <c r="O79">
        <v>814.62268100000006</v>
      </c>
      <c r="P79">
        <v>804.63085899999999</v>
      </c>
      <c r="Q79">
        <v>795.92236300000002</v>
      </c>
      <c r="R79">
        <v>789.70843500000001</v>
      </c>
      <c r="S79">
        <v>785.566284</v>
      </c>
      <c r="T79">
        <v>782.26110800000004</v>
      </c>
      <c r="U79">
        <v>779.22161900000003</v>
      </c>
      <c r="V79">
        <v>777.314392</v>
      </c>
      <c r="W79">
        <v>775.70519999999999</v>
      </c>
      <c r="X79">
        <v>775.06707800000004</v>
      </c>
      <c r="Y79">
        <v>774.69598399999995</v>
      </c>
      <c r="Z79">
        <v>774.42779499999995</v>
      </c>
      <c r="AA79">
        <v>774.82928500000003</v>
      </c>
      <c r="AB79">
        <v>774.97283900000002</v>
      </c>
      <c r="AC79">
        <v>778.14209000000005</v>
      </c>
      <c r="AD79">
        <v>781.60040300000003</v>
      </c>
      <c r="AE79">
        <v>784.55853300000001</v>
      </c>
      <c r="AF79">
        <v>786.18713400000001</v>
      </c>
      <c r="AG79" s="71">
        <v>-7.0000000000000001E-3</v>
      </c>
    </row>
    <row r="80" spans="1:33" x14ac:dyDescent="0.75">
      <c r="A80" t="s">
        <v>597</v>
      </c>
    </row>
    <row r="81" spans="1:33" x14ac:dyDescent="0.75">
      <c r="A81" t="s">
        <v>196</v>
      </c>
      <c r="B81" t="s">
        <v>960</v>
      </c>
      <c r="C81" t="s">
        <v>959</v>
      </c>
      <c r="D81" t="s">
        <v>515</v>
      </c>
      <c r="F81">
        <v>4150.3491210000002</v>
      </c>
      <c r="G81">
        <v>4200.8354490000002</v>
      </c>
      <c r="H81">
        <v>4216.7382809999999</v>
      </c>
      <c r="I81">
        <v>4222.3842770000001</v>
      </c>
      <c r="J81">
        <v>4207.3222660000001</v>
      </c>
      <c r="K81">
        <v>4188.4086909999996</v>
      </c>
      <c r="L81">
        <v>4166.4912109999996</v>
      </c>
      <c r="M81">
        <v>4136.4614259999998</v>
      </c>
      <c r="N81">
        <v>4106.701172</v>
      </c>
      <c r="O81">
        <v>4073.8461910000001</v>
      </c>
      <c r="P81">
        <v>4046.6755370000001</v>
      </c>
      <c r="Q81">
        <v>4022.7158199999999</v>
      </c>
      <c r="R81">
        <v>4007.9099120000001</v>
      </c>
      <c r="S81">
        <v>3999.3498540000001</v>
      </c>
      <c r="T81">
        <v>3993.8400879999999</v>
      </c>
      <c r="U81">
        <v>3985.8237300000001</v>
      </c>
      <c r="V81">
        <v>3980.5234380000002</v>
      </c>
      <c r="W81">
        <v>3976.482422</v>
      </c>
      <c r="X81">
        <v>3975.83374</v>
      </c>
      <c r="Y81">
        <v>3974.7204590000001</v>
      </c>
      <c r="Z81">
        <v>3972.9650879999999</v>
      </c>
      <c r="AA81">
        <v>3974.0261230000001</v>
      </c>
      <c r="AB81">
        <v>3972.735596</v>
      </c>
      <c r="AC81">
        <v>3986.054443</v>
      </c>
      <c r="AD81">
        <v>4000.4877929999998</v>
      </c>
      <c r="AE81">
        <v>4012.3010250000002</v>
      </c>
      <c r="AF81">
        <v>4018.320068</v>
      </c>
      <c r="AG81" s="71">
        <v>-1E-3</v>
      </c>
    </row>
    <row r="82" spans="1:33" x14ac:dyDescent="0.75">
      <c r="A82" t="s">
        <v>199</v>
      </c>
      <c r="B82" t="s">
        <v>958</v>
      </c>
      <c r="C82" t="s">
        <v>957</v>
      </c>
      <c r="D82" t="s">
        <v>515</v>
      </c>
      <c r="F82">
        <v>4.4349259999999999</v>
      </c>
      <c r="G82">
        <v>3.817758</v>
      </c>
      <c r="H82">
        <v>3.316071</v>
      </c>
      <c r="I82">
        <v>2.9103439999999998</v>
      </c>
      <c r="J82">
        <v>2.588219</v>
      </c>
      <c r="K82">
        <v>2.3451490000000002</v>
      </c>
      <c r="L82">
        <v>2.1555719999999998</v>
      </c>
      <c r="M82">
        <v>1.9943740000000001</v>
      </c>
      <c r="N82">
        <v>1.8554980000000001</v>
      </c>
      <c r="O82">
        <v>1.7244470000000001</v>
      </c>
      <c r="P82">
        <v>1.6221479999999999</v>
      </c>
      <c r="Q82">
        <v>1.5351790000000001</v>
      </c>
      <c r="R82">
        <v>1.466385</v>
      </c>
      <c r="S82">
        <v>1.398488</v>
      </c>
      <c r="T82">
        <v>1.330443</v>
      </c>
      <c r="U82">
        <v>1.2710809999999999</v>
      </c>
      <c r="V82">
        <v>1.225886</v>
      </c>
      <c r="W82">
        <v>1.1849799999999999</v>
      </c>
      <c r="X82">
        <v>1.1403030000000001</v>
      </c>
      <c r="Y82">
        <v>1.1049929999999999</v>
      </c>
      <c r="Z82">
        <v>1.0789299999999999</v>
      </c>
      <c r="AA82">
        <v>1.0615270000000001</v>
      </c>
      <c r="AB82">
        <v>1.0475140000000001</v>
      </c>
      <c r="AC82">
        <v>1.040597</v>
      </c>
      <c r="AD82">
        <v>1.034845</v>
      </c>
      <c r="AE82">
        <v>1.029752</v>
      </c>
      <c r="AF82">
        <v>1.022197</v>
      </c>
      <c r="AG82" s="71">
        <v>-5.5E-2</v>
      </c>
    </row>
    <row r="83" spans="1:33" x14ac:dyDescent="0.75">
      <c r="A83" t="s">
        <v>193</v>
      </c>
      <c r="B83" t="s">
        <v>956</v>
      </c>
      <c r="C83" t="s">
        <v>955</v>
      </c>
      <c r="D83" t="s">
        <v>515</v>
      </c>
      <c r="F83">
        <v>1.1561319999999999</v>
      </c>
      <c r="G83">
        <v>1.374889</v>
      </c>
      <c r="H83">
        <v>1.574821</v>
      </c>
      <c r="I83">
        <v>1.759158</v>
      </c>
      <c r="J83">
        <v>1.904928</v>
      </c>
      <c r="K83">
        <v>2.026071</v>
      </c>
      <c r="L83">
        <v>2.1195029999999999</v>
      </c>
      <c r="M83">
        <v>2.1808689999999999</v>
      </c>
      <c r="N83">
        <v>2.2254740000000002</v>
      </c>
      <c r="O83">
        <v>2.2515000000000001</v>
      </c>
      <c r="P83">
        <v>2.2717139999999998</v>
      </c>
      <c r="Q83">
        <v>2.2773460000000001</v>
      </c>
      <c r="R83">
        <v>2.2784260000000001</v>
      </c>
      <c r="S83">
        <v>2.2754490000000001</v>
      </c>
      <c r="T83">
        <v>2.2735300000000001</v>
      </c>
      <c r="U83">
        <v>2.2699210000000001</v>
      </c>
      <c r="V83">
        <v>2.268214</v>
      </c>
      <c r="W83">
        <v>2.2635719999999999</v>
      </c>
      <c r="X83">
        <v>2.2589600000000001</v>
      </c>
      <c r="Y83">
        <v>2.2537240000000001</v>
      </c>
      <c r="Z83">
        <v>2.2496350000000001</v>
      </c>
      <c r="AA83">
        <v>2.2491400000000001</v>
      </c>
      <c r="AB83">
        <v>2.2497500000000001</v>
      </c>
      <c r="AC83">
        <v>2.2599909999999999</v>
      </c>
      <c r="AD83">
        <v>2.2705250000000001</v>
      </c>
      <c r="AE83">
        <v>2.2775180000000002</v>
      </c>
      <c r="AF83">
        <v>2.2828889999999999</v>
      </c>
      <c r="AG83" s="71">
        <v>2.7E-2</v>
      </c>
    </row>
    <row r="84" spans="1:33" x14ac:dyDescent="0.75">
      <c r="A84" t="s">
        <v>190</v>
      </c>
      <c r="B84" t="s">
        <v>954</v>
      </c>
      <c r="C84" t="s">
        <v>953</v>
      </c>
      <c r="D84" t="s">
        <v>515</v>
      </c>
      <c r="F84">
        <v>50.291285999999999</v>
      </c>
      <c r="G84">
        <v>52.723258999999999</v>
      </c>
      <c r="H84">
        <v>54.526027999999997</v>
      </c>
      <c r="I84">
        <v>55.344116</v>
      </c>
      <c r="J84">
        <v>55.688533999999997</v>
      </c>
      <c r="K84">
        <v>55.878203999999997</v>
      </c>
      <c r="L84">
        <v>55.951027000000003</v>
      </c>
      <c r="M84">
        <v>55.872238000000003</v>
      </c>
      <c r="N84">
        <v>55.809218999999999</v>
      </c>
      <c r="O84">
        <v>55.741230000000002</v>
      </c>
      <c r="P84">
        <v>55.755974000000002</v>
      </c>
      <c r="Q84">
        <v>55.805816999999998</v>
      </c>
      <c r="R84">
        <v>55.951450000000001</v>
      </c>
      <c r="S84">
        <v>56.315952000000003</v>
      </c>
      <c r="T84">
        <v>56.670273000000002</v>
      </c>
      <c r="U84">
        <v>57.133186000000002</v>
      </c>
      <c r="V84">
        <v>57.910736</v>
      </c>
      <c r="W84">
        <v>59.007088000000003</v>
      </c>
      <c r="X84">
        <v>60.194412</v>
      </c>
      <c r="Y84">
        <v>61.343024999999997</v>
      </c>
      <c r="Z84">
        <v>62.705348999999998</v>
      </c>
      <c r="AA84">
        <v>64.327826999999999</v>
      </c>
      <c r="AB84">
        <v>66.300811999999993</v>
      </c>
      <c r="AC84">
        <v>69.019630000000006</v>
      </c>
      <c r="AD84">
        <v>72.545906000000002</v>
      </c>
      <c r="AE84">
        <v>76.672927999999999</v>
      </c>
      <c r="AF84">
        <v>81.713440000000006</v>
      </c>
      <c r="AG84" s="71">
        <v>1.9E-2</v>
      </c>
    </row>
    <row r="85" spans="1:33" x14ac:dyDescent="0.75">
      <c r="A85" t="s">
        <v>187</v>
      </c>
      <c r="B85" t="s">
        <v>952</v>
      </c>
      <c r="C85" t="s">
        <v>951</v>
      </c>
      <c r="D85" t="s">
        <v>515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111</v>
      </c>
    </row>
    <row r="86" spans="1:33" x14ac:dyDescent="0.75">
      <c r="A86" t="s">
        <v>135</v>
      </c>
      <c r="B86" t="s">
        <v>950</v>
      </c>
      <c r="C86" t="s">
        <v>949</v>
      </c>
      <c r="D86" t="s">
        <v>515</v>
      </c>
      <c r="F86">
        <v>1.835842</v>
      </c>
      <c r="G86">
        <v>2.4526810000000001</v>
      </c>
      <c r="H86">
        <v>3.0207929999999998</v>
      </c>
      <c r="I86">
        <v>3.5318879999999999</v>
      </c>
      <c r="J86">
        <v>3.9540489999999999</v>
      </c>
      <c r="K86">
        <v>4.3047269999999997</v>
      </c>
      <c r="L86">
        <v>4.5975380000000001</v>
      </c>
      <c r="M86">
        <v>4.8346179999999999</v>
      </c>
      <c r="N86">
        <v>5.0316390000000002</v>
      </c>
      <c r="O86">
        <v>5.1899280000000001</v>
      </c>
      <c r="P86">
        <v>5.3246770000000003</v>
      </c>
      <c r="Q86">
        <v>5.4344979999999996</v>
      </c>
      <c r="R86">
        <v>5.5320679999999998</v>
      </c>
      <c r="S86">
        <v>5.6165799999999999</v>
      </c>
      <c r="T86">
        <v>5.6888759999999996</v>
      </c>
      <c r="U86">
        <v>5.7453709999999996</v>
      </c>
      <c r="V86">
        <v>5.7989449999999998</v>
      </c>
      <c r="W86">
        <v>5.846025</v>
      </c>
      <c r="X86">
        <v>5.8912269999999998</v>
      </c>
      <c r="Y86">
        <v>5.930237</v>
      </c>
      <c r="Z86">
        <v>5.9651719999999999</v>
      </c>
      <c r="AA86">
        <v>6.0043030000000002</v>
      </c>
      <c r="AB86">
        <v>6.041099</v>
      </c>
      <c r="AC86">
        <v>6.100841</v>
      </c>
      <c r="AD86">
        <v>6.1635619999999998</v>
      </c>
      <c r="AE86">
        <v>6.2244010000000003</v>
      </c>
      <c r="AF86">
        <v>6.2765719999999998</v>
      </c>
      <c r="AG86" s="71">
        <v>4.8000000000000001E-2</v>
      </c>
    </row>
    <row r="87" spans="1:33" x14ac:dyDescent="0.75">
      <c r="A87" t="s">
        <v>179</v>
      </c>
      <c r="B87" t="s">
        <v>948</v>
      </c>
      <c r="C87" t="s">
        <v>947</v>
      </c>
      <c r="D87" t="s">
        <v>515</v>
      </c>
      <c r="F87">
        <v>0</v>
      </c>
      <c r="G87">
        <v>0</v>
      </c>
      <c r="H87">
        <v>2.4901E-2</v>
      </c>
      <c r="I87">
        <v>6.8081000000000003E-2</v>
      </c>
      <c r="J87">
        <v>0.113634</v>
      </c>
      <c r="K87">
        <v>0.165435</v>
      </c>
      <c r="L87">
        <v>0.223909</v>
      </c>
      <c r="M87">
        <v>0.291244</v>
      </c>
      <c r="N87">
        <v>0.37263299999999999</v>
      </c>
      <c r="O87">
        <v>0.35006199999999998</v>
      </c>
      <c r="P87">
        <v>0.33010299999999998</v>
      </c>
      <c r="Q87">
        <v>0.314085</v>
      </c>
      <c r="R87">
        <v>0.30023300000000003</v>
      </c>
      <c r="S87">
        <v>0.29104400000000002</v>
      </c>
      <c r="T87">
        <v>0.28536400000000001</v>
      </c>
      <c r="U87">
        <v>0.28249800000000003</v>
      </c>
      <c r="V87">
        <v>0.278528</v>
      </c>
      <c r="W87">
        <v>0.27172800000000003</v>
      </c>
      <c r="X87">
        <v>0.261187</v>
      </c>
      <c r="Y87">
        <v>0.246643</v>
      </c>
      <c r="Z87">
        <v>0.23005400000000001</v>
      </c>
      <c r="AA87">
        <v>0.21174999999999999</v>
      </c>
      <c r="AB87">
        <v>0.19095899999999999</v>
      </c>
      <c r="AC87">
        <v>0.16870399999999999</v>
      </c>
      <c r="AD87">
        <v>0.14982000000000001</v>
      </c>
      <c r="AE87">
        <v>0.13414200000000001</v>
      </c>
      <c r="AF87">
        <v>0.121348</v>
      </c>
      <c r="AG87" t="s">
        <v>111</v>
      </c>
    </row>
    <row r="88" spans="1:33" x14ac:dyDescent="0.75">
      <c r="A88" t="s">
        <v>182</v>
      </c>
      <c r="B88" t="s">
        <v>946</v>
      </c>
      <c r="C88" t="s">
        <v>945</v>
      </c>
      <c r="D88" t="s">
        <v>515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111</v>
      </c>
    </row>
    <row r="89" spans="1:33" x14ac:dyDescent="0.75">
      <c r="A89" t="s">
        <v>139</v>
      </c>
      <c r="B89" t="s">
        <v>944</v>
      </c>
      <c r="C89" t="s">
        <v>943</v>
      </c>
      <c r="D89" t="s">
        <v>515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111</v>
      </c>
    </row>
    <row r="90" spans="1:33" x14ac:dyDescent="0.75">
      <c r="A90" t="s">
        <v>174</v>
      </c>
      <c r="B90" t="s">
        <v>942</v>
      </c>
      <c r="C90" t="s">
        <v>941</v>
      </c>
      <c r="D90" t="s">
        <v>515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111</v>
      </c>
    </row>
    <row r="91" spans="1:33" x14ac:dyDescent="0.75">
      <c r="A91" t="s">
        <v>171</v>
      </c>
      <c r="B91" t="s">
        <v>940</v>
      </c>
      <c r="C91" t="s">
        <v>939</v>
      </c>
      <c r="D91" t="s">
        <v>515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111</v>
      </c>
    </row>
    <row r="92" spans="1:33" x14ac:dyDescent="0.75">
      <c r="A92" t="s">
        <v>168</v>
      </c>
      <c r="B92" t="s">
        <v>938</v>
      </c>
      <c r="C92" t="s">
        <v>937</v>
      </c>
      <c r="D92" t="s">
        <v>515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111</v>
      </c>
    </row>
    <row r="93" spans="1:33" x14ac:dyDescent="0.75">
      <c r="A93" t="s">
        <v>572</v>
      </c>
      <c r="B93" t="s">
        <v>936</v>
      </c>
      <c r="C93" t="s">
        <v>935</v>
      </c>
      <c r="D93" t="s">
        <v>515</v>
      </c>
      <c r="F93">
        <v>4208.0673829999996</v>
      </c>
      <c r="G93">
        <v>4261.2026370000003</v>
      </c>
      <c r="H93">
        <v>4279.1987300000001</v>
      </c>
      <c r="I93">
        <v>4285.9965819999998</v>
      </c>
      <c r="J93">
        <v>4271.5712890000004</v>
      </c>
      <c r="K93">
        <v>4253.1284180000002</v>
      </c>
      <c r="L93">
        <v>4231.5385740000002</v>
      </c>
      <c r="M93">
        <v>4201.6323240000002</v>
      </c>
      <c r="N93">
        <v>4171.9951170000004</v>
      </c>
      <c r="O93">
        <v>4139.1025390000004</v>
      </c>
      <c r="P93">
        <v>4111.9794920000004</v>
      </c>
      <c r="Q93">
        <v>4088.0834960000002</v>
      </c>
      <c r="R93">
        <v>4073.4372560000002</v>
      </c>
      <c r="S93">
        <v>4065.2475589999999</v>
      </c>
      <c r="T93">
        <v>4060.0888669999999</v>
      </c>
      <c r="U93">
        <v>4052.5258789999998</v>
      </c>
      <c r="V93">
        <v>4048.0051269999999</v>
      </c>
      <c r="W93">
        <v>4045.056885</v>
      </c>
      <c r="X93">
        <v>4045.580078</v>
      </c>
      <c r="Y93">
        <v>4045.5986330000001</v>
      </c>
      <c r="Z93">
        <v>4045.1948240000002</v>
      </c>
      <c r="AA93">
        <v>4047.8803710000002</v>
      </c>
      <c r="AB93">
        <v>4048.5656739999999</v>
      </c>
      <c r="AC93">
        <v>4064.6430660000001</v>
      </c>
      <c r="AD93">
        <v>4082.6523440000001</v>
      </c>
      <c r="AE93">
        <v>4098.6396480000003</v>
      </c>
      <c r="AF93">
        <v>4109.7368159999996</v>
      </c>
      <c r="AG93" s="71">
        <v>-1E-3</v>
      </c>
    </row>
    <row r="94" spans="1:33" x14ac:dyDescent="0.75">
      <c r="A94" t="s">
        <v>653</v>
      </c>
      <c r="B94" t="s">
        <v>934</v>
      </c>
      <c r="C94" t="s">
        <v>933</v>
      </c>
    </row>
    <row r="95" spans="1:33" x14ac:dyDescent="0.75">
      <c r="A95" t="s">
        <v>196</v>
      </c>
      <c r="B95" t="s">
        <v>932</v>
      </c>
      <c r="C95" t="s">
        <v>931</v>
      </c>
      <c r="D95" t="s">
        <v>515</v>
      </c>
      <c r="F95">
        <v>5262.0537109999996</v>
      </c>
      <c r="G95">
        <v>5295.517578</v>
      </c>
      <c r="H95">
        <v>5284.3320309999999</v>
      </c>
      <c r="I95">
        <v>5261.0747069999998</v>
      </c>
      <c r="J95">
        <v>5214.6953119999998</v>
      </c>
      <c r="K95">
        <v>5167.1357420000004</v>
      </c>
      <c r="L95">
        <v>5117.076172</v>
      </c>
      <c r="M95">
        <v>5057.5048829999996</v>
      </c>
      <c r="N95">
        <v>4997.2041019999997</v>
      </c>
      <c r="O95">
        <v>4932.3168949999999</v>
      </c>
      <c r="P95">
        <v>4873.4492190000001</v>
      </c>
      <c r="Q95">
        <v>4817.8413090000004</v>
      </c>
      <c r="R95">
        <v>4772.8662109999996</v>
      </c>
      <c r="S95">
        <v>4734.9516599999997</v>
      </c>
      <c r="T95">
        <v>4700.1743159999996</v>
      </c>
      <c r="U95">
        <v>4662.7070309999999</v>
      </c>
      <c r="V95">
        <v>4629.8315430000002</v>
      </c>
      <c r="W95">
        <v>4598.7304690000001</v>
      </c>
      <c r="X95">
        <v>4572.5097660000001</v>
      </c>
      <c r="Y95">
        <v>4546.7172849999997</v>
      </c>
      <c r="Z95">
        <v>4522.0385740000002</v>
      </c>
      <c r="AA95">
        <v>4502.5307620000003</v>
      </c>
      <c r="AB95">
        <v>4482.2827150000003</v>
      </c>
      <c r="AC95">
        <v>4479.6157229999999</v>
      </c>
      <c r="AD95">
        <v>4478.7768550000001</v>
      </c>
      <c r="AE95">
        <v>4475.8027339999999</v>
      </c>
      <c r="AF95">
        <v>4467.5708009999998</v>
      </c>
      <c r="AG95" s="71">
        <v>-6.0000000000000001E-3</v>
      </c>
    </row>
    <row r="96" spans="1:33" x14ac:dyDescent="0.75">
      <c r="A96" t="s">
        <v>199</v>
      </c>
      <c r="B96" t="s">
        <v>930</v>
      </c>
      <c r="C96" t="s">
        <v>929</v>
      </c>
      <c r="D96" t="s">
        <v>515</v>
      </c>
      <c r="F96">
        <v>634.32690400000001</v>
      </c>
      <c r="G96">
        <v>650.87048300000004</v>
      </c>
      <c r="H96">
        <v>662.39166299999999</v>
      </c>
      <c r="I96">
        <v>671.808899</v>
      </c>
      <c r="J96">
        <v>676.77789299999995</v>
      </c>
      <c r="K96">
        <v>680.24054000000001</v>
      </c>
      <c r="L96">
        <v>681.32904099999996</v>
      </c>
      <c r="M96">
        <v>678.65319799999997</v>
      </c>
      <c r="N96">
        <v>673.30505400000004</v>
      </c>
      <c r="O96">
        <v>665.24871800000005</v>
      </c>
      <c r="P96">
        <v>656.16290300000003</v>
      </c>
      <c r="Q96">
        <v>645.64355499999999</v>
      </c>
      <c r="R96">
        <v>634.93084699999997</v>
      </c>
      <c r="S96">
        <v>624.06329300000004</v>
      </c>
      <c r="T96">
        <v>611.81030299999998</v>
      </c>
      <c r="U96">
        <v>598.16156000000001</v>
      </c>
      <c r="V96">
        <v>584.89434800000004</v>
      </c>
      <c r="W96">
        <v>570.99713099999997</v>
      </c>
      <c r="X96">
        <v>556.887024</v>
      </c>
      <c r="Y96">
        <v>542.06732199999999</v>
      </c>
      <c r="Z96">
        <v>527.87664800000005</v>
      </c>
      <c r="AA96">
        <v>515.07910200000003</v>
      </c>
      <c r="AB96">
        <v>502.932526</v>
      </c>
      <c r="AC96">
        <v>492.81231700000001</v>
      </c>
      <c r="AD96">
        <v>482.85266100000001</v>
      </c>
      <c r="AE96">
        <v>472.94921900000003</v>
      </c>
      <c r="AF96">
        <v>463.078644</v>
      </c>
      <c r="AG96" s="71">
        <v>-1.2E-2</v>
      </c>
    </row>
    <row r="97" spans="1:33" x14ac:dyDescent="0.75">
      <c r="A97" t="s">
        <v>193</v>
      </c>
      <c r="B97" t="s">
        <v>928</v>
      </c>
      <c r="C97" t="s">
        <v>927</v>
      </c>
      <c r="D97" t="s">
        <v>515</v>
      </c>
      <c r="F97">
        <v>1.63686</v>
      </c>
      <c r="G97">
        <v>1.8039179999999999</v>
      </c>
      <c r="H97">
        <v>1.9553450000000001</v>
      </c>
      <c r="I97">
        <v>2.095329</v>
      </c>
      <c r="J97">
        <v>2.202966</v>
      </c>
      <c r="K97">
        <v>2.2743500000000001</v>
      </c>
      <c r="L97">
        <v>2.341685</v>
      </c>
      <c r="M97">
        <v>2.3793389999999999</v>
      </c>
      <c r="N97">
        <v>2.4041060000000001</v>
      </c>
      <c r="O97">
        <v>2.4123800000000002</v>
      </c>
      <c r="P97">
        <v>2.4138890000000002</v>
      </c>
      <c r="Q97">
        <v>2.405564</v>
      </c>
      <c r="R97">
        <v>2.3955739999999999</v>
      </c>
      <c r="S97">
        <v>2.3836390000000001</v>
      </c>
      <c r="T97">
        <v>2.3738160000000001</v>
      </c>
      <c r="U97">
        <v>2.3633479999999998</v>
      </c>
      <c r="V97">
        <v>2.356134</v>
      </c>
      <c r="W97">
        <v>2.346463</v>
      </c>
      <c r="X97">
        <v>2.3374450000000002</v>
      </c>
      <c r="Y97">
        <v>2.3282379999999998</v>
      </c>
      <c r="Z97">
        <v>2.3202970000000001</v>
      </c>
      <c r="AA97">
        <v>2.3174630000000001</v>
      </c>
      <c r="AB97">
        <v>2.3153820000000001</v>
      </c>
      <c r="AC97">
        <v>2.3233009999999998</v>
      </c>
      <c r="AD97">
        <v>2.327607</v>
      </c>
      <c r="AE97">
        <v>2.3246549999999999</v>
      </c>
      <c r="AF97">
        <v>2.3222160000000001</v>
      </c>
      <c r="AG97" s="71">
        <v>1.4E-2</v>
      </c>
    </row>
    <row r="98" spans="1:33" x14ac:dyDescent="0.75">
      <c r="A98" t="s">
        <v>190</v>
      </c>
      <c r="B98" t="s">
        <v>926</v>
      </c>
      <c r="C98" t="s">
        <v>925</v>
      </c>
      <c r="D98" t="s">
        <v>515</v>
      </c>
      <c r="F98">
        <v>55.106678000000002</v>
      </c>
      <c r="G98">
        <v>60.266609000000003</v>
      </c>
      <c r="H98">
        <v>64.839827999999997</v>
      </c>
      <c r="I98">
        <v>68.349625000000003</v>
      </c>
      <c r="J98">
        <v>70.525550999999993</v>
      </c>
      <c r="K98">
        <v>72.469818000000004</v>
      </c>
      <c r="L98">
        <v>73.923186999999999</v>
      </c>
      <c r="M98">
        <v>74.768676999999997</v>
      </c>
      <c r="N98">
        <v>75.424942000000001</v>
      </c>
      <c r="O98">
        <v>75.820374000000001</v>
      </c>
      <c r="P98">
        <v>76.349898999999994</v>
      </c>
      <c r="Q98">
        <v>77.040145999999993</v>
      </c>
      <c r="R98">
        <v>77.877289000000005</v>
      </c>
      <c r="S98">
        <v>79.043137000000002</v>
      </c>
      <c r="T98">
        <v>80.450867000000002</v>
      </c>
      <c r="U98">
        <v>82.033752000000007</v>
      </c>
      <c r="V98">
        <v>84.148926000000003</v>
      </c>
      <c r="W98">
        <v>86.843956000000006</v>
      </c>
      <c r="X98">
        <v>89.839279000000005</v>
      </c>
      <c r="Y98">
        <v>92.977126999999996</v>
      </c>
      <c r="Z98">
        <v>96.314864999999998</v>
      </c>
      <c r="AA98">
        <v>100.060028</v>
      </c>
      <c r="AB98">
        <v>104.28434799999999</v>
      </c>
      <c r="AC98">
        <v>109.626869</v>
      </c>
      <c r="AD98">
        <v>115.90033</v>
      </c>
      <c r="AE98">
        <v>122.995186</v>
      </c>
      <c r="AF98">
        <v>131.064224</v>
      </c>
      <c r="AG98" s="71">
        <v>3.4000000000000002E-2</v>
      </c>
    </row>
    <row r="99" spans="1:33" x14ac:dyDescent="0.75">
      <c r="A99" t="s">
        <v>187</v>
      </c>
      <c r="B99" t="s">
        <v>924</v>
      </c>
      <c r="C99" t="s">
        <v>923</v>
      </c>
      <c r="D99" t="s">
        <v>515</v>
      </c>
      <c r="F99">
        <v>49.749854999999997</v>
      </c>
      <c r="G99">
        <v>45.266762</v>
      </c>
      <c r="H99">
        <v>40.649368000000003</v>
      </c>
      <c r="I99">
        <v>36.352798</v>
      </c>
      <c r="J99">
        <v>32.544384000000001</v>
      </c>
      <c r="K99">
        <v>29.355906000000001</v>
      </c>
      <c r="L99">
        <v>26.545546999999999</v>
      </c>
      <c r="M99">
        <v>24.041105000000002</v>
      </c>
      <c r="N99">
        <v>21.797552</v>
      </c>
      <c r="O99">
        <v>19.719795000000001</v>
      </c>
      <c r="P99">
        <v>17.844048000000001</v>
      </c>
      <c r="Q99">
        <v>16.154398</v>
      </c>
      <c r="R99">
        <v>14.596711000000001</v>
      </c>
      <c r="S99">
        <v>13.156967</v>
      </c>
      <c r="T99">
        <v>11.823331</v>
      </c>
      <c r="U99">
        <v>10.605062999999999</v>
      </c>
      <c r="V99">
        <v>9.5238669999999992</v>
      </c>
      <c r="W99">
        <v>8.5670750000000009</v>
      </c>
      <c r="X99">
        <v>7.72227</v>
      </c>
      <c r="Y99">
        <v>6.9687770000000002</v>
      </c>
      <c r="Z99">
        <v>6.2437959999999997</v>
      </c>
      <c r="AA99">
        <v>5.5619810000000003</v>
      </c>
      <c r="AB99">
        <v>4.9072649999999998</v>
      </c>
      <c r="AC99">
        <v>4.3119829999999997</v>
      </c>
      <c r="AD99">
        <v>3.677794</v>
      </c>
      <c r="AE99">
        <v>3.0516730000000001</v>
      </c>
      <c r="AF99">
        <v>2.441856</v>
      </c>
      <c r="AG99" s="71">
        <v>-0.109</v>
      </c>
    </row>
    <row r="100" spans="1:33" x14ac:dyDescent="0.75">
      <c r="A100" t="s">
        <v>135</v>
      </c>
      <c r="B100" t="s">
        <v>922</v>
      </c>
      <c r="C100" t="s">
        <v>921</v>
      </c>
      <c r="D100" t="s">
        <v>515</v>
      </c>
      <c r="F100">
        <v>2.2528419999999998</v>
      </c>
      <c r="G100">
        <v>2.9876170000000002</v>
      </c>
      <c r="H100">
        <v>3.663386</v>
      </c>
      <c r="I100">
        <v>4.270626</v>
      </c>
      <c r="J100">
        <v>4.7761940000000003</v>
      </c>
      <c r="K100">
        <v>5.2050029999999996</v>
      </c>
      <c r="L100">
        <v>5.5863839999999998</v>
      </c>
      <c r="M100">
        <v>6.0544630000000002</v>
      </c>
      <c r="N100">
        <v>6.6641269999999997</v>
      </c>
      <c r="O100">
        <v>7.2101389999999999</v>
      </c>
      <c r="P100">
        <v>7.9647639999999997</v>
      </c>
      <c r="Q100">
        <v>9.0889410000000002</v>
      </c>
      <c r="R100">
        <v>10.635733</v>
      </c>
      <c r="S100">
        <v>12.518767</v>
      </c>
      <c r="T100">
        <v>14.774114000000001</v>
      </c>
      <c r="U100">
        <v>17.410596999999999</v>
      </c>
      <c r="V100">
        <v>20.494534000000002</v>
      </c>
      <c r="W100">
        <v>24.229378000000001</v>
      </c>
      <c r="X100">
        <v>28.478767000000001</v>
      </c>
      <c r="Y100">
        <v>33.13467</v>
      </c>
      <c r="Z100">
        <v>37.831429</v>
      </c>
      <c r="AA100">
        <v>42.741287</v>
      </c>
      <c r="AB100">
        <v>47.793205</v>
      </c>
      <c r="AC100">
        <v>53.246014000000002</v>
      </c>
      <c r="AD100">
        <v>58.841552999999998</v>
      </c>
      <c r="AE100">
        <v>64.441185000000004</v>
      </c>
      <c r="AF100">
        <v>70.016105999999994</v>
      </c>
      <c r="AG100" s="71">
        <v>0.14099999999999999</v>
      </c>
    </row>
    <row r="101" spans="1:33" x14ac:dyDescent="0.75">
      <c r="A101" t="s">
        <v>179</v>
      </c>
      <c r="B101" t="s">
        <v>920</v>
      </c>
      <c r="C101" t="s">
        <v>919</v>
      </c>
      <c r="D101" t="s">
        <v>515</v>
      </c>
      <c r="F101">
        <v>0</v>
      </c>
      <c r="G101">
        <v>0</v>
      </c>
      <c r="H101">
        <v>4.9972999999999997E-2</v>
      </c>
      <c r="I101">
        <v>0.12850700000000001</v>
      </c>
      <c r="J101">
        <v>0.227355</v>
      </c>
      <c r="K101">
        <v>0.34510600000000002</v>
      </c>
      <c r="L101">
        <v>0.47567100000000001</v>
      </c>
      <c r="M101">
        <v>0.61984499999999998</v>
      </c>
      <c r="N101">
        <v>0.77710699999999999</v>
      </c>
      <c r="O101">
        <v>0.72332300000000005</v>
      </c>
      <c r="P101">
        <v>0.67445299999999997</v>
      </c>
      <c r="Q101">
        <v>0.63134599999999996</v>
      </c>
      <c r="R101">
        <v>0.59302100000000002</v>
      </c>
      <c r="S101">
        <v>0.56109699999999996</v>
      </c>
      <c r="T101">
        <v>0.53418500000000002</v>
      </c>
      <c r="U101">
        <v>0.51141899999999996</v>
      </c>
      <c r="V101">
        <v>0.48934100000000003</v>
      </c>
      <c r="W101">
        <v>0.46598600000000001</v>
      </c>
      <c r="X101">
        <v>0.44024999999999997</v>
      </c>
      <c r="Y101">
        <v>0.41190199999999999</v>
      </c>
      <c r="Z101">
        <v>0.38275100000000001</v>
      </c>
      <c r="AA101">
        <v>0.35326600000000002</v>
      </c>
      <c r="AB101">
        <v>0.32239400000000001</v>
      </c>
      <c r="AC101">
        <v>0.28986200000000001</v>
      </c>
      <c r="AD101">
        <v>0.26128499999999999</v>
      </c>
      <c r="AE101">
        <v>0.236961</v>
      </c>
      <c r="AF101">
        <v>0.216391</v>
      </c>
      <c r="AG101" t="s">
        <v>111</v>
      </c>
    </row>
    <row r="102" spans="1:33" x14ac:dyDescent="0.75">
      <c r="A102" t="s">
        <v>182</v>
      </c>
      <c r="B102" t="s">
        <v>918</v>
      </c>
      <c r="C102" t="s">
        <v>917</v>
      </c>
      <c r="D102" t="s">
        <v>515</v>
      </c>
      <c r="F102">
        <v>0</v>
      </c>
      <c r="G102">
        <v>0.115331</v>
      </c>
      <c r="H102">
        <v>0.231573</v>
      </c>
      <c r="I102">
        <v>0.27211000000000002</v>
      </c>
      <c r="J102">
        <v>0.25937199999999999</v>
      </c>
      <c r="K102">
        <v>0.23771500000000001</v>
      </c>
      <c r="L102">
        <v>0.21748300000000001</v>
      </c>
      <c r="M102">
        <v>0.19966</v>
      </c>
      <c r="N102">
        <v>0.18464700000000001</v>
      </c>
      <c r="O102">
        <v>0.17038800000000001</v>
      </c>
      <c r="P102">
        <v>0.157113</v>
      </c>
      <c r="Q102">
        <v>0.144426</v>
      </c>
      <c r="R102">
        <v>0.133132</v>
      </c>
      <c r="S102">
        <v>0.12199</v>
      </c>
      <c r="T102">
        <v>0.11172899999999999</v>
      </c>
      <c r="U102">
        <v>0.10259</v>
      </c>
      <c r="V102">
        <v>9.4766000000000003E-2</v>
      </c>
      <c r="W102">
        <v>8.7656999999999999E-2</v>
      </c>
      <c r="X102">
        <v>8.0437999999999996E-2</v>
      </c>
      <c r="Y102">
        <v>7.3296E-2</v>
      </c>
      <c r="Z102">
        <v>6.6423999999999997E-2</v>
      </c>
      <c r="AA102">
        <v>6.1006999999999999E-2</v>
      </c>
      <c r="AB102">
        <v>5.67E-2</v>
      </c>
      <c r="AC102">
        <v>5.3085E-2</v>
      </c>
      <c r="AD102">
        <v>4.9660999999999997E-2</v>
      </c>
      <c r="AE102">
        <v>4.6268999999999998E-2</v>
      </c>
      <c r="AF102">
        <v>4.3032000000000001E-2</v>
      </c>
      <c r="AG102" t="s">
        <v>111</v>
      </c>
    </row>
    <row r="103" spans="1:33" x14ac:dyDescent="0.75">
      <c r="A103" t="s">
        <v>139</v>
      </c>
      <c r="B103" t="s">
        <v>916</v>
      </c>
      <c r="C103" t="s">
        <v>915</v>
      </c>
      <c r="D103" t="s">
        <v>515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111</v>
      </c>
    </row>
    <row r="104" spans="1:33" x14ac:dyDescent="0.75">
      <c r="A104" t="s">
        <v>174</v>
      </c>
      <c r="B104" t="s">
        <v>914</v>
      </c>
      <c r="C104" t="s">
        <v>913</v>
      </c>
      <c r="D104" t="s">
        <v>515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111</v>
      </c>
    </row>
    <row r="105" spans="1:33" x14ac:dyDescent="0.75">
      <c r="A105" t="s">
        <v>171</v>
      </c>
      <c r="B105" t="s">
        <v>912</v>
      </c>
      <c r="C105" t="s">
        <v>911</v>
      </c>
      <c r="D105" t="s">
        <v>515</v>
      </c>
      <c r="F105">
        <v>0</v>
      </c>
      <c r="G105">
        <v>1.7782450000000001</v>
      </c>
      <c r="H105">
        <v>4.4268890000000001</v>
      </c>
      <c r="I105">
        <v>7.9077299999999999</v>
      </c>
      <c r="J105">
        <v>16.650454</v>
      </c>
      <c r="K105">
        <v>31.569614000000001</v>
      </c>
      <c r="L105">
        <v>52.609603999999997</v>
      </c>
      <c r="M105">
        <v>79.233017000000004</v>
      </c>
      <c r="N105">
        <v>111.403603</v>
      </c>
      <c r="O105">
        <v>147.695572</v>
      </c>
      <c r="P105">
        <v>186.81852699999999</v>
      </c>
      <c r="Q105">
        <v>227.513092</v>
      </c>
      <c r="R105">
        <v>269.02273600000001</v>
      </c>
      <c r="S105">
        <v>310.82708700000001</v>
      </c>
      <c r="T105">
        <v>353.50161700000001</v>
      </c>
      <c r="U105">
        <v>396.58743299999998</v>
      </c>
      <c r="V105">
        <v>438.75372299999998</v>
      </c>
      <c r="W105">
        <v>478.78259300000002</v>
      </c>
      <c r="X105">
        <v>516.66064500000005</v>
      </c>
      <c r="Y105">
        <v>551.88549799999998</v>
      </c>
      <c r="Z105">
        <v>584.66101100000003</v>
      </c>
      <c r="AA105">
        <v>615.79736300000002</v>
      </c>
      <c r="AB105">
        <v>644.87817399999994</v>
      </c>
      <c r="AC105">
        <v>674.08685300000002</v>
      </c>
      <c r="AD105">
        <v>701.07702600000005</v>
      </c>
      <c r="AE105">
        <v>725.72454800000003</v>
      </c>
      <c r="AF105">
        <v>747.80249000000003</v>
      </c>
      <c r="AG105" t="s">
        <v>111</v>
      </c>
    </row>
    <row r="106" spans="1:33" x14ac:dyDescent="0.75">
      <c r="A106" t="s">
        <v>168</v>
      </c>
      <c r="B106" t="s">
        <v>910</v>
      </c>
      <c r="C106" t="s">
        <v>909</v>
      </c>
      <c r="D106" t="s">
        <v>515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111</v>
      </c>
    </row>
    <row r="107" spans="1:33" x14ac:dyDescent="0.75">
      <c r="A107" t="s">
        <v>908</v>
      </c>
      <c r="B107" t="s">
        <v>907</v>
      </c>
      <c r="C107" t="s">
        <v>906</v>
      </c>
      <c r="D107" t="s">
        <v>515</v>
      </c>
      <c r="F107">
        <v>6005.1274409999996</v>
      </c>
      <c r="G107">
        <v>6058.6044920000004</v>
      </c>
      <c r="H107">
        <v>6062.5385740000002</v>
      </c>
      <c r="I107">
        <v>6052.2592770000001</v>
      </c>
      <c r="J107">
        <v>6018.6591799999997</v>
      </c>
      <c r="K107">
        <v>5988.8334960000002</v>
      </c>
      <c r="L107">
        <v>5960.1040039999998</v>
      </c>
      <c r="M107">
        <v>5923.4521480000003</v>
      </c>
      <c r="N107">
        <v>5889.1645509999998</v>
      </c>
      <c r="O107">
        <v>5851.3164059999999</v>
      </c>
      <c r="P107">
        <v>5821.8344729999999</v>
      </c>
      <c r="Q107">
        <v>5796.4619140000004</v>
      </c>
      <c r="R107">
        <v>5783.0546880000002</v>
      </c>
      <c r="S107">
        <v>5777.6264650000003</v>
      </c>
      <c r="T107">
        <v>5775.5551759999998</v>
      </c>
      <c r="U107">
        <v>5770.4799800000001</v>
      </c>
      <c r="V107">
        <v>5770.5864259999998</v>
      </c>
      <c r="W107">
        <v>5771.0493159999996</v>
      </c>
      <c r="X107">
        <v>5774.9580079999996</v>
      </c>
      <c r="Y107">
        <v>5776.5678710000002</v>
      </c>
      <c r="Z107">
        <v>5777.7348629999997</v>
      </c>
      <c r="AA107">
        <v>5784.5034180000002</v>
      </c>
      <c r="AB107">
        <v>5789.7714839999999</v>
      </c>
      <c r="AC107">
        <v>5816.3671880000002</v>
      </c>
      <c r="AD107">
        <v>5843.7641599999997</v>
      </c>
      <c r="AE107">
        <v>5867.5698240000002</v>
      </c>
      <c r="AF107">
        <v>5884.5581050000001</v>
      </c>
      <c r="AG107" s="71">
        <v>-1E-3</v>
      </c>
    </row>
    <row r="108" spans="1:33" x14ac:dyDescent="0.75">
      <c r="A108" t="s">
        <v>742</v>
      </c>
    </row>
    <row r="109" spans="1:33" x14ac:dyDescent="0.75">
      <c r="A109" t="s">
        <v>653</v>
      </c>
    </row>
    <row r="110" spans="1:33" x14ac:dyDescent="0.75">
      <c r="A110" t="s">
        <v>196</v>
      </c>
      <c r="B110" t="s">
        <v>905</v>
      </c>
      <c r="C110" t="s">
        <v>904</v>
      </c>
      <c r="D110" t="s">
        <v>661</v>
      </c>
      <c r="F110">
        <v>13.922707000000001</v>
      </c>
      <c r="G110">
        <v>13.995139999999999</v>
      </c>
      <c r="H110">
        <v>14.083459</v>
      </c>
      <c r="I110">
        <v>14.181444000000001</v>
      </c>
      <c r="J110">
        <v>14.293834</v>
      </c>
      <c r="K110">
        <v>14.38857</v>
      </c>
      <c r="L110">
        <v>14.476728</v>
      </c>
      <c r="M110">
        <v>14.555897</v>
      </c>
      <c r="N110">
        <v>14.630239</v>
      </c>
      <c r="O110">
        <v>14.699897999999999</v>
      </c>
      <c r="P110">
        <v>14.765326</v>
      </c>
      <c r="Q110">
        <v>14.825015</v>
      </c>
      <c r="R110">
        <v>14.879754999999999</v>
      </c>
      <c r="S110">
        <v>14.931191999999999</v>
      </c>
      <c r="T110">
        <v>14.984135999999999</v>
      </c>
      <c r="U110">
        <v>15.034584000000001</v>
      </c>
      <c r="V110">
        <v>15.082407999999999</v>
      </c>
      <c r="W110">
        <v>15.126908</v>
      </c>
      <c r="X110">
        <v>15.167199</v>
      </c>
      <c r="Y110">
        <v>15.202306999999999</v>
      </c>
      <c r="Z110">
        <v>15.240062</v>
      </c>
      <c r="AA110">
        <v>15.278491000000001</v>
      </c>
      <c r="AB110">
        <v>15.314698</v>
      </c>
      <c r="AC110">
        <v>15.350427</v>
      </c>
      <c r="AD110">
        <v>15.386863</v>
      </c>
      <c r="AE110">
        <v>15.426907999999999</v>
      </c>
      <c r="AF110">
        <v>15.474148</v>
      </c>
      <c r="AG110" s="71">
        <v>4.0000000000000001E-3</v>
      </c>
    </row>
    <row r="111" spans="1:33" x14ac:dyDescent="0.75">
      <c r="A111" t="s">
        <v>199</v>
      </c>
      <c r="B111" t="s">
        <v>903</v>
      </c>
      <c r="C111" t="s">
        <v>902</v>
      </c>
      <c r="D111" t="s">
        <v>664</v>
      </c>
      <c r="F111">
        <v>11.270543999999999</v>
      </c>
      <c r="G111">
        <v>11.409352999999999</v>
      </c>
      <c r="H111">
        <v>11.538529</v>
      </c>
      <c r="I111">
        <v>11.656753</v>
      </c>
      <c r="J111">
        <v>11.771490999999999</v>
      </c>
      <c r="K111">
        <v>11.863529</v>
      </c>
      <c r="L111">
        <v>11.945356</v>
      </c>
      <c r="M111">
        <v>12.01674</v>
      </c>
      <c r="N111">
        <v>12.080651</v>
      </c>
      <c r="O111">
        <v>12.137786999999999</v>
      </c>
      <c r="P111">
        <v>12.189059</v>
      </c>
      <c r="Q111">
        <v>12.235332</v>
      </c>
      <c r="R111">
        <v>12.2768</v>
      </c>
      <c r="S111">
        <v>12.314057999999999</v>
      </c>
      <c r="T111">
        <v>12.349204</v>
      </c>
      <c r="U111">
        <v>12.382721</v>
      </c>
      <c r="V111">
        <v>12.413944000000001</v>
      </c>
      <c r="W111">
        <v>12.444386</v>
      </c>
      <c r="X111">
        <v>12.473788000000001</v>
      </c>
      <c r="Y111">
        <v>12.501901</v>
      </c>
      <c r="Z111">
        <v>12.530419999999999</v>
      </c>
      <c r="AA111">
        <v>12.558555999999999</v>
      </c>
      <c r="AB111">
        <v>12.586591</v>
      </c>
      <c r="AC111">
        <v>12.615855</v>
      </c>
      <c r="AD111">
        <v>12.647904</v>
      </c>
      <c r="AE111">
        <v>12.682796</v>
      </c>
      <c r="AF111">
        <v>12.720029</v>
      </c>
      <c r="AG111" s="71">
        <v>5.0000000000000001E-3</v>
      </c>
    </row>
    <row r="112" spans="1:33" x14ac:dyDescent="0.75">
      <c r="A112" t="s">
        <v>193</v>
      </c>
      <c r="B112" t="s">
        <v>901</v>
      </c>
      <c r="C112" t="s">
        <v>900</v>
      </c>
      <c r="D112" t="s">
        <v>664</v>
      </c>
      <c r="F112">
        <v>9.2423020000000005</v>
      </c>
      <c r="G112">
        <v>9.4532989999999995</v>
      </c>
      <c r="H112">
        <v>9.6632979999999993</v>
      </c>
      <c r="I112">
        <v>9.8595740000000003</v>
      </c>
      <c r="J112">
        <v>10.033324</v>
      </c>
      <c r="K112">
        <v>10.184858</v>
      </c>
      <c r="L112">
        <v>10.326045000000001</v>
      </c>
      <c r="M112">
        <v>10.45519</v>
      </c>
      <c r="N112">
        <v>10.576914</v>
      </c>
      <c r="O112">
        <v>10.765653</v>
      </c>
      <c r="P112">
        <v>10.988288000000001</v>
      </c>
      <c r="Q112">
        <v>11.18052</v>
      </c>
      <c r="R112">
        <v>11.338896</v>
      </c>
      <c r="S112">
        <v>11.467409999999999</v>
      </c>
      <c r="T112">
        <v>11.571596</v>
      </c>
      <c r="U112">
        <v>11.657355000000001</v>
      </c>
      <c r="V112">
        <v>11.728928</v>
      </c>
      <c r="W112">
        <v>11.789823999999999</v>
      </c>
      <c r="X112">
        <v>11.842496000000001</v>
      </c>
      <c r="Y112">
        <v>11.888781</v>
      </c>
      <c r="Z112">
        <v>11.930044000000001</v>
      </c>
      <c r="AA112">
        <v>11.967499</v>
      </c>
      <c r="AB112">
        <v>12.001614999999999</v>
      </c>
      <c r="AC112">
        <v>12.032393000000001</v>
      </c>
      <c r="AD112">
        <v>12.060304</v>
      </c>
      <c r="AE112">
        <v>12.085634000000001</v>
      </c>
      <c r="AF112">
        <v>12.108743</v>
      </c>
      <c r="AG112" s="71">
        <v>0.01</v>
      </c>
    </row>
    <row r="113" spans="1:33" x14ac:dyDescent="0.75">
      <c r="A113" t="s">
        <v>190</v>
      </c>
      <c r="B113" t="s">
        <v>899</v>
      </c>
      <c r="C113" t="s">
        <v>898</v>
      </c>
      <c r="D113" t="s">
        <v>664</v>
      </c>
      <c r="F113">
        <v>10.79466</v>
      </c>
      <c r="G113">
        <v>10.920845</v>
      </c>
      <c r="H113">
        <v>10.982545999999999</v>
      </c>
      <c r="I113">
        <v>11.040056</v>
      </c>
      <c r="J113">
        <v>11.1477</v>
      </c>
      <c r="K113">
        <v>11.218605</v>
      </c>
      <c r="L113">
        <v>11.282717</v>
      </c>
      <c r="M113">
        <v>11.33933</v>
      </c>
      <c r="N113">
        <v>11.394833</v>
      </c>
      <c r="O113">
        <v>11.443618000000001</v>
      </c>
      <c r="P113">
        <v>11.49808</v>
      </c>
      <c r="Q113">
        <v>11.559828</v>
      </c>
      <c r="R113">
        <v>11.62152</v>
      </c>
      <c r="S113">
        <v>11.682252</v>
      </c>
      <c r="T113">
        <v>11.742834</v>
      </c>
      <c r="U113">
        <v>11.794235</v>
      </c>
      <c r="V113">
        <v>11.839415000000001</v>
      </c>
      <c r="W113">
        <v>11.878601</v>
      </c>
      <c r="X113">
        <v>11.910233</v>
      </c>
      <c r="Y113">
        <v>11.934759</v>
      </c>
      <c r="Z113">
        <v>11.953211</v>
      </c>
      <c r="AA113">
        <v>11.967457</v>
      </c>
      <c r="AB113">
        <v>11.978687000000001</v>
      </c>
      <c r="AC113">
        <v>11.987667999999999</v>
      </c>
      <c r="AD113">
        <v>11.994937999999999</v>
      </c>
      <c r="AE113">
        <v>12.000684</v>
      </c>
      <c r="AF113">
        <v>12.005663</v>
      </c>
      <c r="AG113" s="71">
        <v>4.0000000000000001E-3</v>
      </c>
    </row>
    <row r="114" spans="1:33" x14ac:dyDescent="0.75">
      <c r="A114" t="s">
        <v>187</v>
      </c>
      <c r="B114" t="s">
        <v>897</v>
      </c>
      <c r="C114" t="s">
        <v>896</v>
      </c>
      <c r="D114" t="s">
        <v>664</v>
      </c>
      <c r="F114">
        <v>10.010496</v>
      </c>
      <c r="G114">
        <v>10.00788</v>
      </c>
      <c r="H114">
        <v>10.005171000000001</v>
      </c>
      <c r="I114">
        <v>10.003261999999999</v>
      </c>
      <c r="J114">
        <v>10.001704999999999</v>
      </c>
      <c r="K114">
        <v>10.001531</v>
      </c>
      <c r="L114">
        <v>10.001868999999999</v>
      </c>
      <c r="M114">
        <v>10.002848999999999</v>
      </c>
      <c r="N114">
        <v>10.00376</v>
      </c>
      <c r="O114">
        <v>10.002958</v>
      </c>
      <c r="P114">
        <v>10.000252</v>
      </c>
      <c r="Q114">
        <v>9.9956479999999992</v>
      </c>
      <c r="R114">
        <v>9.9909009999999991</v>
      </c>
      <c r="S114">
        <v>9.9880270000000007</v>
      </c>
      <c r="T114">
        <v>9.9886970000000002</v>
      </c>
      <c r="U114">
        <v>9.9905819999999999</v>
      </c>
      <c r="V114">
        <v>9.9933890000000005</v>
      </c>
      <c r="W114">
        <v>9.9956650000000007</v>
      </c>
      <c r="X114">
        <v>9.9976199999999995</v>
      </c>
      <c r="Y114">
        <v>9.9996279999999995</v>
      </c>
      <c r="Z114">
        <v>10.001576</v>
      </c>
      <c r="AA114">
        <v>9.9996310000000008</v>
      </c>
      <c r="AB114">
        <v>9.9868240000000004</v>
      </c>
      <c r="AC114">
        <v>9.9634610000000006</v>
      </c>
      <c r="AD114">
        <v>9.9343210000000006</v>
      </c>
      <c r="AE114">
        <v>9.9217340000000007</v>
      </c>
      <c r="AF114">
        <v>9.9377790000000008</v>
      </c>
      <c r="AG114" s="71">
        <v>0</v>
      </c>
    </row>
    <row r="115" spans="1:33" x14ac:dyDescent="0.75">
      <c r="A115" t="s">
        <v>135</v>
      </c>
      <c r="B115" t="s">
        <v>895</v>
      </c>
      <c r="C115" t="s">
        <v>894</v>
      </c>
      <c r="D115" t="s">
        <v>661</v>
      </c>
      <c r="F115">
        <v>41.381866000000002</v>
      </c>
      <c r="G115">
        <v>41.703876000000001</v>
      </c>
      <c r="H115">
        <v>41.883159999999997</v>
      </c>
      <c r="I115">
        <v>41.993983999999998</v>
      </c>
      <c r="J115">
        <v>42.076790000000003</v>
      </c>
      <c r="K115">
        <v>42.135531999999998</v>
      </c>
      <c r="L115">
        <v>42.180328000000003</v>
      </c>
      <c r="M115">
        <v>42.241095999999999</v>
      </c>
      <c r="N115">
        <v>42.292721</v>
      </c>
      <c r="O115">
        <v>42.319889000000003</v>
      </c>
      <c r="P115">
        <v>42.341545000000004</v>
      </c>
      <c r="Q115">
        <v>42.357627999999998</v>
      </c>
      <c r="R115">
        <v>42.367283</v>
      </c>
      <c r="S115">
        <v>42.372826000000003</v>
      </c>
      <c r="T115">
        <v>42.375796999999999</v>
      </c>
      <c r="U115">
        <v>42.377429999999997</v>
      </c>
      <c r="V115">
        <v>42.378261999999999</v>
      </c>
      <c r="W115">
        <v>42.378647000000001</v>
      </c>
      <c r="X115">
        <v>42.378807000000002</v>
      </c>
      <c r="Y115">
        <v>42.378898999999997</v>
      </c>
      <c r="Z115">
        <v>42.378914000000002</v>
      </c>
      <c r="AA115">
        <v>42.378886999999999</v>
      </c>
      <c r="AB115">
        <v>42.380459000000002</v>
      </c>
      <c r="AC115">
        <v>42.38456</v>
      </c>
      <c r="AD115">
        <v>42.392181000000001</v>
      </c>
      <c r="AE115">
        <v>42.407435999999997</v>
      </c>
      <c r="AF115">
        <v>42.430264000000001</v>
      </c>
      <c r="AG115" s="71">
        <v>1E-3</v>
      </c>
    </row>
    <row r="116" spans="1:33" x14ac:dyDescent="0.75">
      <c r="A116" t="s">
        <v>179</v>
      </c>
      <c r="B116" t="s">
        <v>893</v>
      </c>
      <c r="C116" t="s">
        <v>892</v>
      </c>
      <c r="D116" t="s">
        <v>661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111</v>
      </c>
    </row>
    <row r="117" spans="1:33" x14ac:dyDescent="0.75">
      <c r="A117" t="s">
        <v>182</v>
      </c>
      <c r="B117" t="s">
        <v>891</v>
      </c>
      <c r="C117" t="s">
        <v>890</v>
      </c>
      <c r="D117" t="s">
        <v>664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111</v>
      </c>
    </row>
    <row r="118" spans="1:33" x14ac:dyDescent="0.75">
      <c r="A118" t="s">
        <v>139</v>
      </c>
      <c r="B118" t="s">
        <v>889</v>
      </c>
      <c r="C118" t="s">
        <v>888</v>
      </c>
      <c r="D118" t="s">
        <v>661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111</v>
      </c>
    </row>
    <row r="119" spans="1:33" x14ac:dyDescent="0.75">
      <c r="A119" t="s">
        <v>174</v>
      </c>
      <c r="B119" t="s">
        <v>887</v>
      </c>
      <c r="C119" t="s">
        <v>886</v>
      </c>
      <c r="D119" t="s">
        <v>661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111</v>
      </c>
    </row>
    <row r="120" spans="1:33" x14ac:dyDescent="0.75">
      <c r="A120" t="s">
        <v>171</v>
      </c>
      <c r="B120" t="s">
        <v>885</v>
      </c>
      <c r="C120" t="s">
        <v>884</v>
      </c>
      <c r="D120" t="s">
        <v>664</v>
      </c>
      <c r="F120">
        <v>0</v>
      </c>
      <c r="G120">
        <v>14.326266</v>
      </c>
      <c r="H120">
        <v>14.330572999999999</v>
      </c>
      <c r="I120">
        <v>14.341824000000001</v>
      </c>
      <c r="J120">
        <v>14.40915</v>
      </c>
      <c r="K120">
        <v>14.392595999999999</v>
      </c>
      <c r="L120">
        <v>14.412682999999999</v>
      </c>
      <c r="M120">
        <v>14.456479</v>
      </c>
      <c r="N120">
        <v>14.518309</v>
      </c>
      <c r="O120">
        <v>14.599339000000001</v>
      </c>
      <c r="P120">
        <v>14.700199</v>
      </c>
      <c r="Q120">
        <v>14.795714</v>
      </c>
      <c r="R120">
        <v>14.882458</v>
      </c>
      <c r="S120">
        <v>14.958017999999999</v>
      </c>
      <c r="T120">
        <v>15.022192</v>
      </c>
      <c r="U120">
        <v>15.074443</v>
      </c>
      <c r="V120">
        <v>15.115707</v>
      </c>
      <c r="W120">
        <v>15.148602</v>
      </c>
      <c r="X120">
        <v>15.175196</v>
      </c>
      <c r="Y120">
        <v>15.196916</v>
      </c>
      <c r="Z120">
        <v>15.214817999999999</v>
      </c>
      <c r="AA120">
        <v>15.229673</v>
      </c>
      <c r="AB120">
        <v>15.241925</v>
      </c>
      <c r="AC120">
        <v>15.251994</v>
      </c>
      <c r="AD120">
        <v>15.260142</v>
      </c>
      <c r="AE120">
        <v>15.266747000000001</v>
      </c>
      <c r="AF120">
        <v>15.272197999999999</v>
      </c>
      <c r="AG120" t="s">
        <v>111</v>
      </c>
    </row>
    <row r="121" spans="1:33" x14ac:dyDescent="0.75">
      <c r="A121" t="s">
        <v>168</v>
      </c>
      <c r="B121" t="s">
        <v>883</v>
      </c>
      <c r="C121" t="s">
        <v>882</v>
      </c>
      <c r="D121" t="s">
        <v>661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111</v>
      </c>
    </row>
    <row r="122" spans="1:33" x14ac:dyDescent="0.75">
      <c r="A122" t="s">
        <v>717</v>
      </c>
      <c r="B122" t="s">
        <v>881</v>
      </c>
      <c r="C122" t="s">
        <v>880</v>
      </c>
      <c r="F122">
        <v>12.831079000000001</v>
      </c>
      <c r="G122">
        <v>12.901629</v>
      </c>
      <c r="H122">
        <v>12.979244</v>
      </c>
      <c r="I122">
        <v>13.060256000000001</v>
      </c>
      <c r="J122">
        <v>13.160561</v>
      </c>
      <c r="K122">
        <v>13.250387</v>
      </c>
      <c r="L122">
        <v>13.341866</v>
      </c>
      <c r="M122">
        <v>13.437830999999999</v>
      </c>
      <c r="N122">
        <v>13.541937000000001</v>
      </c>
      <c r="O122">
        <v>13.647505000000001</v>
      </c>
      <c r="P122">
        <v>13.762563</v>
      </c>
      <c r="Q122">
        <v>13.886763</v>
      </c>
      <c r="R122">
        <v>14.018940000000001</v>
      </c>
      <c r="S122">
        <v>14.155526999999999</v>
      </c>
      <c r="T122">
        <v>14.300395</v>
      </c>
      <c r="U122">
        <v>14.452030000000001</v>
      </c>
      <c r="V122">
        <v>14.607469</v>
      </c>
      <c r="W122">
        <v>14.773649000000001</v>
      </c>
      <c r="X122">
        <v>14.947186</v>
      </c>
      <c r="Y122">
        <v>15.126486999999999</v>
      </c>
      <c r="Z122">
        <v>15.302503</v>
      </c>
      <c r="AA122">
        <v>15.47659</v>
      </c>
      <c r="AB122">
        <v>15.647549</v>
      </c>
      <c r="AC122">
        <v>15.819523999999999</v>
      </c>
      <c r="AD122">
        <v>15.992418000000001</v>
      </c>
      <c r="AE122">
        <v>16.163097</v>
      </c>
      <c r="AF122">
        <v>16.331121</v>
      </c>
      <c r="AG122" s="71">
        <v>8.9999999999999993E-3</v>
      </c>
    </row>
    <row r="123" spans="1:33" x14ac:dyDescent="0.75">
      <c r="A123" t="s">
        <v>625</v>
      </c>
    </row>
    <row r="124" spans="1:33" x14ac:dyDescent="0.75">
      <c r="A124" t="s">
        <v>196</v>
      </c>
      <c r="B124" t="s">
        <v>879</v>
      </c>
      <c r="C124" t="s">
        <v>878</v>
      </c>
      <c r="D124" t="s">
        <v>661</v>
      </c>
      <c r="F124">
        <v>8.9978890000000007</v>
      </c>
      <c r="G124">
        <v>9.0829520000000006</v>
      </c>
      <c r="H124">
        <v>9.1856989999999996</v>
      </c>
      <c r="I124">
        <v>9.302251</v>
      </c>
      <c r="J124">
        <v>9.4243500000000004</v>
      </c>
      <c r="K124">
        <v>9.5493419999999993</v>
      </c>
      <c r="L124">
        <v>9.6778139999999997</v>
      </c>
      <c r="M124">
        <v>9.8073920000000001</v>
      </c>
      <c r="N124">
        <v>9.9367000000000001</v>
      </c>
      <c r="O124">
        <v>10.064192</v>
      </c>
      <c r="P124">
        <v>10.185987000000001</v>
      </c>
      <c r="Q124">
        <v>10.298703</v>
      </c>
      <c r="R124">
        <v>10.397989000000001</v>
      </c>
      <c r="S124">
        <v>10.485415</v>
      </c>
      <c r="T124">
        <v>10.563262</v>
      </c>
      <c r="U124">
        <v>10.632419000000001</v>
      </c>
      <c r="V124">
        <v>10.694361000000001</v>
      </c>
      <c r="W124">
        <v>10.750007999999999</v>
      </c>
      <c r="X124">
        <v>10.79853</v>
      </c>
      <c r="Y124">
        <v>10.838488</v>
      </c>
      <c r="Z124">
        <v>10.87189</v>
      </c>
      <c r="AA124">
        <v>10.900912</v>
      </c>
      <c r="AB124">
        <v>10.927300000000001</v>
      </c>
      <c r="AC124">
        <v>10.951186</v>
      </c>
      <c r="AD124">
        <v>10.973481</v>
      </c>
      <c r="AE124">
        <v>10.994838</v>
      </c>
      <c r="AF124">
        <v>11.015133000000001</v>
      </c>
      <c r="AG124" s="71">
        <v>8.0000000000000002E-3</v>
      </c>
    </row>
    <row r="125" spans="1:33" x14ac:dyDescent="0.75">
      <c r="A125" t="s">
        <v>199</v>
      </c>
      <c r="B125" t="s">
        <v>877</v>
      </c>
      <c r="C125" t="s">
        <v>876</v>
      </c>
      <c r="D125" t="s">
        <v>664</v>
      </c>
      <c r="F125">
        <v>8.592568</v>
      </c>
      <c r="G125">
        <v>8.606071</v>
      </c>
      <c r="H125">
        <v>8.6407279999999993</v>
      </c>
      <c r="I125">
        <v>8.6937289999999994</v>
      </c>
      <c r="J125">
        <v>8.7579480000000007</v>
      </c>
      <c r="K125">
        <v>8.8303630000000002</v>
      </c>
      <c r="L125">
        <v>8.9090279999999993</v>
      </c>
      <c r="M125">
        <v>8.9910139999999998</v>
      </c>
      <c r="N125">
        <v>9.0732940000000006</v>
      </c>
      <c r="O125">
        <v>9.1533490000000004</v>
      </c>
      <c r="P125">
        <v>9.2273899999999998</v>
      </c>
      <c r="Q125">
        <v>9.2924640000000007</v>
      </c>
      <c r="R125">
        <v>9.3458290000000002</v>
      </c>
      <c r="S125">
        <v>9.3894179999999992</v>
      </c>
      <c r="T125">
        <v>9.426107</v>
      </c>
      <c r="U125">
        <v>9.4564690000000002</v>
      </c>
      <c r="V125">
        <v>9.4821089999999995</v>
      </c>
      <c r="W125">
        <v>9.5037509999999994</v>
      </c>
      <c r="X125">
        <v>9.5213079999999994</v>
      </c>
      <c r="Y125">
        <v>9.5352370000000004</v>
      </c>
      <c r="Z125">
        <v>9.5466929999999994</v>
      </c>
      <c r="AA125">
        <v>9.5570179999999993</v>
      </c>
      <c r="AB125">
        <v>9.5671199999999992</v>
      </c>
      <c r="AC125">
        <v>9.5762730000000005</v>
      </c>
      <c r="AD125">
        <v>9.5845059999999993</v>
      </c>
      <c r="AE125">
        <v>9.5920339999999999</v>
      </c>
      <c r="AF125">
        <v>9.5997579999999996</v>
      </c>
      <c r="AG125" s="71">
        <v>4.0000000000000001E-3</v>
      </c>
    </row>
    <row r="126" spans="1:33" x14ac:dyDescent="0.75">
      <c r="A126" t="s">
        <v>193</v>
      </c>
      <c r="B126" t="s">
        <v>875</v>
      </c>
      <c r="C126" t="s">
        <v>874</v>
      </c>
      <c r="D126" t="s">
        <v>664</v>
      </c>
      <c r="F126">
        <v>6.8220650000000003</v>
      </c>
      <c r="G126">
        <v>6.8356219999999999</v>
      </c>
      <c r="H126">
        <v>6.8474570000000003</v>
      </c>
      <c r="I126">
        <v>6.8590809999999998</v>
      </c>
      <c r="J126">
        <v>6.8706709999999998</v>
      </c>
      <c r="K126">
        <v>6.8888879999999997</v>
      </c>
      <c r="L126">
        <v>6.9028039999999997</v>
      </c>
      <c r="M126">
        <v>6.9194360000000001</v>
      </c>
      <c r="N126">
        <v>6.9374929999999999</v>
      </c>
      <c r="O126">
        <v>6.9537370000000003</v>
      </c>
      <c r="P126">
        <v>6.9632969999999998</v>
      </c>
      <c r="Q126">
        <v>6.9714309999999999</v>
      </c>
      <c r="R126">
        <v>6.9840410000000004</v>
      </c>
      <c r="S126">
        <v>6.9995570000000003</v>
      </c>
      <c r="T126">
        <v>7.0186469999999996</v>
      </c>
      <c r="U126">
        <v>7.0403880000000001</v>
      </c>
      <c r="V126">
        <v>7.0628229999999999</v>
      </c>
      <c r="W126">
        <v>7.0873840000000001</v>
      </c>
      <c r="X126">
        <v>7.1132809999999997</v>
      </c>
      <c r="Y126">
        <v>7.1400220000000001</v>
      </c>
      <c r="Z126">
        <v>7.1690750000000003</v>
      </c>
      <c r="AA126">
        <v>7.192005</v>
      </c>
      <c r="AB126">
        <v>7.2187939999999999</v>
      </c>
      <c r="AC126">
        <v>7.2469020000000004</v>
      </c>
      <c r="AD126">
        <v>7.3173399999999997</v>
      </c>
      <c r="AE126">
        <v>7.4649669999999997</v>
      </c>
      <c r="AF126">
        <v>7.6597530000000003</v>
      </c>
      <c r="AG126" s="71">
        <v>4.0000000000000001E-3</v>
      </c>
    </row>
    <row r="127" spans="1:33" x14ac:dyDescent="0.75">
      <c r="A127" t="s">
        <v>190</v>
      </c>
      <c r="B127" t="s">
        <v>873</v>
      </c>
      <c r="C127" t="s">
        <v>872</v>
      </c>
      <c r="D127" t="s">
        <v>664</v>
      </c>
      <c r="F127">
        <v>6.9587450000000004</v>
      </c>
      <c r="G127">
        <v>7.1005240000000001</v>
      </c>
      <c r="H127">
        <v>7.2395759999999996</v>
      </c>
      <c r="I127">
        <v>7.3705959999999999</v>
      </c>
      <c r="J127">
        <v>7.4949719999999997</v>
      </c>
      <c r="K127">
        <v>7.6142539999999999</v>
      </c>
      <c r="L127">
        <v>7.7296529999999999</v>
      </c>
      <c r="M127">
        <v>7.8412980000000001</v>
      </c>
      <c r="N127">
        <v>7.9508369999999999</v>
      </c>
      <c r="O127">
        <v>8.0574860000000008</v>
      </c>
      <c r="P127">
        <v>8.1595089999999999</v>
      </c>
      <c r="Q127">
        <v>8.2554759999999998</v>
      </c>
      <c r="R127">
        <v>8.3427430000000005</v>
      </c>
      <c r="S127">
        <v>8.4244380000000003</v>
      </c>
      <c r="T127">
        <v>8.4999819999999993</v>
      </c>
      <c r="U127">
        <v>8.5670479999999998</v>
      </c>
      <c r="V127">
        <v>8.6249350000000007</v>
      </c>
      <c r="W127">
        <v>8.6754809999999996</v>
      </c>
      <c r="X127">
        <v>8.7235139999999998</v>
      </c>
      <c r="Y127">
        <v>8.7679089999999995</v>
      </c>
      <c r="Z127">
        <v>8.8069520000000008</v>
      </c>
      <c r="AA127">
        <v>8.8404869999999995</v>
      </c>
      <c r="AB127">
        <v>8.8708639999999992</v>
      </c>
      <c r="AC127">
        <v>8.8994520000000001</v>
      </c>
      <c r="AD127">
        <v>8.9278849999999998</v>
      </c>
      <c r="AE127">
        <v>8.9568460000000005</v>
      </c>
      <c r="AF127">
        <v>8.9833010000000009</v>
      </c>
      <c r="AG127" s="71">
        <v>0.01</v>
      </c>
    </row>
    <row r="128" spans="1:33" x14ac:dyDescent="0.75">
      <c r="A128" t="s">
        <v>187</v>
      </c>
      <c r="B128" t="s">
        <v>871</v>
      </c>
      <c r="C128" t="s">
        <v>870</v>
      </c>
      <c r="D128" t="s">
        <v>704</v>
      </c>
      <c r="F128">
        <v>7.796983</v>
      </c>
      <c r="G128">
        <v>7.7971940000000002</v>
      </c>
      <c r="H128">
        <v>7.7987250000000001</v>
      </c>
      <c r="I128">
        <v>7.801488</v>
      </c>
      <c r="J128">
        <v>7.8042069999999999</v>
      </c>
      <c r="K128">
        <v>7.8062139999999998</v>
      </c>
      <c r="L128">
        <v>7.8079090000000004</v>
      </c>
      <c r="M128">
        <v>7.8093599999999999</v>
      </c>
      <c r="N128">
        <v>7.8103420000000003</v>
      </c>
      <c r="O128">
        <v>7.8079689999999999</v>
      </c>
      <c r="P128">
        <v>7.8039969999999999</v>
      </c>
      <c r="Q128">
        <v>7.8007169999999997</v>
      </c>
      <c r="R128">
        <v>7.797841</v>
      </c>
      <c r="S128">
        <v>7.7953469999999996</v>
      </c>
      <c r="T128">
        <v>7.7935889999999999</v>
      </c>
      <c r="U128">
        <v>7.7924810000000004</v>
      </c>
      <c r="V128">
        <v>7.7928889999999997</v>
      </c>
      <c r="W128">
        <v>7.7937029999999998</v>
      </c>
      <c r="X128">
        <v>7.79474</v>
      </c>
      <c r="Y128">
        <v>7.7960089999999997</v>
      </c>
      <c r="Z128">
        <v>7.7985680000000004</v>
      </c>
      <c r="AA128">
        <v>7.8054160000000001</v>
      </c>
      <c r="AB128">
        <v>7.8220879999999999</v>
      </c>
      <c r="AC128">
        <v>7.8419610000000004</v>
      </c>
      <c r="AD128">
        <v>7.8639159999999997</v>
      </c>
      <c r="AE128">
        <v>7.8818760000000001</v>
      </c>
      <c r="AF128">
        <v>7.8981960000000004</v>
      </c>
      <c r="AG128" s="71">
        <v>0</v>
      </c>
    </row>
    <row r="129" spans="1:33" x14ac:dyDescent="0.75">
      <c r="A129" t="s">
        <v>135</v>
      </c>
      <c r="B129" t="s">
        <v>869</v>
      </c>
      <c r="C129" t="s">
        <v>868</v>
      </c>
      <c r="D129" t="s">
        <v>664</v>
      </c>
      <c r="F129">
        <v>24.166793999999999</v>
      </c>
      <c r="G129">
        <v>23.488609</v>
      </c>
      <c r="H129">
        <v>22.970822999999999</v>
      </c>
      <c r="I129">
        <v>22.584382999999999</v>
      </c>
      <c r="J129">
        <v>22.309833999999999</v>
      </c>
      <c r="K129">
        <v>22.112442000000001</v>
      </c>
      <c r="L129">
        <v>21.974169</v>
      </c>
      <c r="M129">
        <v>21.859919000000001</v>
      </c>
      <c r="N129">
        <v>21.779983999999999</v>
      </c>
      <c r="O129">
        <v>21.717737</v>
      </c>
      <c r="P129">
        <v>21.666831999999999</v>
      </c>
      <c r="Q129">
        <v>21.623701000000001</v>
      </c>
      <c r="R129">
        <v>21.584246</v>
      </c>
      <c r="S129">
        <v>21.556746</v>
      </c>
      <c r="T129">
        <v>21.530912000000001</v>
      </c>
      <c r="U129">
        <v>21.508230000000001</v>
      </c>
      <c r="V129">
        <v>21.486397</v>
      </c>
      <c r="W129">
        <v>21.472149000000002</v>
      </c>
      <c r="X129">
        <v>21.463833000000001</v>
      </c>
      <c r="Y129">
        <v>21.454124</v>
      </c>
      <c r="Z129">
        <v>21.444941</v>
      </c>
      <c r="AA129">
        <v>21.435572000000001</v>
      </c>
      <c r="AB129">
        <v>21.425909000000001</v>
      </c>
      <c r="AC129">
        <v>21.417406</v>
      </c>
      <c r="AD129">
        <v>21.411480000000001</v>
      </c>
      <c r="AE129">
        <v>21.406433</v>
      </c>
      <c r="AF129">
        <v>21.400034000000002</v>
      </c>
      <c r="AG129" s="71">
        <v>-5.0000000000000001E-3</v>
      </c>
    </row>
    <row r="130" spans="1:33" x14ac:dyDescent="0.75">
      <c r="A130" t="s">
        <v>179</v>
      </c>
      <c r="B130" t="s">
        <v>867</v>
      </c>
      <c r="C130" t="s">
        <v>866</v>
      </c>
      <c r="D130" t="s">
        <v>664</v>
      </c>
      <c r="F130">
        <v>0</v>
      </c>
      <c r="G130">
        <v>0</v>
      </c>
      <c r="H130">
        <v>10.021416</v>
      </c>
      <c r="I130">
        <v>10.148141000000001</v>
      </c>
      <c r="J130">
        <v>10.257020000000001</v>
      </c>
      <c r="K130">
        <v>10.35416</v>
      </c>
      <c r="L130">
        <v>10.452347</v>
      </c>
      <c r="M130">
        <v>10.558968</v>
      </c>
      <c r="N130">
        <v>10.672829</v>
      </c>
      <c r="O130">
        <v>10.673995</v>
      </c>
      <c r="P130">
        <v>10.674879000000001</v>
      </c>
      <c r="Q130">
        <v>10.674975999999999</v>
      </c>
      <c r="R130">
        <v>10.675637</v>
      </c>
      <c r="S130">
        <v>10.676446</v>
      </c>
      <c r="T130">
        <v>10.677424999999999</v>
      </c>
      <c r="U130">
        <v>10.678618</v>
      </c>
      <c r="V130">
        <v>10.678158</v>
      </c>
      <c r="W130">
        <v>10.677065000000001</v>
      </c>
      <c r="X130">
        <v>10.675454999999999</v>
      </c>
      <c r="Y130">
        <v>10.674443</v>
      </c>
      <c r="Z130">
        <v>10.674431999999999</v>
      </c>
      <c r="AA130">
        <v>10.676520999999999</v>
      </c>
      <c r="AB130">
        <v>10.680699000000001</v>
      </c>
      <c r="AC130">
        <v>10.681051</v>
      </c>
      <c r="AD130">
        <v>10.679695000000001</v>
      </c>
      <c r="AE130">
        <v>10.677787</v>
      </c>
      <c r="AF130">
        <v>10.675386</v>
      </c>
      <c r="AG130" t="s">
        <v>111</v>
      </c>
    </row>
    <row r="131" spans="1:33" x14ac:dyDescent="0.75">
      <c r="A131" t="s">
        <v>182</v>
      </c>
      <c r="B131" t="s">
        <v>865</v>
      </c>
      <c r="C131" t="s">
        <v>864</v>
      </c>
      <c r="D131" t="s">
        <v>664</v>
      </c>
      <c r="F131">
        <v>0</v>
      </c>
      <c r="G131">
        <v>9.2793500000000009</v>
      </c>
      <c r="H131">
        <v>9.3903090000000002</v>
      </c>
      <c r="I131">
        <v>9.4275889999999993</v>
      </c>
      <c r="J131">
        <v>9.4380749999999995</v>
      </c>
      <c r="K131">
        <v>9.4384440000000005</v>
      </c>
      <c r="L131">
        <v>9.4383389999999991</v>
      </c>
      <c r="M131">
        <v>9.4377980000000008</v>
      </c>
      <c r="N131">
        <v>9.4372070000000008</v>
      </c>
      <c r="O131">
        <v>9.4371589999999994</v>
      </c>
      <c r="P131">
        <v>9.4370309999999993</v>
      </c>
      <c r="Q131">
        <v>9.4372480000000003</v>
      </c>
      <c r="R131">
        <v>9.4374789999999997</v>
      </c>
      <c r="S131">
        <v>9.4374090000000006</v>
      </c>
      <c r="T131">
        <v>9.4373679999999993</v>
      </c>
      <c r="U131">
        <v>9.4368029999999994</v>
      </c>
      <c r="V131">
        <v>9.4368730000000003</v>
      </c>
      <c r="W131">
        <v>9.4382909999999995</v>
      </c>
      <c r="X131">
        <v>9.4389240000000001</v>
      </c>
      <c r="Y131">
        <v>9.4395220000000002</v>
      </c>
      <c r="Z131">
        <v>9.4401240000000008</v>
      </c>
      <c r="AA131">
        <v>9.4384189999999997</v>
      </c>
      <c r="AB131">
        <v>9.4378630000000001</v>
      </c>
      <c r="AC131">
        <v>9.4376599999999993</v>
      </c>
      <c r="AD131">
        <v>9.4378349999999998</v>
      </c>
      <c r="AE131">
        <v>9.4380550000000003</v>
      </c>
      <c r="AF131">
        <v>9.4382800000000007</v>
      </c>
      <c r="AG131" t="s">
        <v>111</v>
      </c>
    </row>
    <row r="132" spans="1:33" x14ac:dyDescent="0.75">
      <c r="A132" t="s">
        <v>139</v>
      </c>
      <c r="B132" t="s">
        <v>863</v>
      </c>
      <c r="C132" t="s">
        <v>862</v>
      </c>
      <c r="D132" t="s">
        <v>664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111</v>
      </c>
    </row>
    <row r="133" spans="1:33" x14ac:dyDescent="0.75">
      <c r="A133" t="s">
        <v>174</v>
      </c>
      <c r="B133" t="s">
        <v>861</v>
      </c>
      <c r="C133" t="s">
        <v>860</v>
      </c>
      <c r="D133" t="s">
        <v>661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111</v>
      </c>
    </row>
    <row r="134" spans="1:33" x14ac:dyDescent="0.75">
      <c r="A134" t="s">
        <v>171</v>
      </c>
      <c r="B134" t="s">
        <v>859</v>
      </c>
      <c r="C134" t="s">
        <v>858</v>
      </c>
      <c r="D134" t="s">
        <v>664</v>
      </c>
      <c r="F134">
        <v>0</v>
      </c>
      <c r="G134">
        <v>9.8621339999999993</v>
      </c>
      <c r="H134">
        <v>9.8833859999999998</v>
      </c>
      <c r="I134">
        <v>9.8984020000000008</v>
      </c>
      <c r="J134">
        <v>9.914415</v>
      </c>
      <c r="K134">
        <v>9.9336549999999999</v>
      </c>
      <c r="L134">
        <v>9.9669659999999993</v>
      </c>
      <c r="M134">
        <v>10.016080000000001</v>
      </c>
      <c r="N134">
        <v>10.069900000000001</v>
      </c>
      <c r="O134">
        <v>10.138522999999999</v>
      </c>
      <c r="P134">
        <v>10.213169000000001</v>
      </c>
      <c r="Q134">
        <v>10.27599</v>
      </c>
      <c r="R134">
        <v>10.324953000000001</v>
      </c>
      <c r="S134">
        <v>10.362147</v>
      </c>
      <c r="T134">
        <v>10.390623</v>
      </c>
      <c r="U134">
        <v>10.412682999999999</v>
      </c>
      <c r="V134">
        <v>10.429790000000001</v>
      </c>
      <c r="W134">
        <v>10.442456999999999</v>
      </c>
      <c r="X134">
        <v>10.452116999999999</v>
      </c>
      <c r="Y134">
        <v>10.459664</v>
      </c>
      <c r="Z134">
        <v>10.465630000000001</v>
      </c>
      <c r="AA134">
        <v>10.470389000000001</v>
      </c>
      <c r="AB134">
        <v>10.474275</v>
      </c>
      <c r="AC134">
        <v>10.47749</v>
      </c>
      <c r="AD134">
        <v>10.480141</v>
      </c>
      <c r="AE134">
        <v>10.482335000000001</v>
      </c>
      <c r="AF134">
        <v>10.484144000000001</v>
      </c>
      <c r="AG134" t="s">
        <v>111</v>
      </c>
    </row>
    <row r="135" spans="1:33" x14ac:dyDescent="0.75">
      <c r="A135" t="s">
        <v>168</v>
      </c>
      <c r="B135" t="s">
        <v>857</v>
      </c>
      <c r="C135" t="s">
        <v>856</v>
      </c>
      <c r="D135" t="s">
        <v>661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111</v>
      </c>
    </row>
    <row r="136" spans="1:33" x14ac:dyDescent="0.75">
      <c r="A136" t="s">
        <v>689</v>
      </c>
      <c r="B136" t="s">
        <v>855</v>
      </c>
      <c r="C136" t="s">
        <v>854</v>
      </c>
      <c r="F136">
        <v>8.8135969999999997</v>
      </c>
      <c r="G136">
        <v>8.8656690000000005</v>
      </c>
      <c r="H136">
        <v>8.9361870000000003</v>
      </c>
      <c r="I136">
        <v>9.0218129999999999</v>
      </c>
      <c r="J136">
        <v>9.1149059999999995</v>
      </c>
      <c r="K136">
        <v>9.2129379999999994</v>
      </c>
      <c r="L136">
        <v>9.3155249999999992</v>
      </c>
      <c r="M136">
        <v>9.4202680000000001</v>
      </c>
      <c r="N136">
        <v>9.5250190000000003</v>
      </c>
      <c r="O136">
        <v>9.6281189999999999</v>
      </c>
      <c r="P136">
        <v>9.7260120000000008</v>
      </c>
      <c r="Q136">
        <v>9.8152310000000007</v>
      </c>
      <c r="R136">
        <v>9.8922919999999994</v>
      </c>
      <c r="S136">
        <v>9.9582700000000006</v>
      </c>
      <c r="T136">
        <v>10.015612000000001</v>
      </c>
      <c r="U136">
        <v>10.064689</v>
      </c>
      <c r="V136">
        <v>10.107037</v>
      </c>
      <c r="W136">
        <v>10.143312</v>
      </c>
      <c r="X136">
        <v>10.173615</v>
      </c>
      <c r="Y136">
        <v>10.198003</v>
      </c>
      <c r="Z136">
        <v>10.217998</v>
      </c>
      <c r="AA136">
        <v>10.235155000000001</v>
      </c>
      <c r="AB136">
        <v>10.250697000000001</v>
      </c>
      <c r="AC136">
        <v>10.264521999999999</v>
      </c>
      <c r="AD136">
        <v>10.276980999999999</v>
      </c>
      <c r="AE136">
        <v>10.288339000000001</v>
      </c>
      <c r="AF136">
        <v>10.299118999999999</v>
      </c>
      <c r="AG136" s="71">
        <v>6.0000000000000001E-3</v>
      </c>
    </row>
    <row r="137" spans="1:33" x14ac:dyDescent="0.75">
      <c r="A137" t="s">
        <v>597</v>
      </c>
    </row>
    <row r="138" spans="1:33" x14ac:dyDescent="0.75">
      <c r="A138" t="s">
        <v>196</v>
      </c>
      <c r="B138" t="s">
        <v>853</v>
      </c>
      <c r="C138" t="s">
        <v>852</v>
      </c>
      <c r="D138" t="s">
        <v>661</v>
      </c>
      <c r="F138">
        <v>6.4481590000000004</v>
      </c>
      <c r="G138">
        <v>6.5237150000000002</v>
      </c>
      <c r="H138">
        <v>6.610277</v>
      </c>
      <c r="I138">
        <v>6.7069049999999999</v>
      </c>
      <c r="J138">
        <v>6.8064679999999997</v>
      </c>
      <c r="K138">
        <v>6.9066099999999997</v>
      </c>
      <c r="L138">
        <v>7.0061400000000003</v>
      </c>
      <c r="M138">
        <v>7.1038860000000001</v>
      </c>
      <c r="N138">
        <v>7.1993840000000002</v>
      </c>
      <c r="O138">
        <v>7.2923330000000002</v>
      </c>
      <c r="P138">
        <v>7.3804069999999999</v>
      </c>
      <c r="Q138">
        <v>7.4618279999999997</v>
      </c>
      <c r="R138">
        <v>7.5358000000000001</v>
      </c>
      <c r="S138">
        <v>7.6030470000000001</v>
      </c>
      <c r="T138">
        <v>7.664059</v>
      </c>
      <c r="U138">
        <v>7.7193630000000004</v>
      </c>
      <c r="V138">
        <v>7.769641</v>
      </c>
      <c r="W138">
        <v>7.8135589999999997</v>
      </c>
      <c r="X138">
        <v>7.8512329999999997</v>
      </c>
      <c r="Y138">
        <v>7.8831619999999996</v>
      </c>
      <c r="Z138">
        <v>7.910139</v>
      </c>
      <c r="AA138">
        <v>7.9335370000000003</v>
      </c>
      <c r="AB138">
        <v>7.9543119999999998</v>
      </c>
      <c r="AC138">
        <v>7.9732010000000004</v>
      </c>
      <c r="AD138">
        <v>7.990386</v>
      </c>
      <c r="AE138">
        <v>8.0064489999999999</v>
      </c>
      <c r="AF138">
        <v>8.0207669999999993</v>
      </c>
      <c r="AG138" s="71">
        <v>8.0000000000000002E-3</v>
      </c>
    </row>
    <row r="139" spans="1:33" x14ac:dyDescent="0.75">
      <c r="A139" t="s">
        <v>199</v>
      </c>
      <c r="B139" t="s">
        <v>851</v>
      </c>
      <c r="C139" t="s">
        <v>850</v>
      </c>
      <c r="D139" t="s">
        <v>664</v>
      </c>
      <c r="F139">
        <v>5.0604979999999999</v>
      </c>
      <c r="G139">
        <v>5.0774359999999996</v>
      </c>
      <c r="H139">
        <v>5.0991439999999999</v>
      </c>
      <c r="I139">
        <v>5.1250900000000001</v>
      </c>
      <c r="J139">
        <v>5.1534420000000001</v>
      </c>
      <c r="K139">
        <v>5.1845939999999997</v>
      </c>
      <c r="L139">
        <v>5.2184819999999998</v>
      </c>
      <c r="M139">
        <v>5.2552859999999999</v>
      </c>
      <c r="N139">
        <v>5.2975779999999997</v>
      </c>
      <c r="O139">
        <v>5.3497630000000003</v>
      </c>
      <c r="P139">
        <v>5.4074600000000004</v>
      </c>
      <c r="Q139">
        <v>5.4704280000000001</v>
      </c>
      <c r="R139">
        <v>5.5354279999999996</v>
      </c>
      <c r="S139">
        <v>5.6057940000000004</v>
      </c>
      <c r="T139">
        <v>5.680758</v>
      </c>
      <c r="U139">
        <v>5.7590899999999996</v>
      </c>
      <c r="V139">
        <v>5.8335530000000002</v>
      </c>
      <c r="W139">
        <v>5.9079370000000004</v>
      </c>
      <c r="X139">
        <v>5.9863949999999999</v>
      </c>
      <c r="Y139">
        <v>6.0574680000000001</v>
      </c>
      <c r="Z139">
        <v>6.1193</v>
      </c>
      <c r="AA139">
        <v>6.1728969999999999</v>
      </c>
      <c r="AB139">
        <v>6.2207470000000002</v>
      </c>
      <c r="AC139">
        <v>6.2629130000000002</v>
      </c>
      <c r="AD139">
        <v>6.3015109999999996</v>
      </c>
      <c r="AE139">
        <v>6.3367149999999999</v>
      </c>
      <c r="AF139">
        <v>6.3716860000000004</v>
      </c>
      <c r="AG139" s="71">
        <v>8.9999999999999993E-3</v>
      </c>
    </row>
    <row r="140" spans="1:33" x14ac:dyDescent="0.75">
      <c r="A140" t="s">
        <v>193</v>
      </c>
      <c r="B140" t="s">
        <v>849</v>
      </c>
      <c r="C140" t="s">
        <v>848</v>
      </c>
      <c r="D140" t="s">
        <v>664</v>
      </c>
      <c r="F140">
        <v>5.1770810000000003</v>
      </c>
      <c r="G140">
        <v>5.2519499999999999</v>
      </c>
      <c r="H140">
        <v>5.3134009999999998</v>
      </c>
      <c r="I140">
        <v>5.3660629999999996</v>
      </c>
      <c r="J140">
        <v>5.4125629999999996</v>
      </c>
      <c r="K140">
        <v>5.4564050000000002</v>
      </c>
      <c r="L140">
        <v>5.5025110000000002</v>
      </c>
      <c r="M140">
        <v>5.553839</v>
      </c>
      <c r="N140">
        <v>5.6110850000000001</v>
      </c>
      <c r="O140">
        <v>5.6749489999999998</v>
      </c>
      <c r="P140">
        <v>5.7430880000000002</v>
      </c>
      <c r="Q140">
        <v>5.815677</v>
      </c>
      <c r="R140">
        <v>5.8909649999999996</v>
      </c>
      <c r="S140">
        <v>5.9667110000000001</v>
      </c>
      <c r="T140">
        <v>6.0391219999999999</v>
      </c>
      <c r="U140">
        <v>6.1066419999999999</v>
      </c>
      <c r="V140">
        <v>6.168126</v>
      </c>
      <c r="W140">
        <v>6.2248260000000002</v>
      </c>
      <c r="X140">
        <v>6.2762650000000004</v>
      </c>
      <c r="Y140">
        <v>6.3219269999999996</v>
      </c>
      <c r="Z140">
        <v>6.3612109999999999</v>
      </c>
      <c r="AA140">
        <v>6.3945879999999997</v>
      </c>
      <c r="AB140">
        <v>6.4228620000000003</v>
      </c>
      <c r="AC140">
        <v>6.4477200000000003</v>
      </c>
      <c r="AD140">
        <v>6.471025</v>
      </c>
      <c r="AE140">
        <v>6.4940899999999999</v>
      </c>
      <c r="AF140">
        <v>6.5145</v>
      </c>
      <c r="AG140" s="71">
        <v>8.9999999999999993E-3</v>
      </c>
    </row>
    <row r="141" spans="1:33" x14ac:dyDescent="0.75">
      <c r="A141" t="s">
        <v>190</v>
      </c>
      <c r="B141" t="s">
        <v>847</v>
      </c>
      <c r="C141" t="s">
        <v>846</v>
      </c>
      <c r="D141" t="s">
        <v>661</v>
      </c>
      <c r="F141">
        <v>5.8177469999999998</v>
      </c>
      <c r="G141">
        <v>5.8252810000000004</v>
      </c>
      <c r="H141">
        <v>5.8505969999999996</v>
      </c>
      <c r="I141">
        <v>5.8820009999999998</v>
      </c>
      <c r="J141">
        <v>5.923349</v>
      </c>
      <c r="K141">
        <v>5.9725099999999998</v>
      </c>
      <c r="L141">
        <v>6.0274619999999999</v>
      </c>
      <c r="M141">
        <v>6.0861039999999997</v>
      </c>
      <c r="N141">
        <v>6.1471739999999997</v>
      </c>
      <c r="O141">
        <v>6.2090630000000004</v>
      </c>
      <c r="P141">
        <v>6.2704079999999998</v>
      </c>
      <c r="Q141">
        <v>6.3303279999999997</v>
      </c>
      <c r="R141">
        <v>6.3855779999999998</v>
      </c>
      <c r="S141">
        <v>6.4388249999999996</v>
      </c>
      <c r="T141">
        <v>6.4865199999999996</v>
      </c>
      <c r="U141">
        <v>6.5314629999999996</v>
      </c>
      <c r="V141">
        <v>6.5754039999999998</v>
      </c>
      <c r="W141">
        <v>6.6179860000000001</v>
      </c>
      <c r="X141">
        <v>6.6568529999999999</v>
      </c>
      <c r="Y141">
        <v>6.6910489999999996</v>
      </c>
      <c r="Z141">
        <v>6.7246829999999997</v>
      </c>
      <c r="AA141">
        <v>6.7557660000000004</v>
      </c>
      <c r="AB141">
        <v>6.7887440000000003</v>
      </c>
      <c r="AC141">
        <v>6.8248379999999997</v>
      </c>
      <c r="AD141">
        <v>6.8676399999999997</v>
      </c>
      <c r="AE141">
        <v>6.9122810000000001</v>
      </c>
      <c r="AF141">
        <v>6.9615030000000004</v>
      </c>
      <c r="AG141" s="71">
        <v>7.0000000000000001E-3</v>
      </c>
    </row>
    <row r="142" spans="1:33" x14ac:dyDescent="0.75">
      <c r="A142" t="s">
        <v>187</v>
      </c>
      <c r="B142" t="s">
        <v>845</v>
      </c>
      <c r="C142" t="s">
        <v>844</v>
      </c>
      <c r="D142" t="s">
        <v>664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111</v>
      </c>
    </row>
    <row r="143" spans="1:33" x14ac:dyDescent="0.75">
      <c r="A143" t="s">
        <v>135</v>
      </c>
      <c r="B143" t="s">
        <v>843</v>
      </c>
      <c r="C143" t="s">
        <v>842</v>
      </c>
      <c r="D143" t="s">
        <v>661</v>
      </c>
      <c r="F143">
        <v>13.988659</v>
      </c>
      <c r="G143">
        <v>13.883277</v>
      </c>
      <c r="H143">
        <v>13.850619999999999</v>
      </c>
      <c r="I143">
        <v>13.859565999999999</v>
      </c>
      <c r="J143">
        <v>13.895028999999999</v>
      </c>
      <c r="K143">
        <v>13.954997000000001</v>
      </c>
      <c r="L143">
        <v>14.030798000000001</v>
      </c>
      <c r="M143">
        <v>14.115463999999999</v>
      </c>
      <c r="N143">
        <v>14.211738</v>
      </c>
      <c r="O143">
        <v>14.318835999999999</v>
      </c>
      <c r="P143">
        <v>14.423564000000001</v>
      </c>
      <c r="Q143">
        <v>14.524480000000001</v>
      </c>
      <c r="R143">
        <v>14.620310999999999</v>
      </c>
      <c r="S143">
        <v>14.710813999999999</v>
      </c>
      <c r="T143">
        <v>14.79519</v>
      </c>
      <c r="U143">
        <v>14.872324000000001</v>
      </c>
      <c r="V143">
        <v>14.941452999999999</v>
      </c>
      <c r="W143">
        <v>15.002162</v>
      </c>
      <c r="X143">
        <v>15.054307</v>
      </c>
      <c r="Y143">
        <v>15.098464999999999</v>
      </c>
      <c r="Z143">
        <v>15.13503</v>
      </c>
      <c r="AA143">
        <v>15.16474</v>
      </c>
      <c r="AB143">
        <v>15.188535</v>
      </c>
      <c r="AC143">
        <v>15.207722</v>
      </c>
      <c r="AD143">
        <v>15.223267</v>
      </c>
      <c r="AE143">
        <v>15.235799</v>
      </c>
      <c r="AF143">
        <v>15.245944</v>
      </c>
      <c r="AG143" s="71">
        <v>3.0000000000000001E-3</v>
      </c>
    </row>
    <row r="144" spans="1:33" x14ac:dyDescent="0.75">
      <c r="A144" t="s">
        <v>179</v>
      </c>
      <c r="B144" t="s">
        <v>841</v>
      </c>
      <c r="C144" t="s">
        <v>840</v>
      </c>
      <c r="D144" t="s">
        <v>661</v>
      </c>
      <c r="F144">
        <v>0</v>
      </c>
      <c r="G144">
        <v>0</v>
      </c>
      <c r="H144">
        <v>8.8917629999999992</v>
      </c>
      <c r="I144">
        <v>9.0109379999999994</v>
      </c>
      <c r="J144">
        <v>9.0930579999999992</v>
      </c>
      <c r="K144">
        <v>9.1704240000000006</v>
      </c>
      <c r="L144">
        <v>9.2546510000000008</v>
      </c>
      <c r="M144">
        <v>9.3515370000000004</v>
      </c>
      <c r="N144">
        <v>9.4650669999999995</v>
      </c>
      <c r="O144">
        <v>9.4638760000000008</v>
      </c>
      <c r="P144">
        <v>9.4589940000000006</v>
      </c>
      <c r="Q144">
        <v>9.4530069999999995</v>
      </c>
      <c r="R144">
        <v>9.4444230000000005</v>
      </c>
      <c r="S144">
        <v>9.438231</v>
      </c>
      <c r="T144">
        <v>9.4353920000000002</v>
      </c>
      <c r="U144">
        <v>9.4374330000000004</v>
      </c>
      <c r="V144">
        <v>9.4385729999999999</v>
      </c>
      <c r="W144">
        <v>9.443244</v>
      </c>
      <c r="X144">
        <v>9.4517179999999996</v>
      </c>
      <c r="Y144">
        <v>9.4627800000000004</v>
      </c>
      <c r="Z144">
        <v>9.4740059999999993</v>
      </c>
      <c r="AA144">
        <v>9.4837299999999995</v>
      </c>
      <c r="AB144">
        <v>9.4882910000000003</v>
      </c>
      <c r="AC144">
        <v>9.4838109999999993</v>
      </c>
      <c r="AD144">
        <v>9.4798200000000001</v>
      </c>
      <c r="AE144">
        <v>9.4780770000000008</v>
      </c>
      <c r="AF144">
        <v>9.4804750000000002</v>
      </c>
      <c r="AG144" t="s">
        <v>111</v>
      </c>
    </row>
    <row r="145" spans="1:33" x14ac:dyDescent="0.75">
      <c r="A145" t="s">
        <v>182</v>
      </c>
      <c r="B145" t="s">
        <v>839</v>
      </c>
      <c r="C145" t="s">
        <v>838</v>
      </c>
      <c r="D145" t="s">
        <v>664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111</v>
      </c>
    </row>
    <row r="146" spans="1:33" x14ac:dyDescent="0.75">
      <c r="A146" t="s">
        <v>139</v>
      </c>
      <c r="B146" t="s">
        <v>837</v>
      </c>
      <c r="C146" t="s">
        <v>836</v>
      </c>
      <c r="D146" t="s">
        <v>661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111</v>
      </c>
    </row>
    <row r="147" spans="1:33" x14ac:dyDescent="0.75">
      <c r="A147" t="s">
        <v>174</v>
      </c>
      <c r="B147" t="s">
        <v>835</v>
      </c>
      <c r="C147" t="s">
        <v>834</v>
      </c>
      <c r="D147" t="s">
        <v>661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111</v>
      </c>
    </row>
    <row r="148" spans="1:33" x14ac:dyDescent="0.75">
      <c r="A148" t="s">
        <v>171</v>
      </c>
      <c r="B148" t="s">
        <v>833</v>
      </c>
      <c r="C148" t="s">
        <v>832</v>
      </c>
      <c r="D148" t="s">
        <v>664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111</v>
      </c>
    </row>
    <row r="149" spans="1:33" x14ac:dyDescent="0.75">
      <c r="A149" t="s">
        <v>168</v>
      </c>
      <c r="B149" t="s">
        <v>831</v>
      </c>
      <c r="C149" t="s">
        <v>830</v>
      </c>
      <c r="D149" t="s">
        <v>661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111</v>
      </c>
    </row>
    <row r="150" spans="1:33" x14ac:dyDescent="0.75">
      <c r="A150" t="s">
        <v>660</v>
      </c>
      <c r="B150" t="s">
        <v>829</v>
      </c>
      <c r="C150" t="s">
        <v>828</v>
      </c>
      <c r="F150">
        <v>6.4419060000000004</v>
      </c>
      <c r="G150">
        <v>6.517417</v>
      </c>
      <c r="H150">
        <v>6.6038949999999996</v>
      </c>
      <c r="I150">
        <v>6.7003839999999997</v>
      </c>
      <c r="J150">
        <v>6.799779</v>
      </c>
      <c r="K150">
        <v>6.8997419999999998</v>
      </c>
      <c r="L150">
        <v>6.9991070000000004</v>
      </c>
      <c r="M150">
        <v>7.096711</v>
      </c>
      <c r="N150">
        <v>7.1920929999999998</v>
      </c>
      <c r="O150">
        <v>7.2848660000000001</v>
      </c>
      <c r="P150">
        <v>7.3727790000000004</v>
      </c>
      <c r="Q150">
        <v>7.4540790000000001</v>
      </c>
      <c r="R150">
        <v>7.527946</v>
      </c>
      <c r="S150">
        <v>7.5950939999999996</v>
      </c>
      <c r="T150">
        <v>7.6560100000000002</v>
      </c>
      <c r="U150">
        <v>7.7111929999999997</v>
      </c>
      <c r="V150">
        <v>7.761298</v>
      </c>
      <c r="W150">
        <v>7.8050090000000001</v>
      </c>
      <c r="X150">
        <v>7.8424889999999996</v>
      </c>
      <c r="Y150">
        <v>7.8742320000000001</v>
      </c>
      <c r="Z150">
        <v>7.901008</v>
      </c>
      <c r="AA150">
        <v>7.9241510000000002</v>
      </c>
      <c r="AB150">
        <v>7.9446289999999999</v>
      </c>
      <c r="AC150">
        <v>7.9631720000000001</v>
      </c>
      <c r="AD150">
        <v>7.9799680000000004</v>
      </c>
      <c r="AE150">
        <v>7.9955740000000004</v>
      </c>
      <c r="AF150">
        <v>8.0093580000000006</v>
      </c>
      <c r="AG150" s="71">
        <v>8.0000000000000002E-3</v>
      </c>
    </row>
    <row r="151" spans="1:33" x14ac:dyDescent="0.75">
      <c r="A151" t="s">
        <v>657</v>
      </c>
      <c r="B151" t="s">
        <v>827</v>
      </c>
      <c r="C151" t="s">
        <v>826</v>
      </c>
      <c r="F151">
        <v>7.7570209999999999</v>
      </c>
      <c r="G151">
        <v>7.8260290000000001</v>
      </c>
      <c r="H151">
        <v>7.9062919999999997</v>
      </c>
      <c r="I151">
        <v>7.9960300000000002</v>
      </c>
      <c r="J151">
        <v>8.0947870000000002</v>
      </c>
      <c r="K151">
        <v>8.1991739999999993</v>
      </c>
      <c r="L151">
        <v>8.3074709999999996</v>
      </c>
      <c r="M151">
        <v>8.4176070000000003</v>
      </c>
      <c r="N151">
        <v>8.5283189999999998</v>
      </c>
      <c r="O151">
        <v>8.6380090000000003</v>
      </c>
      <c r="P151">
        <v>8.7450670000000006</v>
      </c>
      <c r="Q151">
        <v>8.8470680000000002</v>
      </c>
      <c r="R151">
        <v>8.9420520000000003</v>
      </c>
      <c r="S151">
        <v>9.0299519999999998</v>
      </c>
      <c r="T151">
        <v>9.1127310000000001</v>
      </c>
      <c r="U151">
        <v>9.1914829999999998</v>
      </c>
      <c r="V151">
        <v>9.2668909999999993</v>
      </c>
      <c r="W151">
        <v>9.3372069999999994</v>
      </c>
      <c r="X151">
        <v>9.4020569999999992</v>
      </c>
      <c r="Y151">
        <v>9.4613689999999995</v>
      </c>
      <c r="Z151">
        <v>9.5162099999999992</v>
      </c>
      <c r="AA151">
        <v>9.5691070000000007</v>
      </c>
      <c r="AB151">
        <v>9.6208849999999995</v>
      </c>
      <c r="AC151">
        <v>9.6705679999999994</v>
      </c>
      <c r="AD151">
        <v>9.7169779999999992</v>
      </c>
      <c r="AE151">
        <v>9.7613669999999999</v>
      </c>
      <c r="AF151">
        <v>9.8045439999999999</v>
      </c>
      <c r="AG151" s="71">
        <v>8.9999999999999993E-3</v>
      </c>
    </row>
    <row r="152" spans="1:33" x14ac:dyDescent="0.75">
      <c r="A152" t="s">
        <v>825</v>
      </c>
    </row>
    <row r="153" spans="1:33" x14ac:dyDescent="0.75">
      <c r="A153" t="s">
        <v>653</v>
      </c>
    </row>
    <row r="154" spans="1:33" x14ac:dyDescent="0.75">
      <c r="A154" t="s">
        <v>196</v>
      </c>
      <c r="B154" t="s">
        <v>824</v>
      </c>
      <c r="C154" t="s">
        <v>823</v>
      </c>
      <c r="D154" t="s">
        <v>743</v>
      </c>
      <c r="F154">
        <v>3.3905850000000002</v>
      </c>
      <c r="G154">
        <v>3.486351</v>
      </c>
      <c r="H154">
        <v>3.5834139999999999</v>
      </c>
      <c r="I154">
        <v>3.6768480000000001</v>
      </c>
      <c r="J154">
        <v>3.7508810000000001</v>
      </c>
      <c r="K154">
        <v>3.8030469999999998</v>
      </c>
      <c r="L154">
        <v>3.834028</v>
      </c>
      <c r="M154">
        <v>3.8420770000000002</v>
      </c>
      <c r="N154">
        <v>3.8310469999999999</v>
      </c>
      <c r="O154">
        <v>3.8013629999999998</v>
      </c>
      <c r="P154">
        <v>3.7583890000000002</v>
      </c>
      <c r="Q154">
        <v>3.7012700000000001</v>
      </c>
      <c r="R154">
        <v>3.6357650000000001</v>
      </c>
      <c r="S154">
        <v>3.5635560000000002</v>
      </c>
      <c r="T154">
        <v>3.482507</v>
      </c>
      <c r="U154">
        <v>3.3883709999999998</v>
      </c>
      <c r="V154">
        <v>3.2845849999999999</v>
      </c>
      <c r="W154">
        <v>3.1761979999999999</v>
      </c>
      <c r="X154">
        <v>3.0619679999999998</v>
      </c>
      <c r="Y154">
        <v>2.9523220000000001</v>
      </c>
      <c r="Z154">
        <v>2.8473959999999998</v>
      </c>
      <c r="AA154">
        <v>2.7389570000000001</v>
      </c>
      <c r="AB154">
        <v>2.6264699999999999</v>
      </c>
      <c r="AC154">
        <v>2.51606</v>
      </c>
      <c r="AD154">
        <v>2.4064749999999999</v>
      </c>
      <c r="AE154">
        <v>2.2915329999999998</v>
      </c>
      <c r="AF154">
        <v>2.1755209999999998</v>
      </c>
      <c r="AG154" s="71">
        <v>-1.7000000000000001E-2</v>
      </c>
    </row>
    <row r="155" spans="1:33" x14ac:dyDescent="0.75">
      <c r="A155" t="s">
        <v>199</v>
      </c>
      <c r="B155" t="s">
        <v>822</v>
      </c>
      <c r="C155" t="s">
        <v>821</v>
      </c>
      <c r="D155" t="s">
        <v>743</v>
      </c>
      <c r="F155">
        <v>1.4982899999999999</v>
      </c>
      <c r="G155">
        <v>1.5895760000000001</v>
      </c>
      <c r="H155">
        <v>1.693641</v>
      </c>
      <c r="I155">
        <v>1.804721</v>
      </c>
      <c r="J155">
        <v>1.9074690000000001</v>
      </c>
      <c r="K155">
        <v>1.997787</v>
      </c>
      <c r="L155">
        <v>2.0758009999999998</v>
      </c>
      <c r="M155">
        <v>2.1368490000000002</v>
      </c>
      <c r="N155">
        <v>2.1833619999999998</v>
      </c>
      <c r="O155">
        <v>2.2201759999999999</v>
      </c>
      <c r="P155">
        <v>2.2482600000000001</v>
      </c>
      <c r="Q155">
        <v>2.265781</v>
      </c>
      <c r="R155">
        <v>2.2771539999999999</v>
      </c>
      <c r="S155">
        <v>2.2832889999999999</v>
      </c>
      <c r="T155">
        <v>2.2795169999999998</v>
      </c>
      <c r="U155">
        <v>2.2650090000000001</v>
      </c>
      <c r="V155">
        <v>2.2445900000000001</v>
      </c>
      <c r="W155">
        <v>2.218207</v>
      </c>
      <c r="X155">
        <v>2.1835680000000002</v>
      </c>
      <c r="Y155">
        <v>2.143459</v>
      </c>
      <c r="Z155">
        <v>2.1011060000000001</v>
      </c>
      <c r="AA155">
        <v>2.056289</v>
      </c>
      <c r="AB155">
        <v>2.0091060000000001</v>
      </c>
      <c r="AC155">
        <v>1.960016</v>
      </c>
      <c r="AD155">
        <v>1.908291</v>
      </c>
      <c r="AE155">
        <v>1.853021</v>
      </c>
      <c r="AF155">
        <v>1.796217</v>
      </c>
      <c r="AG155" s="71">
        <v>7.0000000000000001E-3</v>
      </c>
    </row>
    <row r="156" spans="1:33" x14ac:dyDescent="0.75">
      <c r="A156" t="s">
        <v>193</v>
      </c>
      <c r="B156" t="s">
        <v>820</v>
      </c>
      <c r="C156" t="s">
        <v>819</v>
      </c>
      <c r="D156" t="s">
        <v>743</v>
      </c>
      <c r="F156">
        <v>1.06E-4</v>
      </c>
      <c r="G156">
        <v>1.03E-4</v>
      </c>
      <c r="H156">
        <v>1E-4</v>
      </c>
      <c r="I156">
        <v>9.7E-5</v>
      </c>
      <c r="J156">
        <v>9.5000000000000005E-5</v>
      </c>
      <c r="K156">
        <v>9.2999999999999997E-5</v>
      </c>
      <c r="L156">
        <v>9.2E-5</v>
      </c>
      <c r="M156">
        <v>9.1000000000000003E-5</v>
      </c>
      <c r="N156">
        <v>9.0000000000000006E-5</v>
      </c>
      <c r="O156">
        <v>9.0000000000000006E-5</v>
      </c>
      <c r="P156">
        <v>8.2000000000000001E-5</v>
      </c>
      <c r="Q156">
        <v>7.1000000000000005E-5</v>
      </c>
      <c r="R156">
        <v>6.4999999999999994E-5</v>
      </c>
      <c r="S156">
        <v>6.0999999999999999E-5</v>
      </c>
      <c r="T156">
        <v>6.0000000000000002E-5</v>
      </c>
      <c r="U156">
        <v>6.0000000000000002E-5</v>
      </c>
      <c r="V156">
        <v>6.0000000000000002E-5</v>
      </c>
      <c r="W156">
        <v>6.2000000000000003E-5</v>
      </c>
      <c r="X156">
        <v>6.3999999999999997E-5</v>
      </c>
      <c r="Y156">
        <v>6.6000000000000005E-5</v>
      </c>
      <c r="Z156">
        <v>6.7999999999999999E-5</v>
      </c>
      <c r="AA156">
        <v>6.9999999999999994E-5</v>
      </c>
      <c r="AB156">
        <v>7.2000000000000002E-5</v>
      </c>
      <c r="AC156">
        <v>7.4999999999999993E-5</v>
      </c>
      <c r="AD156">
        <v>7.7000000000000001E-5</v>
      </c>
      <c r="AE156">
        <v>7.8999999999999996E-5</v>
      </c>
      <c r="AF156">
        <v>8.1000000000000004E-5</v>
      </c>
      <c r="AG156" s="71">
        <v>-1.0999999999999999E-2</v>
      </c>
    </row>
    <row r="157" spans="1:33" x14ac:dyDescent="0.75">
      <c r="A157" t="s">
        <v>190</v>
      </c>
      <c r="B157" t="s">
        <v>818</v>
      </c>
      <c r="C157" t="s">
        <v>817</v>
      </c>
      <c r="D157" t="s">
        <v>743</v>
      </c>
      <c r="F157">
        <v>2.6129999999999999E-3</v>
      </c>
      <c r="G157">
        <v>5.9820000000000003E-3</v>
      </c>
      <c r="H157">
        <v>9.7140000000000004E-3</v>
      </c>
      <c r="I157">
        <v>1.3611E-2</v>
      </c>
      <c r="J157">
        <v>1.6615000000000001E-2</v>
      </c>
      <c r="K157">
        <v>1.9800000000000002E-2</v>
      </c>
      <c r="L157">
        <v>2.2692E-2</v>
      </c>
      <c r="M157">
        <v>2.5092E-2</v>
      </c>
      <c r="N157">
        <v>2.7334000000000001E-2</v>
      </c>
      <c r="O157">
        <v>2.9357000000000001E-2</v>
      </c>
      <c r="P157">
        <v>3.1753000000000003E-2</v>
      </c>
      <c r="Q157">
        <v>3.4562000000000002E-2</v>
      </c>
      <c r="R157">
        <v>3.7726999999999997E-2</v>
      </c>
      <c r="S157">
        <v>4.1474999999999998E-2</v>
      </c>
      <c r="T157">
        <v>4.6141000000000001E-2</v>
      </c>
      <c r="U157">
        <v>5.135E-2</v>
      </c>
      <c r="V157">
        <v>5.7452000000000003E-2</v>
      </c>
      <c r="W157">
        <v>6.4610000000000001E-2</v>
      </c>
      <c r="X157">
        <v>7.2647000000000003E-2</v>
      </c>
      <c r="Y157">
        <v>8.1342999999999999E-2</v>
      </c>
      <c r="Z157">
        <v>9.06E-2</v>
      </c>
      <c r="AA157">
        <v>0.10058300000000001</v>
      </c>
      <c r="AB157">
        <v>0.11129600000000001</v>
      </c>
      <c r="AC157">
        <v>0.122808</v>
      </c>
      <c r="AD157">
        <v>0.134797</v>
      </c>
      <c r="AE157">
        <v>0.14738200000000001</v>
      </c>
      <c r="AF157">
        <v>0.16040199999999999</v>
      </c>
      <c r="AG157" s="71">
        <v>0.17199999999999999</v>
      </c>
    </row>
    <row r="158" spans="1:33" x14ac:dyDescent="0.75">
      <c r="A158" t="s">
        <v>187</v>
      </c>
      <c r="B158" t="s">
        <v>816</v>
      </c>
      <c r="C158" t="s">
        <v>815</v>
      </c>
      <c r="D158" t="s">
        <v>743</v>
      </c>
      <c r="F158">
        <v>0.21093400000000001</v>
      </c>
      <c r="G158">
        <v>0.20787800000000001</v>
      </c>
      <c r="H158">
        <v>0.20425199999999999</v>
      </c>
      <c r="I158">
        <v>0.199938</v>
      </c>
      <c r="J158">
        <v>0.194773</v>
      </c>
      <c r="K158">
        <v>0.18897900000000001</v>
      </c>
      <c r="L158">
        <v>0.182667</v>
      </c>
      <c r="M158">
        <v>0.17594399999999999</v>
      </c>
      <c r="N158">
        <v>0.16902500000000001</v>
      </c>
      <c r="O158">
        <v>0.161879</v>
      </c>
      <c r="P158">
        <v>0.15459100000000001</v>
      </c>
      <c r="Q158">
        <v>0.147121</v>
      </c>
      <c r="R158">
        <v>0.139652</v>
      </c>
      <c r="S158">
        <v>0.132075</v>
      </c>
      <c r="T158">
        <v>0.12452299999999999</v>
      </c>
      <c r="U158">
        <v>0.117046</v>
      </c>
      <c r="V158">
        <v>0.109762</v>
      </c>
      <c r="W158">
        <v>0.102717</v>
      </c>
      <c r="X158">
        <v>9.6032000000000006E-2</v>
      </c>
      <c r="Y158">
        <v>8.9762999999999996E-2</v>
      </c>
      <c r="Z158">
        <v>8.3586999999999995E-2</v>
      </c>
      <c r="AA158">
        <v>7.6545000000000002E-2</v>
      </c>
      <c r="AB158">
        <v>6.9138000000000005E-2</v>
      </c>
      <c r="AC158">
        <v>6.1460000000000001E-2</v>
      </c>
      <c r="AD158">
        <v>5.4272000000000001E-2</v>
      </c>
      <c r="AE158">
        <v>4.5946000000000001E-2</v>
      </c>
      <c r="AF158">
        <v>3.7659999999999999E-2</v>
      </c>
      <c r="AG158" s="71">
        <v>-6.4000000000000001E-2</v>
      </c>
    </row>
    <row r="159" spans="1:33" x14ac:dyDescent="0.75">
      <c r="A159" t="s">
        <v>135</v>
      </c>
      <c r="B159" t="s">
        <v>814</v>
      </c>
      <c r="C159" t="s">
        <v>813</v>
      </c>
      <c r="D159" t="s">
        <v>743</v>
      </c>
      <c r="F159">
        <v>3.3530000000000001E-3</v>
      </c>
      <c r="G159">
        <v>4.712E-3</v>
      </c>
      <c r="H159">
        <v>6.1380000000000002E-3</v>
      </c>
      <c r="I159">
        <v>7.5929999999999999E-3</v>
      </c>
      <c r="J159">
        <v>9.0279999999999996E-3</v>
      </c>
      <c r="K159">
        <v>1.0449999999999999E-2</v>
      </c>
      <c r="L159">
        <v>1.2096000000000001E-2</v>
      </c>
      <c r="M159">
        <v>1.6115999999999998E-2</v>
      </c>
      <c r="N159">
        <v>2.3144000000000001E-2</v>
      </c>
      <c r="O159">
        <v>3.0137000000000001E-2</v>
      </c>
      <c r="P159">
        <v>4.1231999999999998E-2</v>
      </c>
      <c r="Q159">
        <v>5.9050999999999999E-2</v>
      </c>
      <c r="R159">
        <v>8.4289000000000003E-2</v>
      </c>
      <c r="S159">
        <v>0.11565400000000001</v>
      </c>
      <c r="T159">
        <v>0.153889</v>
      </c>
      <c r="U159">
        <v>0.199877</v>
      </c>
      <c r="V159">
        <v>0.25327300000000003</v>
      </c>
      <c r="W159">
        <v>0.31786300000000001</v>
      </c>
      <c r="X159">
        <v>0.39220500000000003</v>
      </c>
      <c r="Y159">
        <v>0.475219</v>
      </c>
      <c r="Z159">
        <v>0.56319900000000001</v>
      </c>
      <c r="AA159">
        <v>0.65591299999999997</v>
      </c>
      <c r="AB159">
        <v>0.75208399999999997</v>
      </c>
      <c r="AC159">
        <v>0.85373900000000003</v>
      </c>
      <c r="AD159">
        <v>0.95974700000000002</v>
      </c>
      <c r="AE159">
        <v>1.069048</v>
      </c>
      <c r="AF159">
        <v>1.181</v>
      </c>
      <c r="AG159" s="71">
        <v>0.253</v>
      </c>
    </row>
    <row r="160" spans="1:33" x14ac:dyDescent="0.75">
      <c r="A160" t="s">
        <v>179</v>
      </c>
      <c r="B160" t="s">
        <v>812</v>
      </c>
      <c r="C160" t="s">
        <v>811</v>
      </c>
      <c r="D160" t="s">
        <v>743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111</v>
      </c>
    </row>
    <row r="161" spans="1:33" x14ac:dyDescent="0.75">
      <c r="A161" t="s">
        <v>182</v>
      </c>
      <c r="B161" t="s">
        <v>810</v>
      </c>
      <c r="C161" t="s">
        <v>809</v>
      </c>
      <c r="D161" t="s">
        <v>743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111</v>
      </c>
    </row>
    <row r="162" spans="1:33" x14ac:dyDescent="0.75">
      <c r="A162" t="s">
        <v>139</v>
      </c>
      <c r="B162" t="s">
        <v>808</v>
      </c>
      <c r="C162" t="s">
        <v>807</v>
      </c>
      <c r="D162" t="s">
        <v>743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111</v>
      </c>
    </row>
    <row r="163" spans="1:33" x14ac:dyDescent="0.75">
      <c r="A163" t="s">
        <v>174</v>
      </c>
      <c r="B163" t="s">
        <v>806</v>
      </c>
      <c r="C163" t="s">
        <v>805</v>
      </c>
      <c r="D163" t="s">
        <v>743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111</v>
      </c>
    </row>
    <row r="164" spans="1:33" x14ac:dyDescent="0.75">
      <c r="A164" t="s">
        <v>171</v>
      </c>
      <c r="B164" t="s">
        <v>804</v>
      </c>
      <c r="C164" t="s">
        <v>803</v>
      </c>
      <c r="D164" t="s">
        <v>743</v>
      </c>
      <c r="F164">
        <v>0</v>
      </c>
      <c r="G164">
        <v>2.0379999999999999E-3</v>
      </c>
      <c r="H164">
        <v>5.3639999999999998E-3</v>
      </c>
      <c r="I164">
        <v>1.0276E-2</v>
      </c>
      <c r="J164">
        <v>3.6535999999999999E-2</v>
      </c>
      <c r="K164">
        <v>9.0727000000000002E-2</v>
      </c>
      <c r="L164">
        <v>0.174703</v>
      </c>
      <c r="M164">
        <v>0.28721799999999997</v>
      </c>
      <c r="N164">
        <v>0.42857600000000001</v>
      </c>
      <c r="O164">
        <v>0.59094800000000003</v>
      </c>
      <c r="P164">
        <v>0.77014400000000005</v>
      </c>
      <c r="Q164">
        <v>0.96182400000000001</v>
      </c>
      <c r="R164">
        <v>1.160407</v>
      </c>
      <c r="S164">
        <v>1.36402</v>
      </c>
      <c r="T164">
        <v>1.5784469999999999</v>
      </c>
      <c r="U164">
        <v>1.805226</v>
      </c>
      <c r="V164">
        <v>2.0337710000000002</v>
      </c>
      <c r="W164">
        <v>2.2612679999999998</v>
      </c>
      <c r="X164">
        <v>2.488102</v>
      </c>
      <c r="Y164">
        <v>2.7142050000000002</v>
      </c>
      <c r="Z164">
        <v>2.9380959999999998</v>
      </c>
      <c r="AA164">
        <v>3.1570019999999999</v>
      </c>
      <c r="AB164">
        <v>3.3707229999999999</v>
      </c>
      <c r="AC164">
        <v>3.578576</v>
      </c>
      <c r="AD164">
        <v>3.7794880000000002</v>
      </c>
      <c r="AE164">
        <v>3.9730300000000001</v>
      </c>
      <c r="AF164">
        <v>4.1586670000000003</v>
      </c>
      <c r="AG164" t="s">
        <v>111</v>
      </c>
    </row>
    <row r="165" spans="1:33" x14ac:dyDescent="0.75">
      <c r="A165" t="s">
        <v>168</v>
      </c>
      <c r="B165" t="s">
        <v>802</v>
      </c>
      <c r="C165" t="s">
        <v>801</v>
      </c>
      <c r="D165" t="s">
        <v>743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111</v>
      </c>
    </row>
    <row r="166" spans="1:33" s="1" customFormat="1" x14ac:dyDescent="0.75">
      <c r="A166" s="1" t="s">
        <v>628</v>
      </c>
      <c r="B166" s="1" t="s">
        <v>800</v>
      </c>
      <c r="C166" s="1" t="s">
        <v>799</v>
      </c>
      <c r="D166" s="1" t="s">
        <v>743</v>
      </c>
      <c r="F166" s="1">
        <v>5.1058789999999998</v>
      </c>
      <c r="G166" s="1">
        <v>5.29664</v>
      </c>
      <c r="H166" s="1">
        <v>5.5026190000000001</v>
      </c>
      <c r="I166" s="1">
        <v>5.7130809999999999</v>
      </c>
      <c r="J166" s="1">
        <v>5.9153969999999996</v>
      </c>
      <c r="K166" s="1">
        <v>6.110881</v>
      </c>
      <c r="L166" s="1">
        <v>6.302073</v>
      </c>
      <c r="M166" s="1">
        <v>6.4833819999999998</v>
      </c>
      <c r="N166" s="1">
        <v>6.6625709999999998</v>
      </c>
      <c r="O166" s="1">
        <v>6.8339429999999997</v>
      </c>
      <c r="P166" s="1">
        <v>7.0044469999999999</v>
      </c>
      <c r="Q166" s="1">
        <v>7.1696759999999999</v>
      </c>
      <c r="R166" s="1">
        <v>7.3350530000000003</v>
      </c>
      <c r="S166" s="1">
        <v>7.500127</v>
      </c>
      <c r="T166" s="1">
        <v>7.6650790000000004</v>
      </c>
      <c r="U166" s="1">
        <v>7.8269320000000002</v>
      </c>
      <c r="V166" s="1">
        <v>7.9834909999999999</v>
      </c>
      <c r="W166" s="1">
        <v>8.1409230000000008</v>
      </c>
      <c r="X166" s="1">
        <v>8.2945799999999998</v>
      </c>
      <c r="Y166" s="1">
        <v>8.4563760000000006</v>
      </c>
      <c r="Z166" s="1">
        <v>8.6240450000000006</v>
      </c>
      <c r="AA166" s="1">
        <v>8.7853530000000006</v>
      </c>
      <c r="AB166" s="1">
        <v>8.9388819999999996</v>
      </c>
      <c r="AC166" s="1">
        <v>9.092746</v>
      </c>
      <c r="AD166" s="1">
        <v>9.24315</v>
      </c>
      <c r="AE166" s="1">
        <v>9.3800469999999994</v>
      </c>
      <c r="AF166" s="1">
        <v>9.5095489999999998</v>
      </c>
      <c r="AG166" s="79">
        <v>2.4E-2</v>
      </c>
    </row>
    <row r="167" spans="1:33" x14ac:dyDescent="0.75">
      <c r="A167" t="s">
        <v>625</v>
      </c>
    </row>
    <row r="168" spans="1:33" x14ac:dyDescent="0.75">
      <c r="A168" t="s">
        <v>196</v>
      </c>
      <c r="B168" t="s">
        <v>798</v>
      </c>
      <c r="C168" t="s">
        <v>797</v>
      </c>
      <c r="D168" t="s">
        <v>743</v>
      </c>
      <c r="F168">
        <v>2.3430569999999999</v>
      </c>
      <c r="G168">
        <v>2.3601730000000001</v>
      </c>
      <c r="H168">
        <v>2.383213</v>
      </c>
      <c r="I168">
        <v>2.4088270000000001</v>
      </c>
      <c r="J168">
        <v>2.4287920000000001</v>
      </c>
      <c r="K168">
        <v>2.438984</v>
      </c>
      <c r="L168">
        <v>2.4438149999999998</v>
      </c>
      <c r="M168">
        <v>2.4413939999999998</v>
      </c>
      <c r="N168">
        <v>2.4343599999999999</v>
      </c>
      <c r="O168">
        <v>2.418981</v>
      </c>
      <c r="P168">
        <v>2.3954230000000001</v>
      </c>
      <c r="Q168">
        <v>2.3676149999999998</v>
      </c>
      <c r="R168">
        <v>2.3380269999999999</v>
      </c>
      <c r="S168">
        <v>2.3065199999999999</v>
      </c>
      <c r="T168">
        <v>2.2718259999999999</v>
      </c>
      <c r="U168">
        <v>2.2329409999999998</v>
      </c>
      <c r="V168">
        <v>2.1898680000000001</v>
      </c>
      <c r="W168">
        <v>2.1439339999999998</v>
      </c>
      <c r="X168">
        <v>2.0985369999999999</v>
      </c>
      <c r="Y168">
        <v>2.059526</v>
      </c>
      <c r="Z168">
        <v>2.0253060000000001</v>
      </c>
      <c r="AA168">
        <v>1.9918910000000001</v>
      </c>
      <c r="AB168">
        <v>1.9569749999999999</v>
      </c>
      <c r="AC168">
        <v>1.9238310000000001</v>
      </c>
      <c r="AD168">
        <v>1.892142</v>
      </c>
      <c r="AE168">
        <v>1.859585</v>
      </c>
      <c r="AF168">
        <v>1.825566</v>
      </c>
      <c r="AG168" s="71">
        <v>-0.01</v>
      </c>
    </row>
    <row r="169" spans="1:33" x14ac:dyDescent="0.75">
      <c r="A169" t="s">
        <v>199</v>
      </c>
      <c r="B169" t="s">
        <v>796</v>
      </c>
      <c r="C169" t="s">
        <v>795</v>
      </c>
      <c r="D169" t="s">
        <v>743</v>
      </c>
      <c r="F169">
        <v>1.585955</v>
      </c>
      <c r="G169">
        <v>1.6031569999999999</v>
      </c>
      <c r="H169">
        <v>1.6305590000000001</v>
      </c>
      <c r="I169">
        <v>1.665565</v>
      </c>
      <c r="J169">
        <v>1.6999679999999999</v>
      </c>
      <c r="K169">
        <v>1.7294670000000001</v>
      </c>
      <c r="L169">
        <v>1.756974</v>
      </c>
      <c r="M169">
        <v>1.779245</v>
      </c>
      <c r="N169">
        <v>1.8013349999999999</v>
      </c>
      <c r="O169">
        <v>1.81704</v>
      </c>
      <c r="P169">
        <v>1.8287150000000001</v>
      </c>
      <c r="Q169">
        <v>1.838938</v>
      </c>
      <c r="R169">
        <v>1.8455870000000001</v>
      </c>
      <c r="S169">
        <v>1.8517380000000001</v>
      </c>
      <c r="T169">
        <v>1.852997</v>
      </c>
      <c r="U169">
        <v>1.8526800000000001</v>
      </c>
      <c r="V169">
        <v>1.8467750000000001</v>
      </c>
      <c r="W169">
        <v>1.8396710000000001</v>
      </c>
      <c r="X169">
        <v>1.8324419999999999</v>
      </c>
      <c r="Y169">
        <v>1.8273280000000001</v>
      </c>
      <c r="Z169">
        <v>1.8227979999999999</v>
      </c>
      <c r="AA169">
        <v>1.815434</v>
      </c>
      <c r="AB169">
        <v>1.805024</v>
      </c>
      <c r="AC169">
        <v>1.7930740000000001</v>
      </c>
      <c r="AD169">
        <v>1.7802450000000001</v>
      </c>
      <c r="AE169">
        <v>1.7660819999999999</v>
      </c>
      <c r="AF169">
        <v>1.7487239999999999</v>
      </c>
      <c r="AG169" s="71">
        <v>4.0000000000000001E-3</v>
      </c>
    </row>
    <row r="170" spans="1:33" x14ac:dyDescent="0.75">
      <c r="A170" t="s">
        <v>193</v>
      </c>
      <c r="B170" t="s">
        <v>794</v>
      </c>
      <c r="C170" t="s">
        <v>793</v>
      </c>
      <c r="D170" t="s">
        <v>743</v>
      </c>
      <c r="F170">
        <v>2.1900000000000001E-3</v>
      </c>
      <c r="G170">
        <v>2.039E-3</v>
      </c>
      <c r="H170">
        <v>1.923E-3</v>
      </c>
      <c r="I170">
        <v>1.818E-3</v>
      </c>
      <c r="J170">
        <v>1.725E-3</v>
      </c>
      <c r="K170">
        <v>1.531E-3</v>
      </c>
      <c r="L170">
        <v>1.441E-3</v>
      </c>
      <c r="M170">
        <v>1.346E-3</v>
      </c>
      <c r="N170">
        <v>1.2639999999999999E-3</v>
      </c>
      <c r="O170">
        <v>1.2030000000000001E-3</v>
      </c>
      <c r="P170">
        <v>1.1180000000000001E-3</v>
      </c>
      <c r="Q170">
        <v>1.0169999999999999E-3</v>
      </c>
      <c r="R170">
        <v>9.3400000000000004E-4</v>
      </c>
      <c r="S170">
        <v>8.6700000000000004E-4</v>
      </c>
      <c r="T170">
        <v>8.0699999999999999E-4</v>
      </c>
      <c r="U170">
        <v>7.5299999999999998E-4</v>
      </c>
      <c r="V170">
        <v>7.0799999999999997E-4</v>
      </c>
      <c r="W170">
        <v>6.6399999999999999E-4</v>
      </c>
      <c r="X170">
        <v>6.2299999999999996E-4</v>
      </c>
      <c r="Y170">
        <v>5.8500000000000002E-4</v>
      </c>
      <c r="Z170">
        <v>5.4699999999999996E-4</v>
      </c>
      <c r="AA170">
        <v>5.2099999999999998E-4</v>
      </c>
      <c r="AB170">
        <v>4.9200000000000003E-4</v>
      </c>
      <c r="AC170">
        <v>4.6500000000000003E-4</v>
      </c>
      <c r="AD170">
        <v>4.4000000000000002E-4</v>
      </c>
      <c r="AE170">
        <v>3.3799999999999998E-4</v>
      </c>
      <c r="AF170">
        <v>2.5099999999999998E-4</v>
      </c>
      <c r="AG170" s="71">
        <v>-0.08</v>
      </c>
    </row>
    <row r="171" spans="1:33" x14ac:dyDescent="0.75">
      <c r="A171" t="s">
        <v>190</v>
      </c>
      <c r="B171" t="s">
        <v>792</v>
      </c>
      <c r="C171" t="s">
        <v>791</v>
      </c>
      <c r="D171" t="s">
        <v>743</v>
      </c>
      <c r="F171">
        <v>8.0219999999999996E-3</v>
      </c>
      <c r="G171">
        <v>1.0805E-2</v>
      </c>
      <c r="H171">
        <v>1.3792E-2</v>
      </c>
      <c r="I171">
        <v>1.6891E-2</v>
      </c>
      <c r="J171">
        <v>1.9911999999999999E-2</v>
      </c>
      <c r="K171">
        <v>2.2794999999999999E-2</v>
      </c>
      <c r="L171">
        <v>2.5595E-2</v>
      </c>
      <c r="M171">
        <v>2.8303999999999999E-2</v>
      </c>
      <c r="N171">
        <v>3.0956000000000001E-2</v>
      </c>
      <c r="O171">
        <v>3.3620999999999998E-2</v>
      </c>
      <c r="P171">
        <v>3.6246E-2</v>
      </c>
      <c r="Q171">
        <v>3.8836000000000002E-2</v>
      </c>
      <c r="R171">
        <v>4.1377999999999998E-2</v>
      </c>
      <c r="S171">
        <v>4.3868999999999998E-2</v>
      </c>
      <c r="T171">
        <v>4.6358000000000003E-2</v>
      </c>
      <c r="U171">
        <v>4.8814999999999997E-2</v>
      </c>
      <c r="V171">
        <v>5.1213000000000002E-2</v>
      </c>
      <c r="W171">
        <v>5.3511000000000003E-2</v>
      </c>
      <c r="X171">
        <v>5.5780999999999997E-2</v>
      </c>
      <c r="Y171">
        <v>5.7986000000000003E-2</v>
      </c>
      <c r="Z171">
        <v>6.0061999999999997E-2</v>
      </c>
      <c r="AA171">
        <v>6.2019999999999999E-2</v>
      </c>
      <c r="AB171">
        <v>6.3844999999999999E-2</v>
      </c>
      <c r="AC171">
        <v>6.5603999999999996E-2</v>
      </c>
      <c r="AD171">
        <v>6.7313999999999999E-2</v>
      </c>
      <c r="AE171">
        <v>6.9006999999999999E-2</v>
      </c>
      <c r="AF171">
        <v>7.059E-2</v>
      </c>
      <c r="AG171" s="71">
        <v>8.6999999999999994E-2</v>
      </c>
    </row>
    <row r="172" spans="1:33" x14ac:dyDescent="0.75">
      <c r="A172" t="s">
        <v>187</v>
      </c>
      <c r="B172" t="s">
        <v>790</v>
      </c>
      <c r="C172" t="s">
        <v>789</v>
      </c>
      <c r="D172" t="s">
        <v>743</v>
      </c>
      <c r="F172">
        <v>3.0175E-2</v>
      </c>
      <c r="G172">
        <v>2.9818000000000001E-2</v>
      </c>
      <c r="H172">
        <v>2.9425E-2</v>
      </c>
      <c r="I172">
        <v>2.8955999999999999E-2</v>
      </c>
      <c r="J172">
        <v>2.8405E-2</v>
      </c>
      <c r="K172">
        <v>2.7910999999999998E-2</v>
      </c>
      <c r="L172">
        <v>2.7310000000000001E-2</v>
      </c>
      <c r="M172">
        <v>2.6641000000000001E-2</v>
      </c>
      <c r="N172">
        <v>2.5982000000000002E-2</v>
      </c>
      <c r="O172">
        <v>2.5176E-2</v>
      </c>
      <c r="P172">
        <v>2.4344999999999999E-2</v>
      </c>
      <c r="Q172">
        <v>2.3564000000000002E-2</v>
      </c>
      <c r="R172">
        <v>2.2744E-2</v>
      </c>
      <c r="S172">
        <v>2.1894E-2</v>
      </c>
      <c r="T172">
        <v>2.1017999999999998E-2</v>
      </c>
      <c r="U172">
        <v>2.0091999999999999E-2</v>
      </c>
      <c r="V172">
        <v>1.9136E-2</v>
      </c>
      <c r="W172">
        <v>1.8169999999999999E-2</v>
      </c>
      <c r="X172">
        <v>1.7172E-2</v>
      </c>
      <c r="Y172">
        <v>1.6177E-2</v>
      </c>
      <c r="Z172">
        <v>1.5131E-2</v>
      </c>
      <c r="AA172">
        <v>1.4052E-2</v>
      </c>
      <c r="AB172">
        <v>1.2877E-2</v>
      </c>
      <c r="AC172">
        <v>1.1648E-2</v>
      </c>
      <c r="AD172">
        <v>1.0281E-2</v>
      </c>
      <c r="AE172">
        <v>8.9499999999999996E-3</v>
      </c>
      <c r="AF172">
        <v>7.6639999999999998E-3</v>
      </c>
      <c r="AG172" s="71">
        <v>-5.0999999999999997E-2</v>
      </c>
    </row>
    <row r="173" spans="1:33" x14ac:dyDescent="0.75">
      <c r="A173" t="s">
        <v>135</v>
      </c>
      <c r="B173" t="s">
        <v>788</v>
      </c>
      <c r="C173" t="s">
        <v>787</v>
      </c>
      <c r="D173" t="s">
        <v>743</v>
      </c>
      <c r="F173">
        <v>8.1800000000000004E-4</v>
      </c>
      <c r="G173">
        <v>9.2199999999999997E-4</v>
      </c>
      <c r="H173">
        <v>1.0300000000000001E-3</v>
      </c>
      <c r="I173">
        <v>1.145E-3</v>
      </c>
      <c r="J173">
        <v>1.2539999999999999E-3</v>
      </c>
      <c r="K173">
        <v>1.353E-3</v>
      </c>
      <c r="L173">
        <v>1.4519999999999999E-3</v>
      </c>
      <c r="M173">
        <v>1.5399999999999999E-3</v>
      </c>
      <c r="N173">
        <v>1.6329999999999999E-3</v>
      </c>
      <c r="O173">
        <v>1.725E-3</v>
      </c>
      <c r="P173">
        <v>1.815E-3</v>
      </c>
      <c r="Q173">
        <v>1.9009999999999999E-3</v>
      </c>
      <c r="R173">
        <v>1.9840000000000001E-3</v>
      </c>
      <c r="S173">
        <v>2.0669999999999998E-3</v>
      </c>
      <c r="T173">
        <v>2.1459999999999999E-3</v>
      </c>
      <c r="U173">
        <v>2.2209999999999999E-3</v>
      </c>
      <c r="V173">
        <v>2.2910000000000001E-3</v>
      </c>
      <c r="W173">
        <v>2.3570000000000002E-3</v>
      </c>
      <c r="X173">
        <v>2.4199999999999998E-3</v>
      </c>
      <c r="Y173">
        <v>2.4789999999999999E-3</v>
      </c>
      <c r="Z173">
        <v>2.5300000000000001E-3</v>
      </c>
      <c r="AA173">
        <v>2.5769999999999999E-3</v>
      </c>
      <c r="AB173">
        <v>2.6159999999999998E-3</v>
      </c>
      <c r="AC173">
        <v>2.6519999999999998E-3</v>
      </c>
      <c r="AD173">
        <v>2.6909999999999998E-3</v>
      </c>
      <c r="AE173">
        <v>2.7290000000000001E-3</v>
      </c>
      <c r="AF173">
        <v>2.761E-3</v>
      </c>
      <c r="AG173" s="71">
        <v>4.8000000000000001E-2</v>
      </c>
    </row>
    <row r="174" spans="1:33" x14ac:dyDescent="0.75">
      <c r="A174" t="s">
        <v>179</v>
      </c>
      <c r="B174" t="s">
        <v>786</v>
      </c>
      <c r="C174" t="s">
        <v>785</v>
      </c>
      <c r="D174" t="s">
        <v>743</v>
      </c>
      <c r="F174">
        <v>0</v>
      </c>
      <c r="G174">
        <v>0</v>
      </c>
      <c r="H174">
        <v>1.22E-4</v>
      </c>
      <c r="I174">
        <v>3.1500000000000001E-4</v>
      </c>
      <c r="J174">
        <v>6.2699999999999995E-4</v>
      </c>
      <c r="K174">
        <v>1.0369999999999999E-3</v>
      </c>
      <c r="L174">
        <v>1.516E-3</v>
      </c>
      <c r="M174">
        <v>2.0600000000000002E-3</v>
      </c>
      <c r="N174">
        <v>2.637E-3</v>
      </c>
      <c r="O174">
        <v>2.6210000000000001E-3</v>
      </c>
      <c r="P174">
        <v>2.601E-3</v>
      </c>
      <c r="Q174">
        <v>2.578E-3</v>
      </c>
      <c r="R174">
        <v>2.5579999999999999E-3</v>
      </c>
      <c r="S174">
        <v>2.5379999999999999E-3</v>
      </c>
      <c r="T174">
        <v>2.5170000000000001E-3</v>
      </c>
      <c r="U174">
        <v>2.4940000000000001E-3</v>
      </c>
      <c r="V174">
        <v>2.4729999999999999E-3</v>
      </c>
      <c r="W174">
        <v>2.4559999999999998E-3</v>
      </c>
      <c r="X174">
        <v>2.441E-3</v>
      </c>
      <c r="Y174">
        <v>2.4320000000000001E-3</v>
      </c>
      <c r="Z174">
        <v>2.4260000000000002E-3</v>
      </c>
      <c r="AA174">
        <v>2.421E-3</v>
      </c>
      <c r="AB174">
        <v>2.4139999999999999E-3</v>
      </c>
      <c r="AC174">
        <v>2.3779999999999999E-3</v>
      </c>
      <c r="AD174">
        <v>2.3280000000000002E-3</v>
      </c>
      <c r="AE174">
        <v>2.2699999999999999E-3</v>
      </c>
      <c r="AF174">
        <v>2.2000000000000001E-3</v>
      </c>
      <c r="AG174" t="s">
        <v>111</v>
      </c>
    </row>
    <row r="175" spans="1:33" x14ac:dyDescent="0.75">
      <c r="A175" t="s">
        <v>182</v>
      </c>
      <c r="B175" t="s">
        <v>784</v>
      </c>
      <c r="C175" t="s">
        <v>783</v>
      </c>
      <c r="D175" t="s">
        <v>743</v>
      </c>
      <c r="F175">
        <v>0</v>
      </c>
      <c r="G175">
        <v>5.62E-4</v>
      </c>
      <c r="H175">
        <v>1.2110000000000001E-3</v>
      </c>
      <c r="I175">
        <v>1.542E-3</v>
      </c>
      <c r="J175">
        <v>1.609E-3</v>
      </c>
      <c r="K175">
        <v>1.609E-3</v>
      </c>
      <c r="L175">
        <v>1.598E-3</v>
      </c>
      <c r="M175">
        <v>1.588E-3</v>
      </c>
      <c r="N175">
        <v>1.586E-3</v>
      </c>
      <c r="O175">
        <v>1.5809999999999999E-3</v>
      </c>
      <c r="P175">
        <v>1.572E-3</v>
      </c>
      <c r="Q175">
        <v>1.5590000000000001E-3</v>
      </c>
      <c r="R175">
        <v>1.5499999999999999E-3</v>
      </c>
      <c r="S175">
        <v>1.5319999999999999E-3</v>
      </c>
      <c r="T175">
        <v>1.5139999999999999E-3</v>
      </c>
      <c r="U175">
        <v>1.5020000000000001E-3</v>
      </c>
      <c r="V175">
        <v>1.4970000000000001E-3</v>
      </c>
      <c r="W175">
        <v>1.493E-3</v>
      </c>
      <c r="X175">
        <v>1.477E-3</v>
      </c>
      <c r="Y175">
        <v>1.454E-3</v>
      </c>
      <c r="Z175">
        <v>1.4220000000000001E-3</v>
      </c>
      <c r="AA175">
        <v>1.387E-3</v>
      </c>
      <c r="AB175">
        <v>1.3420000000000001E-3</v>
      </c>
      <c r="AC175">
        <v>1.289E-3</v>
      </c>
      <c r="AD175">
        <v>1.232E-3</v>
      </c>
      <c r="AE175">
        <v>1.17E-3</v>
      </c>
      <c r="AF175">
        <v>1.1050000000000001E-3</v>
      </c>
      <c r="AG175" t="s">
        <v>111</v>
      </c>
    </row>
    <row r="176" spans="1:33" x14ac:dyDescent="0.75">
      <c r="A176" t="s">
        <v>139</v>
      </c>
      <c r="B176" t="s">
        <v>782</v>
      </c>
      <c r="C176" t="s">
        <v>781</v>
      </c>
      <c r="D176" t="s">
        <v>743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111</v>
      </c>
    </row>
    <row r="177" spans="1:33" x14ac:dyDescent="0.75">
      <c r="A177" t="s">
        <v>174</v>
      </c>
      <c r="B177" t="s">
        <v>780</v>
      </c>
      <c r="C177" t="s">
        <v>779</v>
      </c>
      <c r="D177" t="s">
        <v>743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111</v>
      </c>
    </row>
    <row r="178" spans="1:33" x14ac:dyDescent="0.75">
      <c r="A178" t="s">
        <v>171</v>
      </c>
      <c r="B178" t="s">
        <v>778</v>
      </c>
      <c r="C178" t="s">
        <v>777</v>
      </c>
      <c r="D178" t="s">
        <v>743</v>
      </c>
      <c r="F178">
        <v>0</v>
      </c>
      <c r="G178">
        <v>1.714E-3</v>
      </c>
      <c r="H178">
        <v>4.0610000000000004E-3</v>
      </c>
      <c r="I178">
        <v>7.2750000000000002E-3</v>
      </c>
      <c r="J178">
        <v>1.1434E-2</v>
      </c>
      <c r="K178">
        <v>1.6846E-2</v>
      </c>
      <c r="L178">
        <v>2.4177000000000001E-2</v>
      </c>
      <c r="M178">
        <v>3.4250000000000003E-2</v>
      </c>
      <c r="N178">
        <v>4.8252999999999997E-2</v>
      </c>
      <c r="O178">
        <v>6.7613000000000006E-2</v>
      </c>
      <c r="P178">
        <v>9.3364000000000003E-2</v>
      </c>
      <c r="Q178">
        <v>0.12609000000000001</v>
      </c>
      <c r="R178">
        <v>0.16609399999999999</v>
      </c>
      <c r="S178">
        <v>0.212897</v>
      </c>
      <c r="T178">
        <v>0.26521899999999998</v>
      </c>
      <c r="U178">
        <v>0.32117800000000002</v>
      </c>
      <c r="V178">
        <v>0.37935200000000002</v>
      </c>
      <c r="W178">
        <v>0.43880200000000003</v>
      </c>
      <c r="X178">
        <v>0.49908999999999998</v>
      </c>
      <c r="Y178">
        <v>0.55974599999999997</v>
      </c>
      <c r="Z178">
        <v>0.61965000000000003</v>
      </c>
      <c r="AA178">
        <v>0.67806999999999995</v>
      </c>
      <c r="AB178">
        <v>0.73476300000000005</v>
      </c>
      <c r="AC178">
        <v>0.79071899999999995</v>
      </c>
      <c r="AD178">
        <v>0.84615200000000002</v>
      </c>
      <c r="AE178">
        <v>0.90025699999999997</v>
      </c>
      <c r="AF178">
        <v>0.95221999999999996</v>
      </c>
      <c r="AG178" t="s">
        <v>111</v>
      </c>
    </row>
    <row r="179" spans="1:33" x14ac:dyDescent="0.75">
      <c r="A179" t="s">
        <v>168</v>
      </c>
      <c r="B179" t="s">
        <v>776</v>
      </c>
      <c r="C179" t="s">
        <v>775</v>
      </c>
      <c r="D179" t="s">
        <v>743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111</v>
      </c>
    </row>
    <row r="180" spans="1:33" s="1" customFormat="1" x14ac:dyDescent="0.75">
      <c r="A180" s="1" t="s">
        <v>600</v>
      </c>
      <c r="B180" s="1" t="s">
        <v>774</v>
      </c>
      <c r="C180" s="1" t="s">
        <v>773</v>
      </c>
      <c r="D180" s="1" t="s">
        <v>743</v>
      </c>
      <c r="F180" s="1">
        <v>3.970215</v>
      </c>
      <c r="G180" s="1">
        <v>4.0091910000000004</v>
      </c>
      <c r="H180" s="1">
        <v>4.0653360000000003</v>
      </c>
      <c r="I180" s="1">
        <v>4.1323340000000002</v>
      </c>
      <c r="J180" s="1">
        <v>4.1937249999999997</v>
      </c>
      <c r="K180" s="1">
        <v>4.2415349999999998</v>
      </c>
      <c r="L180" s="1">
        <v>4.2838779999999996</v>
      </c>
      <c r="M180" s="1">
        <v>4.3163669999999996</v>
      </c>
      <c r="N180" s="1">
        <v>4.348007</v>
      </c>
      <c r="O180" s="1">
        <v>4.369561</v>
      </c>
      <c r="P180" s="1">
        <v>4.3852000000000002</v>
      </c>
      <c r="Q180" s="1">
        <v>4.4020970000000004</v>
      </c>
      <c r="R180" s="1">
        <v>4.4208569999999998</v>
      </c>
      <c r="S180" s="1">
        <v>4.4439219999999997</v>
      </c>
      <c r="T180" s="1">
        <v>4.4644000000000004</v>
      </c>
      <c r="U180" s="1">
        <v>4.4826800000000002</v>
      </c>
      <c r="V180" s="1">
        <v>4.4933120000000004</v>
      </c>
      <c r="W180" s="1">
        <v>4.5010579999999996</v>
      </c>
      <c r="X180" s="1">
        <v>4.5099869999999997</v>
      </c>
      <c r="Y180" s="1">
        <v>4.527717</v>
      </c>
      <c r="Z180" s="1">
        <v>4.5498729999999998</v>
      </c>
      <c r="AA180" s="1">
        <v>4.5683740000000004</v>
      </c>
      <c r="AB180" s="1">
        <v>4.5803440000000002</v>
      </c>
      <c r="AC180" s="1">
        <v>4.5916600000000001</v>
      </c>
      <c r="AD180" s="1">
        <v>4.6028260000000003</v>
      </c>
      <c r="AE180" s="1">
        <v>4.6103870000000002</v>
      </c>
      <c r="AF180" s="1">
        <v>4.6110850000000001</v>
      </c>
      <c r="AG180" s="79">
        <v>6.0000000000000001E-3</v>
      </c>
    </row>
    <row r="181" spans="1:33" x14ac:dyDescent="0.75">
      <c r="A181" t="s">
        <v>597</v>
      </c>
    </row>
    <row r="182" spans="1:33" x14ac:dyDescent="0.75">
      <c r="A182" t="s">
        <v>196</v>
      </c>
      <c r="B182" t="s">
        <v>772</v>
      </c>
      <c r="C182" t="s">
        <v>771</v>
      </c>
      <c r="D182" t="s">
        <v>743</v>
      </c>
      <c r="F182">
        <v>5.4532230000000004</v>
      </c>
      <c r="G182">
        <v>5.54474</v>
      </c>
      <c r="H182">
        <v>5.6681350000000004</v>
      </c>
      <c r="I182">
        <v>5.8111879999999996</v>
      </c>
      <c r="J182">
        <v>5.9438380000000004</v>
      </c>
      <c r="K182">
        <v>6.0549759999999999</v>
      </c>
      <c r="L182">
        <v>6.1551280000000004</v>
      </c>
      <c r="M182">
        <v>6.2453989999999999</v>
      </c>
      <c r="N182">
        <v>6.3268560000000003</v>
      </c>
      <c r="O182">
        <v>6.4006259999999999</v>
      </c>
      <c r="P182">
        <v>6.4616090000000002</v>
      </c>
      <c r="Q182">
        <v>6.5220029999999998</v>
      </c>
      <c r="R182">
        <v>6.5889709999999999</v>
      </c>
      <c r="S182">
        <v>6.6581659999999996</v>
      </c>
      <c r="T182">
        <v>6.7268949999999998</v>
      </c>
      <c r="U182">
        <v>6.785615</v>
      </c>
      <c r="V182">
        <v>6.8349149999999996</v>
      </c>
      <c r="W182">
        <v>6.8703469999999998</v>
      </c>
      <c r="X182">
        <v>6.9170680000000004</v>
      </c>
      <c r="Y182">
        <v>6.9704490000000003</v>
      </c>
      <c r="Z182">
        <v>7.0275299999999996</v>
      </c>
      <c r="AA182">
        <v>7.0818209999999997</v>
      </c>
      <c r="AB182">
        <v>7.1251420000000003</v>
      </c>
      <c r="AC182">
        <v>7.1636379999999997</v>
      </c>
      <c r="AD182">
        <v>7.1999880000000003</v>
      </c>
      <c r="AE182">
        <v>7.227563</v>
      </c>
      <c r="AF182">
        <v>7.2418500000000003</v>
      </c>
      <c r="AG182" s="71">
        <v>1.0999999999999999E-2</v>
      </c>
    </row>
    <row r="183" spans="1:33" x14ac:dyDescent="0.75">
      <c r="A183" t="s">
        <v>199</v>
      </c>
      <c r="B183" t="s">
        <v>770</v>
      </c>
      <c r="C183" t="s">
        <v>769</v>
      </c>
      <c r="D183" t="s">
        <v>743</v>
      </c>
      <c r="F183">
        <v>3.8136000000000003E-2</v>
      </c>
      <c r="G183">
        <v>3.1983999999999999E-2</v>
      </c>
      <c r="H183">
        <v>2.7276000000000002E-2</v>
      </c>
      <c r="I183">
        <v>2.3623000000000002E-2</v>
      </c>
      <c r="J183">
        <v>2.0743000000000001E-2</v>
      </c>
      <c r="K183">
        <v>1.8360999999999999E-2</v>
      </c>
      <c r="L183">
        <v>1.6451E-2</v>
      </c>
      <c r="M183">
        <v>1.4766E-2</v>
      </c>
      <c r="N183">
        <v>1.3356E-2</v>
      </c>
      <c r="O183">
        <v>1.2163999999999999E-2</v>
      </c>
      <c r="P183">
        <v>1.123E-2</v>
      </c>
      <c r="Q183">
        <v>1.0534E-2</v>
      </c>
      <c r="R183">
        <v>9.9780000000000008E-3</v>
      </c>
      <c r="S183">
        <v>9.5230000000000002E-3</v>
      </c>
      <c r="T183">
        <v>9.1430000000000001E-3</v>
      </c>
      <c r="U183">
        <v>8.8090000000000009E-3</v>
      </c>
      <c r="V183">
        <v>8.4720000000000004E-3</v>
      </c>
      <c r="W183">
        <v>8.2249999999999997E-3</v>
      </c>
      <c r="X183">
        <v>7.9209999999999992E-3</v>
      </c>
      <c r="Y183">
        <v>7.6280000000000002E-3</v>
      </c>
      <c r="Z183">
        <v>7.4219999999999998E-3</v>
      </c>
      <c r="AA183">
        <v>7.2960000000000004E-3</v>
      </c>
      <c r="AB183">
        <v>7.2110000000000004E-3</v>
      </c>
      <c r="AC183">
        <v>7.1520000000000004E-3</v>
      </c>
      <c r="AD183">
        <v>7.1180000000000002E-3</v>
      </c>
      <c r="AE183">
        <v>7.0850000000000002E-3</v>
      </c>
      <c r="AF183">
        <v>7.051E-3</v>
      </c>
      <c r="AG183" s="71">
        <v>-6.3E-2</v>
      </c>
    </row>
    <row r="184" spans="1:33" x14ac:dyDescent="0.75">
      <c r="A184" t="s">
        <v>193</v>
      </c>
      <c r="B184" t="s">
        <v>768</v>
      </c>
      <c r="C184" t="s">
        <v>767</v>
      </c>
      <c r="D184" t="s">
        <v>743</v>
      </c>
      <c r="F184">
        <v>3.0569999999999998E-3</v>
      </c>
      <c r="G184">
        <v>3.0070000000000001E-3</v>
      </c>
      <c r="H184">
        <v>3.0309999999999998E-3</v>
      </c>
      <c r="I184">
        <v>3.107E-3</v>
      </c>
      <c r="J184">
        <v>3.1909999999999998E-3</v>
      </c>
      <c r="K184">
        <v>3.241E-3</v>
      </c>
      <c r="L184">
        <v>3.297E-3</v>
      </c>
      <c r="M184">
        <v>3.3300000000000001E-3</v>
      </c>
      <c r="N184">
        <v>3.346E-3</v>
      </c>
      <c r="O184">
        <v>3.3730000000000001E-3</v>
      </c>
      <c r="P184">
        <v>3.4280000000000001E-3</v>
      </c>
      <c r="Q184">
        <v>3.4710000000000001E-3</v>
      </c>
      <c r="R184">
        <v>3.5140000000000002E-3</v>
      </c>
      <c r="S184">
        <v>3.5530000000000002E-3</v>
      </c>
      <c r="T184">
        <v>3.6020000000000002E-3</v>
      </c>
      <c r="U184">
        <v>3.6579999999999998E-3</v>
      </c>
      <c r="V184">
        <v>3.715E-3</v>
      </c>
      <c r="W184">
        <v>3.7629999999999999E-3</v>
      </c>
      <c r="X184">
        <v>3.8070000000000001E-3</v>
      </c>
      <c r="Y184">
        <v>3.8449999999999999E-3</v>
      </c>
      <c r="Z184">
        <v>3.8839999999999999E-3</v>
      </c>
      <c r="AA184">
        <v>3.9179999999999996E-3</v>
      </c>
      <c r="AB184">
        <v>3.9500000000000004E-3</v>
      </c>
      <c r="AC184">
        <v>3.98E-3</v>
      </c>
      <c r="AD184">
        <v>4.0140000000000002E-3</v>
      </c>
      <c r="AE184">
        <v>4.0249999999999999E-3</v>
      </c>
      <c r="AF184">
        <v>4.0070000000000001E-3</v>
      </c>
      <c r="AG184" s="71">
        <v>0.01</v>
      </c>
    </row>
    <row r="185" spans="1:33" x14ac:dyDescent="0.75">
      <c r="A185" t="s">
        <v>190</v>
      </c>
      <c r="B185" t="s">
        <v>766</v>
      </c>
      <c r="C185" t="s">
        <v>765</v>
      </c>
      <c r="D185" t="s">
        <v>743</v>
      </c>
      <c r="F185">
        <v>5.7391999999999999E-2</v>
      </c>
      <c r="G185">
        <v>6.1581999999999998E-2</v>
      </c>
      <c r="H185">
        <v>6.6053000000000001E-2</v>
      </c>
      <c r="I185">
        <v>7.0393999999999998E-2</v>
      </c>
      <c r="J185">
        <v>7.4439000000000005E-2</v>
      </c>
      <c r="K185">
        <v>7.8131999999999993E-2</v>
      </c>
      <c r="L185">
        <v>8.1558000000000005E-2</v>
      </c>
      <c r="M185">
        <v>8.4717000000000001E-2</v>
      </c>
      <c r="N185">
        <v>8.7696999999999997E-2</v>
      </c>
      <c r="O185">
        <v>9.0575000000000003E-2</v>
      </c>
      <c r="P185">
        <v>9.3313999999999994E-2</v>
      </c>
      <c r="Q185">
        <v>9.5942E-2</v>
      </c>
      <c r="R185">
        <v>9.8466999999999999E-2</v>
      </c>
      <c r="S185">
        <v>0.10101300000000001</v>
      </c>
      <c r="T185">
        <v>0.103474</v>
      </c>
      <c r="U185">
        <v>0.10592500000000001</v>
      </c>
      <c r="V185">
        <v>0.108441</v>
      </c>
      <c r="W185">
        <v>0.11104899999999999</v>
      </c>
      <c r="X185">
        <v>0.11365</v>
      </c>
      <c r="Y185">
        <v>0.11616600000000001</v>
      </c>
      <c r="Z185">
        <v>0.118715</v>
      </c>
      <c r="AA185">
        <v>0.12114999999999999</v>
      </c>
      <c r="AB185">
        <v>0.12349</v>
      </c>
      <c r="AC185">
        <v>0.12600500000000001</v>
      </c>
      <c r="AD185">
        <v>0.12883</v>
      </c>
      <c r="AE185">
        <v>0.13184399999999999</v>
      </c>
      <c r="AF185">
        <v>0.13523499999999999</v>
      </c>
      <c r="AG185" s="71">
        <v>3.4000000000000002E-2</v>
      </c>
    </row>
    <row r="186" spans="1:33" x14ac:dyDescent="0.75">
      <c r="A186" t="s">
        <v>187</v>
      </c>
      <c r="B186" t="s">
        <v>764</v>
      </c>
      <c r="C186" t="s">
        <v>763</v>
      </c>
      <c r="D186" t="s">
        <v>743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111</v>
      </c>
    </row>
    <row r="187" spans="1:33" x14ac:dyDescent="0.75">
      <c r="A187" t="s">
        <v>135</v>
      </c>
      <c r="B187" t="s">
        <v>762</v>
      </c>
      <c r="C187" t="s">
        <v>761</v>
      </c>
      <c r="D187" t="s">
        <v>743</v>
      </c>
      <c r="F187">
        <v>2.114E-3</v>
      </c>
      <c r="G187">
        <v>2.921E-3</v>
      </c>
      <c r="H187">
        <v>3.8010000000000001E-3</v>
      </c>
      <c r="I187">
        <v>4.7330000000000002E-3</v>
      </c>
      <c r="J187">
        <v>5.6499999999999996E-3</v>
      </c>
      <c r="K187">
        <v>6.5319999999999996E-3</v>
      </c>
      <c r="L187">
        <v>7.3819999999999997E-3</v>
      </c>
      <c r="M187">
        <v>8.1930000000000006E-3</v>
      </c>
      <c r="N187">
        <v>8.9680000000000003E-3</v>
      </c>
      <c r="O187">
        <v>9.7109999999999991E-3</v>
      </c>
      <c r="P187">
        <v>1.0414E-2</v>
      </c>
      <c r="Q187">
        <v>1.1073E-2</v>
      </c>
      <c r="R187">
        <v>1.1696E-2</v>
      </c>
      <c r="S187">
        <v>1.2281E-2</v>
      </c>
      <c r="T187">
        <v>1.2834E-2</v>
      </c>
      <c r="U187">
        <v>1.3354E-2</v>
      </c>
      <c r="V187">
        <v>1.3842E-2</v>
      </c>
      <c r="W187">
        <v>1.4302E-2</v>
      </c>
      <c r="X187">
        <v>1.4742E-2</v>
      </c>
      <c r="Y187">
        <v>1.5167E-2</v>
      </c>
      <c r="Z187">
        <v>1.5570000000000001E-2</v>
      </c>
      <c r="AA187">
        <v>1.5951E-2</v>
      </c>
      <c r="AB187">
        <v>1.6309000000000001E-2</v>
      </c>
      <c r="AC187">
        <v>1.6659E-2</v>
      </c>
      <c r="AD187">
        <v>1.7006E-2</v>
      </c>
      <c r="AE187">
        <v>1.7343000000000001E-2</v>
      </c>
      <c r="AF187">
        <v>1.7661E-2</v>
      </c>
      <c r="AG187" s="71">
        <v>8.5000000000000006E-2</v>
      </c>
    </row>
    <row r="188" spans="1:33" x14ac:dyDescent="0.75">
      <c r="A188" t="s">
        <v>179</v>
      </c>
      <c r="B188" t="s">
        <v>760</v>
      </c>
      <c r="C188" t="s">
        <v>759</v>
      </c>
      <c r="D188" t="s">
        <v>743</v>
      </c>
      <c r="F188">
        <v>0</v>
      </c>
      <c r="G188">
        <v>0</v>
      </c>
      <c r="H188">
        <v>1.22E-4</v>
      </c>
      <c r="I188">
        <v>3.5199999999999999E-4</v>
      </c>
      <c r="J188">
        <v>6.2E-4</v>
      </c>
      <c r="K188">
        <v>9.41E-4</v>
      </c>
      <c r="L188">
        <v>1.3209999999999999E-3</v>
      </c>
      <c r="M188">
        <v>1.7750000000000001E-3</v>
      </c>
      <c r="N188">
        <v>2.336E-3</v>
      </c>
      <c r="O188">
        <v>2.3189999999999999E-3</v>
      </c>
      <c r="P188">
        <v>2.313E-3</v>
      </c>
      <c r="Q188">
        <v>2.33E-3</v>
      </c>
      <c r="R188">
        <v>2.3609999999999998E-3</v>
      </c>
      <c r="S188">
        <v>2.4290000000000002E-3</v>
      </c>
      <c r="T188">
        <v>2.5279999999999999E-3</v>
      </c>
      <c r="U188">
        <v>2.6589999999999999E-3</v>
      </c>
      <c r="V188">
        <v>2.7859999999999998E-3</v>
      </c>
      <c r="W188">
        <v>2.8890000000000001E-3</v>
      </c>
      <c r="X188">
        <v>2.9499999999999999E-3</v>
      </c>
      <c r="Y188">
        <v>2.9640000000000001E-3</v>
      </c>
      <c r="Z188">
        <v>2.9450000000000001E-3</v>
      </c>
      <c r="AA188">
        <v>2.8879999999999999E-3</v>
      </c>
      <c r="AB188">
        <v>2.7810000000000001E-3</v>
      </c>
      <c r="AC188">
        <v>2.6259999999999999E-3</v>
      </c>
      <c r="AD188">
        <v>2.4940000000000001E-3</v>
      </c>
      <c r="AE188">
        <v>2.3879999999999999E-3</v>
      </c>
      <c r="AF188">
        <v>2.3059999999999999E-3</v>
      </c>
      <c r="AG188" t="s">
        <v>111</v>
      </c>
    </row>
    <row r="189" spans="1:33" x14ac:dyDescent="0.75">
      <c r="A189" t="s">
        <v>182</v>
      </c>
      <c r="B189" t="s">
        <v>758</v>
      </c>
      <c r="C189" t="s">
        <v>757</v>
      </c>
      <c r="D189" t="s">
        <v>743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111</v>
      </c>
    </row>
    <row r="190" spans="1:33" x14ac:dyDescent="0.75">
      <c r="A190" t="s">
        <v>139</v>
      </c>
      <c r="B190" t="s">
        <v>756</v>
      </c>
      <c r="C190" t="s">
        <v>755</v>
      </c>
      <c r="D190" t="s">
        <v>743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111</v>
      </c>
    </row>
    <row r="191" spans="1:33" x14ac:dyDescent="0.75">
      <c r="A191" t="s">
        <v>174</v>
      </c>
      <c r="B191" t="s">
        <v>754</v>
      </c>
      <c r="C191" t="s">
        <v>753</v>
      </c>
      <c r="D191" t="s">
        <v>743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111</v>
      </c>
    </row>
    <row r="192" spans="1:33" x14ac:dyDescent="0.75">
      <c r="A192" t="s">
        <v>171</v>
      </c>
      <c r="B192" t="s">
        <v>752</v>
      </c>
      <c r="C192" t="s">
        <v>751</v>
      </c>
      <c r="D192" t="s">
        <v>743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111</v>
      </c>
    </row>
    <row r="193" spans="1:33" x14ac:dyDescent="0.75">
      <c r="A193" t="s">
        <v>168</v>
      </c>
      <c r="B193" t="s">
        <v>750</v>
      </c>
      <c r="C193" t="s">
        <v>749</v>
      </c>
      <c r="D193" t="s">
        <v>743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111</v>
      </c>
    </row>
    <row r="194" spans="1:33" s="77" customFormat="1" x14ac:dyDescent="0.75">
      <c r="A194" s="77" t="s">
        <v>572</v>
      </c>
      <c r="B194" s="77" t="s">
        <v>748</v>
      </c>
      <c r="C194" s="77" t="s">
        <v>747</v>
      </c>
      <c r="D194" s="77" t="s">
        <v>743</v>
      </c>
      <c r="F194" s="77">
        <v>5.5539240000000003</v>
      </c>
      <c r="G194" s="77">
        <v>5.6442329999999998</v>
      </c>
      <c r="H194" s="77">
        <v>5.7684139999999999</v>
      </c>
      <c r="I194" s="77">
        <v>5.9133979999999999</v>
      </c>
      <c r="J194" s="77">
        <v>6.0484790000000004</v>
      </c>
      <c r="K194" s="77">
        <v>6.1621829999999997</v>
      </c>
      <c r="L194" s="77">
        <v>6.2651370000000002</v>
      </c>
      <c r="M194" s="77">
        <v>6.3581779999999997</v>
      </c>
      <c r="N194" s="77">
        <v>6.4425569999999999</v>
      </c>
      <c r="O194" s="77">
        <v>6.5187679999999997</v>
      </c>
      <c r="P194" s="77">
        <v>6.5823070000000001</v>
      </c>
      <c r="Q194" s="77">
        <v>6.6453530000000001</v>
      </c>
      <c r="R194" s="77">
        <v>6.7149859999999997</v>
      </c>
      <c r="S194" s="77">
        <v>6.7869659999999996</v>
      </c>
      <c r="T194" s="77">
        <v>6.8584779999999999</v>
      </c>
      <c r="U194" s="77">
        <v>6.9200189999999999</v>
      </c>
      <c r="V194" s="77">
        <v>6.9721710000000003</v>
      </c>
      <c r="W194" s="77">
        <v>7.01058</v>
      </c>
      <c r="X194" s="77">
        <v>7.0601390000000004</v>
      </c>
      <c r="Y194" s="77">
        <v>7.1162190000000001</v>
      </c>
      <c r="Z194" s="77">
        <v>7.1760700000000002</v>
      </c>
      <c r="AA194" s="77">
        <v>7.2330199999999998</v>
      </c>
      <c r="AB194" s="77">
        <v>7.2788839999999997</v>
      </c>
      <c r="AC194" s="77">
        <v>7.3200570000000003</v>
      </c>
      <c r="AD194" s="77">
        <v>7.3594530000000002</v>
      </c>
      <c r="AE194" s="77">
        <v>7.390244</v>
      </c>
      <c r="AF194" s="77">
        <v>7.408112</v>
      </c>
      <c r="AG194" s="78">
        <v>1.0999999999999999E-2</v>
      </c>
    </row>
    <row r="195" spans="1:33" x14ac:dyDescent="0.75">
      <c r="A195" t="s">
        <v>746</v>
      </c>
      <c r="B195" t="s">
        <v>745</v>
      </c>
      <c r="C195" t="s">
        <v>744</v>
      </c>
      <c r="D195" t="s">
        <v>743</v>
      </c>
      <c r="F195">
        <v>14.630017</v>
      </c>
      <c r="G195">
        <v>14.950063999999999</v>
      </c>
      <c r="H195">
        <v>15.336373999999999</v>
      </c>
      <c r="I195">
        <v>15.758817000000001</v>
      </c>
      <c r="J195">
        <v>16.157616000000001</v>
      </c>
      <c r="K195">
        <v>16.514610000000001</v>
      </c>
      <c r="L195">
        <v>16.851102999999998</v>
      </c>
      <c r="M195">
        <v>17.157919</v>
      </c>
      <c r="N195">
        <v>17.453142</v>
      </c>
      <c r="O195">
        <v>17.722261</v>
      </c>
      <c r="P195">
        <v>17.971948999999999</v>
      </c>
      <c r="Q195">
        <v>18.217116999999998</v>
      </c>
      <c r="R195">
        <v>18.470904999999998</v>
      </c>
      <c r="S195">
        <v>18.730982000000001</v>
      </c>
      <c r="T195">
        <v>18.987928</v>
      </c>
      <c r="U195">
        <v>19.229583999999999</v>
      </c>
      <c r="V195">
        <v>19.448927000000001</v>
      </c>
      <c r="W195">
        <v>19.6525</v>
      </c>
      <c r="X195">
        <v>19.864656</v>
      </c>
      <c r="Y195">
        <v>20.100263999999999</v>
      </c>
      <c r="Z195">
        <v>20.349910999999999</v>
      </c>
      <c r="AA195">
        <v>20.586701999999999</v>
      </c>
      <c r="AB195">
        <v>20.79805</v>
      </c>
      <c r="AC195">
        <v>21.004408000000002</v>
      </c>
      <c r="AD195">
        <v>21.205359999999999</v>
      </c>
      <c r="AE195">
        <v>21.380649999999999</v>
      </c>
      <c r="AF195">
        <v>21.528708000000002</v>
      </c>
      <c r="AG195" s="71">
        <v>1.4999999999999999E-2</v>
      </c>
    </row>
    <row r="196" spans="1:33" x14ac:dyDescent="0.75">
      <c r="A196" t="s">
        <v>144</v>
      </c>
    </row>
    <row r="197" spans="1:33" x14ac:dyDescent="0.75">
      <c r="A197" t="s">
        <v>742</v>
      </c>
    </row>
    <row r="198" spans="1:33" x14ac:dyDescent="0.75">
      <c r="A198" t="s">
        <v>653</v>
      </c>
    </row>
    <row r="199" spans="1:33" x14ac:dyDescent="0.75">
      <c r="A199" t="s">
        <v>196</v>
      </c>
      <c r="B199" t="s">
        <v>741</v>
      </c>
      <c r="C199" t="s">
        <v>740</v>
      </c>
      <c r="D199" t="s">
        <v>661</v>
      </c>
      <c r="F199">
        <v>14.400703999999999</v>
      </c>
      <c r="G199">
        <v>14.660596</v>
      </c>
      <c r="H199">
        <v>14.909394000000001</v>
      </c>
      <c r="I199">
        <v>15.148808000000001</v>
      </c>
      <c r="J199">
        <v>15.587316</v>
      </c>
      <c r="K199">
        <v>15.569564</v>
      </c>
      <c r="L199">
        <v>15.706894999999999</v>
      </c>
      <c r="M199">
        <v>15.808894</v>
      </c>
      <c r="N199">
        <v>15.874243</v>
      </c>
      <c r="O199">
        <v>15.908842999999999</v>
      </c>
      <c r="P199">
        <v>15.928421</v>
      </c>
      <c r="Q199">
        <v>15.940676</v>
      </c>
      <c r="R199">
        <v>15.931882999999999</v>
      </c>
      <c r="S199">
        <v>15.918108999999999</v>
      </c>
      <c r="T199">
        <v>15.923935</v>
      </c>
      <c r="U199">
        <v>15.946382</v>
      </c>
      <c r="V199">
        <v>15.949452000000001</v>
      </c>
      <c r="W199">
        <v>15.974583000000001</v>
      </c>
      <c r="X199">
        <v>16.011904000000001</v>
      </c>
      <c r="Y199">
        <v>16.067564000000001</v>
      </c>
      <c r="Z199">
        <v>16.092542999999999</v>
      </c>
      <c r="AA199">
        <v>16.10285</v>
      </c>
      <c r="AB199">
        <v>16.070187000000001</v>
      </c>
      <c r="AC199">
        <v>16.117353000000001</v>
      </c>
      <c r="AD199">
        <v>16.17164</v>
      </c>
      <c r="AE199">
        <v>16.204170000000001</v>
      </c>
      <c r="AF199">
        <v>16.214468</v>
      </c>
      <c r="AG199" s="71">
        <v>5.0000000000000001E-3</v>
      </c>
    </row>
    <row r="200" spans="1:33" x14ac:dyDescent="0.75">
      <c r="A200" t="s">
        <v>199</v>
      </c>
      <c r="B200" t="s">
        <v>739</v>
      </c>
      <c r="C200" t="s">
        <v>738</v>
      </c>
      <c r="D200" t="s">
        <v>664</v>
      </c>
      <c r="F200">
        <v>12.031425</v>
      </c>
      <c r="G200">
        <v>12.120165999999999</v>
      </c>
      <c r="H200">
        <v>12.218216999999999</v>
      </c>
      <c r="I200">
        <v>12.314306</v>
      </c>
      <c r="J200">
        <v>12.519958000000001</v>
      </c>
      <c r="K200">
        <v>12.526904</v>
      </c>
      <c r="L200">
        <v>12.614868</v>
      </c>
      <c r="M200">
        <v>12.696854999999999</v>
      </c>
      <c r="N200">
        <v>12.776363</v>
      </c>
      <c r="O200">
        <v>12.810620999999999</v>
      </c>
      <c r="P200">
        <v>12.829993999999999</v>
      </c>
      <c r="Q200">
        <v>12.839169999999999</v>
      </c>
      <c r="R200">
        <v>12.820976</v>
      </c>
      <c r="S200">
        <v>12.785634999999999</v>
      </c>
      <c r="T200">
        <v>12.802814</v>
      </c>
      <c r="U200">
        <v>12.846814</v>
      </c>
      <c r="V200">
        <v>12.852778000000001</v>
      </c>
      <c r="W200">
        <v>12.900325</v>
      </c>
      <c r="X200">
        <v>12.970843</v>
      </c>
      <c r="Y200">
        <v>13.073732</v>
      </c>
      <c r="Z200">
        <v>13.11858</v>
      </c>
      <c r="AA200">
        <v>13.137976999999999</v>
      </c>
      <c r="AB200">
        <v>13.165692999999999</v>
      </c>
      <c r="AC200">
        <v>13.248922</v>
      </c>
      <c r="AD200">
        <v>13.34107</v>
      </c>
      <c r="AE200">
        <v>13.395440000000001</v>
      </c>
      <c r="AF200">
        <v>13.397116</v>
      </c>
      <c r="AG200" s="71">
        <v>4.0000000000000001E-3</v>
      </c>
    </row>
    <row r="201" spans="1:33" x14ac:dyDescent="0.75">
      <c r="A201" t="s">
        <v>193</v>
      </c>
      <c r="B201" t="s">
        <v>737</v>
      </c>
      <c r="C201" t="s">
        <v>736</v>
      </c>
      <c r="D201" t="s">
        <v>664</v>
      </c>
      <c r="F201">
        <v>11.1304</v>
      </c>
      <c r="G201">
        <v>11.18446</v>
      </c>
      <c r="H201">
        <v>11.218819999999999</v>
      </c>
      <c r="I201">
        <v>11.255887</v>
      </c>
      <c r="J201">
        <v>11.412219</v>
      </c>
      <c r="K201">
        <v>11.400475999999999</v>
      </c>
      <c r="L201">
        <v>11.479112000000001</v>
      </c>
      <c r="M201">
        <v>11.570024</v>
      </c>
      <c r="N201">
        <v>11.661617</v>
      </c>
      <c r="O201">
        <v>11.750628000000001</v>
      </c>
      <c r="P201">
        <v>11.847393</v>
      </c>
      <c r="Q201">
        <v>11.933859</v>
      </c>
      <c r="R201">
        <v>12.002807000000001</v>
      </c>
      <c r="S201">
        <v>12.054949000000001</v>
      </c>
      <c r="T201">
        <v>12.095764000000001</v>
      </c>
      <c r="U201">
        <v>12.138782000000001</v>
      </c>
      <c r="V201">
        <v>12.178782</v>
      </c>
      <c r="W201">
        <v>12.217374</v>
      </c>
      <c r="X201">
        <v>12.250284000000001</v>
      </c>
      <c r="Y201">
        <v>12.276258</v>
      </c>
      <c r="Z201">
        <v>12.298315000000001</v>
      </c>
      <c r="AA201">
        <v>12.314526000000001</v>
      </c>
      <c r="AB201">
        <v>12.324564000000001</v>
      </c>
      <c r="AC201">
        <v>12.324909</v>
      </c>
      <c r="AD201">
        <v>12.324966999999999</v>
      </c>
      <c r="AE201">
        <v>12.326323</v>
      </c>
      <c r="AF201">
        <v>12.328670000000001</v>
      </c>
      <c r="AG201" s="71">
        <v>4.0000000000000001E-3</v>
      </c>
    </row>
    <row r="202" spans="1:33" x14ac:dyDescent="0.75">
      <c r="A202" t="s">
        <v>190</v>
      </c>
      <c r="B202" t="s">
        <v>735</v>
      </c>
      <c r="C202" t="s">
        <v>734</v>
      </c>
      <c r="D202" t="s">
        <v>664</v>
      </c>
      <c r="F202">
        <v>10.947818</v>
      </c>
      <c r="G202">
        <v>10.990493000000001</v>
      </c>
      <c r="H202">
        <v>11.056637</v>
      </c>
      <c r="I202">
        <v>11.142770000000001</v>
      </c>
      <c r="J202">
        <v>11.533828</v>
      </c>
      <c r="K202">
        <v>11.485296999999999</v>
      </c>
      <c r="L202">
        <v>11.616588999999999</v>
      </c>
      <c r="M202">
        <v>11.763449</v>
      </c>
      <c r="N202">
        <v>11.902488999999999</v>
      </c>
      <c r="O202">
        <v>12.032113000000001</v>
      </c>
      <c r="P202">
        <v>12.096603999999999</v>
      </c>
      <c r="Q202">
        <v>12.130247000000001</v>
      </c>
      <c r="R202">
        <v>12.148973</v>
      </c>
      <c r="S202">
        <v>12.149476</v>
      </c>
      <c r="T202">
        <v>12.133198999999999</v>
      </c>
      <c r="U202">
        <v>12.114938</v>
      </c>
      <c r="V202">
        <v>12.096787000000001</v>
      </c>
      <c r="W202">
        <v>12.080774999999999</v>
      </c>
      <c r="X202">
        <v>12.068275999999999</v>
      </c>
      <c r="Y202">
        <v>12.056754</v>
      </c>
      <c r="Z202">
        <v>12.050371</v>
      </c>
      <c r="AA202">
        <v>12.042301</v>
      </c>
      <c r="AB202">
        <v>12.03565</v>
      </c>
      <c r="AC202">
        <v>12.029597000000001</v>
      </c>
      <c r="AD202">
        <v>12.026527</v>
      </c>
      <c r="AE202">
        <v>12.023883</v>
      </c>
      <c r="AF202">
        <v>12.026020000000001</v>
      </c>
      <c r="AG202" s="71">
        <v>4.0000000000000001E-3</v>
      </c>
    </row>
    <row r="203" spans="1:33" x14ac:dyDescent="0.75">
      <c r="A203" t="s">
        <v>187</v>
      </c>
      <c r="B203" t="s">
        <v>733</v>
      </c>
      <c r="C203" t="s">
        <v>732</v>
      </c>
      <c r="D203" t="s">
        <v>664</v>
      </c>
      <c r="F203">
        <v>11.410875000000001</v>
      </c>
      <c r="G203">
        <v>11.497379</v>
      </c>
      <c r="H203">
        <v>11.591085</v>
      </c>
      <c r="I203">
        <v>11.68336</v>
      </c>
      <c r="J203">
        <v>11.866866999999999</v>
      </c>
      <c r="K203">
        <v>11.851042</v>
      </c>
      <c r="L203">
        <v>11.905309000000001</v>
      </c>
      <c r="M203">
        <v>11.944247000000001</v>
      </c>
      <c r="N203">
        <v>11.971857</v>
      </c>
      <c r="O203">
        <v>11.984635000000001</v>
      </c>
      <c r="P203">
        <v>11.987278</v>
      </c>
      <c r="Q203">
        <v>11.987494</v>
      </c>
      <c r="R203">
        <v>11.984787000000001</v>
      </c>
      <c r="S203">
        <v>11.975884000000001</v>
      </c>
      <c r="T203">
        <v>11.981134000000001</v>
      </c>
      <c r="U203">
        <v>11.985151</v>
      </c>
      <c r="V203">
        <v>11.989549</v>
      </c>
      <c r="W203">
        <v>11.995281</v>
      </c>
      <c r="X203">
        <v>12.000392</v>
      </c>
      <c r="Y203">
        <v>12.00244</v>
      </c>
      <c r="Z203">
        <v>12.002852000000001</v>
      </c>
      <c r="AA203">
        <v>12.003465</v>
      </c>
      <c r="AB203">
        <v>12.005936</v>
      </c>
      <c r="AC203">
        <v>12.007431</v>
      </c>
      <c r="AD203">
        <v>12.006736999999999</v>
      </c>
      <c r="AE203">
        <v>12.007421000000001</v>
      </c>
      <c r="AF203">
        <v>12.009321</v>
      </c>
      <c r="AG203" s="71">
        <v>2E-3</v>
      </c>
    </row>
    <row r="204" spans="1:33" x14ac:dyDescent="0.75">
      <c r="A204" t="s">
        <v>135</v>
      </c>
      <c r="B204" t="s">
        <v>731</v>
      </c>
      <c r="C204" t="s">
        <v>730</v>
      </c>
      <c r="D204" t="s">
        <v>661</v>
      </c>
      <c r="F204">
        <v>42.360385999999998</v>
      </c>
      <c r="G204">
        <v>42.360390000000002</v>
      </c>
      <c r="H204">
        <v>42.360385999999998</v>
      </c>
      <c r="I204">
        <v>42.360385999999998</v>
      </c>
      <c r="J204">
        <v>42.416671999999998</v>
      </c>
      <c r="K204">
        <v>42.410789000000001</v>
      </c>
      <c r="L204">
        <v>42.405189999999997</v>
      </c>
      <c r="M204">
        <v>42.400252999999999</v>
      </c>
      <c r="N204">
        <v>42.396197999999998</v>
      </c>
      <c r="O204">
        <v>42.392837999999998</v>
      </c>
      <c r="P204">
        <v>42.389648000000001</v>
      </c>
      <c r="Q204">
        <v>42.387165000000003</v>
      </c>
      <c r="R204">
        <v>42.385235000000002</v>
      </c>
      <c r="S204">
        <v>42.383716999999997</v>
      </c>
      <c r="T204">
        <v>42.382415999999999</v>
      </c>
      <c r="U204">
        <v>42.381301999999998</v>
      </c>
      <c r="V204">
        <v>42.380360000000003</v>
      </c>
      <c r="W204">
        <v>42.379612000000002</v>
      </c>
      <c r="X204">
        <v>42.379097000000002</v>
      </c>
      <c r="Y204">
        <v>42.378754000000001</v>
      </c>
      <c r="Z204">
        <v>42.378543999999998</v>
      </c>
      <c r="AA204">
        <v>42.378436999999998</v>
      </c>
      <c r="AB204">
        <v>42.387768000000001</v>
      </c>
      <c r="AC204">
        <v>42.405109000000003</v>
      </c>
      <c r="AD204">
        <v>42.432685999999997</v>
      </c>
      <c r="AE204">
        <v>42.494225</v>
      </c>
      <c r="AF204">
        <v>42.567383</v>
      </c>
      <c r="AG204" s="71">
        <v>0</v>
      </c>
    </row>
    <row r="205" spans="1:33" x14ac:dyDescent="0.75">
      <c r="A205" t="s">
        <v>179</v>
      </c>
      <c r="B205" t="s">
        <v>729</v>
      </c>
      <c r="C205" t="s">
        <v>728</v>
      </c>
      <c r="D205" t="s">
        <v>661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111</v>
      </c>
    </row>
    <row r="206" spans="1:33" x14ac:dyDescent="0.75">
      <c r="A206" t="s">
        <v>182</v>
      </c>
      <c r="B206" t="s">
        <v>727</v>
      </c>
      <c r="C206" t="s">
        <v>726</v>
      </c>
      <c r="D206" t="s">
        <v>664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111</v>
      </c>
    </row>
    <row r="207" spans="1:33" x14ac:dyDescent="0.75">
      <c r="A207" t="s">
        <v>139</v>
      </c>
      <c r="B207" t="s">
        <v>725</v>
      </c>
      <c r="C207" t="s">
        <v>724</v>
      </c>
      <c r="D207" t="s">
        <v>661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111</v>
      </c>
    </row>
    <row r="208" spans="1:33" x14ac:dyDescent="0.75">
      <c r="A208" t="s">
        <v>174</v>
      </c>
      <c r="B208" t="s">
        <v>723</v>
      </c>
      <c r="C208" t="s">
        <v>722</v>
      </c>
      <c r="D208" t="s">
        <v>661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111</v>
      </c>
    </row>
    <row r="209" spans="1:33" x14ac:dyDescent="0.75">
      <c r="A209" t="s">
        <v>171</v>
      </c>
      <c r="B209" t="s">
        <v>721</v>
      </c>
      <c r="C209" t="s">
        <v>720</v>
      </c>
      <c r="D209" t="s">
        <v>664</v>
      </c>
      <c r="F209">
        <v>0</v>
      </c>
      <c r="G209">
        <v>14.326266</v>
      </c>
      <c r="H209">
        <v>14.333030000000001</v>
      </c>
      <c r="I209">
        <v>14.353346999999999</v>
      </c>
      <c r="J209">
        <v>14.447293999999999</v>
      </c>
      <c r="K209">
        <v>14.378346000000001</v>
      </c>
      <c r="L209">
        <v>14.436540000000001</v>
      </c>
      <c r="M209">
        <v>14.524727</v>
      </c>
      <c r="N209">
        <v>14.638783</v>
      </c>
      <c r="O209">
        <v>14.794591</v>
      </c>
      <c r="P209">
        <v>14.996159</v>
      </c>
      <c r="Q209">
        <v>15.127234</v>
      </c>
      <c r="R209">
        <v>15.234635000000001</v>
      </c>
      <c r="S209">
        <v>15.307149000000001</v>
      </c>
      <c r="T209">
        <v>15.344830999999999</v>
      </c>
      <c r="U209">
        <v>15.355515</v>
      </c>
      <c r="V209">
        <v>15.359513</v>
      </c>
      <c r="W209">
        <v>15.360636</v>
      </c>
      <c r="X209">
        <v>15.358568</v>
      </c>
      <c r="Y209">
        <v>15.354512</v>
      </c>
      <c r="Z209">
        <v>15.350286000000001</v>
      </c>
      <c r="AA209">
        <v>15.346555</v>
      </c>
      <c r="AB209">
        <v>15.341411000000001</v>
      </c>
      <c r="AC209">
        <v>15.336034</v>
      </c>
      <c r="AD209">
        <v>15.330036</v>
      </c>
      <c r="AE209">
        <v>15.324598</v>
      </c>
      <c r="AF209">
        <v>15.319876000000001</v>
      </c>
      <c r="AG209" t="s">
        <v>111</v>
      </c>
    </row>
    <row r="210" spans="1:33" x14ac:dyDescent="0.75">
      <c r="A210" t="s">
        <v>168</v>
      </c>
      <c r="B210" t="s">
        <v>719</v>
      </c>
      <c r="C210" t="s">
        <v>718</v>
      </c>
      <c r="D210" t="s">
        <v>661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111</v>
      </c>
    </row>
    <row r="211" spans="1:33" x14ac:dyDescent="0.75">
      <c r="A211" t="s">
        <v>717</v>
      </c>
      <c r="B211" t="s">
        <v>716</v>
      </c>
      <c r="C211" t="s">
        <v>715</v>
      </c>
      <c r="F211">
        <v>13.24691</v>
      </c>
      <c r="G211">
        <v>13.387729</v>
      </c>
      <c r="H211">
        <v>13.526486</v>
      </c>
      <c r="I211">
        <v>13.658398</v>
      </c>
      <c r="J211">
        <v>13.988308</v>
      </c>
      <c r="K211">
        <v>13.992438999999999</v>
      </c>
      <c r="L211">
        <v>14.126111999999999</v>
      </c>
      <c r="M211">
        <v>14.305666</v>
      </c>
      <c r="N211">
        <v>14.499096</v>
      </c>
      <c r="O211">
        <v>14.622809999999999</v>
      </c>
      <c r="P211">
        <v>14.85224</v>
      </c>
      <c r="Q211">
        <v>15.099515999999999</v>
      </c>
      <c r="R211">
        <v>15.341229999999999</v>
      </c>
      <c r="S211">
        <v>15.5327</v>
      </c>
      <c r="T211">
        <v>15.755352999999999</v>
      </c>
      <c r="U211">
        <v>15.990437</v>
      </c>
      <c r="V211">
        <v>16.206022000000001</v>
      </c>
      <c r="W211">
        <v>16.530912000000001</v>
      </c>
      <c r="X211">
        <v>16.825386000000002</v>
      </c>
      <c r="Y211">
        <v>17.108689999999999</v>
      </c>
      <c r="Z211">
        <v>17.222024999999999</v>
      </c>
      <c r="AA211">
        <v>17.366146000000001</v>
      </c>
      <c r="AB211">
        <v>17.496670000000002</v>
      </c>
      <c r="AC211">
        <v>17.688658</v>
      </c>
      <c r="AD211">
        <v>17.867958000000002</v>
      </c>
      <c r="AE211">
        <v>17.986695999999998</v>
      </c>
      <c r="AF211">
        <v>18.089565</v>
      </c>
      <c r="AG211" s="71">
        <v>1.2E-2</v>
      </c>
    </row>
    <row r="212" spans="1:33" x14ac:dyDescent="0.75">
      <c r="A212" t="s">
        <v>625</v>
      </c>
    </row>
    <row r="213" spans="1:33" x14ac:dyDescent="0.75">
      <c r="A213" t="s">
        <v>196</v>
      </c>
      <c r="B213" t="s">
        <v>714</v>
      </c>
      <c r="C213" t="s">
        <v>713</v>
      </c>
      <c r="D213" t="s">
        <v>661</v>
      </c>
      <c r="F213">
        <v>9.7849989999999991</v>
      </c>
      <c r="G213">
        <v>10.026484999999999</v>
      </c>
      <c r="H213">
        <v>10.297043</v>
      </c>
      <c r="I213">
        <v>10.544124</v>
      </c>
      <c r="J213">
        <v>10.791912999999999</v>
      </c>
      <c r="K213">
        <v>11.033872000000001</v>
      </c>
      <c r="L213">
        <v>11.261635</v>
      </c>
      <c r="M213">
        <v>11.455491</v>
      </c>
      <c r="N213">
        <v>11.601601</v>
      </c>
      <c r="O213">
        <v>11.682551</v>
      </c>
      <c r="P213">
        <v>11.723087</v>
      </c>
      <c r="Q213">
        <v>11.713308</v>
      </c>
      <c r="R213">
        <v>11.615100999999999</v>
      </c>
      <c r="S213">
        <v>11.513228</v>
      </c>
      <c r="T213">
        <v>11.43233</v>
      </c>
      <c r="U213">
        <v>11.366671999999999</v>
      </c>
      <c r="V213">
        <v>11.317329000000001</v>
      </c>
      <c r="W213">
        <v>11.281013</v>
      </c>
      <c r="X213">
        <v>11.255193999999999</v>
      </c>
      <c r="Y213">
        <v>11.238102</v>
      </c>
      <c r="Z213">
        <v>11.227041</v>
      </c>
      <c r="AA213">
        <v>11.220007000000001</v>
      </c>
      <c r="AB213">
        <v>11.215096000000001</v>
      </c>
      <c r="AC213">
        <v>11.211975000000001</v>
      </c>
      <c r="AD213">
        <v>11.209434999999999</v>
      </c>
      <c r="AE213">
        <v>11.207504</v>
      </c>
      <c r="AF213">
        <v>11.206441999999999</v>
      </c>
      <c r="AG213" s="71">
        <v>5.0000000000000001E-3</v>
      </c>
    </row>
    <row r="214" spans="1:33" x14ac:dyDescent="0.75">
      <c r="A214" t="s">
        <v>199</v>
      </c>
      <c r="B214" t="s">
        <v>712</v>
      </c>
      <c r="C214" t="s">
        <v>711</v>
      </c>
      <c r="D214" t="s">
        <v>664</v>
      </c>
      <c r="F214">
        <v>8.4680619999999998</v>
      </c>
      <c r="G214">
        <v>8.6707540000000005</v>
      </c>
      <c r="H214">
        <v>8.8990670000000005</v>
      </c>
      <c r="I214">
        <v>9.1109399999999994</v>
      </c>
      <c r="J214">
        <v>9.3181930000000008</v>
      </c>
      <c r="K214">
        <v>9.5216189999999994</v>
      </c>
      <c r="L214">
        <v>9.7092709999999993</v>
      </c>
      <c r="M214">
        <v>9.8688789999999997</v>
      </c>
      <c r="N214">
        <v>9.989236</v>
      </c>
      <c r="O214">
        <v>10.056124000000001</v>
      </c>
      <c r="P214">
        <v>10.090163</v>
      </c>
      <c r="Q214">
        <v>10.084135</v>
      </c>
      <c r="R214">
        <v>10.00173</v>
      </c>
      <c r="S214">
        <v>9.9210449999999994</v>
      </c>
      <c r="T214">
        <v>9.849278</v>
      </c>
      <c r="U214">
        <v>9.7908279999999994</v>
      </c>
      <c r="V214">
        <v>9.7466910000000002</v>
      </c>
      <c r="W214">
        <v>9.7147670000000002</v>
      </c>
      <c r="X214">
        <v>9.6919889999999995</v>
      </c>
      <c r="Y214">
        <v>9.6765349999999994</v>
      </c>
      <c r="Z214">
        <v>9.6673709999999993</v>
      </c>
      <c r="AA214">
        <v>9.6616359999999997</v>
      </c>
      <c r="AB214">
        <v>9.6577310000000001</v>
      </c>
      <c r="AC214">
        <v>9.6552410000000002</v>
      </c>
      <c r="AD214">
        <v>9.653378</v>
      </c>
      <c r="AE214">
        <v>9.6519560000000002</v>
      </c>
      <c r="AF214">
        <v>9.6513120000000008</v>
      </c>
      <c r="AG214" s="71">
        <v>5.0000000000000001E-3</v>
      </c>
    </row>
    <row r="215" spans="1:33" x14ac:dyDescent="0.75">
      <c r="A215" t="s">
        <v>193</v>
      </c>
      <c r="B215" t="s">
        <v>710</v>
      </c>
      <c r="C215" t="s">
        <v>709</v>
      </c>
      <c r="D215" t="s">
        <v>664</v>
      </c>
      <c r="F215">
        <v>7.468928</v>
      </c>
      <c r="G215">
        <v>7.6975340000000001</v>
      </c>
      <c r="H215">
        <v>7.835801</v>
      </c>
      <c r="I215">
        <v>7.9895449999999997</v>
      </c>
      <c r="J215">
        <v>8.1724920000000001</v>
      </c>
      <c r="K215">
        <v>8.3751320000000007</v>
      </c>
      <c r="L215">
        <v>8.5944050000000001</v>
      </c>
      <c r="M215">
        <v>8.8283649999999998</v>
      </c>
      <c r="N215">
        <v>9.0630760000000006</v>
      </c>
      <c r="O215">
        <v>9.2916950000000007</v>
      </c>
      <c r="P215">
        <v>9.4915249999999993</v>
      </c>
      <c r="Q215">
        <v>9.6633849999999999</v>
      </c>
      <c r="R215">
        <v>9.8078500000000002</v>
      </c>
      <c r="S215">
        <v>9.9150539999999996</v>
      </c>
      <c r="T215">
        <v>9.9733809999999998</v>
      </c>
      <c r="U215">
        <v>10.013802</v>
      </c>
      <c r="V215">
        <v>10.013801000000001</v>
      </c>
      <c r="W215">
        <v>10.013802</v>
      </c>
      <c r="X215">
        <v>10.013802</v>
      </c>
      <c r="Y215">
        <v>10.013801000000001</v>
      </c>
      <c r="Z215">
        <v>10.013802</v>
      </c>
      <c r="AA215">
        <v>10.013802</v>
      </c>
      <c r="AB215">
        <v>10.013802</v>
      </c>
      <c r="AC215">
        <v>10.013802</v>
      </c>
      <c r="AD215">
        <v>10.017586</v>
      </c>
      <c r="AE215">
        <v>10.022081</v>
      </c>
      <c r="AF215">
        <v>10.025565</v>
      </c>
      <c r="AG215" s="71">
        <v>1.0999999999999999E-2</v>
      </c>
    </row>
    <row r="216" spans="1:33" x14ac:dyDescent="0.75">
      <c r="A216" t="s">
        <v>190</v>
      </c>
      <c r="B216" t="s">
        <v>708</v>
      </c>
      <c r="C216" t="s">
        <v>707</v>
      </c>
      <c r="D216" t="s">
        <v>664</v>
      </c>
      <c r="F216">
        <v>7.2163789999999999</v>
      </c>
      <c r="G216">
        <v>7.416461</v>
      </c>
      <c r="H216">
        <v>7.6319780000000002</v>
      </c>
      <c r="I216">
        <v>7.825393</v>
      </c>
      <c r="J216">
        <v>8.0266669999999998</v>
      </c>
      <c r="K216">
        <v>8.235671</v>
      </c>
      <c r="L216">
        <v>8.4316169999999993</v>
      </c>
      <c r="M216">
        <v>8.6047229999999999</v>
      </c>
      <c r="N216">
        <v>8.7581489999999995</v>
      </c>
      <c r="O216">
        <v>8.8879529999999995</v>
      </c>
      <c r="P216">
        <v>8.9932660000000002</v>
      </c>
      <c r="Q216">
        <v>9.0730699999999995</v>
      </c>
      <c r="R216">
        <v>9.1100340000000006</v>
      </c>
      <c r="S216">
        <v>9.1353430000000007</v>
      </c>
      <c r="T216">
        <v>9.155996</v>
      </c>
      <c r="U216">
        <v>9.1489290000000008</v>
      </c>
      <c r="V216">
        <v>9.1335929999999994</v>
      </c>
      <c r="W216">
        <v>9.1254559999999998</v>
      </c>
      <c r="X216">
        <v>9.1447719999999997</v>
      </c>
      <c r="Y216">
        <v>9.1544419999999995</v>
      </c>
      <c r="Z216">
        <v>9.1553930000000001</v>
      </c>
      <c r="AA216">
        <v>9.1520589999999995</v>
      </c>
      <c r="AB216">
        <v>9.1620259999999991</v>
      </c>
      <c r="AC216">
        <v>9.1698070000000005</v>
      </c>
      <c r="AD216">
        <v>9.1916449999999994</v>
      </c>
      <c r="AE216">
        <v>9.2168109999999999</v>
      </c>
      <c r="AF216">
        <v>9.2265280000000001</v>
      </c>
      <c r="AG216" s="71">
        <v>8.9999999999999993E-3</v>
      </c>
    </row>
    <row r="217" spans="1:33" x14ac:dyDescent="0.75">
      <c r="A217" t="s">
        <v>187</v>
      </c>
      <c r="B217" t="s">
        <v>706</v>
      </c>
      <c r="C217" t="s">
        <v>705</v>
      </c>
      <c r="D217" t="s">
        <v>704</v>
      </c>
      <c r="F217">
        <v>8.0342880000000001</v>
      </c>
      <c r="G217">
        <v>8.2322190000000006</v>
      </c>
      <c r="H217">
        <v>8.4505730000000003</v>
      </c>
      <c r="I217">
        <v>8.6575150000000001</v>
      </c>
      <c r="J217">
        <v>8.8608019999999996</v>
      </c>
      <c r="K217">
        <v>9.0625509999999991</v>
      </c>
      <c r="L217">
        <v>9.2542179999999998</v>
      </c>
      <c r="M217">
        <v>9.4266679999999994</v>
      </c>
      <c r="N217">
        <v>9.5723140000000004</v>
      </c>
      <c r="O217">
        <v>9.6850860000000001</v>
      </c>
      <c r="P217">
        <v>9.7758880000000001</v>
      </c>
      <c r="Q217">
        <v>9.8407579999999992</v>
      </c>
      <c r="R217">
        <v>9.8381159999999994</v>
      </c>
      <c r="S217">
        <v>9.8358609999999995</v>
      </c>
      <c r="T217">
        <v>9.8339459999999992</v>
      </c>
      <c r="U217">
        <v>9.8322900000000004</v>
      </c>
      <c r="V217">
        <v>9.8308420000000005</v>
      </c>
      <c r="W217">
        <v>9.8295639999999995</v>
      </c>
      <c r="X217">
        <v>9.8284210000000005</v>
      </c>
      <c r="Y217">
        <v>9.8273869999999999</v>
      </c>
      <c r="Z217">
        <v>9.8272980000000008</v>
      </c>
      <c r="AA217">
        <v>9.8272980000000008</v>
      </c>
      <c r="AB217">
        <v>9.8272980000000008</v>
      </c>
      <c r="AC217">
        <v>9.8272980000000008</v>
      </c>
      <c r="AD217">
        <v>9.8272980000000008</v>
      </c>
      <c r="AE217">
        <v>9.827299</v>
      </c>
      <c r="AF217">
        <v>9.8272980000000008</v>
      </c>
      <c r="AG217" s="71">
        <v>8.0000000000000002E-3</v>
      </c>
    </row>
    <row r="218" spans="1:33" x14ac:dyDescent="0.75">
      <c r="A218" t="s">
        <v>135</v>
      </c>
      <c r="B218" t="s">
        <v>703</v>
      </c>
      <c r="C218" t="s">
        <v>702</v>
      </c>
      <c r="D218" t="s">
        <v>664</v>
      </c>
      <c r="F218">
        <v>20.468603000000002</v>
      </c>
      <c r="G218">
        <v>20.532591</v>
      </c>
      <c r="H218">
        <v>20.616028</v>
      </c>
      <c r="I218">
        <v>20.719861999999999</v>
      </c>
      <c r="J218">
        <v>20.841422999999999</v>
      </c>
      <c r="K218">
        <v>20.971781</v>
      </c>
      <c r="L218">
        <v>21.093063000000001</v>
      </c>
      <c r="M218">
        <v>21.147656999999999</v>
      </c>
      <c r="N218">
        <v>21.195461000000002</v>
      </c>
      <c r="O218">
        <v>21.235396999999999</v>
      </c>
      <c r="P218">
        <v>21.265718</v>
      </c>
      <c r="Q218">
        <v>21.284417999999999</v>
      </c>
      <c r="R218">
        <v>21.296794999999999</v>
      </c>
      <c r="S218">
        <v>21.296386999999999</v>
      </c>
      <c r="T218">
        <v>21.296099000000002</v>
      </c>
      <c r="U218">
        <v>21.295897</v>
      </c>
      <c r="V218">
        <v>21.295755</v>
      </c>
      <c r="W218">
        <v>21.295658</v>
      </c>
      <c r="X218">
        <v>21.295591000000002</v>
      </c>
      <c r="Y218">
        <v>21.295546000000002</v>
      </c>
      <c r="Z218">
        <v>21.295513</v>
      </c>
      <c r="AA218">
        <v>21.295490000000001</v>
      </c>
      <c r="AB218">
        <v>21.295477000000002</v>
      </c>
      <c r="AC218">
        <v>21.295466999999999</v>
      </c>
      <c r="AD218">
        <v>21.295462000000001</v>
      </c>
      <c r="AE218">
        <v>21.295456000000001</v>
      </c>
      <c r="AF218">
        <v>21.295452000000001</v>
      </c>
      <c r="AG218" s="71">
        <v>2E-3</v>
      </c>
    </row>
    <row r="219" spans="1:33" x14ac:dyDescent="0.75">
      <c r="A219" t="s">
        <v>179</v>
      </c>
      <c r="B219" t="s">
        <v>701</v>
      </c>
      <c r="C219" t="s">
        <v>700</v>
      </c>
      <c r="D219" t="s">
        <v>664</v>
      </c>
      <c r="F219">
        <v>0</v>
      </c>
      <c r="G219">
        <v>0</v>
      </c>
      <c r="H219">
        <v>10.021416</v>
      </c>
      <c r="I219">
        <v>10.224057</v>
      </c>
      <c r="J219">
        <v>10.358897000000001</v>
      </c>
      <c r="K219">
        <v>10.486587999999999</v>
      </c>
      <c r="L219">
        <v>10.638026</v>
      </c>
      <c r="M219">
        <v>10.812464</v>
      </c>
      <c r="N219">
        <v>11.011009</v>
      </c>
      <c r="O219">
        <v>11.011009</v>
      </c>
      <c r="P219">
        <v>11.011009</v>
      </c>
      <c r="Q219">
        <v>11.011009</v>
      </c>
      <c r="R219">
        <v>11.011009</v>
      </c>
      <c r="S219">
        <v>11.011009</v>
      </c>
      <c r="T219">
        <v>11.011009</v>
      </c>
      <c r="U219">
        <v>11.011009</v>
      </c>
      <c r="V219">
        <v>11.011009</v>
      </c>
      <c r="W219">
        <v>11.011009</v>
      </c>
      <c r="X219">
        <v>11.011009</v>
      </c>
      <c r="Y219">
        <v>11.011009</v>
      </c>
      <c r="Z219">
        <v>11.011009</v>
      </c>
      <c r="AA219">
        <v>11.011009</v>
      </c>
      <c r="AB219">
        <v>11.011009</v>
      </c>
      <c r="AC219">
        <v>11.011009</v>
      </c>
      <c r="AD219">
        <v>11.011009</v>
      </c>
      <c r="AE219">
        <v>11.011009</v>
      </c>
      <c r="AF219">
        <v>11.011009</v>
      </c>
      <c r="AG219" t="s">
        <v>111</v>
      </c>
    </row>
    <row r="220" spans="1:33" x14ac:dyDescent="0.75">
      <c r="A220" t="s">
        <v>182</v>
      </c>
      <c r="B220" t="s">
        <v>699</v>
      </c>
      <c r="C220" t="s">
        <v>698</v>
      </c>
      <c r="D220" t="s">
        <v>664</v>
      </c>
      <c r="F220">
        <v>0</v>
      </c>
      <c r="G220">
        <v>9.2793500000000009</v>
      </c>
      <c r="H220">
        <v>9.4812709999999996</v>
      </c>
      <c r="I220">
        <v>9.5533289999999997</v>
      </c>
      <c r="J220">
        <v>9.6466309999999993</v>
      </c>
      <c r="K220">
        <v>9.6466309999999993</v>
      </c>
      <c r="L220">
        <v>9.6466309999999993</v>
      </c>
      <c r="M220">
        <v>9.6466309999999993</v>
      </c>
      <c r="N220">
        <v>9.6466309999999993</v>
      </c>
      <c r="O220">
        <v>9.6466309999999993</v>
      </c>
      <c r="P220">
        <v>9.6466309999999993</v>
      </c>
      <c r="Q220">
        <v>9.6466309999999993</v>
      </c>
      <c r="R220">
        <v>9.6466309999999993</v>
      </c>
      <c r="S220">
        <v>9.6466309999999993</v>
      </c>
      <c r="T220">
        <v>9.6466309999999993</v>
      </c>
      <c r="U220">
        <v>9.6466309999999993</v>
      </c>
      <c r="V220">
        <v>9.6466309999999993</v>
      </c>
      <c r="W220">
        <v>9.6466309999999993</v>
      </c>
      <c r="X220">
        <v>9.6466309999999993</v>
      </c>
      <c r="Y220">
        <v>9.6466309999999993</v>
      </c>
      <c r="Z220">
        <v>9.6466309999999993</v>
      </c>
      <c r="AA220">
        <v>9.6466309999999993</v>
      </c>
      <c r="AB220">
        <v>9.6466309999999993</v>
      </c>
      <c r="AC220">
        <v>9.6466309999999993</v>
      </c>
      <c r="AD220">
        <v>9.6466309999999993</v>
      </c>
      <c r="AE220">
        <v>9.6466309999999993</v>
      </c>
      <c r="AF220">
        <v>9.6466309999999993</v>
      </c>
      <c r="AG220" t="s">
        <v>111</v>
      </c>
    </row>
    <row r="221" spans="1:33" x14ac:dyDescent="0.75">
      <c r="A221" t="s">
        <v>139</v>
      </c>
      <c r="B221" t="s">
        <v>697</v>
      </c>
      <c r="C221" t="s">
        <v>696</v>
      </c>
      <c r="D221" t="s">
        <v>664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111</v>
      </c>
    </row>
    <row r="222" spans="1:33" x14ac:dyDescent="0.75">
      <c r="A222" t="s">
        <v>174</v>
      </c>
      <c r="B222" t="s">
        <v>695</v>
      </c>
      <c r="C222" t="s">
        <v>694</v>
      </c>
      <c r="D222" t="s">
        <v>661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111</v>
      </c>
    </row>
    <row r="223" spans="1:33" x14ac:dyDescent="0.75">
      <c r="A223" t="s">
        <v>171</v>
      </c>
      <c r="B223" t="s">
        <v>693</v>
      </c>
      <c r="C223" t="s">
        <v>692</v>
      </c>
      <c r="D223" t="s">
        <v>664</v>
      </c>
      <c r="F223">
        <v>0</v>
      </c>
      <c r="G223">
        <v>9.8621339999999993</v>
      </c>
      <c r="H223">
        <v>9.8967150000000004</v>
      </c>
      <c r="I223">
        <v>9.9150019999999994</v>
      </c>
      <c r="J223">
        <v>9.9396450000000005</v>
      </c>
      <c r="K223">
        <v>9.9715810000000005</v>
      </c>
      <c r="L223">
        <v>10.039865000000001</v>
      </c>
      <c r="M223">
        <v>10.128325</v>
      </c>
      <c r="N223">
        <v>10.193020000000001</v>
      </c>
      <c r="O223">
        <v>10.295206</v>
      </c>
      <c r="P223">
        <v>10.388249999999999</v>
      </c>
      <c r="Q223">
        <v>10.430880999999999</v>
      </c>
      <c r="R223">
        <v>10.45384</v>
      </c>
      <c r="S223">
        <v>10.468995</v>
      </c>
      <c r="T223">
        <v>10.481465999999999</v>
      </c>
      <c r="U223">
        <v>10.491256999999999</v>
      </c>
      <c r="V223">
        <v>10.497921</v>
      </c>
      <c r="W223">
        <v>10.497920000000001</v>
      </c>
      <c r="X223">
        <v>10.497921</v>
      </c>
      <c r="Y223">
        <v>10.497921</v>
      </c>
      <c r="Z223">
        <v>10.497921</v>
      </c>
      <c r="AA223">
        <v>10.497921</v>
      </c>
      <c r="AB223">
        <v>10.497921</v>
      </c>
      <c r="AC223">
        <v>10.497921</v>
      </c>
      <c r="AD223">
        <v>10.497921</v>
      </c>
      <c r="AE223">
        <v>10.497921</v>
      </c>
      <c r="AF223">
        <v>10.497921</v>
      </c>
      <c r="AG223" t="s">
        <v>111</v>
      </c>
    </row>
    <row r="224" spans="1:33" x14ac:dyDescent="0.75">
      <c r="A224" t="s">
        <v>168</v>
      </c>
      <c r="B224" t="s">
        <v>691</v>
      </c>
      <c r="C224" t="s">
        <v>690</v>
      </c>
      <c r="D224" t="s">
        <v>661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111</v>
      </c>
    </row>
    <row r="225" spans="1:33" x14ac:dyDescent="0.75">
      <c r="A225" t="s">
        <v>689</v>
      </c>
      <c r="B225" t="s">
        <v>688</v>
      </c>
      <c r="C225" t="s">
        <v>687</v>
      </c>
      <c r="F225">
        <v>9.1279810000000001</v>
      </c>
      <c r="G225">
        <v>9.3468029999999995</v>
      </c>
      <c r="H225">
        <v>9.5876459999999994</v>
      </c>
      <c r="I225">
        <v>9.8079889999999992</v>
      </c>
      <c r="J225">
        <v>10.023955000000001</v>
      </c>
      <c r="K225">
        <v>10.233446000000001</v>
      </c>
      <c r="L225">
        <v>10.426334000000001</v>
      </c>
      <c r="M225">
        <v>10.585993999999999</v>
      </c>
      <c r="N225">
        <v>10.698321999999999</v>
      </c>
      <c r="O225">
        <v>10.756053</v>
      </c>
      <c r="P225">
        <v>10.781209</v>
      </c>
      <c r="Q225">
        <v>10.763572999999999</v>
      </c>
      <c r="R225">
        <v>10.683064</v>
      </c>
      <c r="S225">
        <v>10.608274</v>
      </c>
      <c r="T225">
        <v>10.550203</v>
      </c>
      <c r="U225">
        <v>10.505644999999999</v>
      </c>
      <c r="V225">
        <v>10.473542999999999</v>
      </c>
      <c r="W225">
        <v>10.449609000000001</v>
      </c>
      <c r="X225">
        <v>10.432373</v>
      </c>
      <c r="Y225">
        <v>10.420355000000001</v>
      </c>
      <c r="Z225">
        <v>10.412753</v>
      </c>
      <c r="AA225">
        <v>10.407598</v>
      </c>
      <c r="AB225">
        <v>10.404016</v>
      </c>
      <c r="AC225">
        <v>10.400836</v>
      </c>
      <c r="AD225">
        <v>10.39828</v>
      </c>
      <c r="AE225">
        <v>10.395341999999999</v>
      </c>
      <c r="AF225">
        <v>10.393948</v>
      </c>
      <c r="AG225" s="71">
        <v>5.0000000000000001E-3</v>
      </c>
    </row>
    <row r="226" spans="1:33" x14ac:dyDescent="0.75">
      <c r="A226" t="s">
        <v>597</v>
      </c>
    </row>
    <row r="227" spans="1:33" x14ac:dyDescent="0.75">
      <c r="A227" t="s">
        <v>196</v>
      </c>
      <c r="B227" t="s">
        <v>686</v>
      </c>
      <c r="C227" t="s">
        <v>685</v>
      </c>
      <c r="D227" t="s">
        <v>661</v>
      </c>
      <c r="F227">
        <v>6.8624530000000004</v>
      </c>
      <c r="G227">
        <v>7.0176189999999998</v>
      </c>
      <c r="H227">
        <v>7.1843830000000004</v>
      </c>
      <c r="I227">
        <v>7.3522480000000003</v>
      </c>
      <c r="J227">
        <v>7.5117200000000004</v>
      </c>
      <c r="K227">
        <v>7.6655379999999997</v>
      </c>
      <c r="L227">
        <v>7.7929139999999997</v>
      </c>
      <c r="M227">
        <v>7.9047320000000001</v>
      </c>
      <c r="N227">
        <v>7.9926409999999999</v>
      </c>
      <c r="O227">
        <v>8.0601009999999995</v>
      </c>
      <c r="P227">
        <v>8.1108750000000001</v>
      </c>
      <c r="Q227">
        <v>8.1426850000000002</v>
      </c>
      <c r="R227">
        <v>8.1450519999999997</v>
      </c>
      <c r="S227">
        <v>8.1467080000000003</v>
      </c>
      <c r="T227">
        <v>8.1442990000000002</v>
      </c>
      <c r="U227">
        <v>8.1463560000000008</v>
      </c>
      <c r="V227">
        <v>8.1463929999999998</v>
      </c>
      <c r="W227">
        <v>8.1463429999999999</v>
      </c>
      <c r="X227">
        <v>8.1464379999999998</v>
      </c>
      <c r="Y227">
        <v>8.1440920000000006</v>
      </c>
      <c r="Z227">
        <v>8.1438550000000003</v>
      </c>
      <c r="AA227">
        <v>8.1438740000000003</v>
      </c>
      <c r="AB227">
        <v>8.1432500000000001</v>
      </c>
      <c r="AC227">
        <v>8.1429019999999994</v>
      </c>
      <c r="AD227">
        <v>8.1380999999999997</v>
      </c>
      <c r="AE227">
        <v>8.1375489999999999</v>
      </c>
      <c r="AF227">
        <v>8.1374619999999993</v>
      </c>
      <c r="AG227" s="71">
        <v>7.0000000000000001E-3</v>
      </c>
    </row>
    <row r="228" spans="1:33" x14ac:dyDescent="0.75">
      <c r="A228" t="s">
        <v>199</v>
      </c>
      <c r="B228" t="s">
        <v>684</v>
      </c>
      <c r="C228" t="s">
        <v>683</v>
      </c>
      <c r="D228" t="s">
        <v>664</v>
      </c>
      <c r="F228">
        <v>5.5283899999999999</v>
      </c>
      <c r="G228">
        <v>5.6677540000000004</v>
      </c>
      <c r="H228">
        <v>5.8193339999999996</v>
      </c>
      <c r="I228">
        <v>5.9614390000000004</v>
      </c>
      <c r="J228">
        <v>6.0965199999999999</v>
      </c>
      <c r="K228">
        <v>6.2297969999999996</v>
      </c>
      <c r="L228">
        <v>6.3555460000000004</v>
      </c>
      <c r="M228">
        <v>6.4679209999999996</v>
      </c>
      <c r="N228">
        <v>6.5620820000000002</v>
      </c>
      <c r="O228">
        <v>6.6345039999999997</v>
      </c>
      <c r="P228">
        <v>6.6923459999999997</v>
      </c>
      <c r="Q228">
        <v>6.7331079999999996</v>
      </c>
      <c r="R228">
        <v>6.7294159999999996</v>
      </c>
      <c r="S228">
        <v>6.7262579999999996</v>
      </c>
      <c r="T228">
        <v>6.723573</v>
      </c>
      <c r="U228">
        <v>6.7212490000000003</v>
      </c>
      <c r="V228">
        <v>6.7192170000000004</v>
      </c>
      <c r="W228">
        <v>6.7174230000000001</v>
      </c>
      <c r="X228">
        <v>6.7158129999999998</v>
      </c>
      <c r="Y228">
        <v>6.7143459999999999</v>
      </c>
      <c r="Z228">
        <v>6.7129890000000003</v>
      </c>
      <c r="AA228">
        <v>6.7117690000000003</v>
      </c>
      <c r="AB228">
        <v>6.7106870000000001</v>
      </c>
      <c r="AC228">
        <v>6.7097610000000003</v>
      </c>
      <c r="AD228">
        <v>6.7089619999999996</v>
      </c>
      <c r="AE228">
        <v>6.7082750000000004</v>
      </c>
      <c r="AF228">
        <v>6.7077359999999997</v>
      </c>
      <c r="AG228" s="71">
        <v>7.0000000000000001E-3</v>
      </c>
    </row>
    <row r="229" spans="1:33" x14ac:dyDescent="0.75">
      <c r="A229" t="s">
        <v>193</v>
      </c>
      <c r="B229" t="s">
        <v>682</v>
      </c>
      <c r="C229" t="s">
        <v>681</v>
      </c>
      <c r="D229" t="s">
        <v>664</v>
      </c>
      <c r="F229">
        <v>5.4372439999999997</v>
      </c>
      <c r="G229">
        <v>5.5245800000000003</v>
      </c>
      <c r="H229">
        <v>5.5677580000000004</v>
      </c>
      <c r="I229">
        <v>5.6220689999999998</v>
      </c>
      <c r="J229">
        <v>5.6845129999999999</v>
      </c>
      <c r="K229">
        <v>5.7616360000000002</v>
      </c>
      <c r="L229">
        <v>5.8562839999999996</v>
      </c>
      <c r="M229">
        <v>5.9682110000000002</v>
      </c>
      <c r="N229">
        <v>6.0886110000000002</v>
      </c>
      <c r="O229">
        <v>6.2060690000000003</v>
      </c>
      <c r="P229">
        <v>6.3273029999999997</v>
      </c>
      <c r="Q229">
        <v>6.4255699999999996</v>
      </c>
      <c r="R229">
        <v>6.5132250000000003</v>
      </c>
      <c r="S229">
        <v>6.5731999999999999</v>
      </c>
      <c r="T229">
        <v>6.6169479999999998</v>
      </c>
      <c r="U229">
        <v>6.6467029999999996</v>
      </c>
      <c r="V229">
        <v>6.659745</v>
      </c>
      <c r="W229">
        <v>6.6698519999999997</v>
      </c>
      <c r="X229">
        <v>6.6757249999999999</v>
      </c>
      <c r="Y229">
        <v>6.675643</v>
      </c>
      <c r="Z229">
        <v>6.6756099999999998</v>
      </c>
      <c r="AA229">
        <v>6.6746559999999997</v>
      </c>
      <c r="AB229">
        <v>6.6771929999999999</v>
      </c>
      <c r="AC229">
        <v>6.6810499999999999</v>
      </c>
      <c r="AD229">
        <v>6.6854810000000002</v>
      </c>
      <c r="AE229">
        <v>6.6909190000000001</v>
      </c>
      <c r="AF229">
        <v>6.6984519999999996</v>
      </c>
      <c r="AG229" s="71">
        <v>8.0000000000000002E-3</v>
      </c>
    </row>
    <row r="230" spans="1:33" x14ac:dyDescent="0.75">
      <c r="A230" t="s">
        <v>190</v>
      </c>
      <c r="B230" t="s">
        <v>680</v>
      </c>
      <c r="C230" t="s">
        <v>679</v>
      </c>
      <c r="D230" t="s">
        <v>661</v>
      </c>
      <c r="F230">
        <v>5.6899410000000001</v>
      </c>
      <c r="G230">
        <v>5.8690319999999998</v>
      </c>
      <c r="H230">
        <v>6.0111840000000001</v>
      </c>
      <c r="I230">
        <v>6.1010439999999999</v>
      </c>
      <c r="J230">
        <v>6.2319899999999997</v>
      </c>
      <c r="K230">
        <v>6.36381</v>
      </c>
      <c r="L230">
        <v>6.480442</v>
      </c>
      <c r="M230">
        <v>6.5830200000000003</v>
      </c>
      <c r="N230">
        <v>6.6688960000000002</v>
      </c>
      <c r="O230">
        <v>6.7348330000000001</v>
      </c>
      <c r="P230">
        <v>6.7896280000000004</v>
      </c>
      <c r="Q230">
        <v>6.8331369999999998</v>
      </c>
      <c r="R230">
        <v>6.8360130000000003</v>
      </c>
      <c r="S230">
        <v>6.8514400000000002</v>
      </c>
      <c r="T230">
        <v>6.8495600000000003</v>
      </c>
      <c r="U230">
        <v>6.8668829999999996</v>
      </c>
      <c r="V230">
        <v>6.8978650000000004</v>
      </c>
      <c r="W230">
        <v>6.922809</v>
      </c>
      <c r="X230">
        <v>6.9350180000000003</v>
      </c>
      <c r="Y230">
        <v>6.9377930000000001</v>
      </c>
      <c r="Z230">
        <v>6.9690779999999997</v>
      </c>
      <c r="AA230">
        <v>6.9773649999999998</v>
      </c>
      <c r="AB230">
        <v>7.0204279999999999</v>
      </c>
      <c r="AC230">
        <v>7.0619449999999997</v>
      </c>
      <c r="AD230">
        <v>7.1275449999999996</v>
      </c>
      <c r="AE230">
        <v>7.1666280000000002</v>
      </c>
      <c r="AF230">
        <v>7.2303740000000003</v>
      </c>
      <c r="AG230" s="71">
        <v>8.9999999999999993E-3</v>
      </c>
    </row>
    <row r="231" spans="1:33" x14ac:dyDescent="0.75">
      <c r="A231" t="s">
        <v>187</v>
      </c>
      <c r="B231" t="s">
        <v>678</v>
      </c>
      <c r="C231" t="s">
        <v>677</v>
      </c>
      <c r="D231" t="s">
        <v>664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111</v>
      </c>
    </row>
    <row r="232" spans="1:33" x14ac:dyDescent="0.75">
      <c r="A232" t="s">
        <v>135</v>
      </c>
      <c r="B232" t="s">
        <v>676</v>
      </c>
      <c r="C232" t="s">
        <v>675</v>
      </c>
      <c r="D232" t="s">
        <v>661</v>
      </c>
      <c r="F232">
        <v>13.553058</v>
      </c>
      <c r="G232">
        <v>13.654142999999999</v>
      </c>
      <c r="H232">
        <v>13.78584</v>
      </c>
      <c r="I232">
        <v>13.926949</v>
      </c>
      <c r="J232">
        <v>14.084097</v>
      </c>
      <c r="K232">
        <v>14.299403999999999</v>
      </c>
      <c r="L232">
        <v>14.499537999999999</v>
      </c>
      <c r="M232">
        <v>14.670741</v>
      </c>
      <c r="N232">
        <v>14.874043</v>
      </c>
      <c r="O232">
        <v>15.077652</v>
      </c>
      <c r="P232">
        <v>15.165792</v>
      </c>
      <c r="Q232">
        <v>15.2387</v>
      </c>
      <c r="R232">
        <v>15.287716</v>
      </c>
      <c r="S232">
        <v>15.326226999999999</v>
      </c>
      <c r="T232">
        <v>15.354395</v>
      </c>
      <c r="U232">
        <v>15.370070999999999</v>
      </c>
      <c r="V232">
        <v>15.375595000000001</v>
      </c>
      <c r="W232">
        <v>15.377668999999999</v>
      </c>
      <c r="X232">
        <v>15.379139</v>
      </c>
      <c r="Y232">
        <v>15.380027</v>
      </c>
      <c r="Z232">
        <v>15.380454</v>
      </c>
      <c r="AA232">
        <v>15.380836</v>
      </c>
      <c r="AB232">
        <v>15.380919</v>
      </c>
      <c r="AC232">
        <v>15.380917</v>
      </c>
      <c r="AD232">
        <v>15.380915</v>
      </c>
      <c r="AE232">
        <v>15.380915</v>
      </c>
      <c r="AF232">
        <v>15.380915999999999</v>
      </c>
      <c r="AG232" s="71">
        <v>5.0000000000000001E-3</v>
      </c>
    </row>
    <row r="233" spans="1:33" x14ac:dyDescent="0.75">
      <c r="A233" t="s">
        <v>179</v>
      </c>
      <c r="B233" t="s">
        <v>674</v>
      </c>
      <c r="C233" t="s">
        <v>673</v>
      </c>
      <c r="D233" t="s">
        <v>661</v>
      </c>
      <c r="F233">
        <v>0</v>
      </c>
      <c r="G233">
        <v>0</v>
      </c>
      <c r="H233">
        <v>8.8917629999999992</v>
      </c>
      <c r="I233">
        <v>9.0715620000000001</v>
      </c>
      <c r="J233">
        <v>9.1912020000000005</v>
      </c>
      <c r="K233">
        <v>9.3044989999999999</v>
      </c>
      <c r="L233">
        <v>9.4388670000000001</v>
      </c>
      <c r="M233">
        <v>9.5936409999999999</v>
      </c>
      <c r="N233">
        <v>9.7698049999999999</v>
      </c>
      <c r="O233">
        <v>9.7698049999999999</v>
      </c>
      <c r="P233">
        <v>9.7698049999999999</v>
      </c>
      <c r="Q233">
        <v>9.7698049999999999</v>
      </c>
      <c r="R233">
        <v>9.7698049999999999</v>
      </c>
      <c r="S233">
        <v>9.7698049999999999</v>
      </c>
      <c r="T233">
        <v>9.7698049999999999</v>
      </c>
      <c r="U233">
        <v>9.7698049999999999</v>
      </c>
      <c r="V233">
        <v>9.7698049999999999</v>
      </c>
      <c r="W233">
        <v>9.7698049999999999</v>
      </c>
      <c r="X233">
        <v>9.7698049999999999</v>
      </c>
      <c r="Y233">
        <v>9.7698049999999999</v>
      </c>
      <c r="Z233">
        <v>9.7698049999999999</v>
      </c>
      <c r="AA233">
        <v>9.7698049999999999</v>
      </c>
      <c r="AB233">
        <v>9.7698049999999999</v>
      </c>
      <c r="AC233">
        <v>9.7698049999999999</v>
      </c>
      <c r="AD233">
        <v>9.7698049999999999</v>
      </c>
      <c r="AE233">
        <v>9.7698049999999999</v>
      </c>
      <c r="AF233">
        <v>9.7698049999999999</v>
      </c>
      <c r="AG233" t="s">
        <v>111</v>
      </c>
    </row>
    <row r="234" spans="1:33" x14ac:dyDescent="0.75">
      <c r="A234" t="s">
        <v>182</v>
      </c>
      <c r="B234" t="s">
        <v>672</v>
      </c>
      <c r="C234" t="s">
        <v>671</v>
      </c>
      <c r="D234" t="s">
        <v>664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111</v>
      </c>
    </row>
    <row r="235" spans="1:33" x14ac:dyDescent="0.75">
      <c r="A235" t="s">
        <v>139</v>
      </c>
      <c r="B235" t="s">
        <v>670</v>
      </c>
      <c r="C235" t="s">
        <v>669</v>
      </c>
      <c r="D235" t="s">
        <v>661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111</v>
      </c>
    </row>
    <row r="236" spans="1:33" x14ac:dyDescent="0.75">
      <c r="A236" t="s">
        <v>174</v>
      </c>
      <c r="B236" t="s">
        <v>668</v>
      </c>
      <c r="C236" t="s">
        <v>667</v>
      </c>
      <c r="D236" t="s">
        <v>661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111</v>
      </c>
    </row>
    <row r="237" spans="1:33" x14ac:dyDescent="0.75">
      <c r="A237" t="s">
        <v>171</v>
      </c>
      <c r="B237" t="s">
        <v>666</v>
      </c>
      <c r="C237" t="s">
        <v>665</v>
      </c>
      <c r="D237" t="s">
        <v>664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111</v>
      </c>
    </row>
    <row r="238" spans="1:33" x14ac:dyDescent="0.75">
      <c r="A238" t="s">
        <v>168</v>
      </c>
      <c r="B238" t="s">
        <v>663</v>
      </c>
      <c r="C238" t="s">
        <v>662</v>
      </c>
      <c r="D238" t="s">
        <v>661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111</v>
      </c>
    </row>
    <row r="239" spans="1:33" x14ac:dyDescent="0.75">
      <c r="A239" t="s">
        <v>660</v>
      </c>
      <c r="B239" t="s">
        <v>659</v>
      </c>
      <c r="C239" t="s">
        <v>658</v>
      </c>
      <c r="F239">
        <v>6.8548869999999997</v>
      </c>
      <c r="G239">
        <v>7.008928</v>
      </c>
      <c r="H239">
        <v>7.1755069999999996</v>
      </c>
      <c r="I239">
        <v>7.3440310000000002</v>
      </c>
      <c r="J239">
        <v>7.5033560000000001</v>
      </c>
      <c r="K239">
        <v>7.6570200000000002</v>
      </c>
      <c r="L239">
        <v>7.7844319999999998</v>
      </c>
      <c r="M239">
        <v>7.8963190000000001</v>
      </c>
      <c r="N239">
        <v>7.9844039999999996</v>
      </c>
      <c r="O239">
        <v>8.0514679999999998</v>
      </c>
      <c r="P239">
        <v>8.1022870000000005</v>
      </c>
      <c r="Q239">
        <v>8.1342009999999991</v>
      </c>
      <c r="R239">
        <v>8.1366180000000004</v>
      </c>
      <c r="S239">
        <v>8.1379459999999995</v>
      </c>
      <c r="T239">
        <v>8.1357149999999994</v>
      </c>
      <c r="U239">
        <v>8.1375189999999993</v>
      </c>
      <c r="V239">
        <v>8.1371649999999995</v>
      </c>
      <c r="W239">
        <v>8.1364129999999992</v>
      </c>
      <c r="X239">
        <v>8.1363679999999992</v>
      </c>
      <c r="Y239">
        <v>8.1339330000000007</v>
      </c>
      <c r="Z239">
        <v>8.1331659999999992</v>
      </c>
      <c r="AA239">
        <v>8.1322799999999997</v>
      </c>
      <c r="AB239">
        <v>8.1308959999999999</v>
      </c>
      <c r="AC239">
        <v>8.1295079999999995</v>
      </c>
      <c r="AD239">
        <v>8.123742</v>
      </c>
      <c r="AE239">
        <v>8.1220119999999998</v>
      </c>
      <c r="AF239">
        <v>8.1205160000000003</v>
      </c>
      <c r="AG239" s="71">
        <v>7.0000000000000001E-3</v>
      </c>
    </row>
    <row r="240" spans="1:33" x14ac:dyDescent="0.75">
      <c r="A240" t="s">
        <v>657</v>
      </c>
      <c r="B240" t="s">
        <v>656</v>
      </c>
      <c r="C240" t="s">
        <v>655</v>
      </c>
      <c r="F240">
        <v>7.7845329999999997</v>
      </c>
      <c r="G240">
        <v>8.1700400000000002</v>
      </c>
      <c r="H240">
        <v>8.3375160000000008</v>
      </c>
      <c r="I240">
        <v>8.4989089999999994</v>
      </c>
      <c r="J240">
        <v>8.694566</v>
      </c>
      <c r="K240">
        <v>8.8765870000000007</v>
      </c>
      <c r="L240">
        <v>9.0367379999999997</v>
      </c>
      <c r="M240">
        <v>9.1778119999999994</v>
      </c>
      <c r="N240">
        <v>9.2946340000000003</v>
      </c>
      <c r="O240">
        <v>9.3798370000000002</v>
      </c>
      <c r="P240">
        <v>9.462923</v>
      </c>
      <c r="Q240">
        <v>9.5250459999999997</v>
      </c>
      <c r="R240">
        <v>9.545712</v>
      </c>
      <c r="S240">
        <v>9.5580890000000007</v>
      </c>
      <c r="T240">
        <v>9.5769409999999997</v>
      </c>
      <c r="U240">
        <v>9.6088719999999999</v>
      </c>
      <c r="V240">
        <v>9.6380960000000009</v>
      </c>
      <c r="W240">
        <v>9.6714420000000008</v>
      </c>
      <c r="X240">
        <v>9.6972349999999992</v>
      </c>
      <c r="Y240">
        <v>9.7202509999999993</v>
      </c>
      <c r="Z240">
        <v>9.7451000000000008</v>
      </c>
      <c r="AA240">
        <v>9.7827490000000008</v>
      </c>
      <c r="AB240">
        <v>9.8186359999999997</v>
      </c>
      <c r="AC240">
        <v>9.8371399999999998</v>
      </c>
      <c r="AD240">
        <v>9.8385599999999993</v>
      </c>
      <c r="AE240">
        <v>9.8505929999999999</v>
      </c>
      <c r="AF240">
        <v>9.8773979999999995</v>
      </c>
      <c r="AG240" s="71">
        <v>8.9999999999999993E-3</v>
      </c>
    </row>
    <row r="241" spans="1:33" s="1" customFormat="1" x14ac:dyDescent="0.75">
      <c r="A241" s="1" t="s">
        <v>654</v>
      </c>
    </row>
    <row r="242" spans="1:33" x14ac:dyDescent="0.75">
      <c r="A242" t="s">
        <v>653</v>
      </c>
    </row>
    <row r="243" spans="1:33" x14ac:dyDescent="0.75">
      <c r="A243" t="s">
        <v>196</v>
      </c>
      <c r="B243" t="s">
        <v>652</v>
      </c>
      <c r="C243" t="s">
        <v>651</v>
      </c>
      <c r="D243" t="s">
        <v>103</v>
      </c>
      <c r="F243">
        <v>119.36211400000001</v>
      </c>
      <c r="G243">
        <v>168.04504399999999</v>
      </c>
      <c r="H243">
        <v>172.93017599999999</v>
      </c>
      <c r="I243">
        <v>173.02984599999999</v>
      </c>
      <c r="J243">
        <v>157.32209800000001</v>
      </c>
      <c r="K243">
        <v>139.67721599999999</v>
      </c>
      <c r="L243">
        <v>122.53037999999999</v>
      </c>
      <c r="M243">
        <v>104.252419</v>
      </c>
      <c r="N243">
        <v>88.038826</v>
      </c>
      <c r="O243">
        <v>79.593902999999997</v>
      </c>
      <c r="P243">
        <v>71.125832000000003</v>
      </c>
      <c r="Q243">
        <v>62.814281000000001</v>
      </c>
      <c r="R243">
        <v>56.953330999999999</v>
      </c>
      <c r="S243">
        <v>52.718108999999998</v>
      </c>
      <c r="T243">
        <v>45.731597999999998</v>
      </c>
      <c r="U243">
        <v>38.088886000000002</v>
      </c>
      <c r="V243">
        <v>34.851616</v>
      </c>
      <c r="W243">
        <v>30.140041</v>
      </c>
      <c r="X243">
        <v>25.780429999999999</v>
      </c>
      <c r="Y243">
        <v>21.591252999999998</v>
      </c>
      <c r="Z243">
        <v>19.974440000000001</v>
      </c>
      <c r="AA243">
        <v>19.347550999999999</v>
      </c>
      <c r="AB243">
        <v>18.670155999999999</v>
      </c>
      <c r="AC243">
        <v>16.993980000000001</v>
      </c>
      <c r="AD243">
        <v>15.383893</v>
      </c>
      <c r="AE243">
        <v>14.574971</v>
      </c>
      <c r="AF243">
        <v>14.517200000000001</v>
      </c>
      <c r="AG243" s="71">
        <v>-7.8E-2</v>
      </c>
    </row>
    <row r="244" spans="1:33" x14ac:dyDescent="0.75">
      <c r="A244" t="s">
        <v>199</v>
      </c>
      <c r="B244" t="s">
        <v>650</v>
      </c>
      <c r="C244" t="s">
        <v>649</v>
      </c>
      <c r="D244" t="s">
        <v>103</v>
      </c>
      <c r="F244">
        <v>96.207825</v>
      </c>
      <c r="G244">
        <v>140.926468</v>
      </c>
      <c r="H244">
        <v>150.30540500000001</v>
      </c>
      <c r="I244">
        <v>155.36149599999999</v>
      </c>
      <c r="J244">
        <v>145.78999300000001</v>
      </c>
      <c r="K244">
        <v>133.32659899999999</v>
      </c>
      <c r="L244">
        <v>120.12693</v>
      </c>
      <c r="M244">
        <v>104.729378</v>
      </c>
      <c r="N244">
        <v>90.536331000000004</v>
      </c>
      <c r="O244">
        <v>83.471191000000005</v>
      </c>
      <c r="P244">
        <v>75.916870000000003</v>
      </c>
      <c r="Q244">
        <v>68.160194000000004</v>
      </c>
      <c r="R244">
        <v>62.740749000000001</v>
      </c>
      <c r="S244">
        <v>58.886211000000003</v>
      </c>
      <c r="T244">
        <v>51.738425999999997</v>
      </c>
      <c r="U244">
        <v>43.728943000000001</v>
      </c>
      <c r="V244">
        <v>40.399540000000002</v>
      </c>
      <c r="W244">
        <v>35.366146000000001</v>
      </c>
      <c r="X244">
        <v>30.567242</v>
      </c>
      <c r="Y244">
        <v>25.960905</v>
      </c>
      <c r="Z244">
        <v>24.193511999999998</v>
      </c>
      <c r="AA244">
        <v>23.534416</v>
      </c>
      <c r="AB244">
        <v>22.799233999999998</v>
      </c>
      <c r="AC244">
        <v>20.943881999999999</v>
      </c>
      <c r="AD244">
        <v>19.132334</v>
      </c>
      <c r="AE244">
        <v>18.236712000000001</v>
      </c>
      <c r="AF244">
        <v>18.209972</v>
      </c>
      <c r="AG244" s="71">
        <v>-6.2E-2</v>
      </c>
    </row>
    <row r="245" spans="1:33" x14ac:dyDescent="0.75">
      <c r="A245" t="s">
        <v>193</v>
      </c>
      <c r="B245" t="s">
        <v>648</v>
      </c>
      <c r="C245" t="s">
        <v>647</v>
      </c>
      <c r="D245" t="s">
        <v>103</v>
      </c>
      <c r="F245">
        <v>2.1840000000000002E-3</v>
      </c>
      <c r="G245">
        <v>3.1580000000000002E-3</v>
      </c>
      <c r="H245">
        <v>3.3180000000000002E-3</v>
      </c>
      <c r="I245">
        <v>3.3869999999999998E-3</v>
      </c>
      <c r="J245">
        <v>3.339E-3</v>
      </c>
      <c r="K245">
        <v>3.3189999999999999E-3</v>
      </c>
      <c r="L245">
        <v>3.3140000000000001E-3</v>
      </c>
      <c r="M245">
        <v>3.2829999999999999E-3</v>
      </c>
      <c r="N245">
        <v>3.297E-3</v>
      </c>
      <c r="O245">
        <v>3.3509999999999998E-3</v>
      </c>
      <c r="P245">
        <v>3.4060000000000002E-3</v>
      </c>
      <c r="Q245">
        <v>3.4459999999999998E-3</v>
      </c>
      <c r="R245">
        <v>3.4849999999999998E-3</v>
      </c>
      <c r="S245">
        <v>3.5249999999999999E-3</v>
      </c>
      <c r="T245">
        <v>3.5739999999999999E-3</v>
      </c>
      <c r="U245">
        <v>3.5969999999999999E-3</v>
      </c>
      <c r="V245">
        <v>3.5799999999999998E-3</v>
      </c>
      <c r="W245">
        <v>3.5400000000000002E-3</v>
      </c>
      <c r="X245">
        <v>3.49E-3</v>
      </c>
      <c r="Y245">
        <v>3.4650000000000002E-3</v>
      </c>
      <c r="Z245">
        <v>3.4420000000000002E-3</v>
      </c>
      <c r="AA245">
        <v>3.4429999999999999E-3</v>
      </c>
      <c r="AB245">
        <v>3.444E-3</v>
      </c>
      <c r="AC245">
        <v>3.46E-3</v>
      </c>
      <c r="AD245">
        <v>3.4650000000000002E-3</v>
      </c>
      <c r="AE245">
        <v>3.46E-3</v>
      </c>
      <c r="AF245">
        <v>3.4520000000000002E-3</v>
      </c>
      <c r="AG245" s="71">
        <v>1.7999999999999999E-2</v>
      </c>
    </row>
    <row r="246" spans="1:33" x14ac:dyDescent="0.75">
      <c r="A246" t="s">
        <v>190</v>
      </c>
      <c r="B246" t="s">
        <v>646</v>
      </c>
      <c r="C246" t="s">
        <v>645</v>
      </c>
      <c r="D246" t="s">
        <v>103</v>
      </c>
      <c r="F246">
        <v>1.8444510000000001</v>
      </c>
      <c r="G246">
        <v>3.3833199999999999</v>
      </c>
      <c r="H246">
        <v>3.7551990000000002</v>
      </c>
      <c r="I246">
        <v>3.9225240000000001</v>
      </c>
      <c r="J246">
        <v>3.0337079999999998</v>
      </c>
      <c r="K246">
        <v>3.2252130000000001</v>
      </c>
      <c r="L246">
        <v>2.9592960000000001</v>
      </c>
      <c r="M246">
        <v>2.4964080000000002</v>
      </c>
      <c r="N246">
        <v>2.3470780000000002</v>
      </c>
      <c r="O246">
        <v>2.1422949999999998</v>
      </c>
      <c r="P246">
        <v>2.5325519999999999</v>
      </c>
      <c r="Q246">
        <v>2.9827849999999998</v>
      </c>
      <c r="R246">
        <v>3.393907</v>
      </c>
      <c r="S246">
        <v>4.0493690000000004</v>
      </c>
      <c r="T246">
        <v>5.0462020000000001</v>
      </c>
      <c r="U246">
        <v>5.6631039999999997</v>
      </c>
      <c r="V246">
        <v>6.637721</v>
      </c>
      <c r="W246">
        <v>7.7824429999999998</v>
      </c>
      <c r="X246">
        <v>8.7570530000000009</v>
      </c>
      <c r="Y246">
        <v>9.5117189999999994</v>
      </c>
      <c r="Z246">
        <v>10.158861999999999</v>
      </c>
      <c r="AA246">
        <v>10.974225000000001</v>
      </c>
      <c r="AB246">
        <v>11.79744</v>
      </c>
      <c r="AC246">
        <v>12.722552</v>
      </c>
      <c r="AD246">
        <v>13.328785</v>
      </c>
      <c r="AE246">
        <v>14.058415999999999</v>
      </c>
      <c r="AF246">
        <v>14.624667000000001</v>
      </c>
      <c r="AG246" s="71">
        <v>8.3000000000000004E-2</v>
      </c>
    </row>
    <row r="247" spans="1:33" x14ac:dyDescent="0.75">
      <c r="A247" t="s">
        <v>187</v>
      </c>
      <c r="B247" t="s">
        <v>644</v>
      </c>
      <c r="C247" t="s">
        <v>643</v>
      </c>
      <c r="D247" t="s">
        <v>103</v>
      </c>
      <c r="F247">
        <v>2.1840000000000002E-3</v>
      </c>
      <c r="G247">
        <v>3.1580000000000002E-3</v>
      </c>
      <c r="H247">
        <v>3.3180000000000002E-3</v>
      </c>
      <c r="I247">
        <v>3.3869999999999998E-3</v>
      </c>
      <c r="J247">
        <v>3.339E-3</v>
      </c>
      <c r="K247">
        <v>3.3189999999999999E-3</v>
      </c>
      <c r="L247">
        <v>3.3140000000000001E-3</v>
      </c>
      <c r="M247">
        <v>3.2829999999999999E-3</v>
      </c>
      <c r="N247">
        <v>3.297E-3</v>
      </c>
      <c r="O247">
        <v>3.3509999999999998E-3</v>
      </c>
      <c r="P247">
        <v>3.4060000000000002E-3</v>
      </c>
      <c r="Q247">
        <v>3.4459999999999998E-3</v>
      </c>
      <c r="R247">
        <v>3.4849999999999998E-3</v>
      </c>
      <c r="S247">
        <v>3.5249999999999999E-3</v>
      </c>
      <c r="T247">
        <v>3.5739999999999999E-3</v>
      </c>
      <c r="U247">
        <v>3.5969999999999999E-3</v>
      </c>
      <c r="V247">
        <v>3.5799999999999998E-3</v>
      </c>
      <c r="W247">
        <v>3.5400000000000002E-3</v>
      </c>
      <c r="X247">
        <v>3.49E-3</v>
      </c>
      <c r="Y247">
        <v>3.4650000000000002E-3</v>
      </c>
      <c r="Z247">
        <v>3.4420000000000002E-3</v>
      </c>
      <c r="AA247">
        <v>3.4429999999999999E-3</v>
      </c>
      <c r="AB247">
        <v>3.444E-3</v>
      </c>
      <c r="AC247">
        <v>3.46E-3</v>
      </c>
      <c r="AD247">
        <v>3.4650000000000002E-3</v>
      </c>
      <c r="AE247">
        <v>3.46E-3</v>
      </c>
      <c r="AF247">
        <v>3.4520000000000002E-3</v>
      </c>
      <c r="AG247" s="71">
        <v>1.7999999999999999E-2</v>
      </c>
    </row>
    <row r="248" spans="1:33" x14ac:dyDescent="0.75">
      <c r="A248" t="s">
        <v>135</v>
      </c>
      <c r="B248" t="s">
        <v>642</v>
      </c>
      <c r="C248" t="s">
        <v>641</v>
      </c>
      <c r="D248" t="s">
        <v>103</v>
      </c>
      <c r="F248">
        <v>0.94423100000000004</v>
      </c>
      <c r="G248">
        <v>1.365408</v>
      </c>
      <c r="H248">
        <v>1.4345939999999999</v>
      </c>
      <c r="I248">
        <v>1.464623</v>
      </c>
      <c r="J248">
        <v>1.4437329999999999</v>
      </c>
      <c r="K248">
        <v>1.4353499999999999</v>
      </c>
      <c r="L248">
        <v>1.650101</v>
      </c>
      <c r="M248">
        <v>4.0234750000000004</v>
      </c>
      <c r="N248">
        <v>7.0397679999999996</v>
      </c>
      <c r="O248">
        <v>7.0255640000000001</v>
      </c>
      <c r="P248">
        <v>11.163259999999999</v>
      </c>
      <c r="Q248">
        <v>17.926338000000001</v>
      </c>
      <c r="R248">
        <v>25.431442000000001</v>
      </c>
      <c r="S248">
        <v>31.65118</v>
      </c>
      <c r="T248">
        <v>38.719349000000001</v>
      </c>
      <c r="U248">
        <v>46.610855000000001</v>
      </c>
      <c r="V248">
        <v>54.171871000000003</v>
      </c>
      <c r="W248">
        <v>65.451530000000005</v>
      </c>
      <c r="X248">
        <v>75.256614999999996</v>
      </c>
      <c r="Y248">
        <v>83.868813000000003</v>
      </c>
      <c r="Z248">
        <v>88.847701999999998</v>
      </c>
      <c r="AA248">
        <v>93.758324000000002</v>
      </c>
      <c r="AB248">
        <v>97.673721</v>
      </c>
      <c r="AC248">
        <v>103.783997</v>
      </c>
      <c r="AD248">
        <v>109.08074999999999</v>
      </c>
      <c r="AE248">
        <v>113.297623</v>
      </c>
      <c r="AF248">
        <v>116.983017</v>
      </c>
      <c r="AG248" s="71">
        <v>0.20399999999999999</v>
      </c>
    </row>
    <row r="249" spans="1:33" x14ac:dyDescent="0.75">
      <c r="A249" t="s">
        <v>179</v>
      </c>
      <c r="B249" t="s">
        <v>640</v>
      </c>
      <c r="C249" t="s">
        <v>639</v>
      </c>
      <c r="D249" t="s">
        <v>103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111</v>
      </c>
    </row>
    <row r="250" spans="1:33" x14ac:dyDescent="0.75">
      <c r="A250" t="s">
        <v>182</v>
      </c>
      <c r="B250" t="s">
        <v>638</v>
      </c>
      <c r="C250" t="s">
        <v>637</v>
      </c>
      <c r="D250" t="s">
        <v>103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111</v>
      </c>
    </row>
    <row r="251" spans="1:33" x14ac:dyDescent="0.75">
      <c r="A251" t="s">
        <v>139</v>
      </c>
      <c r="B251" t="s">
        <v>636</v>
      </c>
      <c r="C251" t="s">
        <v>635</v>
      </c>
      <c r="D251" t="s">
        <v>103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111</v>
      </c>
    </row>
    <row r="252" spans="1:33" x14ac:dyDescent="0.75">
      <c r="A252" t="s">
        <v>174</v>
      </c>
      <c r="B252" t="s">
        <v>634</v>
      </c>
      <c r="C252" t="s">
        <v>633</v>
      </c>
      <c r="D252" t="s">
        <v>103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111</v>
      </c>
    </row>
    <row r="253" spans="1:33" x14ac:dyDescent="0.75">
      <c r="A253" t="s">
        <v>171</v>
      </c>
      <c r="B253" t="s">
        <v>632</v>
      </c>
      <c r="C253" t="s">
        <v>631</v>
      </c>
      <c r="D253" t="s">
        <v>103</v>
      </c>
      <c r="F253">
        <v>0</v>
      </c>
      <c r="G253">
        <v>2.0379999999999998</v>
      </c>
      <c r="H253">
        <v>3.3325499999999999</v>
      </c>
      <c r="I253">
        <v>4.9237310000000001</v>
      </c>
      <c r="J253">
        <v>26.281714999999998</v>
      </c>
      <c r="K253">
        <v>54.287185999999998</v>
      </c>
      <c r="L253">
        <v>84.201340000000002</v>
      </c>
      <c r="M253">
        <v>112.861259</v>
      </c>
      <c r="N253">
        <v>141.79293799999999</v>
      </c>
      <c r="O253">
        <v>162.911743</v>
      </c>
      <c r="P253">
        <v>179.93774400000001</v>
      </c>
      <c r="Q253">
        <v>192.76023900000001</v>
      </c>
      <c r="R253">
        <v>199.99612400000001</v>
      </c>
      <c r="S253">
        <v>205.27304100000001</v>
      </c>
      <c r="T253">
        <v>216.36737099999999</v>
      </c>
      <c r="U253">
        <v>229.177155</v>
      </c>
      <c r="V253">
        <v>231.776825</v>
      </c>
      <c r="W253">
        <v>232.09574900000001</v>
      </c>
      <c r="X253">
        <v>233.31234699999999</v>
      </c>
      <c r="Y253">
        <v>235.00767500000001</v>
      </c>
      <c r="Z253">
        <v>235.77676400000001</v>
      </c>
      <c r="AA253">
        <v>234.52491800000001</v>
      </c>
      <c r="AB253">
        <v>233.47456399999999</v>
      </c>
      <c r="AC253">
        <v>232.177063</v>
      </c>
      <c r="AD253">
        <v>230.277771</v>
      </c>
      <c r="AE253">
        <v>228.13374300000001</v>
      </c>
      <c r="AF253">
        <v>225.89794900000001</v>
      </c>
      <c r="AG253" t="s">
        <v>111</v>
      </c>
    </row>
    <row r="254" spans="1:33" x14ac:dyDescent="0.75">
      <c r="A254" t="s">
        <v>168</v>
      </c>
      <c r="B254" t="s">
        <v>630</v>
      </c>
      <c r="C254" t="s">
        <v>629</v>
      </c>
      <c r="D254" t="s">
        <v>103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111</v>
      </c>
    </row>
    <row r="255" spans="1:33" s="77" customFormat="1" x14ac:dyDescent="0.75">
      <c r="A255" s="77" t="s">
        <v>628</v>
      </c>
      <c r="B255" s="77" t="s">
        <v>627</v>
      </c>
      <c r="C255" s="77" t="s">
        <v>626</v>
      </c>
      <c r="D255" s="77" t="s">
        <v>103</v>
      </c>
      <c r="F255" s="77">
        <v>218.36299099999999</v>
      </c>
      <c r="G255" s="77">
        <v>315.76449600000001</v>
      </c>
      <c r="H255" s="77">
        <v>331.76449600000001</v>
      </c>
      <c r="I255" s="77">
        <v>338.70901500000002</v>
      </c>
      <c r="J255" s="77">
        <v>333.87792999999999</v>
      </c>
      <c r="K255" s="77">
        <v>331.958191</v>
      </c>
      <c r="L255" s="77">
        <v>331.47467</v>
      </c>
      <c r="M255" s="77">
        <v>328.36953699999998</v>
      </c>
      <c r="N255" s="77">
        <v>329.76156600000002</v>
      </c>
      <c r="O255" s="77">
        <v>335.15133700000001</v>
      </c>
      <c r="P255" s="77">
        <v>340.68307499999997</v>
      </c>
      <c r="Q255" s="77">
        <v>344.650757</v>
      </c>
      <c r="R255" s="77">
        <v>348.52252199999998</v>
      </c>
      <c r="S255" s="77">
        <v>352.58496100000002</v>
      </c>
      <c r="T255" s="77">
        <v>357.61010700000003</v>
      </c>
      <c r="U255" s="77">
        <v>363.27615400000002</v>
      </c>
      <c r="V255" s="77">
        <v>367.84466600000002</v>
      </c>
      <c r="W255" s="77">
        <v>370.84301799999997</v>
      </c>
      <c r="X255" s="77">
        <v>373.680725</v>
      </c>
      <c r="Y255" s="77">
        <v>375.94732699999997</v>
      </c>
      <c r="Z255" s="77">
        <v>378.958191</v>
      </c>
      <c r="AA255" s="77">
        <v>382.14627100000001</v>
      </c>
      <c r="AB255" s="77">
        <v>384.421967</v>
      </c>
      <c r="AC255" s="77">
        <v>386.62838699999998</v>
      </c>
      <c r="AD255" s="77">
        <v>387.21048000000002</v>
      </c>
      <c r="AE255" s="77">
        <v>388.30838</v>
      </c>
      <c r="AF255" s="77">
        <v>390.23971599999999</v>
      </c>
      <c r="AG255" s="78">
        <v>2.3E-2</v>
      </c>
    </row>
    <row r="256" spans="1:33" x14ac:dyDescent="0.75">
      <c r="A256" t="s">
        <v>625</v>
      </c>
    </row>
    <row r="257" spans="1:33" x14ac:dyDescent="0.75">
      <c r="A257" t="s">
        <v>196</v>
      </c>
      <c r="B257" t="s">
        <v>624</v>
      </c>
      <c r="C257" t="s">
        <v>623</v>
      </c>
      <c r="D257" t="s">
        <v>103</v>
      </c>
      <c r="F257">
        <v>98.313300999999996</v>
      </c>
      <c r="G257">
        <v>97.836608999999996</v>
      </c>
      <c r="H257">
        <v>103.452797</v>
      </c>
      <c r="I257">
        <v>107.243362</v>
      </c>
      <c r="J257">
        <v>103.19278</v>
      </c>
      <c r="K257">
        <v>97.216232000000005</v>
      </c>
      <c r="L257">
        <v>92.846428000000003</v>
      </c>
      <c r="M257">
        <v>88.334923000000003</v>
      </c>
      <c r="N257">
        <v>84.694091999999998</v>
      </c>
      <c r="O257">
        <v>82.005225999999993</v>
      </c>
      <c r="P257">
        <v>78.010101000000006</v>
      </c>
      <c r="Q257">
        <v>73.601714999999999</v>
      </c>
      <c r="R257">
        <v>69.995048999999995</v>
      </c>
      <c r="S257">
        <v>66.991837000000004</v>
      </c>
      <c r="T257">
        <v>64.365700000000004</v>
      </c>
      <c r="U257">
        <v>61.897514000000001</v>
      </c>
      <c r="V257">
        <v>59.811084999999999</v>
      </c>
      <c r="W257">
        <v>58.321438000000001</v>
      </c>
      <c r="X257">
        <v>57.454478999999999</v>
      </c>
      <c r="Y257">
        <v>56.892189000000002</v>
      </c>
      <c r="Z257">
        <v>55.89143</v>
      </c>
      <c r="AA257">
        <v>54.660702000000001</v>
      </c>
      <c r="AB257">
        <v>53.547351999999997</v>
      </c>
      <c r="AC257">
        <v>53.545704000000001</v>
      </c>
      <c r="AD257">
        <v>53.922440000000002</v>
      </c>
      <c r="AE257">
        <v>53.735672000000001</v>
      </c>
      <c r="AF257">
        <v>53.022548999999998</v>
      </c>
      <c r="AG257" s="71">
        <v>-2.3E-2</v>
      </c>
    </row>
    <row r="258" spans="1:33" x14ac:dyDescent="0.75">
      <c r="A258" t="s">
        <v>199</v>
      </c>
      <c r="B258" t="s">
        <v>622</v>
      </c>
      <c r="C258" t="s">
        <v>621</v>
      </c>
      <c r="D258" t="s">
        <v>103</v>
      </c>
      <c r="F258">
        <v>76.054267999999993</v>
      </c>
      <c r="G258">
        <v>77.454300000000003</v>
      </c>
      <c r="H258">
        <v>83.635658000000006</v>
      </c>
      <c r="I258">
        <v>88.378853000000007</v>
      </c>
      <c r="J258">
        <v>86.513474000000002</v>
      </c>
      <c r="K258">
        <v>82.790276000000006</v>
      </c>
      <c r="L258">
        <v>80.210464000000002</v>
      </c>
      <c r="M258">
        <v>77.315155000000004</v>
      </c>
      <c r="N258">
        <v>75.013228999999995</v>
      </c>
      <c r="O258">
        <v>73.405411000000001</v>
      </c>
      <c r="P258">
        <v>70.518044000000003</v>
      </c>
      <c r="Q258">
        <v>67.130249000000006</v>
      </c>
      <c r="R258">
        <v>64.362808000000001</v>
      </c>
      <c r="S258">
        <v>62.059382999999997</v>
      </c>
      <c r="T258">
        <v>60.030147999999997</v>
      </c>
      <c r="U258">
        <v>58.084083999999997</v>
      </c>
      <c r="V258">
        <v>56.441662000000001</v>
      </c>
      <c r="W258">
        <v>55.317905000000003</v>
      </c>
      <c r="X258">
        <v>54.749245000000002</v>
      </c>
      <c r="Y258">
        <v>54.443297999999999</v>
      </c>
      <c r="Z258">
        <v>53.692692000000001</v>
      </c>
      <c r="AA258">
        <v>52.695610000000002</v>
      </c>
      <c r="AB258">
        <v>51.788212000000001</v>
      </c>
      <c r="AC258">
        <v>51.938023000000001</v>
      </c>
      <c r="AD258">
        <v>52.443145999999999</v>
      </c>
      <c r="AE258">
        <v>52.388401000000002</v>
      </c>
      <c r="AF258">
        <v>51.808399000000001</v>
      </c>
      <c r="AG258" s="71">
        <v>-1.4999999999999999E-2</v>
      </c>
    </row>
    <row r="259" spans="1:33" x14ac:dyDescent="0.75">
      <c r="A259" t="s">
        <v>193</v>
      </c>
      <c r="B259" t="s">
        <v>620</v>
      </c>
      <c r="C259" t="s">
        <v>619</v>
      </c>
      <c r="D259" t="s">
        <v>103</v>
      </c>
      <c r="F259">
        <v>1.7719999999999999E-3</v>
      </c>
      <c r="G259">
        <v>1.805E-3</v>
      </c>
      <c r="H259">
        <v>1.934E-3</v>
      </c>
      <c r="I259">
        <v>2.0270000000000002E-3</v>
      </c>
      <c r="J259">
        <v>1.9750000000000002E-3</v>
      </c>
      <c r="K259">
        <v>1.89E-3</v>
      </c>
      <c r="L259">
        <v>1.8389999999999999E-3</v>
      </c>
      <c r="M259">
        <v>1.7930000000000001E-3</v>
      </c>
      <c r="N259">
        <v>1.7730000000000001E-3</v>
      </c>
      <c r="O259">
        <v>1.779E-3</v>
      </c>
      <c r="P259">
        <v>1.774E-3</v>
      </c>
      <c r="Q259">
        <v>1.7669999999999999E-3</v>
      </c>
      <c r="R259">
        <v>1.7769999999999999E-3</v>
      </c>
      <c r="S259">
        <v>1.794E-3</v>
      </c>
      <c r="T259">
        <v>1.805E-3</v>
      </c>
      <c r="U259">
        <v>1.802E-3</v>
      </c>
      <c r="V259">
        <v>1.7899999999999999E-3</v>
      </c>
      <c r="W259">
        <v>1.7799999999999999E-3</v>
      </c>
      <c r="X259">
        <v>1.7799999999999999E-3</v>
      </c>
      <c r="Y259">
        <v>1.7799999999999999E-3</v>
      </c>
      <c r="Z259">
        <v>1.761E-3</v>
      </c>
      <c r="AA259">
        <v>1.7309999999999999E-3</v>
      </c>
      <c r="AB259">
        <v>1.7030000000000001E-3</v>
      </c>
      <c r="AC259">
        <v>1.7080000000000001E-3</v>
      </c>
      <c r="AD259">
        <v>1.7240000000000001E-3</v>
      </c>
      <c r="AE259">
        <v>1.7229999999999999E-3</v>
      </c>
      <c r="AF259">
        <v>1.7030000000000001E-3</v>
      </c>
      <c r="AG259" s="71">
        <v>-2E-3</v>
      </c>
    </row>
    <row r="260" spans="1:33" x14ac:dyDescent="0.75">
      <c r="A260" t="s">
        <v>190</v>
      </c>
      <c r="B260" t="s">
        <v>618</v>
      </c>
      <c r="C260" t="s">
        <v>617</v>
      </c>
      <c r="D260" t="s">
        <v>103</v>
      </c>
      <c r="F260">
        <v>2.734982</v>
      </c>
      <c r="G260">
        <v>2.8151139999999999</v>
      </c>
      <c r="H260">
        <v>3.0271919999999999</v>
      </c>
      <c r="I260">
        <v>3.1629010000000002</v>
      </c>
      <c r="J260">
        <v>3.1006689999999999</v>
      </c>
      <c r="K260">
        <v>2.9745460000000001</v>
      </c>
      <c r="L260">
        <v>2.8916620000000002</v>
      </c>
      <c r="M260">
        <v>2.818619</v>
      </c>
      <c r="N260">
        <v>2.7908780000000002</v>
      </c>
      <c r="O260">
        <v>2.8054260000000002</v>
      </c>
      <c r="P260">
        <v>2.799328</v>
      </c>
      <c r="Q260">
        <v>2.78904</v>
      </c>
      <c r="R260">
        <v>2.7893089999999998</v>
      </c>
      <c r="S260">
        <v>2.8199649999999998</v>
      </c>
      <c r="T260">
        <v>2.852411</v>
      </c>
      <c r="U260">
        <v>2.859318</v>
      </c>
      <c r="V260">
        <v>2.8380749999999999</v>
      </c>
      <c r="W260">
        <v>2.8099569999999998</v>
      </c>
      <c r="X260">
        <v>2.8388279999999999</v>
      </c>
      <c r="Y260">
        <v>2.87378</v>
      </c>
      <c r="Z260">
        <v>2.8516379999999999</v>
      </c>
      <c r="AA260">
        <v>2.8105190000000002</v>
      </c>
      <c r="AB260">
        <v>2.7745690000000001</v>
      </c>
      <c r="AC260">
        <v>2.8271250000000001</v>
      </c>
      <c r="AD260">
        <v>2.8986519999999998</v>
      </c>
      <c r="AE260">
        <v>2.9838719999999999</v>
      </c>
      <c r="AF260">
        <v>2.9742109999999999</v>
      </c>
      <c r="AG260" s="71">
        <v>3.0000000000000001E-3</v>
      </c>
    </row>
    <row r="261" spans="1:33" x14ac:dyDescent="0.75">
      <c r="A261" t="s">
        <v>187</v>
      </c>
      <c r="B261" t="s">
        <v>616</v>
      </c>
      <c r="C261" t="s">
        <v>615</v>
      </c>
      <c r="D261" t="s">
        <v>103</v>
      </c>
      <c r="F261">
        <v>1.7719999999999999E-3</v>
      </c>
      <c r="G261">
        <v>1.805E-3</v>
      </c>
      <c r="H261">
        <v>1.934E-3</v>
      </c>
      <c r="I261">
        <v>2.0270000000000002E-3</v>
      </c>
      <c r="J261">
        <v>1.9750000000000002E-3</v>
      </c>
      <c r="K261">
        <v>1.89E-3</v>
      </c>
      <c r="L261">
        <v>1.8389999999999999E-3</v>
      </c>
      <c r="M261">
        <v>1.7930000000000001E-3</v>
      </c>
      <c r="N261">
        <v>1.7730000000000001E-3</v>
      </c>
      <c r="O261">
        <v>1.779E-3</v>
      </c>
      <c r="P261">
        <v>1.774E-3</v>
      </c>
      <c r="Q261">
        <v>1.7669999999999999E-3</v>
      </c>
      <c r="R261">
        <v>1.7769999999999999E-3</v>
      </c>
      <c r="S261">
        <v>1.794E-3</v>
      </c>
      <c r="T261">
        <v>1.805E-3</v>
      </c>
      <c r="U261">
        <v>1.802E-3</v>
      </c>
      <c r="V261">
        <v>1.7899999999999999E-3</v>
      </c>
      <c r="W261">
        <v>1.7799999999999999E-3</v>
      </c>
      <c r="X261">
        <v>1.7799999999999999E-3</v>
      </c>
      <c r="Y261">
        <v>1.7799999999999999E-3</v>
      </c>
      <c r="Z261">
        <v>1.761E-3</v>
      </c>
      <c r="AA261">
        <v>1.7309999999999999E-3</v>
      </c>
      <c r="AB261">
        <v>1.7030000000000001E-3</v>
      </c>
      <c r="AC261">
        <v>1.7080000000000001E-3</v>
      </c>
      <c r="AD261">
        <v>1.7240000000000001E-3</v>
      </c>
      <c r="AE261">
        <v>1.7229999999999999E-3</v>
      </c>
      <c r="AF261">
        <v>1.7030000000000001E-3</v>
      </c>
      <c r="AG261" s="71">
        <v>-2E-3</v>
      </c>
    </row>
    <row r="262" spans="1:33" x14ac:dyDescent="0.75">
      <c r="A262" t="s">
        <v>135</v>
      </c>
      <c r="B262" t="s">
        <v>614</v>
      </c>
      <c r="C262" t="s">
        <v>613</v>
      </c>
      <c r="D262" t="s">
        <v>103</v>
      </c>
      <c r="F262">
        <v>0.113667</v>
      </c>
      <c r="G262">
        <v>0.115771</v>
      </c>
      <c r="H262">
        <v>0.12402299999999999</v>
      </c>
      <c r="I262">
        <v>0.12998299999999999</v>
      </c>
      <c r="J262">
        <v>0.126668</v>
      </c>
      <c r="K262">
        <v>0.121198</v>
      </c>
      <c r="L262">
        <v>0.117975</v>
      </c>
      <c r="M262">
        <v>0.114995</v>
      </c>
      <c r="N262">
        <v>0.113729</v>
      </c>
      <c r="O262">
        <v>0.11407299999999999</v>
      </c>
      <c r="P262">
        <v>0.113798</v>
      </c>
      <c r="Q262">
        <v>0.113326</v>
      </c>
      <c r="R262">
        <v>0.113995</v>
      </c>
      <c r="S262">
        <v>0.115079</v>
      </c>
      <c r="T262">
        <v>0.115797</v>
      </c>
      <c r="U262">
        <v>0.115552</v>
      </c>
      <c r="V262">
        <v>0.1148</v>
      </c>
      <c r="W262">
        <v>0.11419799999999999</v>
      </c>
      <c r="X262">
        <v>0.114139</v>
      </c>
      <c r="Y262">
        <v>0.114187</v>
      </c>
      <c r="Z262">
        <v>0.11297699999999999</v>
      </c>
      <c r="AA262">
        <v>0.111053</v>
      </c>
      <c r="AB262">
        <v>0.10920299999999999</v>
      </c>
      <c r="AC262">
        <v>0.10954899999999999</v>
      </c>
      <c r="AD262">
        <v>0.11060499999999999</v>
      </c>
      <c r="AE262">
        <v>0.110504</v>
      </c>
      <c r="AF262">
        <v>0.109221</v>
      </c>
      <c r="AG262" s="71">
        <v>-2E-3</v>
      </c>
    </row>
    <row r="263" spans="1:33" x14ac:dyDescent="0.75">
      <c r="A263" t="s">
        <v>179</v>
      </c>
      <c r="B263" t="s">
        <v>612</v>
      </c>
      <c r="C263" t="s">
        <v>611</v>
      </c>
      <c r="D263" t="s">
        <v>103</v>
      </c>
      <c r="F263">
        <v>0</v>
      </c>
      <c r="G263">
        <v>0</v>
      </c>
      <c r="H263">
        <v>0.122118</v>
      </c>
      <c r="I263">
        <v>0.193159</v>
      </c>
      <c r="J263">
        <v>0.31195200000000001</v>
      </c>
      <c r="K263">
        <v>0.412692</v>
      </c>
      <c r="L263">
        <v>0.48345900000000003</v>
      </c>
      <c r="M263">
        <v>0.55136799999999997</v>
      </c>
      <c r="N263">
        <v>0.58849499999999999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111</v>
      </c>
    </row>
    <row r="264" spans="1:33" x14ac:dyDescent="0.75">
      <c r="A264" t="s">
        <v>182</v>
      </c>
      <c r="B264" t="s">
        <v>610</v>
      </c>
      <c r="C264" t="s">
        <v>609</v>
      </c>
      <c r="D264" t="s">
        <v>103</v>
      </c>
      <c r="F264">
        <v>0</v>
      </c>
      <c r="G264">
        <v>0.56174199999999996</v>
      </c>
      <c r="H264">
        <v>0.65029199999999998</v>
      </c>
      <c r="I264">
        <v>0.331312</v>
      </c>
      <c r="J264">
        <v>6.5602999999999995E-2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111</v>
      </c>
    </row>
    <row r="265" spans="1:33" x14ac:dyDescent="0.75">
      <c r="A265" t="s">
        <v>139</v>
      </c>
      <c r="B265" t="s">
        <v>608</v>
      </c>
      <c r="C265" t="s">
        <v>607</v>
      </c>
      <c r="D265" t="s">
        <v>103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111</v>
      </c>
    </row>
    <row r="266" spans="1:33" x14ac:dyDescent="0.75">
      <c r="A266" t="s">
        <v>174</v>
      </c>
      <c r="B266" t="s">
        <v>606</v>
      </c>
      <c r="C266" t="s">
        <v>605</v>
      </c>
      <c r="D266" t="s">
        <v>103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111</v>
      </c>
    </row>
    <row r="267" spans="1:33" x14ac:dyDescent="0.75">
      <c r="A267" t="s">
        <v>171</v>
      </c>
      <c r="B267" t="s">
        <v>604</v>
      </c>
      <c r="C267" t="s">
        <v>603</v>
      </c>
      <c r="D267" t="s">
        <v>103</v>
      </c>
      <c r="F267">
        <v>0</v>
      </c>
      <c r="G267">
        <v>1.7135560000000001</v>
      </c>
      <c r="H267">
        <v>2.350819</v>
      </c>
      <c r="I267">
        <v>3.2148279999999998</v>
      </c>
      <c r="J267">
        <v>4.1746100000000004</v>
      </c>
      <c r="K267">
        <v>5.4425470000000002</v>
      </c>
      <c r="L267">
        <v>7.3824759999999996</v>
      </c>
      <c r="M267">
        <v>10.151320999999999</v>
      </c>
      <c r="N267">
        <v>14.112121999999999</v>
      </c>
      <c r="O267">
        <v>19.519396</v>
      </c>
      <c r="P267">
        <v>25.979019000000001</v>
      </c>
      <c r="Q267">
        <v>33.050400000000003</v>
      </c>
      <c r="R267">
        <v>40.467086999999999</v>
      </c>
      <c r="S267">
        <v>47.431865999999999</v>
      </c>
      <c r="T267">
        <v>53.173378</v>
      </c>
      <c r="U267">
        <v>57.198608</v>
      </c>
      <c r="V267">
        <v>59.776516000000001</v>
      </c>
      <c r="W267">
        <v>61.481461000000003</v>
      </c>
      <c r="X267">
        <v>62.795741999999997</v>
      </c>
      <c r="Y267">
        <v>63.703178000000001</v>
      </c>
      <c r="Z267">
        <v>63.591166999999999</v>
      </c>
      <c r="AA267">
        <v>62.862864999999999</v>
      </c>
      <c r="AB267">
        <v>62.037998000000002</v>
      </c>
      <c r="AC267">
        <v>62.375670999999997</v>
      </c>
      <c r="AD267">
        <v>63.0672</v>
      </c>
      <c r="AE267">
        <v>63.067070000000001</v>
      </c>
      <c r="AF267">
        <v>62.370319000000002</v>
      </c>
      <c r="AG267" t="s">
        <v>111</v>
      </c>
    </row>
    <row r="268" spans="1:33" x14ac:dyDescent="0.75">
      <c r="A268" t="s">
        <v>168</v>
      </c>
      <c r="B268" t="s">
        <v>602</v>
      </c>
      <c r="C268" t="s">
        <v>601</v>
      </c>
      <c r="D268" t="s">
        <v>103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111</v>
      </c>
    </row>
    <row r="269" spans="1:33" s="77" customFormat="1" x14ac:dyDescent="0.75">
      <c r="A269" s="77" t="s">
        <v>600</v>
      </c>
      <c r="B269" s="77" t="s">
        <v>599</v>
      </c>
      <c r="C269" s="77" t="s">
        <v>598</v>
      </c>
      <c r="D269" s="77" t="s">
        <v>103</v>
      </c>
      <c r="F269" s="77">
        <v>177.219742</v>
      </c>
      <c r="G269" s="77">
        <v>180.500732</v>
      </c>
      <c r="H269" s="77">
        <v>193.36677599999999</v>
      </c>
      <c r="I269" s="77">
        <v>202.658447</v>
      </c>
      <c r="J269" s="77">
        <v>197.48968500000001</v>
      </c>
      <c r="K269" s="77">
        <v>188.96127300000001</v>
      </c>
      <c r="L269" s="77">
        <v>183.93614199999999</v>
      </c>
      <c r="M269" s="77">
        <v>179.28994800000001</v>
      </c>
      <c r="N269" s="77">
        <v>177.31608600000001</v>
      </c>
      <c r="O269" s="77">
        <v>177.85307299999999</v>
      </c>
      <c r="P269" s="77">
        <v>177.42384300000001</v>
      </c>
      <c r="Q269" s="77">
        <v>176.68826300000001</v>
      </c>
      <c r="R269" s="77">
        <v>177.73182700000001</v>
      </c>
      <c r="S269" s="77">
        <v>179.42169200000001</v>
      </c>
      <c r="T269" s="77">
        <v>180.54106100000001</v>
      </c>
      <c r="U269" s="77">
        <v>180.158661</v>
      </c>
      <c r="V269" s="77">
        <v>178.98571799999999</v>
      </c>
      <c r="W269" s="77">
        <v>178.04853800000001</v>
      </c>
      <c r="X269" s="77">
        <v>177.955994</v>
      </c>
      <c r="Y269" s="77">
        <v>178.03021200000001</v>
      </c>
      <c r="Z269" s="77">
        <v>176.14343299999999</v>
      </c>
      <c r="AA269" s="77">
        <v>173.144226</v>
      </c>
      <c r="AB269" s="77">
        <v>170.26071200000001</v>
      </c>
      <c r="AC269" s="77">
        <v>170.79948400000001</v>
      </c>
      <c r="AD269" s="77">
        <v>172.44551100000001</v>
      </c>
      <c r="AE269" s="77">
        <v>172.288971</v>
      </c>
      <c r="AF269" s="77">
        <v>170.28810100000001</v>
      </c>
      <c r="AG269" s="78">
        <v>-2E-3</v>
      </c>
    </row>
    <row r="270" spans="1:33" x14ac:dyDescent="0.75">
      <c r="A270" t="s">
        <v>597</v>
      </c>
    </row>
    <row r="271" spans="1:33" x14ac:dyDescent="0.75">
      <c r="A271" t="s">
        <v>196</v>
      </c>
      <c r="B271" t="s">
        <v>596</v>
      </c>
      <c r="C271" t="s">
        <v>595</v>
      </c>
      <c r="D271" t="s">
        <v>103</v>
      </c>
      <c r="F271">
        <v>307.59622200000001</v>
      </c>
      <c r="G271">
        <v>313.02185100000003</v>
      </c>
      <c r="H271">
        <v>335.22216800000001</v>
      </c>
      <c r="I271">
        <v>351.56460600000003</v>
      </c>
      <c r="J271">
        <v>342.586029</v>
      </c>
      <c r="K271">
        <v>327.72351099999997</v>
      </c>
      <c r="L271">
        <v>318.936554</v>
      </c>
      <c r="M271">
        <v>310.78518700000001</v>
      </c>
      <c r="N271">
        <v>307.22323599999999</v>
      </c>
      <c r="O271">
        <v>308.72027600000001</v>
      </c>
      <c r="P271">
        <v>307.94979899999998</v>
      </c>
      <c r="Q271">
        <v>306.63226300000002</v>
      </c>
      <c r="R271">
        <v>308.43292200000002</v>
      </c>
      <c r="S271">
        <v>311.27868699999999</v>
      </c>
      <c r="T271">
        <v>313.22674599999999</v>
      </c>
      <c r="U271">
        <v>312.47369400000002</v>
      </c>
      <c r="V271">
        <v>310.26293900000002</v>
      </c>
      <c r="W271">
        <v>308.45281999999997</v>
      </c>
      <c r="X271">
        <v>308.23263500000002</v>
      </c>
      <c r="Y271">
        <v>308.30825800000002</v>
      </c>
      <c r="Z271">
        <v>304.84274299999998</v>
      </c>
      <c r="AA271">
        <v>299.50528000000003</v>
      </c>
      <c r="AB271">
        <v>294.25860599999999</v>
      </c>
      <c r="AC271">
        <v>294.85919200000001</v>
      </c>
      <c r="AD271">
        <v>297.13476600000001</v>
      </c>
      <c r="AE271">
        <v>296.41198700000001</v>
      </c>
      <c r="AF271">
        <v>292.27603099999999</v>
      </c>
      <c r="AG271" s="71">
        <v>-2E-3</v>
      </c>
    </row>
    <row r="272" spans="1:33" x14ac:dyDescent="0.75">
      <c r="A272" t="s">
        <v>199</v>
      </c>
      <c r="B272" t="s">
        <v>594</v>
      </c>
      <c r="C272" t="s">
        <v>593</v>
      </c>
      <c r="D272" t="s">
        <v>103</v>
      </c>
      <c r="F272">
        <v>0.164275</v>
      </c>
      <c r="G272">
        <v>0.16734399999999999</v>
      </c>
      <c r="H272">
        <v>0.17882999999999999</v>
      </c>
      <c r="I272">
        <v>0.18709799999999999</v>
      </c>
      <c r="J272">
        <v>0.18209800000000001</v>
      </c>
      <c r="K272">
        <v>0.173901</v>
      </c>
      <c r="L272">
        <v>0.16891500000000001</v>
      </c>
      <c r="M272">
        <v>0.16417200000000001</v>
      </c>
      <c r="N272">
        <v>0.16173799999999999</v>
      </c>
      <c r="O272">
        <v>0.16499900000000001</v>
      </c>
      <c r="P272">
        <v>0.164607</v>
      </c>
      <c r="Q272">
        <v>0.16392899999999999</v>
      </c>
      <c r="R272">
        <v>0.16490099999999999</v>
      </c>
      <c r="S272">
        <v>0.16647300000000001</v>
      </c>
      <c r="T272">
        <v>0.167514</v>
      </c>
      <c r="U272">
        <v>0.16716200000000001</v>
      </c>
      <c r="V272">
        <v>0.166076</v>
      </c>
      <c r="W272">
        <v>0.16520799999999999</v>
      </c>
      <c r="X272">
        <v>0.16512299999999999</v>
      </c>
      <c r="Y272">
        <v>0.16519300000000001</v>
      </c>
      <c r="Z272">
        <v>0.16344400000000001</v>
      </c>
      <c r="AA272">
        <v>0.160662</v>
      </c>
      <c r="AB272">
        <v>0.15798699999999999</v>
      </c>
      <c r="AC272">
        <v>0.15848699999999999</v>
      </c>
      <c r="AD272">
        <v>0.16001499999999999</v>
      </c>
      <c r="AE272">
        <v>0.15987000000000001</v>
      </c>
      <c r="AF272">
        <v>0.15801000000000001</v>
      </c>
      <c r="AG272" s="71">
        <v>-1E-3</v>
      </c>
    </row>
    <row r="273" spans="1:33" x14ac:dyDescent="0.75">
      <c r="A273" t="s">
        <v>193</v>
      </c>
      <c r="B273" t="s">
        <v>592</v>
      </c>
      <c r="C273" t="s">
        <v>591</v>
      </c>
      <c r="D273" t="s">
        <v>103</v>
      </c>
      <c r="F273">
        <v>0.15823000000000001</v>
      </c>
      <c r="G273">
        <v>0.161159</v>
      </c>
      <c r="H273">
        <v>0.17264699999999999</v>
      </c>
      <c r="I273">
        <v>0.18094299999999999</v>
      </c>
      <c r="J273">
        <v>0.17632800000000001</v>
      </c>
      <c r="K273">
        <v>0.168714</v>
      </c>
      <c r="L273">
        <v>0.16422700000000001</v>
      </c>
      <c r="M273">
        <v>0.160079</v>
      </c>
      <c r="N273">
        <v>0.15831600000000001</v>
      </c>
      <c r="O273">
        <v>0.15879699999999999</v>
      </c>
      <c r="P273">
        <v>0.158414</v>
      </c>
      <c r="Q273">
        <v>0.15775800000000001</v>
      </c>
      <c r="R273">
        <v>0.158689</v>
      </c>
      <c r="S273">
        <v>0.16019800000000001</v>
      </c>
      <c r="T273">
        <v>0.16119800000000001</v>
      </c>
      <c r="U273">
        <v>0.160856</v>
      </c>
      <c r="V273">
        <v>0.15980900000000001</v>
      </c>
      <c r="W273">
        <v>0.158972</v>
      </c>
      <c r="X273">
        <v>0.158889</v>
      </c>
      <c r="Y273">
        <v>0.15895599999999999</v>
      </c>
      <c r="Z273">
        <v>0.15727099999999999</v>
      </c>
      <c r="AA273">
        <v>0.15459300000000001</v>
      </c>
      <c r="AB273">
        <v>0.15201799999999999</v>
      </c>
      <c r="AC273">
        <v>0.152499</v>
      </c>
      <c r="AD273">
        <v>0.15396799999999999</v>
      </c>
      <c r="AE273">
        <v>0.15382799999999999</v>
      </c>
      <c r="AF273">
        <v>0.15203900000000001</v>
      </c>
      <c r="AG273" s="71">
        <v>-2E-3</v>
      </c>
    </row>
    <row r="274" spans="1:33" x14ac:dyDescent="0.75">
      <c r="A274" t="s">
        <v>190</v>
      </c>
      <c r="B274" t="s">
        <v>590</v>
      </c>
      <c r="C274" t="s">
        <v>589</v>
      </c>
      <c r="D274" t="s">
        <v>103</v>
      </c>
      <c r="F274">
        <v>4.9517290000000003</v>
      </c>
      <c r="G274">
        <v>5.312443</v>
      </c>
      <c r="H274">
        <v>5.6818520000000001</v>
      </c>
      <c r="I274">
        <v>5.6170330000000002</v>
      </c>
      <c r="J274">
        <v>5.4386429999999999</v>
      </c>
      <c r="K274">
        <v>5.203786</v>
      </c>
      <c r="L274">
        <v>5.0673890000000004</v>
      </c>
      <c r="M274">
        <v>4.9440660000000003</v>
      </c>
      <c r="N274">
        <v>4.9118769999999996</v>
      </c>
      <c r="O274">
        <v>4.9445069999999998</v>
      </c>
      <c r="P274">
        <v>4.9579420000000001</v>
      </c>
      <c r="Q274">
        <v>4.9781510000000004</v>
      </c>
      <c r="R274">
        <v>5.0178739999999999</v>
      </c>
      <c r="S274">
        <v>5.1524660000000004</v>
      </c>
      <c r="T274">
        <v>5.1785119999999996</v>
      </c>
      <c r="U274">
        <v>5.2572320000000001</v>
      </c>
      <c r="V274">
        <v>5.3993229999999999</v>
      </c>
      <c r="W274">
        <v>5.556578</v>
      </c>
      <c r="X274">
        <v>5.6135780000000004</v>
      </c>
      <c r="Y274">
        <v>5.6688020000000003</v>
      </c>
      <c r="Z274">
        <v>5.8067770000000003</v>
      </c>
      <c r="AA274">
        <v>5.8547640000000003</v>
      </c>
      <c r="AB274">
        <v>6.0161300000000004</v>
      </c>
      <c r="AC274">
        <v>6.3656329999999999</v>
      </c>
      <c r="AD274">
        <v>6.993036</v>
      </c>
      <c r="AE274">
        <v>7.4397250000000001</v>
      </c>
      <c r="AF274">
        <v>8.0469609999999996</v>
      </c>
      <c r="AG274" s="71">
        <v>1.9E-2</v>
      </c>
    </row>
    <row r="275" spans="1:33" x14ac:dyDescent="0.75">
      <c r="A275" t="s">
        <v>187</v>
      </c>
      <c r="B275" t="s">
        <v>588</v>
      </c>
      <c r="C275" t="s">
        <v>587</v>
      </c>
      <c r="D275" t="s">
        <v>103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111</v>
      </c>
    </row>
    <row r="276" spans="1:33" x14ac:dyDescent="0.75">
      <c r="A276" t="s">
        <v>135</v>
      </c>
      <c r="B276" t="s">
        <v>586</v>
      </c>
      <c r="C276" t="s">
        <v>585</v>
      </c>
      <c r="D276" t="s">
        <v>103</v>
      </c>
      <c r="F276">
        <v>0.73615900000000001</v>
      </c>
      <c r="G276">
        <v>0.74978900000000004</v>
      </c>
      <c r="H276">
        <v>0.80323500000000003</v>
      </c>
      <c r="I276">
        <v>0.84183300000000005</v>
      </c>
      <c r="J276">
        <v>0.82036399999999998</v>
      </c>
      <c r="K276">
        <v>0.78493800000000002</v>
      </c>
      <c r="L276">
        <v>0.76406399999999997</v>
      </c>
      <c r="M276">
        <v>0.74476500000000001</v>
      </c>
      <c r="N276">
        <v>0.73656500000000003</v>
      </c>
      <c r="O276">
        <v>0.73880100000000004</v>
      </c>
      <c r="P276">
        <v>0.73701899999999998</v>
      </c>
      <c r="Q276">
        <v>0.73396300000000003</v>
      </c>
      <c r="R276">
        <v>0.73829800000000001</v>
      </c>
      <c r="S276">
        <v>0.74531800000000004</v>
      </c>
      <c r="T276">
        <v>0.74996799999999997</v>
      </c>
      <c r="U276">
        <v>0.74838000000000005</v>
      </c>
      <c r="V276">
        <v>0.74350700000000003</v>
      </c>
      <c r="W276">
        <v>0.73961399999999999</v>
      </c>
      <c r="X276">
        <v>0.73922500000000002</v>
      </c>
      <c r="Y276">
        <v>0.73953599999999997</v>
      </c>
      <c r="Z276">
        <v>0.73169799999999996</v>
      </c>
      <c r="AA276">
        <v>0.71923599999999999</v>
      </c>
      <c r="AB276">
        <v>0.70725899999999997</v>
      </c>
      <c r="AC276">
        <v>0.70949399999999996</v>
      </c>
      <c r="AD276">
        <v>0.71632700000000005</v>
      </c>
      <c r="AE276">
        <v>0.71567499999999995</v>
      </c>
      <c r="AF276">
        <v>0.70735400000000004</v>
      </c>
      <c r="AG276" s="71">
        <v>-2E-3</v>
      </c>
    </row>
    <row r="277" spans="1:33" x14ac:dyDescent="0.75">
      <c r="A277" t="s">
        <v>179</v>
      </c>
      <c r="B277" t="s">
        <v>584</v>
      </c>
      <c r="C277" t="s">
        <v>583</v>
      </c>
      <c r="D277" t="s">
        <v>103</v>
      </c>
      <c r="F277">
        <v>0</v>
      </c>
      <c r="G277">
        <v>0</v>
      </c>
      <c r="H277">
        <v>0.121547</v>
      </c>
      <c r="I277">
        <v>0.23117199999999999</v>
      </c>
      <c r="J277">
        <v>0.2727</v>
      </c>
      <c r="K277">
        <v>0.32945400000000002</v>
      </c>
      <c r="L277">
        <v>0.39071099999999997</v>
      </c>
      <c r="M277">
        <v>0.47172500000000001</v>
      </c>
      <c r="N277">
        <v>0.58538199999999996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111</v>
      </c>
    </row>
    <row r="278" spans="1:33" x14ac:dyDescent="0.75">
      <c r="A278" t="s">
        <v>182</v>
      </c>
      <c r="B278" t="s">
        <v>582</v>
      </c>
      <c r="C278" t="s">
        <v>581</v>
      </c>
      <c r="D278" t="s">
        <v>103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111</v>
      </c>
    </row>
    <row r="279" spans="1:33" x14ac:dyDescent="0.75">
      <c r="A279" t="s">
        <v>139</v>
      </c>
      <c r="B279" t="s">
        <v>580</v>
      </c>
      <c r="C279" t="s">
        <v>579</v>
      </c>
      <c r="D279" t="s">
        <v>103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111</v>
      </c>
    </row>
    <row r="280" spans="1:33" x14ac:dyDescent="0.75">
      <c r="A280" t="s">
        <v>174</v>
      </c>
      <c r="B280" t="s">
        <v>578</v>
      </c>
      <c r="C280" t="s">
        <v>577</v>
      </c>
      <c r="D280" t="s">
        <v>103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111</v>
      </c>
    </row>
    <row r="281" spans="1:33" x14ac:dyDescent="0.75">
      <c r="A281" t="s">
        <v>171</v>
      </c>
      <c r="B281" t="s">
        <v>576</v>
      </c>
      <c r="C281" t="s">
        <v>575</v>
      </c>
      <c r="D281" t="s">
        <v>103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111</v>
      </c>
    </row>
    <row r="282" spans="1:33" x14ac:dyDescent="0.75">
      <c r="A282" t="s">
        <v>168</v>
      </c>
      <c r="B282" t="s">
        <v>574</v>
      </c>
      <c r="C282" t="s">
        <v>573</v>
      </c>
      <c r="D282" t="s">
        <v>103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t="s">
        <v>111</v>
      </c>
    </row>
    <row r="283" spans="1:33" s="77" customFormat="1" x14ac:dyDescent="0.75">
      <c r="A283" s="77" t="s">
        <v>572</v>
      </c>
      <c r="B283" s="77" t="s">
        <v>571</v>
      </c>
      <c r="C283" s="77" t="s">
        <v>570</v>
      </c>
      <c r="D283" s="77" t="s">
        <v>103</v>
      </c>
      <c r="F283" s="77">
        <v>313.60665899999998</v>
      </c>
      <c r="G283" s="77">
        <v>319.41256700000002</v>
      </c>
      <c r="H283" s="77">
        <v>342.18023699999998</v>
      </c>
      <c r="I283" s="77">
        <v>358.62271099999998</v>
      </c>
      <c r="J283" s="77">
        <v>349.476135</v>
      </c>
      <c r="K283" s="77">
        <v>334.38430799999998</v>
      </c>
      <c r="L283" s="77">
        <v>325.49188199999998</v>
      </c>
      <c r="M283" s="77">
        <v>317.27001999999999</v>
      </c>
      <c r="N283" s="77">
        <v>313.77713</v>
      </c>
      <c r="O283" s="77">
        <v>314.72732500000001</v>
      </c>
      <c r="P283" s="77">
        <v>313.967804</v>
      </c>
      <c r="Q283" s="77">
        <v>312.66604599999999</v>
      </c>
      <c r="R283" s="77">
        <v>314.51275600000002</v>
      </c>
      <c r="S283" s="77">
        <v>317.50311299999998</v>
      </c>
      <c r="T283" s="77">
        <v>319.483948</v>
      </c>
      <c r="U283" s="77">
        <v>318.80731200000002</v>
      </c>
      <c r="V283" s="77">
        <v>316.731628</v>
      </c>
      <c r="W283" s="77">
        <v>315.07318099999998</v>
      </c>
      <c r="X283" s="77">
        <v>314.909424</v>
      </c>
      <c r="Y283" s="77">
        <v>315.04077100000001</v>
      </c>
      <c r="Z283" s="77">
        <v>311.70193499999999</v>
      </c>
      <c r="AA283" s="77">
        <v>306.39459199999999</v>
      </c>
      <c r="AB283" s="77">
        <v>301.29199199999999</v>
      </c>
      <c r="AC283" s="77">
        <v>302.245361</v>
      </c>
      <c r="AD283" s="77">
        <v>305.15811200000002</v>
      </c>
      <c r="AE283" s="77">
        <v>304.88110399999999</v>
      </c>
      <c r="AF283" s="77">
        <v>301.34033199999999</v>
      </c>
      <c r="AG283" s="78">
        <v>-2E-3</v>
      </c>
    </row>
    <row r="284" spans="1:33" x14ac:dyDescent="0.75">
      <c r="A284" t="s">
        <v>130</v>
      </c>
      <c r="B284" t="s">
        <v>569</v>
      </c>
      <c r="C284" t="s">
        <v>568</v>
      </c>
      <c r="D284" t="s">
        <v>103</v>
      </c>
      <c r="F284">
        <v>709.18963599999995</v>
      </c>
      <c r="G284">
        <v>815.67779499999995</v>
      </c>
      <c r="H284">
        <v>867.31158400000004</v>
      </c>
      <c r="I284">
        <v>899.99011199999995</v>
      </c>
      <c r="J284">
        <v>880.84381099999996</v>
      </c>
      <c r="K284">
        <v>855.30389400000001</v>
      </c>
      <c r="L284">
        <v>840.902649</v>
      </c>
      <c r="M284">
        <v>824.92938200000003</v>
      </c>
      <c r="N284">
        <v>820.85467500000004</v>
      </c>
      <c r="O284">
        <v>827.73187299999995</v>
      </c>
      <c r="P284">
        <v>832.07470699999999</v>
      </c>
      <c r="Q284">
        <v>834.00494400000002</v>
      </c>
      <c r="R284">
        <v>840.76702899999998</v>
      </c>
      <c r="S284">
        <v>849.50982699999997</v>
      </c>
      <c r="T284">
        <v>857.63500999999997</v>
      </c>
      <c r="U284">
        <v>862.24194299999999</v>
      </c>
      <c r="V284">
        <v>863.56207300000005</v>
      </c>
      <c r="W284">
        <v>863.96466099999998</v>
      </c>
      <c r="X284">
        <v>866.54614300000003</v>
      </c>
      <c r="Y284">
        <v>869.01824999999997</v>
      </c>
      <c r="Z284">
        <v>866.80364999999995</v>
      </c>
      <c r="AA284">
        <v>861.68536400000005</v>
      </c>
      <c r="AB284">
        <v>855.97473100000002</v>
      </c>
      <c r="AC284">
        <v>859.67327899999998</v>
      </c>
      <c r="AD284">
        <v>864.81408699999997</v>
      </c>
      <c r="AE284">
        <v>865.47839399999998</v>
      </c>
      <c r="AF284">
        <v>861.86840800000004</v>
      </c>
      <c r="AG284" s="71">
        <v>8.0000000000000002E-3</v>
      </c>
    </row>
    <row r="285" spans="1:33" x14ac:dyDescent="0.75">
      <c r="A285" t="s">
        <v>145</v>
      </c>
    </row>
    <row r="286" spans="1:33" x14ac:dyDescent="0.75">
      <c r="A286" t="s">
        <v>567</v>
      </c>
      <c r="B286" t="s">
        <v>566</v>
      </c>
      <c r="C286" t="s">
        <v>565</v>
      </c>
      <c r="D286" t="s">
        <v>551</v>
      </c>
      <c r="F286">
        <v>1464.855225</v>
      </c>
      <c r="G286">
        <v>1498.5776370000001</v>
      </c>
      <c r="H286">
        <v>1462.373169</v>
      </c>
      <c r="I286">
        <v>1413.733154</v>
      </c>
      <c r="J286">
        <v>1414.115112</v>
      </c>
      <c r="K286">
        <v>1410.565186</v>
      </c>
      <c r="L286">
        <v>1369.7414550000001</v>
      </c>
      <c r="M286">
        <v>1370.1805420000001</v>
      </c>
      <c r="N286">
        <v>1305.8111570000001</v>
      </c>
      <c r="O286">
        <v>1312.2113039999999</v>
      </c>
      <c r="P286">
        <v>1299.8524170000001</v>
      </c>
      <c r="Q286">
        <v>1300.4210210000001</v>
      </c>
      <c r="R286">
        <v>1305.7510990000001</v>
      </c>
      <c r="S286">
        <v>1312.3923339999999</v>
      </c>
      <c r="T286">
        <v>1330.286621</v>
      </c>
      <c r="U286">
        <v>1321.974976</v>
      </c>
      <c r="V286">
        <v>1328.3294679999999</v>
      </c>
      <c r="W286">
        <v>1330.294678</v>
      </c>
      <c r="X286">
        <v>1337.347534</v>
      </c>
      <c r="Y286">
        <v>1345.204712</v>
      </c>
      <c r="Z286">
        <v>1349.7685550000001</v>
      </c>
      <c r="AA286">
        <v>1354.558716</v>
      </c>
      <c r="AB286">
        <v>1355.6860349999999</v>
      </c>
      <c r="AC286">
        <v>1370.355591</v>
      </c>
      <c r="AD286">
        <v>1382.527466</v>
      </c>
      <c r="AE286">
        <v>1392.701904</v>
      </c>
      <c r="AF286">
        <v>1397.21228</v>
      </c>
      <c r="AG286" s="71">
        <v>-2E-3</v>
      </c>
    </row>
    <row r="287" spans="1:33" x14ac:dyDescent="0.75">
      <c r="A287" t="s">
        <v>550</v>
      </c>
      <c r="B287" t="s">
        <v>564</v>
      </c>
      <c r="C287" t="s">
        <v>563</v>
      </c>
      <c r="D287" t="s">
        <v>547</v>
      </c>
      <c r="F287">
        <v>3.3734500000000001</v>
      </c>
      <c r="G287">
        <v>3.3770099999999998</v>
      </c>
      <c r="H287">
        <v>3.3805740000000002</v>
      </c>
      <c r="I287">
        <v>3.3841420000000002</v>
      </c>
      <c r="J287">
        <v>3.3877130000000002</v>
      </c>
      <c r="K287">
        <v>3.391289</v>
      </c>
      <c r="L287">
        <v>3.3948680000000002</v>
      </c>
      <c r="M287">
        <v>3.3984510000000001</v>
      </c>
      <c r="N287">
        <v>3.402037</v>
      </c>
      <c r="O287">
        <v>3.4056280000000001</v>
      </c>
      <c r="P287">
        <v>3.4092220000000002</v>
      </c>
      <c r="Q287">
        <v>3.41282</v>
      </c>
      <c r="R287">
        <v>3.4164219999999998</v>
      </c>
      <c r="S287">
        <v>3.4200270000000002</v>
      </c>
      <c r="T287">
        <v>3.4236369999999998</v>
      </c>
      <c r="U287">
        <v>3.4272499999999999</v>
      </c>
      <c r="V287">
        <v>3.4308670000000001</v>
      </c>
      <c r="W287">
        <v>3.434488</v>
      </c>
      <c r="X287">
        <v>3.438113</v>
      </c>
      <c r="Y287">
        <v>3.4417409999999999</v>
      </c>
      <c r="Z287">
        <v>3.445373</v>
      </c>
      <c r="AA287">
        <v>3.4490099999999999</v>
      </c>
      <c r="AB287">
        <v>3.4526490000000001</v>
      </c>
      <c r="AC287">
        <v>3.4562930000000001</v>
      </c>
      <c r="AD287">
        <v>3.4599410000000002</v>
      </c>
      <c r="AE287">
        <v>3.4635929999999999</v>
      </c>
      <c r="AF287">
        <v>3.4672480000000001</v>
      </c>
      <c r="AG287" s="71">
        <v>1E-3</v>
      </c>
    </row>
    <row r="288" spans="1:33" x14ac:dyDescent="0.75">
      <c r="A288" t="s">
        <v>528</v>
      </c>
    </row>
    <row r="289" spans="1:33" x14ac:dyDescent="0.75">
      <c r="A289" t="s">
        <v>527</v>
      </c>
      <c r="B289" t="s">
        <v>562</v>
      </c>
      <c r="C289" t="s">
        <v>561</v>
      </c>
      <c r="D289" t="s">
        <v>515</v>
      </c>
      <c r="F289">
        <v>434.230682</v>
      </c>
      <c r="G289">
        <v>443.75869799999998</v>
      </c>
      <c r="H289">
        <v>432.581299</v>
      </c>
      <c r="I289">
        <v>417.75234999999998</v>
      </c>
      <c r="J289">
        <v>417.42465199999998</v>
      </c>
      <c r="K289">
        <v>415.93777499999999</v>
      </c>
      <c r="L289">
        <v>403.47412100000003</v>
      </c>
      <c r="M289">
        <v>403.17804000000001</v>
      </c>
      <c r="N289">
        <v>383.83212300000002</v>
      </c>
      <c r="O289">
        <v>385.30667099999999</v>
      </c>
      <c r="P289">
        <v>381.27539100000001</v>
      </c>
      <c r="Q289">
        <v>381.04003899999998</v>
      </c>
      <c r="R289">
        <v>382.19842499999999</v>
      </c>
      <c r="S289">
        <v>383.73739599999999</v>
      </c>
      <c r="T289">
        <v>388.55950899999999</v>
      </c>
      <c r="U289">
        <v>385.72473100000002</v>
      </c>
      <c r="V289">
        <v>387.17019699999997</v>
      </c>
      <c r="W289">
        <v>387.33422899999999</v>
      </c>
      <c r="X289">
        <v>388.97726399999999</v>
      </c>
      <c r="Y289">
        <v>390.85006700000002</v>
      </c>
      <c r="Z289">
        <v>391.76263399999999</v>
      </c>
      <c r="AA289">
        <v>392.73843399999998</v>
      </c>
      <c r="AB289">
        <v>392.65093999999999</v>
      </c>
      <c r="AC289">
        <v>396.48129299999999</v>
      </c>
      <c r="AD289">
        <v>399.58117700000003</v>
      </c>
      <c r="AE289">
        <v>402.097534</v>
      </c>
      <c r="AF289">
        <v>402.97448700000001</v>
      </c>
      <c r="AG289" s="71">
        <v>-3.0000000000000001E-3</v>
      </c>
    </row>
    <row r="290" spans="1:33" x14ac:dyDescent="0.75">
      <c r="A290" t="s">
        <v>524</v>
      </c>
      <c r="B290" t="s">
        <v>560</v>
      </c>
      <c r="C290" t="s">
        <v>559</v>
      </c>
      <c r="D290" t="s">
        <v>515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 t="s">
        <v>111</v>
      </c>
    </row>
    <row r="291" spans="1:33" x14ac:dyDescent="0.75">
      <c r="A291" t="s">
        <v>521</v>
      </c>
      <c r="B291" t="s">
        <v>558</v>
      </c>
      <c r="C291" t="s">
        <v>557</v>
      </c>
      <c r="D291" t="s">
        <v>515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 t="s">
        <v>111</v>
      </c>
    </row>
    <row r="292" spans="1:33" x14ac:dyDescent="0.75">
      <c r="A292" t="s">
        <v>518</v>
      </c>
      <c r="B292" t="s">
        <v>556</v>
      </c>
      <c r="C292" t="s">
        <v>555</v>
      </c>
      <c r="D292" t="s">
        <v>515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 t="s">
        <v>111</v>
      </c>
    </row>
    <row r="293" spans="1:33" x14ac:dyDescent="0.75">
      <c r="A293" t="s">
        <v>146</v>
      </c>
    </row>
    <row r="294" spans="1:33" x14ac:dyDescent="0.75">
      <c r="A294" t="s">
        <v>554</v>
      </c>
      <c r="B294" t="s">
        <v>553</v>
      </c>
      <c r="C294" t="s">
        <v>552</v>
      </c>
      <c r="D294" t="s">
        <v>551</v>
      </c>
      <c r="F294">
        <v>458.773346</v>
      </c>
      <c r="G294">
        <v>464.892853</v>
      </c>
      <c r="H294">
        <v>462.96167000000003</v>
      </c>
      <c r="I294">
        <v>460.98571800000002</v>
      </c>
      <c r="J294">
        <v>459.37042200000002</v>
      </c>
      <c r="K294">
        <v>457.35058600000002</v>
      </c>
      <c r="L294">
        <v>454.85974099999999</v>
      </c>
      <c r="M294">
        <v>451.94982900000002</v>
      </c>
      <c r="N294">
        <v>448.29049700000002</v>
      </c>
      <c r="O294">
        <v>446.236603</v>
      </c>
      <c r="P294">
        <v>444.57028200000002</v>
      </c>
      <c r="Q294">
        <v>442.67672700000003</v>
      </c>
      <c r="R294">
        <v>440.63128699999999</v>
      </c>
      <c r="S294">
        <v>439.09964000000002</v>
      </c>
      <c r="T294">
        <v>437.71414199999998</v>
      </c>
      <c r="U294">
        <v>435.98474099999999</v>
      </c>
      <c r="V294">
        <v>434.76898199999999</v>
      </c>
      <c r="W294">
        <v>433.49096700000001</v>
      </c>
      <c r="X294">
        <v>432.22720299999997</v>
      </c>
      <c r="Y294">
        <v>430.67340100000001</v>
      </c>
      <c r="Z294">
        <v>428.801331</v>
      </c>
      <c r="AA294">
        <v>427.06716899999998</v>
      </c>
      <c r="AB294">
        <v>425.27600100000001</v>
      </c>
      <c r="AC294">
        <v>424.65441900000002</v>
      </c>
      <c r="AD294">
        <v>423.51385499999998</v>
      </c>
      <c r="AE294">
        <v>422.14224200000001</v>
      </c>
      <c r="AF294">
        <v>420.62109400000003</v>
      </c>
      <c r="AG294" s="71">
        <v>-3.0000000000000001E-3</v>
      </c>
    </row>
    <row r="295" spans="1:33" x14ac:dyDescent="0.75">
      <c r="A295" t="s">
        <v>550</v>
      </c>
      <c r="B295" t="s">
        <v>549</v>
      </c>
      <c r="C295" t="s">
        <v>548</v>
      </c>
      <c r="D295" t="s">
        <v>547</v>
      </c>
      <c r="F295">
        <v>4.8577789999999998</v>
      </c>
      <c r="G295">
        <v>4.876665</v>
      </c>
      <c r="H295">
        <v>4.8956239999999998</v>
      </c>
      <c r="I295">
        <v>4.9146570000000001</v>
      </c>
      <c r="J295">
        <v>4.933764</v>
      </c>
      <c r="K295">
        <v>4.9529449999999997</v>
      </c>
      <c r="L295">
        <v>4.9722</v>
      </c>
      <c r="M295">
        <v>4.9915310000000002</v>
      </c>
      <c r="N295">
        <v>5.0109370000000002</v>
      </c>
      <c r="O295">
        <v>5.0304180000000001</v>
      </c>
      <c r="P295">
        <v>5.0499749999999999</v>
      </c>
      <c r="Q295">
        <v>5.0696079999999997</v>
      </c>
      <c r="R295">
        <v>5.0893170000000003</v>
      </c>
      <c r="S295">
        <v>5.1091030000000002</v>
      </c>
      <c r="T295">
        <v>5.1289660000000001</v>
      </c>
      <c r="U295">
        <v>5.1489060000000002</v>
      </c>
      <c r="V295">
        <v>5.1689230000000004</v>
      </c>
      <c r="W295">
        <v>5.189019</v>
      </c>
      <c r="X295">
        <v>5.2091919999999998</v>
      </c>
      <c r="Y295">
        <v>5.2294450000000001</v>
      </c>
      <c r="Z295">
        <v>5.2497749999999996</v>
      </c>
      <c r="AA295">
        <v>5.2701849999999997</v>
      </c>
      <c r="AB295">
        <v>5.2906740000000001</v>
      </c>
      <c r="AC295">
        <v>5.3112430000000002</v>
      </c>
      <c r="AD295">
        <v>5.3318919999999999</v>
      </c>
      <c r="AE295">
        <v>5.3526210000000001</v>
      </c>
      <c r="AF295">
        <v>5.3734299999999999</v>
      </c>
      <c r="AG295" s="71">
        <v>4.0000000000000001E-3</v>
      </c>
    </row>
    <row r="296" spans="1:33" x14ac:dyDescent="0.75">
      <c r="A296" t="s">
        <v>528</v>
      </c>
    </row>
    <row r="297" spans="1:33" x14ac:dyDescent="0.75">
      <c r="A297" t="s">
        <v>527</v>
      </c>
      <c r="B297" t="s">
        <v>546</v>
      </c>
      <c r="C297" t="s">
        <v>545</v>
      </c>
      <c r="D297" t="s">
        <v>515</v>
      </c>
      <c r="F297">
        <v>92.332252999999994</v>
      </c>
      <c r="G297">
        <v>93.278983999999994</v>
      </c>
      <c r="H297">
        <v>92.539314000000005</v>
      </c>
      <c r="I297">
        <v>91.795044000000004</v>
      </c>
      <c r="J297">
        <v>91.125641000000002</v>
      </c>
      <c r="K297">
        <v>90.379990000000006</v>
      </c>
      <c r="L297">
        <v>89.546463000000003</v>
      </c>
      <c r="M297">
        <v>88.635925</v>
      </c>
      <c r="N297">
        <v>87.584746999999993</v>
      </c>
      <c r="O297">
        <v>86.852417000000003</v>
      </c>
      <c r="P297">
        <v>86.199318000000005</v>
      </c>
      <c r="Q297">
        <v>85.505904999999998</v>
      </c>
      <c r="R297">
        <v>84.786452999999995</v>
      </c>
      <c r="S297">
        <v>84.170158000000001</v>
      </c>
      <c r="T297">
        <v>83.586044000000001</v>
      </c>
      <c r="U297">
        <v>82.940169999999995</v>
      </c>
      <c r="V297">
        <v>82.351212000000004</v>
      </c>
      <c r="W297">
        <v>81.693588000000005</v>
      </c>
      <c r="X297">
        <v>81.036438000000004</v>
      </c>
      <c r="Y297">
        <v>80.322616999999994</v>
      </c>
      <c r="Z297">
        <v>79.547393999999997</v>
      </c>
      <c r="AA297">
        <v>78.795531999999994</v>
      </c>
      <c r="AB297">
        <v>78.030472000000003</v>
      </c>
      <c r="AC297">
        <v>77.475707999999997</v>
      </c>
      <c r="AD297">
        <v>76.820853999999997</v>
      </c>
      <c r="AE297">
        <v>76.119011</v>
      </c>
      <c r="AF297">
        <v>75.385009999999994</v>
      </c>
      <c r="AG297" s="71">
        <v>-8.0000000000000002E-3</v>
      </c>
    </row>
    <row r="298" spans="1:33" x14ac:dyDescent="0.75">
      <c r="A298" t="s">
        <v>524</v>
      </c>
      <c r="B298" t="s">
        <v>544</v>
      </c>
      <c r="C298" t="s">
        <v>543</v>
      </c>
      <c r="D298" t="s">
        <v>515</v>
      </c>
      <c r="F298">
        <v>1.3822049999999999</v>
      </c>
      <c r="G298">
        <v>1.2632559999999999</v>
      </c>
      <c r="H298">
        <v>1.198018</v>
      </c>
      <c r="I298">
        <v>1.1309709999999999</v>
      </c>
      <c r="J298">
        <v>1.0674129999999999</v>
      </c>
      <c r="K298">
        <v>1.0042279999999999</v>
      </c>
      <c r="L298">
        <v>0.937581</v>
      </c>
      <c r="M298">
        <v>0.868587</v>
      </c>
      <c r="N298">
        <v>0.80069400000000002</v>
      </c>
      <c r="O298">
        <v>0.73563800000000001</v>
      </c>
      <c r="P298">
        <v>0.673956</v>
      </c>
      <c r="Q298">
        <v>0.61449699999999996</v>
      </c>
      <c r="R298">
        <v>0.56326799999999999</v>
      </c>
      <c r="S298">
        <v>0.50884700000000005</v>
      </c>
      <c r="T298">
        <v>0.44785000000000003</v>
      </c>
      <c r="U298">
        <v>0.38284099999999999</v>
      </c>
      <c r="V298">
        <v>0.32558700000000002</v>
      </c>
      <c r="W298">
        <v>0.32329599999999997</v>
      </c>
      <c r="X298">
        <v>0.321021</v>
      </c>
      <c r="Y298">
        <v>0.31855600000000001</v>
      </c>
      <c r="Z298">
        <v>0.31585600000000003</v>
      </c>
      <c r="AA298">
        <v>0.31325799999999998</v>
      </c>
      <c r="AB298">
        <v>0.310612</v>
      </c>
      <c r="AC298">
        <v>0.30888199999999999</v>
      </c>
      <c r="AD298">
        <v>0.306782</v>
      </c>
      <c r="AE298">
        <v>0.30452499999999999</v>
      </c>
      <c r="AF298">
        <v>0.302176</v>
      </c>
      <c r="AG298" s="71">
        <v>-5.7000000000000002E-2</v>
      </c>
    </row>
    <row r="299" spans="1:33" x14ac:dyDescent="0.75">
      <c r="A299" t="s">
        <v>521</v>
      </c>
      <c r="B299" t="s">
        <v>542</v>
      </c>
      <c r="C299" t="s">
        <v>541</v>
      </c>
      <c r="D299" t="s">
        <v>515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 t="s">
        <v>111</v>
      </c>
    </row>
    <row r="300" spans="1:33" x14ac:dyDescent="0.75">
      <c r="A300" t="s">
        <v>518</v>
      </c>
      <c r="B300" t="s">
        <v>540</v>
      </c>
      <c r="C300" t="s">
        <v>539</v>
      </c>
      <c r="D300" t="s">
        <v>515</v>
      </c>
      <c r="F300">
        <v>0.72651399999999999</v>
      </c>
      <c r="G300">
        <v>0.78784500000000002</v>
      </c>
      <c r="H300">
        <v>0.82910799999999996</v>
      </c>
      <c r="I300">
        <v>0.87214700000000001</v>
      </c>
      <c r="J300">
        <v>0.91445100000000001</v>
      </c>
      <c r="K300">
        <v>0.95491099999999995</v>
      </c>
      <c r="L300">
        <v>0.99653099999999994</v>
      </c>
      <c r="M300">
        <v>1.038818</v>
      </c>
      <c r="N300">
        <v>1.0769789999999999</v>
      </c>
      <c r="O300">
        <v>1.119599</v>
      </c>
      <c r="P300">
        <v>1.1608780000000001</v>
      </c>
      <c r="Q300">
        <v>1.199308</v>
      </c>
      <c r="R300">
        <v>1.229924</v>
      </c>
      <c r="S300">
        <v>1.2655670000000001</v>
      </c>
      <c r="T300">
        <v>1.3077129999999999</v>
      </c>
      <c r="U300">
        <v>1.352198</v>
      </c>
      <c r="V300">
        <v>1.4353050000000001</v>
      </c>
      <c r="W300">
        <v>1.5231779999999999</v>
      </c>
      <c r="X300">
        <v>1.616471</v>
      </c>
      <c r="Y300">
        <v>1.7143079999999999</v>
      </c>
      <c r="Z300">
        <v>1.8166960000000001</v>
      </c>
      <c r="AA300">
        <v>1.9257839999999999</v>
      </c>
      <c r="AB300">
        <v>2.0411160000000002</v>
      </c>
      <c r="AC300">
        <v>2.1692900000000002</v>
      </c>
      <c r="AD300">
        <v>2.3026849999999999</v>
      </c>
      <c r="AE300">
        <v>2.44293</v>
      </c>
      <c r="AF300">
        <v>2.590767</v>
      </c>
      <c r="AG300" s="71">
        <v>0.05</v>
      </c>
    </row>
    <row r="301" spans="1:33" x14ac:dyDescent="0.75">
      <c r="A301" t="s">
        <v>147</v>
      </c>
    </row>
    <row r="302" spans="1:33" x14ac:dyDescent="0.75">
      <c r="A302" t="s">
        <v>538</v>
      </c>
      <c r="B302" t="s">
        <v>537</v>
      </c>
      <c r="C302" t="s">
        <v>536</v>
      </c>
      <c r="D302" t="s">
        <v>529</v>
      </c>
      <c r="F302">
        <v>6023.5166019999997</v>
      </c>
      <c r="G302">
        <v>6248.9067379999997</v>
      </c>
      <c r="H302">
        <v>6421.529297</v>
      </c>
      <c r="I302">
        <v>6659.548828</v>
      </c>
      <c r="J302">
        <v>6864.0795900000003</v>
      </c>
      <c r="K302">
        <v>7079.498047</v>
      </c>
      <c r="L302">
        <v>7297.4252930000002</v>
      </c>
      <c r="M302">
        <v>7503.923828</v>
      </c>
      <c r="N302">
        <v>7740.4560549999997</v>
      </c>
      <c r="O302">
        <v>7974.0815430000002</v>
      </c>
      <c r="P302">
        <v>8222.6484380000002</v>
      </c>
      <c r="Q302">
        <v>8411.9707030000009</v>
      </c>
      <c r="R302">
        <v>8574.0878909999992</v>
      </c>
      <c r="S302">
        <v>8726.2421880000002</v>
      </c>
      <c r="T302">
        <v>8864.3476559999999</v>
      </c>
      <c r="U302">
        <v>9003.0683590000008</v>
      </c>
      <c r="V302">
        <v>9128.03125</v>
      </c>
      <c r="W302">
        <v>9252.5576170000004</v>
      </c>
      <c r="X302">
        <v>9379.8408199999994</v>
      </c>
      <c r="Y302">
        <v>9504.1064449999994</v>
      </c>
      <c r="Z302">
        <v>9625.9179690000001</v>
      </c>
      <c r="AA302">
        <v>9740.8447269999997</v>
      </c>
      <c r="AB302">
        <v>9833.2382809999999</v>
      </c>
      <c r="AC302">
        <v>9964.6669920000004</v>
      </c>
      <c r="AD302">
        <v>10123.741211</v>
      </c>
      <c r="AE302">
        <v>10282.939453000001</v>
      </c>
      <c r="AF302">
        <v>10434.558594</v>
      </c>
      <c r="AG302" s="71">
        <v>2.1000000000000001E-2</v>
      </c>
    </row>
    <row r="303" spans="1:33" x14ac:dyDescent="0.75">
      <c r="A303" t="s">
        <v>535</v>
      </c>
      <c r="B303" t="s">
        <v>534</v>
      </c>
      <c r="C303" t="s">
        <v>533</v>
      </c>
      <c r="D303" t="s">
        <v>529</v>
      </c>
      <c r="F303">
        <v>1938.3862300000001</v>
      </c>
      <c r="G303">
        <v>2014.6479489999999</v>
      </c>
      <c r="H303">
        <v>2075.9914549999999</v>
      </c>
      <c r="I303">
        <v>2166.7897950000001</v>
      </c>
      <c r="J303">
        <v>2249.5659179999998</v>
      </c>
      <c r="K303">
        <v>2329.5798340000001</v>
      </c>
      <c r="L303">
        <v>2404.4145509999998</v>
      </c>
      <c r="M303">
        <v>2470.181885</v>
      </c>
      <c r="N303">
        <v>2540.5629880000001</v>
      </c>
      <c r="O303">
        <v>2603.9204100000002</v>
      </c>
      <c r="P303">
        <v>2673.7998050000001</v>
      </c>
      <c r="Q303">
        <v>2730.7907709999999</v>
      </c>
      <c r="R303">
        <v>2779.3188479999999</v>
      </c>
      <c r="S303">
        <v>2825.1267090000001</v>
      </c>
      <c r="T303">
        <v>2876.078857</v>
      </c>
      <c r="U303">
        <v>2928.6367190000001</v>
      </c>
      <c r="V303">
        <v>2981.3789059999999</v>
      </c>
      <c r="W303">
        <v>3039.28125</v>
      </c>
      <c r="X303">
        <v>3096.5607909999999</v>
      </c>
      <c r="Y303">
        <v>3154.7770999999998</v>
      </c>
      <c r="Z303">
        <v>3209.8603520000001</v>
      </c>
      <c r="AA303">
        <v>3262.2211910000001</v>
      </c>
      <c r="AB303">
        <v>3305.1987300000001</v>
      </c>
      <c r="AC303">
        <v>3359.7014159999999</v>
      </c>
      <c r="AD303">
        <v>3411.3432619999999</v>
      </c>
      <c r="AE303">
        <v>3458.4096679999998</v>
      </c>
      <c r="AF303">
        <v>3501.953857</v>
      </c>
      <c r="AG303" s="71">
        <v>2.3E-2</v>
      </c>
    </row>
    <row r="304" spans="1:33" x14ac:dyDescent="0.75">
      <c r="A304" t="s">
        <v>532</v>
      </c>
      <c r="B304" t="s">
        <v>531</v>
      </c>
      <c r="C304" t="s">
        <v>530</v>
      </c>
      <c r="D304" t="s">
        <v>529</v>
      </c>
      <c r="F304">
        <v>4085.1303710000002</v>
      </c>
      <c r="G304">
        <v>4234.2587890000004</v>
      </c>
      <c r="H304">
        <v>4345.5380859999996</v>
      </c>
      <c r="I304">
        <v>4492.7587890000004</v>
      </c>
      <c r="J304">
        <v>4614.513672</v>
      </c>
      <c r="K304">
        <v>4749.9179690000001</v>
      </c>
      <c r="L304">
        <v>4893.0107420000004</v>
      </c>
      <c r="M304">
        <v>5033.7421880000002</v>
      </c>
      <c r="N304">
        <v>5199.8930659999996</v>
      </c>
      <c r="O304">
        <v>5370.1611329999996</v>
      </c>
      <c r="P304">
        <v>5548.8481449999999</v>
      </c>
      <c r="Q304">
        <v>5681.1801759999998</v>
      </c>
      <c r="R304">
        <v>5794.7695309999999</v>
      </c>
      <c r="S304">
        <v>5901.1157229999999</v>
      </c>
      <c r="T304">
        <v>5988.2690430000002</v>
      </c>
      <c r="U304">
        <v>6074.4321289999998</v>
      </c>
      <c r="V304">
        <v>6146.6523440000001</v>
      </c>
      <c r="W304">
        <v>6213.2763670000004</v>
      </c>
      <c r="X304">
        <v>6283.2802730000003</v>
      </c>
      <c r="Y304">
        <v>6349.3295900000003</v>
      </c>
      <c r="Z304">
        <v>6416.0571289999998</v>
      </c>
      <c r="AA304">
        <v>6478.6235349999997</v>
      </c>
      <c r="AB304">
        <v>6528.0390619999998</v>
      </c>
      <c r="AC304">
        <v>6604.9653319999998</v>
      </c>
      <c r="AD304">
        <v>6712.3979490000002</v>
      </c>
      <c r="AE304">
        <v>6824.5302730000003</v>
      </c>
      <c r="AF304">
        <v>6932.6049800000001</v>
      </c>
      <c r="AG304" s="71">
        <v>2.1000000000000001E-2</v>
      </c>
    </row>
    <row r="305" spans="1:33" x14ac:dyDescent="0.75">
      <c r="A305" t="s">
        <v>528</v>
      </c>
    </row>
    <row r="306" spans="1:33" x14ac:dyDescent="0.75">
      <c r="A306" t="s">
        <v>527</v>
      </c>
      <c r="B306" t="s">
        <v>526</v>
      </c>
      <c r="C306" t="s">
        <v>525</v>
      </c>
      <c r="D306" t="s">
        <v>515</v>
      </c>
      <c r="F306">
        <v>195.74534600000001</v>
      </c>
      <c r="G306">
        <v>212.661835</v>
      </c>
      <c r="H306">
        <v>224.314606</v>
      </c>
      <c r="I306">
        <v>228.064087</v>
      </c>
      <c r="J306">
        <v>233.18679800000001</v>
      </c>
      <c r="K306">
        <v>235.61990399999999</v>
      </c>
      <c r="L306">
        <v>238.52423099999999</v>
      </c>
      <c r="M306">
        <v>242.35704000000001</v>
      </c>
      <c r="N306">
        <v>248.63774100000001</v>
      </c>
      <c r="O306">
        <v>254.948486</v>
      </c>
      <c r="P306">
        <v>261.07586700000002</v>
      </c>
      <c r="Q306">
        <v>263.98260499999998</v>
      </c>
      <c r="R306">
        <v>266.61132800000001</v>
      </c>
      <c r="S306">
        <v>268.03750600000001</v>
      </c>
      <c r="T306">
        <v>270.21701000000002</v>
      </c>
      <c r="U306">
        <v>272.002228</v>
      </c>
      <c r="V306">
        <v>273.95889299999999</v>
      </c>
      <c r="W306">
        <v>276.39965799999999</v>
      </c>
      <c r="X306">
        <v>278.885986</v>
      </c>
      <c r="Y306">
        <v>280.99075299999998</v>
      </c>
      <c r="Z306">
        <v>283.009094</v>
      </c>
      <c r="AA306">
        <v>284.52014200000002</v>
      </c>
      <c r="AB306">
        <v>284.75753800000001</v>
      </c>
      <c r="AC306">
        <v>286.24276700000001</v>
      </c>
      <c r="AD306">
        <v>288.10394300000002</v>
      </c>
      <c r="AE306">
        <v>290.23345899999998</v>
      </c>
      <c r="AF306">
        <v>292.11120599999998</v>
      </c>
      <c r="AG306" s="71">
        <v>1.6E-2</v>
      </c>
    </row>
    <row r="307" spans="1:33" x14ac:dyDescent="0.75">
      <c r="A307" t="s">
        <v>524</v>
      </c>
      <c r="B307" t="s">
        <v>523</v>
      </c>
      <c r="C307" t="s">
        <v>522</v>
      </c>
      <c r="D307" t="s">
        <v>515</v>
      </c>
      <c r="F307">
        <v>550.43896500000005</v>
      </c>
      <c r="G307">
        <v>514.18347200000005</v>
      </c>
      <c r="H307">
        <v>510.80633499999999</v>
      </c>
      <c r="I307">
        <v>520.583618</v>
      </c>
      <c r="J307">
        <v>526.08252000000005</v>
      </c>
      <c r="K307">
        <v>535.16064500000005</v>
      </c>
      <c r="L307">
        <v>543.52642800000001</v>
      </c>
      <c r="M307">
        <v>549.77069100000006</v>
      </c>
      <c r="N307">
        <v>554.768372</v>
      </c>
      <c r="O307">
        <v>559.316101</v>
      </c>
      <c r="P307">
        <v>564.45159899999999</v>
      </c>
      <c r="Q307">
        <v>570.71923800000002</v>
      </c>
      <c r="R307">
        <v>575.59594700000002</v>
      </c>
      <c r="S307">
        <v>581.43194600000004</v>
      </c>
      <c r="T307">
        <v>585.571777</v>
      </c>
      <c r="U307">
        <v>590.16540499999996</v>
      </c>
      <c r="V307">
        <v>593.91705300000001</v>
      </c>
      <c r="W307">
        <v>597.12823500000002</v>
      </c>
      <c r="X307">
        <v>600.45532200000002</v>
      </c>
      <c r="Y307">
        <v>603.99230999999997</v>
      </c>
      <c r="Z307">
        <v>607.38354500000003</v>
      </c>
      <c r="AA307">
        <v>610.92431599999998</v>
      </c>
      <c r="AB307">
        <v>615.06170699999996</v>
      </c>
      <c r="AC307">
        <v>619.51269500000001</v>
      </c>
      <c r="AD307">
        <v>624.67334000000005</v>
      </c>
      <c r="AE307">
        <v>629.26171899999997</v>
      </c>
      <c r="AF307">
        <v>633.68322799999999</v>
      </c>
      <c r="AG307" s="71">
        <v>5.0000000000000001E-3</v>
      </c>
    </row>
    <row r="308" spans="1:33" x14ac:dyDescent="0.75">
      <c r="A308" t="s">
        <v>521</v>
      </c>
      <c r="B308" t="s">
        <v>520</v>
      </c>
      <c r="C308" t="s">
        <v>519</v>
      </c>
      <c r="D308" t="s">
        <v>515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 t="s">
        <v>111</v>
      </c>
    </row>
    <row r="309" spans="1:33" x14ac:dyDescent="0.75">
      <c r="A309" t="s">
        <v>518</v>
      </c>
      <c r="B309" t="s">
        <v>517</v>
      </c>
      <c r="C309" t="s">
        <v>516</v>
      </c>
      <c r="D309" t="s">
        <v>515</v>
      </c>
      <c r="F309">
        <v>5.9348320000000001</v>
      </c>
      <c r="G309">
        <v>6.5364779999999998</v>
      </c>
      <c r="H309">
        <v>6.6340339999999998</v>
      </c>
      <c r="I309">
        <v>6.6726179999999999</v>
      </c>
      <c r="J309">
        <v>7.0259280000000004</v>
      </c>
      <c r="K309">
        <v>7.4154460000000002</v>
      </c>
      <c r="L309">
        <v>7.8749640000000003</v>
      </c>
      <c r="M309">
        <v>8.4281520000000008</v>
      </c>
      <c r="N309">
        <v>8.7182600000000008</v>
      </c>
      <c r="O309">
        <v>9.0221319999999992</v>
      </c>
      <c r="P309">
        <v>9.4022459999999999</v>
      </c>
      <c r="Q309">
        <v>9.4618070000000003</v>
      </c>
      <c r="R309">
        <v>9.6343019999999999</v>
      </c>
      <c r="S309">
        <v>9.8146550000000001</v>
      </c>
      <c r="T309">
        <v>10.029487</v>
      </c>
      <c r="U309">
        <v>10.238963999999999</v>
      </c>
      <c r="V309">
        <v>10.386210999999999</v>
      </c>
      <c r="W309">
        <v>10.461117</v>
      </c>
      <c r="X309">
        <v>10.493995</v>
      </c>
      <c r="Y309">
        <v>10.588778</v>
      </c>
      <c r="Z309">
        <v>10.700267999999999</v>
      </c>
      <c r="AA309">
        <v>10.871041999999999</v>
      </c>
      <c r="AB309">
        <v>10.939361999999999</v>
      </c>
      <c r="AC309">
        <v>11.028162999999999</v>
      </c>
      <c r="AD309">
        <v>11.141788</v>
      </c>
      <c r="AE309">
        <v>11.308977000000001</v>
      </c>
      <c r="AF309">
        <v>11.478370999999999</v>
      </c>
      <c r="AG309" s="71">
        <v>2.5999999999999999E-2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9EE4D-9B1F-4539-B43D-827FDA040D95}">
  <sheetPr>
    <tabColor theme="9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8"/>
  <sheetViews>
    <sheetView workbookViewId="0"/>
  </sheetViews>
  <sheetFormatPr defaultColWidth="9.1328125" defaultRowHeight="14.75" x14ac:dyDescent="0.75"/>
  <cols>
    <col min="1" max="1" width="30.1328125" style="3" customWidth="1"/>
    <col min="2" max="2" width="29.86328125" style="3" customWidth="1"/>
    <col min="3" max="3" width="25.26953125" style="3" customWidth="1"/>
    <col min="4" max="4" width="22.7265625" style="3" customWidth="1"/>
    <col min="5" max="5" width="25.1328125" style="3" customWidth="1"/>
    <col min="6" max="14" width="9.1328125" style="3"/>
    <col min="15" max="15" width="15.40625" style="3" customWidth="1"/>
    <col min="16" max="16" width="22.54296875" style="3" customWidth="1"/>
    <col min="17" max="16384" width="9.1328125" style="3"/>
  </cols>
  <sheetData>
    <row r="1" spans="1:16" customFormat="1" ht="15.5" thickBot="1" x14ac:dyDescent="0.9">
      <c r="A1" s="6" t="s">
        <v>48</v>
      </c>
      <c r="B1" s="33"/>
      <c r="C1" s="33"/>
      <c r="D1" s="33"/>
      <c r="E1" s="33"/>
    </row>
    <row r="2" spans="1:16" s="2" customFormat="1" ht="59" x14ac:dyDescent="0.75">
      <c r="A2" s="2" t="s">
        <v>0</v>
      </c>
      <c r="B2" s="7" t="s">
        <v>1</v>
      </c>
      <c r="C2" s="2" t="s">
        <v>78</v>
      </c>
      <c r="D2" s="2" t="s">
        <v>77</v>
      </c>
      <c r="E2" s="7" t="s">
        <v>2</v>
      </c>
      <c r="O2" s="72"/>
      <c r="P2" s="73"/>
    </row>
    <row r="3" spans="1:16" ht="15.5" thickBot="1" x14ac:dyDescent="0.9">
      <c r="A3" s="3">
        <v>13</v>
      </c>
      <c r="B3" s="68">
        <v>14</v>
      </c>
      <c r="C3" s="5">
        <f>AVERAGE(SUM('NTS 1-20'!X4:X5),SUM('NTS 1-20'!Y4:Y5),SUM('NTS 1-20'!Z4:Z5),SUM('NTS 1-20'!AA4:AA5))</f>
        <v>7982.5</v>
      </c>
      <c r="D3" s="5">
        <f>AVERAGE(SUM('NTS 1-20'!X6:X8),SUM('NTS 1-20'!Y6:Y8),SUM('NTS 1-20'!Z6:Z8),SUM('NTS 1-20'!AA6:AA8))</f>
        <v>4867.25</v>
      </c>
      <c r="E3" s="8">
        <f>(A3*C3+B3*D3)/(C3+D3)</f>
        <v>13.378781688359696</v>
      </c>
      <c r="P3" s="73"/>
    </row>
    <row r="4" spans="1:16" x14ac:dyDescent="0.75">
      <c r="P4" s="73"/>
    </row>
    <row r="5" spans="1:16" ht="15.5" thickBot="1" x14ac:dyDescent="0.9">
      <c r="A5" s="10" t="s">
        <v>51</v>
      </c>
      <c r="P5" s="73"/>
    </row>
    <row r="6" spans="1:16" ht="29.5" x14ac:dyDescent="0.75">
      <c r="A6" s="7" t="s">
        <v>55</v>
      </c>
      <c r="B6" s="64" t="s">
        <v>86</v>
      </c>
      <c r="C6" s="7" t="s">
        <v>85</v>
      </c>
      <c r="D6" s="64" t="s">
        <v>87</v>
      </c>
      <c r="E6" s="2"/>
    </row>
    <row r="7" spans="1:16" ht="15.5" thickBot="1" x14ac:dyDescent="0.9">
      <c r="A7" s="68">
        <v>28</v>
      </c>
      <c r="B7" s="65">
        <v>11932239</v>
      </c>
      <c r="C7" s="68">
        <v>23</v>
      </c>
      <c r="D7" s="66">
        <v>1007829.3084223459</v>
      </c>
      <c r="E7" s="67"/>
    </row>
    <row r="10" spans="1:16" x14ac:dyDescent="0.75">
      <c r="A10" s="10" t="s">
        <v>52</v>
      </c>
      <c r="B10" s="34"/>
      <c r="C10" s="34"/>
      <c r="D10" s="34"/>
      <c r="E10" s="34"/>
    </row>
    <row r="11" spans="1:16" s="9" customFormat="1" x14ac:dyDescent="0.75">
      <c r="A11" s="15" t="s">
        <v>29</v>
      </c>
      <c r="B11" s="14"/>
      <c r="C11" s="15"/>
    </row>
    <row r="12" spans="1:16" s="9" customFormat="1" x14ac:dyDescent="0.75">
      <c r="A12" s="9" t="s">
        <v>30</v>
      </c>
      <c r="B12" s="16" t="s">
        <v>31</v>
      </c>
    </row>
    <row r="13" spans="1:16" s="9" customFormat="1" x14ac:dyDescent="0.75">
      <c r="A13" s="9" t="s">
        <v>32</v>
      </c>
      <c r="B13" s="16" t="s">
        <v>33</v>
      </c>
    </row>
    <row r="14" spans="1:16" s="9" customFormat="1" ht="15.5" thickBot="1" x14ac:dyDescent="0.9">
      <c r="A14" s="9" t="s">
        <v>34</v>
      </c>
      <c r="B14" s="16" t="s">
        <v>35</v>
      </c>
    </row>
    <row r="15" spans="1:16" s="9" customFormat="1" x14ac:dyDescent="0.75">
      <c r="A15" s="17" t="s">
        <v>22</v>
      </c>
    </row>
    <row r="16" spans="1:16" s="9" customFormat="1" ht="15.5" thickBot="1" x14ac:dyDescent="0.9">
      <c r="A16" s="18">
        <v>24</v>
      </c>
    </row>
    <row r="18" spans="1:5" x14ac:dyDescent="0.75">
      <c r="A18" s="10" t="s">
        <v>17</v>
      </c>
      <c r="B18" s="34"/>
      <c r="C18" s="34"/>
      <c r="D18" s="34"/>
      <c r="E18" s="34"/>
    </row>
    <row r="19" spans="1:5" x14ac:dyDescent="0.75">
      <c r="A19" s="15" t="s">
        <v>6</v>
      </c>
      <c r="B19" s="15" t="s">
        <v>7</v>
      </c>
      <c r="C19" s="15" t="s">
        <v>8</v>
      </c>
    </row>
    <row r="20" spans="1:5" x14ac:dyDescent="0.75">
      <c r="A20" t="s">
        <v>18</v>
      </c>
      <c r="B20" t="s">
        <v>19</v>
      </c>
      <c r="C20" s="9">
        <v>33</v>
      </c>
    </row>
    <row r="21" spans="1:5" ht="15.5" thickBot="1" x14ac:dyDescent="0.9">
      <c r="A21" t="s">
        <v>20</v>
      </c>
      <c r="B21" t="s">
        <v>21</v>
      </c>
      <c r="C21" s="9">
        <v>35</v>
      </c>
    </row>
    <row r="22" spans="1:5" ht="15.5" thickBot="1" x14ac:dyDescent="0.9">
      <c r="A22"/>
      <c r="B22" s="11" t="s">
        <v>22</v>
      </c>
      <c r="C22" s="12">
        <v>34</v>
      </c>
    </row>
    <row r="23" spans="1:5" x14ac:dyDescent="0.75">
      <c r="A23" t="s">
        <v>23</v>
      </c>
    </row>
    <row r="24" spans="1:5" x14ac:dyDescent="0.75">
      <c r="A24" t="s">
        <v>24</v>
      </c>
    </row>
    <row r="26" spans="1:5" x14ac:dyDescent="0.75">
      <c r="A26" s="10" t="s">
        <v>9</v>
      </c>
      <c r="B26" s="34"/>
      <c r="C26" s="34"/>
      <c r="D26" s="34"/>
      <c r="E26" s="34"/>
    </row>
    <row r="27" spans="1:5" ht="15.5" thickBot="1" x14ac:dyDescent="0.9">
      <c r="A27" s="15" t="s">
        <v>6</v>
      </c>
      <c r="B27" s="15" t="s">
        <v>7</v>
      </c>
      <c r="C27" s="15" t="s">
        <v>8</v>
      </c>
    </row>
    <row r="28" spans="1:5" ht="15.5" thickBot="1" x14ac:dyDescent="0.9">
      <c r="A28" t="s">
        <v>10</v>
      </c>
      <c r="B28" s="13" t="s">
        <v>11</v>
      </c>
      <c r="C28" s="12">
        <v>33</v>
      </c>
    </row>
    <row r="30" spans="1:5" ht="15.5" thickBot="1" x14ac:dyDescent="0.9">
      <c r="A30" s="10" t="s">
        <v>54</v>
      </c>
      <c r="B30" s="34"/>
      <c r="C30" s="34"/>
      <c r="D30" s="34"/>
      <c r="E30" s="34"/>
    </row>
    <row r="31" spans="1:5" ht="29.5" x14ac:dyDescent="0.75">
      <c r="A31" s="21" t="s">
        <v>39</v>
      </c>
      <c r="B31" s="26" t="s">
        <v>40</v>
      </c>
      <c r="C31" s="29" t="s">
        <v>41</v>
      </c>
      <c r="D31" s="30" t="s">
        <v>45</v>
      </c>
      <c r="E31" s="30" t="s">
        <v>42</v>
      </c>
    </row>
    <row r="32" spans="1:5" x14ac:dyDescent="0.75">
      <c r="A32" s="20">
        <v>1997</v>
      </c>
      <c r="B32" s="24">
        <v>3826373</v>
      </c>
      <c r="C32" s="27">
        <v>260000</v>
      </c>
      <c r="D32" s="9"/>
      <c r="E32" s="9"/>
    </row>
    <row r="33" spans="1:5" x14ac:dyDescent="0.75">
      <c r="A33" s="20">
        <v>1998</v>
      </c>
      <c r="B33" s="24">
        <v>3879450</v>
      </c>
      <c r="C33" s="27">
        <v>311000</v>
      </c>
      <c r="D33" s="24">
        <f t="shared" ref="D33:D41" si="0">C33-(B33-B32)</f>
        <v>257923</v>
      </c>
      <c r="E33" s="31">
        <f>D33/B33</f>
        <v>6.6484424338501588E-2</v>
      </c>
    </row>
    <row r="34" spans="1:5" x14ac:dyDescent="0.75">
      <c r="A34" s="20">
        <v>1999</v>
      </c>
      <c r="B34" s="24">
        <v>4152433</v>
      </c>
      <c r="C34" s="27">
        <v>394000</v>
      </c>
      <c r="D34" s="24">
        <f t="shared" si="0"/>
        <v>121017</v>
      </c>
      <c r="E34" s="31">
        <f t="shared" ref="E34:E42" si="1">D34/B34</f>
        <v>2.9143636995467476E-2</v>
      </c>
    </row>
    <row r="35" spans="1:5" x14ac:dyDescent="0.75">
      <c r="A35" s="20">
        <v>2000</v>
      </c>
      <c r="B35" s="24">
        <v>4346068</v>
      </c>
      <c r="C35" s="27">
        <v>490000</v>
      </c>
      <c r="D35" s="24">
        <f t="shared" si="0"/>
        <v>296365</v>
      </c>
      <c r="E35" s="31">
        <f t="shared" si="1"/>
        <v>6.8191523924614153E-2</v>
      </c>
    </row>
    <row r="36" spans="1:5" x14ac:dyDescent="0.75">
      <c r="A36" s="20">
        <v>2001</v>
      </c>
      <c r="B36" s="24">
        <v>4903056</v>
      </c>
      <c r="C36" s="27">
        <v>577000</v>
      </c>
      <c r="D36" s="24">
        <f t="shared" si="0"/>
        <v>20012</v>
      </c>
      <c r="E36" s="31">
        <f t="shared" si="1"/>
        <v>4.0815360868813244E-3</v>
      </c>
    </row>
    <row r="37" spans="1:5" x14ac:dyDescent="0.75">
      <c r="A37" s="20">
        <v>2002</v>
      </c>
      <c r="B37" s="24">
        <v>5004156</v>
      </c>
      <c r="C37" s="27">
        <v>640000</v>
      </c>
      <c r="D37" s="24">
        <f t="shared" si="0"/>
        <v>538900</v>
      </c>
      <c r="E37" s="31">
        <f t="shared" si="1"/>
        <v>0.10769048766665149</v>
      </c>
    </row>
    <row r="38" spans="1:5" x14ac:dyDescent="0.75">
      <c r="A38" s="20">
        <v>2003</v>
      </c>
      <c r="B38" s="24">
        <v>5370035</v>
      </c>
      <c r="C38" s="27">
        <v>683000</v>
      </c>
      <c r="D38" s="24">
        <f t="shared" si="0"/>
        <v>317121</v>
      </c>
      <c r="E38" s="31">
        <f t="shared" si="1"/>
        <v>5.9053805049687755E-2</v>
      </c>
    </row>
    <row r="39" spans="1:5" x14ac:dyDescent="0.75">
      <c r="A39" s="20">
        <v>2004</v>
      </c>
      <c r="B39" s="24">
        <v>5780870</v>
      </c>
      <c r="C39" s="27">
        <v>750000</v>
      </c>
      <c r="D39" s="24">
        <f t="shared" si="0"/>
        <v>339165</v>
      </c>
      <c r="E39" s="31">
        <f t="shared" si="1"/>
        <v>5.8670234757052138E-2</v>
      </c>
    </row>
    <row r="40" spans="1:5" x14ac:dyDescent="0.75">
      <c r="A40" s="20">
        <v>2005</v>
      </c>
      <c r="B40" s="24">
        <v>6227146</v>
      </c>
      <c r="C40" s="27">
        <v>831000</v>
      </c>
      <c r="D40" s="24">
        <f t="shared" si="0"/>
        <v>384724</v>
      </c>
      <c r="E40" s="31">
        <f t="shared" si="1"/>
        <v>6.1781753631599455E-2</v>
      </c>
    </row>
    <row r="41" spans="1:5" x14ac:dyDescent="0.75">
      <c r="A41" s="20">
        <v>2006</v>
      </c>
      <c r="B41" s="24">
        <v>6678958</v>
      </c>
      <c r="C41" s="27">
        <v>892000</v>
      </c>
      <c r="D41" s="24">
        <f t="shared" si="0"/>
        <v>440188</v>
      </c>
      <c r="E41" s="31">
        <f t="shared" si="1"/>
        <v>6.5906687839630079E-2</v>
      </c>
    </row>
    <row r="42" spans="1:5" ht="15.5" thickBot="1" x14ac:dyDescent="0.9">
      <c r="A42" s="25">
        <v>2007</v>
      </c>
      <c r="B42" s="23">
        <v>7138476</v>
      </c>
      <c r="C42" s="22">
        <v>885000</v>
      </c>
      <c r="D42" s="24">
        <f>C42-(B42-B41)</f>
        <v>425482</v>
      </c>
      <c r="E42" s="31">
        <f t="shared" si="1"/>
        <v>5.9604038733197397E-2</v>
      </c>
    </row>
    <row r="43" spans="1:5" x14ac:dyDescent="0.75">
      <c r="A43"/>
      <c r="B43"/>
      <c r="C43"/>
      <c r="D43"/>
      <c r="E43"/>
    </row>
    <row r="44" spans="1:5" x14ac:dyDescent="0.75">
      <c r="A44" s="1" t="s">
        <v>43</v>
      </c>
      <c r="B44"/>
      <c r="C44"/>
      <c r="D44"/>
    </row>
    <row r="45" spans="1:5" x14ac:dyDescent="0.75">
      <c r="A45" s="28">
        <f>AVERAGE(E33:E42)</f>
        <v>5.8060812902328285E-2</v>
      </c>
      <c r="B45"/>
      <c r="C45"/>
      <c r="D45"/>
    </row>
    <row r="46" spans="1:5" ht="15.5" thickBot="1" x14ac:dyDescent="0.9">
      <c r="A46"/>
      <c r="B46"/>
      <c r="C46"/>
      <c r="D46"/>
    </row>
    <row r="47" spans="1:5" ht="29.5" x14ac:dyDescent="0.75">
      <c r="A47" s="36" t="s">
        <v>44</v>
      </c>
      <c r="B47"/>
      <c r="C47"/>
      <c r="D47"/>
    </row>
    <row r="48" spans="1:5" ht="15.5" thickBot="1" x14ac:dyDescent="0.9">
      <c r="A48" s="35">
        <f>1/A45</f>
        <v>17.22332068760786</v>
      </c>
      <c r="B48"/>
      <c r="C48"/>
      <c r="D48"/>
    </row>
  </sheetData>
  <pageMargins left="0.7" right="0.7" top="0.75" bottom="0.75" header="0.3" footer="0.3"/>
  <ignoredErrors>
    <ignoredError sqref="C3:D3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31426-123E-4577-A9C8-93E89562BFE4}">
  <dimension ref="A2:C21"/>
  <sheetViews>
    <sheetView workbookViewId="0">
      <selection activeCell="E42" sqref="E42"/>
    </sheetView>
  </sheetViews>
  <sheetFormatPr defaultRowHeight="14.75" x14ac:dyDescent="0.75"/>
  <cols>
    <col min="1" max="1" width="25.1328125" customWidth="1"/>
  </cols>
  <sheetData>
    <row r="2" spans="1:3" x14ac:dyDescent="0.75">
      <c r="A2" t="s">
        <v>152</v>
      </c>
      <c r="B2" s="76">
        <f>'AEO 2025 Table 44'!F66*1000</f>
        <v>472289.185</v>
      </c>
    </row>
    <row r="3" spans="1:3" x14ac:dyDescent="0.75">
      <c r="A3" t="s">
        <v>153</v>
      </c>
      <c r="B3" s="76">
        <f>'AEO 2025 Table 45'!F63*1000</f>
        <v>14603680.663999999</v>
      </c>
    </row>
    <row r="4" spans="1:3" x14ac:dyDescent="0.75">
      <c r="A4" t="s">
        <v>151</v>
      </c>
      <c r="B4" s="37">
        <f>1/(B2/B3)</f>
        <v>30.921056691145701</v>
      </c>
    </row>
    <row r="5" spans="1:3" x14ac:dyDescent="0.75">
      <c r="B5" s="37"/>
    </row>
    <row r="6" spans="1:3" x14ac:dyDescent="0.75">
      <c r="B6" s="37"/>
    </row>
    <row r="7" spans="1:3" x14ac:dyDescent="0.75">
      <c r="A7" t="s">
        <v>154</v>
      </c>
      <c r="B7" s="76">
        <f>SUM('AEO 2025 Table 49'!F255,'AEO 2025 Table 49'!F269)*1000</f>
        <v>395582.73299999995</v>
      </c>
    </row>
    <row r="8" spans="1:3" x14ac:dyDescent="0.75">
      <c r="A8" t="s">
        <v>155</v>
      </c>
      <c r="B8" s="76">
        <f>SUM('AEO 2025 Table 49'!F166,'AEO 2025 Table 49'!F180)*10^6</f>
        <v>9076094</v>
      </c>
      <c r="C8">
        <f>SUM('AEO 2025 Table 49'!F166,'AEO 2025 Table 49'!F180)*10^6</f>
        <v>9076094</v>
      </c>
    </row>
    <row r="9" spans="1:3" x14ac:dyDescent="0.75">
      <c r="A9" t="s">
        <v>151</v>
      </c>
      <c r="B9" s="37">
        <f>1/(B7/B8)</f>
        <v>22.943605073884765</v>
      </c>
    </row>
    <row r="10" spans="1:3" x14ac:dyDescent="0.75">
      <c r="B10" s="37"/>
    </row>
    <row r="11" spans="1:3" x14ac:dyDescent="0.75">
      <c r="A11" t="s">
        <v>156</v>
      </c>
      <c r="B11" s="76">
        <f>'AEO 2025 Table 49'!F283*1000</f>
        <v>313606.65899999999</v>
      </c>
    </row>
    <row r="12" spans="1:3" x14ac:dyDescent="0.75">
      <c r="A12" t="s">
        <v>157</v>
      </c>
      <c r="B12" s="76">
        <f>'AEO 2025 Table 49'!F194*10^6</f>
        <v>5553924</v>
      </c>
    </row>
    <row r="13" spans="1:3" x14ac:dyDescent="0.75">
      <c r="A13" t="s">
        <v>151</v>
      </c>
      <c r="B13" s="37">
        <f>1/(B11/B12)</f>
        <v>17.709840784981548</v>
      </c>
    </row>
    <row r="15" spans="1:3" x14ac:dyDescent="0.75">
      <c r="A15" t="s">
        <v>158</v>
      </c>
      <c r="B15">
        <v>6000</v>
      </c>
    </row>
    <row r="16" spans="1:3" x14ac:dyDescent="0.75">
      <c r="A16" t="s">
        <v>159</v>
      </c>
      <c r="B16">
        <v>73000</v>
      </c>
    </row>
    <row r="17" spans="1:2" x14ac:dyDescent="0.75">
      <c r="A17" t="s">
        <v>160</v>
      </c>
      <c r="B17">
        <f>1/(B15/B16)</f>
        <v>12.166666666666668</v>
      </c>
    </row>
    <row r="19" spans="1:2" x14ac:dyDescent="0.75">
      <c r="A19" t="s">
        <v>161</v>
      </c>
      <c r="B19">
        <v>14</v>
      </c>
    </row>
    <row r="20" spans="1:2" x14ac:dyDescent="0.75">
      <c r="A20" t="s">
        <v>162</v>
      </c>
      <c r="B20">
        <v>237</v>
      </c>
    </row>
    <row r="21" spans="1:2" x14ac:dyDescent="0.75">
      <c r="A21" t="s">
        <v>160</v>
      </c>
      <c r="B21">
        <f>1/(B19/B20)</f>
        <v>16.928571428571427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workbookViewId="0">
      <selection activeCell="G21" sqref="G21"/>
    </sheetView>
  </sheetViews>
  <sheetFormatPr defaultRowHeight="14.75" x14ac:dyDescent="0.75"/>
  <cols>
    <col min="1" max="1" width="14.54296875" customWidth="1"/>
    <col min="2" max="2" width="19" customWidth="1"/>
    <col min="3" max="3" width="15.54296875" customWidth="1"/>
  </cols>
  <sheetData>
    <row r="1" spans="1:3" ht="29.5" x14ac:dyDescent="0.75">
      <c r="A1" s="69" t="s">
        <v>94</v>
      </c>
      <c r="B1" s="3" t="s">
        <v>88</v>
      </c>
      <c r="C1" s="3" t="s">
        <v>89</v>
      </c>
    </row>
    <row r="2" spans="1:3" x14ac:dyDescent="0.75">
      <c r="A2" t="s">
        <v>48</v>
      </c>
      <c r="B2" s="70">
        <v>17</v>
      </c>
      <c r="C2" s="70">
        <f>B2</f>
        <v>17</v>
      </c>
    </row>
    <row r="3" spans="1:3" x14ac:dyDescent="0.75">
      <c r="A3" t="s">
        <v>51</v>
      </c>
      <c r="B3" s="74">
        <f>ROUND('Freight and Buses'!B17,0)</f>
        <v>12</v>
      </c>
      <c r="C3" s="74">
        <f>ROUND('Freight and Buses'!B13,0)</f>
        <v>18</v>
      </c>
    </row>
    <row r="4" spans="1:3" x14ac:dyDescent="0.75">
      <c r="A4" t="s">
        <v>52</v>
      </c>
      <c r="B4" s="37">
        <f>ROUND(Calculations!A16,0)</f>
        <v>24</v>
      </c>
      <c r="C4" s="37">
        <f>B4</f>
        <v>24</v>
      </c>
    </row>
    <row r="5" spans="1:3" x14ac:dyDescent="0.75">
      <c r="A5" t="s">
        <v>17</v>
      </c>
      <c r="B5">
        <f>ROUND(Calculations!C22,0)</f>
        <v>34</v>
      </c>
      <c r="C5">
        <f>B5</f>
        <v>34</v>
      </c>
    </row>
    <row r="6" spans="1:3" x14ac:dyDescent="0.75">
      <c r="A6" t="s">
        <v>9</v>
      </c>
      <c r="B6">
        <f>ROUND(Calculations!C28,0)</f>
        <v>33</v>
      </c>
      <c r="C6">
        <f>B6</f>
        <v>33</v>
      </c>
    </row>
    <row r="7" spans="1:3" x14ac:dyDescent="0.75">
      <c r="A7" t="s">
        <v>54</v>
      </c>
      <c r="B7">
        <f>ROUND(Calculations!A48,0)</f>
        <v>17</v>
      </c>
      <c r="C7">
        <f>B7</f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source data&gt;</vt:lpstr>
      <vt:lpstr>NTS 1-20</vt:lpstr>
      <vt:lpstr>AEO 2025 Table 44</vt:lpstr>
      <vt:lpstr>AEO 2025 Table 45</vt:lpstr>
      <vt:lpstr>AEO 2025 Table 38</vt:lpstr>
      <vt:lpstr>AEO 2025 Table 49</vt:lpstr>
      <vt:lpstr>calcs&gt;</vt:lpstr>
      <vt:lpstr>Calculations</vt:lpstr>
      <vt:lpstr>Freight and Buses</vt:lpstr>
      <vt:lpstr>AVL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2014-03-17T23:54:25Z</dcterms:created>
  <dcterms:modified xsi:type="dcterms:W3CDTF">2025-12-19T20:57:00Z</dcterms:modified>
</cp:coreProperties>
</file>