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Ashmoore\Documents\Github Repos\eps-us\InputData\trans\AVL\"/>
    </mc:Choice>
  </mc:AlternateContent>
  <xr:revisionPtr revIDLastSave="0" documentId="13_ncr:1_{80E1FFEC-B3B4-42C3-9E57-176126438EEB}" xr6:coauthVersionLast="47" xr6:coauthVersionMax="47" xr10:uidLastSave="{00000000-0000-0000-0000-000000000000}"/>
  <bookViews>
    <workbookView xWindow="-98" yWindow="-98" windowWidth="21795" windowHeight="12975" firstSheet="4" activeTab="9" xr2:uid="{661390DE-D06E-402F-B49F-05F85B2DF025}"/>
  </bookViews>
  <sheets>
    <sheet name="About" sheetId="9" r:id="rId1"/>
    <sheet name="source data&gt;" sheetId="20" r:id="rId2"/>
    <sheet name="NTS 1-20" sheetId="11" r:id="rId3"/>
    <sheet name="AEO 2026 Table 45" sheetId="26" r:id="rId4"/>
    <sheet name="AEO 2026 Table 44" sheetId="27" r:id="rId5"/>
    <sheet name="AEO 2026 Table 49" sheetId="28" r:id="rId6"/>
    <sheet name="calcs&gt;" sheetId="21" r:id="rId7"/>
    <sheet name="Calculations" sheetId="2" r:id="rId8"/>
    <sheet name="Freight and Buses" sheetId="16" r:id="rId9"/>
    <sheet name="AVL" sheetId="10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2" i="16" l="1"/>
  <c r="B11" i="16"/>
  <c r="B8" i="16"/>
  <c r="B7" i="16"/>
  <c r="B3" i="16"/>
  <c r="B2" i="16"/>
  <c r="B3" i="10"/>
  <c r="B21" i="16"/>
  <c r="B17" i="16"/>
  <c r="B9" i="16" l="1"/>
  <c r="B4" i="16"/>
  <c r="B13" i="16"/>
  <c r="C3" i="10" s="1"/>
  <c r="B6" i="10" l="1"/>
  <c r="C6" i="10" s="1"/>
  <c r="B5" i="10"/>
  <c r="C5" i="10" s="1"/>
  <c r="B4" i="10"/>
  <c r="C4" i="10" s="1"/>
  <c r="C3" i="2" l="1"/>
  <c r="D3" i="2"/>
  <c r="C10" i="11"/>
  <c r="B10" i="11"/>
  <c r="D42" i="2" l="1"/>
  <c r="E42" i="2" s="1"/>
  <c r="D41" i="2"/>
  <c r="E41" i="2" s="1"/>
  <c r="D40" i="2"/>
  <c r="E40" i="2" s="1"/>
  <c r="D39" i="2"/>
  <c r="E39" i="2" s="1"/>
  <c r="D38" i="2"/>
  <c r="E38" i="2" s="1"/>
  <c r="D37" i="2"/>
  <c r="E37" i="2" s="1"/>
  <c r="D36" i="2"/>
  <c r="E36" i="2" s="1"/>
  <c r="D35" i="2"/>
  <c r="E35" i="2" s="1"/>
  <c r="D34" i="2"/>
  <c r="E34" i="2" s="1"/>
  <c r="D33" i="2"/>
  <c r="E33" i="2" s="1"/>
  <c r="A45" i="2" l="1"/>
  <c r="A48" i="2" s="1"/>
  <c r="B7" i="10" s="1"/>
  <c r="C7" i="10" s="1"/>
  <c r="E3" i="2" l="1"/>
</calcChain>
</file>

<file path=xl/sharedStrings.xml><?xml version="1.0" encoding="utf-8"?>
<sst xmlns="http://schemas.openxmlformats.org/spreadsheetml/2006/main" count="1783" uniqueCount="947">
  <si>
    <t>Car Avg Lifetime, years (Page 22, Table 7)</t>
  </si>
  <si>
    <t>Light Truck Avg Lifetime, years (Page 25, Table 8)</t>
  </si>
  <si>
    <t>Market Share-Weighted Average LDV Lifetime</t>
  </si>
  <si>
    <t>Bureau of Transportation Statistics</t>
  </si>
  <si>
    <t>http://www.rita.dot.gov/bts/sites/rita.dot.gov.bts/files/publications/national_transportation_statistics/index.html</t>
  </si>
  <si>
    <t>Oak Ridge National Laboratory</t>
  </si>
  <si>
    <t>Table</t>
  </si>
  <si>
    <t>CA Asset Type</t>
  </si>
  <si>
    <t>Lifetime (years)</t>
  </si>
  <si>
    <t>ships</t>
  </si>
  <si>
    <t>3000 - Harbor &amp; Port</t>
  </si>
  <si>
    <t>Motor vessels - diesel, ocean</t>
  </si>
  <si>
    <t>California State Controller's Office</t>
  </si>
  <si>
    <t>1992 (but still current)</t>
  </si>
  <si>
    <t>Audit Guidelines and Uniform Accounting Systems: Special Districts</t>
  </si>
  <si>
    <t>http://www.sco.ca.gov/ard_local_rep_uas_special_dist.html</t>
  </si>
  <si>
    <t>Appendix A: Suggested Useful Lives of Fixed Assets</t>
  </si>
  <si>
    <t>rail</t>
  </si>
  <si>
    <t>2000 - Water Utility</t>
  </si>
  <si>
    <t>railroads</t>
  </si>
  <si>
    <t>5000 - Transit</t>
  </si>
  <si>
    <t>locomotives, electric</t>
  </si>
  <si>
    <t>Value selected for use in model</t>
  </si>
  <si>
    <t>Neither of these asset types is exactly what I'd prefer (which would be something like "locomotives, diesel"</t>
  </si>
  <si>
    <t>or "locomotives, freight"), but they seem like reasonable values and are close to each other.</t>
  </si>
  <si>
    <t>http://www.boeing.com/assets/pdf/commercial/aircraft_economic_life_whitepaper.pdf</t>
  </si>
  <si>
    <t>Jiang, Helen.  Boeing.</t>
  </si>
  <si>
    <t>Key Findings on Airplane Economic Life</t>
  </si>
  <si>
    <t>Exhibits 1-3</t>
  </si>
  <si>
    <t>Exhibits 1-3 illustrate roughly the same results.</t>
  </si>
  <si>
    <t>Exhibit 1:</t>
  </si>
  <si>
    <t>Non-dotted lines (aircraft in service) have been constant at 23-24 years for the last 15 years.</t>
  </si>
  <si>
    <t>Exhibit 2:</t>
  </si>
  <si>
    <t>Non-dashed lines (aircraft age when they leave service) has been 22-26 for Pax (passengers) and 31-36 for freighters over the last 15 years.</t>
  </si>
  <si>
    <t>Exhibit 3:</t>
  </si>
  <si>
    <t>The curves for all aircraft except the 707 Pax and the 737-100/200 Pax cross or are on track to cross 50% survival around age 23-24.</t>
  </si>
  <si>
    <t>Motorcycle Trends in the United States</t>
  </si>
  <si>
    <t>http://www.rita.dot.gov/bts/sites/rita.dot.gov.bts/files/publications/special_reports_and_issue_briefs/special_report/2009_05_14/pdf/entire.pdf</t>
  </si>
  <si>
    <t>Page 3, Table 1</t>
  </si>
  <si>
    <t>Year</t>
  </si>
  <si>
    <t>Registered Motorcycles</t>
  </si>
  <si>
    <t>Motorcycles sold (new)</t>
  </si>
  <si>
    <t>Percentage of Fleet That Retired This Year</t>
  </si>
  <si>
    <t>Average Percent Fleet Retirement per Year</t>
  </si>
  <si>
    <t>Estimated Lifetime of Motorcycle (years)</t>
  </si>
  <si>
    <t>Retiring Motorcycles</t>
  </si>
  <si>
    <t>AVL Avg Vehicle Lifetime</t>
  </si>
  <si>
    <t>Sources:</t>
  </si>
  <si>
    <t>LDVs</t>
  </si>
  <si>
    <t>LDV Lifetimes</t>
  </si>
  <si>
    <t>LDVs: Market Shares of Cars and Light Trucks</t>
  </si>
  <si>
    <t>HDVs</t>
  </si>
  <si>
    <t>aircraft</t>
  </si>
  <si>
    <t>rail and ships</t>
  </si>
  <si>
    <t>motorbikes</t>
  </si>
  <si>
    <t>Heavy Truck Avg Lifetime, years (Table 3-14, Row 43)</t>
  </si>
  <si>
    <t>Transportation Energy Data Book Ed. 34</t>
  </si>
  <si>
    <t>Table 3-14, Row 43</t>
  </si>
  <si>
    <t>http://cta.ornl.gov/data/tedb34/Spreadsheets/Table3_14.xls</t>
  </si>
  <si>
    <t>National Transportation Statistics 2015</t>
  </si>
  <si>
    <t>Table 1-20:  Productions, Production Shares, and Production-Weighted Fuel Economies of New Domestic and Imported Automobiles (Thousands of vehicles)</t>
  </si>
  <si>
    <t>TOTAL productions</t>
  </si>
  <si>
    <t>N</t>
  </si>
  <si>
    <t>Car</t>
  </si>
  <si>
    <t>Car SUV</t>
  </si>
  <si>
    <t>Pickup</t>
  </si>
  <si>
    <t>Van</t>
  </si>
  <si>
    <t>Truck SUV</t>
  </si>
  <si>
    <t>Market share, percent</t>
  </si>
  <si>
    <t>Fuel economy, mpg</t>
  </si>
  <si>
    <r>
      <t>KEY:</t>
    </r>
    <r>
      <rPr>
        <sz val="9"/>
        <rFont val="Arial"/>
        <family val="2"/>
      </rPr>
      <t xml:space="preserve">  mpg = miles per gallon; N = data are not available;  R = revised; SUV = sport utility vehicle.</t>
    </r>
  </si>
  <si>
    <t>NOTES</t>
  </si>
  <si>
    <t>Numbers may not add to totals due to rounding.</t>
  </si>
  <si>
    <t xml:space="preserve">This table is not comparable to previous publication's tables due to changes in the source data. </t>
  </si>
  <si>
    <t>The Environmental Protection Agency changed the vehicle classifications, combining wagons with the rest of the cars and dropping the small, medium, large categories of cars, pickups, sport-utilities, and vans. The fuel economy displayed in those tables has been adjusted to provide the best estimate of real-world performance.</t>
  </si>
  <si>
    <t>SOURCE</t>
  </si>
  <si>
    <r>
      <t xml:space="preserve">U.S. Department of Energy, Office of Energy Efficiency and Renewable Energy, </t>
    </r>
    <r>
      <rPr>
        <i/>
        <sz val="9"/>
        <rFont val="Arial"/>
        <family val="2"/>
      </rPr>
      <t>Transportation Energy Data Book</t>
    </r>
    <r>
      <rPr>
        <sz val="9"/>
        <rFont val="Arial"/>
        <family val="2"/>
      </rPr>
      <t>, Edition 33, tables 4.7, table 4.9 and table 4.11 (Oak Ridge, TN), available at http://cta.ornl.gov/data/index.shtml as of Dec. 8, 2015.</t>
    </r>
  </si>
  <si>
    <t>Avg Light Truck Sales from 2010-2013, thousands of vehicles (Table 1-20, Rows 6-8)</t>
  </si>
  <si>
    <t>Avg Car Sales from 2010-2013, thousands of vehicles (Table 1-20, Rows 4-5)</t>
  </si>
  <si>
    <t>Table 1-20</t>
  </si>
  <si>
    <t>About</t>
  </si>
  <si>
    <t>The model requires the lifetime to be an integer, so we round to the nearest integer.</t>
  </si>
  <si>
    <t>ThoughtCo</t>
  </si>
  <si>
    <t>How Long Do Buses and Other Transit Vehicles Last?</t>
  </si>
  <si>
    <t>https://www.thoughtco.com/buses-and-other-transit-lifetime-2798844</t>
  </si>
  <si>
    <t>Bus Lifetime</t>
  </si>
  <si>
    <t>Heavy Truck Start Year Vehicles</t>
  </si>
  <si>
    <t>Bus Start Year Vehicle</t>
  </si>
  <si>
    <t>Passenger</t>
  </si>
  <si>
    <t>Freight</t>
  </si>
  <si>
    <t>Freight HDVs</t>
  </si>
  <si>
    <t>Passenger HDVs (Buses)</t>
  </si>
  <si>
    <t>We assume passenger and freight modes are the same for aircraft, rail, and ships.</t>
  </si>
  <si>
    <t>There are no freight motorbikes in the U.S. EPS, so we arbitrarily set their lifetime equal to passenger motorbikes.</t>
  </si>
  <si>
    <t>Vehicle Lifetime (years)</t>
  </si>
  <si>
    <t>Source: U.S. Energy Information Administration</t>
  </si>
  <si>
    <t>full name</t>
  </si>
  <si>
    <t>api key</t>
  </si>
  <si>
    <t>units</t>
  </si>
  <si>
    <t>New Car Sales</t>
  </si>
  <si>
    <t>Conventional Cars</t>
  </si>
  <si>
    <t>Gasoline ICE Vehicles</t>
  </si>
  <si>
    <t>thousands</t>
  </si>
  <si>
    <t>TDI Diesel ICE</t>
  </si>
  <si>
    <t>Total Conventional Cars</t>
  </si>
  <si>
    <t>Alternative-Fuel Cars</t>
  </si>
  <si>
    <t>Ethanol-Flex Fuel ICE</t>
  </si>
  <si>
    <t>Plug-in 20 Gasoline Hybrid</t>
  </si>
  <si>
    <t>Plug-in 50 Gasoline Hybrid</t>
  </si>
  <si>
    <t>- -</t>
  </si>
  <si>
    <t>Electric-Gasoline Hybrid</t>
  </si>
  <si>
    <t>Natural Gas ICE</t>
  </si>
  <si>
    <t>Natural Gas Bi-fuel</t>
  </si>
  <si>
    <t>Propane ICE</t>
  </si>
  <si>
    <t>Propane Bi-fuel</t>
  </si>
  <si>
    <t>Fuel Cell Hydrogen</t>
  </si>
  <si>
    <t>Total Alternative Cars</t>
  </si>
  <si>
    <t>percent</t>
  </si>
  <si>
    <t>Total New Car Sales</t>
  </si>
  <si>
    <t>New Light Truck Sales</t>
  </si>
  <si>
    <t>Conventional Light Trucks</t>
  </si>
  <si>
    <t>Total Conventional Light Trucks</t>
  </si>
  <si>
    <t>Alternative-Fuel Light Trucks</t>
  </si>
  <si>
    <t>Total Alternative Light Trucks</t>
  </si>
  <si>
    <t>Total New Light Truck Sales</t>
  </si>
  <si>
    <t>Total Sales</t>
  </si>
  <si>
    <t>Electric</t>
  </si>
  <si>
    <t>Fuel Cell</t>
  </si>
  <si>
    <t>New Trucks by Size Class</t>
  </si>
  <si>
    <t>Railroads</t>
  </si>
  <si>
    <t>Domestic Shipping</t>
  </si>
  <si>
    <t>International Shipping</t>
  </si>
  <si>
    <t>Total Fleet Vehicles</t>
  </si>
  <si>
    <t>Calibrated</t>
  </si>
  <si>
    <t>We calibrate the value for passenger LDVs to match annual passenger LDV sales in the model, which were roughly 15 million in 2021.</t>
  </si>
  <si>
    <t>Average replacement time</t>
  </si>
  <si>
    <t>commercial truck sales</t>
  </si>
  <si>
    <t>commercial truck stock</t>
  </si>
  <si>
    <t>LDV/MDV sales</t>
  </si>
  <si>
    <t>LDV/MDV stock</t>
  </si>
  <si>
    <t>HDV sales</t>
  </si>
  <si>
    <t>HDV stock</t>
  </si>
  <si>
    <t>BNEF, bus sales 2021</t>
  </si>
  <si>
    <t>BNEF, bus fleet 2021</t>
  </si>
  <si>
    <t>average replacement time</t>
  </si>
  <si>
    <t>BNEF, LDV sales 2021 (M)</t>
  </si>
  <si>
    <t>BNEF, LDV fleet 2021 (M)</t>
  </si>
  <si>
    <t>Total Commercial Light Truck Stock</t>
  </si>
  <si>
    <t>Hydrogen ICE</t>
  </si>
  <si>
    <t>Gasoline Hybrid</t>
  </si>
  <si>
    <t>Fuel Cell Battery Dominant</t>
  </si>
  <si>
    <t>Plug-in Diesel Hybrid</t>
  </si>
  <si>
    <t>Plug-in Gasoline Hybrid</t>
  </si>
  <si>
    <t>Ethanol-Flex Fuel</t>
  </si>
  <si>
    <t>Compressed/Liquefied Natural Gas</t>
  </si>
  <si>
    <t>Propane</t>
  </si>
  <si>
    <t>Diesel</t>
  </si>
  <si>
    <t>Motor Gasoline</t>
  </si>
  <si>
    <t>Total Light Truck Stock</t>
  </si>
  <si>
    <t>300-Mile Electric Vehicle</t>
  </si>
  <si>
    <t>200-Mile Electric Vehicle</t>
  </si>
  <si>
    <t>100-Mile Electric Vehicle</t>
  </si>
  <si>
    <t>Light Truck Stock</t>
  </si>
  <si>
    <t>Total Car Stock</t>
  </si>
  <si>
    <t>Car Stock</t>
  </si>
  <si>
    <t>Table 45.  Transportation Fleet Car and Truck Stock by Type and Technology</t>
  </si>
  <si>
    <t>Total Commercial Light Truck Sales</t>
  </si>
  <si>
    <t>Commercial Light Truck Sales</t>
  </si>
  <si>
    <t>Percentage Alternative Light Truck Sales</t>
  </si>
  <si>
    <t>Percentage Alternative Car Sales</t>
  </si>
  <si>
    <t>Table 44.  Transportation Fleet Car and Truck Sales by Type and Technology</t>
  </si>
  <si>
    <t>trillion Btu</t>
  </si>
  <si>
    <t>Liquefied Natural Gas</t>
  </si>
  <si>
    <t>Compressed Natural Gas</t>
  </si>
  <si>
    <t>Residual Fuel Oil</t>
  </si>
  <si>
    <t>Distillate Fuel Oil (diesel)</t>
  </si>
  <si>
    <t>Fuel Consumption (trillion Btu)</t>
  </si>
  <si>
    <t>billion 2012 $</t>
  </si>
  <si>
    <t>Imports (billion 2012 dollars)</t>
  </si>
  <si>
    <t>Exports (billion 2012 dollars)</t>
  </si>
  <si>
    <t>Gross Trade (billion 2012 dollars)</t>
  </si>
  <si>
    <t>ton miles/thousand Btu</t>
  </si>
  <si>
    <t>Fuel Efficiency (ton miles per thousand Btu)</t>
  </si>
  <si>
    <t>billions</t>
  </si>
  <si>
    <t>Ton Miles Shipping (billion)</t>
  </si>
  <si>
    <t>Ton Miles by Rail (billion)</t>
  </si>
  <si>
    <t>Heavy Subtotal</t>
  </si>
  <si>
    <t>Heavy</t>
  </si>
  <si>
    <t>Medium Subtotal</t>
  </si>
  <si>
    <t>Medium</t>
  </si>
  <si>
    <t>Light Medium Subtotal</t>
  </si>
  <si>
    <t>Light Medium</t>
  </si>
  <si>
    <t>Sales (thousands)</t>
  </si>
  <si>
    <t>Average Fuel Efficiency</t>
  </si>
  <si>
    <t>Heavy Average</t>
  </si>
  <si>
    <t>mpg diesel equiv</t>
  </si>
  <si>
    <t>mpg gas equiv</t>
  </si>
  <si>
    <t>Medium Average</t>
  </si>
  <si>
    <t>mpg</t>
  </si>
  <si>
    <t>Light Medium Average</t>
  </si>
  <si>
    <t>Fuel Efficiency (miles per gallon)</t>
  </si>
  <si>
    <t>millions</t>
  </si>
  <si>
    <t>Total Stock</t>
  </si>
  <si>
    <t>Stock (millions)</t>
  </si>
  <si>
    <t>Total Consumption</t>
  </si>
  <si>
    <t xml:space="preserve"> and Heavy Total</t>
  </si>
  <si>
    <t xml:space="preserve"> Medium</t>
  </si>
  <si>
    <t>Consumption (trillion Btu)</t>
  </si>
  <si>
    <t>billion miles</t>
  </si>
  <si>
    <t>Total Vehicle Miles Traveled</t>
  </si>
  <si>
    <t>Vehicle Miles Traveled (billion miles)</t>
  </si>
  <si>
    <t>Freight Truck Stock by Size Class</t>
  </si>
  <si>
    <t>Table 49.  Freight Transportation Energy Use</t>
  </si>
  <si>
    <t>U.S. Energy Information Administration</t>
  </si>
  <si>
    <t>Annual Energy Outlook 2025</t>
  </si>
  <si>
    <t>https://www.eia.gov/outlooks/aeo/tables_side_xls.php</t>
  </si>
  <si>
    <t>Scenario: Alternative Transportation</t>
  </si>
  <si>
    <t>Table 44, 45, 38, 49</t>
  </si>
  <si>
    <t>AEO.2026.ELECTRNP.ECI_STK_NA_CLTR_NA_NA_NA_TH.A</t>
  </si>
  <si>
    <t>Fleet Stock: Commercial Light Trucks: Total: Alternative Electricity and Transportation</t>
  </si>
  <si>
    <t>AEO.2026.ELECTRNP.ECI_STK_NA_CLTR_HYDICE_NA_NA_TH.A</t>
  </si>
  <si>
    <t>Fleet Stock: Commercial Light Trucks: Hydrogen ICE: Alternative Electricity and Transportation</t>
  </si>
  <si>
    <t>AEO.2026.ELECTRNP.ECI_STK_NA_CLTR_GASHEV_NA_NA_TH.A</t>
  </si>
  <si>
    <t>Fleet Stock: Commercial Light Trucks: Gasoline Hybrid: Alternative Electricity and Transportation</t>
  </si>
  <si>
    <t>AEO.2026.ELECTRNP.ECI_STK_NA_CLTR_FEUCELBATDOM_NA_NA_TH.A</t>
  </si>
  <si>
    <t>Fleet Stock: Commercial Light Trucks: Fuel Cell Battery Dominant: Alternative Electricity and Transportation</t>
  </si>
  <si>
    <t>AEO.2026.ELECTRNP.ECI_STK_NA_CLTR_FUC_NA_NA_TH.A</t>
  </si>
  <si>
    <t>Fleet Stock: Commercial Light Trucks: Fuel Cell: Alternative Electricity and Transportation</t>
  </si>
  <si>
    <t>AEO.2026.ELECTRNP.ECI_STK_NA_CLTR_EDH_NA_NA_TH.A</t>
  </si>
  <si>
    <t>Fleet Stock: Commercial Light Trucks: Plug-in Diesel: Alternative Electricity and Transportation</t>
  </si>
  <si>
    <t>AEO.2026.ELECTRNP.ECI_STK_NA_CLTR_EGH_NA_NA_TH.A</t>
  </si>
  <si>
    <t>Fleet Stock: Commercial Light Trucks: Plug-in Gas: Alternative Electricity and Transportation</t>
  </si>
  <si>
    <t>AEO.2026.ELECTRNP.ECI_STK_NA_CLTR_ELE_NA_NA_TH.A</t>
  </si>
  <si>
    <t>Fleet Stock: Commercial Light Trucks: Electric: Alternative Electricity and Transportation</t>
  </si>
  <si>
    <t>AEO.2026.ELECTRNP.ECI_STK_NA_CLTR_EFFI_NA_NA_TH.A</t>
  </si>
  <si>
    <t>Fleet Stock: Commercial Light Trucks: Ethanol Flex: Alternative Electricity and Transportation</t>
  </si>
  <si>
    <t>AEO.2026.ELECTRNP.ECI_STK_NA_CLTR_NG_NA_NA_TH.A</t>
  </si>
  <si>
    <t>Fleet Stock: Commercial Light Trucks: CNG/LNG: Alternative Electricity and Transportation</t>
  </si>
  <si>
    <t>AEO.2026.ELECTRNP.ECI_STK_NA_CLTR_PROP_NA_NA_TH.A</t>
  </si>
  <si>
    <t>Fleet Stock: Commercial Light Trucks: Propane: Alternative Electricity and Transportation</t>
  </si>
  <si>
    <t>AEO.2026.ELECTRNP.ECI_STK_NA_CLTR_TDS_NA_NA_TH.A</t>
  </si>
  <si>
    <t>Fleet Stock: Commercial Light Trucks: TDI Diesel: Alternative Electricity and Transportation</t>
  </si>
  <si>
    <t>AEO.2026.ELECTRNP.ECI_STK_NA_CLTR_GSL_NA_NA_TH.A</t>
  </si>
  <si>
    <t>Fleet Stock: Commercial Light Trucks: Gasoline: Alternative Electricity and Transportation</t>
  </si>
  <si>
    <t>AEO.2026.ELECTRNP.ECI_STK_NA_NA_NA_NA_NA_TH.A</t>
  </si>
  <si>
    <t>Fleet Stock: Total Fleet Vehicles: Alternative Electricity and Transportation</t>
  </si>
  <si>
    <t>AEO.2026.ELECTRNP.ECI_STK_NA_FLTR_NA_NA_NA_TH.A</t>
  </si>
  <si>
    <t>Fleet Vehicle Stock: Light Trucks: Total: Alternative Electricity and Transportation</t>
  </si>
  <si>
    <t>AEO.2026.ELECTRNP.ECI_STK_ALF1_FLTR_NA_NA_NA_TH.A</t>
  </si>
  <si>
    <t>Fleet Vehicle Stock: Alternative-Fuel Light Trucks: Total: Alternative Electricity and Transportation</t>
  </si>
  <si>
    <t>AEO.2026.ELECTRNP.ECI_STK_ALF1_FLTR_FCH_NA_NA_TH.A</t>
  </si>
  <si>
    <t>Fleet Vehicle Stock: Alternative-Fuel Light Trucks: Fuel Cell Hydrogen: Alternative Electricity and Transportation</t>
  </si>
  <si>
    <t>AEO.2026.ELECTRNP.ECI_STK_ALF1_FLTR_EGH_NA_NA_TH.A</t>
  </si>
  <si>
    <t>Fleet Vehicle Stock: Alternative-Fuel Light Trucks: Electric-Gasoline Hybrid: Alternative Electricity and Transportation</t>
  </si>
  <si>
    <t>AEO.2026.ELECTRNP.ECI_STK_ALF1_FLTR_PI50GH_NA_NA_TH.A</t>
  </si>
  <si>
    <t>Fleet Vehicle Stock: Alternative-Fuel Light Trucks: Plug-in 50 Gasoline Hybrid: Alternative Electricity and Transportation</t>
  </si>
  <si>
    <t>AEO.2026.ELECTRNP.ECI_STK_ALF1_FLTR_PI20GH_NA_NA_TH.A</t>
  </si>
  <si>
    <t>Fleet Vehicle Stock: Alternative-Fuel Light Trucks: Plug-in 20 Gasoline Hybrid: Alternative Electricity and Transportation</t>
  </si>
  <si>
    <t>AEO.2026.ELECTRNP.ECI_STK_ALF1_FLTR_300MIEV_NA_NA_TH.A</t>
  </si>
  <si>
    <t>Fleet Vehicle Stock: Alternative-Fuel Light Trucks: 300-Mile Electric Vehicle: Alternative Electricity and Transportation</t>
  </si>
  <si>
    <t>AEO.2026.ELECTRNP.ECI_STK_ALF1_FLTR_200MIEV_NA_NA_TH.A</t>
  </si>
  <si>
    <t>Fleet Vehicle Stock: Alternative-Fuel Light Trucks: 200-Mile Electric Vehicle: Alternative Electricity and Transportation</t>
  </si>
  <si>
    <t>AEO.2026.ELECTRNP.ECI_STK_ALF1_FLTR_100MIEV_NA_NA_TH.A</t>
  </si>
  <si>
    <t>Fleet Vehicle Stock: Alternative-Fuel Light Trucks: 100-Mile Electric Vehicle: Alternative Electricity and Transportation</t>
  </si>
  <si>
    <t>AEO.2026.ELECTRNP.ECI_STK_ALF1_FLTR_EFFI_NA_NA_TH.A</t>
  </si>
  <si>
    <t>Fleet Vehicle Stock: Alternative-Fuel Light Trucks: Ethanol-Flex Fuel ICE: Alternative Electricity and Transportation</t>
  </si>
  <si>
    <t>AEO.2026.ELECTRNP.ECI_STK_CNV_FLTR_NA_NA_NA_TH.A</t>
  </si>
  <si>
    <t>Fleet Vehicle Stock: Conventional Light Trucks: Total: Alternative Electricity and Transportation</t>
  </si>
  <si>
    <t>AEO.2026.ELECTRNP.ECI_STK_CNV_FLTR_TDS_NA_NA_TH.A</t>
  </si>
  <si>
    <t>Fleet Vehicle Stock: Conventional Light Trucks: TDI Diesel: Alternative Electricity and Transportation</t>
  </si>
  <si>
    <t>AEO.2026.ELECTRNP.ECI_STK_CNV_FLTR_GSL_NA_NA_TH.A</t>
  </si>
  <si>
    <t>Fleet Vehicle Stock: Conventional Light Trucks: Gasoline: Alternative Electricity and Transportation</t>
  </si>
  <si>
    <t>AEO.2026.ELECTRNP.ECI_STK_NA_FLC_NA_NA_NA_TH.A</t>
  </si>
  <si>
    <t>Fleet Vehicle Stock: Cars: Total: Alternative Electricity and Transportation</t>
  </si>
  <si>
    <t>AEO.2026.ELECTRNP.ECI_STK_ALF1_FLC_NA_NA_NA_TH.A</t>
  </si>
  <si>
    <t>Fleet Vehicle Stock: Alternative-Fuel Cars: Total: Alternative Electricity and Transportation</t>
  </si>
  <si>
    <t>AEO.2026.ELECTRNP.ECI_STK_ALF1_FLC_FCH_NA_NA_TH.A</t>
  </si>
  <si>
    <t>Fleet Vehicle Stock: Alternative-Fuel Cars: Fuel Cell Hydrogen: Alternative Electricity and Transportation</t>
  </si>
  <si>
    <t>AEO.2026.ELECTRNP.ECI_STK_ALF1_FLC_EGH_NA_NA_TH.A</t>
  </si>
  <si>
    <t>Fleet Vehicle Stock: Alternative-Fuel Cars: Electric-Gasoline Hybrid: Alternative Electricity and Transportation</t>
  </si>
  <si>
    <t>AEO.2026.ELECTRNP.ECI_STK_ALF1_FLC_PI50GH_NA_NA_TH.A</t>
  </si>
  <si>
    <t>Fleet Vehicle Stock: Alternative-Fuel Cars: Plug-in 50 Gasoline Hybrid: Alternative Electricity and Transportation</t>
  </si>
  <si>
    <t>AEO.2026.ELECTRNP.ECI_STK_ALF1_FLC_PI20GH_NA_NA_TH.A</t>
  </si>
  <si>
    <t>Fleet Vehicle Stock: Alternative-Fuel Cars: Plug-in 20 Gasoline Hybrid: Alternative Electricity and Transportation</t>
  </si>
  <si>
    <t>AEO.2026.ELECTRNP.ECI_STK_ALF1_FLC_300MIEV_NA_NA_TH.A</t>
  </si>
  <si>
    <t>Fleet Vehicle Stock: Alternative-Fuel Cars: 300-Mile Electric Vehicle: Alternative Electricity and Transportation</t>
  </si>
  <si>
    <t>AEO.2026.ELECTRNP.ECI_STK_ALF1_FLC_200MIEV_NA_NA_TH.A</t>
  </si>
  <si>
    <t>Fleet Vehicle Stock: Alternative-Fuel Cars: 200-Mile Electric Vehicle: Alternative Electricity and Transportation</t>
  </si>
  <si>
    <t>AEO.2026.ELECTRNP.ECI_STK_ALF1_FLC_100MIEV_NA_NA_TH.A</t>
  </si>
  <si>
    <t>Fleet Vehicle Stock: Alternative-Fuel Cars: 100-Mile Electric Vehicle: Alternative Electricity and Transportation</t>
  </si>
  <si>
    <t>AEO.2026.ELECTRNP.ECI_STK_ALF1_FLC_EFFI_NA_NA_TH.A</t>
  </si>
  <si>
    <t>Fleet Vehicle Stock: Alternative-Fuel Cars: Ethanol-Flex Fuel ICE: Alternative Electricity and Transportation</t>
  </si>
  <si>
    <t>AEO.2026.ELECTRNP.ECI_STK_CNV_FLC_NA_NA_NA_TH.A</t>
  </si>
  <si>
    <t>Fleet Vehicle Stock: Conventional Cars: Total: Alternative Electricity and Transportation</t>
  </si>
  <si>
    <t>AEO.2026.ELECTRNP.ECI_STK_CNV_FLC_TDS_NA_NA_TH.A</t>
  </si>
  <si>
    <t>Fleet Vehicle Stock: Conventional Cars: TDI Diesel: Alternative Electricity and Transportation</t>
  </si>
  <si>
    <t>AEO.2026.ELECTRNP.ECI_STK_CNV_FLC_GSL_NA_NA_TH.A</t>
  </si>
  <si>
    <t>Fleet Vehicle Stock: Conventional Cars: Gasoline: Alternative Electricity and Transportation</t>
  </si>
  <si>
    <t>Growth (2025-2050)</t>
  </si>
  <si>
    <t>Thu Apr 23 2026 15:04:58 GMT-0700 (Pacific Daylight Time)</t>
  </si>
  <si>
    <t>https://www.eia.gov/outlooks/aeo/data/browser/#/?id=55-AEO2026&amp;cases=electrnp&amp;sourcekey=0</t>
  </si>
  <si>
    <t>AEO.2026.ELECTRNP.ECI_SAL_NA_CLTR_NA_NA_NA_TH.A</t>
  </si>
  <si>
    <t>Fleet Vehicle Sales: Commercial Light Trucks: Total: Alternative Electricity and Transportation</t>
  </si>
  <si>
    <t>AEO.2026.ELECTRNP.ECI_SAL_NA_CLTR_HYDICE_NA_NA_TH.A</t>
  </si>
  <si>
    <t>Fleet Vehicle Sales: Commercial Light Trucks: Hydrogen ICE: Alternative Electricity and Transportation</t>
  </si>
  <si>
    <t>AEO.2026.ELECTRNP.ECI_SAL_NA_CLTR_GASHEV_NA_NA_TH.A</t>
  </si>
  <si>
    <t>Fleet Vehicle Sales: Commercial Light Trucks: Gasoline Hybrid: Alternative Electricity and Transportation</t>
  </si>
  <si>
    <t>AEO.2026.ELECTRNP.ECI_SAL_NA_CLTR_FEUCELBATDOM_NA_NA_TH.A</t>
  </si>
  <si>
    <t>Fleet Vehicle Sales: Commercial Light Trucks: Fuel Cell Battery Dominant: Alternative Electricity and Transportation</t>
  </si>
  <si>
    <t>AEO.2026.ELECTRNP.ECI_SAL_NA_CLTR_FUC_NA_NA_TH.A</t>
  </si>
  <si>
    <t>Fleet Vehicle Sales: Commercial Light Trucks: Fuel Cell: Alternative Electricity and Transportation</t>
  </si>
  <si>
    <t>AEO.2026.ELECTRNP.ECI_SAL_NA_CLTR_EDH_NA_NA_TH.A</t>
  </si>
  <si>
    <t>Fleet Vehicle Sales: Commercial Light Trucks: Plug-in Diesel: Alternative Electricity and Transportation</t>
  </si>
  <si>
    <t>AEO.2026.ELECTRNP.ECI_SAL_NA_CLTR_EGH_NA_NA_TH.A</t>
  </si>
  <si>
    <t>Fleet Vehicle Sales: Commercial Light Trucks: Plug-in Gas: Alternative Electricity and Transportation</t>
  </si>
  <si>
    <t>AEO.2026.ELECTRNP.ECI_SAL_NA_CLTR_ELE_NA_NA_TH.A</t>
  </si>
  <si>
    <t>Fleet Vehicle Sales: Commercial Light Trucks: Electric: Alternative Electricity and Transportation</t>
  </si>
  <si>
    <t>AEO.2026.ELECTRNP.ECI_SAL_NA_CLTR_EFFI_NA_NA_TH.A</t>
  </si>
  <si>
    <t>Fleet Vehicle Sales: Commercial Light Trucks: Ethanol Flex: Alternative Electricity and Transportation</t>
  </si>
  <si>
    <t>AEO.2026.ELECTRNP.ECI_SAL_NA_CLTR_NG_NA_NA_TH.A</t>
  </si>
  <si>
    <t>Fleet Vehicle Sales: Commercial Light Trucks: CNG/LNG: Alternative Electricity and Transportation</t>
  </si>
  <si>
    <t>AEO.2026.ELECTRNP.ECI_SAL_NA_CLTR_PROP_NA_NA_TH.A</t>
  </si>
  <si>
    <t>Fleet Vehicle Sales: Commercial Light Trucks: Propane: Alternative Electricity and Transportation</t>
  </si>
  <si>
    <t>AEO.2026.ELECTRNP.ECI_SAL_NA_CLTR_TDS_NA_NA_TH.A</t>
  </si>
  <si>
    <t>Fleet Vehicle Sales: Commercial Light Trucks: TDI Diesel: Alternative Electricity and Transportation</t>
  </si>
  <si>
    <t>AEO.2026.ELECTRNP.ECI_SAL_NA_CLTR_GSL_NA_NA_TH.A</t>
  </si>
  <si>
    <t>Fleet Vehicle Sales: Commercial Light Trucks: Gasoline: Alternative Electricity and Transportation</t>
  </si>
  <si>
    <t>AEO.2026.ELECTRNP.ECI_SAL_NA_NA_NA_NA_NA_TH.A</t>
  </si>
  <si>
    <t>Transportation Fleet Vehicle Sales: Total Fleet Vehicles: Alternative Electricity and Transportation</t>
  </si>
  <si>
    <t>AEO.2026.ELECTRNP.ECI_SAL_NA_FLTR_NA_NA_NA_TH.A</t>
  </si>
  <si>
    <t>Fleet Vehicle Sales: Light Trucks: Total: Alternative Electricity and Transportation</t>
  </si>
  <si>
    <t>AEO.2026.ELECTRNP.ECI_SAL_ALF1_FLTR_NA_NA_NA_PCT.A</t>
  </si>
  <si>
    <t>Fleet Vehicle Sales: Light Trucks: Percentage Alternative: Alternative Electricity and Transportation</t>
  </si>
  <si>
    <t>AEO.2026.ELECTRNP.ECI_SAL_ALF1_FLTR_NA_NA_NA_TH.A</t>
  </si>
  <si>
    <t>Fleet Vehicle Sales: Alternative-Fuel Light Trucks: Total: Alternative Electricity and Transportation</t>
  </si>
  <si>
    <t>AEO.2026.ELECTRNP.ECI_SAL_ALF1_FLTR_FCH_NA_NA_TH.A</t>
  </si>
  <si>
    <t>Fleet Vehicle Sales: Alternative-Fuel Light Trucks: Fuel Cell Hydrogen: Alternative Electricity and Transportation</t>
  </si>
  <si>
    <t>AEO.2026.ELECTRNP.ECI_SAL_ALF1_FLTR_PBF_NA_NA_TH.A</t>
  </si>
  <si>
    <t>Fleet Vehicle Sales: Alternative-Fuel Light Trucks: Propane Bi-fuel: Alternative Electricity and Transportation</t>
  </si>
  <si>
    <t>AEO.2026.ELECTRNP.ECI_SAL_ALF1_FLTR_PROP_NA_NA_TH.A</t>
  </si>
  <si>
    <t>Fleet Vehicle Sales: Alternative-Fuel Light Trucks: Propane ICE: Alternative Electricity and Transportation</t>
  </si>
  <si>
    <t>AEO.2026.ELECTRNP.ECI_SAL_ALF1_FLTR_NBF_NA_NA_TH.A</t>
  </si>
  <si>
    <t>Fleet Vehicle Sales: Alternative-Fuel Light Trucks: Natural Gas Bi-fuel: Alternative Electricity and Transportation</t>
  </si>
  <si>
    <t>AEO.2026.ELECTRNP.ECI_SAL_ALF1_FLTR_NGI_NA_NA_TH.A</t>
  </si>
  <si>
    <t>Fleet Vehicle Sales: Alternative-Fuel Light Trucks: Natural Gas ICE: Alternative Electricity and Transportation</t>
  </si>
  <si>
    <t>AEO.2026.ELECTRNP.ECI_SAL_ALF1_FLTR_EGH_NA_NA_TH.A</t>
  </si>
  <si>
    <t>Fleet Vehicle Sales: Alternative-Fuel Light Trucks: Electric-Gasoline Hybrid: Alternative Electricity and Transportation</t>
  </si>
  <si>
    <t>AEO.2026.ELECTRNP.ECI_SAL_ALF1_FLTR_PI50GH_NA_NA_TH.A</t>
  </si>
  <si>
    <t>Fleet Vehicle Sales: Alternative-Fuel Light Trucks: Plug-in 50 Gasoline Hybrid: Alternative Electricity and Transportation</t>
  </si>
  <si>
    <t>AEO.2026.ELECTRNP.ECI_SAL_ALF1_FLTR_PI20GH_NA_NA_TH.A</t>
  </si>
  <si>
    <t>Fleet Vehicle Sales: Alternative-Fuel Light Trucks: Plug-in 20 Gasoline Hybrid: Alternative Electricity and Transportation</t>
  </si>
  <si>
    <t>AEO.2026.ELECTRNP.ECI_SAL_ALF1_FLTR_300MIEV_NA_NA_TH.A</t>
  </si>
  <si>
    <t>Fleet Vehicle Sales: Alternative-Fuel Light Trucks: 300-Mile Electric Vehicle: Alternative Electricity and Transportation</t>
  </si>
  <si>
    <t>AEO.2026.ELECTRNP.ECI_SAL_ALF1_FLTR_200MIEV_NA_NA_TH.A</t>
  </si>
  <si>
    <t>Fleet Vehicle Sales: Alternative-Fuel Light Trucks: 200-Mile Electric Vehicle: Alternative Electricity and Transportation</t>
  </si>
  <si>
    <t>AEO.2026.ELECTRNP.ECI_SAL_ALF1_FLTR_100MIEV_NA_NA_TH.A</t>
  </si>
  <si>
    <t>Fleet Vehicle Sales: Alternative-Fuel Light Trucks: 100-Mile Electric Vehicle: Alternative Electricity and Transportation</t>
  </si>
  <si>
    <t>AEO.2026.ELECTRNP.ECI_SAL_ALF1_FLTR_EFFI_NA_NA_TH.A</t>
  </si>
  <si>
    <t>Fleet Vehicle Sales: Alternative-Fuel Light Trucks: Ethanol-Flex Fuel ICE: Alternative Electricity and Transportation</t>
  </si>
  <si>
    <t>AEO.2026.ELECTRNP.ECI_SAL_CNV_FLTR_NA_NA_NA_TH.A</t>
  </si>
  <si>
    <t>Fleet Vehicle Sales: Conventional Light Trucks: Total: Alternative Electricity and Transportation</t>
  </si>
  <si>
    <t>AEO.2026.ELECTRNP.ECI_SAL_CNV_FLTR_TDS_NA_NA_TH.A</t>
  </si>
  <si>
    <t>Fleet Vehicle Sales: Conventional Light Trucks: TDI Diesel: Alternative Electricity and Transportation</t>
  </si>
  <si>
    <t>AEO.2026.ELECTRNP.ECI_SAL_CNV_FLTR_GSL_NA_NA_TH.A</t>
  </si>
  <si>
    <t>Fleet Vehicle Sales: Conventional Light Trucks: Gasoline: Alternative Electricity and Transportation</t>
  </si>
  <si>
    <t>AEO.2026.ELECTRNP.ECI_SAL_NA_FLC_NA_NA_NA_TH.A</t>
  </si>
  <si>
    <t>Fleet Vehicle Sales: Total New Car: Alternative Electricity and Transportation</t>
  </si>
  <si>
    <t>AEO.2026.ELECTRNP.ECI_SAL_ALF1_FLC_NA_NA_NA_PCT.A</t>
  </si>
  <si>
    <t>Fleet Vehicle Sales: Percentage Alternative Car: Alternative Electricity and Transportation</t>
  </si>
  <si>
    <t>AEO.2026.ELECTRNP.ECI_SAL_ALF1_FLC_NA_NA_NA_TH.A</t>
  </si>
  <si>
    <t>Fleet Vehicle Sales: Alternative-Fuel Cars: Total: Alternative Electricity and Transportation</t>
  </si>
  <si>
    <t>AEO.2026.ELECTRNP.ECI_SAL_ALF1_FLC_FCH_NA_NA_TH.A</t>
  </si>
  <si>
    <t>Fleet Vehicle Sales: Alternative-Fuel cars: Fuel Cell Hydrogen: Alternative Electricity and Transportation</t>
  </si>
  <si>
    <t>AEO.2026.ELECTRNP.ECI_SAL_ALF1_FLC_PBF_NA_NA_TH.A</t>
  </si>
  <si>
    <t>Fleet Vehicle Sales: Alternative-Fuel Cars: Propane Bi-fuel: Alternative Electricity and Transportation</t>
  </si>
  <si>
    <t>AEO.2026.ELECTRNP.ECI_SAL_ALF1_FLC_PROP_NA_NA_TH.A</t>
  </si>
  <si>
    <t>Fleet Vehicle Sales: Alternative-Fuel Cars: Propane ICE: Alternative Electricity and Transportation</t>
  </si>
  <si>
    <t>AEO.2026.ELECTRNP.ECI_SAL_ALF1_FLC_NBF_NA_NA_TH.A</t>
  </si>
  <si>
    <t>Fleet Vehicle Sales: Alternative-Fuel Cars: Natural Gas Bi-fuel: Alternative Electricity and Transportation</t>
  </si>
  <si>
    <t>AEO.2026.ELECTRNP.ECI_SAL_ALF1_FLC_NGI_NA_NA_TH.A</t>
  </si>
  <si>
    <t>Fleet Vehicle Sales: Alternative-Fuel Cars: Natural Gas ICE: Alternative Electricity and Transportation</t>
  </si>
  <si>
    <t>AEO.2026.ELECTRNP.ECI_SAL_ALF1_FLC_EGH_NA_NA_TH.A</t>
  </si>
  <si>
    <t>Fleet Vehicle Sales: Alternative-Fuel Cars: Electric-Gasoline Hybrid: Alternative Electricity and Transportation</t>
  </si>
  <si>
    <t>AEO.2026.ELECTRNP.ECI_SAL_ALF1_FLC_PI50GH_NA_NA_TH.A</t>
  </si>
  <si>
    <t>Fleet Vehicle Sales: Alternative-Fuel Cars: Plug-in 50 Gasoline Hybrid: Alternative Electricity and Transportation</t>
  </si>
  <si>
    <t>AEO.2026.ELECTRNP.ECI_SAL_ALF1_FLC_PI20GH_NA_NA_TH.A</t>
  </si>
  <si>
    <t>Fleet Vehicle Sales: Alternative-Fuel Cars: Plug-in 20 Gasoline Hybrid: Alternative Electricity and Transportation</t>
  </si>
  <si>
    <t>AEO.2026.ELECTRNP.ECI_SAL_ALF1_FLC_300MIEV_NA_NA_TH.A</t>
  </si>
  <si>
    <t>Fleet Vehicle Sales: Alternative-Fuel Cars: 300-Mile Electric Vehicle: Alternative Electricity and Transportation</t>
  </si>
  <si>
    <t>AEO.2026.ELECTRNP.ECI_SAL_ALF1_FLC_200MIEV_NA_NA_TH.A</t>
  </si>
  <si>
    <t>Fleet Vehicle Sales: Alternative-Fuel Cars: 200-Mile Electric Vehicle: Alternative Electricity and Transportation</t>
  </si>
  <si>
    <t>AEO.2026.ELECTRNP.ECI_SAL_ALF1_FLC_100MIEV_NA_NA_TH.A</t>
  </si>
  <si>
    <t>Fleet Vehicle Sales: Alternative-Fuel Cars: 100-Mile Electric Vehicle: Alternative Electricity and Transportation</t>
  </si>
  <si>
    <t>AEO.2026.ELECTRNP.ECI_SAL_ALF1_FLC_EFFI_NA_NA_TH.A</t>
  </si>
  <si>
    <t>Fleet Vehicle Sales: Alternative-Fuel Cars: Ethanol-Flex Fuel ICE: Alternative Electricity and Transportation</t>
  </si>
  <si>
    <t>AEO.2026.ELECTRNP.ECI_SAL_CNV_FLC_NA_NA_NA_TH.A</t>
  </si>
  <si>
    <t>Fleet Vehicle Sales: Conventional Cars: Total: Alternative Electricity and Transportation</t>
  </si>
  <si>
    <t>AEO.2026.ELECTRNP.ECI_SAL_CNV_FLC_TDS_NA_NA_TH.A</t>
  </si>
  <si>
    <t>Fleet Vehicle Sales: Conventional Cars: TDI Diesel: Alternative Electricity and Transportation</t>
  </si>
  <si>
    <t>AEO.2026.ELECTRNP.ECI_SAL_CNV_FLC_GSL_NA_NA_TH.A</t>
  </si>
  <si>
    <t>Fleet Vehicle Sales: Conventional Cars: Gasoline: Alternative Electricity and Transportation</t>
  </si>
  <si>
    <t>Thu Apr 23 2026 15:04:49 GMT-0700 (Pacific Daylight Time)</t>
  </si>
  <si>
    <t>https://www.eia.gov/outlooks/aeo/data/browser/#/?id=54-AEO2026&amp;cases=electrnp&amp;sourcekey=0</t>
  </si>
  <si>
    <t>AEO.2026.ELECTRNP.CNSM_NA_TRN_INTS_LNG_NA_NA_TRLBTU.A</t>
  </si>
  <si>
    <t>Freight: International Shipping: Fuel Use: LNG: Alternative Electricity and Transportation</t>
  </si>
  <si>
    <t>AEO.2026.ELECTRNP.CNSM_NA_TRN_INTS_CNG_NA_NA_TRLBTU.A</t>
  </si>
  <si>
    <t>Freight: International Shipping: Fuel Use: CNG: Alternative Electricity and Transportation</t>
  </si>
  <si>
    <t>AEO.2026.ELECTRNP.CNSM_NA_TRN_INTS_RFO_NA_NA_TRLBTU.A</t>
  </si>
  <si>
    <t>Freight: International Shipping: Fuel Use: Residual Fuel Oil: Alternative Electricity and Transportation</t>
  </si>
  <si>
    <t>AEO.2026.ELECTRNP.CNSM_NA_TRN_INTS_DFO_NA_NA_TRLBTU.A</t>
  </si>
  <si>
    <t>Freight: International Shipping: Fuel Use: Distillate Fuel Oil: Alternative Electricity and Transportation</t>
  </si>
  <si>
    <t>AEO.2026.ELECTRNP.ECI_IMP_TRN_INTS_NA_NA_NA_BLNY09DLR.A</t>
  </si>
  <si>
    <t>Freight: International Shipping: Imports: Alternative Electricity and Transportation</t>
  </si>
  <si>
    <t>AEO.2026.ELECTRNP.ECI_EXPT_TRN_INTS_NA_NA_NA_BLNY09DLR.A</t>
  </si>
  <si>
    <t>Freight: International Shipping: Exports: Alternative Electricity and Transportation</t>
  </si>
  <si>
    <t>AEO.2026.ELECTRNP.ECI_UGHT_TRN_INTS_NA_NA_NA_BLNY09DLR.A</t>
  </si>
  <si>
    <t>Freight: International Shipping: Gross Trade: Alternative Electricity and Transportation</t>
  </si>
  <si>
    <t>AEO.2026.ELECTRNP.CNSM_NA_TRN_DMT_LNG_NA_NA_TRLBTU.A</t>
  </si>
  <si>
    <t>Freight: Domestic Shipping: Fuel Use: LNG: Alternative Electricity and Transportation</t>
  </si>
  <si>
    <t>AEO.2026.ELECTRNP.CNSM_NA_TRN_DMT_CNG_NA_NA_TRLBTU.A</t>
  </si>
  <si>
    <t>Freight: Domestic Shipping: Fuel Use: CNG: Alternative Electricity and Transportation</t>
  </si>
  <si>
    <t>AEO.2026.ELECTRNP.CNSM_NA_TRN_DMT_RFO_NA_NA_TRLBTU.A</t>
  </si>
  <si>
    <t>Freight: Domestic Shipping: Fuel Use: Residual Fuel Oil: Alternative Electricity and Transportation</t>
  </si>
  <si>
    <t>AEO.2026.ELECTRNP.CNSM_NA_TRN_DMT_DFO_NA_NA_TRLBTU.A</t>
  </si>
  <si>
    <t>Freight: Domestic Shipping: Fuel Use: Distillate Fuel Oil: Alternative Electricity and Transportation</t>
  </si>
  <si>
    <t>AEO.2026.ELECTRNP.EFI_NA_TRN_DMT_NA_NA_NA_TONMLPTHBTU.A</t>
  </si>
  <si>
    <t>Freight: Domestic Shipping: Fuel Efficiency: Alternative Electricity and Transportation</t>
  </si>
  <si>
    <t>AEO.2026.ELECTRNP.ECI_FTM_TRN_DMT_NA_NA_NA_BLN.A</t>
  </si>
  <si>
    <t>Freight: Domestic Shipping: Ton Miles Shipping: Alternative Electricity and Transportation</t>
  </si>
  <si>
    <t>AEO.2026.ELECTRNP.CNSM_NA_TRN_RAIL_LNG_NA_NA_TRLBTU.A</t>
  </si>
  <si>
    <t>Freight: Railroads: Fuel Use: LNG: Alternative Electricity and Transportation</t>
  </si>
  <si>
    <t>AEO.2026.ELECTRNP.CNSM_NA_TRN_RAIL_CNG_NA_NA_TRLBTU.A</t>
  </si>
  <si>
    <t>Freight: Railroads: Fuel Use: CNG: Alternative Electricity and Transportation</t>
  </si>
  <si>
    <t>AEO.2026.ELECTRNP.CNSM_NA_TRN_RAIL_RFO_NA_NA_TRLBTU.A</t>
  </si>
  <si>
    <t>Freight: Railroads: Fuel Use: Residual Fuel Oil: Alternative Electricity and Transportation</t>
  </si>
  <si>
    <t>AEO.2026.ELECTRNP.CNSM_NA_TRN_RAIL_DFO_NA_NA_TRLBTU.A</t>
  </si>
  <si>
    <t>Freight: Railroads: Fuel Use: Distillate Fuel Oil: Alternative Electricity and Transportation</t>
  </si>
  <si>
    <t>AEO.2026.ELECTRNP.EFI_NA_TRN_RAIL_NA_NA_NA_TONMLPTHBTU.A</t>
  </si>
  <si>
    <t>Freight: Railroads: Fuel Efficiency: Alternative Electricity and Transportation</t>
  </si>
  <si>
    <t>AEO.2026.ELECTRNP.ECI_FTM_TRN_RAIL_NA_NA_NA_BLN.A</t>
  </si>
  <si>
    <t>Freight: Railroads: Ton Miles by Rail: Alternative Electricity and Transportation</t>
  </si>
  <si>
    <t>AEO.2026.ELECTRNP.ECI_SAL_FGHT_NA_NA_NA_NA_TH.A</t>
  </si>
  <si>
    <t>Freight: New Trucks: Sales: Alternative Electricity and Transportation</t>
  </si>
  <si>
    <t>AEO.2026.ELECTRNP.ECI_SAL_FGHT_RAD_NA_NA_NA_TH.A</t>
  </si>
  <si>
    <t>Freight: New Trucks: Sales: Heavy: Alternative Electricity and Transportation</t>
  </si>
  <si>
    <t>AEO.2026.ELECTRNP.ECI_SAL_FGHT_RAD_HYDICE_NA_NA_MPGDSEQ.A</t>
  </si>
  <si>
    <t>Freight: New Trucks: Sales: Heavy: Hydrogen ICE: Alternative Electricity and Transportation</t>
  </si>
  <si>
    <t>AEO.2026.ELECTRNP.ECI_SAL_FGHT_RAD_GASHEV_NA_NA_MPGGASEQ.A</t>
  </si>
  <si>
    <t>Freight: New Trucks: Sales: Heavy: Gasoline Hybrid: Alternative Electricity and Transportation</t>
  </si>
  <si>
    <t>AEO.2026.ELECTRNP.ECI_SAL_FGHT_RAD_FEUCELBATDOM_NA_NA_MPGDSEQ.A</t>
  </si>
  <si>
    <t>Freight: New Trucks: Sales: Heavy: Fuel Cell Battery Dominant: Alternative Electricity and Transportation</t>
  </si>
  <si>
    <t>AEO.2026.ELECTRNP.ECI_SAL_FGHT_RAD_FUC_NA_NA_TH.A</t>
  </si>
  <si>
    <t>Freight: New Trucks: Sales: Heavy: Fuel Cell: Alternative Electricity and Transportation</t>
  </si>
  <si>
    <t>AEO.2026.ELECTRNP.ECI_SAL_FGHT_RAD_EGH_NA_NA_TH.A</t>
  </si>
  <si>
    <t>Freight: New Trucks: Sales: Heavy: Plug-in Gasoline Hybrid: Alternative Electricity and Transportation</t>
  </si>
  <si>
    <t>AEO.2026.ELECTRNP.ECI_SAL_FGHT_RAD_EDH_NA_NA_TH.A</t>
  </si>
  <si>
    <t>Freight: New Trucks: Sales: Heavy: Plug-in Diesel Hybrid: Alternative Electricity and Transportation</t>
  </si>
  <si>
    <t>AEO.2026.ELECTRNP.ECI_SAL_FGHT_RAD_ELE_NA_NA_TH.A</t>
  </si>
  <si>
    <t>Freight: New Trucks: Sales: Heavy: Electric: Alternative Electricity and Transportation</t>
  </si>
  <si>
    <t>AEO.2026.ELECTRNP.ECI_SAL_FGHT_RAD_EFFI_NA_NA_TH.A</t>
  </si>
  <si>
    <t>Freight: New Trucks: Sales: Heavy: Ethanol-Flex Fuel: Alternative Electricity and Transportation</t>
  </si>
  <si>
    <t>AEO.2026.ELECTRNP.ECI_SAL_FGHT_RAD_NG_NA_NA_TH.A</t>
  </si>
  <si>
    <t>Freight: New Trucks: Sales: Heavy: Natural Gas: Alternative Electricity and Transportation</t>
  </si>
  <si>
    <t>AEO.2026.ELECTRNP.ECI_SAL_FGHT_RAD_PROP_NA_NA_TH.A</t>
  </si>
  <si>
    <t>Freight: New Trucks: Sales: Heavy: Propane: Alternative Electricity and Transportation</t>
  </si>
  <si>
    <t>AEO.2026.ELECTRNP.ECI_SAL_FGHT_RAD_MGS_NA_NA_TH.A</t>
  </si>
  <si>
    <t>Freight: New Trucks: Sales: Heavy: Motor Gasoline: Alternative Electricity and Transportation</t>
  </si>
  <si>
    <t>AEO.2026.ELECTRNP.ECI_SAL_FGHT_RAD_DSL_NA_NA_TH.A</t>
  </si>
  <si>
    <t>Freight: New Trucks: Sales: Heavy: Diesel: Alternative Electricity and Transportation</t>
  </si>
  <si>
    <t>AEO.2026.ELECTRNP.ECI_SAL_FGHT_SOSO_NA_NA_NA_TH.A</t>
  </si>
  <si>
    <t>Freight: New Trucks: Sales: Medium: Alternative Electricity and Transportation</t>
  </si>
  <si>
    <t>AEO.2026.ELECTRNP.ECI_SAL_FGHT_SOSO_HYDICE_NA_NA_MPGDSEQ.A</t>
  </si>
  <si>
    <t>Freight: New Trucks: Sales: Medium: Hydrogen ICE: Alternative Electricity and Transportation</t>
  </si>
  <si>
    <t>AEO.2026.ELECTRNP.ECI_SAL_FGHT_SOSO_GASHEV_NA_NA_MPGGASEQ.A</t>
  </si>
  <si>
    <t>Freight: New Trucks: Sales: Medium: Gasoline Hybrid: Alternative Electricity and Transportation</t>
  </si>
  <si>
    <t>AEO.2026.ELECTRNP.ECI_SAL_FGHT_SOSO_FEUCELBATDOM_NA_NA_MPGDSEQ.A</t>
  </si>
  <si>
    <t>Freight: New Trucks: Sales: Medium: Fuel Cell Battery Dominant: Alternative Electricity and Transportation</t>
  </si>
  <si>
    <t>AEO.2026.ELECTRNP.ECI_SAL_FGHT_SOSO_FUC_NA_NA_TH.A</t>
  </si>
  <si>
    <t>Freight: New Trucks: Sales: Medium: Fuel Cell: Alternative Electricity and Transportation</t>
  </si>
  <si>
    <t>AEO.2026.ELECTRNP.ECI_SAL_FGHT_SOSO_EGH_NA_NA_TH.A</t>
  </si>
  <si>
    <t>Freight: New Trucks: Sales: Medium: Plug-in Gasoline Hybrid: Alternative Electricity and Transportation</t>
  </si>
  <si>
    <t>AEO.2026.ELECTRNP.ECI_SAL_FGHT_SOSO_EDH_NA_NA_TH.A</t>
  </si>
  <si>
    <t>Freight: New Trucks: Sales: Medium: Plug-in Diesel Hybrid: Alternative Electricity and Transportation</t>
  </si>
  <si>
    <t>AEO.2026.ELECTRNP.ECI_SAL_FGHT_SOSO_ELE_NA_NA_TH.A</t>
  </si>
  <si>
    <t>Freight: New Trucks: Sales: Medium: Electric: Alternative Electricity and Transportation</t>
  </si>
  <si>
    <t>AEO.2026.ELECTRNP.ECI_SAL_FGHT_SOSO_EFFI_NA_NA_TH.A</t>
  </si>
  <si>
    <t>Freight: New Trucks: Sales: Medium: Ethanol-Flex Fuel: Alternative Electricity and Transportation</t>
  </si>
  <si>
    <t>AEO.2026.ELECTRNP.ECI_SAL_FGHT_SOSO_NG_NA_NA_TH.A</t>
  </si>
  <si>
    <t>Freight: New Trucks: Sales: Medium: Natural Gas: Alternative Electricity and Transportation</t>
  </si>
  <si>
    <t>AEO.2026.ELECTRNP.ECI_SAL_FGHT_SOSO_PROP_NA_NA_TH.A</t>
  </si>
  <si>
    <t>Freight: New Trucks: Sales: Medium: Propane: Alternative Electricity and Transportation</t>
  </si>
  <si>
    <t>AEO.2026.ELECTRNP.ECI_SAL_FGHT_SOSO_MGS_NA_NA_TH.A</t>
  </si>
  <si>
    <t>Freight: New Trucks: Sales: Medium: Motor Gasoline: Alternative Electricity and Transportation</t>
  </si>
  <si>
    <t>AEO.2026.ELECTRNP.ECI_SAL_FGHT_SOSO_DSL_NA_NA_TH.A</t>
  </si>
  <si>
    <t>Freight: New Trucks: Sales: Medium: Diesel: Alternative Electricity and Transportation</t>
  </si>
  <si>
    <t>AEO.2026.ELECTRNP.ECI_SAL_FGHT_LITEMED_NA_NA_NA_TH.A</t>
  </si>
  <si>
    <t>Freight: New Trucks: Sales: Light Medium: Alternative Electricity and Transportation</t>
  </si>
  <si>
    <t>AEO.2026.ELECTRNP.ECI_SAL_FGHT_LITEMED_HYDICE_NA_NA_MPGDSEQ.A</t>
  </si>
  <si>
    <t>Freight: New Trucks: Sales: Light Medium: Hydrogen ICE: Alternative Electricity and Transportation</t>
  </si>
  <si>
    <t>AEO.2026.ELECTRNP.ECI_SAL_FGHT_LITEMED_GASHEV_NA_NA_MPGGASEQ.A</t>
  </si>
  <si>
    <t>Freight: New Trucks: Sales: Light Medium: Gasoline Hybrid: Alternative Electricity and Transportation</t>
  </si>
  <si>
    <t>AEO.2026.ELECTRNP.ECI_SAL_FGHT_LITEMED_FEUCELBATDOM_NA_NA_MPGDSEQ.A</t>
  </si>
  <si>
    <t>Freight: New Trucks: Sales: Light Medium: Fuel Cell Battery Dominant: Alternative Electricity and Transportation</t>
  </si>
  <si>
    <t>AEO.2026.ELECTRNP.ECI_SAL_FGHT_LITEMED_FUC_NA_NA_TH.A</t>
  </si>
  <si>
    <t>Freight: New Trucks: Sales: Light Medium: Fuel Cell: Alternative Electricity and Transportation</t>
  </si>
  <si>
    <t>AEO.2026.ELECTRNP.ECI_SAL_FGHT_LITEMED_EGH_NA_NA_TH.A</t>
  </si>
  <si>
    <t>Freight: New Trucks: Sales: Light Medium: Plug-in Gasoline Hybrid: Alternative Electricity and Transportation</t>
  </si>
  <si>
    <t>AEO.2026.ELECTRNP.ECI_SAL_FGHT_LITEMED_EDH_NA_NA_TH.A</t>
  </si>
  <si>
    <t>Freight: New Trucks: Sales: Light Medium: Plug-in Diesel Hybrid: Alternative Electricity and Transportation</t>
  </si>
  <si>
    <t>AEO.2026.ELECTRNP.ECI_SAL_FGHT_LITEMED_ELE_NA_NA_TH.A</t>
  </si>
  <si>
    <t>Freight: New Trucks: Sales: Light Medium: Electric: Alternative Electricity and Transportation</t>
  </si>
  <si>
    <t>AEO.2026.ELECTRNP.ECI_SAL_FGHT_LITEMED_EFFI_NA_NA_TH.A</t>
  </si>
  <si>
    <t>Freight: New Trucks: Sales: Light Medium: Ethanol-Flex Fuel: Alternative Electricity and Transportation</t>
  </si>
  <si>
    <t>AEO.2026.ELECTRNP.ECI_SAL_FGHT_LITEMED_NG_NA_NA_TH.A</t>
  </si>
  <si>
    <t>Freight: New Trucks: Sales: Light Medium: Natural Gas: Alternative Electricity and Transportation</t>
  </si>
  <si>
    <t>AEO.2026.ELECTRNP.ECI_SAL_FGHT_LITEMED_PROP_NA_NA_TH.A</t>
  </si>
  <si>
    <t>Freight: New Trucks: Sales: Light Medium: Propane: Alternative Electricity and Transportation</t>
  </si>
  <si>
    <t>AEO.2026.ELECTRNP.ECI_SAL_FGHT_LITEMED_MGS_NA_NA_TH.A</t>
  </si>
  <si>
    <t>Freight: New Trucks: Sales: Light Medium: Motor Gasoline: Alternative Electricity and Transportation</t>
  </si>
  <si>
    <t>AEO.2026.ELECTRNP.ECI_SAL_FGHT_LITEMED_DSL_NA_NA_TH.A</t>
  </si>
  <si>
    <t>Freight: New Trucks: Sales: Light Medium: Diesel: Alternative Electricity and Transportation</t>
  </si>
  <si>
    <t>AEO.2026.ELECTRNP.EFI_NA_FGHT_NEW_NA_NA_NA_NA.A</t>
  </si>
  <si>
    <t>Freight: New Trucks: Fuel Efficiency: Alternative Electricity and Transportation</t>
  </si>
  <si>
    <t>AEO.2026.ELECTRNP.EFI_NA_FGHT_RADN_NA_NA_NA_NA.A</t>
  </si>
  <si>
    <t>Freight: New Trucks: Fuel Efficiency: Heavy: Average: Alternative Electricity and Transportation</t>
  </si>
  <si>
    <t>AEO.2026.ELECTRNP.EFI_NA_FGHT_RADN_HYDICE_NA_NA_MPGDSEQ.A</t>
  </si>
  <si>
    <t>Freight: New Trucks: Fuel Efficiency: Heavy: Hydrogen ICE: Alternative Electricity and Transportation</t>
  </si>
  <si>
    <t>AEO.2026.ELECTRNP.EFI_NA_FGHT_RADN_GASHEV_NA_NA_MPGGASEQ.A</t>
  </si>
  <si>
    <t>Freight: New Trucks: Fuel Efficiency: Heavy: Gasoline Hybrid: Alternative Electricity and Transportation</t>
  </si>
  <si>
    <t>AEO.2026.ELECTRNP.EFI_NA_FGHT_RADN_FEUCELBATDOM_NA_NA_MPGDSEQ.A</t>
  </si>
  <si>
    <t>Freight: New Trucks: Fuel Efficiency: Heavy: Fuel Cell Battery Dominant: Alternative Electricity and Transportation</t>
  </si>
  <si>
    <t>AEO.2026.ELECTRNP.EFI_NA_FGHT_RADN_FUC_NA_NA_MPGDSEQ.A</t>
  </si>
  <si>
    <t>Freight: New Trucks: Fuel Efficiency: Heavy: Fuel Cell: Alternative Electricity and Transportation</t>
  </si>
  <si>
    <t>AEO.2026.ELECTRNP.EFI_NA_FGHT_RADN_EGH_NA_NA_MPGGASEQ.A</t>
  </si>
  <si>
    <t>Freight: New Trucks: Fuel Efficiency: Heavy: Plug-in Gasoline Hybrid: Alternative Electricity and Transportation</t>
  </si>
  <si>
    <t>AEO.2026.ELECTRNP.EFI_NA_FGHT_RADN_EDH_NA_NA_MPGDSEQ.A</t>
  </si>
  <si>
    <t>Freight: New Trucks: Fuel Efficiency: Heavy: Plug-in Diesel Hybrid: Alternative Electricity and Transportation</t>
  </si>
  <si>
    <t>AEO.2026.ELECTRNP.EFI_NA_FGHT_RADN_ELE_NA_NA_MPGDSEQ.A</t>
  </si>
  <si>
    <t>Freight: New Trucks: Fuel Efficiency: Heavy: Electric: Alternative Electricity and Transportation</t>
  </si>
  <si>
    <t>AEO.2026.ELECTRNP.EFI_NA_FGHT_RADN_EFFI_NA_NA_MPGGASEQ.A</t>
  </si>
  <si>
    <t>Freight: New Trucks: Fuel Efficiency: Heavy: Ethanol-Flex Fuel: Alternative Electricity and Transportation</t>
  </si>
  <si>
    <t>AEO.2026.ELECTRNP.EFI_NA_FGHT_RADN_NG_NA_NA_MPGDSEQ.A</t>
  </si>
  <si>
    <t>Freight: New Trucks: Fuel Efficiency: Heavy: Natural Gas: Alternative Electricity and Transportation</t>
  </si>
  <si>
    <t>AEO.2026.ELECTRNP.EFI_NA_FGHT_RADN_PROP_NA_NA_MPGGASEQ.A</t>
  </si>
  <si>
    <t>Freight: New Trucks: Fuel Efficiency: Heavy: Propane: Alternative Electricity and Transportation</t>
  </si>
  <si>
    <t>AEO.2026.ELECTRNP.EFI_NA_FGHT_RADN_MGS_NA_NA_MPGGASEQ.A</t>
  </si>
  <si>
    <t>Freight: New Trucks: Fuel Efficiency: Heavy: Motor Gasoline: Alternative Electricity and Transportation</t>
  </si>
  <si>
    <t>AEO.2026.ELECTRNP.EFI_NA_FGHT_RADN_DSL_NA_NA_MPGDSEQ.A</t>
  </si>
  <si>
    <t>Freight: New Trucks: Fuel Efficiency: Heavy: Diesel: Alternative Electricity and Transportation</t>
  </si>
  <si>
    <t>AEO.2026.ELECTRNP.EFI_NA_FGHT_SOSON_NA_NA_NA_NA.A</t>
  </si>
  <si>
    <t>Freight: New Trucks: Fuel Efficiency: Medium: Average: Alternative Electricity and Transportation</t>
  </si>
  <si>
    <t>AEO.2026.ELECTRNP.EFI_NA_FGHT_SOSON_HYDICE_NA_NA_MPGDSEQ.A</t>
  </si>
  <si>
    <t>Freight: New Trucks: Fuel Efficiency: Medium: Hydrogen ICE: Alternative Electricity and Transportation</t>
  </si>
  <si>
    <t>AEO.2026.ELECTRNP.EFI_NA_FGHT_SOSON_GASHEV_NA_NA_MPGGASEQ.A</t>
  </si>
  <si>
    <t>Freight: New Trucks: Fuel Efficiency: Medium: Gasoline Hybrid: Alternative Electricity and Transportation</t>
  </si>
  <si>
    <t>AEO.2026.ELECTRNP.EFI_NA_FGHT_SOSON_FEUCELBATDOM_NA_NA_MPGDSEQ.A</t>
  </si>
  <si>
    <t>Freight: New Trucks: Fuel Efficiency: Medium: Fuel Cell Battery Dominant: Alternative Electricity and Transportation</t>
  </si>
  <si>
    <t>AEO.2026.ELECTRNP.EFI_NA_FGHT_SOSON_FUC_NA_NA_MPGGASEQ.A</t>
  </si>
  <si>
    <t>Freight: New Trucks: Fuel Efficiency: Medium: Fuel Cell: Alternative Electricity and Transportation</t>
  </si>
  <si>
    <t>AEO.2026.ELECTRNP.EFI_NA_FGHT_SOSON_EGH_NA_NA_MPGGASEQ.A</t>
  </si>
  <si>
    <t>Freight: New Trucks: Fuel Efficiency: Medium: Plug-in Gasoline Hybrid: Alternative Electricity and Transportation</t>
  </si>
  <si>
    <t>AEO.2026.ELECTRNP.EFI_NA_FGHT_SOSON_EDH_NA_NA_MPGGASEQ.A</t>
  </si>
  <si>
    <t>Freight: New Trucks: Fuel Efficiency: Medium: Plug-in Diesel Hybrid: Alternative Electricity and Transportation</t>
  </si>
  <si>
    <t>AEO.2026.ELECTRNP.EFI_NA_FGHT_SOSON_ELE_NA_NA_MPGGASEQ.A</t>
  </si>
  <si>
    <t>Freight: New Trucks: Fuel Efficiency: Medium: Electric: Alternative Electricity and Transportation</t>
  </si>
  <si>
    <t>AEO.2026.ELECTRNP.EFI_NA_FGHT_SOSON_EFFI_NA_NA_MPG.A</t>
  </si>
  <si>
    <t>Freight: New Trucks: Fuel Efficiency: Medium: Ethanol-Flex Fuel: Alternative Electricity and Transportation</t>
  </si>
  <si>
    <t>AEO.2026.ELECTRNP.EFI_NA_FGHT_SOSON_NG_NA_NA_MPGGASEQ.A</t>
  </si>
  <si>
    <t>Freight: New Trucks: Fuel Efficiency: Medium: Natural Gas: Alternative Electricity and Transportation</t>
  </si>
  <si>
    <t>AEO.2026.ELECTRNP.EFI_NA_FGHT_SOSON_PROP_NA_NA_MPGGASEQ.A</t>
  </si>
  <si>
    <t>Freight: New Trucks: Fuel Efficiency: Medium: Propane: Alternative Electricity and Transportation</t>
  </si>
  <si>
    <t>AEO.2026.ELECTRNP.EFI_NA_FGHT_SOSON_MGS_NA_NA_MPGGASEQ.A</t>
  </si>
  <si>
    <t>Freight: New Trucks: Fuel Efficiency: Medium: Motor Gasoline: Alternative Electricity and Transportation</t>
  </si>
  <si>
    <t>AEO.2026.ELECTRNP.EFI_NA_FGHT_SOSON_DSL_NA_NA_MPGDSEQ.A</t>
  </si>
  <si>
    <t>Freight: New Trucks: Fuel Efficiency: Medium: Diesel: Alternative Electricity and Transportation</t>
  </si>
  <si>
    <t>AEO.2026.ELECTRNP.EFI_NA_FGHT_LITEMEDN_NA_NA_NA_NA.A</t>
  </si>
  <si>
    <t>Freight: New Trucks: Fuel Efficiency: Light Medium: Average: Alternative Electricity and Transportation</t>
  </si>
  <si>
    <t>AEO.2026.ELECTRNP.EFI_NA_FGHT_LITEMEDN_HYDICE_NA_NA_MPGDSEQ.A</t>
  </si>
  <si>
    <t>Freight: New Trucks: Fuel Efficiency: Light Medium: Hydrogen ICE: Alternative Electricity and Transportation</t>
  </si>
  <si>
    <t>AEO.2026.ELECTRNP.EFI_NA_FGHT_LITEMEDN_GASHEV_NA_NA_MPGGASEQ.A</t>
  </si>
  <si>
    <t>Freight: New Trucks: Fuel Efficiency: Light Medium: Gasoline Hybrid: Alternative Electricity and Transportation</t>
  </si>
  <si>
    <t>AEO.2026.ELECTRNP.EFI_NA_FGHT_LITEMEDN_FEUCELBATDOM_NA_NA_MPGDSEQ.A</t>
  </si>
  <si>
    <t>Freight: New Trucks: Fuel Efficiency: Light Medium: Fuel Cell Battery Dominant: Alternative Electricity and Transportation</t>
  </si>
  <si>
    <t>AEO.2026.ELECTRNP.EFI_NA_FGHT_LITEMEDN_FUC_NA_NA_MPGDSEQ.A</t>
  </si>
  <si>
    <t>Freight: New Trucks: Fuel Efficiency: Light Medium: Fuel Cell: Alternative Electricity and Transportation</t>
  </si>
  <si>
    <t>AEO.2026.ELECTRNP.EFI_NA_FGHT_LITEMEDN_EGH_NA_NA_MPGGASEQ.A</t>
  </si>
  <si>
    <t>Freight: New Trucks: Fuel Efficiency: Light Medium: Plug-in Gasoline Hybrid: Alternative Electricity and Transportation</t>
  </si>
  <si>
    <t>AEO.2026.ELECTRNP.EFI_NA_FGHT_LITEMEDN_EDH_NA_NA_MPGDSEQ.A</t>
  </si>
  <si>
    <t>Freight: New Trucks: Fuel Efficiency: Light Medium: Plug-in Diesel Hybrid: Alternative Electricity and Transportation</t>
  </si>
  <si>
    <t>AEO.2026.ELECTRNP.EFI_NA_FGHT_LITEMEDN_ELE_NA_NA_MPGDSEQ.A</t>
  </si>
  <si>
    <t>Freight: New Trucks: Fuel Efficiency: Light Medium: Electric: Alternative Electricity and Transportation</t>
  </si>
  <si>
    <t>AEO.2026.ELECTRNP.EFI_NA_FGHT_LITEMEDN_EFFI_NA_NA_MPGGASEQ.A</t>
  </si>
  <si>
    <t>Freight: New Trucks: Fuel Efficiency: Light Medium: Ethanol-Flex Fuel: Alternative Electricity and Transportation</t>
  </si>
  <si>
    <t>AEO.2026.ELECTRNP.EFI_NA_FGHT_LITEMEDN_NG_NA_NA_MPGGASEQ.A</t>
  </si>
  <si>
    <t>Freight: New Trucks: Fuel Efficiency: Light Medium: Natural Gas: Alternative Electricity and Transportation</t>
  </si>
  <si>
    <t>AEO.2026.ELECTRNP.EFI_NA_FGHT_LITEMEDN_PROP_NA_NA_MPGGASEQ.A</t>
  </si>
  <si>
    <t>Freight: New Trucks: Fuel Efficiency: Light Medium: Propane: Alternative Electricity and Transportation</t>
  </si>
  <si>
    <t>AEO.2026.ELECTRNP.EFI_NA_FGHT_LITEMEDN_MGS_NA_NA_MPGGASEQ.A</t>
  </si>
  <si>
    <t>Freight: New Trucks: Fuel Efficiency: Light Medium: Motor Gasoline: Alternative Electricity and Transportation</t>
  </si>
  <si>
    <t>AEO.2026.ELECTRNP.EFI_NA_FGHT_LITEMEDN_DSL_NA_NA_MPGDSEQ.A</t>
  </si>
  <si>
    <t>Freight: New Trucks: Fuel Efficiency: Light Medium: Diesel: Alternative Electricity and Transportation</t>
  </si>
  <si>
    <t>AEO.2026.ELECTRNP.ECI_STK_FGHT_STK_NA_NA_NA_MILL.A</t>
  </si>
  <si>
    <t>Freight: Truck Stock: Alternative Electricity and Transportation</t>
  </si>
  <si>
    <t>AEO.2026.ELECTRNP.ECI_STK_FGHT_RADS_NA_NA_NA_MILL.A</t>
  </si>
  <si>
    <t>Freight: Truck Stock: Heavy: Alternative Electricity and Transportation</t>
  </si>
  <si>
    <t>AEO.2026.ELECTRNP.ECI_STK_FGHT_RADS_HYDICE_NA_NA_MILL.A</t>
  </si>
  <si>
    <t>Freight: Truck Stock: Heavy: Hydrogen ICE: Alternative Electricity and Transportation</t>
  </si>
  <si>
    <t>AEO.2026.ELECTRNP.ECI_STK_FGHT_RADS_GASHEV_NA_NA_MILL.A</t>
  </si>
  <si>
    <t>Freight: Truck Stock: Heavy: Gasoline Hybrid: Alternative Electricity and Transportation</t>
  </si>
  <si>
    <t>AEO.2026.ELECTRNP.ECI_STK_FGHT_RADS_FEUCELBATDOM_NA_NA_MILL.A</t>
  </si>
  <si>
    <t>Freight: Truck Stock: Heavy: Fuel Cell Battery Dominant: Alternative Electricity and Transportation</t>
  </si>
  <si>
    <t>AEO.2026.ELECTRNP.ECI_STK_FGHT_RADS_FUC_NA_NA_MILL.A</t>
  </si>
  <si>
    <t>Freight: Truck Stock: Heavy: Fuel Cell: Alternative Electricity and Transportation</t>
  </si>
  <si>
    <t>AEO.2026.ELECTRNP.ECI_STK_FGHT_RADS_EGH_NA_NA_MILL.A</t>
  </si>
  <si>
    <t>Freight: Truck Stock: Heavy: Plug-in Gasoline Hybrid: Alternative Electricity and Transportation</t>
  </si>
  <si>
    <t>AEO.2026.ELECTRNP.ECI_STK_FGHT_RADS_EDH_NA_NA_MILL.A</t>
  </si>
  <si>
    <t>Freight: Truck Stock: Heavy: Plug-in Diesel Hybrid: Alternative Electricity and Transportation</t>
  </si>
  <si>
    <t>AEO.2026.ELECTRNP.ECI_STK_FGHT_RADS_ELE_NA_NA_MILL.A</t>
  </si>
  <si>
    <t>Freight: Truck Stock: Heavy: Electric: Alternative Electricity and Transportation</t>
  </si>
  <si>
    <t>AEO.2026.ELECTRNP.ECI_STK_FGHT_RADS_EFFI_NA_NA_MILL.A</t>
  </si>
  <si>
    <t>Freight: Truck Stock: Heavy: Ethanol-Flex Fuel: Alternative Electricity and Transportation</t>
  </si>
  <si>
    <t>AEO.2026.ELECTRNP.ECI_STK_FGHT_RADS_NG_NA_NA_MILL.A</t>
  </si>
  <si>
    <t>Freight: Truck Stock: Heavy: Natural Gas: Alternative Electricity and Transportation</t>
  </si>
  <si>
    <t>AEO.2026.ELECTRNP.ECI_STK_FGHT_RADS_PROP_NA_NA_MILL.A</t>
  </si>
  <si>
    <t>Freight: Truck Stock: Heavy: Propane: Alternative Electricity and Transportation</t>
  </si>
  <si>
    <t>AEO.2026.ELECTRNP.ECI_STK_FGHT_RADS_MGS_NA_NA_MILL.A</t>
  </si>
  <si>
    <t>Freight: Truck Stock: Heavy: Motor Gasoline: Alternative Electricity and Transportation</t>
  </si>
  <si>
    <t>AEO.2026.ELECTRNP.ECI_STK_FGHT_RADS_DSL_NA_NA_MILL.A</t>
  </si>
  <si>
    <t>Freight: Truck Stock: Heavy: Diesel: Alternative Electricity and Transportation</t>
  </si>
  <si>
    <t>AEO.2026.ELECTRNP.ECI_STK_FGHT_SOSOS_NA_NA_NA_MILL.A</t>
  </si>
  <si>
    <t>Freight: Truck Stock: Medium: Alternative Electricity and Transportation</t>
  </si>
  <si>
    <t>AEO.2026.ELECTRNP.ECI_STK_FGHT_SOSOS_HYDICE_NA_NA_MILL.A</t>
  </si>
  <si>
    <t>Freight: Truck Stock: Medium: Hydrogen ICE: Alternative Electricity and Transportation</t>
  </si>
  <si>
    <t>AEO.2026.ELECTRNP.ECI_STK_FGHT_SOSOS_GASHEV_NA_NA_MILL.A</t>
  </si>
  <si>
    <t>Freight: Truck Stock: Medium: Gasoline Hybrid: Alternative Electricity and Transportation</t>
  </si>
  <si>
    <t>AEO.2026.ELECTRNP.ECI_STK_FGHT_SOSOS_FEUCELBATDOM_NA_NA_MILL.A</t>
  </si>
  <si>
    <t>Freight: Truck Stock: Medium: Fuel Cell Battery Dominant: Alternative Electricity and Transportation</t>
  </si>
  <si>
    <t>AEO.2026.ELECTRNP.ECI_STK_FGHT_SOSOS_FUC_NA_NA_MILL.A</t>
  </si>
  <si>
    <t>Freight: Truck Stock: Medium: Fuel Cell: Alternative Electricity and Transportation</t>
  </si>
  <si>
    <t>AEO.2026.ELECTRNP.ECI_STK_FGHT_SOSOS_EGH_NA_NA_MILL.A</t>
  </si>
  <si>
    <t>Freight: Truck Stock: Medium: Plug-in Gasoline Hybrid: Alternative Electricity and Transportation</t>
  </si>
  <si>
    <t>AEO.2026.ELECTRNP.ECI_STK_FGHT_SOSOS_EDH_NA_NA_MILL.A</t>
  </si>
  <si>
    <t>Freight: Truck Stock: Medium: Plug-in Diesel Hybrid: Alternative Electricity and Transportation</t>
  </si>
  <si>
    <t>AEO.2026.ELECTRNP.ECI_STK_FGHT_SOSOS_ELE_NA_NA_MILL.A</t>
  </si>
  <si>
    <t>Freight: Truck Stock: Medium: Electric: Alternative Electricity and Transportation</t>
  </si>
  <si>
    <t>AEO.2026.ELECTRNP.ECI_STK_FGHT_SOSOS_EFFI_NA_NA_MILL.A</t>
  </si>
  <si>
    <t>Freight: Truck Stock: Medium: Ethanol-Flex Fuel: Alternative Electricity and Transportation</t>
  </si>
  <si>
    <t>AEO.2026.ELECTRNP.ECI_STK_FGHT_SOSOS_NG_NA_NA_MILL.A</t>
  </si>
  <si>
    <t>Freight: Truck Stock: Medium: Natural Gas: Alternative Electricity and Transportation</t>
  </si>
  <si>
    <t>AEO.2026.ELECTRNP.ECI_STK_FGHT_SOSOS_PROP_NA_NA_MILL.A</t>
  </si>
  <si>
    <t>Freight: Truck Stock: Medium: Propane: Alternative Electricity and Transportation</t>
  </si>
  <si>
    <t>AEO.2026.ELECTRNP.ECI_STK_FGHT_SOSOS_MGS_NA_NA_MILL.A</t>
  </si>
  <si>
    <t>Freight: Truck Stock: Medium: Motor Gasoline: Alternative Electricity and Transportation</t>
  </si>
  <si>
    <t>AEO.2026.ELECTRNP.ECI_STK_FGHT_SOSOS_DSL_NA_NA_MILL.A</t>
  </si>
  <si>
    <t>Freight: Truck Stock: Medium: Diesel: Alternative Electricity and Transportation</t>
  </si>
  <si>
    <t>AEO.2026.ELECTRNP.ECI_STK_FGHT_LITEMEDS_NA_NA_NA_MILL.A</t>
  </si>
  <si>
    <t>Freight: Truck Stock: Light Medium: Alternative Electricity and Transportation</t>
  </si>
  <si>
    <t>AEO.2026.ELECTRNP.ECI_STK_FGHT_LITEMEDS_HYDICE_NA_NA_MILL.A</t>
  </si>
  <si>
    <t>Freight: Truck Stock: Light Medium: Hydrogen ICE: Alternative Electricity and Transportation</t>
  </si>
  <si>
    <t>AEO.2026.ELECTRNP.ECI_STK_FGHT_LITEMEDS_GASHEV_NA_NA_MILL.A</t>
  </si>
  <si>
    <t>Freight: Truck Stock: Light Medium: Gasoline Hybrid: Alternative Electricity and Transportation</t>
  </si>
  <si>
    <t>AEO.2026.ELECTRNP.ECI_STK_FGHT_LITEMEDS_FEUCELBATDOM_NA_NA_MILL.A</t>
  </si>
  <si>
    <t>Freight: Truck Stock: Light Medium: Fuel Cell Battery Dominant: Alternative Electricity and Transportation</t>
  </si>
  <si>
    <t>AEO.2026.ELECTRNP.ECI_STK_FGHT_LITEMEDS_FUC_NA_NA_MILL.A</t>
  </si>
  <si>
    <t>Freight: Truck Stock: Light Medium: Fuel Cell: Alternative Electricity and Transportation</t>
  </si>
  <si>
    <t>AEO.2026.ELECTRNP.ECI_STK_FGHT_LITEMEDS_EGH_NA_NA_MILL.A</t>
  </si>
  <si>
    <t>Freight: Truck Stock: Light Medium: Plug-in Gasoline Hybrid: Alternative Electricity and Transportation</t>
  </si>
  <si>
    <t>AEO.2026.ELECTRNP.ECI_STK_FGHT_LITEMEDS_EDH_NA_NA_MILL.A</t>
  </si>
  <si>
    <t>Freight: Truck Stock: Light Medium: Plug-in Diesel Hybrid: Alternative Electricity and Transportation</t>
  </si>
  <si>
    <t>AEO.2026.ELECTRNP.ECI_STK_FGHT_LITEMEDS_ELE_NA_NA_MILL.A</t>
  </si>
  <si>
    <t>Freight: Truck Stock: Light Medium: Electric: Alternative Electricity and Transportation</t>
  </si>
  <si>
    <t>AEO.2026.ELECTRNP.ECI_STK_FGHT_LITEMEDS_EFFI_NA_NA_MILL.A</t>
  </si>
  <si>
    <t>Freight: Truck Stock: Light Medium: Ethanol-Flex Fuel: Alternative Electricity and Transportation</t>
  </si>
  <si>
    <t>AEO.2026.ELECTRNP.ECI_STK_FGHT_LITEMEDS_NG_NA_NA_MILL.A</t>
  </si>
  <si>
    <t>Freight: Truck Stock: Light Medium: Natural Gas: Alternative Electricity and Transportation</t>
  </si>
  <si>
    <t>AEO.2026.ELECTRNP.ECI_STK_FGHT_LITEMEDS_PROP_NA_NA_MILL.A</t>
  </si>
  <si>
    <t>Freight: Truck Stock: Light Medium: Propane: Alternative Electricity and Transportation</t>
  </si>
  <si>
    <t>AEO.2026.ELECTRNP.ECI_STK_FGHT_LITEMEDS_MGS_NA_NA_MILL.A</t>
  </si>
  <si>
    <t>Freight: Truck Stock: Light Medium: Motor Gasoline: Alternative Electricity and Transportation</t>
  </si>
  <si>
    <t>AEO.2026.ELECTRNP.ECI_STK_FGHT_LITEMEDS_DSL_NA_NA_MILL.A</t>
  </si>
  <si>
    <t>Freight: Truck Stock: Light Medium: Diesel: Alternative Electricity and Transportation</t>
  </si>
  <si>
    <t>AEO.2026.ELECTRNP.EFI_NA_FGHT_STK_NA_NA_NA_NA.A</t>
  </si>
  <si>
    <t>Freight: Truck Stock: Fuel Efficiency: Alternative Electricity and Transportation</t>
  </si>
  <si>
    <t>AEO.2026.ELECTRNP.EFI_NA_FGHT_RADS_NA_NA_NA_NA.A</t>
  </si>
  <si>
    <t>Freight: Truck Stock: Fuel Efficiency: Heavy: Average: Alternative Electricity and Transportation</t>
  </si>
  <si>
    <t>AEO.2026.ELECTRNP.EFI_NA_FGHT_RADS_HYDICE_NA_NA_MPGDSEQ.A</t>
  </si>
  <si>
    <t>Freight: Truck Stock: Fuel Efficiency: Heavy: Hydrogen ICE: Alternative Electricity and Transportation</t>
  </si>
  <si>
    <t>AEO.2026.ELECTRNP.EFI_NA_FGHT_RADS_GASHEV_NA_NA_MPGGASEQ.A</t>
  </si>
  <si>
    <t>Freight: Truck Stock: Fuel Efficiency: Heavy: Gasoline Hybrid: Alternative Electricity and Transportation</t>
  </si>
  <si>
    <t>AEO.2026.ELECTRNP.EFI_NA_FGHT_RADS_FEUCELBATDOM_NA_NA_MPGDSEQ.A</t>
  </si>
  <si>
    <t>Freight: Truck Stock: Fuel Efficiency: Heavy: Fuel Cell Battery Dominant: Alternative Electricity and Transportation</t>
  </si>
  <si>
    <t>AEO.2026.ELECTRNP.EFI_NA_FGHT_RADS_FUC_NA_NA_MPGDSEQ.A</t>
  </si>
  <si>
    <t>Freight: Truck Stock: Fuel Efficiency: Heavy: Fuel Cell: Alternative Electricity and Transportation</t>
  </si>
  <si>
    <t>AEO.2026.ELECTRNP.EFI_NA_FGHT_RADS_EGH_NA_NA_MPGGASEQ.A</t>
  </si>
  <si>
    <t>Freight: Truck Stock: Fuel Efficiency: Heavy: Plug-in Gasoline Hybrid: Alternative Electricity and Transportation</t>
  </si>
  <si>
    <t>AEO.2026.ELECTRNP.EFI_NA_FGHT_RADS_EDH_NA_NA_MPGDSEQ.A</t>
  </si>
  <si>
    <t>Freight: Truck Stock: Fuel Efficiency: Heavy: Plug-in Diesel Hybrid: Alternative Electricity and Transportation</t>
  </si>
  <si>
    <t>AEO.2026.ELECTRNP.EFI_NA_FGHT_RADS_ELE_NA_NA_MPGDSEQ.A</t>
  </si>
  <si>
    <t>Freight: Truck Stock: Fuel Efficiency: Heavy: Electric: Alternative Electricity and Transportation</t>
  </si>
  <si>
    <t>AEO.2026.ELECTRNP.EFI_NA_FGHT_RADS_EFFI_NA_NA_MPGGASEQ.A</t>
  </si>
  <si>
    <t>Freight: Truck Stock: Fuel Efficiency: Heavy: Ethanol-Flex Fuel: Alternative Electricity and Transportation</t>
  </si>
  <si>
    <t>AEO.2026.ELECTRNP.EFI_NA_FGHT_RADS_NG_NA_NA_MPGDSEQ.A</t>
  </si>
  <si>
    <t>Freight: Truck Stock: Fuel Efficiency: Heavy: Natural Gas: Alternative Electricity and Transportation</t>
  </si>
  <si>
    <t>AEO.2026.ELECTRNP.EFI_NA_FGHT_RADS_PROP_NA_NA_MPGGASEQ.A</t>
  </si>
  <si>
    <t>Freight: Truck Stock: Fuel Efficiency: Heavy: Propane: Alternative Electricity and Transportation</t>
  </si>
  <si>
    <t>AEO.2026.ELECTRNP.EFI_NA_FGHT_RADS_MGS_NA_NA_MPGGASEQ.A</t>
  </si>
  <si>
    <t>Freight: Truck Stock: Fuel Efficiency: Heavy: Motor Gasoline: Alternative Electricity and Transportation</t>
  </si>
  <si>
    <t>AEO.2026.ELECTRNP.EFI_NA_FGHT_RADS_DSL_NA_NA_MPGDSEQ.A</t>
  </si>
  <si>
    <t>Freight: Truck Stock: Fuel Efficiency: Heavy: Diesel: Alternative Electricity and Transportation</t>
  </si>
  <si>
    <t>AEO.2026.ELECTRNP.EFI_NA_FGHT_SOSOS_NA_NA_NA_NA.A</t>
  </si>
  <si>
    <t>Freight: Truck Stock: Fuel Efficiency: Medium: Average: Alternative Electricity and Transportation</t>
  </si>
  <si>
    <t>AEO.2026.ELECTRNP.EFI_NA_FGHT_SOSOS_HYDICE_NA_NA_MPGDSEQ.A</t>
  </si>
  <si>
    <t>Freight: Truck Stock: Fuel Efficiency: Medium: Hydrogen ICE: Alternative Electricity and Transportation</t>
  </si>
  <si>
    <t>AEO.2026.ELECTRNP.EFI_NA_FGHT_SOSOS_GASHEV_NA_NA_MPGGASEQ.A</t>
  </si>
  <si>
    <t>Freight: Truck Stock: Fuel Efficiency: Medium: Gasoline Hybrid: Alternative Electricity and Transportation</t>
  </si>
  <si>
    <t>AEO.2026.ELECTRNP.EFI_NA_FGHT_SOSOS_FEUCELBATDOM_NA_NA_MPGDSEQ.A</t>
  </si>
  <si>
    <t>Freight: Truck Stock: Fuel Efficiency: Medium: Fuel Cell Battery Dominant: Alternative Electricity and Transportation</t>
  </si>
  <si>
    <t>AEO.2026.ELECTRNP.EFI_NA_FGHT_SOSOS_FUC_NA_NA_MPGGASEQ.A</t>
  </si>
  <si>
    <t>Freight: Truck Stock: Fuel Efficiency: Medium: Fuel Cell: Alternative Electricity and Transportation</t>
  </si>
  <si>
    <t>AEO.2026.ELECTRNP.EFI_NA_FGHT_SOSOS_EGH_NA_NA_MPGGASEQ.A</t>
  </si>
  <si>
    <t>Freight: Truck Stock: Fuel Efficiency: Medium: Plug-in Gasoline Hybrid: Alternative Electricity and Transportation</t>
  </si>
  <si>
    <t>AEO.2026.ELECTRNP.EFI_NA_FGHT_SOSOS_EDH_NA_NA_MPGGASEQ.A</t>
  </si>
  <si>
    <t>Freight: Truck Stock: Fuel Efficiency: Medium: Plug-in Diesel Hybrid: Alternative Electricity and Transportation</t>
  </si>
  <si>
    <t>AEO.2026.ELECTRNP.EFI_NA_FGHT_SOSOS_ELE_NA_NA_MPGGASEQ.A</t>
  </si>
  <si>
    <t>Freight: Truck Stock: Fuel Efficiency: Medium: Electric: Alternative Electricity and Transportation</t>
  </si>
  <si>
    <t>AEO.2026.ELECTRNP.EFI_NA_FGHT_SOSOS_EFFI_NA_NA_MPG.A</t>
  </si>
  <si>
    <t>Freight: Truck Stock: Fuel Efficiency: Medium: Ethanol-Flex Fuel: Alternative Electricity and Transportation</t>
  </si>
  <si>
    <t>AEO.2026.ELECTRNP.EFI_NA_FGHT_SOSOS_NG_NA_NA_MPGGASEQ.A</t>
  </si>
  <si>
    <t>Freight: Truck Stock: Fuel Efficiency: Medium: Natural Gas: Alternative Electricity and Transportation</t>
  </si>
  <si>
    <t>AEO.2026.ELECTRNP.EFI_NA_FGHT_SOSOS_PROP_NA_NA_MPGGASEQ.A</t>
  </si>
  <si>
    <t>Freight: Truck Stock: Fuel Efficiency: Medium: Propane: Alternative Electricity and Transportation</t>
  </si>
  <si>
    <t>AEO.2026.ELECTRNP.EFI_NA_FGHT_SOSOS_MGS_NA_NA_MPGGASEQ.A</t>
  </si>
  <si>
    <t>Freight: Truck Stock: Fuel Efficiency: Medium: Motor Gasoline: Alternative Electricity and Transportation</t>
  </si>
  <si>
    <t>AEO.2026.ELECTRNP.EFI_NA_FGHT_SOSOS_DSL_NA_NA_MPGDSEQ.A</t>
  </si>
  <si>
    <t>Freight: Truck Stock: Fuel Efficiency: Medium: Diesel: Alternative Electricity and Transportation</t>
  </si>
  <si>
    <t>AEO.2026.ELECTRNP.EFI_NA_FGHT_LITEMEDS_NA_NA_NA_NA.A</t>
  </si>
  <si>
    <t>Freight: Truck Stock: Fuel Efficiency: Light Medium: Average: Alternative Electricity and Transportation</t>
  </si>
  <si>
    <t>AEO.2026.ELECTRNP.EFI_NA_FGHT_LITEMEDS_HYDICE_NA_NA_MPGDSEQ.A</t>
  </si>
  <si>
    <t>Freight: Truck Stock: Fuel Efficiency: Light Medium: Hydrogen ICE: Alternative Electricity and Transportation</t>
  </si>
  <si>
    <t>AEO.2026.ELECTRNP.EFI_NA_FGHT_LITEMEDS_GASHEV_NA_NA_MPGGASEQ.A</t>
  </si>
  <si>
    <t>Freight: Truck Stock: Fuel Efficiency: Light Medium: Gasoline Hybrid: Alternative Electricity and Transportation</t>
  </si>
  <si>
    <t>AEO.2026.ELECTRNP.EFI_NA_FGHT_LITEMEDS_FEUCELBATDOM_NA_NA_MPGDSEQ.A</t>
  </si>
  <si>
    <t>Freight: Truck Stock: Fuel Efficiency: Light Medium: Fuel Cell Battery Dominant: Alternative Electricity and Transportation</t>
  </si>
  <si>
    <t>AEO.2026.ELECTRNP.EFI_NA_FGHT_LITEMEDS_FUC_NA_NA_MPGDSEQ.A</t>
  </si>
  <si>
    <t>Freight: Truck Stock: Fuel Efficiency: Light Medium: Fuel Cell: Alternative Electricity and Transportation</t>
  </si>
  <si>
    <t>AEO.2026.ELECTRNP.EFI_NA_FGHT_LITEMEDS_EGH_NA_NA_MPGGASEQ.A</t>
  </si>
  <si>
    <t>Freight: Truck Stock: Fuel Efficiency: Light Medium: Plug-in Gasoline Hybrid: Alternative Electricity and Transportation</t>
  </si>
  <si>
    <t>AEO.2026.ELECTRNP.EFI_NA_FGHT_LITEMEDS_EDH_NA_NA_MPGDSEQ.A</t>
  </si>
  <si>
    <t>Freight: Truck Stock: Fuel Efficiency: Light Medium: Plug-in Diesel Hybrid: Alternative Electricity and Transportation</t>
  </si>
  <si>
    <t>AEO.2026.ELECTRNP.EFI_NA_FGHT_LITEMEDS_ELE_NA_NA_MPGDSEQ.A</t>
  </si>
  <si>
    <t>Freight: Truck Stock: Fuel Efficiency: Light Medium: Electric: Alternative Electricity and Transportation</t>
  </si>
  <si>
    <t>AEO.2026.ELECTRNP.EFI_NA_FGHT_LITEMEDS_EFFI_NA_NA_MPGGASEQ.A</t>
  </si>
  <si>
    <t>Freight: Truck Stock: Fuel Efficiency: Light Medium: Ethanol-Flex Fuel: Alternative Electricity and Transportation</t>
  </si>
  <si>
    <t>AEO.2026.ELECTRNP.EFI_NA_FGHT_LITEMEDS_NG_NA_NA_MPGGASEQ.A</t>
  </si>
  <si>
    <t>Freight: Truck Stock: Fuel Efficiency: Light Medium: Natural Gas: Alternative Electricity and Transportation</t>
  </si>
  <si>
    <t>AEO.2026.ELECTRNP.EFI_NA_FGHT_LITEMEDS_PROP_NA_NA_MPGGASEQ.A</t>
  </si>
  <si>
    <t>Freight: Truck Stock: Fuel Efficiency: Light Medium: Propane: Alternative Electricity and Transportation</t>
  </si>
  <si>
    <t>AEO.2026.ELECTRNP.EFI_NA_FGHT_LITEMEDS_MGS_NA_NA_MPGGASEQ.A</t>
  </si>
  <si>
    <t>Freight: Truck Stock: Fuel Efficiency: Light Medium: Motor Gasoline: Alternative Electricity and Transportation</t>
  </si>
  <si>
    <t>AEO.2026.ELECTRNP.EFI_NA_FGHT_LITEMEDS_DSL_NA_NA_MPGDSEQ.A</t>
  </si>
  <si>
    <t>Freight: Truck Stock: Fuel Efficiency: Light Medium: Diesel: Alternative Electricity and Transportation</t>
  </si>
  <si>
    <t>AEO.2026.ELECTRNP.CNSM_NA_FGHT_STK_NA_NA_NA_TRLBTU.A</t>
  </si>
  <si>
    <t>Freight: Truck Stock: Use: Light Medium, Medium, and Heavy: Alternative Electricity and Transportation</t>
  </si>
  <si>
    <t>AEO.2026.ELECTRNP.CNSM_NA_FGHT_STK_HYDICE_NA_NA_TRLBTU.A</t>
  </si>
  <si>
    <t>Freight: Truck Stock: Use: Light Medium, Medium, and Heavy: Hydrogen ICE: Alternative Electricity and Transportation</t>
  </si>
  <si>
    <t>AEO.2026.ELECTRNP.CNSM_NA_FGHT_STK_GASHEV_NA_NA_TRLBTU.A</t>
  </si>
  <si>
    <t>Freight: Truck Stock: Use: Light Medium, Medium, and Heavy: Gasoline Hybrid: Alternative Electricity and Transportation</t>
  </si>
  <si>
    <t>AEO.2026.ELECTRNP.CNSM_NA_FGHT_STK_FEUCELBATDOM_NA_NA_TRLBTU.A</t>
  </si>
  <si>
    <t>Freight: Truck Stock: Use: Light Medium, Medium, and Heavy: Fuel Cell Battery Dominant: Alternative Electricity and Transportation</t>
  </si>
  <si>
    <t>AEO.2026.ELECTRNP.CNSM_NA_FGHT_STK_FUC_NA_NA_TRLBTU.A</t>
  </si>
  <si>
    <t>Freight: Truck Stock: Use: Light Medium, Medium, and Heavy: Fuel Cell: Alternative Electricity and Transportation</t>
  </si>
  <si>
    <t>AEO.2026.ELECTRNP.CNSM_NA_FGHT_STK_EGH_NA_NA_TRLBTU.A</t>
  </si>
  <si>
    <t>Freight: Truck Stock: Use: Light Medium, Medium, and Heavy: Plug-in Gasoline Hybrid: Alternative Electricity and Transportation</t>
  </si>
  <si>
    <t>AEO.2026.ELECTRNP.CNSM_NA_FGHT_STK_EDH_NA_NA_TRLBTU.A</t>
  </si>
  <si>
    <t>Freight: Truck Stock: Use: Light Medium, Medium, and Heavy: Plug-in Diesel Hybrid: Alternative Electricity and Transportation</t>
  </si>
  <si>
    <t>AEO.2026.ELECTRNP.CNSM_NA_FGHT_STK_ELE_NA_NA_TRLBTU.A</t>
  </si>
  <si>
    <t>Freight: Truck Stock: Use: Light Medium, Medium, and Heavy: Electric: Alternative Electricity and Transportation</t>
  </si>
  <si>
    <t>AEO.2026.ELECTRNP.CNSM_NA_FGHT_STK_EFFI_NA_NA_TRLBTU.A</t>
  </si>
  <si>
    <t>Freight: Truck Stock: Use: Light Medium, Medium, and Heavy: Ethanol-Flex Fuel: Alternative Electricity and Transportation</t>
  </si>
  <si>
    <t>AEO.2026.ELECTRNP.CNSM_NA_FGHT_STK_NG_NA_NA_TRLBTU.A</t>
  </si>
  <si>
    <t>Freight: Truck Stock: Use: Light Medium, Medium, and Heavy: Natural Gas: Alternative Electricity and Transportation</t>
  </si>
  <si>
    <t>AEO.2026.ELECTRNP.CNSM_NA_FGHT_STK_PROP_NA_NA_TRLBTU.A</t>
  </si>
  <si>
    <t>Freight: Truck Stock: Use: Light Medium, Medium, and Heavy: Propane: Alternative Electricity and Transportation</t>
  </si>
  <si>
    <t>AEO.2026.ELECTRNP.CNSM_NA_FGHT_STK_MGS_NA_NA_TRLBTU.A</t>
  </si>
  <si>
    <t>Freight: Truck Stock: Use: Light Medium, Medium, and Heavy: Motor Gasoline: Alternative Electricity and Transportation</t>
  </si>
  <si>
    <t>AEO.2026.ELECTRNP.CNSM_NA_FGHT_STK_DSL_NA_NA_TRLBTU.A</t>
  </si>
  <si>
    <t>Freight: Truck Stock: Use: Light Medium, Medium, and Heavy: Diesel: Alternative Electricity and Transportation</t>
  </si>
  <si>
    <t>AEO.2026.ELECTRNP.CNSM_NA_FGHT_RADS_NA_NA_NA_TRLBTU.A</t>
  </si>
  <si>
    <t>Freight: Truck Stock: Use: Heavy: Alternative Electricity and Transportation</t>
  </si>
  <si>
    <t>AEO.2026.ELECTRNP.CNSM_NA_FGHT_RADS_HYDICE_NA_NA_TRLBTU.A</t>
  </si>
  <si>
    <t>Freight: Truck Stock: Use: Heavy: Hydrogen ICE: Alternative Electricity and Transportation</t>
  </si>
  <si>
    <t>AEO.2026.ELECTRNP.CNSM_NA_FGHT_RADS_GASHEV_NA_NA_TRLBTU.A</t>
  </si>
  <si>
    <t>Freight: Truck Stock: Use: Heavy: Gasoline Hybrid: Alternative Electricity and Transportation</t>
  </si>
  <si>
    <t>AEO.2026.ELECTRNP.CNSM_NA_FGHT_RADS_FEUCELBATDOM_NA_NA_TRLBTU.A</t>
  </si>
  <si>
    <t>Freight: Truck Stock: Use: Heavy: Fuel Cell Battery Dominant: Alternative Electricity and Transportation</t>
  </si>
  <si>
    <t>AEO.2026.ELECTRNP.CNSM_NA_FGHT_RADS_FUC_NA_NA_TRLBTU.A</t>
  </si>
  <si>
    <t>Freight: Truck Stock: Use: Heavy: Fuel Cell: Alternative Electricity and Transportation</t>
  </si>
  <si>
    <t>AEO.2026.ELECTRNP.CNSM_NA_FGHT_RADS_EGH_NA_NA_TRLBTU.A</t>
  </si>
  <si>
    <t>Freight: Truck Stock: Use: Heavy: Plug-in Gasoline Hybrid: Alternative Electricity and Transportation</t>
  </si>
  <si>
    <t>AEO.2026.ELECTRNP.CNSM_NA_FGHT_RADS_EDH_NA_NA_TRLBTU.A</t>
  </si>
  <si>
    <t>Freight: Truck Stock: Use: Heavy: Plug-in Diesel Hybrid: Alternative Electricity and Transportation</t>
  </si>
  <si>
    <t>AEO.2026.ELECTRNP.CNSM_NA_FGHT_RADS_ELE_NA_NA_TRLBTU.A</t>
  </si>
  <si>
    <t>Freight: Truck Stock: Use: Heavy: Electric: Alternative Electricity and Transportation</t>
  </si>
  <si>
    <t>AEO.2026.ELECTRNP.CNSM_NA_FGHT_RADS_EFFI_NA_NA_TRLBTU.A</t>
  </si>
  <si>
    <t>Freight: Truck Stock: Use: Heavy: Ethanol-Flex Fuel: Alternative Electricity and Transportation</t>
  </si>
  <si>
    <t>AEO.2026.ELECTRNP.CNSM_NA_FGHT_RADS_NG_NA_NA_TRLBTU.A</t>
  </si>
  <si>
    <t>Freight: Truck Stock: Use: Heavy: Natural Gas: Alternative Electricity and Transportation</t>
  </si>
  <si>
    <t>AEO.2026.ELECTRNP.CNSM_NA_FGHT_RADS_PROP_NA_NA_TRLBTU.A</t>
  </si>
  <si>
    <t>Freight: Truck Stock: Use: Heavy: Propane: Alternative Electricity and Transportation</t>
  </si>
  <si>
    <t>AEO.2026.ELECTRNP.CNSM_NA_FGHT_RADS_MGS_NA_NA_TRLBTU.A</t>
  </si>
  <si>
    <t>Freight: Truck Stock: Use: Heavy: Motor Gasoline: Alternative Electricity and Transportation</t>
  </si>
  <si>
    <t>AEO.2026.ELECTRNP.CNSM_NA_FGHT_RADS_DSL_NA_NA_TRLBTU.A</t>
  </si>
  <si>
    <t>Freight: Truck Stock: Use: Heavy: Diesel: Alternative Electricity and Transportation</t>
  </si>
  <si>
    <t>AEO.2026.ELECTRNP.CNSM_NA_FGHT_SOSOS_NA_NA_NA_TRLBTU.A</t>
  </si>
  <si>
    <t>Freight: Truck Stock: Use: Medium: Alternative Electricity and Transportation</t>
  </si>
  <si>
    <t>AEO.2026.ELECTRNP.CNSM_NA_FGHT_SOSOS_HYDICE_NA_NA_TRLBTU.A</t>
  </si>
  <si>
    <t>Freight: Truck Stock: Use: Medium: Hydrogen ICE: Alternative Electricity and Transportation</t>
  </si>
  <si>
    <t>AEO.2026.ELECTRNP.CNSM_NA_FGHT_SOSOS_GASHEV_NA_NA_TRLBTU.A</t>
  </si>
  <si>
    <t>Freight: Truck Stock: Use: Medium: Gasoline Hybrid: Alternative Electricity and Transportation</t>
  </si>
  <si>
    <t>AEO.2026.ELECTRNP.CNSM_NA_FGHT_SOSOS_FEUCELBATDOM_NA_NA_TRLBTU.A</t>
  </si>
  <si>
    <t>Freight: Truck Stock: Use: Medium: Fuel Cell Battery Dominant: Alternative Electricity and Transportation</t>
  </si>
  <si>
    <t>AEO.2026.ELECTRNP.CNSM_NA_FGHT_SOSOS_FUC_NA_NA_TRLBTU.A</t>
  </si>
  <si>
    <t>Freight: Truck Stock: Use: Medium: Fuel Cell: Alternative Electricity and Transportation</t>
  </si>
  <si>
    <t>AEO.2026.ELECTRNP.CNSM_NA_FGHT_SOSOS_EGH_NA_NA_TRLBTU.A</t>
  </si>
  <si>
    <t>Freight: Truck Stock: Use: Medium: Plug-in Gasoline Hybrid: Alternative Electricity and Transportation</t>
  </si>
  <si>
    <t>AEO.2026.ELECTRNP.CNSM_NA_FGHT_SOSOS_EDH_NA_NA_TRLBTU.A</t>
  </si>
  <si>
    <t>Freight: Truck Stock: Use: Medium: Plug-in Diesel Hybrid: Alternative Electricity and Transportation</t>
  </si>
  <si>
    <t>AEO.2026.ELECTRNP.CNSM_NA_FGHT_SOSOS_ELE_NA_NA_TRLBTU.A</t>
  </si>
  <si>
    <t>Freight: Truck Stock: Use: Medium: Electric: Alternative Electricity and Transportation</t>
  </si>
  <si>
    <t>AEO.2026.ELECTRNP.CNSM_NA_FGHT_SOSOS_EFFI_NA_NA_TRLBTU.A</t>
  </si>
  <si>
    <t>Freight: Truck Stock: Use: Medium: Ethanol-Flex Fuel: Alternative Electricity and Transportation</t>
  </si>
  <si>
    <t>AEO.2026.ELECTRNP.CNSM_NA_FGHT_SOSOS_NG_NA_NA_TRLBTU.A</t>
  </si>
  <si>
    <t>Freight: Truck Stock: Use: Medium: Natural Gas: Alternative Electricity and Transportation</t>
  </si>
  <si>
    <t>AEO.2026.ELECTRNP.CNSM_NA_FGHT_SOSOS_PROP_NA_NA_TRLBTU.A</t>
  </si>
  <si>
    <t>Freight: Truck Stock: Use: Medium: Propane: Alternative Electricity and Transportation</t>
  </si>
  <si>
    <t>AEO.2026.ELECTRNP.CNSM_NA_FGHT_SOSOS_MGS_NA_NA_TRLBTU.A</t>
  </si>
  <si>
    <t>Freight: Truck Stock: Use: Medium: Motor Gasoline: Alternative Electricity and Transportation</t>
  </si>
  <si>
    <t>AEO.2026.ELECTRNP.CNSM_NA_FGHT_SOSOS_DSL_NA_NA_TRLBTU.A</t>
  </si>
  <si>
    <t>Freight: Truck Stock: Use: Medium: Diesel: Alternative Electricity and Transportation</t>
  </si>
  <si>
    <t>AEO.2026.ELECTRNP.CNSM_NA_FGHT_LITEMEDS_NA_NA_NA_TRLBTU.A</t>
  </si>
  <si>
    <t>Freight: Truck Stock: Use: Light Medium: Alternative Electricity and Transportation</t>
  </si>
  <si>
    <t>AEO.2026.ELECTRNP.CNSM_NA_FGHT_LITEMEDS_HYDICE_NA_NA_TRLBTU.A</t>
  </si>
  <si>
    <t>Freight: Truck Stock: Use: Light Medium: Hydrogen ICE: Alternative Electricity and Transportation</t>
  </si>
  <si>
    <t>AEO.2026.ELECTRNP.CNSM_NA_FGHT_LITEMEDS_GASHEV_NA_NA_TRLBTU.A</t>
  </si>
  <si>
    <t>Freight: Truck Stock: Use: Light Medium: Gasoline Hybrid: Alternative Electricity and Transportation</t>
  </si>
  <si>
    <t>AEO.2026.ELECTRNP.CNSM_NA_FGHT_LITEMEDS_FEUCELBATDOM_NA_NA_TRLBTU.A</t>
  </si>
  <si>
    <t>Freight: Truck Stock: Use: Light Medium: Fuel Cell Battery Dominant: Alternative Electricity and Transportation</t>
  </si>
  <si>
    <t>AEO.2026.ELECTRNP.CNSM_NA_FGHT_LITEMEDS_FUC_NA_NA_TRLBTU.A</t>
  </si>
  <si>
    <t>Freight: Truck Stock: Use: Light Medium: Fuel Cell: Alternative Electricity and Transportation</t>
  </si>
  <si>
    <t>AEO.2026.ELECTRNP.CNSM_NA_FGHT_LITEMEDS_EGH_NA_NA_TRLBTU.A</t>
  </si>
  <si>
    <t>Freight: Truck Stock: Use: Light Medium: Plug-in Gasoline Hybrid: Alternative Electricity and Transportation</t>
  </si>
  <si>
    <t>AEO.2026.ELECTRNP.CNSM_NA_FGHT_LITEMEDS_EDH_NA_NA_TRLBTU.A</t>
  </si>
  <si>
    <t>Freight: Truck Stock: Use: Light Medium: Plug-in Diesel Hybrid: Alternative Electricity and Transportation</t>
  </si>
  <si>
    <t>AEO.2026.ELECTRNP.CNSM_NA_FGHT_LITEMEDS_ELE_NA_NA_TRLBTU.A</t>
  </si>
  <si>
    <t>Freight: Truck Stock: Use: Light Medium: Electric: Alternative Electricity and Transportation</t>
  </si>
  <si>
    <t>AEO.2026.ELECTRNP.CNSM_NA_FGHT_LITEMEDS_EFFI_NA_NA_TRLBTU.A</t>
  </si>
  <si>
    <t>Freight: Truck Stock: Use: Light Medium: Ethanol-Flex Fuel: Alternative Electricity and Transportation</t>
  </si>
  <si>
    <t>AEO.2026.ELECTRNP.CNSM_NA_FGHT_LITEMEDS_NG_NA_NA_TRLBTU.A</t>
  </si>
  <si>
    <t>Freight: Truck Stock: Use: Light Medium: Natural Gas: Alternative Electricity and Transportation</t>
  </si>
  <si>
    <t>AEO.2026.ELECTRNP.CNSM_NA_FGHT_LITEMEDS_PROP_NA_NA_TRLBTU.A</t>
  </si>
  <si>
    <t>Freight: Truck Stock: Use: Light Medium: Propane: Alternative Electricity and Transportation</t>
  </si>
  <si>
    <t>AEO.2026.ELECTRNP.CNSM_NA_FGHT_LITEMEDS_MGS_NA_NA_TRLBTU.A</t>
  </si>
  <si>
    <t>Freight: Truck Stock: Use: Light Medium: Motor Gasoline: Alternative Electricity and Transportation</t>
  </si>
  <si>
    <t>AEO.2026.ELECTRNP.CNSM_NA_FGHT_LITEMEDS_DSL_NA_NA_TRLBTU.A</t>
  </si>
  <si>
    <t>Freight: Truck Stock: Use: Light Medium: Diesel: Alternative Electricity and Transportation</t>
  </si>
  <si>
    <t>AEO.2026.ELECTRNP.ECI_VMT_FGHT_STK_NA_NA_NA_BLNMLS.A</t>
  </si>
  <si>
    <t>Freight: Truck Stock: Vehicle Miles Traveled: Alternative Electricity and Transportation</t>
  </si>
  <si>
    <t>AEO.2026.ELECTRNP.ECI_VMT_FGHT_RADS_NA_NA_NA_BLNMLS.A</t>
  </si>
  <si>
    <t>Freight: Truck Stock: Vehicle Miles Traveled: Heavy: Alternative Electricity and Transportation</t>
  </si>
  <si>
    <t>AEO.2026.ELECTRNP.ECI_VMT_FGHT_RADS_HYDICE_NA_NA_BLNMLS.A</t>
  </si>
  <si>
    <t>Freight: Truck Stock: Vehicle Miles Traveled: Heavy: Hydrogen ICE: Alternative Electricity and Transportation</t>
  </si>
  <si>
    <t>AEO.2026.ELECTRNP.ECI_VMT_FGHT_RADS_GASHEV_NA_NA_BLNMLS.A</t>
  </si>
  <si>
    <t>Freight: Truck Stock: Vehicle Miles Traveled: Heavy: Gasoline Hybrid: Alternative Electricity and Transportation</t>
  </si>
  <si>
    <t>AEO.2026.ELECTRNP.ECI_VMT_FGHT_RADS_FEUCELBATDOM_NA_NA_BLNMLS.A</t>
  </si>
  <si>
    <t>Freight: Truck Stock: Vehicle Miles Traveled: Heavy: Fuel Cell Battery Dominant: Alternative Electricity and Transportation</t>
  </si>
  <si>
    <t>AEO.2026.ELECTRNP.ECI_VMT_FGHT_RADS_FUC_NA_NA_BLNMLS.A</t>
  </si>
  <si>
    <t>Freight: Truck Stock: Vehicle Miles Traveled: Heavy: Fuel Cell: Alternative Electricity and Transportation</t>
  </si>
  <si>
    <t>AEO.2026.ELECTRNP.ECI_VMT_FGHT_RADS_EGH_NA_NA_BLNMLS.A</t>
  </si>
  <si>
    <t>Freight: Truck Stock: Vehicle Miles Traveled: Heavy: Plug-in Gasoline Hybrid: Alternative Electricity and Transportation</t>
  </si>
  <si>
    <t>AEO.2026.ELECTRNP.ECI_VMT_FGHT_RADS_EDH_NA_NA_BLNMLS.A</t>
  </si>
  <si>
    <t>Freight: Truck Stock: Vehicle Miles Traveled: Heavy: Plug-in Diesel Hybrid: Alternative Electricity and Transportation</t>
  </si>
  <si>
    <t>AEO.2026.ELECTRNP.ECI_VMT_FGHT_RADS_ELE_NA_NA_BLNMLS.A</t>
  </si>
  <si>
    <t>Freight: Truck Stock: Vehicle Miles Traveled: Heavy: Electric: Alternative Electricity and Transportation</t>
  </si>
  <si>
    <t>AEO.2026.ELECTRNP.ECI_VMT_FGHT_RADS_EFFI_NA_NA_BLNMLS.A</t>
  </si>
  <si>
    <t>Freight: Truck Stock: Vehicle Miles Traveled: Heavy: Ethanol-Flex Fuel: Alternative Electricity and Transportation</t>
  </si>
  <si>
    <t>AEO.2026.ELECTRNP.ECI_VMT_FGHT_RADS_NG_NA_NA_BLNMLS.A</t>
  </si>
  <si>
    <t>Freight: Truck Stock: Vehicle Miles Traveled: Heavy: Natural Gas: Alternative Electricity and Transportation</t>
  </si>
  <si>
    <t>AEO.2026.ELECTRNP.ECI_VMT_FGHT_RADS_PROP_NA_NA_BLNMLS.A</t>
  </si>
  <si>
    <t>Freight: Truck Stock: Vehicle Miles Traveled: Heavy: Propane: Alternative Electricity and Transportation</t>
  </si>
  <si>
    <t>AEO.2026.ELECTRNP.ECI_VMT_FGHT_RADS_MGS_NA_NA_BLNMLS.A</t>
  </si>
  <si>
    <t>Freight: Truck Stock: Vehicle Miles Traveled: Heavy: Motor Gasoline: Alternative Electricity and Transportation</t>
  </si>
  <si>
    <t>AEO.2026.ELECTRNP.ECI_VMT_FGHT_RADS_DSL_NA_NA_BLNMLS.A</t>
  </si>
  <si>
    <t>Freight: Truck Stock: Vehicle Miles Traveled: Heavy: Diesel: Alternative Electricity and Transportation</t>
  </si>
  <si>
    <t>AEO.2026.ELECTRNP.ECI_VMT_FGHT_SOSOS_NA_NA_NA_BLNMLS.A</t>
  </si>
  <si>
    <t>Freight: Truck Stock: Vehicle Miles Traveled: Medium: Alternative Electricity and Transportation</t>
  </si>
  <si>
    <t>AEO.2026.ELECTRNP.ECI_VMT_FGHT_SOSOS_HYDICE_NA_NA_BLNMLS.A</t>
  </si>
  <si>
    <t>Freight: Truck Stock: Vehicle Miles Traveled: Medium: Hydrogen ICE: Alternative Electricity and Transportation</t>
  </si>
  <si>
    <t>AEO.2026.ELECTRNP.ECI_VMT_FGHT_SOSOS_GASHEV_NA_NA_BLNMLS.A</t>
  </si>
  <si>
    <t>Freight: Truck Stock: Vehicle Miles Traveled: Medium: Gasoline Hybrid: Alternative Electricity and Transportation</t>
  </si>
  <si>
    <t>AEO.2026.ELECTRNP.ECI_VMT_FGHT_SOSOS_FEUCELBATDOM_NA_NA_BLNMLS.A</t>
  </si>
  <si>
    <t>Freight: Truck Stock: Vehicle Miles Traveled: Medium: Fuel Cell Battery Dominant: Alternative Electricity and Transportation</t>
  </si>
  <si>
    <t>AEO.2026.ELECTRNP.ECI_VMT_FGHT_SOSOS_FUC_NA_NA_BLNMLS.A</t>
  </si>
  <si>
    <t>Freight: Truck Stock: Vehicle Miles Traveled: Medium: Fuel Cell: Alternative Electricity and Transportation</t>
  </si>
  <si>
    <t>AEO.2026.ELECTRNP.ECI_VMT_FGHT_SOSOS_EGH_NA_NA_BLNMLS.A</t>
  </si>
  <si>
    <t>Freight: Truck Stock: Vehicle Miles Traveled: Medium: Plug-in Gasoline Hybrid: Alternative Electricity and Transportation</t>
  </si>
  <si>
    <t>AEO.2026.ELECTRNP.ECI_VMT_FGHT_SOSOS_EDH_NA_NA_BLNMLS.A</t>
  </si>
  <si>
    <t>Freight: Truck Stock: Vehicle Miles Traveled: Medium: Plug-in Diesel Hybrid: Alternative Electricity and Transportation</t>
  </si>
  <si>
    <t>AEO.2026.ELECTRNP.ECI_VMT_FGHT_SOSOS_ELE_NA_NA_BLNMLS.A</t>
  </si>
  <si>
    <t>Freight: Truck Stock: Vehicle Miles Traveled: Medium: Electric: Alternative Electricity and Transportation</t>
  </si>
  <si>
    <t>AEO.2026.ELECTRNP.ECI_VMT_FGHT_SOSOS_EFFI_NA_NA_BLNMLS.A</t>
  </si>
  <si>
    <t>Freight: Truck Stock: Vehicle Miles Traveled: Medium: Ethanol-Flex Fuel: Alternative Electricity and Transportation</t>
  </si>
  <si>
    <t>AEO.2026.ELECTRNP.ECI_VMT_FGHT_SOSOS_NG_NA_NA_BLNMLS.A</t>
  </si>
  <si>
    <t>Freight: Truck Stock: Vehicle Miles Traveled: Medium: Natural Gas: Alternative Electricity and Transportation</t>
  </si>
  <si>
    <t>AEO.2026.ELECTRNP.ECI_VMT_FGHT_SOSOS_PROP_NA_NA_BLNMLS.A</t>
  </si>
  <si>
    <t>Freight: Truck Stock: Vehicle Miles Traveled: Medium: Propane: Alternative Electricity and Transportation</t>
  </si>
  <si>
    <t>AEO.2026.ELECTRNP.ECI_VMT_FGHT_SOSOS_MGS_NA_NA_BLNMLS.A</t>
  </si>
  <si>
    <t>Freight: Truck Stock: Vehicle Miles Traveled: Medium: Motor Gasoline: Alternative Electricity and Transportation</t>
  </si>
  <si>
    <t>AEO.2026.ELECTRNP.ECI_VMT_FGHT_SOSOS_DSL_NA_NA_BLNMLS.A</t>
  </si>
  <si>
    <t>Freight: Truck Stock: Vehicle Miles Traveled: Medium: Diesel: Alternative Electricity and Transportation</t>
  </si>
  <si>
    <t>AEO.2026.ELECTRNP.ECI_VMT_FGHT_LITEMEDS_NA_NA_NA_BLNMLS.A</t>
  </si>
  <si>
    <t>Freight: Truck Stock: Vehicle Miles Traveled: Light Medium: Alternative Electricity and Transportation</t>
  </si>
  <si>
    <t>AEO.2026.ELECTRNP.ECI_VMT_FGHT_LITEMEDS_HYDICE_NA_NA_BLNMLS.A</t>
  </si>
  <si>
    <t>Freight: Truck Stock: Vehicle Miles Traveled: Light Medium: Hydrogen ICE: Alternative Electricity and Transportation</t>
  </si>
  <si>
    <t>AEO.2026.ELECTRNP.ECI_VMT_FGHT_LITEMEDS_GASHEV_NA_NA_BLNMLS.A</t>
  </si>
  <si>
    <t>Freight: Truck Stock: Vehicle Miles Traveled: Light Medium: Gasoline Hybrid: Alternative Electricity and Transportation</t>
  </si>
  <si>
    <t>AEO.2026.ELECTRNP.ECI_VMT_FGHT_LITEMEDS_FEUCELBATDOM_NA_NA_BLNMLS.A</t>
  </si>
  <si>
    <t>Freight: Truck Stock: Vehicle Miles Traveled: Light Medium: Fuel Cell Battery Dominant: Alternative Electricity and Transportation</t>
  </si>
  <si>
    <t>AEO.2026.ELECTRNP.ECI_VMT_FGHT_LITEMEDS_FUC_NA_NA_BLNMLS.A</t>
  </si>
  <si>
    <t>Freight: Truck Stock: Vehicle Miles Traveled: Light Medium: Fuel Cell: Alternative Electricity and Transportation</t>
  </si>
  <si>
    <t>AEO.2026.ELECTRNP.ECI_VMT_FGHT_LITEMEDS_EGH_NA_NA_BLNMLS.A</t>
  </si>
  <si>
    <t>Freight: Truck Stock: Vehicle Miles Traveled: Light Medium: Plug-in Gasoline Hybrid: Alternative Electricity and Transportation</t>
  </si>
  <si>
    <t>AEO.2026.ELECTRNP.ECI_VMT_FGHT_LITEMEDS_EDH_NA_NA_BLNMLS.A</t>
  </si>
  <si>
    <t>Freight: Truck Stock: Vehicle Miles Traveled: Light Medium: Plug-in Diesel Hybrid: Alternative Electricity and Transportation</t>
  </si>
  <si>
    <t>AEO.2026.ELECTRNP.ECI_VMT_FGHT_LITEMEDS_ELE_NA_NA_BLNMLS.A</t>
  </si>
  <si>
    <t>Freight: Truck Stock: Vehicle Miles Traveled: Light Medium: Electric: Alternative Electricity and Transportation</t>
  </si>
  <si>
    <t>AEO.2026.ELECTRNP.ECI_VMT_FGHT_LITEMEDS_EFFI_NA_NA_BLNMLS.A</t>
  </si>
  <si>
    <t>Freight: Truck Stock: Vehicle Miles Traveled: Light Medium: Ethanol-Flex Fuel: Alternative Electricity and Transportation</t>
  </si>
  <si>
    <t>AEO.2026.ELECTRNP.ECI_VMT_FGHT_LITEMEDS_NG_NA_NA_BLNMLS.A</t>
  </si>
  <si>
    <t>Freight: Truck Stock: Vehicle Miles Traveled: Light Medium: Natural Gas: Alternative Electricity and Transportation</t>
  </si>
  <si>
    <t>AEO.2026.ELECTRNP.ECI_VMT_FGHT_LITEMEDS_PROP_NA_NA_BLNMLS.A</t>
  </si>
  <si>
    <t>Freight: Truck Stock: Vehicle Miles Traveled: Light Medium: Propane: Alternative Electricity and Transportation</t>
  </si>
  <si>
    <t>AEO.2026.ELECTRNP.ECI_VMT_FGHT_LITEMEDS_MGS_NA_NA_BLNMLS.A</t>
  </si>
  <si>
    <t>Freight: Truck Stock: Vehicle Miles Traveled: Light Medium: Motor Gasoline: Alternative Electricity and Transportation</t>
  </si>
  <si>
    <t>AEO.2026.ELECTRNP.ECI_VMT_FGHT_LITEMEDS_DSL_NA_NA_BLNMLS.A</t>
  </si>
  <si>
    <t>Freight: Truck Stock: Vehicle Miles Traveled: Light Medium: Diesel: Alternative Electricity and Transportation</t>
  </si>
  <si>
    <t>Thu Apr 23 2026 15:05:43 GMT-0700 (Pacific Daylight Time)</t>
  </si>
  <si>
    <t>https://www.eia.gov/outlooks/aeo/data/browser/#/?id=58-AEO2026&amp;cases=electrnp&amp;sourcekey=0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</si>
</sst>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164" formatCode="###0.00_)"/>
    <numFmt numFmtId="165" formatCode="\(\R\)General"/>
    <numFmt numFmtId="166" formatCode="\(\R\)\ ###0"/>
    <numFmt numFmtId="167" formatCode="0.0"/>
    <numFmt numFmtId="168" formatCode="\(\R\)0.0"/>
    <numFmt numFmtId="169" formatCode="#,##0_)"/>
  </numFmts>
  <fonts count="3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u/>
      <sz val="10"/>
      <color theme="4"/>
      <name val="Calibri"/>
      <family val="2"/>
      <scheme val="minor"/>
    </font>
    <font>
      <u/>
      <sz val="11"/>
      <color theme="6"/>
      <name val="Calibri"/>
      <family val="2"/>
    </font>
    <font>
      <b/>
      <sz val="12"/>
      <color theme="4"/>
      <name val="Calibri"/>
      <family val="2"/>
      <scheme val="minor"/>
    </font>
    <font>
      <sz val="10"/>
      <name val="Helv"/>
    </font>
    <font>
      <b/>
      <sz val="10"/>
      <name val="Helv"/>
    </font>
    <font>
      <i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b/>
      <sz val="12"/>
      <name val="Helv"/>
    </font>
    <font>
      <b/>
      <sz val="12"/>
      <name val="Arial"/>
      <family val="2"/>
    </font>
    <font>
      <b/>
      <sz val="11"/>
      <name val="Arial Narrow"/>
      <family val="2"/>
    </font>
    <font>
      <sz val="11"/>
      <name val="Arial Narrow"/>
      <family val="2"/>
    </font>
    <font>
      <sz val="10"/>
      <name val="Arial"/>
      <family val="2"/>
    </font>
    <font>
      <sz val="9"/>
      <name val="Helv"/>
    </font>
    <font>
      <b/>
      <sz val="9"/>
      <name val="Arial"/>
      <family val="2"/>
    </font>
    <font>
      <sz val="9"/>
      <name val="Arial"/>
      <family val="2"/>
    </font>
    <font>
      <i/>
      <sz val="9"/>
      <name val="Arial"/>
      <family val="2"/>
    </font>
    <font>
      <sz val="9"/>
      <color indexed="8"/>
      <name val="Calibri"/>
      <family val="2"/>
    </font>
  </fonts>
  <fills count="40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22"/>
        <bgColor indexed="9"/>
      </patternFill>
    </fill>
    <fill>
      <patternFill patternType="solid">
        <fgColor rgb="FFFFFF00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79998168889431442"/>
        <bgColor indexed="64"/>
      </patternFill>
    </fill>
  </fills>
  <borders count="3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dashed">
        <color theme="0" tint="-0.24994659260841701"/>
      </bottom>
      <diagonal/>
    </border>
    <border>
      <left/>
      <right/>
      <top style="medium">
        <color theme="4"/>
      </top>
      <bottom/>
      <diagonal/>
    </border>
    <border>
      <left/>
      <right/>
      <top/>
      <bottom style="thin">
        <color theme="0" tint="-0.249977111117893"/>
      </bottom>
      <diagonal/>
    </border>
    <border>
      <left/>
      <right/>
      <top style="thin">
        <color theme="4"/>
      </top>
      <bottom style="dashed">
        <color theme="0" tint="-0.24994659260841701"/>
      </bottom>
      <diagonal/>
    </border>
    <border>
      <left/>
      <right/>
      <top style="thin">
        <color theme="4"/>
      </top>
      <bottom style="thin">
        <color theme="0" tint="-0.24994659260841701"/>
      </bottom>
      <diagonal/>
    </border>
    <border>
      <left style="thick">
        <color theme="0"/>
      </left>
      <right style="thick">
        <color theme="0"/>
      </right>
      <top/>
      <bottom style="thin">
        <color theme="0" tint="-0.24994659260841701"/>
      </bottom>
      <diagonal/>
    </border>
    <border>
      <left/>
      <right/>
      <top/>
      <bottom style="thin">
        <color indexed="22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</borders>
  <cellStyleXfs count="6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Protection="0">
      <alignment wrapText="1"/>
    </xf>
    <xf numFmtId="0" fontId="4" fillId="0" borderId="4" applyNumberFormat="0" applyFont="0" applyProtection="0">
      <alignment wrapText="1"/>
    </xf>
    <xf numFmtId="0" fontId="3" fillId="0" borderId="9" applyNumberFormat="0" applyProtection="0">
      <alignment horizontal="left" wrapText="1"/>
    </xf>
    <xf numFmtId="0" fontId="3" fillId="0" borderId="8" applyNumberFormat="0" applyFill="0" applyProtection="0">
      <alignment wrapText="1"/>
    </xf>
    <xf numFmtId="0" fontId="3" fillId="0" borderId="6" applyNumberFormat="0" applyProtection="0">
      <alignment wrapText="1"/>
    </xf>
    <xf numFmtId="0" fontId="4" fillId="0" borderId="5" applyNumberFormat="0" applyProtection="0">
      <alignment vertical="top" wrapText="1"/>
    </xf>
    <xf numFmtId="0" fontId="4" fillId="0" borderId="7" applyNumberFormat="0" applyFont="0" applyFill="0" applyProtection="0">
      <alignment wrapText="1"/>
    </xf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4" fillId="0" borderId="0" applyNumberFormat="0" applyProtection="0">
      <alignment vertical="top" wrapText="1"/>
    </xf>
    <xf numFmtId="0" fontId="7" fillId="0" borderId="0" applyNumberFormat="0" applyProtection="0">
      <alignment horizontal="left"/>
    </xf>
    <xf numFmtId="164" fontId="8" fillId="0" borderId="10" applyNumberFormat="0" applyFill="0">
      <alignment horizontal="right"/>
    </xf>
    <xf numFmtId="0" fontId="9" fillId="0" borderId="10">
      <alignment horizontal="left"/>
    </xf>
    <xf numFmtId="9" fontId="11" fillId="0" borderId="0" applyFont="0" applyFill="0" applyBorder="0" applyAlignment="0" applyProtection="0"/>
    <xf numFmtId="0" fontId="12" fillId="0" borderId="0" applyNumberFormat="0" applyFill="0" applyBorder="0" applyAlignment="0" applyProtection="0"/>
    <xf numFmtId="0" fontId="13" fillId="0" borderId="1" applyNumberFormat="0" applyFill="0" applyAlignment="0" applyProtection="0"/>
    <xf numFmtId="0" fontId="14" fillId="0" borderId="13" applyNumberFormat="0" applyFill="0" applyAlignment="0" applyProtection="0"/>
    <xf numFmtId="0" fontId="15" fillId="0" borderId="14" applyNumberFormat="0" applyFill="0" applyAlignment="0" applyProtection="0"/>
    <xf numFmtId="0" fontId="15" fillId="0" borderId="0" applyNumberFormat="0" applyFill="0" applyBorder="0" applyAlignment="0" applyProtection="0"/>
    <xf numFmtId="0" fontId="16" fillId="4" borderId="0" applyNumberFormat="0" applyBorder="0" applyAlignment="0" applyProtection="0"/>
    <xf numFmtId="0" fontId="17" fillId="5" borderId="0" applyNumberFormat="0" applyBorder="0" applyAlignment="0" applyProtection="0"/>
    <xf numFmtId="0" fontId="18" fillId="6" borderId="0" applyNumberFormat="0" applyBorder="0" applyAlignment="0" applyProtection="0"/>
    <xf numFmtId="0" fontId="19" fillId="7" borderId="15" applyNumberFormat="0" applyAlignment="0" applyProtection="0"/>
    <xf numFmtId="0" fontId="20" fillId="8" borderId="16" applyNumberFormat="0" applyAlignment="0" applyProtection="0"/>
    <xf numFmtId="0" fontId="21" fillId="8" borderId="15" applyNumberFormat="0" applyAlignment="0" applyProtection="0"/>
    <xf numFmtId="0" fontId="22" fillId="0" borderId="17" applyNumberFormat="0" applyFill="0" applyAlignment="0" applyProtection="0"/>
    <xf numFmtId="0" fontId="23" fillId="9" borderId="18" applyNumberFormat="0" applyAlignment="0" applyProtection="0"/>
    <xf numFmtId="0" fontId="24" fillId="0" borderId="0" applyNumberFormat="0" applyFill="0" applyBorder="0" applyAlignment="0" applyProtection="0"/>
    <xf numFmtId="0" fontId="11" fillId="10" borderId="19" applyNumberFormat="0" applyFont="0" applyAlignment="0" applyProtection="0"/>
    <xf numFmtId="0" fontId="25" fillId="0" borderId="0" applyNumberFormat="0" applyFill="0" applyBorder="0" applyAlignment="0" applyProtection="0"/>
    <xf numFmtId="0" fontId="1" fillId="0" borderId="20" applyNumberFormat="0" applyFill="0" applyAlignment="0" applyProtection="0"/>
    <xf numFmtId="0" fontId="26" fillId="11" borderId="0" applyNumberFormat="0" applyBorder="0" applyAlignment="0" applyProtection="0"/>
    <xf numFmtId="0" fontId="11" fillId="12" borderId="0" applyNumberFormat="0" applyBorder="0" applyAlignment="0" applyProtection="0"/>
    <xf numFmtId="0" fontId="11" fillId="13" borderId="0" applyNumberFormat="0" applyBorder="0" applyAlignment="0" applyProtection="0"/>
    <xf numFmtId="0" fontId="26" fillId="14" borderId="0" applyNumberFormat="0" applyBorder="0" applyAlignment="0" applyProtection="0"/>
    <xf numFmtId="0" fontId="26" fillId="15" borderId="0" applyNumberFormat="0" applyBorder="0" applyAlignment="0" applyProtection="0"/>
    <xf numFmtId="0" fontId="11" fillId="16" borderId="0" applyNumberFormat="0" applyBorder="0" applyAlignment="0" applyProtection="0"/>
    <xf numFmtId="0" fontId="11" fillId="17" borderId="0" applyNumberFormat="0" applyBorder="0" applyAlignment="0" applyProtection="0"/>
    <xf numFmtId="0" fontId="26" fillId="18" borderId="0" applyNumberFormat="0" applyBorder="0" applyAlignment="0" applyProtection="0"/>
    <xf numFmtId="0" fontId="26" fillId="19" borderId="0" applyNumberFormat="0" applyBorder="0" applyAlignment="0" applyProtection="0"/>
    <xf numFmtId="0" fontId="11" fillId="20" borderId="0" applyNumberFormat="0" applyBorder="0" applyAlignment="0" applyProtection="0"/>
    <xf numFmtId="0" fontId="11" fillId="21" borderId="0" applyNumberFormat="0" applyBorder="0" applyAlignment="0" applyProtection="0"/>
    <xf numFmtId="0" fontId="26" fillId="22" borderId="0" applyNumberFormat="0" applyBorder="0" applyAlignment="0" applyProtection="0"/>
    <xf numFmtId="0" fontId="26" fillId="23" borderId="0" applyNumberFormat="0" applyBorder="0" applyAlignment="0" applyProtection="0"/>
    <xf numFmtId="0" fontId="11" fillId="24" borderId="0" applyNumberFormat="0" applyBorder="0" applyAlignment="0" applyProtection="0"/>
    <xf numFmtId="0" fontId="11" fillId="25" borderId="0" applyNumberFormat="0" applyBorder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29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3" borderId="0" applyNumberFormat="0" applyBorder="0" applyAlignment="0" applyProtection="0"/>
    <xf numFmtId="0" fontId="26" fillId="34" borderId="0" applyNumberFormat="0" applyBorder="0" applyAlignment="0" applyProtection="0"/>
    <xf numFmtId="0" fontId="28" fillId="0" borderId="0">
      <alignment horizontal="left"/>
    </xf>
    <xf numFmtId="0" fontId="9" fillId="35" borderId="0">
      <alignment horizontal="centerContinuous" wrapText="1"/>
    </xf>
    <xf numFmtId="0" fontId="8" fillId="0" borderId="10">
      <alignment horizontal="left" vertical="center"/>
    </xf>
    <xf numFmtId="169" fontId="33" fillId="0" borderId="10">
      <alignment horizontal="right" vertical="center"/>
    </xf>
    <xf numFmtId="0" fontId="37" fillId="0" borderId="0"/>
  </cellStyleXfs>
  <cellXfs count="89">
    <xf numFmtId="0" fontId="0" fillId="0" borderId="0" xfId="0"/>
    <xf numFmtId="0" fontId="1" fillId="0" borderId="0" xfId="0" applyFont="1"/>
    <xf numFmtId="0" fontId="1" fillId="0" borderId="0" xfId="0" applyFont="1" applyAlignment="1">
      <alignment horizontal="right" wrapText="1"/>
    </xf>
    <xf numFmtId="0" fontId="0" fillId="0" borderId="0" xfId="0" applyAlignment="1">
      <alignment horizontal="right"/>
    </xf>
    <xf numFmtId="0" fontId="2" fillId="0" borderId="0" xfId="1"/>
    <xf numFmtId="1" fontId="0" fillId="0" borderId="0" xfId="0" applyNumberFormat="1" applyAlignment="1">
      <alignment horizontal="right"/>
    </xf>
    <xf numFmtId="0" fontId="1" fillId="2" borderId="0" xfId="0" applyFont="1" applyFill="1"/>
    <xf numFmtId="0" fontId="1" fillId="3" borderId="2" xfId="0" applyFont="1" applyFill="1" applyBorder="1" applyAlignment="1">
      <alignment horizontal="right" wrapText="1"/>
    </xf>
    <xf numFmtId="2" fontId="0" fillId="3" borderId="3" xfId="0" applyNumberFormat="1" applyFill="1" applyBorder="1" applyAlignment="1">
      <alignment horizontal="right"/>
    </xf>
    <xf numFmtId="0" fontId="0" fillId="0" borderId="0" xfId="0" applyAlignment="1">
      <alignment horizontal="left"/>
    </xf>
    <xf numFmtId="0" fontId="1" fillId="2" borderId="0" xfId="0" applyFont="1" applyFill="1" applyAlignment="1">
      <alignment horizontal="left"/>
    </xf>
    <xf numFmtId="0" fontId="10" fillId="3" borderId="11" xfId="0" applyFont="1" applyFill="1" applyBorder="1" applyAlignment="1">
      <alignment horizontal="left"/>
    </xf>
    <xf numFmtId="0" fontId="0" fillId="3" borderId="12" xfId="0" applyFill="1" applyBorder="1" applyAlignment="1">
      <alignment horizontal="left"/>
    </xf>
    <xf numFmtId="0" fontId="0" fillId="3" borderId="11" xfId="0" applyFill="1" applyBorder="1"/>
    <xf numFmtId="0" fontId="1" fillId="0" borderId="0" xfId="0" applyFont="1" applyAlignment="1">
      <alignment horizontal="left" wrapText="1"/>
    </xf>
    <xf numFmtId="0" fontId="1" fillId="0" borderId="0" xfId="0" applyFont="1" applyAlignment="1">
      <alignment horizontal="left"/>
    </xf>
    <xf numFmtId="1" fontId="0" fillId="0" borderId="0" xfId="0" applyNumberFormat="1" applyAlignment="1">
      <alignment horizontal="left"/>
    </xf>
    <xf numFmtId="0" fontId="10" fillId="3" borderId="2" xfId="0" applyFont="1" applyFill="1" applyBorder="1" applyAlignment="1">
      <alignment horizontal="left"/>
    </xf>
    <xf numFmtId="1" fontId="0" fillId="3" borderId="3" xfId="0" applyNumberFormat="1" applyFill="1" applyBorder="1" applyAlignment="1">
      <alignment horizontal="left"/>
    </xf>
    <xf numFmtId="0" fontId="2" fillId="0" borderId="0" xfId="1" applyFill="1"/>
    <xf numFmtId="0" fontId="0" fillId="0" borderId="24" xfId="0" applyBorder="1" applyAlignment="1">
      <alignment horizontal="left"/>
    </xf>
    <xf numFmtId="0" fontId="0" fillId="0" borderId="21" xfId="0" applyBorder="1" applyAlignment="1">
      <alignment wrapText="1"/>
    </xf>
    <xf numFmtId="3" fontId="0" fillId="0" borderId="28" xfId="0" applyNumberFormat="1" applyBorder="1" applyAlignment="1">
      <alignment horizontal="left"/>
    </xf>
    <xf numFmtId="3" fontId="0" fillId="0" borderId="27" xfId="0" applyNumberFormat="1" applyBorder="1" applyAlignment="1">
      <alignment horizontal="left"/>
    </xf>
    <xf numFmtId="3" fontId="0" fillId="0" borderId="0" xfId="0" applyNumberFormat="1" applyAlignment="1">
      <alignment horizontal="left"/>
    </xf>
    <xf numFmtId="0" fontId="0" fillId="0" borderId="26" xfId="0" applyBorder="1" applyAlignment="1">
      <alignment horizontal="left"/>
    </xf>
    <xf numFmtId="0" fontId="0" fillId="0" borderId="22" xfId="0" applyBorder="1" applyAlignment="1">
      <alignment wrapText="1"/>
    </xf>
    <xf numFmtId="3" fontId="0" fillId="0" borderId="25" xfId="0" applyNumberFormat="1" applyBorder="1" applyAlignment="1">
      <alignment horizontal="left"/>
    </xf>
    <xf numFmtId="10" fontId="0" fillId="0" borderId="0" xfId="0" applyNumberFormat="1" applyAlignment="1">
      <alignment horizontal="left"/>
    </xf>
    <xf numFmtId="0" fontId="0" fillId="0" borderId="23" xfId="0" applyBorder="1" applyAlignment="1">
      <alignment wrapText="1"/>
    </xf>
    <xf numFmtId="0" fontId="0" fillId="0" borderId="0" xfId="0" applyAlignment="1">
      <alignment wrapText="1"/>
    </xf>
    <xf numFmtId="10" fontId="0" fillId="0" borderId="0" xfId="16" applyNumberFormat="1" applyFont="1" applyAlignment="1">
      <alignment horizontal="left"/>
    </xf>
    <xf numFmtId="0" fontId="27" fillId="2" borderId="0" xfId="0" applyFont="1" applyFill="1"/>
    <xf numFmtId="0" fontId="0" fillId="2" borderId="0" xfId="0" applyFill="1"/>
    <xf numFmtId="0" fontId="0" fillId="2" borderId="0" xfId="0" applyFill="1" applyAlignment="1">
      <alignment horizontal="right"/>
    </xf>
    <xf numFmtId="2" fontId="0" fillId="3" borderId="3" xfId="0" applyNumberFormat="1" applyFill="1" applyBorder="1" applyAlignment="1">
      <alignment horizontal="left"/>
    </xf>
    <xf numFmtId="0" fontId="1" fillId="3" borderId="2" xfId="0" applyFont="1" applyFill="1" applyBorder="1" applyAlignment="1">
      <alignment wrapText="1"/>
    </xf>
    <xf numFmtId="1" fontId="0" fillId="0" borderId="0" xfId="0" applyNumberFormat="1"/>
    <xf numFmtId="0" fontId="30" fillId="0" borderId="29" xfId="59" applyFont="1" applyFill="1" applyBorder="1" applyAlignment="1">
      <alignment horizontal="center" wrapText="1"/>
    </xf>
    <xf numFmtId="1" fontId="30" fillId="0" borderId="29" xfId="59" applyNumberFormat="1" applyFont="1" applyFill="1" applyBorder="1" applyAlignment="1">
      <alignment horizontal="center"/>
    </xf>
    <xf numFmtId="165" fontId="30" fillId="0" borderId="29" xfId="59" applyNumberFormat="1" applyFont="1" applyFill="1" applyBorder="1" applyAlignment="1">
      <alignment horizontal="center"/>
    </xf>
    <xf numFmtId="165" fontId="30" fillId="0" borderId="29" xfId="0" applyNumberFormat="1" applyFont="1" applyBorder="1" applyAlignment="1">
      <alignment horizontal="center"/>
    </xf>
    <xf numFmtId="0" fontId="30" fillId="0" borderId="29" xfId="59" applyFont="1" applyFill="1" applyBorder="1" applyAlignment="1">
      <alignment horizontal="center"/>
    </xf>
    <xf numFmtId="0" fontId="30" fillId="0" borderId="0" xfId="59" applyFont="1" applyFill="1" applyAlignment="1">
      <alignment horizontal="center" wrapText="1"/>
    </xf>
    <xf numFmtId="1" fontId="30" fillId="0" borderId="0" xfId="59" applyNumberFormat="1" applyFont="1" applyFill="1" applyAlignment="1">
      <alignment horizontal="center"/>
    </xf>
    <xf numFmtId="166" fontId="30" fillId="0" borderId="0" xfId="59" applyNumberFormat="1" applyFont="1" applyFill="1" applyAlignment="1">
      <alignment horizontal="center"/>
    </xf>
    <xf numFmtId="0" fontId="30" fillId="0" borderId="0" xfId="0" applyFont="1" applyAlignment="1">
      <alignment horizontal="center"/>
    </xf>
    <xf numFmtId="0" fontId="30" fillId="0" borderId="0" xfId="60" applyFont="1" applyBorder="1" applyAlignment="1">
      <alignment horizontal="left"/>
    </xf>
    <xf numFmtId="3" fontId="30" fillId="0" borderId="0" xfId="0" applyNumberFormat="1" applyFont="1"/>
    <xf numFmtId="3" fontId="30" fillId="0" borderId="0" xfId="0" applyNumberFormat="1" applyFont="1" applyAlignment="1">
      <alignment horizontal="right"/>
    </xf>
    <xf numFmtId="0" fontId="31" fillId="0" borderId="0" xfId="60" applyFont="1" applyBorder="1" applyAlignment="1">
      <alignment horizontal="left" indent="1"/>
    </xf>
    <xf numFmtId="3" fontId="31" fillId="0" borderId="0" xfId="0" applyNumberFormat="1" applyFont="1" applyAlignment="1">
      <alignment horizontal="right"/>
    </xf>
    <xf numFmtId="3" fontId="31" fillId="0" borderId="0" xfId="0" applyNumberFormat="1" applyFont="1"/>
    <xf numFmtId="167" fontId="30" fillId="0" borderId="0" xfId="60" applyNumberFormat="1" applyFont="1" applyBorder="1" applyAlignment="1">
      <alignment horizontal="left"/>
    </xf>
    <xf numFmtId="0" fontId="31" fillId="0" borderId="0" xfId="0" applyFont="1"/>
    <xf numFmtId="167" fontId="31" fillId="0" borderId="0" xfId="16" applyNumberFormat="1" applyFont="1" applyFill="1"/>
    <xf numFmtId="167" fontId="31" fillId="0" borderId="0" xfId="16" applyNumberFormat="1" applyFont="1" applyFill="1" applyBorder="1"/>
    <xf numFmtId="168" fontId="31" fillId="0" borderId="0" xfId="16" applyNumberFormat="1" applyFont="1" applyFill="1"/>
    <xf numFmtId="3" fontId="31" fillId="0" borderId="0" xfId="61" applyNumberFormat="1" applyFont="1" applyBorder="1" applyAlignment="1">
      <alignment horizontal="right"/>
    </xf>
    <xf numFmtId="167" fontId="31" fillId="0" borderId="0" xfId="0" applyNumberFormat="1" applyFont="1"/>
    <xf numFmtId="0" fontId="31" fillId="0" borderId="27" xfId="60" applyFont="1" applyBorder="1" applyAlignment="1">
      <alignment horizontal="left" indent="1"/>
    </xf>
    <xf numFmtId="167" fontId="31" fillId="0" borderId="27" xfId="0" applyNumberFormat="1" applyFont="1" applyBorder="1"/>
    <xf numFmtId="0" fontId="31" fillId="0" borderId="27" xfId="0" applyFont="1" applyBorder="1"/>
    <xf numFmtId="0" fontId="32" fillId="0" borderId="0" xfId="0" applyFont="1" applyAlignment="1">
      <alignment horizontal="left" vertical="center"/>
    </xf>
    <xf numFmtId="0" fontId="1" fillId="0" borderId="2" xfId="0" applyFont="1" applyBorder="1" applyAlignment="1">
      <alignment horizontal="right" wrapText="1"/>
    </xf>
    <xf numFmtId="0" fontId="0" fillId="0" borderId="3" xfId="0" applyBorder="1" applyAlignment="1">
      <alignment horizontal="right"/>
    </xf>
    <xf numFmtId="1" fontId="0" fillId="0" borderId="3" xfId="0" applyNumberFormat="1" applyBorder="1" applyAlignment="1">
      <alignment horizontal="right"/>
    </xf>
    <xf numFmtId="2" fontId="0" fillId="0" borderId="0" xfId="0" applyNumberFormat="1" applyAlignment="1">
      <alignment horizontal="right"/>
    </xf>
    <xf numFmtId="0" fontId="0" fillId="3" borderId="3" xfId="0" applyFill="1" applyBorder="1" applyAlignment="1">
      <alignment horizontal="right"/>
    </xf>
    <xf numFmtId="0" fontId="1" fillId="0" borderId="0" xfId="0" applyFont="1" applyAlignment="1">
      <alignment wrapText="1"/>
    </xf>
    <xf numFmtId="0" fontId="0" fillId="36" borderId="0" xfId="0" applyFill="1"/>
    <xf numFmtId="10" fontId="0" fillId="0" borderId="0" xfId="0" applyNumberFormat="1"/>
    <xf numFmtId="0" fontId="0" fillId="0" borderId="0" xfId="0" applyAlignment="1">
      <alignment horizontal="right" wrapText="1"/>
    </xf>
    <xf numFmtId="11" fontId="0" fillId="0" borderId="0" xfId="0" applyNumberFormat="1" applyAlignment="1">
      <alignment horizontal="right" wrapText="1"/>
    </xf>
    <xf numFmtId="1" fontId="0" fillId="36" borderId="0" xfId="0" applyNumberFormat="1" applyFill="1"/>
    <xf numFmtId="0" fontId="10" fillId="0" borderId="0" xfId="0" applyFont="1"/>
    <xf numFmtId="1" fontId="0" fillId="37" borderId="0" xfId="0" applyNumberFormat="1" applyFill="1"/>
    <xf numFmtId="0" fontId="0" fillId="38" borderId="0" xfId="0" applyFill="1"/>
    <xf numFmtId="0" fontId="35" fillId="0" borderId="0" xfId="15" applyFont="1" applyBorder="1" applyAlignment="1">
      <alignment horizontal="left" vertical="center" wrapText="1"/>
    </xf>
    <xf numFmtId="0" fontId="29" fillId="0" borderId="27" xfId="58" applyFont="1" applyBorder="1" applyAlignment="1">
      <alignment horizontal="left" wrapText="1"/>
    </xf>
    <xf numFmtId="0" fontId="29" fillId="0" borderId="0" xfId="58" applyFont="1" applyAlignment="1">
      <alignment horizontal="left" wrapText="1"/>
    </xf>
    <xf numFmtId="0" fontId="34" fillId="0" borderId="22" xfId="15" applyFont="1" applyBorder="1" applyAlignment="1">
      <alignment horizontal="left" vertical="center" wrapText="1"/>
    </xf>
    <xf numFmtId="0" fontId="34" fillId="0" borderId="0" xfId="15" applyFont="1" applyBorder="1" applyAlignment="1">
      <alignment horizontal="left" vertical="center" wrapText="1"/>
    </xf>
    <xf numFmtId="0" fontId="32" fillId="0" borderId="0" xfId="0" applyFont="1" applyAlignment="1">
      <alignment horizontal="left" vertical="center" wrapText="1"/>
    </xf>
    <xf numFmtId="0" fontId="34" fillId="0" borderId="0" xfId="0" applyFont="1" applyAlignment="1">
      <alignment horizontal="left" vertical="center" wrapText="1"/>
    </xf>
    <xf numFmtId="0" fontId="35" fillId="0" borderId="0" xfId="0" applyFont="1" applyAlignment="1">
      <alignment horizontal="left" vertical="center" wrapText="1"/>
    </xf>
    <xf numFmtId="10" fontId="0" fillId="36" borderId="0" xfId="0" applyNumberFormat="1" applyFill="1"/>
    <xf numFmtId="0" fontId="0" fillId="39" borderId="0" xfId="0" applyFill="1"/>
    <xf numFmtId="10" fontId="0" fillId="39" borderId="0" xfId="0" applyNumberFormat="1" applyFill="1"/>
  </cellXfs>
  <cellStyles count="63">
    <cellStyle name="20% - Accent1" xfId="35" builtinId="30" customBuiltin="1"/>
    <cellStyle name="20% - Accent2" xfId="39" builtinId="34" customBuiltin="1"/>
    <cellStyle name="20% - Accent3" xfId="43" builtinId="38" customBuiltin="1"/>
    <cellStyle name="20% - Accent4" xfId="47" builtinId="42" customBuiltin="1"/>
    <cellStyle name="20% - Accent5" xfId="51" builtinId="46" customBuiltin="1"/>
    <cellStyle name="20% - Accent6" xfId="55" builtinId="50" customBuiltin="1"/>
    <cellStyle name="40% - Accent1" xfId="36" builtinId="31" customBuiltin="1"/>
    <cellStyle name="40% - Accent2" xfId="40" builtinId="35" customBuiltin="1"/>
    <cellStyle name="40% - Accent3" xfId="44" builtinId="39" customBuiltin="1"/>
    <cellStyle name="40% - Accent4" xfId="48" builtinId="43" customBuiltin="1"/>
    <cellStyle name="40% - Accent5" xfId="52" builtinId="47" customBuiltin="1"/>
    <cellStyle name="40% - Accent6" xfId="56" builtinId="51" customBuiltin="1"/>
    <cellStyle name="60% - Accent1" xfId="37" builtinId="32" customBuiltin="1"/>
    <cellStyle name="60% - Accent2" xfId="41" builtinId="36" customBuiltin="1"/>
    <cellStyle name="60% - Accent3" xfId="45" builtinId="40" customBuiltin="1"/>
    <cellStyle name="60% - Accent4" xfId="49" builtinId="44" customBuiltin="1"/>
    <cellStyle name="60% - Accent5" xfId="53" builtinId="48" customBuiltin="1"/>
    <cellStyle name="60% - Accent6" xfId="57" builtinId="52" customBuiltin="1"/>
    <cellStyle name="Accent1" xfId="34" builtinId="29" customBuiltin="1"/>
    <cellStyle name="Accent2" xfId="38" builtinId="33" customBuiltin="1"/>
    <cellStyle name="Accent3" xfId="42" builtinId="37" customBuiltin="1"/>
    <cellStyle name="Accent4" xfId="46" builtinId="41" customBuiltin="1"/>
    <cellStyle name="Accent5" xfId="50" builtinId="45" customBuiltin="1"/>
    <cellStyle name="Accent6" xfId="54" builtinId="49" customBuiltin="1"/>
    <cellStyle name="Bad" xfId="23" builtinId="27" customBuiltin="1"/>
    <cellStyle name="Body: normal cell" xfId="3" xr:uid="{00000000-0005-0000-0000-000019000000}"/>
    <cellStyle name="Calculation" xfId="27" builtinId="22" customBuiltin="1"/>
    <cellStyle name="Check Cell" xfId="29" builtinId="23" customBuiltin="1"/>
    <cellStyle name="Data" xfId="14" xr:uid="{00000000-0005-0000-0000-00001C000000}"/>
    <cellStyle name="Data no deci" xfId="61" xr:uid="{00000000-0005-0000-0000-00001D000000}"/>
    <cellStyle name="Explanatory Text" xfId="32" builtinId="53" customBuiltin="1"/>
    <cellStyle name="Followed Hyperlink" xfId="11" builtinId="9" customBuiltin="1"/>
    <cellStyle name="Font: Calibri, 9pt regular" xfId="9" xr:uid="{00000000-0005-0000-0000-000020000000}"/>
    <cellStyle name="Footnotes: all except top row" xfId="12" xr:uid="{00000000-0005-0000-0000-000021000000}"/>
    <cellStyle name="Footnotes: top row" xfId="7" xr:uid="{00000000-0005-0000-0000-000022000000}"/>
    <cellStyle name="Good" xfId="22" builtinId="26" customBuiltin="1"/>
    <cellStyle name="Header: bottom row" xfId="2" xr:uid="{00000000-0005-0000-0000-000024000000}"/>
    <cellStyle name="Header: top rows" xfId="4" xr:uid="{00000000-0005-0000-0000-000025000000}"/>
    <cellStyle name="Heading 1" xfId="18" builtinId="16" customBuiltin="1"/>
    <cellStyle name="Heading 2" xfId="19" builtinId="17" customBuiltin="1"/>
    <cellStyle name="Heading 3" xfId="20" builtinId="18" customBuiltin="1"/>
    <cellStyle name="Heading 4" xfId="21" builtinId="19" customBuiltin="1"/>
    <cellStyle name="Hed Side" xfId="15" xr:uid="{00000000-0005-0000-0000-00002A000000}"/>
    <cellStyle name="Hed Side Regular" xfId="60" xr:uid="{00000000-0005-0000-0000-00002B000000}"/>
    <cellStyle name="Hed Top" xfId="59" xr:uid="{00000000-0005-0000-0000-00002C000000}"/>
    <cellStyle name="Hyperlink" xfId="1" builtinId="8"/>
    <cellStyle name="Hyperlink 2" xfId="10" xr:uid="{00000000-0005-0000-0000-00002E000000}"/>
    <cellStyle name="Input" xfId="25" builtinId="20" customBuiltin="1"/>
    <cellStyle name="Linked Cell" xfId="28" builtinId="24" customBuiltin="1"/>
    <cellStyle name="Neutral" xfId="24" builtinId="28" customBuiltin="1"/>
    <cellStyle name="Normal" xfId="0" builtinId="0"/>
    <cellStyle name="Normal 2" xfId="62" xr:uid="{6BD6DE87-5039-4F46-B9F3-CD2F5894CA3D}"/>
    <cellStyle name="Note" xfId="31" builtinId="10" customBuiltin="1"/>
    <cellStyle name="Output" xfId="26" builtinId="21" customBuiltin="1"/>
    <cellStyle name="Parent row" xfId="6" xr:uid="{00000000-0005-0000-0000-000035000000}"/>
    <cellStyle name="Percent" xfId="16" builtinId="5"/>
    <cellStyle name="Section Break" xfId="8" xr:uid="{00000000-0005-0000-0000-000037000000}"/>
    <cellStyle name="Section Break: parent row" xfId="5" xr:uid="{00000000-0005-0000-0000-000038000000}"/>
    <cellStyle name="Table title" xfId="13" xr:uid="{00000000-0005-0000-0000-000039000000}"/>
    <cellStyle name="Title" xfId="17" builtinId="15" customBuiltin="1"/>
    <cellStyle name="Title-2" xfId="58" xr:uid="{00000000-0005-0000-0000-00003B000000}"/>
    <cellStyle name="Total" xfId="33" builtinId="25" customBuiltin="1"/>
    <cellStyle name="Warning Text" xfId="30" builtinId="11" customBuiltin="1"/>
  </cellStyles>
  <dxfs count="2">
    <dxf>
      <border>
        <left/>
        <right/>
        <top/>
        <bottom style="thick">
          <color theme="4"/>
        </bottom>
        <vertical/>
        <horizontal/>
      </border>
    </dxf>
    <dxf>
      <border>
        <left/>
        <right/>
        <top/>
        <bottom/>
        <vertical/>
        <horizontal style="dotted">
          <color theme="0" tint="-0.24994659260841701"/>
        </horizontal>
      </border>
    </dxf>
  </dxfs>
  <tableStyles count="1" defaultTableStyle="TableStyleMedium2" defaultPivotStyle="PivotStyleLight16">
    <tableStyle name="Table Style 1" pivot="0" count="2" xr9:uid="{00000000-0011-0000-FFFF-FFFF00000000}">
      <tableStyleElement type="wholeTable" dxfId="1"/>
      <tableStyleElement type="headerRow" dxfId="0"/>
    </tableStyle>
  </tableStyles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thoughtco.com/buses-and-other-transit-lifetime-2798844" TargetMode="External"/><Relationship Id="rId2" Type="http://schemas.openxmlformats.org/officeDocument/2006/relationships/hyperlink" Target="http://www.rita.dot.gov/bts/sites/rita.dot.gov.bts/files/publications/special_reports_and_issue_briefs/special_report/2009_05_14/pdf/entire.pdf" TargetMode="External"/><Relationship Id="rId1" Type="http://schemas.openxmlformats.org/officeDocument/2006/relationships/hyperlink" Target="http://www.sco.ca.gov/ard_local_rep_uas_special_dist.html" TargetMode="External"/><Relationship Id="rId4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60"/>
  <sheetViews>
    <sheetView topLeftCell="A32" workbookViewId="0">
      <selection activeCell="B52" sqref="B47:B52"/>
    </sheetView>
  </sheetViews>
  <sheetFormatPr defaultRowHeight="14.25" x14ac:dyDescent="0.45"/>
  <cols>
    <col min="2" max="2" width="132.265625" customWidth="1"/>
  </cols>
  <sheetData>
    <row r="1" spans="1:2" x14ac:dyDescent="0.45">
      <c r="A1" s="1" t="s">
        <v>46</v>
      </c>
    </row>
    <row r="3" spans="1:2" x14ac:dyDescent="0.45">
      <c r="A3" s="1" t="s">
        <v>47</v>
      </c>
      <c r="B3" s="32" t="s">
        <v>49</v>
      </c>
    </row>
    <row r="4" spans="1:2" x14ac:dyDescent="0.45">
      <c r="B4" s="75" t="s">
        <v>133</v>
      </c>
    </row>
    <row r="6" spans="1:2" x14ac:dyDescent="0.45">
      <c r="B6" s="6" t="s">
        <v>50</v>
      </c>
    </row>
    <row r="7" spans="1:2" x14ac:dyDescent="0.45">
      <c r="B7" t="s">
        <v>3</v>
      </c>
    </row>
    <row r="8" spans="1:2" x14ac:dyDescent="0.45">
      <c r="B8" s="9">
        <v>2016</v>
      </c>
    </row>
    <row r="9" spans="1:2" x14ac:dyDescent="0.45">
      <c r="B9" t="s">
        <v>59</v>
      </c>
    </row>
    <row r="10" spans="1:2" x14ac:dyDescent="0.45">
      <c r="B10" s="4" t="s">
        <v>4</v>
      </c>
    </row>
    <row r="11" spans="1:2" x14ac:dyDescent="0.45">
      <c r="B11" t="s">
        <v>79</v>
      </c>
    </row>
    <row r="13" spans="1:2" x14ac:dyDescent="0.45">
      <c r="B13" s="6" t="s">
        <v>90</v>
      </c>
    </row>
    <row r="14" spans="1:2" x14ac:dyDescent="0.45">
      <c r="B14" t="s">
        <v>5</v>
      </c>
    </row>
    <row r="15" spans="1:2" x14ac:dyDescent="0.45">
      <c r="B15" s="9">
        <v>2015</v>
      </c>
    </row>
    <row r="16" spans="1:2" x14ac:dyDescent="0.45">
      <c r="B16" t="s">
        <v>56</v>
      </c>
    </row>
    <row r="17" spans="2:2" x14ac:dyDescent="0.45">
      <c r="B17" s="4" t="s">
        <v>58</v>
      </c>
    </row>
    <row r="18" spans="2:2" x14ac:dyDescent="0.45">
      <c r="B18" t="s">
        <v>57</v>
      </c>
    </row>
    <row r="20" spans="2:2" x14ac:dyDescent="0.45">
      <c r="B20" s="6" t="s">
        <v>91</v>
      </c>
    </row>
    <row r="21" spans="2:2" x14ac:dyDescent="0.45">
      <c r="B21" t="s">
        <v>82</v>
      </c>
    </row>
    <row r="22" spans="2:2" x14ac:dyDescent="0.45">
      <c r="B22" s="9">
        <v>2019</v>
      </c>
    </row>
    <row r="23" spans="2:2" x14ac:dyDescent="0.45">
      <c r="B23" t="s">
        <v>83</v>
      </c>
    </row>
    <row r="24" spans="2:2" x14ac:dyDescent="0.45">
      <c r="B24" s="4" t="s">
        <v>84</v>
      </c>
    </row>
    <row r="26" spans="2:2" x14ac:dyDescent="0.45">
      <c r="B26" s="6" t="s">
        <v>52</v>
      </c>
    </row>
    <row r="27" spans="2:2" x14ac:dyDescent="0.45">
      <c r="B27" t="s">
        <v>26</v>
      </c>
    </row>
    <row r="28" spans="2:2" x14ac:dyDescent="0.45">
      <c r="B28" s="9">
        <v>2013</v>
      </c>
    </row>
    <row r="29" spans="2:2" x14ac:dyDescent="0.45">
      <c r="B29" t="s">
        <v>27</v>
      </c>
    </row>
    <row r="30" spans="2:2" x14ac:dyDescent="0.45">
      <c r="B30" s="4" t="s">
        <v>25</v>
      </c>
    </row>
    <row r="31" spans="2:2" x14ac:dyDescent="0.45">
      <c r="B31" t="s">
        <v>28</v>
      </c>
    </row>
    <row r="33" spans="2:2" x14ac:dyDescent="0.45">
      <c r="B33" s="6" t="s">
        <v>53</v>
      </c>
    </row>
    <row r="34" spans="2:2" x14ac:dyDescent="0.45">
      <c r="B34" t="s">
        <v>12</v>
      </c>
    </row>
    <row r="35" spans="2:2" x14ac:dyDescent="0.45">
      <c r="B35" t="s">
        <v>13</v>
      </c>
    </row>
    <row r="36" spans="2:2" x14ac:dyDescent="0.45">
      <c r="B36" t="s">
        <v>14</v>
      </c>
    </row>
    <row r="37" spans="2:2" x14ac:dyDescent="0.45">
      <c r="B37" s="19" t="s">
        <v>15</v>
      </c>
    </row>
    <row r="38" spans="2:2" x14ac:dyDescent="0.45">
      <c r="B38" t="s">
        <v>16</v>
      </c>
    </row>
    <row r="40" spans="2:2" x14ac:dyDescent="0.45">
      <c r="B40" s="6" t="s">
        <v>54</v>
      </c>
    </row>
    <row r="41" spans="2:2" x14ac:dyDescent="0.45">
      <c r="B41" t="s">
        <v>3</v>
      </c>
    </row>
    <row r="42" spans="2:2" x14ac:dyDescent="0.45">
      <c r="B42" s="9">
        <v>2009</v>
      </c>
    </row>
    <row r="43" spans="2:2" x14ac:dyDescent="0.45">
      <c r="B43" t="s">
        <v>36</v>
      </c>
    </row>
    <row r="44" spans="2:2" x14ac:dyDescent="0.45">
      <c r="B44" s="19" t="s">
        <v>37</v>
      </c>
    </row>
    <row r="45" spans="2:2" x14ac:dyDescent="0.45">
      <c r="B45" t="s">
        <v>38</v>
      </c>
    </row>
    <row r="47" spans="2:2" x14ac:dyDescent="0.45">
      <c r="B47" s="77" t="s">
        <v>213</v>
      </c>
    </row>
    <row r="48" spans="2:2" x14ac:dyDescent="0.45">
      <c r="B48" s="9">
        <v>2025</v>
      </c>
    </row>
    <row r="49" spans="1:2" x14ac:dyDescent="0.45">
      <c r="B49" t="s">
        <v>214</v>
      </c>
    </row>
    <row r="50" spans="1:2" x14ac:dyDescent="0.45">
      <c r="B50" t="s">
        <v>216</v>
      </c>
    </row>
    <row r="51" spans="1:2" x14ac:dyDescent="0.45">
      <c r="B51" t="s">
        <v>215</v>
      </c>
    </row>
    <row r="52" spans="1:2" x14ac:dyDescent="0.45">
      <c r="B52" t="s">
        <v>217</v>
      </c>
    </row>
    <row r="53" spans="1:2" x14ac:dyDescent="0.45">
      <c r="A53" s="1" t="s">
        <v>80</v>
      </c>
    </row>
    <row r="54" spans="1:2" x14ac:dyDescent="0.45">
      <c r="A54" t="s">
        <v>81</v>
      </c>
    </row>
    <row r="56" spans="1:2" x14ac:dyDescent="0.45">
      <c r="A56" t="s">
        <v>134</v>
      </c>
    </row>
    <row r="58" spans="1:2" x14ac:dyDescent="0.45">
      <c r="A58" t="s">
        <v>92</v>
      </c>
    </row>
    <row r="60" spans="1:2" x14ac:dyDescent="0.45">
      <c r="A60" t="s">
        <v>93</v>
      </c>
    </row>
  </sheetData>
  <hyperlinks>
    <hyperlink ref="B37" r:id="rId1" xr:uid="{00000000-0004-0000-0000-000001000000}"/>
    <hyperlink ref="B44" r:id="rId2" xr:uid="{00000000-0004-0000-0000-000002000000}"/>
    <hyperlink ref="B24" r:id="rId3" xr:uid="{00000000-0004-0000-0000-000003000000}"/>
  </hyperlinks>
  <pageMargins left="0.7" right="0.7" top="0.75" bottom="0.75" header="0.3" footer="0.3"/>
  <pageSetup orientation="portrait" horizontalDpi="1200" verticalDpi="1200"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9C4A93-28F7-4CED-928D-DBC0E004F0EE}">
  <sheetPr>
    <tabColor theme="0" tint="-0.499984740745262"/>
  </sheetPr>
  <dimension ref="A1"/>
  <sheetViews>
    <sheetView workbookViewId="0"/>
  </sheetViews>
  <sheetFormatPr defaultRowHeight="14.25" x14ac:dyDescent="0.4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B61"/>
  <sheetViews>
    <sheetView workbookViewId="0">
      <selection sqref="A1:AB1"/>
    </sheetView>
  </sheetViews>
  <sheetFormatPr defaultColWidth="9.1328125" defaultRowHeight="14.25" x14ac:dyDescent="0.45"/>
  <cols>
    <col min="1" max="1" width="19.3984375" customWidth="1"/>
    <col min="2" max="27" width="7.73046875" customWidth="1"/>
    <col min="28" max="28" width="7.1328125" customWidth="1"/>
  </cols>
  <sheetData>
    <row r="1" spans="1:54" ht="16.5" customHeight="1" thickBot="1" x14ac:dyDescent="0.5">
      <c r="A1" s="79" t="s">
        <v>60</v>
      </c>
      <c r="B1" s="79"/>
      <c r="C1" s="79"/>
      <c r="D1" s="79"/>
      <c r="E1" s="79"/>
      <c r="F1" s="79"/>
      <c r="G1" s="79"/>
      <c r="H1" s="79"/>
      <c r="I1" s="79"/>
      <c r="J1" s="79"/>
      <c r="K1" s="79"/>
      <c r="L1" s="79"/>
      <c r="M1" s="79"/>
      <c r="N1" s="79"/>
      <c r="O1" s="79"/>
      <c r="P1" s="79"/>
      <c r="Q1" s="79"/>
      <c r="R1" s="79"/>
      <c r="S1" s="79"/>
      <c r="T1" s="79"/>
      <c r="U1" s="79"/>
      <c r="V1" s="79"/>
      <c r="W1" s="79"/>
      <c r="X1" s="79"/>
      <c r="Y1" s="79"/>
      <c r="Z1" s="79"/>
      <c r="AA1" s="79"/>
      <c r="AB1" s="79"/>
      <c r="AC1" s="80"/>
      <c r="AD1" s="80"/>
      <c r="AE1" s="80"/>
      <c r="AF1" s="80"/>
      <c r="AG1" s="80"/>
      <c r="AH1" s="80"/>
      <c r="AI1" s="80"/>
      <c r="AJ1" s="80"/>
      <c r="AK1" s="80"/>
      <c r="AL1" s="80"/>
      <c r="AM1" s="80"/>
      <c r="AN1" s="80"/>
      <c r="AO1" s="80"/>
      <c r="AP1" s="80"/>
      <c r="AQ1" s="80"/>
      <c r="AR1" s="80"/>
      <c r="AS1" s="80"/>
      <c r="AT1" s="80"/>
      <c r="AU1" s="80"/>
      <c r="AV1" s="80"/>
      <c r="AW1" s="80"/>
      <c r="AX1" s="80"/>
      <c r="AY1" s="80"/>
      <c r="AZ1" s="80"/>
      <c r="BA1" s="80"/>
      <c r="BB1" s="80"/>
    </row>
    <row r="2" spans="1:54" ht="16.5" customHeight="1" x14ac:dyDescent="0.45">
      <c r="A2" s="38"/>
      <c r="B2" s="39">
        <v>1980</v>
      </c>
      <c r="C2" s="40">
        <v>1985</v>
      </c>
      <c r="D2" s="40">
        <v>1990</v>
      </c>
      <c r="E2" s="40">
        <v>1991</v>
      </c>
      <c r="F2" s="40">
        <v>1992</v>
      </c>
      <c r="G2" s="40">
        <v>1993</v>
      </c>
      <c r="H2" s="40">
        <v>1994</v>
      </c>
      <c r="I2" s="40">
        <v>1995</v>
      </c>
      <c r="J2" s="40">
        <v>1996</v>
      </c>
      <c r="K2" s="40">
        <v>1997</v>
      </c>
      <c r="L2" s="40">
        <v>1998</v>
      </c>
      <c r="M2" s="40">
        <v>1999</v>
      </c>
      <c r="N2" s="40">
        <v>2000</v>
      </c>
      <c r="O2" s="40">
        <v>2001</v>
      </c>
      <c r="P2" s="40">
        <v>2002</v>
      </c>
      <c r="Q2" s="40">
        <v>2003</v>
      </c>
      <c r="R2" s="40">
        <v>2004</v>
      </c>
      <c r="S2" s="40">
        <v>2005</v>
      </c>
      <c r="T2" s="40">
        <v>2006</v>
      </c>
      <c r="U2" s="40">
        <v>2007</v>
      </c>
      <c r="V2" s="40">
        <v>2008</v>
      </c>
      <c r="W2" s="40">
        <v>2009</v>
      </c>
      <c r="X2" s="40">
        <v>2010</v>
      </c>
      <c r="Y2" s="40">
        <v>2011</v>
      </c>
      <c r="Z2" s="41">
        <v>2012</v>
      </c>
      <c r="AA2" s="40">
        <v>2013</v>
      </c>
      <c r="AB2" s="42">
        <v>2014</v>
      </c>
      <c r="AC2" s="43"/>
      <c r="AD2" s="44"/>
      <c r="AE2" s="44"/>
      <c r="AF2" s="44"/>
      <c r="AG2" s="44"/>
      <c r="AH2" s="44"/>
      <c r="AI2" s="44"/>
      <c r="AJ2" s="44"/>
      <c r="AK2" s="44"/>
      <c r="AL2" s="44"/>
      <c r="AM2" s="44"/>
      <c r="AN2" s="44"/>
      <c r="AO2" s="44"/>
      <c r="AP2" s="44"/>
      <c r="AQ2" s="44"/>
      <c r="AR2" s="44"/>
      <c r="AS2" s="44"/>
      <c r="AT2" s="44"/>
      <c r="AU2" s="45"/>
      <c r="AV2" s="45"/>
      <c r="AW2" s="45"/>
      <c r="AX2" s="45"/>
      <c r="AY2" s="45"/>
      <c r="AZ2" s="45"/>
      <c r="BA2" s="45"/>
      <c r="BB2" s="46"/>
    </row>
    <row r="3" spans="1:54" ht="16.5" customHeight="1" x14ac:dyDescent="0.45">
      <c r="A3" s="47" t="s">
        <v>61</v>
      </c>
      <c r="B3" s="48">
        <v>11306</v>
      </c>
      <c r="C3" s="48">
        <v>14460</v>
      </c>
      <c r="D3" s="48">
        <v>12615</v>
      </c>
      <c r="E3" s="48">
        <v>12573</v>
      </c>
      <c r="F3" s="48">
        <v>12172</v>
      </c>
      <c r="G3" s="48">
        <v>13211</v>
      </c>
      <c r="H3" s="48">
        <v>14125</v>
      </c>
      <c r="I3" s="48">
        <v>15145</v>
      </c>
      <c r="J3" s="48">
        <v>13144</v>
      </c>
      <c r="K3" s="48">
        <v>14458</v>
      </c>
      <c r="L3" s="48">
        <v>14456</v>
      </c>
      <c r="M3" s="48">
        <v>15215</v>
      </c>
      <c r="N3" s="48">
        <v>16571</v>
      </c>
      <c r="O3" s="48">
        <v>15605</v>
      </c>
      <c r="P3" s="48">
        <v>16115</v>
      </c>
      <c r="Q3" s="48">
        <v>15773</v>
      </c>
      <c r="R3" s="48">
        <v>15709</v>
      </c>
      <c r="S3" s="48">
        <v>15892</v>
      </c>
      <c r="T3" s="48">
        <v>15104</v>
      </c>
      <c r="U3" s="48">
        <v>15276</v>
      </c>
      <c r="V3" s="48">
        <v>13898</v>
      </c>
      <c r="W3" s="48">
        <v>9316</v>
      </c>
      <c r="X3" s="48">
        <v>11110</v>
      </c>
      <c r="Y3" s="48">
        <v>12003</v>
      </c>
      <c r="Z3" s="48">
        <v>13438</v>
      </c>
      <c r="AA3" s="48">
        <v>14846</v>
      </c>
      <c r="AB3" s="49" t="s">
        <v>62</v>
      </c>
      <c r="AC3" s="47"/>
      <c r="AD3" s="48"/>
      <c r="AE3" s="48"/>
      <c r="AF3" s="48"/>
      <c r="AG3" s="48"/>
      <c r="AH3" s="48"/>
      <c r="AI3" s="48"/>
      <c r="AJ3" s="48"/>
      <c r="AK3" s="48"/>
      <c r="AL3" s="48"/>
      <c r="AM3" s="48"/>
      <c r="AN3" s="48"/>
      <c r="AO3" s="48"/>
      <c r="AP3" s="48"/>
      <c r="AQ3" s="48"/>
      <c r="AR3" s="48"/>
      <c r="AS3" s="48"/>
      <c r="AT3" s="48"/>
      <c r="AU3" s="48"/>
      <c r="AV3" s="48"/>
      <c r="AW3" s="48"/>
      <c r="AX3" s="48"/>
      <c r="AY3" s="48"/>
      <c r="AZ3" s="48"/>
      <c r="BA3" s="48"/>
      <c r="BB3" s="48"/>
    </row>
    <row r="4" spans="1:54" ht="16.5" customHeight="1" x14ac:dyDescent="0.45">
      <c r="A4" s="50" t="s">
        <v>63</v>
      </c>
      <c r="B4" s="51">
        <v>9443</v>
      </c>
      <c r="C4" s="51">
        <v>10791</v>
      </c>
      <c r="D4" s="51">
        <v>8810</v>
      </c>
      <c r="E4" s="51">
        <v>8524</v>
      </c>
      <c r="F4" s="51">
        <v>8108</v>
      </c>
      <c r="G4" s="51">
        <v>8456</v>
      </c>
      <c r="H4" s="51">
        <v>8415</v>
      </c>
      <c r="I4" s="51">
        <v>9396</v>
      </c>
      <c r="J4" s="51">
        <v>7890</v>
      </c>
      <c r="K4" s="51">
        <v>8334</v>
      </c>
      <c r="L4" s="51">
        <v>7971</v>
      </c>
      <c r="M4" s="51">
        <v>8376</v>
      </c>
      <c r="N4" s="51">
        <v>9125</v>
      </c>
      <c r="O4" s="51">
        <v>8405</v>
      </c>
      <c r="P4" s="51">
        <v>8301</v>
      </c>
      <c r="Q4" s="51">
        <v>7921</v>
      </c>
      <c r="R4" s="51">
        <v>7537</v>
      </c>
      <c r="S4" s="51">
        <v>8027</v>
      </c>
      <c r="T4" s="51">
        <v>7993</v>
      </c>
      <c r="U4" s="51">
        <v>8082</v>
      </c>
      <c r="V4" s="51">
        <v>7319</v>
      </c>
      <c r="W4" s="51">
        <v>5636</v>
      </c>
      <c r="X4" s="51">
        <v>6055</v>
      </c>
      <c r="Y4" s="52">
        <v>5728</v>
      </c>
      <c r="Z4" s="52">
        <v>7379</v>
      </c>
      <c r="AA4" s="52">
        <v>7907</v>
      </c>
      <c r="AB4" s="51" t="s">
        <v>62</v>
      </c>
      <c r="AC4" s="50"/>
      <c r="AD4" s="51"/>
      <c r="AE4" s="51"/>
      <c r="AF4" s="51"/>
      <c r="AG4" s="51"/>
      <c r="AH4" s="51"/>
      <c r="AI4" s="51"/>
      <c r="AJ4" s="51"/>
      <c r="AK4" s="51"/>
      <c r="AL4" s="51"/>
      <c r="AM4" s="51"/>
      <c r="AN4" s="51"/>
      <c r="AO4" s="51"/>
      <c r="AP4" s="51"/>
      <c r="AQ4" s="51"/>
      <c r="AR4" s="51"/>
      <c r="AS4" s="51"/>
      <c r="AT4" s="51"/>
      <c r="AU4" s="51"/>
      <c r="AV4" s="51"/>
      <c r="AW4" s="51"/>
      <c r="AX4" s="51"/>
      <c r="AY4" s="51"/>
      <c r="AZ4" s="51"/>
      <c r="BA4" s="52"/>
      <c r="BB4" s="52"/>
    </row>
    <row r="5" spans="1:54" ht="16.5" customHeight="1" x14ac:dyDescent="0.45">
      <c r="A5" s="50" t="s">
        <v>64</v>
      </c>
      <c r="B5" s="51">
        <v>0</v>
      </c>
      <c r="C5" s="51">
        <v>88</v>
      </c>
      <c r="D5" s="51">
        <v>65</v>
      </c>
      <c r="E5" s="51">
        <v>224</v>
      </c>
      <c r="F5" s="51">
        <v>243</v>
      </c>
      <c r="G5" s="51">
        <v>473</v>
      </c>
      <c r="H5" s="51">
        <v>332</v>
      </c>
      <c r="I5" s="51">
        <v>220</v>
      </c>
      <c r="J5" s="51">
        <v>287</v>
      </c>
      <c r="K5" s="51">
        <v>361</v>
      </c>
      <c r="L5" s="51">
        <v>454</v>
      </c>
      <c r="M5" s="51">
        <v>488</v>
      </c>
      <c r="N5" s="51">
        <v>617</v>
      </c>
      <c r="O5" s="51">
        <v>743</v>
      </c>
      <c r="P5" s="51">
        <v>603</v>
      </c>
      <c r="Q5" s="51">
        <v>575</v>
      </c>
      <c r="R5" s="51">
        <v>639</v>
      </c>
      <c r="S5" s="51">
        <v>813</v>
      </c>
      <c r="T5" s="51">
        <v>751</v>
      </c>
      <c r="U5" s="51">
        <v>919</v>
      </c>
      <c r="V5" s="51">
        <v>924</v>
      </c>
      <c r="W5" s="51">
        <v>608</v>
      </c>
      <c r="X5" s="51">
        <v>915</v>
      </c>
      <c r="Y5" s="52">
        <v>1207</v>
      </c>
      <c r="Z5" s="52">
        <v>1269</v>
      </c>
      <c r="AA5" s="52">
        <v>1470</v>
      </c>
      <c r="AB5" s="51" t="s">
        <v>62</v>
      </c>
      <c r="AC5" s="50"/>
      <c r="AD5" s="51"/>
      <c r="AE5" s="51"/>
      <c r="AF5" s="51"/>
      <c r="AG5" s="51"/>
      <c r="AH5" s="51"/>
      <c r="AI5" s="51"/>
      <c r="AJ5" s="51"/>
      <c r="AK5" s="51"/>
      <c r="AL5" s="51"/>
      <c r="AM5" s="51"/>
      <c r="AN5" s="51"/>
      <c r="AO5" s="51"/>
      <c r="AP5" s="51"/>
      <c r="AQ5" s="51"/>
      <c r="AR5" s="51"/>
      <c r="AS5" s="51"/>
      <c r="AT5" s="51"/>
      <c r="AU5" s="51"/>
      <c r="AV5" s="51"/>
      <c r="AW5" s="51"/>
      <c r="AX5" s="51"/>
      <c r="AY5" s="51"/>
      <c r="AZ5" s="51"/>
      <c r="BA5" s="52"/>
      <c r="BB5" s="52"/>
    </row>
    <row r="6" spans="1:54" ht="16.5" customHeight="1" x14ac:dyDescent="0.45">
      <c r="A6" s="50" t="s">
        <v>65</v>
      </c>
      <c r="B6" s="51">
        <v>1437</v>
      </c>
      <c r="C6" s="51">
        <v>2078</v>
      </c>
      <c r="D6" s="51">
        <v>1835</v>
      </c>
      <c r="E6" s="51">
        <v>1920</v>
      </c>
      <c r="F6" s="51">
        <v>1840</v>
      </c>
      <c r="G6" s="51">
        <v>2002</v>
      </c>
      <c r="H6" s="51">
        <v>2669</v>
      </c>
      <c r="I6" s="51">
        <v>2271</v>
      </c>
      <c r="J6" s="51">
        <v>1955</v>
      </c>
      <c r="K6" s="51">
        <v>2408</v>
      </c>
      <c r="L6" s="51">
        <v>2415</v>
      </c>
      <c r="M6" s="51">
        <v>2544</v>
      </c>
      <c r="N6" s="51">
        <v>2612</v>
      </c>
      <c r="O6" s="51">
        <v>2519</v>
      </c>
      <c r="P6" s="51">
        <v>2380</v>
      </c>
      <c r="Q6" s="51">
        <v>2474</v>
      </c>
      <c r="R6" s="51">
        <v>2505</v>
      </c>
      <c r="S6" s="51">
        <v>2300</v>
      </c>
      <c r="T6" s="51">
        <v>2188</v>
      </c>
      <c r="U6" s="51">
        <v>2113</v>
      </c>
      <c r="V6" s="51">
        <v>1794</v>
      </c>
      <c r="W6" s="51">
        <v>989</v>
      </c>
      <c r="X6" s="51">
        <v>1276</v>
      </c>
      <c r="Y6" s="52">
        <v>1479</v>
      </c>
      <c r="Z6" s="52">
        <v>1357</v>
      </c>
      <c r="AA6" s="52">
        <v>1577</v>
      </c>
      <c r="AB6" s="51" t="s">
        <v>62</v>
      </c>
      <c r="AC6" s="50"/>
      <c r="AD6" s="51"/>
      <c r="AE6" s="51"/>
      <c r="AF6" s="51"/>
      <c r="AG6" s="51"/>
      <c r="AH6" s="51"/>
      <c r="AI6" s="51"/>
      <c r="AJ6" s="51"/>
      <c r="AK6" s="51"/>
      <c r="AL6" s="51"/>
      <c r="AM6" s="51"/>
      <c r="AN6" s="51"/>
      <c r="AO6" s="51"/>
      <c r="AP6" s="51"/>
      <c r="AQ6" s="51"/>
      <c r="AR6" s="51"/>
      <c r="AS6" s="51"/>
      <c r="AT6" s="51"/>
      <c r="AU6" s="51"/>
      <c r="AV6" s="51"/>
      <c r="AW6" s="51"/>
      <c r="AX6" s="51"/>
      <c r="AY6" s="51"/>
      <c r="AZ6" s="51"/>
      <c r="BA6" s="52"/>
      <c r="BB6" s="52"/>
    </row>
    <row r="7" spans="1:54" ht="16.5" customHeight="1" x14ac:dyDescent="0.45">
      <c r="A7" s="50" t="s">
        <v>66</v>
      </c>
      <c r="B7" s="51">
        <v>242</v>
      </c>
      <c r="C7" s="51">
        <v>855</v>
      </c>
      <c r="D7" s="51">
        <v>1262</v>
      </c>
      <c r="E7" s="51">
        <v>1034</v>
      </c>
      <c r="F7" s="51">
        <v>1221</v>
      </c>
      <c r="G7" s="51">
        <v>1441</v>
      </c>
      <c r="H7" s="51">
        <v>1418</v>
      </c>
      <c r="I7" s="51">
        <v>1662</v>
      </c>
      <c r="J7" s="51">
        <v>1409</v>
      </c>
      <c r="K7" s="51">
        <v>1265</v>
      </c>
      <c r="L7" s="51">
        <v>1489</v>
      </c>
      <c r="M7" s="51">
        <v>1463</v>
      </c>
      <c r="N7" s="51">
        <v>1691</v>
      </c>
      <c r="O7" s="51">
        <v>1232</v>
      </c>
      <c r="P7" s="51">
        <v>1243</v>
      </c>
      <c r="Q7" s="51">
        <v>1232</v>
      </c>
      <c r="R7" s="51">
        <v>953</v>
      </c>
      <c r="S7" s="51">
        <v>1481</v>
      </c>
      <c r="T7" s="51">
        <v>1166</v>
      </c>
      <c r="U7" s="51">
        <v>847</v>
      </c>
      <c r="V7" s="51">
        <v>790</v>
      </c>
      <c r="W7" s="51">
        <v>368</v>
      </c>
      <c r="X7" s="51">
        <v>559</v>
      </c>
      <c r="Y7" s="52">
        <v>521</v>
      </c>
      <c r="Z7" s="52">
        <v>661</v>
      </c>
      <c r="AA7" s="52">
        <v>571</v>
      </c>
      <c r="AB7" s="51" t="s">
        <v>62</v>
      </c>
      <c r="AC7" s="50"/>
      <c r="AD7" s="51"/>
      <c r="AE7" s="51"/>
      <c r="AF7" s="51"/>
      <c r="AG7" s="51"/>
      <c r="AH7" s="51"/>
      <c r="AI7" s="51"/>
      <c r="AJ7" s="51"/>
      <c r="AK7" s="51"/>
      <c r="AL7" s="51"/>
      <c r="AM7" s="51"/>
      <c r="AN7" s="51"/>
      <c r="AO7" s="51"/>
      <c r="AP7" s="51"/>
      <c r="AQ7" s="51"/>
      <c r="AR7" s="51"/>
      <c r="AS7" s="51"/>
      <c r="AT7" s="51"/>
      <c r="AU7" s="51"/>
      <c r="AV7" s="51"/>
      <c r="AW7" s="51"/>
      <c r="AX7" s="51"/>
      <c r="AY7" s="51"/>
      <c r="AZ7" s="51"/>
      <c r="BA7" s="52"/>
      <c r="BB7" s="52"/>
    </row>
    <row r="8" spans="1:54" ht="16.5" customHeight="1" x14ac:dyDescent="0.45">
      <c r="A8" s="50" t="s">
        <v>67</v>
      </c>
      <c r="B8" s="51">
        <v>184</v>
      </c>
      <c r="C8" s="51">
        <v>648</v>
      </c>
      <c r="D8" s="51">
        <v>643</v>
      </c>
      <c r="E8" s="51">
        <v>871</v>
      </c>
      <c r="F8" s="51">
        <v>761</v>
      </c>
      <c r="G8" s="51">
        <v>838</v>
      </c>
      <c r="H8" s="51">
        <v>1291</v>
      </c>
      <c r="I8" s="51">
        <v>1596</v>
      </c>
      <c r="J8" s="51">
        <v>1603</v>
      </c>
      <c r="K8" s="51">
        <v>2089</v>
      </c>
      <c r="L8" s="51">
        <v>2127</v>
      </c>
      <c r="M8" s="51">
        <v>2342</v>
      </c>
      <c r="N8" s="51">
        <v>2526</v>
      </c>
      <c r="O8" s="51">
        <v>2707</v>
      </c>
      <c r="P8" s="51">
        <v>3588</v>
      </c>
      <c r="Q8" s="51">
        <v>3571</v>
      </c>
      <c r="R8" s="51">
        <v>4075</v>
      </c>
      <c r="S8" s="51">
        <v>3272</v>
      </c>
      <c r="T8" s="51">
        <v>3006</v>
      </c>
      <c r="U8" s="51">
        <v>3314</v>
      </c>
      <c r="V8" s="51">
        <v>3072</v>
      </c>
      <c r="W8" s="51">
        <v>1713</v>
      </c>
      <c r="X8" s="51">
        <v>2305</v>
      </c>
      <c r="Y8" s="52">
        <v>3069</v>
      </c>
      <c r="Z8" s="52">
        <v>2773</v>
      </c>
      <c r="AA8" s="52">
        <v>3321</v>
      </c>
      <c r="AB8" s="51" t="s">
        <v>62</v>
      </c>
      <c r="AC8" s="50"/>
      <c r="AD8" s="51"/>
      <c r="AE8" s="51"/>
      <c r="AF8" s="51"/>
      <c r="AG8" s="51"/>
      <c r="AH8" s="51"/>
      <c r="AI8" s="51"/>
      <c r="AJ8" s="51"/>
      <c r="AK8" s="51"/>
      <c r="AL8" s="51"/>
      <c r="AM8" s="51"/>
      <c r="AN8" s="51"/>
      <c r="AO8" s="51"/>
      <c r="AP8" s="51"/>
      <c r="AQ8" s="51"/>
      <c r="AR8" s="51"/>
      <c r="AS8" s="51"/>
      <c r="AT8" s="51"/>
      <c r="AU8" s="51"/>
      <c r="AV8" s="51"/>
      <c r="AW8" s="51"/>
      <c r="AX8" s="51"/>
      <c r="AY8" s="51"/>
      <c r="AZ8" s="51"/>
      <c r="BA8" s="52"/>
      <c r="BB8" s="52"/>
    </row>
    <row r="9" spans="1:54" ht="16.5" customHeight="1" x14ac:dyDescent="0.45">
      <c r="A9" s="53" t="s">
        <v>68</v>
      </c>
      <c r="B9" s="54"/>
      <c r="C9" s="54"/>
      <c r="D9" s="54"/>
      <c r="E9" s="54"/>
      <c r="F9" s="54"/>
      <c r="G9" s="54"/>
      <c r="H9" s="54"/>
      <c r="I9" s="54"/>
      <c r="J9" s="54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4"/>
      <c r="AB9" s="54"/>
      <c r="AC9" s="53"/>
      <c r="AD9" s="54"/>
      <c r="AE9" s="54"/>
      <c r="AF9" s="54"/>
      <c r="AG9" s="54"/>
      <c r="AH9" s="54"/>
      <c r="AI9" s="54"/>
      <c r="AJ9" s="54"/>
      <c r="AK9" s="54"/>
      <c r="AL9" s="54"/>
      <c r="AM9" s="54"/>
      <c r="AN9" s="54"/>
      <c r="AO9" s="54"/>
      <c r="AP9" s="54"/>
      <c r="AQ9" s="54"/>
      <c r="AR9" s="54"/>
      <c r="AS9" s="54"/>
      <c r="AT9" s="54"/>
      <c r="AU9" s="54"/>
      <c r="AV9" s="54"/>
      <c r="AW9" s="54"/>
      <c r="AX9" s="54"/>
      <c r="AY9" s="54"/>
      <c r="AZ9" s="54"/>
      <c r="BA9" s="54"/>
      <c r="BB9" s="54"/>
    </row>
    <row r="10" spans="1:54" ht="16.5" customHeight="1" x14ac:dyDescent="0.45">
      <c r="A10" s="50" t="s">
        <v>63</v>
      </c>
      <c r="B10" s="55">
        <f>B4/B$3*100</f>
        <v>83.522023704227848</v>
      </c>
      <c r="C10" s="55">
        <f>C4/C$3*100</f>
        <v>74.626556016597505</v>
      </c>
      <c r="D10" s="55">
        <v>69.8</v>
      </c>
      <c r="E10" s="55">
        <v>67.800000000000011</v>
      </c>
      <c r="F10" s="55">
        <v>66.600000000000009</v>
      </c>
      <c r="G10" s="55">
        <v>64</v>
      </c>
      <c r="H10" s="55">
        <v>59.599999999999994</v>
      </c>
      <c r="I10" s="55">
        <v>62</v>
      </c>
      <c r="J10" s="55">
        <v>60</v>
      </c>
      <c r="K10" s="55">
        <v>57.599999999999994</v>
      </c>
      <c r="L10" s="55">
        <v>55.1</v>
      </c>
      <c r="M10" s="55">
        <v>55.1</v>
      </c>
      <c r="N10" s="55">
        <v>55.1</v>
      </c>
      <c r="O10" s="55">
        <v>53.900000000000006</v>
      </c>
      <c r="P10" s="55">
        <v>51.5</v>
      </c>
      <c r="Q10" s="55">
        <v>50.2</v>
      </c>
      <c r="R10" s="55">
        <v>48</v>
      </c>
      <c r="S10" s="55">
        <v>50.5</v>
      </c>
      <c r="T10" s="55">
        <v>52.900000000000006</v>
      </c>
      <c r="U10" s="55">
        <v>52.900000000000006</v>
      </c>
      <c r="V10" s="55">
        <v>52.7</v>
      </c>
      <c r="W10" s="55">
        <v>60.5</v>
      </c>
      <c r="X10" s="55">
        <v>54.500000000000007</v>
      </c>
      <c r="Y10" s="55">
        <v>47.699999999999996</v>
      </c>
      <c r="Z10" s="55">
        <v>54.900000000000006</v>
      </c>
      <c r="AA10" s="55">
        <v>53.300000000000004</v>
      </c>
      <c r="AB10" s="55">
        <v>51.300000000000004</v>
      </c>
      <c r="AC10" s="50"/>
      <c r="AD10" s="56"/>
      <c r="AE10" s="56"/>
      <c r="AF10" s="56"/>
      <c r="AG10" s="56"/>
      <c r="AH10" s="56"/>
      <c r="AI10" s="56"/>
      <c r="AJ10" s="56"/>
      <c r="AK10" s="56"/>
      <c r="AL10" s="56"/>
      <c r="AM10" s="56"/>
      <c r="AN10" s="56"/>
      <c r="AO10" s="56"/>
      <c r="AP10" s="56"/>
      <c r="AQ10" s="56"/>
      <c r="AR10" s="56"/>
      <c r="AS10" s="56"/>
      <c r="AT10" s="56"/>
      <c r="AU10" s="56"/>
      <c r="AV10" s="56"/>
      <c r="AW10" s="56"/>
      <c r="AX10" s="56"/>
      <c r="AY10" s="56"/>
      <c r="AZ10" s="56"/>
      <c r="BA10" s="56"/>
      <c r="BB10" s="56"/>
    </row>
    <row r="11" spans="1:54" ht="16.5" customHeight="1" x14ac:dyDescent="0.45">
      <c r="A11" s="50" t="s">
        <v>64</v>
      </c>
      <c r="B11" s="55">
        <v>0</v>
      </c>
      <c r="C11" s="55">
        <v>0.6</v>
      </c>
      <c r="D11" s="55">
        <v>0.5</v>
      </c>
      <c r="E11" s="55">
        <v>1.7999999999999998</v>
      </c>
      <c r="F11" s="55">
        <v>2</v>
      </c>
      <c r="G11" s="55">
        <v>3.5999999999999996</v>
      </c>
      <c r="H11" s="55">
        <v>2.2999999999999998</v>
      </c>
      <c r="I11" s="55">
        <v>1.5</v>
      </c>
      <c r="J11" s="55">
        <v>2.1999999999999997</v>
      </c>
      <c r="K11" s="55">
        <v>2.5</v>
      </c>
      <c r="L11" s="55">
        <v>3.1</v>
      </c>
      <c r="M11" s="55">
        <v>3.2</v>
      </c>
      <c r="N11" s="55">
        <v>3.6999999999999997</v>
      </c>
      <c r="O11" s="55">
        <v>4.8</v>
      </c>
      <c r="P11" s="55">
        <v>3.6999999999999997</v>
      </c>
      <c r="Q11" s="55">
        <v>3.5999999999999996</v>
      </c>
      <c r="R11" s="55">
        <v>4.1000000000000005</v>
      </c>
      <c r="S11" s="55">
        <v>5.0999999999999996</v>
      </c>
      <c r="T11" s="55">
        <v>5</v>
      </c>
      <c r="U11" s="55">
        <v>6</v>
      </c>
      <c r="V11" s="55">
        <v>6.6000000000000005</v>
      </c>
      <c r="W11" s="55">
        <v>6.5</v>
      </c>
      <c r="X11" s="55">
        <v>8.2000000000000011</v>
      </c>
      <c r="Y11" s="55">
        <v>10.100000000000001</v>
      </c>
      <c r="Z11" s="55">
        <v>9.4</v>
      </c>
      <c r="AA11" s="55">
        <v>9.9</v>
      </c>
      <c r="AB11" s="55">
        <v>10</v>
      </c>
      <c r="AC11" s="50"/>
      <c r="AD11" s="56"/>
      <c r="AE11" s="56"/>
      <c r="AF11" s="56"/>
      <c r="AG11" s="56"/>
      <c r="AH11" s="56"/>
      <c r="AI11" s="56"/>
      <c r="AJ11" s="56"/>
      <c r="AK11" s="56"/>
      <c r="AL11" s="56"/>
      <c r="AM11" s="56"/>
      <c r="AN11" s="56"/>
      <c r="AO11" s="56"/>
      <c r="AP11" s="56"/>
      <c r="AQ11" s="56"/>
      <c r="AR11" s="56"/>
      <c r="AS11" s="56"/>
      <c r="AT11" s="56"/>
      <c r="AU11" s="56"/>
      <c r="AV11" s="56"/>
      <c r="AW11" s="56"/>
      <c r="AX11" s="56"/>
      <c r="AY11" s="56"/>
      <c r="AZ11" s="56"/>
      <c r="BA11" s="56"/>
      <c r="BB11" s="56"/>
    </row>
    <row r="12" spans="1:54" ht="16.5" customHeight="1" x14ac:dyDescent="0.45">
      <c r="A12" s="50" t="s">
        <v>65</v>
      </c>
      <c r="B12" s="57">
        <v>12.7</v>
      </c>
      <c r="C12" s="55">
        <v>14.399999999999999</v>
      </c>
      <c r="D12" s="55">
        <v>14.499999999999998</v>
      </c>
      <c r="E12" s="55">
        <v>15.299999999999999</v>
      </c>
      <c r="F12" s="55">
        <v>15.1</v>
      </c>
      <c r="G12" s="55">
        <v>15.2</v>
      </c>
      <c r="H12" s="55">
        <v>18.899999999999999</v>
      </c>
      <c r="I12" s="55">
        <v>15</v>
      </c>
      <c r="J12" s="55">
        <v>14.899999999999999</v>
      </c>
      <c r="K12" s="55">
        <v>16.7</v>
      </c>
      <c r="L12" s="55">
        <v>16.7</v>
      </c>
      <c r="M12" s="55">
        <v>16.7</v>
      </c>
      <c r="N12" s="55">
        <v>15.8</v>
      </c>
      <c r="O12" s="55">
        <v>16.100000000000001</v>
      </c>
      <c r="P12" s="55">
        <v>14.799999999999999</v>
      </c>
      <c r="Q12" s="55">
        <v>15.7</v>
      </c>
      <c r="R12" s="55">
        <v>15.9</v>
      </c>
      <c r="S12" s="55">
        <v>14.499999999999998</v>
      </c>
      <c r="T12" s="55">
        <v>14.499999999999998</v>
      </c>
      <c r="U12" s="55">
        <v>13.8</v>
      </c>
      <c r="V12" s="55">
        <v>12.9</v>
      </c>
      <c r="W12" s="55">
        <v>10.6</v>
      </c>
      <c r="X12" s="55">
        <v>11.5</v>
      </c>
      <c r="Y12" s="55">
        <v>12.3</v>
      </c>
      <c r="Z12" s="55">
        <v>10.100000000000001</v>
      </c>
      <c r="AA12" s="55">
        <v>10.6</v>
      </c>
      <c r="AB12" s="55">
        <v>11.5</v>
      </c>
      <c r="AC12" s="50"/>
      <c r="AD12" s="56"/>
      <c r="AE12" s="56"/>
      <c r="AF12" s="56"/>
      <c r="AG12" s="56"/>
      <c r="AH12" s="56"/>
      <c r="AI12" s="56"/>
      <c r="AJ12" s="56"/>
      <c r="AK12" s="56"/>
      <c r="AL12" s="56"/>
      <c r="AM12" s="56"/>
      <c r="AN12" s="56"/>
      <c r="AO12" s="56"/>
      <c r="AP12" s="56"/>
      <c r="AQ12" s="56"/>
      <c r="AR12" s="56"/>
      <c r="AS12" s="56"/>
      <c r="AT12" s="56"/>
      <c r="AU12" s="56"/>
      <c r="AV12" s="56"/>
      <c r="AW12" s="56"/>
      <c r="AX12" s="56"/>
      <c r="AY12" s="56"/>
      <c r="AZ12" s="56"/>
      <c r="BA12" s="56"/>
      <c r="BB12" s="56"/>
    </row>
    <row r="13" spans="1:54" ht="16.5" customHeight="1" x14ac:dyDescent="0.45">
      <c r="A13" s="50" t="s">
        <v>66</v>
      </c>
      <c r="B13" s="57">
        <v>2.1</v>
      </c>
      <c r="C13" s="55">
        <v>5.8999999999999995</v>
      </c>
      <c r="D13" s="55">
        <v>10</v>
      </c>
      <c r="E13" s="55">
        <v>8.2000000000000011</v>
      </c>
      <c r="F13" s="55">
        <v>10</v>
      </c>
      <c r="G13" s="55">
        <v>10.9</v>
      </c>
      <c r="H13" s="55">
        <v>10</v>
      </c>
      <c r="I13" s="55">
        <v>11</v>
      </c>
      <c r="J13" s="55">
        <v>10.7</v>
      </c>
      <c r="K13" s="55">
        <v>8.7999999999999989</v>
      </c>
      <c r="L13" s="55">
        <v>10.299999999999999</v>
      </c>
      <c r="M13" s="55">
        <v>9.6</v>
      </c>
      <c r="N13" s="55">
        <v>10.199999999999999</v>
      </c>
      <c r="O13" s="55">
        <v>7.9</v>
      </c>
      <c r="P13" s="55">
        <v>7.7</v>
      </c>
      <c r="Q13" s="55">
        <v>7.8</v>
      </c>
      <c r="R13" s="55">
        <v>6.1</v>
      </c>
      <c r="S13" s="55">
        <v>9.3000000000000007</v>
      </c>
      <c r="T13" s="55">
        <v>7.7</v>
      </c>
      <c r="U13" s="55">
        <v>5.5</v>
      </c>
      <c r="V13" s="55">
        <v>5.7</v>
      </c>
      <c r="W13" s="55">
        <v>4</v>
      </c>
      <c r="X13" s="55">
        <v>5</v>
      </c>
      <c r="Y13" s="55">
        <v>4.3</v>
      </c>
      <c r="Z13" s="55">
        <v>4.9000000000000004</v>
      </c>
      <c r="AA13" s="55">
        <v>3.8</v>
      </c>
      <c r="AB13" s="55">
        <v>3.9</v>
      </c>
      <c r="AC13" s="50"/>
      <c r="AD13" s="56"/>
      <c r="AE13" s="56"/>
      <c r="AF13" s="56"/>
      <c r="AG13" s="56"/>
      <c r="AH13" s="56"/>
      <c r="AI13" s="56"/>
      <c r="AJ13" s="56"/>
      <c r="AK13" s="56"/>
      <c r="AL13" s="56"/>
      <c r="AM13" s="56"/>
      <c r="AN13" s="56"/>
      <c r="AO13" s="56"/>
      <c r="AP13" s="56"/>
      <c r="AQ13" s="56"/>
      <c r="AR13" s="56"/>
      <c r="AS13" s="56"/>
      <c r="AT13" s="56"/>
      <c r="AU13" s="56"/>
      <c r="AV13" s="56"/>
      <c r="AW13" s="56"/>
      <c r="AX13" s="56"/>
      <c r="AY13" s="56"/>
      <c r="AZ13" s="56"/>
      <c r="BA13" s="56"/>
      <c r="BB13" s="56"/>
    </row>
    <row r="14" spans="1:54" ht="16.5" customHeight="1" x14ac:dyDescent="0.45">
      <c r="A14" s="50" t="s">
        <v>67</v>
      </c>
      <c r="B14" s="57">
        <v>1.6</v>
      </c>
      <c r="C14" s="55">
        <v>4.5</v>
      </c>
      <c r="D14" s="55">
        <v>5.0999999999999996</v>
      </c>
      <c r="E14" s="55">
        <v>6.9</v>
      </c>
      <c r="F14" s="55">
        <v>6.2</v>
      </c>
      <c r="G14" s="55">
        <v>6.3</v>
      </c>
      <c r="H14" s="55">
        <v>9.1</v>
      </c>
      <c r="I14" s="55">
        <v>10.5</v>
      </c>
      <c r="J14" s="55">
        <v>12.2</v>
      </c>
      <c r="K14" s="55">
        <v>14.499999999999998</v>
      </c>
      <c r="L14" s="55">
        <v>14.7</v>
      </c>
      <c r="M14" s="55">
        <v>15.4</v>
      </c>
      <c r="N14" s="55">
        <v>15.2</v>
      </c>
      <c r="O14" s="55">
        <v>17.299999999999997</v>
      </c>
      <c r="P14" s="55">
        <v>22.3</v>
      </c>
      <c r="Q14" s="55">
        <v>22.6</v>
      </c>
      <c r="R14" s="55">
        <v>25.900000000000002</v>
      </c>
      <c r="S14" s="55">
        <v>20.599999999999998</v>
      </c>
      <c r="T14" s="55">
        <v>19.900000000000002</v>
      </c>
      <c r="U14" s="55">
        <v>21.7</v>
      </c>
      <c r="V14" s="55">
        <v>22.1</v>
      </c>
      <c r="W14" s="55">
        <v>18.399999999999999</v>
      </c>
      <c r="X14" s="55">
        <v>20.8</v>
      </c>
      <c r="Y14" s="55">
        <v>25.6</v>
      </c>
      <c r="Z14" s="55">
        <v>20.599999999999998</v>
      </c>
      <c r="AA14" s="55">
        <v>22.400000000000002</v>
      </c>
      <c r="AB14" s="55">
        <v>23.3</v>
      </c>
      <c r="AC14" s="50"/>
      <c r="AD14" s="56"/>
      <c r="AE14" s="56"/>
      <c r="AF14" s="56"/>
      <c r="AG14" s="56"/>
      <c r="AH14" s="56"/>
      <c r="AI14" s="56"/>
      <c r="AJ14" s="56"/>
      <c r="AK14" s="56"/>
      <c r="AL14" s="56"/>
      <c r="AM14" s="56"/>
      <c r="AN14" s="56"/>
      <c r="AO14" s="56"/>
      <c r="AP14" s="56"/>
      <c r="AQ14" s="56"/>
      <c r="AR14" s="56"/>
      <c r="AS14" s="56"/>
      <c r="AT14" s="56"/>
      <c r="AU14" s="56"/>
      <c r="AV14" s="56"/>
      <c r="AW14" s="56"/>
      <c r="AX14" s="56"/>
      <c r="AY14" s="56"/>
      <c r="AZ14" s="56"/>
      <c r="BA14" s="56"/>
      <c r="BB14" s="56"/>
    </row>
    <row r="15" spans="1:54" ht="16.5" customHeight="1" x14ac:dyDescent="0.45">
      <c r="A15" s="47" t="s">
        <v>69</v>
      </c>
      <c r="B15" s="58"/>
      <c r="C15" s="58"/>
      <c r="D15" s="58"/>
      <c r="E15" s="58"/>
      <c r="F15" s="58"/>
      <c r="G15" s="58"/>
      <c r="H15" s="58"/>
      <c r="I15" s="58"/>
      <c r="J15" s="58"/>
      <c r="K15" s="58"/>
      <c r="L15" s="58"/>
      <c r="M15" s="58"/>
      <c r="N15" s="58"/>
      <c r="O15" s="58"/>
      <c r="P15" s="58"/>
      <c r="Q15" s="58"/>
      <c r="R15" s="58"/>
      <c r="S15" s="58"/>
      <c r="T15" s="58"/>
      <c r="U15" s="58"/>
      <c r="V15" s="58"/>
      <c r="W15" s="58"/>
      <c r="X15" s="58"/>
      <c r="Y15" s="58"/>
      <c r="Z15" s="58"/>
      <c r="AA15" s="54"/>
      <c r="AB15" s="54"/>
      <c r="AC15" s="47"/>
      <c r="AD15" s="58"/>
      <c r="AE15" s="58"/>
      <c r="AF15" s="58"/>
      <c r="AG15" s="58"/>
      <c r="AH15" s="58"/>
      <c r="AI15" s="58"/>
      <c r="AJ15" s="58"/>
      <c r="AK15" s="58"/>
      <c r="AL15" s="58"/>
      <c r="AM15" s="58"/>
      <c r="AN15" s="58"/>
      <c r="AO15" s="58"/>
      <c r="AP15" s="58"/>
      <c r="AQ15" s="58"/>
      <c r="AR15" s="58"/>
      <c r="AS15" s="58"/>
      <c r="AT15" s="58"/>
      <c r="AU15" s="58"/>
      <c r="AV15" s="58"/>
      <c r="AW15" s="58"/>
      <c r="AX15" s="58"/>
      <c r="AY15" s="58"/>
      <c r="AZ15" s="58"/>
      <c r="BA15" s="58"/>
      <c r="BB15" s="58"/>
    </row>
    <row r="16" spans="1:54" ht="16.5" customHeight="1" x14ac:dyDescent="0.45">
      <c r="A16" s="50" t="s">
        <v>63</v>
      </c>
      <c r="B16" s="59">
        <v>20</v>
      </c>
      <c r="C16" s="59">
        <v>23</v>
      </c>
      <c r="D16" s="59">
        <v>23.3</v>
      </c>
      <c r="E16" s="59">
        <v>23.4</v>
      </c>
      <c r="F16" s="59">
        <v>23.1</v>
      </c>
      <c r="G16" s="59">
        <v>23.5</v>
      </c>
      <c r="H16" s="59">
        <v>23.3</v>
      </c>
      <c r="I16" s="59">
        <v>23.4</v>
      </c>
      <c r="J16" s="59">
        <v>23.3</v>
      </c>
      <c r="K16" s="59">
        <v>23.4</v>
      </c>
      <c r="L16" s="59">
        <v>23.4</v>
      </c>
      <c r="M16" s="59">
        <v>23</v>
      </c>
      <c r="N16" s="59">
        <v>22.9</v>
      </c>
      <c r="O16" s="59">
        <v>23</v>
      </c>
      <c r="P16" s="59">
        <v>23.1</v>
      </c>
      <c r="Q16" s="59">
        <v>23.3</v>
      </c>
      <c r="R16" s="59">
        <v>23.1</v>
      </c>
      <c r="S16" s="59">
        <v>23.5</v>
      </c>
      <c r="T16" s="59">
        <v>23.3</v>
      </c>
      <c r="U16" s="59">
        <v>24.1</v>
      </c>
      <c r="V16" s="59">
        <v>24.3</v>
      </c>
      <c r="W16" s="59">
        <v>25.3</v>
      </c>
      <c r="X16" s="59">
        <v>26.2</v>
      </c>
      <c r="Y16" s="59">
        <v>26</v>
      </c>
      <c r="Z16" s="59">
        <v>27.8</v>
      </c>
      <c r="AA16" s="54">
        <v>28.3</v>
      </c>
      <c r="AB16" s="54">
        <v>28.7</v>
      </c>
      <c r="AC16" s="50"/>
      <c r="AD16" s="59"/>
      <c r="AE16" s="59"/>
      <c r="AF16" s="59"/>
      <c r="AG16" s="59"/>
      <c r="AH16" s="59"/>
      <c r="AI16" s="59"/>
      <c r="AJ16" s="59"/>
      <c r="AK16" s="59"/>
      <c r="AL16" s="59"/>
      <c r="AM16" s="59"/>
      <c r="AN16" s="59"/>
      <c r="AO16" s="59"/>
      <c r="AP16" s="59"/>
      <c r="AQ16" s="59"/>
      <c r="AR16" s="59"/>
      <c r="AS16" s="59"/>
      <c r="AT16" s="59"/>
      <c r="AU16" s="59"/>
      <c r="AV16" s="59"/>
      <c r="AW16" s="59"/>
      <c r="AX16" s="59"/>
      <c r="AY16" s="59"/>
      <c r="AZ16" s="59"/>
      <c r="BA16" s="59"/>
      <c r="BB16" s="59"/>
    </row>
    <row r="17" spans="1:54" ht="16.5" customHeight="1" x14ac:dyDescent="0.45">
      <c r="A17" s="50" t="s">
        <v>64</v>
      </c>
      <c r="B17" s="59">
        <v>14.6</v>
      </c>
      <c r="C17" s="59">
        <v>20.100000000000001</v>
      </c>
      <c r="D17" s="59">
        <v>18.8</v>
      </c>
      <c r="E17" s="59">
        <v>18.2</v>
      </c>
      <c r="F17" s="59">
        <v>17.8</v>
      </c>
      <c r="G17" s="59">
        <v>17</v>
      </c>
      <c r="H17" s="59">
        <v>18</v>
      </c>
      <c r="I17" s="59">
        <v>17.8</v>
      </c>
      <c r="J17" s="59">
        <v>18.399999999999999</v>
      </c>
      <c r="K17" s="59">
        <v>19.2</v>
      </c>
      <c r="L17" s="59">
        <v>18.2</v>
      </c>
      <c r="M17" s="59">
        <v>18.5</v>
      </c>
      <c r="N17" s="59">
        <v>17.899999999999999</v>
      </c>
      <c r="O17" s="59">
        <v>18.8</v>
      </c>
      <c r="P17" s="59">
        <v>19.3</v>
      </c>
      <c r="Q17" s="59">
        <v>19.899999999999999</v>
      </c>
      <c r="R17" s="59">
        <v>20</v>
      </c>
      <c r="S17" s="59">
        <v>20.2</v>
      </c>
      <c r="T17" s="59">
        <v>20.5</v>
      </c>
      <c r="U17" s="59">
        <v>20.6</v>
      </c>
      <c r="V17" s="59">
        <v>21.2</v>
      </c>
      <c r="W17" s="59">
        <v>22</v>
      </c>
      <c r="X17" s="59">
        <v>23</v>
      </c>
      <c r="Y17" s="59">
        <v>23.6</v>
      </c>
      <c r="Z17" s="59">
        <v>23.4</v>
      </c>
      <c r="AA17" s="54">
        <v>24.5</v>
      </c>
      <c r="AB17" s="54">
        <v>24.3</v>
      </c>
      <c r="AC17" s="50"/>
      <c r="AD17" s="59"/>
      <c r="AE17" s="59"/>
      <c r="AF17" s="59"/>
      <c r="AG17" s="59"/>
      <c r="AH17" s="59"/>
      <c r="AI17" s="59"/>
      <c r="AJ17" s="59"/>
      <c r="AK17" s="59"/>
      <c r="AL17" s="59"/>
      <c r="AM17" s="59"/>
      <c r="AN17" s="59"/>
      <c r="AO17" s="59"/>
      <c r="AP17" s="59"/>
      <c r="AQ17" s="59"/>
      <c r="AR17" s="59"/>
      <c r="AS17" s="59"/>
      <c r="AT17" s="59"/>
      <c r="AU17" s="59"/>
      <c r="AV17" s="59"/>
      <c r="AW17" s="59"/>
      <c r="AX17" s="59"/>
      <c r="AY17" s="59"/>
      <c r="AZ17" s="59"/>
      <c r="BA17" s="59"/>
      <c r="BB17" s="59"/>
    </row>
    <row r="18" spans="1:54" ht="16.5" customHeight="1" x14ac:dyDescent="0.45">
      <c r="A18" s="50" t="s">
        <v>65</v>
      </c>
      <c r="B18" s="59">
        <v>16.5</v>
      </c>
      <c r="C18" s="59">
        <v>18.2</v>
      </c>
      <c r="D18" s="59">
        <v>17.399999999999999</v>
      </c>
      <c r="E18" s="59">
        <v>18.2</v>
      </c>
      <c r="F18" s="59">
        <v>17.5</v>
      </c>
      <c r="G18" s="59">
        <v>17.600000000000001</v>
      </c>
      <c r="H18" s="59">
        <v>17.399999999999999</v>
      </c>
      <c r="I18" s="59">
        <v>16.899999999999999</v>
      </c>
      <c r="J18" s="59">
        <v>17.100000000000001</v>
      </c>
      <c r="K18" s="59">
        <v>16.8</v>
      </c>
      <c r="L18" s="59">
        <v>17</v>
      </c>
      <c r="M18" s="59">
        <v>16.3</v>
      </c>
      <c r="N18" s="59">
        <v>16.7</v>
      </c>
      <c r="O18" s="59">
        <v>16</v>
      </c>
      <c r="P18" s="59">
        <v>15.8</v>
      </c>
      <c r="Q18" s="59">
        <v>16.100000000000001</v>
      </c>
      <c r="R18" s="59">
        <v>15.7</v>
      </c>
      <c r="S18" s="59">
        <v>15.8</v>
      </c>
      <c r="T18" s="59">
        <v>16.100000000000001</v>
      </c>
      <c r="U18" s="59">
        <v>16.2</v>
      </c>
      <c r="V18" s="59">
        <v>16.5</v>
      </c>
      <c r="W18" s="59">
        <v>16.899999999999999</v>
      </c>
      <c r="X18" s="59">
        <v>16.899999999999999</v>
      </c>
      <c r="Y18" s="59">
        <v>17.2</v>
      </c>
      <c r="Z18" s="59">
        <v>17.2</v>
      </c>
      <c r="AA18" s="54">
        <v>17.399999999999999</v>
      </c>
      <c r="AB18" s="59">
        <v>18</v>
      </c>
      <c r="AC18" s="50"/>
      <c r="AD18" s="59"/>
      <c r="AE18" s="59"/>
      <c r="AF18" s="59"/>
      <c r="AG18" s="59"/>
      <c r="AH18" s="59"/>
      <c r="AI18" s="59"/>
      <c r="AJ18" s="59"/>
      <c r="AK18" s="59"/>
      <c r="AL18" s="59"/>
      <c r="AM18" s="59"/>
      <c r="AN18" s="59"/>
      <c r="AO18" s="59"/>
      <c r="AP18" s="59"/>
      <c r="AQ18" s="59"/>
      <c r="AR18" s="59"/>
      <c r="AS18" s="59"/>
      <c r="AT18" s="59"/>
      <c r="AU18" s="59"/>
      <c r="AV18" s="59"/>
      <c r="AW18" s="59"/>
      <c r="AX18" s="59"/>
      <c r="AY18" s="59"/>
      <c r="AZ18" s="59"/>
      <c r="BA18" s="59"/>
      <c r="BB18" s="59"/>
    </row>
    <row r="19" spans="1:54" ht="16.5" customHeight="1" x14ac:dyDescent="0.45">
      <c r="A19" s="50" t="s">
        <v>66</v>
      </c>
      <c r="B19" s="59">
        <v>14.1</v>
      </c>
      <c r="C19" s="59">
        <v>16.5</v>
      </c>
      <c r="D19" s="59">
        <v>17.8</v>
      </c>
      <c r="E19" s="59">
        <v>17.899999999999999</v>
      </c>
      <c r="F19" s="59">
        <v>17.899999999999999</v>
      </c>
      <c r="G19" s="59">
        <v>18.2</v>
      </c>
      <c r="H19" s="59">
        <v>17.8</v>
      </c>
      <c r="I19" s="59">
        <v>18.100000000000001</v>
      </c>
      <c r="J19" s="59">
        <v>18.3</v>
      </c>
      <c r="K19" s="59">
        <v>18.2</v>
      </c>
      <c r="L19" s="59">
        <v>18.7</v>
      </c>
      <c r="M19" s="59">
        <v>18.3</v>
      </c>
      <c r="N19" s="59">
        <v>18.600000000000001</v>
      </c>
      <c r="O19" s="59">
        <v>18</v>
      </c>
      <c r="P19" s="59">
        <v>18.7</v>
      </c>
      <c r="Q19" s="59">
        <v>19</v>
      </c>
      <c r="R19" s="59">
        <v>19.2</v>
      </c>
      <c r="S19" s="59">
        <v>19.3</v>
      </c>
      <c r="T19" s="59">
        <v>19.5</v>
      </c>
      <c r="U19" s="59">
        <v>19.5</v>
      </c>
      <c r="V19" s="59">
        <v>19.8</v>
      </c>
      <c r="W19" s="59">
        <v>20.100000000000001</v>
      </c>
      <c r="X19" s="59">
        <v>20.100000000000001</v>
      </c>
      <c r="Y19" s="59">
        <v>21</v>
      </c>
      <c r="Z19" s="59">
        <v>21.4</v>
      </c>
      <c r="AA19" s="54">
        <v>21.1</v>
      </c>
      <c r="AB19" s="54">
        <v>21.2</v>
      </c>
      <c r="AC19" s="50"/>
      <c r="AD19" s="59"/>
      <c r="AE19" s="59"/>
      <c r="AF19" s="59"/>
      <c r="AG19" s="59"/>
      <c r="AH19" s="59"/>
      <c r="AI19" s="59"/>
      <c r="AJ19" s="59"/>
      <c r="AK19" s="59"/>
      <c r="AL19" s="59"/>
      <c r="AM19" s="59"/>
      <c r="AN19" s="59"/>
      <c r="AO19" s="59"/>
      <c r="AP19" s="59"/>
      <c r="AQ19" s="59"/>
      <c r="AR19" s="59"/>
      <c r="AS19" s="59"/>
      <c r="AT19" s="59"/>
      <c r="AU19" s="59"/>
      <c r="AV19" s="59"/>
      <c r="AW19" s="59"/>
      <c r="AX19" s="59"/>
      <c r="AY19" s="59"/>
      <c r="AZ19" s="59"/>
      <c r="BA19" s="59"/>
      <c r="BB19" s="59"/>
    </row>
    <row r="20" spans="1:54" ht="16.5" customHeight="1" thickBot="1" x14ac:dyDescent="0.5">
      <c r="A20" s="60" t="s">
        <v>67</v>
      </c>
      <c r="B20" s="61">
        <v>13.2</v>
      </c>
      <c r="C20" s="61">
        <v>16.5</v>
      </c>
      <c r="D20" s="61">
        <v>16.399999999999999</v>
      </c>
      <c r="E20" s="61">
        <v>16.7</v>
      </c>
      <c r="F20" s="61">
        <v>16.2</v>
      </c>
      <c r="G20" s="61">
        <v>16.3</v>
      </c>
      <c r="H20" s="61">
        <v>16</v>
      </c>
      <c r="I20" s="61">
        <v>16</v>
      </c>
      <c r="J20" s="61">
        <v>16.2</v>
      </c>
      <c r="K20" s="61">
        <v>16.100000000000001</v>
      </c>
      <c r="L20" s="61">
        <v>16.2</v>
      </c>
      <c r="M20" s="61">
        <v>16.100000000000001</v>
      </c>
      <c r="N20" s="61">
        <v>16</v>
      </c>
      <c r="O20" s="61">
        <v>16.399999999999999</v>
      </c>
      <c r="P20" s="61">
        <v>16.3</v>
      </c>
      <c r="Q20" s="61">
        <v>16.399999999999999</v>
      </c>
      <c r="R20" s="61">
        <v>16.5</v>
      </c>
      <c r="S20" s="61">
        <v>16.7</v>
      </c>
      <c r="T20" s="61">
        <v>17.2</v>
      </c>
      <c r="U20" s="61">
        <v>17.7</v>
      </c>
      <c r="V20" s="61">
        <v>18.2</v>
      </c>
      <c r="W20" s="61">
        <v>19.3</v>
      </c>
      <c r="X20" s="61">
        <v>19.7</v>
      </c>
      <c r="Y20" s="61">
        <v>19.8</v>
      </c>
      <c r="Z20" s="61">
        <v>20</v>
      </c>
      <c r="AA20" s="62">
        <v>20.9</v>
      </c>
      <c r="AB20" s="62">
        <v>21.2</v>
      </c>
      <c r="AC20" s="50"/>
      <c r="AD20" s="59"/>
      <c r="AE20" s="59"/>
      <c r="AF20" s="59"/>
      <c r="AG20" s="59"/>
      <c r="AH20" s="59"/>
      <c r="AI20" s="59"/>
      <c r="AJ20" s="59"/>
      <c r="AK20" s="59"/>
      <c r="AL20" s="59"/>
      <c r="AM20" s="59"/>
      <c r="AN20" s="59"/>
      <c r="AO20" s="59"/>
      <c r="AP20" s="59"/>
      <c r="AQ20" s="59"/>
      <c r="AR20" s="59"/>
      <c r="AS20" s="59"/>
      <c r="AT20" s="59"/>
      <c r="AU20" s="59"/>
      <c r="AV20" s="59"/>
      <c r="AW20" s="59"/>
      <c r="AX20" s="59"/>
      <c r="AY20" s="59"/>
      <c r="AZ20" s="59"/>
      <c r="BA20" s="59"/>
      <c r="BB20" s="59"/>
    </row>
    <row r="21" spans="1:54" s="63" customFormat="1" ht="12.75" customHeight="1" x14ac:dyDescent="0.45">
      <c r="A21" s="81" t="s">
        <v>70</v>
      </c>
      <c r="B21" s="81"/>
      <c r="C21" s="81"/>
      <c r="D21" s="81"/>
      <c r="E21" s="81"/>
      <c r="F21" s="81"/>
      <c r="G21" s="81"/>
      <c r="H21" s="81"/>
      <c r="I21" s="81"/>
      <c r="J21" s="81"/>
      <c r="K21" s="81"/>
      <c r="L21" s="81"/>
      <c r="M21" s="81"/>
      <c r="N21" s="81"/>
      <c r="O21" s="81"/>
      <c r="P21" s="81"/>
      <c r="Q21" s="81"/>
    </row>
    <row r="22" spans="1:54" s="63" customFormat="1" ht="12.75" customHeight="1" x14ac:dyDescent="0.45">
      <c r="A22" s="82"/>
      <c r="B22" s="82"/>
      <c r="C22" s="82"/>
      <c r="D22" s="82"/>
      <c r="E22" s="82"/>
      <c r="F22" s="82"/>
      <c r="G22" s="82"/>
      <c r="H22" s="82"/>
      <c r="I22" s="82"/>
      <c r="J22" s="82"/>
      <c r="K22" s="82"/>
      <c r="L22" s="82"/>
      <c r="M22" s="82"/>
      <c r="N22" s="82"/>
      <c r="O22" s="82"/>
      <c r="P22" s="82"/>
      <c r="Q22" s="82"/>
    </row>
    <row r="23" spans="1:54" s="63" customFormat="1" ht="12.75" customHeight="1" x14ac:dyDescent="0.45">
      <c r="A23" s="82" t="s">
        <v>71</v>
      </c>
      <c r="B23" s="82"/>
      <c r="C23" s="82"/>
      <c r="D23" s="82"/>
      <c r="E23" s="82"/>
      <c r="F23" s="82"/>
      <c r="G23" s="82"/>
      <c r="H23" s="82"/>
      <c r="I23" s="82"/>
      <c r="J23" s="82"/>
      <c r="K23" s="82"/>
      <c r="L23" s="82"/>
      <c r="M23" s="82"/>
      <c r="N23" s="82"/>
      <c r="O23" s="82"/>
      <c r="P23" s="82"/>
      <c r="Q23" s="82"/>
    </row>
    <row r="24" spans="1:54" s="63" customFormat="1" ht="12.75" customHeight="1" x14ac:dyDescent="0.45">
      <c r="A24" s="78" t="s">
        <v>72</v>
      </c>
      <c r="B24" s="78"/>
      <c r="C24" s="78"/>
      <c r="D24" s="78"/>
      <c r="E24" s="78"/>
      <c r="F24" s="78"/>
      <c r="G24" s="78"/>
      <c r="H24" s="78"/>
      <c r="I24" s="78"/>
      <c r="J24" s="78"/>
      <c r="K24" s="78"/>
      <c r="L24" s="78"/>
      <c r="M24" s="78"/>
      <c r="N24" s="78"/>
      <c r="O24" s="78"/>
      <c r="P24" s="78"/>
      <c r="Q24" s="78"/>
    </row>
    <row r="25" spans="1:54" s="63" customFormat="1" ht="12.75" customHeight="1" x14ac:dyDescent="0.45">
      <c r="A25" s="78" t="s">
        <v>73</v>
      </c>
      <c r="B25" s="78"/>
      <c r="C25" s="78"/>
      <c r="D25" s="78"/>
      <c r="E25" s="78"/>
      <c r="F25" s="78"/>
      <c r="G25" s="78"/>
      <c r="H25" s="78"/>
      <c r="I25" s="78"/>
      <c r="J25" s="78"/>
      <c r="K25" s="78"/>
      <c r="L25" s="78"/>
      <c r="M25" s="78"/>
      <c r="N25" s="78"/>
      <c r="O25" s="78"/>
      <c r="P25" s="78"/>
      <c r="Q25" s="78"/>
    </row>
    <row r="26" spans="1:54" s="63" customFormat="1" ht="27.75" customHeight="1" x14ac:dyDescent="0.45">
      <c r="A26" s="83" t="s">
        <v>74</v>
      </c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</row>
    <row r="27" spans="1:54" s="63" customFormat="1" ht="12.75" customHeight="1" x14ac:dyDescent="0.45">
      <c r="A27" s="83"/>
      <c r="B27" s="83"/>
      <c r="C27" s="83"/>
      <c r="D27" s="83"/>
      <c r="E27" s="83"/>
      <c r="F27" s="83"/>
      <c r="G27" s="83"/>
      <c r="H27" s="83"/>
      <c r="I27" s="83"/>
      <c r="J27" s="83"/>
      <c r="K27" s="83"/>
      <c r="L27" s="83"/>
      <c r="M27" s="83"/>
      <c r="N27" s="83"/>
      <c r="O27" s="83"/>
      <c r="P27" s="83"/>
      <c r="Q27" s="83"/>
    </row>
    <row r="28" spans="1:54" s="63" customFormat="1" ht="12.75" customHeight="1" x14ac:dyDescent="0.45">
      <c r="A28" s="84" t="s">
        <v>75</v>
      </c>
      <c r="B28" s="84"/>
      <c r="C28" s="84"/>
      <c r="D28" s="84"/>
      <c r="E28" s="84"/>
      <c r="F28" s="84"/>
      <c r="G28" s="84"/>
      <c r="H28" s="84"/>
      <c r="I28" s="84"/>
      <c r="J28" s="84"/>
      <c r="K28" s="84"/>
      <c r="L28" s="84"/>
      <c r="M28" s="84"/>
      <c r="N28" s="84"/>
      <c r="O28" s="84"/>
      <c r="P28" s="84"/>
      <c r="Q28" s="84"/>
    </row>
    <row r="29" spans="1:54" s="63" customFormat="1" ht="25.5" customHeight="1" x14ac:dyDescent="0.45">
      <c r="A29" s="85" t="s">
        <v>76</v>
      </c>
      <c r="B29" s="85"/>
      <c r="C29" s="85"/>
      <c r="D29" s="85"/>
      <c r="E29" s="85"/>
      <c r="F29" s="85"/>
      <c r="G29" s="85"/>
      <c r="H29" s="85"/>
      <c r="I29" s="85"/>
      <c r="J29" s="85"/>
      <c r="K29" s="85"/>
      <c r="L29" s="85"/>
      <c r="M29" s="85"/>
      <c r="N29" s="85"/>
      <c r="O29" s="85"/>
      <c r="P29" s="85"/>
      <c r="Q29" s="85"/>
    </row>
    <row r="33" customFormat="1" x14ac:dyDescent="0.45"/>
    <row r="34" customFormat="1" x14ac:dyDescent="0.45"/>
    <row r="35" customFormat="1" x14ac:dyDescent="0.45"/>
    <row r="36" customFormat="1" x14ac:dyDescent="0.45"/>
    <row r="37" customFormat="1" x14ac:dyDescent="0.45"/>
    <row r="38" customFormat="1" x14ac:dyDescent="0.45"/>
    <row r="39" customFormat="1" x14ac:dyDescent="0.45"/>
    <row r="40" customFormat="1" x14ac:dyDescent="0.45"/>
    <row r="41" customFormat="1" x14ac:dyDescent="0.45"/>
    <row r="42" customFormat="1" x14ac:dyDescent="0.45"/>
    <row r="43" customFormat="1" x14ac:dyDescent="0.45"/>
    <row r="44" customFormat="1" x14ac:dyDescent="0.45"/>
    <row r="45" customFormat="1" x14ac:dyDescent="0.45"/>
    <row r="46" customFormat="1" x14ac:dyDescent="0.45"/>
    <row r="47" customFormat="1" x14ac:dyDescent="0.45"/>
    <row r="48" customFormat="1" x14ac:dyDescent="0.45"/>
    <row r="49" customFormat="1" x14ac:dyDescent="0.45"/>
    <row r="50" customFormat="1" x14ac:dyDescent="0.45"/>
    <row r="51" customFormat="1" x14ac:dyDescent="0.45"/>
    <row r="52" customFormat="1" x14ac:dyDescent="0.45"/>
    <row r="53" customFormat="1" x14ac:dyDescent="0.45"/>
    <row r="54" customFormat="1" x14ac:dyDescent="0.45"/>
    <row r="55" customFormat="1" x14ac:dyDescent="0.45"/>
    <row r="56" customFormat="1" x14ac:dyDescent="0.45"/>
    <row r="57" customFormat="1" x14ac:dyDescent="0.45"/>
    <row r="58" customFormat="1" x14ac:dyDescent="0.45"/>
    <row r="59" customFormat="1" x14ac:dyDescent="0.45"/>
    <row r="60" customFormat="1" x14ac:dyDescent="0.45"/>
    <row r="61" customFormat="1" x14ac:dyDescent="0.45"/>
  </sheetData>
  <mergeCells count="11">
    <mergeCell ref="A25:Q25"/>
    <mergeCell ref="A26:Q26"/>
    <mergeCell ref="A27:Q27"/>
    <mergeCell ref="A28:Q28"/>
    <mergeCell ref="A29:Q29"/>
    <mergeCell ref="A24:Q24"/>
    <mergeCell ref="A1:AB1"/>
    <mergeCell ref="AC1:BB1"/>
    <mergeCell ref="A21:Q21"/>
    <mergeCell ref="A22:Q22"/>
    <mergeCell ref="A23:Q2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E242C-91F7-4A9C-88A2-A61A983F34B7}">
  <dimension ref="A1:AE51"/>
  <sheetViews>
    <sheetView workbookViewId="0"/>
  </sheetViews>
  <sheetFormatPr defaultRowHeight="14.25" x14ac:dyDescent="0.45"/>
  <cols>
    <col min="1" max="1" width="36.19921875" customWidth="1"/>
  </cols>
  <sheetData>
    <row r="1" spans="1:31" x14ac:dyDescent="0.45">
      <c r="A1" t="s">
        <v>165</v>
      </c>
    </row>
    <row r="2" spans="1:31" x14ac:dyDescent="0.45">
      <c r="A2" t="s">
        <v>300</v>
      </c>
    </row>
    <row r="3" spans="1:31" x14ac:dyDescent="0.45">
      <c r="A3" t="s">
        <v>299</v>
      </c>
    </row>
    <row r="4" spans="1:31" x14ac:dyDescent="0.45">
      <c r="A4" t="s">
        <v>95</v>
      </c>
    </row>
    <row r="5" spans="1:31" x14ac:dyDescent="0.45">
      <c r="B5" t="s">
        <v>96</v>
      </c>
      <c r="C5" t="s">
        <v>97</v>
      </c>
      <c r="D5" t="s">
        <v>98</v>
      </c>
      <c r="E5">
        <v>2025</v>
      </c>
      <c r="F5">
        <v>2026</v>
      </c>
      <c r="G5">
        <v>2027</v>
      </c>
      <c r="H5">
        <v>2028</v>
      </c>
      <c r="I5">
        <v>2029</v>
      </c>
      <c r="J5">
        <v>2030</v>
      </c>
      <c r="K5">
        <v>2031</v>
      </c>
      <c r="L5">
        <v>2032</v>
      </c>
      <c r="M5">
        <v>2033</v>
      </c>
      <c r="N5">
        <v>2034</v>
      </c>
      <c r="O5">
        <v>2035</v>
      </c>
      <c r="P5">
        <v>2036</v>
      </c>
      <c r="Q5">
        <v>2037</v>
      </c>
      <c r="R5">
        <v>2038</v>
      </c>
      <c r="S5">
        <v>2039</v>
      </c>
      <c r="T5">
        <v>2040</v>
      </c>
      <c r="U5">
        <v>2041</v>
      </c>
      <c r="V5">
        <v>2042</v>
      </c>
      <c r="W5">
        <v>2043</v>
      </c>
      <c r="X5">
        <v>2044</v>
      </c>
      <c r="Y5">
        <v>2045</v>
      </c>
      <c r="Z5">
        <v>2046</v>
      </c>
      <c r="AA5">
        <v>2047</v>
      </c>
      <c r="AB5">
        <v>2048</v>
      </c>
      <c r="AC5">
        <v>2049</v>
      </c>
      <c r="AD5">
        <v>2050</v>
      </c>
      <c r="AE5" t="s">
        <v>298</v>
      </c>
    </row>
    <row r="6" spans="1:31" x14ac:dyDescent="0.45">
      <c r="A6" t="s">
        <v>164</v>
      </c>
    </row>
    <row r="7" spans="1:31" x14ac:dyDescent="0.45">
      <c r="A7" t="s">
        <v>100</v>
      </c>
    </row>
    <row r="8" spans="1:31" x14ac:dyDescent="0.45">
      <c r="A8" t="s">
        <v>101</v>
      </c>
      <c r="B8" t="s">
        <v>297</v>
      </c>
      <c r="C8" t="s">
        <v>296</v>
      </c>
      <c r="D8" t="s">
        <v>102</v>
      </c>
      <c r="E8">
        <v>5200.4526370000003</v>
      </c>
      <c r="F8">
        <v>4904.3383789999998</v>
      </c>
      <c r="G8">
        <v>4575.9521480000003</v>
      </c>
      <c r="H8">
        <v>4294.0498049999997</v>
      </c>
      <c r="I8">
        <v>4068.2460940000001</v>
      </c>
      <c r="J8">
        <v>3891.0559079999998</v>
      </c>
      <c r="K8">
        <v>3732.8234859999998</v>
      </c>
      <c r="L8">
        <v>3585.3479000000002</v>
      </c>
      <c r="M8">
        <v>3451.063232</v>
      </c>
      <c r="N8">
        <v>3324.0463869999999</v>
      </c>
      <c r="O8">
        <v>3205.0349120000001</v>
      </c>
      <c r="P8">
        <v>3085.6713869999999</v>
      </c>
      <c r="Q8">
        <v>2977.6857909999999</v>
      </c>
      <c r="R8">
        <v>2880.26001</v>
      </c>
      <c r="S8">
        <v>2790.3771969999998</v>
      </c>
      <c r="T8">
        <v>2705.3110350000002</v>
      </c>
      <c r="U8">
        <v>2623.4365229999999</v>
      </c>
      <c r="V8">
        <v>2544.8808589999999</v>
      </c>
      <c r="W8">
        <v>2468.8469239999999</v>
      </c>
      <c r="X8">
        <v>2396.1611330000001</v>
      </c>
      <c r="Y8">
        <v>2328.1196289999998</v>
      </c>
      <c r="Z8">
        <v>2262.810547</v>
      </c>
      <c r="AA8">
        <v>2201.946289</v>
      </c>
      <c r="AB8">
        <v>2142.6889649999998</v>
      </c>
      <c r="AC8">
        <v>2084.9838869999999</v>
      </c>
      <c r="AD8">
        <v>2026.2230219999999</v>
      </c>
      <c r="AE8" s="71">
        <v>-3.6999999999999998E-2</v>
      </c>
    </row>
    <row r="9" spans="1:31" x14ac:dyDescent="0.45">
      <c r="A9" t="s">
        <v>103</v>
      </c>
      <c r="B9" t="s">
        <v>295</v>
      </c>
      <c r="C9" t="s">
        <v>294</v>
      </c>
      <c r="D9" t="s">
        <v>102</v>
      </c>
      <c r="E9">
        <v>15.814128</v>
      </c>
      <c r="F9">
        <v>13.938295</v>
      </c>
      <c r="G9">
        <v>12.193137999999999</v>
      </c>
      <c r="H9">
        <v>10.563546000000001</v>
      </c>
      <c r="I9">
        <v>9.060416</v>
      </c>
      <c r="J9">
        <v>7.7072770000000004</v>
      </c>
      <c r="K9">
        <v>6.508159</v>
      </c>
      <c r="L9">
        <v>5.4618039999999999</v>
      </c>
      <c r="M9">
        <v>4.5752329999999999</v>
      </c>
      <c r="N9">
        <v>3.8418739999999998</v>
      </c>
      <c r="O9">
        <v>3.24966</v>
      </c>
      <c r="P9">
        <v>2.7814649999999999</v>
      </c>
      <c r="Q9">
        <v>2.4158300000000001</v>
      </c>
      <c r="R9">
        <v>2.1348009999999999</v>
      </c>
      <c r="S9">
        <v>1.9174310000000001</v>
      </c>
      <c r="T9">
        <v>1.7362839999999999</v>
      </c>
      <c r="U9">
        <v>1.5769500000000001</v>
      </c>
      <c r="V9">
        <v>1.4361980000000001</v>
      </c>
      <c r="W9">
        <v>1.310303</v>
      </c>
      <c r="X9">
        <v>1.196242</v>
      </c>
      <c r="Y9">
        <v>1.0923799999999999</v>
      </c>
      <c r="Z9">
        <v>0.99778800000000001</v>
      </c>
      <c r="AA9">
        <v>0.91162299999999996</v>
      </c>
      <c r="AB9">
        <v>0.83311800000000003</v>
      </c>
      <c r="AC9">
        <v>0.76157900000000001</v>
      </c>
      <c r="AD9">
        <v>0.69637400000000005</v>
      </c>
      <c r="AE9" s="71">
        <v>-0.11700000000000001</v>
      </c>
    </row>
    <row r="10" spans="1:31" x14ac:dyDescent="0.45">
      <c r="A10" t="s">
        <v>104</v>
      </c>
      <c r="B10" t="s">
        <v>293</v>
      </c>
      <c r="C10" t="s">
        <v>292</v>
      </c>
      <c r="D10" t="s">
        <v>102</v>
      </c>
      <c r="E10">
        <v>5216.2666019999997</v>
      </c>
      <c r="F10">
        <v>4918.2768550000001</v>
      </c>
      <c r="G10">
        <v>4588.1455079999996</v>
      </c>
      <c r="H10">
        <v>4304.6132809999999</v>
      </c>
      <c r="I10">
        <v>4077.3063959999999</v>
      </c>
      <c r="J10">
        <v>3898.7631839999999</v>
      </c>
      <c r="K10">
        <v>3739.3315429999998</v>
      </c>
      <c r="L10">
        <v>3590.8098140000002</v>
      </c>
      <c r="M10">
        <v>3455.6384280000002</v>
      </c>
      <c r="N10">
        <v>3327.8881839999999</v>
      </c>
      <c r="O10">
        <v>3208.2846679999998</v>
      </c>
      <c r="P10">
        <v>3088.4528810000002</v>
      </c>
      <c r="Q10">
        <v>2980.1015619999998</v>
      </c>
      <c r="R10">
        <v>2882.3947750000002</v>
      </c>
      <c r="S10">
        <v>2792.2946780000002</v>
      </c>
      <c r="T10">
        <v>2707.0473630000001</v>
      </c>
      <c r="U10">
        <v>2625.0134280000002</v>
      </c>
      <c r="V10">
        <v>2546.3171390000002</v>
      </c>
      <c r="W10">
        <v>2470.1572270000001</v>
      </c>
      <c r="X10">
        <v>2397.357422</v>
      </c>
      <c r="Y10">
        <v>2329.211914</v>
      </c>
      <c r="Z10">
        <v>2263.8083499999998</v>
      </c>
      <c r="AA10">
        <v>2202.8579100000002</v>
      </c>
      <c r="AB10">
        <v>2143.5219729999999</v>
      </c>
      <c r="AC10">
        <v>2085.7453609999998</v>
      </c>
      <c r="AD10">
        <v>2026.9194339999999</v>
      </c>
      <c r="AE10" s="71">
        <v>-3.6999999999999998E-2</v>
      </c>
    </row>
    <row r="11" spans="1:31" x14ac:dyDescent="0.45">
      <c r="A11" t="s">
        <v>105</v>
      </c>
    </row>
    <row r="12" spans="1:31" x14ac:dyDescent="0.45">
      <c r="A12" t="s">
        <v>106</v>
      </c>
      <c r="B12" t="s">
        <v>291</v>
      </c>
      <c r="C12" t="s">
        <v>290</v>
      </c>
      <c r="D12" t="s">
        <v>102</v>
      </c>
      <c r="E12">
        <v>193.21745300000001</v>
      </c>
      <c r="F12">
        <v>159.50981100000001</v>
      </c>
      <c r="G12">
        <v>136.48272700000001</v>
      </c>
      <c r="H12">
        <v>116.07923099999999</v>
      </c>
      <c r="I12">
        <v>97.928757000000004</v>
      </c>
      <c r="J12">
        <v>81.966224999999994</v>
      </c>
      <c r="K12">
        <v>68.266495000000006</v>
      </c>
      <c r="L12">
        <v>56.709991000000002</v>
      </c>
      <c r="M12">
        <v>47.370358000000003</v>
      </c>
      <c r="N12">
        <v>39.852268000000002</v>
      </c>
      <c r="O12">
        <v>33.936233999999999</v>
      </c>
      <c r="P12">
        <v>29.400445999999999</v>
      </c>
      <c r="Q12">
        <v>25.805008000000001</v>
      </c>
      <c r="R12">
        <v>22.915279000000002</v>
      </c>
      <c r="S12">
        <v>20.616271999999999</v>
      </c>
      <c r="T12">
        <v>18.729714999999999</v>
      </c>
      <c r="U12">
        <v>17.147815999999999</v>
      </c>
      <c r="V12">
        <v>15.794521</v>
      </c>
      <c r="W12">
        <v>14.636535</v>
      </c>
      <c r="X12">
        <v>13.635636</v>
      </c>
      <c r="Y12">
        <v>12.752481</v>
      </c>
      <c r="Z12">
        <v>11.956232999999999</v>
      </c>
      <c r="AA12">
        <v>11.247208000000001</v>
      </c>
      <c r="AB12">
        <v>10.631876</v>
      </c>
      <c r="AC12">
        <v>10.063699</v>
      </c>
      <c r="AD12">
        <v>9.5388710000000003</v>
      </c>
      <c r="AE12" s="71">
        <v>-0.113</v>
      </c>
    </row>
    <row r="13" spans="1:31" x14ac:dyDescent="0.45">
      <c r="A13" t="s">
        <v>161</v>
      </c>
      <c r="B13" t="s">
        <v>289</v>
      </c>
      <c r="C13" t="s">
        <v>288</v>
      </c>
      <c r="D13" t="s">
        <v>102</v>
      </c>
      <c r="E13">
        <v>12.823667</v>
      </c>
      <c r="F13">
        <v>12.981208000000001</v>
      </c>
      <c r="G13">
        <v>12.843882000000001</v>
      </c>
      <c r="H13">
        <v>12.388824</v>
      </c>
      <c r="I13">
        <v>12.017113</v>
      </c>
      <c r="J13">
        <v>11.894691</v>
      </c>
      <c r="K13">
        <v>11.852228</v>
      </c>
      <c r="L13">
        <v>11.957542999999999</v>
      </c>
      <c r="M13">
        <v>12.171066</v>
      </c>
      <c r="N13">
        <v>12.487912</v>
      </c>
      <c r="O13">
        <v>12.924792999999999</v>
      </c>
      <c r="P13">
        <v>13.402991999999999</v>
      </c>
      <c r="Q13">
        <v>13.933009</v>
      </c>
      <c r="R13">
        <v>14.512439000000001</v>
      </c>
      <c r="S13">
        <v>15.111438</v>
      </c>
      <c r="T13">
        <v>15.709825</v>
      </c>
      <c r="U13">
        <v>16.255154000000001</v>
      </c>
      <c r="V13">
        <v>16.760593</v>
      </c>
      <c r="W13">
        <v>17.227582999999999</v>
      </c>
      <c r="X13">
        <v>17.645254000000001</v>
      </c>
      <c r="Y13">
        <v>18.057563999999999</v>
      </c>
      <c r="Z13">
        <v>18.413550999999998</v>
      </c>
      <c r="AA13">
        <v>18.755607999999999</v>
      </c>
      <c r="AB13">
        <v>19.067126999999999</v>
      </c>
      <c r="AC13">
        <v>19.337585000000001</v>
      </c>
      <c r="AD13">
        <v>19.542180999999999</v>
      </c>
      <c r="AE13" s="71">
        <v>1.7000000000000001E-2</v>
      </c>
    </row>
    <row r="14" spans="1:31" x14ac:dyDescent="0.45">
      <c r="A14" t="s">
        <v>160</v>
      </c>
      <c r="B14" t="s">
        <v>287</v>
      </c>
      <c r="C14" t="s">
        <v>286</v>
      </c>
      <c r="D14" t="s">
        <v>102</v>
      </c>
      <c r="E14">
        <v>49.358566000000003</v>
      </c>
      <c r="F14">
        <v>58.074745</v>
      </c>
      <c r="G14">
        <v>76.353797999999998</v>
      </c>
      <c r="H14">
        <v>89.212097</v>
      </c>
      <c r="I14">
        <v>96.488158999999996</v>
      </c>
      <c r="J14">
        <v>97.371002000000004</v>
      </c>
      <c r="K14">
        <v>99.096671999999998</v>
      </c>
      <c r="L14">
        <v>101.127747</v>
      </c>
      <c r="M14">
        <v>105.95017199999999</v>
      </c>
      <c r="N14">
        <v>112.026802</v>
      </c>
      <c r="O14">
        <v>119.13988500000001</v>
      </c>
      <c r="P14">
        <v>125.43132</v>
      </c>
      <c r="Q14">
        <v>131.71814000000001</v>
      </c>
      <c r="R14">
        <v>137.85169999999999</v>
      </c>
      <c r="S14">
        <v>143.69639599999999</v>
      </c>
      <c r="T14">
        <v>148.72257999999999</v>
      </c>
      <c r="U14">
        <v>153.47375500000001</v>
      </c>
      <c r="V14">
        <v>157.991928</v>
      </c>
      <c r="W14">
        <v>162.17263800000001</v>
      </c>
      <c r="X14">
        <v>165.96719400000001</v>
      </c>
      <c r="Y14">
        <v>169.20832799999999</v>
      </c>
      <c r="Z14">
        <v>172.418488</v>
      </c>
      <c r="AA14">
        <v>175.729904</v>
      </c>
      <c r="AB14">
        <v>178.67451500000001</v>
      </c>
      <c r="AC14">
        <v>181.32904099999999</v>
      </c>
      <c r="AD14">
        <v>183.35115099999999</v>
      </c>
      <c r="AE14" s="71">
        <v>5.3999999999999999E-2</v>
      </c>
    </row>
    <row r="15" spans="1:31" x14ac:dyDescent="0.45">
      <c r="A15" t="s">
        <v>159</v>
      </c>
      <c r="B15" t="s">
        <v>285</v>
      </c>
      <c r="C15" t="s">
        <v>284</v>
      </c>
      <c r="D15" t="s">
        <v>102</v>
      </c>
      <c r="E15">
        <v>263.59167500000001</v>
      </c>
      <c r="F15">
        <v>300.86673000000002</v>
      </c>
      <c r="G15">
        <v>348.64984099999998</v>
      </c>
      <c r="H15">
        <v>384.50433299999997</v>
      </c>
      <c r="I15">
        <v>434.91430700000001</v>
      </c>
      <c r="J15">
        <v>488.20208700000001</v>
      </c>
      <c r="K15">
        <v>545.43536400000005</v>
      </c>
      <c r="L15">
        <v>600.52862500000003</v>
      </c>
      <c r="M15">
        <v>657.31561299999998</v>
      </c>
      <c r="N15">
        <v>711.00707999999997</v>
      </c>
      <c r="O15">
        <v>764.95623799999998</v>
      </c>
      <c r="P15">
        <v>812.79351799999995</v>
      </c>
      <c r="Q15">
        <v>858.64794900000004</v>
      </c>
      <c r="R15">
        <v>902.62231399999996</v>
      </c>
      <c r="S15">
        <v>944.09613000000002</v>
      </c>
      <c r="T15">
        <v>981.47760000000005</v>
      </c>
      <c r="U15">
        <v>1014.757324</v>
      </c>
      <c r="V15">
        <v>1044.864014</v>
      </c>
      <c r="W15">
        <v>1071.6549070000001</v>
      </c>
      <c r="X15">
        <v>1095.3256839999999</v>
      </c>
      <c r="Y15">
        <v>1117.124268</v>
      </c>
      <c r="Z15">
        <v>1136.2901609999999</v>
      </c>
      <c r="AA15">
        <v>1154.9223629999999</v>
      </c>
      <c r="AB15">
        <v>1171.0825199999999</v>
      </c>
      <c r="AC15">
        <v>1184.9039310000001</v>
      </c>
      <c r="AD15">
        <v>1194.463501</v>
      </c>
      <c r="AE15" s="71">
        <v>6.2E-2</v>
      </c>
    </row>
    <row r="16" spans="1:31" x14ac:dyDescent="0.45">
      <c r="A16" t="s">
        <v>107</v>
      </c>
      <c r="B16" t="s">
        <v>283</v>
      </c>
      <c r="C16" t="s">
        <v>282</v>
      </c>
      <c r="D16" t="s">
        <v>102</v>
      </c>
      <c r="E16">
        <v>34.596752000000002</v>
      </c>
      <c r="F16">
        <v>30.608488000000001</v>
      </c>
      <c r="G16">
        <v>27.326747999999998</v>
      </c>
      <c r="H16">
        <v>26.614899000000001</v>
      </c>
      <c r="I16">
        <v>25.900884999999999</v>
      </c>
      <c r="J16">
        <v>25.315301999999999</v>
      </c>
      <c r="K16">
        <v>24.233877</v>
      </c>
      <c r="L16">
        <v>23.190698999999999</v>
      </c>
      <c r="M16">
        <v>22.490473000000001</v>
      </c>
      <c r="N16">
        <v>21.979679000000001</v>
      </c>
      <c r="O16">
        <v>21.573813999999999</v>
      </c>
      <c r="P16">
        <v>21.041139999999999</v>
      </c>
      <c r="Q16">
        <v>20.545705999999999</v>
      </c>
      <c r="R16">
        <v>20.059356999999999</v>
      </c>
      <c r="S16">
        <v>19.597324</v>
      </c>
      <c r="T16">
        <v>19.087015000000001</v>
      </c>
      <c r="U16">
        <v>18.624936999999999</v>
      </c>
      <c r="V16">
        <v>18.216771999999999</v>
      </c>
      <c r="W16">
        <v>17.840681</v>
      </c>
      <c r="X16">
        <v>17.466495999999999</v>
      </c>
      <c r="Y16">
        <v>17.061406999999999</v>
      </c>
      <c r="Z16">
        <v>16.704312999999999</v>
      </c>
      <c r="AA16">
        <v>16.385477000000002</v>
      </c>
      <c r="AB16">
        <v>16.069012000000001</v>
      </c>
      <c r="AC16">
        <v>15.745203</v>
      </c>
      <c r="AD16">
        <v>15.398971</v>
      </c>
      <c r="AE16" s="71">
        <v>-3.2000000000000001E-2</v>
      </c>
    </row>
    <row r="17" spans="1:31" x14ac:dyDescent="0.45">
      <c r="A17" t="s">
        <v>108</v>
      </c>
      <c r="B17" t="s">
        <v>281</v>
      </c>
      <c r="C17" t="s">
        <v>280</v>
      </c>
      <c r="D17" t="s">
        <v>102</v>
      </c>
      <c r="E17">
        <v>19.589473999999999</v>
      </c>
      <c r="F17">
        <v>24.650236</v>
      </c>
      <c r="G17">
        <v>32.934142999999999</v>
      </c>
      <c r="H17">
        <v>39.004486</v>
      </c>
      <c r="I17">
        <v>37.118403999999998</v>
      </c>
      <c r="J17">
        <v>33.069083999999997</v>
      </c>
      <c r="K17">
        <v>29.835768000000002</v>
      </c>
      <c r="L17">
        <v>27.469379</v>
      </c>
      <c r="M17">
        <v>26.310110000000002</v>
      </c>
      <c r="N17">
        <v>25.836098</v>
      </c>
      <c r="O17">
        <v>25.827770000000001</v>
      </c>
      <c r="P17">
        <v>25.819583999999999</v>
      </c>
      <c r="Q17">
        <v>25.847314999999998</v>
      </c>
      <c r="R17">
        <v>25.905812999999998</v>
      </c>
      <c r="S17">
        <v>26.000364000000001</v>
      </c>
      <c r="T17">
        <v>26.069088000000001</v>
      </c>
      <c r="U17">
        <v>26.039117999999998</v>
      </c>
      <c r="V17">
        <v>25.966374999999999</v>
      </c>
      <c r="W17">
        <v>25.866949000000002</v>
      </c>
      <c r="X17">
        <v>25.739273000000001</v>
      </c>
      <c r="Y17">
        <v>25.665237000000001</v>
      </c>
      <c r="Z17">
        <v>25.554262000000001</v>
      </c>
      <c r="AA17">
        <v>25.507757000000002</v>
      </c>
      <c r="AB17">
        <v>25.466749</v>
      </c>
      <c r="AC17">
        <v>25.447727</v>
      </c>
      <c r="AD17">
        <v>25.379066000000002</v>
      </c>
      <c r="AE17" s="71">
        <v>0.01</v>
      </c>
    </row>
    <row r="18" spans="1:31" x14ac:dyDescent="0.45">
      <c r="A18" t="s">
        <v>110</v>
      </c>
      <c r="B18" t="s">
        <v>279</v>
      </c>
      <c r="C18" t="s">
        <v>278</v>
      </c>
      <c r="D18" t="s">
        <v>102</v>
      </c>
      <c r="E18">
        <v>287.18548600000003</v>
      </c>
      <c r="F18">
        <v>318.717468</v>
      </c>
      <c r="G18">
        <v>342.02923600000003</v>
      </c>
      <c r="H18">
        <v>352.974152</v>
      </c>
      <c r="I18">
        <v>359.95718399999998</v>
      </c>
      <c r="J18">
        <v>369.39511099999999</v>
      </c>
      <c r="K18">
        <v>381.55920400000002</v>
      </c>
      <c r="L18">
        <v>393.66665599999999</v>
      </c>
      <c r="M18">
        <v>407.05731200000002</v>
      </c>
      <c r="N18">
        <v>419.79788200000002</v>
      </c>
      <c r="O18">
        <v>432.14248700000002</v>
      </c>
      <c r="P18">
        <v>441.824341</v>
      </c>
      <c r="Q18">
        <v>451.03738399999997</v>
      </c>
      <c r="R18">
        <v>459.88000499999998</v>
      </c>
      <c r="S18">
        <v>468.02075200000002</v>
      </c>
      <c r="T18">
        <v>475.06469700000002</v>
      </c>
      <c r="U18">
        <v>480.99243200000001</v>
      </c>
      <c r="V18">
        <v>485.98745700000001</v>
      </c>
      <c r="W18">
        <v>489.92266799999999</v>
      </c>
      <c r="X18">
        <v>493.09201000000002</v>
      </c>
      <c r="Y18">
        <v>496.01275600000002</v>
      </c>
      <c r="Z18">
        <v>498.50320399999998</v>
      </c>
      <c r="AA18">
        <v>501.18487499999998</v>
      </c>
      <c r="AB18">
        <v>503.39868200000001</v>
      </c>
      <c r="AC18">
        <v>505.07394399999998</v>
      </c>
      <c r="AD18">
        <v>505.58981299999999</v>
      </c>
      <c r="AE18" s="71">
        <v>2.3E-2</v>
      </c>
    </row>
    <row r="19" spans="1:31" x14ac:dyDescent="0.45">
      <c r="A19" t="s">
        <v>115</v>
      </c>
      <c r="B19" t="s">
        <v>277</v>
      </c>
      <c r="C19" t="s">
        <v>276</v>
      </c>
      <c r="D19" t="s">
        <v>102</v>
      </c>
      <c r="E19">
        <v>0.94905200000000001</v>
      </c>
      <c r="F19">
        <v>0.86499800000000004</v>
      </c>
      <c r="G19">
        <v>0.79672200000000004</v>
      </c>
      <c r="H19">
        <v>0.73566900000000002</v>
      </c>
      <c r="I19">
        <v>0.67683400000000005</v>
      </c>
      <c r="J19">
        <v>0.61955700000000002</v>
      </c>
      <c r="K19">
        <v>0.56139300000000003</v>
      </c>
      <c r="L19">
        <v>0.50201200000000001</v>
      </c>
      <c r="M19">
        <v>0.44347799999999998</v>
      </c>
      <c r="N19">
        <v>0.38567699999999999</v>
      </c>
      <c r="O19">
        <v>0.33099800000000001</v>
      </c>
      <c r="P19">
        <v>0.27989199999999997</v>
      </c>
      <c r="Q19">
        <v>0.233957</v>
      </c>
      <c r="R19">
        <v>0.19358700000000001</v>
      </c>
      <c r="S19">
        <v>0.15939300000000001</v>
      </c>
      <c r="T19">
        <v>0.13141</v>
      </c>
      <c r="U19">
        <v>0.109955</v>
      </c>
      <c r="V19">
        <v>9.3901999999999999E-2</v>
      </c>
      <c r="W19">
        <v>8.1648999999999999E-2</v>
      </c>
      <c r="X19">
        <v>7.2316000000000005E-2</v>
      </c>
      <c r="Y19">
        <v>6.5349000000000004E-2</v>
      </c>
      <c r="Z19">
        <v>6.0263999999999998E-2</v>
      </c>
      <c r="AA19">
        <v>5.6443E-2</v>
      </c>
      <c r="AB19">
        <v>5.3207999999999998E-2</v>
      </c>
      <c r="AC19">
        <v>5.0312999999999997E-2</v>
      </c>
      <c r="AD19">
        <v>4.7671999999999999E-2</v>
      </c>
      <c r="AE19" s="71">
        <v>-0.113</v>
      </c>
    </row>
    <row r="20" spans="1:31" x14ac:dyDescent="0.45">
      <c r="A20" t="s">
        <v>116</v>
      </c>
      <c r="B20" t="s">
        <v>275</v>
      </c>
      <c r="C20" t="s">
        <v>274</v>
      </c>
      <c r="D20" t="s">
        <v>102</v>
      </c>
      <c r="E20">
        <v>874.46881099999996</v>
      </c>
      <c r="F20">
        <v>918.14514199999996</v>
      </c>
      <c r="G20">
        <v>988.16137700000002</v>
      </c>
      <c r="H20">
        <v>1031.1884769999999</v>
      </c>
      <c r="I20">
        <v>1073.679077</v>
      </c>
      <c r="J20">
        <v>1115.6639399999999</v>
      </c>
      <c r="K20">
        <v>1167.8726810000001</v>
      </c>
      <c r="L20">
        <v>1221.4689940000001</v>
      </c>
      <c r="M20">
        <v>1284.7955320000001</v>
      </c>
      <c r="N20">
        <v>1348.522827</v>
      </c>
      <c r="O20">
        <v>1415.518311</v>
      </c>
      <c r="P20">
        <v>1474.282471</v>
      </c>
      <c r="Q20">
        <v>1531.7611079999999</v>
      </c>
      <c r="R20">
        <v>1587.6694339999999</v>
      </c>
      <c r="S20">
        <v>1640.795654</v>
      </c>
      <c r="T20">
        <v>1688.278442</v>
      </c>
      <c r="U20">
        <v>1730.4884030000001</v>
      </c>
      <c r="V20">
        <v>1768.576904</v>
      </c>
      <c r="W20">
        <v>1802.1297609999999</v>
      </c>
      <c r="X20">
        <v>1831.505371</v>
      </c>
      <c r="Y20">
        <v>1858.354126</v>
      </c>
      <c r="Z20">
        <v>1882.1621090000001</v>
      </c>
      <c r="AA20">
        <v>1905.9145510000001</v>
      </c>
      <c r="AB20">
        <v>1926.440308</v>
      </c>
      <c r="AC20">
        <v>1943.827393</v>
      </c>
      <c r="AD20">
        <v>1955.073975</v>
      </c>
      <c r="AE20" s="71">
        <v>3.3000000000000002E-2</v>
      </c>
    </row>
    <row r="21" spans="1:31" x14ac:dyDescent="0.45">
      <c r="A21" t="s">
        <v>163</v>
      </c>
      <c r="B21" t="s">
        <v>273</v>
      </c>
      <c r="C21" t="s">
        <v>272</v>
      </c>
      <c r="D21" t="s">
        <v>102</v>
      </c>
      <c r="E21">
        <v>6090.7353519999997</v>
      </c>
      <c r="F21">
        <v>5836.421875</v>
      </c>
      <c r="G21">
        <v>5576.3066410000001</v>
      </c>
      <c r="H21">
        <v>5335.8017579999996</v>
      </c>
      <c r="I21">
        <v>5150.9853519999997</v>
      </c>
      <c r="J21">
        <v>5014.4272460000002</v>
      </c>
      <c r="K21">
        <v>4907.2041019999997</v>
      </c>
      <c r="L21">
        <v>4812.2788090000004</v>
      </c>
      <c r="M21">
        <v>4740.4340819999998</v>
      </c>
      <c r="N21">
        <v>4676.4111329999996</v>
      </c>
      <c r="O21">
        <v>4623.8027339999999</v>
      </c>
      <c r="P21">
        <v>4562.7353519999997</v>
      </c>
      <c r="Q21">
        <v>4511.8627930000002</v>
      </c>
      <c r="R21">
        <v>4470.064453</v>
      </c>
      <c r="S21">
        <v>4433.0903319999998</v>
      </c>
      <c r="T21">
        <v>4395.3256840000004</v>
      </c>
      <c r="U21">
        <v>4355.501953</v>
      </c>
      <c r="V21">
        <v>4314.8940430000002</v>
      </c>
      <c r="W21">
        <v>4272.2871089999999</v>
      </c>
      <c r="X21">
        <v>4228.8627930000002</v>
      </c>
      <c r="Y21">
        <v>4187.5659180000002</v>
      </c>
      <c r="Z21">
        <v>4145.970703</v>
      </c>
      <c r="AA21">
        <v>4108.7724609999996</v>
      </c>
      <c r="AB21">
        <v>4069.9624020000001</v>
      </c>
      <c r="AC21">
        <v>4029.5727539999998</v>
      </c>
      <c r="AD21">
        <v>3981.9934079999998</v>
      </c>
      <c r="AE21" s="71">
        <v>-1.7000000000000001E-2</v>
      </c>
    </row>
    <row r="22" spans="1:31" x14ac:dyDescent="0.45">
      <c r="A22" t="s">
        <v>162</v>
      </c>
    </row>
    <row r="23" spans="1:31" x14ac:dyDescent="0.45">
      <c r="A23" t="s">
        <v>120</v>
      </c>
    </row>
    <row r="24" spans="1:31" x14ac:dyDescent="0.45">
      <c r="A24" t="s">
        <v>101</v>
      </c>
      <c r="B24" t="s">
        <v>271</v>
      </c>
      <c r="C24" t="s">
        <v>270</v>
      </c>
      <c r="D24" t="s">
        <v>102</v>
      </c>
      <c r="E24">
        <v>9500.2548829999996</v>
      </c>
      <c r="F24">
        <v>9485.5742190000001</v>
      </c>
      <c r="G24">
        <v>9426.8271480000003</v>
      </c>
      <c r="H24">
        <v>9374.4472659999992</v>
      </c>
      <c r="I24">
        <v>9420.6513670000004</v>
      </c>
      <c r="J24">
        <v>9537.3740230000003</v>
      </c>
      <c r="K24">
        <v>9692.0546880000002</v>
      </c>
      <c r="L24">
        <v>9842.9267579999996</v>
      </c>
      <c r="M24">
        <v>9938.6142579999996</v>
      </c>
      <c r="N24">
        <v>9986.3017579999996</v>
      </c>
      <c r="O24">
        <v>9994.7919920000004</v>
      </c>
      <c r="P24">
        <v>9961.7373050000006</v>
      </c>
      <c r="Q24">
        <v>9912.3681639999995</v>
      </c>
      <c r="R24">
        <v>9851.3710940000001</v>
      </c>
      <c r="S24">
        <v>9766.0888670000004</v>
      </c>
      <c r="T24">
        <v>9673.0341800000006</v>
      </c>
      <c r="U24">
        <v>9571.8486329999996</v>
      </c>
      <c r="V24">
        <v>9462.0810550000006</v>
      </c>
      <c r="W24">
        <v>9347.71875</v>
      </c>
      <c r="X24">
        <v>9230.7568360000005</v>
      </c>
      <c r="Y24">
        <v>9111.1757809999999</v>
      </c>
      <c r="Z24">
        <v>8989.4072269999997</v>
      </c>
      <c r="AA24">
        <v>8862.6318360000005</v>
      </c>
      <c r="AB24">
        <v>8731.4199219999991</v>
      </c>
      <c r="AC24">
        <v>8593.6181639999995</v>
      </c>
      <c r="AD24">
        <v>8447.0302730000003</v>
      </c>
      <c r="AE24" s="71">
        <v>-5.0000000000000001E-3</v>
      </c>
    </row>
    <row r="25" spans="1:31" x14ac:dyDescent="0.45">
      <c r="A25" t="s">
        <v>103</v>
      </c>
      <c r="B25" t="s">
        <v>269</v>
      </c>
      <c r="C25" t="s">
        <v>268</v>
      </c>
      <c r="D25" t="s">
        <v>102</v>
      </c>
      <c r="E25">
        <v>110.019302</v>
      </c>
      <c r="F25">
        <v>122.51950100000001</v>
      </c>
      <c r="G25">
        <v>132.054855</v>
      </c>
      <c r="H25">
        <v>139.49691799999999</v>
      </c>
      <c r="I25">
        <v>146.40074200000001</v>
      </c>
      <c r="J25">
        <v>153.456253</v>
      </c>
      <c r="K25">
        <v>160.04946899999999</v>
      </c>
      <c r="L25">
        <v>166.039658</v>
      </c>
      <c r="M25">
        <v>171.30578600000001</v>
      </c>
      <c r="N25">
        <v>176.157532</v>
      </c>
      <c r="O25">
        <v>180.27542099999999</v>
      </c>
      <c r="P25">
        <v>183.361176</v>
      </c>
      <c r="Q25">
        <v>185.92254600000001</v>
      </c>
      <c r="R25">
        <v>188.11433400000001</v>
      </c>
      <c r="S25">
        <v>189.850662</v>
      </c>
      <c r="T25">
        <v>191.04046600000001</v>
      </c>
      <c r="U25">
        <v>191.84402499999999</v>
      </c>
      <c r="V25">
        <v>192.33519000000001</v>
      </c>
      <c r="W25">
        <v>192.52586400000001</v>
      </c>
      <c r="X25">
        <v>192.42022700000001</v>
      </c>
      <c r="Y25">
        <v>191.956772</v>
      </c>
      <c r="Z25">
        <v>191.46833799999999</v>
      </c>
      <c r="AA25">
        <v>190.80848700000001</v>
      </c>
      <c r="AB25">
        <v>190.02398700000001</v>
      </c>
      <c r="AC25">
        <v>188.938232</v>
      </c>
      <c r="AD25">
        <v>187.627792</v>
      </c>
      <c r="AE25" s="71">
        <v>2.1999999999999999E-2</v>
      </c>
    </row>
    <row r="26" spans="1:31" x14ac:dyDescent="0.45">
      <c r="A26" t="s">
        <v>121</v>
      </c>
      <c r="B26" t="s">
        <v>267</v>
      </c>
      <c r="C26" t="s">
        <v>266</v>
      </c>
      <c r="D26" t="s">
        <v>102</v>
      </c>
      <c r="E26">
        <v>9610.2744139999995</v>
      </c>
      <c r="F26">
        <v>9608.09375</v>
      </c>
      <c r="G26">
        <v>9558.8818360000005</v>
      </c>
      <c r="H26">
        <v>9513.9443360000005</v>
      </c>
      <c r="I26">
        <v>9567.0517579999996</v>
      </c>
      <c r="J26">
        <v>9690.8300780000009</v>
      </c>
      <c r="K26">
        <v>9852.1044920000004</v>
      </c>
      <c r="L26">
        <v>10008.966796999999</v>
      </c>
      <c r="M26">
        <v>10109.919921999999</v>
      </c>
      <c r="N26">
        <v>10162.458984000001</v>
      </c>
      <c r="O26">
        <v>10175.067383</v>
      </c>
      <c r="P26">
        <v>10145.098633</v>
      </c>
      <c r="Q26">
        <v>10098.291015999999</v>
      </c>
      <c r="R26">
        <v>10039.485352</v>
      </c>
      <c r="S26">
        <v>9955.9394530000009</v>
      </c>
      <c r="T26">
        <v>9864.0742190000001</v>
      </c>
      <c r="U26">
        <v>9763.6923829999996</v>
      </c>
      <c r="V26">
        <v>9654.4160159999992</v>
      </c>
      <c r="W26">
        <v>9540.2441409999992</v>
      </c>
      <c r="X26">
        <v>9423.1767579999996</v>
      </c>
      <c r="Y26">
        <v>9303.1328119999998</v>
      </c>
      <c r="Z26">
        <v>9180.8759769999997</v>
      </c>
      <c r="AA26">
        <v>9053.4404300000006</v>
      </c>
      <c r="AB26">
        <v>8921.4443360000005</v>
      </c>
      <c r="AC26">
        <v>8782.5566409999992</v>
      </c>
      <c r="AD26">
        <v>8634.6582030000009</v>
      </c>
      <c r="AE26" s="71">
        <v>-4.0000000000000001E-3</v>
      </c>
    </row>
    <row r="27" spans="1:31" x14ac:dyDescent="0.45">
      <c r="A27" t="s">
        <v>122</v>
      </c>
    </row>
    <row r="28" spans="1:31" x14ac:dyDescent="0.45">
      <c r="A28" t="s">
        <v>106</v>
      </c>
      <c r="B28" t="s">
        <v>265</v>
      </c>
      <c r="C28" t="s">
        <v>264</v>
      </c>
      <c r="D28" t="s">
        <v>102</v>
      </c>
      <c r="E28">
        <v>1007.255554</v>
      </c>
      <c r="F28">
        <v>870.78906199999994</v>
      </c>
      <c r="G28">
        <v>771.02258300000005</v>
      </c>
      <c r="H28">
        <v>680.44830300000001</v>
      </c>
      <c r="I28">
        <v>596.84429899999998</v>
      </c>
      <c r="J28">
        <v>520.00268600000004</v>
      </c>
      <c r="K28">
        <v>450.61560100000003</v>
      </c>
      <c r="L28">
        <v>388.65585299999998</v>
      </c>
      <c r="M28">
        <v>333.94754</v>
      </c>
      <c r="N28">
        <v>286.29788200000002</v>
      </c>
      <c r="O28">
        <v>245.38308699999999</v>
      </c>
      <c r="P28">
        <v>210.63995399999999</v>
      </c>
      <c r="Q28">
        <v>181.587524</v>
      </c>
      <c r="R28">
        <v>157.65450999999999</v>
      </c>
      <c r="S28">
        <v>137.725235</v>
      </c>
      <c r="T28">
        <v>120.985809</v>
      </c>
      <c r="U28">
        <v>107.050179</v>
      </c>
      <c r="V28">
        <v>95.466614000000007</v>
      </c>
      <c r="W28">
        <v>85.941581999999997</v>
      </c>
      <c r="X28">
        <v>78.031693000000004</v>
      </c>
      <c r="Y28">
        <v>71.333115000000006</v>
      </c>
      <c r="Z28">
        <v>65.642509000000004</v>
      </c>
      <c r="AA28">
        <v>60.793464999999998</v>
      </c>
      <c r="AB28">
        <v>56.536845999999997</v>
      </c>
      <c r="AC28">
        <v>52.695965000000001</v>
      </c>
      <c r="AD28">
        <v>49.226734</v>
      </c>
      <c r="AE28" s="71">
        <v>-0.114</v>
      </c>
    </row>
    <row r="29" spans="1:31" x14ac:dyDescent="0.45">
      <c r="A29" t="s">
        <v>161</v>
      </c>
      <c r="B29" t="s">
        <v>263</v>
      </c>
      <c r="C29" t="s">
        <v>262</v>
      </c>
      <c r="D29" t="s">
        <v>102</v>
      </c>
      <c r="E29">
        <v>0.99804599999999999</v>
      </c>
      <c r="F29">
        <v>1.224324</v>
      </c>
      <c r="G29">
        <v>1.434016</v>
      </c>
      <c r="H29">
        <v>1.612743</v>
      </c>
      <c r="I29">
        <v>1.8100099999999999</v>
      </c>
      <c r="J29">
        <v>2.0570149999999998</v>
      </c>
      <c r="K29">
        <v>2.332481</v>
      </c>
      <c r="L29">
        <v>2.6388989999999999</v>
      </c>
      <c r="M29">
        <v>2.970936</v>
      </c>
      <c r="N29">
        <v>3.3122240000000001</v>
      </c>
      <c r="O29">
        <v>3.6698230000000001</v>
      </c>
      <c r="P29">
        <v>4.0246930000000001</v>
      </c>
      <c r="Q29">
        <v>4.3832880000000003</v>
      </c>
      <c r="R29">
        <v>4.7455730000000003</v>
      </c>
      <c r="S29">
        <v>5.1117439999999998</v>
      </c>
      <c r="T29">
        <v>5.4787889999999999</v>
      </c>
      <c r="U29">
        <v>5.8319679999999998</v>
      </c>
      <c r="V29">
        <v>6.1734770000000001</v>
      </c>
      <c r="W29">
        <v>6.5046939999999998</v>
      </c>
      <c r="X29">
        <v>6.8261250000000002</v>
      </c>
      <c r="Y29">
        <v>7.1459489999999999</v>
      </c>
      <c r="Z29">
        <v>7.4453849999999999</v>
      </c>
      <c r="AA29">
        <v>7.7333720000000001</v>
      </c>
      <c r="AB29">
        <v>8.0039040000000004</v>
      </c>
      <c r="AC29">
        <v>8.2576420000000006</v>
      </c>
      <c r="AD29">
        <v>8.4837360000000004</v>
      </c>
      <c r="AE29" s="71">
        <v>8.8999999999999996E-2</v>
      </c>
    </row>
    <row r="30" spans="1:31" x14ac:dyDescent="0.45">
      <c r="A30" t="s">
        <v>160</v>
      </c>
      <c r="B30" t="s">
        <v>261</v>
      </c>
      <c r="C30" t="s">
        <v>260</v>
      </c>
      <c r="D30" t="s">
        <v>102</v>
      </c>
      <c r="E30">
        <v>31.350508000000001</v>
      </c>
      <c r="F30">
        <v>74.368172000000001</v>
      </c>
      <c r="G30">
        <v>136.70588699999999</v>
      </c>
      <c r="H30">
        <v>204.58422899999999</v>
      </c>
      <c r="I30">
        <v>264.52899200000002</v>
      </c>
      <c r="J30">
        <v>302.96585099999999</v>
      </c>
      <c r="K30">
        <v>327.23052999999999</v>
      </c>
      <c r="L30">
        <v>339.48434400000002</v>
      </c>
      <c r="M30">
        <v>359.057007</v>
      </c>
      <c r="N30">
        <v>385</v>
      </c>
      <c r="O30">
        <v>416.31106599999998</v>
      </c>
      <c r="P30">
        <v>447.93218999999999</v>
      </c>
      <c r="Q30">
        <v>480.79113799999999</v>
      </c>
      <c r="R30">
        <v>514.51483199999996</v>
      </c>
      <c r="S30">
        <v>547.89514199999996</v>
      </c>
      <c r="T30">
        <v>581.354736</v>
      </c>
      <c r="U30">
        <v>613.887878</v>
      </c>
      <c r="V30">
        <v>645.62731900000006</v>
      </c>
      <c r="W30">
        <v>676.58795199999997</v>
      </c>
      <c r="X30">
        <v>706.87475600000005</v>
      </c>
      <c r="Y30">
        <v>736.98785399999997</v>
      </c>
      <c r="Z30">
        <v>765.62231399999996</v>
      </c>
      <c r="AA30">
        <v>793.84613000000002</v>
      </c>
      <c r="AB30">
        <v>820.58819600000004</v>
      </c>
      <c r="AC30">
        <v>846.394409</v>
      </c>
      <c r="AD30">
        <v>869.89202899999998</v>
      </c>
      <c r="AE30" s="71">
        <v>0.14199999999999999</v>
      </c>
    </row>
    <row r="31" spans="1:31" x14ac:dyDescent="0.45">
      <c r="A31" t="s">
        <v>159</v>
      </c>
      <c r="B31" t="s">
        <v>259</v>
      </c>
      <c r="C31" t="s">
        <v>258</v>
      </c>
      <c r="D31" t="s">
        <v>102</v>
      </c>
      <c r="E31">
        <v>131.89450099999999</v>
      </c>
      <c r="F31">
        <v>218.22766100000001</v>
      </c>
      <c r="G31">
        <v>319.21444700000001</v>
      </c>
      <c r="H31">
        <v>427.61621100000002</v>
      </c>
      <c r="I31">
        <v>519.14703399999996</v>
      </c>
      <c r="J31">
        <v>598.87750200000005</v>
      </c>
      <c r="K31">
        <v>652.34124799999995</v>
      </c>
      <c r="L31">
        <v>703.941284</v>
      </c>
      <c r="M31">
        <v>767.26275599999997</v>
      </c>
      <c r="N31">
        <v>840.14691200000004</v>
      </c>
      <c r="O31">
        <v>920.04553199999998</v>
      </c>
      <c r="P31">
        <v>998.25732400000004</v>
      </c>
      <c r="Q31">
        <v>1077.3264160000001</v>
      </c>
      <c r="R31">
        <v>1156.8516850000001</v>
      </c>
      <c r="S31">
        <v>1235.584351</v>
      </c>
      <c r="T31">
        <v>1313.3093260000001</v>
      </c>
      <c r="U31">
        <v>1387.3438719999999</v>
      </c>
      <c r="V31">
        <v>1458.1967770000001</v>
      </c>
      <c r="W31">
        <v>1526.086914</v>
      </c>
      <c r="X31">
        <v>1591.306274</v>
      </c>
      <c r="Y31">
        <v>1655.256836</v>
      </c>
      <c r="Z31">
        <v>1714.775269</v>
      </c>
      <c r="AA31">
        <v>1772.1116939999999</v>
      </c>
      <c r="AB31">
        <v>1825.3831789999999</v>
      </c>
      <c r="AC31">
        <v>1875.292725</v>
      </c>
      <c r="AD31">
        <v>1919.2891850000001</v>
      </c>
      <c r="AE31" s="71">
        <v>0.113</v>
      </c>
    </row>
    <row r="32" spans="1:31" x14ac:dyDescent="0.45">
      <c r="A32" t="s">
        <v>107</v>
      </c>
      <c r="B32" t="s">
        <v>257</v>
      </c>
      <c r="C32" t="s">
        <v>256</v>
      </c>
      <c r="D32" t="s">
        <v>102</v>
      </c>
      <c r="E32">
        <v>122.127838</v>
      </c>
      <c r="F32">
        <v>109.80188</v>
      </c>
      <c r="G32">
        <v>105.263847</v>
      </c>
      <c r="H32">
        <v>112.534042</v>
      </c>
      <c r="I32">
        <v>120.325958</v>
      </c>
      <c r="J32">
        <v>128.97657799999999</v>
      </c>
      <c r="K32">
        <v>138.96319600000001</v>
      </c>
      <c r="L32">
        <v>149.43585200000001</v>
      </c>
      <c r="M32">
        <v>160.94911200000001</v>
      </c>
      <c r="N32">
        <v>173.17796300000001</v>
      </c>
      <c r="O32">
        <v>186.355774</v>
      </c>
      <c r="P32">
        <v>198.10780299999999</v>
      </c>
      <c r="Q32">
        <v>209.28947400000001</v>
      </c>
      <c r="R32">
        <v>220.11480700000001</v>
      </c>
      <c r="S32">
        <v>230.61596700000001</v>
      </c>
      <c r="T32">
        <v>240.00814800000001</v>
      </c>
      <c r="U32">
        <v>248.149124</v>
      </c>
      <c r="V32">
        <v>255.412048</v>
      </c>
      <c r="W32">
        <v>262.11166400000002</v>
      </c>
      <c r="X32">
        <v>268.10058600000002</v>
      </c>
      <c r="Y32">
        <v>273.49014299999999</v>
      </c>
      <c r="Z32">
        <v>278.107574</v>
      </c>
      <c r="AA32">
        <v>282.30191000000002</v>
      </c>
      <c r="AB32">
        <v>285.72100799999998</v>
      </c>
      <c r="AC32">
        <v>288.57199100000003</v>
      </c>
      <c r="AD32">
        <v>290.41790800000001</v>
      </c>
      <c r="AE32" s="71">
        <v>3.5000000000000003E-2</v>
      </c>
    </row>
    <row r="33" spans="1:31" x14ac:dyDescent="0.45">
      <c r="A33" t="s">
        <v>108</v>
      </c>
      <c r="B33" t="s">
        <v>255</v>
      </c>
      <c r="C33" t="s">
        <v>254</v>
      </c>
      <c r="D33" t="s">
        <v>102</v>
      </c>
      <c r="E33">
        <v>21.128171999999999</v>
      </c>
      <c r="F33">
        <v>63.923274999999997</v>
      </c>
      <c r="G33">
        <v>127.469025</v>
      </c>
      <c r="H33">
        <v>198.099594</v>
      </c>
      <c r="I33">
        <v>204.474808</v>
      </c>
      <c r="J33">
        <v>194.68615700000001</v>
      </c>
      <c r="K33">
        <v>177.24061599999999</v>
      </c>
      <c r="L33">
        <v>158.29658499999999</v>
      </c>
      <c r="M33">
        <v>146.72889699999999</v>
      </c>
      <c r="N33">
        <v>141.22395299999999</v>
      </c>
      <c r="O33">
        <v>138.79693599999999</v>
      </c>
      <c r="P33">
        <v>136.70372</v>
      </c>
      <c r="Q33">
        <v>134.75311300000001</v>
      </c>
      <c r="R33">
        <v>132.777863</v>
      </c>
      <c r="S33">
        <v>130.82496599999999</v>
      </c>
      <c r="T33">
        <v>128.747467</v>
      </c>
      <c r="U33">
        <v>126.181534</v>
      </c>
      <c r="V33">
        <v>123.228302</v>
      </c>
      <c r="W33">
        <v>120.0466</v>
      </c>
      <c r="X33">
        <v>116.776009</v>
      </c>
      <c r="Y33">
        <v>113.73335299999999</v>
      </c>
      <c r="Z33">
        <v>110.68338</v>
      </c>
      <c r="AA33">
        <v>107.94883</v>
      </c>
      <c r="AB33">
        <v>105.443512</v>
      </c>
      <c r="AC33">
        <v>103.29975899999999</v>
      </c>
      <c r="AD33">
        <v>101.364166</v>
      </c>
      <c r="AE33" s="71">
        <v>6.5000000000000002E-2</v>
      </c>
    </row>
    <row r="34" spans="1:31" x14ac:dyDescent="0.45">
      <c r="A34" t="s">
        <v>110</v>
      </c>
      <c r="B34" t="s">
        <v>253</v>
      </c>
      <c r="C34" t="s">
        <v>252</v>
      </c>
      <c r="D34" t="s">
        <v>102</v>
      </c>
      <c r="E34">
        <v>532.14843800000006</v>
      </c>
      <c r="F34">
        <v>776.49652100000003</v>
      </c>
      <c r="G34">
        <v>993.47314500000005</v>
      </c>
      <c r="H34">
        <v>1195.952393</v>
      </c>
      <c r="I34">
        <v>1387.879639</v>
      </c>
      <c r="J34">
        <v>1573.0736079999999</v>
      </c>
      <c r="K34">
        <v>1745.1660159999999</v>
      </c>
      <c r="L34">
        <v>1900.5805660000001</v>
      </c>
      <c r="M34">
        <v>2044.6385499999999</v>
      </c>
      <c r="N34">
        <v>2176.8999020000001</v>
      </c>
      <c r="O34">
        <v>2298.9689939999998</v>
      </c>
      <c r="P34">
        <v>2405.2585450000001</v>
      </c>
      <c r="Q34">
        <v>2503.7341310000002</v>
      </c>
      <c r="R34">
        <v>2594.5646969999998</v>
      </c>
      <c r="S34">
        <v>2690.914307</v>
      </c>
      <c r="T34">
        <v>2777.670654</v>
      </c>
      <c r="U34">
        <v>2850.610596</v>
      </c>
      <c r="V34">
        <v>2910.7866210000002</v>
      </c>
      <c r="W34">
        <v>2963.3217770000001</v>
      </c>
      <c r="X34">
        <v>3010.3771969999998</v>
      </c>
      <c r="Y34">
        <v>3053.2241210000002</v>
      </c>
      <c r="Z34">
        <v>3091.217529</v>
      </c>
      <c r="AA34">
        <v>3124.9641109999998</v>
      </c>
      <c r="AB34">
        <v>3153.6447750000002</v>
      </c>
      <c r="AC34">
        <v>3178.025635</v>
      </c>
      <c r="AD34">
        <v>3196.3552249999998</v>
      </c>
      <c r="AE34" s="71">
        <v>7.3999999999999996E-2</v>
      </c>
    </row>
    <row r="35" spans="1:31" x14ac:dyDescent="0.45">
      <c r="A35" t="s">
        <v>115</v>
      </c>
      <c r="B35" t="s">
        <v>251</v>
      </c>
      <c r="C35" t="s">
        <v>250</v>
      </c>
      <c r="D35" t="s">
        <v>102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 t="s">
        <v>109</v>
      </c>
    </row>
    <row r="36" spans="1:31" x14ac:dyDescent="0.45">
      <c r="A36" t="s">
        <v>123</v>
      </c>
      <c r="B36" t="s">
        <v>249</v>
      </c>
      <c r="C36" t="s">
        <v>248</v>
      </c>
      <c r="D36" t="s">
        <v>102</v>
      </c>
      <c r="E36">
        <v>1858.9742429999999</v>
      </c>
      <c r="F36">
        <v>2126.1035160000001</v>
      </c>
      <c r="G36">
        <v>2465.1501459999999</v>
      </c>
      <c r="H36">
        <v>2830.7666020000001</v>
      </c>
      <c r="I36">
        <v>3104.3303219999998</v>
      </c>
      <c r="J36">
        <v>3329.3942870000001</v>
      </c>
      <c r="K36">
        <v>3502.1110840000001</v>
      </c>
      <c r="L36">
        <v>3650.7509770000001</v>
      </c>
      <c r="M36">
        <v>3822.797607</v>
      </c>
      <c r="N36">
        <v>4012.8557129999999</v>
      </c>
      <c r="O36">
        <v>4215.9091799999997</v>
      </c>
      <c r="P36">
        <v>4406.9121089999999</v>
      </c>
      <c r="Q36">
        <v>4597.4941410000001</v>
      </c>
      <c r="R36">
        <v>4786.5161129999997</v>
      </c>
      <c r="S36">
        <v>4983.6494140000004</v>
      </c>
      <c r="T36">
        <v>5172.2368159999996</v>
      </c>
      <c r="U36">
        <v>5343.4589839999999</v>
      </c>
      <c r="V36">
        <v>5499.033203</v>
      </c>
      <c r="W36">
        <v>5644.4970700000003</v>
      </c>
      <c r="X36">
        <v>5781.9575199999999</v>
      </c>
      <c r="Y36">
        <v>5914.6186520000001</v>
      </c>
      <c r="Z36">
        <v>6036.7368159999996</v>
      </c>
      <c r="AA36">
        <v>6152.7495120000003</v>
      </c>
      <c r="AB36">
        <v>6258.1904299999997</v>
      </c>
      <c r="AC36">
        <v>6355.236328</v>
      </c>
      <c r="AD36">
        <v>6437.5668949999999</v>
      </c>
      <c r="AE36" s="71">
        <v>5.0999999999999997E-2</v>
      </c>
    </row>
    <row r="37" spans="1:31" x14ac:dyDescent="0.45">
      <c r="A37" t="s">
        <v>158</v>
      </c>
      <c r="B37" t="s">
        <v>247</v>
      </c>
      <c r="C37" t="s">
        <v>246</v>
      </c>
      <c r="D37" t="s">
        <v>102</v>
      </c>
      <c r="E37">
        <v>11469.249023</v>
      </c>
      <c r="F37">
        <v>11734.197265999999</v>
      </c>
      <c r="G37">
        <v>12024.032227</v>
      </c>
      <c r="H37">
        <v>12344.710938</v>
      </c>
      <c r="I37">
        <v>12671.381836</v>
      </c>
      <c r="J37">
        <v>13020.224609000001</v>
      </c>
      <c r="K37">
        <v>13354.215819999999</v>
      </c>
      <c r="L37">
        <v>13659.717773</v>
      </c>
      <c r="M37">
        <v>13932.717773</v>
      </c>
      <c r="N37">
        <v>14175.314453000001</v>
      </c>
      <c r="O37">
        <v>14390.976562</v>
      </c>
      <c r="P37">
        <v>14552.010742</v>
      </c>
      <c r="Q37">
        <v>14695.785156</v>
      </c>
      <c r="R37">
        <v>14826.001953000001</v>
      </c>
      <c r="S37">
        <v>14939.588867</v>
      </c>
      <c r="T37">
        <v>15036.310546999999</v>
      </c>
      <c r="U37">
        <v>15107.151367</v>
      </c>
      <c r="V37">
        <v>15153.449219</v>
      </c>
      <c r="W37">
        <v>15184.741211</v>
      </c>
      <c r="X37">
        <v>15205.134765999999</v>
      </c>
      <c r="Y37">
        <v>15217.751953000001</v>
      </c>
      <c r="Z37">
        <v>15217.613281</v>
      </c>
      <c r="AA37">
        <v>15206.189453000001</v>
      </c>
      <c r="AB37">
        <v>15179.634765999999</v>
      </c>
      <c r="AC37">
        <v>15137.792969</v>
      </c>
      <c r="AD37">
        <v>15072.224609000001</v>
      </c>
      <c r="AE37" s="71">
        <v>1.0999999999999999E-2</v>
      </c>
    </row>
    <row r="38" spans="1:31" x14ac:dyDescent="0.45">
      <c r="A38" t="s">
        <v>132</v>
      </c>
      <c r="B38" t="s">
        <v>245</v>
      </c>
      <c r="C38" t="s">
        <v>244</v>
      </c>
      <c r="D38" t="s">
        <v>102</v>
      </c>
      <c r="E38">
        <v>17559.984375</v>
      </c>
      <c r="F38">
        <v>17570.619140999999</v>
      </c>
      <c r="G38">
        <v>17600.339843999998</v>
      </c>
      <c r="H38">
        <v>17680.511718999998</v>
      </c>
      <c r="I38">
        <v>17822.367188</v>
      </c>
      <c r="J38">
        <v>18034.652343999998</v>
      </c>
      <c r="K38">
        <v>18261.419922000001</v>
      </c>
      <c r="L38">
        <v>18471.996093999998</v>
      </c>
      <c r="M38">
        <v>18673.152343999998</v>
      </c>
      <c r="N38">
        <v>18851.726562</v>
      </c>
      <c r="O38">
        <v>19014.779297000001</v>
      </c>
      <c r="P38">
        <v>19114.746093999998</v>
      </c>
      <c r="Q38">
        <v>19207.648438</v>
      </c>
      <c r="R38">
        <v>19296.066406000002</v>
      </c>
      <c r="S38">
        <v>19372.679688</v>
      </c>
      <c r="T38">
        <v>19431.636718999998</v>
      </c>
      <c r="U38">
        <v>19462.652343999998</v>
      </c>
      <c r="V38">
        <v>19468.34375</v>
      </c>
      <c r="W38">
        <v>19457.027343999998</v>
      </c>
      <c r="X38">
        <v>19433.998047000001</v>
      </c>
      <c r="Y38">
        <v>19405.318359000001</v>
      </c>
      <c r="Z38">
        <v>19363.583984000001</v>
      </c>
      <c r="AA38">
        <v>19314.960938</v>
      </c>
      <c r="AB38">
        <v>19249.597656000002</v>
      </c>
      <c r="AC38">
        <v>19167.365234000001</v>
      </c>
      <c r="AD38">
        <v>19054.21875</v>
      </c>
      <c r="AE38" s="71">
        <v>3.0000000000000001E-3</v>
      </c>
    </row>
    <row r="39" spans="1:31" x14ac:dyDescent="0.45">
      <c r="A39" t="s">
        <v>157</v>
      </c>
      <c r="B39" t="s">
        <v>243</v>
      </c>
      <c r="C39" t="s">
        <v>242</v>
      </c>
      <c r="D39" t="s">
        <v>102</v>
      </c>
      <c r="E39">
        <v>7882.263672</v>
      </c>
      <c r="F39">
        <v>7718.1157229999999</v>
      </c>
      <c r="G39">
        <v>7629.0815430000002</v>
      </c>
      <c r="H39">
        <v>7589.3720700000003</v>
      </c>
      <c r="I39">
        <v>7590.8134769999997</v>
      </c>
      <c r="J39">
        <v>7633.5</v>
      </c>
      <c r="K39">
        <v>7698.8798829999996</v>
      </c>
      <c r="L39">
        <v>7782.9262699999999</v>
      </c>
      <c r="M39">
        <v>7859.0766599999997</v>
      </c>
      <c r="N39">
        <v>7919.330078</v>
      </c>
      <c r="O39">
        <v>7952.2817379999997</v>
      </c>
      <c r="P39">
        <v>7956.8364259999998</v>
      </c>
      <c r="Q39">
        <v>7931.2661129999997</v>
      </c>
      <c r="R39">
        <v>7882.0209960000002</v>
      </c>
      <c r="S39">
        <v>7812.3657229999999</v>
      </c>
      <c r="T39">
        <v>7721.033203</v>
      </c>
      <c r="U39">
        <v>7608.1904299999997</v>
      </c>
      <c r="V39">
        <v>7477.1328119999998</v>
      </c>
      <c r="W39">
        <v>7346.2534180000002</v>
      </c>
      <c r="X39">
        <v>7216.3901370000003</v>
      </c>
      <c r="Y39">
        <v>7075.6992190000001</v>
      </c>
      <c r="Z39">
        <v>6920.3642579999996</v>
      </c>
      <c r="AA39">
        <v>6762.7626950000003</v>
      </c>
      <c r="AB39">
        <v>6594.4472660000001</v>
      </c>
      <c r="AC39">
        <v>6411.7973629999997</v>
      </c>
      <c r="AD39">
        <v>6213.7128910000001</v>
      </c>
      <c r="AE39" s="71">
        <v>-8.9999999999999993E-3</v>
      </c>
    </row>
    <row r="40" spans="1:31" x14ac:dyDescent="0.45">
      <c r="A40" t="s">
        <v>156</v>
      </c>
      <c r="B40" t="s">
        <v>241</v>
      </c>
      <c r="C40" t="s">
        <v>240</v>
      </c>
      <c r="D40" t="s">
        <v>102</v>
      </c>
      <c r="E40">
        <v>5002.9780270000001</v>
      </c>
      <c r="F40">
        <v>4920.6372069999998</v>
      </c>
      <c r="G40">
        <v>4838.4228519999997</v>
      </c>
      <c r="H40">
        <v>4754.9169920000004</v>
      </c>
      <c r="I40">
        <v>4667.830078</v>
      </c>
      <c r="J40">
        <v>4577.2856449999999</v>
      </c>
      <c r="K40">
        <v>4477.2270509999998</v>
      </c>
      <c r="L40">
        <v>4384.5673829999996</v>
      </c>
      <c r="M40">
        <v>4277.0864259999998</v>
      </c>
      <c r="N40">
        <v>4162.5893550000001</v>
      </c>
      <c r="O40">
        <v>4032.804443</v>
      </c>
      <c r="P40">
        <v>3892.8220209999999</v>
      </c>
      <c r="Q40">
        <v>3743.9099120000001</v>
      </c>
      <c r="R40">
        <v>3586.1232909999999</v>
      </c>
      <c r="S40">
        <v>3426.6826169999999</v>
      </c>
      <c r="T40">
        <v>3261.099365</v>
      </c>
      <c r="U40">
        <v>3103.415039</v>
      </c>
      <c r="V40">
        <v>2952.226318</v>
      </c>
      <c r="W40">
        <v>2821.366943</v>
      </c>
      <c r="X40">
        <v>2704.1667480000001</v>
      </c>
      <c r="Y40">
        <v>2587.6079100000002</v>
      </c>
      <c r="Z40">
        <v>2472.360107</v>
      </c>
      <c r="AA40">
        <v>2362.5249020000001</v>
      </c>
      <c r="AB40">
        <v>2255.0485840000001</v>
      </c>
      <c r="AC40">
        <v>2139.474365</v>
      </c>
      <c r="AD40">
        <v>2021.7506100000001</v>
      </c>
      <c r="AE40" s="71">
        <v>-3.5999999999999997E-2</v>
      </c>
    </row>
    <row r="41" spans="1:31" x14ac:dyDescent="0.45">
      <c r="A41" t="s">
        <v>155</v>
      </c>
      <c r="B41" t="s">
        <v>239</v>
      </c>
      <c r="C41" t="s">
        <v>238</v>
      </c>
      <c r="D41" t="s">
        <v>102</v>
      </c>
      <c r="E41">
        <v>2.9389999999999999E-2</v>
      </c>
      <c r="F41">
        <v>2.8049999999999999E-2</v>
      </c>
      <c r="G41">
        <v>2.8767000000000001E-2</v>
      </c>
      <c r="H41">
        <v>3.0852999999999998E-2</v>
      </c>
      <c r="I41">
        <v>3.3989999999999999E-2</v>
      </c>
      <c r="J41">
        <v>3.7803000000000003E-2</v>
      </c>
      <c r="K41">
        <v>4.2110000000000002E-2</v>
      </c>
      <c r="L41">
        <v>4.6904000000000001E-2</v>
      </c>
      <c r="M41">
        <v>5.1970000000000002E-2</v>
      </c>
      <c r="N41">
        <v>5.6926999999999998E-2</v>
      </c>
      <c r="O41">
        <v>6.1940000000000002E-2</v>
      </c>
      <c r="P41">
        <v>6.6980999999999999E-2</v>
      </c>
      <c r="Q41">
        <v>7.2059999999999999E-2</v>
      </c>
      <c r="R41">
        <v>7.7115000000000003E-2</v>
      </c>
      <c r="S41">
        <v>8.2075999999999996E-2</v>
      </c>
      <c r="T41">
        <v>8.6895E-2</v>
      </c>
      <c r="U41">
        <v>9.1471999999999998E-2</v>
      </c>
      <c r="V41">
        <v>9.579E-2</v>
      </c>
      <c r="W41">
        <v>9.9874000000000004E-2</v>
      </c>
      <c r="X41">
        <v>0.103683</v>
      </c>
      <c r="Y41">
        <v>0.10724599999999999</v>
      </c>
      <c r="Z41">
        <v>0.110537</v>
      </c>
      <c r="AA41">
        <v>0.113551</v>
      </c>
      <c r="AB41">
        <v>0.116289</v>
      </c>
      <c r="AC41">
        <v>0.11874800000000001</v>
      </c>
      <c r="AD41">
        <v>0.120917</v>
      </c>
      <c r="AE41" s="71">
        <v>5.8000000000000003E-2</v>
      </c>
    </row>
    <row r="42" spans="1:31" x14ac:dyDescent="0.45">
      <c r="A42" t="s">
        <v>154</v>
      </c>
      <c r="B42" t="s">
        <v>237</v>
      </c>
      <c r="C42" t="s">
        <v>236</v>
      </c>
      <c r="D42" t="s">
        <v>102</v>
      </c>
      <c r="E42">
        <v>14.123592</v>
      </c>
      <c r="F42">
        <v>17.557981000000002</v>
      </c>
      <c r="G42">
        <v>19.892175999999999</v>
      </c>
      <c r="H42">
        <v>21.965724999999999</v>
      </c>
      <c r="I42">
        <v>23.452375</v>
      </c>
      <c r="J42">
        <v>25.092058000000002</v>
      </c>
      <c r="K42">
        <v>26.851216999999998</v>
      </c>
      <c r="L42">
        <v>29.061223999999999</v>
      </c>
      <c r="M42">
        <v>31.537631999999999</v>
      </c>
      <c r="N42">
        <v>34.389294</v>
      </c>
      <c r="O42">
        <v>38.135089999999998</v>
      </c>
      <c r="P42">
        <v>42.418118</v>
      </c>
      <c r="Q42">
        <v>47.842067999999998</v>
      </c>
      <c r="R42">
        <v>54.623900999999996</v>
      </c>
      <c r="S42">
        <v>62.418179000000002</v>
      </c>
      <c r="T42">
        <v>72.016266000000002</v>
      </c>
      <c r="U42">
        <v>82.636161999999999</v>
      </c>
      <c r="V42">
        <v>94.554366999999999</v>
      </c>
      <c r="W42">
        <v>107.83039100000001</v>
      </c>
      <c r="X42">
        <v>122.378212</v>
      </c>
      <c r="Y42">
        <v>138.17295799999999</v>
      </c>
      <c r="Z42">
        <v>155.49026499999999</v>
      </c>
      <c r="AA42">
        <v>173.50885</v>
      </c>
      <c r="AB42">
        <v>192.23400899999999</v>
      </c>
      <c r="AC42">
        <v>211.13888499999999</v>
      </c>
      <c r="AD42">
        <v>230.721405</v>
      </c>
      <c r="AE42" s="71">
        <v>0.11799999999999999</v>
      </c>
    </row>
    <row r="43" spans="1:31" x14ac:dyDescent="0.45">
      <c r="A43" t="s">
        <v>153</v>
      </c>
      <c r="B43" t="s">
        <v>235</v>
      </c>
      <c r="C43" t="s">
        <v>234</v>
      </c>
      <c r="D43" t="s">
        <v>102</v>
      </c>
      <c r="E43">
        <v>1585.904663</v>
      </c>
      <c r="F43">
        <v>1550.989746</v>
      </c>
      <c r="G43">
        <v>1511.92688</v>
      </c>
      <c r="H43">
        <v>1469.2751459999999</v>
      </c>
      <c r="I43">
        <v>1421.6933590000001</v>
      </c>
      <c r="J43">
        <v>1369.3641359999999</v>
      </c>
      <c r="K43">
        <v>1312.347168</v>
      </c>
      <c r="L43">
        <v>1251.104126</v>
      </c>
      <c r="M43">
        <v>1187.103638</v>
      </c>
      <c r="N43">
        <v>1120.3492429999999</v>
      </c>
      <c r="O43">
        <v>1052.594971</v>
      </c>
      <c r="P43">
        <v>985.46447799999999</v>
      </c>
      <c r="Q43">
        <v>919.91101100000003</v>
      </c>
      <c r="R43">
        <v>856.78521699999999</v>
      </c>
      <c r="S43">
        <v>796.59527600000001</v>
      </c>
      <c r="T43">
        <v>740.64648399999999</v>
      </c>
      <c r="U43">
        <v>689.74896200000001</v>
      </c>
      <c r="V43">
        <v>644.09655799999996</v>
      </c>
      <c r="W43">
        <v>603.90698199999997</v>
      </c>
      <c r="X43">
        <v>562.473206</v>
      </c>
      <c r="Y43">
        <v>520.17755099999999</v>
      </c>
      <c r="Z43">
        <v>480.65725700000002</v>
      </c>
      <c r="AA43">
        <v>438.79760700000003</v>
      </c>
      <c r="AB43">
        <v>395.525848</v>
      </c>
      <c r="AC43">
        <v>348.95233200000001</v>
      </c>
      <c r="AD43">
        <v>302.43563799999998</v>
      </c>
      <c r="AE43" s="71">
        <v>-6.4000000000000001E-2</v>
      </c>
    </row>
    <row r="44" spans="1:31" x14ac:dyDescent="0.45">
      <c r="A44" t="s">
        <v>126</v>
      </c>
      <c r="B44" t="s">
        <v>233</v>
      </c>
      <c r="C44" t="s">
        <v>232</v>
      </c>
      <c r="D44" t="s">
        <v>102</v>
      </c>
      <c r="E44">
        <v>130.89210499999999</v>
      </c>
      <c r="F44">
        <v>184.41905199999999</v>
      </c>
      <c r="G44">
        <v>240.56279000000001</v>
      </c>
      <c r="H44">
        <v>297.98135400000001</v>
      </c>
      <c r="I44">
        <v>357.10168499999997</v>
      </c>
      <c r="J44">
        <v>418.34268200000002</v>
      </c>
      <c r="K44">
        <v>481.03695699999997</v>
      </c>
      <c r="L44">
        <v>544.87823500000002</v>
      </c>
      <c r="M44">
        <v>608.86669900000004</v>
      </c>
      <c r="N44">
        <v>672.64398200000005</v>
      </c>
      <c r="O44">
        <v>735.47906499999999</v>
      </c>
      <c r="P44">
        <v>796.13580300000001</v>
      </c>
      <c r="Q44">
        <v>855.44586200000003</v>
      </c>
      <c r="R44">
        <v>912.94464100000005</v>
      </c>
      <c r="S44">
        <v>968.20538299999998</v>
      </c>
      <c r="T44">
        <v>1024.2092290000001</v>
      </c>
      <c r="U44">
        <v>1077.5192870000001</v>
      </c>
      <c r="V44">
        <v>1124.5135499999999</v>
      </c>
      <c r="W44">
        <v>1169.1032709999999</v>
      </c>
      <c r="X44">
        <v>1212.96228</v>
      </c>
      <c r="Y44">
        <v>1256.3027340000001</v>
      </c>
      <c r="Z44">
        <v>1298.7155760000001</v>
      </c>
      <c r="AA44">
        <v>1340.112061</v>
      </c>
      <c r="AB44">
        <v>1380.203125</v>
      </c>
      <c r="AC44">
        <v>1420.7426760000001</v>
      </c>
      <c r="AD44">
        <v>1463.7196039999999</v>
      </c>
      <c r="AE44" s="71">
        <v>0.10100000000000001</v>
      </c>
    </row>
    <row r="45" spans="1:31" x14ac:dyDescent="0.45">
      <c r="A45" t="s">
        <v>152</v>
      </c>
      <c r="B45" t="s">
        <v>231</v>
      </c>
      <c r="C45" t="s">
        <v>230</v>
      </c>
      <c r="D45" t="s">
        <v>102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 t="s">
        <v>109</v>
      </c>
    </row>
    <row r="46" spans="1:31" x14ac:dyDescent="0.45">
      <c r="A46" t="s">
        <v>151</v>
      </c>
      <c r="B46" t="s">
        <v>229</v>
      </c>
      <c r="C46" t="s">
        <v>228</v>
      </c>
      <c r="D46" t="s">
        <v>102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 t="s">
        <v>109</v>
      </c>
    </row>
    <row r="47" spans="1:31" x14ac:dyDescent="0.45">
      <c r="A47" t="s">
        <v>127</v>
      </c>
      <c r="B47" t="s">
        <v>227</v>
      </c>
      <c r="C47" t="s">
        <v>226</v>
      </c>
      <c r="D47" t="s">
        <v>102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 t="s">
        <v>109</v>
      </c>
    </row>
    <row r="48" spans="1:31" x14ac:dyDescent="0.45">
      <c r="A48" t="s">
        <v>150</v>
      </c>
      <c r="B48" t="s">
        <v>225</v>
      </c>
      <c r="C48" t="s">
        <v>224</v>
      </c>
      <c r="D48" t="s">
        <v>102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 t="s">
        <v>109</v>
      </c>
    </row>
    <row r="49" spans="1:31" x14ac:dyDescent="0.45">
      <c r="A49" t="s">
        <v>149</v>
      </c>
      <c r="B49" t="s">
        <v>223</v>
      </c>
      <c r="C49" t="s">
        <v>222</v>
      </c>
      <c r="D49" t="s">
        <v>102</v>
      </c>
      <c r="E49">
        <v>1.9456169999999999</v>
      </c>
      <c r="F49">
        <v>5.2897660000000002</v>
      </c>
      <c r="G49">
        <v>10.007407000000001</v>
      </c>
      <c r="H49">
        <v>16.609016</v>
      </c>
      <c r="I49">
        <v>26.195983999999999</v>
      </c>
      <c r="J49">
        <v>41.144137999999998</v>
      </c>
      <c r="K49">
        <v>62.356422000000002</v>
      </c>
      <c r="L49">
        <v>95.123328999999998</v>
      </c>
      <c r="M49">
        <v>143.916382</v>
      </c>
      <c r="N49">
        <v>208.263474</v>
      </c>
      <c r="O49">
        <v>302.78372200000001</v>
      </c>
      <c r="P49">
        <v>423.18008400000002</v>
      </c>
      <c r="Q49">
        <v>572.72717299999999</v>
      </c>
      <c r="R49">
        <v>744.17895499999997</v>
      </c>
      <c r="S49">
        <v>939.29534899999999</v>
      </c>
      <c r="T49">
        <v>1154.361206</v>
      </c>
      <c r="U49">
        <v>1395.0466309999999</v>
      </c>
      <c r="V49">
        <v>1656.190186</v>
      </c>
      <c r="W49">
        <v>1923.7260739999999</v>
      </c>
      <c r="X49">
        <v>2200.1877439999998</v>
      </c>
      <c r="Y49">
        <v>2485.5327149999998</v>
      </c>
      <c r="Z49">
        <v>2771.07251</v>
      </c>
      <c r="AA49">
        <v>3051.8728030000002</v>
      </c>
      <c r="AB49">
        <v>3335.4335940000001</v>
      </c>
      <c r="AC49">
        <v>3618.0688479999999</v>
      </c>
      <c r="AD49">
        <v>3892.0656739999999</v>
      </c>
      <c r="AE49" s="71">
        <v>0.35499999999999998</v>
      </c>
    </row>
    <row r="50" spans="1:31" x14ac:dyDescent="0.45">
      <c r="A50" t="s">
        <v>148</v>
      </c>
      <c r="B50" t="s">
        <v>221</v>
      </c>
      <c r="C50" t="s">
        <v>220</v>
      </c>
      <c r="D50" t="s">
        <v>102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 t="s">
        <v>109</v>
      </c>
    </row>
    <row r="51" spans="1:31" x14ac:dyDescent="0.45">
      <c r="A51" t="s">
        <v>147</v>
      </c>
      <c r="B51" t="s">
        <v>219</v>
      </c>
      <c r="C51" t="s">
        <v>218</v>
      </c>
      <c r="D51" t="s">
        <v>102</v>
      </c>
      <c r="E51">
        <v>14618.137694999999</v>
      </c>
      <c r="F51">
        <v>14397.037109000001</v>
      </c>
      <c r="G51">
        <v>14249.921875</v>
      </c>
      <c r="H51">
        <v>14150.152344</v>
      </c>
      <c r="I51">
        <v>14087.121094</v>
      </c>
      <c r="J51">
        <v>14064.766602</v>
      </c>
      <c r="K51">
        <v>14058.741211</v>
      </c>
      <c r="L51">
        <v>14087.708008</v>
      </c>
      <c r="M51">
        <v>14107.638671999999</v>
      </c>
      <c r="N51">
        <v>14117.623046999999</v>
      </c>
      <c r="O51">
        <v>14114.140625</v>
      </c>
      <c r="P51">
        <v>14096.923828000001</v>
      </c>
      <c r="Q51">
        <v>14071.174805000001</v>
      </c>
      <c r="R51">
        <v>14036.753906</v>
      </c>
      <c r="S51">
        <v>14005.644531</v>
      </c>
      <c r="T51">
        <v>13973.453125</v>
      </c>
      <c r="U51">
        <v>13956.648438</v>
      </c>
      <c r="V51">
        <v>13948.810546999999</v>
      </c>
      <c r="W51">
        <v>13972.287109000001</v>
      </c>
      <c r="X51">
        <v>14018.661133</v>
      </c>
      <c r="Y51">
        <v>14063.599609000001</v>
      </c>
      <c r="Z51">
        <v>14098.770508</v>
      </c>
      <c r="AA51">
        <v>14129.692383</v>
      </c>
      <c r="AB51">
        <v>14153.008789</v>
      </c>
      <c r="AC51">
        <v>14150.292969</v>
      </c>
      <c r="AD51">
        <v>14124.527344</v>
      </c>
      <c r="AE51" s="71">
        <v>-1E-3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A5AEF-9E67-40E6-9D62-E676E5223E58}">
  <dimension ref="A1:AE62"/>
  <sheetViews>
    <sheetView workbookViewId="0"/>
  </sheetViews>
  <sheetFormatPr defaultRowHeight="14.25" x14ac:dyDescent="0.45"/>
  <sheetData>
    <row r="1" spans="1:31" x14ac:dyDescent="0.45">
      <c r="A1" t="s">
        <v>170</v>
      </c>
    </row>
    <row r="2" spans="1:31" x14ac:dyDescent="0.45">
      <c r="A2" t="s">
        <v>402</v>
      </c>
    </row>
    <row r="3" spans="1:31" x14ac:dyDescent="0.45">
      <c r="A3" t="s">
        <v>401</v>
      </c>
    </row>
    <row r="4" spans="1:31" x14ac:dyDescent="0.45">
      <c r="A4" t="s">
        <v>95</v>
      </c>
    </row>
    <row r="5" spans="1:31" x14ac:dyDescent="0.45">
      <c r="B5" t="s">
        <v>96</v>
      </c>
      <c r="C5" t="s">
        <v>97</v>
      </c>
      <c r="D5" t="s">
        <v>98</v>
      </c>
      <c r="E5">
        <v>2025</v>
      </c>
      <c r="F5">
        <v>2026</v>
      </c>
      <c r="G5">
        <v>2027</v>
      </c>
      <c r="H5">
        <v>2028</v>
      </c>
      <c r="I5">
        <v>2029</v>
      </c>
      <c r="J5">
        <v>2030</v>
      </c>
      <c r="K5">
        <v>2031</v>
      </c>
      <c r="L5">
        <v>2032</v>
      </c>
      <c r="M5">
        <v>2033</v>
      </c>
      <c r="N5">
        <v>2034</v>
      </c>
      <c r="O5">
        <v>2035</v>
      </c>
      <c r="P5">
        <v>2036</v>
      </c>
      <c r="Q5">
        <v>2037</v>
      </c>
      <c r="R5">
        <v>2038</v>
      </c>
      <c r="S5">
        <v>2039</v>
      </c>
      <c r="T5">
        <v>2040</v>
      </c>
      <c r="U5">
        <v>2041</v>
      </c>
      <c r="V5">
        <v>2042</v>
      </c>
      <c r="W5">
        <v>2043</v>
      </c>
      <c r="X5">
        <v>2044</v>
      </c>
      <c r="Y5">
        <v>2045</v>
      </c>
      <c r="Z5">
        <v>2046</v>
      </c>
      <c r="AA5">
        <v>2047</v>
      </c>
      <c r="AB5">
        <v>2048</v>
      </c>
      <c r="AC5">
        <v>2049</v>
      </c>
      <c r="AD5">
        <v>2050</v>
      </c>
      <c r="AE5" t="s">
        <v>298</v>
      </c>
    </row>
    <row r="6" spans="1:31" x14ac:dyDescent="0.45">
      <c r="A6" t="s">
        <v>99</v>
      </c>
    </row>
    <row r="7" spans="1:31" x14ac:dyDescent="0.45">
      <c r="A7" t="s">
        <v>100</v>
      </c>
      <c r="D7" t="s">
        <v>102</v>
      </c>
    </row>
    <row r="8" spans="1:31" x14ac:dyDescent="0.45">
      <c r="A8" t="s">
        <v>101</v>
      </c>
      <c r="B8" t="s">
        <v>400</v>
      </c>
      <c r="C8" t="s">
        <v>399</v>
      </c>
      <c r="D8" t="s">
        <v>102</v>
      </c>
      <c r="E8">
        <v>714.64007600000002</v>
      </c>
      <c r="F8">
        <v>635.59387200000003</v>
      </c>
      <c r="G8">
        <v>589.33007799999996</v>
      </c>
      <c r="H8">
        <v>570.05371100000002</v>
      </c>
      <c r="I8">
        <v>565.56347700000003</v>
      </c>
      <c r="J8">
        <v>572.22430399999996</v>
      </c>
      <c r="K8">
        <v>565.49054000000001</v>
      </c>
      <c r="L8">
        <v>559.52758800000004</v>
      </c>
      <c r="M8">
        <v>556.60180700000001</v>
      </c>
      <c r="N8">
        <v>545.70153800000003</v>
      </c>
      <c r="O8">
        <v>535.82147199999997</v>
      </c>
      <c r="P8">
        <v>516.50176999999996</v>
      </c>
      <c r="Q8">
        <v>506.77212500000002</v>
      </c>
      <c r="R8">
        <v>495.89575200000002</v>
      </c>
      <c r="S8">
        <v>483.99035600000002</v>
      </c>
      <c r="T8">
        <v>472.227936</v>
      </c>
      <c r="U8">
        <v>459.40716600000002</v>
      </c>
      <c r="V8">
        <v>447.20297199999999</v>
      </c>
      <c r="W8">
        <v>434.76849399999998</v>
      </c>
      <c r="X8">
        <v>423.66336100000001</v>
      </c>
      <c r="Y8">
        <v>414.56082199999997</v>
      </c>
      <c r="Z8">
        <v>404.51852400000001</v>
      </c>
      <c r="AA8">
        <v>397.13562000000002</v>
      </c>
      <c r="AB8">
        <v>387.71933000000001</v>
      </c>
      <c r="AC8">
        <v>378.78668199999998</v>
      </c>
      <c r="AD8">
        <v>367.43160999999998</v>
      </c>
      <c r="AE8" s="71">
        <v>-2.5999999999999999E-2</v>
      </c>
    </row>
    <row r="9" spans="1:31" x14ac:dyDescent="0.45">
      <c r="A9" t="s">
        <v>103</v>
      </c>
      <c r="B9" t="s">
        <v>398</v>
      </c>
      <c r="C9" t="s">
        <v>397</v>
      </c>
      <c r="D9" t="s">
        <v>102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 t="s">
        <v>109</v>
      </c>
    </row>
    <row r="10" spans="1:31" x14ac:dyDescent="0.45">
      <c r="A10" t="s">
        <v>104</v>
      </c>
      <c r="B10" t="s">
        <v>396</v>
      </c>
      <c r="C10" t="s">
        <v>395</v>
      </c>
      <c r="D10" t="s">
        <v>102</v>
      </c>
      <c r="E10">
        <v>714.64007600000002</v>
      </c>
      <c r="F10">
        <v>635.59387200000003</v>
      </c>
      <c r="G10">
        <v>589.33007799999996</v>
      </c>
      <c r="H10">
        <v>570.05371100000002</v>
      </c>
      <c r="I10">
        <v>565.56347700000003</v>
      </c>
      <c r="J10">
        <v>572.22430399999996</v>
      </c>
      <c r="K10">
        <v>565.49054000000001</v>
      </c>
      <c r="L10">
        <v>559.52758800000004</v>
      </c>
      <c r="M10">
        <v>556.60180700000001</v>
      </c>
      <c r="N10">
        <v>545.70153800000003</v>
      </c>
      <c r="O10">
        <v>535.82147199999997</v>
      </c>
      <c r="P10">
        <v>516.50176999999996</v>
      </c>
      <c r="Q10">
        <v>506.77212500000002</v>
      </c>
      <c r="R10">
        <v>495.89575200000002</v>
      </c>
      <c r="S10">
        <v>483.99035600000002</v>
      </c>
      <c r="T10">
        <v>472.227936</v>
      </c>
      <c r="U10">
        <v>459.40716600000002</v>
      </c>
      <c r="V10">
        <v>447.20297199999999</v>
      </c>
      <c r="W10">
        <v>434.76849399999998</v>
      </c>
      <c r="X10">
        <v>423.66336100000001</v>
      </c>
      <c r="Y10">
        <v>414.56082199999997</v>
      </c>
      <c r="Z10">
        <v>404.51852400000001</v>
      </c>
      <c r="AA10">
        <v>397.13562000000002</v>
      </c>
      <c r="AB10">
        <v>387.71933000000001</v>
      </c>
      <c r="AC10">
        <v>378.78668199999998</v>
      </c>
      <c r="AD10">
        <v>367.43160999999998</v>
      </c>
      <c r="AE10" s="71">
        <v>-2.5999999999999999E-2</v>
      </c>
    </row>
    <row r="11" spans="1:31" x14ac:dyDescent="0.45">
      <c r="A11" t="s">
        <v>105</v>
      </c>
    </row>
    <row r="12" spans="1:31" x14ac:dyDescent="0.45">
      <c r="A12" t="s">
        <v>106</v>
      </c>
      <c r="B12" t="s">
        <v>394</v>
      </c>
      <c r="C12" t="s">
        <v>393</v>
      </c>
      <c r="D12" t="s">
        <v>102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 t="s">
        <v>109</v>
      </c>
    </row>
    <row r="13" spans="1:31" x14ac:dyDescent="0.45">
      <c r="A13" t="s">
        <v>161</v>
      </c>
      <c r="B13" t="s">
        <v>392</v>
      </c>
      <c r="C13" t="s">
        <v>391</v>
      </c>
      <c r="D13" t="s">
        <v>102</v>
      </c>
      <c r="E13">
        <v>2.2069930000000002</v>
      </c>
      <c r="F13">
        <v>1.606914</v>
      </c>
      <c r="G13">
        <v>1.7363170000000001</v>
      </c>
      <c r="H13">
        <v>1.700917</v>
      </c>
      <c r="I13">
        <v>1.723562</v>
      </c>
      <c r="J13">
        <v>1.9620029999999999</v>
      </c>
      <c r="K13">
        <v>2.042335</v>
      </c>
      <c r="L13">
        <v>2.2188680000000001</v>
      </c>
      <c r="M13">
        <v>2.3768639999999999</v>
      </c>
      <c r="N13">
        <v>2.5293600000000001</v>
      </c>
      <c r="O13">
        <v>2.6939570000000002</v>
      </c>
      <c r="P13">
        <v>2.791865</v>
      </c>
      <c r="Q13">
        <v>2.9119700000000002</v>
      </c>
      <c r="R13">
        <v>3.0333770000000002</v>
      </c>
      <c r="S13">
        <v>3.1373359999999999</v>
      </c>
      <c r="T13">
        <v>3.230299</v>
      </c>
      <c r="U13">
        <v>3.2781349999999998</v>
      </c>
      <c r="V13">
        <v>3.333602</v>
      </c>
      <c r="W13">
        <v>3.3820760000000001</v>
      </c>
      <c r="X13">
        <v>3.4135870000000001</v>
      </c>
      <c r="Y13">
        <v>3.4818769999999999</v>
      </c>
      <c r="Z13">
        <v>3.4956499999999999</v>
      </c>
      <c r="AA13">
        <v>3.547434</v>
      </c>
      <c r="AB13">
        <v>3.5784630000000002</v>
      </c>
      <c r="AC13">
        <v>3.593718</v>
      </c>
      <c r="AD13">
        <v>3.582147</v>
      </c>
      <c r="AE13" s="71">
        <v>0.02</v>
      </c>
    </row>
    <row r="14" spans="1:31" x14ac:dyDescent="0.45">
      <c r="A14" t="s">
        <v>160</v>
      </c>
      <c r="B14" t="s">
        <v>390</v>
      </c>
      <c r="C14" t="s">
        <v>389</v>
      </c>
      <c r="D14" t="s">
        <v>102</v>
      </c>
      <c r="E14">
        <v>11.116908</v>
      </c>
      <c r="F14">
        <v>18.056486</v>
      </c>
      <c r="G14">
        <v>27.353477000000002</v>
      </c>
      <c r="H14">
        <v>27.236639</v>
      </c>
      <c r="I14">
        <v>26.829968999999998</v>
      </c>
      <c r="J14">
        <v>23.219538</v>
      </c>
      <c r="K14">
        <v>23.897659000000001</v>
      </c>
      <c r="L14">
        <v>23.307835000000001</v>
      </c>
      <c r="M14">
        <v>25.566116000000001</v>
      </c>
      <c r="N14">
        <v>27.353629999999999</v>
      </c>
      <c r="O14">
        <v>29.537977000000001</v>
      </c>
      <c r="P14">
        <v>30.553305000000002</v>
      </c>
      <c r="Q14">
        <v>32.302368000000001</v>
      </c>
      <c r="R14">
        <v>33.748753000000001</v>
      </c>
      <c r="S14">
        <v>34.955544000000003</v>
      </c>
      <c r="T14">
        <v>35.629601000000001</v>
      </c>
      <c r="U14">
        <v>36.613506000000001</v>
      </c>
      <c r="V14">
        <v>37.451954000000001</v>
      </c>
      <c r="W14">
        <v>38.109138000000002</v>
      </c>
      <c r="X14">
        <v>38.691471</v>
      </c>
      <c r="Y14">
        <v>38.999682999999997</v>
      </c>
      <c r="Z14">
        <v>39.683880000000002</v>
      </c>
      <c r="AA14">
        <v>40.410820000000001</v>
      </c>
      <c r="AB14">
        <v>40.720421000000002</v>
      </c>
      <c r="AC14">
        <v>41.141041000000001</v>
      </c>
      <c r="AD14">
        <v>41.111854999999998</v>
      </c>
      <c r="AE14" s="71">
        <v>5.3999999999999999E-2</v>
      </c>
    </row>
    <row r="15" spans="1:31" x14ac:dyDescent="0.45">
      <c r="A15" t="s">
        <v>159</v>
      </c>
      <c r="B15" t="s">
        <v>388</v>
      </c>
      <c r="C15" t="s">
        <v>387</v>
      </c>
      <c r="D15" t="s">
        <v>102</v>
      </c>
      <c r="E15">
        <v>96.054328999999996</v>
      </c>
      <c r="F15">
        <v>90.126594999999995</v>
      </c>
      <c r="G15">
        <v>102.832649</v>
      </c>
      <c r="H15">
        <v>100.906761</v>
      </c>
      <c r="I15">
        <v>121.427505</v>
      </c>
      <c r="J15">
        <v>132.385818</v>
      </c>
      <c r="K15">
        <v>146.478409</v>
      </c>
      <c r="L15">
        <v>156.11506700000001</v>
      </c>
      <c r="M15">
        <v>168.88031000000001</v>
      </c>
      <c r="N15">
        <v>177.80548099999999</v>
      </c>
      <c r="O15">
        <v>189.091263</v>
      </c>
      <c r="P15">
        <v>194.10586499999999</v>
      </c>
      <c r="Q15">
        <v>202.39836099999999</v>
      </c>
      <c r="R15">
        <v>209.87733499999999</v>
      </c>
      <c r="S15">
        <v>216.151566</v>
      </c>
      <c r="T15">
        <v>220.779831</v>
      </c>
      <c r="U15">
        <v>224.53556800000001</v>
      </c>
      <c r="V15">
        <v>228.198151</v>
      </c>
      <c r="W15">
        <v>230.88273599999999</v>
      </c>
      <c r="X15">
        <v>233.22369399999999</v>
      </c>
      <c r="Y15">
        <v>236.174103</v>
      </c>
      <c r="Z15">
        <v>237.935913</v>
      </c>
      <c r="AA15">
        <v>241.45105000000001</v>
      </c>
      <c r="AB15">
        <v>242.95039399999999</v>
      </c>
      <c r="AC15">
        <v>244.44386299999999</v>
      </c>
      <c r="AD15">
        <v>243.580994</v>
      </c>
      <c r="AE15" s="71">
        <v>3.7999999999999999E-2</v>
      </c>
    </row>
    <row r="16" spans="1:31" x14ac:dyDescent="0.45">
      <c r="A16" t="s">
        <v>107</v>
      </c>
      <c r="B16" t="s">
        <v>386</v>
      </c>
      <c r="C16" t="s">
        <v>385</v>
      </c>
      <c r="D16" t="s">
        <v>102</v>
      </c>
      <c r="E16">
        <v>4.2634299999999996</v>
      </c>
      <c r="F16">
        <v>3.8615249999999999</v>
      </c>
      <c r="G16">
        <v>4.1488290000000001</v>
      </c>
      <c r="H16">
        <v>4.0757789999999998</v>
      </c>
      <c r="I16">
        <v>4.0297929999999997</v>
      </c>
      <c r="J16">
        <v>4.1821729999999997</v>
      </c>
      <c r="K16">
        <v>3.7052550000000002</v>
      </c>
      <c r="L16">
        <v>3.725301</v>
      </c>
      <c r="M16">
        <v>3.9349029999999998</v>
      </c>
      <c r="N16">
        <v>4.0171910000000004</v>
      </c>
      <c r="O16">
        <v>4.1622450000000004</v>
      </c>
      <c r="P16">
        <v>4.0769830000000002</v>
      </c>
      <c r="Q16">
        <v>4.1042009999999998</v>
      </c>
      <c r="R16">
        <v>4.0582099999999999</v>
      </c>
      <c r="S16">
        <v>3.9964650000000002</v>
      </c>
      <c r="T16">
        <v>3.8566989999999999</v>
      </c>
      <c r="U16">
        <v>3.7815379999999998</v>
      </c>
      <c r="V16">
        <v>3.6948629999999998</v>
      </c>
      <c r="W16">
        <v>3.6020880000000002</v>
      </c>
      <c r="X16">
        <v>3.4963820000000001</v>
      </c>
      <c r="Y16">
        <v>3.362428</v>
      </c>
      <c r="Z16">
        <v>3.3053300000000001</v>
      </c>
      <c r="AA16">
        <v>3.2410909999999999</v>
      </c>
      <c r="AB16">
        <v>3.1605859999999999</v>
      </c>
      <c r="AC16">
        <v>3.0851320000000002</v>
      </c>
      <c r="AD16">
        <v>2.995053</v>
      </c>
      <c r="AE16" s="71">
        <v>-1.4E-2</v>
      </c>
    </row>
    <row r="17" spans="1:31" x14ac:dyDescent="0.45">
      <c r="A17" t="s">
        <v>108</v>
      </c>
      <c r="B17" t="s">
        <v>384</v>
      </c>
      <c r="C17" t="s">
        <v>383</v>
      </c>
      <c r="D17" t="s">
        <v>102</v>
      </c>
      <c r="E17">
        <v>3.7230379999999998</v>
      </c>
      <c r="F17">
        <v>7.3644600000000002</v>
      </c>
      <c r="G17">
        <v>12.089195999999999</v>
      </c>
      <c r="H17">
        <v>12.113542000000001</v>
      </c>
      <c r="I17">
        <v>6.2452959999999997</v>
      </c>
      <c r="J17">
        <v>4.5122350000000004</v>
      </c>
      <c r="K17">
        <v>3.883534</v>
      </c>
      <c r="L17">
        <v>3.1040649999999999</v>
      </c>
      <c r="M17">
        <v>3.4538289999999998</v>
      </c>
      <c r="N17">
        <v>3.6967759999999998</v>
      </c>
      <c r="O17">
        <v>4.049677</v>
      </c>
      <c r="P17">
        <v>4.1835360000000001</v>
      </c>
      <c r="Q17">
        <v>4.3849309999999999</v>
      </c>
      <c r="R17">
        <v>4.5665959999999997</v>
      </c>
      <c r="S17">
        <v>4.7319699999999996</v>
      </c>
      <c r="T17">
        <v>4.8461920000000003</v>
      </c>
      <c r="U17">
        <v>4.8737149999999998</v>
      </c>
      <c r="V17">
        <v>4.9188830000000001</v>
      </c>
      <c r="W17">
        <v>4.9403030000000001</v>
      </c>
      <c r="X17">
        <v>4.9311920000000002</v>
      </c>
      <c r="Y17">
        <v>4.9800219999999999</v>
      </c>
      <c r="Z17">
        <v>4.9206500000000002</v>
      </c>
      <c r="AA17">
        <v>4.9491149999999999</v>
      </c>
      <c r="AB17">
        <v>4.9166350000000003</v>
      </c>
      <c r="AC17">
        <v>4.9048049999999996</v>
      </c>
      <c r="AD17">
        <v>4.832694</v>
      </c>
      <c r="AE17" s="71">
        <v>0.01</v>
      </c>
    </row>
    <row r="18" spans="1:31" x14ac:dyDescent="0.45">
      <c r="A18" t="s">
        <v>110</v>
      </c>
      <c r="B18" t="s">
        <v>382</v>
      </c>
      <c r="C18" t="s">
        <v>381</v>
      </c>
      <c r="D18" t="s">
        <v>102</v>
      </c>
      <c r="E18">
        <v>66.824852000000007</v>
      </c>
      <c r="F18">
        <v>75.549109999999999</v>
      </c>
      <c r="G18">
        <v>82.896720999999999</v>
      </c>
      <c r="H18">
        <v>83.659462000000005</v>
      </c>
      <c r="I18">
        <v>83.839020000000005</v>
      </c>
      <c r="J18">
        <v>88.014381</v>
      </c>
      <c r="K18">
        <v>91.698104999999998</v>
      </c>
      <c r="L18">
        <v>93.357444999999998</v>
      </c>
      <c r="M18">
        <v>97.077240000000003</v>
      </c>
      <c r="N18">
        <v>98.674949999999995</v>
      </c>
      <c r="O18">
        <v>100.413467</v>
      </c>
      <c r="P18">
        <v>99.809089999999998</v>
      </c>
      <c r="Q18">
        <v>100.741646</v>
      </c>
      <c r="R18">
        <v>101.404526</v>
      </c>
      <c r="S18">
        <v>101.691475</v>
      </c>
      <c r="T18">
        <v>101.776146</v>
      </c>
      <c r="U18">
        <v>101.70591</v>
      </c>
      <c r="V18">
        <v>101.655266</v>
      </c>
      <c r="W18">
        <v>101.355965</v>
      </c>
      <c r="X18">
        <v>101.223679</v>
      </c>
      <c r="Y18">
        <v>101.48513</v>
      </c>
      <c r="Z18">
        <v>101.54465500000001</v>
      </c>
      <c r="AA18">
        <v>102.252792</v>
      </c>
      <c r="AB18">
        <v>102.363831</v>
      </c>
      <c r="AC18">
        <v>102.40939299999999</v>
      </c>
      <c r="AD18">
        <v>101.732651</v>
      </c>
      <c r="AE18" s="71">
        <v>1.7000000000000001E-2</v>
      </c>
    </row>
    <row r="19" spans="1:31" x14ac:dyDescent="0.45">
      <c r="A19" t="s">
        <v>111</v>
      </c>
      <c r="B19" t="s">
        <v>380</v>
      </c>
      <c r="C19" t="s">
        <v>379</v>
      </c>
      <c r="D19" t="s">
        <v>102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 t="s">
        <v>109</v>
      </c>
    </row>
    <row r="20" spans="1:31" x14ac:dyDescent="0.45">
      <c r="A20" t="s">
        <v>112</v>
      </c>
      <c r="B20" t="s">
        <v>378</v>
      </c>
      <c r="C20" t="s">
        <v>377</v>
      </c>
      <c r="D20" t="s">
        <v>102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 t="s">
        <v>109</v>
      </c>
    </row>
    <row r="21" spans="1:31" x14ac:dyDescent="0.45">
      <c r="A21" t="s">
        <v>113</v>
      </c>
      <c r="B21" t="s">
        <v>376</v>
      </c>
      <c r="C21" t="s">
        <v>375</v>
      </c>
      <c r="D21" t="s">
        <v>102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 t="s">
        <v>109</v>
      </c>
    </row>
    <row r="22" spans="1:31" x14ac:dyDescent="0.45">
      <c r="A22" t="s">
        <v>114</v>
      </c>
      <c r="B22" t="s">
        <v>374</v>
      </c>
      <c r="C22" t="s">
        <v>373</v>
      </c>
      <c r="D22" t="s">
        <v>102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 t="s">
        <v>109</v>
      </c>
    </row>
    <row r="23" spans="1:31" x14ac:dyDescent="0.45">
      <c r="A23" t="s">
        <v>115</v>
      </c>
      <c r="B23" t="s">
        <v>372</v>
      </c>
      <c r="C23" t="s">
        <v>371</v>
      </c>
      <c r="D23" t="s">
        <v>102</v>
      </c>
      <c r="E23">
        <v>3.7470999999999997E-2</v>
      </c>
      <c r="F23">
        <v>1.3644999999999999E-2</v>
      </c>
      <c r="G23">
        <v>1.3157E-2</v>
      </c>
      <c r="H23">
        <v>8.9999999999999993E-3</v>
      </c>
      <c r="I23">
        <v>6.5750000000000001E-3</v>
      </c>
      <c r="J23">
        <v>7.1380000000000002E-3</v>
      </c>
      <c r="K23">
        <v>6.8079999999999998E-3</v>
      </c>
      <c r="L23">
        <v>6.4510000000000001E-3</v>
      </c>
      <c r="M23">
        <v>6.8770000000000003E-3</v>
      </c>
      <c r="N23">
        <v>6.1390000000000004E-3</v>
      </c>
      <c r="O23">
        <v>6.1980000000000004E-3</v>
      </c>
      <c r="P23">
        <v>5.6579999999999998E-3</v>
      </c>
      <c r="Q23">
        <v>5.4380000000000001E-3</v>
      </c>
      <c r="R23">
        <v>5.1339999999999997E-3</v>
      </c>
      <c r="S23">
        <v>4.9829999999999996E-3</v>
      </c>
      <c r="T23">
        <v>4.8419999999999999E-3</v>
      </c>
      <c r="U23">
        <v>4.6849999999999999E-3</v>
      </c>
      <c r="V23">
        <v>4.5409999999999999E-3</v>
      </c>
      <c r="W23">
        <v>4.4010000000000004E-3</v>
      </c>
      <c r="X23">
        <v>4.2810000000000001E-3</v>
      </c>
      <c r="Y23">
        <v>4.1900000000000001E-3</v>
      </c>
      <c r="Z23">
        <v>4.0530000000000002E-3</v>
      </c>
      <c r="AA23">
        <v>3.9880000000000002E-3</v>
      </c>
      <c r="AB23">
        <v>3.8670000000000002E-3</v>
      </c>
      <c r="AC23">
        <v>3.787E-3</v>
      </c>
      <c r="AD23">
        <v>3.6610000000000002E-3</v>
      </c>
      <c r="AE23" s="71">
        <v>-8.8999999999999996E-2</v>
      </c>
    </row>
    <row r="24" spans="1:31" x14ac:dyDescent="0.45">
      <c r="A24" t="s">
        <v>116</v>
      </c>
      <c r="B24" t="s">
        <v>370</v>
      </c>
      <c r="C24" t="s">
        <v>369</v>
      </c>
      <c r="D24" t="s">
        <v>102</v>
      </c>
      <c r="E24">
        <v>184.22702000000001</v>
      </c>
      <c r="F24">
        <v>196.57873499999999</v>
      </c>
      <c r="G24">
        <v>231.07034300000001</v>
      </c>
      <c r="H24">
        <v>229.70211800000001</v>
      </c>
      <c r="I24">
        <v>244.10173</v>
      </c>
      <c r="J24">
        <v>254.28329500000001</v>
      </c>
      <c r="K24">
        <v>271.71209700000003</v>
      </c>
      <c r="L24">
        <v>281.83502199999998</v>
      </c>
      <c r="M24">
        <v>301.29611199999999</v>
      </c>
      <c r="N24">
        <v>314.083527</v>
      </c>
      <c r="O24">
        <v>329.95480300000003</v>
      </c>
      <c r="P24">
        <v>335.526276</v>
      </c>
      <c r="Q24">
        <v>346.848907</v>
      </c>
      <c r="R24">
        <v>356.69390900000002</v>
      </c>
      <c r="S24">
        <v>364.66934199999997</v>
      </c>
      <c r="T24">
        <v>370.123627</v>
      </c>
      <c r="U24">
        <v>374.793091</v>
      </c>
      <c r="V24">
        <v>379.25726300000002</v>
      </c>
      <c r="W24">
        <v>382.276703</v>
      </c>
      <c r="X24">
        <v>384.984283</v>
      </c>
      <c r="Y24">
        <v>388.48742700000003</v>
      </c>
      <c r="Z24">
        <v>390.89013699999998</v>
      </c>
      <c r="AA24">
        <v>395.85629299999999</v>
      </c>
      <c r="AB24">
        <v>397.69418300000001</v>
      </c>
      <c r="AC24">
        <v>399.581726</v>
      </c>
      <c r="AD24">
        <v>397.83904999999999</v>
      </c>
      <c r="AE24" s="71">
        <v>3.1E-2</v>
      </c>
    </row>
    <row r="25" spans="1:31" x14ac:dyDescent="0.45">
      <c r="A25" t="s">
        <v>169</v>
      </c>
      <c r="B25" t="s">
        <v>368</v>
      </c>
      <c r="C25" t="s">
        <v>367</v>
      </c>
      <c r="D25" t="s">
        <v>117</v>
      </c>
      <c r="E25">
        <v>20.495467999999999</v>
      </c>
      <c r="F25">
        <v>23.622350999999998</v>
      </c>
      <c r="G25">
        <v>28.165558000000001</v>
      </c>
      <c r="H25">
        <v>28.721529</v>
      </c>
      <c r="I25">
        <v>30.148475999999999</v>
      </c>
      <c r="J25">
        <v>30.765999000000001</v>
      </c>
      <c r="K25">
        <v>32.454757999999998</v>
      </c>
      <c r="L25">
        <v>33.497447999999999</v>
      </c>
      <c r="M25">
        <v>35.120277000000002</v>
      </c>
      <c r="N25">
        <v>36.530472000000003</v>
      </c>
      <c r="O25">
        <v>38.110863000000002</v>
      </c>
      <c r="P25">
        <v>39.379722999999998</v>
      </c>
      <c r="Q25">
        <v>40.632655999999997</v>
      </c>
      <c r="R25">
        <v>41.836528999999999</v>
      </c>
      <c r="S25">
        <v>42.970036</v>
      </c>
      <c r="T25">
        <v>43.939326999999999</v>
      </c>
      <c r="U25">
        <v>44.928432000000001</v>
      </c>
      <c r="V25">
        <v>45.889358999999999</v>
      </c>
      <c r="W25">
        <v>46.787708000000002</v>
      </c>
      <c r="X25">
        <v>47.608409999999999</v>
      </c>
      <c r="Y25">
        <v>48.376598000000001</v>
      </c>
      <c r="Z25">
        <v>49.143307</v>
      </c>
      <c r="AA25">
        <v>49.919333999999999</v>
      </c>
      <c r="AB25">
        <v>50.635002</v>
      </c>
      <c r="AC25">
        <v>51.335811999999997</v>
      </c>
      <c r="AD25">
        <v>51.986713000000002</v>
      </c>
      <c r="AE25" s="71">
        <v>3.7999999999999999E-2</v>
      </c>
    </row>
    <row r="26" spans="1:31" x14ac:dyDescent="0.45">
      <c r="A26" t="s">
        <v>118</v>
      </c>
      <c r="B26" t="s">
        <v>366</v>
      </c>
      <c r="C26" t="s">
        <v>365</v>
      </c>
      <c r="D26" t="s">
        <v>102</v>
      </c>
      <c r="E26">
        <v>898.86706500000003</v>
      </c>
      <c r="F26">
        <v>832.17260699999997</v>
      </c>
      <c r="G26">
        <v>820.40039100000001</v>
      </c>
      <c r="H26">
        <v>799.75585899999999</v>
      </c>
      <c r="I26">
        <v>809.66522199999997</v>
      </c>
      <c r="J26">
        <v>826.50756799999999</v>
      </c>
      <c r="K26">
        <v>837.20263699999998</v>
      </c>
      <c r="L26">
        <v>841.36261000000002</v>
      </c>
      <c r="M26">
        <v>857.89794900000004</v>
      </c>
      <c r="N26">
        <v>859.785034</v>
      </c>
      <c r="O26">
        <v>865.77624500000002</v>
      </c>
      <c r="P26">
        <v>852.02807600000006</v>
      </c>
      <c r="Q26">
        <v>853.62103300000001</v>
      </c>
      <c r="R26">
        <v>852.58966099999998</v>
      </c>
      <c r="S26">
        <v>848.65966800000001</v>
      </c>
      <c r="T26">
        <v>842.35156199999994</v>
      </c>
      <c r="U26">
        <v>834.20025599999997</v>
      </c>
      <c r="V26">
        <v>826.46020499999997</v>
      </c>
      <c r="W26">
        <v>817.04516599999999</v>
      </c>
      <c r="X26">
        <v>808.64764400000001</v>
      </c>
      <c r="Y26">
        <v>803.04821800000002</v>
      </c>
      <c r="Z26">
        <v>795.40869099999998</v>
      </c>
      <c r="AA26">
        <v>792.99194299999999</v>
      </c>
      <c r="AB26">
        <v>785.41351299999997</v>
      </c>
      <c r="AC26">
        <v>778.36840800000004</v>
      </c>
      <c r="AD26">
        <v>765.27062999999998</v>
      </c>
      <c r="AE26" s="71">
        <v>-6.0000000000000001E-3</v>
      </c>
    </row>
    <row r="27" spans="1:31" x14ac:dyDescent="0.45">
      <c r="A27" t="s">
        <v>119</v>
      </c>
    </row>
    <row r="28" spans="1:31" x14ac:dyDescent="0.45">
      <c r="A28" t="s">
        <v>120</v>
      </c>
    </row>
    <row r="29" spans="1:31" x14ac:dyDescent="0.45">
      <c r="A29" t="s">
        <v>101</v>
      </c>
      <c r="B29" t="s">
        <v>364</v>
      </c>
      <c r="C29" t="s">
        <v>363</v>
      </c>
      <c r="D29" t="s">
        <v>102</v>
      </c>
      <c r="E29">
        <v>1437.1729740000001</v>
      </c>
      <c r="F29">
        <v>1280.625732</v>
      </c>
      <c r="G29">
        <v>1267.807861</v>
      </c>
      <c r="H29">
        <v>1227.0704350000001</v>
      </c>
      <c r="I29">
        <v>1292.2639160000001</v>
      </c>
      <c r="J29">
        <v>1355.654419</v>
      </c>
      <c r="K29">
        <v>1409.1292719999999</v>
      </c>
      <c r="L29">
        <v>1440.6362300000001</v>
      </c>
      <c r="M29">
        <v>1422.064453</v>
      </c>
      <c r="N29">
        <v>1402.7307129999999</v>
      </c>
      <c r="O29">
        <v>1376.963501</v>
      </c>
      <c r="P29">
        <v>1336.5695800000001</v>
      </c>
      <c r="Q29">
        <v>1314.984009</v>
      </c>
      <c r="R29">
        <v>1293.8232419999999</v>
      </c>
      <c r="S29">
        <v>1258.436768</v>
      </c>
      <c r="T29">
        <v>1238.3679199999999</v>
      </c>
      <c r="U29">
        <v>1214.6132809999999</v>
      </c>
      <c r="V29">
        <v>1189.983643</v>
      </c>
      <c r="W29">
        <v>1170.072388</v>
      </c>
      <c r="X29">
        <v>1151.509644</v>
      </c>
      <c r="Y29">
        <v>1133.585693</v>
      </c>
      <c r="Z29">
        <v>1116.7258300000001</v>
      </c>
      <c r="AA29">
        <v>1097.03772</v>
      </c>
      <c r="AB29">
        <v>1077.122803</v>
      </c>
      <c r="AC29">
        <v>1054.2615969999999</v>
      </c>
      <c r="AD29">
        <v>1028.1942140000001</v>
      </c>
      <c r="AE29" s="71">
        <v>-1.2999999999999999E-2</v>
      </c>
    </row>
    <row r="30" spans="1:31" x14ac:dyDescent="0.45">
      <c r="A30" t="s">
        <v>103</v>
      </c>
      <c r="B30" t="s">
        <v>362</v>
      </c>
      <c r="C30" t="s">
        <v>361</v>
      </c>
      <c r="D30" t="s">
        <v>102</v>
      </c>
      <c r="E30">
        <v>21.510231000000001</v>
      </c>
      <c r="F30">
        <v>22.414324000000001</v>
      </c>
      <c r="G30">
        <v>22.295994</v>
      </c>
      <c r="H30">
        <v>22.462799</v>
      </c>
      <c r="I30">
        <v>22.7118</v>
      </c>
      <c r="J30">
        <v>23.527294000000001</v>
      </c>
      <c r="K30">
        <v>23.790461000000001</v>
      </c>
      <c r="L30">
        <v>24.008343</v>
      </c>
      <c r="M30">
        <v>24.062290000000001</v>
      </c>
      <c r="N30">
        <v>24.345694999999999</v>
      </c>
      <c r="O30">
        <v>24.239101000000002</v>
      </c>
      <c r="P30">
        <v>23.786434</v>
      </c>
      <c r="Q30">
        <v>23.735018</v>
      </c>
      <c r="R30">
        <v>23.701374000000001</v>
      </c>
      <c r="S30">
        <v>23.534876000000001</v>
      </c>
      <c r="T30">
        <v>23.222321000000001</v>
      </c>
      <c r="U30">
        <v>23.034514999999999</v>
      </c>
      <c r="V30">
        <v>22.857500000000002</v>
      </c>
      <c r="W30">
        <v>22.660404</v>
      </c>
      <c r="X30">
        <v>22.448957</v>
      </c>
      <c r="Y30">
        <v>22.106741</v>
      </c>
      <c r="Z30">
        <v>22.052914000000001</v>
      </c>
      <c r="AA30">
        <v>21.828384</v>
      </c>
      <c r="AB30">
        <v>21.665068000000002</v>
      </c>
      <c r="AC30">
        <v>21.316776000000001</v>
      </c>
      <c r="AD30">
        <v>20.988545999999999</v>
      </c>
      <c r="AE30" s="71">
        <v>-1E-3</v>
      </c>
    </row>
    <row r="31" spans="1:31" x14ac:dyDescent="0.45">
      <c r="A31" t="s">
        <v>121</v>
      </c>
      <c r="B31" t="s">
        <v>360</v>
      </c>
      <c r="C31" t="s">
        <v>359</v>
      </c>
      <c r="D31" t="s">
        <v>102</v>
      </c>
      <c r="E31">
        <v>1458.6832280000001</v>
      </c>
      <c r="F31">
        <v>1303.040039</v>
      </c>
      <c r="G31">
        <v>1290.1038820000001</v>
      </c>
      <c r="H31">
        <v>1249.533203</v>
      </c>
      <c r="I31">
        <v>1314.9757079999999</v>
      </c>
      <c r="J31">
        <v>1379.181763</v>
      </c>
      <c r="K31">
        <v>1432.919678</v>
      </c>
      <c r="L31">
        <v>1464.6445309999999</v>
      </c>
      <c r="M31">
        <v>1446.1267089999999</v>
      </c>
      <c r="N31">
        <v>1427.0764160000001</v>
      </c>
      <c r="O31">
        <v>1401.2026370000001</v>
      </c>
      <c r="P31">
        <v>1360.355957</v>
      </c>
      <c r="Q31">
        <v>1338.7189940000001</v>
      </c>
      <c r="R31">
        <v>1317.524658</v>
      </c>
      <c r="S31">
        <v>1281.9716800000001</v>
      </c>
      <c r="T31">
        <v>1261.5902100000001</v>
      </c>
      <c r="U31">
        <v>1237.647827</v>
      </c>
      <c r="V31">
        <v>1212.841187</v>
      </c>
      <c r="W31">
        <v>1192.732788</v>
      </c>
      <c r="X31">
        <v>1173.9586179999999</v>
      </c>
      <c r="Y31">
        <v>1155.6923830000001</v>
      </c>
      <c r="Z31">
        <v>1138.778687</v>
      </c>
      <c r="AA31">
        <v>1118.8660890000001</v>
      </c>
      <c r="AB31">
        <v>1098.787842</v>
      </c>
      <c r="AC31">
        <v>1075.5783690000001</v>
      </c>
      <c r="AD31">
        <v>1049.1827390000001</v>
      </c>
      <c r="AE31" s="71">
        <v>-1.2999999999999999E-2</v>
      </c>
    </row>
    <row r="32" spans="1:31" x14ac:dyDescent="0.45">
      <c r="A32" t="s">
        <v>122</v>
      </c>
    </row>
    <row r="33" spans="1:31" x14ac:dyDescent="0.45">
      <c r="A33" t="s">
        <v>106</v>
      </c>
      <c r="B33" t="s">
        <v>358</v>
      </c>
      <c r="C33" t="s">
        <v>357</v>
      </c>
      <c r="D33" t="s">
        <v>102</v>
      </c>
      <c r="E33">
        <v>0.37282199999999999</v>
      </c>
      <c r="F33">
        <v>0.372309</v>
      </c>
      <c r="G33">
        <v>0.39165499999999998</v>
      </c>
      <c r="H33">
        <v>0.395681</v>
      </c>
      <c r="I33">
        <v>0.40807399999999999</v>
      </c>
      <c r="J33">
        <v>0.423958</v>
      </c>
      <c r="K33">
        <v>0.43164999999999998</v>
      </c>
      <c r="L33">
        <v>0.43761100000000003</v>
      </c>
      <c r="M33">
        <v>0.43893399999999999</v>
      </c>
      <c r="N33">
        <v>0.44206600000000001</v>
      </c>
      <c r="O33">
        <v>0.44166800000000001</v>
      </c>
      <c r="P33">
        <v>0.43769200000000003</v>
      </c>
      <c r="Q33">
        <v>0.43679699999999999</v>
      </c>
      <c r="R33">
        <v>0.43691000000000002</v>
      </c>
      <c r="S33">
        <v>0.43595</v>
      </c>
      <c r="T33">
        <v>0.43460100000000002</v>
      </c>
      <c r="U33">
        <v>0.43188599999999999</v>
      </c>
      <c r="V33">
        <v>0.42832100000000001</v>
      </c>
      <c r="W33">
        <v>0.42653600000000003</v>
      </c>
      <c r="X33">
        <v>0.424182</v>
      </c>
      <c r="Y33">
        <v>0.42188700000000001</v>
      </c>
      <c r="Z33">
        <v>0.42000900000000002</v>
      </c>
      <c r="AA33">
        <v>0.41589700000000002</v>
      </c>
      <c r="AB33">
        <v>0.41271099999999999</v>
      </c>
      <c r="AC33">
        <v>0.40696900000000003</v>
      </c>
      <c r="AD33">
        <v>0.400532</v>
      </c>
      <c r="AE33" s="71">
        <v>3.0000000000000001E-3</v>
      </c>
    </row>
    <row r="34" spans="1:31" x14ac:dyDescent="0.45">
      <c r="A34" t="s">
        <v>161</v>
      </c>
      <c r="B34" t="s">
        <v>356</v>
      </c>
      <c r="C34" t="s">
        <v>355</v>
      </c>
      <c r="D34" t="s">
        <v>102</v>
      </c>
      <c r="E34">
        <v>0.438531</v>
      </c>
      <c r="F34">
        <v>0.30796699999999999</v>
      </c>
      <c r="G34">
        <v>0.35601100000000002</v>
      </c>
      <c r="H34">
        <v>0.37649899999999997</v>
      </c>
      <c r="I34">
        <v>0.40272799999999997</v>
      </c>
      <c r="J34">
        <v>0.47082600000000002</v>
      </c>
      <c r="K34">
        <v>0.52617199999999997</v>
      </c>
      <c r="L34">
        <v>0.58931299999999998</v>
      </c>
      <c r="M34">
        <v>0.65188800000000002</v>
      </c>
      <c r="N34">
        <v>0.70148999999999995</v>
      </c>
      <c r="O34">
        <v>0.75900599999999996</v>
      </c>
      <c r="P34">
        <v>0.79858099999999999</v>
      </c>
      <c r="Q34">
        <v>0.84550899999999996</v>
      </c>
      <c r="R34">
        <v>0.89257799999999998</v>
      </c>
      <c r="S34">
        <v>0.94003300000000001</v>
      </c>
      <c r="T34">
        <v>0.98584700000000003</v>
      </c>
      <c r="U34">
        <v>1.017161</v>
      </c>
      <c r="V34">
        <v>1.0494049999999999</v>
      </c>
      <c r="W34">
        <v>1.0807</v>
      </c>
      <c r="X34">
        <v>1.1103209999999999</v>
      </c>
      <c r="Y34">
        <v>1.147108</v>
      </c>
      <c r="Z34">
        <v>1.1650640000000001</v>
      </c>
      <c r="AA34">
        <v>1.191065</v>
      </c>
      <c r="AB34">
        <v>1.208701</v>
      </c>
      <c r="AC34">
        <v>1.2246079999999999</v>
      </c>
      <c r="AD34">
        <v>1.2285360000000001</v>
      </c>
      <c r="AE34" s="71">
        <v>4.2000000000000003E-2</v>
      </c>
    </row>
    <row r="35" spans="1:31" x14ac:dyDescent="0.45">
      <c r="A35" t="s">
        <v>160</v>
      </c>
      <c r="B35" t="s">
        <v>354</v>
      </c>
      <c r="C35" t="s">
        <v>353</v>
      </c>
      <c r="D35" t="s">
        <v>102</v>
      </c>
      <c r="E35">
        <v>14.50286</v>
      </c>
      <c r="F35">
        <v>46.362994999999998</v>
      </c>
      <c r="G35">
        <v>71.392891000000006</v>
      </c>
      <c r="H35">
        <v>86.576369999999997</v>
      </c>
      <c r="I35">
        <v>89.548293999999999</v>
      </c>
      <c r="J35">
        <v>78.577286000000001</v>
      </c>
      <c r="K35">
        <v>71.332283000000004</v>
      </c>
      <c r="L35">
        <v>61.137123000000003</v>
      </c>
      <c r="M35">
        <v>67.188407999999995</v>
      </c>
      <c r="N35">
        <v>72.739761000000001</v>
      </c>
      <c r="O35">
        <v>79.613190000000003</v>
      </c>
      <c r="P35">
        <v>83.990189000000001</v>
      </c>
      <c r="Q35">
        <v>89.878097999999994</v>
      </c>
      <c r="R35">
        <v>95.494774000000007</v>
      </c>
      <c r="S35">
        <v>99.948607999999993</v>
      </c>
      <c r="T35">
        <v>104.957779</v>
      </c>
      <c r="U35">
        <v>108.875038</v>
      </c>
      <c r="V35">
        <v>112.861923</v>
      </c>
      <c r="W35">
        <v>116.73233</v>
      </c>
      <c r="X35">
        <v>120.47168000000001</v>
      </c>
      <c r="Y35">
        <v>124.546921</v>
      </c>
      <c r="Z35">
        <v>127.169662</v>
      </c>
      <c r="AA35">
        <v>130.62905900000001</v>
      </c>
      <c r="AB35">
        <v>132.75277700000001</v>
      </c>
      <c r="AC35">
        <v>135.19065900000001</v>
      </c>
      <c r="AD35">
        <v>136.037781</v>
      </c>
      <c r="AE35" s="71">
        <v>9.4E-2</v>
      </c>
    </row>
    <row r="36" spans="1:31" x14ac:dyDescent="0.45">
      <c r="A36" t="s">
        <v>159</v>
      </c>
      <c r="B36" t="s">
        <v>352</v>
      </c>
      <c r="C36" t="s">
        <v>351</v>
      </c>
      <c r="D36" t="s">
        <v>102</v>
      </c>
      <c r="E36">
        <v>69.390381000000005</v>
      </c>
      <c r="F36">
        <v>98.883826999999997</v>
      </c>
      <c r="G36">
        <v>128.46678199999999</v>
      </c>
      <c r="H36">
        <v>153.13012699999999</v>
      </c>
      <c r="I36">
        <v>151.60406499999999</v>
      </c>
      <c r="J36">
        <v>154.366592</v>
      </c>
      <c r="K36">
        <v>140.18540999999999</v>
      </c>
      <c r="L36">
        <v>144.58239699999999</v>
      </c>
      <c r="M36">
        <v>158.72485399999999</v>
      </c>
      <c r="N36">
        <v>170.94873000000001</v>
      </c>
      <c r="O36">
        <v>185.01432800000001</v>
      </c>
      <c r="P36">
        <v>193.63050799999999</v>
      </c>
      <c r="Q36">
        <v>205.13059999999999</v>
      </c>
      <c r="R36">
        <v>216.077225</v>
      </c>
      <c r="S36">
        <v>225.78797900000001</v>
      </c>
      <c r="T36">
        <v>235.521683</v>
      </c>
      <c r="U36">
        <v>242.457199</v>
      </c>
      <c r="V36">
        <v>249.534164</v>
      </c>
      <c r="W36">
        <v>256.26119999999997</v>
      </c>
      <c r="X36">
        <v>262.66656499999999</v>
      </c>
      <c r="Y36">
        <v>270.07766700000002</v>
      </c>
      <c r="Z36">
        <v>274.06887799999998</v>
      </c>
      <c r="AA36">
        <v>279.84991500000001</v>
      </c>
      <c r="AB36">
        <v>283.20370500000001</v>
      </c>
      <c r="AC36">
        <v>286.69702100000001</v>
      </c>
      <c r="AD36">
        <v>287.20251500000001</v>
      </c>
      <c r="AE36" s="71">
        <v>5.8000000000000003E-2</v>
      </c>
    </row>
    <row r="37" spans="1:31" x14ac:dyDescent="0.45">
      <c r="A37" t="s">
        <v>107</v>
      </c>
      <c r="B37" t="s">
        <v>350</v>
      </c>
      <c r="C37" t="s">
        <v>349</v>
      </c>
      <c r="D37" t="s">
        <v>102</v>
      </c>
      <c r="E37">
        <v>37.805</v>
      </c>
      <c r="F37">
        <v>26.940199</v>
      </c>
      <c r="G37">
        <v>29.180897000000002</v>
      </c>
      <c r="H37">
        <v>29.918763999999999</v>
      </c>
      <c r="I37">
        <v>29.766842</v>
      </c>
      <c r="J37">
        <v>31.682257</v>
      </c>
      <c r="K37">
        <v>34.038539999999998</v>
      </c>
      <c r="L37">
        <v>36.009048</v>
      </c>
      <c r="M37">
        <v>39.023567</v>
      </c>
      <c r="N37">
        <v>41.944893</v>
      </c>
      <c r="O37">
        <v>45.362904</v>
      </c>
      <c r="P37">
        <v>46.736874</v>
      </c>
      <c r="Q37">
        <v>48.874209999999998</v>
      </c>
      <c r="R37">
        <v>50.853431999999998</v>
      </c>
      <c r="S37">
        <v>52.637214999999998</v>
      </c>
      <c r="T37">
        <v>53.667586999999997</v>
      </c>
      <c r="U37">
        <v>54.320785999999998</v>
      </c>
      <c r="V37">
        <v>54.984226</v>
      </c>
      <c r="W37">
        <v>55.655186</v>
      </c>
      <c r="X37">
        <v>56.045772999999997</v>
      </c>
      <c r="Y37">
        <v>56.453975999999997</v>
      </c>
      <c r="Z37">
        <v>56.572586000000001</v>
      </c>
      <c r="AA37">
        <v>56.907935999999999</v>
      </c>
      <c r="AB37">
        <v>56.807113999999999</v>
      </c>
      <c r="AC37">
        <v>56.826560999999998</v>
      </c>
      <c r="AD37">
        <v>56.319983999999998</v>
      </c>
      <c r="AE37" s="71">
        <v>1.6E-2</v>
      </c>
    </row>
    <row r="38" spans="1:31" x14ac:dyDescent="0.45">
      <c r="A38" t="s">
        <v>108</v>
      </c>
      <c r="B38" t="s">
        <v>348</v>
      </c>
      <c r="C38" t="s">
        <v>347</v>
      </c>
      <c r="D38" t="s">
        <v>102</v>
      </c>
      <c r="E38">
        <v>10.351457</v>
      </c>
      <c r="F38">
        <v>45.225360999999999</v>
      </c>
      <c r="G38">
        <v>71.672698999999994</v>
      </c>
      <c r="H38">
        <v>92.527694999999994</v>
      </c>
      <c r="I38">
        <v>45.882922999999998</v>
      </c>
      <c r="J38">
        <v>36.908355999999998</v>
      </c>
      <c r="K38">
        <v>22.379273999999999</v>
      </c>
      <c r="L38">
        <v>9.3406800000000008</v>
      </c>
      <c r="M38">
        <v>10.058076</v>
      </c>
      <c r="N38">
        <v>10.48983</v>
      </c>
      <c r="O38">
        <v>11.277993</v>
      </c>
      <c r="P38">
        <v>11.468544</v>
      </c>
      <c r="Q38">
        <v>11.854759</v>
      </c>
      <c r="R38">
        <v>12.145212000000001</v>
      </c>
      <c r="S38">
        <v>12.498742999999999</v>
      </c>
      <c r="T38">
        <v>12.771281999999999</v>
      </c>
      <c r="U38">
        <v>12.710953999999999</v>
      </c>
      <c r="V38">
        <v>12.699977000000001</v>
      </c>
      <c r="W38">
        <v>12.69642</v>
      </c>
      <c r="X38">
        <v>12.664415</v>
      </c>
      <c r="Y38">
        <v>12.771110999999999</v>
      </c>
      <c r="Z38">
        <v>12.526513</v>
      </c>
      <c r="AA38">
        <v>12.483051</v>
      </c>
      <c r="AB38">
        <v>12.270146</v>
      </c>
      <c r="AC38">
        <v>12.171360999999999</v>
      </c>
      <c r="AD38">
        <v>11.912324</v>
      </c>
      <c r="AE38" s="71">
        <v>6.0000000000000001E-3</v>
      </c>
    </row>
    <row r="39" spans="1:31" x14ac:dyDescent="0.45">
      <c r="A39" t="s">
        <v>110</v>
      </c>
      <c r="B39" t="s">
        <v>346</v>
      </c>
      <c r="C39" t="s">
        <v>345</v>
      </c>
      <c r="D39" t="s">
        <v>102</v>
      </c>
      <c r="E39">
        <v>231.93540999999999</v>
      </c>
      <c r="F39">
        <v>300.65042099999999</v>
      </c>
      <c r="G39">
        <v>321.92755099999999</v>
      </c>
      <c r="H39">
        <v>358.14269999999999</v>
      </c>
      <c r="I39">
        <v>381.94683800000001</v>
      </c>
      <c r="J39">
        <v>403.00726300000002</v>
      </c>
      <c r="K39">
        <v>416.13809199999997</v>
      </c>
      <c r="L39">
        <v>421.31039399999997</v>
      </c>
      <c r="M39">
        <v>429.03585800000002</v>
      </c>
      <c r="N39">
        <v>433.79870599999998</v>
      </c>
      <c r="O39">
        <v>438.41574100000003</v>
      </c>
      <c r="P39">
        <v>436.38497899999999</v>
      </c>
      <c r="Q39">
        <v>440.98089599999997</v>
      </c>
      <c r="R39">
        <v>444.80450400000001</v>
      </c>
      <c r="S39">
        <v>461.72448700000001</v>
      </c>
      <c r="T39">
        <v>465.76788299999998</v>
      </c>
      <c r="U39">
        <v>467.22735599999999</v>
      </c>
      <c r="V39">
        <v>468.23367300000001</v>
      </c>
      <c r="W39">
        <v>470.55792200000002</v>
      </c>
      <c r="X39">
        <v>473.60717799999998</v>
      </c>
      <c r="Y39">
        <v>477.20617700000003</v>
      </c>
      <c r="Z39">
        <v>479.81243899999998</v>
      </c>
      <c r="AA39">
        <v>482.48284899999999</v>
      </c>
      <c r="AB39">
        <v>483.47772200000003</v>
      </c>
      <c r="AC39">
        <v>484.22485399999999</v>
      </c>
      <c r="AD39">
        <v>482.24206500000003</v>
      </c>
      <c r="AE39" s="71">
        <v>0.03</v>
      </c>
    </row>
    <row r="40" spans="1:31" x14ac:dyDescent="0.45">
      <c r="A40" t="s">
        <v>111</v>
      </c>
      <c r="B40" t="s">
        <v>344</v>
      </c>
      <c r="C40" t="s">
        <v>343</v>
      </c>
      <c r="D40" t="s">
        <v>102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 t="s">
        <v>109</v>
      </c>
    </row>
    <row r="41" spans="1:31" x14ac:dyDescent="0.45">
      <c r="A41" t="s">
        <v>112</v>
      </c>
      <c r="B41" t="s">
        <v>342</v>
      </c>
      <c r="C41" t="s">
        <v>341</v>
      </c>
      <c r="D41" t="s">
        <v>102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 t="s">
        <v>109</v>
      </c>
    </row>
    <row r="42" spans="1:31" x14ac:dyDescent="0.45">
      <c r="A42" t="s">
        <v>113</v>
      </c>
      <c r="B42" t="s">
        <v>340</v>
      </c>
      <c r="C42" t="s">
        <v>339</v>
      </c>
      <c r="D42" t="s">
        <v>102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 t="s">
        <v>109</v>
      </c>
    </row>
    <row r="43" spans="1:31" x14ac:dyDescent="0.45">
      <c r="A43" t="s">
        <v>114</v>
      </c>
      <c r="B43" t="s">
        <v>338</v>
      </c>
      <c r="C43" t="s">
        <v>337</v>
      </c>
      <c r="D43" t="s">
        <v>102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 t="s">
        <v>109</v>
      </c>
    </row>
    <row r="44" spans="1:31" x14ac:dyDescent="0.45">
      <c r="A44" t="s">
        <v>115</v>
      </c>
      <c r="B44" t="s">
        <v>336</v>
      </c>
      <c r="C44" t="s">
        <v>335</v>
      </c>
      <c r="D44" t="s">
        <v>102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 t="s">
        <v>109</v>
      </c>
    </row>
    <row r="45" spans="1:31" x14ac:dyDescent="0.45">
      <c r="A45" t="s">
        <v>123</v>
      </c>
      <c r="B45" t="s">
        <v>334</v>
      </c>
      <c r="C45" t="s">
        <v>333</v>
      </c>
      <c r="D45" t="s">
        <v>102</v>
      </c>
      <c r="E45">
        <v>364.796448</v>
      </c>
      <c r="F45">
        <v>518.74310300000002</v>
      </c>
      <c r="G45">
        <v>623.38848900000005</v>
      </c>
      <c r="H45">
        <v>721.06787099999997</v>
      </c>
      <c r="I45">
        <v>699.559753</v>
      </c>
      <c r="J45">
        <v>705.43652299999997</v>
      </c>
      <c r="K45">
        <v>685.03143299999999</v>
      </c>
      <c r="L45">
        <v>673.40655500000003</v>
      </c>
      <c r="M45">
        <v>705.12158199999999</v>
      </c>
      <c r="N45">
        <v>731.06549099999995</v>
      </c>
      <c r="O45">
        <v>760.88482699999997</v>
      </c>
      <c r="P45">
        <v>773.44738800000005</v>
      </c>
      <c r="Q45">
        <v>798.000854</v>
      </c>
      <c r="R45">
        <v>820.70465100000001</v>
      </c>
      <c r="S45">
        <v>853.97302200000001</v>
      </c>
      <c r="T45">
        <v>874.106628</v>
      </c>
      <c r="U45">
        <v>887.04040499999996</v>
      </c>
      <c r="V45">
        <v>899.79168700000002</v>
      </c>
      <c r="W45">
        <v>913.41027799999995</v>
      </c>
      <c r="X45">
        <v>926.99011199999995</v>
      </c>
      <c r="Y45">
        <v>942.62487799999997</v>
      </c>
      <c r="Z45">
        <v>951.73510699999997</v>
      </c>
      <c r="AA45">
        <v>963.95977800000003</v>
      </c>
      <c r="AB45">
        <v>970.13293499999997</v>
      </c>
      <c r="AC45">
        <v>976.74206500000003</v>
      </c>
      <c r="AD45">
        <v>975.34375</v>
      </c>
      <c r="AE45" s="71">
        <v>0.04</v>
      </c>
    </row>
    <row r="46" spans="1:31" x14ac:dyDescent="0.45">
      <c r="A46" t="s">
        <v>168</v>
      </c>
      <c r="B46" t="s">
        <v>332</v>
      </c>
      <c r="C46" t="s">
        <v>331</v>
      </c>
      <c r="D46" t="s">
        <v>117</v>
      </c>
      <c r="E46">
        <v>20.005510000000001</v>
      </c>
      <c r="F46">
        <v>28.47447</v>
      </c>
      <c r="G46">
        <v>32.578570999999997</v>
      </c>
      <c r="H46">
        <v>36.591262999999998</v>
      </c>
      <c r="I46">
        <v>34.725613000000003</v>
      </c>
      <c r="J46">
        <v>33.840083999999997</v>
      </c>
      <c r="K46">
        <v>32.344062999999998</v>
      </c>
      <c r="L46">
        <v>31.496281</v>
      </c>
      <c r="M46">
        <v>32.777321000000001</v>
      </c>
      <c r="N46">
        <v>33.874763000000002</v>
      </c>
      <c r="O46">
        <v>35.192141999999997</v>
      </c>
      <c r="P46">
        <v>36.247363999999997</v>
      </c>
      <c r="Q46">
        <v>37.347008000000002</v>
      </c>
      <c r="R46">
        <v>38.382441999999998</v>
      </c>
      <c r="S46">
        <v>39.981045000000002</v>
      </c>
      <c r="T46">
        <v>40.928406000000003</v>
      </c>
      <c r="U46">
        <v>41.749203000000001</v>
      </c>
      <c r="V46">
        <v>42.591011000000002</v>
      </c>
      <c r="W46">
        <v>43.368862</v>
      </c>
      <c r="X46">
        <v>44.122452000000003</v>
      </c>
      <c r="Y46">
        <v>44.922893999999999</v>
      </c>
      <c r="Z46">
        <v>45.526375000000002</v>
      </c>
      <c r="AA46">
        <v>46.281342000000002</v>
      </c>
      <c r="AB46">
        <v>46.890770000000003</v>
      </c>
      <c r="AC46">
        <v>47.592086999999999</v>
      </c>
      <c r="AD46">
        <v>48.176392</v>
      </c>
      <c r="AE46" s="71">
        <v>3.5999999999999997E-2</v>
      </c>
    </row>
    <row r="47" spans="1:31" x14ac:dyDescent="0.45">
      <c r="A47" t="s">
        <v>124</v>
      </c>
      <c r="B47" t="s">
        <v>330</v>
      </c>
      <c r="C47" t="s">
        <v>329</v>
      </c>
      <c r="D47" t="s">
        <v>102</v>
      </c>
      <c r="E47">
        <v>1823.479736</v>
      </c>
      <c r="F47">
        <v>1821.783203</v>
      </c>
      <c r="G47">
        <v>1913.492432</v>
      </c>
      <c r="H47">
        <v>1970.6010739999999</v>
      </c>
      <c r="I47">
        <v>2014.5354</v>
      </c>
      <c r="J47">
        <v>2084.618164</v>
      </c>
      <c r="K47">
        <v>2117.951172</v>
      </c>
      <c r="L47">
        <v>2138.0510250000002</v>
      </c>
      <c r="M47">
        <v>2151.2482909999999</v>
      </c>
      <c r="N47">
        <v>2158.141846</v>
      </c>
      <c r="O47">
        <v>2162.0874020000001</v>
      </c>
      <c r="P47">
        <v>2133.8032229999999</v>
      </c>
      <c r="Q47">
        <v>2136.7197270000001</v>
      </c>
      <c r="R47">
        <v>2138.2292480000001</v>
      </c>
      <c r="S47">
        <v>2135.9448240000002</v>
      </c>
      <c r="T47">
        <v>2135.6967770000001</v>
      </c>
      <c r="U47">
        <v>2124.688232</v>
      </c>
      <c r="V47">
        <v>2112.6328119999998</v>
      </c>
      <c r="W47">
        <v>2106.1430660000001</v>
      </c>
      <c r="X47">
        <v>2100.9487300000001</v>
      </c>
      <c r="Y47">
        <v>2098.3173830000001</v>
      </c>
      <c r="Z47">
        <v>2090.513672</v>
      </c>
      <c r="AA47">
        <v>2082.8259280000002</v>
      </c>
      <c r="AB47">
        <v>2068.9208979999999</v>
      </c>
      <c r="AC47">
        <v>2052.3203119999998</v>
      </c>
      <c r="AD47">
        <v>2024.5264890000001</v>
      </c>
      <c r="AE47" s="71">
        <v>4.0000000000000001E-3</v>
      </c>
    </row>
    <row r="48" spans="1:31" x14ac:dyDescent="0.45">
      <c r="A48" t="s">
        <v>132</v>
      </c>
      <c r="B48" t="s">
        <v>328</v>
      </c>
      <c r="C48" t="s">
        <v>327</v>
      </c>
      <c r="D48" t="s">
        <v>102</v>
      </c>
      <c r="E48">
        <v>2722.3466800000001</v>
      </c>
      <c r="F48">
        <v>2653.9558109999998</v>
      </c>
      <c r="G48">
        <v>2733.8928219999998</v>
      </c>
      <c r="H48">
        <v>2770.3569339999999</v>
      </c>
      <c r="I48">
        <v>2824.2006839999999</v>
      </c>
      <c r="J48">
        <v>2911.125732</v>
      </c>
      <c r="K48">
        <v>2955.1538089999999</v>
      </c>
      <c r="L48">
        <v>2979.4135740000002</v>
      </c>
      <c r="M48">
        <v>3009.14624</v>
      </c>
      <c r="N48">
        <v>3017.9267580000001</v>
      </c>
      <c r="O48">
        <v>3027.8637699999999</v>
      </c>
      <c r="P48">
        <v>2985.8312989999999</v>
      </c>
      <c r="Q48">
        <v>2990.3408199999999</v>
      </c>
      <c r="R48">
        <v>2990.8188479999999</v>
      </c>
      <c r="S48">
        <v>2984.6044919999999</v>
      </c>
      <c r="T48">
        <v>2978.0483399999998</v>
      </c>
      <c r="U48">
        <v>2958.8884280000002</v>
      </c>
      <c r="V48">
        <v>2939.093018</v>
      </c>
      <c r="W48">
        <v>2923.188232</v>
      </c>
      <c r="X48">
        <v>2909.5964359999998</v>
      </c>
      <c r="Y48">
        <v>2901.3657229999999</v>
      </c>
      <c r="Z48">
        <v>2885.9223630000001</v>
      </c>
      <c r="AA48">
        <v>2875.8178710000002</v>
      </c>
      <c r="AB48">
        <v>2854.3344729999999</v>
      </c>
      <c r="AC48">
        <v>2830.688721</v>
      </c>
      <c r="AD48">
        <v>2789.7971189999998</v>
      </c>
      <c r="AE48" s="71">
        <v>1E-3</v>
      </c>
    </row>
    <row r="49" spans="1:31" x14ac:dyDescent="0.45">
      <c r="A49" t="s">
        <v>167</v>
      </c>
    </row>
    <row r="50" spans="1:31" x14ac:dyDescent="0.45">
      <c r="A50" t="s">
        <v>157</v>
      </c>
      <c r="B50" t="s">
        <v>326</v>
      </c>
      <c r="C50" t="s">
        <v>325</v>
      </c>
      <c r="D50" t="s">
        <v>102</v>
      </c>
      <c r="E50">
        <v>345.68704200000002</v>
      </c>
      <c r="F50">
        <v>345.41760299999999</v>
      </c>
      <c r="G50">
        <v>365.44741800000003</v>
      </c>
      <c r="H50">
        <v>377.73922700000003</v>
      </c>
      <c r="I50">
        <v>393.01449600000001</v>
      </c>
      <c r="J50">
        <v>409.08804300000003</v>
      </c>
      <c r="K50">
        <v>419.39944500000001</v>
      </c>
      <c r="L50">
        <v>422.76516700000002</v>
      </c>
      <c r="M50">
        <v>415.466949</v>
      </c>
      <c r="N50">
        <v>404.76809700000001</v>
      </c>
      <c r="O50">
        <v>381.00851399999999</v>
      </c>
      <c r="P50">
        <v>352.53677399999998</v>
      </c>
      <c r="Q50">
        <v>327.62057499999997</v>
      </c>
      <c r="R50">
        <v>307.57791099999997</v>
      </c>
      <c r="S50">
        <v>284.72662400000002</v>
      </c>
      <c r="T50">
        <v>261.07241800000003</v>
      </c>
      <c r="U50">
        <v>233.37148999999999</v>
      </c>
      <c r="V50">
        <v>212.335587</v>
      </c>
      <c r="W50">
        <v>199.73291</v>
      </c>
      <c r="X50">
        <v>183.511841</v>
      </c>
      <c r="Y50">
        <v>167.88559000000001</v>
      </c>
      <c r="Z50">
        <v>157.47290000000001</v>
      </c>
      <c r="AA50">
        <v>152.49067700000001</v>
      </c>
      <c r="AB50">
        <v>139.111572</v>
      </c>
      <c r="AC50">
        <v>126.87086499999999</v>
      </c>
      <c r="AD50">
        <v>115.81141700000001</v>
      </c>
      <c r="AE50" s="71">
        <v>-4.2999999999999997E-2</v>
      </c>
    </row>
    <row r="51" spans="1:31" x14ac:dyDescent="0.45">
      <c r="A51" t="s">
        <v>156</v>
      </c>
      <c r="B51" t="s">
        <v>324</v>
      </c>
      <c r="C51" t="s">
        <v>323</v>
      </c>
      <c r="D51" t="s">
        <v>102</v>
      </c>
      <c r="E51">
        <v>90.062431000000004</v>
      </c>
      <c r="F51">
        <v>87.365859999999998</v>
      </c>
      <c r="G51">
        <v>89.953827000000004</v>
      </c>
      <c r="H51">
        <v>90.661263000000005</v>
      </c>
      <c r="I51">
        <v>92.168373000000003</v>
      </c>
      <c r="J51">
        <v>93.875320000000002</v>
      </c>
      <c r="K51">
        <v>94.328156000000007</v>
      </c>
      <c r="L51">
        <v>93.289268000000007</v>
      </c>
      <c r="M51">
        <v>90.062049999999999</v>
      </c>
      <c r="N51">
        <v>86.361450000000005</v>
      </c>
      <c r="O51">
        <v>79.997955000000005</v>
      </c>
      <c r="P51">
        <v>73.011382999999995</v>
      </c>
      <c r="Q51">
        <v>67.012062</v>
      </c>
      <c r="R51">
        <v>62.247208000000001</v>
      </c>
      <c r="S51">
        <v>57.147075999999998</v>
      </c>
      <c r="T51">
        <v>51.966372999999997</v>
      </c>
      <c r="U51">
        <v>46.077190000000002</v>
      </c>
      <c r="V51">
        <v>41.614193</v>
      </c>
      <c r="W51">
        <v>38.890712999999998</v>
      </c>
      <c r="X51">
        <v>35.540523999999998</v>
      </c>
      <c r="Y51">
        <v>32.348990999999998</v>
      </c>
      <c r="Z51">
        <v>30.182585</v>
      </c>
      <c r="AA51">
        <v>29.084726</v>
      </c>
      <c r="AB51">
        <v>26.415227999999999</v>
      </c>
      <c r="AC51">
        <v>23.995899000000001</v>
      </c>
      <c r="AD51">
        <v>21.827421000000001</v>
      </c>
      <c r="AE51" s="71">
        <v>-5.5E-2</v>
      </c>
    </row>
    <row r="52" spans="1:31" x14ac:dyDescent="0.45">
      <c r="A52" t="s">
        <v>155</v>
      </c>
      <c r="B52" t="s">
        <v>322</v>
      </c>
      <c r="C52" t="s">
        <v>321</v>
      </c>
      <c r="D52" t="s">
        <v>102</v>
      </c>
      <c r="E52">
        <v>4.9379999999999997E-3</v>
      </c>
      <c r="F52">
        <v>4.9309999999999996E-3</v>
      </c>
      <c r="G52">
        <v>5.1879999999999999E-3</v>
      </c>
      <c r="H52">
        <v>5.3530000000000001E-3</v>
      </c>
      <c r="I52">
        <v>5.5690000000000002E-3</v>
      </c>
      <c r="J52">
        <v>5.8320000000000004E-3</v>
      </c>
      <c r="K52">
        <v>6.0260000000000001E-3</v>
      </c>
      <c r="L52">
        <v>6.1879999999999999E-3</v>
      </c>
      <c r="M52">
        <v>6.2560000000000003E-3</v>
      </c>
      <c r="N52">
        <v>6.2789999999999999E-3</v>
      </c>
      <c r="O52">
        <v>6.293E-3</v>
      </c>
      <c r="P52">
        <v>6.1999999999999998E-3</v>
      </c>
      <c r="Q52">
        <v>6.2030000000000002E-3</v>
      </c>
      <c r="R52">
        <v>6.1989999999999996E-3</v>
      </c>
      <c r="S52">
        <v>6.182E-3</v>
      </c>
      <c r="T52">
        <v>6.1659999999999996E-3</v>
      </c>
      <c r="U52">
        <v>6.1199999999999996E-3</v>
      </c>
      <c r="V52">
        <v>6.0740000000000004E-3</v>
      </c>
      <c r="W52">
        <v>6.0340000000000003E-3</v>
      </c>
      <c r="X52">
        <v>6.0000000000000001E-3</v>
      </c>
      <c r="Y52">
        <v>5.9800000000000001E-3</v>
      </c>
      <c r="Z52">
        <v>5.94E-3</v>
      </c>
      <c r="AA52">
        <v>5.914E-3</v>
      </c>
      <c r="AB52">
        <v>5.8630000000000002E-3</v>
      </c>
      <c r="AC52">
        <v>5.8089999999999999E-3</v>
      </c>
      <c r="AD52">
        <v>5.7190000000000001E-3</v>
      </c>
      <c r="AE52" s="71">
        <v>6.0000000000000001E-3</v>
      </c>
    </row>
    <row r="53" spans="1:31" x14ac:dyDescent="0.45">
      <c r="A53" t="s">
        <v>154</v>
      </c>
      <c r="B53" t="s">
        <v>320</v>
      </c>
      <c r="C53" t="s">
        <v>319</v>
      </c>
      <c r="D53" t="s">
        <v>102</v>
      </c>
      <c r="E53">
        <v>2.8805670000000001</v>
      </c>
      <c r="F53">
        <v>3.8596529999999998</v>
      </c>
      <c r="G53">
        <v>2.7841689999999999</v>
      </c>
      <c r="H53">
        <v>2.5791339999999998</v>
      </c>
      <c r="I53">
        <v>2.0667219999999999</v>
      </c>
      <c r="J53">
        <v>2.2968229999999998</v>
      </c>
      <c r="K53">
        <v>2.463187</v>
      </c>
      <c r="L53">
        <v>3.0027750000000002</v>
      </c>
      <c r="M53">
        <v>3.3689269999999998</v>
      </c>
      <c r="N53">
        <v>3.7151540000000001</v>
      </c>
      <c r="O53">
        <v>4.6015569999999997</v>
      </c>
      <c r="P53">
        <v>5.1292530000000003</v>
      </c>
      <c r="Q53">
        <v>6.2855939999999997</v>
      </c>
      <c r="R53">
        <v>7.6840909999999996</v>
      </c>
      <c r="S53">
        <v>8.7380049999999994</v>
      </c>
      <c r="T53">
        <v>10.625904</v>
      </c>
      <c r="U53">
        <v>11.774922999999999</v>
      </c>
      <c r="V53">
        <v>13.239506</v>
      </c>
      <c r="W53">
        <v>14.760299</v>
      </c>
      <c r="X53">
        <v>16.216477999999999</v>
      </c>
      <c r="Y53">
        <v>17.696083000000002</v>
      </c>
      <c r="Z53">
        <v>19.540120999999999</v>
      </c>
      <c r="AA53">
        <v>20.631931000000002</v>
      </c>
      <c r="AB53">
        <v>21.651274000000001</v>
      </c>
      <c r="AC53">
        <v>22.201729</v>
      </c>
      <c r="AD53">
        <v>23.176110999999999</v>
      </c>
      <c r="AE53" s="71">
        <v>8.6999999999999994E-2</v>
      </c>
    </row>
    <row r="54" spans="1:31" x14ac:dyDescent="0.45">
      <c r="A54" t="s">
        <v>153</v>
      </c>
      <c r="B54" t="s">
        <v>318</v>
      </c>
      <c r="C54" t="s">
        <v>317</v>
      </c>
      <c r="D54" t="s">
        <v>102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 t="s">
        <v>109</v>
      </c>
    </row>
    <row r="55" spans="1:31" x14ac:dyDescent="0.45">
      <c r="A55" t="s">
        <v>126</v>
      </c>
      <c r="B55" t="s">
        <v>316</v>
      </c>
      <c r="C55" t="s">
        <v>315</v>
      </c>
      <c r="D55" t="s">
        <v>102</v>
      </c>
      <c r="E55">
        <v>53.202854000000002</v>
      </c>
      <c r="F55">
        <v>53.131798000000003</v>
      </c>
      <c r="G55">
        <v>55.900131000000002</v>
      </c>
      <c r="H55">
        <v>57.675609999999999</v>
      </c>
      <c r="I55">
        <v>60.005566000000002</v>
      </c>
      <c r="J55">
        <v>62.835323000000002</v>
      </c>
      <c r="K55">
        <v>64.924469000000002</v>
      </c>
      <c r="L55">
        <v>66.659569000000005</v>
      </c>
      <c r="M55">
        <v>67.386307000000002</v>
      </c>
      <c r="N55">
        <v>67.901687999999993</v>
      </c>
      <c r="O55">
        <v>67.952376999999998</v>
      </c>
      <c r="P55">
        <v>67.017159000000007</v>
      </c>
      <c r="Q55">
        <v>67.159630000000007</v>
      </c>
      <c r="R55">
        <v>67.191749999999999</v>
      </c>
      <c r="S55">
        <v>67.057250999999994</v>
      </c>
      <c r="T55">
        <v>70.221778999999998</v>
      </c>
      <c r="U55">
        <v>70.046515999999997</v>
      </c>
      <c r="V55">
        <v>66.311012000000005</v>
      </c>
      <c r="W55">
        <v>66.651138000000003</v>
      </c>
      <c r="X55">
        <v>68.555160999999998</v>
      </c>
      <c r="Y55">
        <v>70.667061000000004</v>
      </c>
      <c r="Z55">
        <v>72.571845999999994</v>
      </c>
      <c r="AA55">
        <v>74.324776</v>
      </c>
      <c r="AB55">
        <v>75.733001999999999</v>
      </c>
      <c r="AC55">
        <v>78.688453999999993</v>
      </c>
      <c r="AD55">
        <v>83.447249999999997</v>
      </c>
      <c r="AE55" s="71">
        <v>1.7999999999999999E-2</v>
      </c>
    </row>
    <row r="56" spans="1:31" x14ac:dyDescent="0.45">
      <c r="A56" t="s">
        <v>152</v>
      </c>
      <c r="B56" t="s">
        <v>314</v>
      </c>
      <c r="C56" t="s">
        <v>313</v>
      </c>
      <c r="D56" t="s">
        <v>102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 t="s">
        <v>109</v>
      </c>
    </row>
    <row r="57" spans="1:31" x14ac:dyDescent="0.45">
      <c r="A57" t="s">
        <v>151</v>
      </c>
      <c r="B57" t="s">
        <v>312</v>
      </c>
      <c r="C57" t="s">
        <v>311</v>
      </c>
      <c r="D57" t="s">
        <v>102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 t="s">
        <v>109</v>
      </c>
    </row>
    <row r="58" spans="1:31" x14ac:dyDescent="0.45">
      <c r="A58" t="s">
        <v>127</v>
      </c>
      <c r="B58" t="s">
        <v>310</v>
      </c>
      <c r="C58" t="s">
        <v>309</v>
      </c>
      <c r="D58" t="s">
        <v>102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 t="s">
        <v>109</v>
      </c>
    </row>
    <row r="59" spans="1:31" x14ac:dyDescent="0.45">
      <c r="A59" t="s">
        <v>150</v>
      </c>
      <c r="B59" t="s">
        <v>308</v>
      </c>
      <c r="C59" t="s">
        <v>307</v>
      </c>
      <c r="D59" t="s">
        <v>102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 t="s">
        <v>109</v>
      </c>
    </row>
    <row r="60" spans="1:31" x14ac:dyDescent="0.45">
      <c r="A60" t="s">
        <v>149</v>
      </c>
      <c r="B60" t="s">
        <v>306</v>
      </c>
      <c r="C60" t="s">
        <v>305</v>
      </c>
      <c r="D60" t="s">
        <v>102</v>
      </c>
      <c r="E60">
        <v>1.9456169999999999</v>
      </c>
      <c r="F60">
        <v>3.3441559999999999</v>
      </c>
      <c r="G60">
        <v>4.7265860000000002</v>
      </c>
      <c r="H60">
        <v>6.635186</v>
      </c>
      <c r="I60">
        <v>9.6597580000000001</v>
      </c>
      <c r="J60">
        <v>15.082554999999999</v>
      </c>
      <c r="K60">
        <v>21.452256999999999</v>
      </c>
      <c r="L60">
        <v>33.139454000000001</v>
      </c>
      <c r="M60">
        <v>49.350223999999997</v>
      </c>
      <c r="N60">
        <v>65.193207000000001</v>
      </c>
      <c r="O60">
        <v>95.815040999999994</v>
      </c>
      <c r="P60">
        <v>122.337585</v>
      </c>
      <c r="Q60">
        <v>152.293015</v>
      </c>
      <c r="R60">
        <v>175.298721</v>
      </c>
      <c r="S60">
        <v>200.64144899999999</v>
      </c>
      <c r="T60">
        <v>222.76620500000001</v>
      </c>
      <c r="U60">
        <v>250.80702199999999</v>
      </c>
      <c r="V60">
        <v>273.92739899999998</v>
      </c>
      <c r="W60">
        <v>283.48727400000001</v>
      </c>
      <c r="X60">
        <v>296.27050800000001</v>
      </c>
      <c r="Y60">
        <v>309.44702100000001</v>
      </c>
      <c r="Z60">
        <v>314.34524499999998</v>
      </c>
      <c r="AA60">
        <v>314.949341</v>
      </c>
      <c r="AB60">
        <v>323.63983200000001</v>
      </c>
      <c r="AC60">
        <v>329.374908</v>
      </c>
      <c r="AD60">
        <v>327.96307400000001</v>
      </c>
      <c r="AE60" s="71">
        <v>0.22800000000000001</v>
      </c>
    </row>
    <row r="61" spans="1:31" x14ac:dyDescent="0.45">
      <c r="A61" t="s">
        <v>148</v>
      </c>
      <c r="B61" t="s">
        <v>304</v>
      </c>
      <c r="C61" t="s">
        <v>303</v>
      </c>
      <c r="D61" t="s">
        <v>102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 t="s">
        <v>109</v>
      </c>
    </row>
    <row r="62" spans="1:31" x14ac:dyDescent="0.45">
      <c r="A62" t="s">
        <v>166</v>
      </c>
      <c r="B62" t="s">
        <v>302</v>
      </c>
      <c r="C62" t="s">
        <v>301</v>
      </c>
      <c r="D62" t="s">
        <v>102</v>
      </c>
      <c r="E62">
        <v>493.78344700000002</v>
      </c>
      <c r="F62">
        <v>493.12399299999998</v>
      </c>
      <c r="G62">
        <v>518.81732199999999</v>
      </c>
      <c r="H62">
        <v>535.29577600000005</v>
      </c>
      <c r="I62">
        <v>556.92040999999995</v>
      </c>
      <c r="J62">
        <v>583.183899</v>
      </c>
      <c r="K62">
        <v>602.57360800000004</v>
      </c>
      <c r="L62">
        <v>618.86236599999995</v>
      </c>
      <c r="M62">
        <v>625.64068599999996</v>
      </c>
      <c r="N62">
        <v>627.94592299999999</v>
      </c>
      <c r="O62">
        <v>629.38177499999995</v>
      </c>
      <c r="P62">
        <v>620.03832999999997</v>
      </c>
      <c r="Q62">
        <v>620.37707499999999</v>
      </c>
      <c r="R62">
        <v>620.00585899999999</v>
      </c>
      <c r="S62">
        <v>618.31658900000002</v>
      </c>
      <c r="T62">
        <v>616.65881300000001</v>
      </c>
      <c r="U62">
        <v>612.08325200000002</v>
      </c>
      <c r="V62">
        <v>607.43377699999996</v>
      </c>
      <c r="W62">
        <v>603.52832000000001</v>
      </c>
      <c r="X62">
        <v>600.10052499999995</v>
      </c>
      <c r="Y62">
        <v>598.05071999999996</v>
      </c>
      <c r="Z62">
        <v>594.118652</v>
      </c>
      <c r="AA62">
        <v>591.48736599999995</v>
      </c>
      <c r="AB62">
        <v>586.55676300000005</v>
      </c>
      <c r="AC62">
        <v>581.13769500000001</v>
      </c>
      <c r="AD62">
        <v>572.23101799999995</v>
      </c>
      <c r="AE62" s="71">
        <v>6.0000000000000001E-3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8A9C08-B4DB-4D28-8975-A9AE65B9BD07}">
  <dimension ref="A1:AE309"/>
  <sheetViews>
    <sheetView workbookViewId="0"/>
  </sheetViews>
  <sheetFormatPr defaultRowHeight="14.25" x14ac:dyDescent="0.45"/>
  <cols>
    <col min="1" max="1" width="32" customWidth="1"/>
  </cols>
  <sheetData>
    <row r="1" spans="1:31" x14ac:dyDescent="0.45">
      <c r="A1" t="s">
        <v>212</v>
      </c>
    </row>
    <row r="2" spans="1:31" x14ac:dyDescent="0.45">
      <c r="A2" t="s">
        <v>946</v>
      </c>
    </row>
    <row r="3" spans="1:31" x14ac:dyDescent="0.45">
      <c r="A3" t="s">
        <v>945</v>
      </c>
    </row>
    <row r="4" spans="1:31" x14ac:dyDescent="0.45">
      <c r="A4" t="s">
        <v>95</v>
      </c>
    </row>
    <row r="5" spans="1:31" x14ac:dyDescent="0.45">
      <c r="B5" t="s">
        <v>96</v>
      </c>
      <c r="C5" t="s">
        <v>97</v>
      </c>
      <c r="D5" t="s">
        <v>98</v>
      </c>
      <c r="E5">
        <v>2025</v>
      </c>
      <c r="F5">
        <v>2026</v>
      </c>
      <c r="G5">
        <v>2027</v>
      </c>
      <c r="H5">
        <v>2028</v>
      </c>
      <c r="I5">
        <v>2029</v>
      </c>
      <c r="J5">
        <v>2030</v>
      </c>
      <c r="K5">
        <v>2031</v>
      </c>
      <c r="L5">
        <v>2032</v>
      </c>
      <c r="M5">
        <v>2033</v>
      </c>
      <c r="N5">
        <v>2034</v>
      </c>
      <c r="O5">
        <v>2035</v>
      </c>
      <c r="P5">
        <v>2036</v>
      </c>
      <c r="Q5">
        <v>2037</v>
      </c>
      <c r="R5">
        <v>2038</v>
      </c>
      <c r="S5">
        <v>2039</v>
      </c>
      <c r="T5">
        <v>2040</v>
      </c>
      <c r="U5">
        <v>2041</v>
      </c>
      <c r="V5">
        <v>2042</v>
      </c>
      <c r="W5">
        <v>2043</v>
      </c>
      <c r="X5">
        <v>2044</v>
      </c>
      <c r="Y5">
        <v>2045</v>
      </c>
      <c r="Z5">
        <v>2046</v>
      </c>
      <c r="AA5">
        <v>2047</v>
      </c>
      <c r="AB5">
        <v>2048</v>
      </c>
      <c r="AC5">
        <v>2049</v>
      </c>
      <c r="AD5">
        <v>2050</v>
      </c>
      <c r="AE5" t="s">
        <v>298</v>
      </c>
    </row>
    <row r="6" spans="1:31" x14ac:dyDescent="0.45">
      <c r="A6" t="s">
        <v>211</v>
      </c>
    </row>
    <row r="7" spans="1:31" x14ac:dyDescent="0.45">
      <c r="A7" t="s">
        <v>210</v>
      </c>
    </row>
    <row r="8" spans="1:31" x14ac:dyDescent="0.45">
      <c r="A8" t="s">
        <v>191</v>
      </c>
    </row>
    <row r="9" spans="1:31" x14ac:dyDescent="0.45">
      <c r="A9" t="s">
        <v>156</v>
      </c>
      <c r="B9" t="s">
        <v>944</v>
      </c>
      <c r="C9" t="s">
        <v>943</v>
      </c>
      <c r="D9" t="s">
        <v>208</v>
      </c>
      <c r="E9">
        <v>58.413017000000004</v>
      </c>
      <c r="F9">
        <v>57.420310999999998</v>
      </c>
      <c r="G9">
        <v>56.362800999999997</v>
      </c>
      <c r="H9">
        <v>55.456158000000002</v>
      </c>
      <c r="I9">
        <v>54.686531000000002</v>
      </c>
      <c r="J9">
        <v>54.216652000000003</v>
      </c>
      <c r="K9">
        <v>53.628971</v>
      </c>
      <c r="L9">
        <v>53.071381000000002</v>
      </c>
      <c r="M9">
        <v>52.386211000000003</v>
      </c>
      <c r="N9">
        <v>51.729412000000004</v>
      </c>
      <c r="O9">
        <v>50.979725000000002</v>
      </c>
      <c r="P9">
        <v>50.103706000000003</v>
      </c>
      <c r="Q9">
        <v>49.202807999999997</v>
      </c>
      <c r="R9">
        <v>48.319229</v>
      </c>
      <c r="S9">
        <v>47.434058999999998</v>
      </c>
      <c r="T9">
        <v>46.587254000000001</v>
      </c>
      <c r="U9">
        <v>45.608745999999996</v>
      </c>
      <c r="V9">
        <v>44.484791000000001</v>
      </c>
      <c r="W9">
        <v>43.169189000000003</v>
      </c>
      <c r="X9">
        <v>41.718536</v>
      </c>
      <c r="Y9">
        <v>40.212212000000001</v>
      </c>
      <c r="Z9">
        <v>38.761288</v>
      </c>
      <c r="AA9">
        <v>37.372833</v>
      </c>
      <c r="AB9">
        <v>35.951756000000003</v>
      </c>
      <c r="AC9">
        <v>34.608257000000002</v>
      </c>
      <c r="AD9">
        <v>33.299495999999998</v>
      </c>
      <c r="AE9" s="71">
        <v>-2.1999999999999999E-2</v>
      </c>
    </row>
    <row r="10" spans="1:31" x14ac:dyDescent="0.45">
      <c r="A10" t="s">
        <v>157</v>
      </c>
      <c r="B10" t="s">
        <v>942</v>
      </c>
      <c r="C10" t="s">
        <v>941</v>
      </c>
      <c r="D10" t="s">
        <v>208</v>
      </c>
      <c r="E10">
        <v>27.328077</v>
      </c>
      <c r="F10">
        <v>28.272638000000001</v>
      </c>
      <c r="G10">
        <v>29.206049</v>
      </c>
      <c r="H10">
        <v>30.198536000000001</v>
      </c>
      <c r="I10">
        <v>31.257954000000002</v>
      </c>
      <c r="J10">
        <v>32.472884999999998</v>
      </c>
      <c r="K10">
        <v>33.565792000000002</v>
      </c>
      <c r="L10">
        <v>34.629910000000002</v>
      </c>
      <c r="M10">
        <v>35.530155000000001</v>
      </c>
      <c r="N10">
        <v>36.361716999999999</v>
      </c>
      <c r="O10">
        <v>37.028927000000003</v>
      </c>
      <c r="P10">
        <v>37.488135999999997</v>
      </c>
      <c r="Q10">
        <v>37.843646999999997</v>
      </c>
      <c r="R10">
        <v>38.147227999999998</v>
      </c>
      <c r="S10">
        <v>38.407978</v>
      </c>
      <c r="T10">
        <v>38.634765999999999</v>
      </c>
      <c r="U10">
        <v>38.685001</v>
      </c>
      <c r="V10">
        <v>38.508476000000002</v>
      </c>
      <c r="W10">
        <v>38.076014999999998</v>
      </c>
      <c r="X10">
        <v>37.432986999999997</v>
      </c>
      <c r="Y10">
        <v>36.696804</v>
      </c>
      <c r="Z10">
        <v>35.933998000000003</v>
      </c>
      <c r="AA10">
        <v>35.163811000000003</v>
      </c>
      <c r="AB10">
        <v>34.305832000000002</v>
      </c>
      <c r="AC10">
        <v>33.493918999999998</v>
      </c>
      <c r="AD10">
        <v>32.678134999999997</v>
      </c>
      <c r="AE10" s="71">
        <v>7.0000000000000001E-3</v>
      </c>
    </row>
    <row r="11" spans="1:31" x14ac:dyDescent="0.45">
      <c r="A11" t="s">
        <v>155</v>
      </c>
      <c r="B11" t="s">
        <v>940</v>
      </c>
      <c r="C11" t="s">
        <v>939</v>
      </c>
      <c r="D11" t="s">
        <v>208</v>
      </c>
      <c r="E11">
        <v>6.2399999999999999E-4</v>
      </c>
      <c r="F11">
        <v>6.2500000000000001E-4</v>
      </c>
      <c r="G11">
        <v>6.3199999999999997E-4</v>
      </c>
      <c r="H11">
        <v>6.5200000000000002E-4</v>
      </c>
      <c r="I11">
        <v>6.7299999999999999E-4</v>
      </c>
      <c r="J11">
        <v>6.96E-4</v>
      </c>
      <c r="K11">
        <v>7.2099999999999996E-4</v>
      </c>
      <c r="L11">
        <v>7.4700000000000005E-4</v>
      </c>
      <c r="M11">
        <v>7.4700000000000005E-4</v>
      </c>
      <c r="N11">
        <v>7.3999999999999999E-4</v>
      </c>
      <c r="O11">
        <v>7.4700000000000005E-4</v>
      </c>
      <c r="P11">
        <v>7.6400000000000003E-4</v>
      </c>
      <c r="Q11">
        <v>7.8799999999999996E-4</v>
      </c>
      <c r="R11">
        <v>8.1700000000000002E-4</v>
      </c>
      <c r="S11">
        <v>8.4900000000000004E-4</v>
      </c>
      <c r="T11">
        <v>8.8400000000000002E-4</v>
      </c>
      <c r="U11">
        <v>9.1799999999999998E-4</v>
      </c>
      <c r="V11">
        <v>9.5100000000000002E-4</v>
      </c>
      <c r="W11">
        <v>9.8200000000000002E-4</v>
      </c>
      <c r="X11">
        <v>1.0120000000000001E-3</v>
      </c>
      <c r="Y11">
        <v>1.0430000000000001E-3</v>
      </c>
      <c r="Z11">
        <v>1.075E-3</v>
      </c>
      <c r="AA11">
        <v>1.1069999999999999E-3</v>
      </c>
      <c r="AB11">
        <v>1.1379999999999999E-3</v>
      </c>
      <c r="AC11">
        <v>1.168E-3</v>
      </c>
      <c r="AD11">
        <v>1.194E-3</v>
      </c>
      <c r="AE11" s="71">
        <v>2.5999999999999999E-2</v>
      </c>
    </row>
    <row r="12" spans="1:31" x14ac:dyDescent="0.45">
      <c r="A12" t="s">
        <v>154</v>
      </c>
      <c r="B12" t="s">
        <v>938</v>
      </c>
      <c r="C12" t="s">
        <v>937</v>
      </c>
      <c r="D12" t="s">
        <v>208</v>
      </c>
      <c r="E12">
        <v>0.1018</v>
      </c>
      <c r="F12">
        <v>0.14121</v>
      </c>
      <c r="G12">
        <v>0.143647</v>
      </c>
      <c r="H12">
        <v>0.13892299999999999</v>
      </c>
      <c r="I12">
        <v>0.13481599999999999</v>
      </c>
      <c r="J12">
        <v>0.13215399999999999</v>
      </c>
      <c r="K12">
        <v>0.13029099999999999</v>
      </c>
      <c r="L12">
        <v>0.130465</v>
      </c>
      <c r="M12">
        <v>0.13180600000000001</v>
      </c>
      <c r="N12">
        <v>0.134191</v>
      </c>
      <c r="O12">
        <v>0.138595</v>
      </c>
      <c r="P12">
        <v>0.14476</v>
      </c>
      <c r="Q12">
        <v>0.157973</v>
      </c>
      <c r="R12">
        <v>0.17305100000000001</v>
      </c>
      <c r="S12">
        <v>0.19067700000000001</v>
      </c>
      <c r="T12">
        <v>0.21778900000000001</v>
      </c>
      <c r="U12">
        <v>0.252384</v>
      </c>
      <c r="V12">
        <v>0.30060399999999998</v>
      </c>
      <c r="W12">
        <v>0.35725000000000001</v>
      </c>
      <c r="X12">
        <v>0.42241699999999999</v>
      </c>
      <c r="Y12">
        <v>0.50091600000000003</v>
      </c>
      <c r="Z12">
        <v>0.58230499999999996</v>
      </c>
      <c r="AA12">
        <v>0.68046799999999996</v>
      </c>
      <c r="AB12">
        <v>0.79107400000000005</v>
      </c>
      <c r="AC12">
        <v>0.906443</v>
      </c>
      <c r="AD12">
        <v>1.0415190000000001</v>
      </c>
      <c r="AE12" s="71">
        <v>9.7000000000000003E-2</v>
      </c>
    </row>
    <row r="13" spans="1:31" x14ac:dyDescent="0.45">
      <c r="A13" t="s">
        <v>153</v>
      </c>
      <c r="B13" t="s">
        <v>936</v>
      </c>
      <c r="C13" t="s">
        <v>935</v>
      </c>
      <c r="D13" t="s">
        <v>208</v>
      </c>
      <c r="E13">
        <v>2.7343039999999998</v>
      </c>
      <c r="F13">
        <v>2.4784830000000002</v>
      </c>
      <c r="G13">
        <v>2.2343510000000002</v>
      </c>
      <c r="H13">
        <v>2.0132509999999999</v>
      </c>
      <c r="I13">
        <v>1.81403</v>
      </c>
      <c r="J13">
        <v>1.6366449999999999</v>
      </c>
      <c r="K13">
        <v>1.472175</v>
      </c>
      <c r="L13">
        <v>1.3237030000000001</v>
      </c>
      <c r="M13">
        <v>1.1870419999999999</v>
      </c>
      <c r="N13">
        <v>1.0674490000000001</v>
      </c>
      <c r="O13">
        <v>0.95843500000000004</v>
      </c>
      <c r="P13">
        <v>0.85985999999999996</v>
      </c>
      <c r="Q13">
        <v>0.76878999999999997</v>
      </c>
      <c r="R13">
        <v>0.688141</v>
      </c>
      <c r="S13">
        <v>0.61310200000000004</v>
      </c>
      <c r="T13">
        <v>0.54715899999999995</v>
      </c>
      <c r="U13">
        <v>0.49035299999999998</v>
      </c>
      <c r="V13">
        <v>0.43975999999999998</v>
      </c>
      <c r="W13">
        <v>0.39577800000000002</v>
      </c>
      <c r="X13">
        <v>0.35375499999999999</v>
      </c>
      <c r="Y13">
        <v>0.311554</v>
      </c>
      <c r="Z13">
        <v>0.27208399999999999</v>
      </c>
      <c r="AA13">
        <v>0.236563</v>
      </c>
      <c r="AB13">
        <v>0.19941500000000001</v>
      </c>
      <c r="AC13">
        <v>0.163905</v>
      </c>
      <c r="AD13">
        <v>0.13014300000000001</v>
      </c>
      <c r="AE13" s="71">
        <v>-0.115</v>
      </c>
    </row>
    <row r="14" spans="1:31" x14ac:dyDescent="0.45">
      <c r="A14" t="s">
        <v>126</v>
      </c>
      <c r="B14" t="s">
        <v>934</v>
      </c>
      <c r="C14" t="s">
        <v>933</v>
      </c>
      <c r="D14" t="s">
        <v>208</v>
      </c>
      <c r="E14">
        <v>0.201876</v>
      </c>
      <c r="F14">
        <v>0.23502300000000001</v>
      </c>
      <c r="G14">
        <v>0.26545099999999999</v>
      </c>
      <c r="H14">
        <v>0.29352699999999998</v>
      </c>
      <c r="I14">
        <v>0.32103100000000001</v>
      </c>
      <c r="J14">
        <v>0.34932299999999999</v>
      </c>
      <c r="K14">
        <v>0.37564500000000001</v>
      </c>
      <c r="L14">
        <v>0.401731</v>
      </c>
      <c r="M14">
        <v>0.426124</v>
      </c>
      <c r="N14">
        <v>0.45052900000000001</v>
      </c>
      <c r="O14">
        <v>0.47388799999999998</v>
      </c>
      <c r="P14">
        <v>0.49602499999999999</v>
      </c>
      <c r="Q14">
        <v>0.51796600000000004</v>
      </c>
      <c r="R14">
        <v>0.540045</v>
      </c>
      <c r="S14">
        <v>0.56184699999999999</v>
      </c>
      <c r="T14">
        <v>0.65988899999999995</v>
      </c>
      <c r="U14">
        <v>0.97650199999999998</v>
      </c>
      <c r="V14">
        <v>1.636871</v>
      </c>
      <c r="W14">
        <v>2.6317840000000001</v>
      </c>
      <c r="X14">
        <v>4.0087950000000001</v>
      </c>
      <c r="Y14">
        <v>5.7281060000000004</v>
      </c>
      <c r="Z14">
        <v>7.6052670000000004</v>
      </c>
      <c r="AA14">
        <v>9.642061</v>
      </c>
      <c r="AB14">
        <v>11.816639</v>
      </c>
      <c r="AC14">
        <v>14.05707</v>
      </c>
      <c r="AD14">
        <v>16.278846999999999</v>
      </c>
      <c r="AE14" s="71">
        <v>0.192</v>
      </c>
    </row>
    <row r="15" spans="1:31" x14ac:dyDescent="0.45">
      <c r="A15" t="s">
        <v>151</v>
      </c>
      <c r="B15" t="s">
        <v>932</v>
      </c>
      <c r="C15" t="s">
        <v>931</v>
      </c>
      <c r="D15" t="s">
        <v>208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 t="s">
        <v>109</v>
      </c>
    </row>
    <row r="16" spans="1:31" x14ac:dyDescent="0.45">
      <c r="A16" t="s">
        <v>152</v>
      </c>
      <c r="B16" t="s">
        <v>930</v>
      </c>
      <c r="C16" t="s">
        <v>929</v>
      </c>
      <c r="D16" t="s">
        <v>208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 t="s">
        <v>109</v>
      </c>
    </row>
    <row r="17" spans="1:31" x14ac:dyDescent="0.45">
      <c r="A17" t="s">
        <v>127</v>
      </c>
      <c r="B17" t="s">
        <v>928</v>
      </c>
      <c r="C17" t="s">
        <v>927</v>
      </c>
      <c r="D17" t="s">
        <v>208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 t="s">
        <v>109</v>
      </c>
    </row>
    <row r="18" spans="1:31" x14ac:dyDescent="0.45">
      <c r="A18" t="s">
        <v>150</v>
      </c>
      <c r="B18" t="s">
        <v>926</v>
      </c>
      <c r="C18" t="s">
        <v>925</v>
      </c>
      <c r="D18" t="s">
        <v>208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 t="s">
        <v>109</v>
      </c>
    </row>
    <row r="19" spans="1:31" x14ac:dyDescent="0.45">
      <c r="A19" t="s">
        <v>149</v>
      </c>
      <c r="B19" t="s">
        <v>924</v>
      </c>
      <c r="C19" t="s">
        <v>923</v>
      </c>
      <c r="D19" t="s">
        <v>208</v>
      </c>
      <c r="E19">
        <v>9.7702999999999998E-2</v>
      </c>
      <c r="F19">
        <v>0.26397500000000002</v>
      </c>
      <c r="G19">
        <v>0.48310999999999998</v>
      </c>
      <c r="H19">
        <v>0.75416000000000005</v>
      </c>
      <c r="I19">
        <v>1.1008020000000001</v>
      </c>
      <c r="J19">
        <v>1.58399</v>
      </c>
      <c r="K19">
        <v>2.203856</v>
      </c>
      <c r="L19">
        <v>2.9952920000000001</v>
      </c>
      <c r="M19">
        <v>4.0117510000000003</v>
      </c>
      <c r="N19">
        <v>5.2986370000000003</v>
      </c>
      <c r="O19">
        <v>6.892163</v>
      </c>
      <c r="P19">
        <v>8.8374550000000003</v>
      </c>
      <c r="Q19">
        <v>11.058460999999999</v>
      </c>
      <c r="R19">
        <v>13.483864000000001</v>
      </c>
      <c r="S19">
        <v>16.040925999999999</v>
      </c>
      <c r="T19">
        <v>18.654706999999998</v>
      </c>
      <c r="U19">
        <v>21.234294999999999</v>
      </c>
      <c r="V19">
        <v>23.733827999999999</v>
      </c>
      <c r="W19">
        <v>26.101175000000001</v>
      </c>
      <c r="X19">
        <v>28.37425</v>
      </c>
      <c r="Y19">
        <v>30.614744000000002</v>
      </c>
      <c r="Z19">
        <v>32.802284</v>
      </c>
      <c r="AA19">
        <v>34.960982999999999</v>
      </c>
      <c r="AB19">
        <v>37.017426</v>
      </c>
      <c r="AC19">
        <v>38.974670000000003</v>
      </c>
      <c r="AD19">
        <v>40.763081</v>
      </c>
      <c r="AE19" s="71">
        <v>0.27300000000000002</v>
      </c>
    </row>
    <row r="20" spans="1:31" x14ac:dyDescent="0.45">
      <c r="A20" t="s">
        <v>148</v>
      </c>
      <c r="B20" t="s">
        <v>922</v>
      </c>
      <c r="C20" t="s">
        <v>921</v>
      </c>
      <c r="D20" t="s">
        <v>208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 t="s">
        <v>109</v>
      </c>
    </row>
    <row r="21" spans="1:31" x14ac:dyDescent="0.45">
      <c r="A21" t="s">
        <v>190</v>
      </c>
      <c r="B21" t="s">
        <v>920</v>
      </c>
      <c r="C21" t="s">
        <v>919</v>
      </c>
      <c r="D21" t="s">
        <v>208</v>
      </c>
      <c r="E21">
        <v>88.877380000000002</v>
      </c>
      <c r="F21">
        <v>88.812179999999998</v>
      </c>
      <c r="G21">
        <v>88.695930000000004</v>
      </c>
      <c r="H21">
        <v>88.855186000000003</v>
      </c>
      <c r="I21">
        <v>89.315735000000004</v>
      </c>
      <c r="J21">
        <v>90.392150999999998</v>
      </c>
      <c r="K21">
        <v>91.377357000000003</v>
      </c>
      <c r="L21">
        <v>92.553032000000002</v>
      </c>
      <c r="M21">
        <v>93.673728999999994</v>
      </c>
      <c r="N21">
        <v>95.042548999999994</v>
      </c>
      <c r="O21">
        <v>96.472305000000006</v>
      </c>
      <c r="P21">
        <v>97.930556999999993</v>
      </c>
      <c r="Q21">
        <v>99.550017999999994</v>
      </c>
      <c r="R21">
        <v>101.352165</v>
      </c>
      <c r="S21">
        <v>103.24904600000001</v>
      </c>
      <c r="T21">
        <v>105.302139</v>
      </c>
      <c r="U21">
        <v>107.247711</v>
      </c>
      <c r="V21">
        <v>109.10485799999999</v>
      </c>
      <c r="W21">
        <v>110.73187299999999</v>
      </c>
      <c r="X21">
        <v>112.311317</v>
      </c>
      <c r="Y21">
        <v>114.064941</v>
      </c>
      <c r="Z21">
        <v>115.957893</v>
      </c>
      <c r="AA21">
        <v>118.05729700000001</v>
      </c>
      <c r="AB21">
        <v>120.082573</v>
      </c>
      <c r="AC21">
        <v>122.204697</v>
      </c>
      <c r="AD21">
        <v>124.19182600000001</v>
      </c>
      <c r="AE21" s="71">
        <v>1.2999999999999999E-2</v>
      </c>
    </row>
    <row r="22" spans="1:31" x14ac:dyDescent="0.45">
      <c r="A22" t="s">
        <v>189</v>
      </c>
    </row>
    <row r="23" spans="1:31" x14ac:dyDescent="0.45">
      <c r="A23" t="s">
        <v>156</v>
      </c>
      <c r="B23" t="s">
        <v>918</v>
      </c>
      <c r="C23" t="s">
        <v>917</v>
      </c>
      <c r="D23" t="s">
        <v>208</v>
      </c>
      <c r="E23">
        <v>35.473877000000002</v>
      </c>
      <c r="F23">
        <v>34.636177000000004</v>
      </c>
      <c r="G23">
        <v>33.951636999999998</v>
      </c>
      <c r="H23">
        <v>33.342804000000001</v>
      </c>
      <c r="I23">
        <v>32.749153</v>
      </c>
      <c r="J23">
        <v>32.298198999999997</v>
      </c>
      <c r="K23">
        <v>31.770659999999999</v>
      </c>
      <c r="L23">
        <v>31.311335</v>
      </c>
      <c r="M23">
        <v>30.799313999999999</v>
      </c>
      <c r="N23">
        <v>30.333715000000002</v>
      </c>
      <c r="O23">
        <v>29.880741</v>
      </c>
      <c r="P23">
        <v>29.443608999999999</v>
      </c>
      <c r="Q23">
        <v>29.022797000000001</v>
      </c>
      <c r="R23">
        <v>28.609694000000001</v>
      </c>
      <c r="S23">
        <v>28.222280999999999</v>
      </c>
      <c r="T23">
        <v>27.871524999999998</v>
      </c>
      <c r="U23">
        <v>27.527695000000001</v>
      </c>
      <c r="V23">
        <v>27.212862000000001</v>
      </c>
      <c r="W23">
        <v>26.924488</v>
      </c>
      <c r="X23">
        <v>26.683699000000001</v>
      </c>
      <c r="Y23">
        <v>26.514278000000001</v>
      </c>
      <c r="Z23">
        <v>26.380215</v>
      </c>
      <c r="AA23">
        <v>26.283073000000002</v>
      </c>
      <c r="AB23">
        <v>26.171040000000001</v>
      </c>
      <c r="AC23">
        <v>26.082260000000002</v>
      </c>
      <c r="AD23">
        <v>25.990124000000002</v>
      </c>
      <c r="AE23" s="71">
        <v>-1.2E-2</v>
      </c>
    </row>
    <row r="24" spans="1:31" x14ac:dyDescent="0.45">
      <c r="A24" t="s">
        <v>157</v>
      </c>
      <c r="B24" t="s">
        <v>916</v>
      </c>
      <c r="C24" t="s">
        <v>915</v>
      </c>
      <c r="D24" t="s">
        <v>208</v>
      </c>
      <c r="E24">
        <v>22.472100999999999</v>
      </c>
      <c r="F24">
        <v>22.273154999999999</v>
      </c>
      <c r="G24">
        <v>22.199646000000001</v>
      </c>
      <c r="H24">
        <v>22.199470999999999</v>
      </c>
      <c r="I24">
        <v>22.203886000000001</v>
      </c>
      <c r="J24">
        <v>22.291554999999999</v>
      </c>
      <c r="K24">
        <v>22.325485</v>
      </c>
      <c r="L24">
        <v>22.409365000000001</v>
      </c>
      <c r="M24">
        <v>22.439425</v>
      </c>
      <c r="N24">
        <v>22.504622000000001</v>
      </c>
      <c r="O24">
        <v>22.556878999999999</v>
      </c>
      <c r="P24">
        <v>22.584263</v>
      </c>
      <c r="Q24">
        <v>22.614751999999999</v>
      </c>
      <c r="R24">
        <v>22.633869000000001</v>
      </c>
      <c r="S24">
        <v>22.657530000000001</v>
      </c>
      <c r="T24">
        <v>22.692263000000001</v>
      </c>
      <c r="U24">
        <v>22.726047999999999</v>
      </c>
      <c r="V24">
        <v>22.763574999999999</v>
      </c>
      <c r="W24">
        <v>22.784922000000002</v>
      </c>
      <c r="X24">
        <v>22.818722000000001</v>
      </c>
      <c r="Y24">
        <v>22.893072</v>
      </c>
      <c r="Z24">
        <v>22.978221999999999</v>
      </c>
      <c r="AA24">
        <v>23.073374000000001</v>
      </c>
      <c r="AB24">
        <v>23.140879000000002</v>
      </c>
      <c r="AC24">
        <v>23.219425000000001</v>
      </c>
      <c r="AD24">
        <v>23.281679</v>
      </c>
      <c r="AE24" s="71">
        <v>1E-3</v>
      </c>
    </row>
    <row r="25" spans="1:31" x14ac:dyDescent="0.45">
      <c r="A25" t="s">
        <v>155</v>
      </c>
      <c r="B25" t="s">
        <v>914</v>
      </c>
      <c r="C25" t="s">
        <v>913</v>
      </c>
      <c r="D25" t="s">
        <v>208</v>
      </c>
      <c r="E25">
        <v>2.1876E-2</v>
      </c>
      <c r="F25">
        <v>1.9477000000000001E-2</v>
      </c>
      <c r="G25">
        <v>1.7259E-2</v>
      </c>
      <c r="H25">
        <v>1.5325E-2</v>
      </c>
      <c r="I25">
        <v>1.2689000000000001E-2</v>
      </c>
      <c r="J25">
        <v>1.1285E-2</v>
      </c>
      <c r="K25">
        <v>9.9690000000000004E-3</v>
      </c>
      <c r="L25">
        <v>8.8690000000000001E-3</v>
      </c>
      <c r="M25">
        <v>7.9019999999999993E-3</v>
      </c>
      <c r="N25">
        <v>6.9049999999999997E-3</v>
      </c>
      <c r="O25">
        <v>6.1570000000000001E-3</v>
      </c>
      <c r="P25">
        <v>5.5669999999999999E-3</v>
      </c>
      <c r="Q25">
        <v>5.097E-3</v>
      </c>
      <c r="R25">
        <v>4.6909999999999999E-3</v>
      </c>
      <c r="S25">
        <v>4.3449999999999999E-3</v>
      </c>
      <c r="T25">
        <v>4.065E-3</v>
      </c>
      <c r="U25">
        <v>3.8070000000000001E-3</v>
      </c>
      <c r="V25">
        <v>3.581E-3</v>
      </c>
      <c r="W25">
        <v>3.3760000000000001E-3</v>
      </c>
      <c r="X25">
        <v>3.1779999999999998E-3</v>
      </c>
      <c r="Y25">
        <v>3.0569999999999998E-3</v>
      </c>
      <c r="Z25">
        <v>2.9190000000000002E-3</v>
      </c>
      <c r="AA25">
        <v>2.794E-3</v>
      </c>
      <c r="AB25">
        <v>2.4719999999999998E-3</v>
      </c>
      <c r="AC25">
        <v>1.9599999999999999E-3</v>
      </c>
      <c r="AD25">
        <v>1.5579999999999999E-3</v>
      </c>
      <c r="AE25" s="71">
        <v>-0.1</v>
      </c>
    </row>
    <row r="26" spans="1:31" x14ac:dyDescent="0.45">
      <c r="A26" t="s">
        <v>154</v>
      </c>
      <c r="B26" t="s">
        <v>912</v>
      </c>
      <c r="C26" t="s">
        <v>911</v>
      </c>
      <c r="D26" t="s">
        <v>208</v>
      </c>
      <c r="E26">
        <v>0.198516</v>
      </c>
      <c r="F26">
        <v>0.227574</v>
      </c>
      <c r="G26">
        <v>0.25463400000000003</v>
      </c>
      <c r="H26">
        <v>0.27815600000000001</v>
      </c>
      <c r="I26">
        <v>0.29812</v>
      </c>
      <c r="J26">
        <v>0.317631</v>
      </c>
      <c r="K26">
        <v>0.33446799999999999</v>
      </c>
      <c r="L26">
        <v>0.35050100000000001</v>
      </c>
      <c r="M26">
        <v>0.36430600000000002</v>
      </c>
      <c r="N26">
        <v>0.37732300000000002</v>
      </c>
      <c r="O26">
        <v>0.38946399999999998</v>
      </c>
      <c r="P26">
        <v>0.40045599999999998</v>
      </c>
      <c r="Q26">
        <v>0.41007700000000002</v>
      </c>
      <c r="R26">
        <v>0.418767</v>
      </c>
      <c r="S26">
        <v>0.42690800000000001</v>
      </c>
      <c r="T26">
        <v>0.43569200000000002</v>
      </c>
      <c r="U26">
        <v>0.44372400000000001</v>
      </c>
      <c r="V26">
        <v>0.45105200000000001</v>
      </c>
      <c r="W26">
        <v>0.45788400000000001</v>
      </c>
      <c r="X26">
        <v>0.46533799999999997</v>
      </c>
      <c r="Y26">
        <v>0.47402899999999998</v>
      </c>
      <c r="Z26">
        <v>0.48351699999999997</v>
      </c>
      <c r="AA26">
        <v>0.493363</v>
      </c>
      <c r="AB26">
        <v>0.50212400000000001</v>
      </c>
      <c r="AC26">
        <v>0.51022999999999996</v>
      </c>
      <c r="AD26">
        <v>0.51827199999999995</v>
      </c>
      <c r="AE26" s="71">
        <v>3.9E-2</v>
      </c>
    </row>
    <row r="27" spans="1:31" x14ac:dyDescent="0.45">
      <c r="A27" t="s">
        <v>153</v>
      </c>
      <c r="B27" t="s">
        <v>910</v>
      </c>
      <c r="C27" t="s">
        <v>909</v>
      </c>
      <c r="D27" t="s">
        <v>208</v>
      </c>
      <c r="E27">
        <v>0.47174700000000003</v>
      </c>
      <c r="F27">
        <v>0.42419499999999999</v>
      </c>
      <c r="G27">
        <v>0.37902999999999998</v>
      </c>
      <c r="H27">
        <v>0.338592</v>
      </c>
      <c r="I27">
        <v>0.30352600000000002</v>
      </c>
      <c r="J27">
        <v>0.27228999999999998</v>
      </c>
      <c r="K27">
        <v>0.24334900000000001</v>
      </c>
      <c r="L27">
        <v>0.218305</v>
      </c>
      <c r="M27">
        <v>0.194632</v>
      </c>
      <c r="N27">
        <v>0.17452799999999999</v>
      </c>
      <c r="O27">
        <v>0.15762399999999999</v>
      </c>
      <c r="P27">
        <v>0.143036</v>
      </c>
      <c r="Q27">
        <v>0.13103000000000001</v>
      </c>
      <c r="R27">
        <v>0.12087100000000001</v>
      </c>
      <c r="S27">
        <v>0.112196</v>
      </c>
      <c r="T27">
        <v>0.10491200000000001</v>
      </c>
      <c r="U27">
        <v>9.8112000000000005E-2</v>
      </c>
      <c r="V27">
        <v>9.1596999999999998E-2</v>
      </c>
      <c r="W27">
        <v>8.5259000000000001E-2</v>
      </c>
      <c r="X27">
        <v>7.9066999999999998E-2</v>
      </c>
      <c r="Y27">
        <v>7.2945999999999997E-2</v>
      </c>
      <c r="Z27">
        <v>6.6669999999999993E-2</v>
      </c>
      <c r="AA27">
        <v>5.9991999999999997E-2</v>
      </c>
      <c r="AB27">
        <v>5.3041999999999999E-2</v>
      </c>
      <c r="AC27">
        <v>4.6259000000000002E-2</v>
      </c>
      <c r="AD27">
        <v>3.9100999999999997E-2</v>
      </c>
      <c r="AE27" s="71">
        <v>-9.5000000000000001E-2</v>
      </c>
    </row>
    <row r="28" spans="1:31" x14ac:dyDescent="0.45">
      <c r="A28" t="s">
        <v>126</v>
      </c>
      <c r="B28" t="s">
        <v>908</v>
      </c>
      <c r="C28" t="s">
        <v>907</v>
      </c>
      <c r="D28" t="s">
        <v>208</v>
      </c>
      <c r="E28">
        <v>3.286E-2</v>
      </c>
      <c r="F28">
        <v>3.8334E-2</v>
      </c>
      <c r="G28">
        <v>4.3722999999999998E-2</v>
      </c>
      <c r="H28">
        <v>4.8564999999999997E-2</v>
      </c>
      <c r="I28">
        <v>5.2797999999999998E-2</v>
      </c>
      <c r="J28">
        <v>5.6869000000000003E-2</v>
      </c>
      <c r="K28">
        <v>6.0378000000000001E-2</v>
      </c>
      <c r="L28">
        <v>6.3791E-2</v>
      </c>
      <c r="M28">
        <v>6.6864000000000007E-2</v>
      </c>
      <c r="N28">
        <v>6.9821999999999995E-2</v>
      </c>
      <c r="O28">
        <v>7.2529999999999997E-2</v>
      </c>
      <c r="P28">
        <v>7.4931999999999999E-2</v>
      </c>
      <c r="Q28">
        <v>7.7126E-2</v>
      </c>
      <c r="R28">
        <v>7.9027E-2</v>
      </c>
      <c r="S28">
        <v>8.0831E-2</v>
      </c>
      <c r="T28">
        <v>8.2580000000000001E-2</v>
      </c>
      <c r="U28">
        <v>8.4229999999999999E-2</v>
      </c>
      <c r="V28">
        <v>8.5760000000000003E-2</v>
      </c>
      <c r="W28">
        <v>8.7097999999999995E-2</v>
      </c>
      <c r="X28">
        <v>8.8384000000000004E-2</v>
      </c>
      <c r="Y28">
        <v>8.9767E-2</v>
      </c>
      <c r="Z28">
        <v>9.1136999999999996E-2</v>
      </c>
      <c r="AA28">
        <v>9.2493000000000006E-2</v>
      </c>
      <c r="AB28">
        <v>9.3718999999999997E-2</v>
      </c>
      <c r="AC28">
        <v>9.4978999999999994E-2</v>
      </c>
      <c r="AD28">
        <v>9.6184000000000006E-2</v>
      </c>
      <c r="AE28" s="71">
        <v>4.3999999999999997E-2</v>
      </c>
    </row>
    <row r="29" spans="1:31" x14ac:dyDescent="0.45">
      <c r="A29" t="s">
        <v>151</v>
      </c>
      <c r="B29" t="s">
        <v>906</v>
      </c>
      <c r="C29" t="s">
        <v>905</v>
      </c>
      <c r="D29" t="s">
        <v>208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 t="s">
        <v>109</v>
      </c>
    </row>
    <row r="30" spans="1:31" x14ac:dyDescent="0.45">
      <c r="A30" t="s">
        <v>152</v>
      </c>
      <c r="B30" t="s">
        <v>904</v>
      </c>
      <c r="C30" t="s">
        <v>903</v>
      </c>
      <c r="D30" t="s">
        <v>208</v>
      </c>
      <c r="E30">
        <v>7.038E-3</v>
      </c>
      <c r="F30">
        <v>6.4260000000000003E-3</v>
      </c>
      <c r="G30">
        <v>5.8599999999999998E-3</v>
      </c>
      <c r="H30">
        <v>5.3169999999999997E-3</v>
      </c>
      <c r="I30">
        <v>4.8580000000000003E-3</v>
      </c>
      <c r="J30">
        <v>4.444E-3</v>
      </c>
      <c r="K30">
        <v>4.071E-3</v>
      </c>
      <c r="L30">
        <v>3.7720000000000002E-3</v>
      </c>
      <c r="M30">
        <v>3.4489999999999998E-3</v>
      </c>
      <c r="N30">
        <v>3.1610000000000002E-3</v>
      </c>
      <c r="O30">
        <v>2.8479999999999998E-3</v>
      </c>
      <c r="P30">
        <v>2.6020000000000001E-3</v>
      </c>
      <c r="Q30">
        <v>2.382E-3</v>
      </c>
      <c r="R30">
        <v>2.1840000000000002E-3</v>
      </c>
      <c r="S30">
        <v>2.0119999999999999E-3</v>
      </c>
      <c r="T30">
        <v>1.8450000000000001E-3</v>
      </c>
      <c r="U30">
        <v>1.676E-3</v>
      </c>
      <c r="V30">
        <v>1.5319999999999999E-3</v>
      </c>
      <c r="W30">
        <v>1.382E-3</v>
      </c>
      <c r="X30">
        <v>1.2409999999999999E-3</v>
      </c>
      <c r="Y30">
        <v>1.165E-3</v>
      </c>
      <c r="Z30">
        <v>1.0790000000000001E-3</v>
      </c>
      <c r="AA30">
        <v>1.0059999999999999E-3</v>
      </c>
      <c r="AB30">
        <v>9.3499999999999996E-4</v>
      </c>
      <c r="AC30">
        <v>8.6499999999999999E-4</v>
      </c>
      <c r="AD30">
        <v>8.0099999999999995E-4</v>
      </c>
      <c r="AE30" s="71">
        <v>-8.3000000000000004E-2</v>
      </c>
    </row>
    <row r="31" spans="1:31" x14ac:dyDescent="0.45">
      <c r="A31" t="s">
        <v>127</v>
      </c>
      <c r="B31" t="s">
        <v>902</v>
      </c>
      <c r="C31" t="s">
        <v>901</v>
      </c>
      <c r="D31" t="s">
        <v>208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 t="s">
        <v>109</v>
      </c>
    </row>
    <row r="32" spans="1:31" x14ac:dyDescent="0.45">
      <c r="A32" t="s">
        <v>150</v>
      </c>
      <c r="B32" t="s">
        <v>900</v>
      </c>
      <c r="C32" t="s">
        <v>899</v>
      </c>
      <c r="D32" t="s">
        <v>208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 t="s">
        <v>109</v>
      </c>
    </row>
    <row r="33" spans="1:31" x14ac:dyDescent="0.45">
      <c r="A33" t="s">
        <v>149</v>
      </c>
      <c r="B33" t="s">
        <v>898</v>
      </c>
      <c r="C33" t="s">
        <v>897</v>
      </c>
      <c r="D33" t="s">
        <v>208</v>
      </c>
      <c r="E33">
        <v>4.6002000000000001E-2</v>
      </c>
      <c r="F33">
        <v>0.107735</v>
      </c>
      <c r="G33">
        <v>0.18451600000000001</v>
      </c>
      <c r="H33">
        <v>0.27027800000000002</v>
      </c>
      <c r="I33">
        <v>0.36375800000000003</v>
      </c>
      <c r="J33">
        <v>0.475325</v>
      </c>
      <c r="K33">
        <v>0.61287899999999995</v>
      </c>
      <c r="L33">
        <v>0.79170300000000005</v>
      </c>
      <c r="M33">
        <v>1.023004</v>
      </c>
      <c r="N33">
        <v>1.3176159999999999</v>
      </c>
      <c r="O33">
        <v>1.6784289999999999</v>
      </c>
      <c r="P33">
        <v>2.094684</v>
      </c>
      <c r="Q33">
        <v>2.5524879999999999</v>
      </c>
      <c r="R33">
        <v>3.0349550000000001</v>
      </c>
      <c r="S33">
        <v>3.528108</v>
      </c>
      <c r="T33">
        <v>4.0255799999999997</v>
      </c>
      <c r="U33">
        <v>4.513166</v>
      </c>
      <c r="V33">
        <v>4.9802679999999997</v>
      </c>
      <c r="W33">
        <v>5.4193300000000004</v>
      </c>
      <c r="X33">
        <v>5.8347619999999996</v>
      </c>
      <c r="Y33">
        <v>6.2338940000000003</v>
      </c>
      <c r="Z33">
        <v>6.6080959999999997</v>
      </c>
      <c r="AA33">
        <v>6.9560550000000001</v>
      </c>
      <c r="AB33">
        <v>7.2674459999999996</v>
      </c>
      <c r="AC33">
        <v>7.5584730000000002</v>
      </c>
      <c r="AD33">
        <v>7.8266819999999999</v>
      </c>
      <c r="AE33" s="71">
        <v>0.22800000000000001</v>
      </c>
    </row>
    <row r="34" spans="1:31" x14ac:dyDescent="0.45">
      <c r="A34" t="s">
        <v>148</v>
      </c>
      <c r="B34" t="s">
        <v>896</v>
      </c>
      <c r="C34" t="s">
        <v>895</v>
      </c>
      <c r="D34" t="s">
        <v>208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 t="s">
        <v>109</v>
      </c>
    </row>
    <row r="35" spans="1:31" x14ac:dyDescent="0.45">
      <c r="A35" t="s">
        <v>188</v>
      </c>
      <c r="B35" t="s">
        <v>894</v>
      </c>
      <c r="C35" t="s">
        <v>893</v>
      </c>
      <c r="D35" t="s">
        <v>208</v>
      </c>
      <c r="E35">
        <v>58.723937999999997</v>
      </c>
      <c r="F35">
        <v>57.732970999999999</v>
      </c>
      <c r="G35">
        <v>57.036320000000003</v>
      </c>
      <c r="H35">
        <v>56.498382999999997</v>
      </c>
      <c r="I35">
        <v>55.988700999999999</v>
      </c>
      <c r="J35">
        <v>55.72757</v>
      </c>
      <c r="K35">
        <v>55.361136999999999</v>
      </c>
      <c r="L35">
        <v>55.157550999999998</v>
      </c>
      <c r="M35">
        <v>54.898758000000001</v>
      </c>
      <c r="N35">
        <v>54.787543999999997</v>
      </c>
      <c r="O35">
        <v>54.744613999999999</v>
      </c>
      <c r="P35">
        <v>54.748992999999999</v>
      </c>
      <c r="Q35">
        <v>54.815586000000003</v>
      </c>
      <c r="R35">
        <v>54.903838999999998</v>
      </c>
      <c r="S35">
        <v>55.034004000000003</v>
      </c>
      <c r="T35">
        <v>55.218201000000001</v>
      </c>
      <c r="U35">
        <v>55.398125</v>
      </c>
      <c r="V35">
        <v>55.589947000000002</v>
      </c>
      <c r="W35">
        <v>55.763373999999999</v>
      </c>
      <c r="X35">
        <v>55.974079000000003</v>
      </c>
      <c r="Y35">
        <v>56.281857000000002</v>
      </c>
      <c r="Z35">
        <v>56.611491999999998</v>
      </c>
      <c r="AA35">
        <v>56.961727000000003</v>
      </c>
      <c r="AB35">
        <v>57.231262000000001</v>
      </c>
      <c r="AC35">
        <v>57.514015000000001</v>
      </c>
      <c r="AD35">
        <v>57.753993999999999</v>
      </c>
      <c r="AE35" s="71">
        <v>-1E-3</v>
      </c>
    </row>
    <row r="36" spans="1:31" x14ac:dyDescent="0.45">
      <c r="A36" t="s">
        <v>187</v>
      </c>
    </row>
    <row r="37" spans="1:31" x14ac:dyDescent="0.45">
      <c r="A37" t="s">
        <v>156</v>
      </c>
      <c r="B37" t="s">
        <v>892</v>
      </c>
      <c r="C37" t="s">
        <v>891</v>
      </c>
      <c r="D37" t="s">
        <v>208</v>
      </c>
      <c r="E37">
        <v>187.04557800000001</v>
      </c>
      <c r="F37">
        <v>189.13751199999999</v>
      </c>
      <c r="G37">
        <v>192.07028199999999</v>
      </c>
      <c r="H37">
        <v>194.86042800000001</v>
      </c>
      <c r="I37">
        <v>197.172211</v>
      </c>
      <c r="J37">
        <v>199.93974299999999</v>
      </c>
      <c r="K37">
        <v>201.88610800000001</v>
      </c>
      <c r="L37">
        <v>204.01026899999999</v>
      </c>
      <c r="M37">
        <v>205.725403</v>
      </c>
      <c r="N37">
        <v>207.68255600000001</v>
      </c>
      <c r="O37">
        <v>209.619247</v>
      </c>
      <c r="P37">
        <v>211.40707399999999</v>
      </c>
      <c r="Q37">
        <v>213.059158</v>
      </c>
      <c r="R37">
        <v>214.51824999999999</v>
      </c>
      <c r="S37">
        <v>215.864182</v>
      </c>
      <c r="T37">
        <v>217.23760999999999</v>
      </c>
      <c r="U37">
        <v>218.55920399999999</v>
      </c>
      <c r="V37">
        <v>219.76907299999999</v>
      </c>
      <c r="W37">
        <v>220.76521299999999</v>
      </c>
      <c r="X37">
        <v>221.80159</v>
      </c>
      <c r="Y37">
        <v>223.12463399999999</v>
      </c>
      <c r="Z37">
        <v>224.456131</v>
      </c>
      <c r="AA37">
        <v>225.67697100000001</v>
      </c>
      <c r="AB37">
        <v>226.43829299999999</v>
      </c>
      <c r="AC37">
        <v>227.10455300000001</v>
      </c>
      <c r="AD37">
        <v>227.55908199999999</v>
      </c>
      <c r="AE37" s="71">
        <v>8.0000000000000002E-3</v>
      </c>
    </row>
    <row r="38" spans="1:31" x14ac:dyDescent="0.45">
      <c r="A38" t="s">
        <v>157</v>
      </c>
      <c r="B38" t="s">
        <v>890</v>
      </c>
      <c r="C38" t="s">
        <v>889</v>
      </c>
      <c r="D38" t="s">
        <v>208</v>
      </c>
      <c r="E38">
        <v>0.165662</v>
      </c>
      <c r="F38">
        <v>0.14393700000000001</v>
      </c>
      <c r="G38">
        <v>0.12726799999999999</v>
      </c>
      <c r="H38">
        <v>0.11486399999999999</v>
      </c>
      <c r="I38">
        <v>0.105215</v>
      </c>
      <c r="J38">
        <v>9.8040000000000002E-2</v>
      </c>
      <c r="K38">
        <v>9.2852000000000004E-2</v>
      </c>
      <c r="L38">
        <v>8.8692999999999994E-2</v>
      </c>
      <c r="M38">
        <v>8.4903000000000006E-2</v>
      </c>
      <c r="N38">
        <v>8.2496E-2</v>
      </c>
      <c r="O38">
        <v>8.0517000000000005E-2</v>
      </c>
      <c r="P38">
        <v>7.9051999999999997E-2</v>
      </c>
      <c r="Q38">
        <v>7.7437000000000006E-2</v>
      </c>
      <c r="R38">
        <v>7.5494000000000006E-2</v>
      </c>
      <c r="S38">
        <v>7.2832999999999995E-2</v>
      </c>
      <c r="T38">
        <v>7.1006E-2</v>
      </c>
      <c r="U38">
        <v>6.9542000000000007E-2</v>
      </c>
      <c r="V38">
        <v>6.8474999999999994E-2</v>
      </c>
      <c r="W38">
        <v>6.7472000000000004E-2</v>
      </c>
      <c r="X38">
        <v>6.6792000000000004E-2</v>
      </c>
      <c r="Y38">
        <v>6.6505999999999996E-2</v>
      </c>
      <c r="Z38">
        <v>6.6525000000000001E-2</v>
      </c>
      <c r="AA38">
        <v>6.6572000000000006E-2</v>
      </c>
      <c r="AB38">
        <v>6.6626000000000005E-2</v>
      </c>
      <c r="AC38">
        <v>6.6720000000000002E-2</v>
      </c>
      <c r="AD38">
        <v>6.6768999999999995E-2</v>
      </c>
      <c r="AE38" s="71">
        <v>-3.5999999999999997E-2</v>
      </c>
    </row>
    <row r="39" spans="1:31" x14ac:dyDescent="0.45">
      <c r="A39" t="s">
        <v>155</v>
      </c>
      <c r="B39" t="s">
        <v>888</v>
      </c>
      <c r="C39" t="s">
        <v>887</v>
      </c>
      <c r="D39" t="s">
        <v>208</v>
      </c>
      <c r="E39">
        <v>3.0492999999999999E-2</v>
      </c>
      <c r="F39">
        <v>2.8195999999999999E-2</v>
      </c>
      <c r="G39">
        <v>2.6203000000000001E-2</v>
      </c>
      <c r="H39">
        <v>2.4306999999999999E-2</v>
      </c>
      <c r="I39">
        <v>2.2731000000000001E-2</v>
      </c>
      <c r="J39">
        <v>2.1214E-2</v>
      </c>
      <c r="K39">
        <v>1.9474000000000002E-2</v>
      </c>
      <c r="L39">
        <v>1.7863E-2</v>
      </c>
      <c r="M39">
        <v>1.6195999999999999E-2</v>
      </c>
      <c r="N39">
        <v>1.4772E-2</v>
      </c>
      <c r="O39">
        <v>1.3275E-2</v>
      </c>
      <c r="P39">
        <v>1.183E-2</v>
      </c>
      <c r="Q39">
        <v>1.0407E-2</v>
      </c>
      <c r="R39">
        <v>9.2250000000000006E-3</v>
      </c>
      <c r="S39">
        <v>8.2609999999999992E-3</v>
      </c>
      <c r="T39">
        <v>7.476E-3</v>
      </c>
      <c r="U39">
        <v>6.7320000000000001E-3</v>
      </c>
      <c r="V39">
        <v>6.0590000000000001E-3</v>
      </c>
      <c r="W39">
        <v>5.4349999999999997E-3</v>
      </c>
      <c r="X39">
        <v>4.9090000000000002E-3</v>
      </c>
      <c r="Y39">
        <v>4.4710000000000001E-3</v>
      </c>
      <c r="Z39">
        <v>4.1180000000000001E-3</v>
      </c>
      <c r="AA39">
        <v>3.8070000000000001E-3</v>
      </c>
      <c r="AB39">
        <v>3.4589999999999998E-3</v>
      </c>
      <c r="AC39">
        <v>3.019E-3</v>
      </c>
      <c r="AD39">
        <v>2.6389999999999999E-3</v>
      </c>
      <c r="AE39" s="71">
        <v>-9.2999999999999999E-2</v>
      </c>
    </row>
    <row r="40" spans="1:31" x14ac:dyDescent="0.45">
      <c r="A40" t="s">
        <v>154</v>
      </c>
      <c r="B40" t="s">
        <v>886</v>
      </c>
      <c r="C40" t="s">
        <v>885</v>
      </c>
      <c r="D40" t="s">
        <v>208</v>
      </c>
      <c r="E40">
        <v>2.1113170000000001</v>
      </c>
      <c r="F40">
        <v>2.2287050000000002</v>
      </c>
      <c r="G40">
        <v>2.310136</v>
      </c>
      <c r="H40">
        <v>2.3770319999999998</v>
      </c>
      <c r="I40">
        <v>2.4364699999999999</v>
      </c>
      <c r="J40">
        <v>2.4983179999999998</v>
      </c>
      <c r="K40">
        <v>2.552162</v>
      </c>
      <c r="L40">
        <v>2.6123880000000002</v>
      </c>
      <c r="M40">
        <v>2.672212</v>
      </c>
      <c r="N40">
        <v>2.739973</v>
      </c>
      <c r="O40">
        <v>2.811877</v>
      </c>
      <c r="P40">
        <v>2.8864510000000001</v>
      </c>
      <c r="Q40">
        <v>2.970621</v>
      </c>
      <c r="R40">
        <v>3.0586380000000002</v>
      </c>
      <c r="S40">
        <v>3.1548850000000002</v>
      </c>
      <c r="T40">
        <v>3.263404</v>
      </c>
      <c r="U40">
        <v>3.3801160000000001</v>
      </c>
      <c r="V40">
        <v>3.5095200000000002</v>
      </c>
      <c r="W40">
        <v>3.6568209999999999</v>
      </c>
      <c r="X40">
        <v>3.829383</v>
      </c>
      <c r="Y40">
        <v>4.0910019999999996</v>
      </c>
      <c r="Z40">
        <v>4.3912399999999998</v>
      </c>
      <c r="AA40">
        <v>4.7886290000000002</v>
      </c>
      <c r="AB40">
        <v>5.2261090000000001</v>
      </c>
      <c r="AC40">
        <v>5.7467110000000003</v>
      </c>
      <c r="AD40">
        <v>6.3684960000000004</v>
      </c>
      <c r="AE40" s="71">
        <v>4.4999999999999998E-2</v>
      </c>
    </row>
    <row r="41" spans="1:31" x14ac:dyDescent="0.45">
      <c r="A41" t="s">
        <v>153</v>
      </c>
      <c r="B41" t="s">
        <v>884</v>
      </c>
      <c r="C41" t="s">
        <v>883</v>
      </c>
      <c r="D41" t="s">
        <v>208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 t="s">
        <v>109</v>
      </c>
    </row>
    <row r="42" spans="1:31" x14ac:dyDescent="0.45">
      <c r="A42" t="s">
        <v>126</v>
      </c>
      <c r="B42" t="s">
        <v>882</v>
      </c>
      <c r="C42" t="s">
        <v>881</v>
      </c>
      <c r="D42" t="s">
        <v>208</v>
      </c>
      <c r="E42">
        <v>0.24456700000000001</v>
      </c>
      <c r="F42">
        <v>0.303315</v>
      </c>
      <c r="G42">
        <v>0.36079699999999998</v>
      </c>
      <c r="H42">
        <v>0.41278900000000002</v>
      </c>
      <c r="I42">
        <v>0.45846500000000001</v>
      </c>
      <c r="J42">
        <v>0.50061299999999997</v>
      </c>
      <c r="K42">
        <v>0.53689299999999995</v>
      </c>
      <c r="L42">
        <v>0.56998000000000004</v>
      </c>
      <c r="M42">
        <v>0.59877599999999997</v>
      </c>
      <c r="N42">
        <v>0.62518700000000005</v>
      </c>
      <c r="O42">
        <v>0.64861999999999997</v>
      </c>
      <c r="P42">
        <v>0.669041</v>
      </c>
      <c r="Q42">
        <v>0.68672999999999995</v>
      </c>
      <c r="R42">
        <v>0.70204500000000003</v>
      </c>
      <c r="S42">
        <v>0.71543699999999999</v>
      </c>
      <c r="T42">
        <v>0.72790500000000002</v>
      </c>
      <c r="U42">
        <v>0.73904300000000001</v>
      </c>
      <c r="V42">
        <v>0.748973</v>
      </c>
      <c r="W42">
        <v>0.75750499999999998</v>
      </c>
      <c r="X42">
        <v>0.76573599999999997</v>
      </c>
      <c r="Y42">
        <v>0.77509899999999998</v>
      </c>
      <c r="Z42">
        <v>0.78465399999999996</v>
      </c>
      <c r="AA42">
        <v>0.79425800000000002</v>
      </c>
      <c r="AB42">
        <v>0.80264000000000002</v>
      </c>
      <c r="AC42">
        <v>0.81125700000000001</v>
      </c>
      <c r="AD42">
        <v>0.81939799999999996</v>
      </c>
      <c r="AE42" s="71">
        <v>0.05</v>
      </c>
    </row>
    <row r="43" spans="1:31" x14ac:dyDescent="0.45">
      <c r="A43" t="s">
        <v>151</v>
      </c>
      <c r="B43" t="s">
        <v>880</v>
      </c>
      <c r="C43" t="s">
        <v>879</v>
      </c>
      <c r="D43" t="s">
        <v>208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 t="s">
        <v>109</v>
      </c>
    </row>
    <row r="44" spans="1:31" x14ac:dyDescent="0.45">
      <c r="A44" t="s">
        <v>152</v>
      </c>
      <c r="B44" t="s">
        <v>878</v>
      </c>
      <c r="C44" t="s">
        <v>877</v>
      </c>
      <c r="D44" t="s">
        <v>208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 t="s">
        <v>109</v>
      </c>
    </row>
    <row r="45" spans="1:31" x14ac:dyDescent="0.45">
      <c r="A45" t="s">
        <v>127</v>
      </c>
      <c r="B45" t="s">
        <v>876</v>
      </c>
      <c r="C45" t="s">
        <v>875</v>
      </c>
      <c r="D45" t="s">
        <v>208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 t="s">
        <v>109</v>
      </c>
    </row>
    <row r="46" spans="1:31" x14ac:dyDescent="0.45">
      <c r="A46" t="s">
        <v>150</v>
      </c>
      <c r="B46" t="s">
        <v>874</v>
      </c>
      <c r="C46" t="s">
        <v>873</v>
      </c>
      <c r="D46" t="s">
        <v>208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 t="s">
        <v>109</v>
      </c>
    </row>
    <row r="47" spans="1:31" x14ac:dyDescent="0.45">
      <c r="A47" t="s">
        <v>149</v>
      </c>
      <c r="B47" t="s">
        <v>872</v>
      </c>
      <c r="C47" t="s">
        <v>871</v>
      </c>
      <c r="D47" t="s">
        <v>208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 t="s">
        <v>109</v>
      </c>
    </row>
    <row r="48" spans="1:31" x14ac:dyDescent="0.45">
      <c r="A48" t="s">
        <v>148</v>
      </c>
      <c r="B48" t="s">
        <v>870</v>
      </c>
      <c r="C48" t="s">
        <v>869</v>
      </c>
      <c r="D48" t="s">
        <v>208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 t="s">
        <v>109</v>
      </c>
    </row>
    <row r="49" spans="1:31" x14ac:dyDescent="0.45">
      <c r="A49" t="s">
        <v>186</v>
      </c>
      <c r="B49" t="s">
        <v>868</v>
      </c>
      <c r="C49" t="s">
        <v>867</v>
      </c>
      <c r="D49" t="s">
        <v>208</v>
      </c>
      <c r="E49">
        <v>189.59768700000001</v>
      </c>
      <c r="F49">
        <v>191.84149199999999</v>
      </c>
      <c r="G49">
        <v>194.89471399999999</v>
      </c>
      <c r="H49">
        <v>197.78938299999999</v>
      </c>
      <c r="I49">
        <v>200.19477800000001</v>
      </c>
      <c r="J49">
        <v>203.05796799999999</v>
      </c>
      <c r="K49">
        <v>205.08691400000001</v>
      </c>
      <c r="L49">
        <v>207.29878199999999</v>
      </c>
      <c r="M49">
        <v>209.09715299999999</v>
      </c>
      <c r="N49">
        <v>211.14454699999999</v>
      </c>
      <c r="O49">
        <v>213.17318700000001</v>
      </c>
      <c r="P49">
        <v>215.05342099999999</v>
      </c>
      <c r="Q49">
        <v>216.80419900000001</v>
      </c>
      <c r="R49">
        <v>218.36322000000001</v>
      </c>
      <c r="S49">
        <v>219.81549100000001</v>
      </c>
      <c r="T49">
        <v>221.30699200000001</v>
      </c>
      <c r="U49">
        <v>222.754242</v>
      </c>
      <c r="V49">
        <v>224.10157799999999</v>
      </c>
      <c r="W49">
        <v>225.25174000000001</v>
      </c>
      <c r="X49">
        <v>226.46798699999999</v>
      </c>
      <c r="Y49">
        <v>228.06123400000001</v>
      </c>
      <c r="Z49">
        <v>229.702133</v>
      </c>
      <c r="AA49">
        <v>231.32983400000001</v>
      </c>
      <c r="AB49">
        <v>232.53666699999999</v>
      </c>
      <c r="AC49">
        <v>233.731628</v>
      </c>
      <c r="AD49">
        <v>234.816147</v>
      </c>
      <c r="AE49" s="71">
        <v>8.9999999999999993E-3</v>
      </c>
    </row>
    <row r="50" spans="1:31" x14ac:dyDescent="0.45">
      <c r="A50" t="s">
        <v>209</v>
      </c>
      <c r="B50" t="s">
        <v>866</v>
      </c>
      <c r="C50" t="s">
        <v>865</v>
      </c>
      <c r="D50" t="s">
        <v>208</v>
      </c>
      <c r="E50">
        <v>337.19702100000001</v>
      </c>
      <c r="F50">
        <v>338.385895</v>
      </c>
      <c r="G50">
        <v>340.625336</v>
      </c>
      <c r="H50">
        <v>343.14169299999998</v>
      </c>
      <c r="I50">
        <v>345.498718</v>
      </c>
      <c r="J50">
        <v>349.17611699999998</v>
      </c>
      <c r="K50">
        <v>351.82409699999999</v>
      </c>
      <c r="L50">
        <v>355.00659200000001</v>
      </c>
      <c r="M50">
        <v>357.66717499999999</v>
      </c>
      <c r="N50">
        <v>360.97314499999999</v>
      </c>
      <c r="O50">
        <v>364.388733</v>
      </c>
      <c r="P50">
        <v>367.730774</v>
      </c>
      <c r="Q50">
        <v>371.16729700000002</v>
      </c>
      <c r="R50">
        <v>374.61730999999997</v>
      </c>
      <c r="S50">
        <v>378.09609999999998</v>
      </c>
      <c r="T50">
        <v>381.82568400000002</v>
      </c>
      <c r="U50">
        <v>385.39794899999998</v>
      </c>
      <c r="V50">
        <v>388.79470800000001</v>
      </c>
      <c r="W50">
        <v>391.74475100000001</v>
      </c>
      <c r="X50">
        <v>394.75170900000001</v>
      </c>
      <c r="Y50">
        <v>398.40692100000001</v>
      </c>
      <c r="Z50">
        <v>402.26953099999997</v>
      </c>
      <c r="AA50">
        <v>406.34686299999998</v>
      </c>
      <c r="AB50">
        <v>409.84817500000003</v>
      </c>
      <c r="AC50">
        <v>413.44949300000002</v>
      </c>
      <c r="AD50">
        <v>416.75958300000002</v>
      </c>
      <c r="AE50" s="71">
        <v>8.9999999999999993E-3</v>
      </c>
    </row>
    <row r="51" spans="1:31" x14ac:dyDescent="0.45">
      <c r="A51" t="s">
        <v>207</v>
      </c>
    </row>
    <row r="52" spans="1:31" x14ac:dyDescent="0.45">
      <c r="A52" t="s">
        <v>191</v>
      </c>
    </row>
    <row r="53" spans="1:31" x14ac:dyDescent="0.45">
      <c r="A53" t="s">
        <v>156</v>
      </c>
      <c r="B53" t="s">
        <v>864</v>
      </c>
      <c r="C53" t="s">
        <v>863</v>
      </c>
      <c r="D53" t="s">
        <v>171</v>
      </c>
      <c r="E53">
        <v>559.32806400000004</v>
      </c>
      <c r="F53">
        <v>548.47369400000002</v>
      </c>
      <c r="G53">
        <v>536.50122099999999</v>
      </c>
      <c r="H53">
        <v>525.61968999999999</v>
      </c>
      <c r="I53">
        <v>515.81494099999998</v>
      </c>
      <c r="J53">
        <v>508.76144399999998</v>
      </c>
      <c r="K53">
        <v>500.73199499999998</v>
      </c>
      <c r="L53">
        <v>493.09927399999998</v>
      </c>
      <c r="M53">
        <v>484.52697799999999</v>
      </c>
      <c r="N53">
        <v>476.507294</v>
      </c>
      <c r="O53">
        <v>467.92550699999998</v>
      </c>
      <c r="P53">
        <v>458.43347199999999</v>
      </c>
      <c r="Q53">
        <v>448.89547700000003</v>
      </c>
      <c r="R53">
        <v>439.645081</v>
      </c>
      <c r="S53">
        <v>430.47848499999998</v>
      </c>
      <c r="T53">
        <v>421.82757600000002</v>
      </c>
      <c r="U53">
        <v>412.07046500000001</v>
      </c>
      <c r="V53">
        <v>401.17855800000001</v>
      </c>
      <c r="W53">
        <v>388.73263500000002</v>
      </c>
      <c r="X53">
        <v>375.16909800000002</v>
      </c>
      <c r="Y53">
        <v>361.140106</v>
      </c>
      <c r="Z53">
        <v>347.658478</v>
      </c>
      <c r="AA53">
        <v>334.77767899999998</v>
      </c>
      <c r="AB53">
        <v>321.59347500000001</v>
      </c>
      <c r="AC53">
        <v>309.087311</v>
      </c>
      <c r="AD53">
        <v>296.88891599999999</v>
      </c>
      <c r="AE53" s="71">
        <v>-2.5000000000000001E-2</v>
      </c>
    </row>
    <row r="54" spans="1:31" x14ac:dyDescent="0.45">
      <c r="A54" t="s">
        <v>157</v>
      </c>
      <c r="B54" t="s">
        <v>862</v>
      </c>
      <c r="C54" t="s">
        <v>861</v>
      </c>
      <c r="D54" t="s">
        <v>171</v>
      </c>
      <c r="E54">
        <v>281.99056999999999</v>
      </c>
      <c r="F54">
        <v>290.57605000000001</v>
      </c>
      <c r="G54">
        <v>299.06045499999999</v>
      </c>
      <c r="H54">
        <v>308.14880399999998</v>
      </c>
      <c r="I54">
        <v>317.93368500000003</v>
      </c>
      <c r="J54">
        <v>329.26113900000001</v>
      </c>
      <c r="K54">
        <v>339.386841</v>
      </c>
      <c r="L54">
        <v>349.26779199999999</v>
      </c>
      <c r="M54">
        <v>357.56308000000001</v>
      </c>
      <c r="N54">
        <v>365.23904399999998</v>
      </c>
      <c r="O54">
        <v>371.35327100000001</v>
      </c>
      <c r="P54">
        <v>375.45489500000002</v>
      </c>
      <c r="Q54">
        <v>378.566711</v>
      </c>
      <c r="R54">
        <v>381.20208700000001</v>
      </c>
      <c r="S54">
        <v>383.44101000000001</v>
      </c>
      <c r="T54">
        <v>385.38262900000001</v>
      </c>
      <c r="U54">
        <v>385.57369999999997</v>
      </c>
      <c r="V54">
        <v>383.51254299999999</v>
      </c>
      <c r="W54">
        <v>378.90652499999999</v>
      </c>
      <c r="X54">
        <v>372.17584199999999</v>
      </c>
      <c r="Y54">
        <v>364.46542399999998</v>
      </c>
      <c r="Z54">
        <v>356.44775399999997</v>
      </c>
      <c r="AA54">
        <v>348.292236</v>
      </c>
      <c r="AB54">
        <v>339.18090799999999</v>
      </c>
      <c r="AC54">
        <v>330.47164900000001</v>
      </c>
      <c r="AD54">
        <v>321.69216899999998</v>
      </c>
      <c r="AE54" s="71">
        <v>5.0000000000000001E-3</v>
      </c>
    </row>
    <row r="55" spans="1:31" x14ac:dyDescent="0.45">
      <c r="A55" t="s">
        <v>155</v>
      </c>
      <c r="B55" t="s">
        <v>860</v>
      </c>
      <c r="C55" t="s">
        <v>859</v>
      </c>
      <c r="D55" t="s">
        <v>171</v>
      </c>
      <c r="E55">
        <v>8.2419999999999993E-3</v>
      </c>
      <c r="F55">
        <v>8.0590000000000002E-3</v>
      </c>
      <c r="G55">
        <v>7.9559999999999995E-3</v>
      </c>
      <c r="H55">
        <v>8.0400000000000003E-3</v>
      </c>
      <c r="I55">
        <v>8.1620000000000009E-3</v>
      </c>
      <c r="J55">
        <v>8.3129999999999992E-3</v>
      </c>
      <c r="K55">
        <v>8.4840000000000002E-3</v>
      </c>
      <c r="L55">
        <v>8.6840000000000007E-3</v>
      </c>
      <c r="M55">
        <v>8.5450000000000005E-3</v>
      </c>
      <c r="N55">
        <v>8.2990000000000008E-3</v>
      </c>
      <c r="O55">
        <v>8.2489999999999994E-3</v>
      </c>
      <c r="P55">
        <v>8.3280000000000003E-3</v>
      </c>
      <c r="Q55">
        <v>8.5079999999999999E-3</v>
      </c>
      <c r="R55">
        <v>8.7559999999999999E-3</v>
      </c>
      <c r="S55">
        <v>9.0480000000000005E-3</v>
      </c>
      <c r="T55">
        <v>9.3679999999999996E-3</v>
      </c>
      <c r="U55">
        <v>9.6900000000000007E-3</v>
      </c>
      <c r="V55">
        <v>1.0005E-2</v>
      </c>
      <c r="W55">
        <v>1.0300999999999999E-2</v>
      </c>
      <c r="X55">
        <v>1.0592000000000001E-2</v>
      </c>
      <c r="Y55">
        <v>1.0899000000000001E-2</v>
      </c>
      <c r="Z55">
        <v>1.1209E-2</v>
      </c>
      <c r="AA55">
        <v>1.1527000000000001E-2</v>
      </c>
      <c r="AB55">
        <v>1.183E-2</v>
      </c>
      <c r="AC55">
        <v>1.2118E-2</v>
      </c>
      <c r="AD55">
        <v>1.2370000000000001E-2</v>
      </c>
      <c r="AE55" s="71">
        <v>1.6E-2</v>
      </c>
    </row>
    <row r="56" spans="1:31" x14ac:dyDescent="0.45">
      <c r="A56" t="s">
        <v>154</v>
      </c>
      <c r="B56" t="s">
        <v>858</v>
      </c>
      <c r="C56" t="s">
        <v>857</v>
      </c>
      <c r="D56" t="s">
        <v>171</v>
      </c>
      <c r="E56">
        <v>1.133067</v>
      </c>
      <c r="F56">
        <v>1.563024</v>
      </c>
      <c r="G56">
        <v>1.587048</v>
      </c>
      <c r="H56">
        <v>1.5327919999999999</v>
      </c>
      <c r="I56">
        <v>1.484739</v>
      </c>
      <c r="J56">
        <v>1.452088</v>
      </c>
      <c r="K56">
        <v>1.427351</v>
      </c>
      <c r="L56">
        <v>1.423106</v>
      </c>
      <c r="M56">
        <v>1.430199</v>
      </c>
      <c r="N56">
        <v>1.447141</v>
      </c>
      <c r="O56">
        <v>1.4836400000000001</v>
      </c>
      <c r="P56">
        <v>1.5371049999999999</v>
      </c>
      <c r="Q56">
        <v>1.6602589999999999</v>
      </c>
      <c r="R56">
        <v>1.801264</v>
      </c>
      <c r="S56">
        <v>1.9681360000000001</v>
      </c>
      <c r="T56">
        <v>2.2290179999999999</v>
      </c>
      <c r="U56">
        <v>2.5649380000000002</v>
      </c>
      <c r="V56">
        <v>3.0347</v>
      </c>
      <c r="W56">
        <v>3.5866090000000002</v>
      </c>
      <c r="X56">
        <v>4.221781</v>
      </c>
      <c r="Y56">
        <v>4.9877180000000001</v>
      </c>
      <c r="Z56">
        <v>5.7810139999999999</v>
      </c>
      <c r="AA56">
        <v>6.7387699999999997</v>
      </c>
      <c r="AB56">
        <v>7.8185089999999997</v>
      </c>
      <c r="AC56">
        <v>8.9442199999999996</v>
      </c>
      <c r="AD56">
        <v>10.26375</v>
      </c>
      <c r="AE56" s="71">
        <v>9.1999999999999998E-2</v>
      </c>
    </row>
    <row r="57" spans="1:31" x14ac:dyDescent="0.45">
      <c r="A57" t="s">
        <v>153</v>
      </c>
      <c r="B57" t="s">
        <v>856</v>
      </c>
      <c r="C57" t="s">
        <v>855</v>
      </c>
      <c r="D57" t="s">
        <v>171</v>
      </c>
      <c r="E57">
        <v>32.525826000000002</v>
      </c>
      <c r="F57">
        <v>29.478151</v>
      </c>
      <c r="G57">
        <v>26.565994</v>
      </c>
      <c r="H57">
        <v>23.928398000000001</v>
      </c>
      <c r="I57">
        <v>21.550608</v>
      </c>
      <c r="J57">
        <v>19.435327999999998</v>
      </c>
      <c r="K57">
        <v>17.476296999999999</v>
      </c>
      <c r="L57">
        <v>15.711513999999999</v>
      </c>
      <c r="M57">
        <v>14.090517</v>
      </c>
      <c r="N57">
        <v>12.675261000000001</v>
      </c>
      <c r="O57">
        <v>11.383523</v>
      </c>
      <c r="P57">
        <v>10.210846</v>
      </c>
      <c r="Q57">
        <v>9.1250269999999993</v>
      </c>
      <c r="R57">
        <v>8.1622249999999994</v>
      </c>
      <c r="S57">
        <v>7.2673030000000001</v>
      </c>
      <c r="T57">
        <v>6.4840419999999996</v>
      </c>
      <c r="U57">
        <v>5.8108839999999997</v>
      </c>
      <c r="V57">
        <v>5.2108809999999997</v>
      </c>
      <c r="W57">
        <v>4.6878270000000004</v>
      </c>
      <c r="X57">
        <v>4.186725</v>
      </c>
      <c r="Y57">
        <v>3.6905070000000002</v>
      </c>
      <c r="Z57">
        <v>3.2292550000000002</v>
      </c>
      <c r="AA57">
        <v>2.8129240000000002</v>
      </c>
      <c r="AB57">
        <v>2.3697859999999999</v>
      </c>
      <c r="AC57">
        <v>1.940977</v>
      </c>
      <c r="AD57">
        <v>1.532972</v>
      </c>
      <c r="AE57" s="71">
        <v>-0.115</v>
      </c>
    </row>
    <row r="58" spans="1:31" x14ac:dyDescent="0.45">
      <c r="A58" t="s">
        <v>126</v>
      </c>
      <c r="B58" t="s">
        <v>854</v>
      </c>
      <c r="C58" t="s">
        <v>853</v>
      </c>
      <c r="D58" t="s">
        <v>171</v>
      </c>
      <c r="E58">
        <v>0.77779600000000004</v>
      </c>
      <c r="F58">
        <v>0.89676</v>
      </c>
      <c r="G58">
        <v>1.004183</v>
      </c>
      <c r="H58">
        <v>1.1018619999999999</v>
      </c>
      <c r="I58">
        <v>1.196472</v>
      </c>
      <c r="J58">
        <v>1.2930120000000001</v>
      </c>
      <c r="K58">
        <v>1.3814439999999999</v>
      </c>
      <c r="L58">
        <v>1.4680409999999999</v>
      </c>
      <c r="M58">
        <v>1.5560849999999999</v>
      </c>
      <c r="N58">
        <v>1.644188</v>
      </c>
      <c r="O58">
        <v>1.728561</v>
      </c>
      <c r="P58">
        <v>1.8084789999999999</v>
      </c>
      <c r="Q58">
        <v>1.8877740000000001</v>
      </c>
      <c r="R58">
        <v>1.9675879999999999</v>
      </c>
      <c r="S58">
        <v>2.046446</v>
      </c>
      <c r="T58">
        <v>2.402431</v>
      </c>
      <c r="U58">
        <v>3.5527769999999999</v>
      </c>
      <c r="V58">
        <v>5.9524439999999998</v>
      </c>
      <c r="W58">
        <v>9.5679540000000003</v>
      </c>
      <c r="X58">
        <v>14.571869</v>
      </c>
      <c r="Y58">
        <v>20.820326000000001</v>
      </c>
      <c r="Z58">
        <v>27.642302000000001</v>
      </c>
      <c r="AA58">
        <v>35.043914999999998</v>
      </c>
      <c r="AB58">
        <v>42.947105000000001</v>
      </c>
      <c r="AC58">
        <v>51.088852000000003</v>
      </c>
      <c r="AD58">
        <v>59.163055</v>
      </c>
      <c r="AE58" s="71">
        <v>0.189</v>
      </c>
    </row>
    <row r="59" spans="1:31" x14ac:dyDescent="0.45">
      <c r="A59" t="s">
        <v>151</v>
      </c>
      <c r="B59" t="s">
        <v>852</v>
      </c>
      <c r="C59" t="s">
        <v>851</v>
      </c>
      <c r="D59" t="s">
        <v>171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 t="s">
        <v>109</v>
      </c>
    </row>
    <row r="60" spans="1:31" x14ac:dyDescent="0.45">
      <c r="A60" t="s">
        <v>152</v>
      </c>
      <c r="B60" t="s">
        <v>850</v>
      </c>
      <c r="C60" t="s">
        <v>849</v>
      </c>
      <c r="D60" t="s">
        <v>171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 t="s">
        <v>109</v>
      </c>
    </row>
    <row r="61" spans="1:31" x14ac:dyDescent="0.45">
      <c r="A61" t="s">
        <v>127</v>
      </c>
      <c r="B61" t="s">
        <v>848</v>
      </c>
      <c r="C61" t="s">
        <v>847</v>
      </c>
      <c r="D61" t="s">
        <v>171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 t="s">
        <v>109</v>
      </c>
    </row>
    <row r="62" spans="1:31" x14ac:dyDescent="0.45">
      <c r="A62" t="s">
        <v>150</v>
      </c>
      <c r="B62" t="s">
        <v>846</v>
      </c>
      <c r="C62" t="s">
        <v>845</v>
      </c>
      <c r="D62" t="s">
        <v>171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 t="s">
        <v>109</v>
      </c>
    </row>
    <row r="63" spans="1:31" x14ac:dyDescent="0.45">
      <c r="A63" t="s">
        <v>149</v>
      </c>
      <c r="B63" t="s">
        <v>844</v>
      </c>
      <c r="C63" t="s">
        <v>843</v>
      </c>
      <c r="D63" t="s">
        <v>171</v>
      </c>
      <c r="E63">
        <v>0.83790100000000001</v>
      </c>
      <c r="F63">
        <v>2.2635839999999998</v>
      </c>
      <c r="G63">
        <v>4.1392189999999998</v>
      </c>
      <c r="H63">
        <v>6.4532670000000003</v>
      </c>
      <c r="I63">
        <v>9.4030660000000008</v>
      </c>
      <c r="J63">
        <v>13.499775</v>
      </c>
      <c r="K63">
        <v>18.724775000000001</v>
      </c>
      <c r="L63">
        <v>25.357942999999999</v>
      </c>
      <c r="M63">
        <v>33.825836000000002</v>
      </c>
      <c r="N63">
        <v>44.474449</v>
      </c>
      <c r="O63">
        <v>57.589202999999998</v>
      </c>
      <c r="P63">
        <v>73.550865000000002</v>
      </c>
      <c r="Q63">
        <v>91.764167999999998</v>
      </c>
      <c r="R63">
        <v>111.666718</v>
      </c>
      <c r="S63">
        <v>132.676804</v>
      </c>
      <c r="T63">
        <v>154.17559800000001</v>
      </c>
      <c r="U63">
        <v>175.414536</v>
      </c>
      <c r="V63">
        <v>196.01135300000001</v>
      </c>
      <c r="W63">
        <v>215.53469799999999</v>
      </c>
      <c r="X63">
        <v>234.29530299999999</v>
      </c>
      <c r="Y63">
        <v>252.79953</v>
      </c>
      <c r="Z63">
        <v>270.87716699999999</v>
      </c>
      <c r="AA63">
        <v>288.724152</v>
      </c>
      <c r="AB63">
        <v>305.73019399999998</v>
      </c>
      <c r="AC63">
        <v>321.91485599999999</v>
      </c>
      <c r="AD63">
        <v>336.702789</v>
      </c>
      <c r="AE63" s="71">
        <v>0.27100000000000002</v>
      </c>
    </row>
    <row r="64" spans="1:31" x14ac:dyDescent="0.45">
      <c r="A64" t="s">
        <v>148</v>
      </c>
      <c r="B64" t="s">
        <v>842</v>
      </c>
      <c r="C64" t="s">
        <v>841</v>
      </c>
      <c r="D64" t="s">
        <v>171</v>
      </c>
      <c r="E64">
        <v>0</v>
      </c>
      <c r="F64">
        <v>0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 t="s">
        <v>109</v>
      </c>
    </row>
    <row r="65" spans="1:31" x14ac:dyDescent="0.45">
      <c r="A65" t="s">
        <v>190</v>
      </c>
      <c r="B65" t="s">
        <v>840</v>
      </c>
      <c r="C65" t="s">
        <v>839</v>
      </c>
      <c r="D65" t="s">
        <v>171</v>
      </c>
      <c r="E65">
        <v>876.60131799999999</v>
      </c>
      <c r="F65">
        <v>873.25939900000003</v>
      </c>
      <c r="G65">
        <v>868.86621100000002</v>
      </c>
      <c r="H65">
        <v>866.79272500000002</v>
      </c>
      <c r="I65">
        <v>867.39160200000003</v>
      </c>
      <c r="J65">
        <v>873.71118200000001</v>
      </c>
      <c r="K65">
        <v>879.13708499999996</v>
      </c>
      <c r="L65">
        <v>886.33618200000001</v>
      </c>
      <c r="M65">
        <v>893.00109899999995</v>
      </c>
      <c r="N65">
        <v>901.995544</v>
      </c>
      <c r="O65">
        <v>911.47192399999994</v>
      </c>
      <c r="P65">
        <v>921.00402799999995</v>
      </c>
      <c r="Q65">
        <v>931.90783699999997</v>
      </c>
      <c r="R65">
        <v>944.45336899999995</v>
      </c>
      <c r="S65">
        <v>957.88720699999999</v>
      </c>
      <c r="T65">
        <v>972.51055899999994</v>
      </c>
      <c r="U65">
        <v>984.99719200000004</v>
      </c>
      <c r="V65">
        <v>994.91058299999997</v>
      </c>
      <c r="W65">
        <v>1001.026428</v>
      </c>
      <c r="X65">
        <v>1004.630981</v>
      </c>
      <c r="Y65">
        <v>1007.91449</v>
      </c>
      <c r="Z65">
        <v>1011.647034</v>
      </c>
      <c r="AA65">
        <v>1016.4011839999999</v>
      </c>
      <c r="AB65">
        <v>1019.651733</v>
      </c>
      <c r="AC65">
        <v>1023.459473</v>
      </c>
      <c r="AD65">
        <v>1026.256226</v>
      </c>
      <c r="AE65" s="71">
        <v>6.0000000000000001E-3</v>
      </c>
    </row>
    <row r="66" spans="1:31" x14ac:dyDescent="0.45">
      <c r="A66" t="s">
        <v>189</v>
      </c>
    </row>
    <row r="67" spans="1:31" x14ac:dyDescent="0.45">
      <c r="A67" t="s">
        <v>156</v>
      </c>
      <c r="B67" t="s">
        <v>838</v>
      </c>
      <c r="C67" t="s">
        <v>837</v>
      </c>
      <c r="D67" t="s">
        <v>171</v>
      </c>
      <c r="E67">
        <v>538.64502000000005</v>
      </c>
      <c r="F67">
        <v>520.90051300000005</v>
      </c>
      <c r="G67">
        <v>504.80529799999999</v>
      </c>
      <c r="H67">
        <v>489.66006499999997</v>
      </c>
      <c r="I67">
        <v>474.32492100000002</v>
      </c>
      <c r="J67">
        <v>461.08807400000001</v>
      </c>
      <c r="K67">
        <v>446.93624899999998</v>
      </c>
      <c r="L67">
        <v>434.01623499999999</v>
      </c>
      <c r="M67">
        <v>420.72662400000002</v>
      </c>
      <c r="N67">
        <v>408.564392</v>
      </c>
      <c r="O67">
        <v>397.19250499999998</v>
      </c>
      <c r="P67">
        <v>386.80505399999998</v>
      </c>
      <c r="Q67">
        <v>377.308044</v>
      </c>
      <c r="R67">
        <v>368.44412199999999</v>
      </c>
      <c r="S67">
        <v>360.36447099999998</v>
      </c>
      <c r="T67">
        <v>353.102844</v>
      </c>
      <c r="U67">
        <v>346.18734699999999</v>
      </c>
      <c r="V67">
        <v>340.00372299999998</v>
      </c>
      <c r="W67">
        <v>334.53411899999998</v>
      </c>
      <c r="X67">
        <v>329.969269</v>
      </c>
      <c r="Y67">
        <v>326.47579999999999</v>
      </c>
      <c r="Z67">
        <v>323.56585699999999</v>
      </c>
      <c r="AA67">
        <v>321.26538099999999</v>
      </c>
      <c r="AB67">
        <v>318.91360500000002</v>
      </c>
      <c r="AC67">
        <v>316.91790800000001</v>
      </c>
      <c r="AD67">
        <v>314.91171300000002</v>
      </c>
      <c r="AE67" s="71">
        <v>-2.1000000000000001E-2</v>
      </c>
    </row>
    <row r="68" spans="1:31" x14ac:dyDescent="0.45">
      <c r="A68" t="s">
        <v>157</v>
      </c>
      <c r="B68" t="s">
        <v>836</v>
      </c>
      <c r="C68" t="s">
        <v>835</v>
      </c>
      <c r="D68" t="s">
        <v>171</v>
      </c>
      <c r="E68">
        <v>308.45126299999998</v>
      </c>
      <c r="F68">
        <v>304.80548099999999</v>
      </c>
      <c r="G68">
        <v>302.31372099999999</v>
      </c>
      <c r="H68">
        <v>300.34561200000002</v>
      </c>
      <c r="I68">
        <v>298.06372099999999</v>
      </c>
      <c r="J68">
        <v>296.582764</v>
      </c>
      <c r="K68">
        <v>294.20575000000002</v>
      </c>
      <c r="L68">
        <v>292.43841600000002</v>
      </c>
      <c r="M68">
        <v>290.034943</v>
      </c>
      <c r="N68">
        <v>288.24084499999998</v>
      </c>
      <c r="O68">
        <v>286.46951300000001</v>
      </c>
      <c r="P68">
        <v>284.71582000000001</v>
      </c>
      <c r="Q68">
        <v>283.27157599999998</v>
      </c>
      <c r="R68">
        <v>281.90774499999998</v>
      </c>
      <c r="S68">
        <v>280.78604100000001</v>
      </c>
      <c r="T68">
        <v>279.90536500000002</v>
      </c>
      <c r="U68">
        <v>279.13348400000001</v>
      </c>
      <c r="V68">
        <v>278.56582600000002</v>
      </c>
      <c r="W68">
        <v>277.89999399999999</v>
      </c>
      <c r="X68">
        <v>277.45187399999998</v>
      </c>
      <c r="Y68">
        <v>277.539062</v>
      </c>
      <c r="Z68">
        <v>277.82656900000001</v>
      </c>
      <c r="AA68">
        <v>278.30569500000001</v>
      </c>
      <c r="AB68">
        <v>278.51498400000003</v>
      </c>
      <c r="AC68">
        <v>278.89318800000001</v>
      </c>
      <c r="AD68">
        <v>279.08850100000001</v>
      </c>
      <c r="AE68" s="71">
        <v>-4.0000000000000001E-3</v>
      </c>
    </row>
    <row r="69" spans="1:31" x14ac:dyDescent="0.45">
      <c r="A69" t="s">
        <v>155</v>
      </c>
      <c r="B69" t="s">
        <v>834</v>
      </c>
      <c r="C69" t="s">
        <v>833</v>
      </c>
      <c r="D69" t="s">
        <v>171</v>
      </c>
      <c r="E69">
        <v>0.37572800000000001</v>
      </c>
      <c r="F69">
        <v>0.33371899999999999</v>
      </c>
      <c r="G69">
        <v>0.29504900000000001</v>
      </c>
      <c r="H69">
        <v>0.26140099999999999</v>
      </c>
      <c r="I69">
        <v>0.215777</v>
      </c>
      <c r="J69">
        <v>0.191362</v>
      </c>
      <c r="K69">
        <v>0.168542</v>
      </c>
      <c r="L69">
        <v>0.149451</v>
      </c>
      <c r="M69">
        <v>0.13291</v>
      </c>
      <c r="N69">
        <v>0.11611299999999999</v>
      </c>
      <c r="O69">
        <v>0.103551</v>
      </c>
      <c r="P69">
        <v>9.3567999999999998E-2</v>
      </c>
      <c r="Q69">
        <v>8.5558999999999996E-2</v>
      </c>
      <c r="R69">
        <v>7.8580999999999998E-2</v>
      </c>
      <c r="S69">
        <v>7.2608000000000006E-2</v>
      </c>
      <c r="T69">
        <v>6.7738999999999994E-2</v>
      </c>
      <c r="U69">
        <v>6.3253000000000004E-2</v>
      </c>
      <c r="V69">
        <v>5.9290000000000002E-2</v>
      </c>
      <c r="W69">
        <v>5.57E-2</v>
      </c>
      <c r="X69">
        <v>5.2217E-2</v>
      </c>
      <c r="Y69">
        <v>5.0057999999999998E-2</v>
      </c>
      <c r="Z69">
        <v>4.7621999999999998E-2</v>
      </c>
      <c r="AA69">
        <v>4.5400999999999997E-2</v>
      </c>
      <c r="AB69">
        <v>3.9812E-2</v>
      </c>
      <c r="AC69">
        <v>3.0988000000000002E-2</v>
      </c>
      <c r="AD69">
        <v>2.4039000000000001E-2</v>
      </c>
      <c r="AE69" s="71">
        <v>-0.104</v>
      </c>
    </row>
    <row r="70" spans="1:31" x14ac:dyDescent="0.45">
      <c r="A70" t="s">
        <v>154</v>
      </c>
      <c r="B70" t="s">
        <v>832</v>
      </c>
      <c r="C70" t="s">
        <v>831</v>
      </c>
      <c r="D70" t="s">
        <v>171</v>
      </c>
      <c r="E70">
        <v>3.3447429999999998</v>
      </c>
      <c r="F70">
        <v>3.7588469999999998</v>
      </c>
      <c r="G70">
        <v>4.1226560000000001</v>
      </c>
      <c r="H70">
        <v>4.4183050000000001</v>
      </c>
      <c r="I70">
        <v>4.6501599999999996</v>
      </c>
      <c r="J70">
        <v>4.8672079999999998</v>
      </c>
      <c r="K70">
        <v>5.0359449999999999</v>
      </c>
      <c r="L70">
        <v>5.1881339999999998</v>
      </c>
      <c r="M70">
        <v>5.3071390000000003</v>
      </c>
      <c r="N70">
        <v>5.4141690000000002</v>
      </c>
      <c r="O70">
        <v>5.5102679999999999</v>
      </c>
      <c r="P70">
        <v>5.5953989999999996</v>
      </c>
      <c r="Q70">
        <v>5.6650200000000002</v>
      </c>
      <c r="R70">
        <v>5.7272980000000002</v>
      </c>
      <c r="S70">
        <v>5.7875449999999997</v>
      </c>
      <c r="T70">
        <v>5.8608570000000002</v>
      </c>
      <c r="U70">
        <v>5.9285170000000003</v>
      </c>
      <c r="V70">
        <v>5.9903079999999997</v>
      </c>
      <c r="W70">
        <v>6.0495599999999996</v>
      </c>
      <c r="X70">
        <v>6.1191519999999997</v>
      </c>
      <c r="Y70">
        <v>6.2082569999999997</v>
      </c>
      <c r="Z70">
        <v>6.3102939999999998</v>
      </c>
      <c r="AA70">
        <v>6.4193189999999998</v>
      </c>
      <c r="AB70">
        <v>6.5162810000000002</v>
      </c>
      <c r="AC70">
        <v>6.6074109999999999</v>
      </c>
      <c r="AD70">
        <v>6.6992820000000002</v>
      </c>
      <c r="AE70" s="71">
        <v>2.8000000000000001E-2</v>
      </c>
    </row>
    <row r="71" spans="1:31" x14ac:dyDescent="0.45">
      <c r="A71" t="s">
        <v>153</v>
      </c>
      <c r="B71" t="s">
        <v>830</v>
      </c>
      <c r="C71" t="s">
        <v>829</v>
      </c>
      <c r="D71" t="s">
        <v>171</v>
      </c>
      <c r="E71">
        <v>7.2114789999999998</v>
      </c>
      <c r="F71">
        <v>6.4811940000000003</v>
      </c>
      <c r="G71">
        <v>5.7882530000000001</v>
      </c>
      <c r="H71">
        <v>5.1683669999999999</v>
      </c>
      <c r="I71">
        <v>4.6310760000000002</v>
      </c>
      <c r="J71">
        <v>4.1528580000000002</v>
      </c>
      <c r="K71">
        <v>3.7100749999999998</v>
      </c>
      <c r="L71">
        <v>3.3277399999999999</v>
      </c>
      <c r="M71">
        <v>2.9671620000000001</v>
      </c>
      <c r="N71">
        <v>2.661098</v>
      </c>
      <c r="O71">
        <v>2.403502</v>
      </c>
      <c r="P71">
        <v>2.1813250000000002</v>
      </c>
      <c r="Q71">
        <v>1.9983219999999999</v>
      </c>
      <c r="R71">
        <v>1.8433870000000001</v>
      </c>
      <c r="S71">
        <v>1.7108909999999999</v>
      </c>
      <c r="T71">
        <v>1.599372</v>
      </c>
      <c r="U71">
        <v>1.4952700000000001</v>
      </c>
      <c r="V71">
        <v>1.3955059999999999</v>
      </c>
      <c r="W71">
        <v>1.2983640000000001</v>
      </c>
      <c r="X71">
        <v>1.2031700000000001</v>
      </c>
      <c r="Y71">
        <v>1.108185</v>
      </c>
      <c r="Z71">
        <v>1.0107189999999999</v>
      </c>
      <c r="AA71">
        <v>0.90755399999999997</v>
      </c>
      <c r="AB71">
        <v>0.80071899999999996</v>
      </c>
      <c r="AC71">
        <v>0.69689100000000004</v>
      </c>
      <c r="AD71">
        <v>0.58797699999999997</v>
      </c>
      <c r="AE71" s="71">
        <v>-9.5000000000000001E-2</v>
      </c>
    </row>
    <row r="72" spans="1:31" x14ac:dyDescent="0.45">
      <c r="A72" t="s">
        <v>126</v>
      </c>
      <c r="B72" t="s">
        <v>828</v>
      </c>
      <c r="C72" t="s">
        <v>827</v>
      </c>
      <c r="D72" t="s">
        <v>171</v>
      </c>
      <c r="E72">
        <v>0.221221</v>
      </c>
      <c r="F72">
        <v>0.26406600000000002</v>
      </c>
      <c r="G72">
        <v>0.30513299999999999</v>
      </c>
      <c r="H72">
        <v>0.34103299999999998</v>
      </c>
      <c r="I72">
        <v>0.37149900000000002</v>
      </c>
      <c r="J72">
        <v>0.39978599999999997</v>
      </c>
      <c r="K72">
        <v>0.42355599999999999</v>
      </c>
      <c r="L72">
        <v>0.44601299999999999</v>
      </c>
      <c r="M72">
        <v>0.46821600000000002</v>
      </c>
      <c r="N72">
        <v>0.48943300000000001</v>
      </c>
      <c r="O72">
        <v>0.50885400000000003</v>
      </c>
      <c r="P72">
        <v>0.52612499999999995</v>
      </c>
      <c r="Q72">
        <v>0.54190899999999997</v>
      </c>
      <c r="R72">
        <v>0.55545999999999995</v>
      </c>
      <c r="S72">
        <v>0.56833199999999995</v>
      </c>
      <c r="T72">
        <v>0.58082999999999996</v>
      </c>
      <c r="U72">
        <v>0.59257800000000005</v>
      </c>
      <c r="V72">
        <v>0.60342200000000001</v>
      </c>
      <c r="W72">
        <v>0.61290299999999998</v>
      </c>
      <c r="X72">
        <v>0.62202599999999997</v>
      </c>
      <c r="Y72">
        <v>0.631857</v>
      </c>
      <c r="Z72">
        <v>0.64161199999999996</v>
      </c>
      <c r="AA72">
        <v>0.651258</v>
      </c>
      <c r="AB72">
        <v>0.65997099999999997</v>
      </c>
      <c r="AC72">
        <v>0.66890499999999997</v>
      </c>
      <c r="AD72">
        <v>0.677477</v>
      </c>
      <c r="AE72" s="71">
        <v>4.5999999999999999E-2</v>
      </c>
    </row>
    <row r="73" spans="1:31" x14ac:dyDescent="0.45">
      <c r="A73" t="s">
        <v>151</v>
      </c>
      <c r="B73" t="s">
        <v>826</v>
      </c>
      <c r="C73" t="s">
        <v>825</v>
      </c>
      <c r="D73" t="s">
        <v>171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 t="s">
        <v>109</v>
      </c>
    </row>
    <row r="74" spans="1:31" x14ac:dyDescent="0.45">
      <c r="A74" t="s">
        <v>152</v>
      </c>
      <c r="B74" t="s">
        <v>824</v>
      </c>
      <c r="C74" t="s">
        <v>823</v>
      </c>
      <c r="D74" t="s">
        <v>171</v>
      </c>
      <c r="E74">
        <v>9.1743000000000005E-2</v>
      </c>
      <c r="F74">
        <v>8.3749000000000004E-2</v>
      </c>
      <c r="G74">
        <v>7.6347999999999999E-2</v>
      </c>
      <c r="H74">
        <v>6.9262000000000004E-2</v>
      </c>
      <c r="I74">
        <v>6.3265000000000002E-2</v>
      </c>
      <c r="J74">
        <v>5.7866000000000001E-2</v>
      </c>
      <c r="K74">
        <v>5.2988E-2</v>
      </c>
      <c r="L74">
        <v>4.9092999999999998E-2</v>
      </c>
      <c r="M74">
        <v>4.4872000000000002E-2</v>
      </c>
      <c r="N74">
        <v>4.1120999999999998E-2</v>
      </c>
      <c r="O74">
        <v>3.7033999999999997E-2</v>
      </c>
      <c r="P74">
        <v>3.3831E-2</v>
      </c>
      <c r="Q74">
        <v>3.0966E-2</v>
      </c>
      <c r="R74">
        <v>2.8389999999999999E-2</v>
      </c>
      <c r="S74">
        <v>2.614E-2</v>
      </c>
      <c r="T74">
        <v>2.3975E-2</v>
      </c>
      <c r="U74">
        <v>2.1774000000000002E-2</v>
      </c>
      <c r="V74">
        <v>1.9893000000000001E-2</v>
      </c>
      <c r="W74">
        <v>1.7947999999999999E-2</v>
      </c>
      <c r="X74">
        <v>1.6112000000000001E-2</v>
      </c>
      <c r="Y74">
        <v>1.5117E-2</v>
      </c>
      <c r="Z74">
        <v>1.4002000000000001E-2</v>
      </c>
      <c r="AA74">
        <v>1.3051999999999999E-2</v>
      </c>
      <c r="AB74">
        <v>1.2132E-2</v>
      </c>
      <c r="AC74">
        <v>1.1224E-2</v>
      </c>
      <c r="AD74">
        <v>1.0387E-2</v>
      </c>
      <c r="AE74" s="71">
        <v>-8.3000000000000004E-2</v>
      </c>
    </row>
    <row r="75" spans="1:31" x14ac:dyDescent="0.45">
      <c r="A75" t="s">
        <v>127</v>
      </c>
      <c r="B75" t="s">
        <v>822</v>
      </c>
      <c r="C75" t="s">
        <v>821</v>
      </c>
      <c r="D75" t="s">
        <v>171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 t="s">
        <v>109</v>
      </c>
    </row>
    <row r="76" spans="1:31" x14ac:dyDescent="0.45">
      <c r="A76" t="s">
        <v>150</v>
      </c>
      <c r="B76" t="s">
        <v>820</v>
      </c>
      <c r="C76" t="s">
        <v>819</v>
      </c>
      <c r="D76" t="s">
        <v>171</v>
      </c>
      <c r="E76">
        <v>0</v>
      </c>
      <c r="F76">
        <v>0</v>
      </c>
      <c r="G76">
        <v>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 t="s">
        <v>109</v>
      </c>
    </row>
    <row r="77" spans="1:31" x14ac:dyDescent="0.45">
      <c r="A77" t="s">
        <v>149</v>
      </c>
      <c r="B77" t="s">
        <v>818</v>
      </c>
      <c r="C77" t="s">
        <v>817</v>
      </c>
      <c r="D77" t="s">
        <v>171</v>
      </c>
      <c r="E77">
        <v>0.56146600000000002</v>
      </c>
      <c r="F77">
        <v>1.3097840000000001</v>
      </c>
      <c r="G77">
        <v>2.239366</v>
      </c>
      <c r="H77">
        <v>3.2759990000000001</v>
      </c>
      <c r="I77">
        <v>4.4040850000000002</v>
      </c>
      <c r="J77">
        <v>5.7467059999999996</v>
      </c>
      <c r="K77">
        <v>7.3809750000000003</v>
      </c>
      <c r="L77">
        <v>9.478567</v>
      </c>
      <c r="M77">
        <v>12.151581</v>
      </c>
      <c r="N77">
        <v>15.518043</v>
      </c>
      <c r="O77">
        <v>19.619717000000001</v>
      </c>
      <c r="P77">
        <v>24.337212000000001</v>
      </c>
      <c r="Q77">
        <v>29.516897</v>
      </c>
      <c r="R77">
        <v>34.967582999999998</v>
      </c>
      <c r="S77">
        <v>40.532393999999996</v>
      </c>
      <c r="T77">
        <v>46.140942000000003</v>
      </c>
      <c r="U77">
        <v>51.637431999999997</v>
      </c>
      <c r="V77">
        <v>56.900672999999998</v>
      </c>
      <c r="W77">
        <v>61.844920999999999</v>
      </c>
      <c r="X77">
        <v>66.521111000000005</v>
      </c>
      <c r="Y77">
        <v>71.013214000000005</v>
      </c>
      <c r="Z77">
        <v>75.223206000000005</v>
      </c>
      <c r="AA77">
        <v>79.136634999999998</v>
      </c>
      <c r="AB77">
        <v>82.635941000000003</v>
      </c>
      <c r="AC77">
        <v>85.905379999999994</v>
      </c>
      <c r="AD77">
        <v>88.91713</v>
      </c>
      <c r="AE77" s="71">
        <v>0.22500000000000001</v>
      </c>
    </row>
    <row r="78" spans="1:31" x14ac:dyDescent="0.45">
      <c r="A78" t="s">
        <v>148</v>
      </c>
      <c r="B78" t="s">
        <v>816</v>
      </c>
      <c r="C78" t="s">
        <v>815</v>
      </c>
      <c r="D78" t="s">
        <v>171</v>
      </c>
      <c r="E78">
        <v>0</v>
      </c>
      <c r="F78">
        <v>0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 t="s">
        <v>109</v>
      </c>
    </row>
    <row r="79" spans="1:31" x14ac:dyDescent="0.45">
      <c r="A79" t="s">
        <v>188</v>
      </c>
      <c r="B79" t="s">
        <v>814</v>
      </c>
      <c r="C79" t="s">
        <v>813</v>
      </c>
      <c r="D79" t="s">
        <v>171</v>
      </c>
      <c r="E79">
        <v>858.902466</v>
      </c>
      <c r="F79">
        <v>837.93743900000004</v>
      </c>
      <c r="G79">
        <v>819.94567900000004</v>
      </c>
      <c r="H79">
        <v>803.53991699999995</v>
      </c>
      <c r="I79">
        <v>786.72430399999996</v>
      </c>
      <c r="J79">
        <v>773.08642599999996</v>
      </c>
      <c r="K79">
        <v>757.91375700000003</v>
      </c>
      <c r="L79">
        <v>745.09356700000001</v>
      </c>
      <c r="M79">
        <v>731.83337400000005</v>
      </c>
      <c r="N79">
        <v>721.04522699999995</v>
      </c>
      <c r="O79">
        <v>711.84491000000003</v>
      </c>
      <c r="P79">
        <v>704.28845200000001</v>
      </c>
      <c r="Q79">
        <v>698.41851799999995</v>
      </c>
      <c r="R79">
        <v>693.55242899999996</v>
      </c>
      <c r="S79">
        <v>689.848389</v>
      </c>
      <c r="T79">
        <v>687.282104</v>
      </c>
      <c r="U79">
        <v>685.05987500000003</v>
      </c>
      <c r="V79">
        <v>683.53887899999995</v>
      </c>
      <c r="W79">
        <v>682.313354</v>
      </c>
      <c r="X79">
        <v>681.95477300000005</v>
      </c>
      <c r="Y79">
        <v>683.04168700000002</v>
      </c>
      <c r="Z79">
        <v>684.639771</v>
      </c>
      <c r="AA79">
        <v>686.74438499999997</v>
      </c>
      <c r="AB79">
        <v>688.09338400000001</v>
      </c>
      <c r="AC79">
        <v>689.73199499999998</v>
      </c>
      <c r="AD79">
        <v>690.91625999999997</v>
      </c>
      <c r="AE79" s="71">
        <v>-8.9999999999999993E-3</v>
      </c>
    </row>
    <row r="80" spans="1:31" x14ac:dyDescent="0.45">
      <c r="A80" t="s">
        <v>187</v>
      </c>
    </row>
    <row r="81" spans="1:31" x14ac:dyDescent="0.45">
      <c r="A81" t="s">
        <v>156</v>
      </c>
      <c r="B81" t="s">
        <v>812</v>
      </c>
      <c r="C81" t="s">
        <v>811</v>
      </c>
      <c r="D81" t="s">
        <v>171</v>
      </c>
      <c r="E81">
        <v>3899.1635740000002</v>
      </c>
      <c r="F81">
        <v>3905.733154</v>
      </c>
      <c r="G81">
        <v>3919.7504880000001</v>
      </c>
      <c r="H81">
        <v>3927.7983399999998</v>
      </c>
      <c r="I81">
        <v>3927.4458009999998</v>
      </c>
      <c r="J81">
        <v>3935.921875</v>
      </c>
      <c r="K81">
        <v>3928.9243160000001</v>
      </c>
      <c r="L81">
        <v>3915.939453</v>
      </c>
      <c r="M81">
        <v>3894.9814449999999</v>
      </c>
      <c r="N81">
        <v>3881.8469239999999</v>
      </c>
      <c r="O81">
        <v>3872.3608399999998</v>
      </c>
      <c r="P81">
        <v>3865.11499</v>
      </c>
      <c r="Q81">
        <v>3860.0361330000001</v>
      </c>
      <c r="R81">
        <v>3855.165039</v>
      </c>
      <c r="S81">
        <v>3851.2702640000002</v>
      </c>
      <c r="T81">
        <v>3850.0676269999999</v>
      </c>
      <c r="U81">
        <v>3850.9357909999999</v>
      </c>
      <c r="V81">
        <v>3853.0910640000002</v>
      </c>
      <c r="W81">
        <v>3854.3923340000001</v>
      </c>
      <c r="X81">
        <v>3858.7817380000001</v>
      </c>
      <c r="Y81">
        <v>3870.1293949999999</v>
      </c>
      <c r="Z81">
        <v>3882.9868160000001</v>
      </c>
      <c r="AA81">
        <v>3895.2658689999998</v>
      </c>
      <c r="AB81">
        <v>3900.7172850000002</v>
      </c>
      <c r="AC81">
        <v>3905.2624510000001</v>
      </c>
      <c r="AD81">
        <v>3907.0529790000001</v>
      </c>
      <c r="AE81" s="71">
        <v>0</v>
      </c>
    </row>
    <row r="82" spans="1:31" x14ac:dyDescent="0.45">
      <c r="A82" t="s">
        <v>157</v>
      </c>
      <c r="B82" t="s">
        <v>810</v>
      </c>
      <c r="C82" t="s">
        <v>809</v>
      </c>
      <c r="D82" t="s">
        <v>171</v>
      </c>
      <c r="E82">
        <v>3.8959160000000002</v>
      </c>
      <c r="F82">
        <v>3.3734790000000001</v>
      </c>
      <c r="G82">
        <v>2.9687299999999999</v>
      </c>
      <c r="H82">
        <v>2.6636989999999998</v>
      </c>
      <c r="I82">
        <v>2.4239649999999999</v>
      </c>
      <c r="J82">
        <v>2.2430720000000002</v>
      </c>
      <c r="K82">
        <v>2.1065680000000002</v>
      </c>
      <c r="L82">
        <v>1.9926440000000001</v>
      </c>
      <c r="M82">
        <v>1.8863319999999999</v>
      </c>
      <c r="N82">
        <v>1.8122560000000001</v>
      </c>
      <c r="O82">
        <v>1.74804</v>
      </c>
      <c r="P82">
        <v>1.6966939999999999</v>
      </c>
      <c r="Q82">
        <v>1.642306</v>
      </c>
      <c r="R82">
        <v>1.5807500000000001</v>
      </c>
      <c r="S82">
        <v>1.504948</v>
      </c>
      <c r="T82">
        <v>1.4489259999999999</v>
      </c>
      <c r="U82">
        <v>1.401966</v>
      </c>
      <c r="V82">
        <v>1.364058</v>
      </c>
      <c r="W82">
        <v>1.329388</v>
      </c>
      <c r="X82">
        <v>1.3033170000000001</v>
      </c>
      <c r="Y82">
        <v>1.286953</v>
      </c>
      <c r="Z82">
        <v>1.27807</v>
      </c>
      <c r="AA82">
        <v>1.2706740000000001</v>
      </c>
      <c r="AB82">
        <v>1.2643899999999999</v>
      </c>
      <c r="AC82">
        <v>1.259528</v>
      </c>
      <c r="AD82">
        <v>1.254148</v>
      </c>
      <c r="AE82" s="71">
        <v>-4.3999999999999997E-2</v>
      </c>
    </row>
    <row r="83" spans="1:31" x14ac:dyDescent="0.45">
      <c r="A83" t="s">
        <v>155</v>
      </c>
      <c r="B83" t="s">
        <v>808</v>
      </c>
      <c r="C83" t="s">
        <v>807</v>
      </c>
      <c r="D83" t="s">
        <v>171</v>
      </c>
      <c r="E83">
        <v>0.717862</v>
      </c>
      <c r="F83">
        <v>0.66372699999999996</v>
      </c>
      <c r="G83">
        <v>0.61687700000000001</v>
      </c>
      <c r="H83">
        <v>0.572515</v>
      </c>
      <c r="I83">
        <v>0.53569</v>
      </c>
      <c r="J83">
        <v>0.50033399999999995</v>
      </c>
      <c r="K83">
        <v>0.45970299999999997</v>
      </c>
      <c r="L83">
        <v>0.42188599999999998</v>
      </c>
      <c r="M83">
        <v>0.382629</v>
      </c>
      <c r="N83">
        <v>0.34905399999999998</v>
      </c>
      <c r="O83">
        <v>0.31369200000000003</v>
      </c>
      <c r="P83">
        <v>0.27954499999999999</v>
      </c>
      <c r="Q83">
        <v>0.24590100000000001</v>
      </c>
      <c r="R83">
        <v>0.217977</v>
      </c>
      <c r="S83">
        <v>0.19517899999999999</v>
      </c>
      <c r="T83">
        <v>0.176598</v>
      </c>
      <c r="U83">
        <v>0.159026</v>
      </c>
      <c r="V83">
        <v>0.143094</v>
      </c>
      <c r="W83">
        <v>0.12834999999999999</v>
      </c>
      <c r="X83">
        <v>0.115912</v>
      </c>
      <c r="Y83">
        <v>0.105559</v>
      </c>
      <c r="Z83">
        <v>9.7198999999999994E-2</v>
      </c>
      <c r="AA83">
        <v>8.9838000000000001E-2</v>
      </c>
      <c r="AB83">
        <v>8.1617999999999996E-2</v>
      </c>
      <c r="AC83">
        <v>7.1221999999999994E-2</v>
      </c>
      <c r="AD83">
        <v>6.2254999999999998E-2</v>
      </c>
      <c r="AE83" s="71">
        <v>-9.2999999999999999E-2</v>
      </c>
    </row>
    <row r="84" spans="1:31" x14ac:dyDescent="0.45">
      <c r="A84" t="s">
        <v>154</v>
      </c>
      <c r="B84" t="s">
        <v>806</v>
      </c>
      <c r="C84" t="s">
        <v>805</v>
      </c>
      <c r="D84" t="s">
        <v>171</v>
      </c>
      <c r="E84">
        <v>48.444195000000001</v>
      </c>
      <c r="F84">
        <v>51.019061999999998</v>
      </c>
      <c r="G84">
        <v>52.691901999999999</v>
      </c>
      <c r="H84">
        <v>53.914679999999997</v>
      </c>
      <c r="I84">
        <v>54.875397</v>
      </c>
      <c r="J84">
        <v>55.802638999999999</v>
      </c>
      <c r="K84">
        <v>56.484993000000003</v>
      </c>
      <c r="L84">
        <v>57.177016999999999</v>
      </c>
      <c r="M84">
        <v>57.819721000000001</v>
      </c>
      <c r="N84">
        <v>58.623336999999999</v>
      </c>
      <c r="O84">
        <v>59.513756000000001</v>
      </c>
      <c r="P84">
        <v>60.490046999999997</v>
      </c>
      <c r="Q84">
        <v>61.677157999999999</v>
      </c>
      <c r="R84">
        <v>62.966042000000002</v>
      </c>
      <c r="S84">
        <v>64.430603000000005</v>
      </c>
      <c r="T84">
        <v>66.139656000000002</v>
      </c>
      <c r="U84">
        <v>68.012878000000001</v>
      </c>
      <c r="V84">
        <v>70.134583000000006</v>
      </c>
      <c r="W84">
        <v>72.576804999999993</v>
      </c>
      <c r="X84">
        <v>75.479759000000001</v>
      </c>
      <c r="Y84">
        <v>79.939537000000001</v>
      </c>
      <c r="Z84">
        <v>85.082168999999993</v>
      </c>
      <c r="AA84">
        <v>91.892859999999999</v>
      </c>
      <c r="AB84">
        <v>99.368224999999995</v>
      </c>
      <c r="AC84">
        <v>108.25825500000001</v>
      </c>
      <c r="AD84">
        <v>118.883476</v>
      </c>
      <c r="AE84" s="71">
        <v>3.6999999999999998E-2</v>
      </c>
    </row>
    <row r="85" spans="1:31" x14ac:dyDescent="0.45">
      <c r="A85" t="s">
        <v>153</v>
      </c>
      <c r="B85" t="s">
        <v>804</v>
      </c>
      <c r="C85" t="s">
        <v>803</v>
      </c>
      <c r="D85" t="s">
        <v>171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 t="s">
        <v>109</v>
      </c>
    </row>
    <row r="86" spans="1:31" x14ac:dyDescent="0.45">
      <c r="A86" t="s">
        <v>126</v>
      </c>
      <c r="B86" t="s">
        <v>802</v>
      </c>
      <c r="C86" t="s">
        <v>801</v>
      </c>
      <c r="D86" t="s">
        <v>171</v>
      </c>
      <c r="E86">
        <v>2.735252</v>
      </c>
      <c r="F86">
        <v>3.4112490000000002</v>
      </c>
      <c r="G86">
        <v>4.0532360000000001</v>
      </c>
      <c r="H86">
        <v>4.6137119999999996</v>
      </c>
      <c r="I86">
        <v>5.089569</v>
      </c>
      <c r="J86">
        <v>5.5046020000000002</v>
      </c>
      <c r="K86">
        <v>5.8418590000000004</v>
      </c>
      <c r="L86">
        <v>6.1320110000000003</v>
      </c>
      <c r="M86">
        <v>6.3984579999999998</v>
      </c>
      <c r="N86">
        <v>6.6368429999999998</v>
      </c>
      <c r="O86">
        <v>6.8423740000000004</v>
      </c>
      <c r="P86">
        <v>7.0163260000000003</v>
      </c>
      <c r="Q86">
        <v>7.1625639999999997</v>
      </c>
      <c r="R86">
        <v>7.2849009999999996</v>
      </c>
      <c r="S86">
        <v>7.3874380000000004</v>
      </c>
      <c r="T86">
        <v>7.4817859999999996</v>
      </c>
      <c r="U86">
        <v>7.5636729999999996</v>
      </c>
      <c r="V86">
        <v>7.636228</v>
      </c>
      <c r="W86">
        <v>7.6981849999999996</v>
      </c>
      <c r="X86">
        <v>7.7606229999999998</v>
      </c>
      <c r="Y86">
        <v>7.8381790000000002</v>
      </c>
      <c r="Z86">
        <v>7.9206089999999998</v>
      </c>
      <c r="AA86">
        <v>8.0060389999999995</v>
      </c>
      <c r="AB86">
        <v>8.0815249999999992</v>
      </c>
      <c r="AC86">
        <v>8.1609599999999993</v>
      </c>
      <c r="AD86">
        <v>8.2367380000000008</v>
      </c>
      <c r="AE86" s="71">
        <v>4.4999999999999998E-2</v>
      </c>
    </row>
    <row r="87" spans="1:31" x14ac:dyDescent="0.45">
      <c r="A87" t="s">
        <v>151</v>
      </c>
      <c r="B87" t="s">
        <v>800</v>
      </c>
      <c r="C87" t="s">
        <v>799</v>
      </c>
      <c r="D87" t="s">
        <v>171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 t="s">
        <v>109</v>
      </c>
    </row>
    <row r="88" spans="1:31" x14ac:dyDescent="0.45">
      <c r="A88" t="s">
        <v>152</v>
      </c>
      <c r="B88" t="s">
        <v>798</v>
      </c>
      <c r="C88" t="s">
        <v>797</v>
      </c>
      <c r="D88" t="s">
        <v>171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 t="s">
        <v>109</v>
      </c>
    </row>
    <row r="89" spans="1:31" x14ac:dyDescent="0.45">
      <c r="A89" t="s">
        <v>127</v>
      </c>
      <c r="B89" t="s">
        <v>796</v>
      </c>
      <c r="C89" t="s">
        <v>795</v>
      </c>
      <c r="D89" t="s">
        <v>171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 t="s">
        <v>109</v>
      </c>
    </row>
    <row r="90" spans="1:31" x14ac:dyDescent="0.45">
      <c r="A90" t="s">
        <v>150</v>
      </c>
      <c r="B90" t="s">
        <v>794</v>
      </c>
      <c r="C90" t="s">
        <v>793</v>
      </c>
      <c r="D90" t="s">
        <v>171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 t="s">
        <v>109</v>
      </c>
    </row>
    <row r="91" spans="1:31" x14ac:dyDescent="0.45">
      <c r="A91" t="s">
        <v>149</v>
      </c>
      <c r="B91" t="s">
        <v>792</v>
      </c>
      <c r="C91" t="s">
        <v>791</v>
      </c>
      <c r="D91" t="s">
        <v>171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 t="s">
        <v>109</v>
      </c>
    </row>
    <row r="92" spans="1:31" x14ac:dyDescent="0.45">
      <c r="A92" t="s">
        <v>148</v>
      </c>
      <c r="B92" t="s">
        <v>790</v>
      </c>
      <c r="C92" t="s">
        <v>789</v>
      </c>
      <c r="D92" t="s">
        <v>171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 t="s">
        <v>109</v>
      </c>
    </row>
    <row r="93" spans="1:31" x14ac:dyDescent="0.45">
      <c r="A93" t="s">
        <v>186</v>
      </c>
      <c r="B93" t="s">
        <v>788</v>
      </c>
      <c r="C93" t="s">
        <v>787</v>
      </c>
      <c r="D93" t="s">
        <v>171</v>
      </c>
      <c r="E93">
        <v>3954.9565429999998</v>
      </c>
      <c r="F93">
        <v>3964.2004390000002</v>
      </c>
      <c r="G93">
        <v>3980.0810550000001</v>
      </c>
      <c r="H93">
        <v>3989.5629880000001</v>
      </c>
      <c r="I93">
        <v>3990.3696289999998</v>
      </c>
      <c r="J93">
        <v>3999.9721679999998</v>
      </c>
      <c r="K93">
        <v>3993.818115</v>
      </c>
      <c r="L93">
        <v>3981.6635740000002</v>
      </c>
      <c r="M93">
        <v>3961.4685060000002</v>
      </c>
      <c r="N93">
        <v>3949.2685550000001</v>
      </c>
      <c r="O93">
        <v>3940.7785640000002</v>
      </c>
      <c r="P93">
        <v>3934.5979000000002</v>
      </c>
      <c r="Q93">
        <v>3930.7651369999999</v>
      </c>
      <c r="R93">
        <v>3927.2138669999999</v>
      </c>
      <c r="S93">
        <v>3924.7883299999999</v>
      </c>
      <c r="T93">
        <v>3925.3149410000001</v>
      </c>
      <c r="U93">
        <v>3928.0737300000001</v>
      </c>
      <c r="V93">
        <v>3932.369385</v>
      </c>
      <c r="W93">
        <v>3936.1252439999998</v>
      </c>
      <c r="X93">
        <v>3943.4411620000001</v>
      </c>
      <c r="Y93">
        <v>3959.2993160000001</v>
      </c>
      <c r="Z93">
        <v>3977.3645019999999</v>
      </c>
      <c r="AA93">
        <v>3996.525635</v>
      </c>
      <c r="AB93">
        <v>4009.5124510000001</v>
      </c>
      <c r="AC93">
        <v>4023.0124510000001</v>
      </c>
      <c r="AD93">
        <v>4035.4892580000001</v>
      </c>
      <c r="AE93" s="71">
        <v>1E-3</v>
      </c>
    </row>
    <row r="94" spans="1:31" x14ac:dyDescent="0.45">
      <c r="A94" t="s">
        <v>191</v>
      </c>
      <c r="B94" t="s">
        <v>206</v>
      </c>
      <c r="C94" t="s">
        <v>205</v>
      </c>
    </row>
    <row r="95" spans="1:31" x14ac:dyDescent="0.45">
      <c r="A95" t="s">
        <v>156</v>
      </c>
      <c r="B95" t="s">
        <v>786</v>
      </c>
      <c r="C95" t="s">
        <v>785</v>
      </c>
      <c r="D95" t="s">
        <v>171</v>
      </c>
      <c r="E95">
        <v>4997.1367190000001</v>
      </c>
      <c r="F95">
        <v>4975.107422</v>
      </c>
      <c r="G95">
        <v>4961.0571289999998</v>
      </c>
      <c r="H95">
        <v>4943.078125</v>
      </c>
      <c r="I95">
        <v>4917.5859380000002</v>
      </c>
      <c r="J95">
        <v>4905.7714839999999</v>
      </c>
      <c r="K95">
        <v>4876.5927730000003</v>
      </c>
      <c r="L95">
        <v>4843.0546880000002</v>
      </c>
      <c r="M95">
        <v>4800.2348629999997</v>
      </c>
      <c r="N95">
        <v>4766.9184569999998</v>
      </c>
      <c r="O95">
        <v>4737.4790039999998</v>
      </c>
      <c r="P95">
        <v>4710.3535160000001</v>
      </c>
      <c r="Q95">
        <v>4686.2397460000002</v>
      </c>
      <c r="R95">
        <v>4663.2543949999999</v>
      </c>
      <c r="S95">
        <v>4642.1132809999999</v>
      </c>
      <c r="T95">
        <v>4624.998047</v>
      </c>
      <c r="U95">
        <v>4609.1933589999999</v>
      </c>
      <c r="V95">
        <v>4594.2734380000002</v>
      </c>
      <c r="W95">
        <v>4577.6591799999997</v>
      </c>
      <c r="X95">
        <v>4563.919922</v>
      </c>
      <c r="Y95">
        <v>4557.7451170000004</v>
      </c>
      <c r="Z95">
        <v>4554.2109380000002</v>
      </c>
      <c r="AA95">
        <v>4551.3090819999998</v>
      </c>
      <c r="AB95">
        <v>4541.2246089999999</v>
      </c>
      <c r="AC95">
        <v>4531.267578</v>
      </c>
      <c r="AD95">
        <v>4518.8535160000001</v>
      </c>
      <c r="AE95" s="71">
        <v>-4.0000000000000001E-3</v>
      </c>
    </row>
    <row r="96" spans="1:31" x14ac:dyDescent="0.45">
      <c r="A96" t="s">
        <v>157</v>
      </c>
      <c r="B96" t="s">
        <v>784</v>
      </c>
      <c r="C96" t="s">
        <v>783</v>
      </c>
      <c r="D96" t="s">
        <v>171</v>
      </c>
      <c r="E96">
        <v>594.33776899999998</v>
      </c>
      <c r="F96">
        <v>598.75500499999998</v>
      </c>
      <c r="G96">
        <v>604.342896</v>
      </c>
      <c r="H96">
        <v>611.15808100000004</v>
      </c>
      <c r="I96">
        <v>618.42138699999998</v>
      </c>
      <c r="J96">
        <v>628.08691399999998</v>
      </c>
      <c r="K96">
        <v>635.69915800000001</v>
      </c>
      <c r="L96">
        <v>643.69879200000003</v>
      </c>
      <c r="M96">
        <v>649.484375</v>
      </c>
      <c r="N96">
        <v>655.29211399999997</v>
      </c>
      <c r="O96">
        <v>659.57080099999996</v>
      </c>
      <c r="P96">
        <v>661.86743200000001</v>
      </c>
      <c r="Q96">
        <v>663.480591</v>
      </c>
      <c r="R96">
        <v>664.69061299999998</v>
      </c>
      <c r="S96">
        <v>665.73199499999998</v>
      </c>
      <c r="T96">
        <v>666.73687700000005</v>
      </c>
      <c r="U96">
        <v>666.10913100000005</v>
      </c>
      <c r="V96">
        <v>663.44244400000002</v>
      </c>
      <c r="W96">
        <v>658.13592500000004</v>
      </c>
      <c r="X96">
        <v>650.93102999999996</v>
      </c>
      <c r="Y96">
        <v>643.29144299999996</v>
      </c>
      <c r="Z96">
        <v>635.552368</v>
      </c>
      <c r="AA96">
        <v>627.86859100000004</v>
      </c>
      <c r="AB96">
        <v>618.96032700000001</v>
      </c>
      <c r="AC96">
        <v>610.62438999999995</v>
      </c>
      <c r="AD96">
        <v>602.03479000000004</v>
      </c>
      <c r="AE96" s="71">
        <v>1E-3</v>
      </c>
    </row>
    <row r="97" spans="1:31" x14ac:dyDescent="0.45">
      <c r="A97" t="s">
        <v>155</v>
      </c>
      <c r="B97" t="s">
        <v>782</v>
      </c>
      <c r="C97" t="s">
        <v>781</v>
      </c>
      <c r="D97" t="s">
        <v>171</v>
      </c>
      <c r="E97">
        <v>1.1018319999999999</v>
      </c>
      <c r="F97">
        <v>1.0055050000000001</v>
      </c>
      <c r="G97">
        <v>0.91988199999999998</v>
      </c>
      <c r="H97">
        <v>0.84195600000000004</v>
      </c>
      <c r="I97">
        <v>0.759629</v>
      </c>
      <c r="J97">
        <v>0.70000899999999999</v>
      </c>
      <c r="K97">
        <v>0.63672899999999999</v>
      </c>
      <c r="L97">
        <v>0.58002100000000001</v>
      </c>
      <c r="M97">
        <v>0.52408399999999999</v>
      </c>
      <c r="N97">
        <v>0.47346700000000003</v>
      </c>
      <c r="O97">
        <v>0.42549100000000001</v>
      </c>
      <c r="P97">
        <v>0.38144099999999997</v>
      </c>
      <c r="Q97">
        <v>0.33996799999999999</v>
      </c>
      <c r="R97">
        <v>0.30531399999999997</v>
      </c>
      <c r="S97">
        <v>0.276835</v>
      </c>
      <c r="T97">
        <v>0.25370599999999999</v>
      </c>
      <c r="U97">
        <v>0.23196800000000001</v>
      </c>
      <c r="V97">
        <v>0.21238799999999999</v>
      </c>
      <c r="W97">
        <v>0.194351</v>
      </c>
      <c r="X97">
        <v>0.17871999999999999</v>
      </c>
      <c r="Y97">
        <v>0.166517</v>
      </c>
      <c r="Z97">
        <v>0.156031</v>
      </c>
      <c r="AA97">
        <v>0.14676600000000001</v>
      </c>
      <c r="AB97">
        <v>0.13325999999999999</v>
      </c>
      <c r="AC97">
        <v>0.114328</v>
      </c>
      <c r="AD97">
        <v>9.8664000000000002E-2</v>
      </c>
      <c r="AE97" s="71">
        <v>-9.1999999999999998E-2</v>
      </c>
    </row>
    <row r="98" spans="1:31" x14ac:dyDescent="0.45">
      <c r="A98" t="s">
        <v>154</v>
      </c>
      <c r="B98" t="s">
        <v>780</v>
      </c>
      <c r="C98" t="s">
        <v>779</v>
      </c>
      <c r="D98" t="s">
        <v>171</v>
      </c>
      <c r="E98">
        <v>52.922004999999999</v>
      </c>
      <c r="F98">
        <v>56.340935000000002</v>
      </c>
      <c r="G98">
        <v>58.401608000000003</v>
      </c>
      <c r="H98">
        <v>59.865775999999997</v>
      </c>
      <c r="I98">
        <v>61.010295999999997</v>
      </c>
      <c r="J98">
        <v>62.121937000000003</v>
      </c>
      <c r="K98">
        <v>62.948287999999998</v>
      </c>
      <c r="L98">
        <v>63.788257999999999</v>
      </c>
      <c r="M98">
        <v>64.557060000000007</v>
      </c>
      <c r="N98">
        <v>65.484650000000002</v>
      </c>
      <c r="O98">
        <v>66.507660000000001</v>
      </c>
      <c r="P98">
        <v>67.622551000000001</v>
      </c>
      <c r="Q98">
        <v>69.002441000000005</v>
      </c>
      <c r="R98">
        <v>70.494606000000005</v>
      </c>
      <c r="S98">
        <v>72.186286999999993</v>
      </c>
      <c r="T98">
        <v>74.229529999999997</v>
      </c>
      <c r="U98">
        <v>76.506332</v>
      </c>
      <c r="V98">
        <v>79.159592000000004</v>
      </c>
      <c r="W98">
        <v>82.212975</v>
      </c>
      <c r="X98">
        <v>85.820694000000003</v>
      </c>
      <c r="Y98">
        <v>91.135513000000003</v>
      </c>
      <c r="Z98">
        <v>97.173477000000005</v>
      </c>
      <c r="AA98">
        <v>105.050949</v>
      </c>
      <c r="AB98">
        <v>113.703018</v>
      </c>
      <c r="AC98">
        <v>123.809883</v>
      </c>
      <c r="AD98">
        <v>135.84651199999999</v>
      </c>
      <c r="AE98" s="71">
        <v>3.7999999999999999E-2</v>
      </c>
    </row>
    <row r="99" spans="1:31" x14ac:dyDescent="0.45">
      <c r="A99" t="s">
        <v>153</v>
      </c>
      <c r="B99" t="s">
        <v>778</v>
      </c>
      <c r="C99" t="s">
        <v>777</v>
      </c>
      <c r="D99" t="s">
        <v>171</v>
      </c>
      <c r="E99">
        <v>39.737304999999999</v>
      </c>
      <c r="F99">
        <v>35.959342999999997</v>
      </c>
      <c r="G99">
        <v>32.354247999999998</v>
      </c>
      <c r="H99">
        <v>29.096765999999999</v>
      </c>
      <c r="I99">
        <v>26.181684000000001</v>
      </c>
      <c r="J99">
        <v>23.588186</v>
      </c>
      <c r="K99">
        <v>21.186373</v>
      </c>
      <c r="L99">
        <v>19.039252999999999</v>
      </c>
      <c r="M99">
        <v>17.057680000000001</v>
      </c>
      <c r="N99">
        <v>15.336359</v>
      </c>
      <c r="O99">
        <v>13.787025</v>
      </c>
      <c r="P99">
        <v>12.392170999999999</v>
      </c>
      <c r="Q99">
        <v>11.123348</v>
      </c>
      <c r="R99">
        <v>10.005611</v>
      </c>
      <c r="S99">
        <v>8.9781940000000002</v>
      </c>
      <c r="T99">
        <v>8.0834139999999994</v>
      </c>
      <c r="U99">
        <v>7.3061550000000004</v>
      </c>
      <c r="V99">
        <v>6.6063869999999998</v>
      </c>
      <c r="W99">
        <v>5.9861909999999998</v>
      </c>
      <c r="X99">
        <v>5.3898950000000001</v>
      </c>
      <c r="Y99">
        <v>4.798692</v>
      </c>
      <c r="Z99">
        <v>4.239973</v>
      </c>
      <c r="AA99">
        <v>3.720478</v>
      </c>
      <c r="AB99">
        <v>3.1705040000000002</v>
      </c>
      <c r="AC99">
        <v>2.6378680000000001</v>
      </c>
      <c r="AD99">
        <v>2.120949</v>
      </c>
      <c r="AE99" s="71">
        <v>-0.111</v>
      </c>
    </row>
    <row r="100" spans="1:31" x14ac:dyDescent="0.45">
      <c r="A100" t="s">
        <v>126</v>
      </c>
      <c r="B100" t="s">
        <v>776</v>
      </c>
      <c r="C100" t="s">
        <v>775</v>
      </c>
      <c r="D100" t="s">
        <v>171</v>
      </c>
      <c r="E100">
        <v>3.7342689999999998</v>
      </c>
      <c r="F100">
        <v>4.5720749999999999</v>
      </c>
      <c r="G100">
        <v>5.362552</v>
      </c>
      <c r="H100">
        <v>6.0566069999999996</v>
      </c>
      <c r="I100">
        <v>6.6575410000000002</v>
      </c>
      <c r="J100">
        <v>7.1974010000000002</v>
      </c>
      <c r="K100">
        <v>7.6468590000000001</v>
      </c>
      <c r="L100">
        <v>8.0460650000000005</v>
      </c>
      <c r="M100">
        <v>8.422758</v>
      </c>
      <c r="N100">
        <v>8.7704640000000005</v>
      </c>
      <c r="O100">
        <v>9.0797880000000006</v>
      </c>
      <c r="P100">
        <v>9.3509309999999992</v>
      </c>
      <c r="Q100">
        <v>9.5922470000000004</v>
      </c>
      <c r="R100">
        <v>9.8079490000000007</v>
      </c>
      <c r="S100">
        <v>10.002215</v>
      </c>
      <c r="T100">
        <v>10.465047</v>
      </c>
      <c r="U100">
        <v>11.709027000000001</v>
      </c>
      <c r="V100">
        <v>14.192094000000001</v>
      </c>
      <c r="W100">
        <v>17.879041999999998</v>
      </c>
      <c r="X100">
        <v>22.954516999999999</v>
      </c>
      <c r="Y100">
        <v>29.290361000000001</v>
      </c>
      <c r="Z100">
        <v>36.204524999999997</v>
      </c>
      <c r="AA100">
        <v>43.701210000000003</v>
      </c>
      <c r="AB100">
        <v>51.688599000000004</v>
      </c>
      <c r="AC100">
        <v>59.918716000000003</v>
      </c>
      <c r="AD100">
        <v>68.077270999999996</v>
      </c>
      <c r="AE100" s="71">
        <v>0.123</v>
      </c>
    </row>
    <row r="101" spans="1:31" x14ac:dyDescent="0.45">
      <c r="A101" t="s">
        <v>151</v>
      </c>
      <c r="B101" t="s">
        <v>774</v>
      </c>
      <c r="C101" t="s">
        <v>773</v>
      </c>
      <c r="D101" t="s">
        <v>171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0</v>
      </c>
      <c r="AD101">
        <v>0</v>
      </c>
      <c r="AE101" t="s">
        <v>109</v>
      </c>
    </row>
    <row r="102" spans="1:31" x14ac:dyDescent="0.45">
      <c r="A102" t="s">
        <v>152</v>
      </c>
      <c r="B102" t="s">
        <v>772</v>
      </c>
      <c r="C102" t="s">
        <v>771</v>
      </c>
      <c r="D102" t="s">
        <v>171</v>
      </c>
      <c r="E102">
        <v>9.1743000000000005E-2</v>
      </c>
      <c r="F102">
        <v>8.3749000000000004E-2</v>
      </c>
      <c r="G102">
        <v>7.6347999999999999E-2</v>
      </c>
      <c r="H102">
        <v>6.9262000000000004E-2</v>
      </c>
      <c r="I102">
        <v>6.3265000000000002E-2</v>
      </c>
      <c r="J102">
        <v>5.7866000000000001E-2</v>
      </c>
      <c r="K102">
        <v>5.2988E-2</v>
      </c>
      <c r="L102">
        <v>4.9092999999999998E-2</v>
      </c>
      <c r="M102">
        <v>4.4872000000000002E-2</v>
      </c>
      <c r="N102">
        <v>4.1120999999999998E-2</v>
      </c>
      <c r="O102">
        <v>3.7033999999999997E-2</v>
      </c>
      <c r="P102">
        <v>3.3831E-2</v>
      </c>
      <c r="Q102">
        <v>3.0966E-2</v>
      </c>
      <c r="R102">
        <v>2.8389999999999999E-2</v>
      </c>
      <c r="S102">
        <v>2.614E-2</v>
      </c>
      <c r="T102">
        <v>2.3975E-2</v>
      </c>
      <c r="U102">
        <v>2.1774000000000002E-2</v>
      </c>
      <c r="V102">
        <v>1.9893000000000001E-2</v>
      </c>
      <c r="W102">
        <v>1.7947999999999999E-2</v>
      </c>
      <c r="X102">
        <v>1.6112000000000001E-2</v>
      </c>
      <c r="Y102">
        <v>1.5117E-2</v>
      </c>
      <c r="Z102">
        <v>1.4002000000000001E-2</v>
      </c>
      <c r="AA102">
        <v>1.3051999999999999E-2</v>
      </c>
      <c r="AB102">
        <v>1.2132E-2</v>
      </c>
      <c r="AC102">
        <v>1.1224E-2</v>
      </c>
      <c r="AD102">
        <v>1.0387E-2</v>
      </c>
      <c r="AE102" s="71">
        <v>-8.3000000000000004E-2</v>
      </c>
    </row>
    <row r="103" spans="1:31" x14ac:dyDescent="0.45">
      <c r="A103" t="s">
        <v>127</v>
      </c>
      <c r="B103" t="s">
        <v>770</v>
      </c>
      <c r="C103" t="s">
        <v>769</v>
      </c>
      <c r="D103" t="s">
        <v>171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0</v>
      </c>
      <c r="AD103">
        <v>0</v>
      </c>
      <c r="AE103" t="s">
        <v>109</v>
      </c>
    </row>
    <row r="104" spans="1:31" x14ac:dyDescent="0.45">
      <c r="A104" t="s">
        <v>150</v>
      </c>
      <c r="B104" t="s">
        <v>768</v>
      </c>
      <c r="C104" t="s">
        <v>767</v>
      </c>
      <c r="D104" t="s">
        <v>171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>
        <v>0</v>
      </c>
      <c r="AD104">
        <v>0</v>
      </c>
      <c r="AE104" t="s">
        <v>109</v>
      </c>
    </row>
    <row r="105" spans="1:31" x14ac:dyDescent="0.45">
      <c r="A105" t="s">
        <v>149</v>
      </c>
      <c r="B105" t="s">
        <v>766</v>
      </c>
      <c r="C105" t="s">
        <v>765</v>
      </c>
      <c r="D105" t="s">
        <v>171</v>
      </c>
      <c r="E105">
        <v>1.399367</v>
      </c>
      <c r="F105">
        <v>3.573369</v>
      </c>
      <c r="G105">
        <v>6.3785850000000002</v>
      </c>
      <c r="H105">
        <v>9.7292660000000009</v>
      </c>
      <c r="I105">
        <v>13.80715</v>
      </c>
      <c r="J105">
        <v>19.246480999999999</v>
      </c>
      <c r="K105">
        <v>26.105751000000001</v>
      </c>
      <c r="L105">
        <v>34.836509999999997</v>
      </c>
      <c r="M105">
        <v>45.977417000000003</v>
      </c>
      <c r="N105">
        <v>59.992493000000003</v>
      </c>
      <c r="O105">
        <v>77.208922999999999</v>
      </c>
      <c r="P105">
        <v>97.888076999999996</v>
      </c>
      <c r="Q105">
        <v>121.28106699999999</v>
      </c>
      <c r="R105">
        <v>146.634308</v>
      </c>
      <c r="S105">
        <v>173.20919799999999</v>
      </c>
      <c r="T105">
        <v>200.31654399999999</v>
      </c>
      <c r="U105">
        <v>227.05197100000001</v>
      </c>
      <c r="V105">
        <v>252.91201799999999</v>
      </c>
      <c r="W105">
        <v>277.37960800000002</v>
      </c>
      <c r="X105">
        <v>300.81640599999997</v>
      </c>
      <c r="Y105">
        <v>323.81274400000001</v>
      </c>
      <c r="Z105">
        <v>346.10037199999999</v>
      </c>
      <c r="AA105">
        <v>367.86077899999998</v>
      </c>
      <c r="AB105">
        <v>388.36615</v>
      </c>
      <c r="AC105">
        <v>407.82025099999998</v>
      </c>
      <c r="AD105">
        <v>425.619934</v>
      </c>
      <c r="AE105" s="71">
        <v>0.25700000000000001</v>
      </c>
    </row>
    <row r="106" spans="1:31" x14ac:dyDescent="0.45">
      <c r="A106" t="s">
        <v>148</v>
      </c>
      <c r="B106" t="s">
        <v>764</v>
      </c>
      <c r="C106" t="s">
        <v>763</v>
      </c>
      <c r="D106" t="s">
        <v>171</v>
      </c>
      <c r="E106">
        <v>0</v>
      </c>
      <c r="F106">
        <v>0</v>
      </c>
      <c r="G106">
        <v>0</v>
      </c>
      <c r="H106">
        <v>0</v>
      </c>
      <c r="I106">
        <v>0</v>
      </c>
      <c r="J106">
        <v>0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0</v>
      </c>
      <c r="AE106" t="s">
        <v>109</v>
      </c>
    </row>
    <row r="107" spans="1:31" x14ac:dyDescent="0.45">
      <c r="A107" t="s">
        <v>204</v>
      </c>
      <c r="B107" t="s">
        <v>762</v>
      </c>
      <c r="C107" t="s">
        <v>761</v>
      </c>
      <c r="D107" t="s">
        <v>171</v>
      </c>
      <c r="E107">
        <v>5690.4628910000001</v>
      </c>
      <c r="F107">
        <v>5675.3979490000002</v>
      </c>
      <c r="G107">
        <v>5668.8930659999996</v>
      </c>
      <c r="H107">
        <v>5659.8959960000002</v>
      </c>
      <c r="I107">
        <v>5644.486328</v>
      </c>
      <c r="J107">
        <v>5646.7714839999999</v>
      </c>
      <c r="K107">
        <v>5630.8686520000001</v>
      </c>
      <c r="L107">
        <v>5613.091797</v>
      </c>
      <c r="M107">
        <v>5586.3022460000002</v>
      </c>
      <c r="N107">
        <v>5572.310547</v>
      </c>
      <c r="O107">
        <v>5564.0947269999997</v>
      </c>
      <c r="P107">
        <v>5559.8891599999997</v>
      </c>
      <c r="Q107">
        <v>5561.0864259999998</v>
      </c>
      <c r="R107">
        <v>5565.220703</v>
      </c>
      <c r="S107">
        <v>5572.5239259999998</v>
      </c>
      <c r="T107">
        <v>5585.1059569999998</v>
      </c>
      <c r="U107">
        <v>5598.1289059999999</v>
      </c>
      <c r="V107">
        <v>5610.8188479999999</v>
      </c>
      <c r="W107">
        <v>5619.4677730000003</v>
      </c>
      <c r="X107">
        <v>5630.0268550000001</v>
      </c>
      <c r="Y107">
        <v>5650.2573240000002</v>
      </c>
      <c r="Z107">
        <v>5673.6513670000004</v>
      </c>
      <c r="AA107">
        <v>5699.6694340000004</v>
      </c>
      <c r="AB107">
        <v>5717.2587890000004</v>
      </c>
      <c r="AC107">
        <v>5736.2036129999997</v>
      </c>
      <c r="AD107">
        <v>5752.6611329999996</v>
      </c>
      <c r="AE107" s="71">
        <v>0</v>
      </c>
    </row>
    <row r="108" spans="1:31" x14ac:dyDescent="0.45">
      <c r="A108" t="s">
        <v>200</v>
      </c>
    </row>
    <row r="109" spans="1:31" x14ac:dyDescent="0.45">
      <c r="A109" t="s">
        <v>191</v>
      </c>
    </row>
    <row r="110" spans="1:31" x14ac:dyDescent="0.45">
      <c r="A110" t="s">
        <v>156</v>
      </c>
      <c r="B110" t="s">
        <v>760</v>
      </c>
      <c r="C110" t="s">
        <v>759</v>
      </c>
      <c r="D110" t="s">
        <v>195</v>
      </c>
      <c r="E110">
        <v>14.359610999999999</v>
      </c>
      <c r="F110">
        <v>14.398097</v>
      </c>
      <c r="G110">
        <v>14.449427</v>
      </c>
      <c r="H110">
        <v>14.510878999999999</v>
      </c>
      <c r="I110">
        <v>14.581574</v>
      </c>
      <c r="J110">
        <v>14.656205</v>
      </c>
      <c r="K110">
        <v>14.7301</v>
      </c>
      <c r="L110">
        <v>14.802655</v>
      </c>
      <c r="M110">
        <v>14.870027</v>
      </c>
      <c r="N110">
        <v>14.930455</v>
      </c>
      <c r="O110">
        <v>14.984055</v>
      </c>
      <c r="P110">
        <v>15.031234</v>
      </c>
      <c r="Q110">
        <v>15.074638</v>
      </c>
      <c r="R110">
        <v>15.115396</v>
      </c>
      <c r="S110">
        <v>15.154358</v>
      </c>
      <c r="T110">
        <v>15.189045</v>
      </c>
      <c r="U110">
        <v>15.222073</v>
      </c>
      <c r="V110">
        <v>15.250073</v>
      </c>
      <c r="W110">
        <v>15.272928</v>
      </c>
      <c r="X110">
        <v>15.293148</v>
      </c>
      <c r="Y110">
        <v>15.313901</v>
      </c>
      <c r="Z110">
        <v>15.333830000000001</v>
      </c>
      <c r="AA110">
        <v>15.353204</v>
      </c>
      <c r="AB110">
        <v>15.375071999999999</v>
      </c>
      <c r="AC110">
        <v>15.399183000000001</v>
      </c>
      <c r="AD110">
        <v>15.42559</v>
      </c>
      <c r="AE110" s="71">
        <v>3.0000000000000001E-3</v>
      </c>
    </row>
    <row r="111" spans="1:31" x14ac:dyDescent="0.45">
      <c r="A111" t="s">
        <v>157</v>
      </c>
      <c r="B111" t="s">
        <v>758</v>
      </c>
      <c r="C111" t="s">
        <v>757</v>
      </c>
      <c r="D111" t="s">
        <v>196</v>
      </c>
      <c r="E111">
        <v>11.648208</v>
      </c>
      <c r="F111">
        <v>11.692019999999999</v>
      </c>
      <c r="G111">
        <v>11.732587000000001</v>
      </c>
      <c r="H111">
        <v>11.770702</v>
      </c>
      <c r="I111">
        <v>11.80588</v>
      </c>
      <c r="J111">
        <v>11.840004</v>
      </c>
      <c r="K111">
        <v>11.870554</v>
      </c>
      <c r="L111">
        <v>11.897607000000001</v>
      </c>
      <c r="M111">
        <v>11.920895</v>
      </c>
      <c r="N111">
        <v>11.940681</v>
      </c>
      <c r="O111">
        <v>11.956756</v>
      </c>
      <c r="P111">
        <v>11.970393</v>
      </c>
      <c r="Q111">
        <v>11.982165</v>
      </c>
      <c r="R111">
        <v>11.992505</v>
      </c>
      <c r="S111">
        <v>12.001664</v>
      </c>
      <c r="T111">
        <v>12.009396000000001</v>
      </c>
      <c r="U111">
        <v>12.016961</v>
      </c>
      <c r="V111">
        <v>12.024274999999999</v>
      </c>
      <c r="W111">
        <v>12.031643000000001</v>
      </c>
      <c r="X111">
        <v>12.04025</v>
      </c>
      <c r="Y111">
        <v>12.051066</v>
      </c>
      <c r="Z111">
        <v>12.063896</v>
      </c>
      <c r="AA111">
        <v>12.079658</v>
      </c>
      <c r="AB111">
        <v>12.099344</v>
      </c>
      <c r="AC111">
        <v>12.122156</v>
      </c>
      <c r="AD111">
        <v>12.147543000000001</v>
      </c>
      <c r="AE111" s="71">
        <v>2E-3</v>
      </c>
    </row>
    <row r="112" spans="1:31" x14ac:dyDescent="0.45">
      <c r="A112" t="s">
        <v>155</v>
      </c>
      <c r="B112" t="s">
        <v>756</v>
      </c>
      <c r="C112" t="s">
        <v>755</v>
      </c>
      <c r="D112" t="s">
        <v>196</v>
      </c>
      <c r="E112">
        <v>9.0984429999999996</v>
      </c>
      <c r="F112">
        <v>9.3260009999999998</v>
      </c>
      <c r="G112">
        <v>9.5431349999999995</v>
      </c>
      <c r="H112">
        <v>9.7347920000000006</v>
      </c>
      <c r="I112">
        <v>9.8992360000000001</v>
      </c>
      <c r="J112">
        <v>10.056539000000001</v>
      </c>
      <c r="K112">
        <v>10.196868</v>
      </c>
      <c r="L112">
        <v>10.321576</v>
      </c>
      <c r="M112">
        <v>10.483592</v>
      </c>
      <c r="N112">
        <v>10.692308000000001</v>
      </c>
      <c r="O112">
        <v>10.862462000000001</v>
      </c>
      <c r="P112">
        <v>10.995843000000001</v>
      </c>
      <c r="Q112">
        <v>11.099283</v>
      </c>
      <c r="R112">
        <v>11.180415999999999</v>
      </c>
      <c r="S112">
        <v>11.24531</v>
      </c>
      <c r="T112">
        <v>11.298456</v>
      </c>
      <c r="U112">
        <v>11.342484000000001</v>
      </c>
      <c r="V112">
        <v>11.379421000000001</v>
      </c>
      <c r="W112">
        <v>11.410360000000001</v>
      </c>
      <c r="X112">
        <v>11.436101000000001</v>
      </c>
      <c r="Y112">
        <v>11.457826000000001</v>
      </c>
      <c r="Z112">
        <v>11.476547</v>
      </c>
      <c r="AA112">
        <v>11.494026</v>
      </c>
      <c r="AB112">
        <v>11.510035</v>
      </c>
      <c r="AC112">
        <v>11.525211000000001</v>
      </c>
      <c r="AD112">
        <v>11.540186</v>
      </c>
      <c r="AE112" s="71">
        <v>0.01</v>
      </c>
    </row>
    <row r="113" spans="1:31" x14ac:dyDescent="0.45">
      <c r="A113" t="s">
        <v>154</v>
      </c>
      <c r="B113" t="s">
        <v>754</v>
      </c>
      <c r="C113" t="s">
        <v>753</v>
      </c>
      <c r="D113" t="s">
        <v>196</v>
      </c>
      <c r="E113">
        <v>10.798792000000001</v>
      </c>
      <c r="F113">
        <v>10.856293000000001</v>
      </c>
      <c r="G113">
        <v>10.873944</v>
      </c>
      <c r="H113">
        <v>10.886034</v>
      </c>
      <c r="I113">
        <v>10.903517000000001</v>
      </c>
      <c r="J113">
        <v>10.925915</v>
      </c>
      <c r="K113">
        <v>10.956035</v>
      </c>
      <c r="L113">
        <v>11.000768000000001</v>
      </c>
      <c r="M113">
        <v>11.056091</v>
      </c>
      <c r="N113">
        <v>11.121807</v>
      </c>
      <c r="O113">
        <v>11.201555000000001</v>
      </c>
      <c r="P113">
        <v>11.290599</v>
      </c>
      <c r="Q113">
        <v>11.404916999999999</v>
      </c>
      <c r="R113">
        <v>11.513266</v>
      </c>
      <c r="S113">
        <v>11.608107</v>
      </c>
      <c r="T113">
        <v>11.704617000000001</v>
      </c>
      <c r="U113">
        <v>11.785418999999999</v>
      </c>
      <c r="V113">
        <v>11.862076</v>
      </c>
      <c r="W113">
        <v>11.925978000000001</v>
      </c>
      <c r="X113">
        <v>11.977753999999999</v>
      </c>
      <c r="Y113">
        <v>12.020346</v>
      </c>
      <c r="Z113">
        <v>12.053824000000001</v>
      </c>
      <c r="AA113">
        <v>12.081751000000001</v>
      </c>
      <c r="AB113">
        <v>12.103702</v>
      </c>
      <c r="AC113">
        <v>12.121206000000001</v>
      </c>
      <c r="AD113">
        <v>12.13481</v>
      </c>
      <c r="AE113" s="71">
        <v>5.0000000000000001E-3</v>
      </c>
    </row>
    <row r="114" spans="1:31" x14ac:dyDescent="0.45">
      <c r="A114" t="s">
        <v>153</v>
      </c>
      <c r="B114" t="s">
        <v>752</v>
      </c>
      <c r="C114" t="s">
        <v>751</v>
      </c>
      <c r="D114" t="s">
        <v>196</v>
      </c>
      <c r="E114">
        <v>10.104222999999999</v>
      </c>
      <c r="F114">
        <v>10.103422999999999</v>
      </c>
      <c r="G114">
        <v>10.104282</v>
      </c>
      <c r="H114">
        <v>10.105582</v>
      </c>
      <c r="I114">
        <v>10.107865</v>
      </c>
      <c r="J114">
        <v>10.109615</v>
      </c>
      <c r="K114">
        <v>10.110649</v>
      </c>
      <c r="L114">
        <v>10.109721</v>
      </c>
      <c r="M114">
        <v>10.106567999999999</v>
      </c>
      <c r="N114">
        <v>10.100712</v>
      </c>
      <c r="O114">
        <v>10.095901</v>
      </c>
      <c r="P114">
        <v>10.095756</v>
      </c>
      <c r="Q114">
        <v>10.098545</v>
      </c>
      <c r="R114">
        <v>10.103472999999999</v>
      </c>
      <c r="S114">
        <v>10.108295</v>
      </c>
      <c r="T114">
        <v>10.108884</v>
      </c>
      <c r="U114">
        <v>10.107077</v>
      </c>
      <c r="V114">
        <v>10.106192</v>
      </c>
      <c r="W114">
        <v>10.108479000000001</v>
      </c>
      <c r="X114">
        <v>10.114791</v>
      </c>
      <c r="Y114">
        <v>10.104162000000001</v>
      </c>
      <c r="Z114">
        <v>10.082758999999999</v>
      </c>
      <c r="AA114">
        <v>10.062147</v>
      </c>
      <c r="AB114">
        <v>10.066388999999999</v>
      </c>
      <c r="AC114">
        <v>10.09995</v>
      </c>
      <c r="AD114">
        <v>10.152122</v>
      </c>
      <c r="AE114" s="71">
        <v>0</v>
      </c>
    </row>
    <row r="115" spans="1:31" x14ac:dyDescent="0.45">
      <c r="A115" t="s">
        <v>126</v>
      </c>
      <c r="B115" t="s">
        <v>750</v>
      </c>
      <c r="C115" t="s">
        <v>749</v>
      </c>
      <c r="D115" t="s">
        <v>195</v>
      </c>
      <c r="E115">
        <v>41.511620000000001</v>
      </c>
      <c r="F115">
        <v>41.696468000000003</v>
      </c>
      <c r="G115">
        <v>41.829937000000001</v>
      </c>
      <c r="H115">
        <v>41.921967000000002</v>
      </c>
      <c r="I115">
        <v>41.993893</v>
      </c>
      <c r="J115">
        <v>42.050266000000001</v>
      </c>
      <c r="K115">
        <v>42.093589999999999</v>
      </c>
      <c r="L115">
        <v>42.129646000000001</v>
      </c>
      <c r="M115">
        <v>42.159191</v>
      </c>
      <c r="N115">
        <v>42.184593</v>
      </c>
      <c r="O115">
        <v>42.206271999999998</v>
      </c>
      <c r="P115">
        <v>42.224888</v>
      </c>
      <c r="Q115">
        <v>42.240642999999999</v>
      </c>
      <c r="R115">
        <v>42.254711</v>
      </c>
      <c r="S115">
        <v>42.266285000000003</v>
      </c>
      <c r="T115">
        <v>42.285941999999999</v>
      </c>
      <c r="U115">
        <v>42.313564</v>
      </c>
      <c r="V115">
        <v>42.334465000000002</v>
      </c>
      <c r="W115">
        <v>42.345627</v>
      </c>
      <c r="X115">
        <v>42.351711000000002</v>
      </c>
      <c r="Y115">
        <v>42.354942000000001</v>
      </c>
      <c r="Z115">
        <v>42.356772999999997</v>
      </c>
      <c r="AA115">
        <v>42.357914000000001</v>
      </c>
      <c r="AB115">
        <v>42.358559</v>
      </c>
      <c r="AC115">
        <v>42.359000999999999</v>
      </c>
      <c r="AD115">
        <v>42.359290999999999</v>
      </c>
      <c r="AE115" s="71">
        <v>1E-3</v>
      </c>
    </row>
    <row r="116" spans="1:31" x14ac:dyDescent="0.45">
      <c r="A116" t="s">
        <v>151</v>
      </c>
      <c r="B116" t="s">
        <v>748</v>
      </c>
      <c r="C116" t="s">
        <v>747</v>
      </c>
      <c r="D116" t="s">
        <v>195</v>
      </c>
      <c r="E116">
        <v>0</v>
      </c>
      <c r="F116">
        <v>0</v>
      </c>
      <c r="G116">
        <v>0</v>
      </c>
      <c r="H116">
        <v>0</v>
      </c>
      <c r="I116">
        <v>0</v>
      </c>
      <c r="J116">
        <v>0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v>0</v>
      </c>
      <c r="AD116">
        <v>0</v>
      </c>
      <c r="AE116" t="s">
        <v>109</v>
      </c>
    </row>
    <row r="117" spans="1:31" x14ac:dyDescent="0.45">
      <c r="A117" t="s">
        <v>152</v>
      </c>
      <c r="B117" t="s">
        <v>746</v>
      </c>
      <c r="C117" t="s">
        <v>745</v>
      </c>
      <c r="D117" t="s">
        <v>196</v>
      </c>
      <c r="E117">
        <v>0</v>
      </c>
      <c r="F117">
        <v>0</v>
      </c>
      <c r="G117">
        <v>0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0</v>
      </c>
      <c r="AC117">
        <v>0</v>
      </c>
      <c r="AD117">
        <v>0</v>
      </c>
      <c r="AE117" t="s">
        <v>109</v>
      </c>
    </row>
    <row r="118" spans="1:31" x14ac:dyDescent="0.45">
      <c r="A118" t="s">
        <v>127</v>
      </c>
      <c r="B118" t="s">
        <v>744</v>
      </c>
      <c r="C118" t="s">
        <v>743</v>
      </c>
      <c r="D118" t="s">
        <v>195</v>
      </c>
      <c r="E118">
        <v>0</v>
      </c>
      <c r="F118">
        <v>0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  <c r="AC118">
        <v>0</v>
      </c>
      <c r="AD118">
        <v>0</v>
      </c>
      <c r="AE118" t="s">
        <v>109</v>
      </c>
    </row>
    <row r="119" spans="1:31" x14ac:dyDescent="0.45">
      <c r="A119" t="s">
        <v>150</v>
      </c>
      <c r="B119" t="s">
        <v>742</v>
      </c>
      <c r="C119" t="s">
        <v>741</v>
      </c>
      <c r="D119" t="s">
        <v>195</v>
      </c>
      <c r="E119">
        <v>0</v>
      </c>
      <c r="F119">
        <v>0</v>
      </c>
      <c r="G119">
        <v>0</v>
      </c>
      <c r="H119">
        <v>0</v>
      </c>
      <c r="I119">
        <v>0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 t="s">
        <v>109</v>
      </c>
    </row>
    <row r="120" spans="1:31" x14ac:dyDescent="0.45">
      <c r="A120" t="s">
        <v>149</v>
      </c>
      <c r="B120" t="s">
        <v>740</v>
      </c>
      <c r="C120" t="s">
        <v>739</v>
      </c>
      <c r="D120" t="s">
        <v>196</v>
      </c>
      <c r="E120">
        <v>14.015262999999999</v>
      </c>
      <c r="F120">
        <v>14.013569</v>
      </c>
      <c r="G120">
        <v>14.021940000000001</v>
      </c>
      <c r="H120">
        <v>14.036565</v>
      </c>
      <c r="I120">
        <v>14.057689</v>
      </c>
      <c r="J120">
        <v>14.086316999999999</v>
      </c>
      <c r="K120">
        <v>14.126541</v>
      </c>
      <c r="L120">
        <v>14.173980999999999</v>
      </c>
      <c r="M120">
        <v>14.228186000000001</v>
      </c>
      <c r="N120">
        <v>14.28945</v>
      </c>
      <c r="O120">
        <v>14.350714999999999</v>
      </c>
      <c r="P120">
        <v>14.404946000000001</v>
      </c>
      <c r="Q120">
        <v>14.444652</v>
      </c>
      <c r="R120">
        <v>14.470791999999999</v>
      </c>
      <c r="S120">
        <v>14.486153</v>
      </c>
      <c r="T120">
        <v>14.494659</v>
      </c>
      <c r="U120">
        <v>14.498779000000001</v>
      </c>
      <c r="V120">
        <v>14.500019999999999</v>
      </c>
      <c r="W120">
        <v>14.499333</v>
      </c>
      <c r="X120">
        <v>14.497403</v>
      </c>
      <c r="Y120">
        <v>14.494657</v>
      </c>
      <c r="Z120">
        <v>14.491384</v>
      </c>
      <c r="AA120">
        <v>14.48781</v>
      </c>
      <c r="AB120">
        <v>14.484152999999999</v>
      </c>
      <c r="AC120">
        <v>14.480693</v>
      </c>
      <c r="AD120">
        <v>14.477460000000001</v>
      </c>
      <c r="AE120" s="71">
        <v>1E-3</v>
      </c>
    </row>
    <row r="121" spans="1:31" x14ac:dyDescent="0.45">
      <c r="A121" t="s">
        <v>148</v>
      </c>
      <c r="B121" t="s">
        <v>738</v>
      </c>
      <c r="C121" t="s">
        <v>737</v>
      </c>
      <c r="D121" t="s">
        <v>195</v>
      </c>
      <c r="E121">
        <v>0</v>
      </c>
      <c r="F121">
        <v>0</v>
      </c>
      <c r="G121">
        <v>0</v>
      </c>
      <c r="H121">
        <v>0</v>
      </c>
      <c r="I121">
        <v>0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0</v>
      </c>
      <c r="AD121">
        <v>0</v>
      </c>
      <c r="AE121" t="s">
        <v>109</v>
      </c>
    </row>
    <row r="122" spans="1:31" x14ac:dyDescent="0.45">
      <c r="A122" t="s">
        <v>199</v>
      </c>
      <c r="B122" t="s">
        <v>736</v>
      </c>
      <c r="C122" t="s">
        <v>735</v>
      </c>
      <c r="E122">
        <v>13.253558</v>
      </c>
      <c r="F122">
        <v>13.277319</v>
      </c>
      <c r="G122">
        <v>13.307313000000001</v>
      </c>
      <c r="H122">
        <v>13.341537000000001</v>
      </c>
      <c r="I122">
        <v>13.378854</v>
      </c>
      <c r="J122">
        <v>13.417935</v>
      </c>
      <c r="K122">
        <v>13.455814</v>
      </c>
      <c r="L122">
        <v>13.492418000000001</v>
      </c>
      <c r="M122">
        <v>13.527015</v>
      </c>
      <c r="N122">
        <v>13.559723</v>
      </c>
      <c r="O122">
        <v>13.591429</v>
      </c>
      <c r="P122">
        <v>13.623523</v>
      </c>
      <c r="Q122">
        <v>13.655442000000001</v>
      </c>
      <c r="R122">
        <v>13.686272000000001</v>
      </c>
      <c r="S122">
        <v>13.715280999999999</v>
      </c>
      <c r="T122">
        <v>13.747721</v>
      </c>
      <c r="U122">
        <v>13.797402999999999</v>
      </c>
      <c r="V122">
        <v>13.874019000000001</v>
      </c>
      <c r="W122">
        <v>13.976603000000001</v>
      </c>
      <c r="X122">
        <v>14.111129999999999</v>
      </c>
      <c r="Y122">
        <v>14.274321</v>
      </c>
      <c r="Z122">
        <v>14.449669999999999</v>
      </c>
      <c r="AA122">
        <v>14.636676</v>
      </c>
      <c r="AB122">
        <v>14.836795</v>
      </c>
      <c r="AC122">
        <v>15.040851</v>
      </c>
      <c r="AD122">
        <v>15.243010999999999</v>
      </c>
      <c r="AE122" s="71">
        <v>6.0000000000000001E-3</v>
      </c>
    </row>
    <row r="123" spans="1:31" x14ac:dyDescent="0.45">
      <c r="A123" t="s">
        <v>189</v>
      </c>
    </row>
    <row r="124" spans="1:31" x14ac:dyDescent="0.45">
      <c r="A124" t="s">
        <v>156</v>
      </c>
      <c r="B124" t="s">
        <v>734</v>
      </c>
      <c r="C124" t="s">
        <v>733</v>
      </c>
      <c r="D124" t="s">
        <v>195</v>
      </c>
      <c r="E124">
        <v>9.0553620000000006</v>
      </c>
      <c r="F124">
        <v>9.1447129999999994</v>
      </c>
      <c r="G124">
        <v>9.2505059999999997</v>
      </c>
      <c r="H124">
        <v>9.3653370000000002</v>
      </c>
      <c r="I124">
        <v>9.4960269999999998</v>
      </c>
      <c r="J124">
        <v>9.6337969999999995</v>
      </c>
      <c r="K124">
        <v>9.7766999999999999</v>
      </c>
      <c r="L124">
        <v>9.9222180000000009</v>
      </c>
      <c r="M124">
        <v>10.068234</v>
      </c>
      <c r="N124">
        <v>10.211048999999999</v>
      </c>
      <c r="O124">
        <v>10.346632</v>
      </c>
      <c r="P124">
        <v>10.468869</v>
      </c>
      <c r="Q124">
        <v>10.579020999999999</v>
      </c>
      <c r="R124">
        <v>10.679309</v>
      </c>
      <c r="S124">
        <v>10.770816</v>
      </c>
      <c r="T124">
        <v>10.855712</v>
      </c>
      <c r="U124">
        <v>10.935929</v>
      </c>
      <c r="V124">
        <v>11.007495</v>
      </c>
      <c r="W124">
        <v>11.068951</v>
      </c>
      <c r="X124">
        <v>11.12161</v>
      </c>
      <c r="Y124">
        <v>11.169466999999999</v>
      </c>
      <c r="Z124">
        <v>11.212975999999999</v>
      </c>
      <c r="AA124">
        <v>11.251531999999999</v>
      </c>
      <c r="AB124">
        <v>11.286322</v>
      </c>
      <c r="AC124">
        <v>11.318735</v>
      </c>
      <c r="AD124">
        <v>11.350573000000001</v>
      </c>
      <c r="AE124" s="71">
        <v>8.9999999999999993E-3</v>
      </c>
    </row>
    <row r="125" spans="1:31" x14ac:dyDescent="0.45">
      <c r="A125" t="s">
        <v>157</v>
      </c>
      <c r="B125" t="s">
        <v>732</v>
      </c>
      <c r="C125" t="s">
        <v>731</v>
      </c>
      <c r="D125" t="s">
        <v>196</v>
      </c>
      <c r="E125">
        <v>8.7567219999999999</v>
      </c>
      <c r="F125">
        <v>8.7809620000000006</v>
      </c>
      <c r="G125">
        <v>8.8220209999999994</v>
      </c>
      <c r="H125">
        <v>8.8776569999999992</v>
      </c>
      <c r="I125">
        <v>8.9452850000000002</v>
      </c>
      <c r="J125">
        <v>9.0233159999999994</v>
      </c>
      <c r="K125">
        <v>9.1079179999999997</v>
      </c>
      <c r="L125">
        <v>9.1952180000000006</v>
      </c>
      <c r="M125">
        <v>9.2816600000000005</v>
      </c>
      <c r="N125">
        <v>9.3643509999999992</v>
      </c>
      <c r="O125">
        <v>9.44191</v>
      </c>
      <c r="P125">
        <v>9.509703</v>
      </c>
      <c r="Q125">
        <v>9.5691659999999992</v>
      </c>
      <c r="R125">
        <v>9.6217279999999992</v>
      </c>
      <c r="S125">
        <v>9.6684180000000008</v>
      </c>
      <c r="T125">
        <v>9.7118450000000003</v>
      </c>
      <c r="U125">
        <v>9.7514920000000007</v>
      </c>
      <c r="V125">
        <v>9.7857620000000001</v>
      </c>
      <c r="W125">
        <v>9.8166689999999992</v>
      </c>
      <c r="X125">
        <v>9.8453859999999995</v>
      </c>
      <c r="Y125">
        <v>9.8726430000000001</v>
      </c>
      <c r="Z125">
        <v>9.8973910000000007</v>
      </c>
      <c r="AA125">
        <v>9.9195340000000005</v>
      </c>
      <c r="AB125">
        <v>9.9393089999999997</v>
      </c>
      <c r="AC125">
        <v>9.957751</v>
      </c>
      <c r="AD125">
        <v>9.9757189999999998</v>
      </c>
      <c r="AE125" s="71">
        <v>5.0000000000000001E-3</v>
      </c>
    </row>
    <row r="126" spans="1:31" x14ac:dyDescent="0.45">
      <c r="A126" t="s">
        <v>155</v>
      </c>
      <c r="B126" t="s">
        <v>730</v>
      </c>
      <c r="C126" t="s">
        <v>729</v>
      </c>
      <c r="D126" t="s">
        <v>196</v>
      </c>
      <c r="E126">
        <v>6.9980890000000002</v>
      </c>
      <c r="F126">
        <v>7.0132370000000002</v>
      </c>
      <c r="G126">
        <v>7.0275020000000001</v>
      </c>
      <c r="H126">
        <v>7.0415010000000002</v>
      </c>
      <c r="I126">
        <v>7.0613979999999996</v>
      </c>
      <c r="J126">
        <v>7.0794819999999996</v>
      </c>
      <c r="K126">
        <v>7.0995499999999998</v>
      </c>
      <c r="L126">
        <v>7.1209860000000003</v>
      </c>
      <c r="M126">
        <v>7.132193</v>
      </c>
      <c r="N126">
        <v>7.1320990000000002</v>
      </c>
      <c r="O126">
        <v>7.1301040000000002</v>
      </c>
      <c r="P126">
        <v>7.1331360000000004</v>
      </c>
      <c r="Q126">
        <v>7.140917</v>
      </c>
      <c r="R126">
        <v>7.1533910000000001</v>
      </c>
      <c r="S126">
        <v>7.1695039999999999</v>
      </c>
      <c r="T126">
        <v>7.1880360000000003</v>
      </c>
      <c r="U126">
        <v>7.2094300000000002</v>
      </c>
      <c r="V126">
        <v>7.232513</v>
      </c>
      <c r="W126">
        <v>7.2572380000000001</v>
      </c>
      <c r="X126">
        <v>7.2847799999999996</v>
      </c>
      <c r="Y126">
        <v>7.3081180000000003</v>
      </c>
      <c r="Z126">
        <v>7.335267</v>
      </c>
      <c r="AA126">
        <v>7.3631250000000001</v>
      </c>
      <c r="AB126">
        <v>7.4263680000000001</v>
      </c>
      <c r="AC126">
        <v>7.5658130000000003</v>
      </c>
      <c r="AD126">
        <v>7.7502700000000004</v>
      </c>
      <c r="AE126" s="71">
        <v>4.0000000000000001E-3</v>
      </c>
    </row>
    <row r="127" spans="1:31" x14ac:dyDescent="0.45">
      <c r="A127" t="s">
        <v>154</v>
      </c>
      <c r="B127" t="s">
        <v>728</v>
      </c>
      <c r="C127" t="s">
        <v>727</v>
      </c>
      <c r="D127" t="s">
        <v>196</v>
      </c>
      <c r="E127">
        <v>7.1337270000000004</v>
      </c>
      <c r="F127">
        <v>7.2753209999999999</v>
      </c>
      <c r="G127">
        <v>7.4202510000000004</v>
      </c>
      <c r="H127">
        <v>7.5615170000000003</v>
      </c>
      <c r="I127">
        <v>7.6983430000000004</v>
      </c>
      <c r="J127">
        <v>7.8345529999999997</v>
      </c>
      <c r="K127">
        <v>7.9715509999999998</v>
      </c>
      <c r="L127">
        <v>8.1067239999999998</v>
      </c>
      <c r="M127">
        <v>8.2351329999999994</v>
      </c>
      <c r="N127">
        <v>8.3587880000000006</v>
      </c>
      <c r="O127">
        <v>8.4752639999999992</v>
      </c>
      <c r="P127">
        <v>8.5801759999999998</v>
      </c>
      <c r="Q127">
        <v>8.6765889999999999</v>
      </c>
      <c r="R127">
        <v>8.7624200000000005</v>
      </c>
      <c r="S127">
        <v>8.8380890000000001</v>
      </c>
      <c r="T127">
        <v>8.9054169999999999</v>
      </c>
      <c r="U127">
        <v>8.9645019999999995</v>
      </c>
      <c r="V127">
        <v>9.0169339999999991</v>
      </c>
      <c r="W127">
        <v>9.0622769999999999</v>
      </c>
      <c r="X127">
        <v>9.1034710000000008</v>
      </c>
      <c r="Y127">
        <v>9.1388020000000001</v>
      </c>
      <c r="Z127">
        <v>9.1693770000000008</v>
      </c>
      <c r="AA127">
        <v>9.1956039999999994</v>
      </c>
      <c r="AB127">
        <v>9.2179970000000004</v>
      </c>
      <c r="AC127">
        <v>9.2359729999999995</v>
      </c>
      <c r="AD127">
        <v>9.2512699999999999</v>
      </c>
      <c r="AE127" s="71">
        <v>0.01</v>
      </c>
    </row>
    <row r="128" spans="1:31" x14ac:dyDescent="0.45">
      <c r="A128" t="s">
        <v>153</v>
      </c>
      <c r="B128" t="s">
        <v>726</v>
      </c>
      <c r="C128" t="s">
        <v>725</v>
      </c>
      <c r="D128" t="s">
        <v>198</v>
      </c>
      <c r="E128">
        <v>7.8626459999999998</v>
      </c>
      <c r="F128">
        <v>7.8649100000000001</v>
      </c>
      <c r="G128">
        <v>7.8669520000000004</v>
      </c>
      <c r="H128">
        <v>7.8686449999999999</v>
      </c>
      <c r="I128">
        <v>7.8702589999999999</v>
      </c>
      <c r="J128">
        <v>7.8714789999999999</v>
      </c>
      <c r="K128">
        <v>7.872566</v>
      </c>
      <c r="L128">
        <v>7.8719219999999996</v>
      </c>
      <c r="M128">
        <v>7.8693359999999997</v>
      </c>
      <c r="N128">
        <v>7.8662320000000001</v>
      </c>
      <c r="O128">
        <v>7.8638820000000003</v>
      </c>
      <c r="P128">
        <v>7.8613559999999998</v>
      </c>
      <c r="Q128">
        <v>7.8594480000000004</v>
      </c>
      <c r="R128">
        <v>7.8579439999999998</v>
      </c>
      <c r="S128">
        <v>7.8573279999999999</v>
      </c>
      <c r="T128">
        <v>7.8580100000000002</v>
      </c>
      <c r="U128">
        <v>7.8589120000000001</v>
      </c>
      <c r="V128">
        <v>7.8601900000000002</v>
      </c>
      <c r="W128">
        <v>7.8622709999999998</v>
      </c>
      <c r="X128">
        <v>7.8667959999999999</v>
      </c>
      <c r="Y128">
        <v>7.8784619999999999</v>
      </c>
      <c r="Z128">
        <v>7.8936339999999996</v>
      </c>
      <c r="AA128">
        <v>7.9090550000000004</v>
      </c>
      <c r="AB128">
        <v>7.9243499999999996</v>
      </c>
      <c r="AC128">
        <v>7.939317</v>
      </c>
      <c r="AD128">
        <v>7.9523809999999999</v>
      </c>
      <c r="AE128" s="71">
        <v>0</v>
      </c>
    </row>
    <row r="129" spans="1:31" x14ac:dyDescent="0.45">
      <c r="A129" t="s">
        <v>126</v>
      </c>
      <c r="B129" t="s">
        <v>724</v>
      </c>
      <c r="C129" t="s">
        <v>723</v>
      </c>
      <c r="D129" t="s">
        <v>196</v>
      </c>
      <c r="E129">
        <v>23.756882000000001</v>
      </c>
      <c r="F129">
        <v>23.096142</v>
      </c>
      <c r="G129">
        <v>22.674477</v>
      </c>
      <c r="H129">
        <v>22.410273</v>
      </c>
      <c r="I129">
        <v>22.243334000000001</v>
      </c>
      <c r="J129">
        <v>22.140812</v>
      </c>
      <c r="K129">
        <v>22.066725000000002</v>
      </c>
      <c r="L129">
        <v>22.019278</v>
      </c>
      <c r="M129">
        <v>21.985576999999999</v>
      </c>
      <c r="N129">
        <v>21.962337000000002</v>
      </c>
      <c r="O129">
        <v>21.943819000000001</v>
      </c>
      <c r="P129">
        <v>21.925901</v>
      </c>
      <c r="Q129">
        <v>21.910542</v>
      </c>
      <c r="R129">
        <v>21.902854999999999</v>
      </c>
      <c r="S129">
        <v>21.895271000000001</v>
      </c>
      <c r="T129">
        <v>21.887836</v>
      </c>
      <c r="U129">
        <v>21.882555</v>
      </c>
      <c r="V129">
        <v>21.879597</v>
      </c>
      <c r="W129">
        <v>21.877414999999999</v>
      </c>
      <c r="X129">
        <v>21.874516</v>
      </c>
      <c r="Y129">
        <v>21.871416</v>
      </c>
      <c r="Z129">
        <v>21.867750000000001</v>
      </c>
      <c r="AA129">
        <v>21.864242999999998</v>
      </c>
      <c r="AB129">
        <v>21.861640999999999</v>
      </c>
      <c r="AC129">
        <v>21.859518000000001</v>
      </c>
      <c r="AD129">
        <v>21.856774999999999</v>
      </c>
      <c r="AE129" s="71">
        <v>-3.0000000000000001E-3</v>
      </c>
    </row>
    <row r="130" spans="1:31" x14ac:dyDescent="0.45">
      <c r="A130" t="s">
        <v>151</v>
      </c>
      <c r="B130" t="s">
        <v>722</v>
      </c>
      <c r="C130" t="s">
        <v>721</v>
      </c>
      <c r="D130" t="s">
        <v>196</v>
      </c>
      <c r="E130">
        <v>0</v>
      </c>
      <c r="F130">
        <v>0</v>
      </c>
      <c r="G130">
        <v>0</v>
      </c>
      <c r="H130">
        <v>0</v>
      </c>
      <c r="I130">
        <v>0</v>
      </c>
      <c r="J130">
        <v>0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0</v>
      </c>
      <c r="AC130">
        <v>0</v>
      </c>
      <c r="AD130">
        <v>0</v>
      </c>
      <c r="AE130" t="s">
        <v>109</v>
      </c>
    </row>
    <row r="131" spans="1:31" x14ac:dyDescent="0.45">
      <c r="A131" t="s">
        <v>152</v>
      </c>
      <c r="B131" t="s">
        <v>720</v>
      </c>
      <c r="C131" t="s">
        <v>719</v>
      </c>
      <c r="D131" t="s">
        <v>196</v>
      </c>
      <c r="E131">
        <v>9.2205359999999992</v>
      </c>
      <c r="F131">
        <v>9.2205359999999992</v>
      </c>
      <c r="G131">
        <v>9.2205359999999992</v>
      </c>
      <c r="H131">
        <v>9.2205359999999992</v>
      </c>
      <c r="I131">
        <v>9.2205359999999992</v>
      </c>
      <c r="J131">
        <v>9.2205359999999992</v>
      </c>
      <c r="K131">
        <v>9.2205359999999992</v>
      </c>
      <c r="L131">
        <v>9.2205359999999992</v>
      </c>
      <c r="M131">
        <v>9.2205359999999992</v>
      </c>
      <c r="N131">
        <v>9.2205359999999992</v>
      </c>
      <c r="O131">
        <v>9.2205359999999992</v>
      </c>
      <c r="P131">
        <v>9.2205359999999992</v>
      </c>
      <c r="Q131">
        <v>9.2205359999999992</v>
      </c>
      <c r="R131">
        <v>9.2205359999999992</v>
      </c>
      <c r="S131">
        <v>9.2205359999999992</v>
      </c>
      <c r="T131">
        <v>9.2205359999999992</v>
      </c>
      <c r="U131">
        <v>9.2205359999999992</v>
      </c>
      <c r="V131">
        <v>9.2205359999999992</v>
      </c>
      <c r="W131">
        <v>9.2205359999999992</v>
      </c>
      <c r="X131">
        <v>9.2205359999999992</v>
      </c>
      <c r="Y131">
        <v>9.2205359999999992</v>
      </c>
      <c r="Z131">
        <v>9.2205359999999992</v>
      </c>
      <c r="AA131">
        <v>9.2205359999999992</v>
      </c>
      <c r="AB131">
        <v>9.2205359999999992</v>
      </c>
      <c r="AC131">
        <v>9.2205359999999992</v>
      </c>
      <c r="AD131">
        <v>9.2205359999999992</v>
      </c>
      <c r="AE131" s="71">
        <v>0</v>
      </c>
    </row>
    <row r="132" spans="1:31" x14ac:dyDescent="0.45">
      <c r="A132" t="s">
        <v>127</v>
      </c>
      <c r="B132" t="s">
        <v>718</v>
      </c>
      <c r="C132" t="s">
        <v>717</v>
      </c>
      <c r="D132" t="s">
        <v>196</v>
      </c>
      <c r="E132">
        <v>0</v>
      </c>
      <c r="F132">
        <v>0</v>
      </c>
      <c r="G132">
        <v>0</v>
      </c>
      <c r="H132">
        <v>0</v>
      </c>
      <c r="I132">
        <v>0</v>
      </c>
      <c r="J132">
        <v>0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0</v>
      </c>
      <c r="AD132">
        <v>0</v>
      </c>
      <c r="AE132" t="s">
        <v>109</v>
      </c>
    </row>
    <row r="133" spans="1:31" x14ac:dyDescent="0.45">
      <c r="A133" t="s">
        <v>150</v>
      </c>
      <c r="B133" t="s">
        <v>716</v>
      </c>
      <c r="C133" t="s">
        <v>715</v>
      </c>
      <c r="D133" t="s">
        <v>195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  <c r="AC133">
        <v>0</v>
      </c>
      <c r="AD133">
        <v>0</v>
      </c>
      <c r="AE133" t="s">
        <v>109</v>
      </c>
    </row>
    <row r="134" spans="1:31" x14ac:dyDescent="0.45">
      <c r="A134" t="s">
        <v>149</v>
      </c>
      <c r="B134" t="s">
        <v>714</v>
      </c>
      <c r="C134" t="s">
        <v>713</v>
      </c>
      <c r="D134" t="s">
        <v>196</v>
      </c>
      <c r="E134">
        <v>9.8478510000000004</v>
      </c>
      <c r="F134">
        <v>9.8841370000000008</v>
      </c>
      <c r="G134">
        <v>9.8989320000000003</v>
      </c>
      <c r="H134">
        <v>9.909338</v>
      </c>
      <c r="I134">
        <v>9.9181570000000008</v>
      </c>
      <c r="J134">
        <v>9.9298669999999998</v>
      </c>
      <c r="K134">
        <v>9.966208</v>
      </c>
      <c r="L134">
        <v>10.022741</v>
      </c>
      <c r="M134">
        <v>10.099705999999999</v>
      </c>
      <c r="N134">
        <v>10.183889000000001</v>
      </c>
      <c r="O134">
        <v>10.258155</v>
      </c>
      <c r="P134">
        <v>10.318574999999999</v>
      </c>
      <c r="Q134">
        <v>10.365211</v>
      </c>
      <c r="R134">
        <v>10.401318</v>
      </c>
      <c r="S134">
        <v>10.429368999999999</v>
      </c>
      <c r="T134">
        <v>10.451465000000001</v>
      </c>
      <c r="U134">
        <v>10.468302</v>
      </c>
      <c r="V134">
        <v>10.481358</v>
      </c>
      <c r="W134">
        <v>10.491721999999999</v>
      </c>
      <c r="X134">
        <v>10.500090999999999</v>
      </c>
      <c r="Y134">
        <v>10.506879</v>
      </c>
      <c r="Z134">
        <v>10.512414</v>
      </c>
      <c r="AA134">
        <v>10.516904</v>
      </c>
      <c r="AB134">
        <v>10.520545</v>
      </c>
      <c r="AC134">
        <v>10.523535000000001</v>
      </c>
      <c r="AD134">
        <v>10.526019</v>
      </c>
      <c r="AE134" s="71">
        <v>3.0000000000000001E-3</v>
      </c>
    </row>
    <row r="135" spans="1:31" x14ac:dyDescent="0.45">
      <c r="A135" t="s">
        <v>148</v>
      </c>
      <c r="B135" t="s">
        <v>712</v>
      </c>
      <c r="C135" t="s">
        <v>711</v>
      </c>
      <c r="D135" t="s">
        <v>195</v>
      </c>
      <c r="E135">
        <v>0</v>
      </c>
      <c r="F135">
        <v>0</v>
      </c>
      <c r="G135">
        <v>0</v>
      </c>
      <c r="H135">
        <v>0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>
        <v>0</v>
      </c>
      <c r="AD135">
        <v>0</v>
      </c>
      <c r="AE135" t="s">
        <v>109</v>
      </c>
    </row>
    <row r="136" spans="1:31" x14ac:dyDescent="0.45">
      <c r="A136" t="s">
        <v>197</v>
      </c>
      <c r="B136" t="s">
        <v>710</v>
      </c>
      <c r="C136" t="s">
        <v>709</v>
      </c>
      <c r="E136">
        <v>8.9226120000000009</v>
      </c>
      <c r="F136">
        <v>8.9852170000000005</v>
      </c>
      <c r="G136">
        <v>9.0637519999999991</v>
      </c>
      <c r="H136">
        <v>9.1527469999999997</v>
      </c>
      <c r="I136">
        <v>9.2549939999999999</v>
      </c>
      <c r="J136">
        <v>9.3649129999999996</v>
      </c>
      <c r="K136">
        <v>9.4800020000000007</v>
      </c>
      <c r="L136">
        <v>9.597213</v>
      </c>
      <c r="M136">
        <v>9.7141230000000007</v>
      </c>
      <c r="N136">
        <v>9.8272139999999997</v>
      </c>
      <c r="O136">
        <v>9.9335690000000003</v>
      </c>
      <c r="P136">
        <v>10.027856</v>
      </c>
      <c r="Q136">
        <v>10.110984999999999</v>
      </c>
      <c r="R136">
        <v>10.184744</v>
      </c>
      <c r="S136">
        <v>10.250178999999999</v>
      </c>
      <c r="T136">
        <v>10.309665000000001</v>
      </c>
      <c r="U136">
        <v>10.363826</v>
      </c>
      <c r="V136">
        <v>10.410511</v>
      </c>
      <c r="W136">
        <v>10.450519</v>
      </c>
      <c r="X136">
        <v>10.48516</v>
      </c>
      <c r="Y136">
        <v>10.516598999999999</v>
      </c>
      <c r="Z136">
        <v>10.544691</v>
      </c>
      <c r="AA136">
        <v>10.569328000000001</v>
      </c>
      <c r="AB136">
        <v>10.591162000000001</v>
      </c>
      <c r="AC136">
        <v>10.611227</v>
      </c>
      <c r="AD136">
        <v>10.630725999999999</v>
      </c>
      <c r="AE136" s="71">
        <v>7.0000000000000001E-3</v>
      </c>
    </row>
    <row r="137" spans="1:31" x14ac:dyDescent="0.45">
      <c r="A137" t="s">
        <v>187</v>
      </c>
    </row>
    <row r="138" spans="1:31" x14ac:dyDescent="0.45">
      <c r="A138" t="s">
        <v>156</v>
      </c>
      <c r="B138" t="s">
        <v>708</v>
      </c>
      <c r="C138" t="s">
        <v>707</v>
      </c>
      <c r="D138" t="s">
        <v>195</v>
      </c>
      <c r="E138">
        <v>6.5957980000000003</v>
      </c>
      <c r="F138">
        <v>6.6596979999999997</v>
      </c>
      <c r="G138">
        <v>6.7391740000000002</v>
      </c>
      <c r="H138">
        <v>6.822762</v>
      </c>
      <c r="I138">
        <v>6.9042500000000002</v>
      </c>
      <c r="J138">
        <v>6.9857339999999999</v>
      </c>
      <c r="K138">
        <v>7.0663049999999998</v>
      </c>
      <c r="L138">
        <v>7.1641760000000003</v>
      </c>
      <c r="M138">
        <v>7.2630100000000004</v>
      </c>
      <c r="N138">
        <v>7.3563869999999998</v>
      </c>
      <c r="O138">
        <v>7.4426110000000003</v>
      </c>
      <c r="P138">
        <v>7.5190530000000004</v>
      </c>
      <c r="Q138">
        <v>7.5863769999999997</v>
      </c>
      <c r="R138">
        <v>7.6459859999999997</v>
      </c>
      <c r="S138">
        <v>7.6991569999999996</v>
      </c>
      <c r="T138">
        <v>7.747662</v>
      </c>
      <c r="U138">
        <v>7.7900710000000002</v>
      </c>
      <c r="V138">
        <v>7.8261960000000004</v>
      </c>
      <c r="W138">
        <v>7.8569120000000003</v>
      </c>
      <c r="X138">
        <v>7.8831569999999997</v>
      </c>
      <c r="Y138">
        <v>7.9059739999999996</v>
      </c>
      <c r="Z138">
        <v>7.926113</v>
      </c>
      <c r="AA138">
        <v>7.9435349999999998</v>
      </c>
      <c r="AB138">
        <v>7.958977</v>
      </c>
      <c r="AC138">
        <v>7.9728389999999996</v>
      </c>
      <c r="AD138">
        <v>7.9848340000000002</v>
      </c>
      <c r="AE138" s="71">
        <v>8.0000000000000002E-3</v>
      </c>
    </row>
    <row r="139" spans="1:31" x14ac:dyDescent="0.45">
      <c r="A139" t="s">
        <v>157</v>
      </c>
      <c r="B139" t="s">
        <v>706</v>
      </c>
      <c r="C139" t="s">
        <v>705</v>
      </c>
      <c r="D139" t="s">
        <v>196</v>
      </c>
      <c r="E139">
        <v>5.1109039999999997</v>
      </c>
      <c r="F139">
        <v>5.127148</v>
      </c>
      <c r="G139">
        <v>5.150239</v>
      </c>
      <c r="H139">
        <v>5.1793339999999999</v>
      </c>
      <c r="I139">
        <v>5.2122190000000002</v>
      </c>
      <c r="J139">
        <v>5.2472060000000003</v>
      </c>
      <c r="K139">
        <v>5.2903390000000003</v>
      </c>
      <c r="L139">
        <v>5.3410149999999996</v>
      </c>
      <c r="M139">
        <v>5.3996329999999997</v>
      </c>
      <c r="N139">
        <v>5.4597350000000002</v>
      </c>
      <c r="O139">
        <v>5.5231880000000002</v>
      </c>
      <c r="P139">
        <v>5.585655</v>
      </c>
      <c r="Q139">
        <v>5.6515610000000001</v>
      </c>
      <c r="R139">
        <v>5.7230780000000001</v>
      </c>
      <c r="S139">
        <v>5.7982469999999999</v>
      </c>
      <c r="T139">
        <v>5.8700659999999996</v>
      </c>
      <c r="U139">
        <v>5.9404000000000003</v>
      </c>
      <c r="V139">
        <v>6.0105769999999996</v>
      </c>
      <c r="W139">
        <v>6.0757880000000002</v>
      </c>
      <c r="X139">
        <v>6.1336000000000004</v>
      </c>
      <c r="Y139">
        <v>6.1838850000000001</v>
      </c>
      <c r="Z139">
        <v>6.2275099999999997</v>
      </c>
      <c r="AA139">
        <v>6.2670149999999998</v>
      </c>
      <c r="AB139">
        <v>6.302079</v>
      </c>
      <c r="AC139">
        <v>6.3341989999999999</v>
      </c>
      <c r="AD139">
        <v>6.3648879999999997</v>
      </c>
      <c r="AE139" s="71">
        <v>8.9999999999999993E-3</v>
      </c>
    </row>
    <row r="140" spans="1:31" x14ac:dyDescent="0.45">
      <c r="A140" t="s">
        <v>155</v>
      </c>
      <c r="B140" t="s">
        <v>704</v>
      </c>
      <c r="C140" t="s">
        <v>703</v>
      </c>
      <c r="D140" t="s">
        <v>196</v>
      </c>
      <c r="E140">
        <v>5.1055380000000001</v>
      </c>
      <c r="F140">
        <v>5.1047659999999997</v>
      </c>
      <c r="G140">
        <v>5.1031610000000001</v>
      </c>
      <c r="H140">
        <v>5.0993329999999997</v>
      </c>
      <c r="I140">
        <v>5.0953929999999996</v>
      </c>
      <c r="J140">
        <v>5.0901129999999997</v>
      </c>
      <c r="K140">
        <v>5.0844649999999998</v>
      </c>
      <c r="L140">
        <v>5.0807209999999996</v>
      </c>
      <c r="M140">
        <v>5.0780510000000003</v>
      </c>
      <c r="N140">
        <v>5.0760050000000003</v>
      </c>
      <c r="O140">
        <v>5.0745259999999996</v>
      </c>
      <c r="P140">
        <v>5.0734320000000004</v>
      </c>
      <c r="Q140">
        <v>5.0726209999999998</v>
      </c>
      <c r="R140">
        <v>5.0719609999999999</v>
      </c>
      <c r="S140">
        <v>5.0714319999999997</v>
      </c>
      <c r="T140">
        <v>5.0709999999999997</v>
      </c>
      <c r="U140">
        <v>5.0706610000000003</v>
      </c>
      <c r="V140">
        <v>5.0703860000000001</v>
      </c>
      <c r="W140">
        <v>5.0701619999999998</v>
      </c>
      <c r="X140">
        <v>5.0699719999999999</v>
      </c>
      <c r="Y140">
        <v>5.0698179999999997</v>
      </c>
      <c r="Z140">
        <v>5.069693</v>
      </c>
      <c r="AA140">
        <v>5.0697840000000003</v>
      </c>
      <c r="AB140">
        <v>5.0698460000000001</v>
      </c>
      <c r="AC140">
        <v>5.0698840000000001</v>
      </c>
      <c r="AD140">
        <v>5.0699079999999999</v>
      </c>
      <c r="AE140" s="71">
        <v>0</v>
      </c>
    </row>
    <row r="141" spans="1:31" x14ac:dyDescent="0.45">
      <c r="A141" t="s">
        <v>154</v>
      </c>
      <c r="B141" t="s">
        <v>702</v>
      </c>
      <c r="C141" t="s">
        <v>701</v>
      </c>
      <c r="D141" t="s">
        <v>195</v>
      </c>
      <c r="E141">
        <v>5.9923520000000003</v>
      </c>
      <c r="F141">
        <v>6.00746</v>
      </c>
      <c r="G141">
        <v>6.0296079999999996</v>
      </c>
      <c r="H141">
        <v>6.0632149999999996</v>
      </c>
      <c r="I141">
        <v>6.1059400000000004</v>
      </c>
      <c r="J141">
        <v>6.1565789999999998</v>
      </c>
      <c r="K141">
        <v>6.2132550000000002</v>
      </c>
      <c r="L141">
        <v>6.2827219999999997</v>
      </c>
      <c r="M141">
        <v>6.3548309999999999</v>
      </c>
      <c r="N141">
        <v>6.4260489999999999</v>
      </c>
      <c r="O141">
        <v>6.4952819999999996</v>
      </c>
      <c r="P141">
        <v>6.558573</v>
      </c>
      <c r="Q141">
        <v>6.6180289999999999</v>
      </c>
      <c r="R141">
        <v>6.6719010000000001</v>
      </c>
      <c r="S141">
        <v>6.7217580000000003</v>
      </c>
      <c r="T141">
        <v>6.7689300000000001</v>
      </c>
      <c r="U141">
        <v>6.8132060000000001</v>
      </c>
      <c r="V141">
        <v>6.8555029999999997</v>
      </c>
      <c r="W141">
        <v>6.8988430000000003</v>
      </c>
      <c r="X141">
        <v>6.9431929999999999</v>
      </c>
      <c r="Y141">
        <v>7.0015710000000002</v>
      </c>
      <c r="Z141">
        <v>7.0594239999999999</v>
      </c>
      <c r="AA141">
        <v>7.1265919999999996</v>
      </c>
      <c r="AB141">
        <v>7.1919490000000001</v>
      </c>
      <c r="AC141">
        <v>7.2586760000000004</v>
      </c>
      <c r="AD141">
        <v>7.3249110000000002</v>
      </c>
      <c r="AE141" s="71">
        <v>8.0000000000000002E-3</v>
      </c>
    </row>
    <row r="142" spans="1:31" x14ac:dyDescent="0.45">
      <c r="A142" t="s">
        <v>153</v>
      </c>
      <c r="B142" t="s">
        <v>700</v>
      </c>
      <c r="C142" t="s">
        <v>699</v>
      </c>
      <c r="D142" t="s">
        <v>196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 t="s">
        <v>109</v>
      </c>
    </row>
    <row r="143" spans="1:31" x14ac:dyDescent="0.45">
      <c r="A143" t="s">
        <v>126</v>
      </c>
      <c r="B143" t="s">
        <v>698</v>
      </c>
      <c r="C143" t="s">
        <v>697</v>
      </c>
      <c r="D143" t="s">
        <v>195</v>
      </c>
      <c r="E143">
        <v>14.299836000000001</v>
      </c>
      <c r="F143">
        <v>14.145231000000001</v>
      </c>
      <c r="G143">
        <v>14.084206</v>
      </c>
      <c r="H143">
        <v>14.078177999999999</v>
      </c>
      <c r="I143">
        <v>14.096356999999999</v>
      </c>
      <c r="J143">
        <v>14.153164</v>
      </c>
      <c r="K143">
        <v>14.224321</v>
      </c>
      <c r="L143">
        <v>14.307308000000001</v>
      </c>
      <c r="M143">
        <v>14.403563</v>
      </c>
      <c r="N143">
        <v>14.497423</v>
      </c>
      <c r="O143">
        <v>14.587521000000001</v>
      </c>
      <c r="P143">
        <v>14.671002</v>
      </c>
      <c r="Q143">
        <v>14.74784</v>
      </c>
      <c r="R143">
        <v>14.818491</v>
      </c>
      <c r="S143">
        <v>14.885056000000001</v>
      </c>
      <c r="T143">
        <v>14.946191000000001</v>
      </c>
      <c r="U143">
        <v>15.003215000000001</v>
      </c>
      <c r="V143">
        <v>15.053806</v>
      </c>
      <c r="W143">
        <v>15.097573000000001</v>
      </c>
      <c r="X143">
        <v>15.134807</v>
      </c>
      <c r="Y143">
        <v>15.165899</v>
      </c>
      <c r="Z143">
        <v>15.191371</v>
      </c>
      <c r="AA143">
        <v>15.211880000000001</v>
      </c>
      <c r="AB143">
        <v>15.228228</v>
      </c>
      <c r="AC143">
        <v>15.241275</v>
      </c>
      <c r="AD143">
        <v>15.251837</v>
      </c>
      <c r="AE143" s="71">
        <v>3.0000000000000001E-3</v>
      </c>
    </row>
    <row r="144" spans="1:31" x14ac:dyDescent="0.45">
      <c r="A144" t="s">
        <v>151</v>
      </c>
      <c r="B144" t="s">
        <v>696</v>
      </c>
      <c r="C144" t="s">
        <v>695</v>
      </c>
      <c r="D144" t="s">
        <v>195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>
        <v>0</v>
      </c>
      <c r="AB144">
        <v>0</v>
      </c>
      <c r="AC144">
        <v>0</v>
      </c>
      <c r="AD144">
        <v>0</v>
      </c>
      <c r="AE144" t="s">
        <v>109</v>
      </c>
    </row>
    <row r="145" spans="1:31" x14ac:dyDescent="0.45">
      <c r="A145" t="s">
        <v>152</v>
      </c>
      <c r="B145" t="s">
        <v>694</v>
      </c>
      <c r="C145" t="s">
        <v>693</v>
      </c>
      <c r="D145" t="s">
        <v>196</v>
      </c>
      <c r="E145">
        <v>0</v>
      </c>
      <c r="F145">
        <v>0</v>
      </c>
      <c r="G145">
        <v>0</v>
      </c>
      <c r="H145">
        <v>0</v>
      </c>
      <c r="I145">
        <v>0</v>
      </c>
      <c r="J145">
        <v>0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>
        <v>0</v>
      </c>
      <c r="AB145">
        <v>0</v>
      </c>
      <c r="AC145">
        <v>0</v>
      </c>
      <c r="AD145">
        <v>0</v>
      </c>
      <c r="AE145" t="s">
        <v>109</v>
      </c>
    </row>
    <row r="146" spans="1:31" x14ac:dyDescent="0.45">
      <c r="A146" t="s">
        <v>127</v>
      </c>
      <c r="B146" t="s">
        <v>692</v>
      </c>
      <c r="C146" t="s">
        <v>691</v>
      </c>
      <c r="D146" t="s">
        <v>195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>
        <v>0</v>
      </c>
      <c r="AB146">
        <v>0</v>
      </c>
      <c r="AC146">
        <v>0</v>
      </c>
      <c r="AD146">
        <v>0</v>
      </c>
      <c r="AE146" t="s">
        <v>109</v>
      </c>
    </row>
    <row r="147" spans="1:31" x14ac:dyDescent="0.45">
      <c r="A147" t="s">
        <v>150</v>
      </c>
      <c r="B147" t="s">
        <v>690</v>
      </c>
      <c r="C147" t="s">
        <v>689</v>
      </c>
      <c r="D147" t="s">
        <v>195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>
        <v>0</v>
      </c>
      <c r="AB147">
        <v>0</v>
      </c>
      <c r="AC147">
        <v>0</v>
      </c>
      <c r="AD147">
        <v>0</v>
      </c>
      <c r="AE147" t="s">
        <v>109</v>
      </c>
    </row>
    <row r="148" spans="1:31" x14ac:dyDescent="0.45">
      <c r="A148" t="s">
        <v>149</v>
      </c>
      <c r="B148" t="s">
        <v>688</v>
      </c>
      <c r="C148" t="s">
        <v>687</v>
      </c>
      <c r="D148" t="s">
        <v>196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0</v>
      </c>
      <c r="AC148">
        <v>0</v>
      </c>
      <c r="AD148">
        <v>0</v>
      </c>
      <c r="AE148" t="s">
        <v>109</v>
      </c>
    </row>
    <row r="149" spans="1:31" x14ac:dyDescent="0.45">
      <c r="A149" t="s">
        <v>148</v>
      </c>
      <c r="B149" t="s">
        <v>686</v>
      </c>
      <c r="C149" t="s">
        <v>685</v>
      </c>
      <c r="D149" t="s">
        <v>195</v>
      </c>
      <c r="E149">
        <v>0</v>
      </c>
      <c r="F149">
        <v>0</v>
      </c>
      <c r="G149">
        <v>0</v>
      </c>
      <c r="H149">
        <v>0</v>
      </c>
      <c r="I149">
        <v>0</v>
      </c>
      <c r="J149">
        <v>0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 t="s">
        <v>109</v>
      </c>
    </row>
    <row r="150" spans="1:31" x14ac:dyDescent="0.45">
      <c r="A150" t="s">
        <v>194</v>
      </c>
      <c r="B150" t="s">
        <v>684</v>
      </c>
      <c r="C150" t="s">
        <v>683</v>
      </c>
      <c r="E150">
        <v>6.591005</v>
      </c>
      <c r="F150">
        <v>6.655081</v>
      </c>
      <c r="G150">
        <v>6.7346349999999999</v>
      </c>
      <c r="H150">
        <v>6.8182919999999996</v>
      </c>
      <c r="I150">
        <v>6.899877</v>
      </c>
      <c r="J150">
        <v>6.9814930000000004</v>
      </c>
      <c r="K150">
        <v>7.062208</v>
      </c>
      <c r="L150">
        <v>7.1600479999999997</v>
      </c>
      <c r="M150">
        <v>7.2587979999999996</v>
      </c>
      <c r="N150">
        <v>7.352068</v>
      </c>
      <c r="O150">
        <v>7.4381940000000002</v>
      </c>
      <c r="P150">
        <v>7.5145229999999996</v>
      </c>
      <c r="Q150">
        <v>7.5817319999999997</v>
      </c>
      <c r="R150">
        <v>7.6411990000000003</v>
      </c>
      <c r="S150">
        <v>7.6942029999999999</v>
      </c>
      <c r="T150">
        <v>7.7424860000000004</v>
      </c>
      <c r="U150">
        <v>7.7846679999999999</v>
      </c>
      <c r="V150">
        <v>7.8205679999999997</v>
      </c>
      <c r="W150">
        <v>7.8510799999999996</v>
      </c>
      <c r="X150">
        <v>7.8771279999999999</v>
      </c>
      <c r="Y150">
        <v>7.8997950000000001</v>
      </c>
      <c r="Z150">
        <v>7.9197569999999997</v>
      </c>
      <c r="AA150">
        <v>7.9370370000000001</v>
      </c>
      <c r="AB150">
        <v>7.9523520000000003</v>
      </c>
      <c r="AC150">
        <v>7.9661080000000002</v>
      </c>
      <c r="AD150">
        <v>7.977976</v>
      </c>
      <c r="AE150" s="71">
        <v>8.0000000000000002E-3</v>
      </c>
    </row>
    <row r="151" spans="1:31" x14ac:dyDescent="0.45">
      <c r="A151" t="s">
        <v>193</v>
      </c>
      <c r="B151" t="s">
        <v>682</v>
      </c>
      <c r="C151" t="s">
        <v>681</v>
      </c>
      <c r="E151">
        <v>8.0183289999999996</v>
      </c>
      <c r="F151">
        <v>8.0682240000000007</v>
      </c>
      <c r="G151">
        <v>8.1300729999999994</v>
      </c>
      <c r="H151">
        <v>8.2010159999999992</v>
      </c>
      <c r="I151">
        <v>8.2774710000000002</v>
      </c>
      <c r="J151">
        <v>8.3590280000000003</v>
      </c>
      <c r="K151">
        <v>8.4429809999999996</v>
      </c>
      <c r="L151">
        <v>8.5422919999999998</v>
      </c>
      <c r="M151">
        <v>8.6430369999999996</v>
      </c>
      <c r="N151">
        <v>8.7396010000000004</v>
      </c>
      <c r="O151">
        <v>8.8297679999999996</v>
      </c>
      <c r="P151">
        <v>8.9111940000000001</v>
      </c>
      <c r="Q151">
        <v>8.9856110000000005</v>
      </c>
      <c r="R151">
        <v>9.0546209999999991</v>
      </c>
      <c r="S151">
        <v>9.1182610000000004</v>
      </c>
      <c r="T151">
        <v>9.1787569999999992</v>
      </c>
      <c r="U151">
        <v>9.2349329999999998</v>
      </c>
      <c r="V151">
        <v>9.2882010000000008</v>
      </c>
      <c r="W151">
        <v>9.3386169999999993</v>
      </c>
      <c r="X151">
        <v>9.3882639999999995</v>
      </c>
      <c r="Y151">
        <v>9.4382870000000008</v>
      </c>
      <c r="Z151">
        <v>9.4881279999999997</v>
      </c>
      <c r="AA151">
        <v>9.5385240000000007</v>
      </c>
      <c r="AB151">
        <v>9.5897269999999999</v>
      </c>
      <c r="AC151">
        <v>9.640746</v>
      </c>
      <c r="AD151">
        <v>9.6891529999999992</v>
      </c>
      <c r="AE151" s="71">
        <v>8.0000000000000002E-3</v>
      </c>
    </row>
    <row r="152" spans="1:31" x14ac:dyDescent="0.45">
      <c r="A152" t="s">
        <v>203</v>
      </c>
    </row>
    <row r="153" spans="1:31" x14ac:dyDescent="0.45">
      <c r="A153" t="s">
        <v>191</v>
      </c>
    </row>
    <row r="154" spans="1:31" x14ac:dyDescent="0.45">
      <c r="A154" t="s">
        <v>156</v>
      </c>
      <c r="B154" t="s">
        <v>680</v>
      </c>
      <c r="C154" t="s">
        <v>679</v>
      </c>
      <c r="D154" t="s">
        <v>201</v>
      </c>
      <c r="E154">
        <v>3.7537569999999998</v>
      </c>
      <c r="F154">
        <v>3.835683</v>
      </c>
      <c r="G154">
        <v>3.9179650000000001</v>
      </c>
      <c r="H154">
        <v>3.9963730000000002</v>
      </c>
      <c r="I154">
        <v>4.0713010000000001</v>
      </c>
      <c r="J154">
        <v>4.1429960000000001</v>
      </c>
      <c r="K154">
        <v>4.2088390000000002</v>
      </c>
      <c r="L154">
        <v>4.2684329999999999</v>
      </c>
      <c r="M154">
        <v>4.3136609999999997</v>
      </c>
      <c r="N154">
        <v>4.3476720000000002</v>
      </c>
      <c r="O154">
        <v>4.3677840000000003</v>
      </c>
      <c r="P154">
        <v>4.372344</v>
      </c>
      <c r="Q154">
        <v>4.3659679999999996</v>
      </c>
      <c r="R154">
        <v>4.3509070000000003</v>
      </c>
      <c r="S154">
        <v>4.3246659999999997</v>
      </c>
      <c r="T154">
        <v>4.2856860000000001</v>
      </c>
      <c r="U154">
        <v>4.2367140000000001</v>
      </c>
      <c r="V154">
        <v>4.1736630000000003</v>
      </c>
      <c r="W154">
        <v>4.1067650000000002</v>
      </c>
      <c r="X154">
        <v>4.0321230000000003</v>
      </c>
      <c r="Y154">
        <v>3.9420259999999998</v>
      </c>
      <c r="Z154">
        <v>3.84063</v>
      </c>
      <c r="AA154">
        <v>3.7352280000000002</v>
      </c>
      <c r="AB154">
        <v>3.625108</v>
      </c>
      <c r="AC154">
        <v>3.5072109999999999</v>
      </c>
      <c r="AD154">
        <v>3.3849469999999999</v>
      </c>
      <c r="AE154" s="71">
        <v>-4.0000000000000001E-3</v>
      </c>
    </row>
    <row r="155" spans="1:31" x14ac:dyDescent="0.45">
      <c r="A155" t="s">
        <v>157</v>
      </c>
      <c r="B155" t="s">
        <v>678</v>
      </c>
      <c r="C155" t="s">
        <v>677</v>
      </c>
      <c r="D155" t="s">
        <v>201</v>
      </c>
      <c r="E155">
        <v>1.7368110000000001</v>
      </c>
      <c r="F155">
        <v>1.8191759999999999</v>
      </c>
      <c r="G155">
        <v>1.913807</v>
      </c>
      <c r="H155">
        <v>2.014723</v>
      </c>
      <c r="I155">
        <v>2.1217980000000001</v>
      </c>
      <c r="J155">
        <v>2.2356319999999998</v>
      </c>
      <c r="K155">
        <v>2.3504710000000002</v>
      </c>
      <c r="L155">
        <v>2.4665979999999998</v>
      </c>
      <c r="M155">
        <v>2.5789080000000002</v>
      </c>
      <c r="N155">
        <v>2.6861519999999999</v>
      </c>
      <c r="O155">
        <v>2.7850570000000001</v>
      </c>
      <c r="P155">
        <v>2.8722349999999999</v>
      </c>
      <c r="Q155">
        <v>2.9514179999999999</v>
      </c>
      <c r="R155">
        <v>3.023469</v>
      </c>
      <c r="S155">
        <v>3.0886849999999999</v>
      </c>
      <c r="T155">
        <v>3.146547</v>
      </c>
      <c r="U155">
        <v>3.1942390000000001</v>
      </c>
      <c r="V155">
        <v>3.2263459999999999</v>
      </c>
      <c r="W155">
        <v>3.2464590000000002</v>
      </c>
      <c r="X155">
        <v>3.2486280000000001</v>
      </c>
      <c r="Y155">
        <v>3.2383359999999999</v>
      </c>
      <c r="Z155">
        <v>3.2161390000000001</v>
      </c>
      <c r="AA155">
        <v>3.1855039999999999</v>
      </c>
      <c r="AB155">
        <v>3.1438679999999999</v>
      </c>
      <c r="AC155">
        <v>3.0970080000000002</v>
      </c>
      <c r="AD155">
        <v>3.0447410000000001</v>
      </c>
      <c r="AE155" s="71">
        <v>2.3E-2</v>
      </c>
    </row>
    <row r="156" spans="1:31" x14ac:dyDescent="0.45">
      <c r="A156" t="s">
        <v>155</v>
      </c>
      <c r="B156" t="s">
        <v>676</v>
      </c>
      <c r="C156" t="s">
        <v>675</v>
      </c>
      <c r="D156" t="s">
        <v>201</v>
      </c>
      <c r="E156">
        <v>1.01E-4</v>
      </c>
      <c r="F156">
        <v>9.7E-5</v>
      </c>
      <c r="G156">
        <v>9.2999999999999997E-5</v>
      </c>
      <c r="H156">
        <v>9.1000000000000003E-5</v>
      </c>
      <c r="I156">
        <v>8.8999999999999995E-5</v>
      </c>
      <c r="J156">
        <v>8.7000000000000001E-5</v>
      </c>
      <c r="K156">
        <v>8.6000000000000003E-5</v>
      </c>
      <c r="L156">
        <v>8.6000000000000003E-5</v>
      </c>
      <c r="M156">
        <v>8.5000000000000006E-5</v>
      </c>
      <c r="N156">
        <v>7.7999999999999999E-5</v>
      </c>
      <c r="O156">
        <v>6.7999999999999999E-5</v>
      </c>
      <c r="P156">
        <v>6.3E-5</v>
      </c>
      <c r="Q156">
        <v>6.0000000000000002E-5</v>
      </c>
      <c r="R156">
        <v>5.8999999999999998E-5</v>
      </c>
      <c r="S156">
        <v>6.0000000000000002E-5</v>
      </c>
      <c r="T156">
        <v>6.0999999999999999E-5</v>
      </c>
      <c r="U156">
        <v>6.3E-5</v>
      </c>
      <c r="V156">
        <v>6.4999999999999994E-5</v>
      </c>
      <c r="W156">
        <v>6.7999999999999999E-5</v>
      </c>
      <c r="X156">
        <v>7.1000000000000005E-5</v>
      </c>
      <c r="Y156">
        <v>7.3999999999999996E-5</v>
      </c>
      <c r="Z156">
        <v>7.7000000000000001E-5</v>
      </c>
      <c r="AA156">
        <v>8.0000000000000007E-5</v>
      </c>
      <c r="AB156">
        <v>8.2000000000000001E-5</v>
      </c>
      <c r="AC156">
        <v>8.5000000000000006E-5</v>
      </c>
      <c r="AD156">
        <v>8.7999999999999998E-5</v>
      </c>
      <c r="AE156" s="71">
        <v>-6.0000000000000001E-3</v>
      </c>
    </row>
    <row r="157" spans="1:31" x14ac:dyDescent="0.45">
      <c r="A157" t="s">
        <v>154</v>
      </c>
      <c r="B157" t="s">
        <v>674</v>
      </c>
      <c r="C157" t="s">
        <v>673</v>
      </c>
      <c r="D157" t="s">
        <v>201</v>
      </c>
      <c r="E157">
        <v>3.4659999999999999E-3</v>
      </c>
      <c r="F157">
        <v>4.6589999999999999E-3</v>
      </c>
      <c r="G157">
        <v>4.8929999999999998E-3</v>
      </c>
      <c r="H157">
        <v>5.1120000000000002E-3</v>
      </c>
      <c r="I157">
        <v>5.3109999999999997E-3</v>
      </c>
      <c r="J157">
        <v>5.5290000000000001E-3</v>
      </c>
      <c r="K157">
        <v>5.7809999999999997E-3</v>
      </c>
      <c r="L157">
        <v>6.1120000000000002E-3</v>
      </c>
      <c r="M157">
        <v>6.5030000000000001E-3</v>
      </c>
      <c r="N157">
        <v>6.927E-3</v>
      </c>
      <c r="O157">
        <v>7.4549999999999998E-3</v>
      </c>
      <c r="P157">
        <v>8.0739999999999996E-3</v>
      </c>
      <c r="Q157">
        <v>9.0959999999999999E-3</v>
      </c>
      <c r="R157">
        <v>1.0227E-2</v>
      </c>
      <c r="S157">
        <v>1.1526E-2</v>
      </c>
      <c r="T157">
        <v>1.3391999999999999E-2</v>
      </c>
      <c r="U157">
        <v>1.5654999999999999E-2</v>
      </c>
      <c r="V157">
        <v>1.8696000000000001E-2</v>
      </c>
      <c r="W157">
        <v>2.2294999999999999E-2</v>
      </c>
      <c r="X157">
        <v>2.649E-2</v>
      </c>
      <c r="Y157">
        <v>3.1563000000000001E-2</v>
      </c>
      <c r="Z157">
        <v>3.7002E-2</v>
      </c>
      <c r="AA157">
        <v>4.3427E-2</v>
      </c>
      <c r="AB157">
        <v>5.0634999999999999E-2</v>
      </c>
      <c r="AC157">
        <v>5.8021000000000003E-2</v>
      </c>
      <c r="AD157">
        <v>6.6630999999999996E-2</v>
      </c>
      <c r="AE157" s="71">
        <v>0.126</v>
      </c>
    </row>
    <row r="158" spans="1:31" x14ac:dyDescent="0.45">
      <c r="A158" t="s">
        <v>153</v>
      </c>
      <c r="B158" t="s">
        <v>672</v>
      </c>
      <c r="C158" t="s">
        <v>671</v>
      </c>
      <c r="D158" t="s">
        <v>201</v>
      </c>
      <c r="E158">
        <v>0.20688100000000001</v>
      </c>
      <c r="F158">
        <v>0.20325299999999999</v>
      </c>
      <c r="G158">
        <v>0.19891700000000001</v>
      </c>
      <c r="H158">
        <v>0.193693</v>
      </c>
      <c r="I158">
        <v>0.187802</v>
      </c>
      <c r="J158">
        <v>0.18135599999999999</v>
      </c>
      <c r="K158">
        <v>0.17451800000000001</v>
      </c>
      <c r="L158">
        <v>0.16750499999999999</v>
      </c>
      <c r="M158">
        <v>0.16028800000000001</v>
      </c>
      <c r="N158">
        <v>0.15342</v>
      </c>
      <c r="O158">
        <v>0.146088</v>
      </c>
      <c r="P158">
        <v>0.138933</v>
      </c>
      <c r="Q158">
        <v>0.13139899999999999</v>
      </c>
      <c r="R158">
        <v>0.12435499999999999</v>
      </c>
      <c r="S158">
        <v>0.116871</v>
      </c>
      <c r="T158">
        <v>0.109835</v>
      </c>
      <c r="U158">
        <v>0.103297</v>
      </c>
      <c r="V158">
        <v>9.6893000000000007E-2</v>
      </c>
      <c r="W158">
        <v>9.1095999999999996E-2</v>
      </c>
      <c r="X158">
        <v>8.5285E-2</v>
      </c>
      <c r="Y158">
        <v>7.8014E-2</v>
      </c>
      <c r="Z158">
        <v>7.0412000000000002E-2</v>
      </c>
      <c r="AA158">
        <v>6.2622999999999998E-2</v>
      </c>
      <c r="AB158">
        <v>5.5251000000000001E-2</v>
      </c>
      <c r="AC158">
        <v>4.6946000000000002E-2</v>
      </c>
      <c r="AD158">
        <v>3.8714999999999999E-2</v>
      </c>
      <c r="AE158" s="71">
        <v>-6.5000000000000002E-2</v>
      </c>
    </row>
    <row r="159" spans="1:31" x14ac:dyDescent="0.45">
      <c r="A159" t="s">
        <v>126</v>
      </c>
      <c r="B159" t="s">
        <v>670</v>
      </c>
      <c r="C159" t="s">
        <v>669</v>
      </c>
      <c r="D159" t="s">
        <v>201</v>
      </c>
      <c r="E159">
        <v>8.5459999999999998E-3</v>
      </c>
      <c r="F159">
        <v>1.0415000000000001E-2</v>
      </c>
      <c r="G159">
        <v>1.2351000000000001E-2</v>
      </c>
      <c r="H159">
        <v>1.4288E-2</v>
      </c>
      <c r="I159">
        <v>1.6306999999999999E-2</v>
      </c>
      <c r="J159">
        <v>1.8408000000000001E-2</v>
      </c>
      <c r="K159">
        <v>2.0551E-2</v>
      </c>
      <c r="L159">
        <v>2.2764E-2</v>
      </c>
      <c r="M159">
        <v>2.5003000000000001E-2</v>
      </c>
      <c r="N159">
        <v>2.7272000000000001E-2</v>
      </c>
      <c r="O159">
        <v>2.9526E-2</v>
      </c>
      <c r="P159">
        <v>3.1724000000000002E-2</v>
      </c>
      <c r="Q159">
        <v>3.3896999999999997E-2</v>
      </c>
      <c r="R159">
        <v>3.6063999999999999E-2</v>
      </c>
      <c r="S159">
        <v>3.8191000000000003E-2</v>
      </c>
      <c r="T159">
        <v>4.4736999999999999E-2</v>
      </c>
      <c r="U159">
        <v>6.4108999999999999E-2</v>
      </c>
      <c r="V159">
        <v>0.103196</v>
      </c>
      <c r="W159">
        <v>0.16223499999999999</v>
      </c>
      <c r="X159">
        <v>0.245474</v>
      </c>
      <c r="Y159">
        <v>0.35137099999999999</v>
      </c>
      <c r="Z159">
        <v>0.47008299999999997</v>
      </c>
      <c r="AA159">
        <v>0.60047600000000001</v>
      </c>
      <c r="AB159">
        <v>0.74134699999999998</v>
      </c>
      <c r="AC159">
        <v>0.88834800000000003</v>
      </c>
      <c r="AD159">
        <v>1.0391729999999999</v>
      </c>
      <c r="AE159" s="71">
        <v>0.21199999999999999</v>
      </c>
    </row>
    <row r="160" spans="1:31" x14ac:dyDescent="0.45">
      <c r="A160" t="s">
        <v>151</v>
      </c>
      <c r="B160" t="s">
        <v>668</v>
      </c>
      <c r="C160" t="s">
        <v>667</v>
      </c>
      <c r="D160" t="s">
        <v>201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0</v>
      </c>
      <c r="AA160">
        <v>0</v>
      </c>
      <c r="AB160">
        <v>0</v>
      </c>
      <c r="AC160">
        <v>0</v>
      </c>
      <c r="AD160">
        <v>0</v>
      </c>
      <c r="AE160" t="s">
        <v>109</v>
      </c>
    </row>
    <row r="161" spans="1:31" x14ac:dyDescent="0.45">
      <c r="A161" t="s">
        <v>152</v>
      </c>
      <c r="B161" t="s">
        <v>666</v>
      </c>
      <c r="C161" t="s">
        <v>665</v>
      </c>
      <c r="D161" t="s">
        <v>201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0</v>
      </c>
      <c r="AE161" t="s">
        <v>109</v>
      </c>
    </row>
    <row r="162" spans="1:31" x14ac:dyDescent="0.45">
      <c r="A162" t="s">
        <v>127</v>
      </c>
      <c r="B162" t="s">
        <v>664</v>
      </c>
      <c r="C162" t="s">
        <v>663</v>
      </c>
      <c r="D162" t="s">
        <v>201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0</v>
      </c>
      <c r="AD162">
        <v>0</v>
      </c>
      <c r="AE162" t="s">
        <v>109</v>
      </c>
    </row>
    <row r="163" spans="1:31" x14ac:dyDescent="0.45">
      <c r="A163" t="s">
        <v>150</v>
      </c>
      <c r="B163" t="s">
        <v>662</v>
      </c>
      <c r="C163" t="s">
        <v>661</v>
      </c>
      <c r="D163" t="s">
        <v>201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0</v>
      </c>
      <c r="AD163">
        <v>0</v>
      </c>
      <c r="AE163" t="s">
        <v>109</v>
      </c>
    </row>
    <row r="164" spans="1:31" x14ac:dyDescent="0.45">
      <c r="A164" t="s">
        <v>149</v>
      </c>
      <c r="B164" t="s">
        <v>660</v>
      </c>
      <c r="C164" t="s">
        <v>659</v>
      </c>
      <c r="D164" t="s">
        <v>201</v>
      </c>
      <c r="E164">
        <v>2.0070000000000001E-3</v>
      </c>
      <c r="F164">
        <v>6.0210000000000003E-3</v>
      </c>
      <c r="G164">
        <v>1.1362000000000001E-2</v>
      </c>
      <c r="H164">
        <v>1.8501E-2</v>
      </c>
      <c r="I164">
        <v>2.8715000000000001E-2</v>
      </c>
      <c r="J164">
        <v>4.4956999999999997E-2</v>
      </c>
      <c r="K164">
        <v>6.7765000000000006E-2</v>
      </c>
      <c r="L164">
        <v>9.9580000000000002E-2</v>
      </c>
      <c r="M164">
        <v>0.144208</v>
      </c>
      <c r="N164">
        <v>0.20371600000000001</v>
      </c>
      <c r="O164">
        <v>0.28106300000000001</v>
      </c>
      <c r="P164">
        <v>0.38008700000000001</v>
      </c>
      <c r="Q164">
        <v>0.49675200000000003</v>
      </c>
      <c r="R164">
        <v>0.62812400000000002</v>
      </c>
      <c r="S164">
        <v>0.771038</v>
      </c>
      <c r="T164">
        <v>0.92185799999999996</v>
      </c>
      <c r="U164">
        <v>1.0775729999999999</v>
      </c>
      <c r="V164">
        <v>1.2362770000000001</v>
      </c>
      <c r="W164">
        <v>1.3968430000000001</v>
      </c>
      <c r="X164">
        <v>1.5585180000000001</v>
      </c>
      <c r="Y164">
        <v>1.720966</v>
      </c>
      <c r="Z164">
        <v>1.883111</v>
      </c>
      <c r="AA164">
        <v>2.044705</v>
      </c>
      <c r="AB164">
        <v>2.204297</v>
      </c>
      <c r="AC164">
        <v>2.3588309999999999</v>
      </c>
      <c r="AD164">
        <v>2.5073470000000002</v>
      </c>
      <c r="AE164" s="71">
        <v>0.33</v>
      </c>
    </row>
    <row r="165" spans="1:31" x14ac:dyDescent="0.45">
      <c r="A165" t="s">
        <v>148</v>
      </c>
      <c r="B165" t="s">
        <v>658</v>
      </c>
      <c r="C165" t="s">
        <v>657</v>
      </c>
      <c r="D165" t="s">
        <v>201</v>
      </c>
      <c r="E165">
        <v>0</v>
      </c>
      <c r="F165">
        <v>0</v>
      </c>
      <c r="G165">
        <v>0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0</v>
      </c>
      <c r="AD165">
        <v>0</v>
      </c>
      <c r="AE165" t="s">
        <v>109</v>
      </c>
    </row>
    <row r="166" spans="1:31" s="70" customFormat="1" x14ac:dyDescent="0.45">
      <c r="A166" s="70" t="s">
        <v>190</v>
      </c>
      <c r="B166" s="70" t="s">
        <v>656</v>
      </c>
      <c r="C166" s="70" t="s">
        <v>655</v>
      </c>
      <c r="D166" s="70" t="s">
        <v>201</v>
      </c>
      <c r="E166" s="70">
        <v>5.7115710000000002</v>
      </c>
      <c r="F166" s="70">
        <v>5.8793040000000003</v>
      </c>
      <c r="G166" s="70">
        <v>6.0593890000000004</v>
      </c>
      <c r="H166" s="70">
        <v>6.2427799999999998</v>
      </c>
      <c r="I166" s="70">
        <v>6.431324</v>
      </c>
      <c r="J166" s="70">
        <v>6.628965</v>
      </c>
      <c r="K166" s="70">
        <v>6.8280130000000003</v>
      </c>
      <c r="L166" s="70">
        <v>7.0310769999999998</v>
      </c>
      <c r="M166" s="70">
        <v>7.2286590000000004</v>
      </c>
      <c r="N166" s="70">
        <v>7.4252359999999999</v>
      </c>
      <c r="O166" s="70">
        <v>7.6170400000000003</v>
      </c>
      <c r="P166" s="70">
        <v>7.8034590000000001</v>
      </c>
      <c r="Q166" s="70">
        <v>7.9885890000000002</v>
      </c>
      <c r="R166" s="70">
        <v>8.1732069999999997</v>
      </c>
      <c r="S166" s="70">
        <v>8.3510360000000006</v>
      </c>
      <c r="T166" s="70">
        <v>8.5221140000000002</v>
      </c>
      <c r="U166" s="70">
        <v>8.6916510000000002</v>
      </c>
      <c r="V166" s="70">
        <v>8.8551350000000006</v>
      </c>
      <c r="W166" s="70">
        <v>9.02576</v>
      </c>
      <c r="X166" s="70">
        <v>9.1965900000000005</v>
      </c>
      <c r="Y166" s="70">
        <v>9.3623499999999993</v>
      </c>
      <c r="Z166" s="70">
        <v>9.5174509999999994</v>
      </c>
      <c r="AA166" s="70">
        <v>9.6720459999999999</v>
      </c>
      <c r="AB166" s="70">
        <v>9.8205880000000008</v>
      </c>
      <c r="AC166" s="70">
        <v>9.9564520000000005</v>
      </c>
      <c r="AD166" s="70">
        <v>10.08164</v>
      </c>
      <c r="AE166" s="86">
        <v>2.3E-2</v>
      </c>
    </row>
    <row r="167" spans="1:31" x14ac:dyDescent="0.45">
      <c r="A167" t="s">
        <v>189</v>
      </c>
    </row>
    <row r="168" spans="1:31" x14ac:dyDescent="0.45">
      <c r="A168" t="s">
        <v>156</v>
      </c>
      <c r="B168" t="s">
        <v>654</v>
      </c>
      <c r="C168" t="s">
        <v>653</v>
      </c>
      <c r="D168" t="s">
        <v>201</v>
      </c>
      <c r="E168">
        <v>2.4072119999999999</v>
      </c>
      <c r="F168">
        <v>2.417484</v>
      </c>
      <c r="G168">
        <v>2.4342429999999999</v>
      </c>
      <c r="H168">
        <v>2.4493640000000001</v>
      </c>
      <c r="I168">
        <v>2.4591560000000001</v>
      </c>
      <c r="J168">
        <v>2.4674930000000002</v>
      </c>
      <c r="K168">
        <v>2.4724020000000002</v>
      </c>
      <c r="L168">
        <v>2.4759090000000001</v>
      </c>
      <c r="M168">
        <v>2.4725380000000001</v>
      </c>
      <c r="N168">
        <v>2.462542</v>
      </c>
      <c r="O168">
        <v>2.4504760000000001</v>
      </c>
      <c r="P168">
        <v>2.4368289999999999</v>
      </c>
      <c r="Q168">
        <v>2.4207890000000001</v>
      </c>
      <c r="R168">
        <v>2.4010289999999999</v>
      </c>
      <c r="S168">
        <v>2.3771239999999998</v>
      </c>
      <c r="T168">
        <v>2.349577</v>
      </c>
      <c r="U168">
        <v>2.3196840000000001</v>
      </c>
      <c r="V168">
        <v>2.2902659999999999</v>
      </c>
      <c r="W168">
        <v>2.2680180000000001</v>
      </c>
      <c r="X168">
        <v>2.2516189999999998</v>
      </c>
      <c r="Y168">
        <v>2.2363930000000001</v>
      </c>
      <c r="Z168">
        <v>2.2191360000000002</v>
      </c>
      <c r="AA168">
        <v>2.2018749999999998</v>
      </c>
      <c r="AB168">
        <v>2.183691</v>
      </c>
      <c r="AC168">
        <v>2.1628780000000001</v>
      </c>
      <c r="AD168">
        <v>2.1399400000000002</v>
      </c>
      <c r="AE168" s="71">
        <v>-5.0000000000000001E-3</v>
      </c>
    </row>
    <row r="169" spans="1:31" x14ac:dyDescent="0.45">
      <c r="A169" t="s">
        <v>157</v>
      </c>
      <c r="B169" t="s">
        <v>652</v>
      </c>
      <c r="C169" t="s">
        <v>651</v>
      </c>
      <c r="D169" t="s">
        <v>201</v>
      </c>
      <c r="E169">
        <v>1.6153660000000001</v>
      </c>
      <c r="F169">
        <v>1.6238090000000001</v>
      </c>
      <c r="G169">
        <v>1.64422</v>
      </c>
      <c r="H169">
        <v>1.6684049999999999</v>
      </c>
      <c r="I169">
        <v>1.692431</v>
      </c>
      <c r="J169">
        <v>1.7185429999999999</v>
      </c>
      <c r="K169">
        <v>1.743052</v>
      </c>
      <c r="L169">
        <v>1.7709569999999999</v>
      </c>
      <c r="M169">
        <v>1.794359</v>
      </c>
      <c r="N169">
        <v>1.8161620000000001</v>
      </c>
      <c r="O169">
        <v>1.838679</v>
      </c>
      <c r="P169">
        <v>1.85806</v>
      </c>
      <c r="Q169">
        <v>1.876377</v>
      </c>
      <c r="R169">
        <v>1.890663</v>
      </c>
      <c r="S169">
        <v>1.903397</v>
      </c>
      <c r="T169">
        <v>1.911824</v>
      </c>
      <c r="U169">
        <v>1.9198379999999999</v>
      </c>
      <c r="V169">
        <v>1.928299</v>
      </c>
      <c r="W169">
        <v>1.9394819999999999</v>
      </c>
      <c r="X169">
        <v>1.952056</v>
      </c>
      <c r="Y169">
        <v>1.9627250000000001</v>
      </c>
      <c r="Z169">
        <v>1.9702329999999999</v>
      </c>
      <c r="AA169">
        <v>1.9749030000000001</v>
      </c>
      <c r="AB169">
        <v>1.976996</v>
      </c>
      <c r="AC169">
        <v>1.976707</v>
      </c>
      <c r="AD169">
        <v>1.9729950000000001</v>
      </c>
      <c r="AE169" s="71">
        <v>8.0000000000000002E-3</v>
      </c>
    </row>
    <row r="170" spans="1:31" x14ac:dyDescent="0.45">
      <c r="A170" t="s">
        <v>155</v>
      </c>
      <c r="B170" t="s">
        <v>650</v>
      </c>
      <c r="C170" t="s">
        <v>649</v>
      </c>
      <c r="D170" t="s">
        <v>201</v>
      </c>
      <c r="E170">
        <v>2.147E-3</v>
      </c>
      <c r="F170">
        <v>2.0049999999999998E-3</v>
      </c>
      <c r="G170">
        <v>1.8810000000000001E-3</v>
      </c>
      <c r="H170">
        <v>1.7750000000000001E-3</v>
      </c>
      <c r="I170">
        <v>1.5709999999999999E-3</v>
      </c>
      <c r="J170">
        <v>1.474E-3</v>
      </c>
      <c r="K170">
        <v>1.374E-3</v>
      </c>
      <c r="L170">
        <v>1.289E-3</v>
      </c>
      <c r="M170">
        <v>1.227E-3</v>
      </c>
      <c r="N170">
        <v>1.139E-3</v>
      </c>
      <c r="O170">
        <v>1.036E-3</v>
      </c>
      <c r="P170">
        <v>9.5100000000000002E-4</v>
      </c>
      <c r="Q170">
        <v>8.83E-4</v>
      </c>
      <c r="R170">
        <v>8.2200000000000003E-4</v>
      </c>
      <c r="S170">
        <v>7.6800000000000002E-4</v>
      </c>
      <c r="T170">
        <v>7.2199999999999999E-4</v>
      </c>
      <c r="U170">
        <v>6.7699999999999998E-4</v>
      </c>
      <c r="V170">
        <v>6.3599999999999996E-4</v>
      </c>
      <c r="W170">
        <v>5.9800000000000001E-4</v>
      </c>
      <c r="X170">
        <v>5.5800000000000001E-4</v>
      </c>
      <c r="Y170">
        <v>5.3300000000000005E-4</v>
      </c>
      <c r="Z170">
        <v>5.0299999999999997E-4</v>
      </c>
      <c r="AA170">
        <v>4.7600000000000002E-4</v>
      </c>
      <c r="AB170">
        <v>4.5100000000000001E-4</v>
      </c>
      <c r="AC170">
        <v>3.4499999999999998E-4</v>
      </c>
      <c r="AD170">
        <v>2.5599999999999999E-4</v>
      </c>
      <c r="AE170" s="71">
        <v>-8.2000000000000003E-2</v>
      </c>
    </row>
    <row r="171" spans="1:31" x14ac:dyDescent="0.45">
      <c r="A171" t="s">
        <v>154</v>
      </c>
      <c r="B171" t="s">
        <v>648</v>
      </c>
      <c r="C171" t="s">
        <v>647</v>
      </c>
      <c r="D171" t="s">
        <v>201</v>
      </c>
      <c r="E171">
        <v>8.1270000000000005E-3</v>
      </c>
      <c r="F171">
        <v>9.5809999999999992E-3</v>
      </c>
      <c r="G171">
        <v>1.1113E-2</v>
      </c>
      <c r="H171">
        <v>1.2629E-2</v>
      </c>
      <c r="I171">
        <v>1.4112E-2</v>
      </c>
      <c r="J171">
        <v>1.5606999999999999E-2</v>
      </c>
      <c r="K171">
        <v>1.7077999999999999E-2</v>
      </c>
      <c r="L171">
        <v>1.8551000000000002E-2</v>
      </c>
      <c r="M171">
        <v>2.0031E-2</v>
      </c>
      <c r="N171">
        <v>2.1465999999999999E-2</v>
      </c>
      <c r="O171">
        <v>2.2883000000000001E-2</v>
      </c>
      <c r="P171">
        <v>2.4239E-2</v>
      </c>
      <c r="Q171">
        <v>2.5495E-2</v>
      </c>
      <c r="R171">
        <v>2.6682999999999998E-2</v>
      </c>
      <c r="S171">
        <v>2.7831999999999999E-2</v>
      </c>
      <c r="T171">
        <v>2.8978E-2</v>
      </c>
      <c r="U171">
        <v>3.0072999999999999E-2</v>
      </c>
      <c r="V171">
        <v>3.1144000000000002E-2</v>
      </c>
      <c r="W171">
        <v>3.2160000000000001E-2</v>
      </c>
      <c r="X171">
        <v>3.3123E-2</v>
      </c>
      <c r="Y171">
        <v>3.4074E-2</v>
      </c>
      <c r="Z171">
        <v>3.4984000000000001E-2</v>
      </c>
      <c r="AA171">
        <v>3.5830000000000001E-2</v>
      </c>
      <c r="AB171">
        <v>3.6607000000000001E-2</v>
      </c>
      <c r="AC171">
        <v>3.7328E-2</v>
      </c>
      <c r="AD171">
        <v>3.8017000000000002E-2</v>
      </c>
      <c r="AE171" s="71">
        <v>6.4000000000000001E-2</v>
      </c>
    </row>
    <row r="172" spans="1:31" x14ac:dyDescent="0.45">
      <c r="A172" t="s">
        <v>153</v>
      </c>
      <c r="B172" t="s">
        <v>646</v>
      </c>
      <c r="C172" t="s">
        <v>645</v>
      </c>
      <c r="D172" t="s">
        <v>201</v>
      </c>
      <c r="E172">
        <v>2.9884000000000001E-2</v>
      </c>
      <c r="F172">
        <v>2.9522E-2</v>
      </c>
      <c r="G172">
        <v>2.9082E-2</v>
      </c>
      <c r="H172">
        <v>2.8558E-2</v>
      </c>
      <c r="I172">
        <v>2.809E-2</v>
      </c>
      <c r="J172">
        <v>2.7512999999999999E-2</v>
      </c>
      <c r="K172">
        <v>2.6866999999999999E-2</v>
      </c>
      <c r="L172">
        <v>2.6228000000000001E-2</v>
      </c>
      <c r="M172">
        <v>2.5440000000000001E-2</v>
      </c>
      <c r="N172">
        <v>2.4625999999999999E-2</v>
      </c>
      <c r="O172">
        <v>2.3859000000000002E-2</v>
      </c>
      <c r="P172">
        <v>2.3052E-2</v>
      </c>
      <c r="Q172">
        <v>2.2211999999999999E-2</v>
      </c>
      <c r="R172">
        <v>2.1343999999999998E-2</v>
      </c>
      <c r="S172">
        <v>2.0424000000000001E-2</v>
      </c>
      <c r="T172">
        <v>1.9472E-2</v>
      </c>
      <c r="U172">
        <v>1.8508E-2</v>
      </c>
      <c r="V172">
        <v>1.7510000000000001E-2</v>
      </c>
      <c r="W172">
        <v>1.6513E-2</v>
      </c>
      <c r="X172">
        <v>1.5466000000000001E-2</v>
      </c>
      <c r="Y172">
        <v>1.438E-2</v>
      </c>
      <c r="Z172">
        <v>1.3193E-2</v>
      </c>
      <c r="AA172">
        <v>1.1946E-2</v>
      </c>
      <c r="AB172">
        <v>1.0553E-2</v>
      </c>
      <c r="AC172">
        <v>9.1920000000000005E-3</v>
      </c>
      <c r="AD172">
        <v>7.8729999999999998E-3</v>
      </c>
      <c r="AE172" s="71">
        <v>-5.1999999999999998E-2</v>
      </c>
    </row>
    <row r="173" spans="1:31" x14ac:dyDescent="0.45">
      <c r="A173" t="s">
        <v>126</v>
      </c>
      <c r="B173" t="s">
        <v>644</v>
      </c>
      <c r="C173" t="s">
        <v>643</v>
      </c>
      <c r="D173" t="s">
        <v>201</v>
      </c>
      <c r="E173">
        <v>1.317E-3</v>
      </c>
      <c r="F173">
        <v>1.598E-3</v>
      </c>
      <c r="G173">
        <v>1.9009999999999999E-3</v>
      </c>
      <c r="H173">
        <v>2.202E-3</v>
      </c>
      <c r="I173">
        <v>2.4949999999999998E-3</v>
      </c>
      <c r="J173">
        <v>2.7899999999999999E-3</v>
      </c>
      <c r="K173">
        <v>3.0760000000000002E-3</v>
      </c>
      <c r="L173">
        <v>3.3709999999999999E-3</v>
      </c>
      <c r="M173">
        <v>3.6670000000000001E-3</v>
      </c>
      <c r="N173">
        <v>3.9620000000000002E-3</v>
      </c>
      <c r="O173">
        <v>4.2519999999999997E-3</v>
      </c>
      <c r="P173">
        <v>4.5259999999999996E-3</v>
      </c>
      <c r="Q173">
        <v>4.7889999999999999E-3</v>
      </c>
      <c r="R173">
        <v>5.0289999999999996E-3</v>
      </c>
      <c r="S173">
        <v>5.2630000000000003E-3</v>
      </c>
      <c r="T173">
        <v>5.4879999999999998E-3</v>
      </c>
      <c r="U173">
        <v>5.7070000000000003E-3</v>
      </c>
      <c r="V173">
        <v>5.9189999999999998E-3</v>
      </c>
      <c r="W173">
        <v>6.1260000000000004E-3</v>
      </c>
      <c r="X173">
        <v>6.3239999999999998E-3</v>
      </c>
      <c r="Y173">
        <v>6.5139999999999998E-3</v>
      </c>
      <c r="Z173">
        <v>6.6930000000000002E-3</v>
      </c>
      <c r="AA173">
        <v>6.8589999999999996E-3</v>
      </c>
      <c r="AB173">
        <v>7.0179999999999999E-3</v>
      </c>
      <c r="AC173">
        <v>7.1679999999999999E-3</v>
      </c>
      <c r="AD173">
        <v>7.3109999999999998E-3</v>
      </c>
      <c r="AE173" s="71">
        <v>7.0999999999999994E-2</v>
      </c>
    </row>
    <row r="174" spans="1:31" x14ac:dyDescent="0.45">
      <c r="A174" t="s">
        <v>151</v>
      </c>
      <c r="B174" t="s">
        <v>642</v>
      </c>
      <c r="C174" t="s">
        <v>641</v>
      </c>
      <c r="D174" t="s">
        <v>201</v>
      </c>
      <c r="E174">
        <v>0</v>
      </c>
      <c r="F174">
        <v>0</v>
      </c>
      <c r="G174">
        <v>0</v>
      </c>
      <c r="H174">
        <v>0</v>
      </c>
      <c r="I174">
        <v>0</v>
      </c>
      <c r="J174">
        <v>0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v>0</v>
      </c>
      <c r="AD174">
        <v>0</v>
      </c>
      <c r="AE174" t="s">
        <v>109</v>
      </c>
    </row>
    <row r="175" spans="1:31" x14ac:dyDescent="0.45">
      <c r="A175" t="s">
        <v>152</v>
      </c>
      <c r="B175" t="s">
        <v>640</v>
      </c>
      <c r="C175" t="s">
        <v>639</v>
      </c>
      <c r="D175" t="s">
        <v>201</v>
      </c>
      <c r="E175">
        <v>5.0199999999999995E-4</v>
      </c>
      <c r="F175">
        <v>5.0100000000000003E-4</v>
      </c>
      <c r="G175">
        <v>5.0199999999999995E-4</v>
      </c>
      <c r="H175">
        <v>4.9899999999999999E-4</v>
      </c>
      <c r="I175">
        <v>4.9799999999999996E-4</v>
      </c>
      <c r="J175">
        <v>4.9600000000000002E-4</v>
      </c>
      <c r="K175">
        <v>4.9600000000000002E-4</v>
      </c>
      <c r="L175">
        <v>5.0000000000000001E-4</v>
      </c>
      <c r="M175">
        <v>4.9899999999999999E-4</v>
      </c>
      <c r="N175">
        <v>4.9700000000000005E-4</v>
      </c>
      <c r="O175">
        <v>4.8700000000000002E-4</v>
      </c>
      <c r="P175">
        <v>4.8200000000000001E-4</v>
      </c>
      <c r="Q175">
        <v>4.7800000000000002E-4</v>
      </c>
      <c r="R175">
        <v>4.7399999999999997E-4</v>
      </c>
      <c r="S175">
        <v>4.7199999999999998E-4</v>
      </c>
      <c r="T175">
        <v>4.6700000000000002E-4</v>
      </c>
      <c r="U175">
        <v>4.57E-4</v>
      </c>
      <c r="V175">
        <v>4.5100000000000001E-4</v>
      </c>
      <c r="W175">
        <v>4.4000000000000002E-4</v>
      </c>
      <c r="X175">
        <v>4.26E-4</v>
      </c>
      <c r="Y175">
        <v>4.1199999999999999E-4</v>
      </c>
      <c r="Z175">
        <v>3.9199999999999999E-4</v>
      </c>
      <c r="AA175">
        <v>3.7399999999999998E-4</v>
      </c>
      <c r="AB175">
        <v>3.5399999999999999E-4</v>
      </c>
      <c r="AC175">
        <v>3.3199999999999999E-4</v>
      </c>
      <c r="AD175">
        <v>3.1E-4</v>
      </c>
      <c r="AE175" s="71">
        <v>-1.9E-2</v>
      </c>
    </row>
    <row r="176" spans="1:31" x14ac:dyDescent="0.45">
      <c r="A176" t="s">
        <v>127</v>
      </c>
      <c r="B176" t="s">
        <v>638</v>
      </c>
      <c r="C176" t="s">
        <v>637</v>
      </c>
      <c r="D176" t="s">
        <v>201</v>
      </c>
      <c r="E176">
        <v>0</v>
      </c>
      <c r="F176">
        <v>0</v>
      </c>
      <c r="G176">
        <v>0</v>
      </c>
      <c r="H176">
        <v>0</v>
      </c>
      <c r="I176">
        <v>0</v>
      </c>
      <c r="J176">
        <v>0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0</v>
      </c>
      <c r="AD176">
        <v>0</v>
      </c>
      <c r="AE176" t="s">
        <v>109</v>
      </c>
    </row>
    <row r="177" spans="1:31" x14ac:dyDescent="0.45">
      <c r="A177" t="s">
        <v>150</v>
      </c>
      <c r="B177" t="s">
        <v>636</v>
      </c>
      <c r="C177" t="s">
        <v>635</v>
      </c>
      <c r="D177" t="s">
        <v>201</v>
      </c>
      <c r="E177">
        <v>0</v>
      </c>
      <c r="F177">
        <v>0</v>
      </c>
      <c r="G177">
        <v>0</v>
      </c>
      <c r="H177">
        <v>0</v>
      </c>
      <c r="I177">
        <v>0</v>
      </c>
      <c r="J177">
        <v>0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  <c r="AC177">
        <v>0</v>
      </c>
      <c r="AD177">
        <v>0</v>
      </c>
      <c r="AE177" t="s">
        <v>109</v>
      </c>
    </row>
    <row r="178" spans="1:31" x14ac:dyDescent="0.45">
      <c r="A178" t="s">
        <v>149</v>
      </c>
      <c r="B178" t="s">
        <v>634</v>
      </c>
      <c r="C178" t="s">
        <v>633</v>
      </c>
      <c r="D178" t="s">
        <v>201</v>
      </c>
      <c r="E178">
        <v>1.194E-3</v>
      </c>
      <c r="F178">
        <v>2.8029999999999999E-3</v>
      </c>
      <c r="G178">
        <v>4.934E-3</v>
      </c>
      <c r="H178">
        <v>7.5849999999999997E-3</v>
      </c>
      <c r="I178">
        <v>1.0914E-2</v>
      </c>
      <c r="J178">
        <v>1.5311999999999999E-2</v>
      </c>
      <c r="K178">
        <v>2.1284000000000001E-2</v>
      </c>
      <c r="L178">
        <v>2.9509000000000001E-2</v>
      </c>
      <c r="M178">
        <v>4.0731000000000003E-2</v>
      </c>
      <c r="N178">
        <v>5.5488999999999997E-2</v>
      </c>
      <c r="O178">
        <v>7.4186000000000002E-2</v>
      </c>
      <c r="P178">
        <v>9.6482999999999999E-2</v>
      </c>
      <c r="Q178">
        <v>0.12182999999999999</v>
      </c>
      <c r="R178">
        <v>0.14949899999999999</v>
      </c>
      <c r="S178">
        <v>0.17879200000000001</v>
      </c>
      <c r="T178">
        <v>0.2094</v>
      </c>
      <c r="U178">
        <v>0.240892</v>
      </c>
      <c r="V178">
        <v>0.27282699999999999</v>
      </c>
      <c r="W178">
        <v>0.30510500000000002</v>
      </c>
      <c r="X178">
        <v>0.33740399999999998</v>
      </c>
      <c r="Y178">
        <v>0.36941000000000002</v>
      </c>
      <c r="Z178">
        <v>0.40069399999999999</v>
      </c>
      <c r="AA178">
        <v>0.43091200000000002</v>
      </c>
      <c r="AB178">
        <v>0.45991799999999999</v>
      </c>
      <c r="AC178">
        <v>0.48773100000000003</v>
      </c>
      <c r="AD178">
        <v>0.51461500000000004</v>
      </c>
      <c r="AE178" s="71">
        <v>0.27500000000000002</v>
      </c>
    </row>
    <row r="179" spans="1:31" x14ac:dyDescent="0.45">
      <c r="A179" t="s">
        <v>148</v>
      </c>
      <c r="B179" t="s">
        <v>632</v>
      </c>
      <c r="C179" t="s">
        <v>631</v>
      </c>
      <c r="D179" t="s">
        <v>201</v>
      </c>
      <c r="E179">
        <v>0</v>
      </c>
      <c r="F179">
        <v>0</v>
      </c>
      <c r="G179">
        <v>0</v>
      </c>
      <c r="H179">
        <v>0</v>
      </c>
      <c r="I179">
        <v>0</v>
      </c>
      <c r="J179">
        <v>0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0</v>
      </c>
      <c r="AC179">
        <v>0</v>
      </c>
      <c r="AD179">
        <v>0</v>
      </c>
      <c r="AE179" t="s">
        <v>109</v>
      </c>
    </row>
    <row r="180" spans="1:31" s="70" customFormat="1" x14ac:dyDescent="0.45">
      <c r="A180" s="70" t="s">
        <v>188</v>
      </c>
      <c r="B180" s="70" t="s">
        <v>630</v>
      </c>
      <c r="C180" s="70" t="s">
        <v>629</v>
      </c>
      <c r="D180" s="70" t="s">
        <v>201</v>
      </c>
      <c r="E180" s="70">
        <v>4.0657500000000004</v>
      </c>
      <c r="F180" s="70">
        <v>4.0873030000000004</v>
      </c>
      <c r="G180" s="70">
        <v>4.1278769999999998</v>
      </c>
      <c r="H180" s="70">
        <v>4.171017</v>
      </c>
      <c r="I180" s="70">
        <v>4.2092689999999999</v>
      </c>
      <c r="J180" s="70">
        <v>4.2492270000000003</v>
      </c>
      <c r="K180" s="70">
        <v>4.2856310000000004</v>
      </c>
      <c r="L180" s="70">
        <v>4.3263170000000004</v>
      </c>
      <c r="M180" s="70">
        <v>4.3584940000000003</v>
      </c>
      <c r="N180" s="70">
        <v>4.3858829999999998</v>
      </c>
      <c r="O180" s="70">
        <v>4.4158590000000002</v>
      </c>
      <c r="P180" s="70">
        <v>4.4446240000000001</v>
      </c>
      <c r="Q180" s="70">
        <v>4.472855</v>
      </c>
      <c r="R180" s="70">
        <v>4.4955429999999996</v>
      </c>
      <c r="S180" s="70">
        <v>4.5140710000000004</v>
      </c>
      <c r="T180" s="70">
        <v>4.5259270000000003</v>
      </c>
      <c r="U180" s="70">
        <v>4.5358349999999996</v>
      </c>
      <c r="V180" s="70">
        <v>4.5470509999999997</v>
      </c>
      <c r="W180" s="70">
        <v>4.568441</v>
      </c>
      <c r="X180" s="70">
        <v>4.5969749999999996</v>
      </c>
      <c r="Y180" s="70">
        <v>4.6244420000000002</v>
      </c>
      <c r="Z180" s="70">
        <v>4.6458279999999998</v>
      </c>
      <c r="AA180" s="70">
        <v>4.663176</v>
      </c>
      <c r="AB180" s="70">
        <v>4.6755880000000003</v>
      </c>
      <c r="AC180" s="70">
        <v>4.6816820000000003</v>
      </c>
      <c r="AD180" s="70">
        <v>4.6813149999999997</v>
      </c>
      <c r="AE180" s="86">
        <v>6.0000000000000001E-3</v>
      </c>
    </row>
    <row r="181" spans="1:31" x14ac:dyDescent="0.45">
      <c r="A181" t="s">
        <v>187</v>
      </c>
    </row>
    <row r="182" spans="1:31" x14ac:dyDescent="0.45">
      <c r="A182" t="s">
        <v>156</v>
      </c>
      <c r="B182" t="s">
        <v>628</v>
      </c>
      <c r="C182" t="s">
        <v>627</v>
      </c>
      <c r="D182" t="s">
        <v>201</v>
      </c>
      <c r="E182">
        <v>5.6151819999999999</v>
      </c>
      <c r="F182">
        <v>5.6821989999999998</v>
      </c>
      <c r="G182">
        <v>5.7848090000000001</v>
      </c>
      <c r="H182">
        <v>5.8920719999999998</v>
      </c>
      <c r="I182">
        <v>5.9935700000000001</v>
      </c>
      <c r="J182">
        <v>6.0972989999999996</v>
      </c>
      <c r="K182">
        <v>6.2040290000000002</v>
      </c>
      <c r="L182">
        <v>6.3113279999999996</v>
      </c>
      <c r="M182">
        <v>6.4149459999999996</v>
      </c>
      <c r="N182">
        <v>6.5078300000000002</v>
      </c>
      <c r="O182">
        <v>6.6030670000000002</v>
      </c>
      <c r="P182">
        <v>6.6993910000000003</v>
      </c>
      <c r="Q182">
        <v>6.7899339999999997</v>
      </c>
      <c r="R182">
        <v>6.872649</v>
      </c>
      <c r="S182">
        <v>6.9416859999999998</v>
      </c>
      <c r="T182">
        <v>7.0018419999999999</v>
      </c>
      <c r="U182">
        <v>7.0487849999999996</v>
      </c>
      <c r="V182">
        <v>7.1062329999999996</v>
      </c>
      <c r="W182">
        <v>7.1706539999999999</v>
      </c>
      <c r="X182">
        <v>7.2423310000000001</v>
      </c>
      <c r="Y182">
        <v>7.3136520000000003</v>
      </c>
      <c r="Z182">
        <v>7.3741890000000003</v>
      </c>
      <c r="AA182">
        <v>7.4217320000000004</v>
      </c>
      <c r="AB182">
        <v>7.4575579999999997</v>
      </c>
      <c r="AC182">
        <v>7.4784369999999996</v>
      </c>
      <c r="AD182">
        <v>7.4859669999999996</v>
      </c>
      <c r="AE182" s="71">
        <v>1.2E-2</v>
      </c>
    </row>
    <row r="183" spans="1:31" x14ac:dyDescent="0.45">
      <c r="A183" t="s">
        <v>157</v>
      </c>
      <c r="B183" t="s">
        <v>626</v>
      </c>
      <c r="C183" t="s">
        <v>625</v>
      </c>
      <c r="D183" t="s">
        <v>201</v>
      </c>
      <c r="E183">
        <v>3.7304999999999998E-2</v>
      </c>
      <c r="F183">
        <v>3.1245999999999999E-2</v>
      </c>
      <c r="G183">
        <v>2.6685E-2</v>
      </c>
      <c r="H183">
        <v>2.3216000000000001E-2</v>
      </c>
      <c r="I183">
        <v>2.0431999999999999E-2</v>
      </c>
      <c r="J183">
        <v>1.8266000000000001E-2</v>
      </c>
      <c r="K183">
        <v>1.6518999999999999E-2</v>
      </c>
      <c r="L183">
        <v>1.5131E-2</v>
      </c>
      <c r="M183">
        <v>1.4017E-2</v>
      </c>
      <c r="N183">
        <v>1.3228999999999999E-2</v>
      </c>
      <c r="O183">
        <v>1.2699999999999999E-2</v>
      </c>
      <c r="P183">
        <v>1.2316000000000001E-2</v>
      </c>
      <c r="Q183">
        <v>1.2019E-2</v>
      </c>
      <c r="R183">
        <v>1.176E-2</v>
      </c>
      <c r="S183">
        <v>1.137E-2</v>
      </c>
      <c r="T183">
        <v>1.1006E-2</v>
      </c>
      <c r="U183">
        <v>1.0755000000000001E-2</v>
      </c>
      <c r="V183">
        <v>1.0527999999999999E-2</v>
      </c>
      <c r="W183">
        <v>1.0305999999999999E-2</v>
      </c>
      <c r="X183">
        <v>1.0182999999999999E-2</v>
      </c>
      <c r="Y183">
        <v>1.0118E-2</v>
      </c>
      <c r="Z183">
        <v>1.0071E-2</v>
      </c>
      <c r="AA183">
        <v>1.0042000000000001E-2</v>
      </c>
      <c r="AB183">
        <v>1.004E-2</v>
      </c>
      <c r="AC183">
        <v>1.0018000000000001E-2</v>
      </c>
      <c r="AD183">
        <v>1.0002E-2</v>
      </c>
      <c r="AE183" s="71">
        <v>-5.0999999999999997E-2</v>
      </c>
    </row>
    <row r="184" spans="1:31" x14ac:dyDescent="0.45">
      <c r="A184" t="s">
        <v>155</v>
      </c>
      <c r="B184" t="s">
        <v>624</v>
      </c>
      <c r="C184" t="s">
        <v>623</v>
      </c>
      <c r="D184" t="s">
        <v>201</v>
      </c>
      <c r="E184">
        <v>2.8289999999999999E-3</v>
      </c>
      <c r="F184">
        <v>2.627E-3</v>
      </c>
      <c r="G184">
        <v>2.4789999999999999E-3</v>
      </c>
      <c r="H184">
        <v>2.3549999999999999E-3</v>
      </c>
      <c r="I184">
        <v>2.212E-3</v>
      </c>
      <c r="J184">
        <v>2.0890000000000001E-3</v>
      </c>
      <c r="K184">
        <v>1.9589999999999998E-3</v>
      </c>
      <c r="L184">
        <v>1.823E-3</v>
      </c>
      <c r="M184">
        <v>1.7060000000000001E-3</v>
      </c>
      <c r="N184">
        <v>1.621E-3</v>
      </c>
      <c r="O184">
        <v>1.5349999999999999E-3</v>
      </c>
      <c r="P184">
        <v>1.4530000000000001E-3</v>
      </c>
      <c r="Q184">
        <v>1.3649999999999999E-3</v>
      </c>
      <c r="R184">
        <v>1.292E-3</v>
      </c>
      <c r="S184">
        <v>1.232E-3</v>
      </c>
      <c r="T184">
        <v>1.183E-3</v>
      </c>
      <c r="U184">
        <v>1.1299999999999999E-3</v>
      </c>
      <c r="V184">
        <v>1.078E-3</v>
      </c>
      <c r="W184">
        <v>1.024E-3</v>
      </c>
      <c r="X184">
        <v>9.7400000000000004E-4</v>
      </c>
      <c r="Y184">
        <v>9.2699999999999998E-4</v>
      </c>
      <c r="Z184">
        <v>8.83E-4</v>
      </c>
      <c r="AA184">
        <v>8.3900000000000001E-4</v>
      </c>
      <c r="AB184">
        <v>8.0000000000000004E-4</v>
      </c>
      <c r="AC184">
        <v>7.4100000000000001E-4</v>
      </c>
      <c r="AD184">
        <v>6.5899999999999997E-4</v>
      </c>
      <c r="AE184" s="71">
        <v>-5.7000000000000002E-2</v>
      </c>
    </row>
    <row r="185" spans="1:31" x14ac:dyDescent="0.45">
      <c r="A185" t="s">
        <v>154</v>
      </c>
      <c r="B185" t="s">
        <v>622</v>
      </c>
      <c r="C185" t="s">
        <v>621</v>
      </c>
      <c r="D185" t="s">
        <v>201</v>
      </c>
      <c r="E185">
        <v>6.2210000000000001E-2</v>
      </c>
      <c r="F185">
        <v>6.6610000000000003E-2</v>
      </c>
      <c r="G185">
        <v>7.0939000000000002E-2</v>
      </c>
      <c r="H185">
        <v>7.5128E-2</v>
      </c>
      <c r="I185">
        <v>7.9207E-2</v>
      </c>
      <c r="J185">
        <v>8.3222000000000004E-2</v>
      </c>
      <c r="K185">
        <v>8.7201000000000001E-2</v>
      </c>
      <c r="L185">
        <v>9.1179999999999997E-2</v>
      </c>
      <c r="M185">
        <v>9.5186000000000007E-2</v>
      </c>
      <c r="N185">
        <v>9.9152000000000004E-2</v>
      </c>
      <c r="O185">
        <v>0.103121</v>
      </c>
      <c r="P185">
        <v>0.10698299999999999</v>
      </c>
      <c r="Q185">
        <v>0.11082500000000001</v>
      </c>
      <c r="R185">
        <v>0.114574</v>
      </c>
      <c r="S185">
        <v>0.11830499999999999</v>
      </c>
      <c r="T185">
        <v>0.12213400000000001</v>
      </c>
      <c r="U185">
        <v>0.126053</v>
      </c>
      <c r="V185">
        <v>0.13011300000000001</v>
      </c>
      <c r="W185">
        <v>0.134433</v>
      </c>
      <c r="X185">
        <v>0.139103</v>
      </c>
      <c r="Y185">
        <v>0.14479900000000001</v>
      </c>
      <c r="Z185">
        <v>0.15081</v>
      </c>
      <c r="AA185">
        <v>0.157945</v>
      </c>
      <c r="AB185">
        <v>0.16556899999999999</v>
      </c>
      <c r="AC185">
        <v>0.17408999999999999</v>
      </c>
      <c r="AD185">
        <v>0.18356600000000001</v>
      </c>
      <c r="AE185" s="71">
        <v>4.3999999999999997E-2</v>
      </c>
    </row>
    <row r="186" spans="1:31" x14ac:dyDescent="0.45">
      <c r="A186" t="s">
        <v>153</v>
      </c>
      <c r="B186" t="s">
        <v>620</v>
      </c>
      <c r="C186" t="s">
        <v>619</v>
      </c>
      <c r="D186" t="s">
        <v>201</v>
      </c>
      <c r="E186">
        <v>0</v>
      </c>
      <c r="F186">
        <v>0</v>
      </c>
      <c r="G186">
        <v>0</v>
      </c>
      <c r="H186">
        <v>0</v>
      </c>
      <c r="I186">
        <v>0</v>
      </c>
      <c r="J186">
        <v>0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>
        <v>0</v>
      </c>
      <c r="AB186">
        <v>0</v>
      </c>
      <c r="AC186">
        <v>0</v>
      </c>
      <c r="AD186">
        <v>0</v>
      </c>
      <c r="AE186" t="s">
        <v>109</v>
      </c>
    </row>
    <row r="187" spans="1:31" x14ac:dyDescent="0.45">
      <c r="A187" t="s">
        <v>126</v>
      </c>
      <c r="B187" t="s">
        <v>618</v>
      </c>
      <c r="C187" t="s">
        <v>617</v>
      </c>
      <c r="D187" t="s">
        <v>201</v>
      </c>
      <c r="E187">
        <v>3.1480000000000002E-3</v>
      </c>
      <c r="F187">
        <v>4.0969999999999999E-3</v>
      </c>
      <c r="G187">
        <v>5.1440000000000001E-3</v>
      </c>
      <c r="H187">
        <v>6.215E-3</v>
      </c>
      <c r="I187">
        <v>7.2909999999999997E-3</v>
      </c>
      <c r="J187">
        <v>8.3719999999999992E-3</v>
      </c>
      <c r="K187">
        <v>9.4560000000000009E-3</v>
      </c>
      <c r="L187">
        <v>1.0534E-2</v>
      </c>
      <c r="M187">
        <v>1.1599999999999999E-2</v>
      </c>
      <c r="N187">
        <v>1.2636E-2</v>
      </c>
      <c r="O187">
        <v>1.3636000000000001E-2</v>
      </c>
      <c r="P187">
        <v>1.4585000000000001E-2</v>
      </c>
      <c r="Q187">
        <v>1.5469999999999999E-2</v>
      </c>
      <c r="R187">
        <v>1.6299999999999999E-2</v>
      </c>
      <c r="S187">
        <v>1.7070999999999999E-2</v>
      </c>
      <c r="T187">
        <v>1.7794999999999998E-2</v>
      </c>
      <c r="U187">
        <v>1.8478000000000001E-2</v>
      </c>
      <c r="V187">
        <v>1.9126000000000001E-2</v>
      </c>
      <c r="W187">
        <v>1.9748999999999999E-2</v>
      </c>
      <c r="X187">
        <v>2.035E-2</v>
      </c>
      <c r="Y187">
        <v>2.0930000000000001E-2</v>
      </c>
      <c r="Z187">
        <v>2.1482000000000001E-2</v>
      </c>
      <c r="AA187">
        <v>2.2003999999999999E-2</v>
      </c>
      <c r="AB187">
        <v>2.2495999999999999E-2</v>
      </c>
      <c r="AC187">
        <v>2.2960999999999999E-2</v>
      </c>
      <c r="AD187">
        <v>2.3404999999999999E-2</v>
      </c>
      <c r="AE187" s="71">
        <v>8.4000000000000005E-2</v>
      </c>
    </row>
    <row r="188" spans="1:31" x14ac:dyDescent="0.45">
      <c r="A188" t="s">
        <v>151</v>
      </c>
      <c r="B188" t="s">
        <v>616</v>
      </c>
      <c r="C188" t="s">
        <v>615</v>
      </c>
      <c r="D188" t="s">
        <v>201</v>
      </c>
      <c r="E188">
        <v>0</v>
      </c>
      <c r="F188">
        <v>0</v>
      </c>
      <c r="G188">
        <v>0</v>
      </c>
      <c r="H188">
        <v>0</v>
      </c>
      <c r="I188">
        <v>0</v>
      </c>
      <c r="J188">
        <v>0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0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>
        <v>0</v>
      </c>
      <c r="AB188">
        <v>0</v>
      </c>
      <c r="AC188">
        <v>0</v>
      </c>
      <c r="AD188">
        <v>0</v>
      </c>
      <c r="AE188" t="s">
        <v>109</v>
      </c>
    </row>
    <row r="189" spans="1:31" x14ac:dyDescent="0.45">
      <c r="A189" t="s">
        <v>152</v>
      </c>
      <c r="B189" t="s">
        <v>614</v>
      </c>
      <c r="C189" t="s">
        <v>613</v>
      </c>
      <c r="D189" t="s">
        <v>201</v>
      </c>
      <c r="E189">
        <v>0</v>
      </c>
      <c r="F189">
        <v>0</v>
      </c>
      <c r="G189">
        <v>0</v>
      </c>
      <c r="H189">
        <v>0</v>
      </c>
      <c r="I189">
        <v>0</v>
      </c>
      <c r="J189">
        <v>0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0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>
        <v>0</v>
      </c>
      <c r="AB189">
        <v>0</v>
      </c>
      <c r="AC189">
        <v>0</v>
      </c>
      <c r="AD189">
        <v>0</v>
      </c>
      <c r="AE189" t="s">
        <v>109</v>
      </c>
    </row>
    <row r="190" spans="1:31" x14ac:dyDescent="0.45">
      <c r="A190" t="s">
        <v>127</v>
      </c>
      <c r="B190" t="s">
        <v>612</v>
      </c>
      <c r="C190" t="s">
        <v>611</v>
      </c>
      <c r="D190" t="s">
        <v>201</v>
      </c>
      <c r="E190">
        <v>0</v>
      </c>
      <c r="F190">
        <v>0</v>
      </c>
      <c r="G190">
        <v>0</v>
      </c>
      <c r="H190">
        <v>0</v>
      </c>
      <c r="I190">
        <v>0</v>
      </c>
      <c r="J190">
        <v>0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0</v>
      </c>
      <c r="AC190">
        <v>0</v>
      </c>
      <c r="AD190">
        <v>0</v>
      </c>
      <c r="AE190" t="s">
        <v>109</v>
      </c>
    </row>
    <row r="191" spans="1:31" x14ac:dyDescent="0.45">
      <c r="A191" t="s">
        <v>150</v>
      </c>
      <c r="B191" t="s">
        <v>610</v>
      </c>
      <c r="C191" t="s">
        <v>609</v>
      </c>
      <c r="D191" t="s">
        <v>201</v>
      </c>
      <c r="E191">
        <v>0</v>
      </c>
      <c r="F191">
        <v>0</v>
      </c>
      <c r="G191">
        <v>0</v>
      </c>
      <c r="H191">
        <v>0</v>
      </c>
      <c r="I191">
        <v>0</v>
      </c>
      <c r="J191">
        <v>0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0</v>
      </c>
      <c r="AA191">
        <v>0</v>
      </c>
      <c r="AB191">
        <v>0</v>
      </c>
      <c r="AC191">
        <v>0</v>
      </c>
      <c r="AD191">
        <v>0</v>
      </c>
      <c r="AE191" t="s">
        <v>109</v>
      </c>
    </row>
    <row r="192" spans="1:31" x14ac:dyDescent="0.45">
      <c r="A192" t="s">
        <v>149</v>
      </c>
      <c r="B192" t="s">
        <v>608</v>
      </c>
      <c r="C192" t="s">
        <v>607</v>
      </c>
      <c r="D192" t="s">
        <v>201</v>
      </c>
      <c r="E192">
        <v>0</v>
      </c>
      <c r="F192">
        <v>0</v>
      </c>
      <c r="G192">
        <v>0</v>
      </c>
      <c r="H192">
        <v>0</v>
      </c>
      <c r="I192">
        <v>0</v>
      </c>
      <c r="J192">
        <v>0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0</v>
      </c>
      <c r="AD192">
        <v>0</v>
      </c>
      <c r="AE192" t="s">
        <v>109</v>
      </c>
    </row>
    <row r="193" spans="1:31" x14ac:dyDescent="0.45">
      <c r="A193" t="s">
        <v>148</v>
      </c>
      <c r="B193" t="s">
        <v>606</v>
      </c>
      <c r="C193" t="s">
        <v>605</v>
      </c>
      <c r="D193" t="s">
        <v>201</v>
      </c>
      <c r="E193">
        <v>0</v>
      </c>
      <c r="F193">
        <v>0</v>
      </c>
      <c r="G193">
        <v>0</v>
      </c>
      <c r="H193">
        <v>0</v>
      </c>
      <c r="I193">
        <v>0</v>
      </c>
      <c r="J193">
        <v>0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0</v>
      </c>
      <c r="AD193">
        <v>0</v>
      </c>
      <c r="AE193" t="s">
        <v>109</v>
      </c>
    </row>
    <row r="194" spans="1:31" s="87" customFormat="1" x14ac:dyDescent="0.45">
      <c r="A194" s="87" t="s">
        <v>186</v>
      </c>
      <c r="B194" s="87" t="s">
        <v>604</v>
      </c>
      <c r="C194" s="87" t="s">
        <v>603</v>
      </c>
      <c r="D194" s="87" t="s">
        <v>201</v>
      </c>
      <c r="E194" s="87">
        <v>5.720675</v>
      </c>
      <c r="F194" s="87">
        <v>5.786778</v>
      </c>
      <c r="G194" s="87">
        <v>5.8900569999999997</v>
      </c>
      <c r="H194" s="87">
        <v>5.9989869999999996</v>
      </c>
      <c r="I194" s="87">
        <v>6.1027120000000004</v>
      </c>
      <c r="J194" s="87">
        <v>6.2092499999999999</v>
      </c>
      <c r="K194" s="87">
        <v>6.3191629999999996</v>
      </c>
      <c r="L194" s="87">
        <v>6.429996</v>
      </c>
      <c r="M194" s="87">
        <v>6.5374549999999996</v>
      </c>
      <c r="N194" s="87">
        <v>6.634468</v>
      </c>
      <c r="O194" s="87">
        <v>6.7340600000000004</v>
      </c>
      <c r="P194" s="87">
        <v>6.8347290000000003</v>
      </c>
      <c r="Q194" s="87">
        <v>6.9296110000000004</v>
      </c>
      <c r="R194" s="87">
        <v>7.0165740000000003</v>
      </c>
      <c r="S194" s="87">
        <v>7.0896619999999997</v>
      </c>
      <c r="T194" s="87">
        <v>7.1539590000000004</v>
      </c>
      <c r="U194" s="87">
        <v>7.2051999999999996</v>
      </c>
      <c r="V194" s="87">
        <v>7.2670779999999997</v>
      </c>
      <c r="W194" s="87">
        <v>7.3361650000000003</v>
      </c>
      <c r="X194" s="87">
        <v>7.412941</v>
      </c>
      <c r="Y194" s="87">
        <v>7.4904260000000003</v>
      </c>
      <c r="Z194" s="87">
        <v>7.5574339999999998</v>
      </c>
      <c r="AA194" s="87">
        <v>7.6125629999999997</v>
      </c>
      <c r="AB194" s="87">
        <v>7.6564629999999996</v>
      </c>
      <c r="AC194" s="87">
        <v>7.6862450000000004</v>
      </c>
      <c r="AD194" s="87">
        <v>7.7035980000000004</v>
      </c>
      <c r="AE194" s="88">
        <v>1.2E-2</v>
      </c>
    </row>
    <row r="195" spans="1:31" x14ac:dyDescent="0.45">
      <c r="A195" t="s">
        <v>202</v>
      </c>
      <c r="B195" t="s">
        <v>602</v>
      </c>
      <c r="C195" t="s">
        <v>601</v>
      </c>
      <c r="D195" t="s">
        <v>201</v>
      </c>
      <c r="E195">
        <v>15.497995</v>
      </c>
      <c r="F195">
        <v>15.753384</v>
      </c>
      <c r="G195">
        <v>16.07733</v>
      </c>
      <c r="H195">
        <v>16.412779</v>
      </c>
      <c r="I195">
        <v>16.743309</v>
      </c>
      <c r="J195">
        <v>17.087441999999999</v>
      </c>
      <c r="K195">
        <v>17.432793</v>
      </c>
      <c r="L195">
        <v>17.787361000000001</v>
      </c>
      <c r="M195">
        <v>18.124599</v>
      </c>
      <c r="N195">
        <v>18.445578000000001</v>
      </c>
      <c r="O195">
        <v>18.766935</v>
      </c>
      <c r="P195">
        <v>19.082789999999999</v>
      </c>
      <c r="Q195">
        <v>19.391041000000001</v>
      </c>
      <c r="R195">
        <v>19.685286999999999</v>
      </c>
      <c r="S195">
        <v>19.954740999999999</v>
      </c>
      <c r="T195">
        <v>20.201954000000001</v>
      </c>
      <c r="U195">
        <v>20.432642000000001</v>
      </c>
      <c r="V195">
        <v>20.669232999999998</v>
      </c>
      <c r="W195">
        <v>20.930313000000002</v>
      </c>
      <c r="X195">
        <v>21.206474</v>
      </c>
      <c r="Y195">
        <v>21.477179</v>
      </c>
      <c r="Z195">
        <v>21.720676000000001</v>
      </c>
      <c r="AA195">
        <v>21.947754</v>
      </c>
      <c r="AB195">
        <v>22.152563000000001</v>
      </c>
      <c r="AC195">
        <v>22.324327</v>
      </c>
      <c r="AD195">
        <v>22.466502999999999</v>
      </c>
      <c r="AE195" s="71">
        <v>1.4999999999999999E-2</v>
      </c>
    </row>
    <row r="196" spans="1:31" x14ac:dyDescent="0.45">
      <c r="A196" t="s">
        <v>128</v>
      </c>
    </row>
    <row r="197" spans="1:31" x14ac:dyDescent="0.45">
      <c r="A197" t="s">
        <v>200</v>
      </c>
    </row>
    <row r="198" spans="1:31" x14ac:dyDescent="0.45">
      <c r="A198" t="s">
        <v>191</v>
      </c>
    </row>
    <row r="199" spans="1:31" x14ac:dyDescent="0.45">
      <c r="A199" t="s">
        <v>156</v>
      </c>
      <c r="B199" t="s">
        <v>600</v>
      </c>
      <c r="C199" t="s">
        <v>599</v>
      </c>
      <c r="D199" t="s">
        <v>195</v>
      </c>
      <c r="E199">
        <v>14.510111999999999</v>
      </c>
      <c r="F199">
        <v>14.731761000000001</v>
      </c>
      <c r="G199">
        <v>14.948071000000001</v>
      </c>
      <c r="H199">
        <v>15.14265</v>
      </c>
      <c r="I199">
        <v>15.317143</v>
      </c>
      <c r="J199">
        <v>15.428355</v>
      </c>
      <c r="K199">
        <v>15.502708999999999</v>
      </c>
      <c r="L199">
        <v>15.531572000000001</v>
      </c>
      <c r="M199">
        <v>15.543544000000001</v>
      </c>
      <c r="N199">
        <v>15.543981</v>
      </c>
      <c r="O199">
        <v>15.542133</v>
      </c>
      <c r="P199">
        <v>15.53842</v>
      </c>
      <c r="Q199">
        <v>15.534781000000001</v>
      </c>
      <c r="R199">
        <v>15.531675</v>
      </c>
      <c r="S199">
        <v>15.529242</v>
      </c>
      <c r="T199">
        <v>15.528687</v>
      </c>
      <c r="U199">
        <v>15.53168</v>
      </c>
      <c r="V199">
        <v>15.539021</v>
      </c>
      <c r="W199">
        <v>15.548819</v>
      </c>
      <c r="X199">
        <v>15.565035</v>
      </c>
      <c r="Y199">
        <v>15.588138000000001</v>
      </c>
      <c r="Z199">
        <v>15.607685999999999</v>
      </c>
      <c r="AA199">
        <v>15.632410999999999</v>
      </c>
      <c r="AB199">
        <v>15.662822999999999</v>
      </c>
      <c r="AC199">
        <v>15.685613999999999</v>
      </c>
      <c r="AD199">
        <v>15.713246</v>
      </c>
      <c r="AE199" s="71">
        <v>3.0000000000000001E-3</v>
      </c>
    </row>
    <row r="200" spans="1:31" x14ac:dyDescent="0.45">
      <c r="A200" t="s">
        <v>157</v>
      </c>
      <c r="B200" t="s">
        <v>598</v>
      </c>
      <c r="C200" t="s">
        <v>597</v>
      </c>
      <c r="D200" t="s">
        <v>196</v>
      </c>
      <c r="E200">
        <v>11.861169</v>
      </c>
      <c r="F200">
        <v>11.902615000000001</v>
      </c>
      <c r="G200">
        <v>11.932368</v>
      </c>
      <c r="H200">
        <v>11.955323</v>
      </c>
      <c r="I200">
        <v>11.976416</v>
      </c>
      <c r="J200">
        <v>12.00604</v>
      </c>
      <c r="K200">
        <v>12.025836999999999</v>
      </c>
      <c r="L200">
        <v>12.040531</v>
      </c>
      <c r="M200">
        <v>12.051631</v>
      </c>
      <c r="N200">
        <v>12.049678999999999</v>
      </c>
      <c r="O200">
        <v>12.04804</v>
      </c>
      <c r="P200">
        <v>12.048081</v>
      </c>
      <c r="Q200">
        <v>12.046996999999999</v>
      </c>
      <c r="R200">
        <v>12.045858000000001</v>
      </c>
      <c r="S200">
        <v>12.045292999999999</v>
      </c>
      <c r="T200">
        <v>12.047625</v>
      </c>
      <c r="U200">
        <v>12.059414</v>
      </c>
      <c r="V200">
        <v>12.081035999999999</v>
      </c>
      <c r="W200">
        <v>12.113451</v>
      </c>
      <c r="X200">
        <v>12.162644999999999</v>
      </c>
      <c r="Y200">
        <v>12.227854000000001</v>
      </c>
      <c r="Z200">
        <v>12.290770999999999</v>
      </c>
      <c r="AA200">
        <v>12.367459</v>
      </c>
      <c r="AB200">
        <v>12.454632</v>
      </c>
      <c r="AC200">
        <v>12.525263000000001</v>
      </c>
      <c r="AD200">
        <v>12.596428</v>
      </c>
      <c r="AE200" s="71">
        <v>2E-3</v>
      </c>
    </row>
    <row r="201" spans="1:31" x14ac:dyDescent="0.45">
      <c r="A201" t="s">
        <v>155</v>
      </c>
      <c r="B201" t="s">
        <v>596</v>
      </c>
      <c r="C201" t="s">
        <v>595</v>
      </c>
      <c r="D201" t="s">
        <v>196</v>
      </c>
      <c r="E201">
        <v>11.041695000000001</v>
      </c>
      <c r="F201">
        <v>11.064254999999999</v>
      </c>
      <c r="G201">
        <v>11.076764000000001</v>
      </c>
      <c r="H201">
        <v>11.093964</v>
      </c>
      <c r="I201">
        <v>11.118195999999999</v>
      </c>
      <c r="J201">
        <v>11.150596999999999</v>
      </c>
      <c r="K201">
        <v>11.188950999999999</v>
      </c>
      <c r="L201">
        <v>11.230696</v>
      </c>
      <c r="M201">
        <v>11.27148</v>
      </c>
      <c r="N201">
        <v>11.324748</v>
      </c>
      <c r="O201">
        <v>11.381404</v>
      </c>
      <c r="P201">
        <v>11.436604000000001</v>
      </c>
      <c r="Q201">
        <v>11.474689</v>
      </c>
      <c r="R201">
        <v>11.513374000000001</v>
      </c>
      <c r="S201">
        <v>11.550446000000001</v>
      </c>
      <c r="T201">
        <v>11.582794</v>
      </c>
      <c r="U201">
        <v>11.606987</v>
      </c>
      <c r="V201">
        <v>11.62458</v>
      </c>
      <c r="W201">
        <v>11.632566000000001</v>
      </c>
      <c r="X201">
        <v>11.632598</v>
      </c>
      <c r="Y201">
        <v>11.632631</v>
      </c>
      <c r="Z201">
        <v>11.632664999999999</v>
      </c>
      <c r="AA201">
        <v>11.645448999999999</v>
      </c>
      <c r="AB201">
        <v>11.651638</v>
      </c>
      <c r="AC201">
        <v>11.662165</v>
      </c>
      <c r="AD201">
        <v>11.680436</v>
      </c>
      <c r="AE201" s="71">
        <v>2E-3</v>
      </c>
    </row>
    <row r="202" spans="1:31" x14ac:dyDescent="0.45">
      <c r="A202" t="s">
        <v>154</v>
      </c>
      <c r="B202" t="s">
        <v>594</v>
      </c>
      <c r="C202" t="s">
        <v>593</v>
      </c>
      <c r="D202" t="s">
        <v>196</v>
      </c>
      <c r="E202">
        <v>10.879514</v>
      </c>
      <c r="F202">
        <v>10.975534</v>
      </c>
      <c r="G202">
        <v>11.020383000000001</v>
      </c>
      <c r="H202">
        <v>11.074301999999999</v>
      </c>
      <c r="I202">
        <v>11.142333000000001</v>
      </c>
      <c r="J202">
        <v>11.231088</v>
      </c>
      <c r="K202">
        <v>11.351953999999999</v>
      </c>
      <c r="L202">
        <v>11.500014</v>
      </c>
      <c r="M202">
        <v>11.658936000000001</v>
      </c>
      <c r="N202">
        <v>11.812289</v>
      </c>
      <c r="O202">
        <v>11.950290000000001</v>
      </c>
      <c r="P202">
        <v>12.038655</v>
      </c>
      <c r="Q202">
        <v>12.093707</v>
      </c>
      <c r="R202">
        <v>12.144894000000001</v>
      </c>
      <c r="S202">
        <v>12.148198000000001</v>
      </c>
      <c r="T202">
        <v>12.144646</v>
      </c>
      <c r="U202">
        <v>12.121634</v>
      </c>
      <c r="V202">
        <v>12.143625</v>
      </c>
      <c r="W202">
        <v>12.160759000000001</v>
      </c>
      <c r="X202">
        <v>12.170916</v>
      </c>
      <c r="Y202">
        <v>12.177670000000001</v>
      </c>
      <c r="Z202">
        <v>12.183171</v>
      </c>
      <c r="AA202">
        <v>12.18441</v>
      </c>
      <c r="AB202">
        <v>12.184518000000001</v>
      </c>
      <c r="AC202">
        <v>12.184889999999999</v>
      </c>
      <c r="AD202">
        <v>12.184810000000001</v>
      </c>
      <c r="AE202" s="71">
        <v>5.0000000000000001E-3</v>
      </c>
    </row>
    <row r="203" spans="1:31" x14ac:dyDescent="0.45">
      <c r="A203" t="s">
        <v>153</v>
      </c>
      <c r="B203" t="s">
        <v>592</v>
      </c>
      <c r="C203" t="s">
        <v>591</v>
      </c>
      <c r="D203" t="s">
        <v>196</v>
      </c>
      <c r="E203">
        <v>11.260987999999999</v>
      </c>
      <c r="F203">
        <v>11.300888</v>
      </c>
      <c r="G203">
        <v>11.329748</v>
      </c>
      <c r="H203">
        <v>11.351889</v>
      </c>
      <c r="I203">
        <v>11.372211</v>
      </c>
      <c r="J203">
        <v>11.400209</v>
      </c>
      <c r="K203">
        <v>11.419504</v>
      </c>
      <c r="L203">
        <v>11.434032999999999</v>
      </c>
      <c r="M203">
        <v>11.445</v>
      </c>
      <c r="N203">
        <v>11.443962000000001</v>
      </c>
      <c r="O203">
        <v>11.442833</v>
      </c>
      <c r="P203">
        <v>11.440886000000001</v>
      </c>
      <c r="Q203">
        <v>11.439295</v>
      </c>
      <c r="R203">
        <v>11.437887999999999</v>
      </c>
      <c r="S203">
        <v>11.436835</v>
      </c>
      <c r="T203">
        <v>11.436095999999999</v>
      </c>
      <c r="U203">
        <v>11.438587999999999</v>
      </c>
      <c r="V203">
        <v>11.443196</v>
      </c>
      <c r="W203">
        <v>11.454229</v>
      </c>
      <c r="X203">
        <v>11.469986</v>
      </c>
      <c r="Y203">
        <v>11.492029</v>
      </c>
      <c r="Z203">
        <v>11.521735</v>
      </c>
      <c r="AA203">
        <v>11.559670000000001</v>
      </c>
      <c r="AB203">
        <v>11.603491999999999</v>
      </c>
      <c r="AC203">
        <v>11.655782</v>
      </c>
      <c r="AD203">
        <v>11.707924999999999</v>
      </c>
      <c r="AE203" s="71">
        <v>2E-3</v>
      </c>
    </row>
    <row r="204" spans="1:31" x14ac:dyDescent="0.45">
      <c r="A204" t="s">
        <v>126</v>
      </c>
      <c r="B204" t="s">
        <v>590</v>
      </c>
      <c r="C204" t="s">
        <v>589</v>
      </c>
      <c r="D204" t="s">
        <v>195</v>
      </c>
      <c r="E204">
        <v>42.360385999999998</v>
      </c>
      <c r="F204">
        <v>42.360385999999998</v>
      </c>
      <c r="G204">
        <v>42.360385999999998</v>
      </c>
      <c r="H204">
        <v>42.360385999999998</v>
      </c>
      <c r="I204">
        <v>42.360385999999998</v>
      </c>
      <c r="J204">
        <v>42.360385999999998</v>
      </c>
      <c r="K204">
        <v>42.360385999999998</v>
      </c>
      <c r="L204">
        <v>42.360385999999998</v>
      </c>
      <c r="M204">
        <v>42.360385999999998</v>
      </c>
      <c r="N204">
        <v>42.360385999999998</v>
      </c>
      <c r="O204">
        <v>42.360385999999998</v>
      </c>
      <c r="P204">
        <v>42.360385999999998</v>
      </c>
      <c r="Q204">
        <v>42.360385999999998</v>
      </c>
      <c r="R204">
        <v>42.360385999999998</v>
      </c>
      <c r="S204">
        <v>42.360385999999998</v>
      </c>
      <c r="T204">
        <v>42.360382000000001</v>
      </c>
      <c r="U204">
        <v>42.360385999999998</v>
      </c>
      <c r="V204">
        <v>42.360385999999998</v>
      </c>
      <c r="W204">
        <v>42.360385999999998</v>
      </c>
      <c r="X204">
        <v>42.360385999999998</v>
      </c>
      <c r="Y204">
        <v>42.360385999999998</v>
      </c>
      <c r="Z204">
        <v>42.360385999999998</v>
      </c>
      <c r="AA204">
        <v>42.360385999999998</v>
      </c>
      <c r="AB204">
        <v>42.360385999999998</v>
      </c>
      <c r="AC204">
        <v>42.360385999999998</v>
      </c>
      <c r="AD204">
        <v>42.360385999999998</v>
      </c>
      <c r="AE204" s="71">
        <v>0</v>
      </c>
    </row>
    <row r="205" spans="1:31" x14ac:dyDescent="0.45">
      <c r="A205" t="s">
        <v>151</v>
      </c>
      <c r="B205" t="s">
        <v>588</v>
      </c>
      <c r="C205" t="s">
        <v>587</v>
      </c>
      <c r="D205" t="s">
        <v>195</v>
      </c>
      <c r="E205">
        <v>0</v>
      </c>
      <c r="F205">
        <v>0</v>
      </c>
      <c r="G205">
        <v>0</v>
      </c>
      <c r="H205">
        <v>0</v>
      </c>
      <c r="I205">
        <v>0</v>
      </c>
      <c r="J205">
        <v>0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>
        <v>0</v>
      </c>
      <c r="AB205">
        <v>0</v>
      </c>
      <c r="AC205">
        <v>0</v>
      </c>
      <c r="AD205">
        <v>0</v>
      </c>
      <c r="AE205" t="s">
        <v>109</v>
      </c>
    </row>
    <row r="206" spans="1:31" x14ac:dyDescent="0.45">
      <c r="A206" t="s">
        <v>152</v>
      </c>
      <c r="B206" t="s">
        <v>586</v>
      </c>
      <c r="C206" t="s">
        <v>585</v>
      </c>
      <c r="D206" t="s">
        <v>196</v>
      </c>
      <c r="E206">
        <v>0</v>
      </c>
      <c r="F206">
        <v>0</v>
      </c>
      <c r="G206">
        <v>0</v>
      </c>
      <c r="H206">
        <v>0</v>
      </c>
      <c r="I206">
        <v>0</v>
      </c>
      <c r="J206">
        <v>0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>
        <v>0</v>
      </c>
      <c r="AB206">
        <v>0</v>
      </c>
      <c r="AC206">
        <v>0</v>
      </c>
      <c r="AD206">
        <v>0</v>
      </c>
      <c r="AE206" t="s">
        <v>109</v>
      </c>
    </row>
    <row r="207" spans="1:31" x14ac:dyDescent="0.45">
      <c r="A207" t="s">
        <v>127</v>
      </c>
      <c r="B207" t="s">
        <v>584</v>
      </c>
      <c r="C207" t="s">
        <v>583</v>
      </c>
      <c r="D207" t="s">
        <v>195</v>
      </c>
      <c r="E207">
        <v>0</v>
      </c>
      <c r="F207">
        <v>0</v>
      </c>
      <c r="G207">
        <v>0</v>
      </c>
      <c r="H207">
        <v>0</v>
      </c>
      <c r="I207">
        <v>0</v>
      </c>
      <c r="J207">
        <v>0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>
        <v>0</v>
      </c>
      <c r="AB207">
        <v>0</v>
      </c>
      <c r="AC207">
        <v>0</v>
      </c>
      <c r="AD207">
        <v>0</v>
      </c>
      <c r="AE207" t="s">
        <v>109</v>
      </c>
    </row>
    <row r="208" spans="1:31" x14ac:dyDescent="0.45">
      <c r="A208" t="s">
        <v>150</v>
      </c>
      <c r="B208" t="s">
        <v>582</v>
      </c>
      <c r="C208" t="s">
        <v>581</v>
      </c>
      <c r="D208" t="s">
        <v>195</v>
      </c>
      <c r="E208">
        <v>0</v>
      </c>
      <c r="F208">
        <v>0</v>
      </c>
      <c r="G208">
        <v>0</v>
      </c>
      <c r="H208">
        <v>0</v>
      </c>
      <c r="I208">
        <v>0</v>
      </c>
      <c r="J208">
        <v>0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>
        <v>0</v>
      </c>
      <c r="AB208">
        <v>0</v>
      </c>
      <c r="AC208">
        <v>0</v>
      </c>
      <c r="AD208">
        <v>0</v>
      </c>
      <c r="AE208" t="s">
        <v>109</v>
      </c>
    </row>
    <row r="209" spans="1:31" x14ac:dyDescent="0.45">
      <c r="A209" t="s">
        <v>149</v>
      </c>
      <c r="B209" t="s">
        <v>580</v>
      </c>
      <c r="C209" t="s">
        <v>579</v>
      </c>
      <c r="D209" t="s">
        <v>196</v>
      </c>
      <c r="E209">
        <v>14.015262</v>
      </c>
      <c r="F209">
        <v>14.012643000000001</v>
      </c>
      <c r="G209">
        <v>14.030758000000001</v>
      </c>
      <c r="H209">
        <v>14.058021</v>
      </c>
      <c r="I209">
        <v>14.094151999999999</v>
      </c>
      <c r="J209">
        <v>14.138014999999999</v>
      </c>
      <c r="K209">
        <v>14.206531</v>
      </c>
      <c r="L209">
        <v>14.275453000000001</v>
      </c>
      <c r="M209">
        <v>14.34938</v>
      </c>
      <c r="N209">
        <v>14.434502</v>
      </c>
      <c r="O209">
        <v>14.503589</v>
      </c>
      <c r="P209">
        <v>14.547523</v>
      </c>
      <c r="Q209">
        <v>14.558790999999999</v>
      </c>
      <c r="R209">
        <v>14.554283</v>
      </c>
      <c r="S209">
        <v>14.540944</v>
      </c>
      <c r="T209">
        <v>14.528836</v>
      </c>
      <c r="U209">
        <v>14.517385000000001</v>
      </c>
      <c r="V209">
        <v>14.506262</v>
      </c>
      <c r="W209">
        <v>14.495488</v>
      </c>
      <c r="X209">
        <v>14.485671999999999</v>
      </c>
      <c r="Y209">
        <v>14.476705000000001</v>
      </c>
      <c r="Z209">
        <v>14.468531</v>
      </c>
      <c r="AA209">
        <v>14.461453000000001</v>
      </c>
      <c r="AB209">
        <v>14.455735000000001</v>
      </c>
      <c r="AC209">
        <v>14.452071999999999</v>
      </c>
      <c r="AD209">
        <v>14.448995</v>
      </c>
      <c r="AE209" s="71">
        <v>1E-3</v>
      </c>
    </row>
    <row r="210" spans="1:31" x14ac:dyDescent="0.45">
      <c r="A210" t="s">
        <v>148</v>
      </c>
      <c r="B210" t="s">
        <v>578</v>
      </c>
      <c r="C210" t="s">
        <v>577</v>
      </c>
      <c r="D210" t="s">
        <v>195</v>
      </c>
      <c r="E210">
        <v>0</v>
      </c>
      <c r="F210">
        <v>0</v>
      </c>
      <c r="G210">
        <v>0</v>
      </c>
      <c r="H210">
        <v>0</v>
      </c>
      <c r="I210">
        <v>0</v>
      </c>
      <c r="J210">
        <v>0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0</v>
      </c>
      <c r="AD210">
        <v>0</v>
      </c>
      <c r="AE210" t="s">
        <v>109</v>
      </c>
    </row>
    <row r="211" spans="1:31" x14ac:dyDescent="0.45">
      <c r="A211" t="s">
        <v>199</v>
      </c>
      <c r="B211" t="s">
        <v>576</v>
      </c>
      <c r="C211" t="s">
        <v>575</v>
      </c>
      <c r="E211">
        <v>13.264927</v>
      </c>
      <c r="F211">
        <v>13.384012</v>
      </c>
      <c r="G211">
        <v>13.486248</v>
      </c>
      <c r="H211">
        <v>13.564598</v>
      </c>
      <c r="I211">
        <v>13.631349</v>
      </c>
      <c r="J211">
        <v>13.681882</v>
      </c>
      <c r="K211">
        <v>13.716805000000001</v>
      </c>
      <c r="L211">
        <v>13.738115000000001</v>
      </c>
      <c r="M211">
        <v>13.762558</v>
      </c>
      <c r="N211">
        <v>13.787867</v>
      </c>
      <c r="O211">
        <v>13.822602</v>
      </c>
      <c r="P211">
        <v>13.868266</v>
      </c>
      <c r="Q211">
        <v>13.899160999999999</v>
      </c>
      <c r="R211">
        <v>13.921792999999999</v>
      </c>
      <c r="S211">
        <v>13.935715999999999</v>
      </c>
      <c r="T211">
        <v>14.022461</v>
      </c>
      <c r="U211">
        <v>14.265093999999999</v>
      </c>
      <c r="V211">
        <v>14.663888</v>
      </c>
      <c r="W211">
        <v>15.094417</v>
      </c>
      <c r="X211">
        <v>15.635706000000001</v>
      </c>
      <c r="Y211">
        <v>16.168215</v>
      </c>
      <c r="Z211">
        <v>16.500730999999998</v>
      </c>
      <c r="AA211">
        <v>16.843133999999999</v>
      </c>
      <c r="AB211">
        <v>17.200839999999999</v>
      </c>
      <c r="AC211">
        <v>17.448820000000001</v>
      </c>
      <c r="AD211">
        <v>17.624493000000001</v>
      </c>
      <c r="AE211" s="71">
        <v>1.0999999999999999E-2</v>
      </c>
    </row>
    <row r="212" spans="1:31" x14ac:dyDescent="0.45">
      <c r="A212" t="s">
        <v>189</v>
      </c>
    </row>
    <row r="213" spans="1:31" x14ac:dyDescent="0.45">
      <c r="A213" t="s">
        <v>156</v>
      </c>
      <c r="B213" t="s">
        <v>574</v>
      </c>
      <c r="C213" t="s">
        <v>573</v>
      </c>
      <c r="D213" t="s">
        <v>195</v>
      </c>
      <c r="E213">
        <v>10.030802</v>
      </c>
      <c r="F213">
        <v>10.265841</v>
      </c>
      <c r="G213">
        <v>10.502219</v>
      </c>
      <c r="H213">
        <v>10.747237999999999</v>
      </c>
      <c r="I213">
        <v>11.122593</v>
      </c>
      <c r="J213">
        <v>11.347986000000001</v>
      </c>
      <c r="K213">
        <v>11.543328000000001</v>
      </c>
      <c r="L213">
        <v>11.697925</v>
      </c>
      <c r="M213">
        <v>11.804122</v>
      </c>
      <c r="N213">
        <v>11.875056000000001</v>
      </c>
      <c r="O213">
        <v>11.906857</v>
      </c>
      <c r="P213">
        <v>11.856863000000001</v>
      </c>
      <c r="Q213">
        <v>11.811382999999999</v>
      </c>
      <c r="R213">
        <v>11.772862</v>
      </c>
      <c r="S213">
        <v>11.742392000000001</v>
      </c>
      <c r="T213">
        <v>11.719442000000001</v>
      </c>
      <c r="U213">
        <v>11.702768000000001</v>
      </c>
      <c r="V213">
        <v>11.690837</v>
      </c>
      <c r="W213">
        <v>11.682314999999999</v>
      </c>
      <c r="X213">
        <v>11.676189000000001</v>
      </c>
      <c r="Y213">
        <v>11.671794999999999</v>
      </c>
      <c r="Z213">
        <v>11.668809</v>
      </c>
      <c r="AA213">
        <v>11.666732</v>
      </c>
      <c r="AB213">
        <v>11.665267999999999</v>
      </c>
      <c r="AC213">
        <v>11.665056999999999</v>
      </c>
      <c r="AD213">
        <v>11.668459</v>
      </c>
      <c r="AE213" s="71">
        <v>6.0000000000000001E-3</v>
      </c>
    </row>
    <row r="214" spans="1:31" x14ac:dyDescent="0.45">
      <c r="A214" t="s">
        <v>157</v>
      </c>
      <c r="B214" t="s">
        <v>572</v>
      </c>
      <c r="C214" t="s">
        <v>571</v>
      </c>
      <c r="D214" t="s">
        <v>196</v>
      </c>
      <c r="E214">
        <v>8.7269070000000006</v>
      </c>
      <c r="F214">
        <v>8.9458160000000007</v>
      </c>
      <c r="G214">
        <v>9.1612670000000005</v>
      </c>
      <c r="H214">
        <v>9.3719850000000005</v>
      </c>
      <c r="I214">
        <v>9.5798539999999992</v>
      </c>
      <c r="J214">
        <v>9.7750970000000006</v>
      </c>
      <c r="K214">
        <v>9.9386030000000005</v>
      </c>
      <c r="L214">
        <v>10.068471000000001</v>
      </c>
      <c r="M214">
        <v>10.16118</v>
      </c>
      <c r="N214">
        <v>10.227812</v>
      </c>
      <c r="O214">
        <v>10.266538000000001</v>
      </c>
      <c r="P214">
        <v>10.243691999999999</v>
      </c>
      <c r="Q214">
        <v>10.2157</v>
      </c>
      <c r="R214">
        <v>10.188267</v>
      </c>
      <c r="S214">
        <v>10.153001</v>
      </c>
      <c r="T214">
        <v>10.143896</v>
      </c>
      <c r="U214">
        <v>10.140375000000001</v>
      </c>
      <c r="V214">
        <v>10.124572000000001</v>
      </c>
      <c r="W214">
        <v>10.127444000000001</v>
      </c>
      <c r="X214">
        <v>10.131008</v>
      </c>
      <c r="Y214">
        <v>10.132985</v>
      </c>
      <c r="Z214">
        <v>10.132092</v>
      </c>
      <c r="AA214">
        <v>10.131729</v>
      </c>
      <c r="AB214">
        <v>10.131632</v>
      </c>
      <c r="AC214">
        <v>10.131914999999999</v>
      </c>
      <c r="AD214">
        <v>10.132323</v>
      </c>
      <c r="AE214" s="71">
        <v>6.0000000000000001E-3</v>
      </c>
    </row>
    <row r="215" spans="1:31" x14ac:dyDescent="0.45">
      <c r="A215" t="s">
        <v>155</v>
      </c>
      <c r="B215" t="s">
        <v>570</v>
      </c>
      <c r="C215" t="s">
        <v>569</v>
      </c>
      <c r="D215" t="s">
        <v>196</v>
      </c>
      <c r="E215">
        <v>7.4075670000000002</v>
      </c>
      <c r="F215">
        <v>7.6358350000000002</v>
      </c>
      <c r="G215">
        <v>7.7678219999999998</v>
      </c>
      <c r="H215">
        <v>7.905799</v>
      </c>
      <c r="I215">
        <v>8.0779429999999994</v>
      </c>
      <c r="J215">
        <v>8.2907980000000006</v>
      </c>
      <c r="K215">
        <v>8.5109569999999994</v>
      </c>
      <c r="L215">
        <v>8.7491509999999995</v>
      </c>
      <c r="M215">
        <v>8.9961110000000009</v>
      </c>
      <c r="N215">
        <v>9.2363099999999996</v>
      </c>
      <c r="O215">
        <v>9.4626909999999995</v>
      </c>
      <c r="P215">
        <v>9.6623490000000007</v>
      </c>
      <c r="Q215">
        <v>9.8228539999999995</v>
      </c>
      <c r="R215">
        <v>9.9433609999999994</v>
      </c>
      <c r="S215">
        <v>10.037877</v>
      </c>
      <c r="T215">
        <v>10.082706999999999</v>
      </c>
      <c r="U215">
        <v>10.082682999999999</v>
      </c>
      <c r="V215">
        <v>10.082665</v>
      </c>
      <c r="W215">
        <v>10.082658</v>
      </c>
      <c r="X215">
        <v>10.082649999999999</v>
      </c>
      <c r="Y215">
        <v>10.082644999999999</v>
      </c>
      <c r="Z215">
        <v>10.081682000000001</v>
      </c>
      <c r="AA215">
        <v>10.081861</v>
      </c>
      <c r="AB215">
        <v>10.08211</v>
      </c>
      <c r="AC215">
        <v>10.082456000000001</v>
      </c>
      <c r="AD215">
        <v>10.082913</v>
      </c>
      <c r="AE215" s="71">
        <v>1.2E-2</v>
      </c>
    </row>
    <row r="216" spans="1:31" x14ac:dyDescent="0.45">
      <c r="A216" t="s">
        <v>154</v>
      </c>
      <c r="B216" t="s">
        <v>568</v>
      </c>
      <c r="C216" t="s">
        <v>567</v>
      </c>
      <c r="D216" t="s">
        <v>196</v>
      </c>
      <c r="E216">
        <v>7.6098860000000004</v>
      </c>
      <c r="F216">
        <v>7.8703770000000004</v>
      </c>
      <c r="G216">
        <v>8.0934039999999996</v>
      </c>
      <c r="H216">
        <v>8.3245120000000004</v>
      </c>
      <c r="I216">
        <v>8.5527259999999998</v>
      </c>
      <c r="J216">
        <v>8.7671589999999995</v>
      </c>
      <c r="K216">
        <v>8.9644320000000004</v>
      </c>
      <c r="L216">
        <v>9.1351379999999995</v>
      </c>
      <c r="M216">
        <v>9.2791309999999996</v>
      </c>
      <c r="N216">
        <v>9.3927060000000004</v>
      </c>
      <c r="O216">
        <v>9.4758569999999995</v>
      </c>
      <c r="P216">
        <v>9.5053359999999998</v>
      </c>
      <c r="Q216">
        <v>9.5238420000000001</v>
      </c>
      <c r="R216">
        <v>9.5334050000000001</v>
      </c>
      <c r="S216">
        <v>9.5218749999999996</v>
      </c>
      <c r="T216">
        <v>9.5154929999999993</v>
      </c>
      <c r="U216">
        <v>9.4916420000000006</v>
      </c>
      <c r="V216">
        <v>9.4891769999999998</v>
      </c>
      <c r="W216">
        <v>9.4849019999999999</v>
      </c>
      <c r="X216">
        <v>9.4836229999999997</v>
      </c>
      <c r="Y216">
        <v>9.4812700000000003</v>
      </c>
      <c r="Z216">
        <v>9.4720709999999997</v>
      </c>
      <c r="AA216">
        <v>9.4655889999999996</v>
      </c>
      <c r="AB216">
        <v>9.4637290000000007</v>
      </c>
      <c r="AC216">
        <v>9.4559130000000007</v>
      </c>
      <c r="AD216">
        <v>9.4489990000000006</v>
      </c>
      <c r="AE216" s="71">
        <v>8.9999999999999993E-3</v>
      </c>
    </row>
    <row r="217" spans="1:31" x14ac:dyDescent="0.45">
      <c r="A217" t="s">
        <v>153</v>
      </c>
      <c r="B217" t="s">
        <v>566</v>
      </c>
      <c r="C217" t="s">
        <v>565</v>
      </c>
      <c r="D217" t="s">
        <v>198</v>
      </c>
      <c r="E217">
        <v>8.2861890000000002</v>
      </c>
      <c r="F217">
        <v>8.5012260000000008</v>
      </c>
      <c r="G217">
        <v>8.7079780000000007</v>
      </c>
      <c r="H217">
        <v>8.9112749999999998</v>
      </c>
      <c r="I217">
        <v>9.1132469999999994</v>
      </c>
      <c r="J217">
        <v>9.3055719999999997</v>
      </c>
      <c r="K217">
        <v>9.4711580000000009</v>
      </c>
      <c r="L217">
        <v>9.6092150000000007</v>
      </c>
      <c r="M217">
        <v>9.7173429999999996</v>
      </c>
      <c r="N217">
        <v>9.805987</v>
      </c>
      <c r="O217">
        <v>9.8723240000000008</v>
      </c>
      <c r="P217">
        <v>9.8820040000000002</v>
      </c>
      <c r="Q217">
        <v>9.8844030000000007</v>
      </c>
      <c r="R217">
        <v>9.8825299999999991</v>
      </c>
      <c r="S217">
        <v>9.8651040000000005</v>
      </c>
      <c r="T217">
        <v>9.8717000000000006</v>
      </c>
      <c r="U217">
        <v>9.8797630000000005</v>
      </c>
      <c r="V217">
        <v>9.8693000000000008</v>
      </c>
      <c r="W217">
        <v>9.8782650000000007</v>
      </c>
      <c r="X217">
        <v>9.8862400000000008</v>
      </c>
      <c r="Y217">
        <v>9.891038</v>
      </c>
      <c r="Z217">
        <v>9.891356</v>
      </c>
      <c r="AA217">
        <v>9.8918230000000005</v>
      </c>
      <c r="AB217">
        <v>9.8924160000000008</v>
      </c>
      <c r="AC217">
        <v>9.8931070000000005</v>
      </c>
      <c r="AD217">
        <v>9.8938310000000005</v>
      </c>
      <c r="AE217" s="71">
        <v>7.0000000000000001E-3</v>
      </c>
    </row>
    <row r="218" spans="1:31" x14ac:dyDescent="0.45">
      <c r="A218" t="s">
        <v>126</v>
      </c>
      <c r="B218" t="s">
        <v>564</v>
      </c>
      <c r="C218" t="s">
        <v>563</v>
      </c>
      <c r="D218" t="s">
        <v>196</v>
      </c>
      <c r="E218">
        <v>21.073</v>
      </c>
      <c r="F218">
        <v>21.155557999999999</v>
      </c>
      <c r="G218">
        <v>21.258424999999999</v>
      </c>
      <c r="H218">
        <v>21.379069999999999</v>
      </c>
      <c r="I218">
        <v>21.508146</v>
      </c>
      <c r="J218">
        <v>21.632176999999999</v>
      </c>
      <c r="K218">
        <v>21.692450000000001</v>
      </c>
      <c r="L218">
        <v>21.745481000000002</v>
      </c>
      <c r="M218">
        <v>21.790018</v>
      </c>
      <c r="N218">
        <v>21.824286000000001</v>
      </c>
      <c r="O218">
        <v>21.831265999999999</v>
      </c>
      <c r="P218">
        <v>21.836428000000002</v>
      </c>
      <c r="Q218">
        <v>21.830518999999999</v>
      </c>
      <c r="R218">
        <v>21.826042000000001</v>
      </c>
      <c r="S218">
        <v>21.822899</v>
      </c>
      <c r="T218">
        <v>21.820744999999999</v>
      </c>
      <c r="U218">
        <v>21.819292000000001</v>
      </c>
      <c r="V218">
        <v>21.81831</v>
      </c>
      <c r="W218">
        <v>21.817641999999999</v>
      </c>
      <c r="X218">
        <v>21.817184000000001</v>
      </c>
      <c r="Y218">
        <v>21.816872</v>
      </c>
      <c r="Z218">
        <v>21.816663999999999</v>
      </c>
      <c r="AA218">
        <v>21.816526</v>
      </c>
      <c r="AB218">
        <v>21.816434999999998</v>
      </c>
      <c r="AC218">
        <v>21.816376000000002</v>
      </c>
      <c r="AD218">
        <v>21.816336</v>
      </c>
      <c r="AE218" s="71">
        <v>1E-3</v>
      </c>
    </row>
    <row r="219" spans="1:31" x14ac:dyDescent="0.45">
      <c r="A219" t="s">
        <v>151</v>
      </c>
      <c r="B219" t="s">
        <v>562</v>
      </c>
      <c r="C219" t="s">
        <v>561</v>
      </c>
      <c r="D219" t="s">
        <v>196</v>
      </c>
      <c r="E219">
        <v>0</v>
      </c>
      <c r="F219">
        <v>0</v>
      </c>
      <c r="G219">
        <v>0</v>
      </c>
      <c r="H219">
        <v>0</v>
      </c>
      <c r="I219">
        <v>0</v>
      </c>
      <c r="J219">
        <v>0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0</v>
      </c>
      <c r="Y219">
        <v>0</v>
      </c>
      <c r="Z219">
        <v>0</v>
      </c>
      <c r="AA219">
        <v>0</v>
      </c>
      <c r="AB219">
        <v>0</v>
      </c>
      <c r="AC219">
        <v>0</v>
      </c>
      <c r="AD219">
        <v>0</v>
      </c>
      <c r="AE219" t="s">
        <v>109</v>
      </c>
    </row>
    <row r="220" spans="1:31" x14ac:dyDescent="0.45">
      <c r="A220" t="s">
        <v>152</v>
      </c>
      <c r="B220" t="s">
        <v>560</v>
      </c>
      <c r="C220" t="s">
        <v>559</v>
      </c>
      <c r="D220" t="s">
        <v>196</v>
      </c>
      <c r="E220">
        <v>9.2205359999999992</v>
      </c>
      <c r="F220">
        <v>9.2205359999999992</v>
      </c>
      <c r="G220">
        <v>9.2205359999999992</v>
      </c>
      <c r="H220">
        <v>9.2205359999999992</v>
      </c>
      <c r="I220">
        <v>9.2205359999999992</v>
      </c>
      <c r="J220">
        <v>9.2205359999999992</v>
      </c>
      <c r="K220">
        <v>9.2205359999999992</v>
      </c>
      <c r="L220">
        <v>9.2205359999999992</v>
      </c>
      <c r="M220">
        <v>9.2205359999999992</v>
      </c>
      <c r="N220">
        <v>9.2205359999999992</v>
      </c>
      <c r="O220">
        <v>9.2205359999999992</v>
      </c>
      <c r="P220">
        <v>9.2205359999999992</v>
      </c>
      <c r="Q220">
        <v>9.2205359999999992</v>
      </c>
      <c r="R220">
        <v>9.2205359999999992</v>
      </c>
      <c r="S220">
        <v>9.2205359999999992</v>
      </c>
      <c r="T220">
        <v>9.2205359999999992</v>
      </c>
      <c r="U220">
        <v>9.2205359999999992</v>
      </c>
      <c r="V220">
        <v>9.2205359999999992</v>
      </c>
      <c r="W220">
        <v>9.2205359999999992</v>
      </c>
      <c r="X220">
        <v>9.2205359999999992</v>
      </c>
      <c r="Y220">
        <v>9.2205359999999992</v>
      </c>
      <c r="Z220">
        <v>9.2205359999999992</v>
      </c>
      <c r="AA220">
        <v>9.2205359999999992</v>
      </c>
      <c r="AB220">
        <v>9.2205359999999992</v>
      </c>
      <c r="AC220">
        <v>9.2205359999999992</v>
      </c>
      <c r="AD220">
        <v>9.2205359999999992</v>
      </c>
      <c r="AE220" s="71">
        <v>0</v>
      </c>
    </row>
    <row r="221" spans="1:31" x14ac:dyDescent="0.45">
      <c r="A221" t="s">
        <v>127</v>
      </c>
      <c r="B221" t="s">
        <v>558</v>
      </c>
      <c r="C221" t="s">
        <v>557</v>
      </c>
      <c r="D221" t="s">
        <v>196</v>
      </c>
      <c r="E221">
        <v>0</v>
      </c>
      <c r="F221">
        <v>0</v>
      </c>
      <c r="G221">
        <v>0</v>
      </c>
      <c r="H221">
        <v>0</v>
      </c>
      <c r="I221">
        <v>0</v>
      </c>
      <c r="J221">
        <v>0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0</v>
      </c>
      <c r="Z221">
        <v>0</v>
      </c>
      <c r="AA221">
        <v>0</v>
      </c>
      <c r="AB221">
        <v>0</v>
      </c>
      <c r="AC221">
        <v>0</v>
      </c>
      <c r="AD221">
        <v>0</v>
      </c>
      <c r="AE221" t="s">
        <v>109</v>
      </c>
    </row>
    <row r="222" spans="1:31" x14ac:dyDescent="0.45">
      <c r="A222" t="s">
        <v>150</v>
      </c>
      <c r="B222" t="s">
        <v>556</v>
      </c>
      <c r="C222" t="s">
        <v>555</v>
      </c>
      <c r="D222" t="s">
        <v>195</v>
      </c>
      <c r="E222">
        <v>0</v>
      </c>
      <c r="F222">
        <v>0</v>
      </c>
      <c r="G222">
        <v>0</v>
      </c>
      <c r="H222">
        <v>0</v>
      </c>
      <c r="I222">
        <v>0</v>
      </c>
      <c r="J222">
        <v>0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0</v>
      </c>
      <c r="AA222">
        <v>0</v>
      </c>
      <c r="AB222">
        <v>0</v>
      </c>
      <c r="AC222">
        <v>0</v>
      </c>
      <c r="AD222">
        <v>0</v>
      </c>
      <c r="AE222" t="s">
        <v>109</v>
      </c>
    </row>
    <row r="223" spans="1:31" x14ac:dyDescent="0.45">
      <c r="A223" t="s">
        <v>149</v>
      </c>
      <c r="B223" t="s">
        <v>554</v>
      </c>
      <c r="C223" t="s">
        <v>553</v>
      </c>
      <c r="D223" t="s">
        <v>196</v>
      </c>
      <c r="E223">
        <v>9.8478510000000004</v>
      </c>
      <c r="F223">
        <v>9.9074559999999998</v>
      </c>
      <c r="G223">
        <v>9.9159120000000005</v>
      </c>
      <c r="H223">
        <v>9.9264530000000004</v>
      </c>
      <c r="I223">
        <v>9.936795</v>
      </c>
      <c r="J223">
        <v>9.9575390000000006</v>
      </c>
      <c r="K223">
        <v>10.056552</v>
      </c>
      <c r="L223">
        <v>10.164403999999999</v>
      </c>
      <c r="M223">
        <v>10.292757999999999</v>
      </c>
      <c r="N223">
        <v>10.399969</v>
      </c>
      <c r="O223">
        <v>10.45603</v>
      </c>
      <c r="P223">
        <v>10.492352</v>
      </c>
      <c r="Q223">
        <v>10.513052999999999</v>
      </c>
      <c r="R223">
        <v>10.528695000000001</v>
      </c>
      <c r="S223">
        <v>10.538513999999999</v>
      </c>
      <c r="T223">
        <v>10.545508999999999</v>
      </c>
      <c r="U223">
        <v>10.545705</v>
      </c>
      <c r="V223">
        <v>10.54583</v>
      </c>
      <c r="W223">
        <v>10.545883999999999</v>
      </c>
      <c r="X223">
        <v>10.545921</v>
      </c>
      <c r="Y223">
        <v>10.545968999999999</v>
      </c>
      <c r="Z223">
        <v>10.545998000000001</v>
      </c>
      <c r="AA223">
        <v>10.545997</v>
      </c>
      <c r="AB223">
        <v>10.545996000000001</v>
      </c>
      <c r="AC223">
        <v>10.545996000000001</v>
      </c>
      <c r="AD223">
        <v>10.545996000000001</v>
      </c>
      <c r="AE223" s="71">
        <v>3.0000000000000001E-3</v>
      </c>
    </row>
    <row r="224" spans="1:31" x14ac:dyDescent="0.45">
      <c r="A224" t="s">
        <v>148</v>
      </c>
      <c r="B224" t="s">
        <v>552</v>
      </c>
      <c r="C224" t="s">
        <v>551</v>
      </c>
      <c r="D224" t="s">
        <v>195</v>
      </c>
      <c r="E224">
        <v>0</v>
      </c>
      <c r="F224">
        <v>0</v>
      </c>
      <c r="G224">
        <v>0</v>
      </c>
      <c r="H224">
        <v>0</v>
      </c>
      <c r="I224">
        <v>0</v>
      </c>
      <c r="J224">
        <v>0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>
        <v>0</v>
      </c>
      <c r="AB224">
        <v>0</v>
      </c>
      <c r="AC224">
        <v>0</v>
      </c>
      <c r="AD224">
        <v>0</v>
      </c>
      <c r="AE224" t="s">
        <v>109</v>
      </c>
    </row>
    <row r="225" spans="1:31" x14ac:dyDescent="0.45">
      <c r="A225" t="s">
        <v>197</v>
      </c>
      <c r="B225" t="s">
        <v>550</v>
      </c>
      <c r="C225" t="s">
        <v>549</v>
      </c>
      <c r="E225">
        <v>9.4233879999999992</v>
      </c>
      <c r="F225">
        <v>9.6476190000000006</v>
      </c>
      <c r="G225">
        <v>9.8654910000000005</v>
      </c>
      <c r="H225">
        <v>10.084012</v>
      </c>
      <c r="I225">
        <v>10.360991</v>
      </c>
      <c r="J225">
        <v>10.557656</v>
      </c>
      <c r="K225">
        <v>10.723762000000001</v>
      </c>
      <c r="L225">
        <v>10.851940000000001</v>
      </c>
      <c r="M225">
        <v>10.939287</v>
      </c>
      <c r="N225">
        <v>10.995837999999999</v>
      </c>
      <c r="O225">
        <v>11.017976000000001</v>
      </c>
      <c r="P225">
        <v>10.976794</v>
      </c>
      <c r="Q225">
        <v>10.936868</v>
      </c>
      <c r="R225">
        <v>10.902668</v>
      </c>
      <c r="S225">
        <v>10.869781</v>
      </c>
      <c r="T225">
        <v>10.853031</v>
      </c>
      <c r="U225">
        <v>10.841309000000001</v>
      </c>
      <c r="V225">
        <v>10.827042</v>
      </c>
      <c r="W225">
        <v>10.822972</v>
      </c>
      <c r="X225">
        <v>10.820207999999999</v>
      </c>
      <c r="Y225">
        <v>10.817804000000001</v>
      </c>
      <c r="Z225">
        <v>10.814658</v>
      </c>
      <c r="AA225">
        <v>10.812407</v>
      </c>
      <c r="AB225">
        <v>10.810964999999999</v>
      </c>
      <c r="AC225">
        <v>10.810381</v>
      </c>
      <c r="AD225">
        <v>10.810884</v>
      </c>
      <c r="AE225" s="71">
        <v>6.0000000000000001E-3</v>
      </c>
    </row>
    <row r="226" spans="1:31" x14ac:dyDescent="0.45">
      <c r="A226" t="s">
        <v>187</v>
      </c>
    </row>
    <row r="227" spans="1:31" x14ac:dyDescent="0.45">
      <c r="A227" t="s">
        <v>156</v>
      </c>
      <c r="B227" t="s">
        <v>548</v>
      </c>
      <c r="C227" t="s">
        <v>547</v>
      </c>
      <c r="D227" t="s">
        <v>195</v>
      </c>
      <c r="E227">
        <v>6.9770060000000003</v>
      </c>
      <c r="F227">
        <v>7.1109780000000002</v>
      </c>
      <c r="G227">
        <v>7.2955300000000003</v>
      </c>
      <c r="H227">
        <v>7.4186639999999997</v>
      </c>
      <c r="I227">
        <v>7.4927789999999996</v>
      </c>
      <c r="J227">
        <v>7.5834159999999997</v>
      </c>
      <c r="K227">
        <v>7.6653849999999997</v>
      </c>
      <c r="L227">
        <v>7.9378399999999996</v>
      </c>
      <c r="M227">
        <v>8.0344110000000004</v>
      </c>
      <c r="N227">
        <v>8.0786079999999991</v>
      </c>
      <c r="O227">
        <v>8.1083540000000003</v>
      </c>
      <c r="P227">
        <v>8.1106020000000001</v>
      </c>
      <c r="Q227">
        <v>8.11252</v>
      </c>
      <c r="R227">
        <v>8.1118170000000003</v>
      </c>
      <c r="S227">
        <v>8.1111109999999993</v>
      </c>
      <c r="T227">
        <v>8.1083800000000004</v>
      </c>
      <c r="U227">
        <v>8.1065570000000005</v>
      </c>
      <c r="V227">
        <v>8.1034670000000002</v>
      </c>
      <c r="W227">
        <v>8.1017309999999991</v>
      </c>
      <c r="X227">
        <v>8.1001720000000006</v>
      </c>
      <c r="Y227">
        <v>8.096959</v>
      </c>
      <c r="Z227">
        <v>8.0953909999999993</v>
      </c>
      <c r="AA227">
        <v>8.0922509999999992</v>
      </c>
      <c r="AB227">
        <v>8.0913930000000001</v>
      </c>
      <c r="AC227">
        <v>8.0899479999999997</v>
      </c>
      <c r="AD227">
        <v>8.0880690000000008</v>
      </c>
      <c r="AE227" s="71">
        <v>6.0000000000000001E-3</v>
      </c>
    </row>
    <row r="228" spans="1:31" x14ac:dyDescent="0.45">
      <c r="A228" t="s">
        <v>157</v>
      </c>
      <c r="B228" t="s">
        <v>546</v>
      </c>
      <c r="C228" t="s">
        <v>545</v>
      </c>
      <c r="D228" t="s">
        <v>196</v>
      </c>
      <c r="E228">
        <v>5.6523430000000001</v>
      </c>
      <c r="F228">
        <v>5.8026859999999996</v>
      </c>
      <c r="G228">
        <v>5.9381709999999996</v>
      </c>
      <c r="H228">
        <v>6.0693989999999998</v>
      </c>
      <c r="I228">
        <v>6.1991829999999997</v>
      </c>
      <c r="J228">
        <v>6.322292</v>
      </c>
      <c r="K228">
        <v>6.4329919999999996</v>
      </c>
      <c r="L228">
        <v>6.5264680000000004</v>
      </c>
      <c r="M228">
        <v>6.5989269999999998</v>
      </c>
      <c r="N228">
        <v>6.6574159999999996</v>
      </c>
      <c r="O228">
        <v>6.6992390000000004</v>
      </c>
      <c r="P228">
        <v>6.6969750000000001</v>
      </c>
      <c r="Q228">
        <v>6.6951679999999998</v>
      </c>
      <c r="R228">
        <v>6.6937160000000002</v>
      </c>
      <c r="S228">
        <v>6.6925439999999998</v>
      </c>
      <c r="T228">
        <v>6.6915950000000004</v>
      </c>
      <c r="U228">
        <v>6.6908240000000001</v>
      </c>
      <c r="V228">
        <v>6.690194</v>
      </c>
      <c r="W228">
        <v>6.6896750000000003</v>
      </c>
      <c r="X228">
        <v>6.6892449999999997</v>
      </c>
      <c r="Y228">
        <v>6.6888920000000001</v>
      </c>
      <c r="Z228">
        <v>6.6886010000000002</v>
      </c>
      <c r="AA228">
        <v>6.6883609999999996</v>
      </c>
      <c r="AB228">
        <v>6.6881649999999997</v>
      </c>
      <c r="AC228">
        <v>6.6880059999999997</v>
      </c>
      <c r="AD228">
        <v>6.6878729999999997</v>
      </c>
      <c r="AE228" s="71">
        <v>7.0000000000000001E-3</v>
      </c>
    </row>
    <row r="229" spans="1:31" x14ac:dyDescent="0.45">
      <c r="A229" t="s">
        <v>155</v>
      </c>
      <c r="B229" t="s">
        <v>544</v>
      </c>
      <c r="C229" t="s">
        <v>543</v>
      </c>
      <c r="D229" t="s">
        <v>196</v>
      </c>
      <c r="E229">
        <v>5.0465410000000004</v>
      </c>
      <c r="F229">
        <v>5.0465410000000004</v>
      </c>
      <c r="G229">
        <v>5.0465410000000004</v>
      </c>
      <c r="H229">
        <v>5.0465410000000004</v>
      </c>
      <c r="I229">
        <v>5.0465410000000004</v>
      </c>
      <c r="J229">
        <v>5.0465410000000004</v>
      </c>
      <c r="K229">
        <v>5.0465410000000004</v>
      </c>
      <c r="L229">
        <v>5.0465410000000004</v>
      </c>
      <c r="M229">
        <v>5.0465410000000004</v>
      </c>
      <c r="N229">
        <v>5.0465410000000004</v>
      </c>
      <c r="O229">
        <v>5.0465410000000004</v>
      </c>
      <c r="P229">
        <v>5.0465410000000004</v>
      </c>
      <c r="Q229">
        <v>5.0465410000000004</v>
      </c>
      <c r="R229">
        <v>5.0465410000000004</v>
      </c>
      <c r="S229">
        <v>5.0465410000000004</v>
      </c>
      <c r="T229">
        <v>5.0465410000000004</v>
      </c>
      <c r="U229">
        <v>5.0465410000000004</v>
      </c>
      <c r="V229">
        <v>5.0465410000000004</v>
      </c>
      <c r="W229">
        <v>5.0465410000000004</v>
      </c>
      <c r="X229">
        <v>5.0465410000000004</v>
      </c>
      <c r="Y229">
        <v>5.0465410000000004</v>
      </c>
      <c r="Z229">
        <v>5.0465410000000004</v>
      </c>
      <c r="AA229">
        <v>5.0465410000000004</v>
      </c>
      <c r="AB229">
        <v>5.0465410000000004</v>
      </c>
      <c r="AC229">
        <v>5.0465410000000004</v>
      </c>
      <c r="AD229">
        <v>5.0465410000000004</v>
      </c>
      <c r="AE229" s="71">
        <v>0</v>
      </c>
    </row>
    <row r="230" spans="1:31" x14ac:dyDescent="0.45">
      <c r="A230" t="s">
        <v>154</v>
      </c>
      <c r="B230" t="s">
        <v>542</v>
      </c>
      <c r="C230" t="s">
        <v>541</v>
      </c>
      <c r="D230" t="s">
        <v>195</v>
      </c>
      <c r="E230">
        <v>5.9974749999999997</v>
      </c>
      <c r="F230">
        <v>6.0898149999999998</v>
      </c>
      <c r="G230">
        <v>6.1728550000000002</v>
      </c>
      <c r="H230">
        <v>6.3008199999999999</v>
      </c>
      <c r="I230">
        <v>6.4169460000000003</v>
      </c>
      <c r="J230">
        <v>6.532413</v>
      </c>
      <c r="K230">
        <v>6.6362199999999998</v>
      </c>
      <c r="L230">
        <v>6.8149769999999998</v>
      </c>
      <c r="M230">
        <v>6.903454</v>
      </c>
      <c r="N230">
        <v>6.9630650000000003</v>
      </c>
      <c r="O230">
        <v>7.0097849999999999</v>
      </c>
      <c r="P230">
        <v>7.0218309999999997</v>
      </c>
      <c r="Q230">
        <v>7.0438049999999999</v>
      </c>
      <c r="R230">
        <v>7.0534179999999997</v>
      </c>
      <c r="S230">
        <v>7.0701530000000004</v>
      </c>
      <c r="T230">
        <v>7.0945819999999999</v>
      </c>
      <c r="U230">
        <v>7.1155280000000003</v>
      </c>
      <c r="V230">
        <v>7.1397180000000002</v>
      </c>
      <c r="W230">
        <v>7.1890660000000004</v>
      </c>
      <c r="X230">
        <v>7.236599</v>
      </c>
      <c r="Y230">
        <v>7.3574109999999999</v>
      </c>
      <c r="Z230">
        <v>7.4012729999999998</v>
      </c>
      <c r="AA230">
        <v>7.4904469999999996</v>
      </c>
      <c r="AB230">
        <v>7.5371490000000003</v>
      </c>
      <c r="AC230">
        <v>7.5942689999999997</v>
      </c>
      <c r="AD230">
        <v>7.6417539999999997</v>
      </c>
      <c r="AE230" s="71">
        <v>0.01</v>
      </c>
    </row>
    <row r="231" spans="1:31" x14ac:dyDescent="0.45">
      <c r="A231" t="s">
        <v>153</v>
      </c>
      <c r="B231" t="s">
        <v>540</v>
      </c>
      <c r="C231" t="s">
        <v>539</v>
      </c>
      <c r="D231" t="s">
        <v>196</v>
      </c>
      <c r="E231">
        <v>0</v>
      </c>
      <c r="F231">
        <v>0</v>
      </c>
      <c r="G231">
        <v>0</v>
      </c>
      <c r="H231">
        <v>0</v>
      </c>
      <c r="I231">
        <v>0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0</v>
      </c>
      <c r="AA231">
        <v>0</v>
      </c>
      <c r="AB231">
        <v>0</v>
      </c>
      <c r="AC231">
        <v>0</v>
      </c>
      <c r="AD231">
        <v>0</v>
      </c>
      <c r="AE231" t="s">
        <v>109</v>
      </c>
    </row>
    <row r="232" spans="1:31" x14ac:dyDescent="0.45">
      <c r="A232" t="s">
        <v>126</v>
      </c>
      <c r="B232" t="s">
        <v>538</v>
      </c>
      <c r="C232" t="s">
        <v>537</v>
      </c>
      <c r="D232" t="s">
        <v>195</v>
      </c>
      <c r="E232">
        <v>13.614000000000001</v>
      </c>
      <c r="F232">
        <v>13.720865999999999</v>
      </c>
      <c r="G232">
        <v>13.926409</v>
      </c>
      <c r="H232">
        <v>14.116180999999999</v>
      </c>
      <c r="I232">
        <v>14.240816000000001</v>
      </c>
      <c r="J232">
        <v>14.515755</v>
      </c>
      <c r="K232">
        <v>14.679449999999999</v>
      </c>
      <c r="L232">
        <v>14.844424</v>
      </c>
      <c r="M232">
        <v>15.043165</v>
      </c>
      <c r="N232">
        <v>15.127246</v>
      </c>
      <c r="O232">
        <v>15.195733000000001</v>
      </c>
      <c r="P232">
        <v>15.241360999999999</v>
      </c>
      <c r="Q232">
        <v>15.278229</v>
      </c>
      <c r="R232">
        <v>15.304637</v>
      </c>
      <c r="S232">
        <v>15.339791</v>
      </c>
      <c r="T232">
        <v>15.348953</v>
      </c>
      <c r="U232">
        <v>15.36998</v>
      </c>
      <c r="V232">
        <v>15.373384</v>
      </c>
      <c r="W232">
        <v>15.376056999999999</v>
      </c>
      <c r="X232">
        <v>15.378043</v>
      </c>
      <c r="Y232">
        <v>15.379334</v>
      </c>
      <c r="Z232">
        <v>15.3802</v>
      </c>
      <c r="AA232">
        <v>15.380831000000001</v>
      </c>
      <c r="AB232">
        <v>15.381297</v>
      </c>
      <c r="AC232">
        <v>15.381653999999999</v>
      </c>
      <c r="AD232">
        <v>15.381932000000001</v>
      </c>
      <c r="AE232" s="71">
        <v>5.0000000000000001E-3</v>
      </c>
    </row>
    <row r="233" spans="1:31" x14ac:dyDescent="0.45">
      <c r="A233" t="s">
        <v>151</v>
      </c>
      <c r="B233" t="s">
        <v>536</v>
      </c>
      <c r="C233" t="s">
        <v>535</v>
      </c>
      <c r="D233" t="s">
        <v>195</v>
      </c>
      <c r="E233">
        <v>0</v>
      </c>
      <c r="F233">
        <v>0</v>
      </c>
      <c r="G233">
        <v>0</v>
      </c>
      <c r="H233">
        <v>0</v>
      </c>
      <c r="I233">
        <v>0</v>
      </c>
      <c r="J233">
        <v>0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>
        <v>0</v>
      </c>
      <c r="AB233">
        <v>0</v>
      </c>
      <c r="AC233">
        <v>0</v>
      </c>
      <c r="AD233">
        <v>0</v>
      </c>
      <c r="AE233" t="s">
        <v>109</v>
      </c>
    </row>
    <row r="234" spans="1:31" x14ac:dyDescent="0.45">
      <c r="A234" t="s">
        <v>152</v>
      </c>
      <c r="B234" t="s">
        <v>534</v>
      </c>
      <c r="C234" t="s">
        <v>533</v>
      </c>
      <c r="D234" t="s">
        <v>196</v>
      </c>
      <c r="E234">
        <v>0</v>
      </c>
      <c r="F234">
        <v>0</v>
      </c>
      <c r="G234">
        <v>0</v>
      </c>
      <c r="H234">
        <v>0</v>
      </c>
      <c r="I234">
        <v>0</v>
      </c>
      <c r="J234">
        <v>0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>
        <v>0</v>
      </c>
      <c r="AB234">
        <v>0</v>
      </c>
      <c r="AC234">
        <v>0</v>
      </c>
      <c r="AD234">
        <v>0</v>
      </c>
      <c r="AE234" t="s">
        <v>109</v>
      </c>
    </row>
    <row r="235" spans="1:31" x14ac:dyDescent="0.45">
      <c r="A235" t="s">
        <v>127</v>
      </c>
      <c r="B235" t="s">
        <v>532</v>
      </c>
      <c r="C235" t="s">
        <v>531</v>
      </c>
      <c r="D235" t="s">
        <v>195</v>
      </c>
      <c r="E235">
        <v>0</v>
      </c>
      <c r="F235">
        <v>0</v>
      </c>
      <c r="G235">
        <v>0</v>
      </c>
      <c r="H235">
        <v>0</v>
      </c>
      <c r="I235">
        <v>0</v>
      </c>
      <c r="J235">
        <v>0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>
        <v>0</v>
      </c>
      <c r="AB235">
        <v>0</v>
      </c>
      <c r="AC235">
        <v>0</v>
      </c>
      <c r="AD235">
        <v>0</v>
      </c>
      <c r="AE235" t="s">
        <v>109</v>
      </c>
    </row>
    <row r="236" spans="1:31" x14ac:dyDescent="0.45">
      <c r="A236" t="s">
        <v>150</v>
      </c>
      <c r="B236" t="s">
        <v>530</v>
      </c>
      <c r="C236" t="s">
        <v>529</v>
      </c>
      <c r="D236" t="s">
        <v>195</v>
      </c>
      <c r="E236">
        <v>0</v>
      </c>
      <c r="F236">
        <v>0</v>
      </c>
      <c r="G236">
        <v>0</v>
      </c>
      <c r="H236">
        <v>0</v>
      </c>
      <c r="I236">
        <v>0</v>
      </c>
      <c r="J236">
        <v>0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>
        <v>0</v>
      </c>
      <c r="AB236">
        <v>0</v>
      </c>
      <c r="AC236">
        <v>0</v>
      </c>
      <c r="AD236">
        <v>0</v>
      </c>
      <c r="AE236" t="s">
        <v>109</v>
      </c>
    </row>
    <row r="237" spans="1:31" x14ac:dyDescent="0.45">
      <c r="A237" t="s">
        <v>149</v>
      </c>
      <c r="B237" t="s">
        <v>528</v>
      </c>
      <c r="C237" t="s">
        <v>527</v>
      </c>
      <c r="D237" t="s">
        <v>196</v>
      </c>
      <c r="E237">
        <v>0</v>
      </c>
      <c r="F237">
        <v>0</v>
      </c>
      <c r="G237">
        <v>0</v>
      </c>
      <c r="H237">
        <v>0</v>
      </c>
      <c r="I237">
        <v>0</v>
      </c>
      <c r="J237">
        <v>0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>
        <v>0</v>
      </c>
      <c r="AB237">
        <v>0</v>
      </c>
      <c r="AC237">
        <v>0</v>
      </c>
      <c r="AD237">
        <v>0</v>
      </c>
      <c r="AE237" t="s">
        <v>109</v>
      </c>
    </row>
    <row r="238" spans="1:31" x14ac:dyDescent="0.45">
      <c r="A238" t="s">
        <v>148</v>
      </c>
      <c r="B238" t="s">
        <v>526</v>
      </c>
      <c r="C238" t="s">
        <v>525</v>
      </c>
      <c r="D238" t="s">
        <v>195</v>
      </c>
      <c r="E238">
        <v>0</v>
      </c>
      <c r="F238">
        <v>0</v>
      </c>
      <c r="G238">
        <v>0</v>
      </c>
      <c r="H238">
        <v>0</v>
      </c>
      <c r="I238">
        <v>0</v>
      </c>
      <c r="J238">
        <v>0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>
        <v>0</v>
      </c>
      <c r="AB238">
        <v>0</v>
      </c>
      <c r="AC238">
        <v>0</v>
      </c>
      <c r="AD238">
        <v>0</v>
      </c>
      <c r="AE238" t="s">
        <v>109</v>
      </c>
    </row>
    <row r="239" spans="1:31" x14ac:dyDescent="0.45">
      <c r="A239" t="s">
        <v>194</v>
      </c>
      <c r="B239" t="s">
        <v>524</v>
      </c>
      <c r="C239" t="s">
        <v>523</v>
      </c>
      <c r="E239">
        <v>6.9698989999999998</v>
      </c>
      <c r="F239">
        <v>7.1046880000000003</v>
      </c>
      <c r="G239">
        <v>7.2898759999999996</v>
      </c>
      <c r="H239">
        <v>7.4137019999999998</v>
      </c>
      <c r="I239">
        <v>7.4884550000000001</v>
      </c>
      <c r="J239">
        <v>7.5797470000000002</v>
      </c>
      <c r="K239">
        <v>7.6620929999999996</v>
      </c>
      <c r="L239">
        <v>7.9328570000000003</v>
      </c>
      <c r="M239">
        <v>8.0292410000000007</v>
      </c>
      <c r="N239">
        <v>8.0734750000000002</v>
      </c>
      <c r="O239">
        <v>8.1032270000000004</v>
      </c>
      <c r="P239">
        <v>8.1053040000000003</v>
      </c>
      <c r="Q239">
        <v>8.1068719999999992</v>
      </c>
      <c r="R239">
        <v>8.1059420000000006</v>
      </c>
      <c r="S239">
        <v>8.1049740000000003</v>
      </c>
      <c r="T239">
        <v>8.1021140000000003</v>
      </c>
      <c r="U239">
        <v>8.100123</v>
      </c>
      <c r="V239">
        <v>8.0966179999999994</v>
      </c>
      <c r="W239">
        <v>8.0947359999999993</v>
      </c>
      <c r="X239">
        <v>8.092924</v>
      </c>
      <c r="Y239">
        <v>8.0893960000000007</v>
      </c>
      <c r="Z239">
        <v>8.0874520000000008</v>
      </c>
      <c r="AA239">
        <v>8.0837120000000002</v>
      </c>
      <c r="AB239">
        <v>8.0825560000000003</v>
      </c>
      <c r="AC239">
        <v>8.0806179999999994</v>
      </c>
      <c r="AD239">
        <v>8.0779440000000005</v>
      </c>
      <c r="AE239" s="71">
        <v>6.0000000000000001E-3</v>
      </c>
    </row>
    <row r="240" spans="1:31" x14ac:dyDescent="0.45">
      <c r="A240" t="s">
        <v>193</v>
      </c>
      <c r="B240" t="s">
        <v>522</v>
      </c>
      <c r="C240" t="s">
        <v>521</v>
      </c>
      <c r="E240">
        <v>8.17971</v>
      </c>
      <c r="F240">
        <v>8.2800379999999993</v>
      </c>
      <c r="G240">
        <v>8.4425519999999992</v>
      </c>
      <c r="H240">
        <v>8.5894619999999993</v>
      </c>
      <c r="I240">
        <v>8.7130890000000001</v>
      </c>
      <c r="J240">
        <v>8.8377140000000001</v>
      </c>
      <c r="K240">
        <v>8.9402760000000008</v>
      </c>
      <c r="L240">
        <v>9.1892790000000009</v>
      </c>
      <c r="M240">
        <v>9.2879079999999998</v>
      </c>
      <c r="N240">
        <v>9.343038</v>
      </c>
      <c r="O240">
        <v>9.3817850000000007</v>
      </c>
      <c r="P240">
        <v>9.391432</v>
      </c>
      <c r="Q240">
        <v>9.4116420000000005</v>
      </c>
      <c r="R240">
        <v>9.4298369999999991</v>
      </c>
      <c r="S240">
        <v>9.4418699999999998</v>
      </c>
      <c r="T240">
        <v>9.4555919999999993</v>
      </c>
      <c r="U240">
        <v>9.483193</v>
      </c>
      <c r="V240">
        <v>9.5274020000000004</v>
      </c>
      <c r="W240">
        <v>9.5718069999999997</v>
      </c>
      <c r="X240">
        <v>9.6289060000000006</v>
      </c>
      <c r="Y240">
        <v>9.6875929999999997</v>
      </c>
      <c r="Z240">
        <v>9.7328290000000006</v>
      </c>
      <c r="AA240">
        <v>9.7865909999999996</v>
      </c>
      <c r="AB240">
        <v>9.8415990000000004</v>
      </c>
      <c r="AC240">
        <v>9.8778590000000008</v>
      </c>
      <c r="AD240">
        <v>9.8899349999999995</v>
      </c>
      <c r="AE240" s="71">
        <v>8.0000000000000002E-3</v>
      </c>
    </row>
    <row r="241" spans="1:31" x14ac:dyDescent="0.45">
      <c r="A241" t="s">
        <v>192</v>
      </c>
    </row>
    <row r="242" spans="1:31" x14ac:dyDescent="0.45">
      <c r="A242" t="s">
        <v>191</v>
      </c>
    </row>
    <row r="243" spans="1:31" x14ac:dyDescent="0.45">
      <c r="A243" t="s">
        <v>156</v>
      </c>
      <c r="B243" t="s">
        <v>520</v>
      </c>
      <c r="C243" t="s">
        <v>519</v>
      </c>
      <c r="D243" t="s">
        <v>102</v>
      </c>
      <c r="E243">
        <v>170.51915</v>
      </c>
      <c r="F243">
        <v>164.06373600000001</v>
      </c>
      <c r="G243">
        <v>168.64721700000001</v>
      </c>
      <c r="H243">
        <v>169.10256999999999</v>
      </c>
      <c r="I243">
        <v>170.48800700000001</v>
      </c>
      <c r="J243">
        <v>171.88494900000001</v>
      </c>
      <c r="K243">
        <v>171.216812</v>
      </c>
      <c r="L243">
        <v>168.378784</v>
      </c>
      <c r="M243">
        <v>164.516266</v>
      </c>
      <c r="N243">
        <v>158.598389</v>
      </c>
      <c r="O243">
        <v>151.103622</v>
      </c>
      <c r="P243">
        <v>138.80987500000001</v>
      </c>
      <c r="Q243">
        <v>131.04388399999999</v>
      </c>
      <c r="R243">
        <v>124.996887</v>
      </c>
      <c r="S243">
        <v>120.069565</v>
      </c>
      <c r="T243">
        <v>114.558983</v>
      </c>
      <c r="U243">
        <v>105.741867</v>
      </c>
      <c r="V243">
        <v>94.306786000000002</v>
      </c>
      <c r="W243">
        <v>83.672156999999999</v>
      </c>
      <c r="X243">
        <v>71.508392000000001</v>
      </c>
      <c r="Y243">
        <v>60.450446999999997</v>
      </c>
      <c r="Z243">
        <v>54.022362000000001</v>
      </c>
      <c r="AA243">
        <v>48.184956</v>
      </c>
      <c r="AB243">
        <v>42.809361000000003</v>
      </c>
      <c r="AC243">
        <v>40.727111999999998</v>
      </c>
      <c r="AD243">
        <v>38.554630000000003</v>
      </c>
      <c r="AE243" s="71">
        <v>-5.8000000000000003E-2</v>
      </c>
    </row>
    <row r="244" spans="1:31" x14ac:dyDescent="0.45">
      <c r="A244" t="s">
        <v>157</v>
      </c>
      <c r="B244" t="s">
        <v>518</v>
      </c>
      <c r="C244" t="s">
        <v>517</v>
      </c>
      <c r="D244" t="s">
        <v>102</v>
      </c>
      <c r="E244">
        <v>134.84066799999999</v>
      </c>
      <c r="F244">
        <v>135.18997200000001</v>
      </c>
      <c r="G244">
        <v>144.20256000000001</v>
      </c>
      <c r="H244">
        <v>149.52056899999999</v>
      </c>
      <c r="I244">
        <v>155.41403199999999</v>
      </c>
      <c r="J244">
        <v>161.105774</v>
      </c>
      <c r="K244">
        <v>164.58549500000001</v>
      </c>
      <c r="L244">
        <v>165.61193800000001</v>
      </c>
      <c r="M244">
        <v>165.139511</v>
      </c>
      <c r="N244">
        <v>162.24115</v>
      </c>
      <c r="O244">
        <v>157.276535</v>
      </c>
      <c r="P244">
        <v>146.85742200000001</v>
      </c>
      <c r="Q244">
        <v>140.64913899999999</v>
      </c>
      <c r="R244">
        <v>135.86085499999999</v>
      </c>
      <c r="S244">
        <v>131.981888</v>
      </c>
      <c r="T244">
        <v>127.338005</v>
      </c>
      <c r="U244">
        <v>118.841385</v>
      </c>
      <c r="V244">
        <v>107.18328099999999</v>
      </c>
      <c r="W244">
        <v>96.116043000000005</v>
      </c>
      <c r="X244">
        <v>83.079475000000002</v>
      </c>
      <c r="Y244">
        <v>71.047980999999993</v>
      </c>
      <c r="Z244">
        <v>64.084807999999995</v>
      </c>
      <c r="AA244">
        <v>57.674244000000002</v>
      </c>
      <c r="AB244">
        <v>51.698546999999998</v>
      </c>
      <c r="AC244">
        <v>49.456626999999997</v>
      </c>
      <c r="AD244">
        <v>47.067374999999998</v>
      </c>
      <c r="AE244" s="71">
        <v>-4.1000000000000002E-2</v>
      </c>
    </row>
    <row r="245" spans="1:31" x14ac:dyDescent="0.45">
      <c r="A245" t="s">
        <v>155</v>
      </c>
      <c r="B245" t="s">
        <v>516</v>
      </c>
      <c r="C245" t="s">
        <v>515</v>
      </c>
      <c r="D245" t="s">
        <v>102</v>
      </c>
      <c r="E245">
        <v>3.1210000000000001E-3</v>
      </c>
      <c r="F245">
        <v>3.0639999999999999E-3</v>
      </c>
      <c r="G245">
        <v>3.2049999999999999E-3</v>
      </c>
      <c r="H245">
        <v>3.2810000000000001E-3</v>
      </c>
      <c r="I245">
        <v>3.3860000000000001E-3</v>
      </c>
      <c r="J245">
        <v>3.5179999999999999E-3</v>
      </c>
      <c r="K245">
        <v>3.614E-3</v>
      </c>
      <c r="L245">
        <v>3.6879999999999999E-3</v>
      </c>
      <c r="M245">
        <v>3.7750000000000001E-3</v>
      </c>
      <c r="N245">
        <v>3.839E-3</v>
      </c>
      <c r="O245">
        <v>3.8969999999999999E-3</v>
      </c>
      <c r="P245">
        <v>3.8909999999999999E-3</v>
      </c>
      <c r="Q245">
        <v>3.9379999999999997E-3</v>
      </c>
      <c r="R245">
        <v>3.9849999999999998E-3</v>
      </c>
      <c r="S245">
        <v>4.0220000000000004E-3</v>
      </c>
      <c r="T245">
        <v>4.0600000000000002E-3</v>
      </c>
      <c r="U245">
        <v>4.0790000000000002E-3</v>
      </c>
      <c r="V245">
        <v>4.0959999999999998E-3</v>
      </c>
      <c r="W245">
        <v>4.117E-3</v>
      </c>
      <c r="X245">
        <v>4.1409999999999997E-3</v>
      </c>
      <c r="Y245">
        <v>4.1739999999999998E-3</v>
      </c>
      <c r="Z245">
        <v>4.1939999999999998E-3</v>
      </c>
      <c r="AA245">
        <v>4.2209999999999999E-3</v>
      </c>
      <c r="AB245">
        <v>4.2249999999999996E-3</v>
      </c>
      <c r="AC245">
        <v>4.1669999999999997E-3</v>
      </c>
      <c r="AD245">
        <v>4.0949999999999997E-3</v>
      </c>
      <c r="AE245" s="71">
        <v>1.0999999999999999E-2</v>
      </c>
    </row>
    <row r="246" spans="1:31" x14ac:dyDescent="0.45">
      <c r="A246" t="s">
        <v>154</v>
      </c>
      <c r="B246" t="s">
        <v>514</v>
      </c>
      <c r="C246" t="s">
        <v>513</v>
      </c>
      <c r="D246" t="s">
        <v>102</v>
      </c>
      <c r="E246">
        <v>2.7353540000000001</v>
      </c>
      <c r="F246">
        <v>1.2153659999999999</v>
      </c>
      <c r="G246">
        <v>0.26793899999999998</v>
      </c>
      <c r="H246">
        <v>0.24443400000000001</v>
      </c>
      <c r="I246">
        <v>0.26974900000000002</v>
      </c>
      <c r="J246">
        <v>0.280167</v>
      </c>
      <c r="K246">
        <v>0.30068400000000001</v>
      </c>
      <c r="L246">
        <v>0.39602900000000002</v>
      </c>
      <c r="M246">
        <v>0.42842400000000003</v>
      </c>
      <c r="N246">
        <v>0.46488000000000002</v>
      </c>
      <c r="O246">
        <v>0.56920899999999996</v>
      </c>
      <c r="P246">
        <v>0.68192600000000003</v>
      </c>
      <c r="Q246">
        <v>1.1034679999999999</v>
      </c>
      <c r="R246">
        <v>1.238964</v>
      </c>
      <c r="S246">
        <v>1.408301</v>
      </c>
      <c r="T246">
        <v>1.972197</v>
      </c>
      <c r="U246">
        <v>2.4151950000000002</v>
      </c>
      <c r="V246">
        <v>3.2096529999999999</v>
      </c>
      <c r="W246">
        <v>3.7860019999999999</v>
      </c>
      <c r="X246">
        <v>4.4208850000000002</v>
      </c>
      <c r="Y246">
        <v>5.3276329999999996</v>
      </c>
      <c r="Z246">
        <v>5.7180280000000003</v>
      </c>
      <c r="AA246">
        <v>6.7435840000000002</v>
      </c>
      <c r="AB246">
        <v>7.5865020000000003</v>
      </c>
      <c r="AC246">
        <v>7.9112689999999999</v>
      </c>
      <c r="AD246">
        <v>9.1384589999999992</v>
      </c>
      <c r="AE246" s="71">
        <v>4.9000000000000002E-2</v>
      </c>
    </row>
    <row r="247" spans="1:31" x14ac:dyDescent="0.45">
      <c r="A247" t="s">
        <v>153</v>
      </c>
      <c r="B247" t="s">
        <v>512</v>
      </c>
      <c r="C247" t="s">
        <v>511</v>
      </c>
      <c r="D247" t="s">
        <v>102</v>
      </c>
      <c r="E247">
        <v>3.1210000000000001E-3</v>
      </c>
      <c r="F247">
        <v>3.0639999999999999E-3</v>
      </c>
      <c r="G247">
        <v>3.2049999999999999E-3</v>
      </c>
      <c r="H247">
        <v>3.2810000000000001E-3</v>
      </c>
      <c r="I247">
        <v>3.3860000000000001E-3</v>
      </c>
      <c r="J247">
        <v>3.5179999999999999E-3</v>
      </c>
      <c r="K247">
        <v>3.614E-3</v>
      </c>
      <c r="L247">
        <v>3.6879999999999999E-3</v>
      </c>
      <c r="M247">
        <v>3.7750000000000001E-3</v>
      </c>
      <c r="N247">
        <v>3.839E-3</v>
      </c>
      <c r="O247">
        <v>3.8969999999999999E-3</v>
      </c>
      <c r="P247">
        <v>3.8909999999999999E-3</v>
      </c>
      <c r="Q247">
        <v>3.9379999999999997E-3</v>
      </c>
      <c r="R247">
        <v>3.9849999999999998E-3</v>
      </c>
      <c r="S247">
        <v>4.0220000000000004E-3</v>
      </c>
      <c r="T247">
        <v>4.0600000000000002E-3</v>
      </c>
      <c r="U247">
        <v>4.0790000000000002E-3</v>
      </c>
      <c r="V247">
        <v>4.0959999999999998E-3</v>
      </c>
      <c r="W247">
        <v>4.117E-3</v>
      </c>
      <c r="X247">
        <v>4.1409999999999997E-3</v>
      </c>
      <c r="Y247">
        <v>4.1739999999999998E-3</v>
      </c>
      <c r="Z247">
        <v>4.1939999999999998E-3</v>
      </c>
      <c r="AA247">
        <v>4.2209999999999999E-3</v>
      </c>
      <c r="AB247">
        <v>4.2249999999999996E-3</v>
      </c>
      <c r="AC247">
        <v>4.1669999999999997E-3</v>
      </c>
      <c r="AD247">
        <v>4.0949999999999997E-3</v>
      </c>
      <c r="AE247" s="71">
        <v>1.0999999999999999E-2</v>
      </c>
    </row>
    <row r="248" spans="1:31" x14ac:dyDescent="0.45">
      <c r="A248" t="s">
        <v>126</v>
      </c>
      <c r="B248" t="s">
        <v>510</v>
      </c>
      <c r="C248" t="s">
        <v>509</v>
      </c>
      <c r="D248" t="s">
        <v>102</v>
      </c>
      <c r="E248">
        <v>1.942261</v>
      </c>
      <c r="F248">
        <v>1.907116</v>
      </c>
      <c r="G248">
        <v>1.9947090000000001</v>
      </c>
      <c r="H248">
        <v>2.0420660000000002</v>
      </c>
      <c r="I248">
        <v>2.1073059999999999</v>
      </c>
      <c r="J248">
        <v>2.1897850000000001</v>
      </c>
      <c r="K248">
        <v>2.248955</v>
      </c>
      <c r="L248">
        <v>2.295261</v>
      </c>
      <c r="M248">
        <v>2.349386</v>
      </c>
      <c r="N248">
        <v>2.3889670000000001</v>
      </c>
      <c r="O248">
        <v>2.4250750000000001</v>
      </c>
      <c r="P248">
        <v>2.4217330000000001</v>
      </c>
      <c r="Q248">
        <v>2.450771</v>
      </c>
      <c r="R248">
        <v>2.4800490000000002</v>
      </c>
      <c r="S248">
        <v>2.5031919999999999</v>
      </c>
      <c r="T248">
        <v>6.9775970000000003</v>
      </c>
      <c r="U248">
        <v>19.877784999999999</v>
      </c>
      <c r="V248">
        <v>39.715290000000003</v>
      </c>
      <c r="W248">
        <v>59.825169000000002</v>
      </c>
      <c r="X248">
        <v>84.307068000000001</v>
      </c>
      <c r="Y248">
        <v>107.45694</v>
      </c>
      <c r="Z248">
        <v>121.015045</v>
      </c>
      <c r="AA248">
        <v>133.45056199999999</v>
      </c>
      <c r="AB248">
        <v>144.81849700000001</v>
      </c>
      <c r="AC248">
        <v>151.820786</v>
      </c>
      <c r="AD248">
        <v>156.34783899999999</v>
      </c>
      <c r="AE248" s="71">
        <v>0.192</v>
      </c>
    </row>
    <row r="249" spans="1:31" x14ac:dyDescent="0.45">
      <c r="A249" t="s">
        <v>151</v>
      </c>
      <c r="B249" t="s">
        <v>508</v>
      </c>
      <c r="C249" t="s">
        <v>507</v>
      </c>
      <c r="D249" t="s">
        <v>102</v>
      </c>
      <c r="E249">
        <v>0</v>
      </c>
      <c r="F249">
        <v>0</v>
      </c>
      <c r="G249">
        <v>0</v>
      </c>
      <c r="H249">
        <v>0</v>
      </c>
      <c r="I249">
        <v>0</v>
      </c>
      <c r="J249">
        <v>0</v>
      </c>
      <c r="K249">
        <v>0</v>
      </c>
      <c r="L249">
        <v>0</v>
      </c>
      <c r="M249">
        <v>0</v>
      </c>
      <c r="N249">
        <v>0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0</v>
      </c>
      <c r="AD249">
        <v>0</v>
      </c>
      <c r="AE249" t="s">
        <v>109</v>
      </c>
    </row>
    <row r="250" spans="1:31" x14ac:dyDescent="0.45">
      <c r="A250" t="s">
        <v>152</v>
      </c>
      <c r="B250" t="s">
        <v>506</v>
      </c>
      <c r="C250" t="s">
        <v>505</v>
      </c>
      <c r="D250" t="s">
        <v>102</v>
      </c>
      <c r="E250">
        <v>0</v>
      </c>
      <c r="F250">
        <v>0</v>
      </c>
      <c r="G250">
        <v>0</v>
      </c>
      <c r="H250">
        <v>0</v>
      </c>
      <c r="I250">
        <v>0</v>
      </c>
      <c r="J250">
        <v>0</v>
      </c>
      <c r="K250">
        <v>0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0</v>
      </c>
      <c r="AC250">
        <v>0</v>
      </c>
      <c r="AD250">
        <v>0</v>
      </c>
      <c r="AE250" t="s">
        <v>109</v>
      </c>
    </row>
    <row r="251" spans="1:31" x14ac:dyDescent="0.45">
      <c r="A251" t="s">
        <v>127</v>
      </c>
      <c r="B251" t="s">
        <v>504</v>
      </c>
      <c r="C251" t="s">
        <v>503</v>
      </c>
      <c r="D251" t="s">
        <v>102</v>
      </c>
      <c r="E251">
        <v>0</v>
      </c>
      <c r="F251">
        <v>0</v>
      </c>
      <c r="G251">
        <v>0</v>
      </c>
      <c r="H251">
        <v>0</v>
      </c>
      <c r="I251">
        <v>0</v>
      </c>
      <c r="J251">
        <v>0</v>
      </c>
      <c r="K251">
        <v>0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 t="s">
        <v>109</v>
      </c>
    </row>
    <row r="252" spans="1:31" x14ac:dyDescent="0.45">
      <c r="A252" t="s">
        <v>150</v>
      </c>
      <c r="B252" t="s">
        <v>502</v>
      </c>
      <c r="C252" t="s">
        <v>501</v>
      </c>
      <c r="D252" t="s">
        <v>102</v>
      </c>
      <c r="E252">
        <v>0</v>
      </c>
      <c r="F252">
        <v>0</v>
      </c>
      <c r="G252">
        <v>0</v>
      </c>
      <c r="H252">
        <v>0</v>
      </c>
      <c r="I252">
        <v>0</v>
      </c>
      <c r="J252">
        <v>0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 t="s">
        <v>109</v>
      </c>
    </row>
    <row r="253" spans="1:31" x14ac:dyDescent="0.45">
      <c r="A253" t="s">
        <v>149</v>
      </c>
      <c r="B253" t="s">
        <v>500</v>
      </c>
      <c r="C253" t="s">
        <v>499</v>
      </c>
      <c r="D253" t="s">
        <v>102</v>
      </c>
      <c r="E253">
        <v>2.006732</v>
      </c>
      <c r="F253">
        <v>4.0215810000000003</v>
      </c>
      <c r="G253">
        <v>5.3579730000000003</v>
      </c>
      <c r="H253">
        <v>7.1691859999999998</v>
      </c>
      <c r="I253">
        <v>10.283124000000001</v>
      </c>
      <c r="J253">
        <v>16.371638999999998</v>
      </c>
      <c r="K253">
        <v>23.006516000000001</v>
      </c>
      <c r="L253">
        <v>32.124099999999999</v>
      </c>
      <c r="M253">
        <v>45.069450000000003</v>
      </c>
      <c r="N253">
        <v>60.169654999999999</v>
      </c>
      <c r="O253">
        <v>78.291327999999993</v>
      </c>
      <c r="P253">
        <v>100.358025</v>
      </c>
      <c r="Q253">
        <v>118.5476</v>
      </c>
      <c r="R253">
        <v>133.922562</v>
      </c>
      <c r="S253">
        <v>146.255066</v>
      </c>
      <c r="T253">
        <v>155.11923200000001</v>
      </c>
      <c r="U253">
        <v>161.05140700000001</v>
      </c>
      <c r="V253">
        <v>165.18528699999999</v>
      </c>
      <c r="W253">
        <v>168.32749899999999</v>
      </c>
      <c r="X253">
        <v>170.77990700000001</v>
      </c>
      <c r="Y253">
        <v>173.08715799999999</v>
      </c>
      <c r="Z253">
        <v>174.52894599999999</v>
      </c>
      <c r="AA253">
        <v>176.06140099999999</v>
      </c>
      <c r="AB253">
        <v>176.455536</v>
      </c>
      <c r="AC253">
        <v>174.19653299999999</v>
      </c>
      <c r="AD253">
        <v>171.25337200000001</v>
      </c>
      <c r="AE253" s="71">
        <v>0.19500000000000001</v>
      </c>
    </row>
    <row r="254" spans="1:31" x14ac:dyDescent="0.45">
      <c r="A254" t="s">
        <v>148</v>
      </c>
      <c r="B254" t="s">
        <v>498</v>
      </c>
      <c r="C254" t="s">
        <v>497</v>
      </c>
      <c r="D254" t="s">
        <v>102</v>
      </c>
      <c r="E254">
        <v>0</v>
      </c>
      <c r="F254">
        <v>0</v>
      </c>
      <c r="G254">
        <v>0</v>
      </c>
      <c r="H254">
        <v>0</v>
      </c>
      <c r="I254">
        <v>0</v>
      </c>
      <c r="J254">
        <v>0</v>
      </c>
      <c r="K254">
        <v>0</v>
      </c>
      <c r="L254">
        <v>0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0</v>
      </c>
      <c r="AE254" t="s">
        <v>109</v>
      </c>
    </row>
    <row r="255" spans="1:31" s="70" customFormat="1" x14ac:dyDescent="0.45">
      <c r="A255" s="70" t="s">
        <v>190</v>
      </c>
      <c r="B255" s="70" t="s">
        <v>496</v>
      </c>
      <c r="C255" s="70" t="s">
        <v>495</v>
      </c>
      <c r="D255" s="70" t="s">
        <v>102</v>
      </c>
      <c r="E255" s="70">
        <v>312.05038500000001</v>
      </c>
      <c r="F255" s="70">
        <v>306.40390000000002</v>
      </c>
      <c r="G255" s="70">
        <v>320.47683699999999</v>
      </c>
      <c r="H255" s="70">
        <v>328.08535799999999</v>
      </c>
      <c r="I255" s="70">
        <v>338.56896999999998</v>
      </c>
      <c r="J255" s="70">
        <v>351.83932499999997</v>
      </c>
      <c r="K255" s="70">
        <v>361.365723</v>
      </c>
      <c r="L255" s="70">
        <v>368.813446</v>
      </c>
      <c r="M255" s="70">
        <v>377.51062000000002</v>
      </c>
      <c r="N255" s="70">
        <v>383.87072799999999</v>
      </c>
      <c r="O255" s="70">
        <v>389.67355300000003</v>
      </c>
      <c r="P255" s="70">
        <v>389.13681000000003</v>
      </c>
      <c r="Q255" s="70">
        <v>393.80273399999999</v>
      </c>
      <c r="R255" s="70">
        <v>398.50732399999998</v>
      </c>
      <c r="S255" s="70">
        <v>402.226044</v>
      </c>
      <c r="T255" s="70">
        <v>405.97412100000003</v>
      </c>
      <c r="U255" s="70">
        <v>407.93576000000002</v>
      </c>
      <c r="V255" s="70">
        <v>409.60849000000002</v>
      </c>
      <c r="W255" s="70">
        <v>411.73507699999999</v>
      </c>
      <c r="X255" s="70">
        <v>414.10400399999997</v>
      </c>
      <c r="Y255" s="70">
        <v>417.37853999999999</v>
      </c>
      <c r="Z255" s="70">
        <v>419.37756300000001</v>
      </c>
      <c r="AA255" s="70">
        <v>422.123199</v>
      </c>
      <c r="AB255" s="70">
        <v>423.37692299999998</v>
      </c>
      <c r="AC255" s="70">
        <v>424.12063599999999</v>
      </c>
      <c r="AD255" s="70">
        <v>422.36987299999998</v>
      </c>
      <c r="AE255" s="86">
        <v>1.2E-2</v>
      </c>
    </row>
    <row r="256" spans="1:31" x14ac:dyDescent="0.45">
      <c r="A256" t="s">
        <v>189</v>
      </c>
    </row>
    <row r="257" spans="1:31" x14ac:dyDescent="0.45">
      <c r="A257" t="s">
        <v>156</v>
      </c>
      <c r="B257" t="s">
        <v>494</v>
      </c>
      <c r="C257" t="s">
        <v>493</v>
      </c>
      <c r="D257" t="s">
        <v>102</v>
      </c>
      <c r="E257">
        <v>87.016471999999993</v>
      </c>
      <c r="F257">
        <v>90.515015000000005</v>
      </c>
      <c r="G257">
        <v>97.266578999999993</v>
      </c>
      <c r="H257">
        <v>96.672081000000006</v>
      </c>
      <c r="I257">
        <v>94.869606000000005</v>
      </c>
      <c r="J257">
        <v>94.137778999999995</v>
      </c>
      <c r="K257">
        <v>93.401000999999994</v>
      </c>
      <c r="L257">
        <v>92.805565000000001</v>
      </c>
      <c r="M257">
        <v>91.900031999999996</v>
      </c>
      <c r="N257">
        <v>89.678200000000004</v>
      </c>
      <c r="O257">
        <v>87.394454999999994</v>
      </c>
      <c r="P257">
        <v>83.888740999999996</v>
      </c>
      <c r="Q257">
        <v>80.468529000000004</v>
      </c>
      <c r="R257">
        <v>77.504661999999996</v>
      </c>
      <c r="S257">
        <v>75.349532999999994</v>
      </c>
      <c r="T257">
        <v>74.242110999999994</v>
      </c>
      <c r="U257">
        <v>73.592483999999999</v>
      </c>
      <c r="V257">
        <v>72.976928999999998</v>
      </c>
      <c r="W257">
        <v>72.885581999999999</v>
      </c>
      <c r="X257">
        <v>72.673141000000001</v>
      </c>
      <c r="Y257">
        <v>72.233894000000006</v>
      </c>
      <c r="Z257">
        <v>71.260245999999995</v>
      </c>
      <c r="AA257">
        <v>69.895698999999993</v>
      </c>
      <c r="AB257">
        <v>68.490097000000006</v>
      </c>
      <c r="AC257">
        <v>67.332679999999996</v>
      </c>
      <c r="AD257">
        <v>66.804230000000004</v>
      </c>
      <c r="AE257" s="71">
        <v>-1.0999999999999999E-2</v>
      </c>
    </row>
    <row r="258" spans="1:31" x14ac:dyDescent="0.45">
      <c r="A258" t="s">
        <v>157</v>
      </c>
      <c r="B258" t="s">
        <v>492</v>
      </c>
      <c r="C258" t="s">
        <v>491</v>
      </c>
      <c r="D258" t="s">
        <v>102</v>
      </c>
      <c r="E258">
        <v>65.907393999999996</v>
      </c>
      <c r="F258">
        <v>70.308220000000006</v>
      </c>
      <c r="G258">
        <v>77.305724999999995</v>
      </c>
      <c r="H258">
        <v>78.448859999999996</v>
      </c>
      <c r="I258">
        <v>78.454643000000004</v>
      </c>
      <c r="J258">
        <v>79.196067999999997</v>
      </c>
      <c r="K258">
        <v>79.810248999999999</v>
      </c>
      <c r="L258">
        <v>80.432609999999997</v>
      </c>
      <c r="M258">
        <v>80.680367000000004</v>
      </c>
      <c r="N258">
        <v>79.656868000000003</v>
      </c>
      <c r="O258">
        <v>78.458954000000006</v>
      </c>
      <c r="P258">
        <v>76.044303999999997</v>
      </c>
      <c r="Q258">
        <v>73.589080999999993</v>
      </c>
      <c r="R258">
        <v>71.448661999999999</v>
      </c>
      <c r="S258">
        <v>69.970032000000003</v>
      </c>
      <c r="T258">
        <v>69.400184999999993</v>
      </c>
      <c r="U258">
        <v>69.209311999999997</v>
      </c>
      <c r="V258">
        <v>69.008330999999998</v>
      </c>
      <c r="W258">
        <v>69.267227000000005</v>
      </c>
      <c r="X258">
        <v>69.380035000000007</v>
      </c>
      <c r="Y258">
        <v>69.246689000000003</v>
      </c>
      <c r="Z258">
        <v>68.571044999999998</v>
      </c>
      <c r="AA258">
        <v>67.489067000000006</v>
      </c>
      <c r="AB258">
        <v>66.338729999999998</v>
      </c>
      <c r="AC258">
        <v>65.403464999999997</v>
      </c>
      <c r="AD258">
        <v>65.058289000000002</v>
      </c>
      <c r="AE258" s="71">
        <v>-1E-3</v>
      </c>
    </row>
    <row r="259" spans="1:31" x14ac:dyDescent="0.45">
      <c r="A259" t="s">
        <v>155</v>
      </c>
      <c r="B259" t="s">
        <v>490</v>
      </c>
      <c r="C259" t="s">
        <v>489</v>
      </c>
      <c r="D259" t="s">
        <v>102</v>
      </c>
      <c r="E259">
        <v>1.5640000000000001E-3</v>
      </c>
      <c r="F259">
        <v>1.642E-3</v>
      </c>
      <c r="G259">
        <v>1.786E-3</v>
      </c>
      <c r="H259">
        <v>1.797E-3</v>
      </c>
      <c r="I259">
        <v>1.786E-3</v>
      </c>
      <c r="J259">
        <v>1.797E-3</v>
      </c>
      <c r="K259">
        <v>1.812E-3</v>
      </c>
      <c r="L259">
        <v>1.835E-3</v>
      </c>
      <c r="M259">
        <v>1.8580000000000001E-3</v>
      </c>
      <c r="N259">
        <v>1.8619999999999999E-3</v>
      </c>
      <c r="O259">
        <v>1.867E-3</v>
      </c>
      <c r="P259">
        <v>1.8439999999999999E-3</v>
      </c>
      <c r="Q259">
        <v>1.8159999999999999E-3</v>
      </c>
      <c r="R259">
        <v>1.789E-3</v>
      </c>
      <c r="S259">
        <v>1.7700000000000001E-3</v>
      </c>
      <c r="T259">
        <v>1.768E-3</v>
      </c>
      <c r="U259">
        <v>1.771E-3</v>
      </c>
      <c r="V259">
        <v>1.769E-3</v>
      </c>
      <c r="W259">
        <v>1.7769999999999999E-3</v>
      </c>
      <c r="X259">
        <v>1.7799999999999999E-3</v>
      </c>
      <c r="Y259">
        <v>1.7750000000000001E-3</v>
      </c>
      <c r="Z259">
        <v>1.756E-3</v>
      </c>
      <c r="AA259">
        <v>1.7260000000000001E-3</v>
      </c>
      <c r="AB259">
        <v>1.6949999999999999E-3</v>
      </c>
      <c r="AC259">
        <v>1.6689999999999999E-3</v>
      </c>
      <c r="AD259">
        <v>1.658E-3</v>
      </c>
      <c r="AE259" s="71">
        <v>2E-3</v>
      </c>
    </row>
    <row r="260" spans="1:31" x14ac:dyDescent="0.45">
      <c r="A260" t="s">
        <v>154</v>
      </c>
      <c r="B260" t="s">
        <v>488</v>
      </c>
      <c r="C260" t="s">
        <v>487</v>
      </c>
      <c r="D260" t="s">
        <v>102</v>
      </c>
      <c r="E260">
        <v>1.501811</v>
      </c>
      <c r="F260">
        <v>1.4980009999999999</v>
      </c>
      <c r="G260">
        <v>1.614158</v>
      </c>
      <c r="H260">
        <v>1.614733</v>
      </c>
      <c r="I260">
        <v>1.5936889999999999</v>
      </c>
      <c r="J260">
        <v>1.6054729999999999</v>
      </c>
      <c r="K260">
        <v>1.620303</v>
      </c>
      <c r="L260">
        <v>1.641005</v>
      </c>
      <c r="M260">
        <v>1.651627</v>
      </c>
      <c r="N260">
        <v>1.654514</v>
      </c>
      <c r="O260">
        <v>1.6604719999999999</v>
      </c>
      <c r="P260">
        <v>1.6401079999999999</v>
      </c>
      <c r="Q260">
        <v>1.6152839999999999</v>
      </c>
      <c r="R260">
        <v>1.5911109999999999</v>
      </c>
      <c r="S260">
        <v>1.574829</v>
      </c>
      <c r="T260">
        <v>1.5801670000000001</v>
      </c>
      <c r="U260">
        <v>1.582376</v>
      </c>
      <c r="V260">
        <v>1.5810219999999999</v>
      </c>
      <c r="W260">
        <v>1.5891409999999999</v>
      </c>
      <c r="X260">
        <v>1.603251</v>
      </c>
      <c r="Y260">
        <v>1.6057900000000001</v>
      </c>
      <c r="Z260">
        <v>1.601488</v>
      </c>
      <c r="AA260">
        <v>1.581888</v>
      </c>
      <c r="AB260">
        <v>1.5507379999999999</v>
      </c>
      <c r="AC260">
        <v>1.517817</v>
      </c>
      <c r="AD260">
        <v>1.5117769999999999</v>
      </c>
      <c r="AE260" s="71">
        <v>0</v>
      </c>
    </row>
    <row r="261" spans="1:31" x14ac:dyDescent="0.45">
      <c r="A261" t="s">
        <v>153</v>
      </c>
      <c r="B261" t="s">
        <v>486</v>
      </c>
      <c r="C261" t="s">
        <v>485</v>
      </c>
      <c r="D261" t="s">
        <v>102</v>
      </c>
      <c r="E261">
        <v>1.5640000000000001E-3</v>
      </c>
      <c r="F261">
        <v>1.642E-3</v>
      </c>
      <c r="G261">
        <v>1.786E-3</v>
      </c>
      <c r="H261">
        <v>1.797E-3</v>
      </c>
      <c r="I261">
        <v>1.786E-3</v>
      </c>
      <c r="J261">
        <v>1.797E-3</v>
      </c>
      <c r="K261">
        <v>1.812E-3</v>
      </c>
      <c r="L261">
        <v>1.835E-3</v>
      </c>
      <c r="M261">
        <v>1.8580000000000001E-3</v>
      </c>
      <c r="N261">
        <v>1.8619999999999999E-3</v>
      </c>
      <c r="O261">
        <v>1.867E-3</v>
      </c>
      <c r="P261">
        <v>1.8439999999999999E-3</v>
      </c>
      <c r="Q261">
        <v>1.8159999999999999E-3</v>
      </c>
      <c r="R261">
        <v>1.789E-3</v>
      </c>
      <c r="S261">
        <v>1.7700000000000001E-3</v>
      </c>
      <c r="T261">
        <v>1.768E-3</v>
      </c>
      <c r="U261">
        <v>1.771E-3</v>
      </c>
      <c r="V261">
        <v>1.769E-3</v>
      </c>
      <c r="W261">
        <v>1.7769999999999999E-3</v>
      </c>
      <c r="X261">
        <v>1.7799999999999999E-3</v>
      </c>
      <c r="Y261">
        <v>1.7750000000000001E-3</v>
      </c>
      <c r="Z261">
        <v>1.756E-3</v>
      </c>
      <c r="AA261">
        <v>1.7260000000000001E-3</v>
      </c>
      <c r="AB261">
        <v>1.6949999999999999E-3</v>
      </c>
      <c r="AC261">
        <v>1.6689999999999999E-3</v>
      </c>
      <c r="AD261">
        <v>1.658E-3</v>
      </c>
      <c r="AE261" s="71">
        <v>2E-3</v>
      </c>
    </row>
    <row r="262" spans="1:31" x14ac:dyDescent="0.45">
      <c r="A262" t="s">
        <v>126</v>
      </c>
      <c r="B262" t="s">
        <v>484</v>
      </c>
      <c r="C262" t="s">
        <v>483</v>
      </c>
      <c r="D262" t="s">
        <v>102</v>
      </c>
      <c r="E262">
        <v>0.28104099999999999</v>
      </c>
      <c r="F262">
        <v>0.29509800000000003</v>
      </c>
      <c r="G262">
        <v>0.32098900000000002</v>
      </c>
      <c r="H262">
        <v>0.32292399999999999</v>
      </c>
      <c r="I262">
        <v>0.320886</v>
      </c>
      <c r="J262">
        <v>0.32286300000000001</v>
      </c>
      <c r="K262">
        <v>0.32552300000000001</v>
      </c>
      <c r="L262">
        <v>0.32968199999999998</v>
      </c>
      <c r="M262">
        <v>0.33394400000000002</v>
      </c>
      <c r="N262">
        <v>0.33451799999999998</v>
      </c>
      <c r="O262">
        <v>0.33541599999999999</v>
      </c>
      <c r="P262">
        <v>0.33130199999999999</v>
      </c>
      <c r="Q262">
        <v>0.32628800000000002</v>
      </c>
      <c r="R262">
        <v>0.321405</v>
      </c>
      <c r="S262">
        <v>0.31811600000000001</v>
      </c>
      <c r="T262">
        <v>0.31777</v>
      </c>
      <c r="U262">
        <v>0.318214</v>
      </c>
      <c r="V262">
        <v>0.317942</v>
      </c>
      <c r="W262">
        <v>0.31934099999999999</v>
      </c>
      <c r="X262">
        <v>0.31980700000000001</v>
      </c>
      <c r="Y262">
        <v>0.31895800000000002</v>
      </c>
      <c r="Z262">
        <v>0.31553700000000001</v>
      </c>
      <c r="AA262">
        <v>0.31019999999999998</v>
      </c>
      <c r="AB262">
        <v>0.30452800000000002</v>
      </c>
      <c r="AC262">
        <v>0.299846</v>
      </c>
      <c r="AD262">
        <v>0.29792099999999999</v>
      </c>
      <c r="AE262" s="71">
        <v>2E-3</v>
      </c>
    </row>
    <row r="263" spans="1:31" x14ac:dyDescent="0.45">
      <c r="A263" t="s">
        <v>151</v>
      </c>
      <c r="B263" t="s">
        <v>482</v>
      </c>
      <c r="C263" t="s">
        <v>481</v>
      </c>
      <c r="D263" t="s">
        <v>102</v>
      </c>
      <c r="E263">
        <v>0</v>
      </c>
      <c r="F263">
        <v>0</v>
      </c>
      <c r="G263">
        <v>0</v>
      </c>
      <c r="H263">
        <v>0</v>
      </c>
      <c r="I263">
        <v>0</v>
      </c>
      <c r="J263">
        <v>0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0</v>
      </c>
      <c r="AC263">
        <v>0</v>
      </c>
      <c r="AD263">
        <v>0</v>
      </c>
      <c r="AE263" t="s">
        <v>109</v>
      </c>
    </row>
    <row r="264" spans="1:31" x14ac:dyDescent="0.45">
      <c r="A264" t="s">
        <v>152</v>
      </c>
      <c r="B264" t="s">
        <v>480</v>
      </c>
      <c r="C264" t="s">
        <v>479</v>
      </c>
      <c r="D264" t="s">
        <v>102</v>
      </c>
      <c r="E264">
        <v>0.50159299999999996</v>
      </c>
      <c r="F264">
        <v>0</v>
      </c>
      <c r="G264">
        <v>0</v>
      </c>
      <c r="H264">
        <v>0</v>
      </c>
      <c r="I264">
        <v>0</v>
      </c>
      <c r="J264">
        <v>0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0</v>
      </c>
      <c r="AB264">
        <v>0</v>
      </c>
      <c r="AC264">
        <v>0</v>
      </c>
      <c r="AD264">
        <v>0</v>
      </c>
      <c r="AE264" s="71">
        <v>-1</v>
      </c>
    </row>
    <row r="265" spans="1:31" x14ac:dyDescent="0.45">
      <c r="A265" t="s">
        <v>127</v>
      </c>
      <c r="B265" t="s">
        <v>478</v>
      </c>
      <c r="C265" t="s">
        <v>477</v>
      </c>
      <c r="D265" t="s">
        <v>102</v>
      </c>
      <c r="E265">
        <v>0</v>
      </c>
      <c r="F265">
        <v>0</v>
      </c>
      <c r="G265">
        <v>0</v>
      </c>
      <c r="H265">
        <v>0</v>
      </c>
      <c r="I265">
        <v>0</v>
      </c>
      <c r="J265">
        <v>0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0</v>
      </c>
      <c r="AC265">
        <v>0</v>
      </c>
      <c r="AD265">
        <v>0</v>
      </c>
      <c r="AE265" t="s">
        <v>109</v>
      </c>
    </row>
    <row r="266" spans="1:31" x14ac:dyDescent="0.45">
      <c r="A266" t="s">
        <v>150</v>
      </c>
      <c r="B266" t="s">
        <v>476</v>
      </c>
      <c r="C266" t="s">
        <v>475</v>
      </c>
      <c r="D266" t="s">
        <v>102</v>
      </c>
      <c r="E266">
        <v>0</v>
      </c>
      <c r="F266">
        <v>0</v>
      </c>
      <c r="G266">
        <v>0</v>
      </c>
      <c r="H266">
        <v>0</v>
      </c>
      <c r="I266">
        <v>0</v>
      </c>
      <c r="J266">
        <v>0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>
        <v>0</v>
      </c>
      <c r="AB266">
        <v>0</v>
      </c>
      <c r="AC266">
        <v>0</v>
      </c>
      <c r="AD266">
        <v>0</v>
      </c>
      <c r="AE266" t="s">
        <v>109</v>
      </c>
    </row>
    <row r="267" spans="1:31" x14ac:dyDescent="0.45">
      <c r="A267" t="s">
        <v>149</v>
      </c>
      <c r="B267" t="s">
        <v>474</v>
      </c>
      <c r="C267" t="s">
        <v>473</v>
      </c>
      <c r="D267" t="s">
        <v>102</v>
      </c>
      <c r="E267">
        <v>1.19448</v>
      </c>
      <c r="F267">
        <v>1.6098159999999999</v>
      </c>
      <c r="G267">
        <v>2.1273610000000001</v>
      </c>
      <c r="H267">
        <v>2.653184</v>
      </c>
      <c r="I267">
        <v>3.3383250000000002</v>
      </c>
      <c r="J267">
        <v>4.4153320000000003</v>
      </c>
      <c r="K267">
        <v>6.0008410000000003</v>
      </c>
      <c r="L267">
        <v>8.2636149999999997</v>
      </c>
      <c r="M267">
        <v>11.278498000000001</v>
      </c>
      <c r="N267">
        <v>14.839705</v>
      </c>
      <c r="O267">
        <v>18.814143999999999</v>
      </c>
      <c r="P267">
        <v>22.469768999999999</v>
      </c>
      <c r="Q267">
        <v>25.584351000000002</v>
      </c>
      <c r="R267">
        <v>28.000340000000001</v>
      </c>
      <c r="S267">
        <v>29.823201999999998</v>
      </c>
      <c r="T267">
        <v>31.303014999999998</v>
      </c>
      <c r="U267">
        <v>32.387985</v>
      </c>
      <c r="V267">
        <v>33.054687999999999</v>
      </c>
      <c r="W267">
        <v>33.656582</v>
      </c>
      <c r="X267">
        <v>34.000843000000003</v>
      </c>
      <c r="Y267">
        <v>34.099063999999998</v>
      </c>
      <c r="Z267">
        <v>33.852097000000001</v>
      </c>
      <c r="AA267">
        <v>33.353698999999999</v>
      </c>
      <c r="AB267">
        <v>32.789924999999997</v>
      </c>
      <c r="AC267">
        <v>32.314467999999998</v>
      </c>
      <c r="AD267">
        <v>32.125087999999998</v>
      </c>
      <c r="AE267" s="71">
        <v>0.14099999999999999</v>
      </c>
    </row>
    <row r="268" spans="1:31" x14ac:dyDescent="0.45">
      <c r="A268" t="s">
        <v>148</v>
      </c>
      <c r="B268" t="s">
        <v>472</v>
      </c>
      <c r="C268" t="s">
        <v>471</v>
      </c>
      <c r="D268" t="s">
        <v>102</v>
      </c>
      <c r="E268">
        <v>0</v>
      </c>
      <c r="F268">
        <v>0</v>
      </c>
      <c r="G268">
        <v>0</v>
      </c>
      <c r="H268">
        <v>0</v>
      </c>
      <c r="I268">
        <v>0</v>
      </c>
      <c r="J268">
        <v>0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>
        <v>0</v>
      </c>
      <c r="AD268">
        <v>0</v>
      </c>
      <c r="AE268" t="s">
        <v>109</v>
      </c>
    </row>
    <row r="269" spans="1:31" s="70" customFormat="1" x14ac:dyDescent="0.45">
      <c r="A269" s="70" t="s">
        <v>188</v>
      </c>
      <c r="B269" s="70" t="s">
        <v>470</v>
      </c>
      <c r="C269" s="70" t="s">
        <v>469</v>
      </c>
      <c r="D269" s="70" t="s">
        <v>102</v>
      </c>
      <c r="E269" s="70">
        <v>156.405945</v>
      </c>
      <c r="F269" s="70">
        <v>164.22943100000001</v>
      </c>
      <c r="G269" s="70">
        <v>178.63836699999999</v>
      </c>
      <c r="H269" s="70">
        <v>179.71537799999999</v>
      </c>
      <c r="I269" s="70">
        <v>178.58071899999999</v>
      </c>
      <c r="J269" s="70">
        <v>179.68109100000001</v>
      </c>
      <c r="K269" s="70">
        <v>181.16154499999999</v>
      </c>
      <c r="L269" s="70">
        <v>183.47612000000001</v>
      </c>
      <c r="M269" s="70">
        <v>185.848175</v>
      </c>
      <c r="N269" s="70">
        <v>186.16751099999999</v>
      </c>
      <c r="O269" s="70">
        <v>186.66716</v>
      </c>
      <c r="P269" s="70">
        <v>184.377914</v>
      </c>
      <c r="Q269" s="70">
        <v>181.58715799999999</v>
      </c>
      <c r="R269" s="70">
        <v>178.86975100000001</v>
      </c>
      <c r="S269" s="70">
        <v>177.03923</v>
      </c>
      <c r="T269" s="70">
        <v>176.84678600000001</v>
      </c>
      <c r="U269" s="70">
        <v>177.09390300000001</v>
      </c>
      <c r="V269" s="70">
        <v>176.942429</v>
      </c>
      <c r="W269" s="70">
        <v>177.72143600000001</v>
      </c>
      <c r="X269" s="70">
        <v>177.98066700000001</v>
      </c>
      <c r="Y269" s="70">
        <v>177.50794999999999</v>
      </c>
      <c r="Z269" s="70">
        <v>175.60389699999999</v>
      </c>
      <c r="AA269" s="70">
        <v>172.63400300000001</v>
      </c>
      <c r="AB269" s="70">
        <v>169.477386</v>
      </c>
      <c r="AC269" s="70">
        <v>166.87162799999999</v>
      </c>
      <c r="AD269" s="70">
        <v>165.80062899999999</v>
      </c>
      <c r="AE269" s="86">
        <v>2E-3</v>
      </c>
    </row>
    <row r="270" spans="1:31" x14ac:dyDescent="0.45">
      <c r="A270" t="s">
        <v>187</v>
      </c>
    </row>
    <row r="271" spans="1:31" x14ac:dyDescent="0.45">
      <c r="A271" t="s">
        <v>156</v>
      </c>
      <c r="B271" t="s">
        <v>468</v>
      </c>
      <c r="C271" t="s">
        <v>467</v>
      </c>
      <c r="D271" t="s">
        <v>102</v>
      </c>
      <c r="E271">
        <v>281.237122</v>
      </c>
      <c r="F271">
        <v>295.646027</v>
      </c>
      <c r="G271">
        <v>322.10656699999998</v>
      </c>
      <c r="H271">
        <v>324.115295</v>
      </c>
      <c r="I271">
        <v>322.04226699999998</v>
      </c>
      <c r="J271">
        <v>324.01855499999999</v>
      </c>
      <c r="K271">
        <v>326.66601600000001</v>
      </c>
      <c r="L271">
        <v>330.807953</v>
      </c>
      <c r="M271">
        <v>335.03817700000002</v>
      </c>
      <c r="N271">
        <v>335.549103</v>
      </c>
      <c r="O271">
        <v>336.36541699999998</v>
      </c>
      <c r="P271">
        <v>332.15991200000002</v>
      </c>
      <c r="Q271">
        <v>326.977081</v>
      </c>
      <c r="R271">
        <v>322.00735500000002</v>
      </c>
      <c r="S271">
        <v>318.58831800000002</v>
      </c>
      <c r="T271">
        <v>318.06625400000001</v>
      </c>
      <c r="U271">
        <v>318.36337300000002</v>
      </c>
      <c r="V271">
        <v>317.86776700000001</v>
      </c>
      <c r="W271">
        <v>318.88763399999999</v>
      </c>
      <c r="X271">
        <v>318.91381799999999</v>
      </c>
      <c r="Y271">
        <v>316.85546900000003</v>
      </c>
      <c r="Z271">
        <v>312.80175800000001</v>
      </c>
      <c r="AA271">
        <v>306.04480000000001</v>
      </c>
      <c r="AB271">
        <v>299.41345200000001</v>
      </c>
      <c r="AC271">
        <v>293.38540599999999</v>
      </c>
      <c r="AD271">
        <v>290.13171399999999</v>
      </c>
      <c r="AE271" s="71">
        <v>1E-3</v>
      </c>
    </row>
    <row r="272" spans="1:31" x14ac:dyDescent="0.45">
      <c r="A272" t="s">
        <v>157</v>
      </c>
      <c r="B272" t="s">
        <v>466</v>
      </c>
      <c r="C272" t="s">
        <v>465</v>
      </c>
      <c r="D272" t="s">
        <v>102</v>
      </c>
      <c r="E272">
        <v>0.205822</v>
      </c>
      <c r="F272">
        <v>0.216143</v>
      </c>
      <c r="G272">
        <v>0.23513899999999999</v>
      </c>
      <c r="H272">
        <v>0.23658399999999999</v>
      </c>
      <c r="I272">
        <v>0.23511099999999999</v>
      </c>
      <c r="J272">
        <v>0.23658100000000001</v>
      </c>
      <c r="K272">
        <v>0.238541</v>
      </c>
      <c r="L272">
        <v>0.24160200000000001</v>
      </c>
      <c r="M272">
        <v>0.24473600000000001</v>
      </c>
      <c r="N272">
        <v>0.245166</v>
      </c>
      <c r="O272">
        <v>0.24583099999999999</v>
      </c>
      <c r="P272">
        <v>0.24282300000000001</v>
      </c>
      <c r="Q272">
        <v>0.23915</v>
      </c>
      <c r="R272">
        <v>0.23557400000000001</v>
      </c>
      <c r="S272">
        <v>0.23316700000000001</v>
      </c>
      <c r="T272">
        <v>0.23291700000000001</v>
      </c>
      <c r="U272">
        <v>0.233237</v>
      </c>
      <c r="V272">
        <v>0.23303399999999999</v>
      </c>
      <c r="W272">
        <v>0.234068</v>
      </c>
      <c r="X272">
        <v>0.23440900000000001</v>
      </c>
      <c r="Y272">
        <v>0.23378499999999999</v>
      </c>
      <c r="Z272">
        <v>0.23127700000000001</v>
      </c>
      <c r="AA272">
        <v>0.22736300000000001</v>
      </c>
      <c r="AB272">
        <v>0.22320300000000001</v>
      </c>
      <c r="AC272">
        <v>0.219774</v>
      </c>
      <c r="AD272">
        <v>0.218363</v>
      </c>
      <c r="AE272" s="71">
        <v>2E-3</v>
      </c>
    </row>
    <row r="273" spans="1:31" x14ac:dyDescent="0.45">
      <c r="A273" t="s">
        <v>155</v>
      </c>
      <c r="B273" t="s">
        <v>464</v>
      </c>
      <c r="C273" t="s">
        <v>463</v>
      </c>
      <c r="D273" t="s">
        <v>102</v>
      </c>
      <c r="E273">
        <v>0</v>
      </c>
      <c r="F273">
        <v>0</v>
      </c>
      <c r="G273">
        <v>0</v>
      </c>
      <c r="H273">
        <v>0</v>
      </c>
      <c r="I273">
        <v>0</v>
      </c>
      <c r="J273">
        <v>0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0</v>
      </c>
      <c r="Z273">
        <v>0</v>
      </c>
      <c r="AA273">
        <v>0</v>
      </c>
      <c r="AB273">
        <v>0</v>
      </c>
      <c r="AC273">
        <v>0</v>
      </c>
      <c r="AD273">
        <v>0</v>
      </c>
      <c r="AE273" t="s">
        <v>109</v>
      </c>
    </row>
    <row r="274" spans="1:31" x14ac:dyDescent="0.45">
      <c r="A274" t="s">
        <v>154</v>
      </c>
      <c r="B274" t="s">
        <v>462</v>
      </c>
      <c r="C274" t="s">
        <v>461</v>
      </c>
      <c r="D274" t="s">
        <v>102</v>
      </c>
      <c r="E274">
        <v>5.6442170000000003</v>
      </c>
      <c r="F274">
        <v>5.5852719999999998</v>
      </c>
      <c r="G274">
        <v>5.5536960000000004</v>
      </c>
      <c r="H274">
        <v>5.5203389999999999</v>
      </c>
      <c r="I274">
        <v>5.512181</v>
      </c>
      <c r="J274">
        <v>5.554227</v>
      </c>
      <c r="K274">
        <v>5.6221779999999999</v>
      </c>
      <c r="L274">
        <v>5.7257439999999997</v>
      </c>
      <c r="M274">
        <v>5.8462969999999999</v>
      </c>
      <c r="N274">
        <v>5.9211169999999997</v>
      </c>
      <c r="O274">
        <v>6.0212599999999998</v>
      </c>
      <c r="P274">
        <v>6.0278169999999998</v>
      </c>
      <c r="Q274">
        <v>6.0918380000000001</v>
      </c>
      <c r="R274">
        <v>6.0772729999999999</v>
      </c>
      <c r="S274">
        <v>6.138814</v>
      </c>
      <c r="T274">
        <v>6.3078310000000002</v>
      </c>
      <c r="U274">
        <v>6.4639550000000003</v>
      </c>
      <c r="V274">
        <v>6.6818210000000002</v>
      </c>
      <c r="W274">
        <v>7.0906960000000003</v>
      </c>
      <c r="X274">
        <v>7.5399969999999996</v>
      </c>
      <c r="Y274">
        <v>8.7313220000000005</v>
      </c>
      <c r="Z274">
        <v>9.2927339999999994</v>
      </c>
      <c r="AA274">
        <v>10.602258000000001</v>
      </c>
      <c r="AB274">
        <v>11.44375</v>
      </c>
      <c r="AC274">
        <v>12.692299</v>
      </c>
      <c r="AD274">
        <v>13.981540000000001</v>
      </c>
      <c r="AE274" s="71">
        <v>3.6999999999999998E-2</v>
      </c>
    </row>
    <row r="275" spans="1:31" x14ac:dyDescent="0.45">
      <c r="A275" t="s">
        <v>153</v>
      </c>
      <c r="B275" t="s">
        <v>460</v>
      </c>
      <c r="C275" t="s">
        <v>459</v>
      </c>
      <c r="D275" t="s">
        <v>102</v>
      </c>
      <c r="E275">
        <v>0</v>
      </c>
      <c r="F275">
        <v>0</v>
      </c>
      <c r="G275">
        <v>0</v>
      </c>
      <c r="H275">
        <v>0</v>
      </c>
      <c r="I275">
        <v>0</v>
      </c>
      <c r="J275">
        <v>0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0</v>
      </c>
      <c r="Y275">
        <v>0</v>
      </c>
      <c r="Z275">
        <v>0</v>
      </c>
      <c r="AA275">
        <v>0</v>
      </c>
      <c r="AB275">
        <v>0</v>
      </c>
      <c r="AC275">
        <v>0</v>
      </c>
      <c r="AD275">
        <v>0</v>
      </c>
      <c r="AE275" t="s">
        <v>109</v>
      </c>
    </row>
    <row r="276" spans="1:31" x14ac:dyDescent="0.45">
      <c r="A276" t="s">
        <v>126</v>
      </c>
      <c r="B276" t="s">
        <v>458</v>
      </c>
      <c r="C276" t="s">
        <v>457</v>
      </c>
      <c r="D276" t="s">
        <v>102</v>
      </c>
      <c r="E276">
        <v>0.82315400000000005</v>
      </c>
      <c r="F276">
        <v>0.86435200000000001</v>
      </c>
      <c r="G276">
        <v>0.94020499999999996</v>
      </c>
      <c r="H276">
        <v>0.94587500000000002</v>
      </c>
      <c r="I276">
        <v>0.93990399999999996</v>
      </c>
      <c r="J276">
        <v>0.94569700000000001</v>
      </c>
      <c r="K276">
        <v>0.95348900000000003</v>
      </c>
      <c r="L276">
        <v>0.96567199999999997</v>
      </c>
      <c r="M276">
        <v>0.97815700000000005</v>
      </c>
      <c r="N276">
        <v>0.97983699999999996</v>
      </c>
      <c r="O276">
        <v>0.98246599999999995</v>
      </c>
      <c r="P276">
        <v>0.97041699999999997</v>
      </c>
      <c r="Q276">
        <v>0.95572699999999999</v>
      </c>
      <c r="R276">
        <v>0.94142400000000004</v>
      </c>
      <c r="S276">
        <v>0.93178899999999998</v>
      </c>
      <c r="T276">
        <v>0.93077500000000002</v>
      </c>
      <c r="U276">
        <v>0.93207499999999999</v>
      </c>
      <c r="V276">
        <v>0.93127599999999999</v>
      </c>
      <c r="W276">
        <v>0.93537199999999998</v>
      </c>
      <c r="X276">
        <v>0.93672500000000003</v>
      </c>
      <c r="Y276">
        <v>0.93418699999999999</v>
      </c>
      <c r="Z276">
        <v>0.92415099999999994</v>
      </c>
      <c r="AA276">
        <v>0.90846499999999997</v>
      </c>
      <c r="AB276">
        <v>0.89183400000000002</v>
      </c>
      <c r="AC276">
        <v>0.87806499999999998</v>
      </c>
      <c r="AD276">
        <v>0.87239</v>
      </c>
      <c r="AE276" s="71">
        <v>2E-3</v>
      </c>
    </row>
    <row r="277" spans="1:31" x14ac:dyDescent="0.45">
      <c r="A277" t="s">
        <v>151</v>
      </c>
      <c r="B277" t="s">
        <v>456</v>
      </c>
      <c r="C277" t="s">
        <v>455</v>
      </c>
      <c r="D277" t="s">
        <v>102</v>
      </c>
      <c r="E277">
        <v>0</v>
      </c>
      <c r="F277">
        <v>0</v>
      </c>
      <c r="G277">
        <v>0</v>
      </c>
      <c r="H277">
        <v>0</v>
      </c>
      <c r="I277">
        <v>0</v>
      </c>
      <c r="J277">
        <v>0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0</v>
      </c>
      <c r="Z277">
        <v>0</v>
      </c>
      <c r="AA277">
        <v>0</v>
      </c>
      <c r="AB277">
        <v>0</v>
      </c>
      <c r="AC277">
        <v>0</v>
      </c>
      <c r="AD277">
        <v>0</v>
      </c>
      <c r="AE277" t="s">
        <v>109</v>
      </c>
    </row>
    <row r="278" spans="1:31" x14ac:dyDescent="0.45">
      <c r="A278" t="s">
        <v>152</v>
      </c>
      <c r="B278" t="s">
        <v>454</v>
      </c>
      <c r="C278" t="s">
        <v>453</v>
      </c>
      <c r="D278" t="s">
        <v>102</v>
      </c>
      <c r="E278">
        <v>0</v>
      </c>
      <c r="F278">
        <v>0</v>
      </c>
      <c r="G278">
        <v>0</v>
      </c>
      <c r="H278">
        <v>0</v>
      </c>
      <c r="I278">
        <v>0</v>
      </c>
      <c r="J278">
        <v>0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0</v>
      </c>
      <c r="X278">
        <v>0</v>
      </c>
      <c r="Y278">
        <v>0</v>
      </c>
      <c r="Z278">
        <v>0</v>
      </c>
      <c r="AA278">
        <v>0</v>
      </c>
      <c r="AB278">
        <v>0</v>
      </c>
      <c r="AC278">
        <v>0</v>
      </c>
      <c r="AD278">
        <v>0</v>
      </c>
      <c r="AE278" t="s">
        <v>109</v>
      </c>
    </row>
    <row r="279" spans="1:31" x14ac:dyDescent="0.45">
      <c r="A279" t="s">
        <v>127</v>
      </c>
      <c r="B279" t="s">
        <v>452</v>
      </c>
      <c r="C279" t="s">
        <v>451</v>
      </c>
      <c r="D279" t="s">
        <v>102</v>
      </c>
      <c r="E279">
        <v>0</v>
      </c>
      <c r="F279">
        <v>0</v>
      </c>
      <c r="G279">
        <v>0</v>
      </c>
      <c r="H279">
        <v>0</v>
      </c>
      <c r="I279">
        <v>0</v>
      </c>
      <c r="J279">
        <v>0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0</v>
      </c>
      <c r="X279">
        <v>0</v>
      </c>
      <c r="Y279">
        <v>0</v>
      </c>
      <c r="Z279">
        <v>0</v>
      </c>
      <c r="AA279">
        <v>0</v>
      </c>
      <c r="AB279">
        <v>0</v>
      </c>
      <c r="AC279">
        <v>0</v>
      </c>
      <c r="AD279">
        <v>0</v>
      </c>
      <c r="AE279" t="s">
        <v>109</v>
      </c>
    </row>
    <row r="280" spans="1:31" x14ac:dyDescent="0.45">
      <c r="A280" t="s">
        <v>150</v>
      </c>
      <c r="B280" t="s">
        <v>450</v>
      </c>
      <c r="C280" t="s">
        <v>449</v>
      </c>
      <c r="D280" t="s">
        <v>102</v>
      </c>
      <c r="E280">
        <v>0</v>
      </c>
      <c r="F280">
        <v>0</v>
      </c>
      <c r="G280">
        <v>0</v>
      </c>
      <c r="H280">
        <v>0</v>
      </c>
      <c r="I280">
        <v>0</v>
      </c>
      <c r="J280">
        <v>0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0</v>
      </c>
      <c r="Z280">
        <v>0</v>
      </c>
      <c r="AA280">
        <v>0</v>
      </c>
      <c r="AB280">
        <v>0</v>
      </c>
      <c r="AC280">
        <v>0</v>
      </c>
      <c r="AD280">
        <v>0</v>
      </c>
      <c r="AE280" t="s">
        <v>109</v>
      </c>
    </row>
    <row r="281" spans="1:31" x14ac:dyDescent="0.45">
      <c r="A281" t="s">
        <v>149</v>
      </c>
      <c r="B281" t="s">
        <v>448</v>
      </c>
      <c r="C281" t="s">
        <v>447</v>
      </c>
      <c r="D281" t="s">
        <v>102</v>
      </c>
      <c r="E281">
        <v>0</v>
      </c>
      <c r="F281">
        <v>0</v>
      </c>
      <c r="G281">
        <v>0</v>
      </c>
      <c r="H281">
        <v>0</v>
      </c>
      <c r="I281">
        <v>0</v>
      </c>
      <c r="J281">
        <v>0</v>
      </c>
      <c r="K281">
        <v>0</v>
      </c>
      <c r="L281">
        <v>0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0</v>
      </c>
      <c r="AC281">
        <v>0</v>
      </c>
      <c r="AD281">
        <v>0</v>
      </c>
      <c r="AE281" t="s">
        <v>109</v>
      </c>
    </row>
    <row r="282" spans="1:31" x14ac:dyDescent="0.45">
      <c r="A282" t="s">
        <v>148</v>
      </c>
      <c r="B282" t="s">
        <v>446</v>
      </c>
      <c r="C282" t="s">
        <v>445</v>
      </c>
      <c r="D282" t="s">
        <v>102</v>
      </c>
      <c r="E282">
        <v>0</v>
      </c>
      <c r="F282">
        <v>0</v>
      </c>
      <c r="G282">
        <v>0</v>
      </c>
      <c r="H282">
        <v>0</v>
      </c>
      <c r="I282">
        <v>0</v>
      </c>
      <c r="J282">
        <v>0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>
        <v>0</v>
      </c>
      <c r="AB282">
        <v>0</v>
      </c>
      <c r="AC282">
        <v>0</v>
      </c>
      <c r="AD282">
        <v>0</v>
      </c>
      <c r="AE282" t="s">
        <v>109</v>
      </c>
    </row>
    <row r="283" spans="1:31" s="87" customFormat="1" x14ac:dyDescent="0.45">
      <c r="A283" s="87" t="s">
        <v>186</v>
      </c>
      <c r="B283" s="87" t="s">
        <v>444</v>
      </c>
      <c r="C283" s="87" t="s">
        <v>443</v>
      </c>
      <c r="D283" s="87" t="s">
        <v>102</v>
      </c>
      <c r="E283" s="87">
        <v>287.91030899999998</v>
      </c>
      <c r="F283" s="87">
        <v>302.31176799999997</v>
      </c>
      <c r="G283" s="87">
        <v>328.83560199999999</v>
      </c>
      <c r="H283" s="87">
        <v>330.81811499999998</v>
      </c>
      <c r="I283" s="87">
        <v>328.72949199999999</v>
      </c>
      <c r="J283" s="87">
        <v>330.755066</v>
      </c>
      <c r="K283" s="87">
        <v>333.48022500000002</v>
      </c>
      <c r="L283" s="87">
        <v>337.74099699999999</v>
      </c>
      <c r="M283" s="87">
        <v>342.10742199999999</v>
      </c>
      <c r="N283" s="87">
        <v>342.69525099999998</v>
      </c>
      <c r="O283" s="87">
        <v>343.61498999999998</v>
      </c>
      <c r="P283" s="87">
        <v>339.40093999999999</v>
      </c>
      <c r="Q283" s="87">
        <v>334.26376299999998</v>
      </c>
      <c r="R283" s="87">
        <v>329.26162699999998</v>
      </c>
      <c r="S283" s="87">
        <v>325.89205900000002</v>
      </c>
      <c r="T283" s="87">
        <v>325.537781</v>
      </c>
      <c r="U283" s="87">
        <v>325.99264499999998</v>
      </c>
      <c r="V283" s="87">
        <v>325.71386699999999</v>
      </c>
      <c r="W283" s="87">
        <v>327.14776599999999</v>
      </c>
      <c r="X283" s="87">
        <v>327.62493899999998</v>
      </c>
      <c r="Y283" s="87">
        <v>326.75476099999997</v>
      </c>
      <c r="Z283" s="87">
        <v>323.249908</v>
      </c>
      <c r="AA283" s="87">
        <v>317.78286700000001</v>
      </c>
      <c r="AB283" s="87">
        <v>311.97226000000001</v>
      </c>
      <c r="AC283" s="87">
        <v>307.175568</v>
      </c>
      <c r="AD283" s="87">
        <v>305.20400999999998</v>
      </c>
      <c r="AE283" s="88">
        <v>2E-3</v>
      </c>
    </row>
    <row r="284" spans="1:31" x14ac:dyDescent="0.45">
      <c r="A284" t="s">
        <v>125</v>
      </c>
      <c r="B284" t="s">
        <v>442</v>
      </c>
      <c r="C284" t="s">
        <v>441</v>
      </c>
      <c r="D284" t="s">
        <v>102</v>
      </c>
      <c r="E284">
        <v>756.36676</v>
      </c>
      <c r="F284">
        <v>772.94543499999997</v>
      </c>
      <c r="G284">
        <v>827.95074499999998</v>
      </c>
      <c r="H284">
        <v>838.61889599999995</v>
      </c>
      <c r="I284">
        <v>845.87933299999997</v>
      </c>
      <c r="J284">
        <v>862.27551300000005</v>
      </c>
      <c r="K284">
        <v>876.00744599999996</v>
      </c>
      <c r="L284">
        <v>890.03082300000005</v>
      </c>
      <c r="M284">
        <v>905.46612500000003</v>
      </c>
      <c r="N284">
        <v>912.733521</v>
      </c>
      <c r="O284">
        <v>919.95562700000005</v>
      </c>
      <c r="P284">
        <v>912.91577099999995</v>
      </c>
      <c r="Q284">
        <v>909.65368699999999</v>
      </c>
      <c r="R284">
        <v>906.638733</v>
      </c>
      <c r="S284">
        <v>905.15716599999996</v>
      </c>
      <c r="T284">
        <v>908.35864300000003</v>
      </c>
      <c r="U284">
        <v>911.02221699999996</v>
      </c>
      <c r="V284">
        <v>912.26470900000004</v>
      </c>
      <c r="W284">
        <v>916.60424799999998</v>
      </c>
      <c r="X284">
        <v>919.70959500000004</v>
      </c>
      <c r="Y284">
        <v>921.64123500000005</v>
      </c>
      <c r="Z284">
        <v>918.23132299999997</v>
      </c>
      <c r="AA284">
        <v>912.54022199999997</v>
      </c>
      <c r="AB284">
        <v>904.82653800000003</v>
      </c>
      <c r="AC284">
        <v>898.16803000000004</v>
      </c>
      <c r="AD284">
        <v>893.37445100000002</v>
      </c>
      <c r="AE284" s="71">
        <v>7.0000000000000001E-3</v>
      </c>
    </row>
    <row r="285" spans="1:31" x14ac:dyDescent="0.45">
      <c r="A285" t="s">
        <v>129</v>
      </c>
    </row>
    <row r="286" spans="1:31" x14ac:dyDescent="0.45">
      <c r="A286" t="s">
        <v>185</v>
      </c>
      <c r="B286" t="s">
        <v>440</v>
      </c>
      <c r="C286" t="s">
        <v>439</v>
      </c>
      <c r="D286" t="s">
        <v>183</v>
      </c>
      <c r="E286">
        <v>1583.56665</v>
      </c>
      <c r="F286">
        <v>1549.21875</v>
      </c>
      <c r="G286">
        <v>1600.83374</v>
      </c>
      <c r="H286">
        <v>1569.623779</v>
      </c>
      <c r="I286">
        <v>1558.830322</v>
      </c>
      <c r="J286">
        <v>1570.8070070000001</v>
      </c>
      <c r="K286">
        <v>1532.1602780000001</v>
      </c>
      <c r="L286">
        <v>1540.2322999999999</v>
      </c>
      <c r="M286">
        <v>1548.5545649999999</v>
      </c>
      <c r="N286">
        <v>1545.7983400000001</v>
      </c>
      <c r="O286">
        <v>1552.4879149999999</v>
      </c>
      <c r="P286">
        <v>1557.8070070000001</v>
      </c>
      <c r="Q286">
        <v>1565.3472899999999</v>
      </c>
      <c r="R286">
        <v>1567.623047</v>
      </c>
      <c r="S286">
        <v>1572.4233400000001</v>
      </c>
      <c r="T286">
        <v>1575.6236570000001</v>
      </c>
      <c r="U286">
        <v>1575.8466800000001</v>
      </c>
      <c r="V286">
        <v>1572.6245120000001</v>
      </c>
      <c r="W286">
        <v>1570.4213870000001</v>
      </c>
      <c r="X286">
        <v>1572.224976</v>
      </c>
      <c r="Y286">
        <v>1573.0563959999999</v>
      </c>
      <c r="Z286">
        <v>1577.9887699999999</v>
      </c>
      <c r="AA286">
        <v>1588.9343260000001</v>
      </c>
      <c r="AB286">
        <v>1595.622314</v>
      </c>
      <c r="AC286">
        <v>1592.7250979999999</v>
      </c>
      <c r="AD286">
        <v>1590.9067379999999</v>
      </c>
      <c r="AE286" s="71">
        <v>0</v>
      </c>
    </row>
    <row r="287" spans="1:31" x14ac:dyDescent="0.45">
      <c r="A287" t="s">
        <v>182</v>
      </c>
      <c r="B287" t="s">
        <v>438</v>
      </c>
      <c r="C287" t="s">
        <v>437</v>
      </c>
      <c r="D287" t="s">
        <v>181</v>
      </c>
      <c r="E287">
        <v>3.3770099999999998</v>
      </c>
      <c r="F287">
        <v>3.3805740000000002</v>
      </c>
      <c r="G287">
        <v>3.3841420000000002</v>
      </c>
      <c r="H287">
        <v>3.3877130000000002</v>
      </c>
      <c r="I287">
        <v>3.391289</v>
      </c>
      <c r="J287">
        <v>3.3948680000000002</v>
      </c>
      <c r="K287">
        <v>3.3984510000000001</v>
      </c>
      <c r="L287">
        <v>3.402037</v>
      </c>
      <c r="M287">
        <v>3.4056280000000001</v>
      </c>
      <c r="N287">
        <v>3.4092220000000002</v>
      </c>
      <c r="O287">
        <v>3.41282</v>
      </c>
      <c r="P287">
        <v>3.4164219999999998</v>
      </c>
      <c r="Q287">
        <v>3.4200270000000002</v>
      </c>
      <c r="R287">
        <v>3.4236369999999998</v>
      </c>
      <c r="S287">
        <v>3.4272499999999999</v>
      </c>
      <c r="T287">
        <v>3.4308670000000001</v>
      </c>
      <c r="U287">
        <v>3.434488</v>
      </c>
      <c r="V287">
        <v>3.438113</v>
      </c>
      <c r="W287">
        <v>3.4417409999999999</v>
      </c>
      <c r="X287">
        <v>3.445373</v>
      </c>
      <c r="Y287">
        <v>3.4490099999999999</v>
      </c>
      <c r="Z287">
        <v>3.4526490000000001</v>
      </c>
      <c r="AA287">
        <v>3.4562930000000001</v>
      </c>
      <c r="AB287">
        <v>3.4599410000000002</v>
      </c>
      <c r="AC287">
        <v>3.4635929999999999</v>
      </c>
      <c r="AD287">
        <v>3.4672480000000001</v>
      </c>
      <c r="AE287" s="71">
        <v>1E-3</v>
      </c>
    </row>
    <row r="288" spans="1:31" x14ac:dyDescent="0.45">
      <c r="A288" t="s">
        <v>176</v>
      </c>
    </row>
    <row r="289" spans="1:31" x14ac:dyDescent="0.45">
      <c r="A289" t="s">
        <v>175</v>
      </c>
      <c r="B289" t="s">
        <v>436</v>
      </c>
      <c r="C289" t="s">
        <v>435</v>
      </c>
      <c r="D289" t="s">
        <v>171</v>
      </c>
      <c r="E289">
        <v>468.92568999999997</v>
      </c>
      <c r="F289">
        <v>458.27090500000003</v>
      </c>
      <c r="G289">
        <v>473.03973400000001</v>
      </c>
      <c r="H289">
        <v>463.32836900000001</v>
      </c>
      <c r="I289">
        <v>459.65716600000002</v>
      </c>
      <c r="J289">
        <v>462.70059199999997</v>
      </c>
      <c r="K289">
        <v>450.84088100000002</v>
      </c>
      <c r="L289">
        <v>452.73818999999997</v>
      </c>
      <c r="M289">
        <v>454.70459</v>
      </c>
      <c r="N289">
        <v>453.41677900000002</v>
      </c>
      <c r="O289">
        <v>454.898865</v>
      </c>
      <c r="P289">
        <v>455.97616599999998</v>
      </c>
      <c r="Q289">
        <v>457.70022599999999</v>
      </c>
      <c r="R289">
        <v>457.88241599999998</v>
      </c>
      <c r="S289">
        <v>458.80032299999999</v>
      </c>
      <c r="T289">
        <v>459.24939000000001</v>
      </c>
      <c r="U289">
        <v>458.83017000000001</v>
      </c>
      <c r="V289">
        <v>457.40924100000001</v>
      </c>
      <c r="W289">
        <v>456.28689600000001</v>
      </c>
      <c r="X289">
        <v>456.329407</v>
      </c>
      <c r="Y289">
        <v>456.08932499999997</v>
      </c>
      <c r="Z289">
        <v>457.03701799999999</v>
      </c>
      <c r="AA289">
        <v>459.72207600000002</v>
      </c>
      <c r="AB289">
        <v>461.17038000000002</v>
      </c>
      <c r="AC289">
        <v>459.84771699999999</v>
      </c>
      <c r="AD289">
        <v>458.83840900000001</v>
      </c>
      <c r="AE289" s="71">
        <v>-1E-3</v>
      </c>
    </row>
    <row r="290" spans="1:31" x14ac:dyDescent="0.45">
      <c r="A290" t="s">
        <v>174</v>
      </c>
      <c r="B290" t="s">
        <v>434</v>
      </c>
      <c r="C290" t="s">
        <v>433</v>
      </c>
      <c r="D290" t="s">
        <v>171</v>
      </c>
      <c r="E290">
        <v>0</v>
      </c>
      <c r="F290">
        <v>0</v>
      </c>
      <c r="G290">
        <v>0</v>
      </c>
      <c r="H290">
        <v>0</v>
      </c>
      <c r="I290">
        <v>0</v>
      </c>
      <c r="J290">
        <v>0</v>
      </c>
      <c r="K290">
        <v>0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0</v>
      </c>
      <c r="X290">
        <v>0</v>
      </c>
      <c r="Y290">
        <v>0</v>
      </c>
      <c r="Z290">
        <v>0</v>
      </c>
      <c r="AA290">
        <v>0</v>
      </c>
      <c r="AB290">
        <v>0</v>
      </c>
      <c r="AC290">
        <v>0</v>
      </c>
      <c r="AD290">
        <v>0</v>
      </c>
      <c r="AE290" t="s">
        <v>109</v>
      </c>
    </row>
    <row r="291" spans="1:31" x14ac:dyDescent="0.45">
      <c r="A291" t="s">
        <v>173</v>
      </c>
      <c r="B291" t="s">
        <v>432</v>
      </c>
      <c r="C291" t="s">
        <v>431</v>
      </c>
      <c r="D291" t="s">
        <v>171</v>
      </c>
      <c r="E291">
        <v>0</v>
      </c>
      <c r="F291">
        <v>0</v>
      </c>
      <c r="G291">
        <v>0</v>
      </c>
      <c r="H291">
        <v>0</v>
      </c>
      <c r="I291">
        <v>0</v>
      </c>
      <c r="J291">
        <v>0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0</v>
      </c>
      <c r="AA291">
        <v>0</v>
      </c>
      <c r="AB291">
        <v>0</v>
      </c>
      <c r="AC291">
        <v>0</v>
      </c>
      <c r="AD291">
        <v>0</v>
      </c>
      <c r="AE291" t="s">
        <v>109</v>
      </c>
    </row>
    <row r="292" spans="1:31" x14ac:dyDescent="0.45">
      <c r="A292" t="s">
        <v>172</v>
      </c>
      <c r="B292" t="s">
        <v>430</v>
      </c>
      <c r="C292" t="s">
        <v>429</v>
      </c>
      <c r="D292" t="s">
        <v>171</v>
      </c>
      <c r="E292">
        <v>0</v>
      </c>
      <c r="F292">
        <v>0</v>
      </c>
      <c r="G292">
        <v>0</v>
      </c>
      <c r="H292">
        <v>0</v>
      </c>
      <c r="I292">
        <v>0</v>
      </c>
      <c r="J292">
        <v>0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0</v>
      </c>
      <c r="AA292">
        <v>0</v>
      </c>
      <c r="AB292">
        <v>0</v>
      </c>
      <c r="AC292">
        <v>0</v>
      </c>
      <c r="AD292">
        <v>0</v>
      </c>
      <c r="AE292" t="s">
        <v>109</v>
      </c>
    </row>
    <row r="293" spans="1:31" x14ac:dyDescent="0.45">
      <c r="A293" t="s">
        <v>130</v>
      </c>
    </row>
    <row r="294" spans="1:31" x14ac:dyDescent="0.45">
      <c r="A294" t="s">
        <v>184</v>
      </c>
      <c r="B294" t="s">
        <v>428</v>
      </c>
      <c r="C294" t="s">
        <v>427</v>
      </c>
      <c r="D294" t="s">
        <v>183</v>
      </c>
      <c r="E294">
        <v>481.83203099999997</v>
      </c>
      <c r="F294">
        <v>486.21575899999999</v>
      </c>
      <c r="G294">
        <v>483.39910900000001</v>
      </c>
      <c r="H294">
        <v>481.59878500000002</v>
      </c>
      <c r="I294">
        <v>478.74780299999998</v>
      </c>
      <c r="J294">
        <v>479.17053199999998</v>
      </c>
      <c r="K294">
        <v>477.21215799999999</v>
      </c>
      <c r="L294">
        <v>476.96957400000002</v>
      </c>
      <c r="M294">
        <v>475.513306</v>
      </c>
      <c r="N294">
        <v>475.265533</v>
      </c>
      <c r="O294">
        <v>474.76629600000001</v>
      </c>
      <c r="P294">
        <v>473.51058999999998</v>
      </c>
      <c r="Q294">
        <v>471.99932899999999</v>
      </c>
      <c r="R294">
        <v>470.33200099999999</v>
      </c>
      <c r="S294">
        <v>469.49694799999997</v>
      </c>
      <c r="T294">
        <v>468.92211900000001</v>
      </c>
      <c r="U294">
        <v>468.94192500000003</v>
      </c>
      <c r="V294">
        <v>468.05917399999998</v>
      </c>
      <c r="W294">
        <v>466.67507899999998</v>
      </c>
      <c r="X294">
        <v>465.00936899999999</v>
      </c>
      <c r="Y294">
        <v>463.46417200000002</v>
      </c>
      <c r="Z294">
        <v>462.658051</v>
      </c>
      <c r="AA294">
        <v>462.24151599999999</v>
      </c>
      <c r="AB294">
        <v>460.68478399999998</v>
      </c>
      <c r="AC294">
        <v>458.80084199999999</v>
      </c>
      <c r="AD294">
        <v>456.89770499999997</v>
      </c>
      <c r="AE294" s="71">
        <v>-2E-3</v>
      </c>
    </row>
    <row r="295" spans="1:31" x14ac:dyDescent="0.45">
      <c r="A295" t="s">
        <v>182</v>
      </c>
      <c r="B295" t="s">
        <v>426</v>
      </c>
      <c r="C295" t="s">
        <v>425</v>
      </c>
      <c r="D295" t="s">
        <v>181</v>
      </c>
      <c r="E295">
        <v>4.876665</v>
      </c>
      <c r="F295">
        <v>4.8956239999999998</v>
      </c>
      <c r="G295">
        <v>4.9146570000000001</v>
      </c>
      <c r="H295">
        <v>4.933764</v>
      </c>
      <c r="I295">
        <v>4.9529449999999997</v>
      </c>
      <c r="J295">
        <v>4.9722</v>
      </c>
      <c r="K295">
        <v>4.9915310000000002</v>
      </c>
      <c r="L295">
        <v>5.0109370000000002</v>
      </c>
      <c r="M295">
        <v>5.0304180000000001</v>
      </c>
      <c r="N295">
        <v>5.0499749999999999</v>
      </c>
      <c r="O295">
        <v>5.0696079999999997</v>
      </c>
      <c r="P295">
        <v>5.0893170000000003</v>
      </c>
      <c r="Q295">
        <v>5.1091030000000002</v>
      </c>
      <c r="R295">
        <v>5.1289660000000001</v>
      </c>
      <c r="S295">
        <v>5.1489060000000002</v>
      </c>
      <c r="T295">
        <v>5.1689230000000004</v>
      </c>
      <c r="U295">
        <v>5.189019</v>
      </c>
      <c r="V295">
        <v>5.2091919999999998</v>
      </c>
      <c r="W295">
        <v>5.2294450000000001</v>
      </c>
      <c r="X295">
        <v>5.2497749999999996</v>
      </c>
      <c r="Y295">
        <v>5.2701849999999997</v>
      </c>
      <c r="Z295">
        <v>5.2906740000000001</v>
      </c>
      <c r="AA295">
        <v>5.3112430000000002</v>
      </c>
      <c r="AB295">
        <v>5.3318919999999999</v>
      </c>
      <c r="AC295">
        <v>5.3526210000000001</v>
      </c>
      <c r="AD295">
        <v>5.3734299999999999</v>
      </c>
      <c r="AE295" s="71">
        <v>4.0000000000000001E-3</v>
      </c>
    </row>
    <row r="296" spans="1:31" x14ac:dyDescent="0.45">
      <c r="A296" t="s">
        <v>176</v>
      </c>
    </row>
    <row r="297" spans="1:31" x14ac:dyDescent="0.45">
      <c r="A297" t="s">
        <v>175</v>
      </c>
      <c r="B297" t="s">
        <v>424</v>
      </c>
      <c r="C297" t="s">
        <v>423</v>
      </c>
      <c r="D297" t="s">
        <v>171</v>
      </c>
      <c r="E297">
        <v>96.583793999999997</v>
      </c>
      <c r="F297">
        <v>97.108688000000001</v>
      </c>
      <c r="G297">
        <v>96.187201999999999</v>
      </c>
      <c r="H297">
        <v>95.472472999999994</v>
      </c>
      <c r="I297">
        <v>94.554146000000003</v>
      </c>
      <c r="J297">
        <v>94.286368999999993</v>
      </c>
      <c r="K297">
        <v>93.553246000000001</v>
      </c>
      <c r="L297">
        <v>93.159003999999996</v>
      </c>
      <c r="M297">
        <v>92.530685000000005</v>
      </c>
      <c r="N297">
        <v>92.139579999999995</v>
      </c>
      <c r="O297">
        <v>91.701057000000006</v>
      </c>
      <c r="P297">
        <v>91.116889999999998</v>
      </c>
      <c r="Q297">
        <v>90.488121000000007</v>
      </c>
      <c r="R297">
        <v>89.835007000000004</v>
      </c>
      <c r="S297">
        <v>89.345123000000001</v>
      </c>
      <c r="T297">
        <v>88.860725000000002</v>
      </c>
      <c r="U297">
        <v>88.419899000000001</v>
      </c>
      <c r="V297">
        <v>87.804962000000003</v>
      </c>
      <c r="W297">
        <v>87.093040000000002</v>
      </c>
      <c r="X297">
        <v>86.325974000000002</v>
      </c>
      <c r="Y297">
        <v>85.578452999999996</v>
      </c>
      <c r="Z297">
        <v>84.963302999999996</v>
      </c>
      <c r="AA297">
        <v>84.41404</v>
      </c>
      <c r="AB297">
        <v>83.6511</v>
      </c>
      <c r="AC297">
        <v>82.824348000000001</v>
      </c>
      <c r="AD297">
        <v>81.989593999999997</v>
      </c>
      <c r="AE297" s="71">
        <v>-7.0000000000000001E-3</v>
      </c>
    </row>
    <row r="298" spans="1:31" x14ac:dyDescent="0.45">
      <c r="A298" t="s">
        <v>174</v>
      </c>
      <c r="B298" t="s">
        <v>422</v>
      </c>
      <c r="C298" t="s">
        <v>421</v>
      </c>
      <c r="D298" t="s">
        <v>171</v>
      </c>
      <c r="E298">
        <v>1.445341</v>
      </c>
      <c r="F298">
        <v>1.381691</v>
      </c>
      <c r="G298">
        <v>1.303849</v>
      </c>
      <c r="H298">
        <v>1.2307950000000001</v>
      </c>
      <c r="I298">
        <v>1.156623</v>
      </c>
      <c r="J298">
        <v>1.087359</v>
      </c>
      <c r="K298">
        <v>1.010143</v>
      </c>
      <c r="L298">
        <v>0.93915599999999999</v>
      </c>
      <c r="M298">
        <v>0.86446900000000004</v>
      </c>
      <c r="N298">
        <v>0.794794</v>
      </c>
      <c r="O298">
        <v>0.72734299999999996</v>
      </c>
      <c r="P298">
        <v>0.66834199999999999</v>
      </c>
      <c r="Q298">
        <v>0.60416400000000003</v>
      </c>
      <c r="R298">
        <v>0.53177799999999997</v>
      </c>
      <c r="S298">
        <v>0.45579399999999998</v>
      </c>
      <c r="T298">
        <v>0.388372</v>
      </c>
      <c r="U298">
        <v>0.386907</v>
      </c>
      <c r="V298">
        <v>0.38470799999999999</v>
      </c>
      <c r="W298">
        <v>0.38211099999999998</v>
      </c>
      <c r="X298">
        <v>0.37930000000000003</v>
      </c>
      <c r="Y298">
        <v>0.37660399999999999</v>
      </c>
      <c r="Z298">
        <v>0.37452400000000002</v>
      </c>
      <c r="AA298">
        <v>0.37277100000000002</v>
      </c>
      <c r="AB298">
        <v>0.37011100000000002</v>
      </c>
      <c r="AC298">
        <v>0.36720700000000001</v>
      </c>
      <c r="AD298">
        <v>0.36430699999999999</v>
      </c>
      <c r="AE298" s="71">
        <v>-5.3999999999999999E-2</v>
      </c>
    </row>
    <row r="299" spans="1:31" x14ac:dyDescent="0.45">
      <c r="A299" t="s">
        <v>173</v>
      </c>
      <c r="B299" t="s">
        <v>420</v>
      </c>
      <c r="C299" t="s">
        <v>419</v>
      </c>
      <c r="D299" t="s">
        <v>171</v>
      </c>
      <c r="E299">
        <v>0</v>
      </c>
      <c r="F299">
        <v>0</v>
      </c>
      <c r="G299">
        <v>0</v>
      </c>
      <c r="H299">
        <v>0</v>
      </c>
      <c r="I299">
        <v>0</v>
      </c>
      <c r="J299">
        <v>0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0</v>
      </c>
      <c r="AA299">
        <v>0</v>
      </c>
      <c r="AB299">
        <v>0</v>
      </c>
      <c r="AC299">
        <v>0</v>
      </c>
      <c r="AD299">
        <v>0</v>
      </c>
      <c r="AE299" t="s">
        <v>109</v>
      </c>
    </row>
    <row r="300" spans="1:31" x14ac:dyDescent="0.45">
      <c r="A300" t="s">
        <v>172</v>
      </c>
      <c r="B300" t="s">
        <v>418</v>
      </c>
      <c r="C300" t="s">
        <v>417</v>
      </c>
      <c r="D300" t="s">
        <v>171</v>
      </c>
      <c r="E300">
        <v>0.77447999999999995</v>
      </c>
      <c r="F300">
        <v>0.82602299999999995</v>
      </c>
      <c r="G300">
        <v>0.86763400000000002</v>
      </c>
      <c r="H300">
        <v>0.90959299999999998</v>
      </c>
      <c r="I300">
        <v>0.94846200000000003</v>
      </c>
      <c r="J300">
        <v>0.99618600000000002</v>
      </c>
      <c r="K300">
        <v>1.040969</v>
      </c>
      <c r="L300">
        <v>1.0875589999999999</v>
      </c>
      <c r="M300">
        <v>1.1324399999999999</v>
      </c>
      <c r="N300">
        <v>1.1780889999999999</v>
      </c>
      <c r="O300">
        <v>1.2211190000000001</v>
      </c>
      <c r="P300">
        <v>1.2548729999999999</v>
      </c>
      <c r="Q300">
        <v>1.291717</v>
      </c>
      <c r="R300">
        <v>1.33436</v>
      </c>
      <c r="S300">
        <v>1.382914</v>
      </c>
      <c r="T300">
        <v>1.470391</v>
      </c>
      <c r="U300">
        <v>1.5651710000000001</v>
      </c>
      <c r="V300">
        <v>1.6628590000000001</v>
      </c>
      <c r="W300">
        <v>1.764751</v>
      </c>
      <c r="X300">
        <v>1.871745</v>
      </c>
      <c r="Y300">
        <v>1.9857260000000001</v>
      </c>
      <c r="Z300">
        <v>2.1100059999999998</v>
      </c>
      <c r="AA300">
        <v>2.2439629999999999</v>
      </c>
      <c r="AB300">
        <v>2.3805429999999999</v>
      </c>
      <c r="AC300">
        <v>2.523625</v>
      </c>
      <c r="AD300">
        <v>2.6751680000000002</v>
      </c>
      <c r="AE300" s="71">
        <v>5.0999999999999997E-2</v>
      </c>
    </row>
    <row r="301" spans="1:31" x14ac:dyDescent="0.45">
      <c r="A301" t="s">
        <v>131</v>
      </c>
    </row>
    <row r="302" spans="1:31" x14ac:dyDescent="0.45">
      <c r="A302" t="s">
        <v>180</v>
      </c>
      <c r="B302" t="s">
        <v>416</v>
      </c>
      <c r="C302" t="s">
        <v>415</v>
      </c>
      <c r="D302" t="s">
        <v>177</v>
      </c>
      <c r="E302">
        <v>6127.4228519999997</v>
      </c>
      <c r="F302">
        <v>6028.361328</v>
      </c>
      <c r="G302">
        <v>6255.0078119999998</v>
      </c>
      <c r="H302">
        <v>6499.4736329999996</v>
      </c>
      <c r="I302">
        <v>6761.2734380000002</v>
      </c>
      <c r="J302">
        <v>7028.6259769999997</v>
      </c>
      <c r="K302">
        <v>7299.21875</v>
      </c>
      <c r="L302">
        <v>7579.5712890000004</v>
      </c>
      <c r="M302">
        <v>7866.2246089999999</v>
      </c>
      <c r="N302">
        <v>8164.1865230000003</v>
      </c>
      <c r="O302">
        <v>8491.6855469999991</v>
      </c>
      <c r="P302">
        <v>8747.6240230000003</v>
      </c>
      <c r="Q302">
        <v>8948.3525389999995</v>
      </c>
      <c r="R302">
        <v>9150.4121090000008</v>
      </c>
      <c r="S302">
        <v>9328.1025389999995</v>
      </c>
      <c r="T302">
        <v>9510.328125</v>
      </c>
      <c r="U302">
        <v>9683.4052730000003</v>
      </c>
      <c r="V302">
        <v>9868.6611329999996</v>
      </c>
      <c r="W302">
        <v>10044.632812</v>
      </c>
      <c r="X302">
        <v>10220.917969</v>
      </c>
      <c r="Y302">
        <v>10423.390625</v>
      </c>
      <c r="Z302">
        <v>10629.244140999999</v>
      </c>
      <c r="AA302">
        <v>10842.418944999999</v>
      </c>
      <c r="AB302">
        <v>11045.969727</v>
      </c>
      <c r="AC302">
        <v>11243.941406</v>
      </c>
      <c r="AD302">
        <v>11472.542969</v>
      </c>
      <c r="AE302" s="71">
        <v>2.5000000000000001E-2</v>
      </c>
    </row>
    <row r="303" spans="1:31" x14ac:dyDescent="0.45">
      <c r="A303" t="s">
        <v>179</v>
      </c>
      <c r="B303" t="s">
        <v>414</v>
      </c>
      <c r="C303" t="s">
        <v>413</v>
      </c>
      <c r="D303" t="s">
        <v>177</v>
      </c>
      <c r="E303">
        <v>1940.6701660000001</v>
      </c>
      <c r="F303">
        <v>2006.188232</v>
      </c>
      <c r="G303">
        <v>2107.7854000000002</v>
      </c>
      <c r="H303">
        <v>2179.19751</v>
      </c>
      <c r="I303">
        <v>2254.2573240000002</v>
      </c>
      <c r="J303">
        <v>2324.5969239999999</v>
      </c>
      <c r="K303">
        <v>2391.5129390000002</v>
      </c>
      <c r="L303">
        <v>2453.6914059999999</v>
      </c>
      <c r="M303">
        <v>2513.2285160000001</v>
      </c>
      <c r="N303">
        <v>2576.2583009999998</v>
      </c>
      <c r="O303">
        <v>2646.9953609999998</v>
      </c>
      <c r="P303">
        <v>2699.0698240000002</v>
      </c>
      <c r="Q303">
        <v>2744.2216800000001</v>
      </c>
      <c r="R303">
        <v>2792.2001949999999</v>
      </c>
      <c r="S303">
        <v>2842.2219239999999</v>
      </c>
      <c r="T303">
        <v>2895.2229000000002</v>
      </c>
      <c r="U303">
        <v>2947.8862300000001</v>
      </c>
      <c r="V303">
        <v>3001.33374</v>
      </c>
      <c r="W303">
        <v>3053.8952640000002</v>
      </c>
      <c r="X303">
        <v>3101.75</v>
      </c>
      <c r="Y303">
        <v>3155.008057</v>
      </c>
      <c r="Z303">
        <v>3206.7470699999999</v>
      </c>
      <c r="AA303">
        <v>3259.1191410000001</v>
      </c>
      <c r="AB303">
        <v>3304.0275879999999</v>
      </c>
      <c r="AC303">
        <v>3343.9277339999999</v>
      </c>
      <c r="AD303">
        <v>3385.5576169999999</v>
      </c>
      <c r="AE303" s="71">
        <v>2.3E-2</v>
      </c>
    </row>
    <row r="304" spans="1:31" x14ac:dyDescent="0.45">
      <c r="A304" t="s">
        <v>178</v>
      </c>
      <c r="B304" t="s">
        <v>412</v>
      </c>
      <c r="C304" t="s">
        <v>411</v>
      </c>
      <c r="D304" t="s">
        <v>177</v>
      </c>
      <c r="E304">
        <v>4186.7524409999996</v>
      </c>
      <c r="F304">
        <v>4022.1733399999998</v>
      </c>
      <c r="G304">
        <v>4147.2221680000002</v>
      </c>
      <c r="H304">
        <v>4320.2763670000004</v>
      </c>
      <c r="I304">
        <v>4507.0161129999997</v>
      </c>
      <c r="J304">
        <v>4704.029297</v>
      </c>
      <c r="K304">
        <v>4907.7055659999996</v>
      </c>
      <c r="L304">
        <v>5125.8798829999996</v>
      </c>
      <c r="M304">
        <v>5352.9960940000001</v>
      </c>
      <c r="N304">
        <v>5587.9282229999999</v>
      </c>
      <c r="O304">
        <v>5844.6904299999997</v>
      </c>
      <c r="P304">
        <v>6048.5541990000002</v>
      </c>
      <c r="Q304">
        <v>6204.1308589999999</v>
      </c>
      <c r="R304">
        <v>6358.2119140000004</v>
      </c>
      <c r="S304">
        <v>6485.8808589999999</v>
      </c>
      <c r="T304">
        <v>6615.1049800000001</v>
      </c>
      <c r="U304">
        <v>6735.5190430000002</v>
      </c>
      <c r="V304">
        <v>6867.3271480000003</v>
      </c>
      <c r="W304">
        <v>6990.7377930000002</v>
      </c>
      <c r="X304">
        <v>7119.1679690000001</v>
      </c>
      <c r="Y304">
        <v>7268.3828119999998</v>
      </c>
      <c r="Z304">
        <v>7422.4975590000004</v>
      </c>
      <c r="AA304">
        <v>7583.2998049999997</v>
      </c>
      <c r="AB304">
        <v>7741.9418949999999</v>
      </c>
      <c r="AC304">
        <v>7900.013672</v>
      </c>
      <c r="AD304">
        <v>8086.9848629999997</v>
      </c>
      <c r="AE304" s="71">
        <v>2.7E-2</v>
      </c>
    </row>
    <row r="305" spans="1:31" x14ac:dyDescent="0.45">
      <c r="A305" t="s">
        <v>176</v>
      </c>
    </row>
    <row r="306" spans="1:31" x14ac:dyDescent="0.45">
      <c r="A306" t="s">
        <v>175</v>
      </c>
      <c r="B306" t="s">
        <v>410</v>
      </c>
      <c r="C306" t="s">
        <v>409</v>
      </c>
      <c r="D306" t="s">
        <v>171</v>
      </c>
      <c r="E306">
        <v>223.61303699999999</v>
      </c>
      <c r="F306">
        <v>232.22341900000001</v>
      </c>
      <c r="G306">
        <v>233.03628499999999</v>
      </c>
      <c r="H306">
        <v>228.42013499999999</v>
      </c>
      <c r="I306">
        <v>236.59736599999999</v>
      </c>
      <c r="J306">
        <v>244.27101099999999</v>
      </c>
      <c r="K306">
        <v>254.47695899999999</v>
      </c>
      <c r="L306">
        <v>260.89538599999997</v>
      </c>
      <c r="M306">
        <v>266.11056500000001</v>
      </c>
      <c r="N306">
        <v>271.40432700000002</v>
      </c>
      <c r="O306">
        <v>278.81805400000002</v>
      </c>
      <c r="P306">
        <v>283.25878899999998</v>
      </c>
      <c r="Q306">
        <v>286.94357300000001</v>
      </c>
      <c r="R306">
        <v>290.506012</v>
      </c>
      <c r="S306">
        <v>293.64566000000002</v>
      </c>
      <c r="T306">
        <v>297.625427</v>
      </c>
      <c r="U306">
        <v>301.42257699999999</v>
      </c>
      <c r="V306">
        <v>303.21469100000002</v>
      </c>
      <c r="W306">
        <v>304.424194</v>
      </c>
      <c r="X306">
        <v>305.89453099999997</v>
      </c>
      <c r="Y306">
        <v>307.77346799999998</v>
      </c>
      <c r="Z306">
        <v>310.19232199999999</v>
      </c>
      <c r="AA306">
        <v>313.15210000000002</v>
      </c>
      <c r="AB306">
        <v>315.861267</v>
      </c>
      <c r="AC306">
        <v>317.94543499999997</v>
      </c>
      <c r="AD306">
        <v>320.70755000000003</v>
      </c>
      <c r="AE306" s="71">
        <v>1.4999999999999999E-2</v>
      </c>
    </row>
    <row r="307" spans="1:31" x14ac:dyDescent="0.45">
      <c r="A307" t="s">
        <v>174</v>
      </c>
      <c r="B307" t="s">
        <v>408</v>
      </c>
      <c r="C307" t="s">
        <v>407</v>
      </c>
      <c r="D307" t="s">
        <v>171</v>
      </c>
      <c r="E307">
        <v>551.81341599999996</v>
      </c>
      <c r="F307">
        <v>533.65148899999997</v>
      </c>
      <c r="G307">
        <v>548.11669900000004</v>
      </c>
      <c r="H307">
        <v>569.71991000000003</v>
      </c>
      <c r="I307">
        <v>574.97094700000002</v>
      </c>
      <c r="J307">
        <v>581.03149399999995</v>
      </c>
      <c r="K307">
        <v>583.45141599999999</v>
      </c>
      <c r="L307">
        <v>591.07006799999999</v>
      </c>
      <c r="M307">
        <v>600.38812299999995</v>
      </c>
      <c r="N307">
        <v>609.91949499999998</v>
      </c>
      <c r="O307">
        <v>618.10058600000002</v>
      </c>
      <c r="P307">
        <v>626.03704800000003</v>
      </c>
      <c r="Q307">
        <v>631.89624000000003</v>
      </c>
      <c r="R307">
        <v>637.82202099999995</v>
      </c>
      <c r="S307">
        <v>643.011841</v>
      </c>
      <c r="T307">
        <v>647.25390600000003</v>
      </c>
      <c r="U307">
        <v>651.12280299999998</v>
      </c>
      <c r="V307">
        <v>658.07989499999996</v>
      </c>
      <c r="W307">
        <v>665.28179899999998</v>
      </c>
      <c r="X307">
        <v>672.02301</v>
      </c>
      <c r="Y307">
        <v>679.34075900000005</v>
      </c>
      <c r="Z307">
        <v>686.10742200000004</v>
      </c>
      <c r="AA307">
        <v>692.36852999999996</v>
      </c>
      <c r="AB307">
        <v>698.42010500000004</v>
      </c>
      <c r="AC307">
        <v>704.87670900000001</v>
      </c>
      <c r="AD307">
        <v>711.82208300000002</v>
      </c>
      <c r="AE307" s="71">
        <v>0.01</v>
      </c>
    </row>
    <row r="308" spans="1:31" x14ac:dyDescent="0.45">
      <c r="A308" t="s">
        <v>173</v>
      </c>
      <c r="B308" t="s">
        <v>406</v>
      </c>
      <c r="C308" t="s">
        <v>405</v>
      </c>
      <c r="D308" t="s">
        <v>171</v>
      </c>
      <c r="E308">
        <v>0</v>
      </c>
      <c r="F308">
        <v>0</v>
      </c>
      <c r="G308">
        <v>0</v>
      </c>
      <c r="H308">
        <v>0</v>
      </c>
      <c r="I308">
        <v>0</v>
      </c>
      <c r="J308">
        <v>0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0</v>
      </c>
      <c r="Y308">
        <v>0</v>
      </c>
      <c r="Z308">
        <v>0</v>
      </c>
      <c r="AA308">
        <v>0</v>
      </c>
      <c r="AB308">
        <v>0</v>
      </c>
      <c r="AC308">
        <v>0</v>
      </c>
      <c r="AD308">
        <v>0</v>
      </c>
      <c r="AE308" t="s">
        <v>109</v>
      </c>
    </row>
    <row r="309" spans="1:31" x14ac:dyDescent="0.45">
      <c r="A309" t="s">
        <v>172</v>
      </c>
      <c r="B309" t="s">
        <v>404</v>
      </c>
      <c r="C309" t="s">
        <v>403</v>
      </c>
      <c r="D309" t="s">
        <v>171</v>
      </c>
      <c r="E309">
        <v>6.2526729999999997</v>
      </c>
      <c r="F309">
        <v>5.9148670000000001</v>
      </c>
      <c r="G309">
        <v>5.8945189999999998</v>
      </c>
      <c r="H309">
        <v>5.6259750000000004</v>
      </c>
      <c r="I309">
        <v>6.0864450000000003</v>
      </c>
      <c r="J309">
        <v>6.2907739999999999</v>
      </c>
      <c r="K309">
        <v>6.7832850000000002</v>
      </c>
      <c r="L309">
        <v>7.2150460000000001</v>
      </c>
      <c r="M309">
        <v>7.559577</v>
      </c>
      <c r="N309">
        <v>7.9037889999999997</v>
      </c>
      <c r="O309">
        <v>8.305097</v>
      </c>
      <c r="P309">
        <v>8.5344940000000005</v>
      </c>
      <c r="Q309">
        <v>8.7039059999999999</v>
      </c>
      <c r="R309">
        <v>8.8867419999999999</v>
      </c>
      <c r="S309">
        <v>8.9932859999999994</v>
      </c>
      <c r="T309">
        <v>9.1680440000000001</v>
      </c>
      <c r="U309">
        <v>9.4052419999999994</v>
      </c>
      <c r="V309">
        <v>9.5836869999999994</v>
      </c>
      <c r="W309">
        <v>9.7822840000000006</v>
      </c>
      <c r="X309">
        <v>10.052626</v>
      </c>
      <c r="Y309">
        <v>10.397913000000001</v>
      </c>
      <c r="Z309">
        <v>10.684988000000001</v>
      </c>
      <c r="AA309">
        <v>10.963583</v>
      </c>
      <c r="AB309">
        <v>11.211759000000001</v>
      </c>
      <c r="AC309">
        <v>11.425473999999999</v>
      </c>
      <c r="AD309">
        <v>11.615826999999999</v>
      </c>
      <c r="AE309" s="71">
        <v>2.5000000000000001E-2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39EE4D-9B1F-4539-B43D-827FDA040D95}">
  <sheetPr>
    <tabColor theme="9"/>
  </sheetPr>
  <dimension ref="A1"/>
  <sheetViews>
    <sheetView workbookViewId="0"/>
  </sheetViews>
  <sheetFormatPr defaultRowHeight="14.25" x14ac:dyDescent="0.45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48"/>
  <sheetViews>
    <sheetView workbookViewId="0"/>
  </sheetViews>
  <sheetFormatPr defaultColWidth="9.1328125" defaultRowHeight="14.25" x14ac:dyDescent="0.45"/>
  <cols>
    <col min="1" max="1" width="30.1328125" style="3" customWidth="1"/>
    <col min="2" max="2" width="29.86328125" style="3" customWidth="1"/>
    <col min="3" max="3" width="25.265625" style="3" customWidth="1"/>
    <col min="4" max="4" width="22.73046875" style="3" customWidth="1"/>
    <col min="5" max="5" width="25.1328125" style="3" customWidth="1"/>
    <col min="6" max="14" width="9.1328125" style="3"/>
    <col min="15" max="15" width="15.3984375" style="3" customWidth="1"/>
    <col min="16" max="16" width="22.59765625" style="3" customWidth="1"/>
    <col min="17" max="16384" width="9.1328125" style="3"/>
  </cols>
  <sheetData>
    <row r="1" spans="1:16" customFormat="1" ht="14.65" thickBot="1" x14ac:dyDescent="0.5">
      <c r="A1" s="6" t="s">
        <v>48</v>
      </c>
      <c r="B1" s="33"/>
      <c r="C1" s="33"/>
      <c r="D1" s="33"/>
      <c r="E1" s="33"/>
    </row>
    <row r="2" spans="1:16" s="2" customFormat="1" ht="57" x14ac:dyDescent="0.45">
      <c r="A2" s="2" t="s">
        <v>0</v>
      </c>
      <c r="B2" s="7" t="s">
        <v>1</v>
      </c>
      <c r="C2" s="2" t="s">
        <v>78</v>
      </c>
      <c r="D2" s="2" t="s">
        <v>77</v>
      </c>
      <c r="E2" s="7" t="s">
        <v>2</v>
      </c>
      <c r="O2" s="72"/>
      <c r="P2" s="73"/>
    </row>
    <row r="3" spans="1:16" ht="14.65" thickBot="1" x14ac:dyDescent="0.5">
      <c r="A3" s="3">
        <v>13</v>
      </c>
      <c r="B3" s="68">
        <v>14</v>
      </c>
      <c r="C3" s="5">
        <f>AVERAGE(SUM('NTS 1-20'!X4:X5),SUM('NTS 1-20'!Y4:Y5),SUM('NTS 1-20'!Z4:Z5),SUM('NTS 1-20'!AA4:AA5))</f>
        <v>7982.5</v>
      </c>
      <c r="D3" s="5">
        <f>AVERAGE(SUM('NTS 1-20'!X6:X8),SUM('NTS 1-20'!Y6:Y8),SUM('NTS 1-20'!Z6:Z8),SUM('NTS 1-20'!AA6:AA8))</f>
        <v>4867.25</v>
      </c>
      <c r="E3" s="8">
        <f>(A3*C3+B3*D3)/(C3+D3)</f>
        <v>13.378781688359696</v>
      </c>
      <c r="P3" s="73"/>
    </row>
    <row r="4" spans="1:16" x14ac:dyDescent="0.45">
      <c r="P4" s="73"/>
    </row>
    <row r="5" spans="1:16" ht="14.65" thickBot="1" x14ac:dyDescent="0.5">
      <c r="A5" s="10" t="s">
        <v>51</v>
      </c>
      <c r="P5" s="73"/>
    </row>
    <row r="6" spans="1:16" ht="28.5" x14ac:dyDescent="0.45">
      <c r="A6" s="7" t="s">
        <v>55</v>
      </c>
      <c r="B6" s="64" t="s">
        <v>86</v>
      </c>
      <c r="C6" s="7" t="s">
        <v>85</v>
      </c>
      <c r="D6" s="64" t="s">
        <v>87</v>
      </c>
      <c r="E6" s="2"/>
    </row>
    <row r="7" spans="1:16" ht="14.65" thickBot="1" x14ac:dyDescent="0.5">
      <c r="A7" s="68">
        <v>28</v>
      </c>
      <c r="B7" s="65">
        <v>11932239</v>
      </c>
      <c r="C7" s="68">
        <v>23</v>
      </c>
      <c r="D7" s="66">
        <v>1007829.3084223459</v>
      </c>
      <c r="E7" s="67"/>
    </row>
    <row r="10" spans="1:16" x14ac:dyDescent="0.45">
      <c r="A10" s="10" t="s">
        <v>52</v>
      </c>
      <c r="B10" s="34"/>
      <c r="C10" s="34"/>
      <c r="D10" s="34"/>
      <c r="E10" s="34"/>
    </row>
    <row r="11" spans="1:16" s="9" customFormat="1" x14ac:dyDescent="0.45">
      <c r="A11" s="15" t="s">
        <v>29</v>
      </c>
      <c r="B11" s="14"/>
      <c r="C11" s="15"/>
    </row>
    <row r="12" spans="1:16" s="9" customFormat="1" x14ac:dyDescent="0.45">
      <c r="A12" s="9" t="s">
        <v>30</v>
      </c>
      <c r="B12" s="16" t="s">
        <v>31</v>
      </c>
    </row>
    <row r="13" spans="1:16" s="9" customFormat="1" x14ac:dyDescent="0.45">
      <c r="A13" s="9" t="s">
        <v>32</v>
      </c>
      <c r="B13" s="16" t="s">
        <v>33</v>
      </c>
    </row>
    <row r="14" spans="1:16" s="9" customFormat="1" ht="14.65" thickBot="1" x14ac:dyDescent="0.5">
      <c r="A14" s="9" t="s">
        <v>34</v>
      </c>
      <c r="B14" s="16" t="s">
        <v>35</v>
      </c>
    </row>
    <row r="15" spans="1:16" s="9" customFormat="1" x14ac:dyDescent="0.45">
      <c r="A15" s="17" t="s">
        <v>22</v>
      </c>
    </row>
    <row r="16" spans="1:16" s="9" customFormat="1" ht="14.65" thickBot="1" x14ac:dyDescent="0.5">
      <c r="A16" s="18">
        <v>24</v>
      </c>
    </row>
    <row r="18" spans="1:5" x14ac:dyDescent="0.45">
      <c r="A18" s="10" t="s">
        <v>17</v>
      </c>
      <c r="B18" s="34"/>
      <c r="C18" s="34"/>
      <c r="D18" s="34"/>
      <c r="E18" s="34"/>
    </row>
    <row r="19" spans="1:5" x14ac:dyDescent="0.45">
      <c r="A19" s="15" t="s">
        <v>6</v>
      </c>
      <c r="B19" s="15" t="s">
        <v>7</v>
      </c>
      <c r="C19" s="15" t="s">
        <v>8</v>
      </c>
    </row>
    <row r="20" spans="1:5" x14ac:dyDescent="0.45">
      <c r="A20" t="s">
        <v>18</v>
      </c>
      <c r="B20" t="s">
        <v>19</v>
      </c>
      <c r="C20" s="9">
        <v>33</v>
      </c>
    </row>
    <row r="21" spans="1:5" ht="14.65" thickBot="1" x14ac:dyDescent="0.5">
      <c r="A21" t="s">
        <v>20</v>
      </c>
      <c r="B21" t="s">
        <v>21</v>
      </c>
      <c r="C21" s="9">
        <v>35</v>
      </c>
    </row>
    <row r="22" spans="1:5" ht="14.65" thickBot="1" x14ac:dyDescent="0.5">
      <c r="A22"/>
      <c r="B22" s="11" t="s">
        <v>22</v>
      </c>
      <c r="C22" s="12">
        <v>34</v>
      </c>
    </row>
    <row r="23" spans="1:5" x14ac:dyDescent="0.45">
      <c r="A23" t="s">
        <v>23</v>
      </c>
    </row>
    <row r="24" spans="1:5" x14ac:dyDescent="0.45">
      <c r="A24" t="s">
        <v>24</v>
      </c>
    </row>
    <row r="26" spans="1:5" x14ac:dyDescent="0.45">
      <c r="A26" s="10" t="s">
        <v>9</v>
      </c>
      <c r="B26" s="34"/>
      <c r="C26" s="34"/>
      <c r="D26" s="34"/>
      <c r="E26" s="34"/>
    </row>
    <row r="27" spans="1:5" ht="14.65" thickBot="1" x14ac:dyDescent="0.5">
      <c r="A27" s="15" t="s">
        <v>6</v>
      </c>
      <c r="B27" s="15" t="s">
        <v>7</v>
      </c>
      <c r="C27" s="15" t="s">
        <v>8</v>
      </c>
    </row>
    <row r="28" spans="1:5" ht="14.65" thickBot="1" x14ac:dyDescent="0.5">
      <c r="A28" t="s">
        <v>10</v>
      </c>
      <c r="B28" s="13" t="s">
        <v>11</v>
      </c>
      <c r="C28" s="12">
        <v>33</v>
      </c>
    </row>
    <row r="30" spans="1:5" ht="14.65" thickBot="1" x14ac:dyDescent="0.5">
      <c r="A30" s="10" t="s">
        <v>54</v>
      </c>
      <c r="B30" s="34"/>
      <c r="C30" s="34"/>
      <c r="D30" s="34"/>
      <c r="E30" s="34"/>
    </row>
    <row r="31" spans="1:5" ht="28.5" x14ac:dyDescent="0.45">
      <c r="A31" s="21" t="s">
        <v>39</v>
      </c>
      <c r="B31" s="26" t="s">
        <v>40</v>
      </c>
      <c r="C31" s="29" t="s">
        <v>41</v>
      </c>
      <c r="D31" s="30" t="s">
        <v>45</v>
      </c>
      <c r="E31" s="30" t="s">
        <v>42</v>
      </c>
    </row>
    <row r="32" spans="1:5" x14ac:dyDescent="0.45">
      <c r="A32" s="20">
        <v>1997</v>
      </c>
      <c r="B32" s="24">
        <v>3826373</v>
      </c>
      <c r="C32" s="27">
        <v>260000</v>
      </c>
      <c r="D32" s="9"/>
      <c r="E32" s="9"/>
    </row>
    <row r="33" spans="1:5" x14ac:dyDescent="0.45">
      <c r="A33" s="20">
        <v>1998</v>
      </c>
      <c r="B33" s="24">
        <v>3879450</v>
      </c>
      <c r="C33" s="27">
        <v>311000</v>
      </c>
      <c r="D33" s="24">
        <f t="shared" ref="D33:D41" si="0">C33-(B33-B32)</f>
        <v>257923</v>
      </c>
      <c r="E33" s="31">
        <f>D33/B33</f>
        <v>6.6484424338501588E-2</v>
      </c>
    </row>
    <row r="34" spans="1:5" x14ac:dyDescent="0.45">
      <c r="A34" s="20">
        <v>1999</v>
      </c>
      <c r="B34" s="24">
        <v>4152433</v>
      </c>
      <c r="C34" s="27">
        <v>394000</v>
      </c>
      <c r="D34" s="24">
        <f t="shared" si="0"/>
        <v>121017</v>
      </c>
      <c r="E34" s="31">
        <f t="shared" ref="E34:E42" si="1">D34/B34</f>
        <v>2.9143636995467476E-2</v>
      </c>
    </row>
    <row r="35" spans="1:5" x14ac:dyDescent="0.45">
      <c r="A35" s="20">
        <v>2000</v>
      </c>
      <c r="B35" s="24">
        <v>4346068</v>
      </c>
      <c r="C35" s="27">
        <v>490000</v>
      </c>
      <c r="D35" s="24">
        <f t="shared" si="0"/>
        <v>296365</v>
      </c>
      <c r="E35" s="31">
        <f t="shared" si="1"/>
        <v>6.8191523924614153E-2</v>
      </c>
    </row>
    <row r="36" spans="1:5" x14ac:dyDescent="0.45">
      <c r="A36" s="20">
        <v>2001</v>
      </c>
      <c r="B36" s="24">
        <v>4903056</v>
      </c>
      <c r="C36" s="27">
        <v>577000</v>
      </c>
      <c r="D36" s="24">
        <f t="shared" si="0"/>
        <v>20012</v>
      </c>
      <c r="E36" s="31">
        <f t="shared" si="1"/>
        <v>4.0815360868813244E-3</v>
      </c>
    </row>
    <row r="37" spans="1:5" x14ac:dyDescent="0.45">
      <c r="A37" s="20">
        <v>2002</v>
      </c>
      <c r="B37" s="24">
        <v>5004156</v>
      </c>
      <c r="C37" s="27">
        <v>640000</v>
      </c>
      <c r="D37" s="24">
        <f t="shared" si="0"/>
        <v>538900</v>
      </c>
      <c r="E37" s="31">
        <f t="shared" si="1"/>
        <v>0.10769048766665149</v>
      </c>
    </row>
    <row r="38" spans="1:5" x14ac:dyDescent="0.45">
      <c r="A38" s="20">
        <v>2003</v>
      </c>
      <c r="B38" s="24">
        <v>5370035</v>
      </c>
      <c r="C38" s="27">
        <v>683000</v>
      </c>
      <c r="D38" s="24">
        <f t="shared" si="0"/>
        <v>317121</v>
      </c>
      <c r="E38" s="31">
        <f t="shared" si="1"/>
        <v>5.9053805049687755E-2</v>
      </c>
    </row>
    <row r="39" spans="1:5" x14ac:dyDescent="0.45">
      <c r="A39" s="20">
        <v>2004</v>
      </c>
      <c r="B39" s="24">
        <v>5780870</v>
      </c>
      <c r="C39" s="27">
        <v>750000</v>
      </c>
      <c r="D39" s="24">
        <f t="shared" si="0"/>
        <v>339165</v>
      </c>
      <c r="E39" s="31">
        <f t="shared" si="1"/>
        <v>5.8670234757052138E-2</v>
      </c>
    </row>
    <row r="40" spans="1:5" x14ac:dyDescent="0.45">
      <c r="A40" s="20">
        <v>2005</v>
      </c>
      <c r="B40" s="24">
        <v>6227146</v>
      </c>
      <c r="C40" s="27">
        <v>831000</v>
      </c>
      <c r="D40" s="24">
        <f t="shared" si="0"/>
        <v>384724</v>
      </c>
      <c r="E40" s="31">
        <f t="shared" si="1"/>
        <v>6.1781753631599455E-2</v>
      </c>
    </row>
    <row r="41" spans="1:5" x14ac:dyDescent="0.45">
      <c r="A41" s="20">
        <v>2006</v>
      </c>
      <c r="B41" s="24">
        <v>6678958</v>
      </c>
      <c r="C41" s="27">
        <v>892000</v>
      </c>
      <c r="D41" s="24">
        <f t="shared" si="0"/>
        <v>440188</v>
      </c>
      <c r="E41" s="31">
        <f t="shared" si="1"/>
        <v>6.5906687839630079E-2</v>
      </c>
    </row>
    <row r="42" spans="1:5" ht="14.65" thickBot="1" x14ac:dyDescent="0.5">
      <c r="A42" s="25">
        <v>2007</v>
      </c>
      <c r="B42" s="23">
        <v>7138476</v>
      </c>
      <c r="C42" s="22">
        <v>885000</v>
      </c>
      <c r="D42" s="24">
        <f>C42-(B42-B41)</f>
        <v>425482</v>
      </c>
      <c r="E42" s="31">
        <f t="shared" si="1"/>
        <v>5.9604038733197397E-2</v>
      </c>
    </row>
    <row r="43" spans="1:5" x14ac:dyDescent="0.45">
      <c r="A43"/>
      <c r="B43"/>
      <c r="C43"/>
      <c r="D43"/>
      <c r="E43"/>
    </row>
    <row r="44" spans="1:5" x14ac:dyDescent="0.45">
      <c r="A44" s="1" t="s">
        <v>43</v>
      </c>
      <c r="B44"/>
      <c r="C44"/>
      <c r="D44"/>
    </row>
    <row r="45" spans="1:5" x14ac:dyDescent="0.45">
      <c r="A45" s="28">
        <f>AVERAGE(E33:E42)</f>
        <v>5.8060812902328285E-2</v>
      </c>
      <c r="B45"/>
      <c r="C45"/>
      <c r="D45"/>
    </row>
    <row r="46" spans="1:5" ht="14.65" thickBot="1" x14ac:dyDescent="0.5">
      <c r="A46"/>
      <c r="B46"/>
      <c r="C46"/>
      <c r="D46"/>
    </row>
    <row r="47" spans="1:5" ht="28.5" x14ac:dyDescent="0.45">
      <c r="A47" s="36" t="s">
        <v>44</v>
      </c>
      <c r="B47"/>
      <c r="C47"/>
      <c r="D47"/>
    </row>
    <row r="48" spans="1:5" ht="14.65" thickBot="1" x14ac:dyDescent="0.5">
      <c r="A48" s="35">
        <f>1/A45</f>
        <v>17.22332068760786</v>
      </c>
      <c r="B48"/>
      <c r="C48"/>
      <c r="D48"/>
    </row>
  </sheetData>
  <pageMargins left="0.7" right="0.7" top="0.75" bottom="0.75" header="0.3" footer="0.3"/>
  <ignoredErrors>
    <ignoredError sqref="C3:D3" formulaRange="1"/>
  </ignoredError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C31426-123E-4577-A9C8-93E89562BFE4}">
  <dimension ref="A2:B21"/>
  <sheetViews>
    <sheetView workbookViewId="0">
      <selection activeCell="H11" sqref="H11"/>
    </sheetView>
  </sheetViews>
  <sheetFormatPr defaultRowHeight="14.25" x14ac:dyDescent="0.45"/>
  <cols>
    <col min="1" max="1" width="25.1328125" customWidth="1"/>
  </cols>
  <sheetData>
    <row r="2" spans="1:2" x14ac:dyDescent="0.45">
      <c r="A2" t="s">
        <v>136</v>
      </c>
      <c r="B2" s="76">
        <f>'AEO 2026 Table 44'!E62*1000</f>
        <v>493783.44700000004</v>
      </c>
    </row>
    <row r="3" spans="1:2" x14ac:dyDescent="0.45">
      <c r="A3" t="s">
        <v>137</v>
      </c>
      <c r="B3" s="76">
        <f>'AEO 2026 Table 45'!E51*1000</f>
        <v>14618137.695</v>
      </c>
    </row>
    <row r="4" spans="1:2" x14ac:dyDescent="0.45">
      <c r="A4" t="s">
        <v>135</v>
      </c>
      <c r="B4" s="37">
        <f>1/(B2/B3)</f>
        <v>29.604349404203496</v>
      </c>
    </row>
    <row r="5" spans="1:2" x14ac:dyDescent="0.45">
      <c r="B5" s="37"/>
    </row>
    <row r="6" spans="1:2" x14ac:dyDescent="0.45">
      <c r="B6" s="37"/>
    </row>
    <row r="7" spans="1:2" x14ac:dyDescent="0.45">
      <c r="A7" t="s">
        <v>138</v>
      </c>
      <c r="B7" s="76">
        <f>SUM('AEO 2026 Table 49'!E255,'AEO 2026 Table 49'!E269)*1000</f>
        <v>468456.32999999996</v>
      </c>
    </row>
    <row r="8" spans="1:2" x14ac:dyDescent="0.45">
      <c r="A8" t="s">
        <v>139</v>
      </c>
      <c r="B8" s="76">
        <f>SUM('AEO 2026 Table 49'!E166,'AEO 2026 Table 49'!E180)*10^6</f>
        <v>9777321</v>
      </c>
    </row>
    <row r="9" spans="1:2" x14ac:dyDescent="0.45">
      <c r="A9" t="s">
        <v>135</v>
      </c>
      <c r="B9" s="37">
        <f>1/(B7/B8)</f>
        <v>20.871360623945463</v>
      </c>
    </row>
    <row r="10" spans="1:2" x14ac:dyDescent="0.45">
      <c r="B10" s="37"/>
    </row>
    <row r="11" spans="1:2" x14ac:dyDescent="0.45">
      <c r="A11" t="s">
        <v>140</v>
      </c>
      <c r="B11" s="76">
        <f>'AEO 2026 Table 49'!E283*1000</f>
        <v>287910.30900000001</v>
      </c>
    </row>
    <row r="12" spans="1:2" x14ac:dyDescent="0.45">
      <c r="A12" t="s">
        <v>141</v>
      </c>
      <c r="B12" s="76">
        <f>'AEO 2026 Table 49'!E194*10^6</f>
        <v>5720675</v>
      </c>
    </row>
    <row r="13" spans="1:2" x14ac:dyDescent="0.45">
      <c r="A13" t="s">
        <v>135</v>
      </c>
      <c r="B13" s="37">
        <f>1/(B11/B12)</f>
        <v>19.869642806017062</v>
      </c>
    </row>
    <row r="15" spans="1:2" x14ac:dyDescent="0.45">
      <c r="A15" t="s">
        <v>142</v>
      </c>
      <c r="B15">
        <v>6000</v>
      </c>
    </row>
    <row r="16" spans="1:2" x14ac:dyDescent="0.45">
      <c r="A16" t="s">
        <v>143</v>
      </c>
      <c r="B16">
        <v>73000</v>
      </c>
    </row>
    <row r="17" spans="1:2" x14ac:dyDescent="0.45">
      <c r="A17" t="s">
        <v>144</v>
      </c>
      <c r="B17">
        <f>1/(B15/B16)</f>
        <v>12.166666666666668</v>
      </c>
    </row>
    <row r="19" spans="1:2" x14ac:dyDescent="0.45">
      <c r="A19" t="s">
        <v>145</v>
      </c>
      <c r="B19">
        <v>14</v>
      </c>
    </row>
    <row r="20" spans="1:2" x14ac:dyDescent="0.45">
      <c r="A20" t="s">
        <v>146</v>
      </c>
      <c r="B20">
        <v>237</v>
      </c>
    </row>
    <row r="21" spans="1:2" x14ac:dyDescent="0.45">
      <c r="A21" t="s">
        <v>144</v>
      </c>
      <c r="B21">
        <f>1/(B19/B20)</f>
        <v>16.928571428571427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3"/>
  </sheetPr>
  <dimension ref="A1:C7"/>
  <sheetViews>
    <sheetView tabSelected="1" workbookViewId="0">
      <selection activeCell="C7" sqref="C7"/>
    </sheetView>
  </sheetViews>
  <sheetFormatPr defaultRowHeight="14.25" x14ac:dyDescent="0.45"/>
  <cols>
    <col min="1" max="1" width="14.59765625" customWidth="1"/>
    <col min="2" max="2" width="19" customWidth="1"/>
    <col min="3" max="3" width="15.59765625" customWidth="1"/>
  </cols>
  <sheetData>
    <row r="1" spans="1:3" ht="28.5" x14ac:dyDescent="0.45">
      <c r="A1" s="69" t="s">
        <v>94</v>
      </c>
      <c r="B1" s="3" t="s">
        <v>88</v>
      </c>
      <c r="C1" s="3" t="s">
        <v>89</v>
      </c>
    </row>
    <row r="2" spans="1:3" x14ac:dyDescent="0.45">
      <c r="A2" t="s">
        <v>48</v>
      </c>
      <c r="B2" s="70">
        <v>17</v>
      </c>
      <c r="C2" s="70">
        <v>15</v>
      </c>
    </row>
    <row r="3" spans="1:3" x14ac:dyDescent="0.45">
      <c r="A3" t="s">
        <v>51</v>
      </c>
      <c r="B3" s="74">
        <f>ROUND('Freight and Buses'!B17,0)</f>
        <v>12</v>
      </c>
      <c r="C3" s="74">
        <f>ROUND('Freight and Buses'!B13,0)</f>
        <v>20</v>
      </c>
    </row>
    <row r="4" spans="1:3" x14ac:dyDescent="0.45">
      <c r="A4" t="s">
        <v>52</v>
      </c>
      <c r="B4" s="37">
        <f>ROUND(Calculations!A16,0)</f>
        <v>24</v>
      </c>
      <c r="C4" s="37">
        <f>B4</f>
        <v>24</v>
      </c>
    </row>
    <row r="5" spans="1:3" x14ac:dyDescent="0.45">
      <c r="A5" t="s">
        <v>17</v>
      </c>
      <c r="B5">
        <f>ROUND(Calculations!C22,0)</f>
        <v>34</v>
      </c>
      <c r="C5">
        <f>B5</f>
        <v>34</v>
      </c>
    </row>
    <row r="6" spans="1:3" x14ac:dyDescent="0.45">
      <c r="A6" t="s">
        <v>9</v>
      </c>
      <c r="B6">
        <f>ROUND(Calculations!C28,0)</f>
        <v>33</v>
      </c>
      <c r="C6">
        <f>B6</f>
        <v>33</v>
      </c>
    </row>
    <row r="7" spans="1:3" x14ac:dyDescent="0.45">
      <c r="A7" t="s">
        <v>54</v>
      </c>
      <c r="B7">
        <f>ROUND(Calculations!A48,0)</f>
        <v>17</v>
      </c>
      <c r="C7">
        <f>B7</f>
        <v>17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About</vt:lpstr>
      <vt:lpstr>source data&gt;</vt:lpstr>
      <vt:lpstr>NTS 1-20</vt:lpstr>
      <vt:lpstr>AEO 2026 Table 45</vt:lpstr>
      <vt:lpstr>AEO 2026 Table 44</vt:lpstr>
      <vt:lpstr>AEO 2026 Table 49</vt:lpstr>
      <vt:lpstr>calcs&gt;</vt:lpstr>
      <vt:lpstr>Calculations</vt:lpstr>
      <vt:lpstr>Freight and Buses</vt:lpstr>
      <vt:lpstr>AVL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2014-03-17T23:54:25Z</dcterms:created>
  <dcterms:modified xsi:type="dcterms:W3CDTF">2026-04-29T22:32:14Z</dcterms:modified>
</cp:coreProperties>
</file>