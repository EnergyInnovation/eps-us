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trans\AVLRaPTC\"/>
    </mc:Choice>
  </mc:AlternateContent>
  <xr:revisionPtr revIDLastSave="0" documentId="13_ncr:1_{A5E6BD79-B169-4D88-B996-8934398C56E5}" xr6:coauthVersionLast="47" xr6:coauthVersionMax="47" xr10:uidLastSave="{00000000-0000-0000-0000-000000000000}"/>
  <bookViews>
    <workbookView xWindow="-28485" yWindow="390" windowWidth="21600" windowHeight="12525" xr2:uid="{AF599D04-C13D-45D7-BEF0-770B4B16FC27}"/>
  </bookViews>
  <sheets>
    <sheet name="About" sheetId="1" r:id="rId1"/>
    <sheet name="EV Fees" sheetId="6" r:id="rId2"/>
    <sheet name="VSbS-passenger" sheetId="7" r:id="rId3"/>
    <sheet name="AVLRaPTC-psgr" sheetId="2" r:id="rId4"/>
    <sheet name="AVLRaPTC-frgt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9" l="1"/>
  <c r="B2" i="9"/>
  <c r="B6" i="2"/>
  <c r="B2" i="2"/>
  <c r="G2" i="2" s="1"/>
  <c r="D53" i="6"/>
  <c r="C53" i="6"/>
  <c r="C28" i="6"/>
  <c r="E52" i="6" a="1"/>
  <c r="E52" i="6" s="1"/>
  <c r="E51" i="6" a="1"/>
  <c r="E51" i="6" s="1"/>
  <c r="E50" i="6" a="1"/>
  <c r="E50" i="6" s="1"/>
  <c r="E49" i="6" a="1"/>
  <c r="E49" i="6" s="1"/>
  <c r="E48" i="6" a="1"/>
  <c r="E48" i="6" s="1"/>
  <c r="E47" i="6" a="1"/>
  <c r="E47" i="6" s="1"/>
  <c r="E46" i="6" a="1"/>
  <c r="E46" i="6" s="1"/>
  <c r="E45" i="6" a="1"/>
  <c r="E45" i="6" s="1"/>
  <c r="E44" i="6" a="1"/>
  <c r="E44" i="6" s="1"/>
  <c r="E43" i="6" a="1"/>
  <c r="E43" i="6" s="1"/>
  <c r="E42" i="6" a="1"/>
  <c r="E42" i="6" s="1"/>
  <c r="E41" i="6" a="1"/>
  <c r="E41" i="6" s="1"/>
  <c r="E40" i="6" a="1"/>
  <c r="E40" i="6" s="1"/>
  <c r="E39" i="6" a="1"/>
  <c r="E39" i="6" s="1"/>
  <c r="E38" i="6" a="1"/>
  <c r="E38" i="6" s="1"/>
  <c r="E37" i="6" a="1"/>
  <c r="E37" i="6" s="1"/>
  <c r="E36" i="6" a="1"/>
  <c r="E36" i="6" s="1"/>
  <c r="E35" i="6" a="1"/>
  <c r="E35" i="6" s="1"/>
  <c r="E34" i="6" a="1"/>
  <c r="E34" i="6" s="1"/>
  <c r="E33" i="6" a="1"/>
  <c r="E33" i="6" s="1"/>
  <c r="E32" i="6" a="1"/>
  <c r="E32" i="6" s="1"/>
  <c r="E31" i="6" a="1"/>
  <c r="E31" i="6" s="1"/>
  <c r="E30" i="6" a="1"/>
  <c r="E30" i="6" s="1"/>
  <c r="E29" i="6" a="1"/>
  <c r="E29" i="6" s="1"/>
  <c r="E28" i="6" a="1"/>
  <c r="E28" i="6" s="1"/>
  <c r="E27" i="6" a="1"/>
  <c r="E27" i="6" s="1"/>
  <c r="E26" i="6" a="1"/>
  <c r="E26" i="6" s="1"/>
  <c r="E25" i="6" a="1"/>
  <c r="E25" i="6" s="1"/>
  <c r="E24" i="6" a="1"/>
  <c r="E24" i="6" s="1"/>
  <c r="E23" i="6" a="1"/>
  <c r="E23" i="6" s="1"/>
  <c r="E22" i="6" a="1"/>
  <c r="E22" i="6" s="1"/>
  <c r="E21" i="6" a="1"/>
  <c r="E21" i="6" s="1"/>
  <c r="E20" i="6" a="1"/>
  <c r="E20" i="6" s="1"/>
  <c r="E19" i="6" a="1"/>
  <c r="E19" i="6" s="1"/>
  <c r="E18" i="6" a="1"/>
  <c r="E18" i="6" s="1"/>
  <c r="E17" i="6" a="1"/>
  <c r="E17" i="6" s="1"/>
  <c r="E16" i="6" a="1"/>
  <c r="E16" i="6" s="1"/>
  <c r="E15" i="6" a="1"/>
  <c r="E15" i="6" s="1"/>
  <c r="E14" i="6" a="1"/>
  <c r="E14" i="6" s="1"/>
  <c r="E13" i="6" a="1"/>
  <c r="E13" i="6" s="1"/>
  <c r="E12" i="6" a="1"/>
  <c r="E12" i="6" s="1"/>
  <c r="E11" i="6" a="1"/>
  <c r="E11" i="6" s="1"/>
  <c r="E10" i="6" a="1"/>
  <c r="E10" i="6" s="1"/>
  <c r="E9" i="6" a="1"/>
  <c r="E9" i="6" s="1"/>
  <c r="E8" i="6" a="1"/>
  <c r="E8" i="6" s="1"/>
  <c r="E7" i="6" a="1"/>
  <c r="E7" i="6" s="1"/>
  <c r="E6" i="6" a="1"/>
  <c r="E6" i="6" s="1"/>
  <c r="E5" i="6" a="1"/>
  <c r="E5" i="6" s="1"/>
  <c r="E4" i="6" a="1"/>
  <c r="E4" i="6" s="1"/>
  <c r="E3" i="6" a="1"/>
  <c r="E3" i="6" s="1"/>
  <c r="B8" i="9"/>
  <c r="B7" i="9"/>
  <c r="B6" i="9"/>
  <c r="B4" i="9"/>
  <c r="C4" i="9" s="1"/>
  <c r="B3" i="9"/>
  <c r="B8" i="2"/>
  <c r="G8" i="2" s="1"/>
  <c r="B7" i="2"/>
  <c r="G7" i="2" s="1"/>
  <c r="G6" i="2"/>
  <c r="B5" i="2"/>
  <c r="G5" i="2" s="1"/>
  <c r="B4" i="2"/>
  <c r="G4" i="2" s="1"/>
  <c r="B3" i="2"/>
  <c r="G3" i="2" s="1"/>
  <c r="C2" i="2"/>
  <c r="C2" i="9" l="1"/>
  <c r="C7" i="9"/>
  <c r="C8" i="9"/>
  <c r="C3" i="9"/>
  <c r="C5" i="9"/>
  <c r="C6" i="9"/>
  <c r="C3" i="2"/>
  <c r="C4" i="2"/>
  <c r="C5" i="2"/>
  <c r="C6" i="2"/>
  <c r="C7" i="2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<sst xmlns="http://schemas.openxmlformats.org/spreadsheetml/2006/main" count="207" uniqueCount="157">
  <si>
    <t>Sources:</t>
  </si>
  <si>
    <t>Data</t>
  </si>
  <si>
    <t>American Automobile Association</t>
  </si>
  <si>
    <t>https://www.aaa.com/autorepair/articles/average-annual-cost-of-new-vehicle-ownership</t>
  </si>
  <si>
    <t>Average Annual Cost of New Car Ownership Increases 5% to $9,282</t>
  </si>
  <si>
    <t>Explanation and Examples of U.S. State Vehicle Property Taxes</t>
  </si>
  <si>
    <t>Hendrickson, V. L.</t>
  </si>
  <si>
    <t>Which U.S. States Charge Property Taxes for Cars?</t>
  </si>
  <si>
    <t>https://www.mansionglobal.com/articles/which-u-s-states-charge-property-taxes-for-cars-220298</t>
  </si>
  <si>
    <t>Notes</t>
  </si>
  <si>
    <t>The AAA document cited above lists the average U.S.-wide annual cost of licensing, registration, and taxes as:</t>
  </si>
  <si>
    <t>2019 USD/year</t>
  </si>
  <si>
    <t>This might seem high if one is familiar with annual license plate and car registration fees in some states,</t>
  </si>
  <si>
    <t>but it is likely reasonable when property tax is factored in.  Property tax on vehicles varies greatly by state,</t>
  </si>
  <si>
    <t>with 23 states not charging it at all, versus the highest state charging an average of $1,011/year</t>
  </si>
  <si>
    <t>(according to Hendrickson, cited above).  The AAA number appears to be a reasonable average accounting for</t>
  </si>
  <si>
    <t>high property taxes in some states and vehicle registration and license fees in essentially all states.</t>
  </si>
  <si>
    <t>The AAA number does not include sales tax on the car's initial purchase, which also varies by state, but</t>
  </si>
  <si>
    <t>generally is much higher than $753 (since the U.S. average sales tax is over 7%).</t>
  </si>
  <si>
    <t>Currency Conversion</t>
  </si>
  <si>
    <t>2019 to 2021 USD</t>
  </si>
  <si>
    <t>2012 USD/year</t>
  </si>
  <si>
    <t>LDVs</t>
  </si>
  <si>
    <t>HDVs</t>
  </si>
  <si>
    <t>aircraft</t>
  </si>
  <si>
    <t>rail</t>
  </si>
  <si>
    <t>ships</t>
  </si>
  <si>
    <t>motorbikes</t>
  </si>
  <si>
    <t>We don't have data for vehicle types other than passenger LDVs, so we use the following assumptions:</t>
  </si>
  <si>
    <t>Value</t>
  </si>
  <si>
    <t>Registration fee and property tax multiplier for:</t>
  </si>
  <si>
    <t>freight LDVs</t>
  </si>
  <si>
    <t>AVLRaPTC Annual Vehicle Licensing Registration and Property Tax Costs</t>
  </si>
  <si>
    <t>Electric Vehicles: EV Taxes by State, 2025 | Tax Foundation</t>
  </si>
  <si>
    <t>State</t>
  </si>
  <si>
    <t>EV Purchase Tax Credit</t>
  </si>
  <si>
    <t>EV Annual Registration Fee</t>
  </si>
  <si>
    <t>Hybrid Annual Registration Fee</t>
  </si>
  <si>
    <t>Alabama</t>
  </si>
  <si>
    <t>Alaska</t>
  </si>
  <si>
    <t>Arizona</t>
  </si>
  <si>
    <t>Arkansas</t>
  </si>
  <si>
    <t>California</t>
  </si>
  <si>
    <t>0 (b)</t>
  </si>
  <si>
    <t>Colorado</t>
  </si>
  <si>
    <t>Connecticut</t>
  </si>
  <si>
    <t>750-5,000</t>
  </si>
  <si>
    <t>Delaware</t>
  </si>
  <si>
    <t>1,000-2,500 (c)</t>
  </si>
  <si>
    <t>Florida</t>
  </si>
  <si>
    <t>0 (d)</t>
  </si>
  <si>
    <t>Georgia</t>
  </si>
  <si>
    <t>Hawaii</t>
  </si>
  <si>
    <t>Idaho</t>
  </si>
  <si>
    <t>Illinois</t>
  </si>
  <si>
    <t>4,000 (e)</t>
  </si>
  <si>
    <t>Indiana</t>
  </si>
  <si>
    <t>Iowa</t>
  </si>
  <si>
    <t>Kansas</t>
  </si>
  <si>
    <t>Up to 4000</t>
  </si>
  <si>
    <t>Kentucky</t>
  </si>
  <si>
    <t>Louisiana</t>
  </si>
  <si>
    <t>Maine</t>
  </si>
  <si>
    <t>Up to 7,500 (f)</t>
  </si>
  <si>
    <t>Maryland</t>
  </si>
  <si>
    <t>3,000 (g)</t>
  </si>
  <si>
    <t>Massachusetts</t>
  </si>
  <si>
    <t>Up to 3,500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</si>
  <si>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</si>
  <si>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</si>
  <si>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</si>
  <si>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</si>
  <si>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</si>
  <si>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</si>
  <si>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</si>
  <si>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</si>
  <si>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</si>
  <si>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Up to 4,000 (b)(h)</t>
  </si>
  <si>
    <t>New Mexico</t>
  </si>
  <si>
    <t>Up to 3000</t>
  </si>
  <si>
    <t>New York</t>
  </si>
  <si>
    <t>Up to 2,000</t>
  </si>
  <si>
    <t>North Carolina</t>
  </si>
  <si>
    <t>North Dakota</t>
  </si>
  <si>
    <t>Ohio</t>
  </si>
  <si>
    <t>Oklahoma</t>
  </si>
  <si>
    <t>Up to 5,500</t>
  </si>
  <si>
    <t>Oregon</t>
  </si>
  <si>
    <t>Up to 7,500 (f) (h)</t>
  </si>
  <si>
    <t>Pennsylvania</t>
  </si>
  <si>
    <t>Up to 3,000 (f) (k)</t>
  </si>
  <si>
    <t>Rhode Island</t>
  </si>
  <si>
    <t>Up to 1,500</t>
  </si>
  <si>
    <t>South Carolina</t>
  </si>
  <si>
    <t>South Dakota</t>
  </si>
  <si>
    <t>Tennessee</t>
  </si>
  <si>
    <t>Texas</t>
  </si>
  <si>
    <t>Utah</t>
  </si>
  <si>
    <t>Vermont</t>
  </si>
  <si>
    <t>Up to 5,000 (c)</t>
  </si>
  <si>
    <t>Virginia</t>
  </si>
  <si>
    <t>Washington</t>
  </si>
  <si>
    <t>0 (e)</t>
  </si>
  <si>
    <t>West Virginia</t>
  </si>
  <si>
    <t>Wisconsin</t>
  </si>
  <si>
    <t>Wyoming</t>
  </si>
  <si>
    <t>EV Taxes by State, 2025</t>
  </si>
  <si>
    <t>Tax Foundation</t>
  </si>
  <si>
    <t>Electric Vehicle Taxes by State, 2025</t>
  </si>
  <si>
    <t>https://taxfoundation.org/data/all/state/electric-vehicle-ev-taxes/</t>
  </si>
  <si>
    <t>Unit: dimensionless (share of vehicles)</t>
  </si>
  <si>
    <t xml:space="preserve">Alaska </t>
  </si>
  <si>
    <t xml:space="preserve">California </t>
  </si>
  <si>
    <t xml:space="preserve">Colorado </t>
  </si>
  <si>
    <t xml:space="preserve">Delaware </t>
  </si>
  <si>
    <t>District of Columbia</t>
  </si>
  <si>
    <t xml:space="preserve">Florida </t>
  </si>
  <si>
    <t xml:space="preserve">Georgia </t>
  </si>
  <si>
    <t xml:space="preserve">Illinois </t>
  </si>
  <si>
    <t xml:space="preserve">Indiana </t>
  </si>
  <si>
    <t xml:space="preserve">Iowa </t>
  </si>
  <si>
    <t xml:space="preserve">Maine </t>
  </si>
  <si>
    <t xml:space="preserve">Minnesota </t>
  </si>
  <si>
    <t xml:space="preserve">Mississippi </t>
  </si>
  <si>
    <t xml:space="preserve">Montana </t>
  </si>
  <si>
    <t xml:space="preserve">Nevada </t>
  </si>
  <si>
    <t xml:space="preserve">New Jersey </t>
  </si>
  <si>
    <t xml:space="preserve">New York </t>
  </si>
  <si>
    <t xml:space="preserve">Oklahoma  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</si>
  <si>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</si>
  <si>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</si>
  <si>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</si>
  <si>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</si>
  <si>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</si>
  <si>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 xml:space="preserve">Washington 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</si>
  <si>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</si>
  <si>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</si>
  <si>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</si>
  <si>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</si>
  <si>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</si>
  <si>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</si>
  <si>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</si>
  <si>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</si>
  <si>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</si>
  <si>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</si>
  <si>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</si>
  <si>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</si>
  <si>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</si>
  <si>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</si>
  <si>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</si>
  <si>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</si>
  <si>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</si>
  <si>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</si>
  <si>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Sales Share</t>
  </si>
  <si>
    <t>psgr-LDV</t>
  </si>
  <si>
    <t>Some states have higher EV registration fees to make up from lost revenue from gas taxes that don't affect</t>
  </si>
  <si>
    <t xml:space="preserve">BEVs and make less off PHEVs. We add an incremental EV registration fee weighted by U.S. state.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</si>
</sst>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6" fontId="0" fillId="3" borderId="0" xfId="0" applyNumberFormat="1" applyFill="1"/>
    <xf numFmtId="0" fontId="1" fillId="0" borderId="0" xfId="0" applyFont="1" applyAlignment="1">
      <alignment wrapText="1"/>
    </xf>
    <xf numFmtId="1" fontId="0" fillId="0" borderId="0" xfId="0" applyNumberFormat="1"/>
    <xf numFmtId="0" fontId="0" fillId="4" borderId="0" xfId="0" applyFill="1"/>
    <xf numFmtId="0" fontId="3" fillId="0" borderId="0" xfId="2" applyAlignment="1">
      <alignment horizontal="center"/>
    </xf>
    <xf numFmtId="0" fontId="3" fillId="0" borderId="0" xfId="2"/>
    <xf numFmtId="0" fontId="3" fillId="0" borderId="0" xfId="2"/>
    <xf numFmtId="0" fontId="4" fillId="0" borderId="0" xfId="2" applyFont="1"/>
    <xf numFmtId="1" fontId="3" fillId="0" borderId="0" xfId="2" applyNumberFormat="1"/>
    <xf numFmtId="2" fontId="3" fillId="0" borderId="0" xfId="2" applyNumberFormat="1"/>
    <xf numFmtId="3" fontId="3" fillId="0" borderId="0" xfId="2" applyNumberFormat="1"/>
    <xf numFmtId="0" fontId="5" fillId="0" borderId="0" xfId="2" applyFont="1"/>
    <xf numFmtId="2" fontId="0" fillId="0" borderId="0" xfId="0" applyNumberFormat="1"/>
  </cellXfs>
  <cellStyles count="3">
    <cellStyle name="Hyperlink" xfId="1" builtinId="8"/>
    <cellStyle name="Normal" xfId="0" builtinId="0"/>
    <cellStyle name="Normal 2" xfId="2" xr:uid="{B6C0E403-779D-4556-BCCA-F20487B26F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ansionglobal.com/articles/which-u-s-states-charge-property-taxes-for-cars-220298" TargetMode="External"/><Relationship Id="rId1" Type="http://schemas.openxmlformats.org/officeDocument/2006/relationships/hyperlink" Target="https://www.aaa.com/autorepair/articles/average-annual-cost-of-new-vehicle-ownersh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CD7F-A224-4C3A-9A5E-D38F07B136AE}">
  <dimension ref="A1:B45"/>
  <sheetViews>
    <sheetView tabSelected="1" workbookViewId="0">
      <selection activeCell="B47" sqref="B47"/>
    </sheetView>
  </sheetViews>
  <sheetFormatPr defaultRowHeight="15" x14ac:dyDescent="0.25"/>
  <cols>
    <col min="2" max="2" width="61.42578125" customWidth="1"/>
  </cols>
  <sheetData>
    <row r="1" spans="1:2" x14ac:dyDescent="0.25">
      <c r="A1" s="1" t="s">
        <v>32</v>
      </c>
    </row>
    <row r="3" spans="1:2" x14ac:dyDescent="0.25">
      <c r="A3" s="1" t="s">
        <v>0</v>
      </c>
      <c r="B3" s="2" t="s">
        <v>1</v>
      </c>
    </row>
    <row r="4" spans="1:2" x14ac:dyDescent="0.25">
      <c r="B4" t="s">
        <v>2</v>
      </c>
    </row>
    <row r="5" spans="1:2" x14ac:dyDescent="0.25">
      <c r="B5" s="3">
        <v>2019</v>
      </c>
    </row>
    <row r="6" spans="1:2" x14ac:dyDescent="0.25">
      <c r="B6" t="s">
        <v>4</v>
      </c>
    </row>
    <row r="7" spans="1:2" x14ac:dyDescent="0.25">
      <c r="B7" s="4" t="s">
        <v>3</v>
      </c>
    </row>
    <row r="9" spans="1:2" x14ac:dyDescent="0.25">
      <c r="B9" s="2" t="s">
        <v>5</v>
      </c>
    </row>
    <row r="10" spans="1:2" x14ac:dyDescent="0.25">
      <c r="B10" t="s">
        <v>6</v>
      </c>
    </row>
    <row r="11" spans="1:2" x14ac:dyDescent="0.25">
      <c r="B11" s="3">
        <v>2020</v>
      </c>
    </row>
    <row r="12" spans="1:2" x14ac:dyDescent="0.25">
      <c r="B12" t="s">
        <v>7</v>
      </c>
    </row>
    <row r="13" spans="1:2" x14ac:dyDescent="0.25">
      <c r="B13" s="4" t="s">
        <v>8</v>
      </c>
    </row>
    <row r="15" spans="1:2" x14ac:dyDescent="0.25">
      <c r="B15" s="2" t="s">
        <v>106</v>
      </c>
    </row>
    <row r="16" spans="1:2" x14ac:dyDescent="0.25">
      <c r="B16" t="s">
        <v>107</v>
      </c>
    </row>
    <row r="17" spans="1:2" x14ac:dyDescent="0.25">
      <c r="B17" s="3">
        <v>2025</v>
      </c>
    </row>
    <row r="18" spans="1:2" x14ac:dyDescent="0.25">
      <c r="B18" t="s">
        <v>108</v>
      </c>
    </row>
    <row r="19" spans="1:2" x14ac:dyDescent="0.25">
      <c r="B19" s="4" t="s">
        <v>109</v>
      </c>
    </row>
    <row r="21" spans="1:2" x14ac:dyDescent="0.25">
      <c r="A21" s="1" t="s">
        <v>9</v>
      </c>
    </row>
    <row r="22" spans="1:2" x14ac:dyDescent="0.25">
      <c r="A22" t="s">
        <v>10</v>
      </c>
    </row>
    <row r="23" spans="1:2" x14ac:dyDescent="0.25">
      <c r="A23" s="5">
        <v>753</v>
      </c>
      <c r="B23" t="s">
        <v>11</v>
      </c>
    </row>
    <row r="25" spans="1:2" x14ac:dyDescent="0.25">
      <c r="A25" t="s">
        <v>12</v>
      </c>
    </row>
    <row r="26" spans="1:2" x14ac:dyDescent="0.25">
      <c r="A26" t="s">
        <v>13</v>
      </c>
    </row>
    <row r="27" spans="1:2" x14ac:dyDescent="0.25">
      <c r="A27" t="s">
        <v>14</v>
      </c>
    </row>
    <row r="28" spans="1:2" x14ac:dyDescent="0.25">
      <c r="A28" t="s">
        <v>15</v>
      </c>
    </row>
    <row r="29" spans="1:2" x14ac:dyDescent="0.25">
      <c r="A29" t="s">
        <v>16</v>
      </c>
    </row>
    <row r="31" spans="1:2" x14ac:dyDescent="0.25">
      <c r="A31" t="s">
        <v>17</v>
      </c>
    </row>
    <row r="32" spans="1:2" x14ac:dyDescent="0.25">
      <c r="A32" t="s">
        <v>18</v>
      </c>
    </row>
    <row r="34" spans="1:2" x14ac:dyDescent="0.25">
      <c r="A34" t="s">
        <v>28</v>
      </c>
    </row>
    <row r="35" spans="1:2" x14ac:dyDescent="0.25">
      <c r="A35" s="1" t="s">
        <v>29</v>
      </c>
      <c r="B35" s="1" t="s">
        <v>30</v>
      </c>
    </row>
    <row r="36" spans="1:2" x14ac:dyDescent="0.25">
      <c r="A36" s="8">
        <v>0.5</v>
      </c>
      <c r="B36" t="s">
        <v>27</v>
      </c>
    </row>
    <row r="37" spans="1:2" x14ac:dyDescent="0.25">
      <c r="A37" s="8">
        <v>2</v>
      </c>
      <c r="B37" t="s">
        <v>23</v>
      </c>
    </row>
    <row r="38" spans="1:2" x14ac:dyDescent="0.25">
      <c r="A38" s="8">
        <v>1</v>
      </c>
      <c r="B38" t="s">
        <v>31</v>
      </c>
    </row>
    <row r="40" spans="1:2" x14ac:dyDescent="0.25">
      <c r="A40" t="s">
        <v>155</v>
      </c>
    </row>
    <row r="41" spans="1:2" x14ac:dyDescent="0.25">
      <c r="A41" t="s">
        <v>156</v>
      </c>
    </row>
    <row r="43" spans="1:2" x14ac:dyDescent="0.25">
      <c r="A43" s="1" t="s">
        <v>19</v>
      </c>
    </row>
    <row r="45" spans="1:2" x14ac:dyDescent="0.25">
      <c r="A45">
        <v>0.89800000000000002</v>
      </c>
      <c r="B45" t="s">
        <v>20</v>
      </c>
    </row>
  </sheetData>
  <hyperlinks>
    <hyperlink ref="B7" r:id="rId1" xr:uid="{40391687-33E8-4157-BFF1-4B9C3152973E}"/>
    <hyperlink ref="B13" r:id="rId2" xr:uid="{ACA01131-F87A-4018-B151-91F58C3F866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8B96-D6A9-4327-9F51-87B18DC27DF1}">
  <dimension ref="A1:E53"/>
  <sheetViews>
    <sheetView workbookViewId="0">
      <selection activeCell="C60" sqref="C60"/>
    </sheetView>
  </sheetViews>
  <sheetFormatPr defaultRowHeight="15" x14ac:dyDescent="0.25"/>
  <cols>
    <col min="1" max="1" width="18.85546875" style="11" customWidth="1"/>
    <col min="2" max="2" width="29.7109375" style="11" customWidth="1"/>
    <col min="3" max="3" width="35.140625" style="11" customWidth="1"/>
    <col min="4" max="4" width="40.42578125" style="11" customWidth="1"/>
    <col min="5" max="16384" width="9.140625" style="11"/>
  </cols>
  <sheetData>
    <row r="1" spans="1:5" x14ac:dyDescent="0.25">
      <c r="A1" s="9" t="s">
        <v>33</v>
      </c>
      <c r="B1" s="10"/>
      <c r="C1" s="10"/>
      <c r="D1" s="10"/>
      <c r="E1" s="16" t="s">
        <v>153</v>
      </c>
    </row>
    <row r="2" spans="1:5" x14ac:dyDescent="0.25">
      <c r="A2" s="12" t="s">
        <v>34</v>
      </c>
      <c r="B2" s="12" t="s">
        <v>35</v>
      </c>
      <c r="C2" s="12" t="s">
        <v>36</v>
      </c>
      <c r="D2" s="12" t="s">
        <v>37</v>
      </c>
      <c r="E2" s="16" t="s">
        <v>154</v>
      </c>
    </row>
    <row r="3" spans="1:5" x14ac:dyDescent="0.25">
      <c r="A3" s="11" t="s">
        <v>38</v>
      </c>
      <c r="B3" s="13">
        <v>0</v>
      </c>
      <c r="C3" s="13">
        <v>203</v>
      </c>
      <c r="D3" s="13">
        <v>103</v>
      </c>
      <c r="E3" s="11" cm="1">
        <f t="array" ref="E3">INDEX('VSbS-passenger'!B$2:B$52,MATCH(TRIM('EV Fees'!$A3),TRIM('VSbS-passenger'!$A$2:$A$52),0))</f>
        <v>1.9359587000000001E-2</v>
      </c>
    </row>
    <row r="4" spans="1:5" x14ac:dyDescent="0.25">
      <c r="A4" s="11" t="s">
        <v>39</v>
      </c>
      <c r="B4" s="13">
        <v>0</v>
      </c>
      <c r="C4" s="13">
        <v>0</v>
      </c>
      <c r="D4" s="13">
        <v>0</v>
      </c>
      <c r="E4" s="11" cm="1">
        <f t="array" ref="E4">INDEX('VSbS-passenger'!B$2:B$52,MATCH(TRIM('EV Fees'!$A4),TRIM('VSbS-passenger'!$A$2:$A$52),0))</f>
        <v>1.6278449999999999E-3</v>
      </c>
    </row>
    <row r="5" spans="1:5" x14ac:dyDescent="0.25">
      <c r="A5" s="11" t="s">
        <v>40</v>
      </c>
      <c r="B5" s="13">
        <v>0</v>
      </c>
      <c r="C5" s="13">
        <v>0</v>
      </c>
      <c r="D5" s="13">
        <v>0</v>
      </c>
      <c r="E5" s="11" cm="1">
        <f t="array" ref="E5">INDEX('VSbS-passenger'!B$2:B$52,MATCH(TRIM('EV Fees'!$A5),TRIM('VSbS-passenger'!$A$2:$A$52),0))</f>
        <v>2.2923013999999999E-2</v>
      </c>
    </row>
    <row r="6" spans="1:5" x14ac:dyDescent="0.25">
      <c r="A6" s="11" t="s">
        <v>41</v>
      </c>
      <c r="B6" s="13">
        <v>0</v>
      </c>
      <c r="C6" s="13">
        <v>200</v>
      </c>
      <c r="D6" s="11">
        <v>100</v>
      </c>
      <c r="E6" s="11" cm="1">
        <f t="array" ref="E6">INDEX('VSbS-passenger'!B$2:B$52,MATCH(TRIM('EV Fees'!$A6),TRIM('VSbS-passenger'!$A$2:$A$52),0))</f>
        <v>8.2982309999999997E-3</v>
      </c>
    </row>
    <row r="7" spans="1:5" x14ac:dyDescent="0.25">
      <c r="A7" s="11" t="s">
        <v>42</v>
      </c>
      <c r="B7" s="11" t="s">
        <v>43</v>
      </c>
      <c r="C7" s="13">
        <v>118</v>
      </c>
      <c r="D7" s="13">
        <v>0</v>
      </c>
      <c r="E7" s="11" cm="1">
        <f t="array" ref="E7">INDEX('VSbS-passenger'!B$2:B$52,MATCH(TRIM('EV Fees'!$A7),TRIM('VSbS-passenger'!$A$2:$A$52),0))</f>
        <v>0.135077372</v>
      </c>
    </row>
    <row r="8" spans="1:5" x14ac:dyDescent="0.25">
      <c r="A8" s="11" t="s">
        <v>44</v>
      </c>
      <c r="B8" s="13">
        <v>3500</v>
      </c>
      <c r="C8" s="14">
        <v>60.05</v>
      </c>
      <c r="D8" s="13">
        <v>0</v>
      </c>
      <c r="E8" s="11" cm="1">
        <f t="array" ref="E8">INDEX('VSbS-passenger'!B$2:B$52,MATCH(TRIM('EV Fees'!$A8),TRIM('VSbS-passenger'!$A$2:$A$52),0))</f>
        <v>1.5589702E-2</v>
      </c>
    </row>
    <row r="9" spans="1:5" x14ac:dyDescent="0.25">
      <c r="A9" s="11" t="s">
        <v>45</v>
      </c>
      <c r="B9" s="11" t="s">
        <v>46</v>
      </c>
      <c r="C9" s="13">
        <v>0</v>
      </c>
      <c r="D9" s="13">
        <v>0</v>
      </c>
      <c r="E9" s="11" cm="1">
        <f t="array" ref="E9">INDEX('VSbS-passenger'!B$2:B$52,MATCH(TRIM('EV Fees'!$A9),TRIM('VSbS-passenger'!$A$2:$A$52),0))</f>
        <v>1.1520117E-2</v>
      </c>
    </row>
    <row r="10" spans="1:5" x14ac:dyDescent="0.25">
      <c r="A10" s="11" t="s">
        <v>47</v>
      </c>
      <c r="B10" s="11" t="s">
        <v>48</v>
      </c>
      <c r="C10" s="13">
        <v>0</v>
      </c>
      <c r="D10" s="13">
        <v>0</v>
      </c>
      <c r="E10" s="11" cm="1">
        <f t="array" ref="E10">INDEX('VSbS-passenger'!B$2:B$52,MATCH(TRIM('EV Fees'!$A10),TRIM('VSbS-passenger'!$A$2:$A$52),0))</f>
        <v>3.9559979999999996E-3</v>
      </c>
    </row>
    <row r="11" spans="1:5" x14ac:dyDescent="0.25">
      <c r="A11" s="11" t="s">
        <v>49</v>
      </c>
      <c r="B11" s="11" t="s">
        <v>50</v>
      </c>
      <c r="C11" s="13">
        <v>0</v>
      </c>
      <c r="D11" s="13">
        <v>0</v>
      </c>
      <c r="E11" s="11" cm="1">
        <f t="array" ref="E11">INDEX('VSbS-passenger'!B$2:B$52,MATCH(TRIM('EV Fees'!$A11),TRIM('VSbS-passenger'!$A$2:$A$52),0))</f>
        <v>7.4585348999999995E-2</v>
      </c>
    </row>
    <row r="12" spans="1:5" x14ac:dyDescent="0.25">
      <c r="A12" s="11" t="s">
        <v>51</v>
      </c>
      <c r="B12" s="13">
        <v>0</v>
      </c>
      <c r="C12" s="14">
        <v>234.97</v>
      </c>
      <c r="D12" s="13">
        <v>0</v>
      </c>
      <c r="E12" s="11" cm="1">
        <f t="array" ref="E12">INDEX('VSbS-passenger'!B$2:B$52,MATCH(TRIM('EV Fees'!$A12),TRIM('VSbS-passenger'!$A$2:$A$52),0))</f>
        <v>3.3246882999999998E-2</v>
      </c>
    </row>
    <row r="13" spans="1:5" x14ac:dyDescent="0.25">
      <c r="A13" s="11" t="s">
        <v>52</v>
      </c>
      <c r="B13" s="13">
        <v>0</v>
      </c>
      <c r="C13" s="13">
        <v>50</v>
      </c>
      <c r="D13" s="13">
        <v>0</v>
      </c>
      <c r="E13" s="11" cm="1">
        <f t="array" ref="E13">INDEX('VSbS-passenger'!B$2:B$52,MATCH(TRIM('EV Fees'!$A13),TRIM('VSbS-passenger'!$A$2:$A$52),0))</f>
        <v>4.517788E-3</v>
      </c>
    </row>
    <row r="14" spans="1:5" x14ac:dyDescent="0.25">
      <c r="A14" s="11" t="s">
        <v>53</v>
      </c>
      <c r="B14" s="13">
        <v>0</v>
      </c>
      <c r="C14" s="13">
        <v>140</v>
      </c>
      <c r="D14" s="13">
        <v>75</v>
      </c>
      <c r="E14" s="11" cm="1">
        <f t="array" ref="E14">INDEX('VSbS-passenger'!B$2:B$52,MATCH(TRIM('EV Fees'!$A14),TRIM('VSbS-passenger'!$A$2:$A$52),0))</f>
        <v>5.5962360000000001E-3</v>
      </c>
    </row>
    <row r="15" spans="1:5" x14ac:dyDescent="0.25">
      <c r="A15" s="11" t="s">
        <v>54</v>
      </c>
      <c r="B15" s="11" t="s">
        <v>55</v>
      </c>
      <c r="C15" s="13">
        <v>100</v>
      </c>
      <c r="D15" s="13">
        <v>0</v>
      </c>
      <c r="E15" s="11" cm="1">
        <f t="array" ref="E15">INDEX('VSbS-passenger'!B$2:B$52,MATCH(TRIM('EV Fees'!$A15),TRIM('VSbS-passenger'!$A$2:$A$52),0))</f>
        <v>3.9583803000000001E-2</v>
      </c>
    </row>
    <row r="16" spans="1:5" x14ac:dyDescent="0.25">
      <c r="A16" s="11" t="s">
        <v>56</v>
      </c>
      <c r="B16" s="13">
        <v>0</v>
      </c>
      <c r="C16" s="13">
        <v>230</v>
      </c>
      <c r="D16" s="13">
        <v>77</v>
      </c>
      <c r="E16" s="11" cm="1">
        <f t="array" ref="E16">INDEX('VSbS-passenger'!B$2:B$52,MATCH(TRIM('EV Fees'!$A16),TRIM('VSbS-passenger'!$A$2:$A$52),0))</f>
        <v>2.0200142000000001E-2</v>
      </c>
    </row>
    <row r="17" spans="1:5" x14ac:dyDescent="0.25">
      <c r="A17" s="11" t="s">
        <v>57</v>
      </c>
      <c r="B17" s="13">
        <v>0</v>
      </c>
      <c r="C17" s="13">
        <v>130</v>
      </c>
      <c r="D17" s="11">
        <v>65</v>
      </c>
      <c r="E17" s="11" cm="1">
        <f t="array" ref="E17">INDEX('VSbS-passenger'!B$2:B$52,MATCH(TRIM('EV Fees'!$A17),TRIM('VSbS-passenger'!$A$2:$A$52),0))</f>
        <v>1.106908E-2</v>
      </c>
    </row>
    <row r="18" spans="1:5" x14ac:dyDescent="0.25">
      <c r="A18" s="11" t="s">
        <v>58</v>
      </c>
      <c r="B18" s="11" t="s">
        <v>59</v>
      </c>
      <c r="C18" s="13">
        <v>165</v>
      </c>
      <c r="D18" s="13">
        <v>70</v>
      </c>
      <c r="E18" s="11" cm="1">
        <f t="array" ref="E18">INDEX('VSbS-passenger'!B$2:B$52,MATCH(TRIM('EV Fees'!$A18),TRIM('VSbS-passenger'!$A$2:$A$52),0))</f>
        <v>8.4565600000000001E-3</v>
      </c>
    </row>
    <row r="19" spans="1:5" x14ac:dyDescent="0.25">
      <c r="A19" s="11" t="s">
        <v>60</v>
      </c>
      <c r="B19" s="13">
        <v>0</v>
      </c>
      <c r="C19" s="13">
        <v>120</v>
      </c>
      <c r="D19" s="13">
        <v>60</v>
      </c>
      <c r="E19" s="11" cm="1">
        <f t="array" ref="E19">INDEX('VSbS-passenger'!B$2:B$52,MATCH(TRIM('EV Fees'!$A19),TRIM('VSbS-passenger'!$A$2:$A$52),0))</f>
        <v>1.5641721000000001E-2</v>
      </c>
    </row>
    <row r="20" spans="1:5" x14ac:dyDescent="0.25">
      <c r="A20" s="11" t="s">
        <v>61</v>
      </c>
      <c r="B20" s="13">
        <v>0</v>
      </c>
      <c r="C20" s="13">
        <v>110</v>
      </c>
      <c r="D20" s="11">
        <v>60</v>
      </c>
      <c r="E20" s="11" cm="1">
        <f t="array" ref="E20">INDEX('VSbS-passenger'!B$2:B$52,MATCH(TRIM('EV Fees'!$A20),TRIM('VSbS-passenger'!$A$2:$A$52),0))</f>
        <v>1.2514265E-2</v>
      </c>
    </row>
    <row r="21" spans="1:5" x14ac:dyDescent="0.25">
      <c r="A21" s="11" t="s">
        <v>62</v>
      </c>
      <c r="B21" s="11" t="s">
        <v>63</v>
      </c>
      <c r="C21" s="13">
        <v>0</v>
      </c>
      <c r="D21" s="13">
        <v>0</v>
      </c>
      <c r="E21" s="11" cm="1">
        <f t="array" ref="E21">INDEX('VSbS-passenger'!B$2:B$52,MATCH(TRIM('EV Fees'!$A21),TRIM('VSbS-passenger'!$A$2:$A$52),0))</f>
        <v>3.3868639999999998E-3</v>
      </c>
    </row>
    <row r="22" spans="1:5" x14ac:dyDescent="0.25">
      <c r="A22" s="11" t="s">
        <v>64</v>
      </c>
      <c r="B22" s="11" t="s">
        <v>65</v>
      </c>
      <c r="C22" s="13">
        <v>125</v>
      </c>
      <c r="D22" s="11">
        <v>100</v>
      </c>
      <c r="E22" s="11" cm="1">
        <f t="array" ref="E22">INDEX('VSbS-passenger'!B$2:B$52,MATCH(TRIM('EV Fees'!$A22),TRIM('VSbS-passenger'!$A$2:$A$52),0))</f>
        <v>1.7344821E-2</v>
      </c>
    </row>
    <row r="23" spans="1:5" x14ac:dyDescent="0.25">
      <c r="A23" s="11" t="s">
        <v>66</v>
      </c>
      <c r="B23" s="11" t="s">
        <v>67</v>
      </c>
      <c r="C23" s="13">
        <v>0</v>
      </c>
      <c r="D23" s="13">
        <v>0</v>
      </c>
      <c r="E23" s="11" cm="1">
        <f t="array" ref="E23">INDEX('VSbS-passenger'!B$2:B$52,MATCH(TRIM('EV Fees'!$A23),TRIM('VSbS-passenger'!$A$2:$A$52),0))</f>
        <v>1.9055189E-2</v>
      </c>
    </row>
    <row r="24" spans="1:5" x14ac:dyDescent="0.25">
      <c r="A24" s="11" t="s">
        <v>68</v>
      </c>
      <c r="B24" s="13">
        <v>0</v>
      </c>
      <c r="C24" s="13">
        <v>160</v>
      </c>
      <c r="D24" s="11">
        <v>60</v>
      </c>
      <c r="E24" s="11" cm="1">
        <f t="array" ref="E24">INDEX('VSbS-passenger'!B$2:B$52,MATCH(TRIM('EV Fees'!$A24),TRIM('VSbS-passenger'!$A$2:$A$52),0))</f>
        <v>2.5602285999999998E-2</v>
      </c>
    </row>
    <row r="25" spans="1:5" x14ac:dyDescent="0.25">
      <c r="A25" s="11" t="s">
        <v>69</v>
      </c>
      <c r="B25" s="13">
        <v>0</v>
      </c>
      <c r="C25" s="13">
        <v>75</v>
      </c>
      <c r="D25" s="13">
        <v>0</v>
      </c>
      <c r="E25" s="11" cm="1">
        <f t="array" ref="E25">INDEX('VSbS-passenger'!B$2:B$52,MATCH(TRIM('EV Fees'!$A25),TRIM('VSbS-passenger'!$A$2:$A$52),0))</f>
        <v>1.7517332E-2</v>
      </c>
    </row>
    <row r="26" spans="1:5" x14ac:dyDescent="0.25">
      <c r="A26" s="11" t="s">
        <v>70</v>
      </c>
      <c r="B26" s="11" t="s">
        <v>50</v>
      </c>
      <c r="C26" s="13">
        <v>150</v>
      </c>
      <c r="D26" s="13">
        <v>75</v>
      </c>
      <c r="E26" s="11" cm="1">
        <f t="array" ref="E26">INDEX('VSbS-passenger'!B$2:B$52,MATCH(TRIM('EV Fees'!$A26),TRIM('VSbS-passenger'!$A$2:$A$52),0))</f>
        <v>7.4991459999999999E-3</v>
      </c>
    </row>
    <row r="27" spans="1:5" x14ac:dyDescent="0.25">
      <c r="A27" s="11" t="s">
        <v>71</v>
      </c>
      <c r="B27" s="13">
        <v>0</v>
      </c>
      <c r="C27" s="13">
        <v>135</v>
      </c>
      <c r="D27" s="11">
        <v>67.5</v>
      </c>
      <c r="E27" s="11" cm="1">
        <f t="array" ref="E27">INDEX('VSbS-passenger'!B$2:B$52,MATCH(TRIM('EV Fees'!$A27),TRIM('VSbS-passenger'!$A$2:$A$52),0))</f>
        <v>1.8941079E-2</v>
      </c>
    </row>
    <row r="28" spans="1:5" x14ac:dyDescent="0.25">
      <c r="A28" s="11" t="s">
        <v>72</v>
      </c>
      <c r="B28" s="13">
        <v>0</v>
      </c>
      <c r="C28" s="11">
        <f>AVERAGE(130,190)</f>
        <v>160</v>
      </c>
      <c r="D28" s="11">
        <v>85</v>
      </c>
      <c r="E28" s="11" cm="1">
        <f t="array" ref="E28">INDEX('VSbS-passenger'!B$2:B$52,MATCH(TRIM('EV Fees'!$A28),TRIM('VSbS-passenger'!$A$2:$A$52),0))</f>
        <v>4.3665730000000003E-3</v>
      </c>
    </row>
    <row r="29" spans="1:5" x14ac:dyDescent="0.25">
      <c r="A29" s="11" t="s">
        <v>73</v>
      </c>
      <c r="B29" s="13">
        <v>0</v>
      </c>
      <c r="C29" s="13">
        <v>150</v>
      </c>
      <c r="D29" s="13">
        <v>75</v>
      </c>
      <c r="E29" s="11" cm="1">
        <f t="array" ref="E29">INDEX('VSbS-passenger'!B$2:B$52,MATCH(TRIM('EV Fees'!$A29),TRIM('VSbS-passenger'!$A$2:$A$52),0))</f>
        <v>5.9438360000000001E-3</v>
      </c>
    </row>
    <row r="30" spans="1:5" x14ac:dyDescent="0.25">
      <c r="A30" s="11" t="s">
        <v>74</v>
      </c>
      <c r="B30" s="11" t="s">
        <v>50</v>
      </c>
      <c r="C30" s="13">
        <v>0</v>
      </c>
      <c r="D30" s="13">
        <v>0</v>
      </c>
      <c r="E30" s="11" cm="1">
        <f t="array" ref="E30">INDEX('VSbS-passenger'!B$2:B$52,MATCH(TRIM('EV Fees'!$A30),TRIM('VSbS-passenger'!$A$2:$A$52),0))</f>
        <v>9.7731490000000001E-3</v>
      </c>
    </row>
    <row r="31" spans="1:5" x14ac:dyDescent="0.25">
      <c r="A31" s="11" t="s">
        <v>75</v>
      </c>
      <c r="B31" s="11" t="s">
        <v>50</v>
      </c>
      <c r="C31" s="13">
        <v>100</v>
      </c>
      <c r="D31" s="13">
        <v>50</v>
      </c>
      <c r="E31" s="11" cm="1">
        <f t="array" ref="E31">INDEX('VSbS-passenger'!B$2:B$52,MATCH(TRIM('EV Fees'!$A31),TRIM('VSbS-passenger'!$A$2:$A$52),0))</f>
        <v>4.3831620000000003E-3</v>
      </c>
    </row>
    <row r="32" spans="1:5" x14ac:dyDescent="0.25">
      <c r="A32" s="11" t="s">
        <v>76</v>
      </c>
      <c r="B32" s="11" t="s">
        <v>77</v>
      </c>
      <c r="C32" s="13">
        <v>260</v>
      </c>
      <c r="D32" s="13">
        <v>0</v>
      </c>
      <c r="E32" s="11" cm="1">
        <f t="array" ref="E32">INDEX('VSbS-passenger'!B$2:B$52,MATCH(TRIM('EV Fees'!$A32),TRIM('VSbS-passenger'!$A$2:$A$52),0))</f>
        <v>2.4170046000000001E-2</v>
      </c>
    </row>
    <row r="33" spans="1:5" x14ac:dyDescent="0.25">
      <c r="A33" s="11" t="s">
        <v>78</v>
      </c>
      <c r="B33" s="11" t="s">
        <v>79</v>
      </c>
      <c r="C33" s="13">
        <v>0</v>
      </c>
      <c r="D33" s="13">
        <v>0</v>
      </c>
      <c r="E33" s="11" cm="1">
        <f t="array" ref="E33">INDEX('VSbS-passenger'!B$2:B$52,MATCH(TRIM('EV Fees'!$A33),TRIM('VSbS-passenger'!$A$2:$A$52),0))</f>
        <v>5.9347810000000001E-3</v>
      </c>
    </row>
    <row r="34" spans="1:5" x14ac:dyDescent="0.25">
      <c r="A34" s="11" t="s">
        <v>80</v>
      </c>
      <c r="B34" s="11" t="s">
        <v>81</v>
      </c>
      <c r="C34" s="13">
        <v>0</v>
      </c>
      <c r="D34" s="13">
        <v>0</v>
      </c>
      <c r="E34" s="11" cm="1">
        <f t="array" ref="E34">INDEX('VSbS-passenger'!B$2:B$52,MATCH(TRIM('EV Fees'!$A34),TRIM('VSbS-passenger'!$A$2:$A$52),0))</f>
        <v>4.0260008E-2</v>
      </c>
    </row>
    <row r="35" spans="1:5" x14ac:dyDescent="0.25">
      <c r="A35" s="11" t="s">
        <v>82</v>
      </c>
      <c r="B35" s="13">
        <v>0</v>
      </c>
      <c r="C35" s="11">
        <v>214.5</v>
      </c>
      <c r="D35" s="14">
        <v>107.25</v>
      </c>
      <c r="E35" s="11" cm="1">
        <f t="array" ref="E35">INDEX('VSbS-passenger'!B$2:B$52,MATCH(TRIM('EV Fees'!$A35),TRIM('VSbS-passenger'!$A$2:$A$52),0))</f>
        <v>3.2324727999999997E-2</v>
      </c>
    </row>
    <row r="36" spans="1:5" x14ac:dyDescent="0.25">
      <c r="A36" s="11" t="s">
        <v>83</v>
      </c>
      <c r="B36" s="13">
        <v>0</v>
      </c>
      <c r="C36" s="13">
        <v>120</v>
      </c>
      <c r="D36" s="13">
        <v>50</v>
      </c>
      <c r="E36" s="11" cm="1">
        <f t="array" ref="E36">INDEX('VSbS-passenger'!B$2:B$52,MATCH(TRIM('EV Fees'!$A36),TRIM('VSbS-passenger'!$A$2:$A$52),0))</f>
        <v>2.051204E-3</v>
      </c>
    </row>
    <row r="37" spans="1:5" x14ac:dyDescent="0.25">
      <c r="A37" s="11" t="s">
        <v>84</v>
      </c>
      <c r="B37" s="13">
        <v>0</v>
      </c>
      <c r="C37" s="13">
        <v>200</v>
      </c>
      <c r="D37" s="11">
        <v>150</v>
      </c>
      <c r="E37" s="11" cm="1">
        <f t="array" ref="E37">INDEX('VSbS-passenger'!B$2:B$52,MATCH(TRIM('EV Fees'!$A37),TRIM('VSbS-passenger'!$A$2:$A$52),0))</f>
        <v>4.0403584999999999E-2</v>
      </c>
    </row>
    <row r="38" spans="1:5" x14ac:dyDescent="0.25">
      <c r="A38" s="11" t="s">
        <v>85</v>
      </c>
      <c r="B38" s="11" t="s">
        <v>86</v>
      </c>
      <c r="C38" s="13">
        <v>110</v>
      </c>
      <c r="D38" s="11">
        <v>82</v>
      </c>
      <c r="E38" s="11" cm="1">
        <f t="array" ref="E38">INDEX('VSbS-passenger'!B$2:B$52,MATCH(TRIM('EV Fees'!$A38),TRIM('VSbS-passenger'!$A$2:$A$52),0))</f>
        <v>1.1640695E-2</v>
      </c>
    </row>
    <row r="39" spans="1:5" x14ac:dyDescent="0.25">
      <c r="A39" s="11" t="s">
        <v>87</v>
      </c>
      <c r="B39" s="11" t="s">
        <v>88</v>
      </c>
      <c r="C39" s="11">
        <v>115</v>
      </c>
      <c r="D39" s="11">
        <v>35</v>
      </c>
      <c r="E39" s="11" cm="1">
        <f t="array" ref="E39">INDEX('VSbS-passenger'!B$2:B$52,MATCH(TRIM('EV Fees'!$A39),TRIM('VSbS-passenger'!$A$2:$A$52),0))</f>
        <v>1.3704701999999999E-2</v>
      </c>
    </row>
    <row r="40" spans="1:5" x14ac:dyDescent="0.25">
      <c r="A40" s="11" t="s">
        <v>89</v>
      </c>
      <c r="B40" s="11" t="s">
        <v>90</v>
      </c>
      <c r="C40" s="13">
        <v>200</v>
      </c>
      <c r="D40" s="13">
        <v>50</v>
      </c>
      <c r="E40" s="11" cm="1">
        <f t="array" ref="E40">INDEX('VSbS-passenger'!B$2:B$52,MATCH(TRIM('EV Fees'!$A40),TRIM('VSbS-passenger'!$A$2:$A$52),0))</f>
        <v>3.8462009999999998E-2</v>
      </c>
    </row>
    <row r="41" spans="1:5" x14ac:dyDescent="0.25">
      <c r="A41" s="11" t="s">
        <v>91</v>
      </c>
      <c r="B41" s="11" t="s">
        <v>92</v>
      </c>
      <c r="C41" s="13">
        <v>200</v>
      </c>
      <c r="D41" s="11">
        <v>100</v>
      </c>
      <c r="E41" s="11" cm="1">
        <f t="array" ref="E41">INDEX('VSbS-passenger'!B$2:B$52,MATCH(TRIM('EV Fees'!$A41),TRIM('VSbS-passenger'!$A$2:$A$52),0))</f>
        <v>3.6311970000000001E-3</v>
      </c>
    </row>
    <row r="42" spans="1:5" x14ac:dyDescent="0.25">
      <c r="A42" s="11" t="s">
        <v>93</v>
      </c>
      <c r="B42" s="13">
        <v>0</v>
      </c>
      <c r="C42" s="11">
        <v>60</v>
      </c>
      <c r="D42" s="11">
        <v>30</v>
      </c>
      <c r="E42" s="11" cm="1">
        <f t="array" ref="E42">INDEX('VSbS-passenger'!B$2:B$52,MATCH(TRIM('EV Fees'!$A42),TRIM('VSbS-passenger'!$A$2:$A$52),0))</f>
        <v>1.6810225000000002E-2</v>
      </c>
    </row>
    <row r="43" spans="1:5" x14ac:dyDescent="0.25">
      <c r="A43" s="11" t="s">
        <v>94</v>
      </c>
      <c r="B43" s="13">
        <v>0</v>
      </c>
      <c r="C43" s="13">
        <v>50</v>
      </c>
      <c r="D43" s="13">
        <v>0</v>
      </c>
      <c r="E43" s="11" cm="1">
        <f t="array" ref="E43">INDEX('VSbS-passenger'!B$2:B$52,MATCH(TRIM('EV Fees'!$A43),TRIM('VSbS-passenger'!$A$2:$A$52),0))</f>
        <v>3.0912639999999998E-3</v>
      </c>
    </row>
    <row r="44" spans="1:5" x14ac:dyDescent="0.25">
      <c r="A44" s="11" t="s">
        <v>95</v>
      </c>
      <c r="B44" s="13">
        <v>0</v>
      </c>
      <c r="C44" s="13">
        <v>200</v>
      </c>
      <c r="D44" s="13">
        <v>100</v>
      </c>
      <c r="E44" s="11" cm="1">
        <f t="array" ref="E44">INDEX('VSbS-passenger'!B$2:B$52,MATCH(TRIM('EV Fees'!$A44),TRIM('VSbS-passenger'!$A$2:$A$52),0))</f>
        <v>2.0122945999999999E-2</v>
      </c>
    </row>
    <row r="45" spans="1:5" x14ac:dyDescent="0.25">
      <c r="A45" s="11" t="s">
        <v>96</v>
      </c>
      <c r="B45" s="13">
        <v>0</v>
      </c>
      <c r="C45" s="11">
        <v>200</v>
      </c>
      <c r="D45" s="13">
        <v>0</v>
      </c>
      <c r="E45" s="11" cm="1">
        <f t="array" ref="E45">INDEX('VSbS-passenger'!B$2:B$52,MATCH(TRIM('EV Fees'!$A45),TRIM('VSbS-passenger'!$A$2:$A$52),0))</f>
        <v>7.6929994000000002E-2</v>
      </c>
    </row>
    <row r="46" spans="1:5" x14ac:dyDescent="0.25">
      <c r="A46" s="11" t="s">
        <v>97</v>
      </c>
      <c r="B46" s="13">
        <v>0</v>
      </c>
      <c r="C46" s="11">
        <v>130.25</v>
      </c>
      <c r="D46" s="11">
        <v>56.5</v>
      </c>
      <c r="E46" s="11" cm="1">
        <f t="array" ref="E46">INDEX('VSbS-passenger'!B$2:B$52,MATCH(TRIM('EV Fees'!$A46),TRIM('VSbS-passenger'!$A$2:$A$52),0))</f>
        <v>8.5862979999999992E-3</v>
      </c>
    </row>
    <row r="47" spans="1:5" x14ac:dyDescent="0.25">
      <c r="A47" s="11" t="s">
        <v>98</v>
      </c>
      <c r="B47" s="11" t="s">
        <v>99</v>
      </c>
      <c r="C47" s="13">
        <v>89</v>
      </c>
      <c r="D47" s="11">
        <v>44.5</v>
      </c>
      <c r="E47" s="11" cm="1">
        <f t="array" ref="E47">INDEX('VSbS-passenger'!B$2:B$52,MATCH(TRIM('EV Fees'!$A47),TRIM('VSbS-passenger'!$A$2:$A$52),0))</f>
        <v>1.839601E-3</v>
      </c>
    </row>
    <row r="48" spans="1:5" x14ac:dyDescent="0.25">
      <c r="A48" s="11" t="s">
        <v>100</v>
      </c>
      <c r="B48" s="15">
        <v>2500</v>
      </c>
      <c r="C48" s="11">
        <v>131.88</v>
      </c>
      <c r="D48" s="11">
        <v>0</v>
      </c>
      <c r="E48" s="11" cm="1">
        <f t="array" ref="E48">INDEX('VSbS-passenger'!B$2:B$52,MATCH(TRIM('EV Fees'!$A48),TRIM('VSbS-passenger'!$A$2:$A$52),0))</f>
        <v>2.9079233999999999E-2</v>
      </c>
    </row>
    <row r="49" spans="1:5" x14ac:dyDescent="0.25">
      <c r="A49" s="11" t="s">
        <v>101</v>
      </c>
      <c r="B49" s="11" t="s">
        <v>102</v>
      </c>
      <c r="C49" s="13">
        <v>150</v>
      </c>
      <c r="D49" s="11">
        <v>75</v>
      </c>
      <c r="E49" s="11" cm="1">
        <f t="array" ref="E49">INDEX('VSbS-passenger'!B$2:B$52,MATCH(TRIM('EV Fees'!$A49),TRIM('VSbS-passenger'!$A$2:$A$52),0))</f>
        <v>2.6635868E-2</v>
      </c>
    </row>
    <row r="50" spans="1:5" x14ac:dyDescent="0.25">
      <c r="A50" s="11" t="s">
        <v>103</v>
      </c>
      <c r="B50" s="13">
        <v>0</v>
      </c>
      <c r="C50" s="13">
        <v>200</v>
      </c>
      <c r="D50" s="13">
        <v>100</v>
      </c>
      <c r="E50" s="11" cm="1">
        <f t="array" ref="E50">INDEX('VSbS-passenger'!B$2:B$52,MATCH(TRIM('EV Fees'!$A50),TRIM('VSbS-passenger'!$A$2:$A$52),0))</f>
        <v>4.8381750000000001E-3</v>
      </c>
    </row>
    <row r="51" spans="1:5" x14ac:dyDescent="0.25">
      <c r="A51" s="11" t="s">
        <v>104</v>
      </c>
      <c r="B51" s="13">
        <v>0</v>
      </c>
      <c r="C51" s="13">
        <v>175</v>
      </c>
      <c r="D51" s="11">
        <v>75</v>
      </c>
      <c r="E51" s="11" cm="1">
        <f t="array" ref="E51">INDEX('VSbS-passenger'!B$2:B$52,MATCH(TRIM('EV Fees'!$A51),TRIM('VSbS-passenger'!$A$2:$A$52),0))</f>
        <v>1.8086189999999999E-2</v>
      </c>
    </row>
    <row r="52" spans="1:5" x14ac:dyDescent="0.25">
      <c r="A52" s="11" t="s">
        <v>105</v>
      </c>
      <c r="B52" s="13">
        <v>0</v>
      </c>
      <c r="C52" s="13">
        <v>200</v>
      </c>
      <c r="D52" s="13">
        <v>0</v>
      </c>
      <c r="E52" s="11" cm="1">
        <f t="array" ref="E52">INDEX('VSbS-passenger'!B$2:B$52,MATCH(TRIM('EV Fees'!$A52),TRIM('VSbS-passenger'!$A$2:$A$52),0))</f>
        <v>1.819864E-3</v>
      </c>
    </row>
    <row r="53" spans="1:5" x14ac:dyDescent="0.25">
      <c r="C53" s="14">
        <f>SUMPRODUCT(C$3:C$52,$E$3:$E$52)</f>
        <v>126.27012827002999</v>
      </c>
      <c r="D53" s="14">
        <f>SUMPRODUCT(D$3:D$52,$E$3:$E$52)</f>
        <v>34.219388372000004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FAA1-EC90-44F0-834A-84976102E1A1}">
  <dimension ref="A1:G61"/>
  <sheetViews>
    <sheetView topLeftCell="A46" workbookViewId="0">
      <selection activeCell="A68" sqref="A68"/>
    </sheetView>
  </sheetViews>
  <sheetFormatPr defaultRowHeight="15" x14ac:dyDescent="0.25"/>
  <cols>
    <col min="1" max="1" width="36.140625" bestFit="1" customWidth="1"/>
  </cols>
  <sheetData>
    <row r="1" spans="1:7" x14ac:dyDescent="0.25">
      <c r="A1" t="s">
        <v>110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25">
      <c r="A2" t="s">
        <v>38</v>
      </c>
      <c r="B2">
        <v>1.9359587000000001E-2</v>
      </c>
      <c r="C2">
        <v>5.5878519999999999E-3</v>
      </c>
      <c r="D2">
        <v>1.9282655999999999E-2</v>
      </c>
      <c r="E2">
        <v>1.9282655999999999E-2</v>
      </c>
      <c r="F2">
        <v>1.9282655999999999E-2</v>
      </c>
      <c r="G2">
        <v>1.3796717999999999E-2</v>
      </c>
    </row>
    <row r="3" spans="1:7" x14ac:dyDescent="0.25">
      <c r="A3" t="s">
        <v>111</v>
      </c>
      <c r="B3">
        <v>1.6278449999999999E-3</v>
      </c>
      <c r="C3">
        <v>8.5645960000000007E-3</v>
      </c>
      <c r="D3">
        <v>2.8734609999999999E-3</v>
      </c>
      <c r="E3">
        <v>2.8734609999999999E-3</v>
      </c>
      <c r="F3">
        <v>2.8734609999999999E-3</v>
      </c>
      <c r="G3">
        <v>3.2157240000000001E-3</v>
      </c>
    </row>
    <row r="4" spans="1:7" x14ac:dyDescent="0.25">
      <c r="A4" t="s">
        <v>40</v>
      </c>
      <c r="B4">
        <v>2.2923013999999999E-2</v>
      </c>
      <c r="C4">
        <v>8.4314569999999998E-3</v>
      </c>
      <c r="D4">
        <v>2.1940886E-2</v>
      </c>
      <c r="E4">
        <v>2.1940886E-2</v>
      </c>
      <c r="F4">
        <v>2.1940886E-2</v>
      </c>
      <c r="G4">
        <v>1.4537939999999999E-2</v>
      </c>
    </row>
    <row r="5" spans="1:7" x14ac:dyDescent="0.25">
      <c r="A5" t="s">
        <v>41</v>
      </c>
      <c r="B5">
        <v>8.2982309999999997E-3</v>
      </c>
      <c r="C5">
        <v>1.1966588E-2</v>
      </c>
      <c r="D5">
        <v>1.0559004E-2</v>
      </c>
      <c r="E5">
        <v>1.0559004E-2</v>
      </c>
      <c r="F5">
        <v>1.0559004E-2</v>
      </c>
      <c r="G5">
        <v>2.0388346000000002E-2</v>
      </c>
    </row>
    <row r="6" spans="1:7" x14ac:dyDescent="0.25">
      <c r="A6" t="s">
        <v>112</v>
      </c>
      <c r="B6">
        <v>0.135077372</v>
      </c>
      <c r="C6">
        <v>0.100179936</v>
      </c>
      <c r="D6">
        <v>0.110173217</v>
      </c>
      <c r="E6">
        <v>0.110173217</v>
      </c>
      <c r="F6">
        <v>0.110173217</v>
      </c>
      <c r="G6">
        <v>9.4309654000000007E-2</v>
      </c>
    </row>
    <row r="7" spans="1:7" x14ac:dyDescent="0.25">
      <c r="A7" t="s">
        <v>113</v>
      </c>
      <c r="B7">
        <v>1.5589702E-2</v>
      </c>
      <c r="C7">
        <v>1.3631816E-2</v>
      </c>
      <c r="D7">
        <v>1.9392718999999999E-2</v>
      </c>
      <c r="E7">
        <v>1.9392718999999999E-2</v>
      </c>
      <c r="F7">
        <v>1.9392718999999999E-2</v>
      </c>
      <c r="G7">
        <v>2.1503721E-2</v>
      </c>
    </row>
    <row r="8" spans="1:7" x14ac:dyDescent="0.25">
      <c r="A8" t="s">
        <v>45</v>
      </c>
      <c r="B8">
        <v>1.1520117E-2</v>
      </c>
      <c r="C8">
        <v>1.1697330000000001E-2</v>
      </c>
      <c r="D8">
        <v>1.0392956E-2</v>
      </c>
      <c r="E8">
        <v>1.0392956E-2</v>
      </c>
      <c r="F8">
        <v>1.0392956E-2</v>
      </c>
      <c r="G8">
        <v>9.7199369999999997E-3</v>
      </c>
    </row>
    <row r="9" spans="1:7" x14ac:dyDescent="0.25">
      <c r="A9" t="s">
        <v>114</v>
      </c>
      <c r="B9">
        <v>3.9559979999999996E-3</v>
      </c>
      <c r="C9">
        <v>3.8341970000000001E-3</v>
      </c>
      <c r="D9">
        <v>3.6465629999999998E-3</v>
      </c>
      <c r="E9">
        <v>3.6465629999999998E-3</v>
      </c>
      <c r="F9">
        <v>3.6465629999999998E-3</v>
      </c>
      <c r="G9">
        <v>4.8306100000000002E-4</v>
      </c>
    </row>
    <row r="10" spans="1:7" x14ac:dyDescent="0.25">
      <c r="A10" t="s">
        <v>115</v>
      </c>
      <c r="B10">
        <v>2.0002510000000002E-3</v>
      </c>
      <c r="C10">
        <v>5.1000079999999996E-3</v>
      </c>
      <c r="D10">
        <v>1.2922070000000001E-3</v>
      </c>
      <c r="E10">
        <v>1.2922070000000001E-3</v>
      </c>
      <c r="F10">
        <v>1.2922070000000001E-3</v>
      </c>
      <c r="G10">
        <v>4.28307E-4</v>
      </c>
    </row>
    <row r="11" spans="1:7" x14ac:dyDescent="0.25">
      <c r="A11" t="s">
        <v>116</v>
      </c>
      <c r="B11">
        <v>7.4585348999999995E-2</v>
      </c>
      <c r="C11">
        <v>5.9786243000000003E-2</v>
      </c>
      <c r="D11">
        <v>6.6921420999999995E-2</v>
      </c>
      <c r="E11">
        <v>6.6921420999999995E-2</v>
      </c>
      <c r="F11">
        <v>6.6921420999999995E-2</v>
      </c>
      <c r="G11">
        <v>7.4455641000000003E-2</v>
      </c>
    </row>
    <row r="12" spans="1:7" x14ac:dyDescent="0.25">
      <c r="A12" t="s">
        <v>117</v>
      </c>
      <c r="B12">
        <v>3.3246882999999998E-2</v>
      </c>
      <c r="C12">
        <v>3.6664815000000003E-2</v>
      </c>
      <c r="D12">
        <v>3.2001349999999998E-2</v>
      </c>
      <c r="E12">
        <v>3.2001349999999998E-2</v>
      </c>
      <c r="F12">
        <v>3.2001349999999998E-2</v>
      </c>
      <c r="G12">
        <v>2.4934379E-2</v>
      </c>
    </row>
    <row r="13" spans="1:7" x14ac:dyDescent="0.25">
      <c r="A13" t="s">
        <v>52</v>
      </c>
      <c r="B13">
        <v>4.517788E-3</v>
      </c>
      <c r="C13">
        <v>2.8664570000000002E-3</v>
      </c>
      <c r="D13">
        <v>4.5120519999999999E-3</v>
      </c>
      <c r="E13">
        <v>4.5120519999999999E-3</v>
      </c>
      <c r="F13">
        <v>4.5120519999999999E-3</v>
      </c>
      <c r="G13">
        <v>4.4403669999999998E-3</v>
      </c>
    </row>
    <row r="14" spans="1:7" x14ac:dyDescent="0.25">
      <c r="A14" t="s">
        <v>53</v>
      </c>
      <c r="B14">
        <v>5.5962360000000001E-3</v>
      </c>
      <c r="C14">
        <v>3.782531E-3</v>
      </c>
      <c r="D14">
        <v>6.9502899999999996E-3</v>
      </c>
      <c r="E14">
        <v>6.9502899999999996E-3</v>
      </c>
      <c r="F14">
        <v>6.9502899999999996E-3</v>
      </c>
      <c r="G14">
        <v>7.111432E-3</v>
      </c>
    </row>
    <row r="15" spans="1:7" x14ac:dyDescent="0.25">
      <c r="A15" t="s">
        <v>118</v>
      </c>
      <c r="B15">
        <v>3.9583803000000001E-2</v>
      </c>
      <c r="C15">
        <v>3.2598123E-2</v>
      </c>
      <c r="D15">
        <v>3.8373385000000003E-2</v>
      </c>
      <c r="E15">
        <v>3.8373385000000003E-2</v>
      </c>
      <c r="F15">
        <v>3.8373385000000003E-2</v>
      </c>
      <c r="G15">
        <v>3.3659617000000003E-2</v>
      </c>
    </row>
    <row r="16" spans="1:7" x14ac:dyDescent="0.25">
      <c r="A16" t="s">
        <v>119</v>
      </c>
      <c r="B16">
        <v>2.0200142000000001E-2</v>
      </c>
      <c r="C16">
        <v>2.0735859999999998E-2</v>
      </c>
      <c r="D16">
        <v>2.2470473000000001E-2</v>
      </c>
      <c r="E16">
        <v>2.2470473000000001E-2</v>
      </c>
      <c r="F16">
        <v>2.2470473000000001E-2</v>
      </c>
      <c r="G16">
        <v>2.5194581000000001E-2</v>
      </c>
    </row>
    <row r="17" spans="1:7" x14ac:dyDescent="0.25">
      <c r="A17" t="s">
        <v>120</v>
      </c>
      <c r="B17">
        <v>1.106908E-2</v>
      </c>
      <c r="C17">
        <v>9.1140409999999998E-3</v>
      </c>
      <c r="D17">
        <v>1.3726141000000001E-2</v>
      </c>
      <c r="E17">
        <v>1.3726141000000001E-2</v>
      </c>
      <c r="F17">
        <v>1.3726141000000001E-2</v>
      </c>
      <c r="G17">
        <v>2.3030833000000001E-2</v>
      </c>
    </row>
    <row r="18" spans="1:7" x14ac:dyDescent="0.25">
      <c r="A18" t="s">
        <v>58</v>
      </c>
      <c r="B18">
        <v>8.4565600000000001E-3</v>
      </c>
      <c r="C18">
        <v>6.5585729999999998E-3</v>
      </c>
      <c r="D18">
        <v>9.4360929999999996E-3</v>
      </c>
      <c r="E18">
        <v>9.4360929999999996E-3</v>
      </c>
      <c r="F18">
        <v>9.4360929999999996E-3</v>
      </c>
      <c r="G18">
        <v>1.0883943E-2</v>
      </c>
    </row>
    <row r="19" spans="1:7" x14ac:dyDescent="0.25">
      <c r="A19" t="s">
        <v>60</v>
      </c>
      <c r="B19">
        <v>1.5641721000000001E-2</v>
      </c>
      <c r="C19">
        <v>1.0917375E-2</v>
      </c>
      <c r="D19">
        <v>1.6163360000000002E-2</v>
      </c>
      <c r="E19">
        <v>1.6163360000000002E-2</v>
      </c>
      <c r="F19">
        <v>1.6163360000000002E-2</v>
      </c>
      <c r="G19">
        <v>1.1665989999999999E-2</v>
      </c>
    </row>
    <row r="20" spans="1:7" x14ac:dyDescent="0.25">
      <c r="A20" t="s">
        <v>61</v>
      </c>
      <c r="B20">
        <v>1.2514265E-2</v>
      </c>
      <c r="C20">
        <v>2.9889644E-2</v>
      </c>
      <c r="D20">
        <v>1.3994269E-2</v>
      </c>
      <c r="E20">
        <v>1.3994269E-2</v>
      </c>
      <c r="F20">
        <v>1.3994269E-2</v>
      </c>
      <c r="G20">
        <v>1.2186394999999999E-2</v>
      </c>
    </row>
    <row r="21" spans="1:7" x14ac:dyDescent="0.25">
      <c r="A21" t="s">
        <v>121</v>
      </c>
      <c r="B21">
        <v>3.3868639999999998E-3</v>
      </c>
      <c r="C21">
        <v>4.5932860000000002E-3</v>
      </c>
      <c r="D21">
        <v>4.0632560000000003E-3</v>
      </c>
      <c r="E21">
        <v>4.0632560000000003E-3</v>
      </c>
      <c r="F21">
        <v>4.0632560000000003E-3</v>
      </c>
      <c r="G21">
        <v>4.6036690000000003E-3</v>
      </c>
    </row>
    <row r="22" spans="1:7" x14ac:dyDescent="0.25">
      <c r="A22" t="s">
        <v>64</v>
      </c>
      <c r="B22">
        <v>1.7344821E-2</v>
      </c>
      <c r="C22">
        <v>2.2395126000000001E-2</v>
      </c>
      <c r="D22">
        <v>1.5263410999999999E-2</v>
      </c>
      <c r="E22">
        <v>1.5263410999999999E-2</v>
      </c>
      <c r="F22">
        <v>1.5263410999999999E-2</v>
      </c>
      <c r="G22">
        <v>1.3514422E-2</v>
      </c>
    </row>
    <row r="23" spans="1:7" x14ac:dyDescent="0.25">
      <c r="A23" t="s">
        <v>66</v>
      </c>
      <c r="B23">
        <v>1.9055189E-2</v>
      </c>
      <c r="C23">
        <v>1.366361E-2</v>
      </c>
      <c r="D23">
        <v>1.8254600999999999E-2</v>
      </c>
      <c r="E23">
        <v>1.8254600999999999E-2</v>
      </c>
      <c r="F23">
        <v>1.8254600999999999E-2</v>
      </c>
      <c r="G23">
        <v>1.6585096000000001E-2</v>
      </c>
    </row>
    <row r="24" spans="1:7" x14ac:dyDescent="0.25">
      <c r="A24" t="s">
        <v>68</v>
      </c>
      <c r="B24">
        <v>2.5602285999999998E-2</v>
      </c>
      <c r="C24">
        <v>8.8845260000000002E-3</v>
      </c>
      <c r="D24">
        <v>3.0637309000000001E-2</v>
      </c>
      <c r="E24">
        <v>3.0637309000000001E-2</v>
      </c>
      <c r="F24">
        <v>3.0637309000000001E-2</v>
      </c>
      <c r="G24">
        <v>2.8515491E-2</v>
      </c>
    </row>
    <row r="25" spans="1:7" x14ac:dyDescent="0.25">
      <c r="A25" t="s">
        <v>122</v>
      </c>
      <c r="B25">
        <v>1.7517332E-2</v>
      </c>
      <c r="C25">
        <v>1.9068644999999999E-2</v>
      </c>
      <c r="D25">
        <v>2.0625139000000001E-2</v>
      </c>
      <c r="E25">
        <v>2.0625139000000001E-2</v>
      </c>
      <c r="F25">
        <v>2.0625139000000001E-2</v>
      </c>
      <c r="G25">
        <v>2.9294897E-2</v>
      </c>
    </row>
    <row r="26" spans="1:7" x14ac:dyDescent="0.25">
      <c r="A26" t="s">
        <v>123</v>
      </c>
      <c r="B26">
        <v>7.4991459999999999E-3</v>
      </c>
      <c r="C26">
        <v>7.3385270000000001E-3</v>
      </c>
      <c r="D26">
        <v>7.4624000000000001E-3</v>
      </c>
      <c r="E26">
        <v>7.4624000000000001E-3</v>
      </c>
      <c r="F26">
        <v>7.4624000000000001E-3</v>
      </c>
      <c r="G26">
        <v>3.6710480000000001E-3</v>
      </c>
    </row>
    <row r="27" spans="1:7" x14ac:dyDescent="0.25">
      <c r="A27" t="s">
        <v>71</v>
      </c>
      <c r="B27">
        <v>1.8941079E-2</v>
      </c>
      <c r="C27">
        <v>3.3533075000000002E-2</v>
      </c>
      <c r="D27">
        <v>2.0249198999999999E-2</v>
      </c>
      <c r="E27">
        <v>2.0249198999999999E-2</v>
      </c>
      <c r="F27">
        <v>2.0249198999999999E-2</v>
      </c>
      <c r="G27">
        <v>1.5214201E-2</v>
      </c>
    </row>
    <row r="28" spans="1:7" x14ac:dyDescent="0.25">
      <c r="A28" t="s">
        <v>124</v>
      </c>
      <c r="B28">
        <v>4.3665730000000003E-3</v>
      </c>
      <c r="C28">
        <v>5.1616099999999996E-3</v>
      </c>
      <c r="D28">
        <v>7.0766919999999999E-3</v>
      </c>
      <c r="E28">
        <v>7.0766919999999999E-3</v>
      </c>
      <c r="F28">
        <v>7.0766919999999999E-3</v>
      </c>
      <c r="G28">
        <v>4.2647577999999998E-2</v>
      </c>
    </row>
    <row r="29" spans="1:7" x14ac:dyDescent="0.25">
      <c r="A29" t="s">
        <v>73</v>
      </c>
      <c r="B29">
        <v>5.9438360000000001E-3</v>
      </c>
      <c r="C29">
        <v>1.7177876000000002E-2</v>
      </c>
      <c r="D29">
        <v>7.014368E-3</v>
      </c>
      <c r="E29">
        <v>7.014368E-3</v>
      </c>
      <c r="F29">
        <v>7.014368E-3</v>
      </c>
      <c r="G29">
        <v>6.0485290000000004E-3</v>
      </c>
    </row>
    <row r="30" spans="1:7" x14ac:dyDescent="0.25">
      <c r="A30" t="s">
        <v>125</v>
      </c>
      <c r="B30">
        <v>9.7731490000000001E-3</v>
      </c>
      <c r="C30">
        <v>3.1883739999999999E-3</v>
      </c>
      <c r="D30">
        <v>9.2397050000000008E-3</v>
      </c>
      <c r="E30">
        <v>9.2397050000000008E-3</v>
      </c>
      <c r="F30">
        <v>9.2397050000000008E-3</v>
      </c>
      <c r="G30">
        <v>8.3279100000000009E-3</v>
      </c>
    </row>
    <row r="31" spans="1:7" x14ac:dyDescent="0.25">
      <c r="A31" t="s">
        <v>75</v>
      </c>
      <c r="B31">
        <v>4.3831620000000003E-3</v>
      </c>
      <c r="C31">
        <v>3.060204E-3</v>
      </c>
      <c r="D31">
        <v>4.9201519999999997E-3</v>
      </c>
      <c r="E31">
        <v>4.9201519999999997E-3</v>
      </c>
      <c r="F31">
        <v>4.9201519999999997E-3</v>
      </c>
      <c r="G31">
        <v>9.4484479999999999E-3</v>
      </c>
    </row>
    <row r="32" spans="1:7" x14ac:dyDescent="0.25">
      <c r="A32" t="s">
        <v>126</v>
      </c>
      <c r="B32">
        <v>2.4170046000000001E-2</v>
      </c>
      <c r="C32">
        <v>2.5791156999999999E-2</v>
      </c>
      <c r="D32">
        <v>2.1768607999999998E-2</v>
      </c>
      <c r="E32">
        <v>2.1768607999999998E-2</v>
      </c>
      <c r="F32">
        <v>2.1768607999999998E-2</v>
      </c>
      <c r="G32">
        <v>1.4574563E-2</v>
      </c>
    </row>
    <row r="33" spans="1:7" x14ac:dyDescent="0.25">
      <c r="A33" t="s">
        <v>78</v>
      </c>
      <c r="B33">
        <v>5.9347810000000001E-3</v>
      </c>
      <c r="C33">
        <v>9.7280690000000006E-3</v>
      </c>
      <c r="D33">
        <v>6.4627240000000004E-3</v>
      </c>
      <c r="E33">
        <v>6.4627240000000004E-3</v>
      </c>
      <c r="F33">
        <v>6.4627240000000004E-3</v>
      </c>
      <c r="G33">
        <v>6.597632E-3</v>
      </c>
    </row>
    <row r="34" spans="1:7" x14ac:dyDescent="0.25">
      <c r="A34" t="s">
        <v>127</v>
      </c>
      <c r="B34">
        <v>4.0260008E-2</v>
      </c>
      <c r="C34">
        <v>8.1156994999999996E-2</v>
      </c>
      <c r="D34">
        <v>4.1044624000000002E-2</v>
      </c>
      <c r="E34">
        <v>4.1044624000000002E-2</v>
      </c>
      <c r="F34">
        <v>4.1044624000000002E-2</v>
      </c>
      <c r="G34">
        <v>4.6183180999999997E-2</v>
      </c>
    </row>
    <row r="35" spans="1:7" x14ac:dyDescent="0.25">
      <c r="A35" t="s">
        <v>82</v>
      </c>
      <c r="B35">
        <v>3.2324727999999997E-2</v>
      </c>
      <c r="C35">
        <v>3.3117761000000003E-2</v>
      </c>
      <c r="D35">
        <v>3.1674015E-2</v>
      </c>
      <c r="E35">
        <v>3.1674015E-2</v>
      </c>
      <c r="F35">
        <v>3.1674015E-2</v>
      </c>
      <c r="G35">
        <v>2.2775793999999999E-2</v>
      </c>
    </row>
    <row r="36" spans="1:7" x14ac:dyDescent="0.25">
      <c r="A36" t="s">
        <v>83</v>
      </c>
      <c r="B36">
        <v>2.051204E-3</v>
      </c>
      <c r="C36">
        <v>3.6394560000000001E-3</v>
      </c>
      <c r="D36">
        <v>3.258571E-3</v>
      </c>
      <c r="E36">
        <v>3.258571E-3</v>
      </c>
      <c r="F36">
        <v>3.258571E-3</v>
      </c>
      <c r="G36">
        <v>4.3507909999999997E-3</v>
      </c>
    </row>
    <row r="37" spans="1:7" x14ac:dyDescent="0.25">
      <c r="A37" t="s">
        <v>84</v>
      </c>
      <c r="B37">
        <v>4.0403584999999999E-2</v>
      </c>
      <c r="C37">
        <v>4.1215377999999997E-2</v>
      </c>
      <c r="D37">
        <v>3.8390028E-2</v>
      </c>
      <c r="E37">
        <v>3.8390028E-2</v>
      </c>
      <c r="F37">
        <v>3.8390028E-2</v>
      </c>
      <c r="G37">
        <v>4.5702522000000002E-2</v>
      </c>
    </row>
    <row r="38" spans="1:7" x14ac:dyDescent="0.25">
      <c r="A38" t="s">
        <v>128</v>
      </c>
      <c r="B38">
        <v>1.1640695E-2</v>
      </c>
      <c r="C38">
        <v>2.8227399999999998E-3</v>
      </c>
      <c r="D38">
        <v>1.3519638E-2</v>
      </c>
      <c r="E38">
        <v>1.3519638E-2</v>
      </c>
      <c r="F38">
        <v>1.3519638E-2</v>
      </c>
      <c r="G38">
        <v>1.6077418999999999E-2</v>
      </c>
    </row>
    <row r="39" spans="1:7" x14ac:dyDescent="0.25">
      <c r="A39" t="s">
        <v>129</v>
      </c>
      <c r="B39">
        <v>1.3704701999999999E-2</v>
      </c>
      <c r="C39">
        <v>1.7726328E-2</v>
      </c>
      <c r="D39">
        <v>1.4843224E-2</v>
      </c>
      <c r="E39">
        <v>1.4843224E-2</v>
      </c>
      <c r="F39">
        <v>1.4843224E-2</v>
      </c>
      <c r="G39">
        <v>1.484329E-2</v>
      </c>
    </row>
    <row r="40" spans="1:7" x14ac:dyDescent="0.25">
      <c r="A40" t="s">
        <v>89</v>
      </c>
      <c r="B40">
        <v>3.8462009999999998E-2</v>
      </c>
      <c r="C40">
        <v>5.4911776000000002E-2</v>
      </c>
      <c r="D40">
        <v>3.8744740999999999E-2</v>
      </c>
      <c r="E40">
        <v>3.8744740999999999E-2</v>
      </c>
      <c r="F40">
        <v>3.8744740999999999E-2</v>
      </c>
      <c r="G40">
        <v>4.3286136000000003E-2</v>
      </c>
    </row>
    <row r="41" spans="1:7" x14ac:dyDescent="0.25">
      <c r="A41" t="s">
        <v>130</v>
      </c>
      <c r="B41">
        <v>3.6311970000000001E-3</v>
      </c>
      <c r="C41">
        <v>2.3031010000000001E-3</v>
      </c>
      <c r="D41">
        <v>3.1409329999999998E-3</v>
      </c>
      <c r="E41">
        <v>3.1409329999999998E-3</v>
      </c>
      <c r="F41">
        <v>3.1409329999999998E-3</v>
      </c>
      <c r="G41">
        <v>2.8346069999999998E-3</v>
      </c>
    </row>
    <row r="42" spans="1:7" x14ac:dyDescent="0.25">
      <c r="A42" t="s">
        <v>93</v>
      </c>
      <c r="B42">
        <v>1.6810225000000002E-2</v>
      </c>
      <c r="C42">
        <v>1.6360165999999999E-2</v>
      </c>
      <c r="D42">
        <v>1.6531642999999999E-2</v>
      </c>
      <c r="E42">
        <v>1.6531642999999999E-2</v>
      </c>
      <c r="F42">
        <v>1.6531642999999999E-2</v>
      </c>
      <c r="G42">
        <v>1.3750249000000001E-2</v>
      </c>
    </row>
    <row r="43" spans="1:7" x14ac:dyDescent="0.25">
      <c r="A43" t="s">
        <v>131</v>
      </c>
      <c r="B43">
        <v>3.0912639999999998E-3</v>
      </c>
      <c r="C43">
        <v>2.6518449999999999E-3</v>
      </c>
      <c r="D43">
        <v>4.6909020000000003E-3</v>
      </c>
      <c r="E43">
        <v>4.6909020000000003E-3</v>
      </c>
      <c r="F43">
        <v>4.6909020000000003E-3</v>
      </c>
      <c r="G43">
        <v>1.5581991E-2</v>
      </c>
    </row>
    <row r="44" spans="1:7" x14ac:dyDescent="0.25">
      <c r="A44" t="s">
        <v>132</v>
      </c>
      <c r="B44">
        <v>2.0122945999999999E-2</v>
      </c>
      <c r="C44">
        <v>2.9370005000000001E-2</v>
      </c>
      <c r="D44">
        <v>2.1221791E-2</v>
      </c>
      <c r="E44">
        <v>2.1221791E-2</v>
      </c>
      <c r="F44">
        <v>2.1221791E-2</v>
      </c>
      <c r="G44">
        <v>2.1285664999999999E-2</v>
      </c>
    </row>
    <row r="45" spans="1:7" x14ac:dyDescent="0.25">
      <c r="A45" t="s">
        <v>133</v>
      </c>
      <c r="B45">
        <v>7.6929994000000002E-2</v>
      </c>
      <c r="C45">
        <v>7.0475097E-2</v>
      </c>
      <c r="D45">
        <v>8.1255579999999994E-2</v>
      </c>
      <c r="E45">
        <v>8.1255579999999994E-2</v>
      </c>
      <c r="F45">
        <v>8.1255579999999994E-2</v>
      </c>
      <c r="G45">
        <v>3.9420566999999997E-2</v>
      </c>
    </row>
    <row r="46" spans="1:7" x14ac:dyDescent="0.25">
      <c r="A46" t="s">
        <v>97</v>
      </c>
      <c r="B46">
        <v>8.5862979999999992E-3</v>
      </c>
      <c r="C46">
        <v>6.3797300000000001E-3</v>
      </c>
      <c r="D46">
        <v>8.9868980000000001E-3</v>
      </c>
      <c r="E46">
        <v>8.9868980000000001E-3</v>
      </c>
      <c r="F46">
        <v>8.9868980000000001E-3</v>
      </c>
      <c r="G46">
        <v>1.4880153E-2</v>
      </c>
    </row>
    <row r="47" spans="1:7" x14ac:dyDescent="0.25">
      <c r="A47" t="s">
        <v>98</v>
      </c>
      <c r="B47">
        <v>1.839601E-3</v>
      </c>
      <c r="C47">
        <v>1.0720650000000001E-3</v>
      </c>
      <c r="D47">
        <v>2.203193E-3</v>
      </c>
      <c r="E47">
        <v>2.203193E-3</v>
      </c>
      <c r="F47">
        <v>2.203193E-3</v>
      </c>
      <c r="G47">
        <v>3.4752060000000002E-3</v>
      </c>
    </row>
    <row r="48" spans="1:7" x14ac:dyDescent="0.25">
      <c r="A48" t="s">
        <v>100</v>
      </c>
      <c r="B48">
        <v>2.9079233999999999E-2</v>
      </c>
      <c r="C48">
        <v>3.5235064000000003E-2</v>
      </c>
      <c r="D48">
        <v>2.7568275E-2</v>
      </c>
      <c r="E48">
        <v>2.7568275E-2</v>
      </c>
      <c r="F48">
        <v>2.7568275E-2</v>
      </c>
      <c r="G48">
        <v>2.2146722000000001E-2</v>
      </c>
    </row>
    <row r="49" spans="1:7" x14ac:dyDescent="0.25">
      <c r="A49" t="s">
        <v>134</v>
      </c>
      <c r="B49">
        <v>2.6635868E-2</v>
      </c>
      <c r="C49">
        <v>2.4016636000000001E-2</v>
      </c>
      <c r="D49">
        <v>2.6303199999999999E-2</v>
      </c>
      <c r="E49">
        <v>2.6303199999999999E-2</v>
      </c>
      <c r="F49">
        <v>2.6303199999999999E-2</v>
      </c>
      <c r="G49">
        <v>2.6590330999999998E-2</v>
      </c>
    </row>
    <row r="50" spans="1:7" x14ac:dyDescent="0.25">
      <c r="A50" t="s">
        <v>103</v>
      </c>
      <c r="B50">
        <v>4.8381750000000001E-3</v>
      </c>
      <c r="C50">
        <v>3.134721E-3</v>
      </c>
      <c r="D50">
        <v>6.0068229999999997E-3</v>
      </c>
      <c r="E50">
        <v>6.0068229999999997E-3</v>
      </c>
      <c r="F50">
        <v>6.0068229999999997E-3</v>
      </c>
      <c r="G50">
        <v>5.2267370000000004E-3</v>
      </c>
    </row>
    <row r="51" spans="1:7" x14ac:dyDescent="0.25">
      <c r="A51" t="s">
        <v>135</v>
      </c>
      <c r="B51">
        <v>1.8086189999999999E-2</v>
      </c>
      <c r="C51">
        <v>1.4844968E-2</v>
      </c>
      <c r="D51">
        <v>2.0355207E-2</v>
      </c>
      <c r="E51">
        <v>2.0355207E-2</v>
      </c>
      <c r="F51">
        <v>2.0355207E-2</v>
      </c>
      <c r="G51">
        <v>3.3177876000000002E-2</v>
      </c>
    </row>
    <row r="52" spans="1:7" x14ac:dyDescent="0.25">
      <c r="A52" t="s">
        <v>136</v>
      </c>
      <c r="B52">
        <v>1.819864E-3</v>
      </c>
      <c r="C52">
        <v>4.0746410000000004E-3</v>
      </c>
      <c r="D52">
        <v>3.1206480000000002E-3</v>
      </c>
      <c r="E52">
        <v>3.1206480000000002E-3</v>
      </c>
      <c r="F52">
        <v>3.1206480000000002E-3</v>
      </c>
      <c r="G52">
        <v>3.4206919999999999E-3</v>
      </c>
    </row>
    <row r="53" spans="1:7" x14ac:dyDescent="0.25">
      <c r="A53" t="s">
        <v>137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t="s">
        <v>138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t="s">
        <v>139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t="s">
        <v>140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t="s">
        <v>141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t="s">
        <v>142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t="s">
        <v>143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144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145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4B8D-70F0-48E9-8C0A-87C272523328}">
  <sheetPr>
    <tabColor theme="4" tint="-0.249977111117893"/>
  </sheetPr>
  <dimension ref="A1:G8"/>
  <sheetViews>
    <sheetView workbookViewId="0">
      <selection activeCell="D10" sqref="D10"/>
    </sheetView>
  </sheetViews>
  <sheetFormatPr defaultRowHeight="15" x14ac:dyDescent="0.25"/>
  <cols>
    <col min="1" max="1" width="21.7109375" bestFit="1" customWidth="1"/>
    <col min="2" max="2" width="12.28515625" customWidth="1"/>
  </cols>
  <sheetData>
    <row r="1" spans="1:7" x14ac:dyDescent="0.25">
      <c r="A1" s="6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t="s">
        <v>146</v>
      </c>
      <c r="B2" s="17">
        <f>About!$A$23*About!$A$45+'EV Fees'!C53</f>
        <v>802.46412827002996</v>
      </c>
      <c r="C2" s="17">
        <f>$B2*About!$A$37</f>
        <v>1604.9282565400599</v>
      </c>
      <c r="D2" s="7">
        <v>0</v>
      </c>
      <c r="E2" s="7">
        <v>0</v>
      </c>
      <c r="F2" s="7">
        <v>0</v>
      </c>
      <c r="G2" s="17">
        <f>$B2*About!$A$36</f>
        <v>401.23206413501498</v>
      </c>
    </row>
    <row r="3" spans="1:7" x14ac:dyDescent="0.25">
      <c r="A3" t="s">
        <v>147</v>
      </c>
      <c r="B3" s="17">
        <f>About!$A$23*About!$A$45</f>
        <v>676.19399999999996</v>
      </c>
      <c r="C3" s="17">
        <f>$B3*About!$A$37</f>
        <v>1352.3879999999999</v>
      </c>
      <c r="D3" s="7">
        <v>0</v>
      </c>
      <c r="E3" s="7">
        <v>0</v>
      </c>
      <c r="F3" s="7">
        <v>0</v>
      </c>
      <c r="G3" s="17">
        <f>$B3*About!$A$36</f>
        <v>338.09699999999998</v>
      </c>
    </row>
    <row r="4" spans="1:7" x14ac:dyDescent="0.25">
      <c r="A4" t="s">
        <v>148</v>
      </c>
      <c r="B4" s="17">
        <f>About!$A$23*About!$A$45</f>
        <v>676.19399999999996</v>
      </c>
      <c r="C4" s="17">
        <f>$B4*About!$A$37</f>
        <v>1352.3879999999999</v>
      </c>
      <c r="D4" s="7">
        <v>0</v>
      </c>
      <c r="E4" s="7">
        <v>0</v>
      </c>
      <c r="F4" s="7">
        <v>0</v>
      </c>
      <c r="G4" s="17">
        <f>$B4*About!$A$36</f>
        <v>338.09699999999998</v>
      </c>
    </row>
    <row r="5" spans="1:7" x14ac:dyDescent="0.25">
      <c r="A5" t="s">
        <v>149</v>
      </c>
      <c r="B5" s="17">
        <f>About!$A$23*About!$A$45</f>
        <v>676.19399999999996</v>
      </c>
      <c r="C5" s="17">
        <f>$B5*About!$A$37</f>
        <v>1352.3879999999999</v>
      </c>
      <c r="D5" s="7">
        <v>0</v>
      </c>
      <c r="E5" s="7">
        <v>0</v>
      </c>
      <c r="F5" s="7">
        <v>0</v>
      </c>
      <c r="G5" s="17">
        <f>$B5*About!$A$36</f>
        <v>338.09699999999998</v>
      </c>
    </row>
    <row r="6" spans="1:7" x14ac:dyDescent="0.25">
      <c r="A6" t="s">
        <v>150</v>
      </c>
      <c r="B6" s="17">
        <f>About!$A$23*About!$A$45+'EV Fees'!D53</f>
        <v>710.41338837199999</v>
      </c>
      <c r="C6" s="17">
        <f>$B6*About!$A$37</f>
        <v>1420.826776744</v>
      </c>
      <c r="D6" s="7">
        <v>0</v>
      </c>
      <c r="E6" s="7">
        <v>0</v>
      </c>
      <c r="F6" s="7">
        <v>0</v>
      </c>
      <c r="G6" s="17">
        <f>$B6*About!$A$36</f>
        <v>355.20669418599999</v>
      </c>
    </row>
    <row r="7" spans="1:7" x14ac:dyDescent="0.25">
      <c r="A7" t="s">
        <v>151</v>
      </c>
      <c r="B7" s="17">
        <f>About!$A$23*About!$A$45</f>
        <v>676.19399999999996</v>
      </c>
      <c r="C7" s="17">
        <f>$B7*About!$A$37</f>
        <v>1352.3879999999999</v>
      </c>
      <c r="D7" s="7">
        <v>0</v>
      </c>
      <c r="E7" s="7">
        <v>0</v>
      </c>
      <c r="F7" s="7">
        <v>0</v>
      </c>
      <c r="G7" s="17">
        <f>$B7*About!$A$36</f>
        <v>338.09699999999998</v>
      </c>
    </row>
    <row r="8" spans="1:7" x14ac:dyDescent="0.25">
      <c r="A8" t="s">
        <v>152</v>
      </c>
      <c r="B8" s="17">
        <f>About!$A$23*About!$A$45</f>
        <v>676.19399999999996</v>
      </c>
      <c r="C8" s="17">
        <f>$B8*About!$A$37</f>
        <v>1352.3879999999999</v>
      </c>
      <c r="D8" s="7">
        <v>0</v>
      </c>
      <c r="E8" s="7">
        <v>0</v>
      </c>
      <c r="F8" s="7">
        <v>0</v>
      </c>
      <c r="G8" s="17">
        <f>$B8*About!$A$36</f>
        <v>338.09699999999998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E20E-56CA-4645-AA1F-4323C4BE4968}">
  <sheetPr>
    <tabColor theme="4" tint="-0.249977111117893"/>
  </sheetPr>
  <dimension ref="A1:G8"/>
  <sheetViews>
    <sheetView workbookViewId="0">
      <selection activeCell="E14" sqref="E14"/>
    </sheetView>
  </sheetViews>
  <sheetFormatPr defaultRowHeight="15" x14ac:dyDescent="0.25"/>
  <cols>
    <col min="1" max="1" width="21.7109375" bestFit="1" customWidth="1"/>
    <col min="2" max="2" width="12.28515625" customWidth="1"/>
  </cols>
  <sheetData>
    <row r="1" spans="1:7" x14ac:dyDescent="0.25">
      <c r="A1" s="6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t="s">
        <v>146</v>
      </c>
      <c r="B2" s="17">
        <f>About!$A$23*About!$A$45+'EV Fees'!C53</f>
        <v>802.46412827002996</v>
      </c>
      <c r="C2" s="17">
        <f>$B2*About!$A$37</f>
        <v>1604.9282565400599</v>
      </c>
      <c r="D2">
        <v>0</v>
      </c>
      <c r="E2">
        <v>0</v>
      </c>
      <c r="F2">
        <v>0</v>
      </c>
      <c r="G2" s="7">
        <v>0</v>
      </c>
    </row>
    <row r="3" spans="1:7" x14ac:dyDescent="0.25">
      <c r="A3" t="s">
        <v>147</v>
      </c>
      <c r="B3" s="17">
        <f>About!$A$23*About!$A$45</f>
        <v>676.19399999999996</v>
      </c>
      <c r="C3" s="17">
        <f>$B3*About!$A$37</f>
        <v>1352.3879999999999</v>
      </c>
      <c r="D3">
        <v>0</v>
      </c>
      <c r="E3">
        <v>0</v>
      </c>
      <c r="F3">
        <v>0</v>
      </c>
      <c r="G3" s="7">
        <v>0</v>
      </c>
    </row>
    <row r="4" spans="1:7" x14ac:dyDescent="0.25">
      <c r="A4" t="s">
        <v>148</v>
      </c>
      <c r="B4" s="17">
        <f>About!$A$23*About!$A$45</f>
        <v>676.19399999999996</v>
      </c>
      <c r="C4" s="17">
        <f>$B4*About!$A$37</f>
        <v>1352.3879999999999</v>
      </c>
      <c r="D4">
        <v>0</v>
      </c>
      <c r="E4">
        <v>0</v>
      </c>
      <c r="F4">
        <v>0</v>
      </c>
      <c r="G4" s="7">
        <v>0</v>
      </c>
    </row>
    <row r="5" spans="1:7" x14ac:dyDescent="0.25">
      <c r="A5" t="s">
        <v>149</v>
      </c>
      <c r="B5" s="17">
        <f>About!$A$23*About!$A$45+'EV Fees'!D53</f>
        <v>710.41338837199999</v>
      </c>
      <c r="C5" s="17">
        <f>$B5*About!$A$37</f>
        <v>1420.826776744</v>
      </c>
      <c r="D5">
        <v>0</v>
      </c>
      <c r="E5">
        <v>0</v>
      </c>
      <c r="F5">
        <v>0</v>
      </c>
      <c r="G5" s="7">
        <v>0</v>
      </c>
    </row>
    <row r="6" spans="1:7" x14ac:dyDescent="0.25">
      <c r="A6" t="s">
        <v>150</v>
      </c>
      <c r="B6" s="17">
        <f>About!$A$23*About!$A$45</f>
        <v>676.19399999999996</v>
      </c>
      <c r="C6" s="17">
        <f>$B6*About!$A$37</f>
        <v>1352.3879999999999</v>
      </c>
      <c r="D6">
        <v>0</v>
      </c>
      <c r="E6">
        <v>0</v>
      </c>
      <c r="F6">
        <v>0</v>
      </c>
      <c r="G6" s="7">
        <v>0</v>
      </c>
    </row>
    <row r="7" spans="1:7" x14ac:dyDescent="0.25">
      <c r="A7" t="s">
        <v>151</v>
      </c>
      <c r="B7" s="17">
        <f>About!$A$23*About!$A$45</f>
        <v>676.19399999999996</v>
      </c>
      <c r="C7" s="17">
        <f>$B7*About!$A$37</f>
        <v>1352.3879999999999</v>
      </c>
      <c r="D7">
        <v>0</v>
      </c>
      <c r="E7">
        <v>0</v>
      </c>
      <c r="F7">
        <v>0</v>
      </c>
      <c r="G7" s="7">
        <v>0</v>
      </c>
    </row>
    <row r="8" spans="1:7" x14ac:dyDescent="0.25">
      <c r="A8" t="s">
        <v>152</v>
      </c>
      <c r="B8" s="17">
        <f>About!$A$23*About!$A$45</f>
        <v>676.19399999999996</v>
      </c>
      <c r="C8" s="17">
        <f>$B8*About!$A$37</f>
        <v>1352.3879999999999</v>
      </c>
      <c r="D8">
        <v>0</v>
      </c>
      <c r="E8">
        <v>0</v>
      </c>
      <c r="F8">
        <v>0</v>
      </c>
      <c r="G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EV Fees</vt:lpstr>
      <vt:lpstr>VSbS-passenger</vt:lpstr>
      <vt:lpstr>AVLRaPTC-psgr</vt:lpstr>
      <vt:lpstr>AVLRaPTC-frgt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2021-12-15T23:27:55Z</dcterms:created>
  <dcterms:modified xsi:type="dcterms:W3CDTF">2026-04-22T17:16:33Z</dcterms:modified>
</cp:coreProperties>
</file>