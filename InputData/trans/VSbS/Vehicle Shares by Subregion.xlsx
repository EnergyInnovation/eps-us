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trans\VSbS\"/>
    </mc:Choice>
  </mc:AlternateContent>
  <xr:revisionPtr revIDLastSave="0" documentId="13_ncr:1_{1CB71A81-DBDB-455B-A361-C206F39ABD4A}" xr6:coauthVersionLast="47" xr6:coauthVersionMax="47" xr10:uidLastSave="{00000000-0000-0000-0000-000000000000}"/>
  <bookViews>
    <workbookView xWindow="33390" yWindow="2475" windowWidth="18330" windowHeight="11580" activeTab="1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F2" i="4"/>
  <c r="E3" i="4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2" i="4"/>
  <c r="D2" i="3"/>
  <c r="E2" i="3"/>
  <c r="F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C2" i="3"/>
  <c r="C3" i="4"/>
  <c r="B3" i="4" s="1"/>
  <c r="C4" i="4"/>
  <c r="B4" i="4" s="1"/>
  <c r="C5" i="4"/>
  <c r="B5" i="4" s="1"/>
  <c r="C6" i="4"/>
  <c r="B6" i="4" s="1"/>
  <c r="C7" i="4"/>
  <c r="B7" i="4" s="1"/>
  <c r="C8" i="4"/>
  <c r="B8" i="4" s="1"/>
  <c r="C9" i="4"/>
  <c r="B9" i="4" s="1"/>
  <c r="C10" i="4"/>
  <c r="B10" i="4" s="1"/>
  <c r="C11" i="4"/>
  <c r="B11" i="4" s="1"/>
  <c r="C12" i="4"/>
  <c r="B12" i="4" s="1"/>
  <c r="C13" i="4"/>
  <c r="B13" i="4" s="1"/>
  <c r="C14" i="4"/>
  <c r="B14" i="4" s="1"/>
  <c r="C15" i="4"/>
  <c r="B15" i="4" s="1"/>
  <c r="C16" i="4"/>
  <c r="B16" i="4" s="1"/>
  <c r="C17" i="4"/>
  <c r="B17" i="4" s="1"/>
  <c r="C18" i="4"/>
  <c r="B18" i="4" s="1"/>
  <c r="C19" i="4"/>
  <c r="B19" i="4" s="1"/>
  <c r="C20" i="4"/>
  <c r="B20" i="4" s="1"/>
  <c r="C21" i="4"/>
  <c r="B21" i="4" s="1"/>
  <c r="C22" i="4"/>
  <c r="B22" i="4" s="1"/>
  <c r="C23" i="4"/>
  <c r="B23" i="4" s="1"/>
  <c r="C24" i="4"/>
  <c r="B24" i="4" s="1"/>
  <c r="C25" i="4"/>
  <c r="B25" i="4" s="1"/>
  <c r="C26" i="4"/>
  <c r="B26" i="4" s="1"/>
  <c r="C27" i="4"/>
  <c r="B27" i="4" s="1"/>
  <c r="C28" i="4"/>
  <c r="B28" i="4" s="1"/>
  <c r="C29" i="4"/>
  <c r="B29" i="4" s="1"/>
  <c r="C30" i="4"/>
  <c r="B30" i="4" s="1"/>
  <c r="C31" i="4"/>
  <c r="B31" i="4" s="1"/>
  <c r="C32" i="4"/>
  <c r="B32" i="4" s="1"/>
  <c r="C33" i="4"/>
  <c r="B33" i="4" s="1"/>
  <c r="C34" i="4"/>
  <c r="B34" i="4" s="1"/>
  <c r="C35" i="4"/>
  <c r="B35" i="4" s="1"/>
  <c r="C36" i="4"/>
  <c r="B36" i="4" s="1"/>
  <c r="C37" i="4"/>
  <c r="B37" i="4" s="1"/>
  <c r="C38" i="4"/>
  <c r="B38" i="4" s="1"/>
  <c r="C39" i="4"/>
  <c r="B39" i="4" s="1"/>
  <c r="C40" i="4"/>
  <c r="B40" i="4" s="1"/>
  <c r="C41" i="4"/>
  <c r="B41" i="4" s="1"/>
  <c r="C42" i="4"/>
  <c r="B42" i="4" s="1"/>
  <c r="C43" i="4"/>
  <c r="B43" i="4" s="1"/>
  <c r="C44" i="4"/>
  <c r="B44" i="4" s="1"/>
  <c r="C45" i="4"/>
  <c r="B45" i="4" s="1"/>
  <c r="C46" i="4"/>
  <c r="B46" i="4" s="1"/>
  <c r="C47" i="4"/>
  <c r="B47" i="4" s="1"/>
  <c r="C48" i="4"/>
  <c r="B48" i="4" s="1"/>
  <c r="C49" i="4"/>
  <c r="B49" i="4" s="1"/>
  <c r="C50" i="4"/>
  <c r="B50" i="4" s="1"/>
  <c r="C51" i="4"/>
  <c r="B51" i="4" s="1"/>
  <c r="C52" i="4"/>
  <c r="B52" i="4" s="1"/>
  <c r="C2" i="4"/>
  <c r="B2" i="4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2" i="3"/>
</calcChain>
</file>

<file path=xl/sharedStrings.xml><?xml version="1.0" encoding="utf-8"?>
<sst xmlns="http://schemas.openxmlformats.org/spreadsheetml/2006/main" count="265" uniqueCount="119">
  <si>
    <t>VSbS Vehicle Shares by Subregion</t>
  </si>
  <si>
    <t>Source:</t>
  </si>
  <si>
    <t>U.S. Federal Highway Administration</t>
  </si>
  <si>
    <t>https://www.fhwa.dot.gov/policyinformation/statistics/2020/mv1.cfm</t>
  </si>
  <si>
    <t>Table MV-1 (State motor-vehicle registrations)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</si>
  <si>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</si>
  <si>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</si>
  <si>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</si>
  <si>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</si>
  <si>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</si>
  <si>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</si>
  <si>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</si>
  <si>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</si>
  <si>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</si>
  <si>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</si>
  <si>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</si>
  <si>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</si>
  <si>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</si>
  <si>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</si>
  <si>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</si>
  <si>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</si>
  <si>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</si>
  <si>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</si>
  <si>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</si>
  <si>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</si>
  <si>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</si>
  <si>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</si>
  <si>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</si>
  <si>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</si>
  <si>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</si>
  <si>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</si>
  <si>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</si>
  <si>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</si>
  <si>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</si>
  <si>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</si>
  <si>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</si>
  <si>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</si>
  <si>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</si>
  <si>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</si>
  <si>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</si>
  <si>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</si>
  <si>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</si>
  <si>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</si>
  <si>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</si>
  <si>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</si>
  <si>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</si>
  <si>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</si>
  <si>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</si>
  <si>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</si>
  <si>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</si>
  <si>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</si>
  <si>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</si>
  <si>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</si>
  <si>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</si>
  <si>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</si>
  <si>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</si>
  <si>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</si>
  <si>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</si>
  <si>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</si>
  <si>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</si>
  <si>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</si>
  <si>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</si>
  <si>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</si>
  <si>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</si>
  <si>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</si>
  <si>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</si>
  <si>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</si>
  <si>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</si>
  <si>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</si>
  <si>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</si>
  <si>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</si>
  <si>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</si>
  <si>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</si>
  <si>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</si>
  <si>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</si>
  <si>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</si>
  <si>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</si>
  <si>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</si>
  <si>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</si>
  <si>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</si>
  <si>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</si>
  <si>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</si>
  <si>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</si>
  <si>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</si>
  <si>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</si>
  <si>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</si>
  <si>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</si>
  <si>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</si>
  <si>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</si>
  <si>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</si>
  <si>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</si>
  <si>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</si>
  <si>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</si>
  <si>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</si>
  <si>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</si>
  <si>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</si>
  <si>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</si>
  <si>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</si>
  <si>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</si>
  <si>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</si>
  <si>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</si>
  <si>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</si>
  <si>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</si>
  <si>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2022 State Motor-Vehicle Registrations (1)</t>
  </si>
  <si>
    <t>Alabama (2)</t>
  </si>
  <si>
    <t>Arkansas (2)</t>
  </si>
  <si>
    <t>Connecticut (2)</t>
  </si>
  <si>
    <t>Idaho (3)</t>
  </si>
  <si>
    <t xml:space="preserve">Massachusetts </t>
  </si>
  <si>
    <t>Minnesota (2)</t>
  </si>
  <si>
    <t>Missouri (2)</t>
  </si>
  <si>
    <t>New York (3)</t>
  </si>
  <si>
    <t>Oklahoma  (2)</t>
  </si>
  <si>
    <t>West Virginia (2)</t>
  </si>
  <si>
    <t>Wisconsin (2)</t>
  </si>
  <si>
    <t>—</t>
  </si>
  <si>
    <t>Highway Statistics 2024</t>
  </si>
  <si>
    <t>January 2026</t>
  </si>
  <si>
    <t>(1) Published data reflects State-supplied data without FHWA estimation procedures applied.
(2) State did not report one or more publicly-owned registered vehicle types.
(3) FHWA transitioned from utilizing estimated data for 2022 and 2023 to actual State-reported registration data for 2024 to derive these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</si>
</sst>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#,##0_);[Red]\(#,##0\);\—_)"/>
    <numFmt numFmtId="165" formatCode="#,##0.000_);\(#,##0.000\)"/>
    <numFmt numFmtId="166" formatCode="_(* #,##0_);_(* \(#,##0\);_(* &quot;-&quot;??_);_(@_)"/>
    <numFmt numFmtId="167" formatCode="#,##0_);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double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6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7" fontId="5" fillId="0" borderId="34" xfId="2" applyFont="1" applyBorder="1" applyAlignment="1">
      <alignment horizontal="center"/>
    </xf>
    <xf numFmtId="37" fontId="5" fillId="0" borderId="16" xfId="2" applyFont="1" applyBorder="1" applyAlignment="1">
      <alignment horizontal="center"/>
    </xf>
    <xf numFmtId="37" fontId="5" fillId="0" borderId="14" xfId="2" applyFont="1" applyBorder="1" applyAlignment="1">
      <alignment horizontal="center"/>
    </xf>
    <xf numFmtId="37" fontId="5" fillId="0" borderId="19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" xfId="2" applyFont="1" applyBorder="1" applyAlignment="1">
      <alignment horizontal="center"/>
    </xf>
    <xf numFmtId="37" fontId="5" fillId="0" borderId="31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3" xfId="2" applyFont="1" applyBorder="1" applyAlignment="1">
      <alignment horizontal="center"/>
    </xf>
    <xf numFmtId="37" fontId="5" fillId="0" borderId="4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5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25" xfId="2" applyFont="1" applyBorder="1" applyAlignment="1">
      <alignment horizontal="center"/>
    </xf>
    <xf numFmtId="37" fontId="5" fillId="0" borderId="24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5" fillId="0" borderId="38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8" fillId="0" borderId="25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65" fontId="4" fillId="0" borderId="0" xfId="2" applyNumberFormat="1"/>
    <xf numFmtId="0" fontId="5" fillId="0" borderId="2" xfId="0" applyFont="1" applyBorder="1"/>
    <xf numFmtId="164" fontId="5" fillId="0" borderId="2" xfId="3" applyNumberFormat="1" applyFont="1" applyBorder="1"/>
    <xf numFmtId="164" fontId="5" fillId="0" borderId="6" xfId="3" applyNumberFormat="1" applyFont="1" applyBorder="1"/>
    <xf numFmtId="164" fontId="5" fillId="0" borderId="10" xfId="3" applyNumberFormat="1" applyFont="1" applyBorder="1"/>
    <xf numFmtId="164" fontId="5" fillId="0" borderId="11" xfId="3" applyNumberFormat="1" applyFont="1" applyBorder="1"/>
    <xf numFmtId="164" fontId="5" fillId="0" borderId="33" xfId="3" applyNumberFormat="1" applyFont="1" applyBorder="1"/>
    <xf numFmtId="164" fontId="5" fillId="0" borderId="3" xfId="3" applyNumberFormat="1" applyFont="1" applyBorder="1"/>
    <xf numFmtId="164" fontId="5" fillId="0" borderId="5" xfId="3" applyNumberFormat="1" applyFont="1" applyBorder="1"/>
    <xf numFmtId="164" fontId="5" fillId="0" borderId="4" xfId="3" applyNumberFormat="1" applyFont="1" applyBorder="1"/>
    <xf numFmtId="166" fontId="5" fillId="0" borderId="0" xfId="5" applyNumberFormat="1" applyFont="1" applyFill="1"/>
    <xf numFmtId="164" fontId="5" fillId="0" borderId="6" xfId="0" applyNumberFormat="1" applyFont="1" applyBorder="1"/>
    <xf numFmtId="164" fontId="5" fillId="0" borderId="7" xfId="3" applyNumberFormat="1" applyFont="1" applyBorder="1"/>
    <xf numFmtId="164" fontId="5" fillId="0" borderId="33" xfId="0" applyNumberFormat="1" applyFont="1" applyBorder="1"/>
    <xf numFmtId="167" fontId="5" fillId="0" borderId="3" xfId="6" applyNumberFormat="1" applyFont="1" applyBorder="1" applyAlignment="1">
      <alignment vertical="center"/>
    </xf>
    <xf numFmtId="164" fontId="5" fillId="0" borderId="10" xfId="4" applyNumberFormat="1" applyFont="1" applyBorder="1"/>
    <xf numFmtId="164" fontId="5" fillId="0" borderId="2" xfId="0" applyNumberFormat="1" applyFont="1" applyBorder="1" applyAlignment="1">
      <alignment horizontal="right"/>
    </xf>
    <xf numFmtId="164" fontId="5" fillId="0" borderId="4" xfId="0" applyNumberFormat="1" applyFont="1" applyBorder="1"/>
    <xf numFmtId="164" fontId="5" fillId="0" borderId="3" xfId="0" applyNumberFormat="1" applyFont="1" applyBorder="1"/>
    <xf numFmtId="164" fontId="5" fillId="0" borderId="2" xfId="0" applyNumberFormat="1" applyFont="1" applyBorder="1"/>
    <xf numFmtId="164" fontId="5" fillId="0" borderId="9" xfId="0" applyNumberFormat="1" applyFont="1" applyBorder="1"/>
    <xf numFmtId="164" fontId="5" fillId="0" borderId="19" xfId="3" applyNumberFormat="1" applyFont="1" applyBorder="1"/>
    <xf numFmtId="164" fontId="5" fillId="0" borderId="1" xfId="3" applyNumberFormat="1" applyFont="1" applyBorder="1"/>
    <xf numFmtId="164" fontId="5" fillId="0" borderId="20" xfId="3" applyNumberFormat="1" applyFont="1" applyBorder="1"/>
    <xf numFmtId="164" fontId="5" fillId="0" borderId="32" xfId="3" applyNumberFormat="1" applyFont="1" applyBorder="1"/>
    <xf numFmtId="164" fontId="5" fillId="0" borderId="18" xfId="3" applyNumberFormat="1" applyFont="1" applyBorder="1"/>
    <xf numFmtId="164" fontId="5" fillId="0" borderId="16" xfId="3" applyNumberFormat="1" applyFont="1" applyBorder="1"/>
    <xf numFmtId="164" fontId="5" fillId="0" borderId="14" xfId="3" applyNumberFormat="1" applyFont="1" applyBorder="1"/>
    <xf numFmtId="164" fontId="5" fillId="0" borderId="12" xfId="0" applyNumberFormat="1" applyFont="1" applyBorder="1"/>
    <xf numFmtId="0" fontId="5" fillId="0" borderId="25" xfId="0" applyFont="1" applyBorder="1"/>
    <xf numFmtId="164" fontId="5" fillId="0" borderId="25" xfId="3" applyNumberFormat="1" applyFont="1" applyBorder="1"/>
    <xf numFmtId="166" fontId="5" fillId="0" borderId="23" xfId="5" applyNumberFormat="1" applyFont="1" applyFill="1" applyBorder="1"/>
    <xf numFmtId="167" fontId="5" fillId="0" borderId="24" xfId="6" applyNumberFormat="1" applyFont="1" applyBorder="1" applyAlignment="1">
      <alignment vertical="center"/>
    </xf>
    <xf numFmtId="164" fontId="5" fillId="0" borderId="22" xfId="4" applyNumberFormat="1" applyFont="1" applyBorder="1"/>
    <xf numFmtId="164" fontId="5" fillId="0" borderId="21" xfId="0" applyNumberFormat="1" applyFont="1" applyBorder="1"/>
    <xf numFmtId="166" fontId="5" fillId="0" borderId="0" xfId="5" applyNumberFormat="1" applyFont="1" applyFill="1" applyBorder="1"/>
    <xf numFmtId="0" fontId="5" fillId="0" borderId="16" xfId="0" applyFont="1" applyBorder="1"/>
    <xf numFmtId="164" fontId="5" fillId="0" borderId="8" xfId="3" applyNumberFormat="1" applyFont="1" applyBorder="1"/>
    <xf numFmtId="164" fontId="5" fillId="0" borderId="31" xfId="3" applyNumberFormat="1" applyFont="1" applyBorder="1"/>
    <xf numFmtId="166" fontId="5" fillId="0" borderId="0" xfId="5" applyNumberFormat="1" applyFont="1" applyFill="1" applyAlignment="1"/>
    <xf numFmtId="166" fontId="5" fillId="0" borderId="2" xfId="5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16" xfId="0" applyNumberFormat="1" applyFont="1" applyBorder="1" applyAlignment="1">
      <alignment horizontal="right"/>
    </xf>
    <xf numFmtId="164" fontId="5" fillId="0" borderId="15" xfId="0" applyNumberFormat="1" applyFont="1" applyBorder="1"/>
    <xf numFmtId="164" fontId="5" fillId="0" borderId="13" xfId="0" applyNumberFormat="1" applyFont="1" applyBorder="1"/>
    <xf numFmtId="164" fontId="5" fillId="0" borderId="27" xfId="0" applyNumberFormat="1" applyFont="1" applyBorder="1"/>
    <xf numFmtId="166" fontId="5" fillId="0" borderId="16" xfId="5" applyNumberFormat="1" applyFont="1" applyFill="1" applyBorder="1"/>
    <xf numFmtId="167" fontId="5" fillId="0" borderId="14" xfId="6" applyNumberFormat="1" applyFont="1" applyBorder="1" applyAlignment="1">
      <alignment vertical="center"/>
    </xf>
    <xf numFmtId="164" fontId="5" fillId="0" borderId="17" xfId="4" applyNumberFormat="1" applyFont="1" applyBorder="1"/>
    <xf numFmtId="164" fontId="5" fillId="0" borderId="26" xfId="0" applyNumberFormat="1" applyFont="1" applyBorder="1"/>
    <xf numFmtId="41" fontId="5" fillId="0" borderId="2" xfId="5" applyNumberFormat="1" applyFont="1" applyFill="1" applyBorder="1" applyProtection="1"/>
    <xf numFmtId="41" fontId="5" fillId="0" borderId="6" xfId="5" applyNumberFormat="1" applyFont="1" applyFill="1" applyBorder="1" applyProtection="1"/>
    <xf numFmtId="41" fontId="5" fillId="0" borderId="4" xfId="5" applyNumberFormat="1" applyFont="1" applyFill="1" applyBorder="1" applyProtection="1"/>
    <xf numFmtId="41" fontId="5" fillId="0" borderId="3" xfId="5" applyNumberFormat="1" applyFont="1" applyFill="1" applyBorder="1" applyProtection="1"/>
    <xf numFmtId="41" fontId="5" fillId="0" borderId="5" xfId="5" applyNumberFormat="1" applyFont="1" applyFill="1" applyBorder="1" applyProtection="1"/>
    <xf numFmtId="164" fontId="7" fillId="0" borderId="15" xfId="0" applyNumberFormat="1" applyFont="1" applyBorder="1"/>
    <xf numFmtId="164" fontId="5" fillId="0" borderId="30" xfId="3" applyNumberFormat="1" applyFont="1" applyBorder="1"/>
    <xf numFmtId="164" fontId="5" fillId="0" borderId="28" xfId="3" applyNumberFormat="1" applyFont="1" applyBorder="1"/>
    <xf numFmtId="164" fontId="5" fillId="0" borderId="24" xfId="3" applyNumberFormat="1" applyFont="1" applyBorder="1"/>
    <xf numFmtId="164" fontId="5" fillId="0" borderId="29" xfId="3" applyNumberFormat="1" applyFont="1" applyBorder="1"/>
    <xf numFmtId="164" fontId="5" fillId="0" borderId="2" xfId="3" applyNumberFormat="1" applyFont="1" applyBorder="1" applyAlignment="1">
      <alignment wrapText="1"/>
    </xf>
    <xf numFmtId="166" fontId="5" fillId="0" borderId="25" xfId="5" applyNumberFormat="1" applyFont="1" applyFill="1" applyBorder="1"/>
    <xf numFmtId="0" fontId="5" fillId="0" borderId="45" xfId="0" applyFont="1" applyBorder="1"/>
    <xf numFmtId="3" fontId="5" fillId="0" borderId="2" xfId="0" applyNumberFormat="1" applyFont="1" applyBorder="1"/>
    <xf numFmtId="3" fontId="5" fillId="0" borderId="46" xfId="0" applyNumberFormat="1" applyFont="1" applyBorder="1"/>
    <xf numFmtId="3" fontId="5" fillId="0" borderId="47" xfId="0" applyNumberFormat="1" applyFont="1" applyBorder="1"/>
    <xf numFmtId="3" fontId="5" fillId="0" borderId="48" xfId="0" applyNumberFormat="1" applyFont="1" applyBorder="1"/>
    <xf numFmtId="49" fontId="5" fillId="0" borderId="0" xfId="2" applyNumberFormat="1" applyFont="1" applyAlignment="1">
      <alignment vertical="top" wrapText="1"/>
    </xf>
    <xf numFmtId="0" fontId="10" fillId="0" borderId="0" xfId="0" applyFont="1" applyAlignment="1">
      <alignment horizontal="center"/>
    </xf>
    <xf numFmtId="37" fontId="8" fillId="0" borderId="42" xfId="2" applyFont="1" applyBorder="1" applyAlignment="1">
      <alignment horizontal="center"/>
    </xf>
    <xf numFmtId="37" fontId="8" fillId="0" borderId="41" xfId="2" applyFont="1" applyBorder="1" applyAlignment="1">
      <alignment horizontal="center"/>
    </xf>
    <xf numFmtId="37" fontId="8" fillId="0" borderId="40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44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40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B26"/>
  <sheetViews>
    <sheetView workbookViewId="0">
      <selection activeCell="B8" sqref="B8"/>
    </sheetView>
  </sheetViews>
  <sheetFormatPr defaultRowHeight="14.5"/>
  <cols>
    <col min="2" max="2" width="70.17968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3">
        <v>2026</v>
      </c>
    </row>
    <row r="5" spans="1:2">
      <c r="B5" t="s">
        <v>116</v>
      </c>
    </row>
    <row r="6" spans="1:2">
      <c r="B6" s="2" t="s">
        <v>3</v>
      </c>
    </row>
    <row r="7" spans="1:2">
      <c r="B7" t="s">
        <v>4</v>
      </c>
    </row>
    <row r="9" spans="1:2">
      <c r="A9" s="1" t="s">
        <v>81</v>
      </c>
    </row>
    <row r="10" spans="1:2">
      <c r="A10" t="s">
        <v>100</v>
      </c>
    </row>
    <row r="11" spans="1:2">
      <c r="A11" t="s">
        <v>101</v>
      </c>
    </row>
    <row r="13" spans="1:2">
      <c r="A13" s="36" t="s">
        <v>102</v>
      </c>
      <c r="B13" s="37"/>
    </row>
    <row r="14" spans="1:2">
      <c r="A14" s="1"/>
    </row>
    <row r="15" spans="1:2">
      <c r="A15" t="s">
        <v>82</v>
      </c>
    </row>
    <row r="17" spans="1:2">
      <c r="A17" t="s">
        <v>85</v>
      </c>
    </row>
    <row r="18" spans="1:2">
      <c r="A18" t="s">
        <v>86</v>
      </c>
    </row>
    <row r="19" spans="1:2">
      <c r="A19" t="s">
        <v>83</v>
      </c>
    </row>
    <row r="21" spans="1:2">
      <c r="A21" t="s">
        <v>84</v>
      </c>
    </row>
    <row r="23" spans="1:2">
      <c r="A23" s="34" t="s">
        <v>96</v>
      </c>
      <c r="B23" s="35"/>
    </row>
    <row r="24" spans="1:2">
      <c r="A24" t="s">
        <v>97</v>
      </c>
    </row>
    <row r="25" spans="1:2">
      <c r="A25" t="s">
        <v>99</v>
      </c>
    </row>
    <row r="26" spans="1:2">
      <c r="A26" t="s">
        <v>98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Q63"/>
  <sheetViews>
    <sheetView showGridLines="0" tabSelected="1" topLeftCell="A30" zoomScale="85" zoomScaleNormal="85" workbookViewId="0">
      <selection activeCell="D67" sqref="D67"/>
    </sheetView>
  </sheetViews>
  <sheetFormatPr defaultColWidth="9.1796875" defaultRowHeight="8"/>
  <cols>
    <col min="1" max="1" width="11.26953125" style="4" customWidth="1"/>
    <col min="2" max="16" width="9.81640625" style="4" customWidth="1"/>
    <col min="17" max="16384" width="9.1796875" style="4"/>
  </cols>
  <sheetData>
    <row r="1" spans="1:17" ht="14">
      <c r="A1" s="107" t="s">
        <v>103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</row>
    <row r="2" spans="1:17">
      <c r="A2" s="3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7" ht="9">
      <c r="A3" s="31" t="s">
        <v>117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29" t="s">
        <v>71</v>
      </c>
    </row>
    <row r="4" spans="1:17">
      <c r="A4" s="28"/>
      <c r="B4" s="108" t="s">
        <v>56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10"/>
    </row>
    <row r="5" spans="1:17" ht="9">
      <c r="A5" s="13"/>
      <c r="B5" s="111" t="s">
        <v>70</v>
      </c>
      <c r="C5" s="112"/>
      <c r="D5" s="113"/>
      <c r="E5" s="114" t="s">
        <v>69</v>
      </c>
      <c r="F5" s="112"/>
      <c r="G5" s="113"/>
      <c r="H5" s="114" t="s">
        <v>68</v>
      </c>
      <c r="I5" s="112"/>
      <c r="J5" s="113"/>
      <c r="K5" s="114" t="s">
        <v>67</v>
      </c>
      <c r="L5" s="112"/>
      <c r="M5" s="113"/>
      <c r="N5" s="114" t="s">
        <v>66</v>
      </c>
      <c r="O5" s="112"/>
      <c r="P5" s="115"/>
    </row>
    <row r="6" spans="1:17" ht="9">
      <c r="A6" s="13" t="s">
        <v>65</v>
      </c>
      <c r="B6" s="22" t="s">
        <v>64</v>
      </c>
      <c r="C6" s="19" t="s">
        <v>56</v>
      </c>
      <c r="D6" s="19"/>
      <c r="E6" s="27"/>
      <c r="F6" s="22" t="s">
        <v>56</v>
      </c>
      <c r="G6" s="17"/>
      <c r="H6" s="23"/>
      <c r="I6" s="22" t="s">
        <v>56</v>
      </c>
      <c r="J6" s="19"/>
      <c r="K6" s="26"/>
      <c r="L6" s="25"/>
      <c r="M6" s="24"/>
      <c r="N6" s="23"/>
      <c r="O6" s="22"/>
      <c r="P6" s="21"/>
    </row>
    <row r="7" spans="1:17" ht="9">
      <c r="A7" s="13"/>
      <c r="B7" s="13" t="s">
        <v>60</v>
      </c>
      <c r="C7" s="19" t="s">
        <v>63</v>
      </c>
      <c r="D7" s="19" t="s">
        <v>56</v>
      </c>
      <c r="E7" s="20" t="s">
        <v>64</v>
      </c>
      <c r="F7" s="13" t="s">
        <v>63</v>
      </c>
      <c r="G7" s="17" t="s">
        <v>56</v>
      </c>
      <c r="H7" s="16" t="s">
        <v>64</v>
      </c>
      <c r="I7" s="13" t="s">
        <v>63</v>
      </c>
      <c r="J7" s="19" t="s">
        <v>56</v>
      </c>
      <c r="K7" s="18" t="s">
        <v>64</v>
      </c>
      <c r="L7" s="13" t="s">
        <v>63</v>
      </c>
      <c r="M7" s="17"/>
      <c r="N7" s="16" t="s">
        <v>64</v>
      </c>
      <c r="O7" s="13" t="s">
        <v>63</v>
      </c>
      <c r="P7" s="15" t="s">
        <v>56</v>
      </c>
    </row>
    <row r="8" spans="1:17" ht="9">
      <c r="A8" s="13"/>
      <c r="B8" s="13" t="s">
        <v>62</v>
      </c>
      <c r="C8" s="19" t="s">
        <v>59</v>
      </c>
      <c r="D8" s="19" t="s">
        <v>58</v>
      </c>
      <c r="E8" s="20" t="s">
        <v>60</v>
      </c>
      <c r="F8" s="13" t="s">
        <v>59</v>
      </c>
      <c r="G8" s="17" t="s">
        <v>58</v>
      </c>
      <c r="H8" s="16" t="s">
        <v>60</v>
      </c>
      <c r="I8" s="13" t="s">
        <v>59</v>
      </c>
      <c r="J8" s="19" t="s">
        <v>58</v>
      </c>
      <c r="K8" s="18" t="s">
        <v>60</v>
      </c>
      <c r="L8" s="13" t="s">
        <v>61</v>
      </c>
      <c r="M8" s="17" t="s">
        <v>58</v>
      </c>
      <c r="N8" s="16" t="s">
        <v>60</v>
      </c>
      <c r="O8" s="13" t="s">
        <v>59</v>
      </c>
      <c r="P8" s="15" t="s">
        <v>58</v>
      </c>
      <c r="Q8" s="38"/>
    </row>
    <row r="9" spans="1:17" ht="9">
      <c r="A9" s="8"/>
      <c r="B9" s="8" t="s">
        <v>57</v>
      </c>
      <c r="C9" s="12">
        <v>-1</v>
      </c>
      <c r="D9" s="12" t="s">
        <v>56</v>
      </c>
      <c r="E9" s="14"/>
      <c r="F9" s="13">
        <v>-1</v>
      </c>
      <c r="G9" s="10" t="s">
        <v>56</v>
      </c>
      <c r="H9" s="9"/>
      <c r="I9" s="8">
        <v>-1</v>
      </c>
      <c r="J9" s="12" t="s">
        <v>56</v>
      </c>
      <c r="K9" s="11" t="s">
        <v>56</v>
      </c>
      <c r="L9" s="8">
        <v>-1</v>
      </c>
      <c r="M9" s="10"/>
      <c r="N9" s="9"/>
      <c r="O9" s="8">
        <v>-1</v>
      </c>
      <c r="P9" s="7" t="s">
        <v>56</v>
      </c>
    </row>
    <row r="10" spans="1:17" ht="9">
      <c r="A10" s="39" t="s">
        <v>104</v>
      </c>
      <c r="B10" s="40">
        <v>1932886</v>
      </c>
      <c r="C10" s="40">
        <v>4444</v>
      </c>
      <c r="D10" s="41">
        <v>1937330</v>
      </c>
      <c r="E10" s="42">
        <v>3246</v>
      </c>
      <c r="F10" s="43">
        <v>123</v>
      </c>
      <c r="G10" s="44">
        <v>3369</v>
      </c>
      <c r="H10" s="45">
        <v>3572635</v>
      </c>
      <c r="I10" s="40">
        <v>12996</v>
      </c>
      <c r="J10" s="41">
        <v>3585631</v>
      </c>
      <c r="K10" s="46">
        <v>129014</v>
      </c>
      <c r="L10" s="40" t="s">
        <v>115</v>
      </c>
      <c r="M10" s="47">
        <v>129014</v>
      </c>
      <c r="N10" s="45">
        <v>5637781</v>
      </c>
      <c r="O10" s="40">
        <v>17563</v>
      </c>
      <c r="P10" s="40">
        <v>5655344</v>
      </c>
      <c r="Q10" s="38"/>
    </row>
    <row r="11" spans="1:17" ht="9">
      <c r="A11" s="39" t="s">
        <v>54</v>
      </c>
      <c r="B11" s="40">
        <v>120421</v>
      </c>
      <c r="C11" s="48">
        <v>2257</v>
      </c>
      <c r="D11" s="49">
        <v>122678</v>
      </c>
      <c r="E11" s="42">
        <v>8488</v>
      </c>
      <c r="F11" s="50">
        <v>601</v>
      </c>
      <c r="G11" s="51">
        <v>9089</v>
      </c>
      <c r="H11" s="52">
        <v>514116</v>
      </c>
      <c r="I11" s="48">
        <v>11599</v>
      </c>
      <c r="J11" s="49">
        <v>525715</v>
      </c>
      <c r="K11" s="53">
        <v>25530</v>
      </c>
      <c r="L11" s="54">
        <v>10</v>
      </c>
      <c r="M11" s="55">
        <v>25540</v>
      </c>
      <c r="N11" s="56">
        <v>668555</v>
      </c>
      <c r="O11" s="57">
        <v>14467</v>
      </c>
      <c r="P11" s="58">
        <v>683022</v>
      </c>
      <c r="Q11" s="38"/>
    </row>
    <row r="12" spans="1:17" ht="9">
      <c r="A12" s="39" t="s">
        <v>53</v>
      </c>
      <c r="B12" s="40">
        <v>2254643</v>
      </c>
      <c r="C12" s="48">
        <v>32888</v>
      </c>
      <c r="D12" s="49">
        <v>2287531</v>
      </c>
      <c r="E12" s="42">
        <v>5083</v>
      </c>
      <c r="F12" s="50">
        <v>17534</v>
      </c>
      <c r="G12" s="51">
        <v>22617</v>
      </c>
      <c r="H12" s="52">
        <v>4024184</v>
      </c>
      <c r="I12" s="48">
        <v>66285</v>
      </c>
      <c r="J12" s="49">
        <v>4090469</v>
      </c>
      <c r="K12" s="53">
        <v>290639</v>
      </c>
      <c r="L12" s="54">
        <v>1375</v>
      </c>
      <c r="M12" s="55">
        <v>292014</v>
      </c>
      <c r="N12" s="56">
        <v>6574549</v>
      </c>
      <c r="O12" s="57">
        <v>118082</v>
      </c>
      <c r="P12" s="58">
        <v>6692631</v>
      </c>
      <c r="Q12" s="38"/>
    </row>
    <row r="13" spans="1:17" ht="9">
      <c r="A13" s="39" t="s">
        <v>105</v>
      </c>
      <c r="B13" s="40">
        <v>892704</v>
      </c>
      <c r="C13" s="40">
        <v>19065</v>
      </c>
      <c r="D13" s="59">
        <v>911769</v>
      </c>
      <c r="E13" s="60">
        <v>4657</v>
      </c>
      <c r="F13" s="61">
        <v>6148</v>
      </c>
      <c r="G13" s="62">
        <v>10805</v>
      </c>
      <c r="H13" s="45">
        <v>2292346</v>
      </c>
      <c r="I13" s="40">
        <v>51233</v>
      </c>
      <c r="J13" s="63">
        <v>2343579</v>
      </c>
      <c r="K13" s="46">
        <v>100497</v>
      </c>
      <c r="L13" s="64" t="s">
        <v>115</v>
      </c>
      <c r="M13" s="59">
        <v>100497</v>
      </c>
      <c r="N13" s="65">
        <v>3290204</v>
      </c>
      <c r="O13" s="40">
        <v>76446</v>
      </c>
      <c r="P13" s="66">
        <v>3366650</v>
      </c>
      <c r="Q13" s="38"/>
    </row>
    <row r="14" spans="1:17" ht="9">
      <c r="A14" s="67" t="s">
        <v>51</v>
      </c>
      <c r="B14" s="68">
        <v>12737763</v>
      </c>
      <c r="C14" s="69">
        <v>241759</v>
      </c>
      <c r="D14" s="49">
        <v>12979522</v>
      </c>
      <c r="E14" s="42">
        <v>28069</v>
      </c>
      <c r="F14" s="43">
        <v>68160</v>
      </c>
      <c r="G14" s="55">
        <v>96229</v>
      </c>
      <c r="H14" s="70">
        <v>16752902</v>
      </c>
      <c r="I14" s="69">
        <v>360861</v>
      </c>
      <c r="J14" s="49">
        <v>17113763</v>
      </c>
      <c r="K14" s="71">
        <v>737824</v>
      </c>
      <c r="L14" s="54">
        <v>13314</v>
      </c>
      <c r="M14" s="55">
        <v>751138</v>
      </c>
      <c r="N14" s="56">
        <v>30256558</v>
      </c>
      <c r="O14" s="72">
        <v>684094</v>
      </c>
      <c r="P14" s="58">
        <v>30940652</v>
      </c>
      <c r="Q14" s="38"/>
    </row>
    <row r="15" spans="1:17" ht="9">
      <c r="A15" s="39" t="s">
        <v>50</v>
      </c>
      <c r="B15" s="40">
        <v>1341494</v>
      </c>
      <c r="C15" s="73">
        <v>15032</v>
      </c>
      <c r="D15" s="49">
        <v>1356526</v>
      </c>
      <c r="E15" s="42">
        <v>4797</v>
      </c>
      <c r="F15" s="50">
        <v>7805</v>
      </c>
      <c r="G15" s="55">
        <v>12602</v>
      </c>
      <c r="H15" s="52">
        <v>3684600</v>
      </c>
      <c r="I15" s="73">
        <v>46491</v>
      </c>
      <c r="J15" s="49">
        <v>3731091</v>
      </c>
      <c r="K15" s="53">
        <v>176484</v>
      </c>
      <c r="L15" s="54" t="s">
        <v>115</v>
      </c>
      <c r="M15" s="55">
        <v>176484</v>
      </c>
      <c r="N15" s="56">
        <v>5207375</v>
      </c>
      <c r="O15" s="57">
        <v>69328</v>
      </c>
      <c r="P15" s="58">
        <v>5276703</v>
      </c>
      <c r="Q15" s="38"/>
    </row>
    <row r="16" spans="1:17" ht="9">
      <c r="A16" s="39" t="s">
        <v>106</v>
      </c>
      <c r="B16" s="40">
        <v>1028325</v>
      </c>
      <c r="C16" s="73">
        <v>474</v>
      </c>
      <c r="D16" s="49">
        <v>1028799</v>
      </c>
      <c r="E16" s="42">
        <v>9854</v>
      </c>
      <c r="F16" s="50">
        <v>35</v>
      </c>
      <c r="G16" s="55">
        <v>9889</v>
      </c>
      <c r="H16" s="52">
        <v>1684267</v>
      </c>
      <c r="I16" s="73">
        <v>4505</v>
      </c>
      <c r="J16" s="49">
        <v>1688772</v>
      </c>
      <c r="K16" s="53">
        <v>81996</v>
      </c>
      <c r="L16" s="54" t="s">
        <v>115</v>
      </c>
      <c r="M16" s="55">
        <v>81996</v>
      </c>
      <c r="N16" s="56">
        <v>2804442</v>
      </c>
      <c r="O16" s="57">
        <v>5014</v>
      </c>
      <c r="P16" s="58">
        <v>2809456</v>
      </c>
      <c r="Q16" s="38"/>
    </row>
    <row r="17" spans="1:17" ht="9">
      <c r="A17" s="74" t="s">
        <v>48</v>
      </c>
      <c r="B17" s="64">
        <v>146701</v>
      </c>
      <c r="C17" s="64">
        <v>1792</v>
      </c>
      <c r="D17" s="63">
        <v>148493</v>
      </c>
      <c r="E17" s="75">
        <v>1904</v>
      </c>
      <c r="F17" s="61">
        <v>1579</v>
      </c>
      <c r="G17" s="59">
        <v>3483</v>
      </c>
      <c r="H17" s="65">
        <v>266034</v>
      </c>
      <c r="I17" s="64">
        <v>4390</v>
      </c>
      <c r="J17" s="63">
        <v>270424</v>
      </c>
      <c r="K17" s="76">
        <v>24607</v>
      </c>
      <c r="L17" s="64">
        <v>87</v>
      </c>
      <c r="M17" s="59">
        <v>24694</v>
      </c>
      <c r="N17" s="65">
        <v>439246</v>
      </c>
      <c r="O17" s="64">
        <v>7848</v>
      </c>
      <c r="P17" s="64">
        <v>447094</v>
      </c>
      <c r="Q17" s="38"/>
    </row>
    <row r="18" spans="1:17" ht="9">
      <c r="A18" s="39" t="s">
        <v>47</v>
      </c>
      <c r="B18" s="40">
        <v>138559</v>
      </c>
      <c r="C18" s="40">
        <v>11917</v>
      </c>
      <c r="D18" s="41">
        <v>150476</v>
      </c>
      <c r="E18" s="42">
        <v>2453</v>
      </c>
      <c r="F18" s="43">
        <v>3034</v>
      </c>
      <c r="G18" s="47">
        <v>5487</v>
      </c>
      <c r="H18" s="45">
        <v>129193</v>
      </c>
      <c r="I18" s="40">
        <v>13869</v>
      </c>
      <c r="J18" s="41">
        <v>143062</v>
      </c>
      <c r="K18" s="46">
        <v>3267</v>
      </c>
      <c r="L18" s="40">
        <v>355</v>
      </c>
      <c r="M18" s="47">
        <v>3622</v>
      </c>
      <c r="N18" s="45">
        <v>273472</v>
      </c>
      <c r="O18" s="40">
        <v>29175</v>
      </c>
      <c r="P18" s="40">
        <v>302647</v>
      </c>
      <c r="Q18" s="38"/>
    </row>
    <row r="19" spans="1:17" ht="9">
      <c r="A19" s="39" t="s">
        <v>46</v>
      </c>
      <c r="B19" s="40">
        <v>7113843</v>
      </c>
      <c r="C19" s="77">
        <v>96271</v>
      </c>
      <c r="D19" s="49">
        <v>7210114</v>
      </c>
      <c r="E19" s="42">
        <v>22196</v>
      </c>
      <c r="F19" s="50">
        <v>35272</v>
      </c>
      <c r="G19" s="55">
        <v>57468</v>
      </c>
      <c r="H19" s="52">
        <v>11617475</v>
      </c>
      <c r="I19" s="77">
        <v>176659</v>
      </c>
      <c r="J19" s="49">
        <v>11794134</v>
      </c>
      <c r="K19" s="53">
        <v>631452</v>
      </c>
      <c r="L19" s="54">
        <v>2912</v>
      </c>
      <c r="M19" s="55">
        <v>634364</v>
      </c>
      <c r="N19" s="56">
        <v>19384966</v>
      </c>
      <c r="O19" s="57">
        <v>311114</v>
      </c>
      <c r="P19" s="58">
        <v>19696080</v>
      </c>
      <c r="Q19" s="38"/>
    </row>
    <row r="20" spans="1:17" ht="9">
      <c r="A20" s="39" t="s">
        <v>45</v>
      </c>
      <c r="B20" s="40">
        <v>3154970</v>
      </c>
      <c r="C20" s="48">
        <v>51640</v>
      </c>
      <c r="D20" s="49">
        <v>3206610</v>
      </c>
      <c r="E20" s="42">
        <v>10816</v>
      </c>
      <c r="F20" s="50">
        <v>28565</v>
      </c>
      <c r="G20" s="55">
        <v>39381</v>
      </c>
      <c r="H20" s="52">
        <v>5738067</v>
      </c>
      <c r="I20" s="48">
        <v>104056</v>
      </c>
      <c r="J20" s="49">
        <v>5842123</v>
      </c>
      <c r="K20" s="53">
        <v>221253</v>
      </c>
      <c r="L20" s="54">
        <v>41</v>
      </c>
      <c r="M20" s="55">
        <v>221294</v>
      </c>
      <c r="N20" s="56">
        <v>9125106</v>
      </c>
      <c r="O20" s="57">
        <v>184302</v>
      </c>
      <c r="P20" s="58">
        <v>9309408</v>
      </c>
      <c r="Q20" s="38"/>
    </row>
    <row r="21" spans="1:17" ht="9">
      <c r="A21" s="39" t="s">
        <v>44</v>
      </c>
      <c r="B21" s="40">
        <v>415330</v>
      </c>
      <c r="C21" s="78">
        <v>6962</v>
      </c>
      <c r="D21" s="79">
        <v>422292</v>
      </c>
      <c r="E21" s="75">
        <v>1054</v>
      </c>
      <c r="F21" s="61">
        <v>741</v>
      </c>
      <c r="G21" s="80">
        <v>1795</v>
      </c>
      <c r="H21" s="52">
        <v>804155</v>
      </c>
      <c r="I21" s="78">
        <v>17356</v>
      </c>
      <c r="J21" s="79">
        <v>821511</v>
      </c>
      <c r="K21" s="53">
        <v>24181</v>
      </c>
      <c r="L21" s="81">
        <v>374</v>
      </c>
      <c r="M21" s="82">
        <v>24555</v>
      </c>
      <c r="N21" s="56">
        <v>1244720</v>
      </c>
      <c r="O21" s="83">
        <v>25433</v>
      </c>
      <c r="P21" s="66">
        <v>1270153</v>
      </c>
      <c r="Q21" s="38"/>
    </row>
    <row r="22" spans="1:17" ht="9">
      <c r="A22" s="67" t="s">
        <v>107</v>
      </c>
      <c r="B22" s="68">
        <v>504204</v>
      </c>
      <c r="C22" s="69">
        <v>6312</v>
      </c>
      <c r="D22" s="49">
        <v>510516</v>
      </c>
      <c r="E22" s="42">
        <v>1567</v>
      </c>
      <c r="F22" s="43">
        <v>2515</v>
      </c>
      <c r="G22" s="55">
        <v>4082</v>
      </c>
      <c r="H22" s="70">
        <v>1419807</v>
      </c>
      <c r="I22" s="69">
        <v>20749</v>
      </c>
      <c r="J22" s="49">
        <v>1440556</v>
      </c>
      <c r="K22" s="71">
        <v>74815</v>
      </c>
      <c r="L22" s="54">
        <v>100</v>
      </c>
      <c r="M22" s="55">
        <v>74915</v>
      </c>
      <c r="N22" s="84">
        <v>2000393</v>
      </c>
      <c r="O22" s="57">
        <v>29676</v>
      </c>
      <c r="P22" s="58">
        <v>2030069</v>
      </c>
      <c r="Q22" s="38"/>
    </row>
    <row r="23" spans="1:17" ht="9">
      <c r="A23" s="39" t="s">
        <v>42</v>
      </c>
      <c r="B23" s="40">
        <v>3443638</v>
      </c>
      <c r="C23" s="73">
        <v>70600</v>
      </c>
      <c r="D23" s="49">
        <v>3514238</v>
      </c>
      <c r="E23" s="42">
        <v>35404</v>
      </c>
      <c r="F23" s="50">
        <v>3779</v>
      </c>
      <c r="G23" s="55">
        <v>39183</v>
      </c>
      <c r="H23" s="52">
        <v>6580751</v>
      </c>
      <c r="I23" s="73">
        <v>146582</v>
      </c>
      <c r="J23" s="49">
        <v>6727333</v>
      </c>
      <c r="K23" s="53">
        <v>264596</v>
      </c>
      <c r="L23" s="54">
        <v>677</v>
      </c>
      <c r="M23" s="55">
        <v>265273</v>
      </c>
      <c r="N23" s="56">
        <v>10324389</v>
      </c>
      <c r="O23" s="57">
        <v>221638</v>
      </c>
      <c r="P23" s="58">
        <v>10546027</v>
      </c>
      <c r="Q23" s="38"/>
    </row>
    <row r="24" spans="1:17" ht="9">
      <c r="A24" s="39" t="s">
        <v>41</v>
      </c>
      <c r="B24" s="40">
        <v>1752726</v>
      </c>
      <c r="C24" s="73">
        <v>38382</v>
      </c>
      <c r="D24" s="49">
        <v>1791108</v>
      </c>
      <c r="E24" s="42">
        <v>10464</v>
      </c>
      <c r="F24" s="50">
        <v>21897</v>
      </c>
      <c r="G24" s="55">
        <v>32361</v>
      </c>
      <c r="H24" s="52">
        <v>3981452</v>
      </c>
      <c r="I24" s="73">
        <v>91939</v>
      </c>
      <c r="J24" s="49">
        <v>4073391</v>
      </c>
      <c r="K24" s="53">
        <v>203508</v>
      </c>
      <c r="L24" s="54">
        <v>363</v>
      </c>
      <c r="M24" s="55">
        <v>203871</v>
      </c>
      <c r="N24" s="56">
        <v>5948150</v>
      </c>
      <c r="O24" s="57">
        <v>152581</v>
      </c>
      <c r="P24" s="58">
        <v>6100731</v>
      </c>
      <c r="Q24" s="38"/>
    </row>
    <row r="25" spans="1:17" ht="9">
      <c r="A25" s="74" t="s">
        <v>40</v>
      </c>
      <c r="B25" s="64">
        <v>998101</v>
      </c>
      <c r="C25" s="85">
        <v>8893</v>
      </c>
      <c r="D25" s="79">
        <v>1006994</v>
      </c>
      <c r="E25" s="75">
        <v>3843</v>
      </c>
      <c r="F25" s="61">
        <v>5324</v>
      </c>
      <c r="G25" s="80">
        <v>9167</v>
      </c>
      <c r="H25" s="86">
        <v>2621876</v>
      </c>
      <c r="I25" s="85">
        <v>25446</v>
      </c>
      <c r="J25" s="79">
        <v>2647322</v>
      </c>
      <c r="K25" s="87">
        <v>192834</v>
      </c>
      <c r="L25" s="81">
        <v>330</v>
      </c>
      <c r="M25" s="82">
        <v>193164</v>
      </c>
      <c r="N25" s="88">
        <v>3816654</v>
      </c>
      <c r="O25" s="83">
        <v>39993</v>
      </c>
      <c r="P25" s="66">
        <v>3856647</v>
      </c>
      <c r="Q25" s="38"/>
    </row>
    <row r="26" spans="1:17" ht="9">
      <c r="A26" s="39" t="s">
        <v>39</v>
      </c>
      <c r="B26" s="40">
        <v>592793</v>
      </c>
      <c r="C26" s="40">
        <v>1993</v>
      </c>
      <c r="D26" s="41">
        <v>594786</v>
      </c>
      <c r="E26" s="42">
        <v>1272</v>
      </c>
      <c r="F26" s="43">
        <v>162</v>
      </c>
      <c r="G26" s="47">
        <v>1434</v>
      </c>
      <c r="H26" s="45">
        <v>1309881</v>
      </c>
      <c r="I26" s="40">
        <v>6989</v>
      </c>
      <c r="J26" s="41">
        <v>1316870</v>
      </c>
      <c r="K26" s="46">
        <v>94483</v>
      </c>
      <c r="L26" s="40">
        <v>13</v>
      </c>
      <c r="M26" s="47">
        <v>94496</v>
      </c>
      <c r="N26" s="45">
        <v>1998429</v>
      </c>
      <c r="O26" s="40">
        <v>9157</v>
      </c>
      <c r="P26" s="40">
        <v>2007586</v>
      </c>
      <c r="Q26" s="38"/>
    </row>
    <row r="27" spans="1:17" ht="9">
      <c r="A27" s="39" t="s">
        <v>38</v>
      </c>
      <c r="B27" s="40">
        <v>1431848</v>
      </c>
      <c r="C27" s="48">
        <v>26811</v>
      </c>
      <c r="D27" s="49">
        <v>1458659</v>
      </c>
      <c r="E27" s="42">
        <v>151</v>
      </c>
      <c r="F27" s="50">
        <v>15277</v>
      </c>
      <c r="G27" s="55">
        <v>15428</v>
      </c>
      <c r="H27" s="52">
        <v>2914155</v>
      </c>
      <c r="I27" s="48">
        <v>57410</v>
      </c>
      <c r="J27" s="49">
        <v>2971565</v>
      </c>
      <c r="K27" s="53">
        <v>115807</v>
      </c>
      <c r="L27" s="54">
        <v>80</v>
      </c>
      <c r="M27" s="55">
        <v>115887</v>
      </c>
      <c r="N27" s="56">
        <v>4461961</v>
      </c>
      <c r="O27" s="57">
        <v>99578</v>
      </c>
      <c r="P27" s="58">
        <v>4561539</v>
      </c>
      <c r="Q27" s="38"/>
    </row>
    <row r="28" spans="1:17" ht="9">
      <c r="A28" s="39" t="s">
        <v>37</v>
      </c>
      <c r="B28" s="40">
        <v>1337616</v>
      </c>
      <c r="C28" s="40">
        <v>32947</v>
      </c>
      <c r="D28" s="41">
        <v>1370563</v>
      </c>
      <c r="E28" s="42">
        <v>24228</v>
      </c>
      <c r="F28" s="50">
        <v>9401</v>
      </c>
      <c r="G28" s="47">
        <v>33629</v>
      </c>
      <c r="H28" s="45">
        <v>2969301</v>
      </c>
      <c r="I28" s="40">
        <v>77439</v>
      </c>
      <c r="J28" s="41">
        <v>3046740</v>
      </c>
      <c r="K28" s="46">
        <v>104991</v>
      </c>
      <c r="L28" s="40">
        <v>513</v>
      </c>
      <c r="M28" s="47">
        <v>105504</v>
      </c>
      <c r="N28" s="45">
        <v>4436136</v>
      </c>
      <c r="O28" s="40">
        <v>120300</v>
      </c>
      <c r="P28" s="40">
        <v>4556436</v>
      </c>
      <c r="Q28" s="38"/>
    </row>
    <row r="29" spans="1:17" ht="9">
      <c r="A29" s="39" t="s">
        <v>36</v>
      </c>
      <c r="B29" s="102">
        <v>305020</v>
      </c>
      <c r="C29" s="40">
        <v>7453</v>
      </c>
      <c r="D29" s="59">
        <v>312473</v>
      </c>
      <c r="E29" s="75">
        <v>1184</v>
      </c>
      <c r="F29" s="61">
        <v>464</v>
      </c>
      <c r="G29" s="59">
        <v>1648</v>
      </c>
      <c r="H29" s="65">
        <v>823735</v>
      </c>
      <c r="I29" s="64">
        <v>21426</v>
      </c>
      <c r="J29" s="63">
        <v>845161</v>
      </c>
      <c r="K29" s="76">
        <v>47656</v>
      </c>
      <c r="L29" s="64">
        <v>29</v>
      </c>
      <c r="M29" s="59">
        <v>47685</v>
      </c>
      <c r="N29" s="65">
        <v>1177595</v>
      </c>
      <c r="O29" s="64">
        <v>29372</v>
      </c>
      <c r="P29" s="64">
        <v>1206967</v>
      </c>
      <c r="Q29" s="38"/>
    </row>
    <row r="30" spans="1:17" ht="9">
      <c r="A30" s="67" t="s">
        <v>35</v>
      </c>
      <c r="B30" s="68">
        <v>1882459</v>
      </c>
      <c r="C30" s="69">
        <v>25993</v>
      </c>
      <c r="D30" s="49">
        <v>1908452</v>
      </c>
      <c r="E30" s="42">
        <v>6965</v>
      </c>
      <c r="F30" s="43">
        <v>8942</v>
      </c>
      <c r="G30" s="55">
        <v>15907</v>
      </c>
      <c r="H30" s="52">
        <v>2893645</v>
      </c>
      <c r="I30" s="73">
        <v>48495</v>
      </c>
      <c r="J30" s="49">
        <v>2942140</v>
      </c>
      <c r="K30" s="53">
        <v>99009</v>
      </c>
      <c r="L30" s="54">
        <v>97</v>
      </c>
      <c r="M30" s="55">
        <v>99106</v>
      </c>
      <c r="N30" s="56">
        <v>4882078</v>
      </c>
      <c r="O30" s="57">
        <v>83527</v>
      </c>
      <c r="P30" s="58">
        <v>4965605</v>
      </c>
      <c r="Q30" s="38"/>
    </row>
    <row r="31" spans="1:17" ht="9">
      <c r="A31" s="39" t="s">
        <v>108</v>
      </c>
      <c r="B31" s="89">
        <v>1690199</v>
      </c>
      <c r="C31" s="89">
        <v>16515</v>
      </c>
      <c r="D31" s="90">
        <v>1706714</v>
      </c>
      <c r="E31" s="42">
        <v>10865</v>
      </c>
      <c r="F31" s="50">
        <v>3038</v>
      </c>
      <c r="G31" s="91">
        <v>13903</v>
      </c>
      <c r="H31" s="92">
        <v>3194932</v>
      </c>
      <c r="I31" s="89">
        <v>37430</v>
      </c>
      <c r="J31" s="90">
        <v>3232362</v>
      </c>
      <c r="K31" s="93">
        <v>140949</v>
      </c>
      <c r="L31" s="89">
        <v>761</v>
      </c>
      <c r="M31" s="91">
        <v>141710</v>
      </c>
      <c r="N31" s="92">
        <v>5036945</v>
      </c>
      <c r="O31" s="89">
        <v>57744</v>
      </c>
      <c r="P31" s="89">
        <v>5094689</v>
      </c>
      <c r="Q31" s="38"/>
    </row>
    <row r="32" spans="1:17" ht="9">
      <c r="A32" s="39" t="s">
        <v>34</v>
      </c>
      <c r="B32" s="40">
        <v>2493266</v>
      </c>
      <c r="C32" s="40">
        <v>970</v>
      </c>
      <c r="D32" s="41">
        <v>2494236</v>
      </c>
      <c r="E32" s="42">
        <v>2182</v>
      </c>
      <c r="F32" s="50">
        <v>74</v>
      </c>
      <c r="G32" s="47">
        <v>2256</v>
      </c>
      <c r="H32" s="45">
        <v>6850142</v>
      </c>
      <c r="I32" s="40">
        <v>10702</v>
      </c>
      <c r="J32" s="41">
        <v>6860844</v>
      </c>
      <c r="K32" s="46">
        <v>249465</v>
      </c>
      <c r="L32" s="40" t="s">
        <v>115</v>
      </c>
      <c r="M32" s="47">
        <v>249465</v>
      </c>
      <c r="N32" s="45">
        <v>9595055</v>
      </c>
      <c r="O32" s="40">
        <v>11746</v>
      </c>
      <c r="P32" s="40">
        <v>9606801</v>
      </c>
      <c r="Q32" s="38"/>
    </row>
    <row r="33" spans="1:17" ht="9">
      <c r="A33" s="74" t="s">
        <v>109</v>
      </c>
      <c r="B33" s="64">
        <v>1592071</v>
      </c>
      <c r="C33" s="64">
        <v>16971</v>
      </c>
      <c r="D33" s="63">
        <v>1609042</v>
      </c>
      <c r="E33" s="75">
        <v>14159</v>
      </c>
      <c r="F33" s="61">
        <v>26</v>
      </c>
      <c r="G33" s="59">
        <v>14185</v>
      </c>
      <c r="H33" s="65">
        <v>4040621</v>
      </c>
      <c r="I33" s="64">
        <v>47020</v>
      </c>
      <c r="J33" s="63">
        <v>4087641</v>
      </c>
      <c r="K33" s="76">
        <v>226544</v>
      </c>
      <c r="L33" s="64" t="s">
        <v>115</v>
      </c>
      <c r="M33" s="59">
        <v>226544</v>
      </c>
      <c r="N33" s="65">
        <v>5873395</v>
      </c>
      <c r="O33" s="64">
        <v>64017</v>
      </c>
      <c r="P33" s="64">
        <v>5937412</v>
      </c>
      <c r="Q33" s="38"/>
    </row>
    <row r="34" spans="1:17" ht="9">
      <c r="A34" s="39" t="s">
        <v>32</v>
      </c>
      <c r="B34" s="40">
        <v>754721</v>
      </c>
      <c r="C34" s="48">
        <v>2220</v>
      </c>
      <c r="D34" s="49">
        <v>756941</v>
      </c>
      <c r="E34" s="42">
        <v>2006</v>
      </c>
      <c r="F34" s="43">
        <v>6499</v>
      </c>
      <c r="G34" s="55">
        <v>8505</v>
      </c>
      <c r="H34" s="52">
        <v>1411201</v>
      </c>
      <c r="I34" s="48">
        <v>7181</v>
      </c>
      <c r="J34" s="49">
        <v>1418382</v>
      </c>
      <c r="K34" s="53">
        <v>30421</v>
      </c>
      <c r="L34" s="54" t="s">
        <v>115</v>
      </c>
      <c r="M34" s="55">
        <v>30421</v>
      </c>
      <c r="N34" s="45">
        <v>2198349</v>
      </c>
      <c r="O34" s="72">
        <v>15900</v>
      </c>
      <c r="P34" s="58">
        <v>2214249</v>
      </c>
      <c r="Q34" s="38"/>
    </row>
    <row r="35" spans="1:17" ht="9">
      <c r="A35" s="39" t="s">
        <v>110</v>
      </c>
      <c r="B35" s="40">
        <v>1644583</v>
      </c>
      <c r="C35" s="40">
        <v>1131</v>
      </c>
      <c r="D35" s="41">
        <v>1645714</v>
      </c>
      <c r="E35" s="42">
        <v>22786</v>
      </c>
      <c r="F35" s="50">
        <v>119</v>
      </c>
      <c r="G35" s="47">
        <v>22905</v>
      </c>
      <c r="H35" s="45">
        <v>3611893</v>
      </c>
      <c r="I35" s="40">
        <v>8106</v>
      </c>
      <c r="J35" s="41">
        <v>3619999</v>
      </c>
      <c r="K35" s="46">
        <v>133801</v>
      </c>
      <c r="L35" s="40" t="s">
        <v>115</v>
      </c>
      <c r="M35" s="47">
        <v>133801</v>
      </c>
      <c r="N35" s="56">
        <v>5413063</v>
      </c>
      <c r="O35" s="40">
        <v>9356</v>
      </c>
      <c r="P35" s="40">
        <v>5422419</v>
      </c>
      <c r="Q35" s="38"/>
    </row>
    <row r="36" spans="1:17" ht="9">
      <c r="A36" s="39" t="s">
        <v>30</v>
      </c>
      <c r="B36" s="40">
        <v>524624</v>
      </c>
      <c r="C36" s="48">
        <v>602</v>
      </c>
      <c r="D36" s="49">
        <v>525226</v>
      </c>
      <c r="E36" s="42">
        <v>5409</v>
      </c>
      <c r="F36" s="50">
        <v>220</v>
      </c>
      <c r="G36" s="55">
        <v>5629</v>
      </c>
      <c r="H36" s="52">
        <v>1490120</v>
      </c>
      <c r="I36" s="48">
        <v>4351</v>
      </c>
      <c r="J36" s="49">
        <v>1494471</v>
      </c>
      <c r="K36" s="53">
        <v>447935</v>
      </c>
      <c r="L36" s="54">
        <v>8</v>
      </c>
      <c r="M36" s="55">
        <v>447943</v>
      </c>
      <c r="N36" s="56">
        <v>2468088</v>
      </c>
      <c r="O36" s="57">
        <v>5181</v>
      </c>
      <c r="P36" s="58">
        <v>2473269</v>
      </c>
      <c r="Q36" s="38"/>
    </row>
    <row r="37" spans="1:17" ht="9">
      <c r="A37" s="39" t="s">
        <v>29</v>
      </c>
      <c r="B37" s="40">
        <v>551466</v>
      </c>
      <c r="C37" s="78">
        <v>9645</v>
      </c>
      <c r="D37" s="79">
        <v>561111</v>
      </c>
      <c r="E37" s="75">
        <v>3632</v>
      </c>
      <c r="F37" s="61">
        <v>5374</v>
      </c>
      <c r="G37" s="80">
        <v>9006</v>
      </c>
      <c r="H37" s="52">
        <v>1343041</v>
      </c>
      <c r="I37" s="78">
        <v>25261</v>
      </c>
      <c r="J37" s="79">
        <v>1368302</v>
      </c>
      <c r="K37" s="53">
        <v>50655</v>
      </c>
      <c r="L37" s="81">
        <v>98</v>
      </c>
      <c r="M37" s="94">
        <v>50753</v>
      </c>
      <c r="N37" s="65">
        <v>1948794</v>
      </c>
      <c r="O37" s="57">
        <v>40378</v>
      </c>
      <c r="P37" s="66">
        <v>1989172</v>
      </c>
      <c r="Q37" s="38"/>
    </row>
    <row r="38" spans="1:17" ht="9">
      <c r="A38" s="67" t="s">
        <v>28</v>
      </c>
      <c r="B38" s="68">
        <v>832098</v>
      </c>
      <c r="C38" s="68">
        <v>11001</v>
      </c>
      <c r="D38" s="95">
        <v>843099</v>
      </c>
      <c r="E38" s="42">
        <v>1167</v>
      </c>
      <c r="F38" s="43">
        <v>6714</v>
      </c>
      <c r="G38" s="96">
        <v>7881</v>
      </c>
      <c r="H38" s="97">
        <v>1427942</v>
      </c>
      <c r="I38" s="68">
        <v>22292</v>
      </c>
      <c r="J38" s="95">
        <v>1450234</v>
      </c>
      <c r="K38" s="98">
        <v>85715</v>
      </c>
      <c r="L38" s="68">
        <v>1987</v>
      </c>
      <c r="M38" s="96">
        <v>87702</v>
      </c>
      <c r="N38" s="56">
        <v>2346922</v>
      </c>
      <c r="O38" s="68">
        <v>41994</v>
      </c>
      <c r="P38" s="68">
        <v>2388916</v>
      </c>
      <c r="Q38" s="38"/>
    </row>
    <row r="39" spans="1:17" ht="9">
      <c r="A39" s="39" t="s">
        <v>27</v>
      </c>
      <c r="B39" s="40">
        <v>387846</v>
      </c>
      <c r="C39" s="40">
        <v>3218</v>
      </c>
      <c r="D39" s="41">
        <v>391064</v>
      </c>
      <c r="E39" s="42">
        <v>1729</v>
      </c>
      <c r="F39" s="50">
        <v>718</v>
      </c>
      <c r="G39" s="47">
        <v>2447</v>
      </c>
      <c r="H39" s="45">
        <v>902330</v>
      </c>
      <c r="I39" s="40">
        <v>8561</v>
      </c>
      <c r="J39" s="41">
        <v>910891</v>
      </c>
      <c r="K39" s="46">
        <v>86178</v>
      </c>
      <c r="L39" s="40">
        <v>30</v>
      </c>
      <c r="M39" s="47">
        <v>86208</v>
      </c>
      <c r="N39" s="56">
        <v>1378083</v>
      </c>
      <c r="O39" s="40">
        <v>12527</v>
      </c>
      <c r="P39" s="40">
        <v>1390610</v>
      </c>
      <c r="Q39" s="38"/>
    </row>
    <row r="40" spans="1:17" ht="9">
      <c r="A40" s="39" t="s">
        <v>26</v>
      </c>
      <c r="B40" s="40">
        <v>2251730</v>
      </c>
      <c r="C40" s="78">
        <v>23325</v>
      </c>
      <c r="D40" s="49">
        <v>2275055</v>
      </c>
      <c r="E40" s="42">
        <v>22486</v>
      </c>
      <c r="F40" s="50">
        <v>2731</v>
      </c>
      <c r="G40" s="55">
        <v>25217</v>
      </c>
      <c r="H40" s="52">
        <v>3762020</v>
      </c>
      <c r="I40" s="73">
        <v>47802</v>
      </c>
      <c r="J40" s="49">
        <v>3809822</v>
      </c>
      <c r="K40" s="53">
        <v>146003</v>
      </c>
      <c r="L40" s="54" t="s">
        <v>115</v>
      </c>
      <c r="M40" s="55">
        <v>146003</v>
      </c>
      <c r="N40" s="56">
        <v>6182239</v>
      </c>
      <c r="O40" s="57">
        <v>73858</v>
      </c>
      <c r="P40" s="58">
        <v>6256097</v>
      </c>
      <c r="Q40" s="38"/>
    </row>
    <row r="41" spans="1:17" ht="9">
      <c r="A41" s="74" t="s">
        <v>25</v>
      </c>
      <c r="B41" s="64">
        <v>571192</v>
      </c>
      <c r="C41" s="85">
        <v>18842</v>
      </c>
      <c r="D41" s="79">
        <v>590034</v>
      </c>
      <c r="E41" s="75">
        <v>2161</v>
      </c>
      <c r="F41" s="61">
        <v>4852</v>
      </c>
      <c r="G41" s="80">
        <v>7013</v>
      </c>
      <c r="H41" s="86">
        <v>1230750</v>
      </c>
      <c r="I41" s="85">
        <v>46059</v>
      </c>
      <c r="J41" s="79">
        <v>1276809</v>
      </c>
      <c r="K41" s="87">
        <v>56104</v>
      </c>
      <c r="L41" s="81">
        <v>393</v>
      </c>
      <c r="M41" s="82">
        <v>56497</v>
      </c>
      <c r="N41" s="65">
        <v>1860207</v>
      </c>
      <c r="O41" s="83">
        <v>70146</v>
      </c>
      <c r="P41" s="66">
        <v>1930353</v>
      </c>
      <c r="Q41" s="38"/>
    </row>
    <row r="42" spans="1:17" ht="9">
      <c r="A42" s="39" t="s">
        <v>111</v>
      </c>
      <c r="B42" s="40">
        <v>6452828</v>
      </c>
      <c r="C42" s="78">
        <v>21231</v>
      </c>
      <c r="D42" s="49">
        <v>6474059</v>
      </c>
      <c r="E42" s="42">
        <v>184779</v>
      </c>
      <c r="F42" s="43">
        <v>10896</v>
      </c>
      <c r="G42" s="55">
        <v>195675</v>
      </c>
      <c r="H42" s="52">
        <v>13469243</v>
      </c>
      <c r="I42" s="48">
        <v>57301</v>
      </c>
      <c r="J42" s="49">
        <v>13526544</v>
      </c>
      <c r="K42" s="53">
        <v>794796</v>
      </c>
      <c r="L42" s="54">
        <v>24</v>
      </c>
      <c r="M42" s="55">
        <v>794820</v>
      </c>
      <c r="N42" s="45">
        <v>20901646</v>
      </c>
      <c r="O42" s="57">
        <v>89452</v>
      </c>
      <c r="P42" s="58">
        <v>20991098</v>
      </c>
      <c r="Q42" s="38"/>
    </row>
    <row r="43" spans="1:17" ht="9">
      <c r="A43" s="39" t="s">
        <v>23</v>
      </c>
      <c r="B43" s="40">
        <v>2963141</v>
      </c>
      <c r="C43" s="78">
        <v>42508</v>
      </c>
      <c r="D43" s="49">
        <v>3005649</v>
      </c>
      <c r="E43" s="42">
        <v>9859</v>
      </c>
      <c r="F43" s="50">
        <v>22624</v>
      </c>
      <c r="G43" s="55">
        <v>32483</v>
      </c>
      <c r="H43" s="52">
        <v>5546131</v>
      </c>
      <c r="I43" s="48">
        <v>88423</v>
      </c>
      <c r="J43" s="49">
        <v>5634554</v>
      </c>
      <c r="K43" s="53">
        <v>189380</v>
      </c>
      <c r="L43" s="54">
        <v>354</v>
      </c>
      <c r="M43" s="55">
        <v>189734</v>
      </c>
      <c r="N43" s="56">
        <v>8708511</v>
      </c>
      <c r="O43" s="57">
        <v>153909</v>
      </c>
      <c r="P43" s="58">
        <v>8862420</v>
      </c>
      <c r="Q43" s="38"/>
    </row>
    <row r="44" spans="1:17" ht="9">
      <c r="A44" s="39" t="s">
        <v>22</v>
      </c>
      <c r="B44" s="40">
        <v>211559</v>
      </c>
      <c r="C44" s="78">
        <v>3730</v>
      </c>
      <c r="D44" s="49">
        <v>215289</v>
      </c>
      <c r="E44" s="42">
        <v>1142</v>
      </c>
      <c r="F44" s="50">
        <v>2466</v>
      </c>
      <c r="G44" s="55">
        <v>3608</v>
      </c>
      <c r="H44" s="52">
        <v>798031</v>
      </c>
      <c r="I44" s="48">
        <v>15596</v>
      </c>
      <c r="J44" s="49">
        <v>813627</v>
      </c>
      <c r="K44" s="53">
        <v>44145</v>
      </c>
      <c r="L44" s="54">
        <v>21</v>
      </c>
      <c r="M44" s="55">
        <v>44166</v>
      </c>
      <c r="N44" s="56">
        <v>1054877</v>
      </c>
      <c r="O44" s="57">
        <v>21813</v>
      </c>
      <c r="P44" s="58">
        <v>1076690</v>
      </c>
      <c r="Q44" s="38"/>
    </row>
    <row r="45" spans="1:17" ht="9">
      <c r="A45" s="39" t="s">
        <v>21</v>
      </c>
      <c r="B45" s="99">
        <v>3767531</v>
      </c>
      <c r="C45" s="78">
        <v>38083</v>
      </c>
      <c r="D45" s="79">
        <v>3805614</v>
      </c>
      <c r="E45" s="75">
        <v>27986</v>
      </c>
      <c r="F45" s="61">
        <v>7265</v>
      </c>
      <c r="G45" s="80">
        <v>35251</v>
      </c>
      <c r="H45" s="52">
        <v>7022748</v>
      </c>
      <c r="I45" s="78">
        <v>80678</v>
      </c>
      <c r="J45" s="79">
        <v>7103426</v>
      </c>
      <c r="K45" s="53">
        <v>422378</v>
      </c>
      <c r="L45" s="81">
        <v>26</v>
      </c>
      <c r="M45" s="82">
        <v>422404</v>
      </c>
      <c r="N45" s="56">
        <v>11240643</v>
      </c>
      <c r="O45" s="57">
        <v>126052</v>
      </c>
      <c r="P45" s="66">
        <v>11366695</v>
      </c>
      <c r="Q45" s="38"/>
    </row>
    <row r="46" spans="1:17" ht="9">
      <c r="A46" s="67" t="s">
        <v>112</v>
      </c>
      <c r="B46" s="68">
        <v>1055607</v>
      </c>
      <c r="C46" s="100">
        <v>5507</v>
      </c>
      <c r="D46" s="49">
        <v>1061114</v>
      </c>
      <c r="E46" s="42">
        <v>1535</v>
      </c>
      <c r="F46" s="43">
        <v>518</v>
      </c>
      <c r="G46" s="55">
        <v>2053</v>
      </c>
      <c r="H46" s="70">
        <v>2488103</v>
      </c>
      <c r="I46" s="69">
        <v>17060</v>
      </c>
      <c r="J46" s="49">
        <v>2505163</v>
      </c>
      <c r="K46" s="71">
        <v>139357</v>
      </c>
      <c r="L46" s="54">
        <v>30</v>
      </c>
      <c r="M46" s="55">
        <v>139387</v>
      </c>
      <c r="N46" s="84">
        <v>3684602</v>
      </c>
      <c r="O46" s="72">
        <v>23115</v>
      </c>
      <c r="P46" s="58">
        <v>3707717</v>
      </c>
      <c r="Q46" s="38"/>
    </row>
    <row r="47" spans="1:17" ht="9">
      <c r="A47" s="39" t="s">
        <v>19</v>
      </c>
      <c r="B47" s="40">
        <v>1291044</v>
      </c>
      <c r="C47" s="78">
        <v>17941</v>
      </c>
      <c r="D47" s="49">
        <v>1308985</v>
      </c>
      <c r="E47" s="42">
        <v>9697</v>
      </c>
      <c r="F47" s="50">
        <v>8486</v>
      </c>
      <c r="G47" s="55">
        <v>18183</v>
      </c>
      <c r="H47" s="52">
        <v>2741416</v>
      </c>
      <c r="I47" s="73">
        <v>42837</v>
      </c>
      <c r="J47" s="49">
        <v>2784253</v>
      </c>
      <c r="K47" s="53">
        <v>142492</v>
      </c>
      <c r="L47" s="54">
        <v>575</v>
      </c>
      <c r="M47" s="55">
        <v>143067</v>
      </c>
      <c r="N47" s="56">
        <v>4184649</v>
      </c>
      <c r="O47" s="57">
        <v>69839</v>
      </c>
      <c r="P47" s="58">
        <v>4254488</v>
      </c>
      <c r="Q47" s="38"/>
    </row>
    <row r="48" spans="1:17" ht="9">
      <c r="A48" s="39" t="s">
        <v>18</v>
      </c>
      <c r="B48" s="40">
        <v>3331835</v>
      </c>
      <c r="C48" s="78">
        <v>39746</v>
      </c>
      <c r="D48" s="49">
        <v>3371581</v>
      </c>
      <c r="E48" s="42">
        <v>50979</v>
      </c>
      <c r="F48" s="50">
        <v>2810</v>
      </c>
      <c r="G48" s="55">
        <v>53789</v>
      </c>
      <c r="H48" s="52">
        <v>6753528</v>
      </c>
      <c r="I48" s="73">
        <v>91146</v>
      </c>
      <c r="J48" s="49">
        <v>6844674</v>
      </c>
      <c r="K48" s="53">
        <v>341336</v>
      </c>
      <c r="L48" s="54">
        <v>778</v>
      </c>
      <c r="M48" s="55">
        <v>342114</v>
      </c>
      <c r="N48" s="56">
        <v>10477678</v>
      </c>
      <c r="O48" s="57">
        <v>134480</v>
      </c>
      <c r="P48" s="58">
        <v>10612158</v>
      </c>
      <c r="Q48" s="38"/>
    </row>
    <row r="49" spans="1:17" ht="9">
      <c r="A49" s="74" t="s">
        <v>17</v>
      </c>
      <c r="B49" s="64">
        <v>304190</v>
      </c>
      <c r="C49" s="85">
        <v>4509</v>
      </c>
      <c r="D49" s="79">
        <v>308699</v>
      </c>
      <c r="E49" s="75">
        <v>1824</v>
      </c>
      <c r="F49" s="61">
        <v>373</v>
      </c>
      <c r="G49" s="80">
        <v>2197</v>
      </c>
      <c r="H49" s="86">
        <v>494038</v>
      </c>
      <c r="I49" s="85">
        <v>8557</v>
      </c>
      <c r="J49" s="79">
        <v>502595</v>
      </c>
      <c r="K49" s="87">
        <v>25276</v>
      </c>
      <c r="L49" s="81">
        <v>99</v>
      </c>
      <c r="M49" s="82">
        <v>25375</v>
      </c>
      <c r="N49" s="88">
        <v>825328</v>
      </c>
      <c r="O49" s="57">
        <v>13538</v>
      </c>
      <c r="P49" s="66">
        <v>838866</v>
      </c>
      <c r="Q49" s="38"/>
    </row>
    <row r="50" spans="1:17" ht="9">
      <c r="A50" s="39" t="s">
        <v>16</v>
      </c>
      <c r="B50" s="40">
        <v>1659552</v>
      </c>
      <c r="C50" s="78">
        <v>60826</v>
      </c>
      <c r="D50" s="49">
        <v>1720378</v>
      </c>
      <c r="E50" s="42">
        <v>4735</v>
      </c>
      <c r="F50" s="43">
        <v>9638</v>
      </c>
      <c r="G50" s="55">
        <v>14373</v>
      </c>
      <c r="H50" s="52">
        <v>3086803</v>
      </c>
      <c r="I50" s="48">
        <v>118071</v>
      </c>
      <c r="J50" s="49">
        <v>3204874</v>
      </c>
      <c r="K50" s="53">
        <v>125073</v>
      </c>
      <c r="L50" s="54">
        <v>453</v>
      </c>
      <c r="M50" s="55">
        <v>125526</v>
      </c>
      <c r="N50" s="45">
        <v>4876163</v>
      </c>
      <c r="O50" s="72">
        <v>188988</v>
      </c>
      <c r="P50" s="58">
        <v>5065151</v>
      </c>
      <c r="Q50" s="38"/>
    </row>
    <row r="51" spans="1:17" ht="9">
      <c r="A51" s="39" t="s">
        <v>15</v>
      </c>
      <c r="B51" s="40">
        <v>275993</v>
      </c>
      <c r="C51" s="40">
        <v>6496</v>
      </c>
      <c r="D51" s="41">
        <v>282489</v>
      </c>
      <c r="E51" s="42">
        <v>1354</v>
      </c>
      <c r="F51" s="50">
        <v>21750</v>
      </c>
      <c r="G51" s="47">
        <v>23104</v>
      </c>
      <c r="H51" s="45">
        <v>931133</v>
      </c>
      <c r="I51" s="40">
        <v>22943</v>
      </c>
      <c r="J51" s="41">
        <v>954076</v>
      </c>
      <c r="K51" s="46">
        <v>146142</v>
      </c>
      <c r="L51" s="40">
        <v>1112</v>
      </c>
      <c r="M51" s="47">
        <v>147254</v>
      </c>
      <c r="N51" s="56">
        <v>1354622</v>
      </c>
      <c r="O51" s="40">
        <v>52301</v>
      </c>
      <c r="P51" s="40">
        <v>1406923</v>
      </c>
      <c r="Q51" s="38"/>
    </row>
    <row r="52" spans="1:17" ht="9">
      <c r="A52" s="39" t="s">
        <v>14</v>
      </c>
      <c r="B52" s="40">
        <v>2211560</v>
      </c>
      <c r="C52" s="78">
        <v>41468</v>
      </c>
      <c r="D52" s="49">
        <v>2253028</v>
      </c>
      <c r="E52" s="42">
        <v>13967</v>
      </c>
      <c r="F52" s="50">
        <v>7897</v>
      </c>
      <c r="G52" s="55">
        <v>21864</v>
      </c>
      <c r="H52" s="52">
        <v>4604748</v>
      </c>
      <c r="I52" s="48">
        <v>91648</v>
      </c>
      <c r="J52" s="49">
        <v>4696396</v>
      </c>
      <c r="K52" s="53">
        <v>203210</v>
      </c>
      <c r="L52" s="54">
        <v>1143</v>
      </c>
      <c r="M52" s="55">
        <v>204353</v>
      </c>
      <c r="N52" s="45">
        <v>7033485</v>
      </c>
      <c r="O52" s="57">
        <v>142156</v>
      </c>
      <c r="P52" s="58">
        <v>7175641</v>
      </c>
      <c r="Q52" s="38"/>
    </row>
    <row r="53" spans="1:17" ht="9">
      <c r="A53" s="39" t="s">
        <v>13</v>
      </c>
      <c r="B53" s="40">
        <v>7184055</v>
      </c>
      <c r="C53" s="78">
        <v>97558</v>
      </c>
      <c r="D53" s="79">
        <v>7281613</v>
      </c>
      <c r="E53" s="75">
        <v>15549</v>
      </c>
      <c r="F53" s="61">
        <v>49536</v>
      </c>
      <c r="G53" s="80">
        <v>65085</v>
      </c>
      <c r="H53" s="52">
        <v>15701836</v>
      </c>
      <c r="I53" s="78">
        <v>231681</v>
      </c>
      <c r="J53" s="79">
        <v>15933517</v>
      </c>
      <c r="K53" s="53">
        <v>324381</v>
      </c>
      <c r="L53" s="81">
        <v>1805</v>
      </c>
      <c r="M53" s="82">
        <v>326186</v>
      </c>
      <c r="N53" s="65">
        <v>23225821</v>
      </c>
      <c r="O53" s="57">
        <v>380580</v>
      </c>
      <c r="P53" s="66">
        <v>23606401</v>
      </c>
      <c r="Q53" s="38"/>
    </row>
    <row r="54" spans="1:17" ht="9">
      <c r="A54" s="67" t="s">
        <v>12</v>
      </c>
      <c r="B54" s="68">
        <v>952444</v>
      </c>
      <c r="C54" s="100">
        <v>18528</v>
      </c>
      <c r="D54" s="49">
        <v>970972</v>
      </c>
      <c r="E54" s="42">
        <v>1768</v>
      </c>
      <c r="F54" s="43">
        <v>6258</v>
      </c>
      <c r="G54" s="55">
        <v>8026</v>
      </c>
      <c r="H54" s="70">
        <v>1930442</v>
      </c>
      <c r="I54" s="69">
        <v>40920</v>
      </c>
      <c r="J54" s="49">
        <v>1971362</v>
      </c>
      <c r="K54" s="71">
        <v>255974</v>
      </c>
      <c r="L54" s="54">
        <v>806</v>
      </c>
      <c r="M54" s="55">
        <v>256780</v>
      </c>
      <c r="N54" s="56">
        <v>3140628</v>
      </c>
      <c r="O54" s="72">
        <v>66512</v>
      </c>
      <c r="P54" s="58">
        <v>3207140</v>
      </c>
      <c r="Q54" s="38"/>
    </row>
    <row r="55" spans="1:17" ht="9">
      <c r="A55" s="39" t="s">
        <v>11</v>
      </c>
      <c r="B55" s="40">
        <v>162650</v>
      </c>
      <c r="C55" s="78">
        <v>1581</v>
      </c>
      <c r="D55" s="49">
        <v>164231</v>
      </c>
      <c r="E55" s="42">
        <v>1103</v>
      </c>
      <c r="F55" s="50">
        <v>1059</v>
      </c>
      <c r="G55" s="55">
        <v>2162</v>
      </c>
      <c r="H55" s="52">
        <v>468644</v>
      </c>
      <c r="I55" s="73">
        <v>4912</v>
      </c>
      <c r="J55" s="49">
        <v>473556</v>
      </c>
      <c r="K55" s="53">
        <v>31396</v>
      </c>
      <c r="L55" s="54">
        <v>31</v>
      </c>
      <c r="M55" s="55">
        <v>31427</v>
      </c>
      <c r="N55" s="92">
        <v>663793</v>
      </c>
      <c r="O55" s="57">
        <v>7583</v>
      </c>
      <c r="P55" s="58">
        <v>671376</v>
      </c>
      <c r="Q55" s="38"/>
    </row>
    <row r="56" spans="1:17" ht="9">
      <c r="A56" s="39" t="s">
        <v>10</v>
      </c>
      <c r="B56" s="40">
        <v>2794568</v>
      </c>
      <c r="C56" s="73">
        <v>39296</v>
      </c>
      <c r="D56" s="49">
        <v>2833864</v>
      </c>
      <c r="E56" s="42">
        <v>8034</v>
      </c>
      <c r="F56" s="50">
        <v>28545</v>
      </c>
      <c r="G56" s="55">
        <v>36579</v>
      </c>
      <c r="H56" s="52">
        <v>4844718</v>
      </c>
      <c r="I56" s="73">
        <v>79754</v>
      </c>
      <c r="J56" s="49">
        <v>4924472</v>
      </c>
      <c r="K56" s="53">
        <v>189873</v>
      </c>
      <c r="L56" s="54">
        <v>742</v>
      </c>
      <c r="M56" s="55">
        <v>190615</v>
      </c>
      <c r="N56" s="45">
        <v>7837193</v>
      </c>
      <c r="O56" s="57">
        <v>148337</v>
      </c>
      <c r="P56" s="58">
        <v>7985530</v>
      </c>
      <c r="Q56" s="38"/>
    </row>
    <row r="57" spans="1:17" ht="9">
      <c r="A57" s="74" t="s">
        <v>9</v>
      </c>
      <c r="B57" s="64">
        <v>2476547</v>
      </c>
      <c r="C57" s="85">
        <v>59372</v>
      </c>
      <c r="D57" s="79">
        <v>2535919</v>
      </c>
      <c r="E57" s="75">
        <v>4267</v>
      </c>
      <c r="F57" s="61">
        <v>19987</v>
      </c>
      <c r="G57" s="80">
        <v>24254</v>
      </c>
      <c r="H57" s="86">
        <v>4637317</v>
      </c>
      <c r="I57" s="85">
        <v>121262</v>
      </c>
      <c r="J57" s="79">
        <v>4758579</v>
      </c>
      <c r="K57" s="87">
        <v>200298</v>
      </c>
      <c r="L57" s="81" t="s">
        <v>115</v>
      </c>
      <c r="M57" s="82">
        <v>200298</v>
      </c>
      <c r="N57" s="65">
        <v>7318429</v>
      </c>
      <c r="O57" s="83">
        <v>200621</v>
      </c>
      <c r="P57" s="66">
        <v>7519050</v>
      </c>
      <c r="Q57" s="38"/>
    </row>
    <row r="58" spans="1:17" ht="9">
      <c r="A58" s="39" t="s">
        <v>113</v>
      </c>
      <c r="B58" s="40">
        <v>391085</v>
      </c>
      <c r="C58" s="40">
        <v>7529</v>
      </c>
      <c r="D58" s="41">
        <v>398614</v>
      </c>
      <c r="E58" s="42">
        <v>106</v>
      </c>
      <c r="F58" s="43">
        <v>54</v>
      </c>
      <c r="G58" s="47">
        <v>160</v>
      </c>
      <c r="H58" s="45">
        <v>1011669</v>
      </c>
      <c r="I58" s="40">
        <v>21025</v>
      </c>
      <c r="J58" s="41">
        <v>1032694</v>
      </c>
      <c r="K58" s="46">
        <v>46809</v>
      </c>
      <c r="L58" s="40">
        <v>853</v>
      </c>
      <c r="M58" s="47">
        <v>47662</v>
      </c>
      <c r="N58" s="45">
        <v>1449669</v>
      </c>
      <c r="O58" s="40">
        <v>29461</v>
      </c>
      <c r="P58" s="40">
        <v>1479130</v>
      </c>
      <c r="Q58" s="38"/>
    </row>
    <row r="59" spans="1:17" ht="9">
      <c r="A59" s="39" t="s">
        <v>114</v>
      </c>
      <c r="B59" s="40">
        <v>1594530</v>
      </c>
      <c r="C59" s="73">
        <v>32421</v>
      </c>
      <c r="D59" s="49">
        <v>1626951</v>
      </c>
      <c r="E59" s="42">
        <v>11485</v>
      </c>
      <c r="F59" s="50">
        <v>51</v>
      </c>
      <c r="G59" s="55">
        <v>11536</v>
      </c>
      <c r="H59" s="52">
        <v>3836626</v>
      </c>
      <c r="I59" s="73">
        <v>82355</v>
      </c>
      <c r="J59" s="49">
        <v>3918981</v>
      </c>
      <c r="K59" s="53">
        <v>278835</v>
      </c>
      <c r="L59" s="54">
        <v>473</v>
      </c>
      <c r="M59" s="55">
        <v>279308</v>
      </c>
      <c r="N59" s="56">
        <v>5721476</v>
      </c>
      <c r="O59" s="57">
        <v>115300</v>
      </c>
      <c r="P59" s="58">
        <v>5836776</v>
      </c>
      <c r="Q59" s="38"/>
    </row>
    <row r="60" spans="1:17" ht="9">
      <c r="A60" s="39" t="s">
        <v>6</v>
      </c>
      <c r="B60" s="40">
        <v>157686</v>
      </c>
      <c r="C60" s="40">
        <v>8421</v>
      </c>
      <c r="D60" s="41">
        <v>166107</v>
      </c>
      <c r="E60" s="75">
        <v>1048</v>
      </c>
      <c r="F60" s="50">
        <v>905</v>
      </c>
      <c r="G60" s="47">
        <v>1953</v>
      </c>
      <c r="H60" s="45">
        <v>644502</v>
      </c>
      <c r="I60" s="40">
        <v>35977</v>
      </c>
      <c r="J60" s="41">
        <v>680479</v>
      </c>
      <c r="K60" s="46">
        <v>28561</v>
      </c>
      <c r="L60" s="40">
        <v>52</v>
      </c>
      <c r="M60" s="47">
        <v>28613</v>
      </c>
      <c r="N60" s="45">
        <v>831797</v>
      </c>
      <c r="O60" s="40">
        <v>45355</v>
      </c>
      <c r="P60" s="40">
        <v>877152</v>
      </c>
      <c r="Q60" s="38"/>
    </row>
    <row r="61" spans="1:17" ht="9">
      <c r="A61" s="101" t="s">
        <v>5</v>
      </c>
      <c r="B61" s="103">
        <v>96058245</v>
      </c>
      <c r="C61" s="103">
        <v>1355076</v>
      </c>
      <c r="D61" s="104">
        <v>97413321</v>
      </c>
      <c r="E61" s="42">
        <v>627494</v>
      </c>
      <c r="F61" s="103">
        <v>468841</v>
      </c>
      <c r="G61" s="104">
        <v>1096335</v>
      </c>
      <c r="H61" s="105">
        <v>186871245</v>
      </c>
      <c r="I61" s="103">
        <v>2883686</v>
      </c>
      <c r="J61" s="104">
        <v>189754931</v>
      </c>
      <c r="K61" s="105">
        <v>9227925</v>
      </c>
      <c r="L61" s="103">
        <v>33324</v>
      </c>
      <c r="M61" s="104">
        <v>9261249</v>
      </c>
      <c r="N61" s="105">
        <v>292784909</v>
      </c>
      <c r="O61" s="103">
        <v>4740927</v>
      </c>
      <c r="P61" s="103">
        <v>297525836</v>
      </c>
    </row>
    <row r="62" spans="1:17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7" ht="39.65" customHeight="1">
      <c r="A63" s="106" t="s">
        <v>118</v>
      </c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6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3" operator="lessThan">
      <formula>0</formula>
    </cfRule>
  </conditionalFormatting>
  <conditionalFormatting sqref="B10:E10 E11:E62">
    <cfRule type="cellIs" dxfId="2" priority="5" operator="lessThan">
      <formula>0</formula>
    </cfRule>
  </conditionalFormatting>
  <conditionalFormatting sqref="C28:D29">
    <cfRule type="cellIs" dxfId="1" priority="4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28" zoomScaleNormal="100" workbookViewId="0">
      <selection activeCell="D3" sqref="D3"/>
    </sheetView>
  </sheetViews>
  <sheetFormatPr defaultRowHeight="14.5"/>
  <cols>
    <col min="1" max="1" width="20" customWidth="1"/>
    <col min="2" max="7" width="13.7265625" customWidth="1"/>
  </cols>
  <sheetData>
    <row r="1" spans="1:7">
      <c r="A1" s="33" t="s">
        <v>80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>
      <c r="A2" t="s">
        <v>55</v>
      </c>
      <c r="B2">
        <f>'Table MV-1'!D10/'Table MV-1'!$D$61</f>
        <v>1.9887731781570203E-2</v>
      </c>
      <c r="C2">
        <f>'Table MV-1'!G10/'Table MV-1'!$G$61</f>
        <v>3.072965836172338E-3</v>
      </c>
      <c r="D2">
        <f>'Table MV-1'!$P10/'Table MV-1'!$P$61</f>
        <v>1.9007908946771266E-2</v>
      </c>
      <c r="E2">
        <f>'Table MV-1'!$P10/'Table MV-1'!$P$61</f>
        <v>1.9007908946771266E-2</v>
      </c>
      <c r="F2">
        <f>'Table MV-1'!$P10/'Table MV-1'!$P$61</f>
        <v>1.9007908946771266E-2</v>
      </c>
      <c r="G2">
        <f>'Table MV-1'!M10/'Table MV-1'!$M$61</f>
        <v>1.393051844303074E-2</v>
      </c>
    </row>
    <row r="3" spans="1:7">
      <c r="A3" t="s">
        <v>54</v>
      </c>
      <c r="B3">
        <f>'Table MV-1'!D11/'Table MV-1'!$D$61</f>
        <v>1.2593554838357271E-3</v>
      </c>
      <c r="C3">
        <f>'Table MV-1'!G11/'Table MV-1'!$G$61</f>
        <v>8.2903492089552912E-3</v>
      </c>
      <c r="D3">
        <f>'Table MV-1'!$P11/'Table MV-1'!$P$61</f>
        <v>2.2956729041843614E-3</v>
      </c>
      <c r="E3">
        <f>'Table MV-1'!$P11/'Table MV-1'!$P$61</f>
        <v>2.2956729041843614E-3</v>
      </c>
      <c r="F3">
        <f>'Table MV-1'!$P11/'Table MV-1'!$P$61</f>
        <v>2.2956729041843614E-3</v>
      </c>
      <c r="G3">
        <f>'Table MV-1'!M11/'Table MV-1'!$M$61</f>
        <v>2.7577273864464718E-3</v>
      </c>
    </row>
    <row r="4" spans="1:7">
      <c r="A4" t="s">
        <v>53</v>
      </c>
      <c r="B4">
        <f>'Table MV-1'!D12/'Table MV-1'!$D$61</f>
        <v>2.3482732921096081E-2</v>
      </c>
      <c r="C4">
        <f>'Table MV-1'!G12/'Table MV-1'!$G$61</f>
        <v>2.0629643311579033E-2</v>
      </c>
      <c r="D4">
        <f>'Table MV-1'!$P12/'Table MV-1'!$P$61</f>
        <v>2.2494285168566001E-2</v>
      </c>
      <c r="E4">
        <f>'Table MV-1'!$P12/'Table MV-1'!$P$61</f>
        <v>2.2494285168566001E-2</v>
      </c>
      <c r="F4">
        <f>'Table MV-1'!$P12/'Table MV-1'!$P$61</f>
        <v>2.2494285168566001E-2</v>
      </c>
      <c r="G4">
        <f>'Table MV-1'!M12/'Table MV-1'!$M$61</f>
        <v>3.1530736297015659E-2</v>
      </c>
    </row>
    <row r="5" spans="1:7">
      <c r="A5" t="s">
        <v>52</v>
      </c>
      <c r="B5">
        <f>'Table MV-1'!D13/'Table MV-1'!$D$61</f>
        <v>9.3597979274313015E-3</v>
      </c>
      <c r="C5">
        <f>'Table MV-1'!G13/'Table MV-1'!$G$61</f>
        <v>9.8555642207901785E-3</v>
      </c>
      <c r="D5">
        <f>'Table MV-1'!$P13/'Table MV-1'!$P$61</f>
        <v>1.131548790942646E-2</v>
      </c>
      <c r="E5">
        <f>'Table MV-1'!$P13/'Table MV-1'!$P$61</f>
        <v>1.131548790942646E-2</v>
      </c>
      <c r="F5">
        <f>'Table MV-1'!$P13/'Table MV-1'!$P$61</f>
        <v>1.131548790942646E-2</v>
      </c>
      <c r="G5">
        <f>'Table MV-1'!M13/'Table MV-1'!$M$61</f>
        <v>1.085134413295658E-2</v>
      </c>
    </row>
    <row r="6" spans="1:7">
      <c r="A6" t="s">
        <v>51</v>
      </c>
      <c r="B6">
        <f>'Table MV-1'!D14/'Table MV-1'!$D$61</f>
        <v>0.13324175653553583</v>
      </c>
      <c r="C6">
        <f>'Table MV-1'!G14/'Table MV-1'!$G$61</f>
        <v>8.7773353947470434E-2</v>
      </c>
      <c r="D6">
        <f>'Table MV-1'!$P14/'Table MV-1'!$P$61</f>
        <v>0.103993160446073</v>
      </c>
      <c r="E6">
        <f>'Table MV-1'!$P14/'Table MV-1'!$P$61</f>
        <v>0.103993160446073</v>
      </c>
      <c r="F6">
        <f>'Table MV-1'!$P14/'Table MV-1'!$P$61</f>
        <v>0.103993160446073</v>
      </c>
      <c r="G6">
        <f>'Table MV-1'!M14/'Table MV-1'!$M$61</f>
        <v>8.1105475082248621E-2</v>
      </c>
    </row>
    <row r="7" spans="1:7">
      <c r="A7" t="s">
        <v>50</v>
      </c>
      <c r="B7">
        <f>'Table MV-1'!D15/'Table MV-1'!$D$61</f>
        <v>1.3925467134007267E-2</v>
      </c>
      <c r="C7">
        <f>'Table MV-1'!G15/'Table MV-1'!$G$61</f>
        <v>1.1494661759407481E-2</v>
      </c>
      <c r="D7">
        <f>'Table MV-1'!$P15/'Table MV-1'!$P$61</f>
        <v>1.7735276609726087E-2</v>
      </c>
      <c r="E7">
        <f>'Table MV-1'!$P15/'Table MV-1'!$P$61</f>
        <v>1.7735276609726087E-2</v>
      </c>
      <c r="F7">
        <f>'Table MV-1'!$P15/'Table MV-1'!$P$61</f>
        <v>1.7735276609726087E-2</v>
      </c>
      <c r="G7">
        <f>'Table MV-1'!M15/'Table MV-1'!$M$61</f>
        <v>1.9056176980016409E-2</v>
      </c>
    </row>
    <row r="8" spans="1:7">
      <c r="A8" t="s">
        <v>49</v>
      </c>
      <c r="B8">
        <f>'Table MV-1'!D16/'Table MV-1'!$D$61</f>
        <v>1.0561173661249061E-2</v>
      </c>
      <c r="C8">
        <f>'Table MV-1'!G16/'Table MV-1'!$G$61</f>
        <v>9.0200531771766849E-3</v>
      </c>
      <c r="D8">
        <f>'Table MV-1'!$P16/'Table MV-1'!$P$61</f>
        <v>9.4427295382845337E-3</v>
      </c>
      <c r="E8">
        <f>'Table MV-1'!$P16/'Table MV-1'!$P$61</f>
        <v>9.4427295382845337E-3</v>
      </c>
      <c r="F8">
        <f>'Table MV-1'!$P16/'Table MV-1'!$P$61</f>
        <v>9.4427295382845337E-3</v>
      </c>
      <c r="G8">
        <f>'Table MV-1'!M16/'Table MV-1'!$M$61</f>
        <v>8.8536654181309675E-3</v>
      </c>
    </row>
    <row r="9" spans="1:7">
      <c r="A9" t="s">
        <v>48</v>
      </c>
      <c r="B9">
        <f>'Table MV-1'!D17/'Table MV-1'!$D$61</f>
        <v>1.524360307970611E-3</v>
      </c>
      <c r="C9">
        <f>'Table MV-1'!G17/'Table MV-1'!$G$61</f>
        <v>3.1769486516438862E-3</v>
      </c>
      <c r="D9">
        <f>'Table MV-1'!$P17/'Table MV-1'!$P$61</f>
        <v>1.5027064742034705E-3</v>
      </c>
      <c r="E9">
        <f>'Table MV-1'!$P17/'Table MV-1'!$P$61</f>
        <v>1.5027064742034705E-3</v>
      </c>
      <c r="F9">
        <f>'Table MV-1'!$P17/'Table MV-1'!$P$61</f>
        <v>1.5027064742034705E-3</v>
      </c>
      <c r="G9">
        <f>'Table MV-1'!M17/'Table MV-1'!$M$61</f>
        <v>2.6663790164803904E-3</v>
      </c>
    </row>
    <row r="10" spans="1:7">
      <c r="A10" t="s">
        <v>79</v>
      </c>
      <c r="B10">
        <f>'Table MV-1'!D18/'Table MV-1'!$D$61</f>
        <v>1.5447168668030525E-3</v>
      </c>
      <c r="C10">
        <f>'Table MV-1'!G18/'Table MV-1'!$G$61</f>
        <v>5.0048570920384738E-3</v>
      </c>
      <c r="D10">
        <f>'Table MV-1'!$P18/'Table MV-1'!$P$61</f>
        <v>1.0172125018413527E-3</v>
      </c>
      <c r="E10">
        <f>'Table MV-1'!$P18/'Table MV-1'!$P$61</f>
        <v>1.0172125018413527E-3</v>
      </c>
      <c r="F10">
        <f>'Table MV-1'!$P18/'Table MV-1'!$P$61</f>
        <v>1.0172125018413527E-3</v>
      </c>
      <c r="G10">
        <f>'Table MV-1'!M18/'Table MV-1'!$M$61</f>
        <v>3.9109195746707599E-4</v>
      </c>
    </row>
    <row r="11" spans="1:7">
      <c r="A11" t="s">
        <v>46</v>
      </c>
      <c r="B11">
        <f>'Table MV-1'!D19/'Table MV-1'!$D$61</f>
        <v>7.4015688265057708E-2</v>
      </c>
      <c r="C11">
        <f>'Table MV-1'!G19/'Table MV-1'!$G$61</f>
        <v>5.2418284557183704E-2</v>
      </c>
      <c r="D11">
        <f>'Table MV-1'!$P19/'Table MV-1'!$P$61</f>
        <v>6.6199561909642018E-2</v>
      </c>
      <c r="E11">
        <f>'Table MV-1'!$P19/'Table MV-1'!$P$61</f>
        <v>6.6199561909642018E-2</v>
      </c>
      <c r="F11">
        <f>'Table MV-1'!$P19/'Table MV-1'!$P$61</f>
        <v>6.6199561909642018E-2</v>
      </c>
      <c r="G11">
        <f>'Table MV-1'!M19/'Table MV-1'!$M$61</f>
        <v>6.8496592630216513E-2</v>
      </c>
    </row>
    <row r="12" spans="1:7">
      <c r="A12" t="s">
        <v>45</v>
      </c>
      <c r="B12">
        <f>'Table MV-1'!D20/'Table MV-1'!$D$61</f>
        <v>3.2917571920168906E-2</v>
      </c>
      <c r="C12">
        <f>'Table MV-1'!G20/'Table MV-1'!$G$61</f>
        <v>3.5920589965658306E-2</v>
      </c>
      <c r="D12">
        <f>'Table MV-1'!$P20/'Table MV-1'!$P$61</f>
        <v>3.1289410442997628E-2</v>
      </c>
      <c r="E12">
        <f>'Table MV-1'!$P20/'Table MV-1'!$P$61</f>
        <v>3.1289410442997628E-2</v>
      </c>
      <c r="F12">
        <f>'Table MV-1'!$P20/'Table MV-1'!$P$61</f>
        <v>3.1289410442997628E-2</v>
      </c>
      <c r="G12">
        <f>'Table MV-1'!M20/'Table MV-1'!$M$61</f>
        <v>2.3894617237912509E-2</v>
      </c>
    </row>
    <row r="13" spans="1:7">
      <c r="A13" t="s">
        <v>44</v>
      </c>
      <c r="B13">
        <f>'Table MV-1'!D21/'Table MV-1'!$D$61</f>
        <v>4.335053929636584E-3</v>
      </c>
      <c r="C13">
        <f>'Table MV-1'!G21/'Table MV-1'!$G$61</f>
        <v>1.6372732786967487E-3</v>
      </c>
      <c r="D13">
        <f>'Table MV-1'!$P21/'Table MV-1'!$P$61</f>
        <v>4.2690511085565017E-3</v>
      </c>
      <c r="E13">
        <f>'Table MV-1'!$P21/'Table MV-1'!$P$61</f>
        <v>4.2690511085565017E-3</v>
      </c>
      <c r="F13">
        <f>'Table MV-1'!$P21/'Table MV-1'!$P$61</f>
        <v>4.2690511085565017E-3</v>
      </c>
      <c r="G13">
        <f>'Table MV-1'!M21/'Table MV-1'!$M$61</f>
        <v>2.6513702417460109E-3</v>
      </c>
    </row>
    <row r="14" spans="1:7">
      <c r="A14" t="s">
        <v>43</v>
      </c>
      <c r="B14">
        <f>'Table MV-1'!D22/'Table MV-1'!$D$61</f>
        <v>5.2407206197189393E-3</v>
      </c>
      <c r="C14">
        <f>'Table MV-1'!G22/'Table MV-1'!$G$61</f>
        <v>3.7233144978496536E-3</v>
      </c>
      <c r="D14">
        <f>'Table MV-1'!$P22/'Table MV-1'!$P$61</f>
        <v>6.8231687953311049E-3</v>
      </c>
      <c r="E14">
        <f>'Table MV-1'!$P22/'Table MV-1'!$P$61</f>
        <v>6.8231687953311049E-3</v>
      </c>
      <c r="F14">
        <f>'Table MV-1'!$P22/'Table MV-1'!$P$61</f>
        <v>6.8231687953311049E-3</v>
      </c>
      <c r="G14">
        <f>'Table MV-1'!M22/'Table MV-1'!$M$61</f>
        <v>8.0890817210508004E-3</v>
      </c>
    </row>
    <row r="15" spans="1:7">
      <c r="A15" t="s">
        <v>42</v>
      </c>
      <c r="B15">
        <f>'Table MV-1'!D23/'Table MV-1'!$D$61</f>
        <v>3.6075538375290581E-2</v>
      </c>
      <c r="C15">
        <f>'Table MV-1'!G23/'Table MV-1'!$G$61</f>
        <v>3.5739988233523513E-2</v>
      </c>
      <c r="D15">
        <f>'Table MV-1'!$P23/'Table MV-1'!$P$61</f>
        <v>3.5445752011936199E-2</v>
      </c>
      <c r="E15">
        <f>'Table MV-1'!$P23/'Table MV-1'!$P$61</f>
        <v>3.5445752011936199E-2</v>
      </c>
      <c r="F15">
        <f>'Table MV-1'!$P23/'Table MV-1'!$P$61</f>
        <v>3.5445752011936199E-2</v>
      </c>
      <c r="G15">
        <f>'Table MV-1'!M23/'Table MV-1'!$M$61</f>
        <v>2.8643328777792281E-2</v>
      </c>
    </row>
    <row r="16" spans="1:7">
      <c r="A16" t="s">
        <v>41</v>
      </c>
      <c r="B16">
        <f>'Table MV-1'!D24/'Table MV-1'!$D$61</f>
        <v>1.8386684506937197E-2</v>
      </c>
      <c r="C16">
        <f>'Table MV-1'!G24/'Table MV-1'!$G$61</f>
        <v>2.9517437644515591E-2</v>
      </c>
      <c r="D16">
        <f>'Table MV-1'!$P24/'Table MV-1'!$P$61</f>
        <v>2.0504878104098494E-2</v>
      </c>
      <c r="E16">
        <f>'Table MV-1'!$P24/'Table MV-1'!$P$61</f>
        <v>2.0504878104098494E-2</v>
      </c>
      <c r="F16">
        <f>'Table MV-1'!$P24/'Table MV-1'!$P$61</f>
        <v>2.0504878104098494E-2</v>
      </c>
      <c r="G16">
        <f>'Table MV-1'!M24/'Table MV-1'!$M$61</f>
        <v>2.2013337509875826E-2</v>
      </c>
    </row>
    <row r="17" spans="1:7">
      <c r="A17" t="s">
        <v>40</v>
      </c>
      <c r="B17">
        <f>'Table MV-1'!D25/'Table MV-1'!$D$61</f>
        <v>1.0337333638384015E-2</v>
      </c>
      <c r="C17">
        <f>'Table MV-1'!G25/'Table MV-1'!$G$61</f>
        <v>8.3614953458568779E-3</v>
      </c>
      <c r="D17">
        <f>'Table MV-1'!$P25/'Table MV-1'!$P$61</f>
        <v>1.2962393625540473E-2</v>
      </c>
      <c r="E17">
        <f>'Table MV-1'!$P25/'Table MV-1'!$P$61</f>
        <v>1.2962393625540473E-2</v>
      </c>
      <c r="F17">
        <f>'Table MV-1'!$P25/'Table MV-1'!$P$61</f>
        <v>1.2962393625540473E-2</v>
      </c>
      <c r="G17">
        <f>'Table MV-1'!M25/'Table MV-1'!$M$61</f>
        <v>2.0857229948141983E-2</v>
      </c>
    </row>
    <row r="18" spans="1:7">
      <c r="A18" t="s">
        <v>39</v>
      </c>
      <c r="B18">
        <f>'Table MV-1'!D26/'Table MV-1'!$D$61</f>
        <v>6.1057973785741274E-3</v>
      </c>
      <c r="C18">
        <f>'Table MV-1'!G26/'Table MV-1'!$G$61</f>
        <v>1.3079943630368454E-3</v>
      </c>
      <c r="D18">
        <f>'Table MV-1'!$P26/'Table MV-1'!$P$61</f>
        <v>6.7476022485657349E-3</v>
      </c>
      <c r="E18">
        <f>'Table MV-1'!$P26/'Table MV-1'!$P$61</f>
        <v>6.7476022485657349E-3</v>
      </c>
      <c r="F18">
        <f>'Table MV-1'!$P26/'Table MV-1'!$P$61</f>
        <v>6.7476022485657349E-3</v>
      </c>
      <c r="G18">
        <f>'Table MV-1'!M26/'Table MV-1'!$M$61</f>
        <v>1.0203375376258645E-2</v>
      </c>
    </row>
    <row r="19" spans="1:7">
      <c r="A19" t="s">
        <v>38</v>
      </c>
      <c r="B19">
        <f>'Table MV-1'!D27/'Table MV-1'!$D$61</f>
        <v>1.4973917170938048E-2</v>
      </c>
      <c r="C19">
        <f>'Table MV-1'!G27/'Table MV-1'!$G$61</f>
        <v>1.4072341027149549E-2</v>
      </c>
      <c r="D19">
        <f>'Table MV-1'!$P27/'Table MV-1'!$P$61</f>
        <v>1.5331572751214788E-2</v>
      </c>
      <c r="E19">
        <f>'Table MV-1'!$P27/'Table MV-1'!$P$61</f>
        <v>1.5331572751214788E-2</v>
      </c>
      <c r="F19">
        <f>'Table MV-1'!$P27/'Table MV-1'!$P$61</f>
        <v>1.5331572751214788E-2</v>
      </c>
      <c r="G19">
        <f>'Table MV-1'!M27/'Table MV-1'!$M$61</f>
        <v>1.2513107033403378E-2</v>
      </c>
    </row>
    <row r="20" spans="1:7">
      <c r="A20" t="s">
        <v>37</v>
      </c>
      <c r="B20">
        <f>'Table MV-1'!D28/'Table MV-1'!$D$61</f>
        <v>1.4069564469524655E-2</v>
      </c>
      <c r="C20">
        <f>'Table MV-1'!G28/'Table MV-1'!$G$61</f>
        <v>3.0674018434146497E-2</v>
      </c>
      <c r="D20">
        <f>'Table MV-1'!$P28/'Table MV-1'!$P$61</f>
        <v>1.5314421299533799E-2</v>
      </c>
      <c r="E20">
        <f>'Table MV-1'!$P28/'Table MV-1'!$P$61</f>
        <v>1.5314421299533799E-2</v>
      </c>
      <c r="F20">
        <f>'Table MV-1'!$P28/'Table MV-1'!$P$61</f>
        <v>1.5314421299533799E-2</v>
      </c>
      <c r="G20">
        <f>'Table MV-1'!M28/'Table MV-1'!$M$61</f>
        <v>1.1391983953784204E-2</v>
      </c>
    </row>
    <row r="21" spans="1:7">
      <c r="A21" t="s">
        <v>36</v>
      </c>
      <c r="B21">
        <f>'Table MV-1'!D29/'Table MV-1'!$D$61</f>
        <v>3.2077029793492E-3</v>
      </c>
      <c r="C21">
        <f>'Table MV-1'!G29/'Table MV-1'!$G$61</f>
        <v>1.5031901745360678E-3</v>
      </c>
      <c r="D21">
        <f>'Table MV-1'!$P29/'Table MV-1'!$P$61</f>
        <v>4.0566796357140557E-3</v>
      </c>
      <c r="E21">
        <f>'Table MV-1'!$P29/'Table MV-1'!$P$61</f>
        <v>4.0566796357140557E-3</v>
      </c>
      <c r="F21">
        <f>'Table MV-1'!$P29/'Table MV-1'!$P$61</f>
        <v>4.0566796357140557E-3</v>
      </c>
      <c r="G21">
        <f>'Table MV-1'!M29/'Table MV-1'!$M$61</f>
        <v>5.148873548265466E-3</v>
      </c>
    </row>
    <row r="22" spans="1:7">
      <c r="A22" t="s">
        <v>35</v>
      </c>
      <c r="B22">
        <f>'Table MV-1'!D30/'Table MV-1'!$D$61</f>
        <v>1.9591283619208505E-2</v>
      </c>
      <c r="C22">
        <f>'Table MV-1'!G30/'Table MV-1'!$G$61</f>
        <v>1.4509251278122106E-2</v>
      </c>
      <c r="D22">
        <f>'Table MV-1'!$P30/'Table MV-1'!$P$61</f>
        <v>1.6689659851926272E-2</v>
      </c>
      <c r="E22">
        <f>'Table MV-1'!$P30/'Table MV-1'!$P$61</f>
        <v>1.6689659851926272E-2</v>
      </c>
      <c r="F22">
        <f>'Table MV-1'!$P30/'Table MV-1'!$P$61</f>
        <v>1.6689659851926272E-2</v>
      </c>
      <c r="G22">
        <f>'Table MV-1'!M30/'Table MV-1'!$M$61</f>
        <v>1.0701148408816133E-2</v>
      </c>
    </row>
    <row r="23" spans="1:7">
      <c r="A23" t="s">
        <v>78</v>
      </c>
      <c r="B23">
        <f>'Table MV-1'!D31/'Table MV-1'!$D$61</f>
        <v>1.7520334821558951E-2</v>
      </c>
      <c r="C23">
        <f>'Table MV-1'!G31/'Table MV-1'!$G$61</f>
        <v>1.2681342837727519E-2</v>
      </c>
      <c r="D23">
        <f>'Table MV-1'!$P31/'Table MV-1'!$P$61</f>
        <v>1.7123517972402236E-2</v>
      </c>
      <c r="E23">
        <f>'Table MV-1'!$P31/'Table MV-1'!$P$61</f>
        <v>1.7123517972402236E-2</v>
      </c>
      <c r="F23">
        <f>'Table MV-1'!$P31/'Table MV-1'!$P$61</f>
        <v>1.7123517972402236E-2</v>
      </c>
      <c r="G23">
        <f>'Table MV-1'!M31/'Table MV-1'!$M$61</f>
        <v>1.5301391853301861E-2</v>
      </c>
    </row>
    <row r="24" spans="1:7">
      <c r="A24" t="s">
        <v>34</v>
      </c>
      <c r="B24">
        <f>'Table MV-1'!D32/'Table MV-1'!$D$61</f>
        <v>2.5604670638423262E-2</v>
      </c>
      <c r="C24">
        <f>'Table MV-1'!G32/'Table MV-1'!$G$61</f>
        <v>2.057765190384326E-3</v>
      </c>
      <c r="D24">
        <f>'Table MV-1'!$P32/'Table MV-1'!$P$61</f>
        <v>3.2288963974207607E-2</v>
      </c>
      <c r="E24">
        <f>'Table MV-1'!$P32/'Table MV-1'!$P$61</f>
        <v>3.2288963974207607E-2</v>
      </c>
      <c r="F24">
        <f>'Table MV-1'!$P32/'Table MV-1'!$P$61</f>
        <v>3.2288963974207607E-2</v>
      </c>
      <c r="G24">
        <f>'Table MV-1'!M32/'Table MV-1'!$M$61</f>
        <v>2.6936431576345697E-2</v>
      </c>
    </row>
    <row r="25" spans="1:7">
      <c r="A25" t="s">
        <v>33</v>
      </c>
      <c r="B25">
        <f>'Table MV-1'!D33/'Table MV-1'!$D$61</f>
        <v>1.6517679342848809E-2</v>
      </c>
      <c r="C25">
        <f>'Table MV-1'!G33/'Table MV-1'!$G$61</f>
        <v>1.293856348652556E-2</v>
      </c>
      <c r="D25">
        <f>'Table MV-1'!$P33/'Table MV-1'!$P$61</f>
        <v>1.9955954346095848E-2</v>
      </c>
      <c r="E25">
        <f>'Table MV-1'!$P33/'Table MV-1'!$P$61</f>
        <v>1.9955954346095848E-2</v>
      </c>
      <c r="F25">
        <f>'Table MV-1'!$P33/'Table MV-1'!$P$61</f>
        <v>1.9955954346095848E-2</v>
      </c>
      <c r="G25">
        <f>'Table MV-1'!M33/'Table MV-1'!$M$61</f>
        <v>2.4461495420326135E-2</v>
      </c>
    </row>
    <row r="26" spans="1:7">
      <c r="A26" t="s">
        <v>32</v>
      </c>
      <c r="B26">
        <f>'Table MV-1'!D34/'Table MV-1'!$D$61</f>
        <v>7.7704054458835256E-3</v>
      </c>
      <c r="C26">
        <f>'Table MV-1'!G34/'Table MV-1'!$G$61</f>
        <v>7.7576653121536757E-3</v>
      </c>
      <c r="D26">
        <f>'Table MV-1'!$P34/'Table MV-1'!$P$61</f>
        <v>7.4422074726982704E-3</v>
      </c>
      <c r="E26">
        <f>'Table MV-1'!$P34/'Table MV-1'!$P$61</f>
        <v>7.4422074726982704E-3</v>
      </c>
      <c r="F26">
        <f>'Table MV-1'!$P34/'Table MV-1'!$P$61</f>
        <v>7.4422074726982704E-3</v>
      </c>
      <c r="G26">
        <f>'Table MV-1'!M34/'Table MV-1'!$M$61</f>
        <v>3.2847621308961673E-3</v>
      </c>
    </row>
    <row r="27" spans="1:7">
      <c r="A27" t="s">
        <v>31</v>
      </c>
      <c r="B27">
        <f>'Table MV-1'!D35/'Table MV-1'!$D$61</f>
        <v>1.6894137096506546E-2</v>
      </c>
      <c r="C27">
        <f>'Table MV-1'!G35/'Table MV-1'!$G$61</f>
        <v>2.0892336740138736E-2</v>
      </c>
      <c r="D27">
        <f>'Table MV-1'!$P35/'Table MV-1'!$P$61</f>
        <v>1.8225035757903053E-2</v>
      </c>
      <c r="E27">
        <f>'Table MV-1'!$P35/'Table MV-1'!$P$61</f>
        <v>1.8225035757903053E-2</v>
      </c>
      <c r="F27">
        <f>'Table MV-1'!$P35/'Table MV-1'!$P$61</f>
        <v>1.8225035757903053E-2</v>
      </c>
      <c r="G27">
        <f>'Table MV-1'!M35/'Table MV-1'!$M$61</f>
        <v>1.4447403368595315E-2</v>
      </c>
    </row>
    <row r="28" spans="1:7">
      <c r="A28" t="s">
        <v>30</v>
      </c>
      <c r="B28">
        <f>'Table MV-1'!D36/'Table MV-1'!$D$61</f>
        <v>5.3917266612848562E-3</v>
      </c>
      <c r="C28">
        <f>'Table MV-1'!G36/'Table MV-1'!$G$61</f>
        <v>5.1343795463977705E-3</v>
      </c>
      <c r="D28">
        <f>'Table MV-1'!$P36/'Table MV-1'!$P$61</f>
        <v>8.3127873305093407E-3</v>
      </c>
      <c r="E28">
        <f>'Table MV-1'!$P36/'Table MV-1'!$P$61</f>
        <v>8.3127873305093407E-3</v>
      </c>
      <c r="F28">
        <f>'Table MV-1'!$P36/'Table MV-1'!$P$61</f>
        <v>8.3127873305093407E-3</v>
      </c>
      <c r="G28">
        <f>'Table MV-1'!M36/'Table MV-1'!$M$61</f>
        <v>4.8367450221886918E-2</v>
      </c>
    </row>
    <row r="29" spans="1:7">
      <c r="A29" t="s">
        <v>29</v>
      </c>
      <c r="B29">
        <f>'Table MV-1'!D37/'Table MV-1'!$D$61</f>
        <v>5.7601054377357692E-3</v>
      </c>
      <c r="C29">
        <f>'Table MV-1'!G37/'Table MV-1'!$G$61</f>
        <v>8.2146424222523228E-3</v>
      </c>
      <c r="D29">
        <f>'Table MV-1'!$P37/'Table MV-1'!$P$61</f>
        <v>6.6857118250396247E-3</v>
      </c>
      <c r="E29">
        <f>'Table MV-1'!$P37/'Table MV-1'!$P$61</f>
        <v>6.6857118250396247E-3</v>
      </c>
      <c r="F29">
        <f>'Table MV-1'!$P37/'Table MV-1'!$P$61</f>
        <v>6.6857118250396247E-3</v>
      </c>
      <c r="G29">
        <f>'Table MV-1'!M37/'Table MV-1'!$M$61</f>
        <v>5.4801463603883233E-3</v>
      </c>
    </row>
    <row r="30" spans="1:7">
      <c r="A30" t="s">
        <v>28</v>
      </c>
      <c r="B30">
        <f>'Table MV-1'!D38/'Table MV-1'!$D$61</f>
        <v>8.6548635376059099E-3</v>
      </c>
      <c r="C30">
        <f>'Table MV-1'!G38/'Table MV-1'!$G$61</f>
        <v>7.1884962169409894E-3</v>
      </c>
      <c r="D30">
        <f>'Table MV-1'!$P38/'Table MV-1'!$P$61</f>
        <v>8.0292724561909987E-3</v>
      </c>
      <c r="E30">
        <f>'Table MV-1'!$P38/'Table MV-1'!$P$61</f>
        <v>8.0292724561909987E-3</v>
      </c>
      <c r="F30">
        <f>'Table MV-1'!$P38/'Table MV-1'!$P$61</f>
        <v>8.0292724561909987E-3</v>
      </c>
      <c r="G30">
        <f>'Table MV-1'!M38/'Table MV-1'!$M$61</f>
        <v>9.469781019817089E-3</v>
      </c>
    </row>
    <row r="31" spans="1:7">
      <c r="A31" t="s">
        <v>27</v>
      </c>
      <c r="B31">
        <f>'Table MV-1'!D39/'Table MV-1'!$D$61</f>
        <v>4.0144817565556561E-3</v>
      </c>
      <c r="C31">
        <f>'Table MV-1'!G39/'Table MV-1'!$G$61</f>
        <v>2.2319820127971834E-3</v>
      </c>
      <c r="D31">
        <f>'Table MV-1'!$P39/'Table MV-1'!$P$61</f>
        <v>4.6739134278073252E-3</v>
      </c>
      <c r="E31">
        <f>'Table MV-1'!$P39/'Table MV-1'!$P$61</f>
        <v>4.6739134278073252E-3</v>
      </c>
      <c r="F31">
        <f>'Table MV-1'!$P39/'Table MV-1'!$P$61</f>
        <v>4.6739134278073252E-3</v>
      </c>
      <c r="G31">
        <f>'Table MV-1'!M39/'Table MV-1'!$M$61</f>
        <v>9.30846368562167E-3</v>
      </c>
    </row>
    <row r="32" spans="1:7">
      <c r="A32" t="s">
        <v>26</v>
      </c>
      <c r="B32">
        <f>'Table MV-1'!D40/'Table MV-1'!$D$61</f>
        <v>2.3354660088018148E-2</v>
      </c>
      <c r="C32">
        <f>'Table MV-1'!G40/'Table MV-1'!$G$61</f>
        <v>2.3001181208298558E-2</v>
      </c>
      <c r="D32">
        <f>'Table MV-1'!$P40/'Table MV-1'!$P$61</f>
        <v>2.1027071410363165E-2</v>
      </c>
      <c r="E32">
        <f>'Table MV-1'!$P40/'Table MV-1'!$P$61</f>
        <v>2.1027071410363165E-2</v>
      </c>
      <c r="F32">
        <f>'Table MV-1'!$P40/'Table MV-1'!$P$61</f>
        <v>2.1027071410363165E-2</v>
      </c>
      <c r="G32">
        <f>'Table MV-1'!M40/'Table MV-1'!$M$61</f>
        <v>1.5764936241321231E-2</v>
      </c>
    </row>
    <row r="33" spans="1:7">
      <c r="A33" t="s">
        <v>25</v>
      </c>
      <c r="B33">
        <f>'Table MV-1'!D41/'Table MV-1'!$D$61</f>
        <v>6.0570155492388972E-3</v>
      </c>
      <c r="C33">
        <f>'Table MV-1'!G41/'Table MV-1'!$G$61</f>
        <v>6.3967674114207796E-3</v>
      </c>
      <c r="D33">
        <f>'Table MV-1'!$P41/'Table MV-1'!$P$61</f>
        <v>6.4880180691266089E-3</v>
      </c>
      <c r="E33">
        <f>'Table MV-1'!$P41/'Table MV-1'!$P$61</f>
        <v>6.4880180691266089E-3</v>
      </c>
      <c r="F33">
        <f>'Table MV-1'!$P41/'Table MV-1'!$P$61</f>
        <v>6.4880180691266089E-3</v>
      </c>
      <c r="G33">
        <f>'Table MV-1'!M41/'Table MV-1'!$M$61</f>
        <v>6.1003650803471542E-3</v>
      </c>
    </row>
    <row r="34" spans="1:7">
      <c r="A34" t="s">
        <v>24</v>
      </c>
      <c r="B34">
        <f>'Table MV-1'!D42/'Table MV-1'!$D$61</f>
        <v>6.6459688814017537E-2</v>
      </c>
      <c r="C34">
        <f>'Table MV-1'!G42/'Table MV-1'!$G$61</f>
        <v>0.17848102997715115</v>
      </c>
      <c r="D34">
        <f>'Table MV-1'!$P42/'Table MV-1'!$P$61</f>
        <v>7.0552185592379954E-2</v>
      </c>
      <c r="E34">
        <f>'Table MV-1'!$P42/'Table MV-1'!$P$61</f>
        <v>7.0552185592379954E-2</v>
      </c>
      <c r="F34">
        <f>'Table MV-1'!$P42/'Table MV-1'!$P$61</f>
        <v>7.0552185592379954E-2</v>
      </c>
      <c r="G34">
        <f>'Table MV-1'!M42/'Table MV-1'!$M$61</f>
        <v>8.5822117513523283E-2</v>
      </c>
    </row>
    <row r="35" spans="1:7">
      <c r="A35" t="s">
        <v>23</v>
      </c>
      <c r="B35">
        <f>'Table MV-1'!D43/'Table MV-1'!$D$61</f>
        <v>3.0854599444361412E-2</v>
      </c>
      <c r="C35">
        <f>'Table MV-1'!G43/'Table MV-1'!$G$61</f>
        <v>2.9628717499669353E-2</v>
      </c>
      <c r="D35">
        <f>'Table MV-1'!$P43/'Table MV-1'!$P$61</f>
        <v>2.9787060240375227E-2</v>
      </c>
      <c r="E35">
        <f>'Table MV-1'!$P43/'Table MV-1'!$P$61</f>
        <v>2.9787060240375227E-2</v>
      </c>
      <c r="F35">
        <f>'Table MV-1'!$P43/'Table MV-1'!$P$61</f>
        <v>2.9787060240375227E-2</v>
      </c>
      <c r="G35">
        <f>'Table MV-1'!M43/'Table MV-1'!$M$61</f>
        <v>2.0486869535631749E-2</v>
      </c>
    </row>
    <row r="36" spans="1:7">
      <c r="A36" t="s">
        <v>22</v>
      </c>
      <c r="B36">
        <f>'Table MV-1'!D44/'Table MV-1'!$D$61</f>
        <v>2.2100570824394746E-3</v>
      </c>
      <c r="C36">
        <f>'Table MV-1'!G44/'Table MV-1'!$G$61</f>
        <v>3.2909648966784788E-3</v>
      </c>
      <c r="D36">
        <f>'Table MV-1'!$P44/'Table MV-1'!$P$61</f>
        <v>3.6188117794247621E-3</v>
      </c>
      <c r="E36">
        <f>'Table MV-1'!$P44/'Table MV-1'!$P$61</f>
        <v>3.6188117794247621E-3</v>
      </c>
      <c r="F36">
        <f>'Table MV-1'!$P44/'Table MV-1'!$P$61</f>
        <v>3.6188117794247621E-3</v>
      </c>
      <c r="G36">
        <f>'Table MV-1'!M44/'Table MV-1'!$M$61</f>
        <v>4.7689032008533623E-3</v>
      </c>
    </row>
    <row r="37" spans="1:7">
      <c r="A37" t="s">
        <v>21</v>
      </c>
      <c r="B37">
        <f>'Table MV-1'!D45/'Table MV-1'!$D$61</f>
        <v>3.9066669331599933E-2</v>
      </c>
      <c r="C37">
        <f>'Table MV-1'!G45/'Table MV-1'!$G$61</f>
        <v>3.215349322971537E-2</v>
      </c>
      <c r="D37">
        <f>'Table MV-1'!$P45/'Table MV-1'!$P$61</f>
        <v>3.8204060369399315E-2</v>
      </c>
      <c r="E37">
        <f>'Table MV-1'!$P45/'Table MV-1'!$P$61</f>
        <v>3.8204060369399315E-2</v>
      </c>
      <c r="F37">
        <f>'Table MV-1'!$P45/'Table MV-1'!$P$61</f>
        <v>3.8204060369399315E-2</v>
      </c>
      <c r="G37">
        <f>'Table MV-1'!M45/'Table MV-1'!$M$61</f>
        <v>4.5609830812237094E-2</v>
      </c>
    </row>
    <row r="38" spans="1:7">
      <c r="A38" t="s">
        <v>20</v>
      </c>
      <c r="B38">
        <f>'Table MV-1'!D46/'Table MV-1'!$D$61</f>
        <v>1.0892904472479693E-2</v>
      </c>
      <c r="C38">
        <f>'Table MV-1'!G46/'Table MV-1'!$G$61</f>
        <v>1.8726028084481477E-3</v>
      </c>
      <c r="D38">
        <f>'Table MV-1'!$P46/'Table MV-1'!$P$61</f>
        <v>1.2461832054141342E-2</v>
      </c>
      <c r="E38">
        <f>'Table MV-1'!$P46/'Table MV-1'!$P$61</f>
        <v>1.2461832054141342E-2</v>
      </c>
      <c r="F38">
        <f>'Table MV-1'!$P46/'Table MV-1'!$P$61</f>
        <v>1.2461832054141342E-2</v>
      </c>
      <c r="G38">
        <f>'Table MV-1'!M46/'Table MV-1'!$M$61</f>
        <v>1.5050561754683412E-2</v>
      </c>
    </row>
    <row r="39" spans="1:7">
      <c r="A39" t="s">
        <v>19</v>
      </c>
      <c r="B39">
        <f>'Table MV-1'!D47/'Table MV-1'!$D$61</f>
        <v>1.3437433264388964E-2</v>
      </c>
      <c r="C39">
        <f>'Table MV-1'!G47/'Table MV-1'!$G$61</f>
        <v>1.6585259067711966E-2</v>
      </c>
      <c r="D39">
        <f>'Table MV-1'!$P47/'Table MV-1'!$P$61</f>
        <v>1.4299558173495897E-2</v>
      </c>
      <c r="E39">
        <f>'Table MV-1'!$P47/'Table MV-1'!$P$61</f>
        <v>1.4299558173495897E-2</v>
      </c>
      <c r="F39">
        <f>'Table MV-1'!$P47/'Table MV-1'!$P$61</f>
        <v>1.4299558173495897E-2</v>
      </c>
      <c r="G39">
        <f>'Table MV-1'!M47/'Table MV-1'!$M$61</f>
        <v>1.5447916366356201E-2</v>
      </c>
    </row>
    <row r="40" spans="1:7">
      <c r="A40" t="s">
        <v>18</v>
      </c>
      <c r="B40">
        <f>'Table MV-1'!D48/'Table MV-1'!$D$61</f>
        <v>3.4611087738195476E-2</v>
      </c>
      <c r="C40">
        <f>'Table MV-1'!G48/'Table MV-1'!$G$61</f>
        <v>4.9062558433325583E-2</v>
      </c>
      <c r="D40">
        <f>'Table MV-1'!$P48/'Table MV-1'!$P$61</f>
        <v>3.5668021784837536E-2</v>
      </c>
      <c r="E40">
        <f>'Table MV-1'!$P48/'Table MV-1'!$P$61</f>
        <v>3.5668021784837536E-2</v>
      </c>
      <c r="F40">
        <f>'Table MV-1'!$P48/'Table MV-1'!$P$61</f>
        <v>3.5668021784837536E-2</v>
      </c>
      <c r="G40">
        <f>'Table MV-1'!M48/'Table MV-1'!$M$61</f>
        <v>3.6940373809191393E-2</v>
      </c>
    </row>
    <row r="41" spans="1:7">
      <c r="A41" t="s">
        <v>17</v>
      </c>
      <c r="B41">
        <f>'Table MV-1'!D49/'Table MV-1'!$D$61</f>
        <v>3.1689608446877609E-3</v>
      </c>
      <c r="C41">
        <f>'Table MV-1'!G49/'Table MV-1'!$G$61</f>
        <v>2.0039495227279981E-3</v>
      </c>
      <c r="D41">
        <f>'Table MV-1'!$P49/'Table MV-1'!$P$61</f>
        <v>2.8194727936164845E-3</v>
      </c>
      <c r="E41">
        <f>'Table MV-1'!$P49/'Table MV-1'!$P$61</f>
        <v>2.8194727936164845E-3</v>
      </c>
      <c r="F41">
        <f>'Table MV-1'!$P49/'Table MV-1'!$P$61</f>
        <v>2.8194727936164845E-3</v>
      </c>
      <c r="G41">
        <f>'Table MV-1'!M49/'Table MV-1'!$M$61</f>
        <v>2.7399112149991862E-3</v>
      </c>
    </row>
    <row r="42" spans="1:7">
      <c r="A42" t="s">
        <v>16</v>
      </c>
      <c r="B42">
        <f>'Table MV-1'!D50/'Table MV-1'!$D$61</f>
        <v>1.7660603111970694E-2</v>
      </c>
      <c r="C42">
        <f>'Table MV-1'!G50/'Table MV-1'!$G$61</f>
        <v>1.3110043919057587E-2</v>
      </c>
      <c r="D42">
        <f>'Table MV-1'!$P50/'Table MV-1'!$P$61</f>
        <v>1.7024239199179999E-2</v>
      </c>
      <c r="E42">
        <f>'Table MV-1'!$P50/'Table MV-1'!$P$61</f>
        <v>1.7024239199179999E-2</v>
      </c>
      <c r="F42">
        <f>'Table MV-1'!$P50/'Table MV-1'!$P$61</f>
        <v>1.7024239199179999E-2</v>
      </c>
      <c r="G42">
        <f>'Table MV-1'!M50/'Table MV-1'!$M$61</f>
        <v>1.3553895376314793E-2</v>
      </c>
    </row>
    <row r="43" spans="1:7">
      <c r="A43" t="s">
        <v>15</v>
      </c>
      <c r="B43">
        <f>'Table MV-1'!D51/'Table MV-1'!$D$61</f>
        <v>2.8999011336447505E-3</v>
      </c>
      <c r="C43">
        <f>'Table MV-1'!G51/'Table MV-1'!$G$61</f>
        <v>2.1073850602233806E-2</v>
      </c>
      <c r="D43">
        <f>'Table MV-1'!$P51/'Table MV-1'!$P$61</f>
        <v>4.7287422797124747E-3</v>
      </c>
      <c r="E43">
        <f>'Table MV-1'!$P51/'Table MV-1'!$P$61</f>
        <v>4.7287422797124747E-3</v>
      </c>
      <c r="F43">
        <f>'Table MV-1'!$P51/'Table MV-1'!$P$61</f>
        <v>4.7287422797124747E-3</v>
      </c>
      <c r="G43">
        <f>'Table MV-1'!M51/'Table MV-1'!$M$61</f>
        <v>1.5900015213930647E-2</v>
      </c>
    </row>
    <row r="44" spans="1:7">
      <c r="A44" t="s">
        <v>14</v>
      </c>
      <c r="B44">
        <f>'Table MV-1'!D52/'Table MV-1'!$D$61</f>
        <v>2.3128541116055369E-2</v>
      </c>
      <c r="C44">
        <f>'Table MV-1'!G52/'Table MV-1'!$G$61</f>
        <v>1.9942809451490649E-2</v>
      </c>
      <c r="D44">
        <f>'Table MV-1'!$P52/'Table MV-1'!$P$61</f>
        <v>2.4117707209803455E-2</v>
      </c>
      <c r="E44">
        <f>'Table MV-1'!$P52/'Table MV-1'!$P$61</f>
        <v>2.4117707209803455E-2</v>
      </c>
      <c r="F44">
        <f>'Table MV-1'!$P52/'Table MV-1'!$P$61</f>
        <v>2.4117707209803455E-2</v>
      </c>
      <c r="G44">
        <f>'Table MV-1'!M52/'Table MV-1'!$M$61</f>
        <v>2.2065382325861232E-2</v>
      </c>
    </row>
    <row r="45" spans="1:7">
      <c r="A45" t="s">
        <v>13</v>
      </c>
      <c r="B45">
        <f>'Table MV-1'!D53/'Table MV-1'!$D$61</f>
        <v>7.4749663857574464E-2</v>
      </c>
      <c r="C45">
        <f>'Table MV-1'!G53/'Table MV-1'!$G$61</f>
        <v>5.9365978464611641E-2</v>
      </c>
      <c r="D45">
        <f>'Table MV-1'!$P53/'Table MV-1'!$P$61</f>
        <v>7.934235667520316E-2</v>
      </c>
      <c r="E45">
        <f>'Table MV-1'!$P53/'Table MV-1'!$P$61</f>
        <v>7.934235667520316E-2</v>
      </c>
      <c r="F45">
        <f>'Table MV-1'!$P53/'Table MV-1'!$P$61</f>
        <v>7.934235667520316E-2</v>
      </c>
      <c r="G45">
        <f>'Table MV-1'!M53/'Table MV-1'!$M$61</f>
        <v>3.5220519392146786E-2</v>
      </c>
    </row>
    <row r="46" spans="1:7">
      <c r="A46" t="s">
        <v>12</v>
      </c>
      <c r="B46">
        <f>'Table MV-1'!D54/'Table MV-1'!$D$61</f>
        <v>9.9675484834358535E-3</v>
      </c>
      <c r="C46">
        <f>'Table MV-1'!G54/'Table MV-1'!$G$61</f>
        <v>7.3207550611811174E-3</v>
      </c>
      <c r="D46">
        <f>'Table MV-1'!$P54/'Table MV-1'!$P$61</f>
        <v>1.0779366400973663E-2</v>
      </c>
      <c r="E46">
        <f>'Table MV-1'!$P54/'Table MV-1'!$P$61</f>
        <v>1.0779366400973663E-2</v>
      </c>
      <c r="F46">
        <f>'Table MV-1'!$P54/'Table MV-1'!$P$61</f>
        <v>1.0779366400973663E-2</v>
      </c>
      <c r="G46">
        <f>'Table MV-1'!M54/'Table MV-1'!$M$61</f>
        <v>2.7726281843842012E-2</v>
      </c>
    </row>
    <row r="47" spans="1:7">
      <c r="A47" t="s">
        <v>11</v>
      </c>
      <c r="B47">
        <f>'Table MV-1'!D55/'Table MV-1'!$D$61</f>
        <v>1.6859193210341326E-3</v>
      </c>
      <c r="C47">
        <f>'Table MV-1'!G55/'Table MV-1'!$G$61</f>
        <v>1.9720249741183122E-3</v>
      </c>
      <c r="D47">
        <f>'Table MV-1'!$P55/'Table MV-1'!$P$61</f>
        <v>2.2565300850041136E-3</v>
      </c>
      <c r="E47">
        <f>'Table MV-1'!$P55/'Table MV-1'!$P$61</f>
        <v>2.2565300850041136E-3</v>
      </c>
      <c r="F47">
        <f>'Table MV-1'!$P55/'Table MV-1'!$P$61</f>
        <v>2.2565300850041136E-3</v>
      </c>
      <c r="G47">
        <f>'Table MV-1'!M55/'Table MV-1'!$M$61</f>
        <v>3.3933867883262831E-3</v>
      </c>
    </row>
    <row r="48" spans="1:7">
      <c r="A48" t="s">
        <v>10</v>
      </c>
      <c r="B48">
        <f>'Table MV-1'!D56/'Table MV-1'!$D$61</f>
        <v>2.9091134260785544E-2</v>
      </c>
      <c r="C48">
        <f>'Table MV-1'!G56/'Table MV-1'!$G$61</f>
        <v>3.3364801816962879E-2</v>
      </c>
      <c r="D48">
        <f>'Table MV-1'!$P56/'Table MV-1'!$P$61</f>
        <v>2.6839786780735238E-2</v>
      </c>
      <c r="E48">
        <f>'Table MV-1'!$P56/'Table MV-1'!$P$61</f>
        <v>2.6839786780735238E-2</v>
      </c>
      <c r="F48">
        <f>'Table MV-1'!$P56/'Table MV-1'!$P$61</f>
        <v>2.6839786780735238E-2</v>
      </c>
      <c r="G48">
        <f>'Table MV-1'!M56/'Table MV-1'!$M$61</f>
        <v>2.0581997093480589E-2</v>
      </c>
    </row>
    <row r="49" spans="1:7">
      <c r="A49" t="s">
        <v>9</v>
      </c>
      <c r="B49">
        <f>'Table MV-1'!D57/'Table MV-1'!$D$61</f>
        <v>2.6032568995363582E-2</v>
      </c>
      <c r="C49">
        <f>'Table MV-1'!G57/'Table MV-1'!$G$61</f>
        <v>2.2122800056552056E-2</v>
      </c>
      <c r="D49">
        <f>'Table MV-1'!$P57/'Table MV-1'!$P$61</f>
        <v>2.5271922939828325E-2</v>
      </c>
      <c r="E49">
        <f>'Table MV-1'!$P57/'Table MV-1'!$P$61</f>
        <v>2.5271922939828325E-2</v>
      </c>
      <c r="F49">
        <f>'Table MV-1'!$P57/'Table MV-1'!$P$61</f>
        <v>2.5271922939828325E-2</v>
      </c>
      <c r="G49">
        <f>'Table MV-1'!M57/'Table MV-1'!$M$61</f>
        <v>2.1627536415444612E-2</v>
      </c>
    </row>
    <row r="50" spans="1:7">
      <c r="A50" t="s">
        <v>8</v>
      </c>
      <c r="B50">
        <f>'Table MV-1'!D58/'Table MV-1'!$D$61</f>
        <v>4.0919865569514872E-3</v>
      </c>
      <c r="C50">
        <f>'Table MV-1'!G58/'Table MV-1'!$G$61</f>
        <v>1.4594079364427844E-4</v>
      </c>
      <c r="D50">
        <f>'Table MV-1'!$P58/'Table MV-1'!$P$61</f>
        <v>4.9714338085247826E-3</v>
      </c>
      <c r="E50">
        <f>'Table MV-1'!$P58/'Table MV-1'!$P$61</f>
        <v>4.9714338085247826E-3</v>
      </c>
      <c r="F50">
        <f>'Table MV-1'!$P58/'Table MV-1'!$P$61</f>
        <v>4.9714338085247826E-3</v>
      </c>
      <c r="G50">
        <f>'Table MV-1'!M58/'Table MV-1'!$M$61</f>
        <v>5.1463900819425116E-3</v>
      </c>
    </row>
    <row r="51" spans="1:7">
      <c r="A51" t="s">
        <v>7</v>
      </c>
      <c r="B51">
        <f>'Table MV-1'!D59/'Table MV-1'!$D$61</f>
        <v>1.6701524835602308E-2</v>
      </c>
      <c r="C51">
        <f>'Table MV-1'!G59/'Table MV-1'!$G$61</f>
        <v>1.0522331221752475E-2</v>
      </c>
      <c r="D51">
        <f>'Table MV-1'!$P59/'Table MV-1'!$P$61</f>
        <v>1.96177114514519E-2</v>
      </c>
      <c r="E51">
        <f>'Table MV-1'!$P59/'Table MV-1'!$P$61</f>
        <v>1.96177114514519E-2</v>
      </c>
      <c r="F51">
        <f>'Table MV-1'!$P59/'Table MV-1'!$P$61</f>
        <v>1.96177114514519E-2</v>
      </c>
      <c r="G51">
        <f>'Table MV-1'!M59/'Table MV-1'!$M$61</f>
        <v>3.0158783118778041E-2</v>
      </c>
    </row>
    <row r="52" spans="1:7">
      <c r="A52" t="s">
        <v>6</v>
      </c>
      <c r="B52">
        <f>'Table MV-1'!D60/'Table MV-1'!$D$61</f>
        <v>1.7051774674636132E-3</v>
      </c>
      <c r="C52">
        <f>'Table MV-1'!G60/'Table MV-1'!$G$61</f>
        <v>1.7813898124204738E-3</v>
      </c>
      <c r="D52">
        <f>'Table MV-1'!$P60/'Table MV-1'!$P$61</f>
        <v>2.9481540554347017E-3</v>
      </c>
      <c r="E52">
        <f>'Table MV-1'!$P60/'Table MV-1'!$P$61</f>
        <v>2.9481540554347017E-3</v>
      </c>
      <c r="F52">
        <f>'Table MV-1'!$P60/'Table MV-1'!$P$61</f>
        <v>2.9481540554347017E-3</v>
      </c>
      <c r="G52">
        <f>'Table MV-1'!M60/'Table MV-1'!$M$61</f>
        <v>3.0895400825525802E-3</v>
      </c>
    </row>
    <row r="53" spans="1:7">
      <c r="A53" t="s">
        <v>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88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89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95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workbookViewId="0">
      <selection activeCell="D2" sqref="D2:F52"/>
    </sheetView>
  </sheetViews>
  <sheetFormatPr defaultRowHeight="14.5"/>
  <cols>
    <col min="1" max="1" width="20" customWidth="1"/>
    <col min="2" max="7" width="13.7265625" customWidth="1"/>
  </cols>
  <sheetData>
    <row r="1" spans="1:7">
      <c r="A1" s="33" t="s">
        <v>80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>
      <c r="A2" t="s">
        <v>55</v>
      </c>
      <c r="B2">
        <f>C2</f>
        <v>1.8896115010576458E-2</v>
      </c>
      <c r="C2">
        <f>'Table MV-1'!J10/'Table MV-1'!$J$61</f>
        <v>1.8896115010576458E-2</v>
      </c>
      <c r="D2">
        <f>'Table MV-1'!$P10/'Table MV-1'!$P$61</f>
        <v>1.9007908946771266E-2</v>
      </c>
      <c r="E2">
        <f>'Table MV-1'!$P10/'Table MV-1'!$P$61</f>
        <v>1.9007908946771266E-2</v>
      </c>
      <c r="F2">
        <f>'Table MV-1'!$P10/'Table MV-1'!$P$61</f>
        <v>1.9007908946771266E-2</v>
      </c>
      <c r="G2">
        <v>0</v>
      </c>
    </row>
    <row r="3" spans="1:7">
      <c r="A3" t="s">
        <v>54</v>
      </c>
      <c r="B3">
        <f t="shared" ref="B3:B52" si="0">C3</f>
        <v>2.7704945385582627E-3</v>
      </c>
      <c r="C3">
        <f>'Table MV-1'!J11/'Table MV-1'!$J$61</f>
        <v>2.7704945385582627E-3</v>
      </c>
      <c r="D3">
        <f>'Table MV-1'!$P11/'Table MV-1'!$P$61</f>
        <v>2.2956729041843614E-3</v>
      </c>
      <c r="E3">
        <f>'Table MV-1'!$P11/'Table MV-1'!$P$61</f>
        <v>2.2956729041843614E-3</v>
      </c>
      <c r="F3">
        <f>'Table MV-1'!$P11/'Table MV-1'!$P$61</f>
        <v>2.2956729041843614E-3</v>
      </c>
      <c r="G3">
        <v>0</v>
      </c>
    </row>
    <row r="4" spans="1:7">
      <c r="A4" t="s">
        <v>53</v>
      </c>
      <c r="B4">
        <f t="shared" si="0"/>
        <v>2.1556588692812417E-2</v>
      </c>
      <c r="C4">
        <f>'Table MV-1'!J12/'Table MV-1'!$J$61</f>
        <v>2.1556588692812417E-2</v>
      </c>
      <c r="D4">
        <f>'Table MV-1'!$P12/'Table MV-1'!$P$61</f>
        <v>2.2494285168566001E-2</v>
      </c>
      <c r="E4">
        <f>'Table MV-1'!$P12/'Table MV-1'!$P$61</f>
        <v>2.2494285168566001E-2</v>
      </c>
      <c r="F4">
        <f>'Table MV-1'!$P12/'Table MV-1'!$P$61</f>
        <v>2.2494285168566001E-2</v>
      </c>
      <c r="G4">
        <v>0</v>
      </c>
    </row>
    <row r="5" spans="1:7">
      <c r="A5" t="s">
        <v>52</v>
      </c>
      <c r="B5">
        <f t="shared" si="0"/>
        <v>1.2350556518607678E-2</v>
      </c>
      <c r="C5">
        <f>'Table MV-1'!J13/'Table MV-1'!$J$61</f>
        <v>1.2350556518607678E-2</v>
      </c>
      <c r="D5">
        <f>'Table MV-1'!$P13/'Table MV-1'!$P$61</f>
        <v>1.131548790942646E-2</v>
      </c>
      <c r="E5">
        <f>'Table MV-1'!$P13/'Table MV-1'!$P$61</f>
        <v>1.131548790942646E-2</v>
      </c>
      <c r="F5">
        <f>'Table MV-1'!$P13/'Table MV-1'!$P$61</f>
        <v>1.131548790942646E-2</v>
      </c>
      <c r="G5">
        <v>0</v>
      </c>
    </row>
    <row r="6" spans="1:7">
      <c r="A6" t="s">
        <v>51</v>
      </c>
      <c r="B6">
        <f t="shared" si="0"/>
        <v>9.0188765634764981E-2</v>
      </c>
      <c r="C6">
        <f>'Table MV-1'!J14/'Table MV-1'!$J$61</f>
        <v>9.0188765634764981E-2</v>
      </c>
      <c r="D6">
        <f>'Table MV-1'!$P14/'Table MV-1'!$P$61</f>
        <v>0.103993160446073</v>
      </c>
      <c r="E6">
        <f>'Table MV-1'!$P14/'Table MV-1'!$P$61</f>
        <v>0.103993160446073</v>
      </c>
      <c r="F6">
        <f>'Table MV-1'!$P14/'Table MV-1'!$P$61</f>
        <v>0.103993160446073</v>
      </c>
      <c r="G6">
        <v>0</v>
      </c>
    </row>
    <row r="7" spans="1:7">
      <c r="A7" t="s">
        <v>50</v>
      </c>
      <c r="B7">
        <f t="shared" si="0"/>
        <v>1.9662682705199372E-2</v>
      </c>
      <c r="C7">
        <f>'Table MV-1'!J15/'Table MV-1'!$J$61</f>
        <v>1.9662682705199372E-2</v>
      </c>
      <c r="D7">
        <f>'Table MV-1'!$P15/'Table MV-1'!$P$61</f>
        <v>1.7735276609726087E-2</v>
      </c>
      <c r="E7">
        <f>'Table MV-1'!$P15/'Table MV-1'!$P$61</f>
        <v>1.7735276609726087E-2</v>
      </c>
      <c r="F7">
        <f>'Table MV-1'!$P15/'Table MV-1'!$P$61</f>
        <v>1.7735276609726087E-2</v>
      </c>
      <c r="G7">
        <v>0</v>
      </c>
    </row>
    <row r="8" spans="1:7">
      <c r="A8" t="s">
        <v>49</v>
      </c>
      <c r="B8">
        <f t="shared" si="0"/>
        <v>8.8997529134038685E-3</v>
      </c>
      <c r="C8">
        <f>'Table MV-1'!J16/'Table MV-1'!$J$61</f>
        <v>8.8997529134038685E-3</v>
      </c>
      <c r="D8">
        <f>'Table MV-1'!$P16/'Table MV-1'!$P$61</f>
        <v>9.4427295382845337E-3</v>
      </c>
      <c r="E8">
        <f>'Table MV-1'!$P16/'Table MV-1'!$P$61</f>
        <v>9.4427295382845337E-3</v>
      </c>
      <c r="F8">
        <f>'Table MV-1'!$P16/'Table MV-1'!$P$61</f>
        <v>9.4427295382845337E-3</v>
      </c>
      <c r="G8">
        <v>0</v>
      </c>
    </row>
    <row r="9" spans="1:7">
      <c r="A9" t="s">
        <v>48</v>
      </c>
      <c r="B9">
        <f t="shared" si="0"/>
        <v>1.425122385884138E-3</v>
      </c>
      <c r="C9">
        <f>'Table MV-1'!J17/'Table MV-1'!$J$61</f>
        <v>1.425122385884138E-3</v>
      </c>
      <c r="D9">
        <f>'Table MV-1'!$P17/'Table MV-1'!$P$61</f>
        <v>1.5027064742034705E-3</v>
      </c>
      <c r="E9">
        <f>'Table MV-1'!$P17/'Table MV-1'!$P$61</f>
        <v>1.5027064742034705E-3</v>
      </c>
      <c r="F9">
        <f>'Table MV-1'!$P17/'Table MV-1'!$P$61</f>
        <v>1.5027064742034705E-3</v>
      </c>
      <c r="G9">
        <v>0</v>
      </c>
    </row>
    <row r="10" spans="1:7">
      <c r="A10" t="s">
        <v>79</v>
      </c>
      <c r="B10">
        <f t="shared" si="0"/>
        <v>7.5393034186816473E-4</v>
      </c>
      <c r="C10">
        <f>'Table MV-1'!J18/'Table MV-1'!$J$61</f>
        <v>7.5393034186816473E-4</v>
      </c>
      <c r="D10">
        <f>'Table MV-1'!$P18/'Table MV-1'!$P$61</f>
        <v>1.0172125018413527E-3</v>
      </c>
      <c r="E10">
        <f>'Table MV-1'!$P18/'Table MV-1'!$P$61</f>
        <v>1.0172125018413527E-3</v>
      </c>
      <c r="F10">
        <f>'Table MV-1'!$P18/'Table MV-1'!$P$61</f>
        <v>1.0172125018413527E-3</v>
      </c>
      <c r="G10">
        <v>0</v>
      </c>
    </row>
    <row r="11" spans="1:7">
      <c r="A11" t="s">
        <v>46</v>
      </c>
      <c r="B11">
        <f t="shared" si="0"/>
        <v>6.2154558713417574E-2</v>
      </c>
      <c r="C11">
        <f>'Table MV-1'!J19/'Table MV-1'!$J$61</f>
        <v>6.2154558713417574E-2</v>
      </c>
      <c r="D11">
        <f>'Table MV-1'!$P19/'Table MV-1'!$P$61</f>
        <v>6.6199561909642018E-2</v>
      </c>
      <c r="E11">
        <f>'Table MV-1'!$P19/'Table MV-1'!$P$61</f>
        <v>6.6199561909642018E-2</v>
      </c>
      <c r="F11">
        <f>'Table MV-1'!$P19/'Table MV-1'!$P$61</f>
        <v>6.6199561909642018E-2</v>
      </c>
      <c r="G11">
        <v>0</v>
      </c>
    </row>
    <row r="12" spans="1:7">
      <c r="A12" t="s">
        <v>45</v>
      </c>
      <c r="B12">
        <f t="shared" si="0"/>
        <v>3.0787726933957781E-2</v>
      </c>
      <c r="C12">
        <f>'Table MV-1'!J20/'Table MV-1'!$J$61</f>
        <v>3.0787726933957781E-2</v>
      </c>
      <c r="D12">
        <f>'Table MV-1'!$P20/'Table MV-1'!$P$61</f>
        <v>3.1289410442997628E-2</v>
      </c>
      <c r="E12">
        <f>'Table MV-1'!$P20/'Table MV-1'!$P$61</f>
        <v>3.1289410442997628E-2</v>
      </c>
      <c r="F12">
        <f>'Table MV-1'!$P20/'Table MV-1'!$P$61</f>
        <v>3.1289410442997628E-2</v>
      </c>
      <c r="G12">
        <v>0</v>
      </c>
    </row>
    <row r="13" spans="1:7">
      <c r="A13" t="s">
        <v>44</v>
      </c>
      <c r="B13">
        <f t="shared" si="0"/>
        <v>4.3293262297357639E-3</v>
      </c>
      <c r="C13">
        <f>'Table MV-1'!J21/'Table MV-1'!$J$61</f>
        <v>4.3293262297357639E-3</v>
      </c>
      <c r="D13">
        <f>'Table MV-1'!$P21/'Table MV-1'!$P$61</f>
        <v>4.2690511085565017E-3</v>
      </c>
      <c r="E13">
        <f>'Table MV-1'!$P21/'Table MV-1'!$P$61</f>
        <v>4.2690511085565017E-3</v>
      </c>
      <c r="F13">
        <f>'Table MV-1'!$P21/'Table MV-1'!$P$61</f>
        <v>4.2690511085565017E-3</v>
      </c>
      <c r="G13">
        <v>0</v>
      </c>
    </row>
    <row r="14" spans="1:7">
      <c r="A14" t="s">
        <v>43</v>
      </c>
      <c r="B14">
        <f t="shared" si="0"/>
        <v>7.5916656943160014E-3</v>
      </c>
      <c r="C14">
        <f>'Table MV-1'!J22/'Table MV-1'!$J$61</f>
        <v>7.5916656943160014E-3</v>
      </c>
      <c r="D14">
        <f>'Table MV-1'!$P22/'Table MV-1'!$P$61</f>
        <v>6.8231687953311049E-3</v>
      </c>
      <c r="E14">
        <f>'Table MV-1'!$P22/'Table MV-1'!$P$61</f>
        <v>6.8231687953311049E-3</v>
      </c>
      <c r="F14">
        <f>'Table MV-1'!$P22/'Table MV-1'!$P$61</f>
        <v>6.8231687953311049E-3</v>
      </c>
      <c r="G14">
        <v>0</v>
      </c>
    </row>
    <row r="15" spans="1:7">
      <c r="A15" t="s">
        <v>42</v>
      </c>
      <c r="B15">
        <f t="shared" si="0"/>
        <v>3.5452744044896518E-2</v>
      </c>
      <c r="C15">
        <f>'Table MV-1'!J23/'Table MV-1'!$J$61</f>
        <v>3.5452744044896518E-2</v>
      </c>
      <c r="D15">
        <f>'Table MV-1'!$P23/'Table MV-1'!$P$61</f>
        <v>3.5445752011936199E-2</v>
      </c>
      <c r="E15">
        <f>'Table MV-1'!$P23/'Table MV-1'!$P$61</f>
        <v>3.5445752011936199E-2</v>
      </c>
      <c r="F15">
        <f>'Table MV-1'!$P23/'Table MV-1'!$P$61</f>
        <v>3.5445752011936199E-2</v>
      </c>
      <c r="G15">
        <v>0</v>
      </c>
    </row>
    <row r="16" spans="1:7">
      <c r="A16" t="s">
        <v>41</v>
      </c>
      <c r="B16">
        <f t="shared" si="0"/>
        <v>2.1466588396588229E-2</v>
      </c>
      <c r="C16">
        <f>'Table MV-1'!J24/'Table MV-1'!$J$61</f>
        <v>2.1466588396588229E-2</v>
      </c>
      <c r="D16">
        <f>'Table MV-1'!$P24/'Table MV-1'!$P$61</f>
        <v>2.0504878104098494E-2</v>
      </c>
      <c r="E16">
        <f>'Table MV-1'!$P24/'Table MV-1'!$P$61</f>
        <v>2.0504878104098494E-2</v>
      </c>
      <c r="F16">
        <f>'Table MV-1'!$P24/'Table MV-1'!$P$61</f>
        <v>2.0504878104098494E-2</v>
      </c>
      <c r="G16">
        <v>0</v>
      </c>
    </row>
    <row r="17" spans="1:7">
      <c r="A17" t="s">
        <v>40</v>
      </c>
      <c r="B17">
        <f t="shared" si="0"/>
        <v>1.3951268544373164E-2</v>
      </c>
      <c r="C17">
        <f>'Table MV-1'!J25/'Table MV-1'!$J$61</f>
        <v>1.3951268544373164E-2</v>
      </c>
      <c r="D17">
        <f>'Table MV-1'!$P25/'Table MV-1'!$P$61</f>
        <v>1.2962393625540473E-2</v>
      </c>
      <c r="E17">
        <f>'Table MV-1'!$P25/'Table MV-1'!$P$61</f>
        <v>1.2962393625540473E-2</v>
      </c>
      <c r="F17">
        <f>'Table MV-1'!$P25/'Table MV-1'!$P$61</f>
        <v>1.2962393625540473E-2</v>
      </c>
      <c r="G17">
        <v>0</v>
      </c>
    </row>
    <row r="18" spans="1:7">
      <c r="A18" t="s">
        <v>39</v>
      </c>
      <c r="B18">
        <f t="shared" si="0"/>
        <v>6.9398460058990507E-3</v>
      </c>
      <c r="C18">
        <f>'Table MV-1'!J26/'Table MV-1'!$J$61</f>
        <v>6.9398460058990507E-3</v>
      </c>
      <c r="D18">
        <f>'Table MV-1'!$P26/'Table MV-1'!$P$61</f>
        <v>6.7476022485657349E-3</v>
      </c>
      <c r="E18">
        <f>'Table MV-1'!$P26/'Table MV-1'!$P$61</f>
        <v>6.7476022485657349E-3</v>
      </c>
      <c r="F18">
        <f>'Table MV-1'!$P26/'Table MV-1'!$P$61</f>
        <v>6.7476022485657349E-3</v>
      </c>
      <c r="G18">
        <v>0</v>
      </c>
    </row>
    <row r="19" spans="1:7">
      <c r="A19" t="s">
        <v>38</v>
      </c>
      <c r="B19">
        <f t="shared" si="0"/>
        <v>1.5660014653321445E-2</v>
      </c>
      <c r="C19">
        <f>'Table MV-1'!J27/'Table MV-1'!$J$61</f>
        <v>1.5660014653321445E-2</v>
      </c>
      <c r="D19">
        <f>'Table MV-1'!$P27/'Table MV-1'!$P$61</f>
        <v>1.5331572751214788E-2</v>
      </c>
      <c r="E19">
        <f>'Table MV-1'!$P27/'Table MV-1'!$P$61</f>
        <v>1.5331572751214788E-2</v>
      </c>
      <c r="F19">
        <f>'Table MV-1'!$P27/'Table MV-1'!$P$61</f>
        <v>1.5331572751214788E-2</v>
      </c>
      <c r="G19">
        <v>0</v>
      </c>
    </row>
    <row r="20" spans="1:7">
      <c r="A20" t="s">
        <v>37</v>
      </c>
      <c r="B20">
        <f t="shared" si="0"/>
        <v>1.6056183541285681E-2</v>
      </c>
      <c r="C20">
        <f>'Table MV-1'!J28/'Table MV-1'!$J$61</f>
        <v>1.6056183541285681E-2</v>
      </c>
      <c r="D20">
        <f>'Table MV-1'!$P28/'Table MV-1'!$P$61</f>
        <v>1.5314421299533799E-2</v>
      </c>
      <c r="E20">
        <f>'Table MV-1'!$P28/'Table MV-1'!$P$61</f>
        <v>1.5314421299533799E-2</v>
      </c>
      <c r="F20">
        <f>'Table MV-1'!$P28/'Table MV-1'!$P$61</f>
        <v>1.5314421299533799E-2</v>
      </c>
      <c r="G20">
        <v>0</v>
      </c>
    </row>
    <row r="21" spans="1:7">
      <c r="A21" t="s">
        <v>36</v>
      </c>
      <c r="B21">
        <f t="shared" si="0"/>
        <v>4.4539606720417719E-3</v>
      </c>
      <c r="C21">
        <f>'Table MV-1'!J29/'Table MV-1'!$J$61</f>
        <v>4.4539606720417719E-3</v>
      </c>
      <c r="D21">
        <f>'Table MV-1'!$P29/'Table MV-1'!$P$61</f>
        <v>4.0566796357140557E-3</v>
      </c>
      <c r="E21">
        <f>'Table MV-1'!$P29/'Table MV-1'!$P$61</f>
        <v>4.0566796357140557E-3</v>
      </c>
      <c r="F21">
        <f>'Table MV-1'!$P29/'Table MV-1'!$P$61</f>
        <v>4.0566796357140557E-3</v>
      </c>
      <c r="G21">
        <v>0</v>
      </c>
    </row>
    <row r="22" spans="1:7">
      <c r="A22" t="s">
        <v>35</v>
      </c>
      <c r="B22">
        <f t="shared" si="0"/>
        <v>1.5504946219289552E-2</v>
      </c>
      <c r="C22">
        <f>'Table MV-1'!J30/'Table MV-1'!$J$61</f>
        <v>1.5504946219289552E-2</v>
      </c>
      <c r="D22">
        <f>'Table MV-1'!$P30/'Table MV-1'!$P$61</f>
        <v>1.6689659851926272E-2</v>
      </c>
      <c r="E22">
        <f>'Table MV-1'!$P30/'Table MV-1'!$P$61</f>
        <v>1.6689659851926272E-2</v>
      </c>
      <c r="F22">
        <f>'Table MV-1'!$P30/'Table MV-1'!$P$61</f>
        <v>1.6689659851926272E-2</v>
      </c>
      <c r="G22">
        <v>0</v>
      </c>
    </row>
    <row r="23" spans="1:7">
      <c r="A23" t="s">
        <v>78</v>
      </c>
      <c r="B23">
        <f t="shared" si="0"/>
        <v>1.7034403179751887E-2</v>
      </c>
      <c r="C23">
        <f>'Table MV-1'!J31/'Table MV-1'!$J$61</f>
        <v>1.7034403179751887E-2</v>
      </c>
      <c r="D23">
        <f>'Table MV-1'!$P31/'Table MV-1'!$P$61</f>
        <v>1.7123517972402236E-2</v>
      </c>
      <c r="E23">
        <f>'Table MV-1'!$P31/'Table MV-1'!$P$61</f>
        <v>1.7123517972402236E-2</v>
      </c>
      <c r="F23">
        <f>'Table MV-1'!$P31/'Table MV-1'!$P$61</f>
        <v>1.7123517972402236E-2</v>
      </c>
      <c r="G23">
        <v>0</v>
      </c>
    </row>
    <row r="24" spans="1:7">
      <c r="A24" t="s">
        <v>34</v>
      </c>
      <c r="B24">
        <f t="shared" si="0"/>
        <v>3.6156341043912056E-2</v>
      </c>
      <c r="C24">
        <f>'Table MV-1'!J32/'Table MV-1'!$J$61</f>
        <v>3.6156341043912056E-2</v>
      </c>
      <c r="D24">
        <f>'Table MV-1'!$P32/'Table MV-1'!$P$61</f>
        <v>3.2288963974207607E-2</v>
      </c>
      <c r="E24">
        <f>'Table MV-1'!$P32/'Table MV-1'!$P$61</f>
        <v>3.2288963974207607E-2</v>
      </c>
      <c r="F24">
        <f>'Table MV-1'!$P32/'Table MV-1'!$P$61</f>
        <v>3.2288963974207607E-2</v>
      </c>
      <c r="G24">
        <v>0</v>
      </c>
    </row>
    <row r="25" spans="1:7">
      <c r="A25" t="s">
        <v>33</v>
      </c>
      <c r="B25">
        <f t="shared" si="0"/>
        <v>2.1541685259288467E-2</v>
      </c>
      <c r="C25">
        <f>'Table MV-1'!J33/'Table MV-1'!$J$61</f>
        <v>2.1541685259288467E-2</v>
      </c>
      <c r="D25">
        <f>'Table MV-1'!$P33/'Table MV-1'!$P$61</f>
        <v>1.9955954346095848E-2</v>
      </c>
      <c r="E25">
        <f>'Table MV-1'!$P33/'Table MV-1'!$P$61</f>
        <v>1.9955954346095848E-2</v>
      </c>
      <c r="F25">
        <f>'Table MV-1'!$P33/'Table MV-1'!$P$61</f>
        <v>1.9955954346095848E-2</v>
      </c>
      <c r="G25">
        <v>0</v>
      </c>
    </row>
    <row r="26" spans="1:7">
      <c r="A26" t="s">
        <v>32</v>
      </c>
      <c r="B26">
        <f t="shared" si="0"/>
        <v>7.4748097059991556E-3</v>
      </c>
      <c r="C26">
        <f>'Table MV-1'!J34/'Table MV-1'!$J$61</f>
        <v>7.4748097059991556E-3</v>
      </c>
      <c r="D26">
        <f>'Table MV-1'!$P34/'Table MV-1'!$P$61</f>
        <v>7.4422074726982704E-3</v>
      </c>
      <c r="E26">
        <f>'Table MV-1'!$P34/'Table MV-1'!$P$61</f>
        <v>7.4422074726982704E-3</v>
      </c>
      <c r="F26">
        <f>'Table MV-1'!$P34/'Table MV-1'!$P$61</f>
        <v>7.4422074726982704E-3</v>
      </c>
      <c r="G26">
        <v>0</v>
      </c>
    </row>
    <row r="27" spans="1:7">
      <c r="A27" t="s">
        <v>31</v>
      </c>
      <c r="B27">
        <f t="shared" si="0"/>
        <v>1.9077232833543598E-2</v>
      </c>
      <c r="C27">
        <f>'Table MV-1'!J35/'Table MV-1'!$J$61</f>
        <v>1.9077232833543598E-2</v>
      </c>
      <c r="D27">
        <f>'Table MV-1'!$P35/'Table MV-1'!$P$61</f>
        <v>1.8225035757903053E-2</v>
      </c>
      <c r="E27">
        <f>'Table MV-1'!$P35/'Table MV-1'!$P$61</f>
        <v>1.8225035757903053E-2</v>
      </c>
      <c r="F27">
        <f>'Table MV-1'!$P35/'Table MV-1'!$P$61</f>
        <v>1.8225035757903053E-2</v>
      </c>
      <c r="G27">
        <v>0</v>
      </c>
    </row>
    <row r="28" spans="1:7">
      <c r="A28" t="s">
        <v>30</v>
      </c>
      <c r="B28">
        <f t="shared" si="0"/>
        <v>7.8757953330867592E-3</v>
      </c>
      <c r="C28">
        <f>'Table MV-1'!J36/'Table MV-1'!$J$61</f>
        <v>7.8757953330867592E-3</v>
      </c>
      <c r="D28">
        <f>'Table MV-1'!$P36/'Table MV-1'!$P$61</f>
        <v>8.3127873305093407E-3</v>
      </c>
      <c r="E28">
        <f>'Table MV-1'!$P36/'Table MV-1'!$P$61</f>
        <v>8.3127873305093407E-3</v>
      </c>
      <c r="F28">
        <f>'Table MV-1'!$P36/'Table MV-1'!$P$61</f>
        <v>8.3127873305093407E-3</v>
      </c>
      <c r="G28">
        <v>0</v>
      </c>
    </row>
    <row r="29" spans="1:7">
      <c r="A29" t="s">
        <v>29</v>
      </c>
      <c r="B29">
        <f t="shared" si="0"/>
        <v>7.2108903457164964E-3</v>
      </c>
      <c r="C29">
        <f>'Table MV-1'!J37/'Table MV-1'!$J$61</f>
        <v>7.2108903457164964E-3</v>
      </c>
      <c r="D29">
        <f>'Table MV-1'!$P37/'Table MV-1'!$P$61</f>
        <v>6.6857118250396247E-3</v>
      </c>
      <c r="E29">
        <f>'Table MV-1'!$P37/'Table MV-1'!$P$61</f>
        <v>6.6857118250396247E-3</v>
      </c>
      <c r="F29">
        <f>'Table MV-1'!$P37/'Table MV-1'!$P$61</f>
        <v>6.6857118250396247E-3</v>
      </c>
      <c r="G29">
        <v>0</v>
      </c>
    </row>
    <row r="30" spans="1:7">
      <c r="A30" t="s">
        <v>28</v>
      </c>
      <c r="B30">
        <f t="shared" si="0"/>
        <v>7.6426683214888365E-3</v>
      </c>
      <c r="C30">
        <f>'Table MV-1'!J38/'Table MV-1'!$J$61</f>
        <v>7.6426683214888365E-3</v>
      </c>
      <c r="D30">
        <f>'Table MV-1'!$P38/'Table MV-1'!$P$61</f>
        <v>8.0292724561909987E-3</v>
      </c>
      <c r="E30">
        <f>'Table MV-1'!$P38/'Table MV-1'!$P$61</f>
        <v>8.0292724561909987E-3</v>
      </c>
      <c r="F30">
        <f>'Table MV-1'!$P38/'Table MV-1'!$P$61</f>
        <v>8.0292724561909987E-3</v>
      </c>
      <c r="G30">
        <v>0</v>
      </c>
    </row>
    <row r="31" spans="1:7">
      <c r="A31" t="s">
        <v>27</v>
      </c>
      <c r="B31">
        <f t="shared" si="0"/>
        <v>4.8003548324127608E-3</v>
      </c>
      <c r="C31">
        <f>'Table MV-1'!J39/'Table MV-1'!$J$61</f>
        <v>4.8003548324127608E-3</v>
      </c>
      <c r="D31">
        <f>'Table MV-1'!$P39/'Table MV-1'!$P$61</f>
        <v>4.6739134278073252E-3</v>
      </c>
      <c r="E31">
        <f>'Table MV-1'!$P39/'Table MV-1'!$P$61</f>
        <v>4.6739134278073252E-3</v>
      </c>
      <c r="F31">
        <f>'Table MV-1'!$P39/'Table MV-1'!$P$61</f>
        <v>4.6739134278073252E-3</v>
      </c>
      <c r="G31">
        <v>0</v>
      </c>
    </row>
    <row r="32" spans="1:7">
      <c r="A32" t="s">
        <v>26</v>
      </c>
      <c r="B32">
        <f t="shared" si="0"/>
        <v>2.0077591554129363E-2</v>
      </c>
      <c r="C32">
        <f>'Table MV-1'!J40/'Table MV-1'!$J$61</f>
        <v>2.0077591554129363E-2</v>
      </c>
      <c r="D32">
        <f>'Table MV-1'!$P40/'Table MV-1'!$P$61</f>
        <v>2.1027071410363165E-2</v>
      </c>
      <c r="E32">
        <f>'Table MV-1'!$P40/'Table MV-1'!$P$61</f>
        <v>2.1027071410363165E-2</v>
      </c>
      <c r="F32">
        <f>'Table MV-1'!$P40/'Table MV-1'!$P$61</f>
        <v>2.1027071410363165E-2</v>
      </c>
      <c r="G32">
        <v>0</v>
      </c>
    </row>
    <row r="33" spans="1:7">
      <c r="A33" t="s">
        <v>25</v>
      </c>
      <c r="B33">
        <f t="shared" si="0"/>
        <v>6.7287263275387556E-3</v>
      </c>
      <c r="C33">
        <f>'Table MV-1'!J41/'Table MV-1'!$J$61</f>
        <v>6.7287263275387556E-3</v>
      </c>
      <c r="D33">
        <f>'Table MV-1'!$P41/'Table MV-1'!$P$61</f>
        <v>6.4880180691266089E-3</v>
      </c>
      <c r="E33">
        <f>'Table MV-1'!$P41/'Table MV-1'!$P$61</f>
        <v>6.4880180691266089E-3</v>
      </c>
      <c r="F33">
        <f>'Table MV-1'!$P41/'Table MV-1'!$P$61</f>
        <v>6.4880180691266089E-3</v>
      </c>
      <c r="G33">
        <v>0</v>
      </c>
    </row>
    <row r="34" spans="1:7">
      <c r="A34" t="s">
        <v>24</v>
      </c>
      <c r="B34">
        <f t="shared" si="0"/>
        <v>7.1284281935208318E-2</v>
      </c>
      <c r="C34">
        <f>'Table MV-1'!J42/'Table MV-1'!$J$61</f>
        <v>7.1284281935208318E-2</v>
      </c>
      <c r="D34">
        <f>'Table MV-1'!$P42/'Table MV-1'!$P$61</f>
        <v>7.0552185592379954E-2</v>
      </c>
      <c r="E34">
        <f>'Table MV-1'!$P42/'Table MV-1'!$P$61</f>
        <v>7.0552185592379954E-2</v>
      </c>
      <c r="F34">
        <f>'Table MV-1'!$P42/'Table MV-1'!$P$61</f>
        <v>7.0552185592379954E-2</v>
      </c>
      <c r="G34">
        <v>0</v>
      </c>
    </row>
    <row r="35" spans="1:7">
      <c r="A35" t="s">
        <v>23</v>
      </c>
      <c r="B35">
        <f t="shared" si="0"/>
        <v>2.9693847587022652E-2</v>
      </c>
      <c r="C35">
        <f>'Table MV-1'!J43/'Table MV-1'!$J$61</f>
        <v>2.9693847587022652E-2</v>
      </c>
      <c r="D35">
        <f>'Table MV-1'!$P43/'Table MV-1'!$P$61</f>
        <v>2.9787060240375227E-2</v>
      </c>
      <c r="E35">
        <f>'Table MV-1'!$P43/'Table MV-1'!$P$61</f>
        <v>2.9787060240375227E-2</v>
      </c>
      <c r="F35">
        <f>'Table MV-1'!$P43/'Table MV-1'!$P$61</f>
        <v>2.9787060240375227E-2</v>
      </c>
      <c r="G35">
        <v>0</v>
      </c>
    </row>
    <row r="36" spans="1:7">
      <c r="A36" t="s">
        <v>22</v>
      </c>
      <c r="B36">
        <f t="shared" si="0"/>
        <v>4.2877779023302431E-3</v>
      </c>
      <c r="C36">
        <f>'Table MV-1'!J44/'Table MV-1'!$J$61</f>
        <v>4.2877779023302431E-3</v>
      </c>
      <c r="D36">
        <f>'Table MV-1'!$P44/'Table MV-1'!$P$61</f>
        <v>3.6188117794247621E-3</v>
      </c>
      <c r="E36">
        <f>'Table MV-1'!$P44/'Table MV-1'!$P$61</f>
        <v>3.6188117794247621E-3</v>
      </c>
      <c r="F36">
        <f>'Table MV-1'!$P44/'Table MV-1'!$P$61</f>
        <v>3.6188117794247621E-3</v>
      </c>
      <c r="G36">
        <v>0</v>
      </c>
    </row>
    <row r="37" spans="1:7">
      <c r="A37" t="s">
        <v>21</v>
      </c>
      <c r="B37">
        <f t="shared" si="0"/>
        <v>3.7434737334968125E-2</v>
      </c>
      <c r="C37">
        <f>'Table MV-1'!J45/'Table MV-1'!$J$61</f>
        <v>3.7434737334968125E-2</v>
      </c>
      <c r="D37">
        <f>'Table MV-1'!$P45/'Table MV-1'!$P$61</f>
        <v>3.8204060369399315E-2</v>
      </c>
      <c r="E37">
        <f>'Table MV-1'!$P45/'Table MV-1'!$P$61</f>
        <v>3.8204060369399315E-2</v>
      </c>
      <c r="F37">
        <f>'Table MV-1'!$P45/'Table MV-1'!$P$61</f>
        <v>3.8204060369399315E-2</v>
      </c>
      <c r="G37">
        <v>0</v>
      </c>
    </row>
    <row r="38" spans="1:7">
      <c r="A38" t="s">
        <v>20</v>
      </c>
      <c r="B38">
        <f t="shared" si="0"/>
        <v>1.3202096972120318E-2</v>
      </c>
      <c r="C38">
        <f>'Table MV-1'!J46/'Table MV-1'!$J$61</f>
        <v>1.3202096972120318E-2</v>
      </c>
      <c r="D38">
        <f>'Table MV-1'!$P46/'Table MV-1'!$P$61</f>
        <v>1.2461832054141342E-2</v>
      </c>
      <c r="E38">
        <f>'Table MV-1'!$P46/'Table MV-1'!$P$61</f>
        <v>1.2461832054141342E-2</v>
      </c>
      <c r="F38">
        <f>'Table MV-1'!$P46/'Table MV-1'!$P$61</f>
        <v>1.2461832054141342E-2</v>
      </c>
      <c r="G38">
        <v>0</v>
      </c>
    </row>
    <row r="39" spans="1:7">
      <c r="A39" t="s">
        <v>19</v>
      </c>
      <c r="B39">
        <f t="shared" si="0"/>
        <v>1.4672888790436756E-2</v>
      </c>
      <c r="C39">
        <f>'Table MV-1'!J47/'Table MV-1'!$J$61</f>
        <v>1.4672888790436756E-2</v>
      </c>
      <c r="D39">
        <f>'Table MV-1'!$P47/'Table MV-1'!$P$61</f>
        <v>1.4299558173495897E-2</v>
      </c>
      <c r="E39">
        <f>'Table MV-1'!$P47/'Table MV-1'!$P$61</f>
        <v>1.4299558173495897E-2</v>
      </c>
      <c r="F39">
        <f>'Table MV-1'!$P47/'Table MV-1'!$P$61</f>
        <v>1.4299558173495897E-2</v>
      </c>
      <c r="G39">
        <v>0</v>
      </c>
    </row>
    <row r="40" spans="1:7">
      <c r="A40" t="s">
        <v>18</v>
      </c>
      <c r="B40">
        <f t="shared" si="0"/>
        <v>3.6071125867079577E-2</v>
      </c>
      <c r="C40">
        <f>'Table MV-1'!J48/'Table MV-1'!$J$61</f>
        <v>3.6071125867079577E-2</v>
      </c>
      <c r="D40">
        <f>'Table MV-1'!$P48/'Table MV-1'!$P$61</f>
        <v>3.5668021784837536E-2</v>
      </c>
      <c r="E40">
        <f>'Table MV-1'!$P48/'Table MV-1'!$P$61</f>
        <v>3.5668021784837536E-2</v>
      </c>
      <c r="F40">
        <f>'Table MV-1'!$P48/'Table MV-1'!$P$61</f>
        <v>3.5668021784837536E-2</v>
      </c>
      <c r="G40">
        <v>0</v>
      </c>
    </row>
    <row r="41" spans="1:7">
      <c r="A41" t="s">
        <v>17</v>
      </c>
      <c r="B41">
        <f t="shared" si="0"/>
        <v>2.6486531725491763E-3</v>
      </c>
      <c r="C41">
        <f>'Table MV-1'!J49/'Table MV-1'!$J$61</f>
        <v>2.6486531725491763E-3</v>
      </c>
      <c r="D41">
        <f>'Table MV-1'!$P49/'Table MV-1'!$P$61</f>
        <v>2.8194727936164845E-3</v>
      </c>
      <c r="E41">
        <f>'Table MV-1'!$P49/'Table MV-1'!$P$61</f>
        <v>2.8194727936164845E-3</v>
      </c>
      <c r="F41">
        <f>'Table MV-1'!$P49/'Table MV-1'!$P$61</f>
        <v>2.8194727936164845E-3</v>
      </c>
      <c r="G41">
        <v>0</v>
      </c>
    </row>
    <row r="42" spans="1:7">
      <c r="A42" t="s">
        <v>16</v>
      </c>
      <c r="B42">
        <f t="shared" si="0"/>
        <v>1.6889542649091947E-2</v>
      </c>
      <c r="C42">
        <f>'Table MV-1'!J50/'Table MV-1'!$J$61</f>
        <v>1.6889542649091947E-2</v>
      </c>
      <c r="D42">
        <f>'Table MV-1'!$P50/'Table MV-1'!$P$61</f>
        <v>1.7024239199179999E-2</v>
      </c>
      <c r="E42">
        <f>'Table MV-1'!$P50/'Table MV-1'!$P$61</f>
        <v>1.7024239199179999E-2</v>
      </c>
      <c r="F42">
        <f>'Table MV-1'!$P50/'Table MV-1'!$P$61</f>
        <v>1.7024239199179999E-2</v>
      </c>
      <c r="G42">
        <v>0</v>
      </c>
    </row>
    <row r="43" spans="1:7">
      <c r="A43" t="s">
        <v>15</v>
      </c>
      <c r="B43">
        <f t="shared" si="0"/>
        <v>5.0279378510590588E-3</v>
      </c>
      <c r="C43">
        <f>'Table MV-1'!J51/'Table MV-1'!$J$61</f>
        <v>5.0279378510590588E-3</v>
      </c>
      <c r="D43">
        <f>'Table MV-1'!$P51/'Table MV-1'!$P$61</f>
        <v>4.7287422797124747E-3</v>
      </c>
      <c r="E43">
        <f>'Table MV-1'!$P51/'Table MV-1'!$P$61</f>
        <v>4.7287422797124747E-3</v>
      </c>
      <c r="F43">
        <f>'Table MV-1'!$P51/'Table MV-1'!$P$61</f>
        <v>4.7287422797124747E-3</v>
      </c>
      <c r="G43">
        <v>0</v>
      </c>
    </row>
    <row r="44" spans="1:7">
      <c r="A44" t="s">
        <v>14</v>
      </c>
      <c r="B44">
        <f t="shared" si="0"/>
        <v>2.4749796884066217E-2</v>
      </c>
      <c r="C44">
        <f>'Table MV-1'!J52/'Table MV-1'!$J$61</f>
        <v>2.4749796884066217E-2</v>
      </c>
      <c r="D44">
        <f>'Table MV-1'!$P52/'Table MV-1'!$P$61</f>
        <v>2.4117707209803455E-2</v>
      </c>
      <c r="E44">
        <f>'Table MV-1'!$P52/'Table MV-1'!$P$61</f>
        <v>2.4117707209803455E-2</v>
      </c>
      <c r="F44">
        <f>'Table MV-1'!$P52/'Table MV-1'!$P$61</f>
        <v>2.4117707209803455E-2</v>
      </c>
      <c r="G44">
        <v>0</v>
      </c>
    </row>
    <row r="45" spans="1:7">
      <c r="A45" t="s">
        <v>13</v>
      </c>
      <c r="B45">
        <f t="shared" si="0"/>
        <v>8.3968921998659421E-2</v>
      </c>
      <c r="C45">
        <f>'Table MV-1'!J53/'Table MV-1'!$J$61</f>
        <v>8.3968921998659421E-2</v>
      </c>
      <c r="D45">
        <f>'Table MV-1'!$P53/'Table MV-1'!$P$61</f>
        <v>7.934235667520316E-2</v>
      </c>
      <c r="E45">
        <f>'Table MV-1'!$P53/'Table MV-1'!$P$61</f>
        <v>7.934235667520316E-2</v>
      </c>
      <c r="F45">
        <f>'Table MV-1'!$P53/'Table MV-1'!$P$61</f>
        <v>7.934235667520316E-2</v>
      </c>
      <c r="G45">
        <v>0</v>
      </c>
    </row>
    <row r="46" spans="1:7">
      <c r="A46" t="s">
        <v>12</v>
      </c>
      <c r="B46">
        <f t="shared" si="0"/>
        <v>1.0388989575190539E-2</v>
      </c>
      <c r="C46">
        <f>'Table MV-1'!J54/'Table MV-1'!$J$61</f>
        <v>1.0388989575190539E-2</v>
      </c>
      <c r="D46">
        <f>'Table MV-1'!$P54/'Table MV-1'!$P$61</f>
        <v>1.0779366400973663E-2</v>
      </c>
      <c r="E46">
        <f>'Table MV-1'!$P54/'Table MV-1'!$P$61</f>
        <v>1.0779366400973663E-2</v>
      </c>
      <c r="F46">
        <f>'Table MV-1'!$P54/'Table MV-1'!$P$61</f>
        <v>1.0779366400973663E-2</v>
      </c>
      <c r="G46">
        <v>0</v>
      </c>
    </row>
    <row r="47" spans="1:7">
      <c r="A47" t="s">
        <v>11</v>
      </c>
      <c r="B47">
        <f t="shared" si="0"/>
        <v>2.4956189412542857E-3</v>
      </c>
      <c r="C47">
        <f>'Table MV-1'!J55/'Table MV-1'!$J$61</f>
        <v>2.4956189412542857E-3</v>
      </c>
      <c r="D47">
        <f>'Table MV-1'!$P55/'Table MV-1'!$P$61</f>
        <v>2.2565300850041136E-3</v>
      </c>
      <c r="E47">
        <f>'Table MV-1'!$P55/'Table MV-1'!$P$61</f>
        <v>2.2565300850041136E-3</v>
      </c>
      <c r="F47">
        <f>'Table MV-1'!$P55/'Table MV-1'!$P$61</f>
        <v>2.2565300850041136E-3</v>
      </c>
      <c r="G47">
        <v>0</v>
      </c>
    </row>
    <row r="48" spans="1:7">
      <c r="A48" t="s">
        <v>10</v>
      </c>
      <c r="B48">
        <f t="shared" si="0"/>
        <v>2.595174720387108E-2</v>
      </c>
      <c r="C48">
        <f>'Table MV-1'!J56/'Table MV-1'!$J$61</f>
        <v>2.595174720387108E-2</v>
      </c>
      <c r="D48">
        <f>'Table MV-1'!$P56/'Table MV-1'!$P$61</f>
        <v>2.6839786780735238E-2</v>
      </c>
      <c r="E48">
        <f>'Table MV-1'!$P56/'Table MV-1'!$P$61</f>
        <v>2.6839786780735238E-2</v>
      </c>
      <c r="F48">
        <f>'Table MV-1'!$P56/'Table MV-1'!$P$61</f>
        <v>2.6839786780735238E-2</v>
      </c>
      <c r="G48">
        <v>0</v>
      </c>
    </row>
    <row r="49" spans="1:7">
      <c r="A49" t="s">
        <v>9</v>
      </c>
      <c r="B49">
        <f t="shared" si="0"/>
        <v>2.5077498513068945E-2</v>
      </c>
      <c r="C49">
        <f>'Table MV-1'!J57/'Table MV-1'!$J$61</f>
        <v>2.5077498513068945E-2</v>
      </c>
      <c r="D49">
        <f>'Table MV-1'!$P57/'Table MV-1'!$P$61</f>
        <v>2.5271922939828325E-2</v>
      </c>
      <c r="E49">
        <f>'Table MV-1'!$P57/'Table MV-1'!$P$61</f>
        <v>2.5271922939828325E-2</v>
      </c>
      <c r="F49">
        <f>'Table MV-1'!$P57/'Table MV-1'!$P$61</f>
        <v>2.5271922939828325E-2</v>
      </c>
      <c r="G49">
        <v>0</v>
      </c>
    </row>
    <row r="50" spans="1:7">
      <c r="A50" t="s">
        <v>8</v>
      </c>
      <c r="B50">
        <f t="shared" si="0"/>
        <v>5.4422511950427263E-3</v>
      </c>
      <c r="C50">
        <f>'Table MV-1'!J58/'Table MV-1'!$J$61</f>
        <v>5.4422511950427263E-3</v>
      </c>
      <c r="D50">
        <f>'Table MV-1'!$P58/'Table MV-1'!$P$61</f>
        <v>4.9714338085247826E-3</v>
      </c>
      <c r="E50">
        <f>'Table MV-1'!$P58/'Table MV-1'!$P$61</f>
        <v>4.9714338085247826E-3</v>
      </c>
      <c r="F50">
        <f>'Table MV-1'!$P58/'Table MV-1'!$P$61</f>
        <v>4.9714338085247826E-3</v>
      </c>
      <c r="G50">
        <v>0</v>
      </c>
    </row>
    <row r="51" spans="1:7">
      <c r="A51" t="s">
        <v>7</v>
      </c>
      <c r="B51">
        <f t="shared" si="0"/>
        <v>2.0652854602234288E-2</v>
      </c>
      <c r="C51">
        <f>'Table MV-1'!J59/'Table MV-1'!$J$61</f>
        <v>2.0652854602234288E-2</v>
      </c>
      <c r="D51">
        <f>'Table MV-1'!$P59/'Table MV-1'!$P$61</f>
        <v>1.96177114514519E-2</v>
      </c>
      <c r="E51">
        <f>'Table MV-1'!$P59/'Table MV-1'!$P$61</f>
        <v>1.96177114514519E-2</v>
      </c>
      <c r="F51">
        <f>'Table MV-1'!$P59/'Table MV-1'!$P$61</f>
        <v>1.96177114514519E-2</v>
      </c>
      <c r="G51">
        <v>0</v>
      </c>
    </row>
    <row r="52" spans="1:7">
      <c r="A52" t="s">
        <v>6</v>
      </c>
      <c r="B52">
        <f t="shared" si="0"/>
        <v>3.5860938970803348E-3</v>
      </c>
      <c r="C52">
        <f>'Table MV-1'!J60/'Table MV-1'!$J$61</f>
        <v>3.5860938970803348E-3</v>
      </c>
      <c r="D52">
        <f>'Table MV-1'!$P60/'Table MV-1'!$P$61</f>
        <v>2.9481540554347017E-3</v>
      </c>
      <c r="E52">
        <f>'Table MV-1'!$P60/'Table MV-1'!$P$61</f>
        <v>2.9481540554347017E-3</v>
      </c>
      <c r="F52">
        <f>'Table MV-1'!$P60/'Table MV-1'!$P$61</f>
        <v>2.9481540554347017E-3</v>
      </c>
      <c r="G52">
        <v>0</v>
      </c>
    </row>
    <row r="53" spans="1:7">
      <c r="A53" t="s">
        <v>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88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89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95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2022-11-18T22:27:02Z</dcterms:created>
  <dcterms:modified xsi:type="dcterms:W3CDTF">2026-02-24T16:56:40Z</dcterms:modified>
</cp:coreProperties>
</file>