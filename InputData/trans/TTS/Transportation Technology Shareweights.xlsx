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trans\TTS\"/>
    </mc:Choice>
  </mc:AlternateContent>
  <xr:revisionPtr revIDLastSave="0" documentId="13_ncr:1_{2CEBA84A-D1BC-44E9-A87A-A3C050F86028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SYVbT-passenger" sheetId="6" r:id="rId2"/>
    <sheet name="Data" sheetId="3" r:id="rId3"/>
    <sheet name="TTS-LDVs-psgr" sheetId="2" r:id="rId4"/>
    <sheet name="TTS-LDVs-frgt" sheetId="8" r:id="rId5"/>
    <sheet name="TTS-HDVs-psgr" sheetId="9" r:id="rId6"/>
    <sheet name="TTS-HDVs-frgt" sheetId="10" r:id="rId7"/>
    <sheet name="TTS-aircraft-psgr" sheetId="11" r:id="rId8"/>
    <sheet name="TTS-aircraft-frgt" sheetId="12" r:id="rId9"/>
    <sheet name="TTS-rail-psgr" sheetId="13" r:id="rId10"/>
    <sheet name="TTS-rail-frgt" sheetId="14" r:id="rId11"/>
    <sheet name="TTS-ships-psgr" sheetId="15" r:id="rId12"/>
    <sheet name="TTS-ships-frgt" sheetId="16" r:id="rId13"/>
    <sheet name="TTS-motorbikes-psgr" sheetId="17" r:id="rId14"/>
    <sheet name="TTS-motorbikes-frgt" sheetId="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3" l="1"/>
  <c r="J32" i="3"/>
  <c r="I33" i="3"/>
  <c r="J33" i="3"/>
  <c r="I34" i="3"/>
  <c r="J34" i="3"/>
  <c r="I35" i="3"/>
  <c r="J35" i="3"/>
  <c r="I36" i="3"/>
  <c r="J36" i="3"/>
  <c r="I37" i="3"/>
  <c r="J37" i="3"/>
  <c r="J31" i="3"/>
  <c r="I31" i="3"/>
  <c r="I25" i="3"/>
  <c r="J25" i="3"/>
  <c r="I26" i="3"/>
  <c r="J26" i="3"/>
  <c r="I27" i="3"/>
  <c r="J27" i="3"/>
  <c r="I28" i="3"/>
  <c r="J28" i="3"/>
  <c r="I29" i="3"/>
  <c r="J29" i="3"/>
  <c r="I30" i="3"/>
  <c r="J30" i="3"/>
  <c r="J24" i="3"/>
  <c r="F21" i="3"/>
  <c r="L21" i="3" s="1"/>
  <c r="I18" i="3"/>
  <c r="J18" i="3"/>
  <c r="I19" i="3"/>
  <c r="J19" i="3"/>
  <c r="I20" i="3"/>
  <c r="J20" i="3"/>
  <c r="I21" i="3"/>
  <c r="J21" i="3"/>
  <c r="I22" i="3"/>
  <c r="J22" i="3"/>
  <c r="I23" i="3"/>
  <c r="J23" i="3"/>
  <c r="I17" i="3"/>
  <c r="I10" i="3"/>
  <c r="F14" i="3"/>
  <c r="F84" i="3" s="1"/>
  <c r="F80" i="3"/>
  <c r="F82" i="3"/>
  <c r="F37" i="3"/>
  <c r="F36" i="3"/>
  <c r="F35" i="3"/>
  <c r="F33" i="3"/>
  <c r="F32" i="3"/>
  <c r="F30" i="3"/>
  <c r="F29" i="3"/>
  <c r="F28" i="3"/>
  <c r="F26" i="3"/>
  <c r="F25" i="3"/>
  <c r="F23" i="3"/>
  <c r="F22" i="3"/>
  <c r="F19" i="3"/>
  <c r="F18" i="3"/>
  <c r="F16" i="3"/>
  <c r="F86" i="3" s="1"/>
  <c r="F15" i="3"/>
  <c r="F85" i="3" s="1"/>
  <c r="F13" i="3"/>
  <c r="F83" i="3" s="1"/>
  <c r="F11" i="3"/>
  <c r="F81" i="3" s="1"/>
  <c r="AD21" i="3" l="1"/>
  <c r="AA21" i="3"/>
  <c r="U21" i="3"/>
  <c r="S21" i="3"/>
  <c r="R21" i="3"/>
  <c r="Q21" i="3"/>
  <c r="AB21" i="3"/>
  <c r="Y21" i="3"/>
  <c r="W21" i="3"/>
  <c r="T21" i="3"/>
  <c r="P21" i="3"/>
  <c r="AI21" i="3"/>
  <c r="O21" i="3"/>
  <c r="Z21" i="3"/>
  <c r="AH21" i="3"/>
  <c r="N21" i="3"/>
  <c r="AG21" i="3"/>
  <c r="M21" i="3"/>
  <c r="AE21" i="3"/>
  <c r="AC21" i="3"/>
  <c r="X21" i="3"/>
  <c r="V21" i="3"/>
  <c r="K21" i="3"/>
  <c r="AF21" i="3"/>
  <c r="D81" i="3"/>
  <c r="E81" i="3"/>
  <c r="D82" i="3"/>
  <c r="E82" i="3"/>
  <c r="D83" i="3"/>
  <c r="E83" i="3"/>
  <c r="D84" i="3"/>
  <c r="E84" i="3"/>
  <c r="D85" i="3"/>
  <c r="E85" i="3"/>
  <c r="D86" i="3"/>
  <c r="E86" i="3"/>
  <c r="E80" i="3"/>
  <c r="D80" i="3"/>
  <c r="J10" i="3"/>
  <c r="B1" i="2"/>
  <c r="J9" i="3"/>
  <c r="I24" i="3" l="1"/>
  <c r="J14" i="3" l="1"/>
  <c r="I14" i="3"/>
  <c r="B2" i="2" l="1"/>
  <c r="K9" i="3" l="1"/>
  <c r="E52" i="3" l="1"/>
  <c r="E55" i="3" l="1"/>
  <c r="G29" i="3" l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G23" i="3"/>
  <c r="G22" i="3"/>
  <c r="B7" i="9"/>
  <c r="B8" i="9"/>
  <c r="B7" i="10"/>
  <c r="B8" i="10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B7" i="8"/>
  <c r="B8" i="8"/>
  <c r="I15" i="3"/>
  <c r="B7" i="2" s="1"/>
  <c r="G16" i="3" l="1"/>
  <c r="I16" i="3"/>
  <c r="B8" i="2" s="1"/>
  <c r="G15" i="3"/>
  <c r="B1" i="18" l="1"/>
  <c r="B1" i="16"/>
  <c r="B1" i="14"/>
  <c r="B1" i="12"/>
  <c r="B1" i="10"/>
  <c r="C7" i="10"/>
  <c r="B1" i="13"/>
  <c r="B1" i="9"/>
  <c r="B1" i="11"/>
  <c r="B1" i="8"/>
  <c r="B1" i="15"/>
  <c r="B1" i="17"/>
  <c r="C8" i="10" l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C8" i="9"/>
  <c r="J15" i="3"/>
  <c r="C7" i="2" s="1"/>
  <c r="J86" i="3"/>
  <c r="C8" i="17" s="1"/>
  <c r="C7" i="9"/>
  <c r="C7" i="8"/>
  <c r="J16" i="3"/>
  <c r="C8" i="2" s="1"/>
  <c r="C8" i="8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L14" i="3" s="1"/>
  <c r="Q14" i="3" l="1"/>
  <c r="R14" i="3"/>
  <c r="S14" i="3"/>
  <c r="T14" i="3"/>
  <c r="W14" i="3"/>
  <c r="X14" i="3"/>
  <c r="Y14" i="3"/>
  <c r="Z14" i="3"/>
  <c r="AA14" i="3"/>
  <c r="AB14" i="3"/>
  <c r="AC14" i="3"/>
  <c r="AD14" i="3"/>
  <c r="AE14" i="3"/>
  <c r="AF14" i="3"/>
  <c r="M14" i="3"/>
  <c r="AG14" i="3"/>
  <c r="N14" i="3"/>
  <c r="AH14" i="3"/>
  <c r="O14" i="3"/>
  <c r="AI14" i="3"/>
  <c r="P14" i="3"/>
  <c r="K14" i="3"/>
  <c r="U14" i="3"/>
  <c r="V14" i="3"/>
  <c r="C6" i="2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M36" i="3" l="1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N23" i="3" l="1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C5" i="10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C5" i="9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C4" i="8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C5" i="8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I84" i="3"/>
  <c r="I83" i="3"/>
  <c r="I80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G32" i="3"/>
  <c r="G81" i="3"/>
  <c r="G24" i="3"/>
  <c r="Y24" i="3" s="1"/>
  <c r="G33" i="3"/>
  <c r="G83" i="3"/>
  <c r="G80" i="3"/>
  <c r="G35" i="3"/>
  <c r="G84" i="3"/>
  <c r="K31" i="3" l="1"/>
  <c r="X31" i="3"/>
  <c r="Y31" i="3"/>
  <c r="K24" i="3"/>
  <c r="D2" i="9" s="1"/>
  <c r="M24" i="3"/>
  <c r="F2" i="9" s="1"/>
  <c r="AE24" i="3"/>
  <c r="L24" i="3"/>
  <c r="E2" i="9" s="1"/>
  <c r="AF24" i="3"/>
  <c r="AG24" i="3"/>
  <c r="N24" i="3"/>
  <c r="G2" i="9" s="1"/>
  <c r="AH24" i="3"/>
  <c r="O24" i="3"/>
  <c r="H2" i="9" s="1"/>
  <c r="AI24" i="3"/>
  <c r="P24" i="3"/>
  <c r="I2" i="9" s="1"/>
  <c r="Q24" i="3"/>
  <c r="J2" i="9" s="1"/>
  <c r="R24" i="3"/>
  <c r="K2" i="9" s="1"/>
  <c r="S24" i="3"/>
  <c r="T24" i="3"/>
  <c r="U24" i="3"/>
  <c r="V24" i="3"/>
  <c r="W24" i="3"/>
  <c r="X24" i="3"/>
  <c r="Z24" i="3"/>
  <c r="AA24" i="3"/>
  <c r="AB24" i="3"/>
  <c r="AD24" i="3"/>
  <c r="AC24" i="3"/>
  <c r="L31" i="3"/>
  <c r="E2" i="10" s="1"/>
  <c r="M31" i="3"/>
  <c r="F2" i="10" s="1"/>
  <c r="N31" i="3"/>
  <c r="G2" i="10" s="1"/>
  <c r="O31" i="3"/>
  <c r="H2" i="10" s="1"/>
  <c r="C2" i="10"/>
  <c r="D2" i="10"/>
  <c r="P31" i="3"/>
  <c r="I2" i="10" s="1"/>
  <c r="Q31" i="3"/>
  <c r="J2" i="10" s="1"/>
  <c r="R31" i="3"/>
  <c r="K2" i="10" s="1"/>
  <c r="C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C6" i="10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C3" i="10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C4" i="10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C6" i="9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C4" i="9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C3" i="9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B4" i="9"/>
  <c r="B2" i="17"/>
  <c r="B3" i="17"/>
  <c r="B6" i="17"/>
  <c r="G11" i="3"/>
  <c r="J11" i="3" s="1"/>
  <c r="B5" i="17"/>
  <c r="B3" i="10"/>
  <c r="G10" i="3"/>
  <c r="B6" i="10"/>
  <c r="G17" i="3"/>
  <c r="B3" i="9"/>
  <c r="L17" i="3" l="1"/>
  <c r="AI17" i="3"/>
  <c r="M17" i="3"/>
  <c r="K17" i="3"/>
  <c r="N17" i="3"/>
  <c r="G2" i="8" s="1"/>
  <c r="O17" i="3"/>
  <c r="P17" i="3"/>
  <c r="Q17" i="3"/>
  <c r="R17" i="3"/>
  <c r="K2" i="8" s="1"/>
  <c r="S17" i="3"/>
  <c r="L2" i="8" s="1"/>
  <c r="T17" i="3"/>
  <c r="U17" i="3"/>
  <c r="V17" i="3"/>
  <c r="W17" i="3"/>
  <c r="Y17" i="3"/>
  <c r="Z17" i="3"/>
  <c r="AA17" i="3"/>
  <c r="AB17" i="3"/>
  <c r="AC17" i="3"/>
  <c r="AD17" i="3"/>
  <c r="AE17" i="3"/>
  <c r="AF17" i="3"/>
  <c r="AG17" i="3"/>
  <c r="X17" i="3"/>
  <c r="AH17" i="3"/>
  <c r="F2" i="8"/>
  <c r="J2" i="8"/>
  <c r="I2" i="8"/>
  <c r="H2" i="8"/>
  <c r="E2" i="8"/>
  <c r="D2" i="8"/>
  <c r="J17" i="3"/>
  <c r="C2" i="8" s="1"/>
  <c r="K10" i="3"/>
  <c r="D2" i="2" s="1"/>
  <c r="L10" i="3"/>
  <c r="E2" i="2" s="1"/>
  <c r="N10" i="3"/>
  <c r="G2" i="2" s="1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L2" i="9"/>
  <c r="S31" i="3"/>
  <c r="L2" i="10" s="1"/>
  <c r="S80" i="3"/>
  <c r="L2" i="17" s="1"/>
  <c r="L6" i="2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C6" i="8"/>
  <c r="G6" i="8"/>
  <c r="K6" i="8"/>
  <c r="F6" i="8"/>
  <c r="D6" i="8"/>
  <c r="H6" i="8"/>
  <c r="L6" i="8"/>
  <c r="J6" i="8"/>
  <c r="E6" i="8"/>
  <c r="I6" i="8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9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M6" i="8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M2" i="2" l="1"/>
  <c r="N2" i="8"/>
  <c r="N2" i="9"/>
  <c r="U10" i="3"/>
  <c r="N2" i="2" s="1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N6" i="8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O6" i="2"/>
  <c r="O2" i="8"/>
  <c r="O2" i="9"/>
  <c r="V10" i="3"/>
  <c r="O2" i="2" s="1"/>
  <c r="V80" i="3"/>
  <c r="O2" i="17" s="1"/>
  <c r="V25" i="3"/>
  <c r="O3" i="9" s="1"/>
  <c r="V32" i="3"/>
  <c r="O3" i="10" s="1"/>
  <c r="O6" i="8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P2" i="8" l="1"/>
  <c r="W10" i="3"/>
  <c r="P2" i="2" s="1"/>
  <c r="P2" i="9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P6" i="8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Q2" i="8" l="1"/>
  <c r="Q2" i="9"/>
  <c r="Q6" i="2"/>
  <c r="X10" i="3"/>
  <c r="Q2" i="2" s="1"/>
  <c r="Q2" i="10"/>
  <c r="X80" i="3"/>
  <c r="Q2" i="17" s="1"/>
  <c r="X11" i="3"/>
  <c r="Q3" i="2" s="1"/>
  <c r="X36" i="3"/>
  <c r="Q7" i="10" s="1"/>
  <c r="X37" i="3"/>
  <c r="Q8" i="10" s="1"/>
  <c r="Q6" i="8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R2" i="8" l="1"/>
  <c r="R2" i="9"/>
  <c r="Y10" i="3"/>
  <c r="R2" i="2" s="1"/>
  <c r="R2" i="10"/>
  <c r="R6" i="2"/>
  <c r="Y80" i="3"/>
  <c r="R2" i="17" s="1"/>
  <c r="Y36" i="3"/>
  <c r="R7" i="10" s="1"/>
  <c r="Y37" i="3"/>
  <c r="R8" i="10" s="1"/>
  <c r="R6" i="8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S2" i="8" l="1"/>
  <c r="S2" i="9"/>
  <c r="Z10" i="3"/>
  <c r="S2" i="2" s="1"/>
  <c r="Z31" i="3"/>
  <c r="S2" i="10" s="1"/>
  <c r="Z80" i="3"/>
  <c r="S2" i="17" s="1"/>
  <c r="S6" i="2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S6" i="8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T6" i="2" l="1"/>
  <c r="T2" i="8"/>
  <c r="AA31" i="3"/>
  <c r="T2" i="10" s="1"/>
  <c r="T2" i="9"/>
  <c r="AA10" i="3"/>
  <c r="T2" i="2" s="1"/>
  <c r="AA80" i="3"/>
  <c r="T2" i="17" s="1"/>
  <c r="T6" i="8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U2" i="8" l="1"/>
  <c r="U2" i="9"/>
  <c r="AB10" i="3"/>
  <c r="U2" i="2" s="1"/>
  <c r="AB31" i="3"/>
  <c r="U2" i="10" s="1"/>
  <c r="U6" i="2"/>
  <c r="AB80" i="3"/>
  <c r="U2" i="17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AB28" i="3"/>
  <c r="U6" i="9" s="1"/>
  <c r="AB35" i="3"/>
  <c r="U6" i="10" s="1"/>
  <c r="AB32" i="3"/>
  <c r="U3" i="10" s="1"/>
  <c r="U6" i="8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V2" i="8" l="1"/>
  <c r="V2" i="9"/>
  <c r="AC10" i="3"/>
  <c r="V2" i="2" s="1"/>
  <c r="AC31" i="3"/>
  <c r="V2" i="10" s="1"/>
  <c r="V6" i="2"/>
  <c r="AC80" i="3"/>
  <c r="V2" i="17" s="1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V6" i="8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W6" i="2" l="1"/>
  <c r="W2" i="8"/>
  <c r="W2" i="9"/>
  <c r="AD10" i="3"/>
  <c r="W2" i="2" s="1"/>
  <c r="AD31" i="3"/>
  <c r="W2" i="10" s="1"/>
  <c r="AD80" i="3"/>
  <c r="W2" i="17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W6" i="8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X6" i="2" l="1"/>
  <c r="X2" i="8"/>
  <c r="X2" i="9"/>
  <c r="AE10" i="3"/>
  <c r="X2" i="2" s="1"/>
  <c r="AE31" i="3"/>
  <c r="X2" i="10" s="1"/>
  <c r="AE80" i="3"/>
  <c r="X2" i="17" s="1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X6" i="8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Y6" i="2" l="1"/>
  <c r="Y2" i="8"/>
  <c r="Y2" i="9"/>
  <c r="AF10" i="3"/>
  <c r="Y2" i="2" s="1"/>
  <c r="AF31" i="3"/>
  <c r="Y2" i="10" s="1"/>
  <c r="AF80" i="3"/>
  <c r="Y2" i="17" s="1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AF32" i="3"/>
  <c r="Y3" i="10" s="1"/>
  <c r="AF28" i="3"/>
  <c r="Y6" i="9" s="1"/>
  <c r="Y6" i="8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Z6" i="2" l="1"/>
  <c r="AG10" i="3"/>
  <c r="Z2" i="2" s="1"/>
  <c r="Z2" i="9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Z6" i="8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A2" i="8" l="1"/>
  <c r="AH10" i="3"/>
  <c r="AA2" i="2" s="1"/>
  <c r="AA2" i="9"/>
  <c r="AH31" i="3"/>
  <c r="AA2" i="10" s="1"/>
  <c r="AA6" i="2"/>
  <c r="AH80" i="3"/>
  <c r="AA2" i="17" s="1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A6" i="8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B2" i="8" l="1"/>
  <c r="AB2" i="9"/>
  <c r="AI10" i="3"/>
  <c r="AB2" i="2" s="1"/>
  <c r="AI31" i="3"/>
  <c r="AB2" i="10" s="1"/>
  <c r="AB6" i="2"/>
  <c r="AI80" i="3"/>
  <c r="AB2" i="17" s="1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B6" i="8"/>
  <c r="AI25" i="3"/>
  <c r="AB3" i="9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</calcChain>
</file>

<file path=xl/sharedStrings.xml><?xml version="1.0" encoding="utf-8"?>
<sst xmlns="http://schemas.openxmlformats.org/spreadsheetml/2006/main" count="291" uniqueCount="76">
  <si>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</si>
  <si>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</si>
  <si>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</si>
  <si>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</si>
  <si>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</si>
  <si>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</si>
  <si>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</si>
  <si>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</si>
  <si>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</si>
  <si>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</si>
  <si>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</si>
  <si>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</si>
  <si>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</si>
  <si>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</si>
  <si>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</si>
  <si>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</si>
  <si>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</si>
  <si>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</si>
  <si>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</si>
  <si>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</si>
  <si>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</si>
  <si>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</si>
  <si>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</si>
  <si>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</si>
  <si>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</si>
  <si>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</si>
  <si>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</si>
  <si>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</si>
  <si>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</si>
  <si>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</si>
  <si>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linear</t>
  </si>
  <si>
    <t>LPG vehicle</t>
  </si>
  <si>
    <t>hydrogen vehicle</t>
  </si>
  <si>
    <t>Max Fraction of Production (dimensionless)</t>
  </si>
  <si>
    <t>Number of Vehicles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</si>
  <si>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</si>
  <si>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</si>
  <si>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</si>
  <si>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TTS Transportation Technology Shareweights</t>
  </si>
  <si>
    <t>This variable provides the shareweights used in the modified logit equation for vehicle</t>
  </si>
  <si>
    <t>technology selection.  We base them on estimated potential maximum sales shares in each year.</t>
  </si>
  <si>
    <t>https://jgcri.github.io/gcam-doc/choice.html</t>
  </si>
  <si>
    <t>Psgr LDVs only</t>
  </si>
  <si>
    <t>Sigmoidal Curve Values for PHEV passenger LDV Technologies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</si>
  <si>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</si>
  <si>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</si>
  <si>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</si>
  <si>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</si>
  <si>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</si>
  <si>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For more on this, see the "Unmodified Logit" equation description at: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</si>
  <si>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</si>
  <si>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</si>
  <si>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</si>
  <si>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</si>
  <si>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</si>
  <si>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</si>
  <si>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</si>
  <si>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</si>
  <si>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</si>
  <si>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</si>
  <si>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2024 and 2025 shareweights for onroad vehicle types copied/pasted from the Python solver outputs, explained on the About page</t>
  </si>
  <si>
    <t>s-curve</t>
  </si>
  <si>
    <t>Sigmoidal Curve Values for battery electric/PHEV passenger HDV and freight LDV Technologies</t>
  </si>
  <si>
    <t>Sigmoidal Curve Values for battery electric freight HDV Technologies</t>
  </si>
  <si>
    <t>passenger rail</t>
  </si>
  <si>
    <t>See data from EPS file trans/SYVbT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</si>
  <si>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</si>
  <si>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</si>
  <si>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</si>
  <si>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</si>
  <si>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</si>
  <si>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</si>
  <si>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</si>
  <si>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</si>
  <si>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</si>
  <si>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We use calculated data from SYVbT to calculate the historical sales shares.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</si>
</sst>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7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15" applyNumberFormat="0" applyAlignment="0" applyProtection="0"/>
    <xf numFmtId="0" fontId="17" fillId="8" borderId="16" applyNumberFormat="0" applyAlignment="0" applyProtection="0"/>
    <xf numFmtId="0" fontId="18" fillId="8" borderId="15" applyNumberFormat="0" applyAlignment="0" applyProtection="0"/>
    <xf numFmtId="0" fontId="19" fillId="0" borderId="17" applyNumberFormat="0" applyFill="0" applyAlignment="0" applyProtection="0"/>
    <xf numFmtId="0" fontId="20" fillId="9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5" fillId="0" borderId="0"/>
    <xf numFmtId="43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7" fillId="0" borderId="0"/>
    <xf numFmtId="0" fontId="7" fillId="10" borderId="19" applyNumberFormat="0" applyFont="0" applyAlignment="0" applyProtection="0"/>
    <xf numFmtId="0" fontId="6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9" fillId="0" borderId="0"/>
    <xf numFmtId="0" fontId="7" fillId="0" borderId="0"/>
    <xf numFmtId="0" fontId="7" fillId="0" borderId="0"/>
    <xf numFmtId="0" fontId="30" fillId="0" borderId="0"/>
    <xf numFmtId="9" fontId="30" fillId="0" borderId="0" applyFont="0" applyFill="0" applyBorder="0" applyAlignment="0" applyProtection="0"/>
    <xf numFmtId="0" fontId="26" fillId="0" borderId="0"/>
    <xf numFmtId="0" fontId="27" fillId="0" borderId="0"/>
    <xf numFmtId="43" fontId="27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30" fillId="0" borderId="0"/>
    <xf numFmtId="0" fontId="31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3" fillId="0" borderId="0"/>
    <xf numFmtId="9" fontId="33" fillId="0" borderId="0" applyFont="0" applyFill="0" applyBorder="0" applyAlignment="0" applyProtection="0"/>
    <xf numFmtId="0" fontId="7" fillId="0" borderId="0"/>
    <xf numFmtId="0" fontId="30" fillId="0" borderId="0"/>
    <xf numFmtId="9" fontId="7" fillId="0" borderId="0" applyFont="0" applyFill="0" applyBorder="0" applyAlignment="0" applyProtection="0"/>
    <xf numFmtId="0" fontId="34" fillId="0" borderId="0"/>
    <xf numFmtId="0" fontId="24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 applyAlignment="1"/>
    <xf numFmtId="164" fontId="5" fillId="0" borderId="0" xfId="0" applyNumberFormat="1" applyFont="1"/>
    <xf numFmtId="166" fontId="0" fillId="0" borderId="0" xfId="0" applyNumberFormat="1"/>
    <xf numFmtId="0" fontId="0" fillId="35" borderId="0" xfId="0" applyFill="1"/>
    <xf numFmtId="2" fontId="0" fillId="0" borderId="0" xfId="0" applyNumberFormat="1"/>
    <xf numFmtId="0" fontId="1" fillId="35" borderId="0" xfId="0" applyFont="1" applyFill="1" applyAlignment="1">
      <alignment horizontal="center" wrapText="1"/>
    </xf>
  </cellXfs>
  <cellStyles count="87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Body: normal cell" xfId="4" xr:uid="{00000000-0005-0000-0000-000000000000}"/>
    <cellStyle name="Calculation" xfId="20" builtinId="22" customBuiltin="1"/>
    <cellStyle name="Check Cell" xfId="22" builtinId="23" customBuiltin="1"/>
    <cellStyle name="Comma" xfId="9" builtinId="3"/>
    <cellStyle name="Comma 2" xfId="51" xr:uid="{6F65080C-C1AC-4620-AA99-94DA5BEEB964}"/>
    <cellStyle name="Comma 2 2" xfId="78" xr:uid="{D5B39188-90F5-4ADB-8ACA-AAD8848E708A}"/>
    <cellStyle name="Comma 3" xfId="74" xr:uid="{3CEA55C4-06D9-4B72-A5A4-A7604845EDCF}"/>
    <cellStyle name="Comma 4" xfId="69" xr:uid="{199D751F-6E02-4DF6-A7DB-679F5B464009}"/>
    <cellStyle name="Explanatory Text" xfId="24" builtinId="53" customBuiltin="1"/>
    <cellStyle name="Font: Calibri, 9pt regular" xfId="6" xr:uid="{00000000-0005-0000-0000-000002000000}"/>
    <cellStyle name="Footnotes: top row" xfId="2" xr:uid="{00000000-0005-0000-0000-000003000000}"/>
    <cellStyle name="Good" xfId="15" builtinId="26" customBuiltin="1"/>
    <cellStyle name="Header: bottom row" xfId="5" xr:uid="{00000000-0005-0000-0000-000004000000}"/>
    <cellStyle name="Heading 1" xfId="11" builtinId="16" customBuiltin="1"/>
    <cellStyle name="Heading 2" xfId="12" builtinId="17" customBuiltin="1"/>
    <cellStyle name="Heading 3" xfId="13" builtinId="18" customBuiltin="1"/>
    <cellStyle name="Heading 4" xfId="14" builtinId="19" customBuiltin="1"/>
    <cellStyle name="Hyperlink" xfId="8" builtinId="8"/>
    <cellStyle name="Hyperlink 2" xfId="79" xr:uid="{E283E47E-2F86-4A89-8D02-E2992DD3D2DE}"/>
    <cellStyle name="Hyperlink 2 2" xfId="86" xr:uid="{2D4E116A-493D-4045-B7BA-CEF4D3AE7A96}"/>
    <cellStyle name="Hyperlink 3" xfId="76" xr:uid="{912A9BAB-AD28-435A-B4EA-160F8BFE9A24}"/>
    <cellStyle name="Hyperlink 4" xfId="72" xr:uid="{F70A993D-C790-430F-8A37-A6F6D3A5820C}"/>
    <cellStyle name="Hyperlink 5" xfId="70" xr:uid="{FE25137E-35B4-42FE-8802-EDA0661C01E7}"/>
    <cellStyle name="Hyperlink 6" xfId="58" xr:uid="{758D2937-BB75-4B7C-94E3-4011FD0F4F78}"/>
    <cellStyle name="Hyperlink 7" xfId="55" xr:uid="{81029831-8FA8-4358-A0E7-CF39F13F6BBC}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68" xr:uid="{CBED278D-9E5C-4670-B850-DDCBC2542DEE}"/>
    <cellStyle name="Normal 11" xfId="56" xr:uid="{11401745-7986-46E6-A476-4CA84A391386}"/>
    <cellStyle name="Normal 12" xfId="50" xr:uid="{D9B0348C-2998-4F7A-9111-D0BF9D68C865}"/>
    <cellStyle name="Normal 2" xfId="1" xr:uid="{00000000-0005-0000-0000-000007000000}"/>
    <cellStyle name="Normal 2 2" xfId="59" xr:uid="{4F83FB5E-AC1A-4247-8A9B-F183F0A90AA1}"/>
    <cellStyle name="Normal 2 2 2" xfId="64" xr:uid="{3D8AFD81-9C62-4EAF-80AD-754054215A7B}"/>
    <cellStyle name="Normal 2 3" xfId="67" xr:uid="{250ED834-62D7-4E03-A856-50B6458093FB}"/>
    <cellStyle name="Normal 2 4" xfId="65" xr:uid="{A9D10983-6E0F-4DC0-BC0C-FE9E1F1FA491}"/>
    <cellStyle name="Normal 2 5" xfId="62" xr:uid="{61A1E525-17EC-4B9E-9537-46F38EF74A06}"/>
    <cellStyle name="Normal 2 6" xfId="52" xr:uid="{71110F49-7B38-444F-87AA-074E8A6B0AA4}"/>
    <cellStyle name="Normal 3" xfId="60" xr:uid="{7F9D0187-955B-4D94-A170-DD001CDB973C}"/>
    <cellStyle name="Normal 3 2" xfId="63" xr:uid="{9933440A-F171-4FB3-8A9E-BFB2FDB1E9BF}"/>
    <cellStyle name="Normal 3 3" xfId="83" xr:uid="{31C98142-703F-47D3-B8B5-8732D61D4868}"/>
    <cellStyle name="Normal 4" xfId="61" xr:uid="{05E6F89D-04F0-4DAA-8727-8929D3AB43E2}"/>
    <cellStyle name="Normal 4 2" xfId="85" xr:uid="{0E7F3F90-0FFE-44BC-8F4D-2EBBE6C4EB10}"/>
    <cellStyle name="Normal 4 3" xfId="82" xr:uid="{364F9F3C-E4FD-4C72-8D4D-AD727CC2A2AA}"/>
    <cellStyle name="Normal 5" xfId="80" xr:uid="{5C6B498C-5FEE-448F-A2F9-A370460AC146}"/>
    <cellStyle name="Normal 6" xfId="77" xr:uid="{77EFCDC4-12DE-468F-A226-886687266895}"/>
    <cellStyle name="Normal 7" xfId="75" xr:uid="{E18F7B94-BBC5-4B8A-8343-36975B46E837}"/>
    <cellStyle name="Normal 8" xfId="73" xr:uid="{4573BB7B-6A47-4961-BAC4-FC0B07870AB0}"/>
    <cellStyle name="Normal 9" xfId="71" xr:uid="{12937480-E4A3-4563-9A8E-C5CBA34E28EC}"/>
    <cellStyle name="Note 2" xfId="57" xr:uid="{636BD9CE-D635-43C3-997F-ED224B968A09}"/>
    <cellStyle name="Output" xfId="19" builtinId="21" customBuiltin="1"/>
    <cellStyle name="Parent row" xfId="3" xr:uid="{00000000-0005-0000-0000-000008000000}"/>
    <cellStyle name="Percent 2" xfId="53" xr:uid="{F28A5997-39DB-4992-8FE0-811DC2849511}"/>
    <cellStyle name="Percent 2 2" xfId="84" xr:uid="{4BA75E2B-0C17-4696-A461-35EC8C0A18A1}"/>
    <cellStyle name="Percent 2 3" xfId="66" xr:uid="{F2F0F2BA-C854-4ED5-AF93-47A67A75F51F}"/>
    <cellStyle name="Percent 3" xfId="81" xr:uid="{FFBFB99B-BA29-4F26-A261-7CA17BF4559B}"/>
    <cellStyle name="Percent 4" xfId="54" xr:uid="{54CE03A3-0D44-46CD-B021-8B88453C06E1}"/>
    <cellStyle name="Table title" xfId="7" xr:uid="{00000000-0005-0000-0000-00000A000000}"/>
    <cellStyle name="Title" xfId="10" builtinId="15" customBuiltin="1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F31" sqref="F31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38</v>
      </c>
    </row>
    <row r="3" spans="1:2" x14ac:dyDescent="0.25">
      <c r="A3" s="1" t="s">
        <v>0</v>
      </c>
      <c r="B3" s="9" t="s">
        <v>44</v>
      </c>
    </row>
    <row r="4" spans="1:2" x14ac:dyDescent="0.25">
      <c r="A4" s="1"/>
      <c r="B4" t="s">
        <v>45</v>
      </c>
    </row>
    <row r="5" spans="1:2" x14ac:dyDescent="0.25">
      <c r="A5" s="1"/>
      <c r="B5" t="s">
        <v>46</v>
      </c>
    </row>
    <row r="6" spans="1:2" x14ac:dyDescent="0.25">
      <c r="A6" s="1"/>
      <c r="B6" t="s">
        <v>47</v>
      </c>
    </row>
    <row r="7" spans="1:2" x14ac:dyDescent="0.25">
      <c r="A7" s="1"/>
      <c r="B7" t="s">
        <v>48</v>
      </c>
    </row>
    <row r="8" spans="1:2" x14ac:dyDescent="0.25">
      <c r="A8" s="1"/>
    </row>
    <row r="9" spans="1:2" x14ac:dyDescent="0.25">
      <c r="A9" s="1"/>
      <c r="B9" s="9" t="s">
        <v>64</v>
      </c>
    </row>
    <row r="10" spans="1:2" x14ac:dyDescent="0.25">
      <c r="A10" s="1"/>
      <c r="B10" t="s">
        <v>65</v>
      </c>
    </row>
    <row r="12" spans="1:2" x14ac:dyDescent="0.25">
      <c r="A12" s="1" t="s">
        <v>6</v>
      </c>
    </row>
    <row r="13" spans="1:2" x14ac:dyDescent="0.25">
      <c r="A13" t="s">
        <v>39</v>
      </c>
    </row>
    <row r="14" spans="1:2" x14ac:dyDescent="0.25">
      <c r="A14" t="s">
        <v>40</v>
      </c>
    </row>
    <row r="15" spans="1:2" x14ac:dyDescent="0.25">
      <c r="A15" t="s">
        <v>49</v>
      </c>
    </row>
    <row r="16" spans="1:2" x14ac:dyDescent="0.25">
      <c r="A16" s="22" t="s">
        <v>41</v>
      </c>
    </row>
    <row r="17" spans="1:1" x14ac:dyDescent="0.25">
      <c r="A17" s="1"/>
    </row>
    <row r="18" spans="1:1" x14ac:dyDescent="0.25">
      <c r="A18" t="s">
        <v>7</v>
      </c>
    </row>
    <row r="19" spans="1:1" x14ac:dyDescent="0.25">
      <c r="A19" t="s">
        <v>8</v>
      </c>
    </row>
    <row r="21" spans="1:1" x14ac:dyDescent="0.25">
      <c r="A21" t="s">
        <v>54</v>
      </c>
    </row>
    <row r="22" spans="1:1" x14ac:dyDescent="0.25">
      <c r="A22" t="s">
        <v>55</v>
      </c>
    </row>
    <row r="23" spans="1:1" x14ac:dyDescent="0.25">
      <c r="A23" t="s">
        <v>56</v>
      </c>
    </row>
    <row r="24" spans="1:1" x14ac:dyDescent="0.25">
      <c r="A24" t="s">
        <v>57</v>
      </c>
    </row>
    <row r="25" spans="1:1" x14ac:dyDescent="0.25">
      <c r="A25" t="s">
        <v>58</v>
      </c>
    </row>
    <row r="26" spans="1:1" x14ac:dyDescent="0.25">
      <c r="A26" t="s">
        <v>59</v>
      </c>
    </row>
    <row r="28" spans="1:1" x14ac:dyDescent="0.25">
      <c r="A28" t="s">
        <v>66</v>
      </c>
    </row>
    <row r="29" spans="1:1" x14ac:dyDescent="0.25">
      <c r="A29" t="s">
        <v>67</v>
      </c>
    </row>
    <row r="30" spans="1:1" x14ac:dyDescent="0.25">
      <c r="A30" t="s">
        <v>68</v>
      </c>
    </row>
    <row r="31" spans="1:1" x14ac:dyDescent="0.25">
      <c r="A31" t="s">
        <v>69</v>
      </c>
    </row>
    <row r="32" spans="1:1" x14ac:dyDescent="0.25">
      <c r="A32" t="s">
        <v>70</v>
      </c>
    </row>
    <row r="33" spans="1:2" x14ac:dyDescent="0.25">
      <c r="A33" t="s">
        <v>71</v>
      </c>
    </row>
    <row r="34" spans="1:2" x14ac:dyDescent="0.25">
      <c r="A34" t="s">
        <v>72</v>
      </c>
    </row>
    <row r="36" spans="1:2" x14ac:dyDescent="0.25">
      <c r="A36" t="s">
        <v>73</v>
      </c>
    </row>
    <row r="37" spans="1:2" x14ac:dyDescent="0.25">
      <c r="A37" t="s">
        <v>74</v>
      </c>
    </row>
    <row r="39" spans="1:2" x14ac:dyDescent="0.25">
      <c r="B39" s="1" t="s">
        <v>50</v>
      </c>
    </row>
    <row r="40" spans="1:2" x14ac:dyDescent="0.25">
      <c r="B40" t="s">
        <v>51</v>
      </c>
    </row>
    <row r="41" spans="1:2" x14ac:dyDescent="0.25">
      <c r="B41" t="s">
        <v>52</v>
      </c>
    </row>
    <row r="42" spans="1:2" x14ac:dyDescent="0.25">
      <c r="B42" t="s">
        <v>53</v>
      </c>
    </row>
    <row r="44" spans="1:2" x14ac:dyDescent="0.25">
      <c r="B44" s="1" t="s">
        <v>64</v>
      </c>
    </row>
    <row r="45" spans="1:2" x14ac:dyDescent="0.25">
      <c r="B45" t="s">
        <v>75</v>
      </c>
    </row>
    <row r="47" spans="1:2" x14ac:dyDescent="0.25">
      <c r="B47" s="1"/>
    </row>
    <row r="53" spans="2:2" x14ac:dyDescent="0.25">
      <c r="B53" s="1"/>
    </row>
  </sheetData>
  <hyperlinks>
    <hyperlink ref="A16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34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</v>
      </c>
      <c r="H1" t="s">
        <v>32</v>
      </c>
    </row>
    <row r="2" spans="1:10" x14ac:dyDescent="0.2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2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2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93"/>
  <sheetViews>
    <sheetView workbookViewId="0">
      <selection activeCell="N7" sqref="N7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9" width="9.140625" customWidth="1"/>
    <col min="14" max="14" width="11.140625" customWidth="1"/>
  </cols>
  <sheetData>
    <row r="1" spans="1:37" x14ac:dyDescent="0.25">
      <c r="A1" t="s">
        <v>25</v>
      </c>
      <c r="H1" s="10" t="s">
        <v>37</v>
      </c>
      <c r="I1" s="11"/>
      <c r="J1" s="12"/>
      <c r="K1" s="12"/>
      <c r="L1" s="12"/>
      <c r="N1" s="10" t="s">
        <v>36</v>
      </c>
      <c r="O1" s="11"/>
      <c r="P1" s="12"/>
      <c r="Q1" s="10" t="s">
        <v>63</v>
      </c>
      <c r="R1" s="11"/>
      <c r="T1" s="10" t="s">
        <v>43</v>
      </c>
      <c r="U1" s="11"/>
      <c r="W1" s="10" t="s">
        <v>62</v>
      </c>
      <c r="X1" s="11"/>
    </row>
    <row r="2" spans="1:37" x14ac:dyDescent="0.25">
      <c r="A2" t="s">
        <v>26</v>
      </c>
      <c r="H2" s="7" t="s">
        <v>21</v>
      </c>
      <c r="I2" s="13">
        <v>1</v>
      </c>
      <c r="N2" s="7" t="s">
        <v>21</v>
      </c>
      <c r="O2" s="13">
        <v>1</v>
      </c>
      <c r="Q2" s="7" t="s">
        <v>21</v>
      </c>
      <c r="R2" s="13">
        <v>1</v>
      </c>
      <c r="T2" s="7" t="s">
        <v>21</v>
      </c>
      <c r="U2" s="13">
        <v>1</v>
      </c>
      <c r="W2" s="7" t="s">
        <v>21</v>
      </c>
      <c r="X2" s="13">
        <v>1</v>
      </c>
    </row>
    <row r="3" spans="1:37" x14ac:dyDescent="0.25">
      <c r="A3" t="s">
        <v>27</v>
      </c>
      <c r="H3" s="7" t="s">
        <v>22</v>
      </c>
      <c r="I3" s="13">
        <v>-0.3</v>
      </c>
      <c r="N3" s="7" t="s">
        <v>22</v>
      </c>
      <c r="O3" s="13">
        <v>-0.3</v>
      </c>
      <c r="P3">
        <v>-0.35</v>
      </c>
      <c r="Q3" s="7" t="s">
        <v>22</v>
      </c>
      <c r="R3" s="13">
        <v>-0.3</v>
      </c>
      <c r="T3" s="7" t="s">
        <v>22</v>
      </c>
      <c r="U3" s="13">
        <v>-0.4</v>
      </c>
      <c r="W3" s="7" t="s">
        <v>22</v>
      </c>
      <c r="X3" s="13">
        <v>-0.3</v>
      </c>
    </row>
    <row r="4" spans="1:37" ht="15.75" thickBot="1" x14ac:dyDescent="0.3">
      <c r="A4" t="s">
        <v>28</v>
      </c>
      <c r="H4" s="8" t="s">
        <v>23</v>
      </c>
      <c r="I4" s="14">
        <v>-16</v>
      </c>
      <c r="N4" s="8" t="s">
        <v>23</v>
      </c>
      <c r="O4" s="14">
        <v>-11</v>
      </c>
      <c r="P4">
        <v>-10</v>
      </c>
      <c r="Q4" s="8" t="s">
        <v>23</v>
      </c>
      <c r="R4" s="14">
        <v>-12</v>
      </c>
      <c r="T4" s="8" t="s">
        <v>23</v>
      </c>
      <c r="U4" s="14">
        <v>-11</v>
      </c>
      <c r="W4" s="8" t="s">
        <v>23</v>
      </c>
      <c r="X4" s="14">
        <v>-14</v>
      </c>
    </row>
    <row r="5" spans="1:37" x14ac:dyDescent="0.25">
      <c r="A5" t="s">
        <v>29</v>
      </c>
    </row>
    <row r="6" spans="1:37" ht="30" x14ac:dyDescent="0.25">
      <c r="A6" s="9"/>
      <c r="B6" s="9"/>
      <c r="C6" s="9"/>
      <c r="D6" s="9"/>
      <c r="E6" s="2" t="s">
        <v>20</v>
      </c>
      <c r="F6" s="2" t="s">
        <v>20</v>
      </c>
      <c r="G6" s="2" t="s">
        <v>24</v>
      </c>
      <c r="N6" s="19"/>
      <c r="O6" s="16"/>
      <c r="R6" s="19"/>
    </row>
    <row r="7" spans="1:37" x14ac:dyDescent="0.25">
      <c r="A7" s="9"/>
      <c r="B7" s="9"/>
      <c r="C7" s="9" t="s">
        <v>42</v>
      </c>
      <c r="D7" s="9"/>
      <c r="E7" s="2">
        <v>2020</v>
      </c>
      <c r="F7" s="2">
        <v>2050</v>
      </c>
      <c r="G7" s="2"/>
      <c r="N7" s="19"/>
    </row>
    <row r="8" spans="1:37" ht="90" x14ac:dyDescent="0.25">
      <c r="A8" s="9"/>
      <c r="B8" s="9"/>
      <c r="C8" s="9"/>
      <c r="D8" s="27" t="s">
        <v>60</v>
      </c>
      <c r="E8" s="27"/>
      <c r="F8" s="21"/>
      <c r="G8" s="21" t="s">
        <v>35</v>
      </c>
    </row>
    <row r="9" spans="1:37" x14ac:dyDescent="0.25">
      <c r="A9" s="9" t="s">
        <v>9</v>
      </c>
      <c r="B9" s="9" t="s">
        <v>10</v>
      </c>
      <c r="C9" s="9" t="s">
        <v>11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25">
      <c r="A10" t="s">
        <v>12</v>
      </c>
      <c r="B10" t="s">
        <v>19</v>
      </c>
      <c r="C10" t="s">
        <v>1</v>
      </c>
      <c r="D10">
        <v>0.15905875518900001</v>
      </c>
      <c r="E10" s="16">
        <v>0.13060041262200001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0.15905875518900001</v>
      </c>
      <c r="J10" s="16">
        <f>E10</f>
        <v>0.13060041262200001</v>
      </c>
      <c r="K10">
        <f>IF($G10="s-curve",$E10+($F10-$E10)*$O$2/(1+EXP($O$3*(COUNT($K$9:K$9)+$O$4))),TREND($E10:$F10,$E$9:$F$9,K$9))</f>
        <v>0.17183244719361793</v>
      </c>
      <c r="L10">
        <f>IF($G10="s-curve",$E10+($F10-$E10)*$O$2/(1+EXP($O$3*(COUNT($K$9:L$9)+$O$4))),TREND($E10:$F10,$E$9:$F$9,L$9))</f>
        <v>0.18534942239376065</v>
      </c>
      <c r="M10">
        <f>IF($G10="s-curve",$E10+($F10-$E10)*$O$2/(1+EXP($O$3*(COUNT($K$9:M$9)+$O$4))),TREND($E10:$F10,$E$9:$F$9,M$9))</f>
        <v>0.20291072063493176</v>
      </c>
      <c r="N10">
        <f>IF($G10="s-curve",$E10+($F10-$E10)*$O$2/(1+EXP($O$3*(COUNT($K$9:N$9)+$O$4))),TREND($E10:$F10,$E$9:$F$9,N$9))</f>
        <v>0.22544914395371735</v>
      </c>
      <c r="O10">
        <f>IF($G10="s-curve",$E10+($F10-$E10)*$O$2/(1+EXP($O$3*(COUNT($K$9:O$9)+$O$4))),TREND($E10:$F10,$E$9:$F$9,O$9))</f>
        <v>0.25392566991561405</v>
      </c>
      <c r="P10">
        <f>IF($G10="s-curve",$E10+($F10-$E10)*$O$2/(1+EXP($O$3*(COUNT($K$9:P$9)+$O$4))),TREND($E10:$F10,$E$9:$F$9,P$9))</f>
        <v>0.28920108774646175</v>
      </c>
      <c r="Q10">
        <f>IF($G10="s-curve",$E10+($F10-$E10)*$O$2/(1+EXP($O$3*(COUNT($K$9:Q$9)+$O$4))),TREND($E10:$F10,$E$9:$F$9,Q$9))</f>
        <v>0.33184487033618731</v>
      </c>
      <c r="R10">
        <f>IF($G10="s-curve",$E10+($F10-$E10)*$O$2/(1+EXP($O$3*(COUNT($K$9:R$9)+$O$4))),TREND($E10:$F10,$E$9:$F$9,R$9))</f>
        <v>0.38190079577122726</v>
      </c>
      <c r="S10">
        <f>IF($G10="s-curve",$E10+($F10-$E10)*$O$2/(1+EXP($O$3*(COUNT($K$9:S$9)+$O$4))),TREND($E10:$F10,$E$9:$F$9,S$9))</f>
        <v>0.43866667377928981</v>
      </c>
      <c r="T10">
        <f>IF($G10="s-curve",$E10+($F10-$E10)*$O$2/(1+EXP($O$3*(COUNT($K$9:T$9)+$O$4))),TREND($E10:$F10,$E$9:$F$9,T$9))</f>
        <v>0.50057991291156378</v>
      </c>
      <c r="U10">
        <f>IF($G10="s-curve",$E10+($F10-$E10)*$O$2/(1+EXP($O$3*(COUNT($K$9:U$9)+$O$4))),TREND($E10:$F10,$E$9:$F$9,U$9))</f>
        <v>0.56530020631099998</v>
      </c>
      <c r="V10">
        <f>IF($G10="s-curve",$E10+($F10-$E10)*$O$2/(1+EXP($O$3*(COUNT($K$9:V$9)+$O$4))),TREND($E10:$F10,$E$9:$F$9,V$9))</f>
        <v>0.63002049971043617</v>
      </c>
      <c r="W10">
        <f>IF($G10="s-curve",$E10+($F10-$E10)*$O$2/(1+EXP($O$3*(COUNT($K$9:W$9)+$O$4))),TREND($E10:$F10,$E$9:$F$9,W$9))</f>
        <v>0.69193373884271026</v>
      </c>
      <c r="X10">
        <f>IF($G10="s-curve",$E10+($F10-$E10)*$O$2/(1+EXP($O$3*(COUNT($K$9:X$9)+$O$4))),TREND($E10:$F10,$E$9:$F$9,X$9))</f>
        <v>0.74869961685077269</v>
      </c>
      <c r="Y10">
        <f>IF($G10="s-curve",$E10+($F10-$E10)*$O$2/(1+EXP($O$3*(COUNT($K$9:Y$9)+$O$4))),TREND($E10:$F10,$E$9:$F$9,Y$9))</f>
        <v>0.7987555422858128</v>
      </c>
      <c r="Z10">
        <f>IF($G10="s-curve",$E10+($F10-$E10)*$O$2/(1+EXP($O$3*(COUNT($K$9:Z$9)+$O$4))),TREND($E10:$F10,$E$9:$F$9,Z$9))</f>
        <v>0.84139932487553826</v>
      </c>
      <c r="AA10">
        <f>IF($G10="s-curve",$E10+($F10-$E10)*$O$2/(1+EXP($O$3*(COUNT($K$9:AA$9)+$O$4))),TREND($E10:$F10,$E$9:$F$9,AA$9))</f>
        <v>0.87667474270638612</v>
      </c>
      <c r="AB10">
        <f>IF($G10="s-curve",$E10+($F10-$E10)*$O$2/(1+EXP($O$3*(COUNT($K$9:AB$9)+$O$4))),TREND($E10:$F10,$E$9:$F$9,AB$9))</f>
        <v>0.90515126866828277</v>
      </c>
      <c r="AC10">
        <f>IF($G10="s-curve",$E10+($F10-$E10)*$O$2/(1+EXP($O$3*(COUNT($K$9:AC$9)+$O$4))),TREND($E10:$F10,$E$9:$F$9,AC$9))</f>
        <v>0.9276896919870683</v>
      </c>
      <c r="AD10">
        <f>IF($G10="s-curve",$E10+($F10-$E10)*$O$2/(1+EXP($O$3*(COUNT($K$9:AD$9)+$O$4))),TREND($E10:$F10,$E$9:$F$9,AD$9))</f>
        <v>0.94525099022823955</v>
      </c>
      <c r="AE10">
        <f>IF($G10="s-curve",$E10+($F10-$E10)*$O$2/(1+EXP($O$3*(COUNT($K$9:AE$9)+$O$4))),TREND($E10:$F10,$E$9:$F$9,AE$9))</f>
        <v>0.95876796542838227</v>
      </c>
      <c r="AF10">
        <f>IF($G10="s-curve",$E10+($F10-$E10)*$O$2/(1+EXP($O$3*(COUNT($K$9:AF$9)+$O$4))),TREND($E10:$F10,$E$9:$F$9,AF$9))</f>
        <v>0.96907442272382549</v>
      </c>
      <c r="AG10">
        <f>IF($G10="s-curve",$E10+($F10-$E10)*$O$2/(1+EXP($O$3*(COUNT($K$9:AG$9)+$O$4))),TREND($E10:$F10,$E$9:$F$9,AG$9))</f>
        <v>0.97687658475877748</v>
      </c>
      <c r="AH10">
        <f>IF($G10="s-curve",$E10+($F10-$E10)*$O$2/(1+EXP($O$3*(COUNT($K$9:AH$9)+$O$4))),TREND($E10:$F10,$E$9:$F$9,AH$9))</f>
        <v>0.98275084638133969</v>
      </c>
      <c r="AI10">
        <f>IF($G10="s-curve",$E10+($F10-$E10)*$O$2/(1+EXP($O$3*(COUNT($K$9:AI$9)+$O$4))),TREND($E10:$F10,$E$9:$F$9,AI$9))</f>
        <v>0.98715546294195899</v>
      </c>
    </row>
    <row r="11" spans="1:37" x14ac:dyDescent="0.25">
      <c r="C11" t="s">
        <v>2</v>
      </c>
      <c r="D11">
        <v>1.00045127707E-4</v>
      </c>
      <c r="E11" s="16">
        <v>9.1108650682499996E-5</v>
      </c>
      <c r="F11" s="16">
        <f>E11</f>
        <v>9.1108650682499996E-5</v>
      </c>
      <c r="G11" s="5" t="str">
        <f>IF(E11=F11,"n/a",IF(OR(C11="battery electric vehicle",C11="natural gas vehicle",C11="plugin hybrid vehicle"),"s-curve","linear"))</f>
        <v>n/a</v>
      </c>
      <c r="I11" s="16">
        <f t="shared" ref="I11:I40" si="1">E11</f>
        <v>9.1108650682499996E-5</v>
      </c>
      <c r="J11">
        <f>IF($G11="s-curve",$E11+($F11-$E11)*$I$2/(1+EXP($I$3*(COUNT($I$9:J$9)+$I$4))),TREND($E11:$F11,$E$9:$F$9,J$9))</f>
        <v>9.1108650682499996E-5</v>
      </c>
      <c r="K11">
        <f>IF($G11="s-curve",$E11+($F11-$E11)*$I$2/(1+EXP($I$3*(COUNT($I$9:K$9)+$I$4))),TREND($E11:$F11,$E$9:$F$9,K$9))</f>
        <v>9.1108650682499996E-5</v>
      </c>
      <c r="L11">
        <f>IF($G11="s-curve",$E11+($F11-$E11)*$I$2/(1+EXP($I$3*(COUNT($I$9:L$9)+$I$4))),TREND($E11:$F11,$E$9:$F$9,L$9))</f>
        <v>9.1108650682499996E-5</v>
      </c>
      <c r="M11">
        <f>IF($G11="s-curve",$E11+($F11-$E11)*$I$2/(1+EXP($I$3*(COUNT($I$9:M$9)+$I$4))),TREND($E11:$F11,$E$9:$F$9,M$9))</f>
        <v>9.1108650682499996E-5</v>
      </c>
      <c r="N11">
        <f>IF($G11="s-curve",$E11+($F11-$E11)*$I$2/(1+EXP($I$3*(COUNT($I$9:N$9)+$I$4))),TREND($E11:$F11,$E$9:$F$9,N$9))</f>
        <v>9.1108650682499996E-5</v>
      </c>
      <c r="O11">
        <f>IF($G11="s-curve",$E11+($F11-$E11)*$I$2/(1+EXP($I$3*(COUNT($I$9:O$9)+$I$4))),TREND($E11:$F11,$E$9:$F$9,O$9))</f>
        <v>9.1108650682499996E-5</v>
      </c>
      <c r="P11">
        <f>IF($G11="s-curve",$E11+($F11-$E11)*$I$2/(1+EXP($I$3*(COUNT($I$9:P$9)+$I$4))),TREND($E11:$F11,$E$9:$F$9,P$9))</f>
        <v>9.1108650682499996E-5</v>
      </c>
      <c r="Q11">
        <f>IF($G11="s-curve",$E11+($F11-$E11)*$I$2/(1+EXP($I$3*(COUNT($I$9:Q$9)+$I$4))),TREND($E11:$F11,$E$9:$F$9,Q$9))</f>
        <v>9.1108650682499996E-5</v>
      </c>
      <c r="R11">
        <f>IF($G11="s-curve",$E11+($F11-$E11)*$I$2/(1+EXP($I$3*(COUNT($I$9:R$9)+$I$4))),TREND($E11:$F11,$E$9:$F$9,R$9))</f>
        <v>9.1108650682499996E-5</v>
      </c>
      <c r="S11">
        <f>IF($G11="s-curve",$E11+($F11-$E11)*$I$2/(1+EXP($I$3*(COUNT($I$9:S$9)+$I$4))),TREND($E11:$F11,$E$9:$F$9,S$9))</f>
        <v>9.1108650682499996E-5</v>
      </c>
      <c r="T11">
        <f>IF($G11="s-curve",$E11+($F11-$E11)*$I$2/(1+EXP($I$3*(COUNT($I$9:T$9)+$I$4))),TREND($E11:$F11,$E$9:$F$9,T$9))</f>
        <v>9.1108650682499996E-5</v>
      </c>
      <c r="U11">
        <f>IF($G11="s-curve",$E11+($F11-$E11)*$I$2/(1+EXP($I$3*(COUNT($I$9:U$9)+$I$4))),TREND($E11:$F11,$E$9:$F$9,U$9))</f>
        <v>9.1108650682499996E-5</v>
      </c>
      <c r="V11">
        <f>IF($G11="s-curve",$E11+($F11-$E11)*$I$2/(1+EXP($I$3*(COUNT($I$9:V$9)+$I$4))),TREND($E11:$F11,$E$9:$F$9,V$9))</f>
        <v>9.1108650682499996E-5</v>
      </c>
      <c r="W11">
        <f>IF($G11="s-curve",$E11+($F11-$E11)*$I$2/(1+EXP($I$3*(COUNT($I$9:W$9)+$I$4))),TREND($E11:$F11,$E$9:$F$9,W$9))</f>
        <v>9.1108650682499996E-5</v>
      </c>
      <c r="X11">
        <f>IF($G11="s-curve",$E11+($F11-$E11)*$I$2/(1+EXP($I$3*(COUNT($I$9:X$9)+$I$4))),TREND($E11:$F11,$E$9:$F$9,X$9))</f>
        <v>9.1108650682499996E-5</v>
      </c>
      <c r="Y11">
        <f>IF($G11="s-curve",$E11+($F11-$E11)*$I$2/(1+EXP($I$3*(COUNT($I$9:Y$9)+$I$4))),TREND($E11:$F11,$E$9:$F$9,Y$9))</f>
        <v>9.1108650682499996E-5</v>
      </c>
      <c r="Z11">
        <f>IF($G11="s-curve",$E11+($F11-$E11)*$I$2/(1+EXP($I$3*(COUNT($I$9:Z$9)+$I$4))),TREND($E11:$F11,$E$9:$F$9,Z$9))</f>
        <v>9.1108650682499996E-5</v>
      </c>
      <c r="AA11">
        <f>IF($G11="s-curve",$E11+($F11-$E11)*$I$2/(1+EXP($I$3*(COUNT($I$9:AA$9)+$I$4))),TREND($E11:$F11,$E$9:$F$9,AA$9))</f>
        <v>9.1108650682499996E-5</v>
      </c>
      <c r="AB11">
        <f>IF($G11="s-curve",$E11+($F11-$E11)*$I$2/(1+EXP($I$3*(COUNT($I$9:AB$9)+$I$4))),TREND($E11:$F11,$E$9:$F$9,AB$9))</f>
        <v>9.1108650682499996E-5</v>
      </c>
      <c r="AC11">
        <f>IF($G11="s-curve",$E11+($F11-$E11)*$I$2/(1+EXP($I$3*(COUNT($I$9:AC$9)+$I$4))),TREND($E11:$F11,$E$9:$F$9,AC$9))</f>
        <v>9.1108650682499996E-5</v>
      </c>
      <c r="AD11">
        <f>IF($G11="s-curve",$E11+($F11-$E11)*$I$2/(1+EXP($I$3*(COUNT($I$9:AD$9)+$I$4))),TREND($E11:$F11,$E$9:$F$9,AD$9))</f>
        <v>9.1108650682499996E-5</v>
      </c>
      <c r="AE11">
        <f>IF($G11="s-curve",$E11+($F11-$E11)*$I$2/(1+EXP($I$3*(COUNT($I$9:AE$9)+$I$4))),TREND($E11:$F11,$E$9:$F$9,AE$9))</f>
        <v>9.1108650682499996E-5</v>
      </c>
      <c r="AF11">
        <f>IF($G11="s-curve",$E11+($F11-$E11)*$I$2/(1+EXP($I$3*(COUNT($I$9:AF$9)+$I$4))),TREND($E11:$F11,$E$9:$F$9,AF$9))</f>
        <v>9.1108650682499996E-5</v>
      </c>
      <c r="AG11">
        <f>IF($G11="s-curve",$E11+($F11-$E11)*$I$2/(1+EXP($I$3*(COUNT($I$9:AG$9)+$I$4))),TREND($E11:$F11,$E$9:$F$9,AG$9))</f>
        <v>9.1108650682499996E-5</v>
      </c>
      <c r="AH11">
        <f>IF($G11="s-curve",$E11+($F11-$E11)*$I$2/(1+EXP($I$3*(COUNT($I$9:AH$9)+$I$4))),TREND($E11:$F11,$E$9:$F$9,AH$9))</f>
        <v>9.1108650682499996E-5</v>
      </c>
      <c r="AI11">
        <f>IF($G11="s-curve",$E11+($F11-$E11)*$I$2/(1+EXP($I$3*(COUNT($I$9:AI$9)+$I$4))),TREND($E11:$F11,$E$9:$F$9,AI$9))</f>
        <v>9.1108650682499996E-5</v>
      </c>
    </row>
    <row r="12" spans="1:37" x14ac:dyDescent="0.25">
      <c r="C12" t="s">
        <v>3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25">
      <c r="C13" t="s">
        <v>4</v>
      </c>
      <c r="D13">
        <v>6.6777915503600002E-2</v>
      </c>
      <c r="E13" s="16">
        <v>6.0801825684799998E-2</v>
      </c>
      <c r="F13" s="16">
        <f>E13</f>
        <v>6.0801825684799998E-2</v>
      </c>
      <c r="G13" s="5" t="str">
        <f>IF(E13=F13,"n/a",IF(OR(C13="battery electric vehicle",C13="natural gas vehicle",C13="plugin hybrid vehicle"),"s-curve","linear"))</f>
        <v>n/a</v>
      </c>
      <c r="I13" s="16">
        <f t="shared" si="1"/>
        <v>6.0801825684799998E-2</v>
      </c>
      <c r="J13">
        <f>IF($G13="s-curve",$E13+($F13-$E13)*$I$2/(1+EXP($I$3*(COUNT($I$9:J$9)+$I$4))),TREND($E13:$F13,$E$9:$F$9,J$9))</f>
        <v>6.0801825684799998E-2</v>
      </c>
      <c r="K13">
        <f>IF($G13="s-curve",$E13+($F13-$E13)*$I$2/(1+EXP($I$3*(COUNT($I$9:K$9)+$I$4))),TREND($E13:$F13,$E$9:$F$9,K$9))</f>
        <v>6.0801825684799998E-2</v>
      </c>
      <c r="L13">
        <f>IF($G13="s-curve",$E13+($F13-$E13)*$I$2/(1+EXP($I$3*(COUNT($I$9:L$9)+$I$4))),TREND($E13:$F13,$E$9:$F$9,L$9))</f>
        <v>6.0801825684799998E-2</v>
      </c>
      <c r="M13">
        <f>IF($G13="s-curve",$E13+($F13-$E13)*$I$2/(1+EXP($I$3*(COUNT($I$9:M$9)+$I$4))),TREND($E13:$F13,$E$9:$F$9,M$9))</f>
        <v>6.0801825684799998E-2</v>
      </c>
      <c r="N13">
        <f>IF($G13="s-curve",$E13+($F13-$E13)*$I$2/(1+EXP($I$3*(COUNT($I$9:N$9)+$I$4))),TREND($E13:$F13,$E$9:$F$9,N$9))</f>
        <v>6.0801825684799998E-2</v>
      </c>
      <c r="O13">
        <f>IF($G13="s-curve",$E13+($F13-$E13)*$I$2/(1+EXP($I$3*(COUNT($I$9:O$9)+$I$4))),TREND($E13:$F13,$E$9:$F$9,O$9))</f>
        <v>6.0801825684799998E-2</v>
      </c>
      <c r="P13">
        <f>IF($G13="s-curve",$E13+($F13-$E13)*$I$2/(1+EXP($I$3*(COUNT($I$9:P$9)+$I$4))),TREND($E13:$F13,$E$9:$F$9,P$9))</f>
        <v>6.0801825684799998E-2</v>
      </c>
      <c r="Q13">
        <f>IF($G13="s-curve",$E13+($F13-$E13)*$I$2/(1+EXP($I$3*(COUNT($I$9:Q$9)+$I$4))),TREND($E13:$F13,$E$9:$F$9,Q$9))</f>
        <v>6.0801825684799998E-2</v>
      </c>
      <c r="R13">
        <f>IF($G13="s-curve",$E13+($F13-$E13)*$I$2/(1+EXP($I$3*(COUNT($I$9:R$9)+$I$4))),TREND($E13:$F13,$E$9:$F$9,R$9))</f>
        <v>6.0801825684799998E-2</v>
      </c>
      <c r="S13">
        <f>IF($G13="s-curve",$E13+($F13-$E13)*$I$2/(1+EXP($I$3*(COUNT($I$9:S$9)+$I$4))),TREND($E13:$F13,$E$9:$F$9,S$9))</f>
        <v>6.0801825684799998E-2</v>
      </c>
      <c r="T13">
        <f>IF($G13="s-curve",$E13+($F13-$E13)*$I$2/(1+EXP($I$3*(COUNT($I$9:T$9)+$I$4))),TREND($E13:$F13,$E$9:$F$9,T$9))</f>
        <v>6.0801825684799998E-2</v>
      </c>
      <c r="U13">
        <f>IF($G13="s-curve",$E13+($F13-$E13)*$I$2/(1+EXP($I$3*(COUNT($I$9:U$9)+$I$4))),TREND($E13:$F13,$E$9:$F$9,U$9))</f>
        <v>6.0801825684799998E-2</v>
      </c>
      <c r="V13">
        <f>IF($G13="s-curve",$E13+($F13-$E13)*$I$2/(1+EXP($I$3*(COUNT($I$9:V$9)+$I$4))),TREND($E13:$F13,$E$9:$F$9,V$9))</f>
        <v>6.0801825684799998E-2</v>
      </c>
      <c r="W13">
        <f>IF($G13="s-curve",$E13+($F13-$E13)*$I$2/(1+EXP($I$3*(COUNT($I$9:W$9)+$I$4))),TREND($E13:$F13,$E$9:$F$9,W$9))</f>
        <v>6.0801825684799998E-2</v>
      </c>
      <c r="X13">
        <f>IF($G13="s-curve",$E13+($F13-$E13)*$I$2/(1+EXP($I$3*(COUNT($I$9:X$9)+$I$4))),TREND($E13:$F13,$E$9:$F$9,X$9))</f>
        <v>6.0801825684799998E-2</v>
      </c>
      <c r="Y13">
        <f>IF($G13="s-curve",$E13+($F13-$E13)*$I$2/(1+EXP($I$3*(COUNT($I$9:Y$9)+$I$4))),TREND($E13:$F13,$E$9:$F$9,Y$9))</f>
        <v>6.0801825684799998E-2</v>
      </c>
      <c r="Z13">
        <f>IF($G13="s-curve",$E13+($F13-$E13)*$I$2/(1+EXP($I$3*(COUNT($I$9:Z$9)+$I$4))),TREND($E13:$F13,$E$9:$F$9,Z$9))</f>
        <v>6.0801825684799998E-2</v>
      </c>
      <c r="AA13">
        <f>IF($G13="s-curve",$E13+($F13-$E13)*$I$2/(1+EXP($I$3*(COUNT($I$9:AA$9)+$I$4))),TREND($E13:$F13,$E$9:$F$9,AA$9))</f>
        <v>6.0801825684799998E-2</v>
      </c>
      <c r="AB13">
        <f>IF($G13="s-curve",$E13+($F13-$E13)*$I$2/(1+EXP($I$3*(COUNT($I$9:AB$9)+$I$4))),TREND($E13:$F13,$E$9:$F$9,AB$9))</f>
        <v>6.0801825684799998E-2</v>
      </c>
      <c r="AC13">
        <f>IF($G13="s-curve",$E13+($F13-$E13)*$I$2/(1+EXP($I$3*(COUNT($I$9:AC$9)+$I$4))),TREND($E13:$F13,$E$9:$F$9,AC$9))</f>
        <v>6.0801825684799998E-2</v>
      </c>
      <c r="AD13">
        <f>IF($G13="s-curve",$E13+($F13-$E13)*$I$2/(1+EXP($I$3*(COUNT($I$9:AD$9)+$I$4))),TREND($E13:$F13,$E$9:$F$9,AD$9))</f>
        <v>6.0801825684799998E-2</v>
      </c>
      <c r="AE13">
        <f>IF($G13="s-curve",$E13+($F13-$E13)*$I$2/(1+EXP($I$3*(COUNT($I$9:AE$9)+$I$4))),TREND($E13:$F13,$E$9:$F$9,AE$9))</f>
        <v>6.0801825684799998E-2</v>
      </c>
      <c r="AF13">
        <f>IF($G13="s-curve",$E13+($F13-$E13)*$I$2/(1+EXP($I$3*(COUNT($I$9:AF$9)+$I$4))),TREND($E13:$F13,$E$9:$F$9,AF$9))</f>
        <v>6.0801825684799998E-2</v>
      </c>
      <c r="AG13">
        <f>IF($G13="s-curve",$E13+($F13-$E13)*$I$2/(1+EXP($I$3*(COUNT($I$9:AG$9)+$I$4))),TREND($E13:$F13,$E$9:$F$9,AG$9))</f>
        <v>6.0801825684799998E-2</v>
      </c>
      <c r="AH13">
        <f>IF($G13="s-curve",$E13+($F13-$E13)*$I$2/(1+EXP($I$3*(COUNT($I$9:AH$9)+$I$4))),TREND($E13:$F13,$E$9:$F$9,AH$9))</f>
        <v>6.0801825684799998E-2</v>
      </c>
      <c r="AI13">
        <f>IF($G13="s-curve",$E13+($F13-$E13)*$I$2/(1+EXP($I$3*(COUNT($I$9:AI$9)+$I$4))),TREND($E13:$F13,$E$9:$F$9,AI$9))</f>
        <v>6.0801825684799998E-2</v>
      </c>
    </row>
    <row r="14" spans="1:37" x14ac:dyDescent="0.25">
      <c r="C14" t="s">
        <v>5</v>
      </c>
      <c r="D14">
        <v>1.6690003398299999E-2</v>
      </c>
      <c r="E14" s="16">
        <v>0</v>
      </c>
      <c r="F14" s="23">
        <f>D14/D10*F10</f>
        <v>0.10492980017647105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1.6690003398299999E-2</v>
      </c>
      <c r="J14">
        <f>E14</f>
        <v>0</v>
      </c>
      <c r="K14">
        <f>IF($G14="s-curve",$E14+($F14-$E14)*$U$2/(1+EXP($U$3*(COUNT($I$9:K$9)+$U$4))),TREND($E14:$F14,$E$9:$F$9,K$9))</f>
        <v>4.1096514668315402E-3</v>
      </c>
      <c r="L14">
        <f>IF($G14="s-curve",$E14+($F14-$E14)*$U$2/(1+EXP($U$3*(COUNT($I$9:L$9)+$U$4))),TREND($E14:$F14,$E$9:$F$9,L$9))</f>
        <v>6.0150143223491733E-3</v>
      </c>
      <c r="M14">
        <f>IF($G14="s-curve",$E14+($F14-$E14)*$U$2/(1+EXP($U$3*(COUNT($I$9:M$9)+$U$4))),TREND($E14:$F14,$E$9:$F$9,M$9))</f>
        <v>8.7272944232455463E-3</v>
      </c>
      <c r="N14">
        <f>IF($G14="s-curve",$E14+($F14-$E14)*$U$2/(1+EXP($U$3*(COUNT($I$9:N$9)+$U$4))),TREND($E14:$F14,$E$9:$F$9,N$9))</f>
        <v>1.2507938788232255E-2</v>
      </c>
      <c r="O14">
        <f>IF($G14="s-curve",$E14+($F14-$E14)*$U$2/(1+EXP($U$3*(COUNT($I$9:O$9)+$U$4))),TREND($E14:$F14,$E$9:$F$9,O$9))</f>
        <v>1.7626277281218222E-2</v>
      </c>
      <c r="P14">
        <f>IF($G14="s-curve",$E14+($F14-$E14)*$U$2/(1+EXP($U$3*(COUNT($I$9:P$9)+$U$4))),TREND($E14:$F14,$E$9:$F$9,P$9))</f>
        <v>2.4288648213253449E-2</v>
      </c>
      <c r="Q14">
        <f>IF($G14="s-curve",$E14+($F14-$E14)*$U$2/(1+EXP($U$3*(COUNT($I$9:Q$9)+$U$4))),TREND($E14:$F14,$E$9:$F$9,Q$9))</f>
        <v>3.2530915744886375E-2</v>
      </c>
      <c r="R14">
        <f>IF($G14="s-curve",$E14+($F14-$E14)*$U$2/(1+EXP($U$3*(COUNT($I$9:R$9)+$U$4))),TREND($E14:$F14,$E$9:$F$9,R$9))</f>
        <v>4.2109623632752446E-2</v>
      </c>
      <c r="S14">
        <f>IF($G14="s-curve",$E14+($F14-$E14)*$U$2/(1+EXP($U$3*(COUNT($I$9:S$9)+$U$4))),TREND($E14:$F14,$E$9:$F$9,S$9))</f>
        <v>5.2464900088235525E-2</v>
      </c>
      <c r="T14">
        <f>IF($G14="s-curve",$E14+($F14-$E14)*$U$2/(1+EXP($U$3*(COUNT($I$9:T$9)+$U$4))),TREND($E14:$F14,$E$9:$F$9,T$9))</f>
        <v>6.2820176543718603E-2</v>
      </c>
      <c r="U14">
        <f>IF($G14="s-curve",$E14+($F14-$E14)*$U$2/(1+EXP($U$3*(COUNT($I$9:U$9)+$U$4))),TREND($E14:$F14,$E$9:$F$9,U$9))</f>
        <v>7.2398884431584667E-2</v>
      </c>
      <c r="V14">
        <f>IF($G14="s-curve",$E14+($F14-$E14)*$U$2/(1+EXP($U$3*(COUNT($I$9:V$9)+$U$4))),TREND($E14:$F14,$E$9:$F$9,V$9))</f>
        <v>8.0641151963217611E-2</v>
      </c>
      <c r="W14">
        <f>IF($G14="s-curve",$E14+($F14-$E14)*$U$2/(1+EXP($U$3*(COUNT($I$9:W$9)+$U$4))),TREND($E14:$F14,$E$9:$F$9,W$9))</f>
        <v>8.7303522895252825E-2</v>
      </c>
      <c r="X14">
        <f>IF($G14="s-curve",$E14+($F14-$E14)*$U$2/(1+EXP($U$3*(COUNT($I$9:X$9)+$U$4))),TREND($E14:$F14,$E$9:$F$9,X$9))</f>
        <v>9.2421861388238782E-2</v>
      </c>
      <c r="Y14">
        <f>IF($G14="s-curve",$E14+($F14-$E14)*$U$2/(1+EXP($U$3*(COUNT($I$9:Y$9)+$U$4))),TREND($E14:$F14,$E$9:$F$9,Y$9))</f>
        <v>9.6202505753225503E-2</v>
      </c>
      <c r="Z14">
        <f>IF($G14="s-curve",$E14+($F14-$E14)*$U$2/(1+EXP($U$3*(COUNT($I$9:Z$9)+$U$4))),TREND($E14:$F14,$E$9:$F$9,Z$9))</f>
        <v>9.8914785854121876E-2</v>
      </c>
      <c r="AA14">
        <f>IF($G14="s-curve",$E14+($F14-$E14)*$U$2/(1+EXP($U$3*(COUNT($I$9:AA$9)+$U$4))),TREND($E14:$F14,$E$9:$F$9,AA$9))</f>
        <v>0.10082014870963951</v>
      </c>
      <c r="AB14">
        <f>IF($G14="s-curve",$E14+($F14-$E14)*$U$2/(1+EXP($U$3*(COUNT($I$9:AB$9)+$U$4))),TREND($E14:$F14,$E$9:$F$9,AB$9))</f>
        <v>0.10213898295515562</v>
      </c>
      <c r="AC14">
        <f>IF($G14="s-curve",$E14+($F14-$E14)*$U$2/(1+EXP($U$3*(COUNT($I$9:AC$9)+$U$4))),TREND($E14:$F14,$E$9:$F$9,AC$9))</f>
        <v>0.10304251075921672</v>
      </c>
      <c r="AD14">
        <f>IF($G14="s-curve",$E14+($F14-$E14)*$U$2/(1+EXP($U$3*(COUNT($I$9:AD$9)+$U$4))),TREND($E14:$F14,$E$9:$F$9,AD$9))</f>
        <v>0.10365716591711784</v>
      </c>
      <c r="AE14">
        <f>IF($G14="s-curve",$E14+($F14-$E14)*$U$2/(1+EXP($U$3*(COUNT($I$9:AE$9)+$U$4))),TREND($E14:$F14,$E$9:$F$9,AE$9))</f>
        <v>0.10407330321644376</v>
      </c>
      <c r="AF14">
        <f>IF($G14="s-curve",$E14+($F14-$E14)*$U$2/(1+EXP($U$3*(COUNT($I$9:AF$9)+$U$4))),TREND($E14:$F14,$E$9:$F$9,AF$9))</f>
        <v>0.10435412392924331</v>
      </c>
      <c r="AG14">
        <f>IF($G14="s-curve",$E14+($F14-$E14)*$U$2/(1+EXP($U$3*(COUNT($I$9:AG$9)+$U$4))),TREND($E14:$F14,$E$9:$F$9,AG$9))</f>
        <v>0.10454321362002106</v>
      </c>
      <c r="AH14">
        <f>IF($G14="s-curve",$E14+($F14-$E14)*$U$2/(1+EXP($U$3*(COUNT($I$9:AH$9)+$U$4))),TREND($E14:$F14,$E$9:$F$9,AH$9))</f>
        <v>0.10467034832273366</v>
      </c>
      <c r="AI14">
        <f>IF($G14="s-curve",$E14+($F14-$E14)*$U$2/(1+EXP($U$3*(COUNT($I$9:AI$9)+$U$4))),TREND($E14:$F14,$E$9:$F$9,AI$9))</f>
        <v>0.10475574251059583</v>
      </c>
    </row>
    <row r="15" spans="1:37" x14ac:dyDescent="0.25">
      <c r="C15" t="s">
        <v>31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 t="shared" si="1"/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thickBot="1" x14ac:dyDescent="0.3">
      <c r="A16" s="17"/>
      <c r="B16" s="17"/>
      <c r="C16" s="17" t="s">
        <v>32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 t="shared" si="1"/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12</v>
      </c>
      <c r="B17" t="s">
        <v>18</v>
      </c>
      <c r="C17" t="s">
        <v>1</v>
      </c>
      <c r="D17">
        <v>0.454500581771</v>
      </c>
      <c r="E17">
        <v>0.23555139071600001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>D17</f>
        <v>0.454500581771</v>
      </c>
      <c r="J17">
        <f>IF($G17="s-curve",$E17+($F17-$E17)*$X$2/(1+EXP($X$3*(COUNT($I$9:J$9)+$X$4))),TREND($E17:$F17,$E$9:$F$9,J$9))</f>
        <v>0.2372655299631645</v>
      </c>
      <c r="K17" s="25">
        <f>IF($G17="s-curve",$D17+($F17-$D17)*$X$2/(1+EXP($X$3*(COUNT($I$9:K$9)+$X$4))),TREND($D17:$F17,$E$9:$F$9,K$9))</f>
        <v>0.44900481233409134</v>
      </c>
      <c r="L17" s="25">
        <f>IF($G17="s-curve",$D17+($F17-$D17)*$X$2/(1+EXP($X$3*(COUNT($I$9:L$9)+$X$4))),TREND($D17:$F17,$E$9:$F$9,L$9))</f>
        <v>0.44717325677406827</v>
      </c>
      <c r="M17" s="25">
        <f>IF($G17="s-curve",$D17+($F17-$D17)*$X$2/(1+EXP($X$3*(COUNT($I$9:M$9)+$X$4))),TREND($D17:$F17,$E$9:$F$9,M$9))</f>
        <v>0.44477116162412172</v>
      </c>
      <c r="N17" s="25">
        <f>IF($G17="s-curve",$D17+($F17-$D17)*$X$2/(1+EXP($X$3*(COUNT($I$9:N$9)+$X$4))),TREND($D17:$F17,$E$9:$F$9,N$9))</f>
        <v>0.44165035177522616</v>
      </c>
      <c r="O17" s="25">
        <f>IF($G17="s-curve",$D17+($F17-$D17)*$X$2/(1+EXP($X$3*(COUNT($I$9:O$9)+$X$4))),TREND($D17:$F17,$E$9:$F$9,O$9))</f>
        <v>0.43764505942691106</v>
      </c>
      <c r="P17" s="25">
        <f>IF($G17="s-curve",$D17+($F17-$D17)*$X$2/(1+EXP($X$3*(COUNT($I$9:P$9)+$X$4))),TREND($D17:$F17,$E$9:$F$9,P$9))</f>
        <v>0.43258450971903878</v>
      </c>
      <c r="Q17" s="25">
        <f>IF($G17="s-curve",$D17+($F17-$D17)*$X$2/(1+EXP($X$3*(COUNT($I$9:Q$9)+$X$4))),TREND($D17:$F17,$E$9:$F$9,Q$9))</f>
        <v>0.42631573221303853</v>
      </c>
      <c r="R17" s="25">
        <f>IF($G17="s-curve",$D17+($F17-$D17)*$X$2/(1+EXP($X$3*(COUNT($I$9:R$9)+$X$4))),TREND($D17:$F17,$E$9:$F$9,R$9))</f>
        <v>0.41873752615603005</v>
      </c>
      <c r="S17" s="25">
        <f>IF($G17="s-curve",$D17+($F17-$D17)*$X$2/(1+EXP($X$3*(COUNT($I$9:S$9)+$X$4))),TREND($D17:$F17,$E$9:$F$9,S$9))</f>
        <v>0.40984211176536622</v>
      </c>
      <c r="T17" s="25">
        <f>IF($G17="s-curve",$D17+($F17-$D17)*$X$2/(1+EXP($X$3*(COUNT($I$9:T$9)+$X$4))),TREND($D17:$F17,$E$9:$F$9,T$9))</f>
        <v>0.39975427493600035</v>
      </c>
      <c r="U17" s="25">
        <f>IF($G17="s-curve",$D17+($F17-$D17)*$X$2/(1+EXP($X$3*(COUNT($I$9:U$9)+$X$4))),TREND($D17:$F17,$E$9:$F$9,U$9))</f>
        <v>0.38875170304139878</v>
      </c>
      <c r="V17" s="25">
        <f>IF($G17="s-curve",$D17+($F17-$D17)*$X$2/(1+EXP($X$3*(COUNT($I$9:V$9)+$X$4))),TREND($D17:$F17,$E$9:$F$9,V$9))</f>
        <v>0.37725029088549999</v>
      </c>
      <c r="W17" s="25">
        <f>IF($G17="s-curve",$D17+($F17-$D17)*$X$2/(1+EXP($X$3*(COUNT($I$9:W$9)+$X$4))),TREND($D17:$F17,$E$9:$F$9,W$9))</f>
        <v>0.36574887872960121</v>
      </c>
      <c r="X17" s="25">
        <f>IF($G17="s-curve",$D17+($F17-$D17)*$X$2/(1+EXP($X$3*(COUNT($I$9:X$9)+$X$4))),TREND($D17:$F17,$E$9:$F$9,X$9))</f>
        <v>0.35474630683499964</v>
      </c>
      <c r="Y17" s="25">
        <f>IF($G17="s-curve",$D17+($F17-$D17)*$X$2/(1+EXP($X$3*(COUNT($I$9:Y$9)+$X$4))),TREND($D17:$F17,$E$9:$F$9,Y$9))</f>
        <v>0.34465847000563377</v>
      </c>
      <c r="Z17" s="25">
        <f>IF($G17="s-curve",$D17+($F17-$D17)*$X$2/(1+EXP($X$3*(COUNT($I$9:Z$9)+$X$4))),TREND($D17:$F17,$E$9:$F$9,Z$9))</f>
        <v>0.33576305561496994</v>
      </c>
      <c r="AA17" s="25">
        <f>IF($G17="s-curve",$D17+($F17-$D17)*$X$2/(1+EXP($X$3*(COUNT($I$9:AA$9)+$X$4))),TREND($D17:$F17,$E$9:$F$9,AA$9))</f>
        <v>0.32818484955796146</v>
      </c>
      <c r="AB17" s="25">
        <f>IF($G17="s-curve",$D17+($F17-$D17)*$X$2/(1+EXP($X$3*(COUNT($I$9:AB$9)+$X$4))),TREND($D17:$F17,$E$9:$F$9,AB$9))</f>
        <v>0.32191607205196121</v>
      </c>
      <c r="AC17" s="25">
        <f>IF($G17="s-curve",$D17+($F17-$D17)*$X$2/(1+EXP($X$3*(COUNT($I$9:AC$9)+$X$4))),TREND($D17:$F17,$E$9:$F$9,AC$9))</f>
        <v>0.31685552234408898</v>
      </c>
      <c r="AD17" s="25">
        <f>IF($G17="s-curve",$D17+($F17-$D17)*$X$2/(1+EXP($X$3*(COUNT($I$9:AD$9)+$X$4))),TREND($D17:$F17,$E$9:$F$9,AD$9))</f>
        <v>0.31285022999577383</v>
      </c>
      <c r="AE17" s="25">
        <f>IF($G17="s-curve",$D17+($F17-$D17)*$X$2/(1+EXP($X$3*(COUNT($I$9:AE$9)+$X$4))),TREND($D17:$F17,$E$9:$F$9,AE$9))</f>
        <v>0.30972942014687826</v>
      </c>
      <c r="AF17" s="25">
        <f>IF($G17="s-curve",$D17+($F17-$D17)*$X$2/(1+EXP($X$3*(COUNT($I$9:AF$9)+$X$4))),TREND($D17:$F17,$E$9:$F$9,AF$9))</f>
        <v>0.30732732499693172</v>
      </c>
      <c r="AG17" s="25">
        <f>IF($G17="s-curve",$D17+($F17-$D17)*$X$2/(1+EXP($X$3*(COUNT($I$9:AG$9)+$X$4))),TREND($D17:$F17,$E$9:$F$9,AG$9))</f>
        <v>0.30549576943690859</v>
      </c>
      <c r="AH17" s="25">
        <f>IF($G17="s-curve",$D17+($F17-$D17)*$X$2/(1+EXP($X$3*(COUNT($I$9:AH$9)+$X$4))),TREND($D17:$F17,$E$9:$F$9,AH$9))</f>
        <v>0.30410925098098529</v>
      </c>
      <c r="AI17" s="25">
        <f>IF($G17="s-curve",$D17+($F17-$D17)*$X$2/(1+EXP($X$3*(COUNT($I$9:AI$9)+$X$4))),TREND($D17:$F17,$E$9:$F$9,AI$9))</f>
        <v>0.30306533877842945</v>
      </c>
    </row>
    <row r="18" spans="1:35" x14ac:dyDescent="0.25">
      <c r="C18" t="s">
        <v>2</v>
      </c>
      <c r="D18">
        <v>0</v>
      </c>
      <c r="E18">
        <v>0</v>
      </c>
      <c r="F18" s="16">
        <f>E18</f>
        <v>0</v>
      </c>
      <c r="G18" s="5" t="s">
        <v>30</v>
      </c>
      <c r="I18" s="16">
        <f t="shared" ref="I18:I23" si="2">D18</f>
        <v>0</v>
      </c>
      <c r="J18" s="16">
        <f t="shared" ref="J18:J23" si="3"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3</v>
      </c>
      <c r="D19">
        <v>0.90083809500199996</v>
      </c>
      <c r="E19">
        <v>0.83821626774799995</v>
      </c>
      <c r="F19" s="16">
        <f>E19</f>
        <v>0.83821626774799995</v>
      </c>
      <c r="G19" s="5" t="str">
        <f>IF(E19=F19,"n/a",IF(OR(C19="battery electric vehicle",C19="natural gas vehicle",C19="plugin hybrid vehicle"),"s-curve","linear"))</f>
        <v>n/a</v>
      </c>
      <c r="I19" s="16">
        <f t="shared" si="2"/>
        <v>0.90083809500199996</v>
      </c>
      <c r="J19" s="16">
        <f t="shared" si="3"/>
        <v>0.83821626774799995</v>
      </c>
      <c r="K19">
        <f>IF($G19="s-curve",$E19+($F19-$E19)*$I$2/(1+EXP($I$3*(COUNT($I$9:K$9)+$I$4))),TREND($E19:$F19,$E$9:$F$9,K$9))</f>
        <v>0.83821626774799995</v>
      </c>
      <c r="L19">
        <f>IF($G19="s-curve",$E19+($F19-$E19)*$I$2/(1+EXP($I$3*(COUNT($I$9:L$9)+$I$4))),TREND($E19:$F19,$E$9:$F$9,L$9))</f>
        <v>0.83821626774799995</v>
      </c>
      <c r="M19">
        <f>IF($G19="s-curve",$E19+($F19-$E19)*$I$2/(1+EXP($I$3*(COUNT($I$9:M$9)+$I$4))),TREND($E19:$F19,$E$9:$F$9,M$9))</f>
        <v>0.83821626774799995</v>
      </c>
      <c r="N19">
        <f>IF($G19="s-curve",$E19+($F19-$E19)*$I$2/(1+EXP($I$3*(COUNT($I$9:N$9)+$I$4))),TREND($E19:$F19,$E$9:$F$9,N$9))</f>
        <v>0.83821626774799995</v>
      </c>
      <c r="O19">
        <f>IF($G19="s-curve",$E19+($F19-$E19)*$I$2/(1+EXP($I$3*(COUNT($I$9:O$9)+$I$4))),TREND($E19:$F19,$E$9:$F$9,O$9))</f>
        <v>0.83821626774799995</v>
      </c>
      <c r="P19">
        <f>IF($G19="s-curve",$E19+($F19-$E19)*$I$2/(1+EXP($I$3*(COUNT($I$9:P$9)+$I$4))),TREND($E19:$F19,$E$9:$F$9,P$9))</f>
        <v>0.83821626774799995</v>
      </c>
      <c r="Q19">
        <f>IF($G19="s-curve",$E19+($F19-$E19)*$I$2/(1+EXP($I$3*(COUNT($I$9:Q$9)+$I$4))),TREND($E19:$F19,$E$9:$F$9,Q$9))</f>
        <v>0.83821626774799995</v>
      </c>
      <c r="R19">
        <f>IF($G19="s-curve",$E19+($F19-$E19)*$I$2/(1+EXP($I$3*(COUNT($I$9:R$9)+$I$4))),TREND($E19:$F19,$E$9:$F$9,R$9))</f>
        <v>0.83821626774799995</v>
      </c>
      <c r="S19">
        <f>IF($G19="s-curve",$E19+($F19-$E19)*$I$2/(1+EXP($I$3*(COUNT($I$9:S$9)+$I$4))),TREND($E19:$F19,$E$9:$F$9,S$9))</f>
        <v>0.83821626774799995</v>
      </c>
      <c r="T19">
        <f>IF($G19="s-curve",$E19+($F19-$E19)*$I$2/(1+EXP($I$3*(COUNT($I$9:T$9)+$I$4))),TREND($E19:$F19,$E$9:$F$9,T$9))</f>
        <v>0.83821626774799995</v>
      </c>
      <c r="U19">
        <f>IF($G19="s-curve",$E19+($F19-$E19)*$I$2/(1+EXP($I$3*(COUNT($I$9:U$9)+$I$4))),TREND($E19:$F19,$E$9:$F$9,U$9))</f>
        <v>0.83821626774799995</v>
      </c>
      <c r="V19">
        <f>IF($G19="s-curve",$E19+($F19-$E19)*$I$2/(1+EXP($I$3*(COUNT($I$9:V$9)+$I$4))),TREND($E19:$F19,$E$9:$F$9,V$9))</f>
        <v>0.83821626774799995</v>
      </c>
      <c r="W19">
        <f>IF($G19="s-curve",$E19+($F19-$E19)*$I$2/(1+EXP($I$3*(COUNT($I$9:W$9)+$I$4))),TREND($E19:$F19,$E$9:$F$9,W$9))</f>
        <v>0.83821626774799995</v>
      </c>
      <c r="X19">
        <f>IF($G19="s-curve",$E19+($F19-$E19)*$I$2/(1+EXP($I$3*(COUNT($I$9:X$9)+$I$4))),TREND($E19:$F19,$E$9:$F$9,X$9))</f>
        <v>0.83821626774799995</v>
      </c>
      <c r="Y19">
        <f>IF($G19="s-curve",$E19+($F19-$E19)*$I$2/(1+EXP($I$3*(COUNT($I$9:Y$9)+$I$4))),TREND($E19:$F19,$E$9:$F$9,Y$9))</f>
        <v>0.83821626774799995</v>
      </c>
      <c r="Z19">
        <f>IF($G19="s-curve",$E19+($F19-$E19)*$I$2/(1+EXP($I$3*(COUNT($I$9:Z$9)+$I$4))),TREND($E19:$F19,$E$9:$F$9,Z$9))</f>
        <v>0.83821626774799995</v>
      </c>
      <c r="AA19">
        <f>IF($G19="s-curve",$E19+($F19-$E19)*$I$2/(1+EXP($I$3*(COUNT($I$9:AA$9)+$I$4))),TREND($E19:$F19,$E$9:$F$9,AA$9))</f>
        <v>0.83821626774799995</v>
      </c>
      <c r="AB19">
        <f>IF($G19="s-curve",$E19+($F19-$E19)*$I$2/(1+EXP($I$3*(COUNT($I$9:AB$9)+$I$4))),TREND($E19:$F19,$E$9:$F$9,AB$9))</f>
        <v>0.83821626774799995</v>
      </c>
      <c r="AC19">
        <f>IF($G19="s-curve",$E19+($F19-$E19)*$I$2/(1+EXP($I$3*(COUNT($I$9:AC$9)+$I$4))),TREND($E19:$F19,$E$9:$F$9,AC$9))</f>
        <v>0.83821626774799995</v>
      </c>
      <c r="AD19">
        <f>IF($G19="s-curve",$E19+($F19-$E19)*$I$2/(1+EXP($I$3*(COUNT($I$9:AD$9)+$I$4))),TREND($E19:$F19,$E$9:$F$9,AD$9))</f>
        <v>0.83821626774799995</v>
      </c>
      <c r="AE19">
        <f>IF($G19="s-curve",$E19+($F19-$E19)*$I$2/(1+EXP($I$3*(COUNT($I$9:AE$9)+$I$4))),TREND($E19:$F19,$E$9:$F$9,AE$9))</f>
        <v>0.83821626774799995</v>
      </c>
      <c r="AF19">
        <f>IF($G19="s-curve",$E19+($F19-$E19)*$I$2/(1+EXP($I$3*(COUNT($I$9:AF$9)+$I$4))),TREND($E19:$F19,$E$9:$F$9,AF$9))</f>
        <v>0.83821626774799995</v>
      </c>
      <c r="AG19">
        <f>IF($G19="s-curve",$E19+($F19-$E19)*$I$2/(1+EXP($I$3*(COUNT($I$9:AG$9)+$I$4))),TREND($E19:$F19,$E$9:$F$9,AG$9))</f>
        <v>0.83821626774799995</v>
      </c>
      <c r="AH19">
        <f>IF($G19="s-curve",$E19+($F19-$E19)*$I$2/(1+EXP($I$3*(COUNT($I$9:AH$9)+$I$4))),TREND($E19:$F19,$E$9:$F$9,AH$9))</f>
        <v>0.83821626774799995</v>
      </c>
      <c r="AI19">
        <f>IF($G19="s-curve",$E19+($F19-$E19)*$I$2/(1+EXP($I$3*(COUNT($I$9:AI$9)+$I$4))),TREND($E19:$F19,$E$9:$F$9,AI$9))</f>
        <v>0.83821626774799995</v>
      </c>
    </row>
    <row r="20" spans="1:35" x14ac:dyDescent="0.25">
      <c r="C20" t="s">
        <v>4</v>
      </c>
      <c r="D20">
        <v>1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2"/>
        <v>1</v>
      </c>
      <c r="J20" s="16">
        <f t="shared" si="3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5</v>
      </c>
      <c r="D21">
        <v>0</v>
      </c>
      <c r="E21">
        <v>9.7600354280299995E-4</v>
      </c>
      <c r="F21" s="16">
        <f>E21/E17*F17</f>
        <v>1.2430453581737705E-3</v>
      </c>
      <c r="G21" s="5" t="s">
        <v>61</v>
      </c>
      <c r="I21" s="16">
        <f t="shared" si="2"/>
        <v>0</v>
      </c>
      <c r="J21" s="16">
        <f t="shared" si="3"/>
        <v>9.7600354280299995E-4</v>
      </c>
      <c r="K21">
        <f>IF($G21="s-curve",$E21+($F21-$E21)*$X$2/(1+EXP($X$3*(COUNT($I$9:K$9)+$X$4))),TREND($E21:$F21,$E$9:$F$9,K$9))</f>
        <v>9.8550253776126203E-4</v>
      </c>
      <c r="L21">
        <f>IF($G21="s-curve",$E21+($F21-$E21)*$X$2/(1+EXP($X$3*(COUNT($I$9:L$9)+$X$4))),TREND($E21:$F21,$E$9:$F$9,L$9))</f>
        <v>9.8866823407188129E-4</v>
      </c>
      <c r="M21">
        <f>IF($G21="s-curve",$E21+($F21-$E21)*$X$2/(1+EXP($X$3*(COUNT($I$9:M$9)+$X$4))),TREND($E21:$F21,$E$9:$F$9,M$9))</f>
        <v>9.9282006212445028E-4</v>
      </c>
      <c r="N21">
        <f>IF($G21="s-curve",$E21+($F21-$E21)*$X$2/(1+EXP($X$3*(COUNT($I$9:N$9)+$X$4))),TREND($E21:$F21,$E$9:$F$9,N$9))</f>
        <v>9.9821413066401919E-4</v>
      </c>
      <c r="O21">
        <f>IF($G21="s-curve",$E21+($F21-$E21)*$X$2/(1+EXP($X$3*(COUNT($I$9:O$9)+$X$4))),TREND($E21:$F21,$E$9:$F$9,O$9))</f>
        <v>1.0051369559862567E-3</v>
      </c>
      <c r="P21">
        <f>IF($G21="s-curve",$E21+($F21-$E21)*$X$2/(1+EXP($X$3*(COUNT($I$9:P$9)+$X$4))),TREND($E21:$F21,$E$9:$F$9,P$9))</f>
        <v>1.0138837086863031E-3</v>
      </c>
      <c r="Q21">
        <f>IF($G21="s-curve",$E21+($F21-$E21)*$X$2/(1+EXP($X$3*(COUNT($I$9:Q$9)+$X$4))),TREND($E21:$F21,$E$9:$F$9,Q$9))</f>
        <v>1.024718785850213E-3</v>
      </c>
      <c r="R21">
        <f>IF($G21="s-curve",$E21+($F21-$E21)*$X$2/(1+EXP($X$3*(COUNT($I$9:R$9)+$X$4))),TREND($E21:$F21,$E$9:$F$9,R$9))</f>
        <v>1.0378171048307644E-3</v>
      </c>
      <c r="S21">
        <f>IF($G21="s-curve",$E21+($F21-$E21)*$X$2/(1+EXP($X$3*(COUNT($I$9:S$9)+$X$4))),TREND($E21:$F21,$E$9:$F$9,S$9))</f>
        <v>1.053192112355843E-3</v>
      </c>
      <c r="T21">
        <f>IF($G21="s-curve",$E21+($F21-$E21)*$X$2/(1+EXP($X$3*(COUNT($I$9:T$9)+$X$4))),TREND($E21:$F21,$E$9:$F$9,T$9))</f>
        <v>1.0706281260536479E-3</v>
      </c>
      <c r="U21">
        <f>IF($G21="s-curve",$E21+($F21-$E21)*$X$2/(1+EXP($X$3*(COUNT($I$9:U$9)+$X$4))),TREND($E21:$F21,$E$9:$F$9,U$9))</f>
        <v>1.0896451856582307E-3</v>
      </c>
      <c r="V21">
        <f>IF($G21="s-curve",$E21+($F21-$E21)*$X$2/(1+EXP($X$3*(COUNT($I$9:V$9)+$X$4))),TREND($E21:$F21,$E$9:$F$9,V$9))</f>
        <v>1.1095244504883853E-3</v>
      </c>
      <c r="W21">
        <f>IF($G21="s-curve",$E21+($F21-$E21)*$X$2/(1+EXP($X$3*(COUNT($I$9:W$9)+$X$4))),TREND($E21:$F21,$E$9:$F$9,W$9))</f>
        <v>1.1294037153185398E-3</v>
      </c>
      <c r="X21">
        <f>IF($G21="s-curve",$E21+($F21-$E21)*$X$2/(1+EXP($X$3*(COUNT($I$9:X$9)+$X$4))),TREND($E21:$F21,$E$9:$F$9,X$9))</f>
        <v>1.1484207749231225E-3</v>
      </c>
      <c r="Y21">
        <f>IF($G21="s-curve",$E21+($F21-$E21)*$X$2/(1+EXP($X$3*(COUNT($I$9:Y$9)+$X$4))),TREND($E21:$F21,$E$9:$F$9,Y$9))</f>
        <v>1.1658567886209275E-3</v>
      </c>
      <c r="Z21">
        <f>IF($G21="s-curve",$E21+($F21-$E21)*$X$2/(1+EXP($X$3*(COUNT($I$9:Z$9)+$X$4))),TREND($E21:$F21,$E$9:$F$9,Z$9))</f>
        <v>1.1812317961460059E-3</v>
      </c>
      <c r="AA21">
        <f>IF($G21="s-curve",$E21+($F21-$E21)*$X$2/(1+EXP($X$3*(COUNT($I$9:AA$9)+$X$4))),TREND($E21:$F21,$E$9:$F$9,AA$9))</f>
        <v>1.1943301151265573E-3</v>
      </c>
      <c r="AB21">
        <f>IF($G21="s-curve",$E21+($F21-$E21)*$X$2/(1+EXP($X$3*(COUNT($I$9:AB$9)+$X$4))),TREND($E21:$F21,$E$9:$F$9,AB$9))</f>
        <v>1.2051651922904672E-3</v>
      </c>
      <c r="AC21">
        <f>IF($G21="s-curve",$E21+($F21-$E21)*$X$2/(1+EXP($X$3*(COUNT($I$9:AC$9)+$X$4))),TREND($E21:$F21,$E$9:$F$9,AC$9))</f>
        <v>1.2139119449905136E-3</v>
      </c>
      <c r="AD21">
        <f>IF($G21="s-curve",$E21+($F21-$E21)*$X$2/(1+EXP($X$3*(COUNT($I$9:AD$9)+$X$4))),TREND($E21:$F21,$E$9:$F$9,AD$9))</f>
        <v>1.2208347703127514E-3</v>
      </c>
      <c r="AE21">
        <f>IF($G21="s-curve",$E21+($F21-$E21)*$X$2/(1+EXP($X$3*(COUNT($I$9:AE$9)+$X$4))),TREND($E21:$F21,$E$9:$F$9,AE$9))</f>
        <v>1.2262288388523203E-3</v>
      </c>
      <c r="AF21">
        <f>IF($G21="s-curve",$E21+($F21-$E21)*$X$2/(1+EXP($X$3*(COUNT($I$9:AF$9)+$X$4))),TREND($E21:$F21,$E$9:$F$9,AF$9))</f>
        <v>1.2303806669048891E-3</v>
      </c>
      <c r="AG21">
        <f>IF($G21="s-curve",$E21+($F21-$E21)*$X$2/(1+EXP($X$3*(COUNT($I$9:AG$9)+$X$4))),TREND($E21:$F21,$E$9:$F$9,AG$9))</f>
        <v>1.2335463632155085E-3</v>
      </c>
      <c r="AH21">
        <f>IF($G21="s-curve",$E21+($F21-$E21)*$X$2/(1+EXP($X$3*(COUNT($I$9:AH$9)+$X$4))),TREND($E21:$F21,$E$9:$F$9,AH$9))</f>
        <v>1.2359428487255994E-3</v>
      </c>
      <c r="AI21">
        <f>IF($G21="s-curve",$E21+($F21-$E21)*$X$2/(1+EXP($X$3*(COUNT($I$9:AI$9)+$X$4))),TREND($E21:$F21,$E$9:$F$9,AI$9))</f>
        <v>1.2377471669130313E-3</v>
      </c>
    </row>
    <row r="22" spans="1:35" x14ac:dyDescent="0.25">
      <c r="C22" t="s">
        <v>31</v>
      </c>
      <c r="D22">
        <v>0</v>
      </c>
      <c r="E22">
        <v>0</v>
      </c>
      <c r="F22" s="16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2"/>
        <v>0</v>
      </c>
      <c r="J22" s="16">
        <f t="shared" si="3"/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.75" thickBot="1" x14ac:dyDescent="0.3">
      <c r="A23" s="17"/>
      <c r="B23" s="17"/>
      <c r="C23" s="17" t="s">
        <v>32</v>
      </c>
      <c r="D23" s="20">
        <v>0</v>
      </c>
      <c r="E23" s="6">
        <v>0</v>
      </c>
      <c r="F23" s="20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2"/>
        <v>0</v>
      </c>
      <c r="J23" s="16">
        <f t="shared" si="3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25">
      <c r="A24" t="s">
        <v>13</v>
      </c>
      <c r="B24" t="s">
        <v>19</v>
      </c>
      <c r="C24" t="s">
        <v>1</v>
      </c>
      <c r="D24">
        <v>3.1135417098900001E-2</v>
      </c>
      <c r="E24">
        <v>3.0643451478599999E-2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>D24</f>
        <v>3.1135417098900001E-2</v>
      </c>
      <c r="J24" s="16">
        <f>E24</f>
        <v>3.0643451478599999E-2</v>
      </c>
      <c r="K24">
        <f>IF($G24="s-curve",$E24+($F24-$E24)*$X$2/(1+EXP($X$3*(COUNT($I$9:K$9)+$X$4))),TREND($E24:$F24,$E$9:$F$9,K$9))</f>
        <v>5.6231819420565009E-2</v>
      </c>
      <c r="L24">
        <f>IF($G24="s-curve",$E24+($F24-$E24)*$X$2/(1+EXP($X$3*(COUNT($I$9:L$9)+$X$4))),TREND($E24:$F24,$E$9:$F$9,L$9))</f>
        <v>6.4759563918228083E-2</v>
      </c>
      <c r="M24">
        <f>IF($G24="s-curve",$E24+($F24-$E24)*$X$2/(1+EXP($X$3*(COUNT($I$9:M$9)+$X$4))),TREND($E24:$F24,$E$9:$F$9,M$9))</f>
        <v>7.5943747540570206E-2</v>
      </c>
      <c r="N24">
        <f>IF($G24="s-curve",$E24+($F24-$E24)*$X$2/(1+EXP($X$3*(COUNT($I$9:N$9)+$X$4))),TREND($E24:$F24,$E$9:$F$9,N$9))</f>
        <v>9.0474275359685941E-2</v>
      </c>
      <c r="O24">
        <f>IF($G24="s-curve",$E24+($F24-$E24)*$X$2/(1+EXP($X$3*(COUNT($I$9:O$9)+$X$4))),TREND($E24:$F24,$E$9:$F$9,O$9))</f>
        <v>0.10912296422853242</v>
      </c>
      <c r="P24">
        <f>IF($G24="s-curve",$E24+($F24-$E24)*$X$2/(1+EXP($X$3*(COUNT($I$9:P$9)+$X$4))),TREND($E24:$F24,$E$9:$F$9,P$9))</f>
        <v>0.13268494392950003</v>
      </c>
      <c r="Q24">
        <f>IF($G24="s-curve",$E24+($F24-$E24)*$X$2/(1+EXP($X$3*(COUNT($I$9:Q$9)+$X$4))),TREND($E24:$F24,$E$9:$F$9,Q$9))</f>
        <v>0.161872446646149</v>
      </c>
      <c r="R24">
        <f>IF($G24="s-curve",$E24+($F24-$E24)*$X$2/(1+EXP($X$3*(COUNT($I$9:R$9)+$X$4))),TREND($E24:$F24,$E$9:$F$9,R$9))</f>
        <v>0.19715666428899051</v>
      </c>
      <c r="S24">
        <f>IF($G24="s-curve",$E24+($F24-$E24)*$X$2/(1+EXP($X$3*(COUNT($I$9:S$9)+$X$4))),TREND($E24:$F24,$E$9:$F$9,S$9))</f>
        <v>0.23857381961867116</v>
      </c>
      <c r="T24">
        <f>IF($G24="s-curve",$E24+($F24-$E24)*$X$2/(1+EXP($X$3*(COUNT($I$9:T$9)+$X$4))),TREND($E24:$F24,$E$9:$F$9,T$9))</f>
        <v>0.28554290802233562</v>
      </c>
      <c r="U24">
        <f>IF($G24="s-curve",$E24+($F24-$E24)*$X$2/(1+EXP($X$3*(COUNT($I$9:U$9)+$X$4))),TREND($E24:$F24,$E$9:$F$9,U$9))</f>
        <v>0.33677101378241864</v>
      </c>
      <c r="V24">
        <f>IF($G24="s-curve",$E24+($F24-$E24)*$X$2/(1+EXP($X$3*(COUNT($I$9:V$9)+$X$4))),TREND($E24:$F24,$E$9:$F$9,V$9))</f>
        <v>0.39032172573929996</v>
      </c>
      <c r="W24">
        <f>IF($G24="s-curve",$E24+($F24-$E24)*$X$2/(1+EXP($X$3*(COUNT($I$9:W$9)+$X$4))),TREND($E24:$F24,$E$9:$F$9,W$9))</f>
        <v>0.44387243769618129</v>
      </c>
      <c r="X24">
        <f>IF($G24="s-curve",$E24+($F24-$E24)*$X$2/(1+EXP($X$3*(COUNT($I$9:X$9)+$X$4))),TREND($E24:$F24,$E$9:$F$9,X$9))</f>
        <v>0.49510054345626425</v>
      </c>
      <c r="Y24">
        <f>IF($G24="s-curve",$E24+($F24-$E24)*$X$2/(1+EXP($X$3*(COUNT($I$9:Y$9)+$X$4))),TREND($E24:$F24,$E$9:$F$9,Y$9))</f>
        <v>0.54206963185992885</v>
      </c>
      <c r="Z24">
        <f>IF($G24="s-curve",$E24+($F24-$E24)*$X$2/(1+EXP($X$3*(COUNT($I$9:Z$9)+$X$4))),TREND($E24:$F24,$E$9:$F$9,Z$9))</f>
        <v>0.58348678718960945</v>
      </c>
      <c r="AA24">
        <f>IF($G24="s-curve",$E24+($F24-$E24)*$X$2/(1+EXP($X$3*(COUNT($I$9:AA$9)+$X$4))),TREND($E24:$F24,$E$9:$F$9,AA$9))</f>
        <v>0.61877100483245095</v>
      </c>
      <c r="AB24">
        <f>IF($G24="s-curve",$E24+($F24-$E24)*$X$2/(1+EXP($X$3*(COUNT($I$9:AB$9)+$X$4))),TREND($E24:$F24,$E$9:$F$9,AB$9))</f>
        <v>0.6479585075491</v>
      </c>
      <c r="AC24">
        <f>IF($G24="s-curve",$E24+($F24-$E24)*$X$2/(1+EXP($X$3*(COUNT($I$9:AC$9)+$X$4))),TREND($E24:$F24,$E$9:$F$9,AC$9))</f>
        <v>0.67152048725006763</v>
      </c>
      <c r="AD24">
        <f>IF($G24="s-curve",$E24+($F24-$E24)*$X$2/(1+EXP($X$3*(COUNT($I$9:AD$9)+$X$4))),TREND($E24:$F24,$E$9:$F$9,AD$9))</f>
        <v>0.69016917611891404</v>
      </c>
      <c r="AE24">
        <f>IF($G24="s-curve",$E24+($F24-$E24)*$X$2/(1+EXP($X$3*(COUNT($I$9:AE$9)+$X$4))),TREND($E24:$F24,$E$9:$F$9,AE$9))</f>
        <v>0.70469970393802983</v>
      </c>
      <c r="AF24">
        <f>IF($G24="s-curve",$E24+($F24-$E24)*$X$2/(1+EXP($X$3*(COUNT($I$9:AF$9)+$X$4))),TREND($E24:$F24,$E$9:$F$9,AF$9))</f>
        <v>0.71588388756037202</v>
      </c>
      <c r="AG24">
        <f>IF($G24="s-curve",$E24+($F24-$E24)*$X$2/(1+EXP($X$3*(COUNT($I$9:AG$9)+$X$4))),TREND($E24:$F24,$E$9:$F$9,AG$9))</f>
        <v>0.72441163205803505</v>
      </c>
      <c r="AH24">
        <f>IF($G24="s-curve",$E24+($F24-$E24)*$X$2/(1+EXP($X$3*(COUNT($I$9:AH$9)+$X$4))),TREND($E24:$F24,$E$9:$F$9,AH$9))</f>
        <v>0.73086727849949984</v>
      </c>
      <c r="AI24">
        <f>IF($G24="s-curve",$E24+($F24-$E24)*$X$2/(1+EXP($X$3*(COUNT($I$9:AI$9)+$X$4))),TREND($E24:$F24,$E$9:$F$9,AI$9))</f>
        <v>0.73572774614552472</v>
      </c>
    </row>
    <row r="25" spans="1:35" x14ac:dyDescent="0.25">
      <c r="C25" t="s">
        <v>2</v>
      </c>
      <c r="D25">
        <v>0</v>
      </c>
      <c r="E25">
        <v>0</v>
      </c>
      <c r="F25" s="16">
        <f>E25</f>
        <v>0</v>
      </c>
      <c r="G25" s="5" t="str">
        <f>IF(E25=F25,"n/a",IF(OR(C25="battery electric vehicle",C25="natural gas vehicle",C25="plugin hybrid vehicle"),"s-curve","linear"))</f>
        <v>n/a</v>
      </c>
      <c r="I25" s="16">
        <f t="shared" ref="I25:I30" si="4">D25</f>
        <v>0</v>
      </c>
      <c r="J25" s="16">
        <f t="shared" ref="J25:J30" si="5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3</v>
      </c>
      <c r="D26">
        <v>0</v>
      </c>
      <c r="E26">
        <v>0</v>
      </c>
      <c r="F26" s="16">
        <f>E26</f>
        <v>0</v>
      </c>
      <c r="G26" s="5" t="str">
        <f>IF(E26=F26,"n/a",IF(OR(C26="battery electric vehicle",C26="natural gas vehicle",C26="plugin hybrid vehicle"),"s-curve","linear"))</f>
        <v>n/a</v>
      </c>
      <c r="I26" s="16">
        <f t="shared" si="4"/>
        <v>0</v>
      </c>
      <c r="J26" s="16">
        <f t="shared" si="5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4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4"/>
        <v>1</v>
      </c>
      <c r="J27" s="16">
        <f t="shared" si="5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5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4"/>
        <v>0</v>
      </c>
      <c r="J28" s="16">
        <f t="shared" si="5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31</v>
      </c>
      <c r="D29">
        <v>0</v>
      </c>
      <c r="E29">
        <v>0</v>
      </c>
      <c r="F29" s="16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4"/>
        <v>0</v>
      </c>
      <c r="J29" s="16">
        <f t="shared" si="5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.75" thickBot="1" x14ac:dyDescent="0.3">
      <c r="A30" s="17"/>
      <c r="B30" s="17"/>
      <c r="C30" s="17" t="s">
        <v>32</v>
      </c>
      <c r="D30" s="20">
        <v>0</v>
      </c>
      <c r="E30" s="6">
        <v>0</v>
      </c>
      <c r="F30" s="20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4"/>
        <v>0</v>
      </c>
      <c r="J30" s="16">
        <f t="shared" si="5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13</v>
      </c>
      <c r="B31" t="s">
        <v>18</v>
      </c>
      <c r="C31" t="s">
        <v>1</v>
      </c>
      <c r="D31">
        <v>4.7888143043300002E-3</v>
      </c>
      <c r="E31">
        <v>6.2858930445499998E-3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>D31</f>
        <v>4.7888143043300002E-3</v>
      </c>
      <c r="J31" s="16">
        <f>E31</f>
        <v>6.2858930445499998E-3</v>
      </c>
      <c r="K31">
        <f>IF($G31="s-curve",$E31+($F31-$E31)*$R$2/(1+EXP($R$3*(COUNT($K$9:K$9)+$R$4))),TREND($E31:$F31,$E$9:$F$9,K$9))</f>
        <v>1.495509367147381E-2</v>
      </c>
      <c r="L31">
        <f>IF($G31="s-curve",$E31+($F31-$E31)*$R$2/(1+EXP($R$3*(COUNT($K$9:L$9)+$R$4))),TREND($E31:$F31,$E$9:$F$9,L$9))</f>
        <v>1.7844247372603116E-2</v>
      </c>
      <c r="M31">
        <f>IF($G31="s-curve",$E31+($F31-$E31)*$R$2/(1+EXP($R$3*(COUNT($K$9:M$9)+$R$4))),TREND($E31:$F31,$E$9:$F$9,M$9))</f>
        <v>2.1633388277968481E-2</v>
      </c>
      <c r="N31">
        <f>IF($G31="s-curve",$E31+($F31-$E31)*$R$2/(1+EXP($R$3*(COUNT($K$9:N$9)+$R$4))),TREND($E31:$F31,$E$9:$F$9,N$9))</f>
        <v>2.655625249364298E-2</v>
      </c>
      <c r="O31">
        <f>IF($G31="s-curve",$E31+($F31-$E31)*$R$2/(1+EXP($R$3*(COUNT($K$9:O$9)+$R$4))),TREND($E31:$F31,$E$9:$F$9,O$9))</f>
        <v>3.2874327393917213E-2</v>
      </c>
      <c r="P31">
        <f>IF($G31="s-curve",$E31+($F31-$E31)*$R$2/(1+EXP($R$3*(COUNT($K$9:P$9)+$R$4))),TREND($E31:$F31,$E$9:$F$9,P$9))</f>
        <v>4.0856998647451973E-2</v>
      </c>
      <c r="Q31">
        <f>IF($G31="s-curve",$E31+($F31-$E31)*$R$2/(1+EXP($R$3*(COUNT($K$9:Q$9)+$R$4))),TREND($E31:$F31,$E$9:$F$9,Q$9))</f>
        <v>5.0745566664896324E-2</v>
      </c>
      <c r="R31">
        <f>IF($G31="s-curve",$E31+($F31-$E31)*$R$2/(1+EXP($R$3*(COUNT($K$9:R$9)+$R$4))),TREND($E31:$F31,$E$9:$F$9,R$9))</f>
        <v>6.2699668716406365E-2</v>
      </c>
      <c r="S31">
        <f>IF($G31="s-curve",$E31+($F31-$E31)*$R$2/(1+EXP($R$3*(COUNT($K$9:S$9)+$R$4))),TREND($E31:$F31,$E$9:$F$9,S$9))</f>
        <v>7.6731576877325819E-2</v>
      </c>
      <c r="T31">
        <f>IF($G31="s-curve",$E31+($F31-$E31)*$R$2/(1+EXP($R$3*(COUNT($K$9:T$9)+$R$4))),TREND($E31:$F31,$E$9:$F$9,T$9))</f>
        <v>9.2644449928025716E-2</v>
      </c>
      <c r="U31">
        <f>IF($G31="s-curve",$E31+($F31-$E31)*$R$2/(1+EXP($R$3*(COUNT($K$9:U$9)+$R$4))),TREND($E31:$F31,$E$9:$F$9,U$9))</f>
        <v>0.11000025501800546</v>
      </c>
      <c r="V31">
        <f>IF($G31="s-curve",$E31+($F31-$E31)*$R$2/(1+EXP($R$3*(COUNT($K$9:V$9)+$R$4))),TREND($E31:$F31,$E$9:$F$9,V$9))</f>
        <v>0.12814294652227501</v>
      </c>
      <c r="W31">
        <f>IF($G31="s-curve",$E31+($F31-$E31)*$R$2/(1+EXP($R$3*(COUNT($K$9:W$9)+$R$4))),TREND($E31:$F31,$E$9:$F$9,W$9))</f>
        <v>0.14628563802654454</v>
      </c>
      <c r="X31">
        <f>IF($G31="s-curve",$E31+($F31-$E31)*$R$2/(1+EXP($R$3*(COUNT($K$9:X$9)+$R$4))),TREND($E31:$F31,$E$9:$F$9,X$9))</f>
        <v>0.16364144311652429</v>
      </c>
      <c r="Y31">
        <f>IF($G31="s-curve",$E31+($F31-$E31)*$R$2/(1+EXP($R$3*(COUNT($K$9:Y$9)+$R$4))),TREND($E31:$F31,$E$9:$F$9,Y$9))</f>
        <v>0.17955431616722417</v>
      </c>
      <c r="Z31">
        <f>IF($G31="s-curve",$E31+($F31-$E31)*$R$2/(1+EXP($R$3*(COUNT($K$9:Z$9)+$R$4))),TREND($E31:$F31,$E$9:$F$9,Z$9))</f>
        <v>0.19358622432814362</v>
      </c>
      <c r="AA31">
        <f>IF($G31="s-curve",$E31+($F31-$E31)*$R$2/(1+EXP($R$3*(COUNT($K$9:AA$9)+$R$4))),TREND($E31:$F31,$E$9:$F$9,AA$9))</f>
        <v>0.20554032637965367</v>
      </c>
      <c r="AB31">
        <f>IF($G31="s-curve",$E31+($F31-$E31)*$R$2/(1+EXP($R$3*(COUNT($K$9:AB$9)+$R$4))),TREND($E31:$F31,$E$9:$F$9,AB$9))</f>
        <v>0.21542889439709806</v>
      </c>
      <c r="AC31">
        <f>IF($G31="s-curve",$E31+($F31-$E31)*$R$2/(1+EXP($R$3*(COUNT($K$9:AC$9)+$R$4))),TREND($E31:$F31,$E$9:$F$9,AC$9))</f>
        <v>0.2234115656506328</v>
      </c>
      <c r="AD31">
        <f>IF($G31="s-curve",$E31+($F31-$E31)*$R$2/(1+EXP($R$3*(COUNT($K$9:AD$9)+$R$4))),TREND($E31:$F31,$E$9:$F$9,AD$9))</f>
        <v>0.22972964055090703</v>
      </c>
      <c r="AE31">
        <f>IF($G31="s-curve",$E31+($F31-$E31)*$R$2/(1+EXP($R$3*(COUNT($K$9:AE$9)+$R$4))),TREND($E31:$F31,$E$9:$F$9,AE$9))</f>
        <v>0.23465250476658153</v>
      </c>
      <c r="AF31">
        <f>IF($G31="s-curve",$E31+($F31-$E31)*$R$2/(1+EXP($R$3*(COUNT($K$9:AF$9)+$R$4))),TREND($E31:$F31,$E$9:$F$9,AF$9))</f>
        <v>0.23844164567194689</v>
      </c>
      <c r="AG31">
        <f>IF($G31="s-curve",$E31+($F31-$E31)*$R$2/(1+EXP($R$3*(COUNT($K$9:AG$9)+$R$4))),TREND($E31:$F31,$E$9:$F$9,AG$9))</f>
        <v>0.24133079937307619</v>
      </c>
      <c r="AH31">
        <f>IF($G31="s-curve",$E31+($F31-$E31)*$R$2/(1+EXP($R$3*(COUNT($K$9:AH$9)+$R$4))),TREND($E31:$F31,$E$9:$F$9,AH$9))</f>
        <v>0.24351793746271427</v>
      </c>
      <c r="AI31">
        <f>IF($G31="s-curve",$E31+($F31-$E31)*$R$2/(1+EXP($R$3*(COUNT($K$9:AI$9)+$R$4))),TREND($E31:$F31,$E$9:$F$9,AI$9))</f>
        <v>0.24516463760629623</v>
      </c>
    </row>
    <row r="32" spans="1:35" x14ac:dyDescent="0.25">
      <c r="C32" t="s">
        <v>2</v>
      </c>
      <c r="D32">
        <v>0</v>
      </c>
      <c r="E32">
        <v>0</v>
      </c>
      <c r="F32" s="16">
        <f>E32</f>
        <v>0</v>
      </c>
      <c r="G32" s="5" t="str">
        <f>IF(E32=F32,"n/a",IF(OR(C32="battery electric vehicle",C32="natural gas vehicle",C32="plugin hybrid vehicle"),"s-curve","linear"))</f>
        <v>n/a</v>
      </c>
      <c r="I32" s="16">
        <f t="shared" ref="I32:I37" si="6">D32</f>
        <v>0</v>
      </c>
      <c r="J32" s="16">
        <f t="shared" ref="J32:J37" si="7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3</v>
      </c>
      <c r="D33">
        <v>0</v>
      </c>
      <c r="E33">
        <v>0</v>
      </c>
      <c r="F33" s="16">
        <f>E33</f>
        <v>0</v>
      </c>
      <c r="G33" s="5" t="str">
        <f>IF(E33=F33,"n/a",IF(OR(C33="battery electric vehicle",C33="natural gas vehicle",C33="plugin hybrid vehicle"),"s-curve","linear"))</f>
        <v>n/a</v>
      </c>
      <c r="I33" s="16">
        <f t="shared" si="6"/>
        <v>0</v>
      </c>
      <c r="J33" s="16">
        <f t="shared" si="7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4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6"/>
        <v>1</v>
      </c>
      <c r="J34" s="16">
        <f t="shared" si="7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5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6"/>
        <v>0</v>
      </c>
      <c r="J35" s="16">
        <f t="shared" si="7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31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6"/>
        <v>0</v>
      </c>
      <c r="J36" s="16">
        <f t="shared" si="7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thickBot="1" x14ac:dyDescent="0.3">
      <c r="A37" s="17"/>
      <c r="B37" s="17"/>
      <c r="C37" s="17" t="s">
        <v>32</v>
      </c>
      <c r="D37" s="20">
        <v>0</v>
      </c>
      <c r="E37" s="6">
        <v>0</v>
      </c>
      <c r="F37" s="20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6"/>
        <v>0</v>
      </c>
      <c r="J37" s="16">
        <f t="shared" si="7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3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4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ref="I41:I72" si="8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5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8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31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8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thickBot="1" x14ac:dyDescent="0.3">
      <c r="A44" s="17"/>
      <c r="B44" s="17"/>
      <c r="C44" s="17" t="s">
        <v>32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8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8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8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3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8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4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8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5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8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31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8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thickBot="1" x14ac:dyDescent="0.3">
      <c r="A51" s="17"/>
      <c r="B51" s="17"/>
      <c r="C51" s="17" t="s">
        <v>32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8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15</v>
      </c>
      <c r="B52" t="s">
        <v>19</v>
      </c>
      <c r="C52" t="s">
        <v>1</v>
      </c>
      <c r="E52" s="16">
        <f>'SYVbT-passenger'!B5/SUM('SYVbT-passenger'!B5:H5)</f>
        <v>0.93664816810144857</v>
      </c>
      <c r="F52">
        <v>1</v>
      </c>
      <c r="G52" s="5" t="str">
        <f>IF(E52=F52,"n/a",IF(OR(C52="battery electric vehicle",C52="natural gas vehicle",C52="plugin hybrid vehicle"),"s-curve","linear"))</f>
        <v>s-curve</v>
      </c>
      <c r="I52" s="16">
        <f t="shared" si="8"/>
        <v>0.93664816810144857</v>
      </c>
      <c r="J52">
        <f>IF($G52="s-curve",$E52+($F52-$E52)*$I$2/(1+EXP($I$3*(COUNT($I$9:J$9)+$I$4))),TREND($E52:$F52,$E$9:$F$9,J$9))</f>
        <v>0.93758413007374464</v>
      </c>
      <c r="K52">
        <f>IF($G52="s-curve",$E52+($F52-$E52)*$I$2/(1+EXP($I$3*(COUNT($I$9:K$9)+$I$4))),TREND($E52:$F52,$E$9:$F$9,K$9))</f>
        <v>0.93790508781512971</v>
      </c>
      <c r="L52">
        <f>IF($G52="s-curve",$E52+($F52-$E52)*$I$2/(1+EXP($I$3*(COUNT($I$9:L$9)+$I$4))),TREND($E52:$F52,$E$9:$F$9,L$9))</f>
        <v>0.93833313636753701</v>
      </c>
      <c r="M52">
        <f>IF($G52="s-curve",$E52+($F52-$E52)*$I$2/(1+EXP($I$3*(COUNT($I$9:M$9)+$I$4))),TREND($E52:$F52,$E$9:$F$9,M$9))</f>
        <v>0.93890166810468023</v>
      </c>
      <c r="N52">
        <f>IF($G52="s-curve",$E52+($F52-$E52)*$I$2/(1+EXP($I$3*(COUNT($I$9:N$9)+$I$4))),TREND($E52:$F52,$E$9:$F$9,N$9))</f>
        <v>0.93965268404663582</v>
      </c>
      <c r="O52">
        <f>IF($G52="s-curve",$E52+($F52-$E52)*$I$2/(1+EXP($I$3*(COUNT($I$9:O$9)+$I$4))),TREND($E52:$F52,$E$9:$F$9,O$9))</f>
        <v>0.94063764556845908</v>
      </c>
      <c r="P52">
        <f>IF($G52="s-curve",$E52+($F52-$E52)*$I$2/(1+EXP($I$3*(COUNT($I$9:P$9)+$I$4))),TREND($E52:$F52,$E$9:$F$9,P$9))</f>
        <v>0.94191731078828078</v>
      </c>
      <c r="Q52">
        <f>IF($G52="s-curve",$E52+($F52-$E52)*$I$2/(1+EXP($I$3*(COUNT($I$9:Q$9)+$I$4))),TREND($E52:$F52,$E$9:$F$9,Q$9))</f>
        <v>0.94355965157849941</v>
      </c>
      <c r="R52">
        <f>IF($G52="s-curve",$E52+($F52-$E52)*$I$2/(1+EXP($I$3*(COUNT($I$9:R$9)+$I$4))),TREND($E52:$F52,$E$9:$F$9,R$9))</f>
        <v>0.94563469291965474</v>
      </c>
      <c r="S52">
        <f>IF($G52="s-curve",$E52+($F52-$E52)*$I$2/(1+EXP($I$3*(COUNT($I$9:S$9)+$I$4))),TREND($E52:$F52,$E$9:$F$9,S$9))</f>
        <v>0.94820515921963411</v>
      </c>
      <c r="T52">
        <f>IF($G52="s-curve",$E52+($F52-$E52)*$I$2/(1+EXP($I$3*(COUNT($I$9:T$9)+$I$4))),TREND($E52:$F52,$E$9:$F$9,T$9))</f>
        <v>0.95131254710589963</v>
      </c>
      <c r="U52">
        <f>IF($G52="s-curve",$E52+($F52-$E52)*$I$2/(1+EXP($I$3*(COUNT($I$9:U$9)+$I$4))),TREND($E52:$F52,$E$9:$F$9,U$9))</f>
        <v>0.95496004662134204</v>
      </c>
      <c r="V52">
        <f>IF($G52="s-curve",$E52+($F52-$E52)*$I$2/(1+EXP($I$3*(COUNT($I$9:V$9)+$I$4))),TREND($E52:$F52,$E$9:$F$9,V$9))</f>
        <v>0.95909649022374377</v>
      </c>
      <c r="W52">
        <f>IF($G52="s-curve",$E52+($F52-$E52)*$I$2/(1+EXP($I$3*(COUNT($I$9:W$9)+$I$4))),TREND($E52:$F52,$E$9:$F$9,W$9))</f>
        <v>0.96360801423956699</v>
      </c>
      <c r="X52">
        <f>IF($G52="s-curve",$E52+($F52-$E52)*$I$2/(1+EXP($I$3*(COUNT($I$9:X$9)+$I$4))),TREND($E52:$F52,$E$9:$F$9,X$9))</f>
        <v>0.96832408405072434</v>
      </c>
      <c r="Y52">
        <f>IF($G52="s-curve",$E52+($F52-$E52)*$I$2/(1+EXP($I$3*(COUNT($I$9:Y$9)+$I$4))),TREND($E52:$F52,$E$9:$F$9,Y$9))</f>
        <v>0.97304015386188158</v>
      </c>
      <c r="Z52">
        <f>IF($G52="s-curve",$E52+($F52-$E52)*$I$2/(1+EXP($I$3*(COUNT($I$9:Z$9)+$I$4))),TREND($E52:$F52,$E$9:$F$9,Z$9))</f>
        <v>0.97755167787770481</v>
      </c>
      <c r="AA52">
        <f>IF($G52="s-curve",$E52+($F52-$E52)*$I$2/(1+EXP($I$3*(COUNT($I$9:AA$9)+$I$4))),TREND($E52:$F52,$E$9:$F$9,AA$9))</f>
        <v>0.98168812148010653</v>
      </c>
      <c r="AB52">
        <f>IF($G52="s-curve",$E52+($F52-$E52)*$I$2/(1+EXP($I$3*(COUNT($I$9:AB$9)+$I$4))),TREND($E52:$F52,$E$9:$F$9,AB$9))</f>
        <v>0.98533562099554894</v>
      </c>
      <c r="AC52">
        <f>IF($G52="s-curve",$E52+($F52-$E52)*$I$2/(1+EXP($I$3*(COUNT($I$9:AC$9)+$I$4))),TREND($E52:$F52,$E$9:$F$9,AC$9))</f>
        <v>0.98844300888181458</v>
      </c>
      <c r="AD52">
        <f>IF($G52="s-curve",$E52+($F52-$E52)*$I$2/(1+EXP($I$3*(COUNT($I$9:AD$9)+$I$4))),TREND($E52:$F52,$E$9:$F$9,AD$9))</f>
        <v>0.99101347518179383</v>
      </c>
      <c r="AE52">
        <f>IF($G52="s-curve",$E52+($F52-$E52)*$I$2/(1+EXP($I$3*(COUNT($I$9:AE$9)+$I$4))),TREND($E52:$F52,$E$9:$F$9,AE$9))</f>
        <v>0.99308851652294916</v>
      </c>
      <c r="AF52">
        <f>IF($G52="s-curve",$E52+($F52-$E52)*$I$2/(1+EXP($I$3*(COUNT($I$9:AF$9)+$I$4))),TREND($E52:$F52,$E$9:$F$9,AF$9))</f>
        <v>0.99473085731316779</v>
      </c>
      <c r="AG52">
        <f>IF($G52="s-curve",$E52+($F52-$E52)*$I$2/(1+EXP($I$3*(COUNT($I$9:AG$9)+$I$4))),TREND($E52:$F52,$E$9:$F$9,AG$9))</f>
        <v>0.9960105225329895</v>
      </c>
      <c r="AH52">
        <f>IF($G52="s-curve",$E52+($F52-$E52)*$I$2/(1+EXP($I$3*(COUNT($I$9:AH$9)+$I$4))),TREND($E52:$F52,$E$9:$F$9,AH$9))</f>
        <v>0.99699548405481275</v>
      </c>
      <c r="AI52">
        <f>IF($G52="s-curve",$E52+($F52-$E52)*$I$2/(1+EXP($I$3*(COUNT($I$9:AI$9)+$I$4))),TREND($E52:$F52,$E$9:$F$9,AI$9))</f>
        <v>0.99774649999676845</v>
      </c>
    </row>
    <row r="53" spans="1:35" x14ac:dyDescent="0.25">
      <c r="C53" t="s">
        <v>2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8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3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8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4</v>
      </c>
      <c r="E55" s="16">
        <f>1-E52</f>
        <v>6.3351831898551425E-2</v>
      </c>
      <c r="F55">
        <v>1</v>
      </c>
      <c r="G55" s="5" t="str">
        <f>IF(E55=F55,"n/a",IF(OR(C55="battery electric vehicle",C55="natural gas vehicle",C55="plugin hybrid vehicle"),"s-curve","linear"))</f>
        <v>linear</v>
      </c>
      <c r="I55" s="16">
        <f t="shared" si="8"/>
        <v>6.3351831898551425E-2</v>
      </c>
      <c r="J55">
        <f>IF($G55="s-curve",$E55+($F55-$E55)*$I$2/(1+EXP($I$3*(COUNT($I$9:J$9)+$I$4))),TREND($E55:$F55,$E$9:$F$9,J$9))</f>
        <v>6.3351831898557975E-2</v>
      </c>
      <c r="K55">
        <f>IF($G55="s-curve",$E55+($F55-$E55)*$I$2/(1+EXP($I$3*(COUNT($I$9:K$9)+$I$4))),TREND($E55:$F55,$E$9:$F$9,K$9))</f>
        <v>0.10081775862262532</v>
      </c>
      <c r="L55">
        <f>IF($G55="s-curve",$E55+($F55-$E55)*$I$2/(1+EXP($I$3*(COUNT($I$9:L$9)+$I$4))),TREND($E55:$F55,$E$9:$F$9,L$9))</f>
        <v>0.13828368534667845</v>
      </c>
      <c r="M55">
        <f>IF($G55="s-curve",$E55+($F55-$E55)*$I$2/(1+EXP($I$3*(COUNT($I$9:M$9)+$I$4))),TREND($E55:$F55,$E$9:$F$9,M$9))</f>
        <v>0.17574961207073159</v>
      </c>
      <c r="N55">
        <f>IF($G55="s-curve",$E55+($F55-$E55)*$I$2/(1+EXP($I$3*(COUNT($I$9:N$9)+$I$4))),TREND($E55:$F55,$E$9:$F$9,N$9))</f>
        <v>0.21321553879479893</v>
      </c>
      <c r="O55">
        <f>IF($G55="s-curve",$E55+($F55-$E55)*$I$2/(1+EXP($I$3*(COUNT($I$9:O$9)+$I$4))),TREND($E55:$F55,$E$9:$F$9,O$9))</f>
        <v>0.25068146551885206</v>
      </c>
      <c r="P55">
        <f>IF($G55="s-curve",$E55+($F55-$E55)*$I$2/(1+EXP($I$3*(COUNT($I$9:P$9)+$I$4))),TREND($E55:$F55,$E$9:$F$9,P$9))</f>
        <v>0.2881473922429052</v>
      </c>
      <c r="Q55">
        <f>IF($G55="s-curve",$E55+($F55-$E55)*$I$2/(1+EXP($I$3*(COUNT($I$9:Q$9)+$I$4))),TREND($E55:$F55,$E$9:$F$9,Q$9))</f>
        <v>0.32561331896697254</v>
      </c>
      <c r="R55">
        <f>IF($G55="s-curve",$E55+($F55-$E55)*$I$2/(1+EXP($I$3*(COUNT($I$9:R$9)+$I$4))),TREND($E55:$F55,$E$9:$F$9,R$9))</f>
        <v>0.36307924569102568</v>
      </c>
      <c r="S55">
        <f>IF($G55="s-curve",$E55+($F55-$E55)*$I$2/(1+EXP($I$3*(COUNT($I$9:S$9)+$I$4))),TREND($E55:$F55,$E$9:$F$9,S$9))</f>
        <v>0.40054517241507881</v>
      </c>
      <c r="T55">
        <f>IF($G55="s-curve",$E55+($F55-$E55)*$I$2/(1+EXP($I$3*(COUNT($I$9:T$9)+$I$4))),TREND($E55:$F55,$E$9:$F$9,T$9))</f>
        <v>0.43801109913914615</v>
      </c>
      <c r="U55">
        <f>IF($G55="s-curve",$E55+($F55-$E55)*$I$2/(1+EXP($I$3*(COUNT($I$9:U$9)+$I$4))),TREND($E55:$F55,$E$9:$F$9,U$9))</f>
        <v>0.47547702586319929</v>
      </c>
      <c r="V55">
        <f>IF($G55="s-curve",$E55+($F55-$E55)*$I$2/(1+EXP($I$3*(COUNT($I$9:V$9)+$I$4))),TREND($E55:$F55,$E$9:$F$9,V$9))</f>
        <v>0.51294295258725242</v>
      </c>
      <c r="W55">
        <f>IF($G55="s-curve",$E55+($F55-$E55)*$I$2/(1+EXP($I$3*(COUNT($I$9:W$9)+$I$4))),TREND($E55:$F55,$E$9:$F$9,W$9))</f>
        <v>0.55040887931131977</v>
      </c>
      <c r="X55">
        <f>IF($G55="s-curve",$E55+($F55-$E55)*$I$2/(1+EXP($I$3*(COUNT($I$9:X$9)+$I$4))),TREND($E55:$F55,$E$9:$F$9,X$9))</f>
        <v>0.5878748060353729</v>
      </c>
      <c r="Y55">
        <f>IF($G55="s-curve",$E55+($F55-$E55)*$I$2/(1+EXP($I$3*(COUNT($I$9:Y$9)+$I$4))),TREND($E55:$F55,$E$9:$F$9,Y$9))</f>
        <v>0.62534073275942603</v>
      </c>
      <c r="Z55">
        <f>IF($G55="s-curve",$E55+($F55-$E55)*$I$2/(1+EXP($I$3*(COUNT($I$9:Z$9)+$I$4))),TREND($E55:$F55,$E$9:$F$9,Z$9))</f>
        <v>0.66280665948349338</v>
      </c>
      <c r="AA55">
        <f>IF($G55="s-curve",$E55+($F55-$E55)*$I$2/(1+EXP($I$3*(COUNT($I$9:AA$9)+$I$4))),TREND($E55:$F55,$E$9:$F$9,AA$9))</f>
        <v>0.70027258620754651</v>
      </c>
      <c r="AB55">
        <f>IF($G55="s-curve",$E55+($F55-$E55)*$I$2/(1+EXP($I$3*(COUNT($I$9:AB$9)+$I$4))),TREND($E55:$F55,$E$9:$F$9,AB$9))</f>
        <v>0.73773851293159964</v>
      </c>
      <c r="AC55">
        <f>IF($G55="s-curve",$E55+($F55-$E55)*$I$2/(1+EXP($I$3*(COUNT($I$9:AC$9)+$I$4))),TREND($E55:$F55,$E$9:$F$9,AC$9))</f>
        <v>0.77520443965566699</v>
      </c>
      <c r="AD55">
        <f>IF($G55="s-curve",$E55+($F55-$E55)*$I$2/(1+EXP($I$3*(COUNT($I$9:AD$9)+$I$4))),TREND($E55:$F55,$E$9:$F$9,AD$9))</f>
        <v>0.81267036637972012</v>
      </c>
      <c r="AE55">
        <f>IF($G55="s-curve",$E55+($F55-$E55)*$I$2/(1+EXP($I$3*(COUNT($I$9:AE$9)+$I$4))),TREND($E55:$F55,$E$9:$F$9,AE$9))</f>
        <v>0.85013629310377326</v>
      </c>
      <c r="AF55">
        <f>IF($G55="s-curve",$E55+($F55-$E55)*$I$2/(1+EXP($I$3*(COUNT($I$9:AF$9)+$I$4))),TREND($E55:$F55,$E$9:$F$9,AF$9))</f>
        <v>0.8876022198278406</v>
      </c>
      <c r="AG55">
        <f>IF($G55="s-curve",$E55+($F55-$E55)*$I$2/(1+EXP($I$3*(COUNT($I$9:AG$9)+$I$4))),TREND($E55:$F55,$E$9:$F$9,AG$9))</f>
        <v>0.92506814655189373</v>
      </c>
      <c r="AH55">
        <f>IF($G55="s-curve",$E55+($F55-$E55)*$I$2/(1+EXP($I$3*(COUNT($I$9:AH$9)+$I$4))),TREND($E55:$F55,$E$9:$F$9,AH$9))</f>
        <v>0.96253407327594687</v>
      </c>
      <c r="AI55">
        <f>IF($G55="s-curve",$E55+($F55-$E55)*$I$2/(1+EXP($I$3*(COUNT($I$9:AI$9)+$I$4))),TREND($E55:$F55,$E$9:$F$9,AI$9))</f>
        <v>1.0000000000000142</v>
      </c>
    </row>
    <row r="56" spans="1:35" x14ac:dyDescent="0.25">
      <c r="C56" t="s">
        <v>5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8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31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8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thickBot="1" x14ac:dyDescent="0.3">
      <c r="A58" s="17"/>
      <c r="B58" s="17"/>
      <c r="C58" s="17" t="s">
        <v>32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8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8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8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3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8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4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8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5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8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31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8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thickBot="1" x14ac:dyDescent="0.3">
      <c r="A65" s="17"/>
      <c r="B65" s="17"/>
      <c r="C65" s="17" t="s">
        <v>32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8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8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8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3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8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4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8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5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si="8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31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8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thickBot="1" x14ac:dyDescent="0.3">
      <c r="A72" s="17"/>
      <c r="B72" s="17"/>
      <c r="C72" s="17" t="s">
        <v>32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8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ref="I73:I93" si="9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9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3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9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4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9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5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9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31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9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thickBot="1" x14ac:dyDescent="0.3">
      <c r="A79" s="17"/>
      <c r="B79" s="17"/>
      <c r="C79" s="17" t="s">
        <v>32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9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17</v>
      </c>
      <c r="B80" t="s">
        <v>19</v>
      </c>
      <c r="C80" t="s">
        <v>1</v>
      </c>
      <c r="D80">
        <f>D10</f>
        <v>0.15905875518900001</v>
      </c>
      <c r="E80">
        <f>E10</f>
        <v>0.13060041262200001</v>
      </c>
      <c r="F80">
        <f>F10</f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9"/>
        <v>0.13060041262200001</v>
      </c>
      <c r="J80">
        <f>IF($G80="s-curve",$E80+($F80-$E80)*$O$2/(1+EXP($O$3*(COUNT($I$9:J$9)+$O$4))),TREND($E80:$F80,$E$9:$F$9,J$9))</f>
        <v>0.18534942239376065</v>
      </c>
      <c r="K80">
        <f>IF($G80="s-curve",$E80+($F80-$E80)*$O$2/(1+EXP($O$3*(COUNT($I$9:K$9)+$O$4))),TREND($E80:$F80,$E$9:$F$9,K$9))</f>
        <v>0.20291072063493176</v>
      </c>
      <c r="L80">
        <f>IF($G80="s-curve",$E80+($F80-$E80)*$O$2/(1+EXP($O$3*(COUNT($I$9:L$9)+$O$4))),TREND($E80:$F80,$E$9:$F$9,L$9))</f>
        <v>0.22544914395371735</v>
      </c>
      <c r="M80">
        <f>IF($G80="s-curve",$E80+($F80-$E80)*$O$2/(1+EXP($O$3*(COUNT($I$9:M$9)+$O$4))),TREND($E80:$F80,$E$9:$F$9,M$9))</f>
        <v>0.25392566991561405</v>
      </c>
      <c r="N80">
        <f>IF($G80="s-curve",$E80+($F80-$E80)*$O$2/(1+EXP($O$3*(COUNT($I$9:N$9)+$O$4))),TREND($E80:$F80,$E$9:$F$9,N$9))</f>
        <v>0.28920108774646175</v>
      </c>
      <c r="O80">
        <f>IF($G80="s-curve",$E80+($F80-$E80)*$O$2/(1+EXP($O$3*(COUNT($I$9:O$9)+$O$4))),TREND($E80:$F80,$E$9:$F$9,O$9))</f>
        <v>0.33184487033618731</v>
      </c>
      <c r="P80">
        <f>IF($G80="s-curve",$E80+($F80-$E80)*$O$2/(1+EXP($O$3*(COUNT($I$9:P$9)+$O$4))),TREND($E80:$F80,$E$9:$F$9,P$9))</f>
        <v>0.38190079577122726</v>
      </c>
      <c r="Q80">
        <f>IF($G80="s-curve",$E80+($F80-$E80)*$O$2/(1+EXP($O$3*(COUNT($I$9:Q$9)+$O$4))),TREND($E80:$F80,$E$9:$F$9,Q$9))</f>
        <v>0.43866667377928981</v>
      </c>
      <c r="R80">
        <f>IF($G80="s-curve",$E80+($F80-$E80)*$O$2/(1+EXP($O$3*(COUNT($I$9:R$9)+$O$4))),TREND($E80:$F80,$E$9:$F$9,R$9))</f>
        <v>0.50057991291156378</v>
      </c>
      <c r="S80">
        <f>IF($G80="s-curve",$E80+($F80-$E80)*$O$2/(1+EXP($O$3*(COUNT($I$9:S$9)+$O$4))),TREND($E80:$F80,$E$9:$F$9,S$9))</f>
        <v>0.56530020631099998</v>
      </c>
      <c r="T80">
        <f>IF($G80="s-curve",$E80+($F80-$E80)*$O$2/(1+EXP($O$3*(COUNT($I$9:T$9)+$O$4))),TREND($E80:$F80,$E$9:$F$9,T$9))</f>
        <v>0.63002049971043617</v>
      </c>
      <c r="U80">
        <f>IF($G80="s-curve",$E80+($F80-$E80)*$O$2/(1+EXP($O$3*(COUNT($I$9:U$9)+$O$4))),TREND($E80:$F80,$E$9:$F$9,U$9))</f>
        <v>0.69193373884271026</v>
      </c>
      <c r="V80">
        <f>IF($G80="s-curve",$E80+($F80-$E80)*$O$2/(1+EXP($O$3*(COUNT($I$9:V$9)+$O$4))),TREND($E80:$F80,$E$9:$F$9,V$9))</f>
        <v>0.74869961685077269</v>
      </c>
      <c r="W80">
        <f>IF($G80="s-curve",$E80+($F80-$E80)*$O$2/(1+EXP($O$3*(COUNT($I$9:W$9)+$O$4))),TREND($E80:$F80,$E$9:$F$9,W$9))</f>
        <v>0.7987555422858128</v>
      </c>
      <c r="X80">
        <f>IF($G80="s-curve",$E80+($F80-$E80)*$O$2/(1+EXP($O$3*(COUNT($I$9:X$9)+$O$4))),TREND($E80:$F80,$E$9:$F$9,X$9))</f>
        <v>0.84139932487553826</v>
      </c>
      <c r="Y80">
        <f>IF($G80="s-curve",$E80+($F80-$E80)*$O$2/(1+EXP($O$3*(COUNT($I$9:Y$9)+$O$4))),TREND($E80:$F80,$E$9:$F$9,Y$9))</f>
        <v>0.87667474270638612</v>
      </c>
      <c r="Z80">
        <f>IF($G80="s-curve",$E80+($F80-$E80)*$O$2/(1+EXP($O$3*(COUNT($I$9:Z$9)+$O$4))),TREND($E80:$F80,$E$9:$F$9,Z$9))</f>
        <v>0.90515126866828277</v>
      </c>
      <c r="AA80">
        <f>IF($G80="s-curve",$E80+($F80-$E80)*$O$2/(1+EXP($O$3*(COUNT($I$9:AA$9)+$O$4))),TREND($E80:$F80,$E$9:$F$9,AA$9))</f>
        <v>0.9276896919870683</v>
      </c>
      <c r="AB80">
        <f>IF($G80="s-curve",$E80+($F80-$E80)*$O$2/(1+EXP($O$3*(COUNT($I$9:AB$9)+$O$4))),TREND($E80:$F80,$E$9:$F$9,AB$9))</f>
        <v>0.94525099022823955</v>
      </c>
      <c r="AC80">
        <f>IF($G80="s-curve",$E80+($F80-$E80)*$O$2/(1+EXP($O$3*(COUNT($I$9:AC$9)+$O$4))),TREND($E80:$F80,$E$9:$F$9,AC$9))</f>
        <v>0.95876796542838227</v>
      </c>
      <c r="AD80">
        <f>IF($G80="s-curve",$E80+($F80-$E80)*$O$2/(1+EXP($O$3*(COUNT($I$9:AD$9)+$O$4))),TREND($E80:$F80,$E$9:$F$9,AD$9))</f>
        <v>0.96907442272382549</v>
      </c>
      <c r="AE80">
        <f>IF($G80="s-curve",$E80+($F80-$E80)*$O$2/(1+EXP($O$3*(COUNT($I$9:AE$9)+$O$4))),TREND($E80:$F80,$E$9:$F$9,AE$9))</f>
        <v>0.97687658475877748</v>
      </c>
      <c r="AF80">
        <f>IF($G80="s-curve",$E80+($F80-$E80)*$O$2/(1+EXP($O$3*(COUNT($I$9:AF$9)+$O$4))),TREND($E80:$F80,$E$9:$F$9,AF$9))</f>
        <v>0.98275084638133969</v>
      </c>
      <c r="AG80">
        <f>IF($G80="s-curve",$E80+($F80-$E80)*$O$2/(1+EXP($O$3*(COUNT($I$9:AG$9)+$O$4))),TREND($E80:$F80,$E$9:$F$9,AG$9))</f>
        <v>0.98715546294195899</v>
      </c>
      <c r="AH80">
        <f>IF($G80="s-curve",$E80+($F80-$E80)*$O$2/(1+EXP($O$3*(COUNT($I$9:AH$9)+$O$4))),TREND($E80:$F80,$E$9:$F$9,AH$9))</f>
        <v>0.99044795661041651</v>
      </c>
      <c r="AI80">
        <f>IF($G80="s-curve",$E80+($F80-$E80)*$O$2/(1+EXP($O$3*(COUNT($I$9:AI$9)+$O$4))),TREND($E80:$F80,$E$9:$F$9,AI$9))</f>
        <v>0.99290346400749918</v>
      </c>
    </row>
    <row r="81" spans="1:35" x14ac:dyDescent="0.25">
      <c r="C81" t="s">
        <v>2</v>
      </c>
      <c r="D81">
        <f t="shared" ref="D81:E81" si="10">D11</f>
        <v>1.00045127707E-4</v>
      </c>
      <c r="E81">
        <f t="shared" si="10"/>
        <v>9.1108650682499996E-5</v>
      </c>
      <c r="F81">
        <f t="shared" ref="F81" si="11">F11</f>
        <v>9.1108650682499996E-5</v>
      </c>
      <c r="G81" s="5" t="str">
        <f>IF(E81=F81,"n/a",IF(OR(C81="battery electric vehicle",C81="natural gas vehicle",C81="plugin hybrid vehicle"),"s-curve","linear"))</f>
        <v>n/a</v>
      </c>
      <c r="I81" s="16">
        <f t="shared" si="9"/>
        <v>9.1108650682499996E-5</v>
      </c>
      <c r="J81">
        <f>IF($G81="s-curve",$E81+($F81-$E81)*$I$2/(1+EXP($I$3*(COUNT($I$9:J$9)+$I$4))),TREND($E81:$F81,$E$9:$F$9,J$9))</f>
        <v>9.1108650682499996E-5</v>
      </c>
      <c r="K81">
        <f>IF($G81="s-curve",$E81+($F81-$E81)*$I$2/(1+EXP($I$3*(COUNT($I$9:K$9)+$I$4))),TREND($E81:$F81,$E$9:$F$9,K$9))</f>
        <v>9.1108650682499996E-5</v>
      </c>
      <c r="L81">
        <f>IF($G81="s-curve",$E81+($F81-$E81)*$I$2/(1+EXP($I$3*(COUNT($I$9:L$9)+$I$4))),TREND($E81:$F81,$E$9:$F$9,L$9))</f>
        <v>9.1108650682499996E-5</v>
      </c>
      <c r="M81">
        <f>IF($G81="s-curve",$E81+($F81-$E81)*$I$2/(1+EXP($I$3*(COUNT($I$9:M$9)+$I$4))),TREND($E81:$F81,$E$9:$F$9,M$9))</f>
        <v>9.1108650682499996E-5</v>
      </c>
      <c r="N81">
        <f>IF($G81="s-curve",$E81+($F81-$E81)*$I$2/(1+EXP($I$3*(COUNT($I$9:N$9)+$I$4))),TREND($E81:$F81,$E$9:$F$9,N$9))</f>
        <v>9.1108650682499996E-5</v>
      </c>
      <c r="O81">
        <f>IF($G81="s-curve",$E81+($F81-$E81)*$I$2/(1+EXP($I$3*(COUNT($I$9:O$9)+$I$4))),TREND($E81:$F81,$E$9:$F$9,O$9))</f>
        <v>9.1108650682499996E-5</v>
      </c>
      <c r="P81">
        <f>IF($G81="s-curve",$E81+($F81-$E81)*$I$2/(1+EXP($I$3*(COUNT($I$9:P$9)+$I$4))),TREND($E81:$F81,$E$9:$F$9,P$9))</f>
        <v>9.1108650682499996E-5</v>
      </c>
      <c r="Q81">
        <f>IF($G81="s-curve",$E81+($F81-$E81)*$I$2/(1+EXP($I$3*(COUNT($I$9:Q$9)+$I$4))),TREND($E81:$F81,$E$9:$F$9,Q$9))</f>
        <v>9.1108650682499996E-5</v>
      </c>
      <c r="R81">
        <f>IF($G81="s-curve",$E81+($F81-$E81)*$I$2/(1+EXP($I$3*(COUNT($I$9:R$9)+$I$4))),TREND($E81:$F81,$E$9:$F$9,R$9))</f>
        <v>9.1108650682499996E-5</v>
      </c>
      <c r="S81">
        <f>IF($G81="s-curve",$E81+($F81-$E81)*$I$2/(1+EXP($I$3*(COUNT($I$9:S$9)+$I$4))),TREND($E81:$F81,$E$9:$F$9,S$9))</f>
        <v>9.1108650682499996E-5</v>
      </c>
      <c r="T81">
        <f>IF($G81="s-curve",$E81+($F81-$E81)*$I$2/(1+EXP($I$3*(COUNT($I$9:T$9)+$I$4))),TREND($E81:$F81,$E$9:$F$9,T$9))</f>
        <v>9.1108650682499996E-5</v>
      </c>
      <c r="U81">
        <f>IF($G81="s-curve",$E81+($F81-$E81)*$I$2/(1+EXP($I$3*(COUNT($I$9:U$9)+$I$4))),TREND($E81:$F81,$E$9:$F$9,U$9))</f>
        <v>9.1108650682499996E-5</v>
      </c>
      <c r="V81">
        <f>IF($G81="s-curve",$E81+($F81-$E81)*$I$2/(1+EXP($I$3*(COUNT($I$9:V$9)+$I$4))),TREND($E81:$F81,$E$9:$F$9,V$9))</f>
        <v>9.1108650682499996E-5</v>
      </c>
      <c r="W81">
        <f>IF($G81="s-curve",$E81+($F81-$E81)*$I$2/(1+EXP($I$3*(COUNT($I$9:W$9)+$I$4))),TREND($E81:$F81,$E$9:$F$9,W$9))</f>
        <v>9.1108650682499996E-5</v>
      </c>
      <c r="X81">
        <f>IF($G81="s-curve",$E81+($F81-$E81)*$I$2/(1+EXP($I$3*(COUNT($I$9:X$9)+$I$4))),TREND($E81:$F81,$E$9:$F$9,X$9))</f>
        <v>9.1108650682499996E-5</v>
      </c>
      <c r="Y81">
        <f>IF($G81="s-curve",$E81+($F81-$E81)*$I$2/(1+EXP($I$3*(COUNT($I$9:Y$9)+$I$4))),TREND($E81:$F81,$E$9:$F$9,Y$9))</f>
        <v>9.1108650682499996E-5</v>
      </c>
      <c r="Z81">
        <f>IF($G81="s-curve",$E81+($F81-$E81)*$I$2/(1+EXP($I$3*(COUNT($I$9:Z$9)+$I$4))),TREND($E81:$F81,$E$9:$F$9,Z$9))</f>
        <v>9.1108650682499996E-5</v>
      </c>
      <c r="AA81">
        <f>IF($G81="s-curve",$E81+($F81-$E81)*$I$2/(1+EXP($I$3*(COUNT($I$9:AA$9)+$I$4))),TREND($E81:$F81,$E$9:$F$9,AA$9))</f>
        <v>9.1108650682499996E-5</v>
      </c>
      <c r="AB81">
        <f>IF($G81="s-curve",$E81+($F81-$E81)*$I$2/(1+EXP($I$3*(COUNT($I$9:AB$9)+$I$4))),TREND($E81:$F81,$E$9:$F$9,AB$9))</f>
        <v>9.1108650682499996E-5</v>
      </c>
      <c r="AC81">
        <f>IF($G81="s-curve",$E81+($F81-$E81)*$I$2/(1+EXP($I$3*(COUNT($I$9:AC$9)+$I$4))),TREND($E81:$F81,$E$9:$F$9,AC$9))</f>
        <v>9.1108650682499996E-5</v>
      </c>
      <c r="AD81">
        <f>IF($G81="s-curve",$E81+($F81-$E81)*$I$2/(1+EXP($I$3*(COUNT($I$9:AD$9)+$I$4))),TREND($E81:$F81,$E$9:$F$9,AD$9))</f>
        <v>9.1108650682499996E-5</v>
      </c>
      <c r="AE81">
        <f>IF($G81="s-curve",$E81+($F81-$E81)*$I$2/(1+EXP($I$3*(COUNT($I$9:AE$9)+$I$4))),TREND($E81:$F81,$E$9:$F$9,AE$9))</f>
        <v>9.1108650682499996E-5</v>
      </c>
      <c r="AF81">
        <f>IF($G81="s-curve",$E81+($F81-$E81)*$I$2/(1+EXP($I$3*(COUNT($I$9:AF$9)+$I$4))),TREND($E81:$F81,$E$9:$F$9,AF$9))</f>
        <v>9.1108650682499996E-5</v>
      </c>
      <c r="AG81">
        <f>IF($G81="s-curve",$E81+($F81-$E81)*$I$2/(1+EXP($I$3*(COUNT($I$9:AG$9)+$I$4))),TREND($E81:$F81,$E$9:$F$9,AG$9))</f>
        <v>9.1108650682499996E-5</v>
      </c>
      <c r="AH81">
        <f>IF($G81="s-curve",$E81+($F81-$E81)*$I$2/(1+EXP($I$3*(COUNT($I$9:AH$9)+$I$4))),TREND($E81:$F81,$E$9:$F$9,AH$9))</f>
        <v>9.1108650682499996E-5</v>
      </c>
      <c r="AI81">
        <f>IF($G81="s-curve",$E81+($F81-$E81)*$I$2/(1+EXP($I$3*(COUNT($I$9:AI$9)+$I$4))),TREND($E81:$F81,$E$9:$F$9,AI$9))</f>
        <v>9.1108650682499996E-5</v>
      </c>
    </row>
    <row r="82" spans="1:35" x14ac:dyDescent="0.25">
      <c r="C82" t="s">
        <v>3</v>
      </c>
      <c r="D82">
        <f t="shared" ref="D82:E82" si="12">D12</f>
        <v>1</v>
      </c>
      <c r="E82">
        <f t="shared" si="12"/>
        <v>1</v>
      </c>
      <c r="F82">
        <f t="shared" ref="F82" si="13">F12</f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9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4</v>
      </c>
      <c r="D83">
        <f t="shared" ref="D83:E83" si="14">D13</f>
        <v>6.6777915503600002E-2</v>
      </c>
      <c r="E83">
        <f t="shared" si="14"/>
        <v>6.0801825684799998E-2</v>
      </c>
      <c r="F83">
        <f t="shared" ref="F83" si="15">F13</f>
        <v>6.0801825684799998E-2</v>
      </c>
      <c r="G83" s="5" t="str">
        <f>IF(E83=F83,"n/a",IF(OR(C83="battery electric vehicle",C83="natural gas vehicle",C83="plugin hybrid vehicle"),"s-curve","linear"))</f>
        <v>n/a</v>
      </c>
      <c r="I83" s="16">
        <f t="shared" si="9"/>
        <v>6.0801825684799998E-2</v>
      </c>
      <c r="J83">
        <f>IF($G83="s-curve",$E83+($F83-$E83)*$I$2/(1+EXP($I$3*(COUNT($I$9:J$9)+$I$4))),TREND($E83:$F83,$E$9:$F$9,J$9))</f>
        <v>6.0801825684799998E-2</v>
      </c>
      <c r="K83">
        <f>IF($G83="s-curve",$E83+($F83-$E83)*$I$2/(1+EXP($I$3*(COUNT($I$9:K$9)+$I$4))),TREND($E83:$F83,$E$9:$F$9,K$9))</f>
        <v>6.0801825684799998E-2</v>
      </c>
      <c r="L83">
        <f>IF($G83="s-curve",$E83+($F83-$E83)*$I$2/(1+EXP($I$3*(COUNT($I$9:L$9)+$I$4))),TREND($E83:$F83,$E$9:$F$9,L$9))</f>
        <v>6.0801825684799998E-2</v>
      </c>
      <c r="M83">
        <f>IF($G83="s-curve",$E83+($F83-$E83)*$I$2/(1+EXP($I$3*(COUNT($I$9:M$9)+$I$4))),TREND($E83:$F83,$E$9:$F$9,M$9))</f>
        <v>6.0801825684799998E-2</v>
      </c>
      <c r="N83">
        <f>IF($G83="s-curve",$E83+($F83-$E83)*$I$2/(1+EXP($I$3*(COUNT($I$9:N$9)+$I$4))),TREND($E83:$F83,$E$9:$F$9,N$9))</f>
        <v>6.0801825684799998E-2</v>
      </c>
      <c r="O83">
        <f>IF($G83="s-curve",$E83+($F83-$E83)*$I$2/(1+EXP($I$3*(COUNT($I$9:O$9)+$I$4))),TREND($E83:$F83,$E$9:$F$9,O$9))</f>
        <v>6.0801825684799998E-2</v>
      </c>
      <c r="P83">
        <f>IF($G83="s-curve",$E83+($F83-$E83)*$I$2/(1+EXP($I$3*(COUNT($I$9:P$9)+$I$4))),TREND($E83:$F83,$E$9:$F$9,P$9))</f>
        <v>6.0801825684799998E-2</v>
      </c>
      <c r="Q83">
        <f>IF($G83="s-curve",$E83+($F83-$E83)*$I$2/(1+EXP($I$3*(COUNT($I$9:Q$9)+$I$4))),TREND($E83:$F83,$E$9:$F$9,Q$9))</f>
        <v>6.0801825684799998E-2</v>
      </c>
      <c r="R83">
        <f>IF($G83="s-curve",$E83+($F83-$E83)*$I$2/(1+EXP($I$3*(COUNT($I$9:R$9)+$I$4))),TREND($E83:$F83,$E$9:$F$9,R$9))</f>
        <v>6.0801825684799998E-2</v>
      </c>
      <c r="S83">
        <f>IF($G83="s-curve",$E83+($F83-$E83)*$I$2/(1+EXP($I$3*(COUNT($I$9:S$9)+$I$4))),TREND($E83:$F83,$E$9:$F$9,S$9))</f>
        <v>6.0801825684799998E-2</v>
      </c>
      <c r="T83">
        <f>IF($G83="s-curve",$E83+($F83-$E83)*$I$2/(1+EXP($I$3*(COUNT($I$9:T$9)+$I$4))),TREND($E83:$F83,$E$9:$F$9,T$9))</f>
        <v>6.0801825684799998E-2</v>
      </c>
      <c r="U83">
        <f>IF($G83="s-curve",$E83+($F83-$E83)*$I$2/(1+EXP($I$3*(COUNT($I$9:U$9)+$I$4))),TREND($E83:$F83,$E$9:$F$9,U$9))</f>
        <v>6.0801825684799998E-2</v>
      </c>
      <c r="V83">
        <f>IF($G83="s-curve",$E83+($F83-$E83)*$I$2/(1+EXP($I$3*(COUNT($I$9:V$9)+$I$4))),TREND($E83:$F83,$E$9:$F$9,V$9))</f>
        <v>6.0801825684799998E-2</v>
      </c>
      <c r="W83">
        <f>IF($G83="s-curve",$E83+($F83-$E83)*$I$2/(1+EXP($I$3*(COUNT($I$9:W$9)+$I$4))),TREND($E83:$F83,$E$9:$F$9,W$9))</f>
        <v>6.0801825684799998E-2</v>
      </c>
      <c r="X83">
        <f>IF($G83="s-curve",$E83+($F83-$E83)*$I$2/(1+EXP($I$3*(COUNT($I$9:X$9)+$I$4))),TREND($E83:$F83,$E$9:$F$9,X$9))</f>
        <v>6.0801825684799998E-2</v>
      </c>
      <c r="Y83">
        <f>IF($G83="s-curve",$E83+($F83-$E83)*$I$2/(1+EXP($I$3*(COUNT($I$9:Y$9)+$I$4))),TREND($E83:$F83,$E$9:$F$9,Y$9))</f>
        <v>6.0801825684799998E-2</v>
      </c>
      <c r="Z83">
        <f>IF($G83="s-curve",$E83+($F83-$E83)*$I$2/(1+EXP($I$3*(COUNT($I$9:Z$9)+$I$4))),TREND($E83:$F83,$E$9:$F$9,Z$9))</f>
        <v>6.0801825684799998E-2</v>
      </c>
      <c r="AA83">
        <f>IF($G83="s-curve",$E83+($F83-$E83)*$I$2/(1+EXP($I$3*(COUNT($I$9:AA$9)+$I$4))),TREND($E83:$F83,$E$9:$F$9,AA$9))</f>
        <v>6.0801825684799998E-2</v>
      </c>
      <c r="AB83">
        <f>IF($G83="s-curve",$E83+($F83-$E83)*$I$2/(1+EXP($I$3*(COUNT($I$9:AB$9)+$I$4))),TREND($E83:$F83,$E$9:$F$9,AB$9))</f>
        <v>6.0801825684799998E-2</v>
      </c>
      <c r="AC83">
        <f>IF($G83="s-curve",$E83+($F83-$E83)*$I$2/(1+EXP($I$3*(COUNT($I$9:AC$9)+$I$4))),TREND($E83:$F83,$E$9:$F$9,AC$9))</f>
        <v>6.0801825684799998E-2</v>
      </c>
      <c r="AD83">
        <f>IF($G83="s-curve",$E83+($F83-$E83)*$I$2/(1+EXP($I$3*(COUNT($I$9:AD$9)+$I$4))),TREND($E83:$F83,$E$9:$F$9,AD$9))</f>
        <v>6.0801825684799998E-2</v>
      </c>
      <c r="AE83">
        <f>IF($G83="s-curve",$E83+($F83-$E83)*$I$2/(1+EXP($I$3*(COUNT($I$9:AE$9)+$I$4))),TREND($E83:$F83,$E$9:$F$9,AE$9))</f>
        <v>6.0801825684799998E-2</v>
      </c>
      <c r="AF83">
        <f>IF($G83="s-curve",$E83+($F83-$E83)*$I$2/(1+EXP($I$3*(COUNT($I$9:AF$9)+$I$4))),TREND($E83:$F83,$E$9:$F$9,AF$9))</f>
        <v>6.0801825684799998E-2</v>
      </c>
      <c r="AG83">
        <f>IF($G83="s-curve",$E83+($F83-$E83)*$I$2/(1+EXP($I$3*(COUNT($I$9:AG$9)+$I$4))),TREND($E83:$F83,$E$9:$F$9,AG$9))</f>
        <v>6.0801825684799998E-2</v>
      </c>
      <c r="AH83">
        <f>IF($G83="s-curve",$E83+($F83-$E83)*$I$2/(1+EXP($I$3*(COUNT($I$9:AH$9)+$I$4))),TREND($E83:$F83,$E$9:$F$9,AH$9))</f>
        <v>6.0801825684799998E-2</v>
      </c>
      <c r="AI83">
        <f>IF($G83="s-curve",$E83+($F83-$E83)*$I$2/(1+EXP($I$3*(COUNT($I$9:AI$9)+$I$4))),TREND($E83:$F83,$E$9:$F$9,AI$9))</f>
        <v>6.0801825684799998E-2</v>
      </c>
    </row>
    <row r="84" spans="1:35" x14ac:dyDescent="0.25">
      <c r="C84" t="s">
        <v>5</v>
      </c>
      <c r="D84">
        <f t="shared" ref="D84:E84" si="16">D14</f>
        <v>1.6690003398299999E-2</v>
      </c>
      <c r="E84">
        <f t="shared" si="16"/>
        <v>0</v>
      </c>
      <c r="F84">
        <f t="shared" ref="F84" si="17">F14</f>
        <v>0.10492980017647105</v>
      </c>
      <c r="G84" s="5" t="str">
        <f>IF(E84=F84,"n/a",IF(OR(C84="battery electric vehicle",C84="natural gas vehicle",C84="plugin hybrid vehicle"),"s-curve","linear"))</f>
        <v>s-curve</v>
      </c>
      <c r="I84" s="16">
        <f t="shared" si="9"/>
        <v>0</v>
      </c>
      <c r="J84">
        <f>IF($G84="s-curve",$E84+($F84-$E84)*$I$2/(1+EXP($I$3*(COUNT($I$9:J$9)+$I$4))),TREND($E84:$F84,$E$9:$F$9,J$9))</f>
        <v>1.5502361933759918E-3</v>
      </c>
      <c r="K84">
        <f>IF($G84="s-curve",$E84+($F84-$E84)*$I$2/(1+EXP($I$3*(COUNT($I$9:K$9)+$I$4))),TREND($E84:$F84,$E$9:$F$9,K$9))</f>
        <v>2.0818393161168456E-3</v>
      </c>
      <c r="L84">
        <f>IF($G84="s-curve",$E84+($F84-$E84)*$I$2/(1+EXP($I$3*(COUNT($I$9:L$9)+$I$4))),TREND($E84:$F84,$E$9:$F$9,L$9))</f>
        <v>2.7908172213154192E-3</v>
      </c>
      <c r="M84">
        <f>IF($G84="s-curve",$E84+($F84-$E84)*$I$2/(1+EXP($I$3*(COUNT($I$9:M$9)+$I$4))),TREND($E84:$F84,$E$9:$F$9,M$9))</f>
        <v>3.7324777824171446E-3</v>
      </c>
      <c r="N84">
        <f>IF($G84="s-curve",$E84+($F84-$E84)*$I$2/(1+EXP($I$3*(COUNT($I$9:N$9)+$I$4))),TREND($E84:$F84,$E$9:$F$9,N$9))</f>
        <v>4.9763873957167403E-3</v>
      </c>
      <c r="O84">
        <f>IF($G84="s-curve",$E84+($F84-$E84)*$I$2/(1+EXP($I$3*(COUNT($I$9:O$9)+$I$4))),TREND($E84:$F84,$E$9:$F$9,O$9))</f>
        <v>6.6077816675024067E-3</v>
      </c>
      <c r="P84">
        <f>IF($G84="s-curve",$E84+($F84-$E84)*$I$2/(1+EXP($I$3*(COUNT($I$9:P$9)+$I$4))),TREND($E84:$F84,$E$9:$F$9,P$9))</f>
        <v>8.7272944232455497E-3</v>
      </c>
      <c r="Q84">
        <f>IF($G84="s-curve",$E84+($F84-$E84)*$I$2/(1+EXP($I$3*(COUNT($I$9:Q$9)+$I$4))),TREND($E84:$F84,$E$9:$F$9,Q$9))</f>
        <v>1.1447507647943856E-2</v>
      </c>
      <c r="R84">
        <f>IF($G84="s-curve",$E84+($F84-$E84)*$I$2/(1+EXP($I$3*(COUNT($I$9:R$9)+$I$4))),TREND($E84:$F84,$E$9:$F$9,R$9))</f>
        <v>1.4884403894827813E-2</v>
      </c>
      <c r="S84">
        <f>IF($G84="s-curve",$E84+($F84-$E84)*$I$2/(1+EXP($I$3*(COUNT($I$9:S$9)+$I$4))),TREND($E84:$F84,$E$9:$F$9,S$9))</f>
        <v>1.9141873760089034E-2</v>
      </c>
      <c r="T84">
        <f>IF($G84="s-curve",$E84+($F84-$E84)*$I$2/(1+EXP($I$3*(COUNT($I$9:T$9)+$I$4))),TREND($E84:$F84,$E$9:$F$9,T$9))</f>
        <v>2.4288648213253456E-2</v>
      </c>
      <c r="U84">
        <f>IF($G84="s-curve",$E84+($F84-$E84)*$I$2/(1+EXP($I$3*(COUNT($I$9:U$9)+$I$4))),TREND($E84:$F84,$E$9:$F$9,U$9))</f>
        <v>3.0330010930467905E-2</v>
      </c>
      <c r="V84">
        <f>IF($G84="s-curve",$E84+($F84-$E84)*$I$2/(1+EXP($I$3*(COUNT($I$9:V$9)+$I$4))),TREND($E84:$F84,$E$9:$F$9,V$9))</f>
        <v>3.7181212981519933E-2</v>
      </c>
      <c r="W84">
        <f>IF($G84="s-curve",$E84+($F84-$E84)*$I$2/(1+EXP($I$3*(COUNT($I$9:W$9)+$I$4))),TREND($E84:$F84,$E$9:$F$9,W$9))</f>
        <v>4.4653661674554562E-2</v>
      </c>
      <c r="X84">
        <f>IF($G84="s-curve",$E84+($F84-$E84)*$I$2/(1+EXP($I$3*(COUNT($I$9:X$9)+$I$4))),TREND($E84:$F84,$E$9:$F$9,X$9))</f>
        <v>5.2464900088235525E-2</v>
      </c>
      <c r="Y84">
        <f>IF($G84="s-curve",$E84+($F84-$E84)*$I$2/(1+EXP($I$3*(COUNT($I$9:Y$9)+$I$4))),TREND($E84:$F84,$E$9:$F$9,Y$9))</f>
        <v>6.0276138501916494E-2</v>
      </c>
      <c r="Z84">
        <f>IF($G84="s-curve",$E84+($F84-$E84)*$I$2/(1+EXP($I$3*(COUNT($I$9:Z$9)+$I$4))),TREND($E84:$F84,$E$9:$F$9,Z$9))</f>
        <v>6.774858719495111E-2</v>
      </c>
      <c r="AA84">
        <f>IF($G84="s-curve",$E84+($F84-$E84)*$I$2/(1+EXP($I$3*(COUNT($I$9:AA$9)+$I$4))),TREND($E84:$F84,$E$9:$F$9,AA$9))</f>
        <v>7.4599789246003134E-2</v>
      </c>
      <c r="AB84">
        <f>IF($G84="s-curve",$E84+($F84-$E84)*$I$2/(1+EXP($I$3*(COUNT($I$9:AB$9)+$I$4))),TREND($E84:$F84,$E$9:$F$9,AB$9))</f>
        <v>8.0641151963217597E-2</v>
      </c>
      <c r="AC84">
        <f>IF($G84="s-curve",$E84+($F84-$E84)*$I$2/(1+EXP($I$3*(COUNT($I$9:AC$9)+$I$4))),TREND($E84:$F84,$E$9:$F$9,AC$9))</f>
        <v>8.5787926416382013E-2</v>
      </c>
      <c r="AD84">
        <f>IF($G84="s-curve",$E84+($F84-$E84)*$I$2/(1+EXP($I$3*(COUNT($I$9:AD$9)+$I$4))),TREND($E84:$F84,$E$9:$F$9,AD$9))</f>
        <v>9.004539628164325E-2</v>
      </c>
      <c r="AE84">
        <f>IF($G84="s-curve",$E84+($F84-$E84)*$I$2/(1+EXP($I$3*(COUNT($I$9:AE$9)+$I$4))),TREND($E84:$F84,$E$9:$F$9,AE$9))</f>
        <v>9.3482292528527203E-2</v>
      </c>
      <c r="AF84">
        <f>IF($G84="s-curve",$E84+($F84-$E84)*$I$2/(1+EXP($I$3*(COUNT($I$9:AF$9)+$I$4))),TREND($E84:$F84,$E$9:$F$9,AF$9))</f>
        <v>9.6202505753225503E-2</v>
      </c>
      <c r="AG84">
        <f>IF($G84="s-curve",$E84+($F84-$E84)*$I$2/(1+EXP($I$3*(COUNT($I$9:AG$9)+$I$4))),TREND($E84:$F84,$E$9:$F$9,AG$9))</f>
        <v>9.8322018508968642E-2</v>
      </c>
      <c r="AH84">
        <f>IF($G84="s-curve",$E84+($F84-$E84)*$I$2/(1+EXP($I$3*(COUNT($I$9:AH$9)+$I$4))),TREND($E84:$F84,$E$9:$F$9,AH$9))</f>
        <v>9.9953412780754314E-2</v>
      </c>
      <c r="AI84">
        <f>IF($G84="s-curve",$E84+($F84-$E84)*$I$2/(1+EXP($I$3*(COUNT($I$9:AI$9)+$I$4))),TREND($E84:$F84,$E$9:$F$9,AI$9))</f>
        <v>0.10119732239405391</v>
      </c>
    </row>
    <row r="85" spans="1:35" x14ac:dyDescent="0.25">
      <c r="C85" t="s">
        <v>31</v>
      </c>
      <c r="D85">
        <f t="shared" ref="D85:E85" si="18">D15</f>
        <v>0</v>
      </c>
      <c r="E85">
        <f t="shared" si="18"/>
        <v>0</v>
      </c>
      <c r="F85">
        <f t="shared" ref="F85" si="19">F15</f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9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thickBot="1" x14ac:dyDescent="0.3">
      <c r="A86" s="17"/>
      <c r="B86" s="17"/>
      <c r="C86" s="17" t="s">
        <v>32</v>
      </c>
      <c r="D86">
        <f t="shared" ref="D86:E86" si="20">D16</f>
        <v>0</v>
      </c>
      <c r="E86">
        <f t="shared" si="20"/>
        <v>0</v>
      </c>
      <c r="F86">
        <f t="shared" ref="F86" si="21">F16</f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9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9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9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3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9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4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9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5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9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31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9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thickBot="1" x14ac:dyDescent="0.3">
      <c r="A93" s="17"/>
      <c r="B93" s="17"/>
      <c r="C93" s="17" t="s">
        <v>32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9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Data!I10</f>
        <v>0.15905875518900001</v>
      </c>
      <c r="C2">
        <f>Data!J10</f>
        <v>0.13060041262200001</v>
      </c>
      <c r="D2">
        <f>Data!K10</f>
        <v>0.17183244719361793</v>
      </c>
      <c r="E2">
        <f>Data!L10</f>
        <v>0.18534942239376065</v>
      </c>
      <c r="F2">
        <f>Data!M10</f>
        <v>0.20291072063493176</v>
      </c>
      <c r="G2">
        <f>Data!N10</f>
        <v>0.22544914395371735</v>
      </c>
      <c r="H2">
        <f>Data!O10</f>
        <v>0.25392566991561405</v>
      </c>
      <c r="I2">
        <f>Data!P10</f>
        <v>0.28920108774646175</v>
      </c>
      <c r="J2">
        <f>Data!Q10</f>
        <v>0.33184487033618731</v>
      </c>
      <c r="K2">
        <f>Data!R10</f>
        <v>0.38190079577122726</v>
      </c>
      <c r="L2">
        <f>Data!S10</f>
        <v>0.43866667377928981</v>
      </c>
      <c r="M2">
        <f>Data!T10</f>
        <v>0.50057991291156378</v>
      </c>
      <c r="N2">
        <f>Data!U10</f>
        <v>0.56530020631099998</v>
      </c>
      <c r="O2">
        <f>Data!V10</f>
        <v>0.63002049971043617</v>
      </c>
      <c r="P2">
        <f>Data!W10</f>
        <v>0.69193373884271026</v>
      </c>
      <c r="Q2">
        <f>Data!X10</f>
        <v>0.74869961685077269</v>
      </c>
      <c r="R2">
        <f>Data!Y10</f>
        <v>0.7987555422858128</v>
      </c>
      <c r="S2">
        <f>Data!Z10</f>
        <v>0.84139932487553826</v>
      </c>
      <c r="T2">
        <f>Data!AA10</f>
        <v>0.87667474270638612</v>
      </c>
      <c r="U2">
        <f>Data!AB10</f>
        <v>0.90515126866828277</v>
      </c>
      <c r="V2">
        <f>Data!AC10</f>
        <v>0.9276896919870683</v>
      </c>
      <c r="W2">
        <f>Data!AD10</f>
        <v>0.94525099022823955</v>
      </c>
      <c r="X2">
        <f>Data!AE10</f>
        <v>0.95876796542838227</v>
      </c>
      <c r="Y2">
        <f>Data!AF10</f>
        <v>0.96907442272382549</v>
      </c>
      <c r="Z2">
        <f>Data!AG10</f>
        <v>0.97687658475877748</v>
      </c>
      <c r="AA2">
        <f>Data!AH10</f>
        <v>0.98275084638133969</v>
      </c>
      <c r="AB2">
        <f>Data!AI10</f>
        <v>0.98715546294195899</v>
      </c>
    </row>
    <row r="3" spans="1:28" x14ac:dyDescent="0.25">
      <c r="A3" t="s">
        <v>2</v>
      </c>
      <c r="B3">
        <f>Data!I11</f>
        <v>9.1108650682499996E-5</v>
      </c>
      <c r="C3">
        <f>Data!J11</f>
        <v>9.1108650682499996E-5</v>
      </c>
      <c r="D3">
        <f>Data!K11</f>
        <v>9.1108650682499996E-5</v>
      </c>
      <c r="E3">
        <f>Data!L11</f>
        <v>9.1108650682499996E-5</v>
      </c>
      <c r="F3">
        <f>Data!M11</f>
        <v>9.1108650682499996E-5</v>
      </c>
      <c r="G3">
        <f>Data!N11</f>
        <v>9.1108650682499996E-5</v>
      </c>
      <c r="H3">
        <f>Data!O11</f>
        <v>9.1108650682499996E-5</v>
      </c>
      <c r="I3">
        <f>Data!P11</f>
        <v>9.1108650682499996E-5</v>
      </c>
      <c r="J3">
        <f>Data!Q11</f>
        <v>9.1108650682499996E-5</v>
      </c>
      <c r="K3">
        <f>Data!R11</f>
        <v>9.1108650682499996E-5</v>
      </c>
      <c r="L3">
        <f>Data!S11</f>
        <v>9.1108650682499996E-5</v>
      </c>
      <c r="M3">
        <f>Data!T11</f>
        <v>9.1108650682499996E-5</v>
      </c>
      <c r="N3">
        <f>Data!U11</f>
        <v>9.1108650682499996E-5</v>
      </c>
      <c r="O3">
        <f>Data!V11</f>
        <v>9.1108650682499996E-5</v>
      </c>
      <c r="P3">
        <f>Data!W11</f>
        <v>9.1108650682499996E-5</v>
      </c>
      <c r="Q3">
        <f>Data!X11</f>
        <v>9.1108650682499996E-5</v>
      </c>
      <c r="R3">
        <f>Data!Y11</f>
        <v>9.1108650682499996E-5</v>
      </c>
      <c r="S3">
        <f>Data!Z11</f>
        <v>9.1108650682499996E-5</v>
      </c>
      <c r="T3">
        <f>Data!AA11</f>
        <v>9.1108650682499996E-5</v>
      </c>
      <c r="U3">
        <f>Data!AB11</f>
        <v>9.1108650682499996E-5</v>
      </c>
      <c r="V3">
        <f>Data!AC11</f>
        <v>9.1108650682499996E-5</v>
      </c>
      <c r="W3">
        <f>Data!AD11</f>
        <v>9.1108650682499996E-5</v>
      </c>
      <c r="X3">
        <f>Data!AE11</f>
        <v>9.1108650682499996E-5</v>
      </c>
      <c r="Y3">
        <f>Data!AF11</f>
        <v>9.1108650682499996E-5</v>
      </c>
      <c r="Z3">
        <f>Data!AG11</f>
        <v>9.1108650682499996E-5</v>
      </c>
      <c r="AA3">
        <f>Data!AH11</f>
        <v>9.1108650682499996E-5</v>
      </c>
      <c r="AB3">
        <f>Data!AI11</f>
        <v>9.1108650682499996E-5</v>
      </c>
    </row>
    <row r="4" spans="1:28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25">
      <c r="A5" t="s">
        <v>4</v>
      </c>
      <c r="B5">
        <f>Data!I13</f>
        <v>6.0801825684799998E-2</v>
      </c>
      <c r="C5">
        <f>Data!J13</f>
        <v>6.0801825684799998E-2</v>
      </c>
      <c r="D5">
        <f>Data!K13</f>
        <v>6.0801825684799998E-2</v>
      </c>
      <c r="E5">
        <f>Data!L13</f>
        <v>6.0801825684799998E-2</v>
      </c>
      <c r="F5">
        <f>Data!M13</f>
        <v>6.0801825684799998E-2</v>
      </c>
      <c r="G5">
        <f>Data!N13</f>
        <v>6.0801825684799998E-2</v>
      </c>
      <c r="H5">
        <f>Data!O13</f>
        <v>6.0801825684799998E-2</v>
      </c>
      <c r="I5">
        <f>Data!P13</f>
        <v>6.0801825684799998E-2</v>
      </c>
      <c r="J5">
        <f>Data!Q13</f>
        <v>6.0801825684799998E-2</v>
      </c>
      <c r="K5">
        <f>Data!R13</f>
        <v>6.0801825684799998E-2</v>
      </c>
      <c r="L5">
        <f>Data!S13</f>
        <v>6.0801825684799998E-2</v>
      </c>
      <c r="M5">
        <f>Data!T13</f>
        <v>6.0801825684799998E-2</v>
      </c>
      <c r="N5">
        <f>Data!U13</f>
        <v>6.0801825684799998E-2</v>
      </c>
      <c r="O5">
        <f>Data!V13</f>
        <v>6.0801825684799998E-2</v>
      </c>
      <c r="P5">
        <f>Data!W13</f>
        <v>6.0801825684799998E-2</v>
      </c>
      <c r="Q5">
        <f>Data!X13</f>
        <v>6.0801825684799998E-2</v>
      </c>
      <c r="R5">
        <f>Data!Y13</f>
        <v>6.0801825684799998E-2</v>
      </c>
      <c r="S5">
        <f>Data!Z13</f>
        <v>6.0801825684799998E-2</v>
      </c>
      <c r="T5">
        <f>Data!AA13</f>
        <v>6.0801825684799998E-2</v>
      </c>
      <c r="U5">
        <f>Data!AB13</f>
        <v>6.0801825684799998E-2</v>
      </c>
      <c r="V5">
        <f>Data!AC13</f>
        <v>6.0801825684799998E-2</v>
      </c>
      <c r="W5">
        <f>Data!AD13</f>
        <v>6.0801825684799998E-2</v>
      </c>
      <c r="X5">
        <f>Data!AE13</f>
        <v>6.0801825684799998E-2</v>
      </c>
      <c r="Y5">
        <f>Data!AF13</f>
        <v>6.0801825684799998E-2</v>
      </c>
      <c r="Z5">
        <f>Data!AG13</f>
        <v>6.0801825684799998E-2</v>
      </c>
      <c r="AA5">
        <f>Data!AH13</f>
        <v>6.0801825684799998E-2</v>
      </c>
      <c r="AB5">
        <f>Data!AI13</f>
        <v>6.0801825684799998E-2</v>
      </c>
    </row>
    <row r="6" spans="1:28" x14ac:dyDescent="0.25">
      <c r="A6" t="s">
        <v>5</v>
      </c>
      <c r="B6">
        <f>Data!I14</f>
        <v>1.6690003398299999E-2</v>
      </c>
      <c r="C6">
        <f>Data!J14</f>
        <v>0</v>
      </c>
      <c r="D6">
        <f>Data!K14</f>
        <v>4.1096514668315402E-3</v>
      </c>
      <c r="E6">
        <f>Data!L14</f>
        <v>6.0150143223491733E-3</v>
      </c>
      <c r="F6">
        <f>Data!M14</f>
        <v>8.7272944232455463E-3</v>
      </c>
      <c r="G6">
        <f>Data!N14</f>
        <v>1.2507938788232255E-2</v>
      </c>
      <c r="H6">
        <f>Data!O14</f>
        <v>1.7626277281218222E-2</v>
      </c>
      <c r="I6">
        <f>Data!P14</f>
        <v>2.4288648213253449E-2</v>
      </c>
      <c r="J6">
        <f>Data!Q14</f>
        <v>3.2530915744886375E-2</v>
      </c>
      <c r="K6">
        <f>Data!R14</f>
        <v>4.2109623632752446E-2</v>
      </c>
      <c r="L6">
        <f>Data!S14</f>
        <v>5.2464900088235525E-2</v>
      </c>
      <c r="M6">
        <f>Data!T14</f>
        <v>6.2820176543718603E-2</v>
      </c>
      <c r="N6">
        <f>Data!U14</f>
        <v>7.2398884431584667E-2</v>
      </c>
      <c r="O6">
        <f>Data!V14</f>
        <v>8.0641151963217611E-2</v>
      </c>
      <c r="P6">
        <f>Data!W14</f>
        <v>8.7303522895252825E-2</v>
      </c>
      <c r="Q6">
        <f>Data!X14</f>
        <v>9.2421861388238782E-2</v>
      </c>
      <c r="R6">
        <f>Data!Y14</f>
        <v>9.6202505753225503E-2</v>
      </c>
      <c r="S6">
        <f>Data!Z14</f>
        <v>9.8914785854121876E-2</v>
      </c>
      <c r="T6">
        <f>Data!AA14</f>
        <v>0.10082014870963951</v>
      </c>
      <c r="U6">
        <f>Data!AB14</f>
        <v>0.10213898295515562</v>
      </c>
      <c r="V6">
        <f>Data!AC14</f>
        <v>0.10304251075921672</v>
      </c>
      <c r="W6">
        <f>Data!AD14</f>
        <v>0.10365716591711784</v>
      </c>
      <c r="X6">
        <f>Data!AE14</f>
        <v>0.10407330321644376</v>
      </c>
      <c r="Y6">
        <f>Data!AF14</f>
        <v>0.10435412392924331</v>
      </c>
      <c r="Z6">
        <f>Data!AG14</f>
        <v>0.10454321362002106</v>
      </c>
      <c r="AA6">
        <f>Data!AH14</f>
        <v>0.10467034832273366</v>
      </c>
      <c r="AB6">
        <f>Data!AI14</f>
        <v>0.10475574251059583</v>
      </c>
    </row>
    <row r="7" spans="1:28" x14ac:dyDescent="0.25">
      <c r="A7" t="s">
        <v>31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25">
      <c r="A8" t="s">
        <v>32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Data!I17</f>
        <v>0.454500581771</v>
      </c>
      <c r="C2">
        <f>Data!J17</f>
        <v>0.2372655299631645</v>
      </c>
      <c r="D2">
        <f>Data!K17</f>
        <v>0.44900481233409134</v>
      </c>
      <c r="E2">
        <f>Data!L17</f>
        <v>0.44717325677406827</v>
      </c>
      <c r="F2">
        <f>Data!M17</f>
        <v>0.44477116162412172</v>
      </c>
      <c r="G2">
        <f>Data!N17</f>
        <v>0.44165035177522616</v>
      </c>
      <c r="H2">
        <f>Data!O17</f>
        <v>0.43764505942691106</v>
      </c>
      <c r="I2">
        <f>Data!P17</f>
        <v>0.43258450971903878</v>
      </c>
      <c r="J2">
        <f>Data!Q17</f>
        <v>0.42631573221303853</v>
      </c>
      <c r="K2">
        <f>Data!R17</f>
        <v>0.41873752615603005</v>
      </c>
      <c r="L2">
        <f>Data!S17</f>
        <v>0.40984211176536622</v>
      </c>
      <c r="M2">
        <f>Data!T17</f>
        <v>0.39975427493600035</v>
      </c>
      <c r="N2">
        <f>Data!U17</f>
        <v>0.38875170304139878</v>
      </c>
      <c r="O2">
        <f>Data!V17</f>
        <v>0.37725029088549999</v>
      </c>
      <c r="P2">
        <f>Data!W17</f>
        <v>0.36574887872960121</v>
      </c>
      <c r="Q2">
        <f>Data!X17</f>
        <v>0.35474630683499964</v>
      </c>
      <c r="R2">
        <f>Data!Y17</f>
        <v>0.34465847000563377</v>
      </c>
      <c r="S2">
        <f>Data!Z17</f>
        <v>0.33576305561496994</v>
      </c>
      <c r="T2">
        <f>Data!AA17</f>
        <v>0.32818484955796146</v>
      </c>
      <c r="U2">
        <f>Data!AB17</f>
        <v>0.32191607205196121</v>
      </c>
      <c r="V2">
        <f>Data!AC17</f>
        <v>0.31685552234408898</v>
      </c>
      <c r="W2">
        <f>Data!AD17</f>
        <v>0.31285022999577383</v>
      </c>
      <c r="X2">
        <f>Data!AE17</f>
        <v>0.30972942014687826</v>
      </c>
      <c r="Y2">
        <f>Data!AF17</f>
        <v>0.30732732499693172</v>
      </c>
      <c r="Z2">
        <f>Data!AG17</f>
        <v>0.30549576943690859</v>
      </c>
      <c r="AA2">
        <f>Data!AH17</f>
        <v>0.30410925098098529</v>
      </c>
      <c r="AB2">
        <f>Data!AI17</f>
        <v>0.30306533877842945</v>
      </c>
    </row>
    <row r="3" spans="1:28" x14ac:dyDescent="0.25">
      <c r="A3" t="s">
        <v>2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</row>
    <row r="4" spans="1:28" x14ac:dyDescent="0.25">
      <c r="A4" t="s">
        <v>3</v>
      </c>
      <c r="B4">
        <f>Data!I19</f>
        <v>0.90083809500199996</v>
      </c>
      <c r="C4">
        <f>Data!J19</f>
        <v>0.83821626774799995</v>
      </c>
      <c r="D4">
        <f>Data!K19</f>
        <v>0.83821626774799995</v>
      </c>
      <c r="E4">
        <f>Data!L19</f>
        <v>0.83821626774799995</v>
      </c>
      <c r="F4">
        <f>Data!M19</f>
        <v>0.83821626774799995</v>
      </c>
      <c r="G4">
        <f>Data!N19</f>
        <v>0.83821626774799995</v>
      </c>
      <c r="H4">
        <f>Data!O19</f>
        <v>0.83821626774799995</v>
      </c>
      <c r="I4">
        <f>Data!P19</f>
        <v>0.83821626774799995</v>
      </c>
      <c r="J4">
        <f>Data!Q19</f>
        <v>0.83821626774799995</v>
      </c>
      <c r="K4">
        <f>Data!R19</f>
        <v>0.83821626774799995</v>
      </c>
      <c r="L4">
        <f>Data!S19</f>
        <v>0.83821626774799995</v>
      </c>
      <c r="M4">
        <f>Data!T19</f>
        <v>0.83821626774799995</v>
      </c>
      <c r="N4">
        <f>Data!U19</f>
        <v>0.83821626774799995</v>
      </c>
      <c r="O4">
        <f>Data!V19</f>
        <v>0.83821626774799995</v>
      </c>
      <c r="P4">
        <f>Data!W19</f>
        <v>0.83821626774799995</v>
      </c>
      <c r="Q4">
        <f>Data!X19</f>
        <v>0.83821626774799995</v>
      </c>
      <c r="R4">
        <f>Data!Y19</f>
        <v>0.83821626774799995</v>
      </c>
      <c r="S4">
        <f>Data!Z19</f>
        <v>0.83821626774799995</v>
      </c>
      <c r="T4">
        <f>Data!AA19</f>
        <v>0.83821626774799995</v>
      </c>
      <c r="U4">
        <f>Data!AB19</f>
        <v>0.83821626774799995</v>
      </c>
      <c r="V4">
        <f>Data!AC19</f>
        <v>0.83821626774799995</v>
      </c>
      <c r="W4">
        <f>Data!AD19</f>
        <v>0.83821626774799995</v>
      </c>
      <c r="X4">
        <f>Data!AE19</f>
        <v>0.83821626774799995</v>
      </c>
      <c r="Y4">
        <f>Data!AF19</f>
        <v>0.83821626774799995</v>
      </c>
      <c r="Z4">
        <f>Data!AG19</f>
        <v>0.83821626774799995</v>
      </c>
      <c r="AA4">
        <f>Data!AH19</f>
        <v>0.83821626774799995</v>
      </c>
      <c r="AB4">
        <f>Data!AI19</f>
        <v>0.83821626774799995</v>
      </c>
    </row>
    <row r="5" spans="1:28" x14ac:dyDescent="0.2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25">
      <c r="A6" t="s">
        <v>5</v>
      </c>
      <c r="B6">
        <f>Data!I21</f>
        <v>0</v>
      </c>
      <c r="C6">
        <f>Data!J21</f>
        <v>9.7600354280299995E-4</v>
      </c>
      <c r="D6">
        <f>Data!K21</f>
        <v>9.8550253776126203E-4</v>
      </c>
      <c r="E6">
        <f>Data!L21</f>
        <v>9.8866823407188129E-4</v>
      </c>
      <c r="F6">
        <f>Data!M21</f>
        <v>9.9282006212445028E-4</v>
      </c>
      <c r="G6">
        <f>Data!N21</f>
        <v>9.9821413066401919E-4</v>
      </c>
      <c r="H6">
        <f>Data!O21</f>
        <v>1.0051369559862567E-3</v>
      </c>
      <c r="I6">
        <f>Data!P21</f>
        <v>1.0138837086863031E-3</v>
      </c>
      <c r="J6">
        <f>Data!Q21</f>
        <v>1.024718785850213E-3</v>
      </c>
      <c r="K6">
        <f>Data!R21</f>
        <v>1.0378171048307644E-3</v>
      </c>
      <c r="L6">
        <f>Data!S21</f>
        <v>1.053192112355843E-3</v>
      </c>
      <c r="M6">
        <f>Data!T21</f>
        <v>1.0706281260536479E-3</v>
      </c>
      <c r="N6">
        <f>Data!U21</f>
        <v>1.0896451856582307E-3</v>
      </c>
      <c r="O6">
        <f>Data!V21</f>
        <v>1.1095244504883853E-3</v>
      </c>
      <c r="P6">
        <f>Data!W21</f>
        <v>1.1294037153185398E-3</v>
      </c>
      <c r="Q6">
        <f>Data!X21</f>
        <v>1.1484207749231225E-3</v>
      </c>
      <c r="R6">
        <f>Data!Y21</f>
        <v>1.1658567886209275E-3</v>
      </c>
      <c r="S6">
        <f>Data!Z21</f>
        <v>1.1812317961460059E-3</v>
      </c>
      <c r="T6">
        <f>Data!AA21</f>
        <v>1.1943301151265573E-3</v>
      </c>
      <c r="U6">
        <f>Data!AB21</f>
        <v>1.2051651922904672E-3</v>
      </c>
      <c r="V6">
        <f>Data!AC21</f>
        <v>1.2139119449905136E-3</v>
      </c>
      <c r="W6">
        <f>Data!AD21</f>
        <v>1.2208347703127514E-3</v>
      </c>
      <c r="X6">
        <f>Data!AE21</f>
        <v>1.2262288388523203E-3</v>
      </c>
      <c r="Y6">
        <f>Data!AF21</f>
        <v>1.2303806669048891E-3</v>
      </c>
      <c r="Z6">
        <f>Data!AG21</f>
        <v>1.2335463632155085E-3</v>
      </c>
      <c r="AA6">
        <f>Data!AH21</f>
        <v>1.2359428487255994E-3</v>
      </c>
      <c r="AB6">
        <f>Data!AI21</f>
        <v>1.2377471669130313E-3</v>
      </c>
    </row>
    <row r="7" spans="1:28" x14ac:dyDescent="0.25">
      <c r="A7" t="s">
        <v>31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</row>
    <row r="8" spans="1:28" x14ac:dyDescent="0.25">
      <c r="A8" t="s">
        <v>32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Data!I24</f>
        <v>3.1135417098900001E-2</v>
      </c>
      <c r="C2">
        <f>Data!J24</f>
        <v>3.0643451478599999E-2</v>
      </c>
      <c r="D2">
        <f>Data!K24</f>
        <v>5.6231819420565009E-2</v>
      </c>
      <c r="E2">
        <f>Data!L24</f>
        <v>6.4759563918228083E-2</v>
      </c>
      <c r="F2">
        <f>Data!M24</f>
        <v>7.5943747540570206E-2</v>
      </c>
      <c r="G2">
        <f>Data!N24</f>
        <v>9.0474275359685941E-2</v>
      </c>
      <c r="H2">
        <f>Data!O24</f>
        <v>0.10912296422853242</v>
      </c>
      <c r="I2">
        <f>Data!P24</f>
        <v>0.13268494392950003</v>
      </c>
      <c r="J2">
        <f>Data!Q24</f>
        <v>0.161872446646149</v>
      </c>
      <c r="K2">
        <f>Data!R24</f>
        <v>0.19715666428899051</v>
      </c>
      <c r="L2">
        <f>Data!S24</f>
        <v>0.23857381961867116</v>
      </c>
      <c r="M2">
        <f>Data!T24</f>
        <v>0.28554290802233562</v>
      </c>
      <c r="N2">
        <f>Data!U24</f>
        <v>0.33677101378241864</v>
      </c>
      <c r="O2">
        <f>Data!V24</f>
        <v>0.39032172573929996</v>
      </c>
      <c r="P2">
        <f>Data!W24</f>
        <v>0.44387243769618129</v>
      </c>
      <c r="Q2">
        <f>Data!X24</f>
        <v>0.49510054345626425</v>
      </c>
      <c r="R2">
        <f>Data!Y24</f>
        <v>0.54206963185992885</v>
      </c>
      <c r="S2">
        <f>Data!Z24</f>
        <v>0.58348678718960945</v>
      </c>
      <c r="T2">
        <f>Data!AA24</f>
        <v>0.61877100483245095</v>
      </c>
      <c r="U2">
        <f>Data!AB24</f>
        <v>0.6479585075491</v>
      </c>
      <c r="V2">
        <f>Data!AC24</f>
        <v>0.67152048725006763</v>
      </c>
      <c r="W2">
        <f>Data!AD24</f>
        <v>0.69016917611891404</v>
      </c>
      <c r="X2">
        <f>Data!AE24</f>
        <v>0.70469970393802983</v>
      </c>
      <c r="Y2">
        <f>Data!AF24</f>
        <v>0.71588388756037202</v>
      </c>
      <c r="Z2">
        <f>Data!AG24</f>
        <v>0.72441163205803505</v>
      </c>
      <c r="AA2">
        <f>Data!AH24</f>
        <v>0.73086727849949984</v>
      </c>
      <c r="AB2">
        <f>Data!AI24</f>
        <v>0.73572774614552472</v>
      </c>
    </row>
    <row r="3" spans="1:28" x14ac:dyDescent="0.25">
      <c r="A3" t="s">
        <v>2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</row>
    <row r="4" spans="1:28" x14ac:dyDescent="0.25">
      <c r="A4" t="s">
        <v>3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</row>
    <row r="5" spans="1:28" x14ac:dyDescent="0.2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25">
      <c r="A6" t="s">
        <v>5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25">
      <c r="A7" t="s">
        <v>31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</row>
    <row r="8" spans="1:28" x14ac:dyDescent="0.25">
      <c r="A8" t="s">
        <v>32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Data!I31</f>
        <v>4.7888143043300002E-3</v>
      </c>
      <c r="C2">
        <f>Data!J31</f>
        <v>6.2858930445499998E-3</v>
      </c>
      <c r="D2">
        <f>Data!K31</f>
        <v>1.495509367147381E-2</v>
      </c>
      <c r="E2">
        <f>Data!L31</f>
        <v>1.7844247372603116E-2</v>
      </c>
      <c r="F2">
        <f>Data!M31</f>
        <v>2.1633388277968481E-2</v>
      </c>
      <c r="G2">
        <f>Data!N31</f>
        <v>2.655625249364298E-2</v>
      </c>
      <c r="H2">
        <f>Data!O31</f>
        <v>3.2874327393917213E-2</v>
      </c>
      <c r="I2">
        <f>Data!P31</f>
        <v>4.0856998647451973E-2</v>
      </c>
      <c r="J2">
        <f>Data!Q31</f>
        <v>5.0745566664896324E-2</v>
      </c>
      <c r="K2">
        <f>Data!R31</f>
        <v>6.2699668716406365E-2</v>
      </c>
      <c r="L2">
        <f>Data!S31</f>
        <v>7.6731576877325819E-2</v>
      </c>
      <c r="M2">
        <f>Data!T31</f>
        <v>9.2644449928025716E-2</v>
      </c>
      <c r="N2">
        <f>Data!U31</f>
        <v>0.11000025501800546</v>
      </c>
      <c r="O2">
        <f>Data!V31</f>
        <v>0.12814294652227501</v>
      </c>
      <c r="P2">
        <f>Data!W31</f>
        <v>0.14628563802654454</v>
      </c>
      <c r="Q2">
        <f>Data!X31</f>
        <v>0.16364144311652429</v>
      </c>
      <c r="R2">
        <f>Data!Y31</f>
        <v>0.17955431616722417</v>
      </c>
      <c r="S2">
        <f>Data!Z31</f>
        <v>0.19358622432814362</v>
      </c>
      <c r="T2">
        <f>Data!AA31</f>
        <v>0.20554032637965367</v>
      </c>
      <c r="U2">
        <f>Data!AB31</f>
        <v>0.21542889439709806</v>
      </c>
      <c r="V2">
        <f>Data!AC31</f>
        <v>0.2234115656506328</v>
      </c>
      <c r="W2">
        <f>Data!AD31</f>
        <v>0.22972964055090703</v>
      </c>
      <c r="X2">
        <f>Data!AE31</f>
        <v>0.23465250476658153</v>
      </c>
      <c r="Y2">
        <f>Data!AF31</f>
        <v>0.23844164567194689</v>
      </c>
      <c r="Z2">
        <f>Data!AG31</f>
        <v>0.24133079937307619</v>
      </c>
      <c r="AA2">
        <f>Data!AH31</f>
        <v>0.24351793746271427</v>
      </c>
      <c r="AB2">
        <f>Data!AI31</f>
        <v>0.24516463760629623</v>
      </c>
    </row>
    <row r="3" spans="1:28" x14ac:dyDescent="0.25">
      <c r="A3" t="s">
        <v>2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</row>
    <row r="4" spans="1:28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</row>
    <row r="5" spans="1:28" x14ac:dyDescent="0.25">
      <c r="A5" t="s">
        <v>4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25">
      <c r="A6" t="s">
        <v>5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25">
      <c r="A7" t="s">
        <v>31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25">
      <c r="A8" t="s">
        <v>32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25">
      <c r="A7" t="s">
        <v>31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25">
      <c r="A8" t="s">
        <v>32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25">
      <c r="A7" t="s">
        <v>31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25">
      <c r="A8" t="s">
        <v>32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Data!I52</f>
        <v>0.93664816810144857</v>
      </c>
      <c r="C2">
        <f>Data!J52</f>
        <v>0.93758413007374464</v>
      </c>
      <c r="D2">
        <f>Data!K52</f>
        <v>0.93790508781512971</v>
      </c>
      <c r="E2">
        <f>Data!L52</f>
        <v>0.93833313636753701</v>
      </c>
      <c r="F2">
        <f>Data!M52</f>
        <v>0.93890166810468023</v>
      </c>
      <c r="G2">
        <f>Data!N52</f>
        <v>0.93965268404663582</v>
      </c>
      <c r="H2">
        <f>Data!O52</f>
        <v>0.94063764556845908</v>
      </c>
      <c r="I2">
        <f>Data!P52</f>
        <v>0.94191731078828078</v>
      </c>
      <c r="J2">
        <f>Data!Q52</f>
        <v>0.94355965157849941</v>
      </c>
      <c r="K2">
        <f>Data!R52</f>
        <v>0.94563469291965474</v>
      </c>
      <c r="L2">
        <f>Data!S52</f>
        <v>0.94820515921963411</v>
      </c>
      <c r="M2">
        <f>Data!T52</f>
        <v>0.95131254710589963</v>
      </c>
      <c r="N2">
        <f>Data!U52</f>
        <v>0.95496004662134204</v>
      </c>
      <c r="O2">
        <f>Data!V52</f>
        <v>0.95909649022374377</v>
      </c>
      <c r="P2">
        <f>Data!W52</f>
        <v>0.96360801423956699</v>
      </c>
      <c r="Q2">
        <f>Data!X52</f>
        <v>0.96832408405072434</v>
      </c>
      <c r="R2">
        <f>Data!Y52</f>
        <v>0.97304015386188158</v>
      </c>
      <c r="S2">
        <f>Data!Z52</f>
        <v>0.97755167787770481</v>
      </c>
      <c r="T2">
        <f>Data!AA52</f>
        <v>0.98168812148010653</v>
      </c>
      <c r="U2">
        <f>Data!AB52</f>
        <v>0.98533562099554894</v>
      </c>
      <c r="V2">
        <f>Data!AC52</f>
        <v>0.98844300888181458</v>
      </c>
      <c r="W2">
        <f>Data!AD52</f>
        <v>0.99101347518179383</v>
      </c>
      <c r="X2">
        <f>Data!AE52</f>
        <v>0.99308851652294916</v>
      </c>
      <c r="Y2">
        <f>Data!AF52</f>
        <v>0.99473085731316779</v>
      </c>
      <c r="Z2">
        <f>Data!AG52</f>
        <v>0.9960105225329895</v>
      </c>
      <c r="AA2">
        <f>Data!AH52</f>
        <v>0.99699548405481275</v>
      </c>
      <c r="AB2">
        <f>Data!AI52</f>
        <v>0.99774649999676845</v>
      </c>
    </row>
    <row r="3" spans="1:28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25">
      <c r="A5" t="s">
        <v>4</v>
      </c>
      <c r="B5">
        <f>Data!I55</f>
        <v>6.3351831898551425E-2</v>
      </c>
      <c r="C5">
        <f>Data!J55</f>
        <v>6.3351831898557975E-2</v>
      </c>
      <c r="D5">
        <f>Data!K55</f>
        <v>0.10081775862262532</v>
      </c>
      <c r="E5">
        <f>Data!L55</f>
        <v>0.13828368534667845</v>
      </c>
      <c r="F5">
        <f>Data!M55</f>
        <v>0.17574961207073159</v>
      </c>
      <c r="G5">
        <f>Data!N55</f>
        <v>0.21321553879479893</v>
      </c>
      <c r="H5">
        <f>Data!O55</f>
        <v>0.25068146551885206</v>
      </c>
      <c r="I5">
        <f>Data!P55</f>
        <v>0.2881473922429052</v>
      </c>
      <c r="J5">
        <f>Data!Q55</f>
        <v>0.32561331896697254</v>
      </c>
      <c r="K5">
        <f>Data!R55</f>
        <v>0.36307924569102568</v>
      </c>
      <c r="L5">
        <f>Data!S55</f>
        <v>0.40054517241507881</v>
      </c>
      <c r="M5">
        <f>Data!T55</f>
        <v>0.43801109913914615</v>
      </c>
      <c r="N5">
        <f>Data!U55</f>
        <v>0.47547702586319929</v>
      </c>
      <c r="O5">
        <f>Data!V55</f>
        <v>0.51294295258725242</v>
      </c>
      <c r="P5">
        <f>Data!W55</f>
        <v>0.55040887931131977</v>
      </c>
      <c r="Q5">
        <f>Data!X55</f>
        <v>0.5878748060353729</v>
      </c>
      <c r="R5">
        <f>Data!Y55</f>
        <v>0.62534073275942603</v>
      </c>
      <c r="S5">
        <f>Data!Z55</f>
        <v>0.66280665948349338</v>
      </c>
      <c r="T5">
        <f>Data!AA55</f>
        <v>0.70027258620754651</v>
      </c>
      <c r="U5">
        <f>Data!AB55</f>
        <v>0.73773851293159964</v>
      </c>
      <c r="V5">
        <f>Data!AC55</f>
        <v>0.77520443965566699</v>
      </c>
      <c r="W5">
        <f>Data!AD55</f>
        <v>0.81267036637972012</v>
      </c>
      <c r="X5">
        <f>Data!AE55</f>
        <v>0.85013629310377326</v>
      </c>
      <c r="Y5">
        <f>Data!AF55</f>
        <v>0.8876022198278406</v>
      </c>
      <c r="Z5">
        <f>Data!AG55</f>
        <v>0.92506814655189373</v>
      </c>
      <c r="AA5">
        <f>Data!AH55</f>
        <v>0.96253407327594687</v>
      </c>
      <c r="AB5">
        <f>Data!AI55</f>
        <v>1.0000000000000142</v>
      </c>
    </row>
    <row r="6" spans="1:28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25">
      <c r="A7" t="s">
        <v>31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25">
      <c r="A8" t="s">
        <v>32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25">
      <c r="A7" t="s">
        <v>31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25">
      <c r="A8" t="s">
        <v>32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25">
      <c r="A7" t="s">
        <v>31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25">
      <c r="A8" t="s">
        <v>32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25">
      <c r="A7" t="s">
        <v>31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25">
      <c r="A8" t="s">
        <v>32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f>Data!I80</f>
        <v>0.13060041262200001</v>
      </c>
      <c r="C2">
        <f>Data!J80</f>
        <v>0.18534942239376065</v>
      </c>
      <c r="D2">
        <f>Data!K80</f>
        <v>0.20291072063493176</v>
      </c>
      <c r="E2">
        <f>Data!L80</f>
        <v>0.22544914395371735</v>
      </c>
      <c r="F2">
        <f>Data!M80</f>
        <v>0.25392566991561405</v>
      </c>
      <c r="G2">
        <f>Data!N80</f>
        <v>0.28920108774646175</v>
      </c>
      <c r="H2">
        <f>Data!O80</f>
        <v>0.33184487033618731</v>
      </c>
      <c r="I2">
        <f>Data!P80</f>
        <v>0.38190079577122726</v>
      </c>
      <c r="J2">
        <f>Data!Q80</f>
        <v>0.43866667377928981</v>
      </c>
      <c r="K2">
        <f>Data!R80</f>
        <v>0.50057991291156378</v>
      </c>
      <c r="L2">
        <f>Data!S80</f>
        <v>0.56530020631099998</v>
      </c>
      <c r="M2">
        <f>Data!T80</f>
        <v>0.63002049971043617</v>
      </c>
      <c r="N2">
        <f>Data!U80</f>
        <v>0.69193373884271026</v>
      </c>
      <c r="O2">
        <f>Data!V80</f>
        <v>0.74869961685077269</v>
      </c>
      <c r="P2">
        <f>Data!W80</f>
        <v>0.7987555422858128</v>
      </c>
      <c r="Q2">
        <f>Data!X80</f>
        <v>0.84139932487553826</v>
      </c>
      <c r="R2">
        <f>Data!Y80</f>
        <v>0.87667474270638612</v>
      </c>
      <c r="S2">
        <f>Data!Z80</f>
        <v>0.90515126866828277</v>
      </c>
      <c r="T2">
        <f>Data!AA80</f>
        <v>0.9276896919870683</v>
      </c>
      <c r="U2">
        <f>Data!AB80</f>
        <v>0.94525099022823955</v>
      </c>
      <c r="V2">
        <f>Data!AC80</f>
        <v>0.95876796542838227</v>
      </c>
      <c r="W2">
        <f>Data!AD80</f>
        <v>0.96907442272382549</v>
      </c>
      <c r="X2">
        <f>Data!AE80</f>
        <v>0.97687658475877748</v>
      </c>
      <c r="Y2">
        <f>Data!AF80</f>
        <v>0.98275084638133969</v>
      </c>
      <c r="Z2">
        <f>Data!AG80</f>
        <v>0.98715546294195899</v>
      </c>
      <c r="AA2">
        <f>Data!AH80</f>
        <v>0.99044795661041651</v>
      </c>
      <c r="AB2">
        <f>Data!AI80</f>
        <v>0.99290346400749918</v>
      </c>
    </row>
    <row r="3" spans="1:28" x14ac:dyDescent="0.25">
      <c r="A3" t="s">
        <v>2</v>
      </c>
      <c r="B3">
        <f>Data!I81</f>
        <v>9.1108650682499996E-5</v>
      </c>
      <c r="C3">
        <f>Data!J81</f>
        <v>9.1108650682499996E-5</v>
      </c>
      <c r="D3">
        <f>Data!K81</f>
        <v>9.1108650682499996E-5</v>
      </c>
      <c r="E3">
        <f>Data!L81</f>
        <v>9.1108650682499996E-5</v>
      </c>
      <c r="F3">
        <f>Data!M81</f>
        <v>9.1108650682499996E-5</v>
      </c>
      <c r="G3">
        <f>Data!N81</f>
        <v>9.1108650682499996E-5</v>
      </c>
      <c r="H3">
        <f>Data!O81</f>
        <v>9.1108650682499996E-5</v>
      </c>
      <c r="I3">
        <f>Data!P81</f>
        <v>9.1108650682499996E-5</v>
      </c>
      <c r="J3">
        <f>Data!Q81</f>
        <v>9.1108650682499996E-5</v>
      </c>
      <c r="K3">
        <f>Data!R81</f>
        <v>9.1108650682499996E-5</v>
      </c>
      <c r="L3">
        <f>Data!S81</f>
        <v>9.1108650682499996E-5</v>
      </c>
      <c r="M3">
        <f>Data!T81</f>
        <v>9.1108650682499996E-5</v>
      </c>
      <c r="N3">
        <f>Data!U81</f>
        <v>9.1108650682499996E-5</v>
      </c>
      <c r="O3">
        <f>Data!V81</f>
        <v>9.1108650682499996E-5</v>
      </c>
      <c r="P3">
        <f>Data!W81</f>
        <v>9.1108650682499996E-5</v>
      </c>
      <c r="Q3">
        <f>Data!X81</f>
        <v>9.1108650682499996E-5</v>
      </c>
      <c r="R3">
        <f>Data!Y81</f>
        <v>9.1108650682499996E-5</v>
      </c>
      <c r="S3">
        <f>Data!Z81</f>
        <v>9.1108650682499996E-5</v>
      </c>
      <c r="T3">
        <f>Data!AA81</f>
        <v>9.1108650682499996E-5</v>
      </c>
      <c r="U3">
        <f>Data!AB81</f>
        <v>9.1108650682499996E-5</v>
      </c>
      <c r="V3">
        <f>Data!AC81</f>
        <v>9.1108650682499996E-5</v>
      </c>
      <c r="W3">
        <f>Data!AD81</f>
        <v>9.1108650682499996E-5</v>
      </c>
      <c r="X3">
        <f>Data!AE81</f>
        <v>9.1108650682499996E-5</v>
      </c>
      <c r="Y3">
        <f>Data!AF81</f>
        <v>9.1108650682499996E-5</v>
      </c>
      <c r="Z3">
        <f>Data!AG81</f>
        <v>9.1108650682499996E-5</v>
      </c>
      <c r="AA3">
        <f>Data!AH81</f>
        <v>9.1108650682499996E-5</v>
      </c>
      <c r="AB3">
        <f>Data!AI81</f>
        <v>9.1108650682499996E-5</v>
      </c>
    </row>
    <row r="4" spans="1:28" x14ac:dyDescent="0.25">
      <c r="A4" t="s">
        <v>3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25">
      <c r="A5" t="s">
        <v>4</v>
      </c>
      <c r="B5">
        <f>Data!I83</f>
        <v>6.0801825684799998E-2</v>
      </c>
      <c r="C5">
        <f>Data!J83</f>
        <v>6.0801825684799998E-2</v>
      </c>
      <c r="D5">
        <f>Data!K83</f>
        <v>6.0801825684799998E-2</v>
      </c>
      <c r="E5">
        <f>Data!L83</f>
        <v>6.0801825684799998E-2</v>
      </c>
      <c r="F5">
        <f>Data!M83</f>
        <v>6.0801825684799998E-2</v>
      </c>
      <c r="G5">
        <f>Data!N83</f>
        <v>6.0801825684799998E-2</v>
      </c>
      <c r="H5">
        <f>Data!O83</f>
        <v>6.0801825684799998E-2</v>
      </c>
      <c r="I5">
        <f>Data!P83</f>
        <v>6.0801825684799998E-2</v>
      </c>
      <c r="J5">
        <f>Data!Q83</f>
        <v>6.0801825684799998E-2</v>
      </c>
      <c r="K5">
        <f>Data!R83</f>
        <v>6.0801825684799998E-2</v>
      </c>
      <c r="L5">
        <f>Data!S83</f>
        <v>6.0801825684799998E-2</v>
      </c>
      <c r="M5">
        <f>Data!T83</f>
        <v>6.0801825684799998E-2</v>
      </c>
      <c r="N5">
        <f>Data!U83</f>
        <v>6.0801825684799998E-2</v>
      </c>
      <c r="O5">
        <f>Data!V83</f>
        <v>6.0801825684799998E-2</v>
      </c>
      <c r="P5">
        <f>Data!W83</f>
        <v>6.0801825684799998E-2</v>
      </c>
      <c r="Q5">
        <f>Data!X83</f>
        <v>6.0801825684799998E-2</v>
      </c>
      <c r="R5">
        <f>Data!Y83</f>
        <v>6.0801825684799998E-2</v>
      </c>
      <c r="S5">
        <f>Data!Z83</f>
        <v>6.0801825684799998E-2</v>
      </c>
      <c r="T5">
        <f>Data!AA83</f>
        <v>6.0801825684799998E-2</v>
      </c>
      <c r="U5">
        <f>Data!AB83</f>
        <v>6.0801825684799998E-2</v>
      </c>
      <c r="V5">
        <f>Data!AC83</f>
        <v>6.0801825684799998E-2</v>
      </c>
      <c r="W5">
        <f>Data!AD83</f>
        <v>6.0801825684799998E-2</v>
      </c>
      <c r="X5">
        <f>Data!AE83</f>
        <v>6.0801825684799998E-2</v>
      </c>
      <c r="Y5">
        <f>Data!AF83</f>
        <v>6.0801825684799998E-2</v>
      </c>
      <c r="Z5">
        <f>Data!AG83</f>
        <v>6.0801825684799998E-2</v>
      </c>
      <c r="AA5">
        <f>Data!AH83</f>
        <v>6.0801825684799998E-2</v>
      </c>
      <c r="AB5">
        <f>Data!AI83</f>
        <v>6.0801825684799998E-2</v>
      </c>
    </row>
    <row r="6" spans="1:28" x14ac:dyDescent="0.25">
      <c r="A6" t="s">
        <v>5</v>
      </c>
      <c r="B6">
        <f>Data!I84</f>
        <v>0</v>
      </c>
      <c r="C6">
        <f>Data!J84</f>
        <v>1.5502361933759918E-3</v>
      </c>
      <c r="D6">
        <f>Data!K84</f>
        <v>2.0818393161168456E-3</v>
      </c>
      <c r="E6">
        <f>Data!L84</f>
        <v>2.7908172213154192E-3</v>
      </c>
      <c r="F6">
        <f>Data!M84</f>
        <v>3.7324777824171446E-3</v>
      </c>
      <c r="G6">
        <f>Data!N84</f>
        <v>4.9763873957167403E-3</v>
      </c>
      <c r="H6">
        <f>Data!O84</f>
        <v>6.6077816675024067E-3</v>
      </c>
      <c r="I6">
        <f>Data!P84</f>
        <v>8.7272944232455497E-3</v>
      </c>
      <c r="J6">
        <f>Data!Q84</f>
        <v>1.1447507647943856E-2</v>
      </c>
      <c r="K6">
        <f>Data!R84</f>
        <v>1.4884403894827813E-2</v>
      </c>
      <c r="L6">
        <f>Data!S84</f>
        <v>1.9141873760089034E-2</v>
      </c>
      <c r="M6">
        <f>Data!T84</f>
        <v>2.4288648213253456E-2</v>
      </c>
      <c r="N6">
        <f>Data!U84</f>
        <v>3.0330010930467905E-2</v>
      </c>
      <c r="O6">
        <f>Data!V84</f>
        <v>3.7181212981519933E-2</v>
      </c>
      <c r="P6">
        <f>Data!W84</f>
        <v>4.4653661674554562E-2</v>
      </c>
      <c r="Q6">
        <f>Data!X84</f>
        <v>5.2464900088235525E-2</v>
      </c>
      <c r="R6">
        <f>Data!Y84</f>
        <v>6.0276138501916494E-2</v>
      </c>
      <c r="S6">
        <f>Data!Z84</f>
        <v>6.774858719495111E-2</v>
      </c>
      <c r="T6">
        <f>Data!AA84</f>
        <v>7.4599789246003134E-2</v>
      </c>
      <c r="U6">
        <f>Data!AB84</f>
        <v>8.0641151963217597E-2</v>
      </c>
      <c r="V6">
        <f>Data!AC84</f>
        <v>8.5787926416382013E-2</v>
      </c>
      <c r="W6">
        <f>Data!AD84</f>
        <v>9.004539628164325E-2</v>
      </c>
      <c r="X6">
        <f>Data!AE84</f>
        <v>9.3482292528527203E-2</v>
      </c>
      <c r="Y6">
        <f>Data!AF84</f>
        <v>9.6202505753225503E-2</v>
      </c>
      <c r="Z6">
        <f>Data!AG84</f>
        <v>9.8322018508968642E-2</v>
      </c>
      <c r="AA6">
        <f>Data!AH84</f>
        <v>9.9953412780754314E-2</v>
      </c>
      <c r="AB6">
        <f>Data!AI84</f>
        <v>0.10119732239405391</v>
      </c>
    </row>
    <row r="7" spans="1:28" x14ac:dyDescent="0.25">
      <c r="A7" t="s">
        <v>31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25">
      <c r="A8" t="s">
        <v>32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x14ac:dyDescent="0.25">
      <c r="A1" s="19" t="s">
        <v>33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31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25">
      <c r="A8" t="s">
        <v>32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2017-07-01T03:43:09Z</dcterms:created>
  <dcterms:modified xsi:type="dcterms:W3CDTF">2026-04-16T15:44:51Z</dcterms:modified>
</cp:coreProperties>
</file>