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EBE48FF3-7A01-4D30-8721-C3F5129681FF}" xr6:coauthVersionLast="47" xr6:coauthVersionMax="47" xr10:uidLastSave="{00000000-0000-0000-0000-000000000000}"/>
  <bookViews>
    <workbookView xWindow="38280" yWindow="-120" windowWidth="29040" windowHeight="17520" activeTab="4" xr2:uid="{00000000-000D-0000-FFFF-FFFF00000000}"/>
  </bookViews>
  <sheets>
    <sheet name="About" sheetId="1" r:id="rId1"/>
    <sheet name="SYVbT-passenger" sheetId="6" r:id="rId2"/>
    <sheet name="Manufacturing Capacity Checks" sheetId="20" r:id="rId3"/>
    <sheet name="AEO Table 38" sheetId="21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3" l="1"/>
  <c r="C7" i="20"/>
  <c r="C6" i="20"/>
  <c r="B7" i="20"/>
  <c r="B6" i="20"/>
  <c r="C5" i="20"/>
  <c r="B5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B2" i="20"/>
  <c r="F80" i="3"/>
  <c r="F81" i="3"/>
  <c r="F82" i="3"/>
  <c r="F83" i="3"/>
  <c r="F84" i="3"/>
  <c r="F85" i="3"/>
  <c r="F86" i="3"/>
  <c r="F37" i="3"/>
  <c r="F36" i="3"/>
  <c r="F35" i="3"/>
  <c r="F33" i="3"/>
  <c r="F32" i="3"/>
  <c r="F30" i="3"/>
  <c r="F29" i="3"/>
  <c r="F28" i="3"/>
  <c r="F26" i="3"/>
  <c r="F25" i="3"/>
  <c r="F23" i="3"/>
  <c r="F22" i="3"/>
  <c r="F21" i="3"/>
  <c r="F19" i="3"/>
  <c r="F18" i="3"/>
  <c r="F16" i="3"/>
  <c r="F15" i="3"/>
  <c r="F13" i="3"/>
  <c r="F11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K14" i="3"/>
  <c r="L10" i="3"/>
  <c r="E14" i="3"/>
  <c r="D81" i="3" l="1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I10" i="3"/>
  <c r="J10" i="3"/>
  <c r="B1" i="2"/>
  <c r="J9" i="3"/>
  <c r="J24" i="3" l="1"/>
  <c r="I24" i="3"/>
  <c r="J14" i="3" l="1"/>
  <c r="I14" i="3"/>
  <c r="B2" i="2" l="1"/>
  <c r="K9" i="3" l="1"/>
  <c r="I31" i="3" l="1"/>
  <c r="E52" i="3" l="1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I15" i="3"/>
  <c r="B7" i="2" s="1"/>
  <c r="G16" i="3" l="1"/>
  <c r="I16" i="3"/>
  <c r="B8" i="2" s="1"/>
  <c r="G15" i="3"/>
  <c r="I18" i="3" l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I35" i="3"/>
  <c r="I33" i="3"/>
  <c r="I32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C6" i="2" l="1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14" i="3" l="1"/>
  <c r="L36" i="3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K2" i="9" s="1"/>
  <c r="L24" i="3"/>
  <c r="E2" i="9" s="1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F2" i="10" s="1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C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K17" i="3" l="1"/>
  <c r="N17" i="3"/>
  <c r="P17" i="3"/>
  <c r="Q17" i="3"/>
  <c r="J2" i="8" s="1"/>
  <c r="R17" i="3"/>
  <c r="K2" i="8" s="1"/>
  <c r="S17" i="3"/>
  <c r="L2" i="8" s="1"/>
  <c r="J17" i="3"/>
  <c r="C2" i="8" s="1"/>
  <c r="L17" i="3"/>
  <c r="E2" i="8" s="1"/>
  <c r="M17" i="3"/>
  <c r="F2" i="8" s="1"/>
  <c r="O17" i="3"/>
  <c r="H2" i="8" s="1"/>
  <c r="N10" i="3"/>
  <c r="G2" i="2" s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E2" i="2"/>
  <c r="D2" i="2"/>
  <c r="S80" i="3"/>
  <c r="L2" i="17" s="1"/>
  <c r="L6" i="2"/>
  <c r="D2" i="8"/>
  <c r="I2" i="8"/>
  <c r="G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T17" i="3" s="1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17" i="3" l="1"/>
  <c r="N2" i="8" s="1"/>
  <c r="U24" i="3"/>
  <c r="N2" i="9" s="1"/>
  <c r="U10" i="3"/>
  <c r="N2" i="2" s="1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O6" i="2"/>
  <c r="V17" i="3"/>
  <c r="O2" i="8" s="1"/>
  <c r="V24" i="3"/>
  <c r="O2" i="9" s="1"/>
  <c r="V10" i="3"/>
  <c r="O2" i="2" s="1"/>
  <c r="V80" i="3"/>
  <c r="O2" i="17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7" i="3" l="1"/>
  <c r="P2" i="8" s="1"/>
  <c r="W10" i="3"/>
  <c r="P2" i="2" s="1"/>
  <c r="W24" i="3"/>
  <c r="P2" i="9" s="1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7" i="3" l="1"/>
  <c r="X24" i="3"/>
  <c r="Q2" i="9" s="1"/>
  <c r="Q6" i="2"/>
  <c r="X10" i="3"/>
  <c r="Q2" i="2" s="1"/>
  <c r="X31" i="3"/>
  <c r="Q2" i="10" s="1"/>
  <c r="Q2" i="8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Y24" i="3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17" i="3" l="1"/>
  <c r="Z24" i="3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T6" i="2" l="1"/>
  <c r="AA17" i="3"/>
  <c r="AA31" i="3"/>
  <c r="T2" i="10" s="1"/>
  <c r="AA24" i="3"/>
  <c r="T2" i="9" s="1"/>
  <c r="AA10" i="3"/>
  <c r="T2" i="2" s="1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17" i="3" l="1"/>
  <c r="AB24" i="3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17" i="3" l="1"/>
  <c r="V2" i="8" s="1"/>
  <c r="AC24" i="3"/>
  <c r="V2" i="9" s="1"/>
  <c r="AC10" i="3"/>
  <c r="V2" i="2" s="1"/>
  <c r="AC31" i="3"/>
  <c r="V2" i="10" s="1"/>
  <c r="V6" i="2"/>
  <c r="AC80" i="3"/>
  <c r="V2" i="17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W6" i="2" l="1"/>
  <c r="AD17" i="3"/>
  <c r="AD24" i="3"/>
  <c r="W2" i="9" s="1"/>
  <c r="AD10" i="3"/>
  <c r="W2" i="2" s="1"/>
  <c r="AD31" i="3"/>
  <c r="W2" i="10" s="1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X6" i="2" l="1"/>
  <c r="AE17" i="3"/>
  <c r="X2" i="8" s="1"/>
  <c r="AE24" i="3"/>
  <c r="X2" i="9" s="1"/>
  <c r="AE10" i="3"/>
  <c r="X2" i="2" s="1"/>
  <c r="AE31" i="3"/>
  <c r="X2" i="10" s="1"/>
  <c r="AE80" i="3"/>
  <c r="X2" i="17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Y6" i="2" l="1"/>
  <c r="AF17" i="3"/>
  <c r="AF24" i="3"/>
  <c r="Y2" i="9" s="1"/>
  <c r="AF10" i="3"/>
  <c r="AF31" i="3"/>
  <c r="Y2" i="10" s="1"/>
  <c r="AF80" i="3"/>
  <c r="Y2" i="17" s="1"/>
  <c r="Y2" i="8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Z6" i="2" l="1"/>
  <c r="AG17" i="3"/>
  <c r="AG10" i="3"/>
  <c r="Z2" i="2" s="1"/>
  <c r="AG24" i="3"/>
  <c r="Z2" i="9" s="1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7" i="3" l="1"/>
  <c r="AH10" i="3"/>
  <c r="AA2" i="2" s="1"/>
  <c r="AH24" i="3"/>
  <c r="AA2" i="9" s="1"/>
  <c r="AH31" i="3"/>
  <c r="AA2" i="10" s="1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17" i="3" l="1"/>
  <c r="AI24" i="3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C6" i="2" l="1"/>
  <c r="AC2" i="9"/>
  <c r="AC2" i="2"/>
  <c r="AC2" i="10"/>
  <c r="AC2" i="8"/>
  <c r="AC2" i="17"/>
  <c r="AC7" i="10"/>
  <c r="AC8" i="10"/>
  <c r="AC7" i="11"/>
  <c r="AC8" i="12"/>
  <c r="AC7" i="13"/>
  <c r="AC8" i="11"/>
  <c r="AC7" i="12"/>
  <c r="AC8" i="13"/>
  <c r="AC8" i="15"/>
  <c r="AC7" i="16"/>
  <c r="AC8" i="17"/>
  <c r="AC7" i="14"/>
  <c r="AC8" i="14"/>
  <c r="AC7" i="15"/>
  <c r="AC8" i="16"/>
  <c r="AC7" i="17"/>
  <c r="AC8" i="9"/>
  <c r="AC7" i="9"/>
  <c r="AC7" i="8"/>
  <c r="AC7" i="2"/>
  <c r="AC3" i="8"/>
  <c r="AC8" i="2"/>
  <c r="AC8" i="8"/>
  <c r="AC3" i="13"/>
  <c r="AC6" i="11"/>
  <c r="AC5" i="16"/>
  <c r="AC4" i="14"/>
  <c r="AC3" i="12"/>
  <c r="AC4" i="17"/>
  <c r="AC5" i="14"/>
  <c r="AC5" i="11"/>
  <c r="AC4" i="16"/>
  <c r="AC6" i="15"/>
  <c r="AC2" i="13"/>
  <c r="AC2" i="15"/>
  <c r="AC5" i="10"/>
  <c r="AC6" i="12"/>
  <c r="AC4" i="11"/>
  <c r="AC4" i="12"/>
  <c r="AC3" i="16"/>
  <c r="AC5" i="15"/>
  <c r="AC5" i="13"/>
  <c r="AC4" i="8"/>
  <c r="AC6" i="16"/>
  <c r="AC2" i="16"/>
  <c r="AC2" i="14"/>
  <c r="AC4" i="13"/>
  <c r="AC2" i="12"/>
  <c r="AC5" i="9"/>
  <c r="AC4" i="15"/>
  <c r="AC6" i="13"/>
  <c r="AC2" i="11"/>
  <c r="AC3" i="15"/>
  <c r="AC3" i="14"/>
  <c r="AC5" i="12"/>
  <c r="AC3" i="11"/>
  <c r="AC6" i="14"/>
  <c r="AC5" i="8"/>
  <c r="AC3" i="17"/>
  <c r="AC6" i="17"/>
  <c r="AC4" i="10"/>
  <c r="AC4" i="9"/>
  <c r="AC5" i="17"/>
  <c r="AC6" i="10"/>
  <c r="AC3" i="10"/>
  <c r="AC6" i="9"/>
  <c r="AC6" i="8"/>
  <c r="AC3" i="9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D2" i="9" l="1"/>
  <c r="AD2" i="10"/>
  <c r="AD2" i="17"/>
  <c r="AD2" i="8"/>
  <c r="AD7" i="10"/>
  <c r="AD8" i="10"/>
  <c r="AD8" i="13"/>
  <c r="AD7" i="11"/>
  <c r="AD8" i="12"/>
  <c r="AD7" i="13"/>
  <c r="AD8" i="11"/>
  <c r="AD7" i="12"/>
  <c r="AD8" i="15"/>
  <c r="AD7" i="16"/>
  <c r="AD7" i="14"/>
  <c r="AD8" i="14"/>
  <c r="AD7" i="15"/>
  <c r="AD8" i="16"/>
  <c r="AD7" i="17"/>
  <c r="AD7" i="8"/>
  <c r="AD8" i="9"/>
  <c r="AD8" i="17"/>
  <c r="AD7" i="9"/>
  <c r="AD3" i="8"/>
  <c r="AD8" i="8"/>
  <c r="AD3" i="13"/>
  <c r="AD6" i="11"/>
  <c r="AD5" i="16"/>
  <c r="AD4" i="17"/>
  <c r="AD4" i="14"/>
  <c r="AD2" i="13"/>
  <c r="AD4" i="16"/>
  <c r="AD5" i="14"/>
  <c r="AD5" i="11"/>
  <c r="AD6" i="15"/>
  <c r="AD3" i="12"/>
  <c r="AD2" i="15"/>
  <c r="AD3" i="15"/>
  <c r="AD2" i="12"/>
  <c r="AD4" i="8"/>
  <c r="AD6" i="16"/>
  <c r="AD6" i="13"/>
  <c r="AD2" i="11"/>
  <c r="AD3" i="16"/>
  <c r="AD2" i="16"/>
  <c r="AD2" i="14"/>
  <c r="AD4" i="12"/>
  <c r="AD6" i="12"/>
  <c r="AD4" i="11"/>
  <c r="AD5" i="15"/>
  <c r="AD4" i="15"/>
  <c r="AD5" i="10"/>
  <c r="AD3" i="14"/>
  <c r="AD5" i="13"/>
  <c r="AD5" i="9"/>
  <c r="AD5" i="12"/>
  <c r="AD3" i="11"/>
  <c r="AD6" i="14"/>
  <c r="AD4" i="13"/>
  <c r="AD5" i="8"/>
  <c r="AD6" i="17"/>
  <c r="AD3" i="17"/>
  <c r="AD4" i="10"/>
  <c r="AD4" i="9"/>
  <c r="AD5" i="17"/>
  <c r="AD6" i="10"/>
  <c r="AD6" i="9"/>
  <c r="AD3" i="10"/>
  <c r="AD3" i="9"/>
  <c r="AD6" i="8"/>
  <c r="AD1" i="17"/>
  <c r="AD1" i="15"/>
  <c r="AD1" i="13"/>
  <c r="AD1" i="11"/>
  <c r="AD1" i="9"/>
  <c r="AD1" i="14"/>
  <c r="AD1" i="12"/>
  <c r="AD1" i="18"/>
  <c r="AD1" i="10"/>
  <c r="AD1" i="16"/>
  <c r="AD1" i="8"/>
  <c r="AE2" i="9" l="1"/>
  <c r="AE2" i="10"/>
  <c r="AE2" i="17"/>
  <c r="AE2" i="8"/>
  <c r="AE7" i="10"/>
  <c r="AE8" i="10"/>
  <c r="AE8" i="11"/>
  <c r="AE7" i="12"/>
  <c r="AE8" i="13"/>
  <c r="AE7" i="14"/>
  <c r="AE7" i="9"/>
  <c r="AE7" i="11"/>
  <c r="AE8" i="12"/>
  <c r="AE7" i="13"/>
  <c r="AE8" i="14"/>
  <c r="AE7" i="15"/>
  <c r="AE8" i="16"/>
  <c r="AE7" i="17"/>
  <c r="AE8" i="15"/>
  <c r="AE7" i="16"/>
  <c r="AE8" i="9"/>
  <c r="AE7" i="8"/>
  <c r="AE8" i="17"/>
  <c r="AE3" i="8"/>
  <c r="AE8" i="8"/>
  <c r="AE6" i="11"/>
  <c r="AE3" i="13"/>
  <c r="AE4" i="17"/>
  <c r="AE4" i="16"/>
  <c r="AE6" i="15"/>
  <c r="AE2" i="15"/>
  <c r="AE2" i="13"/>
  <c r="AE5" i="16"/>
  <c r="AE4" i="14"/>
  <c r="AE5" i="14"/>
  <c r="AE3" i="12"/>
  <c r="AE5" i="11"/>
  <c r="AE5" i="10"/>
  <c r="AE3" i="16"/>
  <c r="AE5" i="13"/>
  <c r="AE3" i="11"/>
  <c r="AE6" i="14"/>
  <c r="AE6" i="13"/>
  <c r="AE4" i="12"/>
  <c r="AE5" i="15"/>
  <c r="AE2" i="14"/>
  <c r="AE2" i="11"/>
  <c r="AE6" i="12"/>
  <c r="AE2" i="12"/>
  <c r="AE4" i="11"/>
  <c r="AE5" i="9"/>
  <c r="AE4" i="8"/>
  <c r="AE5" i="12"/>
  <c r="AE6" i="16"/>
  <c r="AE2" i="16"/>
  <c r="AE3" i="15"/>
  <c r="AE3" i="14"/>
  <c r="AE4" i="15"/>
  <c r="AE4" i="13"/>
  <c r="AE5" i="8"/>
  <c r="AE6" i="17"/>
  <c r="AE3" i="17"/>
  <c r="AE4" i="9"/>
  <c r="AE4" i="10"/>
  <c r="AE5" i="17"/>
  <c r="AE6" i="10"/>
  <c r="AE6" i="9"/>
  <c r="AE3" i="9"/>
  <c r="AE6" i="8"/>
  <c r="AE3" i="10"/>
  <c r="AE1" i="18"/>
  <c r="AE1" i="16"/>
  <c r="AE1" i="14"/>
  <c r="AE1" i="12"/>
  <c r="AE1" i="10"/>
  <c r="AE1" i="17"/>
  <c r="AE1" i="15"/>
  <c r="AE1" i="13"/>
  <c r="AE1" i="11"/>
  <c r="AE1" i="8"/>
  <c r="AE1" i="9"/>
</calcChain>
</file>

<file path=xl/sharedStrings.xml><?xml version="1.0" encoding="utf-8"?>
<sst xmlns="http://schemas.openxmlformats.org/spreadsheetml/2006/main" count="602" uniqueCount="297">
  <si>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</si>
  <si>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</si>
  <si>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</si>
  <si>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</si>
  <si>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</si>
  <si>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</si>
  <si>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</si>
  <si>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</si>
  <si>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</si>
  <si>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</si>
  <si>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</si>
  <si>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</si>
  <si>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</si>
  <si>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</si>
  <si>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</si>
  <si>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</si>
  <si>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</si>
  <si>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</si>
  <si>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</si>
  <si>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</si>
  <si>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</si>
  <si>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- -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</si>
  <si>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</si>
  <si>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</si>
  <si>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</si>
  <si>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</si>
  <si>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</si>
  <si>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</si>
  <si>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</si>
  <si>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</si>
  <si>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</si>
  <si>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</si>
  <si>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</si>
  <si>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</si>
  <si>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First and Last Simulated Year Values</t>
  </si>
  <si>
    <t>See SYVbT variable.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</si>
  <si>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</si>
  <si>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</si>
  <si>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</si>
  <si>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</si>
  <si>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</si>
  <si>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</si>
  <si>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</si>
  <si>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</si>
  <si>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</si>
  <si>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</si>
  <si>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</si>
  <si>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</si>
  <si>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</si>
  <si>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</si>
  <si>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</si>
  <si>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</si>
  <si>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</si>
  <si>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</si>
  <si>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</si>
  <si>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</si>
  <si>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</si>
  <si>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</si>
  <si>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</si>
  <si>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</si>
  <si>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</si>
  <si>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</si>
  <si>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</si>
  <si>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</si>
  <si>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</si>
  <si>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</si>
  <si>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</si>
  <si>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</si>
  <si>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</si>
  <si>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</si>
  <si>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</si>
  <si>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</si>
  <si>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</si>
  <si>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</si>
  <si>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</si>
  <si>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</si>
  <si>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</si>
  <si>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</si>
  <si>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</si>
  <si>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</si>
  <si>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</si>
  <si>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</si>
  <si>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</si>
  <si>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</si>
  <si>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</si>
  <si>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</si>
  <si>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</si>
  <si>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</si>
  <si>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</si>
  <si>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</si>
  <si>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>Table 39</t>
  </si>
  <si>
    <t>Table 49</t>
  </si>
  <si>
    <t>https://www.eia.gov/outlooks/aeo/supplement/excel/suptab_39.xlsx</t>
  </si>
  <si>
    <t>https://www.eia.gov/outlooks/aeo/supplement/excel/suptab_49.xlsx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</si>
  <si>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</si>
  <si>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</si>
  <si>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</si>
  <si>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Many organizations have released projections.</t>
  </si>
  <si>
    <t>See an explanation on the Assumptions page for how the passenger LDV</t>
  </si>
  <si>
    <t>values were calibrated against one such source.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</si>
  <si>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</si>
  <si>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</si>
  <si>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</si>
  <si>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</si>
  <si>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</si>
  <si>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</si>
  <si>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</si>
  <si>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</si>
  <si>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</si>
  <si>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</si>
  <si>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</si>
  <si>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</si>
  <si>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</si>
  <si>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</si>
  <si>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</si>
  <si>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</si>
  <si>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</si>
  <si>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</si>
  <si>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</si>
  <si>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</si>
  <si>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</si>
  <si>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</si>
  <si>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</si>
  <si>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</si>
  <si>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</si>
  <si>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</si>
  <si>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</si>
  <si>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</si>
  <si>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</si>
  <si>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</si>
  <si>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</si>
  <si>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</si>
  <si>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</si>
  <si>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</si>
  <si>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</si>
  <si>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</si>
  <si>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</si>
  <si>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</si>
  <si>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</si>
  <si>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</si>
  <si>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Psgr LDVs only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</si>
  <si>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</si>
  <si>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</si>
  <si>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</si>
  <si>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</si>
  <si>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</si>
  <si>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</si>
  <si>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</si>
  <si>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</si>
  <si>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</si>
  <si>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</si>
  <si>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Sigmoidal Curve Values for battery electric passenger HDV Technologies</t>
  </si>
  <si>
    <t>Sigmoidal Curve Values for PHEV passenger LDV Technologies</t>
  </si>
  <si>
    <t>Historical Year Values</t>
  </si>
  <si>
    <t>For certain onroad technologies, we calibrate historical year values</t>
  </si>
  <si>
    <t>to match with real-world sales.</t>
  </si>
  <si>
    <t>PHEV Values, passengre LDVs</t>
  </si>
  <si>
    <t>We also use calibration for PHEV values between 2027-2032,</t>
  </si>
  <si>
    <t>in order to align with EPA's projected split between BEVs and PHEVs</t>
  </si>
  <si>
    <t>in their tailpipe rules analysis.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</si>
  <si>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</si>
  <si>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</si>
  <si>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</si>
  <si>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</si>
  <si>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</si>
  <si>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</si>
  <si>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Annual Energy Outlook 2025</t>
  </si>
  <si>
    <t>Alternative Transportation</t>
  </si>
  <si>
    <t>Table 38.  Light-Duty Vehicle Sales by Technology Type</t>
  </si>
  <si>
    <t>https://www.eia.gov/outlooks/aeo/data/browser/#/?id=48-AEO2025&amp;cases=alttrnp&amp;sourcekey=0</t>
  </si>
  <si>
    <t>Mon Jan 26 2026 11:28:44 GMT-0800 (Pacific Standard Time)</t>
  </si>
  <si>
    <t>New Car Sales</t>
  </si>
  <si>
    <t>Light-Duty Vehicle Sales: Conventional Cars: Gasoline: Alternative Transportation</t>
  </si>
  <si>
    <t>AEO.2025.ALTTRNP.ECI_SAL_TRN_CAR_GSL_NA_NA_TH.A</t>
  </si>
  <si>
    <t>Light-Duty Vehicle Sales: Conventional Cars: TDI Diesel: Alternative Transportation</t>
  </si>
  <si>
    <t>AEO.2025.ALTTRNP.ECI_SAL_TRN_CAR_TDS_NA_NA_TH.A</t>
  </si>
  <si>
    <t>Light-Duty Vehicle Sales: Conventional Cars: Total: Alternative Transportation</t>
  </si>
  <si>
    <t>AEO.2025.ALTTRNP.ECI_SAL_TRN_CAR_CNV_NA_NA_TH.A</t>
  </si>
  <si>
    <t>Light-Duty Vehicle Sales: Alternative-Fuel Cars: Ethanol-Flex Fuel ICE: Alternative Transportation</t>
  </si>
  <si>
    <t>AEO.2025.ALTTRNP.ECI_SAL_TRN_CAR_EFFI_NA_NA_TH.A</t>
  </si>
  <si>
    <t>Light-Duty Vehicle Sales: Alternative-Fuel Cars: 100-Mile Electric Vehicle: Alternative Transportation</t>
  </si>
  <si>
    <t>AEO.2025.ALTTRNP.ECI_SAL_TRN_CAR_100MIEV_NA_NA_TH.A</t>
  </si>
  <si>
    <t>Light-Duty Vehicle Sales: Alternative-Fuel Cars: 200-Mile Electric Vehicle: Alternative Transportation</t>
  </si>
  <si>
    <t>AEO.2025.ALTTRNP.ECI_SAL_TRN_CAR_200MIEV_NA_NA_TH.A</t>
  </si>
  <si>
    <t>Light-Duty Vehicle Sales: Alternative-Fuel Cars: 300-Mile Electric Vehicle: Alternative Transportation</t>
  </si>
  <si>
    <t>AEO.2025.ALTTRNP.ECI_SAL_TRN_CAR_300MIEV_NA_NA_TH.A</t>
  </si>
  <si>
    <t>Light-Duty Vehicle Sales: Alternative-Fuel Cars: Plug-in 20 Gasoline Hybrid: Alternative Transportation</t>
  </si>
  <si>
    <t>AEO.2025.ALTTRNP.ECI_SAL_TRN_CAR_PI20GH_NA_NA_TH.A</t>
  </si>
  <si>
    <t>Light-Duty Vehicle Sales: Alternative-Fuel Cars: Plug-in 50 Gasoline Hybrid: Alternative Transportation</t>
  </si>
  <si>
    <t>AEO.2025.ALTTRNP.ECI_SAL_TRN_CAR_PI50GH_NA_NA_TH.A</t>
  </si>
  <si>
    <t>Light-Duty Vehicle Sales: Alternative-Fuel Cars: Electric-Diesel Hybrid: Alternative Transportation</t>
  </si>
  <si>
    <t>AEO.2025.ALTTRNP.ECI_SAL_TRN_CAR_EDH_NA_NA_TH.A</t>
  </si>
  <si>
    <t>Light-Duty Vehicle Sales: Alternative-Fuel Cars: Electric-Gasoline Hybrid: Alternative Transportation</t>
  </si>
  <si>
    <t>AEO.2025.ALTTRNP.ECI_SAL_TRN_CAR_EGH_NA_NA_TH.A</t>
  </si>
  <si>
    <t>Light-Duty Vehicle Sales: Alternative-Fuel Cars: Natural Gas ICE: Alternative Transportation</t>
  </si>
  <si>
    <t>AEO.2025.ALTTRNP.ECI_SAL_TRN_CAR_NGI_NA_NA_TH.A</t>
  </si>
  <si>
    <t>Light-Duty Vehicle Sales: Alternative-Fuel Cars: Natural Gas Bi-fuel: Alternative Transportation</t>
  </si>
  <si>
    <t>AEO.2025.ALTTRNP.ECI_SAL_TRN_CAR_NBF_NA_NA_TH.A</t>
  </si>
  <si>
    <t>Light-Duty Vehicle Sales: Alternative-Fuel Cars: Propane: Alternative Transportation</t>
  </si>
  <si>
    <t>AEO.2025.ALTTRNP.ECI_SAL_TRN_CAR_PROP_NA_NA_TH.A</t>
  </si>
  <si>
    <t>AEO.2025.ALTTRNP.ECI_SAL_TRN_CAR_PBF_NA_NA_TH.A</t>
  </si>
  <si>
    <t>Light-Duty Vehicle Sales: Alternative-Fuel Cars: Fuel Cell Methanol: Alternative Transportation</t>
  </si>
  <si>
    <t>AEO.2025.ALTTRNP.ECI_SAL_TRN_CAR_FCLMTH_NA_NA_TH.A</t>
  </si>
  <si>
    <t>Light-Duty Vehicle Sales: Alternative-Fuel cars: Fuel Cell Hydrogen: Alternative Transportation</t>
  </si>
  <si>
    <t>AEO.2025.ALTTRNP.ECI_SAL_TRN_CAR_FCH_NA_NA_TH.A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</si>
  <si>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</si>
  <si>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</si>
  <si>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</si>
  <si>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</si>
  <si>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</si>
  <si>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</si>
  <si>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</si>
  <si>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</si>
  <si>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</si>
  <si>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</si>
  <si>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</si>
  <si>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</si>
  <si>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</si>
  <si>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</si>
  <si>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Light-Duty Vehicle Sales: Conventional Light Trucks: Total: Alternative Transportation</t>
  </si>
  <si>
    <t>AEO.2025.ALTTRNP.ECI_SAL_TRN_LTK_CNV_NA_NA_TH.A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</si>
  <si>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</si>
  <si>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</si>
  <si>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</si>
  <si>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</si>
  <si>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</si>
  <si>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</si>
  <si>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</si>
  <si>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</si>
  <si>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</si>
  <si>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</si>
  <si>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</si>
  <si>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</si>
  <si>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</si>
  <si>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</si>
  <si>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</si>
  <si>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</si>
  <si>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</si>
  <si>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</si>
  <si>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</si>
  <si>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</si>
  <si>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</si>
  <si>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</si>
  <si>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</si>
  <si>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</si>
  <si>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</si>
  <si>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</si>
  <si>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</si>
  <si>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</si>
  <si>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</si>
  <si>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</si>
  <si>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</si>
  <si>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</si>
  <si>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</si>
  <si>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</si>
  <si>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</si>
  <si>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</si>
  <si>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</si>
  <si>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</si>
  <si>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</si>
  <si>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</si>
  <si>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</si>
  <si>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</si>
  <si>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</si>
  <si>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</si>
  <si>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</si>
  <si>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Light-Duty Vehicle Sales: Total Sales, Cars and Light Trucks: Conventional Gasoline: Alternative Transportation</t>
  </si>
  <si>
    <t>AEO.2025.ALTTRNP.ECI_SAL_TRN_LDTY_CVG_NA_NA_TH.A</t>
  </si>
  <si>
    <t>Light-Duty Vehicle Sales: Total Sales, Cars and Light Trucks: TDI Diesel: Alternative Transportation</t>
  </si>
  <si>
    <t>AEO.2025.ALTTRNP.ECI_SAL_TRN_LDTY_TDS_NA_NA_TH.A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</si>
  <si>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</si>
  <si>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</si>
  <si>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</si>
  <si>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</si>
  <si>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Light-Duty Vehicle Sales: Total Sales, Cars and Light Trucks: Plug-in Electric Hybrid: Alternative Transportation</t>
  </si>
  <si>
    <t>AEO.2025.ALTTRNP.ECI_SAL_TRN_LDTY_PIE_NA_NA_TH.A</t>
  </si>
  <si>
    <t>Light-Duty Vehicle Sales: Total Sales, Cars and Light Trucks: Electric Hybrid: Alternative Transportation</t>
  </si>
  <si>
    <t>AEO.2025.ALTTRNP.ECI_SAL_TRN_LDTY_EHY_NA_NA_TH.A</t>
  </si>
  <si>
    <t>Light-Duty Vehicle Sales: Total Sales, Cars and Light Trucks: Gaseous: Alternative Transportation</t>
  </si>
  <si>
    <t>AEO.2025.ALTTRNP.ECI_SAL_TRN_LDTY_GSU_NA_NA_TH.A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</si>
  <si>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</si>
  <si>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</si>
  <si>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</si>
  <si>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</si>
  <si>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</si>
  <si>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</si>
  <si>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</si>
  <si>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</si>
  <si>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</si>
  <si>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</si>
  <si>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</si>
  <si>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</si>
  <si>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</si>
  <si>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passenger LDV sales</t>
  </si>
  <si>
    <t>manufacturing capacity assumptions</t>
  </si>
  <si>
    <t>EV manufacturing capacity</t>
  </si>
  <si>
    <t>share of domestic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</si>
</sst>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0" fontId="0" fillId="0" borderId="0" xfId="0" applyNumberFormat="1"/>
    <xf numFmtId="0" fontId="6" fillId="0" borderId="0" xfId="8" applyAlignment="1"/>
    <xf numFmtId="9" fontId="0" fillId="0" borderId="0" xfId="10" applyFont="1"/>
    <xf numFmtId="164" fontId="5" fillId="0" borderId="0" xfId="0" applyNumberFormat="1" applyFont="1"/>
    <xf numFmtId="166" fontId="0" fillId="0" borderId="0" xfId="0" applyNumberFormat="1"/>
    <xf numFmtId="0" fontId="0" fillId="0" borderId="0" xfId="0" applyAlignment="1">
      <alignment wrapText="1"/>
    </xf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Data!$I$10:$AI$10</c:f>
              <c:numCache>
                <c:formatCode>0.0000</c:formatCode>
                <c:ptCount val="27"/>
                <c:pt idx="0" formatCode="General">
                  <c:v>8.2556397301899995E-2</c:v>
                </c:pt>
                <c:pt idx="1">
                  <c:v>6.6873740826300002E-2</c:v>
                </c:pt>
                <c:pt idx="2" formatCode="General">
                  <c:v>7.8393597159514841E-2</c:v>
                </c:pt>
                <c:pt idx="3" formatCode="General">
                  <c:v>8.383744382909665E-2</c:v>
                </c:pt>
                <c:pt idx="4" formatCode="General">
                  <c:v>9.1702346693592188E-2</c:v>
                </c:pt>
                <c:pt idx="5" formatCode="General">
                  <c:v>0.1028980197241021</c:v>
                </c:pt>
                <c:pt idx="6" formatCode="General">
                  <c:v>0.11850365652431405</c:v>
                </c:pt>
                <c:pt idx="7" formatCode="General">
                  <c:v>0.1396309892832005</c:v>
                </c:pt>
                <c:pt idx="8" formatCode="General">
                  <c:v>0.16713173544079279</c:v>
                </c:pt>
                <c:pt idx="9" formatCode="General">
                  <c:v>0.20115393406388254</c:v>
                </c:pt>
                <c:pt idx="10" formatCode="General">
                  <c:v>0.2406926533620381</c:v>
                </c:pt>
                <c:pt idx="11" formatCode="General">
                  <c:v>0.28343687041315002</c:v>
                </c:pt>
                <c:pt idx="12" formatCode="General">
                  <c:v>0.32618108746426189</c:v>
                </c:pt>
                <c:pt idx="13" formatCode="General">
                  <c:v>0.36571980676241744</c:v>
                </c:pt>
                <c:pt idx="14" formatCode="General">
                  <c:v>0.39974200538550725</c:v>
                </c:pt>
                <c:pt idx="15" formatCode="General">
                  <c:v>0.42724275154309949</c:v>
                </c:pt>
                <c:pt idx="16" formatCode="General">
                  <c:v>0.44837008430198594</c:v>
                </c:pt>
                <c:pt idx="17" formatCode="General">
                  <c:v>0.46397572110219792</c:v>
                </c:pt>
                <c:pt idx="18" formatCode="General">
                  <c:v>0.47517139413270781</c:v>
                </c:pt>
                <c:pt idx="19" formatCode="General">
                  <c:v>0.48303629699720335</c:v>
                </c:pt>
                <c:pt idx="20" formatCode="General">
                  <c:v>0.4884801436667851</c:v>
                </c:pt>
                <c:pt idx="21" formatCode="General">
                  <c:v>0.4922097001624065</c:v>
                </c:pt>
                <c:pt idx="22" formatCode="General">
                  <c:v>0.49474685632562987</c:v>
                </c:pt>
                <c:pt idx="23" formatCode="General">
                  <c:v>0.49646457609119271</c:v>
                </c:pt>
                <c:pt idx="24" formatCode="General">
                  <c:v>0.49762373988097219</c:v>
                </c:pt>
                <c:pt idx="25" formatCode="General">
                  <c:v>0.49840425895445883</c:v>
                </c:pt>
                <c:pt idx="26" formatCode="General">
                  <c:v>0.49892904198182053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30-40DF-9F66-E05480D5A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859439"/>
        <c:axId val="1816857039"/>
      </c:lineChart>
      <c:catAx>
        <c:axId val="181685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857039"/>
        <c:crosses val="autoZero"/>
        <c:auto val="1"/>
        <c:lblAlgn val="ctr"/>
        <c:lblOffset val="100"/>
        <c:noMultiLvlLbl val="0"/>
      </c:catAx>
      <c:valAx>
        <c:axId val="181685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85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Data!$I$10:$AI$10</c:f>
              <c:numCache>
                <c:formatCode>0.0000</c:formatCode>
                <c:ptCount val="27"/>
                <c:pt idx="0" formatCode="General">
                  <c:v>8.2556397301899995E-2</c:v>
                </c:pt>
                <c:pt idx="1">
                  <c:v>6.6873740826300002E-2</c:v>
                </c:pt>
                <c:pt idx="2" formatCode="General">
                  <c:v>7.8393597159514841E-2</c:v>
                </c:pt>
                <c:pt idx="3" formatCode="General">
                  <c:v>8.383744382909665E-2</c:v>
                </c:pt>
                <c:pt idx="4" formatCode="General">
                  <c:v>9.1702346693592188E-2</c:v>
                </c:pt>
                <c:pt idx="5" formatCode="General">
                  <c:v>0.1028980197241021</c:v>
                </c:pt>
                <c:pt idx="6" formatCode="General">
                  <c:v>0.11850365652431405</c:v>
                </c:pt>
                <c:pt idx="7" formatCode="General">
                  <c:v>0.1396309892832005</c:v>
                </c:pt>
                <c:pt idx="8" formatCode="General">
                  <c:v>0.16713173544079279</c:v>
                </c:pt>
                <c:pt idx="9" formatCode="General">
                  <c:v>0.20115393406388254</c:v>
                </c:pt>
                <c:pt idx="10" formatCode="General">
                  <c:v>0.2406926533620381</c:v>
                </c:pt>
                <c:pt idx="11" formatCode="General">
                  <c:v>0.28343687041315002</c:v>
                </c:pt>
                <c:pt idx="12" formatCode="General">
                  <c:v>0.32618108746426189</c:v>
                </c:pt>
                <c:pt idx="13" formatCode="General">
                  <c:v>0.36571980676241744</c:v>
                </c:pt>
                <c:pt idx="14" formatCode="General">
                  <c:v>0.39974200538550725</c:v>
                </c:pt>
                <c:pt idx="15" formatCode="General">
                  <c:v>0.42724275154309949</c:v>
                </c:pt>
                <c:pt idx="16" formatCode="General">
                  <c:v>0.44837008430198594</c:v>
                </c:pt>
                <c:pt idx="17" formatCode="General">
                  <c:v>0.46397572110219792</c:v>
                </c:pt>
                <c:pt idx="18" formatCode="General">
                  <c:v>0.47517139413270781</c:v>
                </c:pt>
                <c:pt idx="19" formatCode="General">
                  <c:v>0.48303629699720335</c:v>
                </c:pt>
                <c:pt idx="20" formatCode="General">
                  <c:v>0.4884801436667851</c:v>
                </c:pt>
                <c:pt idx="21" formatCode="General">
                  <c:v>0.4922097001624065</c:v>
                </c:pt>
                <c:pt idx="22" formatCode="General">
                  <c:v>0.49474685632562987</c:v>
                </c:pt>
                <c:pt idx="23" formatCode="General">
                  <c:v>0.49646457609119271</c:v>
                </c:pt>
                <c:pt idx="24" formatCode="General">
                  <c:v>0.49762373988097219</c:v>
                </c:pt>
                <c:pt idx="25" formatCode="General">
                  <c:v>0.49840425895445883</c:v>
                </c:pt>
                <c:pt idx="26" formatCode="General">
                  <c:v>0.49892904198182053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18-4511-B460-901F646D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539568"/>
        <c:axId val="923543408"/>
      </c:lineChart>
      <c:catAx>
        <c:axId val="923539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43408"/>
        <c:crosses val="autoZero"/>
        <c:auto val="1"/>
        <c:lblAlgn val="ctr"/>
        <c:lblOffset val="100"/>
        <c:noMultiLvlLbl val="0"/>
      </c:catAx>
      <c:valAx>
        <c:axId val="92354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3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Data!$I$17:$AI$17</c:f>
              <c:numCache>
                <c:formatCode>General</c:formatCode>
                <c:ptCount val="27"/>
                <c:pt idx="0" formatCode="0.0000">
                  <c:v>6.8939837381399999E-3</c:v>
                </c:pt>
                <c:pt idx="1">
                  <c:v>1.4745205504305832E-2</c:v>
                </c:pt>
                <c:pt idx="2">
                  <c:v>1.8423498834078463E-2</c:v>
                </c:pt>
                <c:pt idx="3">
                  <c:v>2.3701949678448984E-2</c:v>
                </c:pt>
                <c:pt idx="4">
                  <c:v>3.1143927768198666E-2</c:v>
                </c:pt>
                <c:pt idx="5">
                  <c:v>4.1378831028600141E-2</c:v>
                </c:pt>
                <c:pt idx="6">
                  <c:v>5.498427054307533E-2</c:v>
                </c:pt>
                <c:pt idx="7">
                  <c:v>7.2275261295201787E-2</c:v>
                </c:pt>
                <c:pt idx="8">
                  <c:v>9.3037067519099306E-2</c:v>
                </c:pt>
                <c:pt idx="9">
                  <c:v>0.11633204730802928</c:v>
                </c:pt>
                <c:pt idx="10">
                  <c:v>0.14056193643011078</c:v>
                </c:pt>
                <c:pt idx="11">
                  <c:v>0.16385691621904069</c:v>
                </c:pt>
                <c:pt idx="12">
                  <c:v>0.18461872244293825</c:v>
                </c:pt>
                <c:pt idx="13">
                  <c:v>0.20190971319506468</c:v>
                </c:pt>
                <c:pt idx="14">
                  <c:v>0.21551515270953986</c:v>
                </c:pt>
                <c:pt idx="15">
                  <c:v>0.22575005596994135</c:v>
                </c:pt>
                <c:pt idx="16">
                  <c:v>0.23319203405969108</c:v>
                </c:pt>
                <c:pt idx="17">
                  <c:v>0.23847048490406159</c:v>
                </c:pt>
                <c:pt idx="18">
                  <c:v>0.24214877823383418</c:v>
                </c:pt>
                <c:pt idx="19">
                  <c:v>0.24468053139197088</c:v>
                </c:pt>
                <c:pt idx="20">
                  <c:v>0.24640834401092193</c:v>
                </c:pt>
                <c:pt idx="21">
                  <c:v>0.24758065709350957</c:v>
                </c:pt>
                <c:pt idx="22">
                  <c:v>0.24837292767436264</c:v>
                </c:pt>
                <c:pt idx="23">
                  <c:v>0.2489069289438185</c:v>
                </c:pt>
                <c:pt idx="24">
                  <c:v>0.24926620483188039</c:v>
                </c:pt>
                <c:pt idx="25">
                  <c:v>0.24950763242856416</c:v>
                </c:pt>
                <c:pt idx="26">
                  <c:v>0.24966973562683897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E-4BD2-B33A-A6ADED84F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182063"/>
        <c:axId val="1977177743"/>
      </c:lineChart>
      <c:catAx>
        <c:axId val="19771820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177743"/>
        <c:crosses val="autoZero"/>
        <c:auto val="1"/>
        <c:lblAlgn val="ctr"/>
        <c:lblOffset val="100"/>
        <c:noMultiLvlLbl val="0"/>
      </c:catAx>
      <c:valAx>
        <c:axId val="197717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18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549275</xdr:colOff>
      <xdr:row>33</xdr:row>
      <xdr:rowOff>68262</xdr:rowOff>
    </xdr:from>
    <xdr:to>
      <xdr:col>18</xdr:col>
      <xdr:colOff>523875</xdr:colOff>
      <xdr:row>48</xdr:row>
      <xdr:rowOff>65087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F34C9D-339F-C44A-5F03-4E2DBC464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92075</xdr:colOff>
      <xdr:row>19</xdr:row>
      <xdr:rowOff>39687</xdr:rowOff>
    </xdr:from>
    <xdr:to>
      <xdr:col>15</xdr:col>
      <xdr:colOff>66675</xdr:colOff>
      <xdr:row>34</xdr:row>
      <xdr:rowOff>55562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E1CE-A994-5088-23EF-4F5448BC6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361950</xdr:colOff>
      <xdr:row>18</xdr:row>
      <xdr:rowOff>141287</xdr:rowOff>
    </xdr:from>
    <xdr:to>
      <xdr:col>22</xdr:col>
      <xdr:colOff>463550</xdr:colOff>
      <xdr:row>33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1161B1-360C-8F9B-5FDE-99B5D57E1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6"/>
  <sheetViews>
    <sheetView workbookViewId="0">
      <selection activeCell="B8" sqref="B8"/>
    </sheetView>
  </sheetViews>
  <sheetFormatPr defaultColWidth="9.08984375" defaultRowHeight="14.5" x14ac:dyDescent="0.35"/>
  <cols>
    <col min="2" max="2" width="56.26953125" customWidth="1"/>
  </cols>
  <sheetData>
    <row r="1" spans="1:2" x14ac:dyDescent="0.35">
      <c r="A1" s="1" t="s">
        <v>134</v>
      </c>
    </row>
    <row r="3" spans="1:2" x14ac:dyDescent="0.35">
      <c r="A3" s="1" t="s">
        <v>0</v>
      </c>
      <c r="B3" s="10" t="s">
        <v>59</v>
      </c>
    </row>
    <row r="4" spans="1:2" x14ac:dyDescent="0.35">
      <c r="B4" t="s">
        <v>31</v>
      </c>
    </row>
    <row r="5" spans="1:2" x14ac:dyDescent="0.35">
      <c r="B5" s="3">
        <v>2025</v>
      </c>
    </row>
    <row r="6" spans="1:2" x14ac:dyDescent="0.35">
      <c r="B6" t="s">
        <v>166</v>
      </c>
    </row>
    <row r="7" spans="1:2" x14ac:dyDescent="0.35">
      <c r="B7" t="s">
        <v>167</v>
      </c>
    </row>
    <row r="8" spans="1:2" x14ac:dyDescent="0.35">
      <c r="B8" t="s">
        <v>92</v>
      </c>
    </row>
    <row r="9" spans="1:2" x14ac:dyDescent="0.35">
      <c r="B9" t="s">
        <v>90</v>
      </c>
    </row>
    <row r="11" spans="1:2" x14ac:dyDescent="0.35">
      <c r="B11" s="10" t="s">
        <v>141</v>
      </c>
    </row>
    <row r="12" spans="1:2" x14ac:dyDescent="0.35">
      <c r="B12" t="s">
        <v>142</v>
      </c>
    </row>
    <row r="13" spans="1:2" x14ac:dyDescent="0.35">
      <c r="B13" s="3">
        <v>2021</v>
      </c>
    </row>
    <row r="14" spans="1:2" x14ac:dyDescent="0.35">
      <c r="B14" t="s">
        <v>143</v>
      </c>
    </row>
    <row r="15" spans="1:2" x14ac:dyDescent="0.35">
      <c r="B15" s="25" t="s">
        <v>144</v>
      </c>
    </row>
    <row r="17" spans="2:2" x14ac:dyDescent="0.35">
      <c r="B17" t="s">
        <v>145</v>
      </c>
    </row>
    <row r="18" spans="2:2" x14ac:dyDescent="0.35">
      <c r="B18" s="3">
        <v>2022</v>
      </c>
    </row>
    <row r="19" spans="2:2" x14ac:dyDescent="0.35">
      <c r="B19" t="s">
        <v>146</v>
      </c>
    </row>
    <row r="20" spans="2:2" x14ac:dyDescent="0.35">
      <c r="B20" s="27" t="s">
        <v>147</v>
      </c>
    </row>
    <row r="21" spans="2:2" x14ac:dyDescent="0.35">
      <c r="B21" s="27"/>
    </row>
    <row r="22" spans="2:2" x14ac:dyDescent="0.35">
      <c r="B22" s="3" t="s">
        <v>148</v>
      </c>
    </row>
    <row r="23" spans="2:2" x14ac:dyDescent="0.35">
      <c r="B23" s="3">
        <v>2020</v>
      </c>
    </row>
    <row r="24" spans="2:2" x14ac:dyDescent="0.35">
      <c r="B24" s="3" t="s">
        <v>149</v>
      </c>
    </row>
    <row r="25" spans="2:2" x14ac:dyDescent="0.35">
      <c r="B25" s="27" t="s">
        <v>150</v>
      </c>
    </row>
    <row r="27" spans="2:2" x14ac:dyDescent="0.35">
      <c r="B27" s="10" t="s">
        <v>60</v>
      </c>
    </row>
    <row r="28" spans="2:2" x14ac:dyDescent="0.35">
      <c r="B28" t="s">
        <v>31</v>
      </c>
    </row>
    <row r="29" spans="2:2" x14ac:dyDescent="0.35">
      <c r="B29" s="3">
        <v>2025</v>
      </c>
    </row>
    <row r="30" spans="2:2" x14ac:dyDescent="0.35">
      <c r="B30" t="s">
        <v>166</v>
      </c>
    </row>
    <row r="31" spans="2:2" x14ac:dyDescent="0.35">
      <c r="B31" t="s">
        <v>167</v>
      </c>
    </row>
    <row r="32" spans="2:2" x14ac:dyDescent="0.35">
      <c r="B32" t="s">
        <v>93</v>
      </c>
    </row>
    <row r="33" spans="2:2" x14ac:dyDescent="0.35">
      <c r="B33" t="s">
        <v>91</v>
      </c>
    </row>
    <row r="35" spans="2:2" x14ac:dyDescent="0.35">
      <c r="B35" s="10" t="s">
        <v>61</v>
      </c>
    </row>
    <row r="36" spans="2:2" x14ac:dyDescent="0.35">
      <c r="B36" s="11" t="s">
        <v>35</v>
      </c>
    </row>
    <row r="38" spans="2:2" x14ac:dyDescent="0.35">
      <c r="B38" s="10" t="s">
        <v>62</v>
      </c>
    </row>
    <row r="39" spans="2:2" x14ac:dyDescent="0.35">
      <c r="B39" t="s">
        <v>44</v>
      </c>
    </row>
    <row r="40" spans="2:2" x14ac:dyDescent="0.35">
      <c r="B40" s="3">
        <v>2014</v>
      </c>
    </row>
    <row r="41" spans="2:2" x14ac:dyDescent="0.35">
      <c r="B41" t="s">
        <v>45</v>
      </c>
    </row>
    <row r="42" spans="2:2" x14ac:dyDescent="0.35">
      <c r="B42" t="s">
        <v>46</v>
      </c>
    </row>
    <row r="44" spans="2:2" x14ac:dyDescent="0.35">
      <c r="B44" t="s">
        <v>47</v>
      </c>
    </row>
    <row r="45" spans="2:2" x14ac:dyDescent="0.35">
      <c r="B45" s="3">
        <v>2015</v>
      </c>
    </row>
    <row r="46" spans="2:2" x14ac:dyDescent="0.35">
      <c r="B46" t="s">
        <v>48</v>
      </c>
    </row>
    <row r="47" spans="2:2" x14ac:dyDescent="0.35">
      <c r="B47" t="s">
        <v>49</v>
      </c>
    </row>
    <row r="49" spans="1:2" x14ac:dyDescent="0.35">
      <c r="A49" s="1" t="s">
        <v>6</v>
      </c>
    </row>
    <row r="50" spans="1:2" x14ac:dyDescent="0.35">
      <c r="A50" t="s">
        <v>136</v>
      </c>
    </row>
    <row r="51" spans="1:2" x14ac:dyDescent="0.35">
      <c r="A51" t="s">
        <v>137</v>
      </c>
    </row>
    <row r="52" spans="1:2" x14ac:dyDescent="0.35">
      <c r="A52" t="s">
        <v>138</v>
      </c>
    </row>
    <row r="53" spans="1:2" x14ac:dyDescent="0.35">
      <c r="A53" s="27" t="s">
        <v>139</v>
      </c>
    </row>
    <row r="54" spans="1:2" x14ac:dyDescent="0.35">
      <c r="A54" s="1"/>
    </row>
    <row r="55" spans="1:2" x14ac:dyDescent="0.35">
      <c r="A55" t="s">
        <v>7</v>
      </c>
    </row>
    <row r="56" spans="1:2" x14ac:dyDescent="0.35">
      <c r="A56" t="s">
        <v>8</v>
      </c>
    </row>
    <row r="58" spans="1:2" x14ac:dyDescent="0.35">
      <c r="A58" t="s">
        <v>78</v>
      </c>
    </row>
    <row r="59" spans="1:2" x14ac:dyDescent="0.35">
      <c r="A59" t="s">
        <v>32</v>
      </c>
    </row>
    <row r="60" spans="1:2" x14ac:dyDescent="0.35">
      <c r="A60" t="s">
        <v>135</v>
      </c>
    </row>
    <row r="61" spans="1:2" x14ac:dyDescent="0.35">
      <c r="A61" t="s">
        <v>33</v>
      </c>
    </row>
    <row r="63" spans="1:2" x14ac:dyDescent="0.35">
      <c r="A63" s="10" t="s">
        <v>30</v>
      </c>
      <c r="B63" s="12"/>
    </row>
    <row r="65" spans="2:2" x14ac:dyDescent="0.35">
      <c r="B65" s="10" t="s">
        <v>34</v>
      </c>
    </row>
    <row r="66" spans="2:2" x14ac:dyDescent="0.35">
      <c r="B66" s="1"/>
    </row>
    <row r="67" spans="2:2" x14ac:dyDescent="0.35">
      <c r="B67" t="s">
        <v>25</v>
      </c>
    </row>
    <row r="68" spans="2:2" x14ac:dyDescent="0.35">
      <c r="B68" t="s">
        <v>26</v>
      </c>
    </row>
    <row r="69" spans="2:2" x14ac:dyDescent="0.35">
      <c r="B69" t="s">
        <v>27</v>
      </c>
    </row>
    <row r="71" spans="2:2" x14ac:dyDescent="0.35">
      <c r="B71" t="s">
        <v>28</v>
      </c>
    </row>
    <row r="72" spans="2:2" x14ac:dyDescent="0.35">
      <c r="B72" t="s">
        <v>29</v>
      </c>
    </row>
    <row r="74" spans="2:2" x14ac:dyDescent="0.35">
      <c r="B74" t="s">
        <v>22</v>
      </c>
    </row>
    <row r="75" spans="2:2" x14ac:dyDescent="0.35">
      <c r="B75" t="s">
        <v>23</v>
      </c>
    </row>
    <row r="76" spans="2:2" x14ac:dyDescent="0.35">
      <c r="B76" t="s">
        <v>24</v>
      </c>
    </row>
    <row r="78" spans="2:2" x14ac:dyDescent="0.35">
      <c r="B78" s="10" t="s">
        <v>153</v>
      </c>
    </row>
    <row r="80" spans="2:2" x14ac:dyDescent="0.35">
      <c r="B80" t="s">
        <v>154</v>
      </c>
    </row>
    <row r="81" spans="2:2" x14ac:dyDescent="0.35">
      <c r="B81" t="s">
        <v>155</v>
      </c>
    </row>
    <row r="83" spans="2:2" x14ac:dyDescent="0.35">
      <c r="B83" s="10" t="s">
        <v>156</v>
      </c>
    </row>
    <row r="85" spans="2:2" x14ac:dyDescent="0.35">
      <c r="B85" t="s">
        <v>157</v>
      </c>
    </row>
    <row r="86" spans="2:2" x14ac:dyDescent="0.35">
      <c r="B86" t="s">
        <v>158</v>
      </c>
    </row>
    <row r="87" spans="2:2" x14ac:dyDescent="0.35">
      <c r="B87" t="s">
        <v>159</v>
      </c>
    </row>
    <row r="89" spans="2:2" x14ac:dyDescent="0.35">
      <c r="B89" s="10" t="s">
        <v>36</v>
      </c>
    </row>
    <row r="91" spans="2:2" x14ac:dyDescent="0.35">
      <c r="B91" t="s">
        <v>56</v>
      </c>
    </row>
    <row r="92" spans="2:2" x14ac:dyDescent="0.35">
      <c r="B92" t="s">
        <v>97</v>
      </c>
    </row>
    <row r="93" spans="2:2" x14ac:dyDescent="0.35">
      <c r="B93" t="s">
        <v>98</v>
      </c>
    </row>
    <row r="94" spans="2:2" x14ac:dyDescent="0.35">
      <c r="B94" t="s">
        <v>99</v>
      </c>
    </row>
    <row r="96" spans="2:2" x14ac:dyDescent="0.35">
      <c r="B96" t="s">
        <v>63</v>
      </c>
    </row>
    <row r="97" spans="2:2" x14ac:dyDescent="0.35">
      <c r="B97" t="s">
        <v>57</v>
      </c>
    </row>
    <row r="98" spans="2:2" x14ac:dyDescent="0.35">
      <c r="B98" t="s">
        <v>67</v>
      </c>
    </row>
    <row r="99" spans="2:2" x14ac:dyDescent="0.35">
      <c r="B99" t="s">
        <v>58</v>
      </c>
    </row>
    <row r="100" spans="2:2" x14ac:dyDescent="0.35">
      <c r="B100" t="s">
        <v>68</v>
      </c>
    </row>
    <row r="101" spans="2:2" x14ac:dyDescent="0.35">
      <c r="B101" t="s">
        <v>64</v>
      </c>
    </row>
    <row r="102" spans="2:2" x14ac:dyDescent="0.35">
      <c r="B102" t="s">
        <v>65</v>
      </c>
    </row>
    <row r="103" spans="2:2" x14ac:dyDescent="0.35">
      <c r="B103" t="s">
        <v>66</v>
      </c>
    </row>
    <row r="105" spans="2:2" x14ac:dyDescent="0.35">
      <c r="B105" t="s">
        <v>79</v>
      </c>
    </row>
    <row r="106" spans="2:2" x14ac:dyDescent="0.35">
      <c r="B106" t="s">
        <v>83</v>
      </c>
    </row>
    <row r="107" spans="2:2" x14ac:dyDescent="0.35">
      <c r="B107" t="s">
        <v>80</v>
      </c>
    </row>
    <row r="108" spans="2:2" x14ac:dyDescent="0.35">
      <c r="B108" t="s">
        <v>81</v>
      </c>
    </row>
    <row r="109" spans="2:2" x14ac:dyDescent="0.35">
      <c r="B109" t="s">
        <v>82</v>
      </c>
    </row>
    <row r="111" spans="2:2" x14ac:dyDescent="0.35">
      <c r="B111" t="s">
        <v>50</v>
      </c>
    </row>
    <row r="112" spans="2:2" x14ac:dyDescent="0.35">
      <c r="B112" t="s">
        <v>51</v>
      </c>
    </row>
    <row r="113" spans="2:2" x14ac:dyDescent="0.35">
      <c r="B113" t="s">
        <v>52</v>
      </c>
    </row>
    <row r="114" spans="2:2" x14ac:dyDescent="0.35">
      <c r="B114" t="s">
        <v>53</v>
      </c>
    </row>
    <row r="115" spans="2:2" x14ac:dyDescent="0.35">
      <c r="B115" t="s">
        <v>54</v>
      </c>
    </row>
    <row r="116" spans="2:2" x14ac:dyDescent="0.35">
      <c r="B116" t="s">
        <v>55</v>
      </c>
    </row>
    <row r="118" spans="2:2" x14ac:dyDescent="0.35">
      <c r="B118" t="s">
        <v>85</v>
      </c>
    </row>
    <row r="120" spans="2:2" x14ac:dyDescent="0.35">
      <c r="B120" t="s">
        <v>37</v>
      </c>
    </row>
    <row r="121" spans="2:2" x14ac:dyDescent="0.35">
      <c r="B121" t="s">
        <v>38</v>
      </c>
    </row>
    <row r="122" spans="2:2" x14ac:dyDescent="0.35">
      <c r="B122" t="s">
        <v>39</v>
      </c>
    </row>
    <row r="123" spans="2:2" x14ac:dyDescent="0.35">
      <c r="B123" t="s">
        <v>40</v>
      </c>
    </row>
    <row r="124" spans="2:2" x14ac:dyDescent="0.35">
      <c r="B124" t="s">
        <v>41</v>
      </c>
    </row>
    <row r="125" spans="2:2" x14ac:dyDescent="0.35">
      <c r="B125" t="s">
        <v>42</v>
      </c>
    </row>
    <row r="126" spans="2:2" x14ac:dyDescent="0.35">
      <c r="B126" t="s">
        <v>43</v>
      </c>
    </row>
  </sheetData>
  <hyperlinks>
    <hyperlink ref="A53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5" x14ac:dyDescent="0.3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08984375" customWidth="1"/>
    <col min="6" max="8" width="23.26953125" customWidth="1"/>
    <col min="10" max="10" width="14.36328125" bestFit="1" customWidth="1"/>
  </cols>
  <sheetData>
    <row r="1" spans="1:10" x14ac:dyDescent="0.35">
      <c r="A1" t="s">
        <v>89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86</v>
      </c>
      <c r="H1" t="s">
        <v>87</v>
      </c>
    </row>
    <row r="2" spans="1:10" x14ac:dyDescent="0.3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4"/>
    </row>
    <row r="3" spans="1:10" x14ac:dyDescent="0.3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4"/>
      <c r="J3" s="21"/>
    </row>
    <row r="4" spans="1:10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3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3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3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35">
      <c r="B9" s="4"/>
      <c r="C9" s="4"/>
      <c r="D9" s="4"/>
      <c r="E9" s="4"/>
      <c r="F9" s="4"/>
      <c r="G9" s="4"/>
      <c r="H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838DD-2A40-4094-BDED-2341A398F388}">
  <dimension ref="A1:AD7"/>
  <sheetViews>
    <sheetView workbookViewId="0">
      <selection activeCell="C8" sqref="C8"/>
    </sheetView>
  </sheetViews>
  <sheetFormatPr defaultRowHeight="14.5" x14ac:dyDescent="0.35"/>
  <cols>
    <col min="1" max="1" width="33.1796875" customWidth="1"/>
    <col min="2" max="2" width="10.81640625" bestFit="1" customWidth="1"/>
  </cols>
  <sheetData>
    <row r="1" spans="1:30" x14ac:dyDescent="0.3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0" x14ac:dyDescent="0.35">
      <c r="A2" s="1" t="s">
        <v>293</v>
      </c>
      <c r="B2" s="4">
        <f>'AEO Table 38'!F64*1000</f>
        <v>15153429.688000001</v>
      </c>
      <c r="C2" s="4">
        <f>'AEO Table 38'!G64*1000</f>
        <v>15455872.07</v>
      </c>
      <c r="D2" s="4">
        <f>'AEO Table 38'!H64*1000</f>
        <v>16087580.078000002</v>
      </c>
      <c r="E2" s="4">
        <f>'AEO Table 38'!I64*1000</f>
        <v>16167304.688000001</v>
      </c>
      <c r="F2" s="4">
        <f>'AEO Table 38'!J64*1000</f>
        <v>15661874.023</v>
      </c>
      <c r="G2" s="4">
        <f>'AEO Table 38'!K64*1000</f>
        <v>15410783.203000002</v>
      </c>
      <c r="H2" s="4">
        <f>'AEO Table 38'!L64*1000</f>
        <v>15199616.211000001</v>
      </c>
      <c r="I2" s="4">
        <f>'AEO Table 38'!M64*1000</f>
        <v>14843441.405999999</v>
      </c>
      <c r="J2" s="4">
        <f>'AEO Table 38'!N64*1000</f>
        <v>14691375.977</v>
      </c>
      <c r="K2" s="4">
        <f>'AEO Table 38'!O64*1000</f>
        <v>14720266.602</v>
      </c>
      <c r="L2" s="4">
        <f>'AEO Table 38'!P64*1000</f>
        <v>14786203.125</v>
      </c>
      <c r="M2" s="4">
        <f>'AEO Table 38'!Q64*1000</f>
        <v>14774537.109000001</v>
      </c>
      <c r="N2" s="4">
        <f>'AEO Table 38'!R64*1000</f>
        <v>14758954.102</v>
      </c>
      <c r="O2" s="4">
        <f>'AEO Table 38'!S64*1000</f>
        <v>14749166.015999999</v>
      </c>
      <c r="P2" s="4">
        <f>'AEO Table 38'!T64*1000</f>
        <v>14787875.977</v>
      </c>
      <c r="Q2" s="4">
        <f>'AEO Table 38'!U64*1000</f>
        <v>14847477.538999999</v>
      </c>
      <c r="R2" s="4">
        <f>'AEO Table 38'!V64*1000</f>
        <v>14856637.695</v>
      </c>
      <c r="S2" s="4">
        <f>'AEO Table 38'!W64*1000</f>
        <v>14802121.094000001</v>
      </c>
      <c r="T2" s="4">
        <f>'AEO Table 38'!X64*1000</f>
        <v>14746281.25</v>
      </c>
      <c r="U2" s="4">
        <f>'AEO Table 38'!Y64*1000</f>
        <v>14671773.438000001</v>
      </c>
      <c r="V2" s="4">
        <f>'AEO Table 38'!Z64*1000</f>
        <v>14624125</v>
      </c>
      <c r="W2" s="4">
        <f>'AEO Table 38'!AA64*1000</f>
        <v>14588690.43</v>
      </c>
      <c r="X2" s="4">
        <f>'AEO Table 38'!AB64*1000</f>
        <v>14512471.68</v>
      </c>
      <c r="Y2" s="4">
        <f>'AEO Table 38'!AC64*1000</f>
        <v>14438543.945</v>
      </c>
      <c r="Z2" s="4">
        <f>'AEO Table 38'!AD64*1000</f>
        <v>14303833.007999999</v>
      </c>
      <c r="AA2" s="4">
        <f>'AEO Table 38'!AE64*1000</f>
        <v>14195256.836000001</v>
      </c>
      <c r="AB2" s="4">
        <f>'AEO Table 38'!AF64*1000</f>
        <v>14124661.132999999</v>
      </c>
      <c r="AC2" s="4"/>
      <c r="AD2" s="4"/>
    </row>
    <row r="4" spans="1:30" ht="43.5" x14ac:dyDescent="0.35">
      <c r="A4" s="1" t="s">
        <v>294</v>
      </c>
      <c r="B4" s="31" t="s">
        <v>295</v>
      </c>
      <c r="C4" s="31" t="s">
        <v>296</v>
      </c>
    </row>
    <row r="5" spans="1:30" x14ac:dyDescent="0.35">
      <c r="A5">
        <v>2025</v>
      </c>
      <c r="B5">
        <f>1.5*10^6</f>
        <v>1500000</v>
      </c>
      <c r="C5" s="28">
        <f>B5/B2</f>
        <v>9.8987491999111582E-2</v>
      </c>
    </row>
    <row r="6" spans="1:30" x14ac:dyDescent="0.35">
      <c r="A6">
        <v>2030</v>
      </c>
      <c r="B6">
        <f>3*10^6</f>
        <v>3000000</v>
      </c>
      <c r="C6" s="28">
        <f>B6/H2</f>
        <v>0.19737340458826141</v>
      </c>
    </row>
    <row r="7" spans="1:30" x14ac:dyDescent="0.35">
      <c r="A7">
        <v>2035</v>
      </c>
      <c r="B7">
        <f>6*10^6</f>
        <v>6000000</v>
      </c>
      <c r="C7" s="28">
        <f>B7/M2</f>
        <v>0.40610409353163845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E7F1-7350-46C1-9BF2-2656C5A026AD}">
  <dimension ref="A1:AG67"/>
  <sheetViews>
    <sheetView topLeftCell="A40" workbookViewId="0">
      <selection activeCell="C11" sqref="C11"/>
    </sheetView>
  </sheetViews>
  <sheetFormatPr defaultRowHeight="14.5" x14ac:dyDescent="0.35"/>
  <cols>
    <col min="1" max="1" width="31.36328125" customWidth="1"/>
  </cols>
  <sheetData>
    <row r="1" spans="1:33" x14ac:dyDescent="0.35">
      <c r="A1" t="s">
        <v>168</v>
      </c>
    </row>
    <row r="2" spans="1:33" x14ac:dyDescent="0.35">
      <c r="A2" t="s">
        <v>169</v>
      </c>
    </row>
    <row r="3" spans="1:33" x14ac:dyDescent="0.35">
      <c r="A3" t="s">
        <v>170</v>
      </c>
    </row>
    <row r="4" spans="1:33" x14ac:dyDescent="0.35">
      <c r="A4" t="s">
        <v>100</v>
      </c>
    </row>
    <row r="5" spans="1:33" x14ac:dyDescent="0.35">
      <c r="B5" t="s">
        <v>101</v>
      </c>
      <c r="C5" t="s">
        <v>102</v>
      </c>
      <c r="D5" t="s">
        <v>103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165</v>
      </c>
    </row>
    <row r="6" spans="1:33" x14ac:dyDescent="0.35">
      <c r="A6" t="s">
        <v>171</v>
      </c>
    </row>
    <row r="7" spans="1:33" x14ac:dyDescent="0.35">
      <c r="A7" t="s">
        <v>104</v>
      </c>
    </row>
    <row r="8" spans="1:33" x14ac:dyDescent="0.35">
      <c r="A8" t="s">
        <v>105</v>
      </c>
      <c r="B8" t="s">
        <v>172</v>
      </c>
      <c r="C8" t="s">
        <v>173</v>
      </c>
      <c r="D8" t="s">
        <v>106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26">
        <v>-2.8000000000000001E-2</v>
      </c>
    </row>
    <row r="9" spans="1:33" x14ac:dyDescent="0.35">
      <c r="A9" t="s">
        <v>107</v>
      </c>
      <c r="B9" t="s">
        <v>174</v>
      </c>
      <c r="C9" t="s">
        <v>175</v>
      </c>
      <c r="D9" t="s">
        <v>106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35">
      <c r="A10" t="s">
        <v>108</v>
      </c>
      <c r="B10" t="s">
        <v>176</v>
      </c>
      <c r="C10" t="s">
        <v>177</v>
      </c>
      <c r="D10" t="s">
        <v>106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26">
        <v>-2.8000000000000001E-2</v>
      </c>
    </row>
    <row r="11" spans="1:33" x14ac:dyDescent="0.35">
      <c r="A11" t="s">
        <v>109</v>
      </c>
    </row>
    <row r="12" spans="1:33" x14ac:dyDescent="0.35">
      <c r="A12" t="s">
        <v>110</v>
      </c>
      <c r="B12" t="s">
        <v>178</v>
      </c>
      <c r="C12" t="s">
        <v>179</v>
      </c>
      <c r="D12" t="s">
        <v>106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26">
        <v>-4.5999999999999999E-2</v>
      </c>
    </row>
    <row r="13" spans="1:33" x14ac:dyDescent="0.35">
      <c r="A13" t="s">
        <v>164</v>
      </c>
      <c r="B13" t="s">
        <v>180</v>
      </c>
      <c r="C13" t="s">
        <v>181</v>
      </c>
      <c r="D13" t="s">
        <v>106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26">
        <v>1.0999999999999999E-2</v>
      </c>
    </row>
    <row r="14" spans="1:33" x14ac:dyDescent="0.35">
      <c r="A14" t="s">
        <v>163</v>
      </c>
      <c r="B14" t="s">
        <v>182</v>
      </c>
      <c r="C14" t="s">
        <v>183</v>
      </c>
      <c r="D14" t="s">
        <v>106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26">
        <v>7.0999999999999994E-2</v>
      </c>
    </row>
    <row r="15" spans="1:33" x14ac:dyDescent="0.35">
      <c r="A15" t="s">
        <v>162</v>
      </c>
      <c r="B15" t="s">
        <v>184</v>
      </c>
      <c r="C15" t="s">
        <v>185</v>
      </c>
      <c r="D15" t="s">
        <v>106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26">
        <v>2.5000000000000001E-2</v>
      </c>
    </row>
    <row r="16" spans="1:33" x14ac:dyDescent="0.35">
      <c r="A16" t="s">
        <v>161</v>
      </c>
      <c r="B16" t="s">
        <v>186</v>
      </c>
      <c r="C16" t="s">
        <v>187</v>
      </c>
      <c r="D16" t="s">
        <v>106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26">
        <v>2.3E-2</v>
      </c>
    </row>
    <row r="17" spans="1:33" x14ac:dyDescent="0.35">
      <c r="A17" t="s">
        <v>160</v>
      </c>
      <c r="B17" t="s">
        <v>188</v>
      </c>
      <c r="C17" t="s">
        <v>189</v>
      </c>
      <c r="D17" t="s">
        <v>106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26">
        <v>0.03</v>
      </c>
    </row>
    <row r="18" spans="1:33" x14ac:dyDescent="0.35">
      <c r="A18" t="s">
        <v>111</v>
      </c>
      <c r="B18" t="s">
        <v>190</v>
      </c>
      <c r="C18" t="s">
        <v>191</v>
      </c>
      <c r="D18" t="s">
        <v>106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35">
      <c r="A19" t="s">
        <v>112</v>
      </c>
      <c r="B19" t="s">
        <v>192</v>
      </c>
      <c r="C19" t="s">
        <v>193</v>
      </c>
      <c r="D19" t="s">
        <v>106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26">
        <v>1.7999999999999999E-2</v>
      </c>
    </row>
    <row r="20" spans="1:33" x14ac:dyDescent="0.35">
      <c r="A20" t="s">
        <v>113</v>
      </c>
      <c r="B20" t="s">
        <v>194</v>
      </c>
      <c r="C20" t="s">
        <v>195</v>
      </c>
      <c r="D20" t="s">
        <v>106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21</v>
      </c>
    </row>
    <row r="21" spans="1:33" x14ac:dyDescent="0.35">
      <c r="A21" t="s">
        <v>114</v>
      </c>
      <c r="B21" t="s">
        <v>196</v>
      </c>
      <c r="C21" t="s">
        <v>197</v>
      </c>
      <c r="D21" t="s">
        <v>106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21</v>
      </c>
    </row>
    <row r="22" spans="1:33" x14ac:dyDescent="0.35">
      <c r="A22" t="s">
        <v>115</v>
      </c>
      <c r="B22" t="s">
        <v>198</v>
      </c>
      <c r="C22" t="s">
        <v>199</v>
      </c>
      <c r="D22" t="s">
        <v>106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35">
      <c r="A23" t="s">
        <v>116</v>
      </c>
      <c r="B23" t="s">
        <v>198</v>
      </c>
      <c r="C23" t="s">
        <v>200</v>
      </c>
      <c r="D23" t="s">
        <v>106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35">
      <c r="A24" t="s">
        <v>117</v>
      </c>
      <c r="B24" t="s">
        <v>201</v>
      </c>
      <c r="C24" t="s">
        <v>202</v>
      </c>
      <c r="D24" t="s">
        <v>106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35">
      <c r="A25" t="s">
        <v>118</v>
      </c>
      <c r="B25" t="s">
        <v>203</v>
      </c>
      <c r="C25" t="s">
        <v>204</v>
      </c>
      <c r="D25" t="s">
        <v>106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26">
        <v>-3.7999999999999999E-2</v>
      </c>
    </row>
    <row r="26" spans="1:33" x14ac:dyDescent="0.35">
      <c r="A26" t="s">
        <v>119</v>
      </c>
      <c r="B26" t="s">
        <v>205</v>
      </c>
      <c r="C26" t="s">
        <v>206</v>
      </c>
      <c r="D26" t="s">
        <v>106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26">
        <v>3.1E-2</v>
      </c>
    </row>
    <row r="27" spans="1:33" x14ac:dyDescent="0.35">
      <c r="A27" t="s">
        <v>207</v>
      </c>
      <c r="B27" t="s">
        <v>208</v>
      </c>
      <c r="C27" t="s">
        <v>209</v>
      </c>
      <c r="D27" t="s">
        <v>210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26">
        <v>3.2000000000000001E-2</v>
      </c>
    </row>
    <row r="28" spans="1:33" x14ac:dyDescent="0.35">
      <c r="A28" t="s">
        <v>211</v>
      </c>
      <c r="B28" t="s">
        <v>212</v>
      </c>
      <c r="C28" t="s">
        <v>213</v>
      </c>
      <c r="D28" t="s">
        <v>106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26">
        <v>-1E-3</v>
      </c>
    </row>
    <row r="29" spans="1:33" x14ac:dyDescent="0.35">
      <c r="A29" t="s">
        <v>214</v>
      </c>
    </row>
    <row r="30" spans="1:33" x14ac:dyDescent="0.35">
      <c r="A30" t="s">
        <v>120</v>
      </c>
    </row>
    <row r="31" spans="1:33" x14ac:dyDescent="0.35">
      <c r="A31" t="s">
        <v>105</v>
      </c>
      <c r="B31" t="s">
        <v>215</v>
      </c>
      <c r="C31" t="s">
        <v>216</v>
      </c>
      <c r="D31" t="s">
        <v>106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26">
        <v>-1.7999999999999999E-2</v>
      </c>
    </row>
    <row r="32" spans="1:33" x14ac:dyDescent="0.35">
      <c r="A32" t="s">
        <v>107</v>
      </c>
      <c r="B32" t="s">
        <v>217</v>
      </c>
      <c r="C32" t="s">
        <v>218</v>
      </c>
      <c r="D32" t="s">
        <v>106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26">
        <v>-0.02</v>
      </c>
    </row>
    <row r="33" spans="1:33" x14ac:dyDescent="0.35">
      <c r="A33" t="s">
        <v>121</v>
      </c>
      <c r="B33" t="s">
        <v>219</v>
      </c>
      <c r="C33" t="s">
        <v>220</v>
      </c>
      <c r="D33" t="s">
        <v>106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26">
        <v>-1.7999999999999999E-2</v>
      </c>
    </row>
    <row r="34" spans="1:33" x14ac:dyDescent="0.35">
      <c r="A34" t="s">
        <v>122</v>
      </c>
    </row>
    <row r="35" spans="1:33" x14ac:dyDescent="0.35">
      <c r="A35" t="s">
        <v>110</v>
      </c>
      <c r="B35" t="s">
        <v>221</v>
      </c>
      <c r="C35" t="s">
        <v>222</v>
      </c>
      <c r="D35" t="s">
        <v>106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26">
        <v>-4.2999999999999997E-2</v>
      </c>
    </row>
    <row r="36" spans="1:33" x14ac:dyDescent="0.35">
      <c r="A36" t="s">
        <v>164</v>
      </c>
      <c r="B36" t="s">
        <v>223</v>
      </c>
      <c r="C36" t="s">
        <v>224</v>
      </c>
      <c r="D36" t="s">
        <v>106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35">
      <c r="A37" t="s">
        <v>163</v>
      </c>
      <c r="B37" t="s">
        <v>225</v>
      </c>
      <c r="C37" t="s">
        <v>226</v>
      </c>
      <c r="D37" t="s">
        <v>106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26">
        <v>6.0999999999999999E-2</v>
      </c>
    </row>
    <row r="38" spans="1:33" x14ac:dyDescent="0.35">
      <c r="A38" t="s">
        <v>162</v>
      </c>
      <c r="B38" t="s">
        <v>227</v>
      </c>
      <c r="C38" t="s">
        <v>228</v>
      </c>
      <c r="D38" t="s">
        <v>106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26">
        <v>5.8999999999999997E-2</v>
      </c>
    </row>
    <row r="39" spans="1:33" x14ac:dyDescent="0.35">
      <c r="A39" t="s">
        <v>161</v>
      </c>
      <c r="B39" t="s">
        <v>229</v>
      </c>
      <c r="C39" t="s">
        <v>230</v>
      </c>
      <c r="D39" t="s">
        <v>106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26">
        <v>2.7E-2</v>
      </c>
    </row>
    <row r="40" spans="1:33" x14ac:dyDescent="0.35">
      <c r="A40" t="s">
        <v>160</v>
      </c>
      <c r="B40" t="s">
        <v>231</v>
      </c>
      <c r="C40" t="s">
        <v>232</v>
      </c>
      <c r="D40" t="s">
        <v>106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26">
        <v>9.0999999999999998E-2</v>
      </c>
    </row>
    <row r="41" spans="1:33" x14ac:dyDescent="0.35">
      <c r="A41" t="s">
        <v>111</v>
      </c>
      <c r="B41" t="s">
        <v>233</v>
      </c>
      <c r="C41" t="s">
        <v>234</v>
      </c>
      <c r="D41" t="s">
        <v>106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</v>
      </c>
    </row>
    <row r="42" spans="1:33" x14ac:dyDescent="0.35">
      <c r="A42" t="s">
        <v>112</v>
      </c>
      <c r="B42" t="s">
        <v>235</v>
      </c>
      <c r="C42" t="s">
        <v>236</v>
      </c>
      <c r="D42" t="s">
        <v>106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26">
        <v>2.1000000000000001E-2</v>
      </c>
    </row>
    <row r="43" spans="1:33" x14ac:dyDescent="0.35">
      <c r="A43" t="s">
        <v>113</v>
      </c>
      <c r="B43" t="s">
        <v>237</v>
      </c>
      <c r="C43" t="s">
        <v>238</v>
      </c>
      <c r="D43" t="s">
        <v>106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35">
      <c r="A44" t="s">
        <v>114</v>
      </c>
      <c r="B44" t="s">
        <v>239</v>
      </c>
      <c r="C44" t="s">
        <v>240</v>
      </c>
      <c r="D44" t="s">
        <v>106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35">
      <c r="A45" t="s">
        <v>115</v>
      </c>
      <c r="B45" t="s">
        <v>241</v>
      </c>
      <c r="C45" t="s">
        <v>242</v>
      </c>
      <c r="D45" t="s">
        <v>106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21</v>
      </c>
    </row>
    <row r="46" spans="1:33" x14ac:dyDescent="0.35">
      <c r="A46" t="s">
        <v>116</v>
      </c>
      <c r="B46" t="s">
        <v>243</v>
      </c>
      <c r="C46" t="s">
        <v>244</v>
      </c>
      <c r="D46" t="s">
        <v>106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21</v>
      </c>
    </row>
    <row r="47" spans="1:33" x14ac:dyDescent="0.35">
      <c r="A47" t="s">
        <v>117</v>
      </c>
      <c r="B47" t="s">
        <v>245</v>
      </c>
      <c r="C47" t="s">
        <v>246</v>
      </c>
      <c r="D47" t="s">
        <v>106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35">
      <c r="A48" t="s">
        <v>118</v>
      </c>
      <c r="B48" t="s">
        <v>247</v>
      </c>
      <c r="C48" t="s">
        <v>248</v>
      </c>
      <c r="D48" t="s">
        <v>106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35">
      <c r="A49" t="s">
        <v>123</v>
      </c>
      <c r="B49" t="s">
        <v>249</v>
      </c>
      <c r="C49" t="s">
        <v>250</v>
      </c>
      <c r="D49" t="s">
        <v>106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26">
        <v>3.4000000000000002E-2</v>
      </c>
    </row>
    <row r="50" spans="1:33" x14ac:dyDescent="0.35">
      <c r="A50" t="s">
        <v>251</v>
      </c>
      <c r="B50" t="s">
        <v>252</v>
      </c>
      <c r="C50" t="s">
        <v>253</v>
      </c>
      <c r="D50" t="s">
        <v>210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26">
        <v>3.7999999999999999E-2</v>
      </c>
    </row>
    <row r="51" spans="1:33" x14ac:dyDescent="0.35">
      <c r="A51" t="s">
        <v>254</v>
      </c>
      <c r="B51" t="s">
        <v>255</v>
      </c>
      <c r="C51" t="s">
        <v>256</v>
      </c>
      <c r="D51" t="s">
        <v>106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26">
        <v>-4.0000000000000001E-3</v>
      </c>
    </row>
    <row r="52" spans="1:33" x14ac:dyDescent="0.35">
      <c r="A52" t="s">
        <v>257</v>
      </c>
      <c r="B52" t="s">
        <v>258</v>
      </c>
      <c r="C52" t="s">
        <v>259</v>
      </c>
      <c r="D52" t="s">
        <v>210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26">
        <v>3.5000000000000003E-2</v>
      </c>
    </row>
    <row r="53" spans="1:33" x14ac:dyDescent="0.35">
      <c r="A53" t="s">
        <v>260</v>
      </c>
      <c r="B53" t="s">
        <v>261</v>
      </c>
      <c r="C53" t="s">
        <v>262</v>
      </c>
      <c r="D53" t="s">
        <v>106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26">
        <v>3.2000000000000001E-2</v>
      </c>
    </row>
    <row r="54" spans="1:33" x14ac:dyDescent="0.35">
      <c r="A54" t="s">
        <v>263</v>
      </c>
      <c r="B54" t="s">
        <v>264</v>
      </c>
      <c r="C54" t="s">
        <v>265</v>
      </c>
      <c r="D54" t="s">
        <v>106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35">
      <c r="A55" t="s">
        <v>124</v>
      </c>
      <c r="B55" t="s">
        <v>125</v>
      </c>
    </row>
    <row r="56" spans="1:33" x14ac:dyDescent="0.35">
      <c r="A56" t="s">
        <v>126</v>
      </c>
      <c r="B56" t="s">
        <v>266</v>
      </c>
      <c r="C56" t="s">
        <v>267</v>
      </c>
      <c r="D56" t="s">
        <v>106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26">
        <v>-2.1999999999999999E-2</v>
      </c>
    </row>
    <row r="57" spans="1:33" x14ac:dyDescent="0.35">
      <c r="A57" t="s">
        <v>127</v>
      </c>
      <c r="B57" t="s">
        <v>268</v>
      </c>
      <c r="C57" t="s">
        <v>269</v>
      </c>
      <c r="D57" t="s">
        <v>106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26">
        <v>-0.02</v>
      </c>
    </row>
    <row r="58" spans="1:33" x14ac:dyDescent="0.35">
      <c r="A58" t="s">
        <v>128</v>
      </c>
      <c r="B58" t="s">
        <v>270</v>
      </c>
      <c r="C58" t="s">
        <v>271</v>
      </c>
      <c r="D58" t="s">
        <v>106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26">
        <v>-4.2999999999999997E-2</v>
      </c>
    </row>
    <row r="59" spans="1:33" x14ac:dyDescent="0.35">
      <c r="A59" t="s">
        <v>129</v>
      </c>
      <c r="B59" t="s">
        <v>272</v>
      </c>
      <c r="C59" t="s">
        <v>273</v>
      </c>
      <c r="D59" t="s">
        <v>106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26">
        <v>0.04</v>
      </c>
    </row>
    <row r="60" spans="1:33" x14ac:dyDescent="0.35">
      <c r="A60" t="s">
        <v>130</v>
      </c>
      <c r="B60" t="s">
        <v>274</v>
      </c>
      <c r="C60" t="s">
        <v>275</v>
      </c>
      <c r="D60" t="s">
        <v>106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26">
        <v>4.8000000000000001E-2</v>
      </c>
    </row>
    <row r="61" spans="1:33" x14ac:dyDescent="0.35">
      <c r="A61" t="s">
        <v>131</v>
      </c>
      <c r="B61" t="s">
        <v>276</v>
      </c>
      <c r="C61" t="s">
        <v>277</v>
      </c>
      <c r="D61" t="s">
        <v>106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26">
        <v>0.02</v>
      </c>
    </row>
    <row r="62" spans="1:33" x14ac:dyDescent="0.35">
      <c r="A62" t="s">
        <v>132</v>
      </c>
      <c r="B62" t="s">
        <v>278</v>
      </c>
      <c r="C62" t="s">
        <v>279</v>
      </c>
      <c r="D62" t="s">
        <v>106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21</v>
      </c>
    </row>
    <row r="63" spans="1:33" x14ac:dyDescent="0.35">
      <c r="A63" t="s">
        <v>133</v>
      </c>
      <c r="B63" t="s">
        <v>280</v>
      </c>
      <c r="C63" t="s">
        <v>281</v>
      </c>
      <c r="D63" t="s">
        <v>106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26">
        <v>-3.7999999999999999E-2</v>
      </c>
    </row>
    <row r="64" spans="1:33" x14ac:dyDescent="0.35">
      <c r="A64" t="s">
        <v>282</v>
      </c>
      <c r="B64" t="s">
        <v>283</v>
      </c>
      <c r="C64" t="s">
        <v>284</v>
      </c>
      <c r="D64" t="s">
        <v>106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26">
        <v>-3.0000000000000001E-3</v>
      </c>
    </row>
    <row r="65" spans="1:33" x14ac:dyDescent="0.35">
      <c r="A65" t="s">
        <v>285</v>
      </c>
      <c r="B65" t="s">
        <v>286</v>
      </c>
      <c r="C65" t="s">
        <v>287</v>
      </c>
      <c r="D65" t="s">
        <v>106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26">
        <v>-0.01</v>
      </c>
    </row>
    <row r="66" spans="1:33" x14ac:dyDescent="0.35">
      <c r="A66" t="s">
        <v>288</v>
      </c>
      <c r="B66" t="s">
        <v>289</v>
      </c>
      <c r="C66" t="s">
        <v>290</v>
      </c>
      <c r="D66" t="s">
        <v>106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26">
        <v>-1.9E-2</v>
      </c>
    </row>
    <row r="67" spans="1:33" x14ac:dyDescent="0.35">
      <c r="A67" t="s">
        <v>291</v>
      </c>
      <c r="B67" t="s">
        <v>292</v>
      </c>
      <c r="C67" t="s">
        <v>284</v>
      </c>
      <c r="D67" t="s">
        <v>106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26">
        <v>3.1E-2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93"/>
  <sheetViews>
    <sheetView tabSelected="1" topLeftCell="A8" workbookViewId="0">
      <selection activeCell="F18" sqref="F18"/>
    </sheetView>
  </sheetViews>
  <sheetFormatPr defaultColWidth="9.08984375" defaultRowHeight="14.5" x14ac:dyDescent="0.35"/>
  <cols>
    <col min="1" max="1" width="23.26953125" customWidth="1"/>
    <col min="2" max="2" width="18.81640625" customWidth="1"/>
    <col min="3" max="3" width="24.08984375" customWidth="1"/>
    <col min="4" max="4" width="14.7265625" customWidth="1"/>
    <col min="5" max="5" width="16.26953125" customWidth="1"/>
    <col min="6" max="6" width="18" style="6" customWidth="1"/>
    <col min="7" max="7" width="13.08984375" customWidth="1"/>
    <col min="8" max="9" width="9.08984375" customWidth="1"/>
    <col min="14" max="14" width="11.08984375" customWidth="1"/>
  </cols>
  <sheetData>
    <row r="1" spans="1:37" x14ac:dyDescent="0.35">
      <c r="A1" t="s">
        <v>73</v>
      </c>
      <c r="H1" s="13" t="s">
        <v>96</v>
      </c>
      <c r="I1" s="14"/>
      <c r="J1" s="15"/>
      <c r="K1" s="15"/>
      <c r="L1" s="15"/>
      <c r="N1" s="13" t="s">
        <v>95</v>
      </c>
      <c r="O1" s="14"/>
      <c r="P1" s="15"/>
      <c r="Q1" s="13" t="s">
        <v>151</v>
      </c>
      <c r="R1" s="14"/>
      <c r="T1" s="13" t="s">
        <v>152</v>
      </c>
      <c r="U1" s="14"/>
      <c r="W1" s="13" t="s">
        <v>95</v>
      </c>
      <c r="X1" s="14"/>
    </row>
    <row r="2" spans="1:37" x14ac:dyDescent="0.35">
      <c r="A2" t="s">
        <v>74</v>
      </c>
      <c r="H2" s="8" t="s">
        <v>69</v>
      </c>
      <c r="I2" s="16">
        <v>1</v>
      </c>
      <c r="N2" s="8" t="s">
        <v>69</v>
      </c>
      <c r="O2" s="16">
        <v>1</v>
      </c>
      <c r="Q2" s="8" t="s">
        <v>69</v>
      </c>
      <c r="R2" s="16">
        <v>1</v>
      </c>
      <c r="T2" s="8" t="s">
        <v>69</v>
      </c>
      <c r="U2" s="16">
        <v>1</v>
      </c>
      <c r="W2" s="8" t="s">
        <v>69</v>
      </c>
      <c r="X2" s="16">
        <v>1</v>
      </c>
    </row>
    <row r="3" spans="1:37" x14ac:dyDescent="0.35">
      <c r="A3" t="s">
        <v>75</v>
      </c>
      <c r="H3" s="8" t="s">
        <v>70</v>
      </c>
      <c r="I3" s="16">
        <v>-0.3</v>
      </c>
      <c r="N3" s="8" t="s">
        <v>70</v>
      </c>
      <c r="O3" s="16">
        <v>-0.4</v>
      </c>
      <c r="Q3" s="8" t="s">
        <v>70</v>
      </c>
      <c r="R3" s="16">
        <v>-0.5</v>
      </c>
      <c r="T3" s="8" t="s">
        <v>70</v>
      </c>
      <c r="U3" s="16">
        <v>-0.42</v>
      </c>
      <c r="W3" s="8" t="s">
        <v>70</v>
      </c>
      <c r="X3" s="16">
        <v>-0.4</v>
      </c>
    </row>
    <row r="4" spans="1:37" ht="15" thickBot="1" x14ac:dyDescent="0.4">
      <c r="A4" t="s">
        <v>76</v>
      </c>
      <c r="H4" s="9" t="s">
        <v>71</v>
      </c>
      <c r="I4" s="17">
        <v>-16</v>
      </c>
      <c r="N4" s="9" t="s">
        <v>71</v>
      </c>
      <c r="O4" s="17">
        <v>-10</v>
      </c>
      <c r="Q4" s="9" t="s">
        <v>71</v>
      </c>
      <c r="R4" s="17">
        <v>-15</v>
      </c>
      <c r="T4" s="9" t="s">
        <v>71</v>
      </c>
      <c r="U4" s="17">
        <v>-11</v>
      </c>
      <c r="W4" s="9" t="s">
        <v>71</v>
      </c>
      <c r="X4" s="17">
        <v>-10.5</v>
      </c>
    </row>
    <row r="5" spans="1:37" x14ac:dyDescent="0.35">
      <c r="A5" t="s">
        <v>77</v>
      </c>
    </row>
    <row r="6" spans="1:37" ht="29" x14ac:dyDescent="0.35">
      <c r="A6" s="10"/>
      <c r="B6" s="10"/>
      <c r="C6" s="10"/>
      <c r="D6" s="10"/>
      <c r="E6" s="2" t="s">
        <v>20</v>
      </c>
      <c r="F6" s="2" t="s">
        <v>20</v>
      </c>
      <c r="G6" s="2" t="s">
        <v>72</v>
      </c>
      <c r="N6" s="22"/>
      <c r="O6" s="19"/>
      <c r="R6" s="22"/>
    </row>
    <row r="7" spans="1:37" x14ac:dyDescent="0.35">
      <c r="A7" s="10"/>
      <c r="B7" s="10"/>
      <c r="C7" s="10" t="s">
        <v>140</v>
      </c>
      <c r="D7" s="10"/>
      <c r="E7" s="2">
        <v>2020</v>
      </c>
      <c r="F7" s="2">
        <v>2050</v>
      </c>
      <c r="G7" s="2"/>
      <c r="N7" s="22"/>
    </row>
    <row r="8" spans="1:37" ht="87" x14ac:dyDescent="0.35">
      <c r="A8" s="10"/>
      <c r="B8" s="10"/>
      <c r="C8" s="10"/>
      <c r="D8" s="10"/>
      <c r="E8" s="24"/>
      <c r="F8" s="24"/>
      <c r="G8" s="24" t="s">
        <v>94</v>
      </c>
    </row>
    <row r="9" spans="1:37" x14ac:dyDescent="0.35">
      <c r="A9" s="10" t="s">
        <v>9</v>
      </c>
      <c r="B9" s="10" t="s">
        <v>10</v>
      </c>
      <c r="C9" s="10" t="s">
        <v>11</v>
      </c>
      <c r="D9" s="10">
        <v>2024</v>
      </c>
      <c r="E9" s="10">
        <v>2025</v>
      </c>
      <c r="F9" s="10">
        <v>2050</v>
      </c>
      <c r="G9" s="5"/>
      <c r="I9" s="18">
        <v>2024</v>
      </c>
      <c r="J9" s="18">
        <f>E9</f>
        <v>2025</v>
      </c>
      <c r="K9" s="18">
        <f t="shared" ref="K9:AI9" si="0">J9+1</f>
        <v>2026</v>
      </c>
      <c r="L9" s="18">
        <f t="shared" si="0"/>
        <v>2027</v>
      </c>
      <c r="M9" s="18">
        <f t="shared" si="0"/>
        <v>2028</v>
      </c>
      <c r="N9" s="18">
        <f t="shared" si="0"/>
        <v>2029</v>
      </c>
      <c r="O9" s="18">
        <f t="shared" si="0"/>
        <v>2030</v>
      </c>
      <c r="P9" s="18">
        <f t="shared" si="0"/>
        <v>2031</v>
      </c>
      <c r="Q9" s="18">
        <f t="shared" si="0"/>
        <v>2032</v>
      </c>
      <c r="R9" s="18">
        <f t="shared" si="0"/>
        <v>2033</v>
      </c>
      <c r="S9" s="18">
        <f t="shared" si="0"/>
        <v>2034</v>
      </c>
      <c r="T9" s="18">
        <f t="shared" si="0"/>
        <v>2035</v>
      </c>
      <c r="U9" s="18">
        <f t="shared" si="0"/>
        <v>2036</v>
      </c>
      <c r="V9" s="18">
        <f t="shared" si="0"/>
        <v>2037</v>
      </c>
      <c r="W9" s="18">
        <f t="shared" si="0"/>
        <v>2038</v>
      </c>
      <c r="X9" s="18">
        <f t="shared" si="0"/>
        <v>2039</v>
      </c>
      <c r="Y9" s="18">
        <f t="shared" si="0"/>
        <v>2040</v>
      </c>
      <c r="Z9" s="18">
        <f t="shared" si="0"/>
        <v>2041</v>
      </c>
      <c r="AA9" s="18">
        <f t="shared" si="0"/>
        <v>2042</v>
      </c>
      <c r="AB9" s="18">
        <f t="shared" si="0"/>
        <v>2043</v>
      </c>
      <c r="AC9" s="18">
        <f t="shared" si="0"/>
        <v>2044</v>
      </c>
      <c r="AD9" s="18">
        <f t="shared" si="0"/>
        <v>2045</v>
      </c>
      <c r="AE9" s="18">
        <f t="shared" si="0"/>
        <v>2046</v>
      </c>
      <c r="AF9" s="18">
        <f t="shared" si="0"/>
        <v>2047</v>
      </c>
      <c r="AG9" s="18">
        <f t="shared" si="0"/>
        <v>2048</v>
      </c>
      <c r="AH9" s="18">
        <f t="shared" si="0"/>
        <v>2049</v>
      </c>
      <c r="AI9" s="18">
        <f t="shared" si="0"/>
        <v>2050</v>
      </c>
      <c r="AJ9" s="18"/>
      <c r="AK9" s="18"/>
    </row>
    <row r="10" spans="1:37" x14ac:dyDescent="0.35">
      <c r="A10" t="s">
        <v>12</v>
      </c>
      <c r="B10" t="s">
        <v>19</v>
      </c>
      <c r="C10" t="s">
        <v>1</v>
      </c>
      <c r="D10">
        <v>8.2556397301899995E-2</v>
      </c>
      <c r="E10" s="19">
        <v>6.6873740826300002E-2</v>
      </c>
      <c r="F10">
        <v>0.5</v>
      </c>
      <c r="G10" s="6" t="str">
        <f>IF(E10=F10,"n/a",IF(OR(C10="battery electric vehicle",C10="natural gas vehicle",C10="plugin hybrid vehicle"),"s-curve","linear"))</f>
        <v>s-curve</v>
      </c>
      <c r="I10">
        <f>D10</f>
        <v>8.2556397301899995E-2</v>
      </c>
      <c r="J10" s="19">
        <f>E10</f>
        <v>6.6873740826300002E-2</v>
      </c>
      <c r="K10">
        <f>IF($G10="s-curve",$E10+($F10-$E10)*$O$2/(1+EXP($O$3*(COUNT($K$9:K$9)+$O$4))),TREND($E10:$F10,$E$9:$F$9,K$9))</f>
        <v>7.8393597159514841E-2</v>
      </c>
      <c r="L10">
        <f>IF($G10="s-curve",$E10+($F10-$E10)*$O$2/(1+EXP($O$3*(COUNT($K$9:L$9)+$O$4))),TREND($E10:$F10,$E$9:$F$9,L$9))</f>
        <v>8.383744382909665E-2</v>
      </c>
      <c r="M10">
        <f>IF($G10="s-curve",$E10+($F10-$E10)*$O$2/(1+EXP($O$3*(COUNT($K$9:M$9)+$O$4))),TREND($E10:$F10,$E$9:$F$9,M$9))</f>
        <v>9.1702346693592188E-2</v>
      </c>
      <c r="N10">
        <f>IF($G10="s-curve",$E10+($F10-$E10)*$O$2/(1+EXP($O$3*(COUNT($K$9:N$9)+$O$4))),TREND($E10:$F10,$E$9:$F$9,N$9))</f>
        <v>0.1028980197241021</v>
      </c>
      <c r="O10">
        <f>IF($G10="s-curve",$E10+($F10-$E10)*$O$2/(1+EXP($O$3*(COUNT($K$9:O$9)+$O$4))),TREND($E10:$F10,$E$9:$F$9,O$9))</f>
        <v>0.11850365652431405</v>
      </c>
      <c r="P10">
        <f>IF($G10="s-curve",$E10+($F10-$E10)*$O$2/(1+EXP($O$3*(COUNT($K$9:P$9)+$O$4))),TREND($E10:$F10,$E$9:$F$9,P$9))</f>
        <v>0.1396309892832005</v>
      </c>
      <c r="Q10">
        <f>IF($G10="s-curve",$E10+($F10-$E10)*$O$2/(1+EXP($O$3*(COUNT($K$9:Q$9)+$O$4))),TREND($E10:$F10,$E$9:$F$9,Q$9))</f>
        <v>0.16713173544079279</v>
      </c>
      <c r="R10">
        <f>IF($G10="s-curve",$E10+($F10-$E10)*$O$2/(1+EXP($O$3*(COUNT($K$9:R$9)+$O$4))),TREND($E10:$F10,$E$9:$F$9,R$9))</f>
        <v>0.20115393406388254</v>
      </c>
      <c r="S10">
        <f>IF($G10="s-curve",$E10+($F10-$E10)*$O$2/(1+EXP($O$3*(COUNT($K$9:S$9)+$O$4))),TREND($E10:$F10,$E$9:$F$9,S$9))</f>
        <v>0.2406926533620381</v>
      </c>
      <c r="T10">
        <f>IF($G10="s-curve",$E10+($F10-$E10)*$O$2/(1+EXP($O$3*(COUNT($K$9:T$9)+$O$4))),TREND($E10:$F10,$E$9:$F$9,T$9))</f>
        <v>0.28343687041315002</v>
      </c>
      <c r="U10">
        <f>IF($G10="s-curve",$E10+($F10-$E10)*$O$2/(1+EXP($O$3*(COUNT($K$9:U$9)+$O$4))),TREND($E10:$F10,$E$9:$F$9,U$9))</f>
        <v>0.32618108746426189</v>
      </c>
      <c r="V10">
        <f>IF($G10="s-curve",$E10+($F10-$E10)*$O$2/(1+EXP($O$3*(COUNT($K$9:V$9)+$O$4))),TREND($E10:$F10,$E$9:$F$9,V$9))</f>
        <v>0.36571980676241744</v>
      </c>
      <c r="W10">
        <f>IF($G10="s-curve",$E10+($F10-$E10)*$O$2/(1+EXP($O$3*(COUNT($K$9:W$9)+$O$4))),TREND($E10:$F10,$E$9:$F$9,W$9))</f>
        <v>0.39974200538550725</v>
      </c>
      <c r="X10">
        <f>IF($G10="s-curve",$E10+($F10-$E10)*$O$2/(1+EXP($O$3*(COUNT($K$9:X$9)+$O$4))),TREND($E10:$F10,$E$9:$F$9,X$9))</f>
        <v>0.42724275154309949</v>
      </c>
      <c r="Y10">
        <f>IF($G10="s-curve",$E10+($F10-$E10)*$O$2/(1+EXP($O$3*(COUNT($K$9:Y$9)+$O$4))),TREND($E10:$F10,$E$9:$F$9,Y$9))</f>
        <v>0.44837008430198594</v>
      </c>
      <c r="Z10">
        <f>IF($G10="s-curve",$E10+($F10-$E10)*$O$2/(1+EXP($O$3*(COUNT($K$9:Z$9)+$O$4))),TREND($E10:$F10,$E$9:$F$9,Z$9))</f>
        <v>0.46397572110219792</v>
      </c>
      <c r="AA10">
        <f>IF($G10="s-curve",$E10+($F10-$E10)*$O$2/(1+EXP($O$3*(COUNT($K$9:AA$9)+$O$4))),TREND($E10:$F10,$E$9:$F$9,AA$9))</f>
        <v>0.47517139413270781</v>
      </c>
      <c r="AB10">
        <f>IF($G10="s-curve",$E10+($F10-$E10)*$O$2/(1+EXP($O$3*(COUNT($K$9:AB$9)+$O$4))),TREND($E10:$F10,$E$9:$F$9,AB$9))</f>
        <v>0.48303629699720335</v>
      </c>
      <c r="AC10">
        <f>IF($G10="s-curve",$E10+($F10-$E10)*$O$2/(1+EXP($O$3*(COUNT($K$9:AC$9)+$O$4))),TREND($E10:$F10,$E$9:$F$9,AC$9))</f>
        <v>0.4884801436667851</v>
      </c>
      <c r="AD10">
        <f>IF($G10="s-curve",$E10+($F10-$E10)*$O$2/(1+EXP($O$3*(COUNT($K$9:AD$9)+$O$4))),TREND($E10:$F10,$E$9:$F$9,AD$9))</f>
        <v>0.4922097001624065</v>
      </c>
      <c r="AE10">
        <f>IF($G10="s-curve",$E10+($F10-$E10)*$O$2/(1+EXP($O$3*(COUNT($K$9:AE$9)+$O$4))),TREND($E10:$F10,$E$9:$F$9,AE$9))</f>
        <v>0.49474685632562987</v>
      </c>
      <c r="AF10">
        <f>IF($G10="s-curve",$E10+($F10-$E10)*$O$2/(1+EXP($O$3*(COUNT($K$9:AF$9)+$O$4))),TREND($E10:$F10,$E$9:$F$9,AF$9))</f>
        <v>0.49646457609119271</v>
      </c>
      <c r="AG10">
        <f>IF($G10="s-curve",$E10+($F10-$E10)*$O$2/(1+EXP($O$3*(COUNT($K$9:AG$9)+$O$4))),TREND($E10:$F10,$E$9:$F$9,AG$9))</f>
        <v>0.49762373988097219</v>
      </c>
      <c r="AH10">
        <f>IF($G10="s-curve",$E10+($F10-$E10)*$O$2/(1+EXP($O$3*(COUNT($K$9:AH$9)+$O$4))),TREND($E10:$F10,$E$9:$F$9,AH$9))</f>
        <v>0.49840425895445883</v>
      </c>
      <c r="AI10">
        <f>IF($G10="s-curve",$E10+($F10-$E10)*$O$2/(1+EXP($O$3*(COUNT($K$9:AI$9)+$O$4))),TREND($E10:$F10,$E$9:$F$9,AI$9))</f>
        <v>0.49892904198182053</v>
      </c>
    </row>
    <row r="11" spans="1:37" x14ac:dyDescent="0.35">
      <c r="C11" t="s">
        <v>2</v>
      </c>
      <c r="D11">
        <v>1.0005073039100001E-4</v>
      </c>
      <c r="E11" s="19">
        <v>9.1114481822700006E-5</v>
      </c>
      <c r="F11" s="19">
        <f>E11</f>
        <v>9.1114481822700006E-5</v>
      </c>
      <c r="G11" s="6" t="str">
        <f>IF(E11=F11,"n/a",IF(OR(C11="battery electric vehicle",C11="natural gas vehicle",C11="plugin hybrid vehicle"),"s-curve","linear"))</f>
        <v>n/a</v>
      </c>
      <c r="I11" s="19">
        <f t="shared" ref="I11:I40" si="1">E11</f>
        <v>9.1114481822700006E-5</v>
      </c>
      <c r="J11">
        <f>IF($G11="s-curve",$E11+($F11-$E11)*$I$2/(1+EXP($I$3*(COUNT($I$9:J$9)+$I$4))),TREND($E11:$F11,$E$9:$F$9,J$9))</f>
        <v>9.1114481822700006E-5</v>
      </c>
      <c r="K11">
        <f>IF($G11="s-curve",$E11+($F11-$E11)*$I$2/(1+EXP($I$3*(COUNT($I$9:K$9)+$I$4))),TREND($E11:$F11,$E$9:$F$9,K$9))</f>
        <v>9.1114481822700006E-5</v>
      </c>
      <c r="L11">
        <f>IF($G11="s-curve",$E11+($F11-$E11)*$I$2/(1+EXP($I$3*(COUNT($I$9:L$9)+$I$4))),TREND($E11:$F11,$E$9:$F$9,L$9))</f>
        <v>9.1114481822700006E-5</v>
      </c>
      <c r="M11">
        <f>IF($G11="s-curve",$E11+($F11-$E11)*$I$2/(1+EXP($I$3*(COUNT($I$9:M$9)+$I$4))),TREND($E11:$F11,$E$9:$F$9,M$9))</f>
        <v>9.1114481822700006E-5</v>
      </c>
      <c r="N11">
        <f>IF($G11="s-curve",$E11+($F11-$E11)*$I$2/(1+EXP($I$3*(COUNT($I$9:N$9)+$I$4))),TREND($E11:$F11,$E$9:$F$9,N$9))</f>
        <v>9.1114481822700006E-5</v>
      </c>
      <c r="O11">
        <f>IF($G11="s-curve",$E11+($F11-$E11)*$I$2/(1+EXP($I$3*(COUNT($I$9:O$9)+$I$4))),TREND($E11:$F11,$E$9:$F$9,O$9))</f>
        <v>9.1114481822700006E-5</v>
      </c>
      <c r="P11">
        <f>IF($G11="s-curve",$E11+($F11-$E11)*$I$2/(1+EXP($I$3*(COUNT($I$9:P$9)+$I$4))),TREND($E11:$F11,$E$9:$F$9,P$9))</f>
        <v>9.1114481822700006E-5</v>
      </c>
      <c r="Q11">
        <f>IF($G11="s-curve",$E11+($F11-$E11)*$I$2/(1+EXP($I$3*(COUNT($I$9:Q$9)+$I$4))),TREND($E11:$F11,$E$9:$F$9,Q$9))</f>
        <v>9.1114481822700006E-5</v>
      </c>
      <c r="R11">
        <f>IF($G11="s-curve",$E11+($F11-$E11)*$I$2/(1+EXP($I$3*(COUNT($I$9:R$9)+$I$4))),TREND($E11:$F11,$E$9:$F$9,R$9))</f>
        <v>9.1114481822700006E-5</v>
      </c>
      <c r="S11">
        <f>IF($G11="s-curve",$E11+($F11-$E11)*$I$2/(1+EXP($I$3*(COUNT($I$9:S$9)+$I$4))),TREND($E11:$F11,$E$9:$F$9,S$9))</f>
        <v>9.1114481822700006E-5</v>
      </c>
      <c r="T11">
        <f>IF($G11="s-curve",$E11+($F11-$E11)*$I$2/(1+EXP($I$3*(COUNT($I$9:T$9)+$I$4))),TREND($E11:$F11,$E$9:$F$9,T$9))</f>
        <v>9.1114481822700006E-5</v>
      </c>
      <c r="U11">
        <f>IF($G11="s-curve",$E11+($F11-$E11)*$I$2/(1+EXP($I$3*(COUNT($I$9:U$9)+$I$4))),TREND($E11:$F11,$E$9:$F$9,U$9))</f>
        <v>9.1114481822700006E-5</v>
      </c>
      <c r="V11">
        <f>IF($G11="s-curve",$E11+($F11-$E11)*$I$2/(1+EXP($I$3*(COUNT($I$9:V$9)+$I$4))),TREND($E11:$F11,$E$9:$F$9,V$9))</f>
        <v>9.1114481822700006E-5</v>
      </c>
      <c r="W11">
        <f>IF($G11="s-curve",$E11+($F11-$E11)*$I$2/(1+EXP($I$3*(COUNT($I$9:W$9)+$I$4))),TREND($E11:$F11,$E$9:$F$9,W$9))</f>
        <v>9.1114481822700006E-5</v>
      </c>
      <c r="X11">
        <f>IF($G11="s-curve",$E11+($F11-$E11)*$I$2/(1+EXP($I$3*(COUNT($I$9:X$9)+$I$4))),TREND($E11:$F11,$E$9:$F$9,X$9))</f>
        <v>9.1114481822700006E-5</v>
      </c>
      <c r="Y11">
        <f>IF($G11="s-curve",$E11+($F11-$E11)*$I$2/(1+EXP($I$3*(COUNT($I$9:Y$9)+$I$4))),TREND($E11:$F11,$E$9:$F$9,Y$9))</f>
        <v>9.1114481822700006E-5</v>
      </c>
      <c r="Z11">
        <f>IF($G11="s-curve",$E11+($F11-$E11)*$I$2/(1+EXP($I$3*(COUNT($I$9:Z$9)+$I$4))),TREND($E11:$F11,$E$9:$F$9,Z$9))</f>
        <v>9.1114481822700006E-5</v>
      </c>
      <c r="AA11">
        <f>IF($G11="s-curve",$E11+($F11-$E11)*$I$2/(1+EXP($I$3*(COUNT($I$9:AA$9)+$I$4))),TREND($E11:$F11,$E$9:$F$9,AA$9))</f>
        <v>9.1114481822700006E-5</v>
      </c>
      <c r="AB11">
        <f>IF($G11="s-curve",$E11+($F11-$E11)*$I$2/(1+EXP($I$3*(COUNT($I$9:AB$9)+$I$4))),TREND($E11:$F11,$E$9:$F$9,AB$9))</f>
        <v>9.1114481822700006E-5</v>
      </c>
      <c r="AC11">
        <f>IF($G11="s-curve",$E11+($F11-$E11)*$I$2/(1+EXP($I$3*(COUNT($I$9:AC$9)+$I$4))),TREND($E11:$F11,$E$9:$F$9,AC$9))</f>
        <v>9.1114481822700006E-5</v>
      </c>
      <c r="AD11">
        <f>IF($G11="s-curve",$E11+($F11-$E11)*$I$2/(1+EXP($I$3*(COUNT($I$9:AD$9)+$I$4))),TREND($E11:$F11,$E$9:$F$9,AD$9))</f>
        <v>9.1114481822700006E-5</v>
      </c>
      <c r="AE11">
        <f>IF($G11="s-curve",$E11+($F11-$E11)*$I$2/(1+EXP($I$3*(COUNT($I$9:AE$9)+$I$4))),TREND($E11:$F11,$E$9:$F$9,AE$9))</f>
        <v>9.1114481822700006E-5</v>
      </c>
      <c r="AF11">
        <f>IF($G11="s-curve",$E11+($F11-$E11)*$I$2/(1+EXP($I$3*(COUNT($I$9:AF$9)+$I$4))),TREND($E11:$F11,$E$9:$F$9,AF$9))</f>
        <v>9.1114481822700006E-5</v>
      </c>
      <c r="AG11">
        <f>IF($G11="s-curve",$E11+($F11-$E11)*$I$2/(1+EXP($I$3*(COUNT($I$9:AG$9)+$I$4))),TREND($E11:$F11,$E$9:$F$9,AG$9))</f>
        <v>9.1114481822700006E-5</v>
      </c>
      <c r="AH11">
        <f>IF($G11="s-curve",$E11+($F11-$E11)*$I$2/(1+EXP($I$3*(COUNT($I$9:AH$9)+$I$4))),TREND($E11:$F11,$E$9:$F$9,AH$9))</f>
        <v>9.1114481822700006E-5</v>
      </c>
      <c r="AI11">
        <f>IF($G11="s-curve",$E11+($F11-$E11)*$I$2/(1+EXP($I$3*(COUNT($I$9:AI$9)+$I$4))),TREND($E11:$F11,$E$9:$F$9,AI$9))</f>
        <v>9.1114481822700006E-5</v>
      </c>
    </row>
    <row r="12" spans="1:37" x14ac:dyDescent="0.35">
      <c r="C12" t="s">
        <v>3</v>
      </c>
      <c r="D12">
        <v>1</v>
      </c>
      <c r="E12">
        <v>1</v>
      </c>
      <c r="F12">
        <v>1</v>
      </c>
      <c r="G12" s="6" t="str">
        <f>IF(E12=F12,"n/a",IF(OR(C12="battery electric vehicle",C12="natural gas vehicle",C12="plugin hybrid vehicle"),"s-curve","linear"))</f>
        <v>n/a</v>
      </c>
      <c r="I12" s="19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35">
      <c r="C13" t="s">
        <v>4</v>
      </c>
      <c r="D13">
        <v>6.6777915503600002E-2</v>
      </c>
      <c r="E13" s="19">
        <v>6.08023121013E-2</v>
      </c>
      <c r="F13" s="19">
        <f>E13</f>
        <v>6.08023121013E-2</v>
      </c>
      <c r="G13" s="6" t="str">
        <f>IF(E13=F13,"n/a",IF(OR(C13="battery electric vehicle",C13="natural gas vehicle",C13="plugin hybrid vehicle"),"s-curve","linear"))</f>
        <v>n/a</v>
      </c>
      <c r="I13" s="19">
        <f t="shared" si="1"/>
        <v>6.08023121013E-2</v>
      </c>
      <c r="J13">
        <f>IF($G13="s-curve",$E13+($F13-$E13)*$I$2/(1+EXP($I$3*(COUNT($I$9:J$9)+$I$4))),TREND($E13:$F13,$E$9:$F$9,J$9))</f>
        <v>6.08023121013E-2</v>
      </c>
      <c r="K13">
        <f>IF($G13="s-curve",$E13+($F13-$E13)*$I$2/(1+EXP($I$3*(COUNT($I$9:K$9)+$I$4))),TREND($E13:$F13,$E$9:$F$9,K$9))</f>
        <v>6.08023121013E-2</v>
      </c>
      <c r="L13">
        <f>IF($G13="s-curve",$E13+($F13-$E13)*$I$2/(1+EXP($I$3*(COUNT($I$9:L$9)+$I$4))),TREND($E13:$F13,$E$9:$F$9,L$9))</f>
        <v>6.08023121013E-2</v>
      </c>
      <c r="M13">
        <f>IF($G13="s-curve",$E13+($F13-$E13)*$I$2/(1+EXP($I$3*(COUNT($I$9:M$9)+$I$4))),TREND($E13:$F13,$E$9:$F$9,M$9))</f>
        <v>6.08023121013E-2</v>
      </c>
      <c r="N13">
        <f>IF($G13="s-curve",$E13+($F13-$E13)*$I$2/(1+EXP($I$3*(COUNT($I$9:N$9)+$I$4))),TREND($E13:$F13,$E$9:$F$9,N$9))</f>
        <v>6.08023121013E-2</v>
      </c>
      <c r="O13">
        <f>IF($G13="s-curve",$E13+($F13-$E13)*$I$2/(1+EXP($I$3*(COUNT($I$9:O$9)+$I$4))),TREND($E13:$F13,$E$9:$F$9,O$9))</f>
        <v>6.08023121013E-2</v>
      </c>
      <c r="P13">
        <f>IF($G13="s-curve",$E13+($F13-$E13)*$I$2/(1+EXP($I$3*(COUNT($I$9:P$9)+$I$4))),TREND($E13:$F13,$E$9:$F$9,P$9))</f>
        <v>6.08023121013E-2</v>
      </c>
      <c r="Q13">
        <f>IF($G13="s-curve",$E13+($F13-$E13)*$I$2/(1+EXP($I$3*(COUNT($I$9:Q$9)+$I$4))),TREND($E13:$F13,$E$9:$F$9,Q$9))</f>
        <v>6.08023121013E-2</v>
      </c>
      <c r="R13">
        <f>IF($G13="s-curve",$E13+($F13-$E13)*$I$2/(1+EXP($I$3*(COUNT($I$9:R$9)+$I$4))),TREND($E13:$F13,$E$9:$F$9,R$9))</f>
        <v>6.08023121013E-2</v>
      </c>
      <c r="S13">
        <f>IF($G13="s-curve",$E13+($F13-$E13)*$I$2/(1+EXP($I$3*(COUNT($I$9:S$9)+$I$4))),TREND($E13:$F13,$E$9:$F$9,S$9))</f>
        <v>6.08023121013E-2</v>
      </c>
      <c r="T13">
        <f>IF($G13="s-curve",$E13+($F13-$E13)*$I$2/(1+EXP($I$3*(COUNT($I$9:T$9)+$I$4))),TREND($E13:$F13,$E$9:$F$9,T$9))</f>
        <v>6.08023121013E-2</v>
      </c>
      <c r="U13">
        <f>IF($G13="s-curve",$E13+($F13-$E13)*$I$2/(1+EXP($I$3*(COUNT($I$9:U$9)+$I$4))),TREND($E13:$F13,$E$9:$F$9,U$9))</f>
        <v>6.08023121013E-2</v>
      </c>
      <c r="V13">
        <f>IF($G13="s-curve",$E13+($F13-$E13)*$I$2/(1+EXP($I$3*(COUNT($I$9:V$9)+$I$4))),TREND($E13:$F13,$E$9:$F$9,V$9))</f>
        <v>6.08023121013E-2</v>
      </c>
      <c r="W13">
        <f>IF($G13="s-curve",$E13+($F13-$E13)*$I$2/(1+EXP($I$3*(COUNT($I$9:W$9)+$I$4))),TREND($E13:$F13,$E$9:$F$9,W$9))</f>
        <v>6.08023121013E-2</v>
      </c>
      <c r="X13">
        <f>IF($G13="s-curve",$E13+($F13-$E13)*$I$2/(1+EXP($I$3*(COUNT($I$9:X$9)+$I$4))),TREND($E13:$F13,$E$9:$F$9,X$9))</f>
        <v>6.08023121013E-2</v>
      </c>
      <c r="Y13">
        <f>IF($G13="s-curve",$E13+($F13-$E13)*$I$2/(1+EXP($I$3*(COUNT($I$9:Y$9)+$I$4))),TREND($E13:$F13,$E$9:$F$9,Y$9))</f>
        <v>6.08023121013E-2</v>
      </c>
      <c r="Z13">
        <f>IF($G13="s-curve",$E13+($F13-$E13)*$I$2/(1+EXP($I$3*(COUNT($I$9:Z$9)+$I$4))),TREND($E13:$F13,$E$9:$F$9,Z$9))</f>
        <v>6.08023121013E-2</v>
      </c>
      <c r="AA13">
        <f>IF($G13="s-curve",$E13+($F13-$E13)*$I$2/(1+EXP($I$3*(COUNT($I$9:AA$9)+$I$4))),TREND($E13:$F13,$E$9:$F$9,AA$9))</f>
        <v>6.08023121013E-2</v>
      </c>
      <c r="AB13">
        <f>IF($G13="s-curve",$E13+($F13-$E13)*$I$2/(1+EXP($I$3*(COUNT($I$9:AB$9)+$I$4))),TREND($E13:$F13,$E$9:$F$9,AB$9))</f>
        <v>6.08023121013E-2</v>
      </c>
      <c r="AC13">
        <f>IF($G13="s-curve",$E13+($F13-$E13)*$I$2/(1+EXP($I$3*(COUNT($I$9:AC$9)+$I$4))),TREND($E13:$F13,$E$9:$F$9,AC$9))</f>
        <v>6.08023121013E-2</v>
      </c>
      <c r="AD13">
        <f>IF($G13="s-curve",$E13+($F13-$E13)*$I$2/(1+EXP($I$3*(COUNT($I$9:AD$9)+$I$4))),TREND($E13:$F13,$E$9:$F$9,AD$9))</f>
        <v>6.08023121013E-2</v>
      </c>
      <c r="AE13">
        <f>IF($G13="s-curve",$E13+($F13-$E13)*$I$2/(1+EXP($I$3*(COUNT($I$9:AE$9)+$I$4))),TREND($E13:$F13,$E$9:$F$9,AE$9))</f>
        <v>6.08023121013E-2</v>
      </c>
      <c r="AF13">
        <f>IF($G13="s-curve",$E13+($F13-$E13)*$I$2/(1+EXP($I$3*(COUNT($I$9:AF$9)+$I$4))),TREND($E13:$F13,$E$9:$F$9,AF$9))</f>
        <v>6.08023121013E-2</v>
      </c>
      <c r="AG13">
        <f>IF($G13="s-curve",$E13+($F13-$E13)*$I$2/(1+EXP($I$3*(COUNT($I$9:AG$9)+$I$4))),TREND($E13:$F13,$E$9:$F$9,AG$9))</f>
        <v>6.08023121013E-2</v>
      </c>
      <c r="AH13">
        <f>IF($G13="s-curve",$E13+($F13-$E13)*$I$2/(1+EXP($I$3*(COUNT($I$9:AH$9)+$I$4))),TREND($E13:$F13,$E$9:$F$9,AH$9))</f>
        <v>6.08023121013E-2</v>
      </c>
      <c r="AI13">
        <f>IF($G13="s-curve",$E13+($F13-$E13)*$I$2/(1+EXP($I$3*(COUNT($I$9:AI$9)+$I$4))),TREND($E13:$F13,$E$9:$F$9,AI$9))</f>
        <v>6.08023121013E-2</v>
      </c>
    </row>
    <row r="14" spans="1:37" x14ac:dyDescent="0.35">
      <c r="C14" t="s">
        <v>5</v>
      </c>
      <c r="D14">
        <v>1.5463740197399999E-2</v>
      </c>
      <c r="E14" s="19">
        <f>D14</f>
        <v>1.5463740197399999E-2</v>
      </c>
      <c r="F14" s="29">
        <v>0.25</v>
      </c>
      <c r="G14" s="6" t="str">
        <f>IF(E14=F14,"n/a",IF(OR(C14="battery electric vehicle",C14="natural gas vehicle",C14="plugin hybrid vehicle",C14="hydrogen vehicle"),"s-curve","linear"))</f>
        <v>s-curve</v>
      </c>
      <c r="I14">
        <f>D14</f>
        <v>1.5463740197399999E-2</v>
      </c>
      <c r="J14">
        <f>E14</f>
        <v>1.5463740197399999E-2</v>
      </c>
      <c r="K14">
        <f>IF($G14="s-curve",$E14+($F14-$E14)*$U$2/(1+EXP($U$3*(COUNT($I$9:K$9)+$U$4))),TREND($E14:$F14,$E$9:$F$9,K$9))</f>
        <v>2.3336940270317272E-2</v>
      </c>
      <c r="L14">
        <f>IF($G14="s-curve",$E14+($F14-$E14)*$U$2/(1+EXP($U$3*(COUNT($I$9:L$9)+$U$4))),TREND($E14:$F14,$E$9:$F$9,L$9))</f>
        <v>2.7240104411371674E-2</v>
      </c>
      <c r="M14">
        <f>IF($G14="s-curve",$E14+($F14-$E14)*$U$2/(1+EXP($U$3*(COUNT($I$9:M$9)+$U$4))),TREND($E14:$F14,$E$9:$F$9,M$9))</f>
        <v>3.2929173531825326E-2</v>
      </c>
      <c r="N14">
        <f>IF($G14="s-curve",$E14+($F14-$E14)*$U$2/(1+EXP($U$3*(COUNT($I$9:N$9)+$U$4))),TREND($E14:$F14,$E$9:$F$9,N$9))</f>
        <v>4.105090059697207E-2</v>
      </c>
      <c r="O14">
        <f>IF($G14="s-curve",$E14+($F14-$E14)*$U$2/(1+EXP($U$3*(COUNT($I$9:O$9)+$U$4))),TREND($E14:$F14,$E$9:$F$9,O$9))</f>
        <v>5.2308323901729806E-2</v>
      </c>
      <c r="P14">
        <f>IF($G14="s-curve",$E14+($F14-$E14)*$U$2/(1+EXP($U$3*(COUNT($I$9:P$9)+$U$4))),TREND($E14:$F14,$E$9:$F$9,P$9))</f>
        <v>6.7290130392745701E-2</v>
      </c>
      <c r="Q14">
        <f>IF($G14="s-curve",$E14+($F14-$E14)*$U$2/(1+EXP($U$3*(COUNT($I$9:Q$9)+$U$4))),TREND($E14:$F14,$E$9:$F$9,Q$9))</f>
        <v>8.6184580636549449E-2</v>
      </c>
      <c r="R14">
        <f>IF($G14="s-curve",$E14+($F14-$E14)*$U$2/(1+EXP($U$3*(COUNT($I$9:R$9)+$U$4))),TREND($E14:$F14,$E$9:$F$9,R$9))</f>
        <v>0.10846129572320919</v>
      </c>
      <c r="S14">
        <f>IF($G14="s-curve",$E14+($F14-$E14)*$U$2/(1+EXP($U$3*(COUNT($I$9:S$9)+$U$4))),TREND($E14:$F14,$E$9:$F$9,S$9))</f>
        <v>0.13273187009869999</v>
      </c>
      <c r="T14">
        <f>IF($G14="s-curve",$E14+($F14-$E14)*$U$2/(1+EXP($U$3*(COUNT($I$9:T$9)+$U$4))),TREND($E14:$F14,$E$9:$F$9,T$9))</f>
        <v>0.15700244447419082</v>
      </c>
      <c r="U14">
        <f>IF($G14="s-curve",$E14+($F14-$E14)*$U$2/(1+EXP($U$3*(COUNT($I$9:U$9)+$U$4))),TREND($E14:$F14,$E$9:$F$9,U$9))</f>
        <v>0.17927915956085055</v>
      </c>
      <c r="V14">
        <f>IF($G14="s-curve",$E14+($F14-$E14)*$U$2/(1+EXP($U$3*(COUNT($I$9:V$9)+$U$4))),TREND($E14:$F14,$E$9:$F$9,V$9))</f>
        <v>0.19817360980465429</v>
      </c>
      <c r="W14">
        <f>IF($G14="s-curve",$E14+($F14-$E14)*$U$2/(1+EXP($U$3*(COUNT($I$9:W$9)+$U$4))),TREND($E14:$F14,$E$9:$F$9,W$9))</f>
        <v>0.2131554162956702</v>
      </c>
      <c r="X14">
        <f>IF($G14="s-curve",$E14+($F14-$E14)*$U$2/(1+EXP($U$3*(COUNT($I$9:X$9)+$U$4))),TREND($E14:$F14,$E$9:$F$9,X$9))</f>
        <v>0.22441283960042793</v>
      </c>
      <c r="Y14">
        <f>IF($G14="s-curve",$E14+($F14-$E14)*$U$2/(1+EXP($U$3*(COUNT($I$9:Y$9)+$U$4))),TREND($E14:$F14,$E$9:$F$9,Y$9))</f>
        <v>0.23253456666557468</v>
      </c>
      <c r="Z14">
        <f>IF($G14="s-curve",$E14+($F14-$E14)*$U$2/(1+EXP($U$3*(COUNT($I$9:Z$9)+$U$4))),TREND($E14:$F14,$E$9:$F$9,Z$9))</f>
        <v>0.23822363578602834</v>
      </c>
      <c r="AA14">
        <f>IF($G14="s-curve",$E14+($F14-$E14)*$U$2/(1+EXP($U$3*(COUNT($I$9:AA$9)+$U$4))),TREND($E14:$F14,$E$9:$F$9,AA$9))</f>
        <v>0.24212679992708275</v>
      </c>
      <c r="AB14">
        <f>IF($G14="s-curve",$E14+($F14-$E14)*$U$2/(1+EXP($U$3*(COUNT($I$9:AB$9)+$U$4))),TREND($E14:$F14,$E$9:$F$9,AB$9))</f>
        <v>0.24476668954419437</v>
      </c>
      <c r="AC14">
        <f>IF($G14="s-curve",$E14+($F14-$E14)*$U$2/(1+EXP($U$3*(COUNT($I$9:AC$9)+$U$4))),TREND($E14:$F14,$E$9:$F$9,AC$9))</f>
        <v>0.24653495386445468</v>
      </c>
      <c r="AD14">
        <f>IF($G14="s-curve",$E14+($F14-$E14)*$U$2/(1+EXP($U$3*(COUNT($I$9:AD$9)+$U$4))),TREND($E14:$F14,$E$9:$F$9,AD$9))</f>
        <v>0.24771170813627313</v>
      </c>
      <c r="AE14">
        <f>IF($G14="s-curve",$E14+($F14-$E14)*$U$2/(1+EXP($U$3*(COUNT($I$9:AE$9)+$U$4))),TREND($E14:$F14,$E$9:$F$9,AE$9))</f>
        <v>0.24849143733752424</v>
      </c>
      <c r="AF14">
        <f>IF($G14="s-curve",$E14+($F14-$E14)*$U$2/(1+EXP($U$3*(COUNT($I$9:AF$9)+$U$4))),TREND($E14:$F14,$E$9:$F$9,AF$9))</f>
        <v>0.24900661237439095</v>
      </c>
      <c r="AG14">
        <f>IF($G14="s-curve",$E14+($F14-$E14)*$U$2/(1+EXP($U$3*(COUNT($I$9:AG$9)+$U$4))),TREND($E14:$F14,$E$9:$F$9,AG$9))</f>
        <v>0.24934634833070185</v>
      </c>
      <c r="AH14">
        <f>IF($G14="s-curve",$E14+($F14-$E14)*$U$2/(1+EXP($U$3*(COUNT($I$9:AH$9)+$U$4))),TREND($E14:$F14,$E$9:$F$9,AH$9))</f>
        <v>0.2495701093559812</v>
      </c>
      <c r="AI14">
        <f>IF($G14="s-curve",$E14+($F14-$E14)*$U$2/(1+EXP($U$3*(COUNT($I$9:AI$9)+$U$4))),TREND($E14:$F14,$E$9:$F$9,AI$9))</f>
        <v>0.2497173640510624</v>
      </c>
    </row>
    <row r="15" spans="1:37" x14ac:dyDescent="0.35">
      <c r="C15" t="s">
        <v>86</v>
      </c>
      <c r="D15">
        <v>0</v>
      </c>
      <c r="E15" s="19">
        <v>0</v>
      </c>
      <c r="F15" s="19">
        <f>E15</f>
        <v>0</v>
      </c>
      <c r="G15" s="6" t="str">
        <f>IF(E15=F15,"n/a",IF(OR(C15="battery electric vehicle",C15="natural gas vehicle",C15="plugin hybrid vehicle",C15="hydrogen vehicle"),"s-curve","linear"))</f>
        <v>n/a</v>
      </c>
      <c r="I15" s="19">
        <f t="shared" si="1"/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" thickBot="1" x14ac:dyDescent="0.4">
      <c r="A16" s="20"/>
      <c r="B16" s="20"/>
      <c r="C16" s="20" t="s">
        <v>87</v>
      </c>
      <c r="D16" s="20">
        <v>0</v>
      </c>
      <c r="E16" s="23">
        <v>0</v>
      </c>
      <c r="F16" s="23">
        <f>E16</f>
        <v>0</v>
      </c>
      <c r="G16" s="7" t="str">
        <f>IF(E16=F16,"n/a",IF(OR(C16="battery electric vehicle",C16="natural gas vehicle",C16="plugin hybrid vehicle",C16="hydrogen vehicle"),"s-curve","linear"))</f>
        <v>n/a</v>
      </c>
      <c r="I16" s="19">
        <f t="shared" si="1"/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35">
      <c r="A17" t="s">
        <v>12</v>
      </c>
      <c r="B17" t="s">
        <v>18</v>
      </c>
      <c r="C17" t="s">
        <v>1</v>
      </c>
      <c r="D17">
        <v>9.2058503875700002E-3</v>
      </c>
      <c r="E17" s="19">
        <v>6.8939837381399999E-3</v>
      </c>
      <c r="F17">
        <v>0.25</v>
      </c>
      <c r="G17" s="6" t="str">
        <f>IF(E17=F17,"n/a",IF(OR(C17="battery electric vehicle",C17="natural gas vehicle",C17="plugin hybrid vehicle"),"s-curve","linear"))</f>
        <v>s-curve</v>
      </c>
      <c r="I17" s="19">
        <f t="shared" si="1"/>
        <v>6.8939837381399999E-3</v>
      </c>
      <c r="J17">
        <f>IF($G17="s-curve",$E17+($F17-$E17)*$X$2/(1+EXP($X$3*(COUNT($I$9:J$9)+$X$4))),TREND($E17:$F17,$E$9:$F$9,J$9))</f>
        <v>1.4745205504305832E-2</v>
      </c>
      <c r="K17">
        <f>IF($G17="s-curve",$E17+($F17-$E17)*$X$2/(1+EXP($X$3*(COUNT($I$9:K$9)+$X$4))),TREND($E17:$F17,$E$9:$F$9,K$9))</f>
        <v>1.8423498834078463E-2</v>
      </c>
      <c r="L17">
        <f>IF($G17="s-curve",$E17+($F17-$E17)*$X$2/(1+EXP($X$3*(COUNT($I$9:L$9)+$X$4))),TREND($E17:$F17,$E$9:$F$9,L$9))</f>
        <v>2.3701949678448984E-2</v>
      </c>
      <c r="M17">
        <f>IF($G17="s-curve",$E17+($F17-$E17)*$X$2/(1+EXP($X$3*(COUNT($I$9:M$9)+$X$4))),TREND($E17:$F17,$E$9:$F$9,M$9))</f>
        <v>3.1143927768198666E-2</v>
      </c>
      <c r="N17">
        <f>IF($G17="s-curve",$E17+($F17-$E17)*$X$2/(1+EXP($X$3*(COUNT($I$9:N$9)+$X$4))),TREND($E17:$F17,$E$9:$F$9,N$9))</f>
        <v>4.1378831028600141E-2</v>
      </c>
      <c r="O17">
        <f>IF($G17="s-curve",$E17+($F17-$E17)*$X$2/(1+EXP($X$3*(COUNT($I$9:O$9)+$X$4))),TREND($E17:$F17,$E$9:$F$9,O$9))</f>
        <v>5.498427054307533E-2</v>
      </c>
      <c r="P17">
        <f>IF($G17="s-curve",$E17+($F17-$E17)*$X$2/(1+EXP($X$3*(COUNT($I$9:P$9)+$X$4))),TREND($E17:$F17,$E$9:$F$9,P$9))</f>
        <v>7.2275261295201787E-2</v>
      </c>
      <c r="Q17">
        <f>IF($G17="s-curve",$E17+($F17-$E17)*$X$2/(1+EXP($X$3*(COUNT($I$9:Q$9)+$X$4))),TREND($E17:$F17,$E$9:$F$9,Q$9))</f>
        <v>9.3037067519099306E-2</v>
      </c>
      <c r="R17">
        <f>IF($G17="s-curve",$E17+($F17-$E17)*$X$2/(1+EXP($X$3*(COUNT($I$9:R$9)+$X$4))),TREND($E17:$F17,$E$9:$F$9,R$9))</f>
        <v>0.11633204730802928</v>
      </c>
      <c r="S17">
        <f>IF($G17="s-curve",$E17+($F17-$E17)*$X$2/(1+EXP($X$3*(COUNT($I$9:S$9)+$X$4))),TREND($E17:$F17,$E$9:$F$9,S$9))</f>
        <v>0.14056193643011078</v>
      </c>
      <c r="T17">
        <f>IF($G17="s-curve",$E17+($F17-$E17)*$X$2/(1+EXP($X$3*(COUNT($I$9:T$9)+$X$4))),TREND($E17:$F17,$E$9:$F$9,T$9))</f>
        <v>0.16385691621904069</v>
      </c>
      <c r="U17">
        <f>IF($G17="s-curve",$E17+($F17-$E17)*$X$2/(1+EXP($X$3*(COUNT($I$9:U$9)+$X$4))),TREND($E17:$F17,$E$9:$F$9,U$9))</f>
        <v>0.18461872244293825</v>
      </c>
      <c r="V17">
        <f>IF($G17="s-curve",$E17+($F17-$E17)*$X$2/(1+EXP($X$3*(COUNT($I$9:V$9)+$X$4))),TREND($E17:$F17,$E$9:$F$9,V$9))</f>
        <v>0.20190971319506468</v>
      </c>
      <c r="W17">
        <f>IF($G17="s-curve",$E17+($F17-$E17)*$X$2/(1+EXP($X$3*(COUNT($I$9:W$9)+$X$4))),TREND($E17:$F17,$E$9:$F$9,W$9))</f>
        <v>0.21551515270953986</v>
      </c>
      <c r="X17">
        <f>IF($G17="s-curve",$E17+($F17-$E17)*$X$2/(1+EXP($X$3*(COUNT($I$9:X$9)+$X$4))),TREND($E17:$F17,$E$9:$F$9,X$9))</f>
        <v>0.22575005596994135</v>
      </c>
      <c r="Y17">
        <f>IF($G17="s-curve",$E17+($F17-$E17)*$X$2/(1+EXP($X$3*(COUNT($I$9:Y$9)+$X$4))),TREND($E17:$F17,$E$9:$F$9,Y$9))</f>
        <v>0.23319203405969108</v>
      </c>
      <c r="Z17">
        <f>IF($G17="s-curve",$E17+($F17-$E17)*$X$2/(1+EXP($X$3*(COUNT($I$9:Z$9)+$X$4))),TREND($E17:$F17,$E$9:$F$9,Z$9))</f>
        <v>0.23847048490406159</v>
      </c>
      <c r="AA17">
        <f>IF($G17="s-curve",$E17+($F17-$E17)*$X$2/(1+EXP($X$3*(COUNT($I$9:AA$9)+$X$4))),TREND($E17:$F17,$E$9:$F$9,AA$9))</f>
        <v>0.24214877823383418</v>
      </c>
      <c r="AB17">
        <f>IF($G17="s-curve",$E17+($F17-$E17)*$X$2/(1+EXP($X$3*(COUNT($I$9:AB$9)+$X$4))),TREND($E17:$F17,$E$9:$F$9,AB$9))</f>
        <v>0.24468053139197088</v>
      </c>
      <c r="AC17">
        <f>IF($G17="s-curve",$E17+($F17-$E17)*$X$2/(1+EXP($X$3*(COUNT($I$9:AC$9)+$X$4))),TREND($E17:$F17,$E$9:$F$9,AC$9))</f>
        <v>0.24640834401092193</v>
      </c>
      <c r="AD17">
        <f>IF($G17="s-curve",$E17+($F17-$E17)*$X$2/(1+EXP($X$3*(COUNT($I$9:AD$9)+$X$4))),TREND($E17:$F17,$E$9:$F$9,AD$9))</f>
        <v>0.24758065709350957</v>
      </c>
      <c r="AE17">
        <f>IF($G17="s-curve",$E17+($F17-$E17)*$X$2/(1+EXP($X$3*(COUNT($I$9:AE$9)+$X$4))),TREND($E17:$F17,$E$9:$F$9,AE$9))</f>
        <v>0.24837292767436264</v>
      </c>
      <c r="AF17">
        <f>IF($G17="s-curve",$E17+($F17-$E17)*$X$2/(1+EXP($X$3*(COUNT($I$9:AF$9)+$X$4))),TREND($E17:$F17,$E$9:$F$9,AF$9))</f>
        <v>0.2489069289438185</v>
      </c>
      <c r="AG17">
        <f>IF($G17="s-curve",$E17+($F17-$E17)*$X$2/(1+EXP($X$3*(COUNT($I$9:AG$9)+$X$4))),TREND($E17:$F17,$E$9:$F$9,AG$9))</f>
        <v>0.24926620483188039</v>
      </c>
      <c r="AH17">
        <f>IF($G17="s-curve",$E17+($F17-$E17)*$X$2/(1+EXP($X$3*(COUNT($I$9:AH$9)+$X$4))),TREND($E17:$F17,$E$9:$F$9,AH$9))</f>
        <v>0.24950763242856416</v>
      </c>
      <c r="AI17">
        <f>IF($G17="s-curve",$E17+($F17-$E17)*$X$2/(1+EXP($X$3*(COUNT($I$9:AI$9)+$X$4))),TREND($E17:$F17,$E$9:$F$9,AI$9))</f>
        <v>0.24966973562683897</v>
      </c>
    </row>
    <row r="18" spans="1:35" x14ac:dyDescent="0.35">
      <c r="C18" t="s">
        <v>2</v>
      </c>
      <c r="D18">
        <v>0</v>
      </c>
      <c r="E18" s="19">
        <v>0</v>
      </c>
      <c r="F18" s="19">
        <f>E18</f>
        <v>0</v>
      </c>
      <c r="G18" s="6" t="s">
        <v>84</v>
      </c>
      <c r="I18" s="19">
        <f t="shared" si="1"/>
        <v>0</v>
      </c>
      <c r="J18">
        <f>IF($G18="s-curve",$E18+($F18-$E18)*$I$2/(1+EXP($I$3*(COUNT($I$9:J$9)+$I$4))),TREND($E18:$F18,$E$9:$F$9,J$9))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35">
      <c r="C19" t="s">
        <v>3</v>
      </c>
      <c r="D19">
        <v>0.72915442924999996</v>
      </c>
      <c r="E19" s="19">
        <v>0.67797888423399999</v>
      </c>
      <c r="F19" s="19">
        <f>E19</f>
        <v>0.67797888423399999</v>
      </c>
      <c r="G19" s="6" t="str">
        <f>IF(E19=F19,"n/a",IF(OR(C19="battery electric vehicle",C19="natural gas vehicle",C19="plugin hybrid vehicle"),"s-curve","linear"))</f>
        <v>n/a</v>
      </c>
      <c r="I19" s="19">
        <f t="shared" si="1"/>
        <v>0.67797888423399999</v>
      </c>
      <c r="J19">
        <f>IF($G19="s-curve",$E19+($F19-$E19)*$I$2/(1+EXP($I$3*(COUNT($I$9:J$9)+$I$4))),TREND($E19:$F19,$E$9:$F$9,J$9))</f>
        <v>0.67797888423399999</v>
      </c>
      <c r="K19">
        <f>IF($G19="s-curve",$E19+($F19-$E19)*$I$2/(1+EXP($I$3*(COUNT($I$9:K$9)+$I$4))),TREND($E19:$F19,$E$9:$F$9,K$9))</f>
        <v>0.67797888423399999</v>
      </c>
      <c r="L19">
        <f>IF($G19="s-curve",$E19+($F19-$E19)*$I$2/(1+EXP($I$3*(COUNT($I$9:L$9)+$I$4))),TREND($E19:$F19,$E$9:$F$9,L$9))</f>
        <v>0.67797888423399999</v>
      </c>
      <c r="M19">
        <f>IF($G19="s-curve",$E19+($F19-$E19)*$I$2/(1+EXP($I$3*(COUNT($I$9:M$9)+$I$4))),TREND($E19:$F19,$E$9:$F$9,M$9))</f>
        <v>0.67797888423399999</v>
      </c>
      <c r="N19">
        <f>IF($G19="s-curve",$E19+($F19-$E19)*$I$2/(1+EXP($I$3*(COUNT($I$9:N$9)+$I$4))),TREND($E19:$F19,$E$9:$F$9,N$9))</f>
        <v>0.67797888423399999</v>
      </c>
      <c r="O19">
        <f>IF($G19="s-curve",$E19+($F19-$E19)*$I$2/(1+EXP($I$3*(COUNT($I$9:O$9)+$I$4))),TREND($E19:$F19,$E$9:$F$9,O$9))</f>
        <v>0.67797888423399999</v>
      </c>
      <c r="P19">
        <f>IF($G19="s-curve",$E19+($F19-$E19)*$I$2/(1+EXP($I$3*(COUNT($I$9:P$9)+$I$4))),TREND($E19:$F19,$E$9:$F$9,P$9))</f>
        <v>0.67797888423399999</v>
      </c>
      <c r="Q19">
        <f>IF($G19="s-curve",$E19+($F19-$E19)*$I$2/(1+EXP($I$3*(COUNT($I$9:Q$9)+$I$4))),TREND($E19:$F19,$E$9:$F$9,Q$9))</f>
        <v>0.67797888423399999</v>
      </c>
      <c r="R19">
        <f>IF($G19="s-curve",$E19+($F19-$E19)*$I$2/(1+EXP($I$3*(COUNT($I$9:R$9)+$I$4))),TREND($E19:$F19,$E$9:$F$9,R$9))</f>
        <v>0.67797888423399999</v>
      </c>
      <c r="S19">
        <f>IF($G19="s-curve",$E19+($F19-$E19)*$I$2/(1+EXP($I$3*(COUNT($I$9:S$9)+$I$4))),TREND($E19:$F19,$E$9:$F$9,S$9))</f>
        <v>0.67797888423399999</v>
      </c>
      <c r="T19">
        <f>IF($G19="s-curve",$E19+($F19-$E19)*$I$2/(1+EXP($I$3*(COUNT($I$9:T$9)+$I$4))),TREND($E19:$F19,$E$9:$F$9,T$9))</f>
        <v>0.67797888423399999</v>
      </c>
      <c r="U19">
        <f>IF($G19="s-curve",$E19+($F19-$E19)*$I$2/(1+EXP($I$3*(COUNT($I$9:U$9)+$I$4))),TREND($E19:$F19,$E$9:$F$9,U$9))</f>
        <v>0.67797888423399999</v>
      </c>
      <c r="V19">
        <f>IF($G19="s-curve",$E19+($F19-$E19)*$I$2/(1+EXP($I$3*(COUNT($I$9:V$9)+$I$4))),TREND($E19:$F19,$E$9:$F$9,V$9))</f>
        <v>0.67797888423399999</v>
      </c>
      <c r="W19">
        <f>IF($G19="s-curve",$E19+($F19-$E19)*$I$2/(1+EXP($I$3*(COUNT($I$9:W$9)+$I$4))),TREND($E19:$F19,$E$9:$F$9,W$9))</f>
        <v>0.67797888423399999</v>
      </c>
      <c r="X19">
        <f>IF($G19="s-curve",$E19+($F19-$E19)*$I$2/(1+EXP($I$3*(COUNT($I$9:X$9)+$I$4))),TREND($E19:$F19,$E$9:$F$9,X$9))</f>
        <v>0.67797888423399999</v>
      </c>
      <c r="Y19">
        <f>IF($G19="s-curve",$E19+($F19-$E19)*$I$2/(1+EXP($I$3*(COUNT($I$9:Y$9)+$I$4))),TREND($E19:$F19,$E$9:$F$9,Y$9))</f>
        <v>0.67797888423399999</v>
      </c>
      <c r="Z19">
        <f>IF($G19="s-curve",$E19+($F19-$E19)*$I$2/(1+EXP($I$3*(COUNT($I$9:Z$9)+$I$4))),TREND($E19:$F19,$E$9:$F$9,Z$9))</f>
        <v>0.67797888423399999</v>
      </c>
      <c r="AA19">
        <f>IF($G19="s-curve",$E19+($F19-$E19)*$I$2/(1+EXP($I$3*(COUNT($I$9:AA$9)+$I$4))),TREND($E19:$F19,$E$9:$F$9,AA$9))</f>
        <v>0.67797888423399999</v>
      </c>
      <c r="AB19">
        <f>IF($G19="s-curve",$E19+($F19-$E19)*$I$2/(1+EXP($I$3*(COUNT($I$9:AB$9)+$I$4))),TREND($E19:$F19,$E$9:$F$9,AB$9))</f>
        <v>0.67797888423399999</v>
      </c>
      <c r="AC19">
        <f>IF($G19="s-curve",$E19+($F19-$E19)*$I$2/(1+EXP($I$3*(COUNT($I$9:AC$9)+$I$4))),TREND($E19:$F19,$E$9:$F$9,AC$9))</f>
        <v>0.67797888423399999</v>
      </c>
      <c r="AD19">
        <f>IF($G19="s-curve",$E19+($F19-$E19)*$I$2/(1+EXP($I$3*(COUNT($I$9:AD$9)+$I$4))),TREND($E19:$F19,$E$9:$F$9,AD$9))</f>
        <v>0.67797888423399999</v>
      </c>
      <c r="AE19">
        <f>IF($G19="s-curve",$E19+($F19-$E19)*$I$2/(1+EXP($I$3*(COUNT($I$9:AE$9)+$I$4))),TREND($E19:$F19,$E$9:$F$9,AE$9))</f>
        <v>0.67797888423399999</v>
      </c>
      <c r="AF19">
        <f>IF($G19="s-curve",$E19+($F19-$E19)*$I$2/(1+EXP($I$3*(COUNT($I$9:AF$9)+$I$4))),TREND($E19:$F19,$E$9:$F$9,AF$9))</f>
        <v>0.67797888423399999</v>
      </c>
      <c r="AG19">
        <f>IF($G19="s-curve",$E19+($F19-$E19)*$I$2/(1+EXP($I$3*(COUNT($I$9:AG$9)+$I$4))),TREND($E19:$F19,$E$9:$F$9,AG$9))</f>
        <v>0.67797888423399999</v>
      </c>
      <c r="AH19">
        <f>IF($G19="s-curve",$E19+($F19-$E19)*$I$2/(1+EXP($I$3*(COUNT($I$9:AH$9)+$I$4))),TREND($E19:$F19,$E$9:$F$9,AH$9))</f>
        <v>0.67797888423399999</v>
      </c>
      <c r="AI19">
        <f>IF($G19="s-curve",$E19+($F19-$E19)*$I$2/(1+EXP($I$3*(COUNT($I$9:AI$9)+$I$4))),TREND($E19:$F19,$E$9:$F$9,AI$9))</f>
        <v>0.67797888423399999</v>
      </c>
    </row>
    <row r="20" spans="1:35" x14ac:dyDescent="0.35">
      <c r="C20" t="s">
        <v>4</v>
      </c>
      <c r="D20">
        <v>1</v>
      </c>
      <c r="E20" s="19">
        <v>1</v>
      </c>
      <c r="F20" s="30">
        <v>1</v>
      </c>
      <c r="G20" s="6" t="str">
        <f>IF(E20=F20,"n/a",IF(OR(C20="battery electric vehicle",C20="natural gas vehicle",C20="plugin hybrid vehicle"),"s-curve","linear"))</f>
        <v>n/a</v>
      </c>
      <c r="I20" s="19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35">
      <c r="C21" t="s">
        <v>5</v>
      </c>
      <c r="D21">
        <v>0</v>
      </c>
      <c r="E21" s="19">
        <v>4.2783868328800001E-4</v>
      </c>
      <c r="F21" s="19">
        <f>E21</f>
        <v>4.2783868328800001E-4</v>
      </c>
      <c r="G21" s="6" t="str">
        <f>IF(E21=F21,"n/a",IF(OR(C21="battery electric vehicle",C21="natural gas vehicle",C21="plugin hybrid vehicle"),"s-curve","linear"))</f>
        <v>n/a</v>
      </c>
      <c r="I21" s="19">
        <f t="shared" si="1"/>
        <v>4.2783868328800001E-4</v>
      </c>
      <c r="J21">
        <f>IF($G21="s-curve",$E21+($F21-$E21)*$I$2/(1+EXP($I$3*(COUNT($I$9:J$9)+$I$4))),TREND($E21:$F21,$E$9:$F$9,J$9))</f>
        <v>4.2783868328800001E-4</v>
      </c>
      <c r="K21">
        <f>IF($G21="s-curve",$E21+($F21-$E21)*$I$2/(1+EXP($I$3*(COUNT($I$9:K$9)+$I$4))),TREND($E21:$F21,$E$9:$F$9,K$9))</f>
        <v>4.2783868328800001E-4</v>
      </c>
      <c r="L21">
        <f>IF($G21="s-curve",$E21+($F21-$E21)*$I$2/(1+EXP($I$3*(COUNT($I$9:L$9)+$I$4))),TREND($E21:$F21,$E$9:$F$9,L$9))</f>
        <v>4.2783868328800001E-4</v>
      </c>
      <c r="M21">
        <f>IF($G21="s-curve",$E21+($F21-$E21)*$I$2/(1+EXP($I$3*(COUNT($I$9:M$9)+$I$4))),TREND($E21:$F21,$E$9:$F$9,M$9))</f>
        <v>4.2783868328800001E-4</v>
      </c>
      <c r="N21">
        <f>IF($G21="s-curve",$E21+($F21-$E21)*$I$2/(1+EXP($I$3*(COUNT($I$9:N$9)+$I$4))),TREND($E21:$F21,$E$9:$F$9,N$9))</f>
        <v>4.2783868328800001E-4</v>
      </c>
      <c r="O21">
        <f>IF($G21="s-curve",$E21+($F21-$E21)*$I$2/(1+EXP($I$3*(COUNT($I$9:O$9)+$I$4))),TREND($E21:$F21,$E$9:$F$9,O$9))</f>
        <v>4.2783868328800001E-4</v>
      </c>
      <c r="P21">
        <f>IF($G21="s-curve",$E21+($F21-$E21)*$I$2/(1+EXP($I$3*(COUNT($I$9:P$9)+$I$4))),TREND($E21:$F21,$E$9:$F$9,P$9))</f>
        <v>4.2783868328800001E-4</v>
      </c>
      <c r="Q21">
        <f>IF($G21="s-curve",$E21+($F21-$E21)*$I$2/(1+EXP($I$3*(COUNT($I$9:Q$9)+$I$4))),TREND($E21:$F21,$E$9:$F$9,Q$9))</f>
        <v>4.2783868328800001E-4</v>
      </c>
      <c r="R21">
        <f>IF($G21="s-curve",$E21+($F21-$E21)*$I$2/(1+EXP($I$3*(COUNT($I$9:R$9)+$I$4))),TREND($E21:$F21,$E$9:$F$9,R$9))</f>
        <v>4.2783868328800001E-4</v>
      </c>
      <c r="S21">
        <f>IF($G21="s-curve",$E21+($F21-$E21)*$I$2/(1+EXP($I$3*(COUNT($I$9:S$9)+$I$4))),TREND($E21:$F21,$E$9:$F$9,S$9))</f>
        <v>4.2783868328800001E-4</v>
      </c>
      <c r="T21">
        <f>IF($G21="s-curve",$E21+($F21-$E21)*$I$2/(1+EXP($I$3*(COUNT($I$9:T$9)+$I$4))),TREND($E21:$F21,$E$9:$F$9,T$9))</f>
        <v>4.2783868328800001E-4</v>
      </c>
      <c r="U21">
        <f>IF($G21="s-curve",$E21+($F21-$E21)*$I$2/(1+EXP($I$3*(COUNT($I$9:U$9)+$I$4))),TREND($E21:$F21,$E$9:$F$9,U$9))</f>
        <v>4.2783868328800001E-4</v>
      </c>
      <c r="V21">
        <f>IF($G21="s-curve",$E21+($F21-$E21)*$I$2/(1+EXP($I$3*(COUNT($I$9:V$9)+$I$4))),TREND($E21:$F21,$E$9:$F$9,V$9))</f>
        <v>4.2783868328800001E-4</v>
      </c>
      <c r="W21">
        <f>IF($G21="s-curve",$E21+($F21-$E21)*$I$2/(1+EXP($I$3*(COUNT($I$9:W$9)+$I$4))),TREND($E21:$F21,$E$9:$F$9,W$9))</f>
        <v>4.2783868328800001E-4</v>
      </c>
      <c r="X21">
        <f>IF($G21="s-curve",$E21+($F21-$E21)*$I$2/(1+EXP($I$3*(COUNT($I$9:X$9)+$I$4))),TREND($E21:$F21,$E$9:$F$9,X$9))</f>
        <v>4.2783868328800001E-4</v>
      </c>
      <c r="Y21">
        <f>IF($G21="s-curve",$E21+($F21-$E21)*$I$2/(1+EXP($I$3*(COUNT($I$9:Y$9)+$I$4))),TREND($E21:$F21,$E$9:$F$9,Y$9))</f>
        <v>4.2783868328800001E-4</v>
      </c>
      <c r="Z21">
        <f>IF($G21="s-curve",$E21+($F21-$E21)*$I$2/(1+EXP($I$3*(COUNT($I$9:Z$9)+$I$4))),TREND($E21:$F21,$E$9:$F$9,Z$9))</f>
        <v>4.2783868328800001E-4</v>
      </c>
      <c r="AA21">
        <f>IF($G21="s-curve",$E21+($F21-$E21)*$I$2/(1+EXP($I$3*(COUNT($I$9:AA$9)+$I$4))),TREND($E21:$F21,$E$9:$F$9,AA$9))</f>
        <v>4.2783868328800001E-4</v>
      </c>
      <c r="AB21">
        <f>IF($G21="s-curve",$E21+($F21-$E21)*$I$2/(1+EXP($I$3*(COUNT($I$9:AB$9)+$I$4))),TREND($E21:$F21,$E$9:$F$9,AB$9))</f>
        <v>4.2783868328800001E-4</v>
      </c>
      <c r="AC21">
        <f>IF($G21="s-curve",$E21+($F21-$E21)*$I$2/(1+EXP($I$3*(COUNT($I$9:AC$9)+$I$4))),TREND($E21:$F21,$E$9:$F$9,AC$9))</f>
        <v>4.2783868328800001E-4</v>
      </c>
      <c r="AD21">
        <f>IF($G21="s-curve",$E21+($F21-$E21)*$I$2/(1+EXP($I$3*(COUNT($I$9:AD$9)+$I$4))),TREND($E21:$F21,$E$9:$F$9,AD$9))</f>
        <v>4.2783868328800001E-4</v>
      </c>
      <c r="AE21">
        <f>IF($G21="s-curve",$E21+($F21-$E21)*$I$2/(1+EXP($I$3*(COUNT($I$9:AE$9)+$I$4))),TREND($E21:$F21,$E$9:$F$9,AE$9))</f>
        <v>4.2783868328800001E-4</v>
      </c>
      <c r="AF21">
        <f>IF($G21="s-curve",$E21+($F21-$E21)*$I$2/(1+EXP($I$3*(COUNT($I$9:AF$9)+$I$4))),TREND($E21:$F21,$E$9:$F$9,AF$9))</f>
        <v>4.2783868328800001E-4</v>
      </c>
      <c r="AG21">
        <f>IF($G21="s-curve",$E21+($F21-$E21)*$I$2/(1+EXP($I$3*(COUNT($I$9:AG$9)+$I$4))),TREND($E21:$F21,$E$9:$F$9,AG$9))</f>
        <v>4.2783868328800001E-4</v>
      </c>
      <c r="AH21">
        <f>IF($G21="s-curve",$E21+($F21-$E21)*$I$2/(1+EXP($I$3*(COUNT($I$9:AH$9)+$I$4))),TREND($E21:$F21,$E$9:$F$9,AH$9))</f>
        <v>4.2783868328800001E-4</v>
      </c>
      <c r="AI21">
        <f>IF($G21="s-curve",$E21+($F21-$E21)*$I$2/(1+EXP($I$3*(COUNT($I$9:AI$9)+$I$4))),TREND($E21:$F21,$E$9:$F$9,AI$9))</f>
        <v>4.2783868328800001E-4</v>
      </c>
    </row>
    <row r="22" spans="1:35" x14ac:dyDescent="0.35">
      <c r="C22" t="s">
        <v>86</v>
      </c>
      <c r="D22">
        <v>0</v>
      </c>
      <c r="E22" s="19">
        <v>0</v>
      </c>
      <c r="F22" s="19">
        <f>E22</f>
        <v>0</v>
      </c>
      <c r="G22" s="6" t="str">
        <f>IF(E22=F22,"n/a",IF(OR(C22="battery electric vehicle",C22="natural gas vehicle",C22="plugin hybrid vehicle",C22="hydrogen vehicle"),"s-curve","linear"))</f>
        <v>n/a</v>
      </c>
      <c r="I22" s="19">
        <f t="shared" si="1"/>
        <v>0</v>
      </c>
      <c r="J22">
        <f>IF($G22="s-curve",$E22+($F22-$E22)*$I$2/(1+EXP($I$3*(COUNT($I$9:J$9)+$I$4))),TREND($E22:$F22,$E$9:$F$9,J$9))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" thickBot="1" x14ac:dyDescent="0.4">
      <c r="A23" s="20"/>
      <c r="B23" s="20"/>
      <c r="C23" s="20" t="s">
        <v>87</v>
      </c>
      <c r="D23" s="20">
        <v>0</v>
      </c>
      <c r="E23" s="23">
        <v>0</v>
      </c>
      <c r="F23" s="23">
        <f>E23</f>
        <v>0</v>
      </c>
      <c r="G23" s="7" t="str">
        <f>IF(E23=F23,"n/a",IF(OR(C23="battery electric vehicle",C23="natural gas vehicle",C23="plugin hybrid vehicle",C23="hydrogen vehicle"),"s-curve","linear"))</f>
        <v>n/a</v>
      </c>
      <c r="I23" s="19">
        <f t="shared" si="1"/>
        <v>0</v>
      </c>
      <c r="J23">
        <f>IF($G23="s-curve",$E23+($F23-$E23)*$I$2/(1+EXP($I$3*(COUNT($I$9:J$9)+$I$4))),TREND($E23:$F23,$E$9:$F$9,J$9))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35">
      <c r="A24" t="s">
        <v>13</v>
      </c>
      <c r="B24" t="s">
        <v>19</v>
      </c>
      <c r="C24" t="s">
        <v>1</v>
      </c>
      <c r="D24">
        <v>0.154617049501</v>
      </c>
      <c r="E24" s="19">
        <v>0.17679125251200001</v>
      </c>
      <c r="F24" s="30">
        <v>1</v>
      </c>
      <c r="G24" s="6" t="str">
        <f>IF(E24=F24,"n/a",IF(OR(C24="battery electric vehicle",C24="natural gas vehicle",C24="plugin hybrid vehicle"),"s-curve","linear"))</f>
        <v>s-curve</v>
      </c>
      <c r="I24" s="19">
        <f>D24</f>
        <v>0.154617049501</v>
      </c>
      <c r="J24" s="19">
        <f>E24</f>
        <v>0.17679125251200001</v>
      </c>
      <c r="K24">
        <f>IF($G24="s-curve",$E24+($F24-$E24)*$O$2/(1+EXP($O$3*(COUNT($K$9:K$9)+$O$4))),TREND($E24:$F24,$E$9:$F$9,K$9))</f>
        <v>0.19868613028135812</v>
      </c>
      <c r="L24">
        <f>IF($G24="s-curve",$E24+($F24-$E24)*$O$2/(1+EXP($O$3*(COUNT($K$9:L$9)+$O$4))),TREND($E24:$F24,$E$9:$F$9,L$9))</f>
        <v>0.20903281811998659</v>
      </c>
      <c r="M24">
        <f>IF($G24="s-curve",$E24+($F24-$E24)*$O$2/(1+EXP($O$3*(COUNT($K$9:M$9)+$O$4))),TREND($E24:$F24,$E$9:$F$9,M$9))</f>
        <v>0.22398101555448952</v>
      </c>
      <c r="N24">
        <f>IF($G24="s-curve",$E24+($F24-$E24)*$O$2/(1+EXP($O$3*(COUNT($K$9:N$9)+$O$4))),TREND($E24:$F24,$E$9:$F$9,N$9))</f>
        <v>0.2452597438179614</v>
      </c>
      <c r="O24">
        <f>IF($G24="s-curve",$E24+($F24-$E24)*$O$2/(1+EXP($O$3*(COUNT($K$9:O$9)+$O$4))),TREND($E24:$F24,$E$9:$F$9,O$9))</f>
        <v>0.27492014064673714</v>
      </c>
      <c r="P24">
        <f>IF($G24="s-curve",$E24+($F24-$E24)*$O$2/(1+EXP($O$3*(COUNT($K$9:P$9)+$O$4))),TREND($E24:$F24,$E$9:$F$9,P$9))</f>
        <v>0.31507518728691364</v>
      </c>
      <c r="Q24">
        <f>IF($G24="s-curve",$E24+($F24-$E24)*$O$2/(1+EXP($O$3*(COUNT($K$9:Q$9)+$O$4))),TREND($E24:$F24,$E$9:$F$9,Q$9))</f>
        <v>0.36734367556228731</v>
      </c>
      <c r="R24">
        <f>IF($G24="s-curve",$E24+($F24-$E24)*$O$2/(1+EXP($O$3*(COUNT($K$9:R$9)+$O$4))),TREND($E24:$F24,$E$9:$F$9,R$9))</f>
        <v>0.43200697159225543</v>
      </c>
      <c r="S24">
        <f>IF($G24="s-curve",$E24+($F24-$E24)*$O$2/(1+EXP($O$3*(COUNT($K$9:S$9)+$O$4))),TREND($E24:$F24,$E$9:$F$9,S$9))</f>
        <v>0.5071550811823069</v>
      </c>
      <c r="T24">
        <f>IF($G24="s-curve",$E24+($F24-$E24)*$O$2/(1+EXP($O$3*(COUNT($K$9:T$9)+$O$4))),TREND($E24:$F24,$E$9:$F$9,T$9))</f>
        <v>0.58839562625599995</v>
      </c>
      <c r="U24">
        <f>IF($G24="s-curve",$E24+($F24-$E24)*$O$2/(1+EXP($O$3*(COUNT($K$9:U$9)+$O$4))),TREND($E24:$F24,$E$9:$F$9,U$9))</f>
        <v>0.669636171329693</v>
      </c>
      <c r="V24">
        <f>IF($G24="s-curve",$E24+($F24-$E24)*$O$2/(1+EXP($O$3*(COUNT($K$9:V$9)+$O$4))),TREND($E24:$F24,$E$9:$F$9,V$9))</f>
        <v>0.74478428091974458</v>
      </c>
      <c r="W24">
        <f>IF($G24="s-curve",$E24+($F24-$E24)*$O$2/(1+EXP($O$3*(COUNT($K$9:W$9)+$O$4))),TREND($E24:$F24,$E$9:$F$9,W$9))</f>
        <v>0.8094475769497127</v>
      </c>
      <c r="X24">
        <f>IF($G24="s-curve",$E24+($F24-$E24)*$O$2/(1+EXP($O$3*(COUNT($K$9:X$9)+$O$4))),TREND($E24:$F24,$E$9:$F$9,X$9))</f>
        <v>0.86171606522508637</v>
      </c>
      <c r="Y24">
        <f>IF($G24="s-curve",$E24+($F24-$E24)*$O$2/(1+EXP($O$3*(COUNT($K$9:Y$9)+$O$4))),TREND($E24:$F24,$E$9:$F$9,Y$9))</f>
        <v>0.90187111186526281</v>
      </c>
      <c r="Z24">
        <f>IF($G24="s-curve",$E24+($F24-$E24)*$O$2/(1+EXP($O$3*(COUNT($K$9:Z$9)+$O$4))),TREND($E24:$F24,$E$9:$F$9,Z$9))</f>
        <v>0.93153150869403867</v>
      </c>
      <c r="AA24">
        <f>IF($G24="s-curve",$E24+($F24-$E24)*$O$2/(1+EXP($O$3*(COUNT($K$9:AA$9)+$O$4))),TREND($E24:$F24,$E$9:$F$9,AA$9))</f>
        <v>0.95281023695751044</v>
      </c>
      <c r="AB24">
        <f>IF($G24="s-curve",$E24+($F24-$E24)*$O$2/(1+EXP($O$3*(COUNT($K$9:AB$9)+$O$4))),TREND($E24:$F24,$E$9:$F$9,AB$9))</f>
        <v>0.96775843439201348</v>
      </c>
      <c r="AC24">
        <f>IF($G24="s-curve",$E24+($F24-$E24)*$O$2/(1+EXP($O$3*(COUNT($K$9:AC$9)+$O$4))),TREND($E24:$F24,$E$9:$F$9,AC$9))</f>
        <v>0.97810512223064183</v>
      </c>
      <c r="AD24">
        <f>IF($G24="s-curve",$E24+($F24-$E24)*$O$2/(1+EXP($O$3*(COUNT($K$9:AD$9)+$O$4))),TREND($E24:$F24,$E$9:$F$9,AD$9))</f>
        <v>0.98519359462505041</v>
      </c>
      <c r="AE24">
        <f>IF($G24="s-curve",$E24+($F24-$E24)*$O$2/(1+EXP($O$3*(COUNT($K$9:AE$9)+$O$4))),TREND($E24:$F24,$E$9:$F$9,AE$9))</f>
        <v>0.99001576622760601</v>
      </c>
      <c r="AF24">
        <f>IF($G24="s-curve",$E24+($F24-$E24)*$O$2/(1+EXP($O$3*(COUNT($K$9:AF$9)+$O$4))),TREND($E24:$F24,$E$9:$F$9,AF$9))</f>
        <v>0.99328050002472557</v>
      </c>
      <c r="AG24">
        <f>IF($G24="s-curve",$E24+($F24-$E24)*$O$2/(1+EXP($O$3*(COUNT($K$9:AG$9)+$O$4))),TREND($E24:$F24,$E$9:$F$9,AG$9))</f>
        <v>0.99548363075463853</v>
      </c>
      <c r="AH24">
        <f>IF($G24="s-curve",$E24+($F24-$E24)*$O$2/(1+EXP($O$3*(COUNT($K$9:AH$9)+$O$4))),TREND($E24:$F24,$E$9:$F$9,AH$9))</f>
        <v>0.99696710148694001</v>
      </c>
      <c r="AI24">
        <f>IF($G24="s-curve",$E24+($F24-$E24)*$O$2/(1+EXP($O$3*(COUNT($K$9:AI$9)+$O$4))),TREND($E24:$F24,$E$9:$F$9,AI$9))</f>
        <v>0.99796451498821692</v>
      </c>
    </row>
    <row r="25" spans="1:35" x14ac:dyDescent="0.35">
      <c r="C25" t="s">
        <v>2</v>
      </c>
      <c r="D25">
        <v>0</v>
      </c>
      <c r="E25" s="19">
        <v>0</v>
      </c>
      <c r="F25" s="19">
        <f>E25</f>
        <v>0</v>
      </c>
      <c r="G25" s="6" t="str">
        <f>IF(E25=F25,"n/a",IF(OR(C25="battery electric vehicle",C25="natural gas vehicle",C25="plugin hybrid vehicle"),"s-curve","linear"))</f>
        <v>n/a</v>
      </c>
      <c r="I25" s="19">
        <f t="shared" si="1"/>
        <v>0</v>
      </c>
      <c r="J25">
        <f>IF($G25="s-curve",$E25+($F25-$E25)*$I$2/(1+EXP($I$3*(COUNT($I$9:J$9)+$I$4))),TREND($E25:$F25,$E$9:$F$9,J$9))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35">
      <c r="C26" t="s">
        <v>3</v>
      </c>
      <c r="D26">
        <v>0</v>
      </c>
      <c r="E26" s="19">
        <v>0</v>
      </c>
      <c r="F26" s="19">
        <f>E26</f>
        <v>0</v>
      </c>
      <c r="G26" s="6" t="str">
        <f>IF(E26=F26,"n/a",IF(OR(C26="battery electric vehicle",C26="natural gas vehicle",C26="plugin hybrid vehicle"),"s-curve","linear"))</f>
        <v>n/a</v>
      </c>
      <c r="I26" s="19">
        <f t="shared" si="1"/>
        <v>0</v>
      </c>
      <c r="J26">
        <f>IF($G26="s-curve",$E26+($F26-$E26)*$I$2/(1+EXP($I$3*(COUNT($I$9:J$9)+$I$4))),TREND($E26:$F26,$E$9:$F$9,J$9))</f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35">
      <c r="C27" t="s">
        <v>4</v>
      </c>
      <c r="D27">
        <v>1</v>
      </c>
      <c r="E27">
        <v>1</v>
      </c>
      <c r="F27">
        <v>1</v>
      </c>
      <c r="G27" s="6" t="str">
        <f>IF(E27=F27,"n/a",IF(OR(C27="battery electric vehicle",C27="natural gas vehicle",C27="plugin hybrid vehicle"),"s-curve","linear"))</f>
        <v>n/a</v>
      </c>
      <c r="I27" s="19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35">
      <c r="C28" t="s">
        <v>5</v>
      </c>
      <c r="D28">
        <v>0</v>
      </c>
      <c r="E28" s="19">
        <v>0</v>
      </c>
      <c r="F28" s="19">
        <f>E28</f>
        <v>0</v>
      </c>
      <c r="G28" s="6" t="str">
        <f>IF(E28=F28,"n/a",IF(OR(C28="battery electric vehicle",C28="natural gas vehicle",C28="plugin hybrid vehicle"),"s-curve","linear"))</f>
        <v>n/a</v>
      </c>
      <c r="I28" s="19">
        <f t="shared" si="1"/>
        <v>0</v>
      </c>
      <c r="J28">
        <f>IF($G28="s-curve",$E28+($F28-$E28)*$I$2/(1+EXP($I$3*(COUNT($I$9:J$9)+$I$4))),TREND($E28:$F28,$E$9:$F$9,J$9))</f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35">
      <c r="C29" t="s">
        <v>86</v>
      </c>
      <c r="D29">
        <v>0</v>
      </c>
      <c r="E29" s="19">
        <v>0</v>
      </c>
      <c r="F29" s="19">
        <f>E29</f>
        <v>0</v>
      </c>
      <c r="G29" s="6" t="str">
        <f>IF(E29=F29,"n/a",IF(OR(C29="battery electric vehicle",C29="natural gas vehicle",C29="plugin hybrid vehicle",C29="hydrogen vehicle"),"s-curve","linear"))</f>
        <v>n/a</v>
      </c>
      <c r="I29" s="19">
        <f t="shared" si="1"/>
        <v>0</v>
      </c>
      <c r="J29">
        <f>IF($G29="s-curve",$E29+($F29-$E29)*$I$2/(1+EXP($I$3*(COUNT($I$9:J$9)+$I$4))),TREND($E29:$F29,$E$9:$F$9,J$9))</f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" thickBot="1" x14ac:dyDescent="0.4">
      <c r="A30" s="20"/>
      <c r="B30" s="20"/>
      <c r="C30" s="20" t="s">
        <v>87</v>
      </c>
      <c r="D30" s="20">
        <v>5.0287437714699998E-2</v>
      </c>
      <c r="E30" s="23">
        <v>6.7718615476299995E-2</v>
      </c>
      <c r="F30" s="23">
        <f>E30</f>
        <v>6.7718615476299995E-2</v>
      </c>
      <c r="G30" s="7" t="str">
        <f>IF(E30=F30,"n/a",IF(OR(C30="battery electric vehicle",C30="natural gas vehicle",C30="plugin hybrid vehicle",C30="hydrogen vehicle"),"s-curve","linear"))</f>
        <v>n/a</v>
      </c>
      <c r="I30" s="19">
        <f t="shared" si="1"/>
        <v>6.7718615476299995E-2</v>
      </c>
      <c r="J30">
        <f>IF($G30="s-curve",$E30+($F30-$E30)*$I$2/(1+EXP($I$3*(COUNT($I$9:J$9)+$I$4))),TREND($E30:$F30,$E$9:$F$9,J$9))</f>
        <v>6.7718615476299995E-2</v>
      </c>
      <c r="K30">
        <f>IF($G30="s-curve",$E30+($F30-$E30)*$I$2/(1+EXP($I$3*(COUNT($I$9:K$9)+$I$4))),TREND($E30:$F30,$E$9:$F$9,K$9))</f>
        <v>6.7718615476299995E-2</v>
      </c>
      <c r="L30">
        <f>IF($G30="s-curve",$E30+($F30-$E30)*$I$2/(1+EXP($I$3*(COUNT($I$9:L$9)+$I$4))),TREND($E30:$F30,$E$9:$F$9,L$9))</f>
        <v>6.7718615476299995E-2</v>
      </c>
      <c r="M30">
        <f>IF($G30="s-curve",$E30+($F30-$E30)*$I$2/(1+EXP($I$3*(COUNT($I$9:M$9)+$I$4))),TREND($E30:$F30,$E$9:$F$9,M$9))</f>
        <v>6.7718615476299995E-2</v>
      </c>
      <c r="N30">
        <f>IF($G30="s-curve",$E30+($F30-$E30)*$I$2/(1+EXP($I$3*(COUNT($I$9:N$9)+$I$4))),TREND($E30:$F30,$E$9:$F$9,N$9))</f>
        <v>6.7718615476299995E-2</v>
      </c>
      <c r="O30">
        <f>IF($G30="s-curve",$E30+($F30-$E30)*$I$2/(1+EXP($I$3*(COUNT($I$9:O$9)+$I$4))),TREND($E30:$F30,$E$9:$F$9,O$9))</f>
        <v>6.7718615476299995E-2</v>
      </c>
      <c r="P30">
        <f>IF($G30="s-curve",$E30+($F30-$E30)*$I$2/(1+EXP($I$3*(COUNT($I$9:P$9)+$I$4))),TREND($E30:$F30,$E$9:$F$9,P$9))</f>
        <v>6.7718615476299995E-2</v>
      </c>
      <c r="Q30">
        <f>IF($G30="s-curve",$E30+($F30-$E30)*$I$2/(1+EXP($I$3*(COUNT($I$9:Q$9)+$I$4))),TREND($E30:$F30,$E$9:$F$9,Q$9))</f>
        <v>6.7718615476299995E-2</v>
      </c>
      <c r="R30">
        <f>IF($G30="s-curve",$E30+($F30-$E30)*$I$2/(1+EXP($I$3*(COUNT($I$9:R$9)+$I$4))),TREND($E30:$F30,$E$9:$F$9,R$9))</f>
        <v>6.7718615476299995E-2</v>
      </c>
      <c r="S30">
        <f>IF($G30="s-curve",$E30+($F30-$E30)*$I$2/(1+EXP($I$3*(COUNT($I$9:S$9)+$I$4))),TREND($E30:$F30,$E$9:$F$9,S$9))</f>
        <v>6.7718615476299995E-2</v>
      </c>
      <c r="T30">
        <f>IF($G30="s-curve",$E30+($F30-$E30)*$I$2/(1+EXP($I$3*(COUNT($I$9:T$9)+$I$4))),TREND($E30:$F30,$E$9:$F$9,T$9))</f>
        <v>6.7718615476299995E-2</v>
      </c>
      <c r="U30">
        <f>IF($G30="s-curve",$E30+($F30-$E30)*$I$2/(1+EXP($I$3*(COUNT($I$9:U$9)+$I$4))),TREND($E30:$F30,$E$9:$F$9,U$9))</f>
        <v>6.7718615476299995E-2</v>
      </c>
      <c r="V30">
        <f>IF($G30="s-curve",$E30+($F30-$E30)*$I$2/(1+EXP($I$3*(COUNT($I$9:V$9)+$I$4))),TREND($E30:$F30,$E$9:$F$9,V$9))</f>
        <v>6.7718615476299995E-2</v>
      </c>
      <c r="W30">
        <f>IF($G30="s-curve",$E30+($F30-$E30)*$I$2/(1+EXP($I$3*(COUNT($I$9:W$9)+$I$4))),TREND($E30:$F30,$E$9:$F$9,W$9))</f>
        <v>6.7718615476299995E-2</v>
      </c>
      <c r="X30">
        <f>IF($G30="s-curve",$E30+($F30-$E30)*$I$2/(1+EXP($I$3*(COUNT($I$9:X$9)+$I$4))),TREND($E30:$F30,$E$9:$F$9,X$9))</f>
        <v>6.7718615476299995E-2</v>
      </c>
      <c r="Y30">
        <f>IF($G30="s-curve",$E30+($F30-$E30)*$I$2/(1+EXP($I$3*(COUNT($I$9:Y$9)+$I$4))),TREND($E30:$F30,$E$9:$F$9,Y$9))</f>
        <v>6.7718615476299995E-2</v>
      </c>
      <c r="Z30">
        <f>IF($G30="s-curve",$E30+($F30-$E30)*$I$2/(1+EXP($I$3*(COUNT($I$9:Z$9)+$I$4))),TREND($E30:$F30,$E$9:$F$9,Z$9))</f>
        <v>6.7718615476299995E-2</v>
      </c>
      <c r="AA30">
        <f>IF($G30="s-curve",$E30+($F30-$E30)*$I$2/(1+EXP($I$3*(COUNT($I$9:AA$9)+$I$4))),TREND($E30:$F30,$E$9:$F$9,AA$9))</f>
        <v>6.7718615476299995E-2</v>
      </c>
      <c r="AB30">
        <f>IF($G30="s-curve",$E30+($F30-$E30)*$I$2/(1+EXP($I$3*(COUNT($I$9:AB$9)+$I$4))),TREND($E30:$F30,$E$9:$F$9,AB$9))</f>
        <v>6.7718615476299995E-2</v>
      </c>
      <c r="AC30">
        <f>IF($G30="s-curve",$E30+($F30-$E30)*$I$2/(1+EXP($I$3*(COUNT($I$9:AC$9)+$I$4))),TREND($E30:$F30,$E$9:$F$9,AC$9))</f>
        <v>6.7718615476299995E-2</v>
      </c>
      <c r="AD30">
        <f>IF($G30="s-curve",$E30+($F30-$E30)*$I$2/(1+EXP($I$3*(COUNT($I$9:AD$9)+$I$4))),TREND($E30:$F30,$E$9:$F$9,AD$9))</f>
        <v>6.7718615476299995E-2</v>
      </c>
      <c r="AE30">
        <f>IF($G30="s-curve",$E30+($F30-$E30)*$I$2/(1+EXP($I$3*(COUNT($I$9:AE$9)+$I$4))),TREND($E30:$F30,$E$9:$F$9,AE$9))</f>
        <v>6.7718615476299995E-2</v>
      </c>
      <c r="AF30">
        <f>IF($G30="s-curve",$E30+($F30-$E30)*$I$2/(1+EXP($I$3*(COUNT($I$9:AF$9)+$I$4))),TREND($E30:$F30,$E$9:$F$9,AF$9))</f>
        <v>6.7718615476299995E-2</v>
      </c>
      <c r="AG30">
        <f>IF($G30="s-curve",$E30+($F30-$E30)*$I$2/(1+EXP($I$3*(COUNT($I$9:AG$9)+$I$4))),TREND($E30:$F30,$E$9:$F$9,AG$9))</f>
        <v>6.7718615476299995E-2</v>
      </c>
      <c r="AH30">
        <f>IF($G30="s-curve",$E30+($F30-$E30)*$I$2/(1+EXP($I$3*(COUNT($I$9:AH$9)+$I$4))),TREND($E30:$F30,$E$9:$F$9,AH$9))</f>
        <v>6.7718615476299995E-2</v>
      </c>
      <c r="AI30">
        <f>IF($G30="s-curve",$E30+($F30-$E30)*$I$2/(1+EXP($I$3*(COUNT($I$9:AI$9)+$I$4))),TREND($E30:$F30,$E$9:$F$9,AI$9))</f>
        <v>6.7718615476299995E-2</v>
      </c>
    </row>
    <row r="31" spans="1:35" x14ac:dyDescent="0.35">
      <c r="A31" t="s">
        <v>13</v>
      </c>
      <c r="B31" t="s">
        <v>18</v>
      </c>
      <c r="C31" t="s">
        <v>1</v>
      </c>
      <c r="D31">
        <v>2.7710514836400001E-3</v>
      </c>
      <c r="E31" s="19">
        <v>3.7809614281599999E-3</v>
      </c>
      <c r="F31" s="19">
        <v>0.5</v>
      </c>
      <c r="G31" s="6" t="str">
        <f>IF(E31=F31,"n/a",IF(OR(C31="battery electric vehicle",C31="natural gas vehicle",C31="plugin hybrid vehicle"),"s-curve","linear"))</f>
        <v>s-curve</v>
      </c>
      <c r="I31" s="19">
        <f>E31</f>
        <v>3.7809614281599999E-3</v>
      </c>
      <c r="J31">
        <f>IF($G31="s-curve",$E31+($F31-$E31)*$R$2/(1+EXP($R$3*(COUNT(J$9:$K$9)+$R$4))),TREND($E31:$F31,$E$9:$F$9,J$9))</f>
        <v>4.5258766443191352E-3</v>
      </c>
      <c r="K31">
        <f>IF($G31="s-curve",$E31+($F31-$E31)*$R$2/(1+EXP($R$3*(COUNT($K$9:K$9)+$R$4))),TREND($E31:$F31,$E$9:$F$9,K$9))</f>
        <v>4.2330423759352146E-3</v>
      </c>
      <c r="L31">
        <f>IF($G31="s-curve",$E31+($F31-$E31)*$R$2/(1+EXP($R$3*(COUNT($K$9:L$9)+$R$4))),TREND($E31:$F31,$E$9:$F$9,L$9))</f>
        <v>4.5258766443191352E-3</v>
      </c>
      <c r="M31">
        <f>IF($G31="s-curve",$E31+($F31-$E31)*$R$2/(1+EXP($R$3*(COUNT($K$9:M$9)+$R$4))),TREND($E31:$F31,$E$9:$F$9,M$9))</f>
        <v>5.0079241136957754E-3</v>
      </c>
      <c r="N31">
        <f>IF($G31="s-curve",$E31+($F31-$E31)*$R$2/(1+EXP($R$3*(COUNT($K$9:N$9)+$R$4))),TREND($E31:$F31,$E$9:$F$9,N$9))</f>
        <v>5.8006412523969614E-3</v>
      </c>
      <c r="O31">
        <f>IF($G31="s-curve",$E31+($F31-$E31)*$R$2/(1+EXP($R$3*(COUNT($K$9:O$9)+$R$4))),TREND($E31:$F31,$E$9:$F$9,O$9))</f>
        <v>7.1020814791132817E-3</v>
      </c>
      <c r="P31">
        <f>IF($G31="s-curve",$E31+($F31-$E31)*$R$2/(1+EXP($R$3*(COUNT($K$9:P$9)+$R$4))),TREND($E31:$F31,$E$9:$F$9,P$9))</f>
        <v>9.232891537156911E-3</v>
      </c>
      <c r="Q31">
        <f>IF($G31="s-curve",$E31+($F31-$E31)*$R$2/(1+EXP($R$3*(COUNT($K$9:Q$9)+$R$4))),TREND($E31:$F31,$E$9:$F$9,Q$9))</f>
        <v>1.2706061243100324E-2</v>
      </c>
      <c r="R31">
        <f>IF($G31="s-curve",$E31+($F31-$E31)*$R$2/(1+EXP($R$3*(COUNT($K$9:R$9)+$R$4))),TREND($E31:$F31,$E$9:$F$9,R$9))</f>
        <v>1.8326248389993957E-2</v>
      </c>
      <c r="S31">
        <f>IF($G31="s-curve",$E31+($F31-$E31)*$R$2/(1+EXP($R$3*(COUNT($K$9:S$9)+$R$4))),TREND($E31:$F31,$E$9:$F$9,S$9))</f>
        <v>2.7314582619762204E-2</v>
      </c>
      <c r="T31">
        <f>IF($G31="s-curve",$E31+($F31-$E31)*$R$2/(1+EXP($R$3*(COUNT($K$9:T$9)+$R$4))),TREND($E31:$F31,$E$9:$F$9,T$9))</f>
        <v>4.1423234586111038E-2</v>
      </c>
      <c r="U31">
        <f>IF($G31="s-curve",$E31+($F31-$E31)*$R$2/(1+EXP($R$3*(COUNT($K$9:U$9)+$R$4))),TREND($E31:$F31,$E$9:$F$9,U$9))</f>
        <v>6.2931720788929196E-2</v>
      </c>
      <c r="V31">
        <f>IF($G31="s-curve",$E31+($F31-$E31)*$R$2/(1+EXP($R$3*(COUNT($K$9:V$9)+$R$4))),TREND($E31:$F31,$E$9:$F$9,V$9))</f>
        <v>9.4303979462314474E-2</v>
      </c>
      <c r="W31">
        <f>IF($G31="s-curve",$E31+($F31-$E31)*$R$2/(1+EXP($R$3*(COUNT($K$9:W$9)+$R$4))),TREND($E31:$F31,$E$9:$F$9,W$9))</f>
        <v>0.1372348149725231</v>
      </c>
      <c r="X31">
        <f>IF($G31="s-curve",$E31+($F31-$E31)*$R$2/(1+EXP($R$3*(COUNT($K$9:X$9)+$R$4))),TREND($E31:$F31,$E$9:$F$9,X$9))</f>
        <v>0.19112382912094522</v>
      </c>
      <c r="Y31">
        <f>IF($G31="s-curve",$E31+($F31-$E31)*$R$2/(1+EXP($R$3*(COUNT($K$9:Y$9)+$R$4))),TREND($E31:$F31,$E$9:$F$9,Y$9))</f>
        <v>0.25189048071407999</v>
      </c>
      <c r="Z31">
        <f>IF($G31="s-curve",$E31+($F31-$E31)*$R$2/(1+EXP($R$3*(COUNT($K$9:Z$9)+$R$4))),TREND($E31:$F31,$E$9:$F$9,Z$9))</f>
        <v>0.31265713230721481</v>
      </c>
      <c r="AA31">
        <f>IF($G31="s-curve",$E31+($F31-$E31)*$R$2/(1+EXP($R$3*(COUNT($K$9:AA$9)+$R$4))),TREND($E31:$F31,$E$9:$F$9,AA$9))</f>
        <v>0.36654614645563693</v>
      </c>
      <c r="AB31">
        <f>IF($G31="s-curve",$E31+($F31-$E31)*$R$2/(1+EXP($R$3*(COUNT($K$9:AB$9)+$R$4))),TREND($E31:$F31,$E$9:$F$9,AB$9))</f>
        <v>0.40947698196584553</v>
      </c>
      <c r="AC31">
        <f>IF($G31="s-curve",$E31+($F31-$E31)*$R$2/(1+EXP($R$3*(COUNT($K$9:AC$9)+$R$4))),TREND($E31:$F31,$E$9:$F$9,AC$9))</f>
        <v>0.44084924063923075</v>
      </c>
      <c r="AD31">
        <f>IF($G31="s-curve",$E31+($F31-$E31)*$R$2/(1+EXP($R$3*(COUNT($K$9:AD$9)+$R$4))),TREND($E31:$F31,$E$9:$F$9,AD$9))</f>
        <v>0.46235772684204901</v>
      </c>
      <c r="AE31">
        <f>IF($G31="s-curve",$E31+($F31-$E31)*$R$2/(1+EXP($R$3*(COUNT($K$9:AE$9)+$R$4))),TREND($E31:$F31,$E$9:$F$9,AE$9))</f>
        <v>0.47646637880839782</v>
      </c>
      <c r="AF31">
        <f>IF($G31="s-curve",$E31+($F31-$E31)*$R$2/(1+EXP($R$3*(COUNT($K$9:AF$9)+$R$4))),TREND($E31:$F31,$E$9:$F$9,AF$9))</f>
        <v>0.48545471303816601</v>
      </c>
      <c r="AG31">
        <f>IF($G31="s-curve",$E31+($F31-$E31)*$R$2/(1+EXP($R$3*(COUNT($K$9:AG$9)+$R$4))),TREND($E31:$F31,$E$9:$F$9,AG$9))</f>
        <v>0.49107490018505967</v>
      </c>
      <c r="AH31">
        <f>IF($G31="s-curve",$E31+($F31-$E31)*$R$2/(1+EXP($R$3*(COUNT($K$9:AH$9)+$R$4))),TREND($E31:$F31,$E$9:$F$9,AH$9))</f>
        <v>0.49454806989100308</v>
      </c>
      <c r="AI31">
        <f>IF($G31="s-curve",$E31+($F31-$E31)*$R$2/(1+EXP($R$3*(COUNT($K$9:AI$9)+$R$4))),TREND($E31:$F31,$E$9:$F$9,AI$9))</f>
        <v>0.49667887994904675</v>
      </c>
    </row>
    <row r="32" spans="1:35" x14ac:dyDescent="0.35">
      <c r="C32" t="s">
        <v>2</v>
      </c>
      <c r="D32">
        <v>0</v>
      </c>
      <c r="E32" s="19">
        <v>0</v>
      </c>
      <c r="F32" s="19">
        <f>E32</f>
        <v>0</v>
      </c>
      <c r="G32" s="6" t="str">
        <f>IF(E32=F32,"n/a",IF(OR(C32="battery electric vehicle",C32="natural gas vehicle",C32="plugin hybrid vehicle"),"s-curve","linear"))</f>
        <v>n/a</v>
      </c>
      <c r="I32" s="19">
        <f t="shared" si="1"/>
        <v>0</v>
      </c>
      <c r="J32">
        <f>IF($G32="s-curve",$E32+($F32-$E32)*$I$2/(1+EXP($I$3*(COUNT($I$9:J$9)+$I$4))),TREND($E32:$F32,$E$9:$F$9,J$9))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35">
      <c r="C33" t="s">
        <v>3</v>
      </c>
      <c r="D33">
        <v>0</v>
      </c>
      <c r="E33" s="19">
        <v>0</v>
      </c>
      <c r="F33" s="19">
        <f>E33</f>
        <v>0</v>
      </c>
      <c r="G33" s="6" t="str">
        <f>IF(E33=F33,"n/a",IF(OR(C33="battery electric vehicle",C33="natural gas vehicle",C33="plugin hybrid vehicle"),"s-curve","linear"))</f>
        <v>n/a</v>
      </c>
      <c r="I33" s="19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35">
      <c r="C34" t="s">
        <v>4</v>
      </c>
      <c r="D34">
        <v>1</v>
      </c>
      <c r="E34">
        <v>1</v>
      </c>
      <c r="F34">
        <v>1</v>
      </c>
      <c r="G34" s="6" t="str">
        <f>IF(E34=F34,"n/a",IF(OR(C34="battery electric vehicle",C34="natural gas vehicle",C34="plugin hybrid vehicle"),"s-curve","linear"))</f>
        <v>n/a</v>
      </c>
      <c r="I34" s="19">
        <f t="shared" si="1"/>
        <v>1</v>
      </c>
      <c r="J34">
        <f>IF($G34="s-curve",$E34+($F34-$E34)*$I$2/(1+EXP($I$3*(COUNT($I$9:J$9)+$I$4))),TREND($E34:$F34,$E$9:$F$9,J$9))</f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35">
      <c r="C35" t="s">
        <v>5</v>
      </c>
      <c r="D35">
        <v>0</v>
      </c>
      <c r="E35" s="19">
        <v>0</v>
      </c>
      <c r="F35" s="19">
        <f>E35</f>
        <v>0</v>
      </c>
      <c r="G35" s="6" t="str">
        <f>IF(E35=F35,"n/a",IF(OR(C35="battery electric vehicle",C35="natural gas vehicle",C35="plugin hybrid vehicle"),"s-curve","linear"))</f>
        <v>n/a</v>
      </c>
      <c r="I35" s="19">
        <f t="shared" si="1"/>
        <v>0</v>
      </c>
      <c r="J35">
        <f>IF($G35="s-curve",$E35+($F35-$E35)*$I$2/(1+EXP($I$3*(COUNT($I$9:J$9)+$I$4))),TREND($E35:$F35,$E$9:$F$9,J$9))</f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35">
      <c r="C36" t="s">
        <v>86</v>
      </c>
      <c r="D36">
        <v>0</v>
      </c>
      <c r="E36" s="19">
        <v>0</v>
      </c>
      <c r="F36" s="19">
        <f>E36</f>
        <v>0</v>
      </c>
      <c r="G36" s="6" t="str">
        <f>IF(E36=F36,"n/a",IF(OR(C36="battery electric vehicle",C36="natural gas vehicle",C36="plugin hybrid vehicle",C36="hydrogen vehicle"),"s-curve","linear"))</f>
        <v>n/a</v>
      </c>
      <c r="I36" s="19">
        <f t="shared" si="1"/>
        <v>0</v>
      </c>
      <c r="J36">
        <f>IF($G36="s-curve",$E36+($F36-$E36)*$I$2/(1+EXP($I$3*(COUNT($I$9:J$9)+$I$4))),TREND($E36:$F36,$E$9:$F$9,J$9))</f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" thickBot="1" x14ac:dyDescent="0.4">
      <c r="A37" s="20"/>
      <c r="B37" s="20"/>
      <c r="C37" s="20" t="s">
        <v>87</v>
      </c>
      <c r="D37" s="20">
        <v>0</v>
      </c>
      <c r="E37" s="23">
        <v>0</v>
      </c>
      <c r="F37" s="23">
        <f>E37</f>
        <v>0</v>
      </c>
      <c r="G37" s="7" t="str">
        <f>IF(E37=F37,"n/a",IF(OR(C37="battery electric vehicle",C37="natural gas vehicle",C37="plugin hybrid vehicle",C37="hydrogen vehicle"),"s-curve","linear"))</f>
        <v>n/a</v>
      </c>
      <c r="I37" s="19">
        <f t="shared" si="1"/>
        <v>0</v>
      </c>
      <c r="J37">
        <f>IF($G37="s-curve",$E37+($F37-$E37)*$I$2/(1+EXP($I$3*(COUNT($I$9:J$9)+$I$4))),TREND($E37:$F37,$E$9:$F$9,J$9))</f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35">
      <c r="A38" t="s">
        <v>14</v>
      </c>
      <c r="B38" t="s">
        <v>19</v>
      </c>
      <c r="C38" t="s">
        <v>1</v>
      </c>
      <c r="E38">
        <v>0</v>
      </c>
      <c r="F38">
        <v>0</v>
      </c>
      <c r="G38" s="6" t="str">
        <f>IF(E38=F38,"n/a",IF(OR(C38="battery electric vehicle",C38="natural gas vehicle",C38="plugin hybrid vehicle"),"s-curve","linear"))</f>
        <v>n/a</v>
      </c>
      <c r="I38" s="19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35">
      <c r="C39" t="s">
        <v>2</v>
      </c>
      <c r="E39">
        <v>0</v>
      </c>
      <c r="F39">
        <v>0</v>
      </c>
      <c r="G39" s="6" t="str">
        <f>IF(E39=F39,"n/a",IF(OR(C39="battery electric vehicle",C39="natural gas vehicle",C39="plugin hybrid vehicle"),"s-curve","linear"))</f>
        <v>n/a</v>
      </c>
      <c r="I39" s="19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35">
      <c r="C40" t="s">
        <v>3</v>
      </c>
      <c r="E40">
        <v>0</v>
      </c>
      <c r="F40">
        <v>0</v>
      </c>
      <c r="G40" s="6" t="str">
        <f>IF(E40=F40,"n/a",IF(OR(C40="battery electric vehicle",C40="natural gas vehicle",C40="plugin hybrid vehicle"),"s-curve","linear"))</f>
        <v>n/a</v>
      </c>
      <c r="I40" s="19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35">
      <c r="C41" t="s">
        <v>4</v>
      </c>
      <c r="E41">
        <v>1</v>
      </c>
      <c r="F41">
        <v>1</v>
      </c>
      <c r="G41" s="6" t="str">
        <f>IF(E41=F41,"n/a",IF(OR(C41="battery electric vehicle",C41="natural gas vehicle",C41="plugin hybrid vehicle"),"s-curve","linear"))</f>
        <v>n/a</v>
      </c>
      <c r="I41" s="19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35">
      <c r="C42" t="s">
        <v>5</v>
      </c>
      <c r="E42">
        <v>0</v>
      </c>
      <c r="F42">
        <v>0</v>
      </c>
      <c r="G42" s="6" t="str">
        <f>IF(E42=F42,"n/a",IF(OR(C42="battery electric vehicle",C42="natural gas vehicle",C42="plugin hybrid vehicle"),"s-curve","linear"))</f>
        <v>n/a</v>
      </c>
      <c r="I42" s="19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35">
      <c r="C43" t="s">
        <v>86</v>
      </c>
      <c r="E43">
        <v>0</v>
      </c>
      <c r="F43">
        <v>0</v>
      </c>
      <c r="G43" s="6" t="str">
        <f>IF(E43=F43,"n/a",IF(OR(C43="battery electric vehicle",C43="natural gas vehicle",C43="plugin hybrid vehicle",C43="hydrogen vehicle"),"s-curve","linear"))</f>
        <v>n/a</v>
      </c>
      <c r="I43" s="19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" thickBot="1" x14ac:dyDescent="0.4">
      <c r="A44" s="20"/>
      <c r="B44" s="20"/>
      <c r="C44" s="20" t="s">
        <v>87</v>
      </c>
      <c r="D44" s="20"/>
      <c r="E44" s="20">
        <v>0</v>
      </c>
      <c r="F44" s="20">
        <v>0</v>
      </c>
      <c r="G44" s="7" t="str">
        <f>IF(E44=F44,"n/a",IF(OR(C44="battery electric vehicle",C44="natural gas vehicle",C44="plugin hybrid vehicle",C44="hydrogen vehicle"),"s-curve","linear"))</f>
        <v>n/a</v>
      </c>
      <c r="I44" s="19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35">
      <c r="A45" t="s">
        <v>14</v>
      </c>
      <c r="B45" t="s">
        <v>18</v>
      </c>
      <c r="C45" t="s">
        <v>1</v>
      </c>
      <c r="E45">
        <v>0</v>
      </c>
      <c r="F45">
        <v>0</v>
      </c>
      <c r="G45" s="6" t="str">
        <f>IF(E45=F45,"n/a",IF(OR(C45="battery electric vehicle",C45="natural gas vehicle",C45="plugin hybrid vehicle"),"s-curve","linear"))</f>
        <v>n/a</v>
      </c>
      <c r="I45" s="19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35">
      <c r="C46" t="s">
        <v>2</v>
      </c>
      <c r="E46">
        <v>0</v>
      </c>
      <c r="F46">
        <v>0</v>
      </c>
      <c r="G46" s="6" t="str">
        <f>IF(E46=F46,"n/a",IF(OR(C46="battery electric vehicle",C46="natural gas vehicle",C46="plugin hybrid vehicle"),"s-curve","linear"))</f>
        <v>n/a</v>
      </c>
      <c r="I46" s="19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35">
      <c r="C47" t="s">
        <v>3</v>
      </c>
      <c r="E47">
        <v>0</v>
      </c>
      <c r="F47">
        <v>0</v>
      </c>
      <c r="G47" s="6" t="str">
        <f>IF(E47=F47,"n/a",IF(OR(C47="battery electric vehicle",C47="natural gas vehicle",C47="plugin hybrid vehicle"),"s-curve","linear"))</f>
        <v>n/a</v>
      </c>
      <c r="I47" s="19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35">
      <c r="C48" t="s">
        <v>4</v>
      </c>
      <c r="E48">
        <v>1</v>
      </c>
      <c r="F48">
        <v>1</v>
      </c>
      <c r="G48" s="6" t="str">
        <f>IF(E48=F48,"n/a",IF(OR(C48="battery electric vehicle",C48="natural gas vehicle",C48="plugin hybrid vehicle"),"s-curve","linear"))</f>
        <v>n/a</v>
      </c>
      <c r="I48" s="19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35">
      <c r="C49" t="s">
        <v>5</v>
      </c>
      <c r="E49">
        <v>0</v>
      </c>
      <c r="F49">
        <v>0</v>
      </c>
      <c r="G49" s="6" t="str">
        <f>IF(E49=F49,"n/a",IF(OR(C49="battery electric vehicle",C49="natural gas vehicle",C49="plugin hybrid vehicle"),"s-curve","linear"))</f>
        <v>n/a</v>
      </c>
      <c r="I49" s="19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35">
      <c r="C50" t="s">
        <v>86</v>
      </c>
      <c r="E50">
        <v>0</v>
      </c>
      <c r="F50">
        <v>0</v>
      </c>
      <c r="G50" s="6" t="str">
        <f>IF(E50=F50,"n/a",IF(OR(C50="battery electric vehicle",C50="natural gas vehicle",C50="plugin hybrid vehicle",C50="hydrogen vehicle"),"s-curve","linear"))</f>
        <v>n/a</v>
      </c>
      <c r="I50" s="19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" thickBot="1" x14ac:dyDescent="0.4">
      <c r="A51" s="20"/>
      <c r="B51" s="20"/>
      <c r="C51" s="20" t="s">
        <v>87</v>
      </c>
      <c r="D51" s="20"/>
      <c r="E51" s="20">
        <v>0</v>
      </c>
      <c r="F51" s="20">
        <v>0</v>
      </c>
      <c r="G51" s="7" t="str">
        <f>IF(E51=F51,"n/a",IF(OR(C51="battery electric vehicle",C51="natural gas vehicle",C51="plugin hybrid vehicle",C51="hydrogen vehicle"),"s-curve","linear"))</f>
        <v>n/a</v>
      </c>
      <c r="I51" s="19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35">
      <c r="A52" t="s">
        <v>15</v>
      </c>
      <c r="B52" t="s">
        <v>19</v>
      </c>
      <c r="C52" t="s">
        <v>1</v>
      </c>
      <c r="E52" s="19">
        <f>'SYVbT-passenger'!B5/SUM('SYVbT-passenger'!B5:H5)</f>
        <v>0.93664816810144857</v>
      </c>
      <c r="F52">
        <v>1</v>
      </c>
      <c r="G52" s="6" t="str">
        <f>IF(E52=F52,"n/a",IF(OR(C52="battery electric vehicle",C52="natural gas vehicle",C52="plugin hybrid vehicle"),"s-curve","linear"))</f>
        <v>s-curve</v>
      </c>
      <c r="I52" s="19">
        <f t="shared" si="2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</row>
    <row r="53" spans="1:35" x14ac:dyDescent="0.35">
      <c r="C53" t="s">
        <v>2</v>
      </c>
      <c r="E53">
        <v>0</v>
      </c>
      <c r="F53">
        <v>0</v>
      </c>
      <c r="G53" s="6" t="str">
        <f>IF(E53=F53,"n/a",IF(OR(C53="battery electric vehicle",C53="natural gas vehicle",C53="plugin hybrid vehicle"),"s-curve","linear"))</f>
        <v>n/a</v>
      </c>
      <c r="I53" s="19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35">
      <c r="C54" t="s">
        <v>3</v>
      </c>
      <c r="E54">
        <v>0</v>
      </c>
      <c r="F54">
        <v>0</v>
      </c>
      <c r="G54" s="6" t="str">
        <f>IF(E54=F54,"n/a",IF(OR(C54="battery electric vehicle",C54="natural gas vehicle",C54="plugin hybrid vehicle"),"s-curve","linear"))</f>
        <v>n/a</v>
      </c>
      <c r="I54" s="19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35">
      <c r="C55" t="s">
        <v>4</v>
      </c>
      <c r="E55" s="19">
        <f>1-E52</f>
        <v>6.3351831898551425E-2</v>
      </c>
      <c r="F55">
        <v>1</v>
      </c>
      <c r="G55" s="6" t="str">
        <f>IF(E55=F55,"n/a",IF(OR(C55="battery electric vehicle",C55="natural gas vehicle",C55="plugin hybrid vehicle"),"s-curve","linear"))</f>
        <v>linear</v>
      </c>
      <c r="I55" s="19">
        <f t="shared" si="2"/>
        <v>6.3351831898551425E-2</v>
      </c>
      <c r="J55">
        <f>IF($G55="s-curve",$E55+($F55-$E55)*$I$2/(1+EXP($I$3*(COUNT($I$9:J$9)+$I$4))),TREND($E55:$F55,$E$9:$F$9,J$9))</f>
        <v>6.3351831898557975E-2</v>
      </c>
      <c r="K55">
        <f>IF($G55="s-curve",$E55+($F55-$E55)*$I$2/(1+EXP($I$3*(COUNT($I$9:K$9)+$I$4))),TREND($E55:$F55,$E$9:$F$9,K$9))</f>
        <v>0.10081775862262532</v>
      </c>
      <c r="L55">
        <f>IF($G55="s-curve",$E55+($F55-$E55)*$I$2/(1+EXP($I$3*(COUNT($I$9:L$9)+$I$4))),TREND($E55:$F55,$E$9:$F$9,L$9))</f>
        <v>0.13828368534667845</v>
      </c>
      <c r="M55">
        <f>IF($G55="s-curve",$E55+($F55-$E55)*$I$2/(1+EXP($I$3*(COUNT($I$9:M$9)+$I$4))),TREND($E55:$F55,$E$9:$F$9,M$9))</f>
        <v>0.17574961207073159</v>
      </c>
      <c r="N55">
        <f>IF($G55="s-curve",$E55+($F55-$E55)*$I$2/(1+EXP($I$3*(COUNT($I$9:N$9)+$I$4))),TREND($E55:$F55,$E$9:$F$9,N$9))</f>
        <v>0.21321553879479893</v>
      </c>
      <c r="O55">
        <f>IF($G55="s-curve",$E55+($F55-$E55)*$I$2/(1+EXP($I$3*(COUNT($I$9:O$9)+$I$4))),TREND($E55:$F55,$E$9:$F$9,O$9))</f>
        <v>0.25068146551885206</v>
      </c>
      <c r="P55">
        <f>IF($G55="s-curve",$E55+($F55-$E55)*$I$2/(1+EXP($I$3*(COUNT($I$9:P$9)+$I$4))),TREND($E55:$F55,$E$9:$F$9,P$9))</f>
        <v>0.2881473922429052</v>
      </c>
      <c r="Q55">
        <f>IF($G55="s-curve",$E55+($F55-$E55)*$I$2/(1+EXP($I$3*(COUNT($I$9:Q$9)+$I$4))),TREND($E55:$F55,$E$9:$F$9,Q$9))</f>
        <v>0.32561331896697254</v>
      </c>
      <c r="R55">
        <f>IF($G55="s-curve",$E55+($F55-$E55)*$I$2/(1+EXP($I$3*(COUNT($I$9:R$9)+$I$4))),TREND($E55:$F55,$E$9:$F$9,R$9))</f>
        <v>0.36307924569102568</v>
      </c>
      <c r="S55">
        <f>IF($G55="s-curve",$E55+($F55-$E55)*$I$2/(1+EXP($I$3*(COUNT($I$9:S$9)+$I$4))),TREND($E55:$F55,$E$9:$F$9,S$9))</f>
        <v>0.40054517241507881</v>
      </c>
      <c r="T55">
        <f>IF($G55="s-curve",$E55+($F55-$E55)*$I$2/(1+EXP($I$3*(COUNT($I$9:T$9)+$I$4))),TREND($E55:$F55,$E$9:$F$9,T$9))</f>
        <v>0.43801109913914615</v>
      </c>
      <c r="U55">
        <f>IF($G55="s-curve",$E55+($F55-$E55)*$I$2/(1+EXP($I$3*(COUNT($I$9:U$9)+$I$4))),TREND($E55:$F55,$E$9:$F$9,U$9))</f>
        <v>0.47547702586319929</v>
      </c>
      <c r="V55">
        <f>IF($G55="s-curve",$E55+($F55-$E55)*$I$2/(1+EXP($I$3*(COUNT($I$9:V$9)+$I$4))),TREND($E55:$F55,$E$9:$F$9,V$9))</f>
        <v>0.51294295258725242</v>
      </c>
      <c r="W55">
        <f>IF($G55="s-curve",$E55+($F55-$E55)*$I$2/(1+EXP($I$3*(COUNT($I$9:W$9)+$I$4))),TREND($E55:$F55,$E$9:$F$9,W$9))</f>
        <v>0.55040887931131977</v>
      </c>
      <c r="X55">
        <f>IF($G55="s-curve",$E55+($F55-$E55)*$I$2/(1+EXP($I$3*(COUNT($I$9:X$9)+$I$4))),TREND($E55:$F55,$E$9:$F$9,X$9))</f>
        <v>0.5878748060353729</v>
      </c>
      <c r="Y55">
        <f>IF($G55="s-curve",$E55+($F55-$E55)*$I$2/(1+EXP($I$3*(COUNT($I$9:Y$9)+$I$4))),TREND($E55:$F55,$E$9:$F$9,Y$9))</f>
        <v>0.62534073275942603</v>
      </c>
      <c r="Z55">
        <f>IF($G55="s-curve",$E55+($F55-$E55)*$I$2/(1+EXP($I$3*(COUNT($I$9:Z$9)+$I$4))),TREND($E55:$F55,$E$9:$F$9,Z$9))</f>
        <v>0.66280665948349338</v>
      </c>
      <c r="AA55">
        <f>IF($G55="s-curve",$E55+($F55-$E55)*$I$2/(1+EXP($I$3*(COUNT($I$9:AA$9)+$I$4))),TREND($E55:$F55,$E$9:$F$9,AA$9))</f>
        <v>0.70027258620754651</v>
      </c>
      <c r="AB55">
        <f>IF($G55="s-curve",$E55+($F55-$E55)*$I$2/(1+EXP($I$3*(COUNT($I$9:AB$9)+$I$4))),TREND($E55:$F55,$E$9:$F$9,AB$9))</f>
        <v>0.73773851293159964</v>
      </c>
      <c r="AC55">
        <f>IF($G55="s-curve",$E55+($F55-$E55)*$I$2/(1+EXP($I$3*(COUNT($I$9:AC$9)+$I$4))),TREND($E55:$F55,$E$9:$F$9,AC$9))</f>
        <v>0.77520443965566699</v>
      </c>
      <c r="AD55">
        <f>IF($G55="s-curve",$E55+($F55-$E55)*$I$2/(1+EXP($I$3*(COUNT($I$9:AD$9)+$I$4))),TREND($E55:$F55,$E$9:$F$9,AD$9))</f>
        <v>0.81267036637972012</v>
      </c>
      <c r="AE55">
        <f>IF($G55="s-curve",$E55+($F55-$E55)*$I$2/(1+EXP($I$3*(COUNT($I$9:AE$9)+$I$4))),TREND($E55:$F55,$E$9:$F$9,AE$9))</f>
        <v>0.85013629310377326</v>
      </c>
      <c r="AF55">
        <f>IF($G55="s-curve",$E55+($F55-$E55)*$I$2/(1+EXP($I$3*(COUNT($I$9:AF$9)+$I$4))),TREND($E55:$F55,$E$9:$F$9,AF$9))</f>
        <v>0.8876022198278406</v>
      </c>
      <c r="AG55">
        <f>IF($G55="s-curve",$E55+($F55-$E55)*$I$2/(1+EXP($I$3*(COUNT($I$9:AG$9)+$I$4))),TREND($E55:$F55,$E$9:$F$9,AG$9))</f>
        <v>0.92506814655189373</v>
      </c>
      <c r="AH55">
        <f>IF($G55="s-curve",$E55+($F55-$E55)*$I$2/(1+EXP($I$3*(COUNT($I$9:AH$9)+$I$4))),TREND($E55:$F55,$E$9:$F$9,AH$9))</f>
        <v>0.96253407327594687</v>
      </c>
      <c r="AI55">
        <f>IF($G55="s-curve",$E55+($F55-$E55)*$I$2/(1+EXP($I$3*(COUNT($I$9:AI$9)+$I$4))),TREND($E55:$F55,$E$9:$F$9,AI$9))</f>
        <v>1.0000000000000142</v>
      </c>
    </row>
    <row r="56" spans="1:35" x14ac:dyDescent="0.35">
      <c r="C56" t="s">
        <v>5</v>
      </c>
      <c r="E56">
        <v>0</v>
      </c>
      <c r="F56">
        <v>0</v>
      </c>
      <c r="G56" s="6" t="str">
        <f>IF(E56=F56,"n/a",IF(OR(C56="battery electric vehicle",C56="natural gas vehicle",C56="plugin hybrid vehicle"),"s-curve","linear"))</f>
        <v>n/a</v>
      </c>
      <c r="I56" s="19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35">
      <c r="C57" t="s">
        <v>86</v>
      </c>
      <c r="E57">
        <v>0</v>
      </c>
      <c r="F57">
        <v>0</v>
      </c>
      <c r="G57" s="6" t="str">
        <f>IF(E57=F57,"n/a",IF(OR(C57="battery electric vehicle",C57="natural gas vehicle",C57="plugin hybrid vehicle",C57="hydrogen vehicle"),"s-curve","linear"))</f>
        <v>n/a</v>
      </c>
      <c r="I57" s="19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" thickBot="1" x14ac:dyDescent="0.4">
      <c r="A58" s="20"/>
      <c r="B58" s="20"/>
      <c r="C58" s="20" t="s">
        <v>87</v>
      </c>
      <c r="D58" s="20"/>
      <c r="E58" s="20">
        <v>0</v>
      </c>
      <c r="F58" s="20">
        <v>0</v>
      </c>
      <c r="G58" s="7" t="str">
        <f>IF(E58=F58,"n/a",IF(OR(C58="battery electric vehicle",C58="natural gas vehicle",C58="plugin hybrid vehicle",C58="hydrogen vehicle"),"s-curve","linear"))</f>
        <v>n/a</v>
      </c>
      <c r="I58" s="19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35">
      <c r="A59" t="s">
        <v>15</v>
      </c>
      <c r="B59" t="s">
        <v>18</v>
      </c>
      <c r="C59" t="s">
        <v>1</v>
      </c>
      <c r="E59">
        <v>0</v>
      </c>
      <c r="F59">
        <v>0</v>
      </c>
      <c r="G59" s="6" t="str">
        <f>IF(E59=F59,"n/a",IF(OR(C59="battery electric vehicle",C59="natural gas vehicle",C59="plugin hybrid vehicle"),"s-curve","linear"))</f>
        <v>n/a</v>
      </c>
      <c r="I59" s="19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35">
      <c r="C60" t="s">
        <v>2</v>
      </c>
      <c r="E60">
        <v>0</v>
      </c>
      <c r="F60">
        <v>0</v>
      </c>
      <c r="G60" s="6" t="str">
        <f>IF(E60=F60,"n/a",IF(OR(C60="battery electric vehicle",C60="natural gas vehicle",C60="plugin hybrid vehicle"),"s-curve","linear"))</f>
        <v>n/a</v>
      </c>
      <c r="I60" s="19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35">
      <c r="C61" t="s">
        <v>3</v>
      </c>
      <c r="E61">
        <v>0</v>
      </c>
      <c r="F61">
        <v>0</v>
      </c>
      <c r="G61" s="6" t="str">
        <f>IF(E61=F61,"n/a",IF(OR(C61="battery electric vehicle",C61="natural gas vehicle",C61="plugin hybrid vehicle"),"s-curve","linear"))</f>
        <v>n/a</v>
      </c>
      <c r="I61" s="19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35">
      <c r="C62" t="s">
        <v>4</v>
      </c>
      <c r="E62">
        <v>1</v>
      </c>
      <c r="F62">
        <v>1</v>
      </c>
      <c r="G62" s="6" t="str">
        <f>IF(E62=F62,"n/a",IF(OR(C62="battery electric vehicle",C62="natural gas vehicle",C62="plugin hybrid vehicle"),"s-curve","linear"))</f>
        <v>n/a</v>
      </c>
      <c r="I62" s="19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35">
      <c r="C63" t="s">
        <v>5</v>
      </c>
      <c r="E63">
        <v>0</v>
      </c>
      <c r="F63">
        <v>0</v>
      </c>
      <c r="G63" s="6" t="str">
        <f>IF(E63=F63,"n/a",IF(OR(C63="battery electric vehicle",C63="natural gas vehicle",C63="plugin hybrid vehicle"),"s-curve","linear"))</f>
        <v>n/a</v>
      </c>
      <c r="I63" s="19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35">
      <c r="C64" t="s">
        <v>86</v>
      </c>
      <c r="E64">
        <v>0</v>
      </c>
      <c r="F64">
        <v>0</v>
      </c>
      <c r="G64" s="6" t="str">
        <f>IF(E64=F64,"n/a",IF(OR(C64="battery electric vehicle",C64="natural gas vehicle",C64="plugin hybrid vehicle",C64="hydrogen vehicle"),"s-curve","linear"))</f>
        <v>n/a</v>
      </c>
      <c r="I64" s="19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" thickBot="1" x14ac:dyDescent="0.4">
      <c r="A65" s="20"/>
      <c r="B65" s="20"/>
      <c r="C65" s="20" t="s">
        <v>87</v>
      </c>
      <c r="D65" s="20"/>
      <c r="E65" s="20">
        <v>0</v>
      </c>
      <c r="F65" s="20">
        <v>0</v>
      </c>
      <c r="G65" s="7" t="str">
        <f>IF(E65=F65,"n/a",IF(OR(C65="battery electric vehicle",C65="natural gas vehicle",C65="plugin hybrid vehicle",C65="hydrogen vehicle"),"s-curve","linear"))</f>
        <v>n/a</v>
      </c>
      <c r="I65" s="19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35">
      <c r="A66" t="s">
        <v>16</v>
      </c>
      <c r="B66" t="s">
        <v>19</v>
      </c>
      <c r="C66" t="s">
        <v>1</v>
      </c>
      <c r="E66">
        <v>0</v>
      </c>
      <c r="F66">
        <v>0</v>
      </c>
      <c r="G66" s="6" t="str">
        <f>IF(E66=F66,"n/a",IF(OR(C66="battery electric vehicle",C66="natural gas vehicle",C66="plugin hybrid vehicle"),"s-curve","linear"))</f>
        <v>n/a</v>
      </c>
      <c r="I66" s="19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35">
      <c r="C67" t="s">
        <v>2</v>
      </c>
      <c r="E67">
        <v>0</v>
      </c>
      <c r="F67">
        <v>0</v>
      </c>
      <c r="G67" s="6" t="str">
        <f>IF(E67=F67,"n/a",IF(OR(C67="battery electric vehicle",C67="natural gas vehicle",C67="plugin hybrid vehicle"),"s-curve","linear"))</f>
        <v>n/a</v>
      </c>
      <c r="I67" s="19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35">
      <c r="C68" t="s">
        <v>3</v>
      </c>
      <c r="E68">
        <v>0</v>
      </c>
      <c r="F68">
        <v>0</v>
      </c>
      <c r="G68" s="6" t="str">
        <f>IF(E68=F68,"n/a",IF(OR(C68="battery electric vehicle",C68="natural gas vehicle",C68="plugin hybrid vehicle"),"s-curve","linear"))</f>
        <v>n/a</v>
      </c>
      <c r="I68" s="19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35">
      <c r="C69" t="s">
        <v>4</v>
      </c>
      <c r="E69">
        <v>1</v>
      </c>
      <c r="F69">
        <v>1</v>
      </c>
      <c r="G69" s="6" t="str">
        <f>IF(E69=F69,"n/a",IF(OR(C69="battery electric vehicle",C69="natural gas vehicle",C69="plugin hybrid vehicle"),"s-curve","linear"))</f>
        <v>n/a</v>
      </c>
      <c r="I69" s="19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35">
      <c r="C70" t="s">
        <v>5</v>
      </c>
      <c r="E70">
        <v>0</v>
      </c>
      <c r="F70">
        <v>0</v>
      </c>
      <c r="G70" s="6" t="str">
        <f>IF(E70=F70,"n/a",IF(OR(C70="battery electric vehicle",C70="natural gas vehicle",C70="plugin hybrid vehicle"),"s-curve","linear"))</f>
        <v>n/a</v>
      </c>
      <c r="I70" s="19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35">
      <c r="C71" t="s">
        <v>86</v>
      </c>
      <c r="E71">
        <v>0</v>
      </c>
      <c r="F71">
        <v>0</v>
      </c>
      <c r="G71" s="6" t="str">
        <f>IF(E71=F71,"n/a",IF(OR(C71="battery electric vehicle",C71="natural gas vehicle",C71="plugin hybrid vehicle",C71="hydrogen vehicle"),"s-curve","linear"))</f>
        <v>n/a</v>
      </c>
      <c r="I71" s="19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" thickBot="1" x14ac:dyDescent="0.4">
      <c r="A72" s="20"/>
      <c r="B72" s="20"/>
      <c r="C72" s="20" t="s">
        <v>87</v>
      </c>
      <c r="D72" s="20"/>
      <c r="E72" s="20">
        <v>0</v>
      </c>
      <c r="F72" s="20">
        <v>0</v>
      </c>
      <c r="G72" s="7" t="str">
        <f>IF(E72=F72,"n/a",IF(OR(C72="battery electric vehicle",C72="natural gas vehicle",C72="plugin hybrid vehicle",C72="hydrogen vehicle"),"s-curve","linear"))</f>
        <v>n/a</v>
      </c>
      <c r="I72" s="19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35">
      <c r="A73" t="s">
        <v>16</v>
      </c>
      <c r="B73" t="s">
        <v>18</v>
      </c>
      <c r="C73" t="s">
        <v>1</v>
      </c>
      <c r="E73">
        <v>0</v>
      </c>
      <c r="F73">
        <v>0</v>
      </c>
      <c r="G73" s="6" t="str">
        <f>IF(E73=F73,"n/a",IF(OR(C73="battery electric vehicle",C73="natural gas vehicle",C73="plugin hybrid vehicle"),"s-curve","linear"))</f>
        <v>n/a</v>
      </c>
      <c r="I73" s="19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35">
      <c r="C74" t="s">
        <v>2</v>
      </c>
      <c r="E74">
        <v>0</v>
      </c>
      <c r="F74">
        <v>0</v>
      </c>
      <c r="G74" s="6" t="str">
        <f>IF(E74=F74,"n/a",IF(OR(C74="battery electric vehicle",C74="natural gas vehicle",C74="plugin hybrid vehicle"),"s-curve","linear"))</f>
        <v>n/a</v>
      </c>
      <c r="I74" s="19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35">
      <c r="C75" t="s">
        <v>3</v>
      </c>
      <c r="E75">
        <v>0</v>
      </c>
      <c r="F75">
        <v>0</v>
      </c>
      <c r="G75" s="6" t="str">
        <f>IF(E75=F75,"n/a",IF(OR(C75="battery electric vehicle",C75="natural gas vehicle",C75="plugin hybrid vehicle"),"s-curve","linear"))</f>
        <v>n/a</v>
      </c>
      <c r="I75" s="19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35">
      <c r="C76" t="s">
        <v>4</v>
      </c>
      <c r="E76">
        <v>1</v>
      </c>
      <c r="F76">
        <v>1</v>
      </c>
      <c r="G76" s="6" t="str">
        <f>IF(E76=F76,"n/a",IF(OR(C76="battery electric vehicle",C76="natural gas vehicle",C76="plugin hybrid vehicle"),"s-curve","linear"))</f>
        <v>n/a</v>
      </c>
      <c r="I76" s="19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35">
      <c r="C77" t="s">
        <v>5</v>
      </c>
      <c r="E77">
        <v>0</v>
      </c>
      <c r="F77">
        <v>0</v>
      </c>
      <c r="G77" s="6" t="str">
        <f>IF(E77=F77,"n/a",IF(OR(C77="battery electric vehicle",C77="natural gas vehicle",C77="plugin hybrid vehicle"),"s-curve","linear"))</f>
        <v>n/a</v>
      </c>
      <c r="I77" s="19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35">
      <c r="C78" t="s">
        <v>86</v>
      </c>
      <c r="E78">
        <v>0</v>
      </c>
      <c r="F78">
        <v>0</v>
      </c>
      <c r="G78" s="6" t="str">
        <f>IF(E78=F78,"n/a",IF(OR(C78="battery electric vehicle",C78="natural gas vehicle",C78="plugin hybrid vehicle",C78="hydrogen vehicle"),"s-curve","linear"))</f>
        <v>n/a</v>
      </c>
      <c r="I78" s="19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" thickBot="1" x14ac:dyDescent="0.4">
      <c r="A79" s="20"/>
      <c r="B79" s="20"/>
      <c r="C79" s="20" t="s">
        <v>87</v>
      </c>
      <c r="D79" s="20"/>
      <c r="E79" s="20">
        <v>0</v>
      </c>
      <c r="F79" s="20">
        <v>0</v>
      </c>
      <c r="G79" s="7" t="str">
        <f>IF(E79=F79,"n/a",IF(OR(C79="battery electric vehicle",C79="natural gas vehicle",C79="plugin hybrid vehicle",C79="hydrogen vehicle"),"s-curve","linear"))</f>
        <v>n/a</v>
      </c>
      <c r="I79" s="19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35">
      <c r="A80" t="s">
        <v>17</v>
      </c>
      <c r="B80" t="s">
        <v>19</v>
      </c>
      <c r="C80" t="s">
        <v>1</v>
      </c>
      <c r="D80">
        <f>D10</f>
        <v>8.2556397301899995E-2</v>
      </c>
      <c r="E80">
        <f>E10</f>
        <v>6.6873740826300002E-2</v>
      </c>
      <c r="F80">
        <f>F10</f>
        <v>0.5</v>
      </c>
      <c r="G80" s="6" t="str">
        <f>IF(E80=F80,"n/a",IF(OR(C80="battery electric vehicle",C80="natural gas vehicle",C80="plugin hybrid vehicle"),"s-curve","linear"))</f>
        <v>s-curve</v>
      </c>
      <c r="I80" s="19">
        <f t="shared" si="3"/>
        <v>6.6873740826300002E-2</v>
      </c>
      <c r="J80">
        <f>IF($G80="s-curve",$E80+($F80-$E80)*$O$2/(1+EXP($O$3*(COUNT($I$9:J$9)+$O$4))),TREND($E80:$F80,$E$9:$F$9,J$9))</f>
        <v>8.383744382909665E-2</v>
      </c>
      <c r="K80">
        <f>IF($G80="s-curve",$E80+($F80-$E80)*$O$2/(1+EXP($O$3*(COUNT($I$9:K$9)+$O$4))),TREND($E80:$F80,$E$9:$F$9,K$9))</f>
        <v>9.1702346693592188E-2</v>
      </c>
      <c r="L80">
        <f>IF($G80="s-curve",$E80+($F80-$E80)*$O$2/(1+EXP($O$3*(COUNT($I$9:L$9)+$O$4))),TREND($E80:$F80,$E$9:$F$9,L$9))</f>
        <v>0.1028980197241021</v>
      </c>
      <c r="M80">
        <f>IF($G80="s-curve",$E80+($F80-$E80)*$O$2/(1+EXP($O$3*(COUNT($I$9:M$9)+$O$4))),TREND($E80:$F80,$E$9:$F$9,M$9))</f>
        <v>0.11850365652431405</v>
      </c>
      <c r="N80">
        <f>IF($G80="s-curve",$E80+($F80-$E80)*$O$2/(1+EXP($O$3*(COUNT($I$9:N$9)+$O$4))),TREND($E80:$F80,$E$9:$F$9,N$9))</f>
        <v>0.1396309892832005</v>
      </c>
      <c r="O80">
        <f>IF($G80="s-curve",$E80+($F80-$E80)*$O$2/(1+EXP($O$3*(COUNT($I$9:O$9)+$O$4))),TREND($E80:$F80,$E$9:$F$9,O$9))</f>
        <v>0.16713173544079279</v>
      </c>
      <c r="P80">
        <f>IF($G80="s-curve",$E80+($F80-$E80)*$O$2/(1+EXP($O$3*(COUNT($I$9:P$9)+$O$4))),TREND($E80:$F80,$E$9:$F$9,P$9))</f>
        <v>0.20115393406388254</v>
      </c>
      <c r="Q80">
        <f>IF($G80="s-curve",$E80+($F80-$E80)*$O$2/(1+EXP($O$3*(COUNT($I$9:Q$9)+$O$4))),TREND($E80:$F80,$E$9:$F$9,Q$9))</f>
        <v>0.2406926533620381</v>
      </c>
      <c r="R80">
        <f>IF($G80="s-curve",$E80+($F80-$E80)*$O$2/(1+EXP($O$3*(COUNT($I$9:R$9)+$O$4))),TREND($E80:$F80,$E$9:$F$9,R$9))</f>
        <v>0.28343687041315002</v>
      </c>
      <c r="S80">
        <f>IF($G80="s-curve",$E80+($F80-$E80)*$O$2/(1+EXP($O$3*(COUNT($I$9:S$9)+$O$4))),TREND($E80:$F80,$E$9:$F$9,S$9))</f>
        <v>0.32618108746426189</v>
      </c>
      <c r="T80">
        <f>IF($G80="s-curve",$E80+($F80-$E80)*$O$2/(1+EXP($O$3*(COUNT($I$9:T$9)+$O$4))),TREND($E80:$F80,$E$9:$F$9,T$9))</f>
        <v>0.36571980676241744</v>
      </c>
      <c r="U80">
        <f>IF($G80="s-curve",$E80+($F80-$E80)*$O$2/(1+EXP($O$3*(COUNT($I$9:U$9)+$O$4))),TREND($E80:$F80,$E$9:$F$9,U$9))</f>
        <v>0.39974200538550725</v>
      </c>
      <c r="V80">
        <f>IF($G80="s-curve",$E80+($F80-$E80)*$O$2/(1+EXP($O$3*(COUNT($I$9:V$9)+$O$4))),TREND($E80:$F80,$E$9:$F$9,V$9))</f>
        <v>0.42724275154309949</v>
      </c>
      <c r="W80">
        <f>IF($G80="s-curve",$E80+($F80-$E80)*$O$2/(1+EXP($O$3*(COUNT($I$9:W$9)+$O$4))),TREND($E80:$F80,$E$9:$F$9,W$9))</f>
        <v>0.44837008430198594</v>
      </c>
      <c r="X80">
        <f>IF($G80="s-curve",$E80+($F80-$E80)*$O$2/(1+EXP($O$3*(COUNT($I$9:X$9)+$O$4))),TREND($E80:$F80,$E$9:$F$9,X$9))</f>
        <v>0.46397572110219792</v>
      </c>
      <c r="Y80">
        <f>IF($G80="s-curve",$E80+($F80-$E80)*$O$2/(1+EXP($O$3*(COUNT($I$9:Y$9)+$O$4))),TREND($E80:$F80,$E$9:$F$9,Y$9))</f>
        <v>0.47517139413270781</v>
      </c>
      <c r="Z80">
        <f>IF($G80="s-curve",$E80+($F80-$E80)*$O$2/(1+EXP($O$3*(COUNT($I$9:Z$9)+$O$4))),TREND($E80:$F80,$E$9:$F$9,Z$9))</f>
        <v>0.48303629699720335</v>
      </c>
      <c r="AA80">
        <f>IF($G80="s-curve",$E80+($F80-$E80)*$O$2/(1+EXP($O$3*(COUNT($I$9:AA$9)+$O$4))),TREND($E80:$F80,$E$9:$F$9,AA$9))</f>
        <v>0.4884801436667851</v>
      </c>
      <c r="AB80">
        <f>IF($G80="s-curve",$E80+($F80-$E80)*$O$2/(1+EXP($O$3*(COUNT($I$9:AB$9)+$O$4))),TREND($E80:$F80,$E$9:$F$9,AB$9))</f>
        <v>0.4922097001624065</v>
      </c>
      <c r="AC80">
        <f>IF($G80="s-curve",$E80+($F80-$E80)*$O$2/(1+EXP($O$3*(COUNT($I$9:AC$9)+$O$4))),TREND($E80:$F80,$E$9:$F$9,AC$9))</f>
        <v>0.49474685632562987</v>
      </c>
      <c r="AD80">
        <f>IF($G80="s-curve",$E80+($F80-$E80)*$O$2/(1+EXP($O$3*(COUNT($I$9:AD$9)+$O$4))),TREND($E80:$F80,$E$9:$F$9,AD$9))</f>
        <v>0.49646457609119271</v>
      </c>
      <c r="AE80">
        <f>IF($G80="s-curve",$E80+($F80-$E80)*$O$2/(1+EXP($O$3*(COUNT($I$9:AE$9)+$O$4))),TREND($E80:$F80,$E$9:$F$9,AE$9))</f>
        <v>0.49762373988097219</v>
      </c>
      <c r="AF80">
        <f>IF($G80="s-curve",$E80+($F80-$E80)*$O$2/(1+EXP($O$3*(COUNT($I$9:AF$9)+$O$4))),TREND($E80:$F80,$E$9:$F$9,AF$9))</f>
        <v>0.49840425895445883</v>
      </c>
      <c r="AG80">
        <f>IF($G80="s-curve",$E80+($F80-$E80)*$O$2/(1+EXP($O$3*(COUNT($I$9:AG$9)+$O$4))),TREND($E80:$F80,$E$9:$F$9,AG$9))</f>
        <v>0.49892904198182053</v>
      </c>
      <c r="AH80">
        <f>IF($G80="s-curve",$E80+($F80-$E80)*$O$2/(1+EXP($O$3*(COUNT($I$9:AH$9)+$O$4))),TREND($E80:$F80,$E$9:$F$9,AH$9))</f>
        <v>0.49928152969343076</v>
      </c>
      <c r="AI80">
        <f>IF($G80="s-curve",$E80+($F80-$E80)*$O$2/(1+EXP($O$3*(COUNT($I$9:AI$9)+$O$4))),TREND($E80:$F80,$E$9:$F$9,AI$9))</f>
        <v>0.49951813142989132</v>
      </c>
    </row>
    <row r="81" spans="1:35" x14ac:dyDescent="0.35">
      <c r="C81" t="s">
        <v>2</v>
      </c>
      <c r="D81">
        <f t="shared" ref="D81:E81" si="4">D11</f>
        <v>1.0005073039100001E-4</v>
      </c>
      <c r="E81">
        <f t="shared" si="4"/>
        <v>9.1114481822700006E-5</v>
      </c>
      <c r="F81">
        <f t="shared" ref="F81" si="5">F11</f>
        <v>9.1114481822700006E-5</v>
      </c>
      <c r="G81" s="6" t="str">
        <f>IF(E81=F81,"n/a",IF(OR(C81="battery electric vehicle",C81="natural gas vehicle",C81="plugin hybrid vehicle"),"s-curve","linear"))</f>
        <v>n/a</v>
      </c>
      <c r="I81" s="19">
        <f t="shared" si="3"/>
        <v>9.1114481822700006E-5</v>
      </c>
      <c r="J81">
        <f>IF($G81="s-curve",$E81+($F81-$E81)*$I$2/(1+EXP($I$3*(COUNT($I$9:J$9)+$I$4))),TREND($E81:$F81,$E$9:$F$9,J$9))</f>
        <v>9.1114481822700006E-5</v>
      </c>
      <c r="K81">
        <f>IF($G81="s-curve",$E81+($F81-$E81)*$I$2/(1+EXP($I$3*(COUNT($I$9:K$9)+$I$4))),TREND($E81:$F81,$E$9:$F$9,K$9))</f>
        <v>9.1114481822700006E-5</v>
      </c>
      <c r="L81">
        <f>IF($G81="s-curve",$E81+($F81-$E81)*$I$2/(1+EXP($I$3*(COUNT($I$9:L$9)+$I$4))),TREND($E81:$F81,$E$9:$F$9,L$9))</f>
        <v>9.1114481822700006E-5</v>
      </c>
      <c r="M81">
        <f>IF($G81="s-curve",$E81+($F81-$E81)*$I$2/(1+EXP($I$3*(COUNT($I$9:M$9)+$I$4))),TREND($E81:$F81,$E$9:$F$9,M$9))</f>
        <v>9.1114481822700006E-5</v>
      </c>
      <c r="N81">
        <f>IF($G81="s-curve",$E81+($F81-$E81)*$I$2/(1+EXP($I$3*(COUNT($I$9:N$9)+$I$4))),TREND($E81:$F81,$E$9:$F$9,N$9))</f>
        <v>9.1114481822700006E-5</v>
      </c>
      <c r="O81">
        <f>IF($G81="s-curve",$E81+($F81-$E81)*$I$2/(1+EXP($I$3*(COUNT($I$9:O$9)+$I$4))),TREND($E81:$F81,$E$9:$F$9,O$9))</f>
        <v>9.1114481822700006E-5</v>
      </c>
      <c r="P81">
        <f>IF($G81="s-curve",$E81+($F81-$E81)*$I$2/(1+EXP($I$3*(COUNT($I$9:P$9)+$I$4))),TREND($E81:$F81,$E$9:$F$9,P$9))</f>
        <v>9.1114481822700006E-5</v>
      </c>
      <c r="Q81">
        <f>IF($G81="s-curve",$E81+($F81-$E81)*$I$2/(1+EXP($I$3*(COUNT($I$9:Q$9)+$I$4))),TREND($E81:$F81,$E$9:$F$9,Q$9))</f>
        <v>9.1114481822700006E-5</v>
      </c>
      <c r="R81">
        <f>IF($G81="s-curve",$E81+($F81-$E81)*$I$2/(1+EXP($I$3*(COUNT($I$9:R$9)+$I$4))),TREND($E81:$F81,$E$9:$F$9,R$9))</f>
        <v>9.1114481822700006E-5</v>
      </c>
      <c r="S81">
        <f>IF($G81="s-curve",$E81+($F81-$E81)*$I$2/(1+EXP($I$3*(COUNT($I$9:S$9)+$I$4))),TREND($E81:$F81,$E$9:$F$9,S$9))</f>
        <v>9.1114481822700006E-5</v>
      </c>
      <c r="T81">
        <f>IF($G81="s-curve",$E81+($F81-$E81)*$I$2/(1+EXP($I$3*(COUNT($I$9:T$9)+$I$4))),TREND($E81:$F81,$E$9:$F$9,T$9))</f>
        <v>9.1114481822700006E-5</v>
      </c>
      <c r="U81">
        <f>IF($G81="s-curve",$E81+($F81-$E81)*$I$2/(1+EXP($I$3*(COUNT($I$9:U$9)+$I$4))),TREND($E81:$F81,$E$9:$F$9,U$9))</f>
        <v>9.1114481822700006E-5</v>
      </c>
      <c r="V81">
        <f>IF($G81="s-curve",$E81+($F81-$E81)*$I$2/(1+EXP($I$3*(COUNT($I$9:V$9)+$I$4))),TREND($E81:$F81,$E$9:$F$9,V$9))</f>
        <v>9.1114481822700006E-5</v>
      </c>
      <c r="W81">
        <f>IF($G81="s-curve",$E81+($F81-$E81)*$I$2/(1+EXP($I$3*(COUNT($I$9:W$9)+$I$4))),TREND($E81:$F81,$E$9:$F$9,W$9))</f>
        <v>9.1114481822700006E-5</v>
      </c>
      <c r="X81">
        <f>IF($G81="s-curve",$E81+($F81-$E81)*$I$2/(1+EXP($I$3*(COUNT($I$9:X$9)+$I$4))),TREND($E81:$F81,$E$9:$F$9,X$9))</f>
        <v>9.1114481822700006E-5</v>
      </c>
      <c r="Y81">
        <f>IF($G81="s-curve",$E81+($F81-$E81)*$I$2/(1+EXP($I$3*(COUNT($I$9:Y$9)+$I$4))),TREND($E81:$F81,$E$9:$F$9,Y$9))</f>
        <v>9.1114481822700006E-5</v>
      </c>
      <c r="Z81">
        <f>IF($G81="s-curve",$E81+($F81-$E81)*$I$2/(1+EXP($I$3*(COUNT($I$9:Z$9)+$I$4))),TREND($E81:$F81,$E$9:$F$9,Z$9))</f>
        <v>9.1114481822700006E-5</v>
      </c>
      <c r="AA81">
        <f>IF($G81="s-curve",$E81+($F81-$E81)*$I$2/(1+EXP($I$3*(COUNT($I$9:AA$9)+$I$4))),TREND($E81:$F81,$E$9:$F$9,AA$9))</f>
        <v>9.1114481822700006E-5</v>
      </c>
      <c r="AB81">
        <f>IF($G81="s-curve",$E81+($F81-$E81)*$I$2/(1+EXP($I$3*(COUNT($I$9:AB$9)+$I$4))),TREND($E81:$F81,$E$9:$F$9,AB$9))</f>
        <v>9.1114481822700006E-5</v>
      </c>
      <c r="AC81">
        <f>IF($G81="s-curve",$E81+($F81-$E81)*$I$2/(1+EXP($I$3*(COUNT($I$9:AC$9)+$I$4))),TREND($E81:$F81,$E$9:$F$9,AC$9))</f>
        <v>9.1114481822700006E-5</v>
      </c>
      <c r="AD81">
        <f>IF($G81="s-curve",$E81+($F81-$E81)*$I$2/(1+EXP($I$3*(COUNT($I$9:AD$9)+$I$4))),TREND($E81:$F81,$E$9:$F$9,AD$9))</f>
        <v>9.1114481822700006E-5</v>
      </c>
      <c r="AE81">
        <f>IF($G81="s-curve",$E81+($F81-$E81)*$I$2/(1+EXP($I$3*(COUNT($I$9:AE$9)+$I$4))),TREND($E81:$F81,$E$9:$F$9,AE$9))</f>
        <v>9.1114481822700006E-5</v>
      </c>
      <c r="AF81">
        <f>IF($G81="s-curve",$E81+($F81-$E81)*$I$2/(1+EXP($I$3*(COUNT($I$9:AF$9)+$I$4))),TREND($E81:$F81,$E$9:$F$9,AF$9))</f>
        <v>9.1114481822700006E-5</v>
      </c>
      <c r="AG81">
        <f>IF($G81="s-curve",$E81+($F81-$E81)*$I$2/(1+EXP($I$3*(COUNT($I$9:AG$9)+$I$4))),TREND($E81:$F81,$E$9:$F$9,AG$9))</f>
        <v>9.1114481822700006E-5</v>
      </c>
      <c r="AH81">
        <f>IF($G81="s-curve",$E81+($F81-$E81)*$I$2/(1+EXP($I$3*(COUNT($I$9:AH$9)+$I$4))),TREND($E81:$F81,$E$9:$F$9,AH$9))</f>
        <v>9.1114481822700006E-5</v>
      </c>
      <c r="AI81">
        <f>IF($G81="s-curve",$E81+($F81-$E81)*$I$2/(1+EXP($I$3*(COUNT($I$9:AI$9)+$I$4))),TREND($E81:$F81,$E$9:$F$9,AI$9))</f>
        <v>9.1114481822700006E-5</v>
      </c>
    </row>
    <row r="82" spans="1:35" x14ac:dyDescent="0.35">
      <c r="C82" t="s">
        <v>3</v>
      </c>
      <c r="D82">
        <f t="shared" ref="D82:E82" si="6">D12</f>
        <v>1</v>
      </c>
      <c r="E82">
        <f t="shared" si="6"/>
        <v>1</v>
      </c>
      <c r="F82">
        <f t="shared" ref="F82" si="7">F12</f>
        <v>1</v>
      </c>
      <c r="G82" s="6" t="str">
        <f>IF(E82=F82,"n/a",IF(OR(C82="battery electric vehicle",C82="natural gas vehicle",C82="plugin hybrid vehicle"),"s-curve","linear"))</f>
        <v>n/a</v>
      </c>
      <c r="I82" s="19">
        <f t="shared" si="3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35">
      <c r="C83" t="s">
        <v>4</v>
      </c>
      <c r="D83">
        <f t="shared" ref="D83:E83" si="8">D13</f>
        <v>6.6777915503600002E-2</v>
      </c>
      <c r="E83">
        <f t="shared" si="8"/>
        <v>6.08023121013E-2</v>
      </c>
      <c r="F83">
        <f t="shared" ref="F83" si="9">F13</f>
        <v>6.08023121013E-2</v>
      </c>
      <c r="G83" s="6" t="str">
        <f>IF(E83=F83,"n/a",IF(OR(C83="battery electric vehicle",C83="natural gas vehicle",C83="plugin hybrid vehicle"),"s-curve","linear"))</f>
        <v>n/a</v>
      </c>
      <c r="I83" s="19">
        <f t="shared" si="3"/>
        <v>6.08023121013E-2</v>
      </c>
      <c r="J83">
        <f>IF($G83="s-curve",$E83+($F83-$E83)*$I$2/(1+EXP($I$3*(COUNT($I$9:J$9)+$I$4))),TREND($E83:$F83,$E$9:$F$9,J$9))</f>
        <v>6.08023121013E-2</v>
      </c>
      <c r="K83">
        <f>IF($G83="s-curve",$E83+($F83-$E83)*$I$2/(1+EXP($I$3*(COUNT($I$9:K$9)+$I$4))),TREND($E83:$F83,$E$9:$F$9,K$9))</f>
        <v>6.08023121013E-2</v>
      </c>
      <c r="L83">
        <f>IF($G83="s-curve",$E83+($F83-$E83)*$I$2/(1+EXP($I$3*(COUNT($I$9:L$9)+$I$4))),TREND($E83:$F83,$E$9:$F$9,L$9))</f>
        <v>6.08023121013E-2</v>
      </c>
      <c r="M83">
        <f>IF($G83="s-curve",$E83+($F83-$E83)*$I$2/(1+EXP($I$3*(COUNT($I$9:M$9)+$I$4))),TREND($E83:$F83,$E$9:$F$9,M$9))</f>
        <v>6.08023121013E-2</v>
      </c>
      <c r="N83">
        <f>IF($G83="s-curve",$E83+($F83-$E83)*$I$2/(1+EXP($I$3*(COUNT($I$9:N$9)+$I$4))),TREND($E83:$F83,$E$9:$F$9,N$9))</f>
        <v>6.08023121013E-2</v>
      </c>
      <c r="O83">
        <f>IF($G83="s-curve",$E83+($F83-$E83)*$I$2/(1+EXP($I$3*(COUNT($I$9:O$9)+$I$4))),TREND($E83:$F83,$E$9:$F$9,O$9))</f>
        <v>6.08023121013E-2</v>
      </c>
      <c r="P83">
        <f>IF($G83="s-curve",$E83+($F83-$E83)*$I$2/(1+EXP($I$3*(COUNT($I$9:P$9)+$I$4))),TREND($E83:$F83,$E$9:$F$9,P$9))</f>
        <v>6.08023121013E-2</v>
      </c>
      <c r="Q83">
        <f>IF($G83="s-curve",$E83+($F83-$E83)*$I$2/(1+EXP($I$3*(COUNT($I$9:Q$9)+$I$4))),TREND($E83:$F83,$E$9:$F$9,Q$9))</f>
        <v>6.08023121013E-2</v>
      </c>
      <c r="R83">
        <f>IF($G83="s-curve",$E83+($F83-$E83)*$I$2/(1+EXP($I$3*(COUNT($I$9:R$9)+$I$4))),TREND($E83:$F83,$E$9:$F$9,R$9))</f>
        <v>6.08023121013E-2</v>
      </c>
      <c r="S83">
        <f>IF($G83="s-curve",$E83+($F83-$E83)*$I$2/(1+EXP($I$3*(COUNT($I$9:S$9)+$I$4))),TREND($E83:$F83,$E$9:$F$9,S$9))</f>
        <v>6.08023121013E-2</v>
      </c>
      <c r="T83">
        <f>IF($G83="s-curve",$E83+($F83-$E83)*$I$2/(1+EXP($I$3*(COUNT($I$9:T$9)+$I$4))),TREND($E83:$F83,$E$9:$F$9,T$9))</f>
        <v>6.08023121013E-2</v>
      </c>
      <c r="U83">
        <f>IF($G83="s-curve",$E83+($F83-$E83)*$I$2/(1+EXP($I$3*(COUNT($I$9:U$9)+$I$4))),TREND($E83:$F83,$E$9:$F$9,U$9))</f>
        <v>6.08023121013E-2</v>
      </c>
      <c r="V83">
        <f>IF($G83="s-curve",$E83+($F83-$E83)*$I$2/(1+EXP($I$3*(COUNT($I$9:V$9)+$I$4))),TREND($E83:$F83,$E$9:$F$9,V$9))</f>
        <v>6.08023121013E-2</v>
      </c>
      <c r="W83">
        <f>IF($G83="s-curve",$E83+($F83-$E83)*$I$2/(1+EXP($I$3*(COUNT($I$9:W$9)+$I$4))),TREND($E83:$F83,$E$9:$F$9,W$9))</f>
        <v>6.08023121013E-2</v>
      </c>
      <c r="X83">
        <f>IF($G83="s-curve",$E83+($F83-$E83)*$I$2/(1+EXP($I$3*(COUNT($I$9:X$9)+$I$4))),TREND($E83:$F83,$E$9:$F$9,X$9))</f>
        <v>6.08023121013E-2</v>
      </c>
      <c r="Y83">
        <f>IF($G83="s-curve",$E83+($F83-$E83)*$I$2/(1+EXP($I$3*(COUNT($I$9:Y$9)+$I$4))),TREND($E83:$F83,$E$9:$F$9,Y$9))</f>
        <v>6.08023121013E-2</v>
      </c>
      <c r="Z83">
        <f>IF($G83="s-curve",$E83+($F83-$E83)*$I$2/(1+EXP($I$3*(COUNT($I$9:Z$9)+$I$4))),TREND($E83:$F83,$E$9:$F$9,Z$9))</f>
        <v>6.08023121013E-2</v>
      </c>
      <c r="AA83">
        <f>IF($G83="s-curve",$E83+($F83-$E83)*$I$2/(1+EXP($I$3*(COUNT($I$9:AA$9)+$I$4))),TREND($E83:$F83,$E$9:$F$9,AA$9))</f>
        <v>6.08023121013E-2</v>
      </c>
      <c r="AB83">
        <f>IF($G83="s-curve",$E83+($F83-$E83)*$I$2/(1+EXP($I$3*(COUNT($I$9:AB$9)+$I$4))),TREND($E83:$F83,$E$9:$F$9,AB$9))</f>
        <v>6.08023121013E-2</v>
      </c>
      <c r="AC83">
        <f>IF($G83="s-curve",$E83+($F83-$E83)*$I$2/(1+EXP($I$3*(COUNT($I$9:AC$9)+$I$4))),TREND($E83:$F83,$E$9:$F$9,AC$9))</f>
        <v>6.08023121013E-2</v>
      </c>
      <c r="AD83">
        <f>IF($G83="s-curve",$E83+($F83-$E83)*$I$2/(1+EXP($I$3*(COUNT($I$9:AD$9)+$I$4))),TREND($E83:$F83,$E$9:$F$9,AD$9))</f>
        <v>6.08023121013E-2</v>
      </c>
      <c r="AE83">
        <f>IF($G83="s-curve",$E83+($F83-$E83)*$I$2/(1+EXP($I$3*(COUNT($I$9:AE$9)+$I$4))),TREND($E83:$F83,$E$9:$F$9,AE$9))</f>
        <v>6.08023121013E-2</v>
      </c>
      <c r="AF83">
        <f>IF($G83="s-curve",$E83+($F83-$E83)*$I$2/(1+EXP($I$3*(COUNT($I$9:AF$9)+$I$4))),TREND($E83:$F83,$E$9:$F$9,AF$9))</f>
        <v>6.08023121013E-2</v>
      </c>
      <c r="AG83">
        <f>IF($G83="s-curve",$E83+($F83-$E83)*$I$2/(1+EXP($I$3*(COUNT($I$9:AG$9)+$I$4))),TREND($E83:$F83,$E$9:$F$9,AG$9))</f>
        <v>6.08023121013E-2</v>
      </c>
      <c r="AH83">
        <f>IF($G83="s-curve",$E83+($F83-$E83)*$I$2/(1+EXP($I$3*(COUNT($I$9:AH$9)+$I$4))),TREND($E83:$F83,$E$9:$F$9,AH$9))</f>
        <v>6.08023121013E-2</v>
      </c>
      <c r="AI83">
        <f>IF($G83="s-curve",$E83+($F83-$E83)*$I$2/(1+EXP($I$3*(COUNT($I$9:AI$9)+$I$4))),TREND($E83:$F83,$E$9:$F$9,AI$9))</f>
        <v>6.08023121013E-2</v>
      </c>
    </row>
    <row r="84" spans="1:35" x14ac:dyDescent="0.35">
      <c r="C84" t="s">
        <v>5</v>
      </c>
      <c r="D84">
        <f t="shared" ref="D84:E84" si="10">D14</f>
        <v>1.5463740197399999E-2</v>
      </c>
      <c r="E84">
        <f t="shared" si="10"/>
        <v>1.5463740197399999E-2</v>
      </c>
      <c r="F84">
        <f t="shared" ref="F84" si="11">F14</f>
        <v>0.25</v>
      </c>
      <c r="G84" s="6" t="str">
        <f>IF(E84=F84,"n/a",IF(OR(C84="battery electric vehicle",C84="natural gas vehicle",C84="plugin hybrid vehicle"),"s-curve","linear"))</f>
        <v>s-curve</v>
      </c>
      <c r="I84" s="19">
        <f t="shared" si="3"/>
        <v>1.5463740197399999E-2</v>
      </c>
      <c r="J84">
        <f>IF($G84="s-curve",$E84+($F84-$E84)*$I$2/(1+EXP($I$3*(COUNT($I$9:J$9)+$I$4))),TREND($E84:$F84,$E$9:$F$9,J$9))</f>
        <v>1.8928786332945334E-2</v>
      </c>
      <c r="K84">
        <f>IF($G84="s-curve",$E84+($F84-$E84)*$I$2/(1+EXP($I$3*(COUNT($I$9:K$9)+$I$4))),TREND($E84:$F84,$E$9:$F$9,K$9))</f>
        <v>2.0117011297610617E-2</v>
      </c>
      <c r="L84">
        <f>IF($G84="s-curve",$E84+($F84-$E84)*$I$2/(1+EXP($I$3*(COUNT($I$9:L$9)+$I$4))),TREND($E84:$F84,$E$9:$F$9,L$9))</f>
        <v>2.1701699592911895E-2</v>
      </c>
      <c r="M84">
        <f>IF($G84="s-curve",$E84+($F84-$E84)*$I$2/(1+EXP($I$3*(COUNT($I$9:M$9)+$I$4))),TREND($E84:$F84,$E$9:$F$9,M$9))</f>
        <v>2.3806473886134459E-2</v>
      </c>
      <c r="N84">
        <f>IF($G84="s-curve",$E84+($F84-$E84)*$I$2/(1+EXP($I$3*(COUNT($I$9:N$9)+$I$4))),TREND($E84:$F84,$E$9:$F$9,N$9))</f>
        <v>2.6586827110338961E-2</v>
      </c>
      <c r="O84">
        <f>IF($G84="s-curve",$E84+($F84-$E84)*$I$2/(1+EXP($I$3*(COUNT($I$9:O$9)+$I$4))),TREND($E84:$F84,$E$9:$F$9,O$9))</f>
        <v>3.0233275594225367E-2</v>
      </c>
      <c r="P84">
        <f>IF($G84="s-curve",$E84+($F84-$E84)*$I$2/(1+EXP($I$3*(COUNT($I$9:P$9)+$I$4))),TREND($E84:$F84,$E$9:$F$9,P$9))</f>
        <v>3.4970753350781376E-2</v>
      </c>
      <c r="Q84">
        <f>IF($G84="s-curve",$E84+($F84-$E84)*$I$2/(1+EXP($I$3*(COUNT($I$9:Q$9)+$I$4))),TREND($E84:$F84,$E$9:$F$9,Q$9))</f>
        <v>4.105090059697207E-2</v>
      </c>
      <c r="R84">
        <f>IF($G84="s-curve",$E84+($F84-$E84)*$I$2/(1+EXP($I$3*(COUNT($I$9:R$9)+$I$4))),TREND($E84:$F84,$E$9:$F$9,R$9))</f>
        <v>4.8732958408176291E-2</v>
      </c>
      <c r="S84">
        <f>IF($G84="s-curve",$E84+($F84-$E84)*$I$2/(1+EXP($I$3*(COUNT($I$9:S$9)+$I$4))),TREND($E84:$F84,$E$9:$F$9,S$9))</f>
        <v>5.8249140243472983E-2</v>
      </c>
      <c r="T84">
        <f>IF($G84="s-curve",$E84+($F84-$E84)*$I$2/(1+EXP($I$3*(COUNT($I$9:T$9)+$I$4))),TREND($E84:$F84,$E$9:$F$9,T$9))</f>
        <v>6.9753071712537487E-2</v>
      </c>
      <c r="U84">
        <f>IF($G84="s-curve",$E84+($F84-$E84)*$I$2/(1+EXP($I$3*(COUNT($I$9:U$9)+$I$4))),TREND($E84:$F84,$E$9:$F$9,U$9))</f>
        <v>8.3256562745812834E-2</v>
      </c>
      <c r="V84">
        <f>IF($G84="s-curve",$E84+($F84-$E84)*$I$2/(1+EXP($I$3*(COUNT($I$9:V$9)+$I$4))),TREND($E84:$F84,$E$9:$F$9,V$9))</f>
        <v>9.8570184819839771E-2</v>
      </c>
      <c r="W84">
        <f>IF($G84="s-curve",$E84+($F84-$E84)*$I$2/(1+EXP($I$3*(COUNT($I$9:W$9)+$I$4))),TREND($E84:$F84,$E$9:$F$9,W$9))</f>
        <v>0.11527240063540134</v>
      </c>
      <c r="X84">
        <f>IF($G84="s-curve",$E84+($F84-$E84)*$I$2/(1+EXP($I$3*(COUNT($I$9:X$9)+$I$4))),TREND($E84:$F84,$E$9:$F$9,X$9))</f>
        <v>0.13273187009869999</v>
      </c>
      <c r="Y84">
        <f>IF($G84="s-curve",$E84+($F84-$E84)*$I$2/(1+EXP($I$3*(COUNT($I$9:Y$9)+$I$4))),TREND($E84:$F84,$E$9:$F$9,Y$9))</f>
        <v>0.15019133956199868</v>
      </c>
      <c r="Z84">
        <f>IF($G84="s-curve",$E84+($F84-$E84)*$I$2/(1+EXP($I$3*(COUNT($I$9:Z$9)+$I$4))),TREND($E84:$F84,$E$9:$F$9,Z$9))</f>
        <v>0.1668935553775602</v>
      </c>
      <c r="AA84">
        <f>IF($G84="s-curve",$E84+($F84-$E84)*$I$2/(1+EXP($I$3*(COUNT($I$9:AA$9)+$I$4))),TREND($E84:$F84,$E$9:$F$9,AA$9))</f>
        <v>0.18220717745158715</v>
      </c>
      <c r="AB84">
        <f>IF($G84="s-curve",$E84+($F84-$E84)*$I$2/(1+EXP($I$3*(COUNT($I$9:AB$9)+$I$4))),TREND($E84:$F84,$E$9:$F$9,AB$9))</f>
        <v>0.19571066848486252</v>
      </c>
      <c r="AC84">
        <f>IF($G84="s-curve",$E84+($F84-$E84)*$I$2/(1+EXP($I$3*(COUNT($I$9:AC$9)+$I$4))),TREND($E84:$F84,$E$9:$F$9,AC$9))</f>
        <v>0.20721459995392699</v>
      </c>
      <c r="AD84">
        <f>IF($G84="s-curve",$E84+($F84-$E84)*$I$2/(1+EXP($I$3*(COUNT($I$9:AD$9)+$I$4))),TREND($E84:$F84,$E$9:$F$9,AD$9))</f>
        <v>0.21673078178922373</v>
      </c>
      <c r="AE84">
        <f>IF($G84="s-curve",$E84+($F84-$E84)*$I$2/(1+EXP($I$3*(COUNT($I$9:AE$9)+$I$4))),TREND($E84:$F84,$E$9:$F$9,AE$9))</f>
        <v>0.22441283960042793</v>
      </c>
      <c r="AF84">
        <f>IF($G84="s-curve",$E84+($F84-$E84)*$I$2/(1+EXP($I$3*(COUNT($I$9:AF$9)+$I$4))),TREND($E84:$F84,$E$9:$F$9,AF$9))</f>
        <v>0.23049298684661862</v>
      </c>
      <c r="AG84">
        <f>IF($G84="s-curve",$E84+($F84-$E84)*$I$2/(1+EXP($I$3*(COUNT($I$9:AG$9)+$I$4))),TREND($E84:$F84,$E$9:$F$9,AG$9))</f>
        <v>0.23523046460317465</v>
      </c>
      <c r="AH84">
        <f>IF($G84="s-curve",$E84+($F84-$E84)*$I$2/(1+EXP($I$3*(COUNT($I$9:AH$9)+$I$4))),TREND($E84:$F84,$E$9:$F$9,AH$9))</f>
        <v>0.23887691308706105</v>
      </c>
      <c r="AI84">
        <f>IF($G84="s-curve",$E84+($F84-$E84)*$I$2/(1+EXP($I$3*(COUNT($I$9:AI$9)+$I$4))),TREND($E84:$F84,$E$9:$F$9,AI$9))</f>
        <v>0.24165726631126555</v>
      </c>
    </row>
    <row r="85" spans="1:35" x14ac:dyDescent="0.35">
      <c r="C85" t="s">
        <v>86</v>
      </c>
      <c r="D85">
        <f t="shared" ref="D85:E85" si="12">D15</f>
        <v>0</v>
      </c>
      <c r="E85">
        <f t="shared" si="12"/>
        <v>0</v>
      </c>
      <c r="F85">
        <f t="shared" ref="F85" si="13">F15</f>
        <v>0</v>
      </c>
      <c r="G85" s="6" t="str">
        <f>IF(E85=F85,"n/a",IF(OR(C85="battery electric vehicle",C85="natural gas vehicle",C85="plugin hybrid vehicle",C85="hydrogen vehicle"),"s-curve","linear"))</f>
        <v>n/a</v>
      </c>
      <c r="I85" s="19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" thickBot="1" x14ac:dyDescent="0.4">
      <c r="A86" s="20"/>
      <c r="B86" s="20"/>
      <c r="C86" s="20" t="s">
        <v>87</v>
      </c>
      <c r="D86">
        <f t="shared" ref="D86:E86" si="14">D16</f>
        <v>0</v>
      </c>
      <c r="E86">
        <f t="shared" si="14"/>
        <v>0</v>
      </c>
      <c r="F86">
        <f t="shared" ref="F86" si="15">F16</f>
        <v>0</v>
      </c>
      <c r="G86" s="7" t="str">
        <f>IF(E86=F86,"n/a",IF(OR(C86="battery electric vehicle",C86="natural gas vehicle",C86="plugin hybrid vehicle",C86="hydrogen vehicle"),"s-curve","linear"))</f>
        <v>n/a</v>
      </c>
      <c r="I86" s="19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35">
      <c r="A87" t="s">
        <v>17</v>
      </c>
      <c r="B87" t="s">
        <v>18</v>
      </c>
      <c r="C87" t="s">
        <v>1</v>
      </c>
      <c r="E87">
        <v>0</v>
      </c>
      <c r="F87">
        <v>0</v>
      </c>
      <c r="G87" s="6" t="str">
        <f>IF(E87=F87,"n/a",IF(OR(C87="battery electric vehicle",C87="natural gas vehicle",C87="plugin hybrid vehicle"),"s-curve","linear"))</f>
        <v>n/a</v>
      </c>
      <c r="I87" s="19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35">
      <c r="C88" t="s">
        <v>2</v>
      </c>
      <c r="E88">
        <v>0</v>
      </c>
      <c r="F88">
        <v>0</v>
      </c>
      <c r="G88" s="6" t="str">
        <f>IF(E88=F88,"n/a",IF(OR(C88="battery electric vehicle",C88="natural gas vehicle",C88="plugin hybrid vehicle"),"s-curve","linear"))</f>
        <v>n/a</v>
      </c>
      <c r="I88" s="19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35">
      <c r="C89" t="s">
        <v>3</v>
      </c>
      <c r="E89">
        <v>0</v>
      </c>
      <c r="F89">
        <v>0</v>
      </c>
      <c r="G89" s="6" t="str">
        <f>IF(E89=F89,"n/a",IF(OR(C89="battery electric vehicle",C89="natural gas vehicle",C89="plugin hybrid vehicle"),"s-curve","linear"))</f>
        <v>n/a</v>
      </c>
      <c r="I89" s="19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35">
      <c r="C90" t="s">
        <v>4</v>
      </c>
      <c r="E90">
        <v>0</v>
      </c>
      <c r="F90">
        <v>0</v>
      </c>
      <c r="G90" s="6" t="str">
        <f>IF(E90=F90,"n/a",IF(OR(C90="battery electric vehicle",C90="natural gas vehicle",C90="plugin hybrid vehicle"),"s-curve","linear"))</f>
        <v>n/a</v>
      </c>
      <c r="I90" s="19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35">
      <c r="C91" t="s">
        <v>5</v>
      </c>
      <c r="E91">
        <v>0</v>
      </c>
      <c r="F91">
        <v>0</v>
      </c>
      <c r="G91" s="6" t="str">
        <f>IF(E91=F91,"n/a",IF(OR(C91="battery electric vehicle",C91="natural gas vehicle",C91="plugin hybrid vehicle"),"s-curve","linear"))</f>
        <v>n/a</v>
      </c>
      <c r="I91" s="19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35">
      <c r="C92" t="s">
        <v>86</v>
      </c>
      <c r="E92">
        <v>0</v>
      </c>
      <c r="F92">
        <v>0</v>
      </c>
      <c r="G92" s="6" t="str">
        <f>IF(E92=F92,"n/a",IF(OR(C92="battery electric vehicle",C92="natural gas vehicle",C92="plugin hybrid vehicle",C92="hydrogen vehicle"),"s-curve","linear"))</f>
        <v>n/a</v>
      </c>
      <c r="I92" s="19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" thickBot="1" x14ac:dyDescent="0.4">
      <c r="A93" s="20"/>
      <c r="B93" s="20"/>
      <c r="C93" s="20" t="s">
        <v>87</v>
      </c>
      <c r="D93" s="20"/>
      <c r="E93" s="20">
        <v>0</v>
      </c>
      <c r="F93" s="20">
        <v>0</v>
      </c>
      <c r="G93" s="7" t="str">
        <f>IF(E93=F93,"n/a",IF(OR(C93="battery electric vehicle",C93="natural gas vehicle",C93="plugin hybrid vehicle",C93="hydrogen vehicle"),"s-curve","linear"))</f>
        <v>n/a</v>
      </c>
      <c r="I93" s="19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C8"/>
  <sheetViews>
    <sheetView workbookViewId="0">
      <selection activeCell="B2" sqref="B2"/>
    </sheetView>
  </sheetViews>
  <sheetFormatPr defaultColWidth="9.08984375" defaultRowHeight="14.5" x14ac:dyDescent="0.35"/>
  <cols>
    <col min="1" max="1" width="24.36328125" customWidth="1"/>
    <col min="2" max="2" width="13.54296875" customWidth="1"/>
  </cols>
  <sheetData>
    <row r="1" spans="1:29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</row>
    <row r="2" spans="1:29" x14ac:dyDescent="0.35">
      <c r="A2" t="s">
        <v>1</v>
      </c>
      <c r="B2">
        <f>Data!I10</f>
        <v>8.2556397301899995E-2</v>
      </c>
      <c r="C2">
        <f>Data!J10</f>
        <v>6.6873740826300002E-2</v>
      </c>
      <c r="D2">
        <f>Data!K10</f>
        <v>7.8393597159514841E-2</v>
      </c>
      <c r="E2">
        <f>Data!L10</f>
        <v>8.383744382909665E-2</v>
      </c>
      <c r="F2">
        <f>Data!M10</f>
        <v>9.1702346693592188E-2</v>
      </c>
      <c r="G2">
        <f>Data!N10</f>
        <v>0.1028980197241021</v>
      </c>
      <c r="H2">
        <f>Data!O10</f>
        <v>0.11850365652431405</v>
      </c>
      <c r="I2">
        <f>Data!P10</f>
        <v>0.1396309892832005</v>
      </c>
      <c r="J2">
        <f>Data!Q10</f>
        <v>0.16713173544079279</v>
      </c>
      <c r="K2">
        <f>Data!R10</f>
        <v>0.20115393406388254</v>
      </c>
      <c r="L2">
        <f>Data!S10</f>
        <v>0.2406926533620381</v>
      </c>
      <c r="M2">
        <f>Data!T10</f>
        <v>0.28343687041315002</v>
      </c>
      <c r="N2">
        <f>Data!U10</f>
        <v>0.32618108746426189</v>
      </c>
      <c r="O2">
        <f>Data!V10</f>
        <v>0.36571980676241744</v>
      </c>
      <c r="P2">
        <f>Data!W10</f>
        <v>0.39974200538550725</v>
      </c>
      <c r="Q2">
        <f>Data!X10</f>
        <v>0.42724275154309949</v>
      </c>
      <c r="R2">
        <f>Data!Y10</f>
        <v>0.44837008430198594</v>
      </c>
      <c r="S2">
        <f>Data!Z10</f>
        <v>0.46397572110219792</v>
      </c>
      <c r="T2">
        <f>Data!AA10</f>
        <v>0.47517139413270781</v>
      </c>
      <c r="U2">
        <f>Data!AB10</f>
        <v>0.48303629699720335</v>
      </c>
      <c r="V2">
        <f>Data!AC10</f>
        <v>0.4884801436667851</v>
      </c>
      <c r="W2">
        <f>Data!AD10</f>
        <v>0.4922097001624065</v>
      </c>
      <c r="X2">
        <f>Data!AE10</f>
        <v>0.49474685632562987</v>
      </c>
      <c r="Y2">
        <f>Data!AF10</f>
        <v>0.49646457609119271</v>
      </c>
      <c r="Z2">
        <f>Data!AG10</f>
        <v>0.49762373988097219</v>
      </c>
      <c r="AA2">
        <f>Data!AH10</f>
        <v>0.49840425895445883</v>
      </c>
      <c r="AB2">
        <f>Data!AI10</f>
        <v>0.49892904198182053</v>
      </c>
      <c r="AC2" t="e">
        <f>Data!#REF!</f>
        <v>#REF!</v>
      </c>
    </row>
    <row r="3" spans="1:29" x14ac:dyDescent="0.35">
      <c r="A3" t="s">
        <v>2</v>
      </c>
      <c r="B3">
        <f>Data!I11</f>
        <v>9.1114481822700006E-5</v>
      </c>
      <c r="C3">
        <f>Data!J11</f>
        <v>9.1114481822700006E-5</v>
      </c>
      <c r="D3">
        <f>Data!K11</f>
        <v>9.1114481822700006E-5</v>
      </c>
      <c r="E3">
        <f>Data!L11</f>
        <v>9.1114481822700006E-5</v>
      </c>
      <c r="F3">
        <f>Data!M11</f>
        <v>9.1114481822700006E-5</v>
      </c>
      <c r="G3">
        <f>Data!N11</f>
        <v>9.1114481822700006E-5</v>
      </c>
      <c r="H3">
        <f>Data!O11</f>
        <v>9.1114481822700006E-5</v>
      </c>
      <c r="I3">
        <f>Data!P11</f>
        <v>9.1114481822700006E-5</v>
      </c>
      <c r="J3">
        <f>Data!Q11</f>
        <v>9.1114481822700006E-5</v>
      </c>
      <c r="K3">
        <f>Data!R11</f>
        <v>9.1114481822700006E-5</v>
      </c>
      <c r="L3">
        <f>Data!S11</f>
        <v>9.1114481822700006E-5</v>
      </c>
      <c r="M3">
        <f>Data!T11</f>
        <v>9.1114481822700006E-5</v>
      </c>
      <c r="N3">
        <f>Data!U11</f>
        <v>9.1114481822700006E-5</v>
      </c>
      <c r="O3">
        <f>Data!V11</f>
        <v>9.1114481822700006E-5</v>
      </c>
      <c r="P3">
        <f>Data!W11</f>
        <v>9.1114481822700006E-5</v>
      </c>
      <c r="Q3">
        <f>Data!X11</f>
        <v>9.1114481822700006E-5</v>
      </c>
      <c r="R3">
        <f>Data!Y11</f>
        <v>9.1114481822700006E-5</v>
      </c>
      <c r="S3">
        <f>Data!Z11</f>
        <v>9.1114481822700006E-5</v>
      </c>
      <c r="T3">
        <f>Data!AA11</f>
        <v>9.1114481822700006E-5</v>
      </c>
      <c r="U3">
        <f>Data!AB11</f>
        <v>9.1114481822700006E-5</v>
      </c>
      <c r="V3">
        <f>Data!AC11</f>
        <v>9.1114481822700006E-5</v>
      </c>
      <c r="W3">
        <f>Data!AD11</f>
        <v>9.1114481822700006E-5</v>
      </c>
      <c r="X3">
        <f>Data!AE11</f>
        <v>9.1114481822700006E-5</v>
      </c>
      <c r="Y3">
        <f>Data!AF11</f>
        <v>9.1114481822700006E-5</v>
      </c>
      <c r="Z3">
        <f>Data!AG11</f>
        <v>9.1114481822700006E-5</v>
      </c>
      <c r="AA3">
        <f>Data!AH11</f>
        <v>9.1114481822700006E-5</v>
      </c>
      <c r="AB3">
        <f>Data!AI11</f>
        <v>9.1114481822700006E-5</v>
      </c>
      <c r="AC3" t="e">
        <f>Data!#REF!</f>
        <v>#REF!</v>
      </c>
    </row>
    <row r="4" spans="1:29" x14ac:dyDescent="0.3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 t="e">
        <f>Data!#REF!</f>
        <v>#REF!</v>
      </c>
    </row>
    <row r="5" spans="1:29" x14ac:dyDescent="0.35">
      <c r="A5" t="s">
        <v>4</v>
      </c>
      <c r="B5">
        <f>Data!I13</f>
        <v>6.08023121013E-2</v>
      </c>
      <c r="C5">
        <f>Data!J13</f>
        <v>6.08023121013E-2</v>
      </c>
      <c r="D5">
        <f>Data!K13</f>
        <v>6.08023121013E-2</v>
      </c>
      <c r="E5">
        <f>Data!L13</f>
        <v>6.08023121013E-2</v>
      </c>
      <c r="F5">
        <f>Data!M13</f>
        <v>6.08023121013E-2</v>
      </c>
      <c r="G5">
        <f>Data!N13</f>
        <v>6.08023121013E-2</v>
      </c>
      <c r="H5">
        <f>Data!O13</f>
        <v>6.08023121013E-2</v>
      </c>
      <c r="I5">
        <f>Data!P13</f>
        <v>6.08023121013E-2</v>
      </c>
      <c r="J5">
        <f>Data!Q13</f>
        <v>6.08023121013E-2</v>
      </c>
      <c r="K5">
        <f>Data!R13</f>
        <v>6.08023121013E-2</v>
      </c>
      <c r="L5">
        <f>Data!S13</f>
        <v>6.08023121013E-2</v>
      </c>
      <c r="M5">
        <f>Data!T13</f>
        <v>6.08023121013E-2</v>
      </c>
      <c r="N5">
        <f>Data!U13</f>
        <v>6.08023121013E-2</v>
      </c>
      <c r="O5">
        <f>Data!V13</f>
        <v>6.08023121013E-2</v>
      </c>
      <c r="P5">
        <f>Data!W13</f>
        <v>6.08023121013E-2</v>
      </c>
      <c r="Q5">
        <f>Data!X13</f>
        <v>6.08023121013E-2</v>
      </c>
      <c r="R5">
        <f>Data!Y13</f>
        <v>6.08023121013E-2</v>
      </c>
      <c r="S5">
        <f>Data!Z13</f>
        <v>6.08023121013E-2</v>
      </c>
      <c r="T5">
        <f>Data!AA13</f>
        <v>6.08023121013E-2</v>
      </c>
      <c r="U5">
        <f>Data!AB13</f>
        <v>6.08023121013E-2</v>
      </c>
      <c r="V5">
        <f>Data!AC13</f>
        <v>6.08023121013E-2</v>
      </c>
      <c r="W5">
        <f>Data!AD13</f>
        <v>6.08023121013E-2</v>
      </c>
      <c r="X5">
        <f>Data!AE13</f>
        <v>6.08023121013E-2</v>
      </c>
      <c r="Y5">
        <f>Data!AF13</f>
        <v>6.08023121013E-2</v>
      </c>
      <c r="Z5">
        <f>Data!AG13</f>
        <v>6.08023121013E-2</v>
      </c>
      <c r="AA5">
        <f>Data!AH13</f>
        <v>6.08023121013E-2</v>
      </c>
      <c r="AB5">
        <f>Data!AI13</f>
        <v>6.08023121013E-2</v>
      </c>
      <c r="AC5" t="e">
        <f>Data!#REF!</f>
        <v>#REF!</v>
      </c>
    </row>
    <row r="6" spans="1:29" x14ac:dyDescent="0.35">
      <c r="A6" t="s">
        <v>5</v>
      </c>
      <c r="B6">
        <f>Data!I14</f>
        <v>1.5463740197399999E-2</v>
      </c>
      <c r="C6">
        <f>Data!J14</f>
        <v>1.5463740197399999E-2</v>
      </c>
      <c r="D6">
        <f>Data!K14</f>
        <v>2.3336940270317272E-2</v>
      </c>
      <c r="E6">
        <f>Data!L14</f>
        <v>2.7240104411371674E-2</v>
      </c>
      <c r="F6">
        <f>Data!M14</f>
        <v>3.2929173531825326E-2</v>
      </c>
      <c r="G6">
        <f>Data!N14</f>
        <v>4.105090059697207E-2</v>
      </c>
      <c r="H6">
        <f>Data!O14</f>
        <v>5.2308323901729806E-2</v>
      </c>
      <c r="I6">
        <f>Data!P14</f>
        <v>6.7290130392745701E-2</v>
      </c>
      <c r="J6">
        <f>Data!Q14</f>
        <v>8.6184580636549449E-2</v>
      </c>
      <c r="K6">
        <f>Data!R14</f>
        <v>0.10846129572320919</v>
      </c>
      <c r="L6">
        <f>Data!S14</f>
        <v>0.13273187009869999</v>
      </c>
      <c r="M6">
        <f>Data!T14</f>
        <v>0.15700244447419082</v>
      </c>
      <c r="N6">
        <f>Data!U14</f>
        <v>0.17927915956085055</v>
      </c>
      <c r="O6">
        <f>Data!V14</f>
        <v>0.19817360980465429</v>
      </c>
      <c r="P6">
        <f>Data!W14</f>
        <v>0.2131554162956702</v>
      </c>
      <c r="Q6">
        <f>Data!X14</f>
        <v>0.22441283960042793</v>
      </c>
      <c r="R6">
        <f>Data!Y14</f>
        <v>0.23253456666557468</v>
      </c>
      <c r="S6">
        <f>Data!Z14</f>
        <v>0.23822363578602834</v>
      </c>
      <c r="T6">
        <f>Data!AA14</f>
        <v>0.24212679992708275</v>
      </c>
      <c r="U6">
        <f>Data!AB14</f>
        <v>0.24476668954419437</v>
      </c>
      <c r="V6">
        <f>Data!AC14</f>
        <v>0.24653495386445468</v>
      </c>
      <c r="W6">
        <f>Data!AD14</f>
        <v>0.24771170813627313</v>
      </c>
      <c r="X6">
        <f>Data!AE14</f>
        <v>0.24849143733752424</v>
      </c>
      <c r="Y6">
        <f>Data!AF14</f>
        <v>0.24900661237439095</v>
      </c>
      <c r="Z6">
        <f>Data!AG14</f>
        <v>0.24934634833070185</v>
      </c>
      <c r="AA6">
        <f>Data!AH14</f>
        <v>0.2495701093559812</v>
      </c>
      <c r="AB6">
        <f>Data!AI14</f>
        <v>0.2497173640510624</v>
      </c>
      <c r="AC6" t="e">
        <f>Data!#REF!</f>
        <v>#REF!</v>
      </c>
    </row>
    <row r="7" spans="1:29" x14ac:dyDescent="0.35">
      <c r="A7" t="s">
        <v>86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  <c r="AC7" t="e">
        <f>Data!#REF!</f>
        <v>#REF!</v>
      </c>
    </row>
    <row r="8" spans="1:29" x14ac:dyDescent="0.35">
      <c r="A8" t="s">
        <v>87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  <c r="AC8" t="e">
        <f>Data!#REF!</f>
        <v>#REF!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Data!I17</f>
        <v>6.8939837381399999E-3</v>
      </c>
      <c r="C2">
        <f>Data!J17</f>
        <v>1.4745205504305832E-2</v>
      </c>
      <c r="D2">
        <f>Data!K17</f>
        <v>1.8423498834078463E-2</v>
      </c>
      <c r="E2">
        <f>Data!L17</f>
        <v>2.3701949678448984E-2</v>
      </c>
      <c r="F2">
        <f>Data!M17</f>
        <v>3.1143927768198666E-2</v>
      </c>
      <c r="G2">
        <f>Data!N17</f>
        <v>4.1378831028600141E-2</v>
      </c>
      <c r="H2">
        <f>Data!O17</f>
        <v>5.498427054307533E-2</v>
      </c>
      <c r="I2">
        <f>Data!P17</f>
        <v>7.2275261295201787E-2</v>
      </c>
      <c r="J2">
        <f>Data!Q17</f>
        <v>9.3037067519099306E-2</v>
      </c>
      <c r="K2">
        <f>Data!R17</f>
        <v>0.11633204730802928</v>
      </c>
      <c r="L2">
        <f>Data!S17</f>
        <v>0.14056193643011078</v>
      </c>
      <c r="M2">
        <f>Data!T17</f>
        <v>0.16385691621904069</v>
      </c>
      <c r="N2">
        <f>Data!U17</f>
        <v>0.18461872244293825</v>
      </c>
      <c r="O2">
        <f>Data!V17</f>
        <v>0.20190971319506468</v>
      </c>
      <c r="P2">
        <f>Data!W17</f>
        <v>0.21551515270953986</v>
      </c>
      <c r="Q2">
        <f>Data!X17</f>
        <v>0.22575005596994135</v>
      </c>
      <c r="R2">
        <f>Data!Y17</f>
        <v>0.23319203405969108</v>
      </c>
      <c r="S2">
        <f>Data!Z17</f>
        <v>0.23847048490406159</v>
      </c>
      <c r="T2">
        <f>Data!AA17</f>
        <v>0.24214877823383418</v>
      </c>
      <c r="U2">
        <f>Data!AB17</f>
        <v>0.24468053139197088</v>
      </c>
      <c r="V2">
        <f>Data!AC17</f>
        <v>0.24640834401092193</v>
      </c>
      <c r="W2">
        <f>Data!AD17</f>
        <v>0.24758065709350957</v>
      </c>
      <c r="X2">
        <f>Data!AE17</f>
        <v>0.24837292767436264</v>
      </c>
      <c r="Y2">
        <f>Data!AF17</f>
        <v>0.2489069289438185</v>
      </c>
      <c r="Z2">
        <f>Data!AG17</f>
        <v>0.24926620483188039</v>
      </c>
      <c r="AA2">
        <f>Data!AH17</f>
        <v>0.24950763242856416</v>
      </c>
      <c r="AB2">
        <f>Data!AI17</f>
        <v>0.24966973562683897</v>
      </c>
      <c r="AC2" t="e">
        <f>Data!#REF!</f>
        <v>#REF!</v>
      </c>
      <c r="AD2">
        <f>Data!AJ17</f>
        <v>0</v>
      </c>
      <c r="AE2">
        <f>Data!AK17</f>
        <v>0</v>
      </c>
    </row>
    <row r="3" spans="1:31" x14ac:dyDescent="0.3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  <c r="AC3" t="e">
        <f>Data!#REF!</f>
        <v>#REF!</v>
      </c>
      <c r="AD3">
        <f>Data!AJ18</f>
        <v>0</v>
      </c>
      <c r="AE3">
        <f>Data!AK18</f>
        <v>0</v>
      </c>
    </row>
    <row r="4" spans="1:31" x14ac:dyDescent="0.35">
      <c r="A4" t="s">
        <v>3</v>
      </c>
      <c r="B4">
        <f>Data!I19</f>
        <v>0.67797888423399999</v>
      </c>
      <c r="C4">
        <f>Data!J19</f>
        <v>0.67797888423399999</v>
      </c>
      <c r="D4">
        <f>Data!K19</f>
        <v>0.67797888423399999</v>
      </c>
      <c r="E4">
        <f>Data!L19</f>
        <v>0.67797888423399999</v>
      </c>
      <c r="F4">
        <f>Data!M19</f>
        <v>0.67797888423399999</v>
      </c>
      <c r="G4">
        <f>Data!N19</f>
        <v>0.67797888423399999</v>
      </c>
      <c r="H4">
        <f>Data!O19</f>
        <v>0.67797888423399999</v>
      </c>
      <c r="I4">
        <f>Data!P19</f>
        <v>0.67797888423399999</v>
      </c>
      <c r="J4">
        <f>Data!Q19</f>
        <v>0.67797888423399999</v>
      </c>
      <c r="K4">
        <f>Data!R19</f>
        <v>0.67797888423399999</v>
      </c>
      <c r="L4">
        <f>Data!S19</f>
        <v>0.67797888423399999</v>
      </c>
      <c r="M4">
        <f>Data!T19</f>
        <v>0.67797888423399999</v>
      </c>
      <c r="N4">
        <f>Data!U19</f>
        <v>0.67797888423399999</v>
      </c>
      <c r="O4">
        <f>Data!V19</f>
        <v>0.67797888423399999</v>
      </c>
      <c r="P4">
        <f>Data!W19</f>
        <v>0.67797888423399999</v>
      </c>
      <c r="Q4">
        <f>Data!X19</f>
        <v>0.67797888423399999</v>
      </c>
      <c r="R4">
        <f>Data!Y19</f>
        <v>0.67797888423399999</v>
      </c>
      <c r="S4">
        <f>Data!Z19</f>
        <v>0.67797888423399999</v>
      </c>
      <c r="T4">
        <f>Data!AA19</f>
        <v>0.67797888423399999</v>
      </c>
      <c r="U4">
        <f>Data!AB19</f>
        <v>0.67797888423399999</v>
      </c>
      <c r="V4">
        <f>Data!AC19</f>
        <v>0.67797888423399999</v>
      </c>
      <c r="W4">
        <f>Data!AD19</f>
        <v>0.67797888423399999</v>
      </c>
      <c r="X4">
        <f>Data!AE19</f>
        <v>0.67797888423399999</v>
      </c>
      <c r="Y4">
        <f>Data!AF19</f>
        <v>0.67797888423399999</v>
      </c>
      <c r="Z4">
        <f>Data!AG19</f>
        <v>0.67797888423399999</v>
      </c>
      <c r="AA4">
        <f>Data!AH19</f>
        <v>0.67797888423399999</v>
      </c>
      <c r="AB4">
        <f>Data!AI19</f>
        <v>0.67797888423399999</v>
      </c>
      <c r="AC4" t="e">
        <f>Data!#REF!</f>
        <v>#REF!</v>
      </c>
      <c r="AD4">
        <f>Data!AJ19</f>
        <v>0</v>
      </c>
      <c r="AE4">
        <f>Data!AK19</f>
        <v>0</v>
      </c>
    </row>
    <row r="5" spans="1:31" x14ac:dyDescent="0.3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 t="e">
        <f>Data!#REF!</f>
        <v>#REF!</v>
      </c>
      <c r="AD5">
        <f>Data!AJ20</f>
        <v>0</v>
      </c>
      <c r="AE5">
        <f>Data!AK20</f>
        <v>0</v>
      </c>
    </row>
    <row r="6" spans="1:31" x14ac:dyDescent="0.35">
      <c r="A6" t="s">
        <v>5</v>
      </c>
      <c r="B6">
        <f>Data!I21</f>
        <v>4.2783868328800001E-4</v>
      </c>
      <c r="C6">
        <f>Data!J21</f>
        <v>4.2783868328800001E-4</v>
      </c>
      <c r="D6">
        <f>Data!K21</f>
        <v>4.2783868328800001E-4</v>
      </c>
      <c r="E6">
        <f>Data!L21</f>
        <v>4.2783868328800001E-4</v>
      </c>
      <c r="F6">
        <f>Data!M21</f>
        <v>4.2783868328800001E-4</v>
      </c>
      <c r="G6">
        <f>Data!N21</f>
        <v>4.2783868328800001E-4</v>
      </c>
      <c r="H6">
        <f>Data!O21</f>
        <v>4.2783868328800001E-4</v>
      </c>
      <c r="I6">
        <f>Data!P21</f>
        <v>4.2783868328800001E-4</v>
      </c>
      <c r="J6">
        <f>Data!Q21</f>
        <v>4.2783868328800001E-4</v>
      </c>
      <c r="K6">
        <f>Data!R21</f>
        <v>4.2783868328800001E-4</v>
      </c>
      <c r="L6">
        <f>Data!S21</f>
        <v>4.2783868328800001E-4</v>
      </c>
      <c r="M6">
        <f>Data!T21</f>
        <v>4.2783868328800001E-4</v>
      </c>
      <c r="N6">
        <f>Data!U21</f>
        <v>4.2783868328800001E-4</v>
      </c>
      <c r="O6">
        <f>Data!V21</f>
        <v>4.2783868328800001E-4</v>
      </c>
      <c r="P6">
        <f>Data!W21</f>
        <v>4.2783868328800001E-4</v>
      </c>
      <c r="Q6">
        <f>Data!X21</f>
        <v>4.2783868328800001E-4</v>
      </c>
      <c r="R6">
        <f>Data!Y21</f>
        <v>4.2783868328800001E-4</v>
      </c>
      <c r="S6">
        <f>Data!Z21</f>
        <v>4.2783868328800001E-4</v>
      </c>
      <c r="T6">
        <f>Data!AA21</f>
        <v>4.2783868328800001E-4</v>
      </c>
      <c r="U6">
        <f>Data!AB21</f>
        <v>4.2783868328800001E-4</v>
      </c>
      <c r="V6">
        <f>Data!AC21</f>
        <v>4.2783868328800001E-4</v>
      </c>
      <c r="W6">
        <f>Data!AD21</f>
        <v>4.2783868328800001E-4</v>
      </c>
      <c r="X6">
        <f>Data!AE21</f>
        <v>4.2783868328800001E-4</v>
      </c>
      <c r="Y6">
        <f>Data!AF21</f>
        <v>4.2783868328800001E-4</v>
      </c>
      <c r="Z6">
        <f>Data!AG21</f>
        <v>4.2783868328800001E-4</v>
      </c>
      <c r="AA6">
        <f>Data!AH21</f>
        <v>4.2783868328800001E-4</v>
      </c>
      <c r="AB6">
        <f>Data!AI21</f>
        <v>4.2783868328800001E-4</v>
      </c>
      <c r="AC6" t="e">
        <f>Data!#REF!</f>
        <v>#REF!</v>
      </c>
      <c r="AD6">
        <f>Data!AJ21</f>
        <v>0</v>
      </c>
      <c r="AE6">
        <f>Data!AK21</f>
        <v>0</v>
      </c>
    </row>
    <row r="7" spans="1:31" x14ac:dyDescent="0.35">
      <c r="A7" t="s">
        <v>86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  <c r="AC7" t="e">
        <f>Data!#REF!</f>
        <v>#REF!</v>
      </c>
      <c r="AD7">
        <f>Data!AJ22</f>
        <v>0</v>
      </c>
      <c r="AE7">
        <f>Data!AK22</f>
        <v>0</v>
      </c>
    </row>
    <row r="8" spans="1:31" x14ac:dyDescent="0.35">
      <c r="A8" t="s">
        <v>87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  <c r="AC8" t="e">
        <f>Data!#REF!</f>
        <v>#REF!</v>
      </c>
      <c r="AD8">
        <f>Data!AJ23</f>
        <v>0</v>
      </c>
      <c r="AE8">
        <f>Data!AK23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Data!I24</f>
        <v>0.154617049501</v>
      </c>
      <c r="C2">
        <f>Data!J24</f>
        <v>0.17679125251200001</v>
      </c>
      <c r="D2">
        <f>Data!K24</f>
        <v>0.19868613028135812</v>
      </c>
      <c r="E2">
        <f>Data!L24</f>
        <v>0.20903281811998659</v>
      </c>
      <c r="F2">
        <f>Data!M24</f>
        <v>0.22398101555448952</v>
      </c>
      <c r="G2">
        <f>Data!N24</f>
        <v>0.2452597438179614</v>
      </c>
      <c r="H2">
        <f>Data!O24</f>
        <v>0.27492014064673714</v>
      </c>
      <c r="I2">
        <f>Data!P24</f>
        <v>0.31507518728691364</v>
      </c>
      <c r="J2">
        <f>Data!Q24</f>
        <v>0.36734367556228731</v>
      </c>
      <c r="K2">
        <f>Data!R24</f>
        <v>0.43200697159225543</v>
      </c>
      <c r="L2">
        <f>Data!S24</f>
        <v>0.5071550811823069</v>
      </c>
      <c r="M2">
        <f>Data!T24</f>
        <v>0.58839562625599995</v>
      </c>
      <c r="N2">
        <f>Data!U24</f>
        <v>0.669636171329693</v>
      </c>
      <c r="O2">
        <f>Data!V24</f>
        <v>0.74478428091974458</v>
      </c>
      <c r="P2">
        <f>Data!W24</f>
        <v>0.8094475769497127</v>
      </c>
      <c r="Q2">
        <f>Data!X24</f>
        <v>0.86171606522508637</v>
      </c>
      <c r="R2">
        <f>Data!Y24</f>
        <v>0.90187111186526281</v>
      </c>
      <c r="S2">
        <f>Data!Z24</f>
        <v>0.93153150869403867</v>
      </c>
      <c r="T2">
        <f>Data!AA24</f>
        <v>0.95281023695751044</v>
      </c>
      <c r="U2">
        <f>Data!AB24</f>
        <v>0.96775843439201348</v>
      </c>
      <c r="V2">
        <f>Data!AC24</f>
        <v>0.97810512223064183</v>
      </c>
      <c r="W2">
        <f>Data!AD24</f>
        <v>0.98519359462505041</v>
      </c>
      <c r="X2">
        <f>Data!AE24</f>
        <v>0.99001576622760601</v>
      </c>
      <c r="Y2">
        <f>Data!AF24</f>
        <v>0.99328050002472557</v>
      </c>
      <c r="Z2">
        <f>Data!AG24</f>
        <v>0.99548363075463853</v>
      </c>
      <c r="AA2">
        <f>Data!AH24</f>
        <v>0.99696710148694001</v>
      </c>
      <c r="AB2">
        <f>Data!AI24</f>
        <v>0.99796451498821692</v>
      </c>
      <c r="AC2" t="e">
        <f>Data!#REF!</f>
        <v>#REF!</v>
      </c>
      <c r="AD2">
        <f>Data!AJ24</f>
        <v>0</v>
      </c>
      <c r="AE2">
        <f>Data!AK24</f>
        <v>0</v>
      </c>
    </row>
    <row r="3" spans="1:31" x14ac:dyDescent="0.3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  <c r="AC3" t="e">
        <f>Data!#REF!</f>
        <v>#REF!</v>
      </c>
      <c r="AD3">
        <f>Data!AJ25</f>
        <v>0</v>
      </c>
      <c r="AE3">
        <f>Data!AK25</f>
        <v>0</v>
      </c>
    </row>
    <row r="4" spans="1:31" x14ac:dyDescent="0.3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  <c r="AC4" t="e">
        <f>Data!#REF!</f>
        <v>#REF!</v>
      </c>
      <c r="AD4">
        <f>Data!AJ26</f>
        <v>0</v>
      </c>
      <c r="AE4">
        <f>Data!AK26</f>
        <v>0</v>
      </c>
    </row>
    <row r="5" spans="1:31" x14ac:dyDescent="0.3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 t="e">
        <f>Data!#REF!</f>
        <v>#REF!</v>
      </c>
      <c r="AD5">
        <f>Data!AJ27</f>
        <v>0</v>
      </c>
      <c r="AE5">
        <f>Data!AK27</f>
        <v>0</v>
      </c>
    </row>
    <row r="6" spans="1:31" x14ac:dyDescent="0.3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  <c r="AC6" t="e">
        <f>Data!#REF!</f>
        <v>#REF!</v>
      </c>
      <c r="AD6">
        <f>Data!AJ28</f>
        <v>0</v>
      </c>
      <c r="AE6">
        <f>Data!AK28</f>
        <v>0</v>
      </c>
    </row>
    <row r="7" spans="1:31" x14ac:dyDescent="0.35">
      <c r="A7" t="s">
        <v>86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  <c r="AC7" t="e">
        <f>Data!#REF!</f>
        <v>#REF!</v>
      </c>
      <c r="AD7">
        <f>Data!AJ29</f>
        <v>0</v>
      </c>
      <c r="AE7">
        <f>Data!AK29</f>
        <v>0</v>
      </c>
    </row>
    <row r="8" spans="1:31" x14ac:dyDescent="0.35">
      <c r="A8" t="s">
        <v>87</v>
      </c>
      <c r="B8">
        <f>Data!I30</f>
        <v>6.7718615476299995E-2</v>
      </c>
      <c r="C8">
        <f>Data!J30</f>
        <v>6.7718615476299995E-2</v>
      </c>
      <c r="D8">
        <f>Data!K30</f>
        <v>6.7718615476299995E-2</v>
      </c>
      <c r="E8">
        <f>Data!L30</f>
        <v>6.7718615476299995E-2</v>
      </c>
      <c r="F8">
        <f>Data!M30</f>
        <v>6.7718615476299995E-2</v>
      </c>
      <c r="G8">
        <f>Data!N30</f>
        <v>6.7718615476299995E-2</v>
      </c>
      <c r="H8">
        <f>Data!O30</f>
        <v>6.7718615476299995E-2</v>
      </c>
      <c r="I8">
        <f>Data!P30</f>
        <v>6.7718615476299995E-2</v>
      </c>
      <c r="J8">
        <f>Data!Q30</f>
        <v>6.7718615476299995E-2</v>
      </c>
      <c r="K8">
        <f>Data!R30</f>
        <v>6.7718615476299995E-2</v>
      </c>
      <c r="L8">
        <f>Data!S30</f>
        <v>6.7718615476299995E-2</v>
      </c>
      <c r="M8">
        <f>Data!T30</f>
        <v>6.7718615476299995E-2</v>
      </c>
      <c r="N8">
        <f>Data!U30</f>
        <v>6.7718615476299995E-2</v>
      </c>
      <c r="O8">
        <f>Data!V30</f>
        <v>6.7718615476299995E-2</v>
      </c>
      <c r="P8">
        <f>Data!W30</f>
        <v>6.7718615476299995E-2</v>
      </c>
      <c r="Q8">
        <f>Data!X30</f>
        <v>6.7718615476299995E-2</v>
      </c>
      <c r="R8">
        <f>Data!Y30</f>
        <v>6.7718615476299995E-2</v>
      </c>
      <c r="S8">
        <f>Data!Z30</f>
        <v>6.7718615476299995E-2</v>
      </c>
      <c r="T8">
        <f>Data!AA30</f>
        <v>6.7718615476299995E-2</v>
      </c>
      <c r="U8">
        <f>Data!AB30</f>
        <v>6.7718615476299995E-2</v>
      </c>
      <c r="V8">
        <f>Data!AC30</f>
        <v>6.7718615476299995E-2</v>
      </c>
      <c r="W8">
        <f>Data!AD30</f>
        <v>6.7718615476299995E-2</v>
      </c>
      <c r="X8">
        <f>Data!AE30</f>
        <v>6.7718615476299995E-2</v>
      </c>
      <c r="Y8">
        <f>Data!AF30</f>
        <v>6.7718615476299995E-2</v>
      </c>
      <c r="Z8">
        <f>Data!AG30</f>
        <v>6.7718615476299995E-2</v>
      </c>
      <c r="AA8">
        <f>Data!AH30</f>
        <v>6.7718615476299995E-2</v>
      </c>
      <c r="AB8">
        <f>Data!AI30</f>
        <v>6.7718615476299995E-2</v>
      </c>
      <c r="AC8" t="e">
        <f>Data!#REF!</f>
        <v>#REF!</v>
      </c>
      <c r="AD8">
        <f>Data!AJ30</f>
        <v>0</v>
      </c>
      <c r="AE8">
        <f>Data!AK30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Data!I31</f>
        <v>3.7809614281599999E-3</v>
      </c>
      <c r="C2">
        <f>Data!J31</f>
        <v>4.5258766443191352E-3</v>
      </c>
      <c r="D2">
        <f>Data!K31</f>
        <v>4.2330423759352146E-3</v>
      </c>
      <c r="E2">
        <f>Data!L31</f>
        <v>4.5258766443191352E-3</v>
      </c>
      <c r="F2">
        <f>Data!M31</f>
        <v>5.0079241136957754E-3</v>
      </c>
      <c r="G2">
        <f>Data!N31</f>
        <v>5.8006412523969614E-3</v>
      </c>
      <c r="H2">
        <f>Data!O31</f>
        <v>7.1020814791132817E-3</v>
      </c>
      <c r="I2">
        <f>Data!P31</f>
        <v>9.232891537156911E-3</v>
      </c>
      <c r="J2">
        <f>Data!Q31</f>
        <v>1.2706061243100324E-2</v>
      </c>
      <c r="K2">
        <f>Data!R31</f>
        <v>1.8326248389993957E-2</v>
      </c>
      <c r="L2">
        <f>Data!S31</f>
        <v>2.7314582619762204E-2</v>
      </c>
      <c r="M2">
        <f>Data!T31</f>
        <v>4.1423234586111038E-2</v>
      </c>
      <c r="N2">
        <f>Data!U31</f>
        <v>6.2931720788929196E-2</v>
      </c>
      <c r="O2">
        <f>Data!V31</f>
        <v>9.4303979462314474E-2</v>
      </c>
      <c r="P2">
        <f>Data!W31</f>
        <v>0.1372348149725231</v>
      </c>
      <c r="Q2">
        <f>Data!X31</f>
        <v>0.19112382912094522</v>
      </c>
      <c r="R2">
        <f>Data!Y31</f>
        <v>0.25189048071407999</v>
      </c>
      <c r="S2">
        <f>Data!Z31</f>
        <v>0.31265713230721481</v>
      </c>
      <c r="T2">
        <f>Data!AA31</f>
        <v>0.36654614645563693</v>
      </c>
      <c r="U2">
        <f>Data!AB31</f>
        <v>0.40947698196584553</v>
      </c>
      <c r="V2">
        <f>Data!AC31</f>
        <v>0.44084924063923075</v>
      </c>
      <c r="W2">
        <f>Data!AD31</f>
        <v>0.46235772684204901</v>
      </c>
      <c r="X2">
        <f>Data!AE31</f>
        <v>0.47646637880839782</v>
      </c>
      <c r="Y2">
        <f>Data!AF31</f>
        <v>0.48545471303816601</v>
      </c>
      <c r="Z2">
        <f>Data!AG31</f>
        <v>0.49107490018505967</v>
      </c>
      <c r="AA2">
        <f>Data!AH31</f>
        <v>0.49454806989100308</v>
      </c>
      <c r="AB2">
        <f>Data!AI31</f>
        <v>0.49667887994904675</v>
      </c>
      <c r="AC2" t="e">
        <f>Data!#REF!</f>
        <v>#REF!</v>
      </c>
      <c r="AD2">
        <f>Data!AJ31</f>
        <v>0</v>
      </c>
      <c r="AE2">
        <f>Data!AK31</f>
        <v>0</v>
      </c>
    </row>
    <row r="3" spans="1:31" x14ac:dyDescent="0.3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  <c r="AC3" t="e">
        <f>Data!#REF!</f>
        <v>#REF!</v>
      </c>
      <c r="AD3">
        <f>Data!AJ32</f>
        <v>0</v>
      </c>
      <c r="AE3">
        <f>Data!AK32</f>
        <v>0</v>
      </c>
    </row>
    <row r="4" spans="1:31" x14ac:dyDescent="0.3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 t="e">
        <f>Data!#REF!</f>
        <v>#REF!</v>
      </c>
      <c r="AD4">
        <f>Data!AJ33</f>
        <v>0</v>
      </c>
      <c r="AE4">
        <f>Data!AK33</f>
        <v>0</v>
      </c>
    </row>
    <row r="5" spans="1:31" x14ac:dyDescent="0.3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  <c r="AC5" t="e">
        <f>Data!#REF!</f>
        <v>#REF!</v>
      </c>
      <c r="AD5">
        <f>Data!AJ34</f>
        <v>0</v>
      </c>
      <c r="AE5">
        <f>Data!AK34</f>
        <v>0</v>
      </c>
    </row>
    <row r="6" spans="1:31" x14ac:dyDescent="0.3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  <c r="AC6" t="e">
        <f>Data!#REF!</f>
        <v>#REF!</v>
      </c>
      <c r="AD6">
        <f>Data!AJ35</f>
        <v>0</v>
      </c>
      <c r="AE6">
        <f>Data!AK35</f>
        <v>0</v>
      </c>
    </row>
    <row r="7" spans="1:31" x14ac:dyDescent="0.35">
      <c r="A7" t="s">
        <v>86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  <c r="AC7" t="e">
        <f>Data!#REF!</f>
        <v>#REF!</v>
      </c>
      <c r="AD7">
        <f>Data!AJ36</f>
        <v>0</v>
      </c>
      <c r="AE7">
        <f>Data!AK36</f>
        <v>0</v>
      </c>
    </row>
    <row r="8" spans="1:31" x14ac:dyDescent="0.35">
      <c r="A8" t="s">
        <v>87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  <c r="AC8" t="e">
        <f>Data!#REF!</f>
        <v>#REF!</v>
      </c>
      <c r="AD8">
        <f>Data!AJ37</f>
        <v>0</v>
      </c>
      <c r="AE8">
        <f>Data!AK37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 t="e">
        <f>Data!#REF!</f>
        <v>#REF!</v>
      </c>
      <c r="AD2">
        <f>Data!AJ38</f>
        <v>0</v>
      </c>
      <c r="AE2">
        <f>Data!AK38</f>
        <v>0</v>
      </c>
    </row>
    <row r="3" spans="1:31" x14ac:dyDescent="0.3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 t="e">
        <f>Data!#REF!</f>
        <v>#REF!</v>
      </c>
      <c r="AD3">
        <f>Data!AJ39</f>
        <v>0</v>
      </c>
      <c r="AE3">
        <f>Data!AK39</f>
        <v>0</v>
      </c>
    </row>
    <row r="4" spans="1:31" x14ac:dyDescent="0.3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 t="e">
        <f>Data!#REF!</f>
        <v>#REF!</v>
      </c>
      <c r="AD4">
        <f>Data!AJ40</f>
        <v>0</v>
      </c>
      <c r="AE4">
        <f>Data!AK40</f>
        <v>0</v>
      </c>
    </row>
    <row r="5" spans="1:31" x14ac:dyDescent="0.3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 t="e">
        <f>Data!#REF!</f>
        <v>#REF!</v>
      </c>
      <c r="AD5">
        <f>Data!AJ41</f>
        <v>0</v>
      </c>
      <c r="AE5">
        <f>Data!AK41</f>
        <v>0</v>
      </c>
    </row>
    <row r="6" spans="1:31" x14ac:dyDescent="0.3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 t="e">
        <f>Data!#REF!</f>
        <v>#REF!</v>
      </c>
      <c r="AD6">
        <f>Data!AJ42</f>
        <v>0</v>
      </c>
      <c r="AE6">
        <f>Data!AK42</f>
        <v>0</v>
      </c>
    </row>
    <row r="7" spans="1:31" x14ac:dyDescent="0.35">
      <c r="A7" t="s">
        <v>86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 t="e">
        <f>Data!#REF!</f>
        <v>#REF!</v>
      </c>
      <c r="AD7">
        <f>Data!AJ43</f>
        <v>0</v>
      </c>
      <c r="AE7">
        <f>Data!AK43</f>
        <v>0</v>
      </c>
    </row>
    <row r="8" spans="1:31" x14ac:dyDescent="0.35">
      <c r="A8" t="s">
        <v>87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 t="e">
        <f>Data!#REF!</f>
        <v>#REF!</v>
      </c>
      <c r="AD8">
        <f>Data!AJ44</f>
        <v>0</v>
      </c>
      <c r="AE8">
        <f>Data!AK44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 t="e">
        <f>Data!#REF!</f>
        <v>#REF!</v>
      </c>
      <c r="AD2">
        <f>Data!AJ45</f>
        <v>0</v>
      </c>
      <c r="AE2">
        <f>Data!AK45</f>
        <v>0</v>
      </c>
    </row>
    <row r="3" spans="1:31" x14ac:dyDescent="0.3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 t="e">
        <f>Data!#REF!</f>
        <v>#REF!</v>
      </c>
      <c r="AD3">
        <f>Data!AJ46</f>
        <v>0</v>
      </c>
      <c r="AE3">
        <f>Data!AK46</f>
        <v>0</v>
      </c>
    </row>
    <row r="4" spans="1:31" x14ac:dyDescent="0.3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 t="e">
        <f>Data!#REF!</f>
        <v>#REF!</v>
      </c>
      <c r="AD4">
        <f>Data!AJ47</f>
        <v>0</v>
      </c>
      <c r="AE4">
        <f>Data!AK47</f>
        <v>0</v>
      </c>
    </row>
    <row r="5" spans="1:31" x14ac:dyDescent="0.3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 t="e">
        <f>Data!#REF!</f>
        <v>#REF!</v>
      </c>
      <c r="AD5">
        <f>Data!AJ48</f>
        <v>0</v>
      </c>
      <c r="AE5">
        <f>Data!AK48</f>
        <v>0</v>
      </c>
    </row>
    <row r="6" spans="1:31" x14ac:dyDescent="0.3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 t="e">
        <f>Data!#REF!</f>
        <v>#REF!</v>
      </c>
      <c r="AD6">
        <f>Data!AJ49</f>
        <v>0</v>
      </c>
      <c r="AE6">
        <f>Data!AK49</f>
        <v>0</v>
      </c>
    </row>
    <row r="7" spans="1:31" x14ac:dyDescent="0.35">
      <c r="A7" t="s">
        <v>86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 t="e">
        <f>Data!#REF!</f>
        <v>#REF!</v>
      </c>
      <c r="AD7">
        <f>Data!AJ50</f>
        <v>0</v>
      </c>
      <c r="AE7">
        <f>Data!AK50</f>
        <v>0</v>
      </c>
    </row>
    <row r="8" spans="1:31" x14ac:dyDescent="0.35">
      <c r="A8" t="s">
        <v>87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 t="e">
        <f>Data!#REF!</f>
        <v>#REF!</v>
      </c>
      <c r="AD8">
        <f>Data!AJ51</f>
        <v>0</v>
      </c>
      <c r="AE8">
        <f>Data!AK51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A5" sqref="A5"/>
    </sheetView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  <c r="AC2" t="e">
        <f>Data!#REF!</f>
        <v>#REF!</v>
      </c>
      <c r="AD2">
        <f>Data!AJ52</f>
        <v>0</v>
      </c>
      <c r="AE2">
        <f>Data!AK52</f>
        <v>0</v>
      </c>
    </row>
    <row r="3" spans="1:31" x14ac:dyDescent="0.3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 t="e">
        <f>Data!#REF!</f>
        <v>#REF!</v>
      </c>
      <c r="AD3">
        <f>Data!AJ53</f>
        <v>0</v>
      </c>
      <c r="AE3">
        <f>Data!AK53</f>
        <v>0</v>
      </c>
    </row>
    <row r="4" spans="1:31" x14ac:dyDescent="0.3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 t="e">
        <f>Data!#REF!</f>
        <v>#REF!</v>
      </c>
      <c r="AD4">
        <f>Data!AJ54</f>
        <v>0</v>
      </c>
      <c r="AE4">
        <f>Data!AK54</f>
        <v>0</v>
      </c>
    </row>
    <row r="5" spans="1:31" x14ac:dyDescent="0.35">
      <c r="A5" t="s">
        <v>4</v>
      </c>
      <c r="B5">
        <f>Data!I55</f>
        <v>6.3351831898551425E-2</v>
      </c>
      <c r="C5">
        <f>Data!J55</f>
        <v>6.3351831898557975E-2</v>
      </c>
      <c r="D5">
        <f>Data!K55</f>
        <v>0.10081775862262532</v>
      </c>
      <c r="E5">
        <f>Data!L55</f>
        <v>0.13828368534667845</v>
      </c>
      <c r="F5">
        <f>Data!M55</f>
        <v>0.17574961207073159</v>
      </c>
      <c r="G5">
        <f>Data!N55</f>
        <v>0.21321553879479893</v>
      </c>
      <c r="H5">
        <f>Data!O55</f>
        <v>0.25068146551885206</v>
      </c>
      <c r="I5">
        <f>Data!P55</f>
        <v>0.2881473922429052</v>
      </c>
      <c r="J5">
        <f>Data!Q55</f>
        <v>0.32561331896697254</v>
      </c>
      <c r="K5">
        <f>Data!R55</f>
        <v>0.36307924569102568</v>
      </c>
      <c r="L5">
        <f>Data!S55</f>
        <v>0.40054517241507881</v>
      </c>
      <c r="M5">
        <f>Data!T55</f>
        <v>0.43801109913914615</v>
      </c>
      <c r="N5">
        <f>Data!U55</f>
        <v>0.47547702586319929</v>
      </c>
      <c r="O5">
        <f>Data!V55</f>
        <v>0.51294295258725242</v>
      </c>
      <c r="P5">
        <f>Data!W55</f>
        <v>0.55040887931131977</v>
      </c>
      <c r="Q5">
        <f>Data!X55</f>
        <v>0.5878748060353729</v>
      </c>
      <c r="R5">
        <f>Data!Y55</f>
        <v>0.62534073275942603</v>
      </c>
      <c r="S5">
        <f>Data!Z55</f>
        <v>0.66280665948349338</v>
      </c>
      <c r="T5">
        <f>Data!AA55</f>
        <v>0.70027258620754651</v>
      </c>
      <c r="U5">
        <f>Data!AB55</f>
        <v>0.73773851293159964</v>
      </c>
      <c r="V5">
        <f>Data!AC55</f>
        <v>0.77520443965566699</v>
      </c>
      <c r="W5">
        <f>Data!AD55</f>
        <v>0.81267036637972012</v>
      </c>
      <c r="X5">
        <f>Data!AE55</f>
        <v>0.85013629310377326</v>
      </c>
      <c r="Y5">
        <f>Data!AF55</f>
        <v>0.8876022198278406</v>
      </c>
      <c r="Z5">
        <f>Data!AG55</f>
        <v>0.92506814655189373</v>
      </c>
      <c r="AA5">
        <f>Data!AH55</f>
        <v>0.96253407327594687</v>
      </c>
      <c r="AB5">
        <f>Data!AI55</f>
        <v>1.0000000000000142</v>
      </c>
      <c r="AC5" t="e">
        <f>Data!#REF!</f>
        <v>#REF!</v>
      </c>
      <c r="AD5">
        <f>Data!AJ55</f>
        <v>0</v>
      </c>
      <c r="AE5">
        <f>Data!AK55</f>
        <v>0</v>
      </c>
    </row>
    <row r="6" spans="1:31" x14ac:dyDescent="0.3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 t="e">
        <f>Data!#REF!</f>
        <v>#REF!</v>
      </c>
      <c r="AD6">
        <f>Data!AJ56</f>
        <v>0</v>
      </c>
      <c r="AE6">
        <f>Data!AK56</f>
        <v>0</v>
      </c>
    </row>
    <row r="7" spans="1:31" x14ac:dyDescent="0.35">
      <c r="A7" t="s">
        <v>86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 t="e">
        <f>Data!#REF!</f>
        <v>#REF!</v>
      </c>
      <c r="AD7">
        <f>Data!AJ57</f>
        <v>0</v>
      </c>
      <c r="AE7">
        <f>Data!AK57</f>
        <v>0</v>
      </c>
    </row>
    <row r="8" spans="1:31" x14ac:dyDescent="0.35">
      <c r="A8" t="s">
        <v>87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 t="e">
        <f>Data!#REF!</f>
        <v>#REF!</v>
      </c>
      <c r="AD8">
        <f>Data!AJ58</f>
        <v>0</v>
      </c>
      <c r="AE8">
        <f>Data!AK58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 t="e">
        <f>Data!#REF!</f>
        <v>#REF!</v>
      </c>
      <c r="AD2">
        <f>Data!AJ59</f>
        <v>0</v>
      </c>
      <c r="AE2">
        <f>Data!AK59</f>
        <v>0</v>
      </c>
    </row>
    <row r="3" spans="1:31" x14ac:dyDescent="0.3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 t="e">
        <f>Data!#REF!</f>
        <v>#REF!</v>
      </c>
      <c r="AD3">
        <f>Data!AJ60</f>
        <v>0</v>
      </c>
      <c r="AE3">
        <f>Data!AK60</f>
        <v>0</v>
      </c>
    </row>
    <row r="4" spans="1:31" x14ac:dyDescent="0.3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 t="e">
        <f>Data!#REF!</f>
        <v>#REF!</v>
      </c>
      <c r="AD4">
        <f>Data!AJ61</f>
        <v>0</v>
      </c>
      <c r="AE4">
        <f>Data!AK61</f>
        <v>0</v>
      </c>
    </row>
    <row r="5" spans="1:31" x14ac:dyDescent="0.3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 t="e">
        <f>Data!#REF!</f>
        <v>#REF!</v>
      </c>
      <c r="AD5">
        <f>Data!AJ62</f>
        <v>0</v>
      </c>
      <c r="AE5">
        <f>Data!AK62</f>
        <v>0</v>
      </c>
    </row>
    <row r="6" spans="1:31" x14ac:dyDescent="0.3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 t="e">
        <f>Data!#REF!</f>
        <v>#REF!</v>
      </c>
      <c r="AD6">
        <f>Data!AJ63</f>
        <v>0</v>
      </c>
      <c r="AE6">
        <f>Data!AK63</f>
        <v>0</v>
      </c>
    </row>
    <row r="7" spans="1:31" x14ac:dyDescent="0.35">
      <c r="A7" t="s">
        <v>86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 t="e">
        <f>Data!#REF!</f>
        <v>#REF!</v>
      </c>
      <c r="AD7">
        <f>Data!AJ64</f>
        <v>0</v>
      </c>
      <c r="AE7">
        <f>Data!AK64</f>
        <v>0</v>
      </c>
    </row>
    <row r="8" spans="1:31" x14ac:dyDescent="0.35">
      <c r="A8" t="s">
        <v>87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 t="e">
        <f>Data!#REF!</f>
        <v>#REF!</v>
      </c>
      <c r="AD8">
        <f>Data!AJ65</f>
        <v>0</v>
      </c>
      <c r="AE8">
        <f>Data!AK65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 t="e">
        <f>Data!#REF!</f>
        <v>#REF!</v>
      </c>
      <c r="AD2">
        <f>Data!AJ66</f>
        <v>0</v>
      </c>
      <c r="AE2">
        <f>Data!AK66</f>
        <v>0</v>
      </c>
    </row>
    <row r="3" spans="1:31" x14ac:dyDescent="0.3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 t="e">
        <f>Data!#REF!</f>
        <v>#REF!</v>
      </c>
      <c r="AD3">
        <f>Data!AJ67</f>
        <v>0</v>
      </c>
      <c r="AE3">
        <f>Data!AK67</f>
        <v>0</v>
      </c>
    </row>
    <row r="4" spans="1:31" x14ac:dyDescent="0.3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 t="e">
        <f>Data!#REF!</f>
        <v>#REF!</v>
      </c>
      <c r="AD4">
        <f>Data!AJ68</f>
        <v>0</v>
      </c>
      <c r="AE4">
        <f>Data!AK68</f>
        <v>0</v>
      </c>
    </row>
    <row r="5" spans="1:31" x14ac:dyDescent="0.3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 t="e">
        <f>Data!#REF!</f>
        <v>#REF!</v>
      </c>
      <c r="AD5">
        <f>Data!AJ69</f>
        <v>0</v>
      </c>
      <c r="AE5">
        <f>Data!AK69</f>
        <v>0</v>
      </c>
    </row>
    <row r="6" spans="1:31" x14ac:dyDescent="0.3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 t="e">
        <f>Data!#REF!</f>
        <v>#REF!</v>
      </c>
      <c r="AD6">
        <f>Data!AJ70</f>
        <v>0</v>
      </c>
      <c r="AE6">
        <f>Data!AK70</f>
        <v>0</v>
      </c>
    </row>
    <row r="7" spans="1:31" x14ac:dyDescent="0.35">
      <c r="A7" t="s">
        <v>86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 t="e">
        <f>Data!#REF!</f>
        <v>#REF!</v>
      </c>
      <c r="AD7">
        <f>Data!AJ71</f>
        <v>0</v>
      </c>
      <c r="AE7">
        <f>Data!AK71</f>
        <v>0</v>
      </c>
    </row>
    <row r="8" spans="1:31" x14ac:dyDescent="0.35">
      <c r="A8" t="s">
        <v>87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 t="e">
        <f>Data!#REF!</f>
        <v>#REF!</v>
      </c>
      <c r="AD8">
        <f>Data!AJ72</f>
        <v>0</v>
      </c>
      <c r="AE8">
        <f>Data!AK72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 t="e">
        <f>Data!#REF!</f>
        <v>#REF!</v>
      </c>
      <c r="AD2">
        <f>Data!AJ73</f>
        <v>0</v>
      </c>
      <c r="AE2">
        <f>Data!AK73</f>
        <v>0</v>
      </c>
    </row>
    <row r="3" spans="1:31" x14ac:dyDescent="0.3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 t="e">
        <f>Data!#REF!</f>
        <v>#REF!</v>
      </c>
      <c r="AD3">
        <f>Data!AJ74</f>
        <v>0</v>
      </c>
      <c r="AE3">
        <f>Data!AK74</f>
        <v>0</v>
      </c>
    </row>
    <row r="4" spans="1:31" x14ac:dyDescent="0.3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 t="e">
        <f>Data!#REF!</f>
        <v>#REF!</v>
      </c>
      <c r="AD4">
        <f>Data!AJ75</f>
        <v>0</v>
      </c>
      <c r="AE4">
        <f>Data!AK75</f>
        <v>0</v>
      </c>
    </row>
    <row r="5" spans="1:31" x14ac:dyDescent="0.3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 t="e">
        <f>Data!#REF!</f>
        <v>#REF!</v>
      </c>
      <c r="AD5">
        <f>Data!AJ76</f>
        <v>0</v>
      </c>
      <c r="AE5">
        <f>Data!AK76</f>
        <v>0</v>
      </c>
    </row>
    <row r="6" spans="1:31" x14ac:dyDescent="0.3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 t="e">
        <f>Data!#REF!</f>
        <v>#REF!</v>
      </c>
      <c r="AD6">
        <f>Data!AJ77</f>
        <v>0</v>
      </c>
      <c r="AE6">
        <f>Data!AK77</f>
        <v>0</v>
      </c>
    </row>
    <row r="7" spans="1:31" x14ac:dyDescent="0.35">
      <c r="A7" t="s">
        <v>86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 t="e">
        <f>Data!#REF!</f>
        <v>#REF!</v>
      </c>
      <c r="AD7">
        <f>Data!AJ78</f>
        <v>0</v>
      </c>
      <c r="AE7">
        <f>Data!AK78</f>
        <v>0</v>
      </c>
    </row>
    <row r="8" spans="1:31" x14ac:dyDescent="0.35">
      <c r="A8" t="s">
        <v>87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 t="e">
        <f>Data!#REF!</f>
        <v>#REF!</v>
      </c>
      <c r="AD8">
        <f>Data!AJ79</f>
        <v>0</v>
      </c>
      <c r="AE8">
        <f>Data!AK79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f>Data!I80</f>
        <v>6.6873740826300002E-2</v>
      </c>
      <c r="C2">
        <f>Data!J80</f>
        <v>8.383744382909665E-2</v>
      </c>
      <c r="D2">
        <f>Data!K80</f>
        <v>9.1702346693592188E-2</v>
      </c>
      <c r="E2">
        <f>Data!L80</f>
        <v>0.1028980197241021</v>
      </c>
      <c r="F2">
        <f>Data!M80</f>
        <v>0.11850365652431405</v>
      </c>
      <c r="G2">
        <f>Data!N80</f>
        <v>0.1396309892832005</v>
      </c>
      <c r="H2">
        <f>Data!O80</f>
        <v>0.16713173544079279</v>
      </c>
      <c r="I2">
        <f>Data!P80</f>
        <v>0.20115393406388254</v>
      </c>
      <c r="J2">
        <f>Data!Q80</f>
        <v>0.2406926533620381</v>
      </c>
      <c r="K2">
        <f>Data!R80</f>
        <v>0.28343687041315002</v>
      </c>
      <c r="L2">
        <f>Data!S80</f>
        <v>0.32618108746426189</v>
      </c>
      <c r="M2">
        <f>Data!T80</f>
        <v>0.36571980676241744</v>
      </c>
      <c r="N2">
        <f>Data!U80</f>
        <v>0.39974200538550725</v>
      </c>
      <c r="O2">
        <f>Data!V80</f>
        <v>0.42724275154309949</v>
      </c>
      <c r="P2">
        <f>Data!W80</f>
        <v>0.44837008430198594</v>
      </c>
      <c r="Q2">
        <f>Data!X80</f>
        <v>0.46397572110219792</v>
      </c>
      <c r="R2">
        <f>Data!Y80</f>
        <v>0.47517139413270781</v>
      </c>
      <c r="S2">
        <f>Data!Z80</f>
        <v>0.48303629699720335</v>
      </c>
      <c r="T2">
        <f>Data!AA80</f>
        <v>0.4884801436667851</v>
      </c>
      <c r="U2">
        <f>Data!AB80</f>
        <v>0.4922097001624065</v>
      </c>
      <c r="V2">
        <f>Data!AC80</f>
        <v>0.49474685632562987</v>
      </c>
      <c r="W2">
        <f>Data!AD80</f>
        <v>0.49646457609119271</v>
      </c>
      <c r="X2">
        <f>Data!AE80</f>
        <v>0.49762373988097219</v>
      </c>
      <c r="Y2">
        <f>Data!AF80</f>
        <v>0.49840425895445883</v>
      </c>
      <c r="Z2">
        <f>Data!AG80</f>
        <v>0.49892904198182053</v>
      </c>
      <c r="AA2">
        <f>Data!AH80</f>
        <v>0.49928152969343076</v>
      </c>
      <c r="AB2">
        <f>Data!AI80</f>
        <v>0.49951813142989132</v>
      </c>
      <c r="AC2" t="e">
        <f>Data!#REF!</f>
        <v>#REF!</v>
      </c>
      <c r="AD2">
        <f>Data!AJ80</f>
        <v>0</v>
      </c>
      <c r="AE2">
        <f>Data!AK80</f>
        <v>0</v>
      </c>
    </row>
    <row r="3" spans="1:31" x14ac:dyDescent="0.35">
      <c r="A3" t="s">
        <v>2</v>
      </c>
      <c r="B3">
        <f>Data!I81</f>
        <v>9.1114481822700006E-5</v>
      </c>
      <c r="C3">
        <f>Data!J81</f>
        <v>9.1114481822700006E-5</v>
      </c>
      <c r="D3">
        <f>Data!K81</f>
        <v>9.1114481822700006E-5</v>
      </c>
      <c r="E3">
        <f>Data!L81</f>
        <v>9.1114481822700006E-5</v>
      </c>
      <c r="F3">
        <f>Data!M81</f>
        <v>9.1114481822700006E-5</v>
      </c>
      <c r="G3">
        <f>Data!N81</f>
        <v>9.1114481822700006E-5</v>
      </c>
      <c r="H3">
        <f>Data!O81</f>
        <v>9.1114481822700006E-5</v>
      </c>
      <c r="I3">
        <f>Data!P81</f>
        <v>9.1114481822700006E-5</v>
      </c>
      <c r="J3">
        <f>Data!Q81</f>
        <v>9.1114481822700006E-5</v>
      </c>
      <c r="K3">
        <f>Data!R81</f>
        <v>9.1114481822700006E-5</v>
      </c>
      <c r="L3">
        <f>Data!S81</f>
        <v>9.1114481822700006E-5</v>
      </c>
      <c r="M3">
        <f>Data!T81</f>
        <v>9.1114481822700006E-5</v>
      </c>
      <c r="N3">
        <f>Data!U81</f>
        <v>9.1114481822700006E-5</v>
      </c>
      <c r="O3">
        <f>Data!V81</f>
        <v>9.1114481822700006E-5</v>
      </c>
      <c r="P3">
        <f>Data!W81</f>
        <v>9.1114481822700006E-5</v>
      </c>
      <c r="Q3">
        <f>Data!X81</f>
        <v>9.1114481822700006E-5</v>
      </c>
      <c r="R3">
        <f>Data!Y81</f>
        <v>9.1114481822700006E-5</v>
      </c>
      <c r="S3">
        <f>Data!Z81</f>
        <v>9.1114481822700006E-5</v>
      </c>
      <c r="T3">
        <f>Data!AA81</f>
        <v>9.1114481822700006E-5</v>
      </c>
      <c r="U3">
        <f>Data!AB81</f>
        <v>9.1114481822700006E-5</v>
      </c>
      <c r="V3">
        <f>Data!AC81</f>
        <v>9.1114481822700006E-5</v>
      </c>
      <c r="W3">
        <f>Data!AD81</f>
        <v>9.1114481822700006E-5</v>
      </c>
      <c r="X3">
        <f>Data!AE81</f>
        <v>9.1114481822700006E-5</v>
      </c>
      <c r="Y3">
        <f>Data!AF81</f>
        <v>9.1114481822700006E-5</v>
      </c>
      <c r="Z3">
        <f>Data!AG81</f>
        <v>9.1114481822700006E-5</v>
      </c>
      <c r="AA3">
        <f>Data!AH81</f>
        <v>9.1114481822700006E-5</v>
      </c>
      <c r="AB3">
        <f>Data!AI81</f>
        <v>9.1114481822700006E-5</v>
      </c>
      <c r="AC3" t="e">
        <f>Data!#REF!</f>
        <v>#REF!</v>
      </c>
      <c r="AD3">
        <f>Data!AJ81</f>
        <v>0</v>
      </c>
      <c r="AE3">
        <f>Data!AK81</f>
        <v>0</v>
      </c>
    </row>
    <row r="4" spans="1:31" x14ac:dyDescent="0.3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  <c r="AC4" t="e">
        <f>Data!#REF!</f>
        <v>#REF!</v>
      </c>
      <c r="AD4">
        <f>Data!AJ82</f>
        <v>0</v>
      </c>
      <c r="AE4">
        <f>Data!AK82</f>
        <v>0</v>
      </c>
    </row>
    <row r="5" spans="1:31" x14ac:dyDescent="0.35">
      <c r="A5" t="s">
        <v>4</v>
      </c>
      <c r="B5">
        <f>Data!I83</f>
        <v>6.08023121013E-2</v>
      </c>
      <c r="C5">
        <f>Data!J83</f>
        <v>6.08023121013E-2</v>
      </c>
      <c r="D5">
        <f>Data!K83</f>
        <v>6.08023121013E-2</v>
      </c>
      <c r="E5">
        <f>Data!L83</f>
        <v>6.08023121013E-2</v>
      </c>
      <c r="F5">
        <f>Data!M83</f>
        <v>6.08023121013E-2</v>
      </c>
      <c r="G5">
        <f>Data!N83</f>
        <v>6.08023121013E-2</v>
      </c>
      <c r="H5">
        <f>Data!O83</f>
        <v>6.08023121013E-2</v>
      </c>
      <c r="I5">
        <f>Data!P83</f>
        <v>6.08023121013E-2</v>
      </c>
      <c r="J5">
        <f>Data!Q83</f>
        <v>6.08023121013E-2</v>
      </c>
      <c r="K5">
        <f>Data!R83</f>
        <v>6.08023121013E-2</v>
      </c>
      <c r="L5">
        <f>Data!S83</f>
        <v>6.08023121013E-2</v>
      </c>
      <c r="M5">
        <f>Data!T83</f>
        <v>6.08023121013E-2</v>
      </c>
      <c r="N5">
        <f>Data!U83</f>
        <v>6.08023121013E-2</v>
      </c>
      <c r="O5">
        <f>Data!V83</f>
        <v>6.08023121013E-2</v>
      </c>
      <c r="P5">
        <f>Data!W83</f>
        <v>6.08023121013E-2</v>
      </c>
      <c r="Q5">
        <f>Data!X83</f>
        <v>6.08023121013E-2</v>
      </c>
      <c r="R5">
        <f>Data!Y83</f>
        <v>6.08023121013E-2</v>
      </c>
      <c r="S5">
        <f>Data!Z83</f>
        <v>6.08023121013E-2</v>
      </c>
      <c r="T5">
        <f>Data!AA83</f>
        <v>6.08023121013E-2</v>
      </c>
      <c r="U5">
        <f>Data!AB83</f>
        <v>6.08023121013E-2</v>
      </c>
      <c r="V5">
        <f>Data!AC83</f>
        <v>6.08023121013E-2</v>
      </c>
      <c r="W5">
        <f>Data!AD83</f>
        <v>6.08023121013E-2</v>
      </c>
      <c r="X5">
        <f>Data!AE83</f>
        <v>6.08023121013E-2</v>
      </c>
      <c r="Y5">
        <f>Data!AF83</f>
        <v>6.08023121013E-2</v>
      </c>
      <c r="Z5">
        <f>Data!AG83</f>
        <v>6.08023121013E-2</v>
      </c>
      <c r="AA5">
        <f>Data!AH83</f>
        <v>6.08023121013E-2</v>
      </c>
      <c r="AB5">
        <f>Data!AI83</f>
        <v>6.08023121013E-2</v>
      </c>
      <c r="AC5" t="e">
        <f>Data!#REF!</f>
        <v>#REF!</v>
      </c>
      <c r="AD5">
        <f>Data!AJ83</f>
        <v>0</v>
      </c>
      <c r="AE5">
        <f>Data!AK83</f>
        <v>0</v>
      </c>
    </row>
    <row r="6" spans="1:31" x14ac:dyDescent="0.35">
      <c r="A6" t="s">
        <v>5</v>
      </c>
      <c r="B6">
        <f>Data!I84</f>
        <v>1.5463740197399999E-2</v>
      </c>
      <c r="C6">
        <f>Data!J84</f>
        <v>1.8928786332945334E-2</v>
      </c>
      <c r="D6">
        <f>Data!K84</f>
        <v>2.0117011297610617E-2</v>
      </c>
      <c r="E6">
        <f>Data!L84</f>
        <v>2.1701699592911895E-2</v>
      </c>
      <c r="F6">
        <f>Data!M84</f>
        <v>2.3806473886134459E-2</v>
      </c>
      <c r="G6">
        <f>Data!N84</f>
        <v>2.6586827110338961E-2</v>
      </c>
      <c r="H6">
        <f>Data!O84</f>
        <v>3.0233275594225367E-2</v>
      </c>
      <c r="I6">
        <f>Data!P84</f>
        <v>3.4970753350781376E-2</v>
      </c>
      <c r="J6">
        <f>Data!Q84</f>
        <v>4.105090059697207E-2</v>
      </c>
      <c r="K6">
        <f>Data!R84</f>
        <v>4.8732958408176291E-2</v>
      </c>
      <c r="L6">
        <f>Data!S84</f>
        <v>5.8249140243472983E-2</v>
      </c>
      <c r="M6">
        <f>Data!T84</f>
        <v>6.9753071712537487E-2</v>
      </c>
      <c r="N6">
        <f>Data!U84</f>
        <v>8.3256562745812834E-2</v>
      </c>
      <c r="O6">
        <f>Data!V84</f>
        <v>9.8570184819839771E-2</v>
      </c>
      <c r="P6">
        <f>Data!W84</f>
        <v>0.11527240063540134</v>
      </c>
      <c r="Q6">
        <f>Data!X84</f>
        <v>0.13273187009869999</v>
      </c>
      <c r="R6">
        <f>Data!Y84</f>
        <v>0.15019133956199868</v>
      </c>
      <c r="S6">
        <f>Data!Z84</f>
        <v>0.1668935553775602</v>
      </c>
      <c r="T6">
        <f>Data!AA84</f>
        <v>0.18220717745158715</v>
      </c>
      <c r="U6">
        <f>Data!AB84</f>
        <v>0.19571066848486252</v>
      </c>
      <c r="V6">
        <f>Data!AC84</f>
        <v>0.20721459995392699</v>
      </c>
      <c r="W6">
        <f>Data!AD84</f>
        <v>0.21673078178922373</v>
      </c>
      <c r="X6">
        <f>Data!AE84</f>
        <v>0.22441283960042793</v>
      </c>
      <c r="Y6">
        <f>Data!AF84</f>
        <v>0.23049298684661862</v>
      </c>
      <c r="Z6">
        <f>Data!AG84</f>
        <v>0.23523046460317465</v>
      </c>
      <c r="AA6">
        <f>Data!AH84</f>
        <v>0.23887691308706105</v>
      </c>
      <c r="AB6">
        <f>Data!AI84</f>
        <v>0.24165726631126555</v>
      </c>
      <c r="AC6" t="e">
        <f>Data!#REF!</f>
        <v>#REF!</v>
      </c>
      <c r="AD6">
        <f>Data!AJ84</f>
        <v>0</v>
      </c>
      <c r="AE6">
        <f>Data!AK84</f>
        <v>0</v>
      </c>
    </row>
    <row r="7" spans="1:31" x14ac:dyDescent="0.35">
      <c r="A7" t="s">
        <v>86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 t="e">
        <f>Data!#REF!</f>
        <v>#REF!</v>
      </c>
      <c r="AD7">
        <f>Data!AJ85</f>
        <v>0</v>
      </c>
      <c r="AE7">
        <f>Data!AK85</f>
        <v>0</v>
      </c>
    </row>
    <row r="8" spans="1:31" x14ac:dyDescent="0.35">
      <c r="A8" t="s">
        <v>87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 t="e">
        <f>Data!#REF!</f>
        <v>#REF!</v>
      </c>
      <c r="AD8">
        <f>Data!AJ86</f>
        <v>0</v>
      </c>
      <c r="AE8">
        <f>Data!AK86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workbookViewId="0"/>
  </sheetViews>
  <sheetFormatPr defaultColWidth="9.08984375" defaultRowHeight="14.5" x14ac:dyDescent="0.35"/>
  <cols>
    <col min="1" max="1" width="24.36328125" customWidth="1"/>
  </cols>
  <sheetData>
    <row r="1" spans="1:31" ht="29" x14ac:dyDescent="0.35">
      <c r="A1" s="22" t="s">
        <v>88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  <c r="AC1" t="e">
        <f>Data!#REF!</f>
        <v>#REF!</v>
      </c>
      <c r="AD1">
        <f>Data!AJ9</f>
        <v>0</v>
      </c>
      <c r="AE1">
        <f>Data!AK9</f>
        <v>0</v>
      </c>
    </row>
    <row r="2" spans="1:31" x14ac:dyDescent="0.3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3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3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86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35">
      <c r="A8" t="s">
        <v>87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Manufacturing Capacity Checks</vt:lpstr>
      <vt:lpstr>AEO Table 38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2026-01-26T22:56:12Z</dcterms:modified>
</cp:coreProperties>
</file>