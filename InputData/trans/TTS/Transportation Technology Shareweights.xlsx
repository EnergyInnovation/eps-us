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eps-us-rail-vintaging\InputData\trans\TTS\"/>
    </mc:Choice>
  </mc:AlternateContent>
  <xr:revisionPtr revIDLastSave="0" documentId="13_ncr:1_{A80EA775-6AC6-443E-9E62-5458D18CC890}" xr6:coauthVersionLast="47" xr6:coauthVersionMax="47" xr10:uidLastSave="{00000000-0000-0000-0000-000000000000}"/>
  <bookViews>
    <workbookView xWindow="4680" yWindow="4680" windowWidth="43200" windowHeight="17145" activeTab="1" xr2:uid="{00000000-000D-0000-FFFF-FFFF00000000}"/>
  </bookViews>
  <sheets>
    <sheet name="About" sheetId="1" r:id="rId1"/>
    <sheet name="Calibration rail" sheetId="16" r:id="rId2"/>
    <sheet name="SYVbT-passenger" sheetId="2" r:id="rId3"/>
    <sheet name="Data" sheetId="3" r:id="rId4"/>
    <sheet name="TTS-LDVs-psgr" sheetId="4" r:id="rId5"/>
    <sheet name="TTS-LDVs-frgt" sheetId="5" r:id="rId6"/>
    <sheet name="TTS-HDVs-psgr" sheetId="6" r:id="rId7"/>
    <sheet name="TTS-HDVs-frgt" sheetId="7" r:id="rId8"/>
    <sheet name="TTS-aircraft-psgr" sheetId="8" r:id="rId9"/>
    <sheet name="TTS-aircraft-frgt" sheetId="9" r:id="rId10"/>
    <sheet name="TTS-rail-psgr" sheetId="10" r:id="rId11"/>
    <sheet name="TTS-rail-frgt" sheetId="11" r:id="rId12"/>
    <sheet name="TTS-ships-psgr" sheetId="12" r:id="rId13"/>
    <sheet name="TTS-ships-frgt" sheetId="13" r:id="rId14"/>
    <sheet name="TTS-motorbikes-psgr" sheetId="14" r:id="rId15"/>
    <sheet name="TTS-motorbikes-frgt" sheetId="1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3" l="1"/>
  <c r="E52" i="3"/>
  <c r="J16" i="3"/>
  <c r="J15" i="3"/>
  <c r="J13" i="3"/>
  <c r="J12" i="3"/>
  <c r="J11" i="3"/>
  <c r="J17" i="3"/>
  <c r="B1" i="15"/>
  <c r="B1" i="14"/>
  <c r="B1" i="13"/>
  <c r="B1" i="12"/>
  <c r="B1" i="11"/>
  <c r="B1" i="10"/>
  <c r="B1" i="9"/>
  <c r="B1" i="8"/>
  <c r="B1" i="7"/>
  <c r="B1" i="6"/>
  <c r="B1" i="5"/>
  <c r="B1" i="4"/>
  <c r="I93" i="3"/>
  <c r="G93" i="3"/>
  <c r="I92" i="3"/>
  <c r="G92" i="3"/>
  <c r="I91" i="3"/>
  <c r="G91" i="3"/>
  <c r="I90" i="3"/>
  <c r="G90" i="3"/>
  <c r="I89" i="3"/>
  <c r="G89" i="3"/>
  <c r="I88" i="3"/>
  <c r="G88" i="3"/>
  <c r="I87" i="3"/>
  <c r="G87" i="3"/>
  <c r="E86" i="3"/>
  <c r="D86" i="3"/>
  <c r="E85" i="3"/>
  <c r="D85" i="3"/>
  <c r="E84" i="3"/>
  <c r="D84" i="3"/>
  <c r="E83" i="3"/>
  <c r="D83" i="3"/>
  <c r="F82" i="3"/>
  <c r="E82" i="3"/>
  <c r="D82" i="3"/>
  <c r="E81" i="3"/>
  <c r="D81" i="3"/>
  <c r="F80" i="3"/>
  <c r="E80" i="3"/>
  <c r="D80" i="3"/>
  <c r="I79" i="3"/>
  <c r="B8" i="13" s="1"/>
  <c r="G79" i="3"/>
  <c r="I78" i="3"/>
  <c r="B7" i="13" s="1"/>
  <c r="G78" i="3"/>
  <c r="I77" i="3"/>
  <c r="B6" i="13" s="1"/>
  <c r="G77" i="3"/>
  <c r="I76" i="3"/>
  <c r="B5" i="13" s="1"/>
  <c r="G76" i="3"/>
  <c r="I75" i="3"/>
  <c r="B4" i="13" s="1"/>
  <c r="G75" i="3"/>
  <c r="I74" i="3"/>
  <c r="B3" i="13" s="1"/>
  <c r="G74" i="3"/>
  <c r="I73" i="3"/>
  <c r="B2" i="13" s="1"/>
  <c r="G73" i="3"/>
  <c r="I72" i="3"/>
  <c r="B8" i="12" s="1"/>
  <c r="G72" i="3"/>
  <c r="I71" i="3"/>
  <c r="B7" i="12" s="1"/>
  <c r="G71" i="3"/>
  <c r="I70" i="3"/>
  <c r="B6" i="12" s="1"/>
  <c r="G70" i="3"/>
  <c r="I69" i="3"/>
  <c r="B5" i="12" s="1"/>
  <c r="G69" i="3"/>
  <c r="I68" i="3"/>
  <c r="B4" i="12" s="1"/>
  <c r="G68" i="3"/>
  <c r="I67" i="3"/>
  <c r="B3" i="12" s="1"/>
  <c r="G67" i="3"/>
  <c r="I66" i="3"/>
  <c r="B2" i="12" s="1"/>
  <c r="G66" i="3"/>
  <c r="I65" i="3"/>
  <c r="B8" i="11" s="1"/>
  <c r="G65" i="3"/>
  <c r="I64" i="3"/>
  <c r="B7" i="11" s="1"/>
  <c r="G64" i="3"/>
  <c r="I63" i="3"/>
  <c r="B6" i="11" s="1"/>
  <c r="G63" i="3"/>
  <c r="I62" i="3"/>
  <c r="B5" i="11" s="1"/>
  <c r="G62" i="3"/>
  <c r="I61" i="3"/>
  <c r="B4" i="11" s="1"/>
  <c r="G61" i="3"/>
  <c r="I60" i="3"/>
  <c r="B3" i="11" s="1"/>
  <c r="G60" i="3"/>
  <c r="I59" i="3"/>
  <c r="B2" i="11" s="1"/>
  <c r="G59" i="3"/>
  <c r="I58" i="3"/>
  <c r="B8" i="10" s="1"/>
  <c r="G58" i="3"/>
  <c r="I57" i="3"/>
  <c r="B7" i="10" s="1"/>
  <c r="G57" i="3"/>
  <c r="I56" i="3"/>
  <c r="B6" i="10" s="1"/>
  <c r="G56" i="3"/>
  <c r="I54" i="3"/>
  <c r="B4" i="10" s="1"/>
  <c r="G54" i="3"/>
  <c r="I53" i="3"/>
  <c r="B3" i="10" s="1"/>
  <c r="G53" i="3"/>
  <c r="I51" i="3"/>
  <c r="B8" i="9" s="1"/>
  <c r="G51" i="3"/>
  <c r="I50" i="3"/>
  <c r="B7" i="9" s="1"/>
  <c r="G50" i="3"/>
  <c r="I49" i="3"/>
  <c r="B6" i="9" s="1"/>
  <c r="G49" i="3"/>
  <c r="I48" i="3"/>
  <c r="B5" i="9" s="1"/>
  <c r="G48" i="3"/>
  <c r="I47" i="3"/>
  <c r="B4" i="9" s="1"/>
  <c r="G47" i="3"/>
  <c r="I46" i="3"/>
  <c r="B3" i="9" s="1"/>
  <c r="G46" i="3"/>
  <c r="I45" i="3"/>
  <c r="B2" i="9" s="1"/>
  <c r="G45" i="3"/>
  <c r="I44" i="3"/>
  <c r="B8" i="8" s="1"/>
  <c r="G44" i="3"/>
  <c r="I43" i="3"/>
  <c r="B7" i="8" s="1"/>
  <c r="G43" i="3"/>
  <c r="I42" i="3"/>
  <c r="B6" i="8" s="1"/>
  <c r="G42" i="3"/>
  <c r="I41" i="3"/>
  <c r="B5" i="8" s="1"/>
  <c r="G41" i="3"/>
  <c r="I40" i="3"/>
  <c r="B4" i="8" s="1"/>
  <c r="G40" i="3"/>
  <c r="I39" i="3"/>
  <c r="B3" i="8" s="1"/>
  <c r="G39" i="3"/>
  <c r="I38" i="3"/>
  <c r="B2" i="8" s="1"/>
  <c r="G38" i="3"/>
  <c r="J37" i="3"/>
  <c r="C8" i="7" s="1"/>
  <c r="I37" i="3"/>
  <c r="B8" i="7" s="1"/>
  <c r="F37" i="3"/>
  <c r="G37" i="3" s="1"/>
  <c r="J36" i="3"/>
  <c r="C7" i="7" s="1"/>
  <c r="I36" i="3"/>
  <c r="B7" i="7" s="1"/>
  <c r="F36" i="3"/>
  <c r="G36" i="3" s="1"/>
  <c r="J35" i="3"/>
  <c r="C6" i="7" s="1"/>
  <c r="I35" i="3"/>
  <c r="B6" i="7" s="1"/>
  <c r="F35" i="3"/>
  <c r="G35" i="3" s="1"/>
  <c r="J34" i="3"/>
  <c r="C5" i="7" s="1"/>
  <c r="I34" i="3"/>
  <c r="B5" i="7" s="1"/>
  <c r="G34" i="3"/>
  <c r="J33" i="3"/>
  <c r="C4" i="7" s="1"/>
  <c r="I33" i="3"/>
  <c r="B4" i="7" s="1"/>
  <c r="F33" i="3"/>
  <c r="G33" i="3" s="1"/>
  <c r="J32" i="3"/>
  <c r="C3" i="7" s="1"/>
  <c r="I32" i="3"/>
  <c r="B3" i="7" s="1"/>
  <c r="F32" i="3"/>
  <c r="G32" i="3" s="1"/>
  <c r="J31" i="3"/>
  <c r="C2" i="7" s="1"/>
  <c r="I31" i="3"/>
  <c r="B2" i="7" s="1"/>
  <c r="G31" i="3"/>
  <c r="J30" i="3"/>
  <c r="C8" i="6" s="1"/>
  <c r="I30" i="3"/>
  <c r="B8" i="6" s="1"/>
  <c r="F30" i="3"/>
  <c r="G30" i="3" s="1"/>
  <c r="J29" i="3"/>
  <c r="C7" i="6" s="1"/>
  <c r="I29" i="3"/>
  <c r="B7" i="6" s="1"/>
  <c r="F29" i="3"/>
  <c r="G29" i="3" s="1"/>
  <c r="J28" i="3"/>
  <c r="C6" i="6" s="1"/>
  <c r="I28" i="3"/>
  <c r="B6" i="6" s="1"/>
  <c r="F28" i="3"/>
  <c r="G28" i="3" s="1"/>
  <c r="J27" i="3"/>
  <c r="C5" i="6" s="1"/>
  <c r="I27" i="3"/>
  <c r="B5" i="6" s="1"/>
  <c r="G27" i="3"/>
  <c r="J26" i="3"/>
  <c r="C4" i="6" s="1"/>
  <c r="I26" i="3"/>
  <c r="B4" i="6" s="1"/>
  <c r="F26" i="3"/>
  <c r="G26" i="3" s="1"/>
  <c r="J25" i="3"/>
  <c r="C3" i="6" s="1"/>
  <c r="I25" i="3"/>
  <c r="B3" i="6" s="1"/>
  <c r="F25" i="3"/>
  <c r="G25" i="3" s="1"/>
  <c r="J24" i="3"/>
  <c r="C2" i="6" s="1"/>
  <c r="I24" i="3"/>
  <c r="B2" i="6" s="1"/>
  <c r="G24" i="3"/>
  <c r="J23" i="3"/>
  <c r="C8" i="5" s="1"/>
  <c r="I23" i="3"/>
  <c r="B8" i="5" s="1"/>
  <c r="F23" i="3"/>
  <c r="G23" i="3" s="1"/>
  <c r="J22" i="3"/>
  <c r="C7" i="5" s="1"/>
  <c r="I22" i="3"/>
  <c r="B7" i="5" s="1"/>
  <c r="F22" i="3"/>
  <c r="G22" i="3" s="1"/>
  <c r="J21" i="3"/>
  <c r="C6" i="5" s="1"/>
  <c r="I21" i="3"/>
  <c r="B6" i="5" s="1"/>
  <c r="J20" i="3"/>
  <c r="C5" i="5" s="1"/>
  <c r="I20" i="3"/>
  <c r="B5" i="5" s="1"/>
  <c r="G20" i="3"/>
  <c r="J19" i="3"/>
  <c r="C4" i="5" s="1"/>
  <c r="I19" i="3"/>
  <c r="B4" i="5" s="1"/>
  <c r="F19" i="3"/>
  <c r="G19" i="3" s="1"/>
  <c r="J18" i="3"/>
  <c r="C3" i="5" s="1"/>
  <c r="I18" i="3"/>
  <c r="B3" i="5" s="1"/>
  <c r="F18" i="3"/>
  <c r="I17" i="3"/>
  <c r="B2" i="5" s="1"/>
  <c r="G17" i="3"/>
  <c r="I16" i="3"/>
  <c r="B8" i="4" s="1"/>
  <c r="F16" i="3"/>
  <c r="I15" i="3"/>
  <c r="B7" i="4" s="1"/>
  <c r="F15" i="3"/>
  <c r="J14" i="3"/>
  <c r="C6" i="4" s="1"/>
  <c r="I14" i="3"/>
  <c r="B6" i="4" s="1"/>
  <c r="I13" i="3"/>
  <c r="B5" i="4" s="1"/>
  <c r="F13" i="3"/>
  <c r="I12" i="3"/>
  <c r="B4" i="4" s="1"/>
  <c r="G12" i="3"/>
  <c r="I11" i="3"/>
  <c r="B3" i="4" s="1"/>
  <c r="F11" i="3"/>
  <c r="J10" i="3"/>
  <c r="C2" i="4" s="1"/>
  <c r="I10" i="3"/>
  <c r="B2" i="4" s="1"/>
  <c r="G10" i="3"/>
  <c r="J9" i="3"/>
  <c r="K17" i="3" l="1"/>
  <c r="J93" i="3"/>
  <c r="K93" i="3"/>
  <c r="J92" i="3"/>
  <c r="K92" i="3"/>
  <c r="K91" i="3"/>
  <c r="J91" i="3"/>
  <c r="J90" i="3"/>
  <c r="K90" i="3"/>
  <c r="K89" i="3"/>
  <c r="J89" i="3"/>
  <c r="J88" i="3"/>
  <c r="K88" i="3"/>
  <c r="J87" i="3"/>
  <c r="I86" i="3"/>
  <c r="B8" i="14" s="1"/>
  <c r="I85" i="3"/>
  <c r="B7" i="14" s="1"/>
  <c r="I84" i="3"/>
  <c r="B6" i="14" s="1"/>
  <c r="I83" i="3"/>
  <c r="B5" i="14" s="1"/>
  <c r="I82" i="3"/>
  <c r="B4" i="14" s="1"/>
  <c r="G82" i="3"/>
  <c r="I81" i="3"/>
  <c r="B3" i="14" s="1"/>
  <c r="G80" i="3"/>
  <c r="I80" i="3"/>
  <c r="B2" i="14" s="1"/>
  <c r="J79" i="3"/>
  <c r="C8" i="13" s="1"/>
  <c r="J78" i="3"/>
  <c r="C7" i="13" s="1"/>
  <c r="J77" i="3"/>
  <c r="C6" i="13" s="1"/>
  <c r="J76" i="3"/>
  <c r="C5" i="13" s="1"/>
  <c r="J75" i="3"/>
  <c r="C4" i="13" s="1"/>
  <c r="J74" i="3"/>
  <c r="C3" i="13" s="1"/>
  <c r="J73" i="3"/>
  <c r="C2" i="13" s="1"/>
  <c r="J72" i="3"/>
  <c r="C8" i="12" s="1"/>
  <c r="J71" i="3"/>
  <c r="C7" i="12" s="1"/>
  <c r="J70" i="3"/>
  <c r="C6" i="12" s="1"/>
  <c r="J69" i="3"/>
  <c r="C5" i="12" s="1"/>
  <c r="J68" i="3"/>
  <c r="C4" i="12" s="1"/>
  <c r="J67" i="3"/>
  <c r="C3" i="12" s="1"/>
  <c r="J66" i="3"/>
  <c r="C2" i="12" s="1"/>
  <c r="J65" i="3"/>
  <c r="C8" i="11" s="1"/>
  <c r="J64" i="3"/>
  <c r="C7" i="11" s="1"/>
  <c r="J63" i="3"/>
  <c r="C6" i="11" s="1"/>
  <c r="K63" i="3"/>
  <c r="D6" i="11" s="1"/>
  <c r="K62" i="3"/>
  <c r="D5" i="11" s="1"/>
  <c r="J62" i="3"/>
  <c r="C5" i="11" s="1"/>
  <c r="J61" i="3"/>
  <c r="C4" i="11" s="1"/>
  <c r="J60" i="3"/>
  <c r="C3" i="11" s="1"/>
  <c r="J59" i="3"/>
  <c r="C2" i="11" s="1"/>
  <c r="J58" i="3"/>
  <c r="C8" i="10" s="1"/>
  <c r="J57" i="3"/>
  <c r="C7" i="10" s="1"/>
  <c r="J56" i="3"/>
  <c r="C6" i="10" s="1"/>
  <c r="J54" i="3"/>
  <c r="C4" i="10" s="1"/>
  <c r="J53" i="3"/>
  <c r="C3" i="10" s="1"/>
  <c r="F52" i="3"/>
  <c r="I52" i="3"/>
  <c r="B2" i="10" s="1"/>
  <c r="J51" i="3"/>
  <c r="C8" i="9" s="1"/>
  <c r="J50" i="3"/>
  <c r="C7" i="9" s="1"/>
  <c r="J49" i="3"/>
  <c r="C6" i="9" s="1"/>
  <c r="J48" i="3"/>
  <c r="C5" i="9" s="1"/>
  <c r="J47" i="3"/>
  <c r="C4" i="9" s="1"/>
  <c r="J46" i="3"/>
  <c r="C3" i="9" s="1"/>
  <c r="J45" i="3"/>
  <c r="C2" i="9" s="1"/>
  <c r="J44" i="3"/>
  <c r="C8" i="8" s="1"/>
  <c r="J43" i="3"/>
  <c r="C7" i="8" s="1"/>
  <c r="J42" i="3"/>
  <c r="C6" i="8" s="1"/>
  <c r="J41" i="3"/>
  <c r="C5" i="8" s="1"/>
  <c r="J40" i="3"/>
  <c r="C4" i="8" s="1"/>
  <c r="J39" i="3"/>
  <c r="C3" i="8" s="1"/>
  <c r="J38" i="3"/>
  <c r="C2" i="8" s="1"/>
  <c r="C2" i="5"/>
  <c r="F86" i="3"/>
  <c r="G86" i="3" s="1"/>
  <c r="G16" i="3"/>
  <c r="G15" i="3"/>
  <c r="F85" i="3"/>
  <c r="G85" i="3" s="1"/>
  <c r="F84" i="3"/>
  <c r="G84" i="3" s="1"/>
  <c r="G14" i="3"/>
  <c r="F83" i="3"/>
  <c r="G83" i="3" s="1"/>
  <c r="G13" i="3"/>
  <c r="C4" i="4"/>
  <c r="G11" i="3"/>
  <c r="F81" i="3"/>
  <c r="G81" i="3" s="1"/>
  <c r="C1" i="8"/>
  <c r="C1" i="7"/>
  <c r="C1" i="9"/>
  <c r="C1" i="15"/>
  <c r="C1" i="5"/>
  <c r="C1" i="4"/>
  <c r="C1" i="14"/>
  <c r="C1" i="10"/>
  <c r="C1" i="11"/>
  <c r="K9" i="3"/>
  <c r="C1" i="6"/>
  <c r="C1" i="13"/>
  <c r="C1" i="12"/>
  <c r="K86" i="3" l="1"/>
  <c r="D8" i="14" s="1"/>
  <c r="J86" i="3"/>
  <c r="C8" i="14" s="1"/>
  <c r="K85" i="3"/>
  <c r="D7" i="14" s="1"/>
  <c r="J85" i="3"/>
  <c r="C7" i="14" s="1"/>
  <c r="K84" i="3"/>
  <c r="D6" i="14" s="1"/>
  <c r="J84" i="3"/>
  <c r="C6" i="14" s="1"/>
  <c r="K83" i="3"/>
  <c r="D5" i="14" s="1"/>
  <c r="J83" i="3"/>
  <c r="C5" i="14" s="1"/>
  <c r="K82" i="3"/>
  <c r="D4" i="14" s="1"/>
  <c r="J82" i="3"/>
  <c r="C4" i="14" s="1"/>
  <c r="J81" i="3"/>
  <c r="C3" i="14" s="1"/>
  <c r="K81" i="3"/>
  <c r="D3" i="14" s="1"/>
  <c r="K80" i="3"/>
  <c r="D2" i="14" s="1"/>
  <c r="J80" i="3"/>
  <c r="C2" i="14" s="1"/>
  <c r="F55" i="3"/>
  <c r="G55" i="3" s="1"/>
  <c r="I55" i="3"/>
  <c r="B5" i="10" s="1"/>
  <c r="K16" i="3"/>
  <c r="D8" i="4" s="1"/>
  <c r="C8" i="4"/>
  <c r="C7" i="4"/>
  <c r="K15" i="3"/>
  <c r="D7" i="4" s="1"/>
  <c r="K14" i="3"/>
  <c r="D6" i="4" s="1"/>
  <c r="C5" i="4"/>
  <c r="K13" i="3"/>
  <c r="D5" i="4" s="1"/>
  <c r="C3" i="4"/>
  <c r="K11" i="3"/>
  <c r="D3" i="4" s="1"/>
  <c r="D1" i="12"/>
  <c r="D1" i="13"/>
  <c r="L9" i="3"/>
  <c r="D1" i="14"/>
  <c r="D1" i="15"/>
  <c r="D1" i="5"/>
  <c r="D1" i="6"/>
  <c r="D1" i="7"/>
  <c r="D1" i="8"/>
  <c r="D1" i="4"/>
  <c r="D1" i="9"/>
  <c r="D1" i="10"/>
  <c r="D1" i="11"/>
  <c r="J52" i="3"/>
  <c r="C2" i="10" s="1"/>
  <c r="K87" i="3"/>
  <c r="K79" i="3"/>
  <c r="D8" i="13" s="1"/>
  <c r="K78" i="3"/>
  <c r="D7" i="13" s="1"/>
  <c r="K77" i="3"/>
  <c r="D6" i="13" s="1"/>
  <c r="K76" i="3"/>
  <c r="D5" i="13" s="1"/>
  <c r="K75" i="3"/>
  <c r="D4" i="13" s="1"/>
  <c r="K74" i="3"/>
  <c r="D3" i="13" s="1"/>
  <c r="K73" i="3"/>
  <c r="D2" i="13" s="1"/>
  <c r="K72" i="3"/>
  <c r="D8" i="12" s="1"/>
  <c r="K71" i="3"/>
  <c r="D7" i="12" s="1"/>
  <c r="K70" i="3"/>
  <c r="D6" i="12" s="1"/>
  <c r="K69" i="3"/>
  <c r="D5" i="12" s="1"/>
  <c r="K68" i="3"/>
  <c r="D4" i="12" s="1"/>
  <c r="K67" i="3"/>
  <c r="D3" i="12" s="1"/>
  <c r="K66" i="3"/>
  <c r="D2" i="12" s="1"/>
  <c r="K65" i="3"/>
  <c r="D8" i="11" s="1"/>
  <c r="K64" i="3"/>
  <c r="D7" i="11" s="1"/>
  <c r="K61" i="3"/>
  <c r="D4" i="11" s="1"/>
  <c r="K60" i="3"/>
  <c r="D3" i="11" s="1"/>
  <c r="K59" i="3"/>
  <c r="D2" i="11" s="1"/>
  <c r="K58" i="3"/>
  <c r="D8" i="10" s="1"/>
  <c r="K57" i="3"/>
  <c r="D7" i="10" s="1"/>
  <c r="K56" i="3"/>
  <c r="D6" i="10" s="1"/>
  <c r="K54" i="3"/>
  <c r="D4" i="10" s="1"/>
  <c r="K53" i="3"/>
  <c r="D3" i="10" s="1"/>
  <c r="K52" i="3"/>
  <c r="D2" i="10" s="1"/>
  <c r="K51" i="3"/>
  <c r="D8" i="9" s="1"/>
  <c r="K50" i="3"/>
  <c r="D7" i="9" s="1"/>
  <c r="K49" i="3"/>
  <c r="D6" i="9" s="1"/>
  <c r="K26" i="3"/>
  <c r="D4" i="6" s="1"/>
  <c r="K23" i="3"/>
  <c r="D8" i="5" s="1"/>
  <c r="K22" i="3"/>
  <c r="D7" i="5" s="1"/>
  <c r="K20" i="3"/>
  <c r="D5" i="5" s="1"/>
  <c r="K18" i="3"/>
  <c r="D3" i="5" s="1"/>
  <c r="K48" i="3"/>
  <c r="D5" i="9" s="1"/>
  <c r="K47" i="3"/>
  <c r="D4" i="9" s="1"/>
  <c r="K46" i="3"/>
  <c r="D3" i="9" s="1"/>
  <c r="K45" i="3"/>
  <c r="D2" i="9" s="1"/>
  <c r="K44" i="3"/>
  <c r="D8" i="8" s="1"/>
  <c r="K43" i="3"/>
  <c r="D7" i="8" s="1"/>
  <c r="K38" i="3"/>
  <c r="D2" i="8" s="1"/>
  <c r="K33" i="3"/>
  <c r="D4" i="7" s="1"/>
  <c r="K32" i="3"/>
  <c r="D3" i="7" s="1"/>
  <c r="K31" i="3"/>
  <c r="D2" i="7" s="1"/>
  <c r="K30" i="3"/>
  <c r="D8" i="6" s="1"/>
  <c r="K29" i="3"/>
  <c r="D7" i="6" s="1"/>
  <c r="K25" i="3"/>
  <c r="D3" i="6" s="1"/>
  <c r="K21" i="3"/>
  <c r="D6" i="5" s="1"/>
  <c r="D2" i="5"/>
  <c r="K12" i="3"/>
  <c r="D4" i="4" s="1"/>
  <c r="K10" i="3"/>
  <c r="D2" i="4" s="1"/>
  <c r="K42" i="3"/>
  <c r="D6" i="8" s="1"/>
  <c r="K41" i="3"/>
  <c r="D5" i="8" s="1"/>
  <c r="K40" i="3"/>
  <c r="D4" i="8" s="1"/>
  <c r="K39" i="3"/>
  <c r="D3" i="8" s="1"/>
  <c r="K37" i="3"/>
  <c r="D8" i="7" s="1"/>
  <c r="K36" i="3"/>
  <c r="D7" i="7" s="1"/>
  <c r="K35" i="3"/>
  <c r="D6" i="7" s="1"/>
  <c r="K34" i="3"/>
  <c r="D5" i="7" s="1"/>
  <c r="K28" i="3"/>
  <c r="D6" i="6" s="1"/>
  <c r="K27" i="3"/>
  <c r="D5" i="6" s="1"/>
  <c r="K24" i="3"/>
  <c r="D2" i="6" s="1"/>
  <c r="K19" i="3"/>
  <c r="D4" i="5" s="1"/>
  <c r="L86" i="3" l="1"/>
  <c r="E8" i="14" s="1"/>
  <c r="L80" i="3"/>
  <c r="E2" i="14" s="1"/>
  <c r="L21" i="3"/>
  <c r="E6" i="5" s="1"/>
  <c r="L10" i="3"/>
  <c r="E2" i="4" s="1"/>
  <c r="L84" i="3"/>
  <c r="E6" i="14" s="1"/>
  <c r="L15" i="3"/>
  <c r="E7" i="4" s="1"/>
  <c r="L85" i="3"/>
  <c r="E7" i="14" s="1"/>
  <c r="L14" i="3"/>
  <c r="E6" i="4" s="1"/>
  <c r="L13" i="3"/>
  <c r="E5" i="4" s="1"/>
  <c r="L31" i="3"/>
  <c r="E2" i="7" s="1"/>
  <c r="L24" i="3"/>
  <c r="E2" i="6" s="1"/>
  <c r="L17" i="3"/>
  <c r="E2" i="5" s="1"/>
  <c r="M17" i="3"/>
  <c r="J55" i="3"/>
  <c r="C5" i="10" s="1"/>
  <c r="K55" i="3"/>
  <c r="D5" i="10" s="1"/>
  <c r="M55" i="3"/>
  <c r="F5" i="10" s="1"/>
  <c r="L55" i="3"/>
  <c r="E5" i="10" s="1"/>
  <c r="L92" i="3"/>
  <c r="L20" i="3"/>
  <c r="E5" i="5" s="1"/>
  <c r="L25" i="3"/>
  <c r="E3" i="6" s="1"/>
  <c r="L29" i="3"/>
  <c r="E7" i="6" s="1"/>
  <c r="L30" i="3"/>
  <c r="E8" i="6" s="1"/>
  <c r="L32" i="3"/>
  <c r="E3" i="7" s="1"/>
  <c r="L34" i="3"/>
  <c r="E5" i="7" s="1"/>
  <c r="L36" i="3"/>
  <c r="E7" i="7" s="1"/>
  <c r="L37" i="3"/>
  <c r="E8" i="7" s="1"/>
  <c r="L39" i="3"/>
  <c r="E3" i="8" s="1"/>
  <c r="L40" i="3"/>
  <c r="E4" i="8" s="1"/>
  <c r="L41" i="3"/>
  <c r="E5" i="8" s="1"/>
  <c r="L42" i="3"/>
  <c r="E6" i="8" s="1"/>
  <c r="L90" i="3"/>
  <c r="L91" i="3"/>
  <c r="L93" i="3"/>
  <c r="L12" i="3"/>
  <c r="E4" i="4" s="1"/>
  <c r="L18" i="3"/>
  <c r="E3" i="5" s="1"/>
  <c r="L22" i="3"/>
  <c r="E7" i="5" s="1"/>
  <c r="L23" i="3"/>
  <c r="E8" i="5" s="1"/>
  <c r="L26" i="3"/>
  <c r="E4" i="6" s="1"/>
  <c r="L33" i="3"/>
  <c r="E4" i="7" s="1"/>
  <c r="L35" i="3"/>
  <c r="E6" i="7" s="1"/>
  <c r="L38" i="3"/>
  <c r="E2" i="8" s="1"/>
  <c r="L43" i="3"/>
  <c r="E7" i="8" s="1"/>
  <c r="L44" i="3"/>
  <c r="E8" i="8" s="1"/>
  <c r="L45" i="3"/>
  <c r="E2" i="9" s="1"/>
  <c r="L46" i="3"/>
  <c r="E3" i="9" s="1"/>
  <c r="L47" i="3"/>
  <c r="E4" i="9" s="1"/>
  <c r="L48" i="3"/>
  <c r="E5" i="9" s="1"/>
  <c r="L89" i="3"/>
  <c r="L19" i="3"/>
  <c r="E4" i="5" s="1"/>
  <c r="L27" i="3"/>
  <c r="E5" i="6" s="1"/>
  <c r="L28" i="3"/>
  <c r="E6" i="6" s="1"/>
  <c r="L49" i="3"/>
  <c r="E6" i="9" s="1"/>
  <c r="L50" i="3"/>
  <c r="E7" i="9" s="1"/>
  <c r="L51" i="3"/>
  <c r="E8" i="9" s="1"/>
  <c r="L52" i="3"/>
  <c r="E2" i="10" s="1"/>
  <c r="L53" i="3"/>
  <c r="E3" i="10" s="1"/>
  <c r="L54" i="3"/>
  <c r="E4" i="10" s="1"/>
  <c r="L56" i="3"/>
  <c r="E6" i="10" s="1"/>
  <c r="L57" i="3"/>
  <c r="E7" i="10" s="1"/>
  <c r="L58" i="3"/>
  <c r="E8" i="10" s="1"/>
  <c r="L59" i="3"/>
  <c r="E2" i="11" s="1"/>
  <c r="L60" i="3"/>
  <c r="E3" i="11" s="1"/>
  <c r="L61" i="3"/>
  <c r="E4" i="11" s="1"/>
  <c r="L62" i="3"/>
  <c r="E5" i="11" s="1"/>
  <c r="L88" i="3"/>
  <c r="L63" i="3"/>
  <c r="E6" i="11" s="1"/>
  <c r="L64" i="3"/>
  <c r="E7" i="11" s="1"/>
  <c r="L65" i="3"/>
  <c r="E8" i="11" s="1"/>
  <c r="L66" i="3"/>
  <c r="E2" i="12" s="1"/>
  <c r="L67" i="3"/>
  <c r="E3" i="12" s="1"/>
  <c r="L68" i="3"/>
  <c r="E4" i="12" s="1"/>
  <c r="L69" i="3"/>
  <c r="E5" i="12" s="1"/>
  <c r="L70" i="3"/>
  <c r="E6" i="12" s="1"/>
  <c r="L71" i="3"/>
  <c r="E7" i="12" s="1"/>
  <c r="L72" i="3"/>
  <c r="E8" i="12" s="1"/>
  <c r="L73" i="3"/>
  <c r="E2" i="13" s="1"/>
  <c r="L74" i="3"/>
  <c r="E3" i="13" s="1"/>
  <c r="L75" i="3"/>
  <c r="E4" i="13" s="1"/>
  <c r="L76" i="3"/>
  <c r="E5" i="13" s="1"/>
  <c r="L77" i="3"/>
  <c r="E6" i="13" s="1"/>
  <c r="L78" i="3"/>
  <c r="E7" i="13" s="1"/>
  <c r="L79" i="3"/>
  <c r="E8" i="13" s="1"/>
  <c r="L87" i="3"/>
  <c r="E1" i="14"/>
  <c r="E1" i="15"/>
  <c r="M9" i="3"/>
  <c r="E1" i="4"/>
  <c r="E1" i="5"/>
  <c r="E1" i="6"/>
  <c r="E1" i="7"/>
  <c r="E1" i="8"/>
  <c r="E1" i="10"/>
  <c r="E1" i="11"/>
  <c r="E1" i="9"/>
  <c r="E1" i="12"/>
  <c r="E1" i="13"/>
  <c r="L83" i="3"/>
  <c r="E5" i="14" s="1"/>
  <c r="L82" i="3"/>
  <c r="E4" i="14" s="1"/>
  <c r="L81" i="3"/>
  <c r="E3" i="14" s="1"/>
  <c r="L16" i="3"/>
  <c r="E8" i="4" s="1"/>
  <c r="L11" i="3"/>
  <c r="E3" i="4" s="1"/>
  <c r="M10" i="3" l="1"/>
  <c r="F2" i="4" s="1"/>
  <c r="M86" i="3"/>
  <c r="F8" i="14" s="1"/>
  <c r="M31" i="3"/>
  <c r="F2" i="7" s="1"/>
  <c r="F2" i="5"/>
  <c r="M21" i="3"/>
  <c r="F6" i="5" s="1"/>
  <c r="M24" i="3"/>
  <c r="F2" i="6" s="1"/>
  <c r="M11" i="3"/>
  <c r="F3" i="4" s="1"/>
  <c r="M85" i="3"/>
  <c r="F7" i="14" s="1"/>
  <c r="M15" i="3"/>
  <c r="F7" i="4" s="1"/>
  <c r="M16" i="3"/>
  <c r="F8" i="4" s="1"/>
  <c r="M83" i="3"/>
  <c r="F5" i="14" s="1"/>
  <c r="N84" i="3"/>
  <c r="G6" i="14" s="1"/>
  <c r="M84" i="3"/>
  <c r="F6" i="14" s="1"/>
  <c r="M13" i="3"/>
  <c r="F5" i="4" s="1"/>
  <c r="M14" i="3"/>
  <c r="F6" i="4" s="1"/>
  <c r="M80" i="3"/>
  <c r="F2" i="14" s="1"/>
  <c r="M81" i="3"/>
  <c r="F3" i="14" s="1"/>
  <c r="M82" i="3"/>
  <c r="F4" i="14" s="1"/>
  <c r="M89" i="3"/>
  <c r="M91" i="3"/>
  <c r="M92" i="3"/>
  <c r="M20" i="3"/>
  <c r="F5" i="5" s="1"/>
  <c r="M32" i="3"/>
  <c r="F3" i="7" s="1"/>
  <c r="M33" i="3"/>
  <c r="F4" i="7" s="1"/>
  <c r="M34" i="3"/>
  <c r="F5" i="7" s="1"/>
  <c r="M38" i="3"/>
  <c r="F2" i="8" s="1"/>
  <c r="M39" i="3"/>
  <c r="F3" i="8" s="1"/>
  <c r="M40" i="3"/>
  <c r="F4" i="8" s="1"/>
  <c r="M41" i="3"/>
  <c r="F5" i="8" s="1"/>
  <c r="M42" i="3"/>
  <c r="F6" i="8" s="1"/>
  <c r="M18" i="3"/>
  <c r="F3" i="5" s="1"/>
  <c r="M23" i="3"/>
  <c r="F8" i="5" s="1"/>
  <c r="M26" i="3"/>
  <c r="F4" i="6" s="1"/>
  <c r="M28" i="3"/>
  <c r="F6" i="6" s="1"/>
  <c r="M29" i="3"/>
  <c r="F7" i="6" s="1"/>
  <c r="M30" i="3"/>
  <c r="F8" i="6" s="1"/>
  <c r="M35" i="3"/>
  <c r="F6" i="7" s="1"/>
  <c r="M36" i="3"/>
  <c r="F7" i="7" s="1"/>
  <c r="M37" i="3"/>
  <c r="F8" i="7" s="1"/>
  <c r="M43" i="3"/>
  <c r="F7" i="8" s="1"/>
  <c r="M44" i="3"/>
  <c r="F8" i="8" s="1"/>
  <c r="M45" i="3"/>
  <c r="F2" i="9" s="1"/>
  <c r="M46" i="3"/>
  <c r="F3" i="9" s="1"/>
  <c r="M47" i="3"/>
  <c r="F4" i="9" s="1"/>
  <c r="M48" i="3"/>
  <c r="F5" i="9" s="1"/>
  <c r="M90" i="3"/>
  <c r="M93" i="3"/>
  <c r="M12" i="3"/>
  <c r="F4" i="4" s="1"/>
  <c r="M19" i="3"/>
  <c r="F4" i="5" s="1"/>
  <c r="M22" i="3"/>
  <c r="F7" i="5" s="1"/>
  <c r="M25" i="3"/>
  <c r="F3" i="6" s="1"/>
  <c r="M27" i="3"/>
  <c r="F5" i="6" s="1"/>
  <c r="M49" i="3"/>
  <c r="F6" i="9" s="1"/>
  <c r="M50" i="3"/>
  <c r="F7" i="9" s="1"/>
  <c r="M51" i="3"/>
  <c r="F8" i="9" s="1"/>
  <c r="M52" i="3"/>
  <c r="F2" i="10" s="1"/>
  <c r="M53" i="3"/>
  <c r="F3" i="10" s="1"/>
  <c r="M54" i="3"/>
  <c r="F4" i="10" s="1"/>
  <c r="M56" i="3"/>
  <c r="F6" i="10" s="1"/>
  <c r="M57" i="3"/>
  <c r="F7" i="10" s="1"/>
  <c r="M58" i="3"/>
  <c r="F8" i="10" s="1"/>
  <c r="M59" i="3"/>
  <c r="F2" i="11" s="1"/>
  <c r="M60" i="3"/>
  <c r="F3" i="11" s="1"/>
  <c r="M61" i="3"/>
  <c r="F4" i="11" s="1"/>
  <c r="M62" i="3"/>
  <c r="F5" i="11" s="1"/>
  <c r="M88" i="3"/>
  <c r="M63" i="3"/>
  <c r="F6" i="11" s="1"/>
  <c r="M64" i="3"/>
  <c r="F7" i="11" s="1"/>
  <c r="M65" i="3"/>
  <c r="F8" i="11" s="1"/>
  <c r="M66" i="3"/>
  <c r="F2" i="12" s="1"/>
  <c r="M67" i="3"/>
  <c r="F3" i="12" s="1"/>
  <c r="M68" i="3"/>
  <c r="F4" i="12" s="1"/>
  <c r="M69" i="3"/>
  <c r="F5" i="12" s="1"/>
  <c r="M70" i="3"/>
  <c r="F6" i="12" s="1"/>
  <c r="M71" i="3"/>
  <c r="F7" i="12" s="1"/>
  <c r="M72" i="3"/>
  <c r="F8" i="12" s="1"/>
  <c r="M73" i="3"/>
  <c r="F2" i="13" s="1"/>
  <c r="M74" i="3"/>
  <c r="F3" i="13" s="1"/>
  <c r="M75" i="3"/>
  <c r="F4" i="13" s="1"/>
  <c r="M76" i="3"/>
  <c r="F5" i="13" s="1"/>
  <c r="M77" i="3"/>
  <c r="F6" i="13" s="1"/>
  <c r="M78" i="3"/>
  <c r="F7" i="13" s="1"/>
  <c r="M79" i="3"/>
  <c r="F8" i="13" s="1"/>
  <c r="M87" i="3"/>
  <c r="F1" i="5"/>
  <c r="F1" i="6"/>
  <c r="F1" i="7"/>
  <c r="F1" i="8"/>
  <c r="F1" i="9"/>
  <c r="F1" i="10"/>
  <c r="F1" i="11"/>
  <c r="F1" i="12"/>
  <c r="F1" i="13"/>
  <c r="N9" i="3"/>
  <c r="F1" i="4"/>
  <c r="F1" i="14"/>
  <c r="F1" i="15"/>
  <c r="N17" i="3" l="1"/>
  <c r="G2" i="5" s="1"/>
  <c r="O17" i="3"/>
  <c r="N24" i="3"/>
  <c r="G2" i="6" s="1"/>
  <c r="N31" i="3"/>
  <c r="G2" i="7" s="1"/>
  <c r="N10" i="3"/>
  <c r="G2" i="4" s="1"/>
  <c r="N21" i="3"/>
  <c r="G6" i="5" s="1"/>
  <c r="N55" i="3"/>
  <c r="G5" i="10" s="1"/>
  <c r="N85" i="3"/>
  <c r="G7" i="14" s="1"/>
  <c r="N52" i="3"/>
  <c r="G2" i="10" s="1"/>
  <c r="N11" i="3"/>
  <c r="G3" i="4" s="1"/>
  <c r="N83" i="3"/>
  <c r="G5" i="14" s="1"/>
  <c r="N15" i="3"/>
  <c r="G7" i="4" s="1"/>
  <c r="N16" i="3"/>
  <c r="G8" i="4" s="1"/>
  <c r="N86" i="3"/>
  <c r="G8" i="14" s="1"/>
  <c r="N13" i="3"/>
  <c r="G5" i="4" s="1"/>
  <c r="N81" i="3"/>
  <c r="G3" i="14" s="1"/>
  <c r="N82" i="3"/>
  <c r="G4" i="14" s="1"/>
  <c r="N88" i="3"/>
  <c r="N12" i="3"/>
  <c r="G4" i="4" s="1"/>
  <c r="N19" i="3"/>
  <c r="G4" i="5" s="1"/>
  <c r="N26" i="3"/>
  <c r="G4" i="6" s="1"/>
  <c r="N27" i="3"/>
  <c r="G5" i="6" s="1"/>
  <c r="N28" i="3"/>
  <c r="G6" i="6" s="1"/>
  <c r="N32" i="3"/>
  <c r="G3" i="7" s="1"/>
  <c r="N33" i="3"/>
  <c r="G4" i="7" s="1"/>
  <c r="N35" i="3"/>
  <c r="G6" i="7" s="1"/>
  <c r="N40" i="3"/>
  <c r="G4" i="8" s="1"/>
  <c r="N41" i="3"/>
  <c r="G5" i="8" s="1"/>
  <c r="N42" i="3"/>
  <c r="G6" i="8" s="1"/>
  <c r="N89" i="3"/>
  <c r="N90" i="3"/>
  <c r="N92" i="3"/>
  <c r="N93" i="3"/>
  <c r="N20" i="3"/>
  <c r="G5" i="5" s="1"/>
  <c r="N23" i="3"/>
  <c r="G8" i="5" s="1"/>
  <c r="N29" i="3"/>
  <c r="G7" i="6" s="1"/>
  <c r="N30" i="3"/>
  <c r="G8" i="6" s="1"/>
  <c r="N34" i="3"/>
  <c r="G5" i="7" s="1"/>
  <c r="N36" i="3"/>
  <c r="G7" i="7" s="1"/>
  <c r="N37" i="3"/>
  <c r="G8" i="7" s="1"/>
  <c r="N38" i="3"/>
  <c r="G2" i="8" s="1"/>
  <c r="N39" i="3"/>
  <c r="G3" i="8" s="1"/>
  <c r="N43" i="3"/>
  <c r="G7" i="8" s="1"/>
  <c r="N44" i="3"/>
  <c r="G8" i="8" s="1"/>
  <c r="N45" i="3"/>
  <c r="G2" i="9" s="1"/>
  <c r="N46" i="3"/>
  <c r="G3" i="9" s="1"/>
  <c r="N47" i="3"/>
  <c r="G4" i="9" s="1"/>
  <c r="N48" i="3"/>
  <c r="G5" i="9" s="1"/>
  <c r="N91" i="3"/>
  <c r="N18" i="3"/>
  <c r="G3" i="5" s="1"/>
  <c r="N22" i="3"/>
  <c r="G7" i="5" s="1"/>
  <c r="N25" i="3"/>
  <c r="G3" i="6" s="1"/>
  <c r="N49" i="3"/>
  <c r="G6" i="9" s="1"/>
  <c r="N50" i="3"/>
  <c r="G7" i="9" s="1"/>
  <c r="N51" i="3"/>
  <c r="G8" i="9" s="1"/>
  <c r="N53" i="3"/>
  <c r="G3" i="10" s="1"/>
  <c r="N54" i="3"/>
  <c r="G4" i="10" s="1"/>
  <c r="N56" i="3"/>
  <c r="G6" i="10" s="1"/>
  <c r="N57" i="3"/>
  <c r="G7" i="10" s="1"/>
  <c r="N58" i="3"/>
  <c r="G8" i="10" s="1"/>
  <c r="N59" i="3"/>
  <c r="G2" i="11" s="1"/>
  <c r="N60" i="3"/>
  <c r="G3" i="11" s="1"/>
  <c r="N61" i="3"/>
  <c r="G4" i="11" s="1"/>
  <c r="N62" i="3"/>
  <c r="G5" i="11" s="1"/>
  <c r="N63" i="3"/>
  <c r="G6" i="11" s="1"/>
  <c r="N64" i="3"/>
  <c r="G7" i="11" s="1"/>
  <c r="N65" i="3"/>
  <c r="G8" i="11" s="1"/>
  <c r="N66" i="3"/>
  <c r="G2" i="12" s="1"/>
  <c r="N67" i="3"/>
  <c r="G3" i="12" s="1"/>
  <c r="N68" i="3"/>
  <c r="G4" i="12" s="1"/>
  <c r="N69" i="3"/>
  <c r="G5" i="12" s="1"/>
  <c r="N70" i="3"/>
  <c r="G6" i="12" s="1"/>
  <c r="N71" i="3"/>
  <c r="G7" i="12" s="1"/>
  <c r="N72" i="3"/>
  <c r="G8" i="12" s="1"/>
  <c r="N73" i="3"/>
  <c r="G2" i="13" s="1"/>
  <c r="N74" i="3"/>
  <c r="G3" i="13" s="1"/>
  <c r="N75" i="3"/>
  <c r="G4" i="13" s="1"/>
  <c r="N76" i="3"/>
  <c r="G5" i="13" s="1"/>
  <c r="N77" i="3"/>
  <c r="G6" i="13" s="1"/>
  <c r="N78" i="3"/>
  <c r="G7" i="13" s="1"/>
  <c r="N79" i="3"/>
  <c r="G8" i="13" s="1"/>
  <c r="N87" i="3"/>
  <c r="G1" i="14"/>
  <c r="G1" i="15"/>
  <c r="O9" i="3"/>
  <c r="G1" i="4"/>
  <c r="G1" i="5"/>
  <c r="G1" i="6"/>
  <c r="G1" i="7"/>
  <c r="G1" i="8"/>
  <c r="G1" i="10"/>
  <c r="G1" i="11"/>
  <c r="G1" i="9"/>
  <c r="G1" i="12"/>
  <c r="G1" i="13"/>
  <c r="O10" i="3"/>
  <c r="H2" i="4" s="1"/>
  <c r="N14" i="3"/>
  <c r="G6" i="4" s="1"/>
  <c r="N80" i="3"/>
  <c r="G2" i="14" s="1"/>
  <c r="O24" i="3" l="1"/>
  <c r="H2" i="6" s="1"/>
  <c r="H2" i="5"/>
  <c r="O31" i="3"/>
  <c r="H2" i="7" s="1"/>
  <c r="O21" i="3"/>
  <c r="H6" i="5" s="1"/>
  <c r="O84" i="3"/>
  <c r="H6" i="14" s="1"/>
  <c r="O55" i="3"/>
  <c r="H5" i="10" s="1"/>
  <c r="O11" i="3"/>
  <c r="H3" i="4" s="1"/>
  <c r="O15" i="3"/>
  <c r="H7" i="4" s="1"/>
  <c r="O16" i="3"/>
  <c r="H8" i="4" s="1"/>
  <c r="O85" i="3"/>
  <c r="H7" i="14" s="1"/>
  <c r="O86" i="3"/>
  <c r="H8" i="14" s="1"/>
  <c r="O13" i="3"/>
  <c r="H5" i="4" s="1"/>
  <c r="O81" i="3"/>
  <c r="H3" i="14" s="1"/>
  <c r="O82" i="3"/>
  <c r="H4" i="14" s="1"/>
  <c r="O83" i="3"/>
  <c r="H5" i="14" s="1"/>
  <c r="O22" i="3"/>
  <c r="H7" i="5" s="1"/>
  <c r="O30" i="3"/>
  <c r="H8" i="6" s="1"/>
  <c r="O33" i="3"/>
  <c r="H4" i="7" s="1"/>
  <c r="O37" i="3"/>
  <c r="H8" i="7" s="1"/>
  <c r="O39" i="3"/>
  <c r="H3" i="8" s="1"/>
  <c r="O40" i="3"/>
  <c r="H4" i="8" s="1"/>
  <c r="O41" i="3"/>
  <c r="H5" i="8" s="1"/>
  <c r="O42" i="3"/>
  <c r="H6" i="8" s="1"/>
  <c r="O89" i="3"/>
  <c r="O90" i="3"/>
  <c r="O91" i="3"/>
  <c r="O92" i="3"/>
  <c r="O93" i="3"/>
  <c r="O20" i="3"/>
  <c r="H5" i="5" s="1"/>
  <c r="O23" i="3"/>
  <c r="H8" i="5" s="1"/>
  <c r="O25" i="3"/>
  <c r="H3" i="6" s="1"/>
  <c r="O26" i="3"/>
  <c r="H4" i="6" s="1"/>
  <c r="O27" i="3"/>
  <c r="H5" i="6" s="1"/>
  <c r="O28" i="3"/>
  <c r="H6" i="6" s="1"/>
  <c r="O29" i="3"/>
  <c r="H7" i="6" s="1"/>
  <c r="O32" i="3"/>
  <c r="H3" i="7" s="1"/>
  <c r="O34" i="3"/>
  <c r="H5" i="7" s="1"/>
  <c r="O35" i="3"/>
  <c r="H6" i="7" s="1"/>
  <c r="O36" i="3"/>
  <c r="H7" i="7" s="1"/>
  <c r="O38" i="3"/>
  <c r="H2" i="8" s="1"/>
  <c r="O43" i="3"/>
  <c r="H7" i="8" s="1"/>
  <c r="O44" i="3"/>
  <c r="H8" i="8" s="1"/>
  <c r="O45" i="3"/>
  <c r="H2" i="9" s="1"/>
  <c r="O46" i="3"/>
  <c r="H3" i="9" s="1"/>
  <c r="O47" i="3"/>
  <c r="H4" i="9" s="1"/>
  <c r="O48" i="3"/>
  <c r="H5" i="9" s="1"/>
  <c r="O88" i="3"/>
  <c r="O12" i="3"/>
  <c r="H4" i="4" s="1"/>
  <c r="O18" i="3"/>
  <c r="H3" i="5" s="1"/>
  <c r="O19" i="3"/>
  <c r="H4" i="5" s="1"/>
  <c r="O49" i="3"/>
  <c r="H6" i="9" s="1"/>
  <c r="O50" i="3"/>
  <c r="H7" i="9" s="1"/>
  <c r="O51" i="3"/>
  <c r="H8" i="9" s="1"/>
  <c r="O52" i="3"/>
  <c r="H2" i="10" s="1"/>
  <c r="O53" i="3"/>
  <c r="H3" i="10" s="1"/>
  <c r="O54" i="3"/>
  <c r="H4" i="10" s="1"/>
  <c r="O56" i="3"/>
  <c r="H6" i="10" s="1"/>
  <c r="O57" i="3"/>
  <c r="H7" i="10" s="1"/>
  <c r="O58" i="3"/>
  <c r="H8" i="10" s="1"/>
  <c r="O59" i="3"/>
  <c r="H2" i="11" s="1"/>
  <c r="O60" i="3"/>
  <c r="H3" i="11" s="1"/>
  <c r="O61" i="3"/>
  <c r="H4" i="11" s="1"/>
  <c r="O62" i="3"/>
  <c r="H5" i="11" s="1"/>
  <c r="O63" i="3"/>
  <c r="H6" i="11" s="1"/>
  <c r="O64" i="3"/>
  <c r="H7" i="11" s="1"/>
  <c r="O65" i="3"/>
  <c r="H8" i="11" s="1"/>
  <c r="O66" i="3"/>
  <c r="H2" i="12" s="1"/>
  <c r="O67" i="3"/>
  <c r="H3" i="12" s="1"/>
  <c r="O68" i="3"/>
  <c r="H4" i="12" s="1"/>
  <c r="O69" i="3"/>
  <c r="H5" i="12" s="1"/>
  <c r="O70" i="3"/>
  <c r="H6" i="12" s="1"/>
  <c r="O71" i="3"/>
  <c r="H7" i="12" s="1"/>
  <c r="O72" i="3"/>
  <c r="H8" i="12" s="1"/>
  <c r="O73" i="3"/>
  <c r="H2" i="13" s="1"/>
  <c r="O74" i="3"/>
  <c r="H3" i="13" s="1"/>
  <c r="O76" i="3"/>
  <c r="H5" i="13" s="1"/>
  <c r="O77" i="3"/>
  <c r="H6" i="13" s="1"/>
  <c r="O78" i="3"/>
  <c r="H7" i="13" s="1"/>
  <c r="O79" i="3"/>
  <c r="H8" i="13" s="1"/>
  <c r="O87" i="3"/>
  <c r="H1" i="5"/>
  <c r="H1" i="6"/>
  <c r="H1" i="7"/>
  <c r="P9" i="3"/>
  <c r="H1" i="9"/>
  <c r="H1" i="10"/>
  <c r="H1" i="11"/>
  <c r="O75" i="3"/>
  <c r="H4" i="13" s="1"/>
  <c r="H1" i="4"/>
  <c r="H1" i="8"/>
  <c r="H1" i="12"/>
  <c r="H1" i="13"/>
  <c r="H1" i="14"/>
  <c r="H1" i="15"/>
  <c r="O14" i="3"/>
  <c r="H6" i="4" s="1"/>
  <c r="O80" i="3"/>
  <c r="H2" i="14" s="1"/>
  <c r="P84" i="3" l="1"/>
  <c r="I6" i="14" s="1"/>
  <c r="P31" i="3"/>
  <c r="I2" i="7" s="1"/>
  <c r="P24" i="3"/>
  <c r="I2" i="6" s="1"/>
  <c r="P21" i="3"/>
  <c r="I6" i="5" s="1"/>
  <c r="P80" i="3"/>
  <c r="I2" i="14" s="1"/>
  <c r="P14" i="3"/>
  <c r="I6" i="4" s="1"/>
  <c r="P17" i="3"/>
  <c r="Q17" i="3"/>
  <c r="P10" i="3"/>
  <c r="I2" i="4" s="1"/>
  <c r="I2" i="5"/>
  <c r="P55" i="3"/>
  <c r="I5" i="10" s="1"/>
  <c r="P85" i="3"/>
  <c r="I7" i="14" s="1"/>
  <c r="P86" i="3"/>
  <c r="I8" i="14" s="1"/>
  <c r="P11" i="3"/>
  <c r="I3" i="4" s="1"/>
  <c r="P13" i="3"/>
  <c r="I5" i="4" s="1"/>
  <c r="P16" i="3"/>
  <c r="I8" i="4" s="1"/>
  <c r="P15" i="3"/>
  <c r="I7" i="4" s="1"/>
  <c r="P81" i="3"/>
  <c r="I3" i="14" s="1"/>
  <c r="P82" i="3"/>
  <c r="I4" i="14" s="1"/>
  <c r="P83" i="3"/>
  <c r="I5" i="14" s="1"/>
  <c r="P18" i="3"/>
  <c r="I3" i="5" s="1"/>
  <c r="P20" i="3"/>
  <c r="I5" i="5" s="1"/>
  <c r="P23" i="3"/>
  <c r="I8" i="5" s="1"/>
  <c r="P26" i="3"/>
  <c r="I4" i="6" s="1"/>
  <c r="P29" i="3"/>
  <c r="I7" i="6" s="1"/>
  <c r="P30" i="3"/>
  <c r="I8" i="6" s="1"/>
  <c r="P36" i="3"/>
  <c r="I7" i="7" s="1"/>
  <c r="P39" i="3"/>
  <c r="I3" i="8" s="1"/>
  <c r="P40" i="3"/>
  <c r="I4" i="8" s="1"/>
  <c r="P41" i="3"/>
  <c r="I5" i="8" s="1"/>
  <c r="P42" i="3"/>
  <c r="I6" i="8" s="1"/>
  <c r="P88" i="3"/>
  <c r="P89" i="3"/>
  <c r="P93" i="3"/>
  <c r="P19" i="3"/>
  <c r="I4" i="5" s="1"/>
  <c r="P22" i="3"/>
  <c r="I7" i="5" s="1"/>
  <c r="P27" i="3"/>
  <c r="I5" i="6" s="1"/>
  <c r="P28" i="3"/>
  <c r="I6" i="6" s="1"/>
  <c r="P32" i="3"/>
  <c r="I3" i="7" s="1"/>
  <c r="P33" i="3"/>
  <c r="I4" i="7" s="1"/>
  <c r="P34" i="3"/>
  <c r="I5" i="7" s="1"/>
  <c r="P35" i="3"/>
  <c r="I6" i="7" s="1"/>
  <c r="P37" i="3"/>
  <c r="I8" i="7" s="1"/>
  <c r="P38" i="3"/>
  <c r="I2" i="8" s="1"/>
  <c r="P43" i="3"/>
  <c r="I7" i="8" s="1"/>
  <c r="P44" i="3"/>
  <c r="I8" i="8" s="1"/>
  <c r="P45" i="3"/>
  <c r="I2" i="9" s="1"/>
  <c r="P46" i="3"/>
  <c r="I3" i="9" s="1"/>
  <c r="P47" i="3"/>
  <c r="I4" i="9" s="1"/>
  <c r="P48" i="3"/>
  <c r="I5" i="9" s="1"/>
  <c r="P90" i="3"/>
  <c r="P91" i="3"/>
  <c r="P92" i="3"/>
  <c r="P12" i="3"/>
  <c r="I4" i="4" s="1"/>
  <c r="P25" i="3"/>
  <c r="I3" i="6" s="1"/>
  <c r="P49" i="3"/>
  <c r="I6" i="9" s="1"/>
  <c r="P50" i="3"/>
  <c r="I7" i="9" s="1"/>
  <c r="P51" i="3"/>
  <c r="I8" i="9" s="1"/>
  <c r="P52" i="3"/>
  <c r="I2" i="10" s="1"/>
  <c r="P53" i="3"/>
  <c r="I3" i="10" s="1"/>
  <c r="P54" i="3"/>
  <c r="I4" i="10" s="1"/>
  <c r="P56" i="3"/>
  <c r="I6" i="10" s="1"/>
  <c r="P57" i="3"/>
  <c r="I7" i="10" s="1"/>
  <c r="P58" i="3"/>
  <c r="I8" i="10" s="1"/>
  <c r="P59" i="3"/>
  <c r="I2" i="11" s="1"/>
  <c r="P60" i="3"/>
  <c r="I3" i="11" s="1"/>
  <c r="P61" i="3"/>
  <c r="I4" i="11" s="1"/>
  <c r="P62" i="3"/>
  <c r="I5" i="11" s="1"/>
  <c r="P63" i="3"/>
  <c r="I6" i="11" s="1"/>
  <c r="P64" i="3"/>
  <c r="I7" i="11" s="1"/>
  <c r="P65" i="3"/>
  <c r="I8" i="11" s="1"/>
  <c r="P66" i="3"/>
  <c r="I2" i="12" s="1"/>
  <c r="P68" i="3"/>
  <c r="I4" i="12" s="1"/>
  <c r="P69" i="3"/>
  <c r="I5" i="12" s="1"/>
  <c r="P70" i="3"/>
  <c r="I6" i="12" s="1"/>
  <c r="P71" i="3"/>
  <c r="I7" i="12" s="1"/>
  <c r="P72" i="3"/>
  <c r="I8" i="12" s="1"/>
  <c r="P73" i="3"/>
  <c r="I2" i="13" s="1"/>
  <c r="P74" i="3"/>
  <c r="I3" i="13" s="1"/>
  <c r="P75" i="3"/>
  <c r="I4" i="13" s="1"/>
  <c r="P76" i="3"/>
  <c r="I5" i="13" s="1"/>
  <c r="P77" i="3"/>
  <c r="I6" i="13" s="1"/>
  <c r="P78" i="3"/>
  <c r="I7" i="13" s="1"/>
  <c r="P79" i="3"/>
  <c r="I8" i="13" s="1"/>
  <c r="P87" i="3"/>
  <c r="I1" i="8"/>
  <c r="I1" i="10"/>
  <c r="I1" i="11"/>
  <c r="I1" i="9"/>
  <c r="I1" i="12"/>
  <c r="I1" i="13"/>
  <c r="P67" i="3"/>
  <c r="I3" i="12" s="1"/>
  <c r="I1" i="14"/>
  <c r="I1" i="15"/>
  <c r="Q9" i="3"/>
  <c r="I1" i="4"/>
  <c r="I1" i="5"/>
  <c r="I1" i="6"/>
  <c r="I1" i="7"/>
  <c r="R84" i="3" l="1"/>
  <c r="K6" i="14" s="1"/>
  <c r="Q10" i="3"/>
  <c r="J2" i="4" s="1"/>
  <c r="Q31" i="3"/>
  <c r="J2" i="7" s="1"/>
  <c r="Q84" i="3"/>
  <c r="J6" i="14" s="1"/>
  <c r="Q80" i="3"/>
  <c r="J2" i="14" s="1"/>
  <c r="Q14" i="3"/>
  <c r="J6" i="4" s="1"/>
  <c r="J2" i="5"/>
  <c r="Q24" i="3"/>
  <c r="J2" i="6" s="1"/>
  <c r="Q21" i="3"/>
  <c r="J6" i="5" s="1"/>
  <c r="Q55" i="3"/>
  <c r="J5" i="10" s="1"/>
  <c r="Q86" i="3"/>
  <c r="J8" i="14" s="1"/>
  <c r="Q85" i="3"/>
  <c r="J7" i="14" s="1"/>
  <c r="Q11" i="3"/>
  <c r="J3" i="4" s="1"/>
  <c r="Q83" i="3"/>
  <c r="J5" i="14" s="1"/>
  <c r="Q15" i="3"/>
  <c r="J7" i="4" s="1"/>
  <c r="Q16" i="3"/>
  <c r="J8" i="4" s="1"/>
  <c r="Q13" i="3"/>
  <c r="J5" i="4" s="1"/>
  <c r="Q81" i="3"/>
  <c r="J3" i="14" s="1"/>
  <c r="Q82" i="3"/>
  <c r="J4" i="14" s="1"/>
  <c r="Q92" i="3"/>
  <c r="Q18" i="3"/>
  <c r="J3" i="5" s="1"/>
  <c r="Q23" i="3"/>
  <c r="J8" i="5" s="1"/>
  <c r="Q25" i="3"/>
  <c r="J3" i="6" s="1"/>
  <c r="Q29" i="3"/>
  <c r="J7" i="6" s="1"/>
  <c r="Q34" i="3"/>
  <c r="J5" i="7" s="1"/>
  <c r="Q35" i="3"/>
  <c r="J6" i="7" s="1"/>
  <c r="Q36" i="3"/>
  <c r="J7" i="7" s="1"/>
  <c r="Q38" i="3"/>
  <c r="J2" i="8" s="1"/>
  <c r="Q39" i="3"/>
  <c r="J3" i="8" s="1"/>
  <c r="Q40" i="3"/>
  <c r="J4" i="8" s="1"/>
  <c r="Q41" i="3"/>
  <c r="J5" i="8" s="1"/>
  <c r="Q42" i="3"/>
  <c r="J6" i="8" s="1"/>
  <c r="Q87" i="3"/>
  <c r="Q90" i="3"/>
  <c r="Q91" i="3"/>
  <c r="Q12" i="3"/>
  <c r="J4" i="4" s="1"/>
  <c r="Q22" i="3"/>
  <c r="J7" i="5" s="1"/>
  <c r="Q27" i="3"/>
  <c r="J5" i="6" s="1"/>
  <c r="Q28" i="3"/>
  <c r="J6" i="6" s="1"/>
  <c r="Q30" i="3"/>
  <c r="J8" i="6" s="1"/>
  <c r="Q32" i="3"/>
  <c r="J3" i="7" s="1"/>
  <c r="Q33" i="3"/>
  <c r="J4" i="7" s="1"/>
  <c r="Q37" i="3"/>
  <c r="J8" i="7" s="1"/>
  <c r="Q43" i="3"/>
  <c r="J7" i="8" s="1"/>
  <c r="Q44" i="3"/>
  <c r="J8" i="8" s="1"/>
  <c r="Q45" i="3"/>
  <c r="J2" i="9" s="1"/>
  <c r="Q46" i="3"/>
  <c r="J3" i="9" s="1"/>
  <c r="Q47" i="3"/>
  <c r="J4" i="9" s="1"/>
  <c r="Q48" i="3"/>
  <c r="J5" i="9" s="1"/>
  <c r="Q89" i="3"/>
  <c r="Q93" i="3"/>
  <c r="Q19" i="3"/>
  <c r="J4" i="5" s="1"/>
  <c r="Q20" i="3"/>
  <c r="J5" i="5" s="1"/>
  <c r="Q26" i="3"/>
  <c r="J4" i="6" s="1"/>
  <c r="Q49" i="3"/>
  <c r="J6" i="9" s="1"/>
  <c r="Q50" i="3"/>
  <c r="J7" i="9" s="1"/>
  <c r="Q51" i="3"/>
  <c r="J8" i="9" s="1"/>
  <c r="Q52" i="3"/>
  <c r="J2" i="10" s="1"/>
  <c r="Q53" i="3"/>
  <c r="J3" i="10" s="1"/>
  <c r="Q54" i="3"/>
  <c r="J4" i="10" s="1"/>
  <c r="Q56" i="3"/>
  <c r="J6" i="10" s="1"/>
  <c r="Q57" i="3"/>
  <c r="J7" i="10" s="1"/>
  <c r="Q58" i="3"/>
  <c r="J8" i="10" s="1"/>
  <c r="Q59" i="3"/>
  <c r="J2" i="11" s="1"/>
  <c r="Q60" i="3"/>
  <c r="J3" i="11" s="1"/>
  <c r="Q61" i="3"/>
  <c r="J4" i="11" s="1"/>
  <c r="Q62" i="3"/>
  <c r="J5" i="11" s="1"/>
  <c r="Q88" i="3"/>
  <c r="Q63" i="3"/>
  <c r="J6" i="11" s="1"/>
  <c r="Q64" i="3"/>
  <c r="J7" i="11" s="1"/>
  <c r="Q65" i="3"/>
  <c r="J8" i="11" s="1"/>
  <c r="Q66" i="3"/>
  <c r="J2" i="12" s="1"/>
  <c r="Q67" i="3"/>
  <c r="J3" i="12" s="1"/>
  <c r="Q68" i="3"/>
  <c r="J4" i="12" s="1"/>
  <c r="Q69" i="3"/>
  <c r="J5" i="12" s="1"/>
  <c r="Q70" i="3"/>
  <c r="J6" i="12" s="1"/>
  <c r="Q71" i="3"/>
  <c r="J7" i="12" s="1"/>
  <c r="Q72" i="3"/>
  <c r="J8" i="12" s="1"/>
  <c r="Q73" i="3"/>
  <c r="J2" i="13" s="1"/>
  <c r="Q74" i="3"/>
  <c r="J3" i="13" s="1"/>
  <c r="Q75" i="3"/>
  <c r="J4" i="13" s="1"/>
  <c r="Q76" i="3"/>
  <c r="J5" i="13" s="1"/>
  <c r="Q77" i="3"/>
  <c r="J6" i="13" s="1"/>
  <c r="Q78" i="3"/>
  <c r="J7" i="13" s="1"/>
  <c r="Q79" i="3"/>
  <c r="J8" i="13" s="1"/>
  <c r="J1" i="5"/>
  <c r="J1" i="6"/>
  <c r="J1" i="7"/>
  <c r="R9" i="3"/>
  <c r="J1" i="4"/>
  <c r="J1" i="9"/>
  <c r="J1" i="10"/>
  <c r="J1" i="11"/>
  <c r="J1" i="8"/>
  <c r="J1" i="12"/>
  <c r="J1" i="13"/>
  <c r="J1" i="14"/>
  <c r="J1" i="15"/>
  <c r="R17" i="3" l="1"/>
  <c r="S17" i="3"/>
  <c r="R24" i="3"/>
  <c r="K2" i="6" s="1"/>
  <c r="R10" i="3"/>
  <c r="K2" i="4" s="1"/>
  <c r="K2" i="5"/>
  <c r="R80" i="3"/>
  <c r="K2" i="14" s="1"/>
  <c r="R21" i="3"/>
  <c r="K6" i="5" s="1"/>
  <c r="R31" i="3"/>
  <c r="K2" i="7" s="1"/>
  <c r="R14" i="3"/>
  <c r="K6" i="4" s="1"/>
  <c r="R55" i="3"/>
  <c r="K5" i="10" s="1"/>
  <c r="R85" i="3"/>
  <c r="K7" i="14" s="1"/>
  <c r="R52" i="3"/>
  <c r="K2" i="10" s="1"/>
  <c r="R83" i="3"/>
  <c r="K5" i="14" s="1"/>
  <c r="R11" i="3"/>
  <c r="K3" i="4" s="1"/>
  <c r="R86" i="3"/>
  <c r="K8" i="14" s="1"/>
  <c r="R13" i="3"/>
  <c r="K5" i="4" s="1"/>
  <c r="R15" i="3"/>
  <c r="K7" i="4" s="1"/>
  <c r="R16" i="3"/>
  <c r="K8" i="4" s="1"/>
  <c r="R81" i="3"/>
  <c r="K3" i="14" s="1"/>
  <c r="R82" i="3"/>
  <c r="K4" i="14" s="1"/>
  <c r="R89" i="3"/>
  <c r="R91" i="3"/>
  <c r="R12" i="3"/>
  <c r="K4" i="4" s="1"/>
  <c r="R22" i="3"/>
  <c r="K7" i="5" s="1"/>
  <c r="R28" i="3"/>
  <c r="K6" i="6" s="1"/>
  <c r="R29" i="3"/>
  <c r="K7" i="6" s="1"/>
  <c r="R32" i="3"/>
  <c r="K3" i="7" s="1"/>
  <c r="R34" i="3"/>
  <c r="K5" i="7" s="1"/>
  <c r="R38" i="3"/>
  <c r="K2" i="8" s="1"/>
  <c r="R39" i="3"/>
  <c r="K3" i="8" s="1"/>
  <c r="R40" i="3"/>
  <c r="K4" i="8" s="1"/>
  <c r="R41" i="3"/>
  <c r="K5" i="8" s="1"/>
  <c r="R42" i="3"/>
  <c r="K6" i="8" s="1"/>
  <c r="R19" i="3"/>
  <c r="K4" i="5" s="1"/>
  <c r="R20" i="3"/>
  <c r="K5" i="5" s="1"/>
  <c r="R30" i="3"/>
  <c r="K8" i="6" s="1"/>
  <c r="R33" i="3"/>
  <c r="K4" i="7" s="1"/>
  <c r="R35" i="3"/>
  <c r="K6" i="7" s="1"/>
  <c r="R36" i="3"/>
  <c r="K7" i="7" s="1"/>
  <c r="R37" i="3"/>
  <c r="K8" i="7" s="1"/>
  <c r="R43" i="3"/>
  <c r="K7" i="8" s="1"/>
  <c r="R44" i="3"/>
  <c r="K8" i="8" s="1"/>
  <c r="R45" i="3"/>
  <c r="K2" i="9" s="1"/>
  <c r="R46" i="3"/>
  <c r="K3" i="9" s="1"/>
  <c r="R47" i="3"/>
  <c r="K4" i="9" s="1"/>
  <c r="R48" i="3"/>
  <c r="K5" i="9" s="1"/>
  <c r="R88" i="3"/>
  <c r="R90" i="3"/>
  <c r="R92" i="3"/>
  <c r="R93" i="3"/>
  <c r="R18" i="3"/>
  <c r="K3" i="5" s="1"/>
  <c r="R23" i="3"/>
  <c r="K8" i="5" s="1"/>
  <c r="R25" i="3"/>
  <c r="K3" i="6" s="1"/>
  <c r="R26" i="3"/>
  <c r="K4" i="6" s="1"/>
  <c r="R27" i="3"/>
  <c r="K5" i="6" s="1"/>
  <c r="R49" i="3"/>
  <c r="K6" i="9" s="1"/>
  <c r="R50" i="3"/>
  <c r="K7" i="9" s="1"/>
  <c r="R51" i="3"/>
  <c r="K8" i="9" s="1"/>
  <c r="R53" i="3"/>
  <c r="K3" i="10" s="1"/>
  <c r="R54" i="3"/>
  <c r="K4" i="10" s="1"/>
  <c r="R56" i="3"/>
  <c r="K6" i="10" s="1"/>
  <c r="R57" i="3"/>
  <c r="K7" i="10" s="1"/>
  <c r="R58" i="3"/>
  <c r="K8" i="10" s="1"/>
  <c r="R59" i="3"/>
  <c r="K2" i="11" s="1"/>
  <c r="R60" i="3"/>
  <c r="K3" i="11" s="1"/>
  <c r="R61" i="3"/>
  <c r="K4" i="11" s="1"/>
  <c r="R62" i="3"/>
  <c r="K5" i="11" s="1"/>
  <c r="R63" i="3"/>
  <c r="K6" i="11" s="1"/>
  <c r="R64" i="3"/>
  <c r="K7" i="11" s="1"/>
  <c r="R65" i="3"/>
  <c r="K8" i="11" s="1"/>
  <c r="R66" i="3"/>
  <c r="K2" i="12" s="1"/>
  <c r="R67" i="3"/>
  <c r="K3" i="12" s="1"/>
  <c r="R68" i="3"/>
  <c r="K4" i="12" s="1"/>
  <c r="R69" i="3"/>
  <c r="K5" i="12" s="1"/>
  <c r="R70" i="3"/>
  <c r="K6" i="12" s="1"/>
  <c r="R71" i="3"/>
  <c r="K7" i="12" s="1"/>
  <c r="R72" i="3"/>
  <c r="K8" i="12" s="1"/>
  <c r="R73" i="3"/>
  <c r="K2" i="13" s="1"/>
  <c r="R74" i="3"/>
  <c r="K3" i="13" s="1"/>
  <c r="R75" i="3"/>
  <c r="K4" i="13" s="1"/>
  <c r="R76" i="3"/>
  <c r="K5" i="13" s="1"/>
  <c r="R77" i="3"/>
  <c r="K6" i="13" s="1"/>
  <c r="R78" i="3"/>
  <c r="K7" i="13" s="1"/>
  <c r="R79" i="3"/>
  <c r="K8" i="13" s="1"/>
  <c r="R87" i="3"/>
  <c r="K1" i="8"/>
  <c r="K1" i="10"/>
  <c r="K1" i="11"/>
  <c r="K1" i="9"/>
  <c r="K1" i="12"/>
  <c r="K1" i="13"/>
  <c r="S9" i="3"/>
  <c r="K1" i="14"/>
  <c r="K1" i="15"/>
  <c r="K1" i="4"/>
  <c r="K1" i="5"/>
  <c r="K1" i="6"/>
  <c r="K1" i="7"/>
  <c r="S84" i="3" l="1"/>
  <c r="L6" i="14" s="1"/>
  <c r="S14" i="3"/>
  <c r="L6" i="4" s="1"/>
  <c r="S31" i="3"/>
  <c r="L2" i="7" s="1"/>
  <c r="S80" i="3"/>
  <c r="L2" i="14" s="1"/>
  <c r="S24" i="3"/>
  <c r="L2" i="6" s="1"/>
  <c r="L2" i="5"/>
  <c r="S21" i="3"/>
  <c r="L6" i="5" s="1"/>
  <c r="S10" i="3"/>
  <c r="L2" i="4" s="1"/>
  <c r="S55" i="3"/>
  <c r="L5" i="10" s="1"/>
  <c r="S83" i="3"/>
  <c r="L5" i="14" s="1"/>
  <c r="S11" i="3"/>
  <c r="L3" i="4" s="1"/>
  <c r="S13" i="3"/>
  <c r="L5" i="4" s="1"/>
  <c r="S86" i="3"/>
  <c r="L8" i="14" s="1"/>
  <c r="S16" i="3"/>
  <c r="L8" i="4" s="1"/>
  <c r="S85" i="3"/>
  <c r="L7" i="14" s="1"/>
  <c r="S15" i="3"/>
  <c r="L7" i="4" s="1"/>
  <c r="S81" i="3"/>
  <c r="L3" i="14" s="1"/>
  <c r="S82" i="3"/>
  <c r="L4" i="14" s="1"/>
  <c r="S90" i="3"/>
  <c r="S91" i="3"/>
  <c r="S12" i="3"/>
  <c r="L4" i="4" s="1"/>
  <c r="S18" i="3"/>
  <c r="L3" i="5" s="1"/>
  <c r="S19" i="3"/>
  <c r="L4" i="5" s="1"/>
  <c r="S20" i="3"/>
  <c r="L5" i="5" s="1"/>
  <c r="S28" i="3"/>
  <c r="L6" i="6" s="1"/>
  <c r="S33" i="3"/>
  <c r="L4" i="7" s="1"/>
  <c r="S35" i="3"/>
  <c r="L6" i="7" s="1"/>
  <c r="S36" i="3"/>
  <c r="L7" i="7" s="1"/>
  <c r="S37" i="3"/>
  <c r="L8" i="7" s="1"/>
  <c r="S39" i="3"/>
  <c r="L3" i="8" s="1"/>
  <c r="S40" i="3"/>
  <c r="L4" i="8" s="1"/>
  <c r="S41" i="3"/>
  <c r="L5" i="8" s="1"/>
  <c r="S42" i="3"/>
  <c r="L6" i="8" s="1"/>
  <c r="S89" i="3"/>
  <c r="S92" i="3"/>
  <c r="S93" i="3"/>
  <c r="S23" i="3"/>
  <c r="L8" i="5" s="1"/>
  <c r="S25" i="3"/>
  <c r="L3" i="6" s="1"/>
  <c r="S26" i="3"/>
  <c r="L4" i="6" s="1"/>
  <c r="S29" i="3"/>
  <c r="L7" i="6" s="1"/>
  <c r="S30" i="3"/>
  <c r="L8" i="6" s="1"/>
  <c r="S32" i="3"/>
  <c r="L3" i="7" s="1"/>
  <c r="S34" i="3"/>
  <c r="L5" i="7" s="1"/>
  <c r="S38" i="3"/>
  <c r="L2" i="8" s="1"/>
  <c r="S43" i="3"/>
  <c r="L7" i="8" s="1"/>
  <c r="S44" i="3"/>
  <c r="L8" i="8" s="1"/>
  <c r="S45" i="3"/>
  <c r="L2" i="9" s="1"/>
  <c r="S46" i="3"/>
  <c r="L3" i="9" s="1"/>
  <c r="S47" i="3"/>
  <c r="L4" i="9" s="1"/>
  <c r="S48" i="3"/>
  <c r="L5" i="9" s="1"/>
  <c r="S88" i="3"/>
  <c r="S22" i="3"/>
  <c r="L7" i="5" s="1"/>
  <c r="S27" i="3"/>
  <c r="L5" i="6" s="1"/>
  <c r="S49" i="3"/>
  <c r="L6" i="9" s="1"/>
  <c r="S50" i="3"/>
  <c r="L7" i="9" s="1"/>
  <c r="S51" i="3"/>
  <c r="L8" i="9" s="1"/>
  <c r="S52" i="3"/>
  <c r="L2" i="10" s="1"/>
  <c r="S53" i="3"/>
  <c r="L3" i="10" s="1"/>
  <c r="S54" i="3"/>
  <c r="L4" i="10" s="1"/>
  <c r="S56" i="3"/>
  <c r="L6" i="10" s="1"/>
  <c r="S57" i="3"/>
  <c r="L7" i="10" s="1"/>
  <c r="S58" i="3"/>
  <c r="L8" i="10" s="1"/>
  <c r="S59" i="3"/>
  <c r="L2" i="11" s="1"/>
  <c r="S60" i="3"/>
  <c r="L3" i="11" s="1"/>
  <c r="S61" i="3"/>
  <c r="L4" i="11" s="1"/>
  <c r="S62" i="3"/>
  <c r="L5" i="11" s="1"/>
  <c r="S63" i="3"/>
  <c r="L6" i="11" s="1"/>
  <c r="S64" i="3"/>
  <c r="L7" i="11" s="1"/>
  <c r="S65" i="3"/>
  <c r="L8" i="11" s="1"/>
  <c r="S66" i="3"/>
  <c r="L2" i="12" s="1"/>
  <c r="S67" i="3"/>
  <c r="L3" i="12" s="1"/>
  <c r="S68" i="3"/>
  <c r="L4" i="12" s="1"/>
  <c r="S69" i="3"/>
  <c r="L5" i="12" s="1"/>
  <c r="S70" i="3"/>
  <c r="L6" i="12" s="1"/>
  <c r="S71" i="3"/>
  <c r="L7" i="12" s="1"/>
  <c r="S72" i="3"/>
  <c r="L8" i="12" s="1"/>
  <c r="S73" i="3"/>
  <c r="L2" i="13" s="1"/>
  <c r="S74" i="3"/>
  <c r="L3" i="13" s="1"/>
  <c r="S75" i="3"/>
  <c r="L4" i="13" s="1"/>
  <c r="S76" i="3"/>
  <c r="L5" i="13" s="1"/>
  <c r="S77" i="3"/>
  <c r="L6" i="13" s="1"/>
  <c r="S78" i="3"/>
  <c r="L7" i="13" s="1"/>
  <c r="S79" i="3"/>
  <c r="L8" i="13" s="1"/>
  <c r="S87" i="3"/>
  <c r="L1" i="4"/>
  <c r="L1" i="14"/>
  <c r="L1" i="15"/>
  <c r="T9" i="3"/>
  <c r="T17" i="3" s="1"/>
  <c r="L1" i="5"/>
  <c r="L1" i="6"/>
  <c r="L1" i="7"/>
  <c r="L1" i="9"/>
  <c r="L1" i="10"/>
  <c r="L1" i="11"/>
  <c r="L1" i="8"/>
  <c r="L1" i="12"/>
  <c r="L1" i="13"/>
  <c r="T84" i="3" l="1"/>
  <c r="M6" i="14" s="1"/>
  <c r="T31" i="3"/>
  <c r="M2" i="7" s="1"/>
  <c r="M2" i="5"/>
  <c r="T14" i="3"/>
  <c r="M6" i="4" s="1"/>
  <c r="T24" i="3"/>
  <c r="M2" i="6" s="1"/>
  <c r="T21" i="3"/>
  <c r="M6" i="5" s="1"/>
  <c r="T10" i="3"/>
  <c r="M2" i="4" s="1"/>
  <c r="T80" i="3"/>
  <c r="M2" i="14" s="1"/>
  <c r="T55" i="3"/>
  <c r="M5" i="10" s="1"/>
  <c r="T85" i="3"/>
  <c r="M7" i="14" s="1"/>
  <c r="T11" i="3"/>
  <c r="M3" i="4" s="1"/>
  <c r="T13" i="3"/>
  <c r="M5" i="4" s="1"/>
  <c r="T86" i="3"/>
  <c r="M8" i="14" s="1"/>
  <c r="T15" i="3"/>
  <c r="M7" i="4" s="1"/>
  <c r="T16" i="3"/>
  <c r="M8" i="4" s="1"/>
  <c r="T81" i="3"/>
  <c r="M3" i="14" s="1"/>
  <c r="T82" i="3"/>
  <c r="M4" i="14" s="1"/>
  <c r="T83" i="3"/>
  <c r="M5" i="14" s="1"/>
  <c r="T89" i="3"/>
  <c r="T12" i="3"/>
  <c r="M4" i="4" s="1"/>
  <c r="T26" i="3"/>
  <c r="M4" i="6" s="1"/>
  <c r="T27" i="3"/>
  <c r="M5" i="6" s="1"/>
  <c r="T30" i="3"/>
  <c r="M8" i="6" s="1"/>
  <c r="T32" i="3"/>
  <c r="M3" i="7" s="1"/>
  <c r="T37" i="3"/>
  <c r="M8" i="7" s="1"/>
  <c r="T39" i="3"/>
  <c r="M3" i="8" s="1"/>
  <c r="T40" i="3"/>
  <c r="M4" i="8" s="1"/>
  <c r="T41" i="3"/>
  <c r="M5" i="8" s="1"/>
  <c r="T42" i="3"/>
  <c r="M6" i="8" s="1"/>
  <c r="T88" i="3"/>
  <c r="T91" i="3"/>
  <c r="T18" i="3"/>
  <c r="M3" i="5" s="1"/>
  <c r="T19" i="3"/>
  <c r="M4" i="5" s="1"/>
  <c r="T28" i="3"/>
  <c r="M6" i="6" s="1"/>
  <c r="T29" i="3"/>
  <c r="M7" i="6" s="1"/>
  <c r="T33" i="3"/>
  <c r="M4" i="7" s="1"/>
  <c r="T34" i="3"/>
  <c r="M5" i="7" s="1"/>
  <c r="T35" i="3"/>
  <c r="M6" i="7" s="1"/>
  <c r="T36" i="3"/>
  <c r="M7" i="7" s="1"/>
  <c r="T38" i="3"/>
  <c r="M2" i="8" s="1"/>
  <c r="T43" i="3"/>
  <c r="M7" i="8" s="1"/>
  <c r="T44" i="3"/>
  <c r="M8" i="8" s="1"/>
  <c r="T45" i="3"/>
  <c r="M2" i="9" s="1"/>
  <c r="T46" i="3"/>
  <c r="M3" i="9" s="1"/>
  <c r="T47" i="3"/>
  <c r="M4" i="9" s="1"/>
  <c r="T48" i="3"/>
  <c r="M5" i="9" s="1"/>
  <c r="T90" i="3"/>
  <c r="T92" i="3"/>
  <c r="T93" i="3"/>
  <c r="T20" i="3"/>
  <c r="M5" i="5" s="1"/>
  <c r="T22" i="3"/>
  <c r="M7" i="5" s="1"/>
  <c r="T23" i="3"/>
  <c r="M8" i="5" s="1"/>
  <c r="T25" i="3"/>
  <c r="M3" i="6" s="1"/>
  <c r="T49" i="3"/>
  <c r="M6" i="9" s="1"/>
  <c r="T50" i="3"/>
  <c r="M7" i="9" s="1"/>
  <c r="T51" i="3"/>
  <c r="M8" i="9" s="1"/>
  <c r="T52" i="3"/>
  <c r="M2" i="10" s="1"/>
  <c r="T53" i="3"/>
  <c r="M3" i="10" s="1"/>
  <c r="T54" i="3"/>
  <c r="M4" i="10" s="1"/>
  <c r="T56" i="3"/>
  <c r="M6" i="10" s="1"/>
  <c r="T57" i="3"/>
  <c r="M7" i="10" s="1"/>
  <c r="T58" i="3"/>
  <c r="M8" i="10" s="1"/>
  <c r="T59" i="3"/>
  <c r="M2" i="11" s="1"/>
  <c r="T60" i="3"/>
  <c r="M3" i="11" s="1"/>
  <c r="T61" i="3"/>
  <c r="M4" i="11" s="1"/>
  <c r="T62" i="3"/>
  <c r="M5" i="11" s="1"/>
  <c r="T63" i="3"/>
  <c r="M6" i="11" s="1"/>
  <c r="T64" i="3"/>
  <c r="M7" i="11" s="1"/>
  <c r="T65" i="3"/>
  <c r="M8" i="11" s="1"/>
  <c r="T66" i="3"/>
  <c r="M2" i="12" s="1"/>
  <c r="T67" i="3"/>
  <c r="M3" i="12" s="1"/>
  <c r="T68" i="3"/>
  <c r="M4" i="12" s="1"/>
  <c r="T69" i="3"/>
  <c r="M5" i="12" s="1"/>
  <c r="T70" i="3"/>
  <c r="M6" i="12" s="1"/>
  <c r="T71" i="3"/>
  <c r="M7" i="12" s="1"/>
  <c r="T72" i="3"/>
  <c r="M8" i="12" s="1"/>
  <c r="T73" i="3"/>
  <c r="M2" i="13" s="1"/>
  <c r="T74" i="3"/>
  <c r="M3" i="13" s="1"/>
  <c r="T75" i="3"/>
  <c r="M4" i="13" s="1"/>
  <c r="T76" i="3"/>
  <c r="M5" i="13" s="1"/>
  <c r="T77" i="3"/>
  <c r="M6" i="13" s="1"/>
  <c r="T78" i="3"/>
  <c r="M7" i="13" s="1"/>
  <c r="T79" i="3"/>
  <c r="M8" i="13" s="1"/>
  <c r="T87" i="3"/>
  <c r="M1" i="4"/>
  <c r="M1" i="5"/>
  <c r="M1" i="6"/>
  <c r="M1" i="7"/>
  <c r="U9" i="3"/>
  <c r="U17" i="3" s="1"/>
  <c r="M1" i="8"/>
  <c r="M1" i="10"/>
  <c r="M1" i="11"/>
  <c r="M1" i="9"/>
  <c r="M1" i="12"/>
  <c r="M1" i="13"/>
  <c r="M1" i="14"/>
  <c r="M1" i="15"/>
  <c r="U84" i="3" l="1"/>
  <c r="N6" i="14" s="1"/>
  <c r="U24" i="3"/>
  <c r="N2" i="6" s="1"/>
  <c r="U31" i="3"/>
  <c r="N2" i="7" s="1"/>
  <c r="N2" i="5"/>
  <c r="U10" i="3"/>
  <c r="N2" i="4" s="1"/>
  <c r="U14" i="3"/>
  <c r="N6" i="4" s="1"/>
  <c r="U80" i="3"/>
  <c r="N2" i="14" s="1"/>
  <c r="U21" i="3"/>
  <c r="N6" i="5" s="1"/>
  <c r="U55" i="3"/>
  <c r="N5" i="10" s="1"/>
  <c r="U86" i="3"/>
  <c r="N8" i="14" s="1"/>
  <c r="U11" i="3"/>
  <c r="N3" i="4" s="1"/>
  <c r="U15" i="3"/>
  <c r="N7" i="4" s="1"/>
  <c r="U16" i="3"/>
  <c r="N8" i="4" s="1"/>
  <c r="U85" i="3"/>
  <c r="N7" i="14" s="1"/>
  <c r="U13" i="3"/>
  <c r="N5" i="4" s="1"/>
  <c r="U81" i="3"/>
  <c r="N3" i="14" s="1"/>
  <c r="U82" i="3"/>
  <c r="N4" i="14" s="1"/>
  <c r="U83" i="3"/>
  <c r="N5" i="14" s="1"/>
  <c r="U92" i="3"/>
  <c r="U93" i="3"/>
  <c r="U20" i="3"/>
  <c r="N5" i="5" s="1"/>
  <c r="U29" i="3"/>
  <c r="N7" i="6" s="1"/>
  <c r="U32" i="3"/>
  <c r="N3" i="7" s="1"/>
  <c r="U38" i="3"/>
  <c r="N2" i="8" s="1"/>
  <c r="U39" i="3"/>
  <c r="N3" i="8" s="1"/>
  <c r="U40" i="3"/>
  <c r="N4" i="8" s="1"/>
  <c r="U41" i="3"/>
  <c r="N5" i="8" s="1"/>
  <c r="U42" i="3"/>
  <c r="N6" i="8" s="1"/>
  <c r="U91" i="3"/>
  <c r="U12" i="3"/>
  <c r="N4" i="4" s="1"/>
  <c r="U18" i="3"/>
  <c r="N3" i="5" s="1"/>
  <c r="U19" i="3"/>
  <c r="N4" i="5" s="1"/>
  <c r="U25" i="3"/>
  <c r="N3" i="6" s="1"/>
  <c r="U26" i="3"/>
  <c r="N4" i="6" s="1"/>
  <c r="U28" i="3"/>
  <c r="N6" i="6" s="1"/>
  <c r="U30" i="3"/>
  <c r="N8" i="6" s="1"/>
  <c r="U33" i="3"/>
  <c r="N4" i="7" s="1"/>
  <c r="U34" i="3"/>
  <c r="N5" i="7" s="1"/>
  <c r="U35" i="3"/>
  <c r="N6" i="7" s="1"/>
  <c r="U36" i="3"/>
  <c r="N7" i="7" s="1"/>
  <c r="U37" i="3"/>
  <c r="N8" i="7" s="1"/>
  <c r="U43" i="3"/>
  <c r="N7" i="8" s="1"/>
  <c r="U44" i="3"/>
  <c r="N8" i="8" s="1"/>
  <c r="U45" i="3"/>
  <c r="N2" i="9" s="1"/>
  <c r="U46" i="3"/>
  <c r="N3" i="9" s="1"/>
  <c r="U47" i="3"/>
  <c r="N4" i="9" s="1"/>
  <c r="U48" i="3"/>
  <c r="N5" i="9" s="1"/>
  <c r="U88" i="3"/>
  <c r="U89" i="3"/>
  <c r="U90" i="3"/>
  <c r="U22" i="3"/>
  <c r="N7" i="5" s="1"/>
  <c r="U23" i="3"/>
  <c r="N8" i="5" s="1"/>
  <c r="U27" i="3"/>
  <c r="N5" i="6" s="1"/>
  <c r="U49" i="3"/>
  <c r="N6" i="9" s="1"/>
  <c r="U50" i="3"/>
  <c r="N7" i="9" s="1"/>
  <c r="U51" i="3"/>
  <c r="N8" i="9" s="1"/>
  <c r="U52" i="3"/>
  <c r="N2" i="10" s="1"/>
  <c r="U53" i="3"/>
  <c r="N3" i="10" s="1"/>
  <c r="U54" i="3"/>
  <c r="N4" i="10" s="1"/>
  <c r="U56" i="3"/>
  <c r="N6" i="10" s="1"/>
  <c r="U57" i="3"/>
  <c r="N7" i="10" s="1"/>
  <c r="U58" i="3"/>
  <c r="N8" i="10" s="1"/>
  <c r="U59" i="3"/>
  <c r="N2" i="11" s="1"/>
  <c r="U60" i="3"/>
  <c r="N3" i="11" s="1"/>
  <c r="U61" i="3"/>
  <c r="N4" i="11" s="1"/>
  <c r="U62" i="3"/>
  <c r="N5" i="11" s="1"/>
  <c r="U63" i="3"/>
  <c r="N6" i="11" s="1"/>
  <c r="U64" i="3"/>
  <c r="N7" i="11" s="1"/>
  <c r="U65" i="3"/>
  <c r="N8" i="11" s="1"/>
  <c r="U66" i="3"/>
  <c r="N2" i="12" s="1"/>
  <c r="U67" i="3"/>
  <c r="N3" i="12" s="1"/>
  <c r="U68" i="3"/>
  <c r="N4" i="12" s="1"/>
  <c r="U69" i="3"/>
  <c r="N5" i="12" s="1"/>
  <c r="U70" i="3"/>
  <c r="N6" i="12" s="1"/>
  <c r="U71" i="3"/>
  <c r="N7" i="12" s="1"/>
  <c r="U72" i="3"/>
  <c r="N8" i="12" s="1"/>
  <c r="U73" i="3"/>
  <c r="N2" i="13" s="1"/>
  <c r="U74" i="3"/>
  <c r="N3" i="13" s="1"/>
  <c r="U75" i="3"/>
  <c r="N4" i="13" s="1"/>
  <c r="U76" i="3"/>
  <c r="N5" i="13" s="1"/>
  <c r="U77" i="3"/>
  <c r="N6" i="13" s="1"/>
  <c r="U78" i="3"/>
  <c r="N7" i="13" s="1"/>
  <c r="U79" i="3"/>
  <c r="N8" i="13" s="1"/>
  <c r="U87" i="3"/>
  <c r="N1" i="8"/>
  <c r="N1" i="9"/>
  <c r="N1" i="10"/>
  <c r="N1" i="11"/>
  <c r="V9" i="3"/>
  <c r="V17" i="3" s="1"/>
  <c r="N1" i="4"/>
  <c r="N1" i="12"/>
  <c r="N1" i="13"/>
  <c r="N1" i="14"/>
  <c r="N1" i="15"/>
  <c r="N1" i="5"/>
  <c r="N1" i="6"/>
  <c r="N1" i="7"/>
  <c r="V84" i="3" l="1"/>
  <c r="O6" i="14" s="1"/>
  <c r="V31" i="3"/>
  <c r="O2" i="7" s="1"/>
  <c r="V80" i="3"/>
  <c r="O2" i="14" s="1"/>
  <c r="V14" i="3"/>
  <c r="O6" i="4" s="1"/>
  <c r="V24" i="3"/>
  <c r="O2" i="6" s="1"/>
  <c r="O2" i="5"/>
  <c r="V10" i="3"/>
  <c r="O2" i="4" s="1"/>
  <c r="V21" i="3"/>
  <c r="O6" i="5" s="1"/>
  <c r="V55" i="3"/>
  <c r="O5" i="10" s="1"/>
  <c r="V83" i="3"/>
  <c r="O5" i="14" s="1"/>
  <c r="V52" i="3"/>
  <c r="O2" i="10" s="1"/>
  <c r="V11" i="3"/>
  <c r="O3" i="4" s="1"/>
  <c r="V85" i="3"/>
  <c r="O7" i="14" s="1"/>
  <c r="V86" i="3"/>
  <c r="O8" i="14" s="1"/>
  <c r="V13" i="3"/>
  <c r="O5" i="4" s="1"/>
  <c r="V15" i="3"/>
  <c r="O7" i="4" s="1"/>
  <c r="V16" i="3"/>
  <c r="O8" i="4" s="1"/>
  <c r="V81" i="3"/>
  <c r="O3" i="14" s="1"/>
  <c r="V82" i="3"/>
  <c r="O4" i="14" s="1"/>
  <c r="V89" i="3"/>
  <c r="V91" i="3"/>
  <c r="V93" i="3"/>
  <c r="V23" i="3"/>
  <c r="O8" i="5" s="1"/>
  <c r="V25" i="3"/>
  <c r="O3" i="6" s="1"/>
  <c r="V30" i="3"/>
  <c r="O8" i="6" s="1"/>
  <c r="V34" i="3"/>
  <c r="O5" i="7" s="1"/>
  <c r="V39" i="3"/>
  <c r="O3" i="8" s="1"/>
  <c r="V40" i="3"/>
  <c r="O4" i="8" s="1"/>
  <c r="V41" i="3"/>
  <c r="O5" i="8" s="1"/>
  <c r="V42" i="3"/>
  <c r="O6" i="8" s="1"/>
  <c r="V88" i="3"/>
  <c r="V90" i="3"/>
  <c r="V92" i="3"/>
  <c r="V18" i="3"/>
  <c r="O3" i="5" s="1"/>
  <c r="V19" i="3"/>
  <c r="O4" i="5" s="1"/>
  <c r="V22" i="3"/>
  <c r="O7" i="5" s="1"/>
  <c r="V27" i="3"/>
  <c r="O5" i="6" s="1"/>
  <c r="V29" i="3"/>
  <c r="O7" i="6" s="1"/>
  <c r="V32" i="3"/>
  <c r="O3" i="7" s="1"/>
  <c r="V33" i="3"/>
  <c r="O4" i="7" s="1"/>
  <c r="V35" i="3"/>
  <c r="O6" i="7" s="1"/>
  <c r="V36" i="3"/>
  <c r="O7" i="7" s="1"/>
  <c r="V37" i="3"/>
  <c r="O8" i="7" s="1"/>
  <c r="V38" i="3"/>
  <c r="O2" i="8" s="1"/>
  <c r="V43" i="3"/>
  <c r="O7" i="8" s="1"/>
  <c r="V44" i="3"/>
  <c r="O8" i="8" s="1"/>
  <c r="V45" i="3"/>
  <c r="O2" i="9" s="1"/>
  <c r="V46" i="3"/>
  <c r="O3" i="9" s="1"/>
  <c r="V47" i="3"/>
  <c r="O4" i="9" s="1"/>
  <c r="V48" i="3"/>
  <c r="O5" i="9" s="1"/>
  <c r="V12" i="3"/>
  <c r="O4" i="4" s="1"/>
  <c r="V20" i="3"/>
  <c r="O5" i="5" s="1"/>
  <c r="V26" i="3"/>
  <c r="O4" i="6" s="1"/>
  <c r="V28" i="3"/>
  <c r="O6" i="6" s="1"/>
  <c r="V49" i="3"/>
  <c r="O6" i="9" s="1"/>
  <c r="V50" i="3"/>
  <c r="O7" i="9" s="1"/>
  <c r="V51" i="3"/>
  <c r="O8" i="9" s="1"/>
  <c r="V53" i="3"/>
  <c r="O3" i="10" s="1"/>
  <c r="V54" i="3"/>
  <c r="O4" i="10" s="1"/>
  <c r="V56" i="3"/>
  <c r="O6" i="10" s="1"/>
  <c r="V57" i="3"/>
  <c r="O7" i="10" s="1"/>
  <c r="V58" i="3"/>
  <c r="O8" i="10" s="1"/>
  <c r="V59" i="3"/>
  <c r="O2" i="11" s="1"/>
  <c r="V60" i="3"/>
  <c r="O3" i="11" s="1"/>
  <c r="V61" i="3"/>
  <c r="O4" i="11" s="1"/>
  <c r="V62" i="3"/>
  <c r="O5" i="11" s="1"/>
  <c r="V63" i="3"/>
  <c r="O6" i="11" s="1"/>
  <c r="V64" i="3"/>
  <c r="O7" i="11" s="1"/>
  <c r="V65" i="3"/>
  <c r="O8" i="11" s="1"/>
  <c r="V66" i="3"/>
  <c r="O2" i="12" s="1"/>
  <c r="V67" i="3"/>
  <c r="O3" i="12" s="1"/>
  <c r="V68" i="3"/>
  <c r="O4" i="12" s="1"/>
  <c r="V69" i="3"/>
  <c r="O5" i="12" s="1"/>
  <c r="V70" i="3"/>
  <c r="O6" i="12" s="1"/>
  <c r="V71" i="3"/>
  <c r="O7" i="12" s="1"/>
  <c r="V72" i="3"/>
  <c r="O8" i="12" s="1"/>
  <c r="V73" i="3"/>
  <c r="O2" i="13" s="1"/>
  <c r="V74" i="3"/>
  <c r="O3" i="13" s="1"/>
  <c r="V75" i="3"/>
  <c r="O4" i="13" s="1"/>
  <c r="V76" i="3"/>
  <c r="O5" i="13" s="1"/>
  <c r="V77" i="3"/>
  <c r="O6" i="13" s="1"/>
  <c r="V78" i="3"/>
  <c r="O7" i="13" s="1"/>
  <c r="V79" i="3"/>
  <c r="O8" i="13" s="1"/>
  <c r="V87" i="3"/>
  <c r="O1" i="8"/>
  <c r="O1" i="12"/>
  <c r="O1" i="13"/>
  <c r="O1" i="14"/>
  <c r="O1" i="15"/>
  <c r="W9" i="3"/>
  <c r="W17" i="3" s="1"/>
  <c r="O1" i="4"/>
  <c r="O1" i="5"/>
  <c r="O1" i="6"/>
  <c r="O1" i="7"/>
  <c r="O1" i="9"/>
  <c r="O1" i="10"/>
  <c r="O1" i="11"/>
  <c r="W84" i="3" l="1"/>
  <c r="P6" i="14" s="1"/>
  <c r="W14" i="3"/>
  <c r="P6" i="4" s="1"/>
  <c r="W21" i="3"/>
  <c r="P6" i="5" s="1"/>
  <c r="W10" i="3"/>
  <c r="P2" i="4" s="1"/>
  <c r="W24" i="3"/>
  <c r="P2" i="6" s="1"/>
  <c r="W80" i="3"/>
  <c r="P2" i="14" s="1"/>
  <c r="P2" i="5"/>
  <c r="W31" i="3"/>
  <c r="P2" i="7" s="1"/>
  <c r="W55" i="3"/>
  <c r="P5" i="10" s="1"/>
  <c r="W52" i="3"/>
  <c r="P2" i="10" s="1"/>
  <c r="W11" i="3"/>
  <c r="P3" i="4" s="1"/>
  <c r="W85" i="3"/>
  <c r="P7" i="14" s="1"/>
  <c r="W13" i="3"/>
  <c r="P5" i="4" s="1"/>
  <c r="W15" i="3"/>
  <c r="P7" i="4" s="1"/>
  <c r="W16" i="3"/>
  <c r="P8" i="4" s="1"/>
  <c r="W83" i="3"/>
  <c r="P5" i="14" s="1"/>
  <c r="W86" i="3"/>
  <c r="P8" i="14" s="1"/>
  <c r="W81" i="3"/>
  <c r="P3" i="14" s="1"/>
  <c r="W82" i="3"/>
  <c r="P4" i="14" s="1"/>
  <c r="W89" i="3"/>
  <c r="W90" i="3"/>
  <c r="W12" i="3"/>
  <c r="P4" i="4" s="1"/>
  <c r="W28" i="3"/>
  <c r="P6" i="6" s="1"/>
  <c r="W29" i="3"/>
  <c r="P7" i="6" s="1"/>
  <c r="W30" i="3"/>
  <c r="P8" i="6" s="1"/>
  <c r="W32" i="3"/>
  <c r="P3" i="7" s="1"/>
  <c r="W35" i="3"/>
  <c r="P6" i="7" s="1"/>
  <c r="W36" i="3"/>
  <c r="P7" i="7" s="1"/>
  <c r="W38" i="3"/>
  <c r="P2" i="8" s="1"/>
  <c r="W39" i="3"/>
  <c r="P3" i="8" s="1"/>
  <c r="W40" i="3"/>
  <c r="P4" i="8" s="1"/>
  <c r="W41" i="3"/>
  <c r="P5" i="8" s="1"/>
  <c r="W42" i="3"/>
  <c r="P6" i="8" s="1"/>
  <c r="W19" i="3"/>
  <c r="P4" i="5" s="1"/>
  <c r="W22" i="3"/>
  <c r="P7" i="5" s="1"/>
  <c r="W23" i="3"/>
  <c r="P8" i="5" s="1"/>
  <c r="W27" i="3"/>
  <c r="P5" i="6" s="1"/>
  <c r="W33" i="3"/>
  <c r="P4" i="7" s="1"/>
  <c r="W34" i="3"/>
  <c r="P5" i="7" s="1"/>
  <c r="W37" i="3"/>
  <c r="P8" i="7" s="1"/>
  <c r="W43" i="3"/>
  <c r="P7" i="8" s="1"/>
  <c r="W44" i="3"/>
  <c r="P8" i="8" s="1"/>
  <c r="W45" i="3"/>
  <c r="P2" i="9" s="1"/>
  <c r="W46" i="3"/>
  <c r="P3" i="9" s="1"/>
  <c r="W47" i="3"/>
  <c r="P4" i="9" s="1"/>
  <c r="W48" i="3"/>
  <c r="P5" i="9" s="1"/>
  <c r="W91" i="3"/>
  <c r="W92" i="3"/>
  <c r="W93" i="3"/>
  <c r="W18" i="3"/>
  <c r="P3" i="5" s="1"/>
  <c r="W20" i="3"/>
  <c r="P5" i="5" s="1"/>
  <c r="W25" i="3"/>
  <c r="P3" i="6" s="1"/>
  <c r="W26" i="3"/>
  <c r="P4" i="6" s="1"/>
  <c r="W49" i="3"/>
  <c r="P6" i="9" s="1"/>
  <c r="W50" i="3"/>
  <c r="P7" i="9" s="1"/>
  <c r="W51" i="3"/>
  <c r="P8" i="9" s="1"/>
  <c r="W53" i="3"/>
  <c r="P3" i="10" s="1"/>
  <c r="W54" i="3"/>
  <c r="P4" i="10" s="1"/>
  <c r="W56" i="3"/>
  <c r="P6" i="10" s="1"/>
  <c r="W57" i="3"/>
  <c r="P7" i="10" s="1"/>
  <c r="W58" i="3"/>
  <c r="P8" i="10" s="1"/>
  <c r="W59" i="3"/>
  <c r="P2" i="11" s="1"/>
  <c r="W60" i="3"/>
  <c r="P3" i="11" s="1"/>
  <c r="W61" i="3"/>
  <c r="P4" i="11" s="1"/>
  <c r="W88" i="3"/>
  <c r="W62" i="3"/>
  <c r="P5" i="11" s="1"/>
  <c r="W63" i="3"/>
  <c r="P6" i="11" s="1"/>
  <c r="W64" i="3"/>
  <c r="P7" i="11" s="1"/>
  <c r="W65" i="3"/>
  <c r="P8" i="11" s="1"/>
  <c r="W66" i="3"/>
  <c r="P2" i="12" s="1"/>
  <c r="W67" i="3"/>
  <c r="P3" i="12" s="1"/>
  <c r="W68" i="3"/>
  <c r="P4" i="12" s="1"/>
  <c r="W69" i="3"/>
  <c r="P5" i="12" s="1"/>
  <c r="W70" i="3"/>
  <c r="P6" i="12" s="1"/>
  <c r="W71" i="3"/>
  <c r="P7" i="12" s="1"/>
  <c r="W72" i="3"/>
  <c r="P8" i="12" s="1"/>
  <c r="W73" i="3"/>
  <c r="P2" i="13" s="1"/>
  <c r="W74" i="3"/>
  <c r="P3" i="13" s="1"/>
  <c r="W75" i="3"/>
  <c r="P4" i="13" s="1"/>
  <c r="W76" i="3"/>
  <c r="P5" i="13" s="1"/>
  <c r="W77" i="3"/>
  <c r="P6" i="13" s="1"/>
  <c r="W78" i="3"/>
  <c r="P7" i="13" s="1"/>
  <c r="W79" i="3"/>
  <c r="P8" i="13" s="1"/>
  <c r="W87" i="3"/>
  <c r="P1" i="5"/>
  <c r="P1" i="6"/>
  <c r="P1" i="7"/>
  <c r="P1" i="8"/>
  <c r="P1" i="10"/>
  <c r="P1" i="11"/>
  <c r="P1" i="4"/>
  <c r="P1" i="9"/>
  <c r="P1" i="12"/>
  <c r="P1" i="13"/>
  <c r="X9" i="3"/>
  <c r="X17" i="3" s="1"/>
  <c r="P1" i="14"/>
  <c r="P1" i="15"/>
  <c r="X84" i="3" l="1"/>
  <c r="Q6" i="14" s="1"/>
  <c r="X31" i="3"/>
  <c r="Q2" i="7" s="1"/>
  <c r="X80" i="3"/>
  <c r="Q2" i="14" s="1"/>
  <c r="X21" i="3"/>
  <c r="Q6" i="5" s="1"/>
  <c r="X24" i="3"/>
  <c r="Q2" i="6" s="1"/>
  <c r="Q2" i="5"/>
  <c r="X10" i="3"/>
  <c r="Q2" i="4" s="1"/>
  <c r="X14" i="3"/>
  <c r="Q6" i="4" s="1"/>
  <c r="X55" i="3"/>
  <c r="Q5" i="10" s="1"/>
  <c r="X85" i="3"/>
  <c r="Q7" i="14" s="1"/>
  <c r="X11" i="3"/>
  <c r="Q3" i="4" s="1"/>
  <c r="X13" i="3"/>
  <c r="Q5" i="4" s="1"/>
  <c r="X15" i="3"/>
  <c r="Q7" i="4" s="1"/>
  <c r="X16" i="3"/>
  <c r="Q8" i="4" s="1"/>
  <c r="X86" i="3"/>
  <c r="Q8" i="14" s="1"/>
  <c r="X81" i="3"/>
  <c r="Q3" i="14" s="1"/>
  <c r="X82" i="3"/>
  <c r="Q4" i="14" s="1"/>
  <c r="X83" i="3"/>
  <c r="Q5" i="14" s="1"/>
  <c r="X92" i="3"/>
  <c r="X20" i="3"/>
  <c r="Q5" i="5" s="1"/>
  <c r="X27" i="3"/>
  <c r="Q5" i="6" s="1"/>
  <c r="X33" i="3"/>
  <c r="Q4" i="7" s="1"/>
  <c r="X35" i="3"/>
  <c r="Q6" i="7" s="1"/>
  <c r="X37" i="3"/>
  <c r="Q8" i="7" s="1"/>
  <c r="X39" i="3"/>
  <c r="Q3" i="8" s="1"/>
  <c r="X40" i="3"/>
  <c r="Q4" i="8" s="1"/>
  <c r="X41" i="3"/>
  <c r="Q5" i="8" s="1"/>
  <c r="X42" i="3"/>
  <c r="Q6" i="8" s="1"/>
  <c r="X22" i="3"/>
  <c r="Q7" i="5" s="1"/>
  <c r="X23" i="3"/>
  <c r="Q8" i="5" s="1"/>
  <c r="X25" i="3"/>
  <c r="Q3" i="6" s="1"/>
  <c r="X26" i="3"/>
  <c r="Q4" i="6" s="1"/>
  <c r="X28" i="3"/>
  <c r="Q6" i="6" s="1"/>
  <c r="X29" i="3"/>
  <c r="Q7" i="6" s="1"/>
  <c r="X30" i="3"/>
  <c r="Q8" i="6" s="1"/>
  <c r="X32" i="3"/>
  <c r="Q3" i="7" s="1"/>
  <c r="X34" i="3"/>
  <c r="Q5" i="7" s="1"/>
  <c r="X36" i="3"/>
  <c r="Q7" i="7" s="1"/>
  <c r="X38" i="3"/>
  <c r="Q2" i="8" s="1"/>
  <c r="X43" i="3"/>
  <c r="Q7" i="8" s="1"/>
  <c r="X44" i="3"/>
  <c r="Q8" i="8" s="1"/>
  <c r="X45" i="3"/>
  <c r="Q2" i="9" s="1"/>
  <c r="X46" i="3"/>
  <c r="Q3" i="9" s="1"/>
  <c r="X47" i="3"/>
  <c r="Q4" i="9" s="1"/>
  <c r="X48" i="3"/>
  <c r="Q5" i="9" s="1"/>
  <c r="X89" i="3"/>
  <c r="X90" i="3"/>
  <c r="X91" i="3"/>
  <c r="X93" i="3"/>
  <c r="X12" i="3"/>
  <c r="Q4" i="4" s="1"/>
  <c r="X18" i="3"/>
  <c r="Q3" i="5" s="1"/>
  <c r="X19" i="3"/>
  <c r="Q4" i="5" s="1"/>
  <c r="X49" i="3"/>
  <c r="Q6" i="9" s="1"/>
  <c r="X50" i="3"/>
  <c r="Q7" i="9" s="1"/>
  <c r="X51" i="3"/>
  <c r="Q8" i="9" s="1"/>
  <c r="X52" i="3"/>
  <c r="Q2" i="10" s="1"/>
  <c r="X53" i="3"/>
  <c r="Q3" i="10" s="1"/>
  <c r="X54" i="3"/>
  <c r="Q4" i="10" s="1"/>
  <c r="X56" i="3"/>
  <c r="Q6" i="10" s="1"/>
  <c r="X57" i="3"/>
  <c r="Q7" i="10" s="1"/>
  <c r="X58" i="3"/>
  <c r="Q8" i="10" s="1"/>
  <c r="X59" i="3"/>
  <c r="Q2" i="11" s="1"/>
  <c r="X60" i="3"/>
  <c r="Q3" i="11" s="1"/>
  <c r="X61" i="3"/>
  <c r="Q4" i="11" s="1"/>
  <c r="X62" i="3"/>
  <c r="Q5" i="11" s="1"/>
  <c r="X88" i="3"/>
  <c r="X63" i="3"/>
  <c r="Q6" i="11" s="1"/>
  <c r="X64" i="3"/>
  <c r="Q7" i="11" s="1"/>
  <c r="X65" i="3"/>
  <c r="Q8" i="11" s="1"/>
  <c r="X66" i="3"/>
  <c r="Q2" i="12" s="1"/>
  <c r="X67" i="3"/>
  <c r="Q3" i="12" s="1"/>
  <c r="X68" i="3"/>
  <c r="Q4" i="12" s="1"/>
  <c r="X69" i="3"/>
  <c r="Q5" i="12" s="1"/>
  <c r="X70" i="3"/>
  <c r="Q6" i="12" s="1"/>
  <c r="X71" i="3"/>
  <c r="Q7" i="12" s="1"/>
  <c r="X72" i="3"/>
  <c r="Q8" i="12" s="1"/>
  <c r="X73" i="3"/>
  <c r="Q2" i="13" s="1"/>
  <c r="X74" i="3"/>
  <c r="Q3" i="13" s="1"/>
  <c r="X75" i="3"/>
  <c r="Q4" i="13" s="1"/>
  <c r="X76" i="3"/>
  <c r="Q5" i="13" s="1"/>
  <c r="X77" i="3"/>
  <c r="Q6" i="13" s="1"/>
  <c r="X78" i="3"/>
  <c r="Q7" i="13" s="1"/>
  <c r="X79" i="3"/>
  <c r="Q8" i="13" s="1"/>
  <c r="X87" i="3"/>
  <c r="Q1" i="4"/>
  <c r="Q1" i="14"/>
  <c r="Q1" i="15"/>
  <c r="Y9" i="3"/>
  <c r="Y17" i="3" s="1"/>
  <c r="Q1" i="5"/>
  <c r="Q1" i="6"/>
  <c r="Q1" i="7"/>
  <c r="Q1" i="9"/>
  <c r="Q1" i="10"/>
  <c r="Q1" i="8"/>
  <c r="Q1" i="11"/>
  <c r="Q1" i="12"/>
  <c r="Q1" i="13"/>
  <c r="Y14" i="3" l="1"/>
  <c r="R6" i="4" s="1"/>
  <c r="Y84" i="3"/>
  <c r="R6" i="14" s="1"/>
  <c r="Y21" i="3"/>
  <c r="R6" i="5" s="1"/>
  <c r="Y31" i="3"/>
  <c r="R2" i="7" s="1"/>
  <c r="Y80" i="3"/>
  <c r="R2" i="14" s="1"/>
  <c r="Y24" i="3"/>
  <c r="R2" i="6" s="1"/>
  <c r="R2" i="5"/>
  <c r="Y10" i="3"/>
  <c r="R2" i="4" s="1"/>
  <c r="Y55" i="3"/>
  <c r="R5" i="10" s="1"/>
  <c r="Y86" i="3"/>
  <c r="R8" i="14" s="1"/>
  <c r="Y83" i="3"/>
  <c r="R5" i="14" s="1"/>
  <c r="Y11" i="3"/>
  <c r="R3" i="4" s="1"/>
  <c r="Y13" i="3"/>
  <c r="R5" i="4" s="1"/>
  <c r="Y15" i="3"/>
  <c r="R7" i="4" s="1"/>
  <c r="Y16" i="3"/>
  <c r="R8" i="4" s="1"/>
  <c r="Y85" i="3"/>
  <c r="R7" i="14" s="1"/>
  <c r="Y81" i="3"/>
  <c r="R3" i="14" s="1"/>
  <c r="Y82" i="3"/>
  <c r="R4" i="14" s="1"/>
  <c r="Y88" i="3"/>
  <c r="Y89" i="3"/>
  <c r="Y22" i="3"/>
  <c r="R7" i="5" s="1"/>
  <c r="Y26" i="3"/>
  <c r="R4" i="6" s="1"/>
  <c r="Y29" i="3"/>
  <c r="R7" i="6" s="1"/>
  <c r="Y33" i="3"/>
  <c r="R4" i="7" s="1"/>
  <c r="Y34" i="3"/>
  <c r="R5" i="7" s="1"/>
  <c r="Y35" i="3"/>
  <c r="R6" i="7" s="1"/>
  <c r="Y37" i="3"/>
  <c r="R8" i="7" s="1"/>
  <c r="Y38" i="3"/>
  <c r="R2" i="8" s="1"/>
  <c r="Y40" i="3"/>
  <c r="R4" i="8" s="1"/>
  <c r="Y41" i="3"/>
  <c r="R5" i="8" s="1"/>
  <c r="Y42" i="3"/>
  <c r="R6" i="8" s="1"/>
  <c r="Y91" i="3"/>
  <c r="Y93" i="3"/>
  <c r="Y20" i="3"/>
  <c r="R5" i="5" s="1"/>
  <c r="Y23" i="3"/>
  <c r="R8" i="5" s="1"/>
  <c r="Y28" i="3"/>
  <c r="R6" i="6" s="1"/>
  <c r="Y30" i="3"/>
  <c r="R8" i="6" s="1"/>
  <c r="Y32" i="3"/>
  <c r="R3" i="7" s="1"/>
  <c r="Y36" i="3"/>
  <c r="R7" i="7" s="1"/>
  <c r="Y39" i="3"/>
  <c r="R3" i="8" s="1"/>
  <c r="Y43" i="3"/>
  <c r="R7" i="8" s="1"/>
  <c r="Y44" i="3"/>
  <c r="R8" i="8" s="1"/>
  <c r="Y45" i="3"/>
  <c r="R2" i="9" s="1"/>
  <c r="Y46" i="3"/>
  <c r="R3" i="9" s="1"/>
  <c r="Y47" i="3"/>
  <c r="R4" i="9" s="1"/>
  <c r="Y48" i="3"/>
  <c r="R5" i="9" s="1"/>
  <c r="Y90" i="3"/>
  <c r="Y92" i="3"/>
  <c r="Y12" i="3"/>
  <c r="R4" i="4" s="1"/>
  <c r="Y18" i="3"/>
  <c r="R3" i="5" s="1"/>
  <c r="Y19" i="3"/>
  <c r="R4" i="5" s="1"/>
  <c r="Y25" i="3"/>
  <c r="R3" i="6" s="1"/>
  <c r="Y27" i="3"/>
  <c r="R5" i="6" s="1"/>
  <c r="Y49" i="3"/>
  <c r="R6" i="9" s="1"/>
  <c r="Y50" i="3"/>
  <c r="R7" i="9" s="1"/>
  <c r="Y51" i="3"/>
  <c r="R8" i="9" s="1"/>
  <c r="Y52" i="3"/>
  <c r="R2" i="10" s="1"/>
  <c r="Y53" i="3"/>
  <c r="R3" i="10" s="1"/>
  <c r="Y54" i="3"/>
  <c r="R4" i="10" s="1"/>
  <c r="Y56" i="3"/>
  <c r="R6" i="10" s="1"/>
  <c r="Y57" i="3"/>
  <c r="R7" i="10" s="1"/>
  <c r="Y58" i="3"/>
  <c r="R8" i="10" s="1"/>
  <c r="Y59" i="3"/>
  <c r="R2" i="11" s="1"/>
  <c r="Y60" i="3"/>
  <c r="R3" i="11" s="1"/>
  <c r="Y61" i="3"/>
  <c r="R4" i="11" s="1"/>
  <c r="Y62" i="3"/>
  <c r="R5" i="11" s="1"/>
  <c r="Y63" i="3"/>
  <c r="R6" i="11" s="1"/>
  <c r="Y64" i="3"/>
  <c r="R7" i="11" s="1"/>
  <c r="Y65" i="3"/>
  <c r="R8" i="11" s="1"/>
  <c r="Y66" i="3"/>
  <c r="R2" i="12" s="1"/>
  <c r="Y67" i="3"/>
  <c r="R3" i="12" s="1"/>
  <c r="Y68" i="3"/>
  <c r="R4" i="12" s="1"/>
  <c r="Y69" i="3"/>
  <c r="R5" i="12" s="1"/>
  <c r="Y70" i="3"/>
  <c r="R6" i="12" s="1"/>
  <c r="Y71" i="3"/>
  <c r="R7" i="12" s="1"/>
  <c r="Y72" i="3"/>
  <c r="R8" i="12" s="1"/>
  <c r="Y73" i="3"/>
  <c r="R2" i="13" s="1"/>
  <c r="Y74" i="3"/>
  <c r="R3" i="13" s="1"/>
  <c r="Y75" i="3"/>
  <c r="R4" i="13" s="1"/>
  <c r="Y76" i="3"/>
  <c r="R5" i="13" s="1"/>
  <c r="Y77" i="3"/>
  <c r="R6" i="13" s="1"/>
  <c r="Y78" i="3"/>
  <c r="R7" i="13" s="1"/>
  <c r="Y79" i="3"/>
  <c r="R8" i="13" s="1"/>
  <c r="Y87" i="3"/>
  <c r="R1" i="5"/>
  <c r="R1" i="6"/>
  <c r="R1" i="7"/>
  <c r="Z9" i="3"/>
  <c r="Z17" i="3" s="1"/>
  <c r="R1" i="8"/>
  <c r="R1" i="9"/>
  <c r="R1" i="10"/>
  <c r="R1" i="4"/>
  <c r="R1" i="11"/>
  <c r="R1" i="12"/>
  <c r="R1" i="13"/>
  <c r="R1" i="14"/>
  <c r="R1" i="15"/>
  <c r="Z14" i="3" l="1"/>
  <c r="S6" i="4" s="1"/>
  <c r="Z84" i="3"/>
  <c r="S6" i="14" s="1"/>
  <c r="Z21" i="3"/>
  <c r="S6" i="5" s="1"/>
  <c r="Z31" i="3"/>
  <c r="S2" i="7" s="1"/>
  <c r="S2" i="5"/>
  <c r="Z80" i="3"/>
  <c r="S2" i="14" s="1"/>
  <c r="Z24" i="3"/>
  <c r="S2" i="6" s="1"/>
  <c r="Z10" i="3"/>
  <c r="S2" i="4" s="1"/>
  <c r="Z55" i="3"/>
  <c r="S5" i="10" s="1"/>
  <c r="Z85" i="3"/>
  <c r="S7" i="14" s="1"/>
  <c r="Z52" i="3"/>
  <c r="S2" i="10" s="1"/>
  <c r="Z86" i="3"/>
  <c r="S8" i="14" s="1"/>
  <c r="Z11" i="3"/>
  <c r="S3" i="4" s="1"/>
  <c r="Z13" i="3"/>
  <c r="S5" i="4" s="1"/>
  <c r="Z15" i="3"/>
  <c r="S7" i="4" s="1"/>
  <c r="Z16" i="3"/>
  <c r="S8" i="4" s="1"/>
  <c r="Z81" i="3"/>
  <c r="S3" i="14" s="1"/>
  <c r="Z82" i="3"/>
  <c r="S4" i="14" s="1"/>
  <c r="Z83" i="3"/>
  <c r="S5" i="14" s="1"/>
  <c r="Z92" i="3"/>
  <c r="Z18" i="3"/>
  <c r="S3" i="5" s="1"/>
  <c r="Z22" i="3"/>
  <c r="S7" i="5" s="1"/>
  <c r="Z25" i="3"/>
  <c r="S3" i="6" s="1"/>
  <c r="Z28" i="3"/>
  <c r="S6" i="6" s="1"/>
  <c r="Z30" i="3"/>
  <c r="S8" i="6" s="1"/>
  <c r="Z34" i="3"/>
  <c r="S5" i="7" s="1"/>
  <c r="Z39" i="3"/>
  <c r="S3" i="8" s="1"/>
  <c r="Z40" i="3"/>
  <c r="S4" i="8" s="1"/>
  <c r="Z41" i="3"/>
  <c r="S5" i="8" s="1"/>
  <c r="Z42" i="3"/>
  <c r="S6" i="8" s="1"/>
  <c r="Z88" i="3"/>
  <c r="Z90" i="3"/>
  <c r="Z91" i="3"/>
  <c r="Z19" i="3"/>
  <c r="S4" i="5" s="1"/>
  <c r="Z20" i="3"/>
  <c r="S5" i="5" s="1"/>
  <c r="Z27" i="3"/>
  <c r="S5" i="6" s="1"/>
  <c r="Z29" i="3"/>
  <c r="S7" i="6" s="1"/>
  <c r="Z32" i="3"/>
  <c r="S3" i="7" s="1"/>
  <c r="Z33" i="3"/>
  <c r="S4" i="7" s="1"/>
  <c r="Z35" i="3"/>
  <c r="S6" i="7" s="1"/>
  <c r="Z36" i="3"/>
  <c r="S7" i="7" s="1"/>
  <c r="Z37" i="3"/>
  <c r="S8" i="7" s="1"/>
  <c r="Z38" i="3"/>
  <c r="S2" i="8" s="1"/>
  <c r="Z43" i="3"/>
  <c r="S7" i="8" s="1"/>
  <c r="Z44" i="3"/>
  <c r="S8" i="8" s="1"/>
  <c r="Z45" i="3"/>
  <c r="S2" i="9" s="1"/>
  <c r="Z46" i="3"/>
  <c r="S3" i="9" s="1"/>
  <c r="Z47" i="3"/>
  <c r="S4" i="9" s="1"/>
  <c r="Z48" i="3"/>
  <c r="S5" i="9" s="1"/>
  <c r="Z89" i="3"/>
  <c r="Z93" i="3"/>
  <c r="Z12" i="3"/>
  <c r="S4" i="4" s="1"/>
  <c r="Z23" i="3"/>
  <c r="S8" i="5" s="1"/>
  <c r="Z26" i="3"/>
  <c r="S4" i="6" s="1"/>
  <c r="Z49" i="3"/>
  <c r="S6" i="9" s="1"/>
  <c r="Z50" i="3"/>
  <c r="S7" i="9" s="1"/>
  <c r="Z51" i="3"/>
  <c r="S8" i="9" s="1"/>
  <c r="Z53" i="3"/>
  <c r="S3" i="10" s="1"/>
  <c r="Z54" i="3"/>
  <c r="S4" i="10" s="1"/>
  <c r="Z56" i="3"/>
  <c r="S6" i="10" s="1"/>
  <c r="Z57" i="3"/>
  <c r="S7" i="10" s="1"/>
  <c r="Z58" i="3"/>
  <c r="S8" i="10" s="1"/>
  <c r="Z59" i="3"/>
  <c r="S2" i="11" s="1"/>
  <c r="Z60" i="3"/>
  <c r="S3" i="11" s="1"/>
  <c r="Z61" i="3"/>
  <c r="S4" i="11" s="1"/>
  <c r="Z62" i="3"/>
  <c r="S5" i="11" s="1"/>
  <c r="Z63" i="3"/>
  <c r="S6" i="11" s="1"/>
  <c r="Z64" i="3"/>
  <c r="S7" i="11" s="1"/>
  <c r="Z65" i="3"/>
  <c r="S8" i="11" s="1"/>
  <c r="Z66" i="3"/>
  <c r="S2" i="12" s="1"/>
  <c r="Z67" i="3"/>
  <c r="S3" i="12" s="1"/>
  <c r="Z68" i="3"/>
  <c r="S4" i="12" s="1"/>
  <c r="Z69" i="3"/>
  <c r="S5" i="12" s="1"/>
  <c r="Z70" i="3"/>
  <c r="S6" i="12" s="1"/>
  <c r="Z71" i="3"/>
  <c r="S7" i="12" s="1"/>
  <c r="Z72" i="3"/>
  <c r="S8" i="12" s="1"/>
  <c r="Z73" i="3"/>
  <c r="S2" i="13" s="1"/>
  <c r="Z74" i="3"/>
  <c r="S3" i="13" s="1"/>
  <c r="Z75" i="3"/>
  <c r="S4" i="13" s="1"/>
  <c r="Z76" i="3"/>
  <c r="S5" i="13" s="1"/>
  <c r="Z77" i="3"/>
  <c r="S6" i="13" s="1"/>
  <c r="Z78" i="3"/>
  <c r="S7" i="13" s="1"/>
  <c r="Z79" i="3"/>
  <c r="S8" i="13" s="1"/>
  <c r="Z87" i="3"/>
  <c r="S1" i="9"/>
  <c r="S1" i="10"/>
  <c r="AA9" i="3"/>
  <c r="AA17" i="3" s="1"/>
  <c r="S1" i="8"/>
  <c r="S1" i="11"/>
  <c r="S1" i="12"/>
  <c r="S1" i="13"/>
  <c r="S1" i="4"/>
  <c r="S1" i="14"/>
  <c r="S1" i="15"/>
  <c r="S1" i="5"/>
  <c r="S1" i="6"/>
  <c r="S1" i="7"/>
  <c r="AA84" i="3" l="1"/>
  <c r="T6" i="14" s="1"/>
  <c r="T2" i="5"/>
  <c r="AA24" i="3"/>
  <c r="T2" i="6" s="1"/>
  <c r="AA14" i="3"/>
  <c r="T6" i="4" s="1"/>
  <c r="AA80" i="3"/>
  <c r="T2" i="14" s="1"/>
  <c r="AA31" i="3"/>
  <c r="T2" i="7" s="1"/>
  <c r="AA21" i="3"/>
  <c r="T6" i="5" s="1"/>
  <c r="AA10" i="3"/>
  <c r="T2" i="4" s="1"/>
  <c r="AA55" i="3"/>
  <c r="T5" i="10" s="1"/>
  <c r="AA83" i="3"/>
  <c r="T5" i="14" s="1"/>
  <c r="AA86" i="3"/>
  <c r="T8" i="14" s="1"/>
  <c r="AA11" i="3"/>
  <c r="T3" i="4" s="1"/>
  <c r="AA15" i="3"/>
  <c r="T7" i="4" s="1"/>
  <c r="AA16" i="3"/>
  <c r="T8" i="4" s="1"/>
  <c r="AA85" i="3"/>
  <c r="T7" i="14" s="1"/>
  <c r="AA13" i="3"/>
  <c r="T5" i="4" s="1"/>
  <c r="AA81" i="3"/>
  <c r="T3" i="14" s="1"/>
  <c r="AA82" i="3"/>
  <c r="T4" i="14" s="1"/>
  <c r="AA88" i="3"/>
  <c r="AA91" i="3"/>
  <c r="AA22" i="3"/>
  <c r="T7" i="5" s="1"/>
  <c r="AA25" i="3"/>
  <c r="T3" i="6" s="1"/>
  <c r="AA28" i="3"/>
  <c r="T6" i="6" s="1"/>
  <c r="AA36" i="3"/>
  <c r="T7" i="7" s="1"/>
  <c r="AA38" i="3"/>
  <c r="T2" i="8" s="1"/>
  <c r="AA39" i="3"/>
  <c r="T3" i="8" s="1"/>
  <c r="AA40" i="3"/>
  <c r="T4" i="8" s="1"/>
  <c r="AA41" i="3"/>
  <c r="T5" i="8" s="1"/>
  <c r="AA42" i="3"/>
  <c r="T6" i="8" s="1"/>
  <c r="AA89" i="3"/>
  <c r="AA90" i="3"/>
  <c r="AA92" i="3"/>
  <c r="AA93" i="3"/>
  <c r="AA12" i="3"/>
  <c r="T4" i="4" s="1"/>
  <c r="AA20" i="3"/>
  <c r="T5" i="5" s="1"/>
  <c r="AA26" i="3"/>
  <c r="T4" i="6" s="1"/>
  <c r="AA27" i="3"/>
  <c r="T5" i="6" s="1"/>
  <c r="AA29" i="3"/>
  <c r="T7" i="6" s="1"/>
  <c r="AA30" i="3"/>
  <c r="T8" i="6" s="1"/>
  <c r="AA32" i="3"/>
  <c r="T3" i="7" s="1"/>
  <c r="AA33" i="3"/>
  <c r="T4" i="7" s="1"/>
  <c r="AA34" i="3"/>
  <c r="T5" i="7" s="1"/>
  <c r="AA35" i="3"/>
  <c r="T6" i="7" s="1"/>
  <c r="AA37" i="3"/>
  <c r="T8" i="7" s="1"/>
  <c r="AA43" i="3"/>
  <c r="T7" i="8" s="1"/>
  <c r="AA44" i="3"/>
  <c r="T8" i="8" s="1"/>
  <c r="AA45" i="3"/>
  <c r="T2" i="9" s="1"/>
  <c r="AA46" i="3"/>
  <c r="T3" i="9" s="1"/>
  <c r="AA47" i="3"/>
  <c r="T4" i="9" s="1"/>
  <c r="AA48" i="3"/>
  <c r="T5" i="9" s="1"/>
  <c r="AA49" i="3"/>
  <c r="T6" i="9" s="1"/>
  <c r="AA18" i="3"/>
  <c r="T3" i="5" s="1"/>
  <c r="AA19" i="3"/>
  <c r="T4" i="5" s="1"/>
  <c r="AA23" i="3"/>
  <c r="T8" i="5" s="1"/>
  <c r="AA50" i="3"/>
  <c r="T7" i="9" s="1"/>
  <c r="AA51" i="3"/>
  <c r="T8" i="9" s="1"/>
  <c r="AA52" i="3"/>
  <c r="T2" i="10" s="1"/>
  <c r="AA53" i="3"/>
  <c r="T3" i="10" s="1"/>
  <c r="AA54" i="3"/>
  <c r="T4" i="10" s="1"/>
  <c r="AA56" i="3"/>
  <c r="T6" i="10" s="1"/>
  <c r="AA57" i="3"/>
  <c r="T7" i="10" s="1"/>
  <c r="AA58" i="3"/>
  <c r="T8" i="10" s="1"/>
  <c r="AA59" i="3"/>
  <c r="T2" i="11" s="1"/>
  <c r="AA60" i="3"/>
  <c r="T3" i="11" s="1"/>
  <c r="AA61" i="3"/>
  <c r="T4" i="11" s="1"/>
  <c r="AA62" i="3"/>
  <c r="T5" i="11" s="1"/>
  <c r="AA63" i="3"/>
  <c r="T6" i="11" s="1"/>
  <c r="AA64" i="3"/>
  <c r="T7" i="11" s="1"/>
  <c r="AA65" i="3"/>
  <c r="T8" i="11" s="1"/>
  <c r="AA66" i="3"/>
  <c r="T2" i="12" s="1"/>
  <c r="AA67" i="3"/>
  <c r="T3" i="12" s="1"/>
  <c r="AA68" i="3"/>
  <c r="T4" i="12" s="1"/>
  <c r="AA69" i="3"/>
  <c r="T5" i="12" s="1"/>
  <c r="AA70" i="3"/>
  <c r="T6" i="12" s="1"/>
  <c r="AA71" i="3"/>
  <c r="T7" i="12" s="1"/>
  <c r="AA72" i="3"/>
  <c r="T8" i="12" s="1"/>
  <c r="AA73" i="3"/>
  <c r="T2" i="13" s="1"/>
  <c r="AA74" i="3"/>
  <c r="T3" i="13" s="1"/>
  <c r="AA75" i="3"/>
  <c r="T4" i="13" s="1"/>
  <c r="AA76" i="3"/>
  <c r="T5" i="13" s="1"/>
  <c r="AA77" i="3"/>
  <c r="T6" i="13" s="1"/>
  <c r="AA78" i="3"/>
  <c r="T7" i="13" s="1"/>
  <c r="AA79" i="3"/>
  <c r="T8" i="13" s="1"/>
  <c r="AA87" i="3"/>
  <c r="T1" i="8"/>
  <c r="T1" i="11"/>
  <c r="T1" i="12"/>
  <c r="T1" i="13"/>
  <c r="T1" i="14"/>
  <c r="T1" i="15"/>
  <c r="AB9" i="3"/>
  <c r="AB17" i="3" s="1"/>
  <c r="T1" i="5"/>
  <c r="T1" i="6"/>
  <c r="T1" i="7"/>
  <c r="T1" i="4"/>
  <c r="T1" i="9"/>
  <c r="T1" i="10"/>
  <c r="AB84" i="3" l="1"/>
  <c r="U6" i="14" s="1"/>
  <c r="U2" i="5"/>
  <c r="AB21" i="3"/>
  <c r="U6" i="5" s="1"/>
  <c r="AB80" i="3"/>
  <c r="U2" i="14" s="1"/>
  <c r="AB14" i="3"/>
  <c r="U6" i="4" s="1"/>
  <c r="AB24" i="3"/>
  <c r="U2" i="6" s="1"/>
  <c r="AB10" i="3"/>
  <c r="U2" i="4" s="1"/>
  <c r="AB31" i="3"/>
  <c r="U2" i="7" s="1"/>
  <c r="AB55" i="3"/>
  <c r="U5" i="10" s="1"/>
  <c r="AB86" i="3"/>
  <c r="U8" i="14" s="1"/>
  <c r="AB85" i="3"/>
  <c r="U7" i="14" s="1"/>
  <c r="AB11" i="3"/>
  <c r="U3" i="4" s="1"/>
  <c r="AB83" i="3"/>
  <c r="U5" i="14" s="1"/>
  <c r="AB13" i="3"/>
  <c r="U5" i="4" s="1"/>
  <c r="AB16" i="3"/>
  <c r="U8" i="4" s="1"/>
  <c r="AB15" i="3"/>
  <c r="U7" i="4" s="1"/>
  <c r="AB81" i="3"/>
  <c r="U3" i="14" s="1"/>
  <c r="AB82" i="3"/>
  <c r="U4" i="14" s="1"/>
  <c r="AB90" i="3"/>
  <c r="AB91" i="3"/>
  <c r="AB26" i="3"/>
  <c r="U4" i="6" s="1"/>
  <c r="AB29" i="3"/>
  <c r="U7" i="6" s="1"/>
  <c r="AB30" i="3"/>
  <c r="U8" i="6" s="1"/>
  <c r="AB33" i="3"/>
  <c r="U4" i="7" s="1"/>
  <c r="AB36" i="3"/>
  <c r="U7" i="7" s="1"/>
  <c r="AB39" i="3"/>
  <c r="U3" i="8" s="1"/>
  <c r="AB40" i="3"/>
  <c r="U4" i="8" s="1"/>
  <c r="AB41" i="3"/>
  <c r="U5" i="8" s="1"/>
  <c r="AB42" i="3"/>
  <c r="U6" i="8" s="1"/>
  <c r="AB89" i="3"/>
  <c r="AB92" i="3"/>
  <c r="AB18" i="3"/>
  <c r="U3" i="5" s="1"/>
  <c r="AB23" i="3"/>
  <c r="U8" i="5" s="1"/>
  <c r="AB25" i="3"/>
  <c r="U3" i="6" s="1"/>
  <c r="AB27" i="3"/>
  <c r="U5" i="6" s="1"/>
  <c r="AB28" i="3"/>
  <c r="U6" i="6" s="1"/>
  <c r="AB32" i="3"/>
  <c r="U3" i="7" s="1"/>
  <c r="AB34" i="3"/>
  <c r="U5" i="7" s="1"/>
  <c r="AB35" i="3"/>
  <c r="U6" i="7" s="1"/>
  <c r="AB37" i="3"/>
  <c r="U8" i="7" s="1"/>
  <c r="AB38" i="3"/>
  <c r="U2" i="8" s="1"/>
  <c r="AB43" i="3"/>
  <c r="U7" i="8" s="1"/>
  <c r="AB44" i="3"/>
  <c r="U8" i="8" s="1"/>
  <c r="AB45" i="3"/>
  <c r="U2" i="9" s="1"/>
  <c r="AB46" i="3"/>
  <c r="U3" i="9" s="1"/>
  <c r="AB47" i="3"/>
  <c r="U4" i="9" s="1"/>
  <c r="AB48" i="3"/>
  <c r="U5" i="9" s="1"/>
  <c r="AB88" i="3"/>
  <c r="AB93" i="3"/>
  <c r="AB12" i="3"/>
  <c r="U4" i="4" s="1"/>
  <c r="AB19" i="3"/>
  <c r="U4" i="5" s="1"/>
  <c r="AB20" i="3"/>
  <c r="U5" i="5" s="1"/>
  <c r="AB22" i="3"/>
  <c r="U7" i="5" s="1"/>
  <c r="AB49" i="3"/>
  <c r="U6" i="9" s="1"/>
  <c r="AB50" i="3"/>
  <c r="U7" i="9" s="1"/>
  <c r="AB51" i="3"/>
  <c r="U8" i="9" s="1"/>
  <c r="AB52" i="3"/>
  <c r="U2" i="10" s="1"/>
  <c r="AB53" i="3"/>
  <c r="U3" i="10" s="1"/>
  <c r="AB54" i="3"/>
  <c r="U4" i="10" s="1"/>
  <c r="AB56" i="3"/>
  <c r="U6" i="10" s="1"/>
  <c r="AB57" i="3"/>
  <c r="U7" i="10" s="1"/>
  <c r="AB58" i="3"/>
  <c r="U8" i="10" s="1"/>
  <c r="AB59" i="3"/>
  <c r="U2" i="11" s="1"/>
  <c r="AB60" i="3"/>
  <c r="U3" i="11" s="1"/>
  <c r="AB61" i="3"/>
  <c r="U4" i="11" s="1"/>
  <c r="AB62" i="3"/>
  <c r="U5" i="11" s="1"/>
  <c r="AB63" i="3"/>
  <c r="U6" i="11" s="1"/>
  <c r="AB64" i="3"/>
  <c r="U7" i="11" s="1"/>
  <c r="AB65" i="3"/>
  <c r="U8" i="11" s="1"/>
  <c r="AB66" i="3"/>
  <c r="U2" i="12" s="1"/>
  <c r="AB67" i="3"/>
  <c r="U3" i="12" s="1"/>
  <c r="AB68" i="3"/>
  <c r="U4" i="12" s="1"/>
  <c r="AB69" i="3"/>
  <c r="U5" i="12" s="1"/>
  <c r="AB70" i="3"/>
  <c r="U6" i="12" s="1"/>
  <c r="AB71" i="3"/>
  <c r="U7" i="12" s="1"/>
  <c r="AB72" i="3"/>
  <c r="U8" i="12" s="1"/>
  <c r="AB73" i="3"/>
  <c r="U2" i="13" s="1"/>
  <c r="AB74" i="3"/>
  <c r="U3" i="13" s="1"/>
  <c r="AB75" i="3"/>
  <c r="U4" i="13" s="1"/>
  <c r="AB76" i="3"/>
  <c r="U5" i="13" s="1"/>
  <c r="AB77" i="3"/>
  <c r="U6" i="13" s="1"/>
  <c r="AB78" i="3"/>
  <c r="U7" i="13" s="1"/>
  <c r="AB79" i="3"/>
  <c r="U8" i="13" s="1"/>
  <c r="AB87" i="3"/>
  <c r="U1" i="4"/>
  <c r="U1" i="5"/>
  <c r="U1" i="6"/>
  <c r="U1" i="7"/>
  <c r="U1" i="8"/>
  <c r="U1" i="9"/>
  <c r="U1" i="10"/>
  <c r="AC9" i="3"/>
  <c r="AC17" i="3" s="1"/>
  <c r="U1" i="11"/>
  <c r="U1" i="12"/>
  <c r="U1" i="13"/>
  <c r="U1" i="14"/>
  <c r="U1" i="15"/>
  <c r="AC14" i="3" l="1"/>
  <c r="V6" i="4" s="1"/>
  <c r="AC84" i="3"/>
  <c r="V6" i="14" s="1"/>
  <c r="AC80" i="3"/>
  <c r="V2" i="14" s="1"/>
  <c r="AC24" i="3"/>
  <c r="V2" i="6" s="1"/>
  <c r="AC31" i="3"/>
  <c r="V2" i="7" s="1"/>
  <c r="AC10" i="3"/>
  <c r="V2" i="4" s="1"/>
  <c r="V2" i="5"/>
  <c r="AC21" i="3"/>
  <c r="V6" i="5" s="1"/>
  <c r="AC55" i="3"/>
  <c r="V5" i="10" s="1"/>
  <c r="AC11" i="3"/>
  <c r="V3" i="4" s="1"/>
  <c r="AC85" i="3"/>
  <c r="V7" i="14" s="1"/>
  <c r="AC13" i="3"/>
  <c r="V5" i="4" s="1"/>
  <c r="AC15" i="3"/>
  <c r="V7" i="4" s="1"/>
  <c r="AC16" i="3"/>
  <c r="V8" i="4" s="1"/>
  <c r="AC86" i="3"/>
  <c r="V8" i="14" s="1"/>
  <c r="AC81" i="3"/>
  <c r="V3" i="14" s="1"/>
  <c r="AC82" i="3"/>
  <c r="V4" i="14" s="1"/>
  <c r="AC83" i="3"/>
  <c r="V5" i="14" s="1"/>
  <c r="AC19" i="3"/>
  <c r="V4" i="5" s="1"/>
  <c r="AC29" i="3"/>
  <c r="V7" i="6" s="1"/>
  <c r="AC30" i="3"/>
  <c r="V8" i="6" s="1"/>
  <c r="AC33" i="3"/>
  <c r="V4" i="7" s="1"/>
  <c r="AC35" i="3"/>
  <c r="V6" i="7" s="1"/>
  <c r="AC36" i="3"/>
  <c r="V7" i="7" s="1"/>
  <c r="AC37" i="3"/>
  <c r="V8" i="7" s="1"/>
  <c r="AC38" i="3"/>
  <c r="V2" i="8" s="1"/>
  <c r="AC39" i="3"/>
  <c r="V3" i="8" s="1"/>
  <c r="AC40" i="3"/>
  <c r="V4" i="8" s="1"/>
  <c r="AC41" i="3"/>
  <c r="V5" i="8" s="1"/>
  <c r="AC42" i="3"/>
  <c r="V6" i="8" s="1"/>
  <c r="AC88" i="3"/>
  <c r="AC89" i="3"/>
  <c r="AC12" i="3"/>
  <c r="V4" i="4" s="1"/>
  <c r="AC20" i="3"/>
  <c r="V5" i="5" s="1"/>
  <c r="AC26" i="3"/>
  <c r="V4" i="6" s="1"/>
  <c r="AC28" i="3"/>
  <c r="V6" i="6" s="1"/>
  <c r="AC32" i="3"/>
  <c r="V3" i="7" s="1"/>
  <c r="AC34" i="3"/>
  <c r="V5" i="7" s="1"/>
  <c r="AC43" i="3"/>
  <c r="V7" i="8" s="1"/>
  <c r="AC44" i="3"/>
  <c r="V8" i="8" s="1"/>
  <c r="AC45" i="3"/>
  <c r="V2" i="9" s="1"/>
  <c r="AC46" i="3"/>
  <c r="V3" i="9" s="1"/>
  <c r="AC47" i="3"/>
  <c r="V4" i="9" s="1"/>
  <c r="AC48" i="3"/>
  <c r="V5" i="9" s="1"/>
  <c r="AC90" i="3"/>
  <c r="AC91" i="3"/>
  <c r="AC92" i="3"/>
  <c r="AC93" i="3"/>
  <c r="AC22" i="3"/>
  <c r="V7" i="5" s="1"/>
  <c r="AC23" i="3"/>
  <c r="V8" i="5" s="1"/>
  <c r="AC25" i="3"/>
  <c r="V3" i="6" s="1"/>
  <c r="AC27" i="3"/>
  <c r="V5" i="6" s="1"/>
  <c r="AC49" i="3"/>
  <c r="V6" i="9" s="1"/>
  <c r="AC50" i="3"/>
  <c r="V7" i="9" s="1"/>
  <c r="AC51" i="3"/>
  <c r="V8" i="9" s="1"/>
  <c r="AC52" i="3"/>
  <c r="V2" i="10" s="1"/>
  <c r="AC53" i="3"/>
  <c r="V3" i="10" s="1"/>
  <c r="AC54" i="3"/>
  <c r="V4" i="10" s="1"/>
  <c r="AC56" i="3"/>
  <c r="V6" i="10" s="1"/>
  <c r="AC57" i="3"/>
  <c r="V7" i="10" s="1"/>
  <c r="AC58" i="3"/>
  <c r="V8" i="10" s="1"/>
  <c r="AC59" i="3"/>
  <c r="V2" i="11" s="1"/>
  <c r="AC60" i="3"/>
  <c r="V3" i="11" s="1"/>
  <c r="AC61" i="3"/>
  <c r="V4" i="11" s="1"/>
  <c r="AC62" i="3"/>
  <c r="V5" i="11" s="1"/>
  <c r="AC63" i="3"/>
  <c r="V6" i="11" s="1"/>
  <c r="AC64" i="3"/>
  <c r="V7" i="11" s="1"/>
  <c r="AC65" i="3"/>
  <c r="V8" i="11" s="1"/>
  <c r="AC66" i="3"/>
  <c r="V2" i="12" s="1"/>
  <c r="AC67" i="3"/>
  <c r="V3" i="12" s="1"/>
  <c r="AC68" i="3"/>
  <c r="V4" i="12" s="1"/>
  <c r="AC69" i="3"/>
  <c r="V5" i="12" s="1"/>
  <c r="AC70" i="3"/>
  <c r="V6" i="12" s="1"/>
  <c r="AC71" i="3"/>
  <c r="V7" i="12" s="1"/>
  <c r="AC72" i="3"/>
  <c r="V8" i="12" s="1"/>
  <c r="AC73" i="3"/>
  <c r="V2" i="13" s="1"/>
  <c r="AC74" i="3"/>
  <c r="V3" i="13" s="1"/>
  <c r="AC75" i="3"/>
  <c r="V4" i="13" s="1"/>
  <c r="AC76" i="3"/>
  <c r="V5" i="13" s="1"/>
  <c r="AC77" i="3"/>
  <c r="V6" i="13" s="1"/>
  <c r="AC78" i="3"/>
  <c r="V7" i="13" s="1"/>
  <c r="AC79" i="3"/>
  <c r="V8" i="13" s="1"/>
  <c r="AC87" i="3"/>
  <c r="V1" i="8"/>
  <c r="V1" i="11"/>
  <c r="V1" i="12"/>
  <c r="V1" i="13"/>
  <c r="V1" i="14"/>
  <c r="V1" i="15"/>
  <c r="AD9" i="3"/>
  <c r="AD17" i="3" s="1"/>
  <c r="V1" i="5"/>
  <c r="V1" i="6"/>
  <c r="V1" i="7"/>
  <c r="AC18" i="3"/>
  <c r="V3" i="5" s="1"/>
  <c r="V1" i="4"/>
  <c r="V1" i="9"/>
  <c r="V1" i="10"/>
  <c r="AD84" i="3" l="1"/>
  <c r="W6" i="14" s="1"/>
  <c r="AD14" i="3"/>
  <c r="W6" i="4" s="1"/>
  <c r="W2" i="5"/>
  <c r="AD80" i="3"/>
  <c r="W2" i="14" s="1"/>
  <c r="AD24" i="3"/>
  <c r="W2" i="6" s="1"/>
  <c r="AD10" i="3"/>
  <c r="W2" i="4" s="1"/>
  <c r="AD31" i="3"/>
  <c r="W2" i="7" s="1"/>
  <c r="AD21" i="3"/>
  <c r="W6" i="5" s="1"/>
  <c r="AD55" i="3"/>
  <c r="W5" i="10" s="1"/>
  <c r="AD11" i="3"/>
  <c r="W3" i="4" s="1"/>
  <c r="AD83" i="3"/>
  <c r="W5" i="14" s="1"/>
  <c r="AD85" i="3"/>
  <c r="W7" i="14" s="1"/>
  <c r="AD15" i="3"/>
  <c r="W7" i="4" s="1"/>
  <c r="AD16" i="3"/>
  <c r="W8" i="4" s="1"/>
  <c r="AD86" i="3"/>
  <c r="W8" i="14" s="1"/>
  <c r="AD13" i="3"/>
  <c r="W5" i="4" s="1"/>
  <c r="AD81" i="3"/>
  <c r="W3" i="14" s="1"/>
  <c r="AD82" i="3"/>
  <c r="W4" i="14" s="1"/>
  <c r="AD89" i="3"/>
  <c r="AD20" i="3"/>
  <c r="W5" i="5" s="1"/>
  <c r="AD32" i="3"/>
  <c r="W3" i="7" s="1"/>
  <c r="AD39" i="3"/>
  <c r="W3" i="8" s="1"/>
  <c r="AD40" i="3"/>
  <c r="W4" i="8" s="1"/>
  <c r="AD41" i="3"/>
  <c r="W5" i="8" s="1"/>
  <c r="AD42" i="3"/>
  <c r="W6" i="8" s="1"/>
  <c r="AD88" i="3"/>
  <c r="AD91" i="3"/>
  <c r="AD93" i="3"/>
  <c r="AD18" i="3"/>
  <c r="W3" i="5" s="1"/>
  <c r="AD19" i="3"/>
  <c r="W4" i="5" s="1"/>
  <c r="AD23" i="3"/>
  <c r="W8" i="5" s="1"/>
  <c r="AD25" i="3"/>
  <c r="W3" i="6" s="1"/>
  <c r="AD27" i="3"/>
  <c r="W5" i="6" s="1"/>
  <c r="AD28" i="3"/>
  <c r="W6" i="6" s="1"/>
  <c r="AD29" i="3"/>
  <c r="W7" i="6" s="1"/>
  <c r="AD30" i="3"/>
  <c r="W8" i="6" s="1"/>
  <c r="AD33" i="3"/>
  <c r="W4" i="7" s="1"/>
  <c r="AD34" i="3"/>
  <c r="W5" i="7" s="1"/>
  <c r="AD35" i="3"/>
  <c r="W6" i="7" s="1"/>
  <c r="AD36" i="3"/>
  <c r="W7" i="7" s="1"/>
  <c r="AD37" i="3"/>
  <c r="W8" i="7" s="1"/>
  <c r="AD38" i="3"/>
  <c r="W2" i="8" s="1"/>
  <c r="AD43" i="3"/>
  <c r="W7" i="8" s="1"/>
  <c r="AD44" i="3"/>
  <c r="W8" i="8" s="1"/>
  <c r="AD45" i="3"/>
  <c r="W2" i="9" s="1"/>
  <c r="AD46" i="3"/>
  <c r="W3" i="9" s="1"/>
  <c r="AD47" i="3"/>
  <c r="W4" i="9" s="1"/>
  <c r="AD48" i="3"/>
  <c r="W5" i="9" s="1"/>
  <c r="AD90" i="3"/>
  <c r="AD92" i="3"/>
  <c r="AD12" i="3"/>
  <c r="W4" i="4" s="1"/>
  <c r="AD22" i="3"/>
  <c r="W7" i="5" s="1"/>
  <c r="AD26" i="3"/>
  <c r="W4" i="6" s="1"/>
  <c r="AD49" i="3"/>
  <c r="W6" i="9" s="1"/>
  <c r="AD50" i="3"/>
  <c r="W7" i="9" s="1"/>
  <c r="AD51" i="3"/>
  <c r="W8" i="9" s="1"/>
  <c r="AD52" i="3"/>
  <c r="W2" i="10" s="1"/>
  <c r="AD53" i="3"/>
  <c r="W3" i="10" s="1"/>
  <c r="AD54" i="3"/>
  <c r="W4" i="10" s="1"/>
  <c r="AD56" i="3"/>
  <c r="W6" i="10" s="1"/>
  <c r="AD57" i="3"/>
  <c r="W7" i="10" s="1"/>
  <c r="AD58" i="3"/>
  <c r="W8" i="10" s="1"/>
  <c r="AD59" i="3"/>
  <c r="W2" i="11" s="1"/>
  <c r="AD60" i="3"/>
  <c r="W3" i="11" s="1"/>
  <c r="AD61" i="3"/>
  <c r="W4" i="11" s="1"/>
  <c r="AD62" i="3"/>
  <c r="W5" i="11" s="1"/>
  <c r="AD63" i="3"/>
  <c r="W6" i="11" s="1"/>
  <c r="AD64" i="3"/>
  <c r="W7" i="11" s="1"/>
  <c r="AD65" i="3"/>
  <c r="W8" i="11" s="1"/>
  <c r="AD66" i="3"/>
  <c r="W2" i="12" s="1"/>
  <c r="AD67" i="3"/>
  <c r="W3" i="12" s="1"/>
  <c r="AD68" i="3"/>
  <c r="W4" i="12" s="1"/>
  <c r="AD69" i="3"/>
  <c r="W5" i="12" s="1"/>
  <c r="AD70" i="3"/>
  <c r="W6" i="12" s="1"/>
  <c r="AD71" i="3"/>
  <c r="W7" i="12" s="1"/>
  <c r="AD72" i="3"/>
  <c r="W8" i="12" s="1"/>
  <c r="AD73" i="3"/>
  <c r="W2" i="13" s="1"/>
  <c r="AD74" i="3"/>
  <c r="W3" i="13" s="1"/>
  <c r="AD75" i="3"/>
  <c r="W4" i="13" s="1"/>
  <c r="AD76" i="3"/>
  <c r="W5" i="13" s="1"/>
  <c r="AD77" i="3"/>
  <c r="W6" i="13" s="1"/>
  <c r="AD78" i="3"/>
  <c r="W7" i="13" s="1"/>
  <c r="AD79" i="3"/>
  <c r="W8" i="13" s="1"/>
  <c r="AD87" i="3"/>
  <c r="W1" i="5"/>
  <c r="W1" i="6"/>
  <c r="W1" i="7"/>
  <c r="AE9" i="3"/>
  <c r="AE17" i="3" s="1"/>
  <c r="W1" i="8"/>
  <c r="W1" i="9"/>
  <c r="W1" i="10"/>
  <c r="W1" i="11"/>
  <c r="W1" i="12"/>
  <c r="W1" i="4"/>
  <c r="W1" i="13"/>
  <c r="W1" i="14"/>
  <c r="W1" i="15"/>
  <c r="AE84" i="3" l="1"/>
  <c r="X6" i="14" s="1"/>
  <c r="AE14" i="3"/>
  <c r="X6" i="4" s="1"/>
  <c r="AE21" i="3"/>
  <c r="X6" i="5" s="1"/>
  <c r="AE24" i="3"/>
  <c r="X2" i="6" s="1"/>
  <c r="AE80" i="3"/>
  <c r="X2" i="14" s="1"/>
  <c r="AE10" i="3"/>
  <c r="X2" i="4" s="1"/>
  <c r="AE31" i="3"/>
  <c r="X2" i="7" s="1"/>
  <c r="X2" i="5"/>
  <c r="AE55" i="3"/>
  <c r="X5" i="10" s="1"/>
  <c r="AE83" i="3"/>
  <c r="X5" i="14" s="1"/>
  <c r="AE86" i="3"/>
  <c r="X8" i="14" s="1"/>
  <c r="AE11" i="3"/>
  <c r="X3" i="4" s="1"/>
  <c r="AE13" i="3"/>
  <c r="X5" i="4" s="1"/>
  <c r="AE15" i="3"/>
  <c r="X7" i="4" s="1"/>
  <c r="AE16" i="3"/>
  <c r="X8" i="4" s="1"/>
  <c r="AE85" i="3"/>
  <c r="X7" i="14" s="1"/>
  <c r="AE81" i="3"/>
  <c r="X3" i="14" s="1"/>
  <c r="AE82" i="3"/>
  <c r="X4" i="14" s="1"/>
  <c r="AE88" i="3"/>
  <c r="AE18" i="3"/>
  <c r="X3" i="5" s="1"/>
  <c r="AE19" i="3"/>
  <c r="X4" i="5" s="1"/>
  <c r="AE33" i="3"/>
  <c r="X4" i="7" s="1"/>
  <c r="AE35" i="3"/>
  <c r="X6" i="7" s="1"/>
  <c r="AE39" i="3"/>
  <c r="X3" i="8" s="1"/>
  <c r="AE40" i="3"/>
  <c r="X4" i="8" s="1"/>
  <c r="AE41" i="3"/>
  <c r="X5" i="8" s="1"/>
  <c r="AE42" i="3"/>
  <c r="X6" i="8" s="1"/>
  <c r="AE43" i="3"/>
  <c r="X7" i="8" s="1"/>
  <c r="AE91" i="3"/>
  <c r="AE93" i="3"/>
  <c r="AE22" i="3"/>
  <c r="X7" i="5" s="1"/>
  <c r="AE25" i="3"/>
  <c r="X3" i="6" s="1"/>
  <c r="AE26" i="3"/>
  <c r="X4" i="6" s="1"/>
  <c r="AE29" i="3"/>
  <c r="X7" i="6" s="1"/>
  <c r="AE30" i="3"/>
  <c r="X8" i="6" s="1"/>
  <c r="AE32" i="3"/>
  <c r="X3" i="7" s="1"/>
  <c r="AE34" i="3"/>
  <c r="X5" i="7" s="1"/>
  <c r="AE36" i="3"/>
  <c r="X7" i="7" s="1"/>
  <c r="AE37" i="3"/>
  <c r="X8" i="7" s="1"/>
  <c r="AE38" i="3"/>
  <c r="X2" i="8" s="1"/>
  <c r="AE44" i="3"/>
  <c r="X8" i="8" s="1"/>
  <c r="AE45" i="3"/>
  <c r="X2" i="9" s="1"/>
  <c r="AE46" i="3"/>
  <c r="X3" i="9" s="1"/>
  <c r="AE47" i="3"/>
  <c r="X4" i="9" s="1"/>
  <c r="AE48" i="3"/>
  <c r="X5" i="9" s="1"/>
  <c r="AE49" i="3"/>
  <c r="X6" i="9" s="1"/>
  <c r="AE89" i="3"/>
  <c r="AE90" i="3"/>
  <c r="AE92" i="3"/>
  <c r="AE12" i="3"/>
  <c r="X4" i="4" s="1"/>
  <c r="AE20" i="3"/>
  <c r="X5" i="5" s="1"/>
  <c r="AE23" i="3"/>
  <c r="X8" i="5" s="1"/>
  <c r="AE27" i="3"/>
  <c r="X5" i="6" s="1"/>
  <c r="AE28" i="3"/>
  <c r="X6" i="6" s="1"/>
  <c r="AE50" i="3"/>
  <c r="X7" i="9" s="1"/>
  <c r="AE51" i="3"/>
  <c r="X8" i="9" s="1"/>
  <c r="AE52" i="3"/>
  <c r="X2" i="10" s="1"/>
  <c r="AE53" i="3"/>
  <c r="X3" i="10" s="1"/>
  <c r="AE54" i="3"/>
  <c r="X4" i="10" s="1"/>
  <c r="AE56" i="3"/>
  <c r="X6" i="10" s="1"/>
  <c r="AE57" i="3"/>
  <c r="X7" i="10" s="1"/>
  <c r="AE58" i="3"/>
  <c r="X8" i="10" s="1"/>
  <c r="AE59" i="3"/>
  <c r="X2" i="11" s="1"/>
  <c r="AE60" i="3"/>
  <c r="X3" i="11" s="1"/>
  <c r="AE61" i="3"/>
  <c r="X4" i="11" s="1"/>
  <c r="AE62" i="3"/>
  <c r="X5" i="11" s="1"/>
  <c r="AE63" i="3"/>
  <c r="X6" i="11" s="1"/>
  <c r="AE64" i="3"/>
  <c r="X7" i="11" s="1"/>
  <c r="AE65" i="3"/>
  <c r="X8" i="11" s="1"/>
  <c r="AE66" i="3"/>
  <c r="X2" i="12" s="1"/>
  <c r="AE67" i="3"/>
  <c r="X3" i="12" s="1"/>
  <c r="AE68" i="3"/>
  <c r="X4" i="12" s="1"/>
  <c r="AE69" i="3"/>
  <c r="X5" i="12" s="1"/>
  <c r="AE70" i="3"/>
  <c r="X6" i="12" s="1"/>
  <c r="AE71" i="3"/>
  <c r="X7" i="12" s="1"/>
  <c r="AE72" i="3"/>
  <c r="X8" i="12" s="1"/>
  <c r="AE73" i="3"/>
  <c r="X2" i="13" s="1"/>
  <c r="AE74" i="3"/>
  <c r="X3" i="13" s="1"/>
  <c r="AE75" i="3"/>
  <c r="X4" i="13" s="1"/>
  <c r="AE76" i="3"/>
  <c r="X5" i="13" s="1"/>
  <c r="AE77" i="3"/>
  <c r="X6" i="13" s="1"/>
  <c r="AE78" i="3"/>
  <c r="X7" i="13" s="1"/>
  <c r="AE79" i="3"/>
  <c r="X8" i="13" s="1"/>
  <c r="AE87" i="3"/>
  <c r="X1" i="9"/>
  <c r="X1" i="10"/>
  <c r="AF9" i="3"/>
  <c r="AF17" i="3" s="1"/>
  <c r="X1" i="4"/>
  <c r="X1" i="8"/>
  <c r="X1" i="11"/>
  <c r="X1" i="12"/>
  <c r="X1" i="13"/>
  <c r="X1" i="14"/>
  <c r="X1" i="15"/>
  <c r="X1" i="5"/>
  <c r="X1" i="6"/>
  <c r="X1" i="7"/>
  <c r="AF84" i="3" l="1"/>
  <c r="Y6" i="14" s="1"/>
  <c r="AF24" i="3"/>
  <c r="Y2" i="6" s="1"/>
  <c r="Y2" i="5"/>
  <c r="AF31" i="3"/>
  <c r="Y2" i="7" s="1"/>
  <c r="AF80" i="3"/>
  <c r="Y2" i="14" s="1"/>
  <c r="AF14" i="3"/>
  <c r="Y6" i="4" s="1"/>
  <c r="AF10" i="3"/>
  <c r="Y2" i="4" s="1"/>
  <c r="AF21" i="3"/>
  <c r="Y6" i="5" s="1"/>
  <c r="AF55" i="3"/>
  <c r="Y5" i="10" s="1"/>
  <c r="AF85" i="3"/>
  <c r="Y7" i="14" s="1"/>
  <c r="AF11" i="3"/>
  <c r="Y3" i="4" s="1"/>
  <c r="AF15" i="3"/>
  <c r="Y7" i="4" s="1"/>
  <c r="AF16" i="3"/>
  <c r="Y8" i="4" s="1"/>
  <c r="AF86" i="3"/>
  <c r="Y8" i="14" s="1"/>
  <c r="AF13" i="3"/>
  <c r="Y5" i="4" s="1"/>
  <c r="AF81" i="3"/>
  <c r="Y3" i="14" s="1"/>
  <c r="AF82" i="3"/>
  <c r="Y4" i="14" s="1"/>
  <c r="AF83" i="3"/>
  <c r="Y5" i="14" s="1"/>
  <c r="AF23" i="3"/>
  <c r="Y8" i="5" s="1"/>
  <c r="AF25" i="3"/>
  <c r="Y3" i="6" s="1"/>
  <c r="AF27" i="3"/>
  <c r="Y5" i="6" s="1"/>
  <c r="AF32" i="3"/>
  <c r="Y3" i="7" s="1"/>
  <c r="AF38" i="3"/>
  <c r="Y2" i="8" s="1"/>
  <c r="AF39" i="3"/>
  <c r="Y3" i="8" s="1"/>
  <c r="AF40" i="3"/>
  <c r="Y4" i="8" s="1"/>
  <c r="AF41" i="3"/>
  <c r="Y5" i="8" s="1"/>
  <c r="AF42" i="3"/>
  <c r="Y6" i="8" s="1"/>
  <c r="AF90" i="3"/>
  <c r="AF92" i="3"/>
  <c r="AF12" i="3"/>
  <c r="Y4" i="4" s="1"/>
  <c r="AF19" i="3"/>
  <c r="Y4" i="5" s="1"/>
  <c r="AF20" i="3"/>
  <c r="Y5" i="5" s="1"/>
  <c r="AF22" i="3"/>
  <c r="Y7" i="5" s="1"/>
  <c r="AF28" i="3"/>
  <c r="Y6" i="6" s="1"/>
  <c r="AF29" i="3"/>
  <c r="Y7" i="6" s="1"/>
  <c r="AF30" i="3"/>
  <c r="Y8" i="6" s="1"/>
  <c r="AF33" i="3"/>
  <c r="Y4" i="7" s="1"/>
  <c r="AF34" i="3"/>
  <c r="Y5" i="7" s="1"/>
  <c r="AF35" i="3"/>
  <c r="Y6" i="7" s="1"/>
  <c r="AF36" i="3"/>
  <c r="Y7" i="7" s="1"/>
  <c r="AF37" i="3"/>
  <c r="Y8" i="7" s="1"/>
  <c r="AF43" i="3"/>
  <c r="Y7" i="8" s="1"/>
  <c r="AF44" i="3"/>
  <c r="Y8" i="8" s="1"/>
  <c r="AF45" i="3"/>
  <c r="Y2" i="9" s="1"/>
  <c r="AF46" i="3"/>
  <c r="Y3" i="9" s="1"/>
  <c r="AF47" i="3"/>
  <c r="Y4" i="9" s="1"/>
  <c r="AF48" i="3"/>
  <c r="Y5" i="9" s="1"/>
  <c r="AF49" i="3"/>
  <c r="Y6" i="9" s="1"/>
  <c r="AF89" i="3"/>
  <c r="AF91" i="3"/>
  <c r="AF93" i="3"/>
  <c r="AF18" i="3"/>
  <c r="Y3" i="5" s="1"/>
  <c r="AF26" i="3"/>
  <c r="Y4" i="6" s="1"/>
  <c r="AF50" i="3"/>
  <c r="Y7" i="9" s="1"/>
  <c r="AF51" i="3"/>
  <c r="Y8" i="9" s="1"/>
  <c r="AF52" i="3"/>
  <c r="Y2" i="10" s="1"/>
  <c r="AF53" i="3"/>
  <c r="Y3" i="10" s="1"/>
  <c r="AF54" i="3"/>
  <c r="Y4" i="10" s="1"/>
  <c r="AF56" i="3"/>
  <c r="Y6" i="10" s="1"/>
  <c r="AF57" i="3"/>
  <c r="Y7" i="10" s="1"/>
  <c r="AF58" i="3"/>
  <c r="Y8" i="10" s="1"/>
  <c r="AF59" i="3"/>
  <c r="Y2" i="11" s="1"/>
  <c r="AF60" i="3"/>
  <c r="Y3" i="11" s="1"/>
  <c r="AF61" i="3"/>
  <c r="Y4" i="11" s="1"/>
  <c r="AF62" i="3"/>
  <c r="Y5" i="11" s="1"/>
  <c r="AF88" i="3"/>
  <c r="AF63" i="3"/>
  <c r="Y6" i="11" s="1"/>
  <c r="AF64" i="3"/>
  <c r="Y7" i="11" s="1"/>
  <c r="AF65" i="3"/>
  <c r="Y8" i="11" s="1"/>
  <c r="AF66" i="3"/>
  <c r="Y2" i="12" s="1"/>
  <c r="AF67" i="3"/>
  <c r="Y3" i="12" s="1"/>
  <c r="AF68" i="3"/>
  <c r="Y4" i="12" s="1"/>
  <c r="AF69" i="3"/>
  <c r="Y5" i="12" s="1"/>
  <c r="AF70" i="3"/>
  <c r="Y6" i="12" s="1"/>
  <c r="AF71" i="3"/>
  <c r="Y7" i="12" s="1"/>
  <c r="AF72" i="3"/>
  <c r="Y8" i="12" s="1"/>
  <c r="AF73" i="3"/>
  <c r="Y2" i="13" s="1"/>
  <c r="AF74" i="3"/>
  <c r="Y3" i="13" s="1"/>
  <c r="AF75" i="3"/>
  <c r="Y4" i="13" s="1"/>
  <c r="AF76" i="3"/>
  <c r="Y5" i="13" s="1"/>
  <c r="AF77" i="3"/>
  <c r="Y6" i="13" s="1"/>
  <c r="AF78" i="3"/>
  <c r="Y7" i="13" s="1"/>
  <c r="AF79" i="3"/>
  <c r="Y8" i="13" s="1"/>
  <c r="AF87" i="3"/>
  <c r="Y1" i="11"/>
  <c r="Y1" i="12"/>
  <c r="Y1" i="13"/>
  <c r="Y1" i="14"/>
  <c r="Y1" i="15"/>
  <c r="AG9" i="3"/>
  <c r="AG17" i="3" s="1"/>
  <c r="Y1" i="4"/>
  <c r="Y1" i="5"/>
  <c r="Y1" i="6"/>
  <c r="Y1" i="7"/>
  <c r="Y1" i="8"/>
  <c r="Y1" i="9"/>
  <c r="Y1" i="10"/>
  <c r="AG84" i="3" l="1"/>
  <c r="Z6" i="14" s="1"/>
  <c r="AG14" i="3"/>
  <c r="Z6" i="4" s="1"/>
  <c r="AG21" i="3"/>
  <c r="Z6" i="5" s="1"/>
  <c r="AG80" i="3"/>
  <c r="Z2" i="14" s="1"/>
  <c r="Z2" i="5"/>
  <c r="AG31" i="3"/>
  <c r="Z2" i="7" s="1"/>
  <c r="AG24" i="3"/>
  <c r="Z2" i="6" s="1"/>
  <c r="AG10" i="3"/>
  <c r="Z2" i="4" s="1"/>
  <c r="AG55" i="3"/>
  <c r="Z5" i="10" s="1"/>
  <c r="AG86" i="3"/>
  <c r="Z8" i="14" s="1"/>
  <c r="AG52" i="3"/>
  <c r="Z2" i="10" s="1"/>
  <c r="AG11" i="3"/>
  <c r="Z3" i="4" s="1"/>
  <c r="AG13" i="3"/>
  <c r="Z5" i="4" s="1"/>
  <c r="AG15" i="3"/>
  <c r="Z7" i="4" s="1"/>
  <c r="AG16" i="3"/>
  <c r="Z8" i="4" s="1"/>
  <c r="AG85" i="3"/>
  <c r="Z7" i="14" s="1"/>
  <c r="AG81" i="3"/>
  <c r="Z3" i="14" s="1"/>
  <c r="AG82" i="3"/>
  <c r="Z4" i="14" s="1"/>
  <c r="AG83" i="3"/>
  <c r="Z5" i="14" s="1"/>
  <c r="AG88" i="3"/>
  <c r="AG22" i="3"/>
  <c r="Z7" i="5" s="1"/>
  <c r="AG23" i="3"/>
  <c r="Z8" i="5" s="1"/>
  <c r="AG26" i="3"/>
  <c r="Z4" i="6" s="1"/>
  <c r="AG28" i="3"/>
  <c r="Z6" i="6" s="1"/>
  <c r="AG29" i="3"/>
  <c r="Z7" i="6" s="1"/>
  <c r="AG32" i="3"/>
  <c r="Z3" i="7" s="1"/>
  <c r="AG37" i="3"/>
  <c r="Z8" i="7" s="1"/>
  <c r="AG39" i="3"/>
  <c r="Z3" i="8" s="1"/>
  <c r="AG40" i="3"/>
  <c r="Z4" i="8" s="1"/>
  <c r="AG41" i="3"/>
  <c r="Z5" i="8" s="1"/>
  <c r="AG42" i="3"/>
  <c r="Z6" i="8" s="1"/>
  <c r="AG43" i="3"/>
  <c r="Z7" i="8" s="1"/>
  <c r="AG90" i="3"/>
  <c r="AG92" i="3"/>
  <c r="AG93" i="3"/>
  <c r="AG12" i="3"/>
  <c r="Z4" i="4" s="1"/>
  <c r="AG19" i="3"/>
  <c r="Z4" i="5" s="1"/>
  <c r="AG20" i="3"/>
  <c r="Z5" i="5" s="1"/>
  <c r="AG30" i="3"/>
  <c r="Z8" i="6" s="1"/>
  <c r="AG33" i="3"/>
  <c r="Z4" i="7" s="1"/>
  <c r="AG34" i="3"/>
  <c r="Z5" i="7" s="1"/>
  <c r="AG35" i="3"/>
  <c r="Z6" i="7" s="1"/>
  <c r="AG36" i="3"/>
  <c r="Z7" i="7" s="1"/>
  <c r="AG38" i="3"/>
  <c r="Z2" i="8" s="1"/>
  <c r="AG44" i="3"/>
  <c r="Z8" i="8" s="1"/>
  <c r="AG45" i="3"/>
  <c r="Z2" i="9" s="1"/>
  <c r="AG46" i="3"/>
  <c r="Z3" i="9" s="1"/>
  <c r="AG47" i="3"/>
  <c r="Z4" i="9" s="1"/>
  <c r="AG48" i="3"/>
  <c r="Z5" i="9" s="1"/>
  <c r="AG49" i="3"/>
  <c r="Z6" i="9" s="1"/>
  <c r="AG89" i="3"/>
  <c r="AG91" i="3"/>
  <c r="AG25" i="3"/>
  <c r="Z3" i="6" s="1"/>
  <c r="AG27" i="3"/>
  <c r="Z5" i="6" s="1"/>
  <c r="AG50" i="3"/>
  <c r="Z7" i="9" s="1"/>
  <c r="AG51" i="3"/>
  <c r="Z8" i="9" s="1"/>
  <c r="AG53" i="3"/>
  <c r="Z3" i="10" s="1"/>
  <c r="AG54" i="3"/>
  <c r="Z4" i="10" s="1"/>
  <c r="AG56" i="3"/>
  <c r="Z6" i="10" s="1"/>
  <c r="AG57" i="3"/>
  <c r="Z7" i="10" s="1"/>
  <c r="AG58" i="3"/>
  <c r="Z8" i="10" s="1"/>
  <c r="AG59" i="3"/>
  <c r="Z2" i="11" s="1"/>
  <c r="AG60" i="3"/>
  <c r="Z3" i="11" s="1"/>
  <c r="AG61" i="3"/>
  <c r="Z4" i="11" s="1"/>
  <c r="AG62" i="3"/>
  <c r="Z5" i="11" s="1"/>
  <c r="AG63" i="3"/>
  <c r="Z6" i="11" s="1"/>
  <c r="AG64" i="3"/>
  <c r="Z7" i="11" s="1"/>
  <c r="AG65" i="3"/>
  <c r="Z8" i="11" s="1"/>
  <c r="AG66" i="3"/>
  <c r="Z2" i="12" s="1"/>
  <c r="AG67" i="3"/>
  <c r="Z3" i="12" s="1"/>
  <c r="AG68" i="3"/>
  <c r="Z4" i="12" s="1"/>
  <c r="AG69" i="3"/>
  <c r="Z5" i="12" s="1"/>
  <c r="AG70" i="3"/>
  <c r="Z6" i="12" s="1"/>
  <c r="AG71" i="3"/>
  <c r="Z7" i="12" s="1"/>
  <c r="AG72" i="3"/>
  <c r="Z8" i="12" s="1"/>
  <c r="AG73" i="3"/>
  <c r="Z2" i="13" s="1"/>
  <c r="AG74" i="3"/>
  <c r="Z3" i="13" s="1"/>
  <c r="AG75" i="3"/>
  <c r="Z4" i="13" s="1"/>
  <c r="AG76" i="3"/>
  <c r="Z5" i="13" s="1"/>
  <c r="AG77" i="3"/>
  <c r="Z6" i="13" s="1"/>
  <c r="AG78" i="3"/>
  <c r="Z7" i="13" s="1"/>
  <c r="AG79" i="3"/>
  <c r="Z8" i="13" s="1"/>
  <c r="AG87" i="3"/>
  <c r="Z1" i="5"/>
  <c r="Z1" i="6"/>
  <c r="Z1" i="7"/>
  <c r="AH9" i="3"/>
  <c r="AH17" i="3" s="1"/>
  <c r="Z1" i="9"/>
  <c r="Z1" i="10"/>
  <c r="AG18" i="3"/>
  <c r="Z3" i="5" s="1"/>
  <c r="Z1" i="8"/>
  <c r="Z1" i="11"/>
  <c r="Z1" i="12"/>
  <c r="Z1" i="4"/>
  <c r="Z1" i="13"/>
  <c r="Z1" i="14"/>
  <c r="Z1" i="15"/>
  <c r="AH84" i="3" l="1"/>
  <c r="AA6" i="14" s="1"/>
  <c r="AH21" i="3"/>
  <c r="AA6" i="5" s="1"/>
  <c r="AH80" i="3"/>
  <c r="AA2" i="14" s="1"/>
  <c r="AH14" i="3"/>
  <c r="AA6" i="4" s="1"/>
  <c r="AA2" i="5"/>
  <c r="AH10" i="3"/>
  <c r="AA2" i="4" s="1"/>
  <c r="AH31" i="3"/>
  <c r="AA2" i="7" s="1"/>
  <c r="AH24" i="3"/>
  <c r="AA2" i="6" s="1"/>
  <c r="AH55" i="3"/>
  <c r="AA5" i="10" s="1"/>
  <c r="AH83" i="3"/>
  <c r="AA5" i="14" s="1"/>
  <c r="AH52" i="3"/>
  <c r="AA2" i="10" s="1"/>
  <c r="AH11" i="3"/>
  <c r="AA3" i="4" s="1"/>
  <c r="AH86" i="3"/>
  <c r="AA8" i="14" s="1"/>
  <c r="AH15" i="3"/>
  <c r="AA7" i="4" s="1"/>
  <c r="AH16" i="3"/>
  <c r="AA8" i="4" s="1"/>
  <c r="AH85" i="3"/>
  <c r="AA7" i="14" s="1"/>
  <c r="AH13" i="3"/>
  <c r="AA5" i="4" s="1"/>
  <c r="AH81" i="3"/>
  <c r="AA3" i="14" s="1"/>
  <c r="AH82" i="3"/>
  <c r="AA4" i="14" s="1"/>
  <c r="AH90" i="3"/>
  <c r="AH91" i="3"/>
  <c r="AH19" i="3"/>
  <c r="AA4" i="5" s="1"/>
  <c r="AH27" i="3"/>
  <c r="AA5" i="6" s="1"/>
  <c r="AH28" i="3"/>
  <c r="AA6" i="6" s="1"/>
  <c r="AH30" i="3"/>
  <c r="AA8" i="6" s="1"/>
  <c r="AH34" i="3"/>
  <c r="AA5" i="7" s="1"/>
  <c r="AH35" i="3"/>
  <c r="AA6" i="7" s="1"/>
  <c r="AH37" i="3"/>
  <c r="AA8" i="7" s="1"/>
  <c r="AH39" i="3"/>
  <c r="AA3" i="8" s="1"/>
  <c r="AH40" i="3"/>
  <c r="AA4" i="8" s="1"/>
  <c r="AH41" i="3"/>
  <c r="AA5" i="8" s="1"/>
  <c r="AH42" i="3"/>
  <c r="AA6" i="8" s="1"/>
  <c r="AH89" i="3"/>
  <c r="AH92" i="3"/>
  <c r="AH12" i="3"/>
  <c r="AA4" i="4" s="1"/>
  <c r="AH22" i="3"/>
  <c r="AA7" i="5" s="1"/>
  <c r="AH25" i="3"/>
  <c r="AA3" i="6" s="1"/>
  <c r="AH29" i="3"/>
  <c r="AA7" i="6" s="1"/>
  <c r="AH32" i="3"/>
  <c r="AA3" i="7" s="1"/>
  <c r="AH33" i="3"/>
  <c r="AA4" i="7" s="1"/>
  <c r="AH36" i="3"/>
  <c r="AA7" i="7" s="1"/>
  <c r="AH38" i="3"/>
  <c r="AA2" i="8" s="1"/>
  <c r="AH43" i="3"/>
  <c r="AA7" i="8" s="1"/>
  <c r="AH44" i="3"/>
  <c r="AA8" i="8" s="1"/>
  <c r="AH45" i="3"/>
  <c r="AA2" i="9" s="1"/>
  <c r="AH46" i="3"/>
  <c r="AA3" i="9" s="1"/>
  <c r="AH47" i="3"/>
  <c r="AA4" i="9" s="1"/>
  <c r="AH48" i="3"/>
  <c r="AA5" i="9" s="1"/>
  <c r="AH49" i="3"/>
  <c r="AA6" i="9" s="1"/>
  <c r="AH88" i="3"/>
  <c r="AH93" i="3"/>
  <c r="AH20" i="3"/>
  <c r="AA5" i="5" s="1"/>
  <c r="AH23" i="3"/>
  <c r="AA8" i="5" s="1"/>
  <c r="AH26" i="3"/>
  <c r="AA4" i="6" s="1"/>
  <c r="AH50" i="3"/>
  <c r="AA7" i="9" s="1"/>
  <c r="AH51" i="3"/>
  <c r="AA8" i="9" s="1"/>
  <c r="AH53" i="3"/>
  <c r="AA3" i="10" s="1"/>
  <c r="AH54" i="3"/>
  <c r="AA4" i="10" s="1"/>
  <c r="AH56" i="3"/>
  <c r="AA6" i="10" s="1"/>
  <c r="AH57" i="3"/>
  <c r="AA7" i="10" s="1"/>
  <c r="AH58" i="3"/>
  <c r="AA8" i="10" s="1"/>
  <c r="AH59" i="3"/>
  <c r="AA2" i="11" s="1"/>
  <c r="AH60" i="3"/>
  <c r="AA3" i="11" s="1"/>
  <c r="AH61" i="3"/>
  <c r="AA4" i="11" s="1"/>
  <c r="AH62" i="3"/>
  <c r="AA5" i="11" s="1"/>
  <c r="AH63" i="3"/>
  <c r="AA6" i="11" s="1"/>
  <c r="AH64" i="3"/>
  <c r="AA7" i="11" s="1"/>
  <c r="AH65" i="3"/>
  <c r="AA8" i="11" s="1"/>
  <c r="AH66" i="3"/>
  <c r="AA2" i="12" s="1"/>
  <c r="AH67" i="3"/>
  <c r="AA3" i="12" s="1"/>
  <c r="AH68" i="3"/>
  <c r="AA4" i="12" s="1"/>
  <c r="AH69" i="3"/>
  <c r="AA5" i="12" s="1"/>
  <c r="AH70" i="3"/>
  <c r="AA6" i="12" s="1"/>
  <c r="AH71" i="3"/>
  <c r="AA7" i="12" s="1"/>
  <c r="AH72" i="3"/>
  <c r="AA8" i="12" s="1"/>
  <c r="AH73" i="3"/>
  <c r="AA2" i="13" s="1"/>
  <c r="AH74" i="3"/>
  <c r="AA3" i="13" s="1"/>
  <c r="AH75" i="3"/>
  <c r="AA4" i="13" s="1"/>
  <c r="AH76" i="3"/>
  <c r="AA5" i="13" s="1"/>
  <c r="AH77" i="3"/>
  <c r="AA6" i="13" s="1"/>
  <c r="AH78" i="3"/>
  <c r="AA7" i="13" s="1"/>
  <c r="AH79" i="3"/>
  <c r="AA8" i="13" s="1"/>
  <c r="AH87" i="3"/>
  <c r="AA1" i="4"/>
  <c r="AA1" i="8"/>
  <c r="AA1" i="9"/>
  <c r="AA1" i="10"/>
  <c r="AI9" i="3"/>
  <c r="AI17" i="3" s="1"/>
  <c r="AA1" i="11"/>
  <c r="AA1" i="12"/>
  <c r="AA1" i="13"/>
  <c r="AA1" i="14"/>
  <c r="AA1" i="15"/>
  <c r="AH18" i="3"/>
  <c r="AA3" i="5" s="1"/>
  <c r="AA1" i="5"/>
  <c r="AA1" i="6"/>
  <c r="AA1" i="7"/>
  <c r="AI84" i="3" l="1"/>
  <c r="AB6" i="14" s="1"/>
  <c r="AI14" i="3"/>
  <c r="AB6" i="4" s="1"/>
  <c r="AI31" i="3"/>
  <c r="AB2" i="7" s="1"/>
  <c r="AI24" i="3"/>
  <c r="AB2" i="6" s="1"/>
  <c r="AI80" i="3"/>
  <c r="AB2" i="14" s="1"/>
  <c r="AI21" i="3"/>
  <c r="AB6" i="5" s="1"/>
  <c r="AI10" i="3"/>
  <c r="AB2" i="4" s="1"/>
  <c r="AB2" i="5"/>
  <c r="AI55" i="3"/>
  <c r="AB5" i="10" s="1"/>
  <c r="AI86" i="3"/>
  <c r="AB8" i="14" s="1"/>
  <c r="AI85" i="3"/>
  <c r="AB7" i="14" s="1"/>
  <c r="AI11" i="3"/>
  <c r="AB3" i="4" s="1"/>
  <c r="AI13" i="3"/>
  <c r="AB5" i="4" s="1"/>
  <c r="AI16" i="3"/>
  <c r="AB8" i="4" s="1"/>
  <c r="AI15" i="3"/>
  <c r="AB7" i="4" s="1"/>
  <c r="AI81" i="3"/>
  <c r="AB3" i="14" s="1"/>
  <c r="AI82" i="3"/>
  <c r="AB4" i="14" s="1"/>
  <c r="AI83" i="3"/>
  <c r="AB5" i="14" s="1"/>
  <c r="AI90" i="3"/>
  <c r="AI23" i="3"/>
  <c r="AB8" i="5" s="1"/>
  <c r="AI26" i="3"/>
  <c r="AB4" i="6" s="1"/>
  <c r="AI33" i="3"/>
  <c r="AB4" i="7" s="1"/>
  <c r="AI34" i="3"/>
  <c r="AB5" i="7" s="1"/>
  <c r="AI36" i="3"/>
  <c r="AB7" i="7" s="1"/>
  <c r="AI39" i="3"/>
  <c r="AB3" i="8" s="1"/>
  <c r="AI40" i="3"/>
  <c r="AB4" i="8" s="1"/>
  <c r="AI41" i="3"/>
  <c r="AB5" i="8" s="1"/>
  <c r="AI42" i="3"/>
  <c r="AB6" i="8" s="1"/>
  <c r="AI89" i="3"/>
  <c r="AI93" i="3"/>
  <c r="AI18" i="3"/>
  <c r="AB3" i="5" s="1"/>
  <c r="AI25" i="3"/>
  <c r="AB3" i="6" s="1"/>
  <c r="AI28" i="3"/>
  <c r="AB6" i="6" s="1"/>
  <c r="AI29" i="3"/>
  <c r="AB7" i="6" s="1"/>
  <c r="AI30" i="3"/>
  <c r="AB8" i="6" s="1"/>
  <c r="AI32" i="3"/>
  <c r="AB3" i="7" s="1"/>
  <c r="AI35" i="3"/>
  <c r="AB6" i="7" s="1"/>
  <c r="AI37" i="3"/>
  <c r="AB8" i="7" s="1"/>
  <c r="AI38" i="3"/>
  <c r="AB2" i="8" s="1"/>
  <c r="AI43" i="3"/>
  <c r="AB7" i="8" s="1"/>
  <c r="AI44" i="3"/>
  <c r="AB8" i="8" s="1"/>
  <c r="AI45" i="3"/>
  <c r="AB2" i="9" s="1"/>
  <c r="AI46" i="3"/>
  <c r="AB3" i="9" s="1"/>
  <c r="AI47" i="3"/>
  <c r="AB4" i="9" s="1"/>
  <c r="AI48" i="3"/>
  <c r="AB5" i="9" s="1"/>
  <c r="AI87" i="3"/>
  <c r="AI88" i="3"/>
  <c r="AI91" i="3"/>
  <c r="AI92" i="3"/>
  <c r="AI12" i="3"/>
  <c r="AB4" i="4" s="1"/>
  <c r="AI19" i="3"/>
  <c r="AB4" i="5" s="1"/>
  <c r="AI20" i="3"/>
  <c r="AB5" i="5" s="1"/>
  <c r="AI22" i="3"/>
  <c r="AB7" i="5" s="1"/>
  <c r="AI27" i="3"/>
  <c r="AB5" i="6" s="1"/>
  <c r="AI49" i="3"/>
  <c r="AB6" i="9" s="1"/>
  <c r="AI50" i="3"/>
  <c r="AB7" i="9" s="1"/>
  <c r="AI51" i="3"/>
  <c r="AB8" i="9" s="1"/>
  <c r="AI52" i="3"/>
  <c r="AB2" i="10" s="1"/>
  <c r="AI53" i="3"/>
  <c r="AB3" i="10" s="1"/>
  <c r="AI54" i="3"/>
  <c r="AB4" i="10" s="1"/>
  <c r="AI56" i="3"/>
  <c r="AB6" i="10" s="1"/>
  <c r="AI57" i="3"/>
  <c r="AB7" i="10" s="1"/>
  <c r="AI58" i="3"/>
  <c r="AB8" i="10" s="1"/>
  <c r="AI59" i="3"/>
  <c r="AB2" i="11" s="1"/>
  <c r="AI60" i="3"/>
  <c r="AB3" i="11" s="1"/>
  <c r="AI61" i="3"/>
  <c r="AB4" i="11" s="1"/>
  <c r="AI62" i="3"/>
  <c r="AB5" i="11" s="1"/>
  <c r="AI63" i="3"/>
  <c r="AB6" i="11" s="1"/>
  <c r="AI64" i="3"/>
  <c r="AB7" i="11" s="1"/>
  <c r="AI65" i="3"/>
  <c r="AB8" i="11" s="1"/>
  <c r="AI66" i="3"/>
  <c r="AB2" i="12" s="1"/>
  <c r="AI67" i="3"/>
  <c r="AB3" i="12" s="1"/>
  <c r="AI68" i="3"/>
  <c r="AB4" i="12" s="1"/>
  <c r="AI69" i="3"/>
  <c r="AB5" i="12" s="1"/>
  <c r="AI70" i="3"/>
  <c r="AB6" i="12" s="1"/>
  <c r="AI71" i="3"/>
  <c r="AB7" i="12" s="1"/>
  <c r="AI72" i="3"/>
  <c r="AB8" i="12" s="1"/>
  <c r="AI73" i="3"/>
  <c r="AB2" i="13" s="1"/>
  <c r="AI74" i="3"/>
  <c r="AB3" i="13" s="1"/>
  <c r="AI75" i="3"/>
  <c r="AB4" i="13" s="1"/>
  <c r="AI76" i="3"/>
  <c r="AB5" i="13" s="1"/>
  <c r="AI77" i="3"/>
  <c r="AB6" i="13" s="1"/>
  <c r="AI78" i="3"/>
  <c r="AB7" i="13" s="1"/>
  <c r="AI79" i="3"/>
  <c r="AB8" i="13" s="1"/>
  <c r="AB1" i="11"/>
  <c r="AB1" i="12"/>
  <c r="AB1" i="13"/>
  <c r="AB1" i="14"/>
  <c r="AB1" i="15"/>
  <c r="AB1" i="4"/>
  <c r="AB1" i="5"/>
  <c r="AB1" i="6"/>
  <c r="AB1" i="7"/>
  <c r="AB1" i="8"/>
  <c r="AB1" i="9"/>
  <c r="AB1" i="10"/>
</calcChain>
</file>

<file path=xl/sharedStrings.xml><?xml version="1.0" encoding="utf-8"?>
<sst xmlns="http://schemas.openxmlformats.org/spreadsheetml/2006/main" count="313" uniqueCount="95">
  <si>
    <t>TTS Transportation Technology Shareweights</t>
  </si>
  <si>
    <t>Source:</t>
  </si>
  <si>
    <t>Onroad modes</t>
  </si>
  <si>
    <t>See supporting Python calibration file and excel/csv files in this folder.</t>
  </si>
  <si>
    <t>Given logit exponents from the GCAM model, we use a solver to solve</t>
  </si>
  <si>
    <t>for historical shareweights given recent sales data. We then allow the</t>
  </si>
  <si>
    <t>shareweights for BEV and PHEV technologies to grow, as explained below.</t>
  </si>
  <si>
    <t>passenger rail</t>
  </si>
  <si>
    <t>See data from EPS file trans/SYVbT</t>
  </si>
  <si>
    <t>Notes</t>
  </si>
  <si>
    <t>This variable provides the shareweights used in the modified logit equation for vehicle</t>
  </si>
  <si>
    <t>technology selection.  We base them on estimated potential maximum sales shares in each year.</t>
  </si>
  <si>
    <t>For more on this, see the "Unmodified Logit" equation description at:</t>
  </si>
  <si>
    <t>https://jgcri.github.io/gcam-doc/choice.html</t>
  </si>
  <si>
    <t>When adapting the model to a new country or region, it may be helpful</t>
  </si>
  <si>
    <t>to calibrate this variable after replacing the input data for other variables.</t>
  </si>
  <si>
    <t>The solver we used is saved as transport_calibration.py in the TTS folder. It is set up</t>
  </si>
  <si>
    <t>to take in data on the cost per thing*mile for each vehicle type (taken from Vensim),</t>
  </si>
  <si>
    <t>the observed sales share (from historical data sets), the exponent (trans/TTLE), and</t>
  </si>
  <si>
    <t xml:space="preserve">the number of vehicles of that type demanded each year (taken from Vensim). </t>
  </si>
  <si>
    <t>The file calibration_parameters specifies all those pieces of input data. Sources for the</t>
  </si>
  <si>
    <t>historical sales shares are noted in that file.</t>
  </si>
  <si>
    <t>Script instructions: set up the needed input parameters in calibration_parameters.xlsx</t>
  </si>
  <si>
    <t>and export the first sheet as calibration_parameters.csv (you may change the years</t>
  </si>
  <si>
    <t>and vehicle types/technologies in that sheet according to your model start year and</t>
  </si>
  <si>
    <t>data needs). Run the transport.calibration.py script (you may need to adjust the specified</t>
  </si>
  <si>
    <t xml:space="preserve"> "target years" if your model adaptation has different years of historical data.</t>
  </si>
  <si>
    <t>Your outputs will be formatted by vehicle type in the output file shareweights_formatted.csv</t>
  </si>
  <si>
    <t xml:space="preserve"> after running the script. You can copy/paste those values into the Data tab of this file.</t>
  </si>
  <si>
    <t>2050 shareweights and s-curve parameters are calibrated based on other external projections</t>
  </si>
  <si>
    <t>such as those from ICCT.</t>
  </si>
  <si>
    <t>passenger LDVs</t>
  </si>
  <si>
    <t>The historical data we use for calibration is for states that do not have</t>
  </si>
  <si>
    <t>their own vehicle standards (ACCI) that put an additional constraint on sales</t>
  </si>
  <si>
    <t>that is not purely cost-based. This gives us our 2024 and 2025 shareweights.</t>
  </si>
  <si>
    <t>We use calculated data from SYVbT to calculate the historical sales shares.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</si>
  <si>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</si>
  <si>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</si>
  <si>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</si>
  <si>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</si>
  <si>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</si>
  <si>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</si>
  <si>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</si>
  <si>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</si>
  <si>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</si>
  <si>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</si>
  <si>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</si>
  <si>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</si>
  <si>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</si>
  <si>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</si>
  <si>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</si>
  <si>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</si>
  <si>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</si>
  <si>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</si>
  <si>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</si>
  <si>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</si>
  <si>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</si>
  <si>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</si>
  <si>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</si>
  <si>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</si>
  <si>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</si>
  <si>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</si>
  <si>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</si>
  <si>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</si>
  <si>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</si>
  <si>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</si>
  <si>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</si>
  <si>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</si>
  <si>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</si>
  <si>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</si>
  <si>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</si>
  <si>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</si>
  <si>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</si>
  <si>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</si>
  <si>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</si>
  <si>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Max Fraction of Production (dimensionless)</t>
  </si>
  <si>
    <t>Calibration record (2026-10-16)</t>
  </si>
  <si>
    <t>On-road anchors (Data tab columns D-E) rewritten by calibration/steps/03-trans-shareweights/solve_base_year.py:</t>
  </si>
  <si>
    <t>logit inversion at the start year from 'BAU New Vehicle Cost per Mile' in the BAU export and observed technology shares</t>
  </si>
  <si>
    <t>(calibration/benchmarks/vehicle-technology-shares.csv), ZEV-mandate correction for passenger LDVs (3 passes), then the</t>
  </si>
  <si>
    <t>existing s-curve formulas carry the trajectory to the unchanged 2050 targets. Confirmed by a headless run after the third pass.</t>
  </si>
  <si>
    <t>TTS-LDVs-frgt hydrogen vehicle: weight set to 0 - observed share unreachable at placeholder cost inputs (step 3a); provisional</t>
  </si>
  <si>
    <t>TTS-HDVs-frgt hydrogen vehicle: weight set to 0 - observed share unreachable at placeholder cost inputs (step 3a); provisional</t>
  </si>
  <si>
    <t>TTS-LDVs-psgr natural gas vehicle: IT-year cell set to =E11 (was an s-curve formula)</t>
  </si>
  <si>
    <t>TTS-LDVs-psgr gasoline vehicle: IT-year cell set to =E12 (was an s-curve formula)</t>
  </si>
  <si>
    <t>TTS-LDVs-psgr diesel vehicle: IT-year cell set to =E13 (was an s-curve formula)</t>
  </si>
  <si>
    <t>TTS-LDVs-psgr plugin hybrid vehicle: 2050 target pinned at its pre-calibration value 0.102391 (was =D14/D10*F10)</t>
  </si>
  <si>
    <t>TTS-LDVs-psgr LPG vehicle: IT-year cell set to =E15 (was an s-curve formula)</t>
  </si>
  <si>
    <t>TTS-LDVs-psgr hydrogen vehicle: IT-year cell set to =E16 (was an s-curve formula)</t>
  </si>
  <si>
    <t>TTS-LDVs-frgt plugin hybrid vehicle: 2050 target pinned at its pre-calibration value 0.00123571 (was =E21/E17*F17)</t>
  </si>
  <si>
    <t>Passenger-rail shareweights at the start year, solved by eps-calibrate step 3a (solve_base_year.py: logit inversion from 'BAU New Vehicle Cost per Mile' in a BAU export and the observed new-vehicle shares), 2026-10-19. Observed shares: vehicles delivered 2015-2024, NTD transit + Amtrak, 376 diesel of 4,528 (vehicle-vintaging-4.0.7/data/fleet-utilization/ntd-energy/rail_purchase_share.py). Held flat through 2050.</t>
  </si>
  <si>
    <t>technology</t>
  </si>
  <si>
    <t>observed share of new vehicles</t>
  </si>
  <si>
    <t>shareweight (solved)</t>
  </si>
  <si>
    <t>Passenger rail (2026-10-19): Data!E52 and E55 now read the solved shareweights on 'Calibration rail' (step 3a, observed 2015-2024 deliveries, 8.3% diesel) instead of the start-year fleet shares; pasted SYVbT-passenger refreshed.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</si>
</sst>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"/>
    <numFmt numFmtId="165" formatCode="_(* #,##0_);_(* \(#,##0\);_(* &quot;-&quot;??_);_(@_)"/>
    <numFmt numFmtId="166" formatCode="0.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0"/>
      <color theme="10"/>
      <name val="Times New Roman"/>
      <family val="1"/>
    </font>
    <font>
      <sz val="12"/>
      <name val="Arial"/>
      <family val="2"/>
    </font>
    <font>
      <sz val="11"/>
      <color theme="1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7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6" fillId="0" borderId="0"/>
    <xf numFmtId="43" fontId="7" fillId="0" borderId="0"/>
    <xf numFmtId="0" fontId="10" fillId="0" borderId="0"/>
    <xf numFmtId="43" fontId="11" fillId="0" borderId="0"/>
    <xf numFmtId="0" fontId="11" fillId="0" borderId="0"/>
    <xf numFmtId="9" fontId="11" fillId="0" borderId="0"/>
    <xf numFmtId="9" fontId="10" fillId="0" borderId="0"/>
    <xf numFmtId="0" fontId="13" fillId="0" borderId="0"/>
    <xf numFmtId="0" fontId="7" fillId="0" borderId="0"/>
    <xf numFmtId="0" fontId="7" fillId="4" borderId="12"/>
    <xf numFmtId="0" fontId="6" fillId="0" borderId="0"/>
    <xf numFmtId="0" fontId="11" fillId="0" borderId="0"/>
    <xf numFmtId="0" fontId="11" fillId="0" borderId="0"/>
    <xf numFmtId="0" fontId="11" fillId="0" borderId="0"/>
    <xf numFmtId="0" fontId="14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0" fontId="11" fillId="0" borderId="0"/>
    <xf numFmtId="0" fontId="12" fillId="0" borderId="0"/>
    <xf numFmtId="43" fontId="12" fillId="0" borderId="0"/>
    <xf numFmtId="0" fontId="17" fillId="0" borderId="0"/>
    <xf numFmtId="0" fontId="7" fillId="0" borderId="0"/>
    <xf numFmtId="0" fontId="6" fillId="0" borderId="0"/>
    <xf numFmtId="0" fontId="10" fillId="0" borderId="0"/>
    <xf numFmtId="43" fontId="10" fillId="0" borderId="0"/>
    <xf numFmtId="0" fontId="15" fillId="0" borderId="0"/>
    <xf numFmtId="0" fontId="16" fillId="0" borderId="0"/>
    <xf numFmtId="0" fontId="7" fillId="0" borderId="0"/>
    <xf numFmtId="43" fontId="7" fillId="0" borderId="0"/>
    <xf numFmtId="0" fontId="6" fillId="0" borderId="0"/>
    <xf numFmtId="0" fontId="18" fillId="0" borderId="0"/>
    <xf numFmtId="9" fontId="18" fillId="0" borderId="0"/>
    <xf numFmtId="0" fontId="7" fillId="0" borderId="0"/>
    <xf numFmtId="0" fontId="15" fillId="0" borderId="0"/>
    <xf numFmtId="9" fontId="7" fillId="0" borderId="0"/>
    <xf numFmtId="0" fontId="19" fillId="0" borderId="0"/>
    <xf numFmtId="0" fontId="9" fillId="0" borderId="0"/>
  </cellStyleXfs>
  <cellXfs count="2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right" wrapText="1"/>
    </xf>
    <xf numFmtId="1" fontId="0" fillId="0" borderId="0" xfId="0" applyNumberFormat="1"/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0" xfId="0" applyBorder="1" applyAlignment="1">
      <alignment horizontal="right"/>
    </xf>
    <xf numFmtId="0" fontId="1" fillId="2" borderId="0" xfId="0" applyFont="1" applyFill="1"/>
    <xf numFmtId="0" fontId="0" fillId="3" borderId="6" xfId="0" applyFill="1" applyBorder="1"/>
    <xf numFmtId="0" fontId="0" fillId="3" borderId="7" xfId="0" applyFill="1" applyBorder="1"/>
    <xf numFmtId="0" fontId="0" fillId="3" borderId="0" xfId="0" applyFill="1"/>
    <xf numFmtId="0" fontId="0" fillId="0" borderId="9" xfId="0" applyBorder="1"/>
    <xf numFmtId="0" fontId="0" fillId="0" borderId="11" xfId="0" applyBorder="1"/>
    <xf numFmtId="0" fontId="1" fillId="3" borderId="0" xfId="0" applyFont="1" applyFill="1"/>
    <xf numFmtId="164" fontId="0" fillId="0" borderId="0" xfId="0" applyNumberFormat="1"/>
    <xf numFmtId="0" fontId="0" fillId="0" borderId="5" xfId="0" applyBorder="1"/>
    <xf numFmtId="165" fontId="0" fillId="0" borderId="0" xfId="9" applyNumberFormat="1" applyFont="1"/>
    <xf numFmtId="0" fontId="1" fillId="0" borderId="0" xfId="0" applyFont="1" applyAlignment="1">
      <alignment wrapText="1"/>
    </xf>
    <xf numFmtId="164" fontId="0" fillId="0" borderId="5" xfId="0" applyNumberFormat="1" applyBorder="1"/>
    <xf numFmtId="0" fontId="8" fillId="2" borderId="0" xfId="0" applyFont="1" applyFill="1" applyAlignment="1">
      <alignment horizontal="right" wrapText="1"/>
    </xf>
    <xf numFmtId="0" fontId="6" fillId="0" borderId="0" xfId="8"/>
    <xf numFmtId="164" fontId="5" fillId="0" borderId="0" xfId="0" applyNumberFormat="1" applyFont="1"/>
    <xf numFmtId="166" fontId="0" fillId="0" borderId="0" xfId="0" applyNumberFormat="1"/>
    <xf numFmtId="0" fontId="0" fillId="5" borderId="0" xfId="0" applyFill="1"/>
    <xf numFmtId="2" fontId="0" fillId="0" borderId="0" xfId="0" applyNumberFormat="1"/>
    <xf numFmtId="0" fontId="1" fillId="5" borderId="0" xfId="0" applyFont="1" applyFill="1" applyAlignment="1">
      <alignment horizontal="center" wrapText="1"/>
    </xf>
    <xf numFmtId="0" fontId="0" fillId="0" borderId="0" xfId="0"/>
  </cellXfs>
  <cellStyles count="47">
    <cellStyle name="Body: normal cell" xfId="4" xr:uid="{00000000-0005-0000-0000-000004000000}"/>
    <cellStyle name="Comma" xfId="9" builtinId="3"/>
    <cellStyle name="Comma 2" xfId="11" xr:uid="{00000000-0005-0000-0000-00000B000000}"/>
    <cellStyle name="Comma 2 2" xfId="38" xr:uid="{00000000-0005-0000-0000-000026000000}"/>
    <cellStyle name="Comma 3" xfId="34" xr:uid="{00000000-0005-0000-0000-000022000000}"/>
    <cellStyle name="Comma 4" xfId="29" xr:uid="{00000000-0005-0000-0000-00001D000000}"/>
    <cellStyle name="Font: Calibri, 9pt regular" xfId="6" xr:uid="{00000000-0005-0000-0000-000006000000}"/>
    <cellStyle name="Footnotes: top row" xfId="2" xr:uid="{00000000-0005-0000-0000-000002000000}"/>
    <cellStyle name="Header: bottom row" xfId="5" xr:uid="{00000000-0005-0000-0000-000005000000}"/>
    <cellStyle name="Hyperlink" xfId="8" builtinId="8"/>
    <cellStyle name="Hyperlink 2" xfId="39" xr:uid="{00000000-0005-0000-0000-000027000000}"/>
    <cellStyle name="Hyperlink 2 2" xfId="46" xr:uid="{00000000-0005-0000-0000-00002E000000}"/>
    <cellStyle name="Hyperlink 3" xfId="36" xr:uid="{00000000-0005-0000-0000-000024000000}"/>
    <cellStyle name="Hyperlink 4" xfId="32" xr:uid="{00000000-0005-0000-0000-000020000000}"/>
    <cellStyle name="Hyperlink 5" xfId="30" xr:uid="{00000000-0005-0000-0000-00001E000000}"/>
    <cellStyle name="Hyperlink 6" xfId="18" xr:uid="{00000000-0005-0000-0000-000012000000}"/>
    <cellStyle name="Hyperlink 7" xfId="15" xr:uid="{00000000-0005-0000-0000-00000F000000}"/>
    <cellStyle name="Normal" xfId="0" builtinId="0"/>
    <cellStyle name="Normal 10" xfId="28" xr:uid="{00000000-0005-0000-0000-00001C000000}"/>
    <cellStyle name="Normal 11" xfId="16" xr:uid="{00000000-0005-0000-0000-000010000000}"/>
    <cellStyle name="Normal 12" xfId="10" xr:uid="{00000000-0005-0000-0000-00000A000000}"/>
    <cellStyle name="Normal 2" xfId="1" xr:uid="{00000000-0005-0000-0000-000001000000}"/>
    <cellStyle name="Normal 2 2" xfId="19" xr:uid="{00000000-0005-0000-0000-000013000000}"/>
    <cellStyle name="Normal 2 2 2" xfId="24" xr:uid="{00000000-0005-0000-0000-000018000000}"/>
    <cellStyle name="Normal 2 3" xfId="27" xr:uid="{00000000-0005-0000-0000-00001B000000}"/>
    <cellStyle name="Normal 2 4" xfId="25" xr:uid="{00000000-0005-0000-0000-000019000000}"/>
    <cellStyle name="Normal 2 5" xfId="22" xr:uid="{00000000-0005-0000-0000-000016000000}"/>
    <cellStyle name="Normal 2 6" xfId="12" xr:uid="{00000000-0005-0000-0000-00000C000000}"/>
    <cellStyle name="Normal 3" xfId="20" xr:uid="{00000000-0005-0000-0000-000014000000}"/>
    <cellStyle name="Normal 3 2" xfId="23" xr:uid="{00000000-0005-0000-0000-000017000000}"/>
    <cellStyle name="Normal 3 3" xfId="43" xr:uid="{00000000-0005-0000-0000-00002B000000}"/>
    <cellStyle name="Normal 4" xfId="21" xr:uid="{00000000-0005-0000-0000-000015000000}"/>
    <cellStyle name="Normal 4 2" xfId="45" xr:uid="{00000000-0005-0000-0000-00002D000000}"/>
    <cellStyle name="Normal 4 3" xfId="42" xr:uid="{00000000-0005-0000-0000-00002A000000}"/>
    <cellStyle name="Normal 5" xfId="40" xr:uid="{00000000-0005-0000-0000-000028000000}"/>
    <cellStyle name="Normal 6" xfId="37" xr:uid="{00000000-0005-0000-0000-000025000000}"/>
    <cellStyle name="Normal 7" xfId="35" xr:uid="{00000000-0005-0000-0000-000023000000}"/>
    <cellStyle name="Normal 8" xfId="33" xr:uid="{00000000-0005-0000-0000-000021000000}"/>
    <cellStyle name="Normal 9" xfId="31" xr:uid="{00000000-0005-0000-0000-00001F000000}"/>
    <cellStyle name="Note 2" xfId="17" xr:uid="{00000000-0005-0000-0000-000011000000}"/>
    <cellStyle name="Parent row" xfId="3" xr:uid="{00000000-0005-0000-0000-000003000000}"/>
    <cellStyle name="Percent 2" xfId="13" xr:uid="{00000000-0005-0000-0000-00000D000000}"/>
    <cellStyle name="Percent 2 2" xfId="44" xr:uid="{00000000-0005-0000-0000-00002C000000}"/>
    <cellStyle name="Percent 2 3" xfId="26" xr:uid="{00000000-0005-0000-0000-00001A000000}"/>
    <cellStyle name="Percent 3" xfId="41" xr:uid="{00000000-0005-0000-0000-000029000000}"/>
    <cellStyle name="Percent 4" xfId="14" xr:uid="{00000000-0005-0000-0000-00000E000000}"/>
    <cellStyle name="Table title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gcri.github.io/gcam-doc/choic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"/>
  <sheetViews>
    <sheetView workbookViewId="0">
      <selection activeCell="F31" sqref="F31"/>
    </sheetView>
  </sheetViews>
  <sheetFormatPr defaultColWidth="9.140625" defaultRowHeight="15" x14ac:dyDescent="0.25"/>
  <cols>
    <col min="2" max="2" width="63.425781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9" t="s">
        <v>2</v>
      </c>
    </row>
    <row r="4" spans="1:2" x14ac:dyDescent="0.25">
      <c r="A4" s="1"/>
      <c r="B4" t="s">
        <v>3</v>
      </c>
    </row>
    <row r="5" spans="1:2" x14ac:dyDescent="0.25">
      <c r="A5" s="1"/>
      <c r="B5" t="s">
        <v>4</v>
      </c>
    </row>
    <row r="6" spans="1:2" x14ac:dyDescent="0.25">
      <c r="A6" s="1"/>
      <c r="B6" t="s">
        <v>5</v>
      </c>
    </row>
    <row r="7" spans="1:2" x14ac:dyDescent="0.25">
      <c r="A7" s="1"/>
      <c r="B7" t="s">
        <v>6</v>
      </c>
    </row>
    <row r="8" spans="1:2" x14ac:dyDescent="0.25">
      <c r="A8" s="1"/>
    </row>
    <row r="9" spans="1:2" x14ac:dyDescent="0.25">
      <c r="A9" s="1"/>
      <c r="B9" s="9" t="s">
        <v>7</v>
      </c>
    </row>
    <row r="10" spans="1:2" x14ac:dyDescent="0.25">
      <c r="A10" s="1"/>
      <c r="B10" t="s">
        <v>8</v>
      </c>
    </row>
    <row r="12" spans="1:2" x14ac:dyDescent="0.25">
      <c r="A12" s="1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5" spans="1:2" x14ac:dyDescent="0.25">
      <c r="A15" t="s">
        <v>12</v>
      </c>
    </row>
    <row r="16" spans="1:2" x14ac:dyDescent="0.25">
      <c r="A16" s="22" t="s">
        <v>13</v>
      </c>
    </row>
    <row r="17" spans="1:1" x14ac:dyDescent="0.25">
      <c r="A17" s="1"/>
    </row>
    <row r="18" spans="1:1" x14ac:dyDescent="0.25">
      <c r="A18" t="s">
        <v>14</v>
      </c>
    </row>
    <row r="19" spans="1:1" x14ac:dyDescent="0.25">
      <c r="A19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8" spans="1:1" x14ac:dyDescent="0.25">
      <c r="A28" t="s">
        <v>22</v>
      </c>
    </row>
    <row r="29" spans="1:1" x14ac:dyDescent="0.25">
      <c r="A29" t="s">
        <v>23</v>
      </c>
    </row>
    <row r="30" spans="1:1" x14ac:dyDescent="0.25">
      <c r="A30" t="s">
        <v>24</v>
      </c>
    </row>
    <row r="31" spans="1:1" x14ac:dyDescent="0.25">
      <c r="A31" t="s">
        <v>25</v>
      </c>
    </row>
    <row r="32" spans="1:1" x14ac:dyDescent="0.25">
      <c r="A32" t="s">
        <v>26</v>
      </c>
    </row>
    <row r="33" spans="1:2" x14ac:dyDescent="0.25">
      <c r="A33" t="s">
        <v>27</v>
      </c>
    </row>
    <row r="34" spans="1:2" x14ac:dyDescent="0.25">
      <c r="A34" t="s">
        <v>28</v>
      </c>
    </row>
    <row r="36" spans="1:2" x14ac:dyDescent="0.25">
      <c r="A36" t="s">
        <v>29</v>
      </c>
    </row>
    <row r="37" spans="1:2" x14ac:dyDescent="0.25">
      <c r="A37" t="s">
        <v>30</v>
      </c>
    </row>
    <row r="39" spans="1:2" x14ac:dyDescent="0.25">
      <c r="B39" s="1" t="s">
        <v>31</v>
      </c>
    </row>
    <row r="40" spans="1:2" x14ac:dyDescent="0.25">
      <c r="B40" t="s">
        <v>32</v>
      </c>
    </row>
    <row r="41" spans="1:2" x14ac:dyDescent="0.25">
      <c r="B41" t="s">
        <v>33</v>
      </c>
    </row>
    <row r="42" spans="1:2" x14ac:dyDescent="0.25">
      <c r="B42" t="s">
        <v>34</v>
      </c>
    </row>
    <row r="44" spans="1:2" x14ac:dyDescent="0.25">
      <c r="B44" s="1" t="s">
        <v>7</v>
      </c>
    </row>
    <row r="45" spans="1:2" x14ac:dyDescent="0.25">
      <c r="B45" t="s">
        <v>35</v>
      </c>
    </row>
    <row r="47" spans="1:2" x14ac:dyDescent="0.25">
      <c r="B47" s="1"/>
    </row>
    <row r="53" spans="1:2" x14ac:dyDescent="0.25">
      <c r="B53" s="1"/>
    </row>
    <row r="55" spans="1:2" x14ac:dyDescent="0.25">
      <c r="A55" s="1" t="s">
        <v>76</v>
      </c>
    </row>
    <row r="56" spans="1:2" x14ac:dyDescent="0.25">
      <c r="A56" t="s">
        <v>77</v>
      </c>
    </row>
    <row r="57" spans="1:2" x14ac:dyDescent="0.25">
      <c r="A57" t="s">
        <v>78</v>
      </c>
    </row>
    <row r="58" spans="1:2" x14ac:dyDescent="0.25">
      <c r="A58" t="s">
        <v>79</v>
      </c>
    </row>
    <row r="59" spans="1:2" x14ac:dyDescent="0.25">
      <c r="A59" t="s">
        <v>80</v>
      </c>
    </row>
    <row r="60" spans="1:2" x14ac:dyDescent="0.25">
      <c r="A60" t="s">
        <v>81</v>
      </c>
    </row>
    <row r="61" spans="1:2" x14ac:dyDescent="0.25">
      <c r="A61" t="s">
        <v>82</v>
      </c>
    </row>
    <row r="62" spans="1:2" x14ac:dyDescent="0.25">
      <c r="A62" t="s">
        <v>83</v>
      </c>
    </row>
    <row r="63" spans="1:2" x14ac:dyDescent="0.25">
      <c r="A63" t="s">
        <v>84</v>
      </c>
    </row>
    <row r="64" spans="1:2" x14ac:dyDescent="0.25">
      <c r="A64" t="s">
        <v>85</v>
      </c>
    </row>
    <row r="65" spans="1:1" x14ac:dyDescent="0.25">
      <c r="A65" t="s">
        <v>86</v>
      </c>
    </row>
    <row r="66" spans="1:1" x14ac:dyDescent="0.25">
      <c r="A66" t="s">
        <v>87</v>
      </c>
    </row>
    <row r="67" spans="1:1" x14ac:dyDescent="0.25">
      <c r="A67" t="s">
        <v>88</v>
      </c>
    </row>
    <row r="68" spans="1:1" x14ac:dyDescent="0.25">
      <c r="A68" t="s">
        <v>89</v>
      </c>
    </row>
    <row r="70" spans="1:1" x14ac:dyDescent="0.25">
      <c r="A70" t="s">
        <v>94</v>
      </c>
    </row>
  </sheetData>
  <hyperlinks>
    <hyperlink ref="A16" r:id="rId1" xr:uid="{00000000-0004-0000-0000-000000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CC89-6371-46BB-B5C9-7335B7F17874}">
  <dimension ref="A1:C5"/>
  <sheetViews>
    <sheetView tabSelected="1" workbookViewId="0"/>
  </sheetViews>
  <sheetFormatPr defaultRowHeight="15" x14ac:dyDescent="0.25"/>
  <sheetData>
    <row r="1" spans="1:3" x14ac:dyDescent="0.25">
      <c r="A1" t="s">
        <v>90</v>
      </c>
    </row>
    <row r="3" spans="1:3" x14ac:dyDescent="0.25">
      <c r="A3" t="s">
        <v>91</v>
      </c>
      <c r="B3" t="s">
        <v>92</v>
      </c>
      <c r="C3" t="s">
        <v>93</v>
      </c>
    </row>
    <row r="4" spans="1:3" x14ac:dyDescent="0.25">
      <c r="A4" t="s">
        <v>37</v>
      </c>
      <c r="B4">
        <v>0.91700000000000004</v>
      </c>
      <c r="C4">
        <v>1</v>
      </c>
    </row>
    <row r="5" spans="1:3" x14ac:dyDescent="0.25">
      <c r="A5" t="s">
        <v>40</v>
      </c>
      <c r="B5">
        <v>8.3000000000000004E-2</v>
      </c>
      <c r="C5">
        <v>0.10755844933173792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selection sqref="A1:H7"/>
    </sheetView>
  </sheetViews>
  <sheetFormatPr defaultRowHeight="15" x14ac:dyDescent="0.25"/>
  <cols>
    <col min="1" max="1" width="16.85546875" customWidth="1"/>
    <col min="2" max="2" width="24.5703125" customWidth="1"/>
    <col min="3" max="3" width="20.85546875" customWidth="1"/>
    <col min="4" max="4" width="18.28515625" customWidth="1"/>
    <col min="5" max="5" width="17.140625" customWidth="1"/>
    <col min="6" max="8" width="23.28515625" customWidth="1"/>
    <col min="10" max="10" width="14.42578125" bestFit="1" customWidth="1"/>
  </cols>
  <sheetData>
    <row r="1" spans="1:10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10" x14ac:dyDescent="0.25">
      <c r="A2" t="s">
        <v>44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  <c r="J2" s="3"/>
    </row>
    <row r="3" spans="1:10" x14ac:dyDescent="0.25">
      <c r="A3" t="s">
        <v>45</v>
      </c>
      <c r="B3">
        <v>2445</v>
      </c>
      <c r="C3">
        <v>67549</v>
      </c>
      <c r="D3">
        <v>53161</v>
      </c>
      <c r="E3">
        <v>422350</v>
      </c>
      <c r="F3">
        <v>0</v>
      </c>
      <c r="G3">
        <v>24746</v>
      </c>
      <c r="H3">
        <v>91</v>
      </c>
      <c r="I3" s="3"/>
      <c r="J3" s="18"/>
    </row>
    <row r="4" spans="1:10" x14ac:dyDescent="0.25">
      <c r="A4" t="s">
        <v>46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10" x14ac:dyDescent="0.25">
      <c r="A5" t="s">
        <v>47</v>
      </c>
      <c r="B5">
        <v>18776</v>
      </c>
      <c r="C5">
        <v>0</v>
      </c>
      <c r="D5">
        <v>0</v>
      </c>
      <c r="E5">
        <v>6889</v>
      </c>
      <c r="F5">
        <v>0</v>
      </c>
      <c r="G5">
        <v>0</v>
      </c>
      <c r="H5">
        <v>0</v>
      </c>
    </row>
    <row r="6" spans="1:10" x14ac:dyDescent="0.25">
      <c r="A6" t="s">
        <v>48</v>
      </c>
      <c r="B6">
        <v>0</v>
      </c>
      <c r="C6">
        <v>0</v>
      </c>
      <c r="D6">
        <v>9385963</v>
      </c>
      <c r="E6">
        <v>2288110</v>
      </c>
      <c r="F6">
        <v>0</v>
      </c>
      <c r="G6">
        <v>0</v>
      </c>
      <c r="H6">
        <v>0</v>
      </c>
    </row>
    <row r="7" spans="1:10" x14ac:dyDescent="0.25">
      <c r="A7" t="s">
        <v>49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  <row r="9" spans="1:10" x14ac:dyDescent="0.25">
      <c r="B9" s="3"/>
      <c r="C9" s="3"/>
      <c r="D9" s="3"/>
      <c r="E9" s="3"/>
      <c r="F9" s="3"/>
      <c r="G9" s="3"/>
      <c r="H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K93"/>
  <sheetViews>
    <sheetView topLeftCell="A9" workbookViewId="0">
      <selection activeCell="F56" sqref="F56"/>
    </sheetView>
  </sheetViews>
  <sheetFormatPr defaultColWidth="9.140625" defaultRowHeight="15" x14ac:dyDescent="0.25"/>
  <cols>
    <col min="1" max="1" width="23.28515625" customWidth="1"/>
    <col min="2" max="2" width="18.85546875" customWidth="1"/>
    <col min="3" max="3" width="24.140625" customWidth="1"/>
    <col min="4" max="4" width="14.7109375" customWidth="1"/>
    <col min="5" max="5" width="16.28515625" customWidth="1"/>
    <col min="6" max="6" width="18" style="5" customWidth="1"/>
    <col min="7" max="7" width="13.140625" customWidth="1"/>
    <col min="8" max="9" width="9.140625" customWidth="1"/>
    <col min="14" max="14" width="11.140625" customWidth="1"/>
  </cols>
  <sheetData>
    <row r="1" spans="1:37" x14ac:dyDescent="0.25">
      <c r="A1" t="s">
        <v>50</v>
      </c>
      <c r="H1" s="10" t="s">
        <v>51</v>
      </c>
      <c r="I1" s="11"/>
      <c r="J1" s="12"/>
      <c r="K1" s="12"/>
      <c r="L1" s="12"/>
      <c r="N1" s="10" t="s">
        <v>52</v>
      </c>
      <c r="O1" s="11"/>
      <c r="P1" s="12"/>
      <c r="Q1" s="10" t="s">
        <v>53</v>
      </c>
      <c r="R1" s="11"/>
      <c r="T1" s="10" t="s">
        <v>54</v>
      </c>
      <c r="U1" s="11"/>
      <c r="W1" s="10" t="s">
        <v>55</v>
      </c>
      <c r="X1" s="11"/>
    </row>
    <row r="2" spans="1:37" x14ac:dyDescent="0.25">
      <c r="A2" t="s">
        <v>56</v>
      </c>
      <c r="H2" s="7" t="s">
        <v>57</v>
      </c>
      <c r="I2" s="13">
        <v>1</v>
      </c>
      <c r="N2" s="7" t="s">
        <v>57</v>
      </c>
      <c r="O2" s="13">
        <v>1</v>
      </c>
      <c r="Q2" s="7" t="s">
        <v>57</v>
      </c>
      <c r="R2" s="13">
        <v>1</v>
      </c>
      <c r="T2" s="7" t="s">
        <v>57</v>
      </c>
      <c r="U2" s="13">
        <v>1</v>
      </c>
      <c r="W2" s="7" t="s">
        <v>57</v>
      </c>
      <c r="X2" s="13">
        <v>1</v>
      </c>
    </row>
    <row r="3" spans="1:37" x14ac:dyDescent="0.25">
      <c r="A3" t="s">
        <v>58</v>
      </c>
      <c r="H3" s="7" t="s">
        <v>59</v>
      </c>
      <c r="I3" s="13">
        <v>-0.3</v>
      </c>
      <c r="N3" s="7" t="s">
        <v>59</v>
      </c>
      <c r="O3" s="13">
        <v>-0.3</v>
      </c>
      <c r="P3">
        <v>-0.35</v>
      </c>
      <c r="Q3" s="7" t="s">
        <v>59</v>
      </c>
      <c r="R3" s="13">
        <v>-0.3</v>
      </c>
      <c r="T3" s="7" t="s">
        <v>59</v>
      </c>
      <c r="U3" s="13">
        <v>-0.4</v>
      </c>
      <c r="W3" s="7" t="s">
        <v>59</v>
      </c>
      <c r="X3" s="13">
        <v>-0.3</v>
      </c>
    </row>
    <row r="4" spans="1:37" ht="15.75" customHeight="1" thickBot="1" x14ac:dyDescent="0.3">
      <c r="A4" t="s">
        <v>60</v>
      </c>
      <c r="H4" s="8" t="s">
        <v>61</v>
      </c>
      <c r="I4" s="14">
        <v>-16</v>
      </c>
      <c r="N4" s="8" t="s">
        <v>61</v>
      </c>
      <c r="O4" s="14">
        <v>-11</v>
      </c>
      <c r="P4">
        <v>-10</v>
      </c>
      <c r="Q4" s="8" t="s">
        <v>61</v>
      </c>
      <c r="R4" s="14">
        <v>-12</v>
      </c>
      <c r="T4" s="8" t="s">
        <v>61</v>
      </c>
      <c r="U4" s="14">
        <v>-11</v>
      </c>
      <c r="W4" s="8" t="s">
        <v>61</v>
      </c>
      <c r="X4" s="14">
        <v>-14</v>
      </c>
    </row>
    <row r="5" spans="1:37" x14ac:dyDescent="0.25">
      <c r="A5" t="s">
        <v>62</v>
      </c>
    </row>
    <row r="6" spans="1:37" ht="30" customHeight="1" x14ac:dyDescent="0.25">
      <c r="A6" s="9"/>
      <c r="B6" s="9"/>
      <c r="C6" s="9"/>
      <c r="D6" s="9"/>
      <c r="E6" s="2" t="s">
        <v>63</v>
      </c>
      <c r="F6" s="2" t="s">
        <v>63</v>
      </c>
      <c r="G6" s="2" t="s">
        <v>64</v>
      </c>
      <c r="N6" s="19"/>
      <c r="O6" s="16"/>
      <c r="R6" s="19"/>
    </row>
    <row r="7" spans="1:37" x14ac:dyDescent="0.25">
      <c r="A7" s="9"/>
      <c r="B7" s="9"/>
      <c r="C7" s="9" t="s">
        <v>65</v>
      </c>
      <c r="D7" s="9"/>
      <c r="E7" s="2">
        <v>2020</v>
      </c>
      <c r="F7" s="2">
        <v>2050</v>
      </c>
      <c r="G7" s="2"/>
      <c r="N7" s="19"/>
    </row>
    <row r="8" spans="1:37" ht="90" customHeight="1" x14ac:dyDescent="0.25">
      <c r="A8" s="9"/>
      <c r="B8" s="9"/>
      <c r="C8" s="9"/>
      <c r="D8" s="27" t="s">
        <v>66</v>
      </c>
      <c r="E8" s="28"/>
      <c r="F8" s="21"/>
      <c r="G8" s="21" t="s">
        <v>67</v>
      </c>
    </row>
    <row r="9" spans="1:37" x14ac:dyDescent="0.25">
      <c r="A9" s="9" t="s">
        <v>68</v>
      </c>
      <c r="B9" s="9" t="s">
        <v>69</v>
      </c>
      <c r="C9" s="9" t="s">
        <v>70</v>
      </c>
      <c r="D9" s="9">
        <v>2024</v>
      </c>
      <c r="E9" s="9">
        <v>2025</v>
      </c>
      <c r="F9" s="9">
        <v>2050</v>
      </c>
      <c r="G9" s="4"/>
      <c r="I9" s="15">
        <v>2024</v>
      </c>
      <c r="J9" s="15">
        <f t="shared" ref="J9:J17" si="0">E9</f>
        <v>2025</v>
      </c>
      <c r="K9" s="15">
        <f t="shared" ref="K9:AI9" si="1">J9+1</f>
        <v>2026</v>
      </c>
      <c r="L9" s="15">
        <f t="shared" si="1"/>
        <v>2027</v>
      </c>
      <c r="M9" s="15">
        <f t="shared" si="1"/>
        <v>2028</v>
      </c>
      <c r="N9" s="15">
        <f t="shared" si="1"/>
        <v>2029</v>
      </c>
      <c r="O9" s="15">
        <f t="shared" si="1"/>
        <v>2030</v>
      </c>
      <c r="P9" s="15">
        <f t="shared" si="1"/>
        <v>2031</v>
      </c>
      <c r="Q9" s="15">
        <f t="shared" si="1"/>
        <v>2032</v>
      </c>
      <c r="R9" s="15">
        <f t="shared" si="1"/>
        <v>2033</v>
      </c>
      <c r="S9" s="15">
        <f t="shared" si="1"/>
        <v>2034</v>
      </c>
      <c r="T9" s="15">
        <f t="shared" si="1"/>
        <v>2035</v>
      </c>
      <c r="U9" s="15">
        <f t="shared" si="1"/>
        <v>2036</v>
      </c>
      <c r="V9" s="15">
        <f t="shared" si="1"/>
        <v>2037</v>
      </c>
      <c r="W9" s="15">
        <f t="shared" si="1"/>
        <v>2038</v>
      </c>
      <c r="X9" s="15">
        <f t="shared" si="1"/>
        <v>2039</v>
      </c>
      <c r="Y9" s="15">
        <f t="shared" si="1"/>
        <v>2040</v>
      </c>
      <c r="Z9" s="15">
        <f t="shared" si="1"/>
        <v>2041</v>
      </c>
      <c r="AA9" s="15">
        <f t="shared" si="1"/>
        <v>2042</v>
      </c>
      <c r="AB9" s="15">
        <f t="shared" si="1"/>
        <v>2043</v>
      </c>
      <c r="AC9" s="15">
        <f t="shared" si="1"/>
        <v>2044</v>
      </c>
      <c r="AD9" s="15">
        <f t="shared" si="1"/>
        <v>2045</v>
      </c>
      <c r="AE9" s="15">
        <f t="shared" si="1"/>
        <v>2046</v>
      </c>
      <c r="AF9" s="15">
        <f t="shared" si="1"/>
        <v>2047</v>
      </c>
      <c r="AG9" s="15">
        <f t="shared" si="1"/>
        <v>2048</v>
      </c>
      <c r="AH9" s="15">
        <f t="shared" si="1"/>
        <v>2049</v>
      </c>
      <c r="AI9" s="15">
        <f t="shared" si="1"/>
        <v>2050</v>
      </c>
      <c r="AJ9" s="15"/>
      <c r="AK9" s="15"/>
    </row>
    <row r="10" spans="1:37" x14ac:dyDescent="0.25">
      <c r="A10" t="s">
        <v>44</v>
      </c>
      <c r="B10" t="s">
        <v>71</v>
      </c>
      <c r="C10" t="s">
        <v>37</v>
      </c>
      <c r="D10">
        <v>0.148288948</v>
      </c>
      <c r="E10" s="16">
        <v>0.148288948</v>
      </c>
      <c r="F10">
        <v>1</v>
      </c>
      <c r="G10" s="5" t="str">
        <f>IF(E10=F10,"n/a",IF(OR(C10="battery electric vehicle",C10="natural gas vehicle",C10="plugin hybrid vehicle"),"s-curve","linear"))</f>
        <v>s-curve</v>
      </c>
      <c r="I10">
        <f>D10</f>
        <v>0.148288948</v>
      </c>
      <c r="J10" s="16">
        <f t="shared" si="0"/>
        <v>0.148288948</v>
      </c>
      <c r="K10">
        <f>IF($G10="s-curve",$E10+($F10-$E10)*$O$2/(1+EXP($O$3*(COUNT($K$9:K$9)+$O$4))),TREND($E10:$F10,$E$9:$F$9,K$9))</f>
        <v>0.18868208833608399</v>
      </c>
      <c r="L10">
        <f>IF($G10="s-curve",$E10+($F10-$E10)*$O$2/(1+EXP($O$3*(COUNT($K$9:L$9)+$O$4))),TREND($E10:$F10,$E$9:$F$9,L$9))</f>
        <v>0.20192405133527508</v>
      </c>
      <c r="M10">
        <f>IF($G10="s-curve",$E10+($F10-$E10)*$O$2/(1+EXP($O$3*(COUNT($K$9:M$9)+$O$4))),TREND($E10:$F10,$E$9:$F$9,M$9))</f>
        <v>0.21912805282851533</v>
      </c>
      <c r="N10">
        <f>IF($G10="s-curve",$E10+($F10-$E10)*$O$2/(1+EXP($O$3*(COUNT($K$9:N$9)+$O$4))),TREND($E10:$F10,$E$9:$F$9,N$9))</f>
        <v>0.24120791635037137</v>
      </c>
      <c r="O10">
        <f>IF($G10="s-curve",$E10+($F10-$E10)*$O$2/(1+EXP($O$3*(COUNT($K$9:O$9)+$O$4))),TREND($E10:$F10,$E$9:$F$9,O$9))</f>
        <v>0.26910506771371479</v>
      </c>
      <c r="P10">
        <f>IF($G10="s-curve",$E10+($F10-$E10)*$O$2/(1+EXP($O$3*(COUNT($K$9:P$9)+$O$4))),TREND($E10:$F10,$E$9:$F$9,P$9))</f>
        <v>0.30366278279276282</v>
      </c>
      <c r="Q10">
        <f>IF($G10="s-curve",$E10+($F10-$E10)*$O$2/(1+EXP($O$3*(COUNT($K$9:Q$9)+$O$4))),TREND($E10:$F10,$E$9:$F$9,Q$9))</f>
        <v>0.34543894815797949</v>
      </c>
      <c r="R10">
        <f>IF($G10="s-curve",$E10+($F10-$E10)*$O$2/(1+EXP($O$3*(COUNT($K$9:R$9)+$O$4))),TREND($E10:$F10,$E$9:$F$9,R$9))</f>
        <v>0.39447645120038111</v>
      </c>
      <c r="S10">
        <f>IF($G10="s-curve",$E10+($F10-$E10)*$O$2/(1+EXP($O$3*(COUNT($K$9:S$9)+$O$4))),TREND($E10:$F10,$E$9:$F$9,S$9))</f>
        <v>0.45008738819399363</v>
      </c>
      <c r="T10">
        <f>IF($G10="s-curve",$E10+($F10-$E10)*$O$2/(1+EXP($O$3*(COUNT($K$9:T$9)+$O$4))),TREND($E10:$F10,$E$9:$F$9,T$9))</f>
        <v>0.51074095969281419</v>
      </c>
      <c r="U10">
        <f>IF($G10="s-curve",$E10+($F10-$E10)*$O$2/(1+EXP($O$3*(COUNT($K$9:U$9)+$O$4))),TREND($E10:$F10,$E$9:$F$9,U$9))</f>
        <v>0.57414447400000002</v>
      </c>
      <c r="V10">
        <f>IF($G10="s-curve",$E10+($F10-$E10)*$O$2/(1+EXP($O$3*(COUNT($K$9:V$9)+$O$4))),TREND($E10:$F10,$E$9:$F$9,V$9))</f>
        <v>0.63754798830718573</v>
      </c>
      <c r="W10">
        <f>IF($G10="s-curve",$E10+($F10-$E10)*$O$2/(1+EXP($O$3*(COUNT($K$9:W$9)+$O$4))),TREND($E10:$F10,$E$9:$F$9,W$9))</f>
        <v>0.6982015598060064</v>
      </c>
      <c r="X10">
        <f>IF($G10="s-curve",$E10+($F10-$E10)*$O$2/(1+EXP($O$3*(COUNT($K$9:X$9)+$O$4))),TREND($E10:$F10,$E$9:$F$9,X$9))</f>
        <v>0.75381249679961881</v>
      </c>
      <c r="Y10">
        <f>IF($G10="s-curve",$E10+($F10-$E10)*$O$2/(1+EXP($O$3*(COUNT($K$9:Y$9)+$O$4))),TREND($E10:$F10,$E$9:$F$9,Y$9))</f>
        <v>0.80284999984202055</v>
      </c>
      <c r="Z10">
        <f>IF($G10="s-curve",$E10+($F10-$E10)*$O$2/(1+EXP($O$3*(COUNT($K$9:Z$9)+$O$4))),TREND($E10:$F10,$E$9:$F$9,Z$9))</f>
        <v>0.84462616520723721</v>
      </c>
      <c r="AA10">
        <f>IF($G10="s-curve",$E10+($F10-$E10)*$O$2/(1+EXP($O$3*(COUNT($K$9:AA$9)+$O$4))),TREND($E10:$F10,$E$9:$F$9,AA$9))</f>
        <v>0.87918388028628536</v>
      </c>
      <c r="AB10">
        <f>IF($G10="s-curve",$E10+($F10-$E10)*$O$2/(1+EXP($O$3*(COUNT($K$9:AB$9)+$O$4))),TREND($E10:$F10,$E$9:$F$9,AB$9))</f>
        <v>0.90708103164962861</v>
      </c>
      <c r="AC10">
        <f>IF($G10="s-curve",$E10+($F10-$E10)*$O$2/(1+EXP($O$3*(COUNT($K$9:AC$9)+$O$4))),TREND($E10:$F10,$E$9:$F$9,AC$9))</f>
        <v>0.9291608951714847</v>
      </c>
      <c r="AD10">
        <f>IF($G10="s-curve",$E10+($F10-$E10)*$O$2/(1+EXP($O$3*(COUNT($K$9:AD$9)+$O$4))),TREND($E10:$F10,$E$9:$F$9,AD$9))</f>
        <v>0.94636489666472501</v>
      </c>
      <c r="AE10">
        <f>IF($G10="s-curve",$E10+($F10-$E10)*$O$2/(1+EXP($O$3*(COUNT($K$9:AE$9)+$O$4))),TREND($E10:$F10,$E$9:$F$9,AE$9))</f>
        <v>0.95960685966391612</v>
      </c>
      <c r="AF10">
        <f>IF($G10="s-curve",$E10+($F10-$E10)*$O$2/(1+EXP($O$3*(COUNT($K$9:AF$9)+$O$4))),TREND($E10:$F10,$E$9:$F$9,AF$9))</f>
        <v>0.96970362496371199</v>
      </c>
      <c r="AG10">
        <f>IF($G10="s-curve",$E10+($F10-$E10)*$O$2/(1+EXP($O$3*(COUNT($K$9:AG$9)+$O$4))),TREND($E10:$F10,$E$9:$F$9,AG$9))</f>
        <v>0.97734704662061023</v>
      </c>
      <c r="AH10">
        <f>IF($G10="s-curve",$E10+($F10-$E10)*$O$2/(1+EXP($O$3*(COUNT($K$9:AH$9)+$O$4))),TREND($E10:$F10,$E$9:$F$9,AH$9))</f>
        <v>0.9831017923312273</v>
      </c>
      <c r="AI10">
        <f>IF($G10="s-curve",$E10+($F10-$E10)*$O$2/(1+EXP($O$3*(COUNT($K$9:AI$9)+$O$4))),TREND($E10:$F10,$E$9:$F$9,AI$9))</f>
        <v>0.98741679392424109</v>
      </c>
    </row>
    <row r="11" spans="1:37" x14ac:dyDescent="0.25">
      <c r="C11" t="s">
        <v>38</v>
      </c>
      <c r="D11">
        <v>1.0097E-4</v>
      </c>
      <c r="E11" s="16">
        <v>1.0097E-4</v>
      </c>
      <c r="F11" s="16">
        <f>E11</f>
        <v>1.0097E-4</v>
      </c>
      <c r="G11" s="5" t="str">
        <f>IF(E11=F11,"n/a",IF(OR(C11="battery electric vehicle",C11="natural gas vehicle",C11="plugin hybrid vehicle"),"s-curve","linear"))</f>
        <v>n/a</v>
      </c>
      <c r="I11" s="16">
        <f>E11</f>
        <v>1.0097E-4</v>
      </c>
      <c r="J11" s="16">
        <f t="shared" si="0"/>
        <v>1.0097E-4</v>
      </c>
      <c r="K11">
        <f>IF($G11="s-curve",$E11+($F11-$E11)*$I$2/(1+EXP($I$3*(COUNT($I$9:K$9)+$I$4))),TREND($E11:$F11,$E$9:$F$9,K$9))</f>
        <v>1.0097E-4</v>
      </c>
      <c r="L11">
        <f>IF($G11="s-curve",$E11+($F11-$E11)*$I$2/(1+EXP($I$3*(COUNT($I$9:L$9)+$I$4))),TREND($E11:$F11,$E$9:$F$9,L$9))</f>
        <v>1.0097E-4</v>
      </c>
      <c r="M11">
        <f>IF($G11="s-curve",$E11+($F11-$E11)*$I$2/(1+EXP($I$3*(COUNT($I$9:M$9)+$I$4))),TREND($E11:$F11,$E$9:$F$9,M$9))</f>
        <v>1.0097E-4</v>
      </c>
      <c r="N11">
        <f>IF($G11="s-curve",$E11+($F11-$E11)*$I$2/(1+EXP($I$3*(COUNT($I$9:N$9)+$I$4))),TREND($E11:$F11,$E$9:$F$9,N$9))</f>
        <v>1.0097E-4</v>
      </c>
      <c r="O11">
        <f>IF($G11="s-curve",$E11+($F11-$E11)*$I$2/(1+EXP($I$3*(COUNT($I$9:O$9)+$I$4))),TREND($E11:$F11,$E$9:$F$9,O$9))</f>
        <v>1.0097E-4</v>
      </c>
      <c r="P11">
        <f>IF($G11="s-curve",$E11+($F11-$E11)*$I$2/(1+EXP($I$3*(COUNT($I$9:P$9)+$I$4))),TREND($E11:$F11,$E$9:$F$9,P$9))</f>
        <v>1.0097E-4</v>
      </c>
      <c r="Q11">
        <f>IF($G11="s-curve",$E11+($F11-$E11)*$I$2/(1+EXP($I$3*(COUNT($I$9:Q$9)+$I$4))),TREND($E11:$F11,$E$9:$F$9,Q$9))</f>
        <v>1.0097E-4</v>
      </c>
      <c r="R11">
        <f>IF($G11="s-curve",$E11+($F11-$E11)*$I$2/(1+EXP($I$3*(COUNT($I$9:R$9)+$I$4))),TREND($E11:$F11,$E$9:$F$9,R$9))</f>
        <v>1.0097E-4</v>
      </c>
      <c r="S11">
        <f>IF($G11="s-curve",$E11+($F11-$E11)*$I$2/(1+EXP($I$3*(COUNT($I$9:S$9)+$I$4))),TREND($E11:$F11,$E$9:$F$9,S$9))</f>
        <v>1.0097E-4</v>
      </c>
      <c r="T11">
        <f>IF($G11="s-curve",$E11+($F11-$E11)*$I$2/(1+EXP($I$3*(COUNT($I$9:T$9)+$I$4))),TREND($E11:$F11,$E$9:$F$9,T$9))</f>
        <v>1.0097E-4</v>
      </c>
      <c r="U11">
        <f>IF($G11="s-curve",$E11+($F11-$E11)*$I$2/(1+EXP($I$3*(COUNT($I$9:U$9)+$I$4))),TREND($E11:$F11,$E$9:$F$9,U$9))</f>
        <v>1.0097E-4</v>
      </c>
      <c r="V11">
        <f>IF($G11="s-curve",$E11+($F11-$E11)*$I$2/(1+EXP($I$3*(COUNT($I$9:V$9)+$I$4))),TREND($E11:$F11,$E$9:$F$9,V$9))</f>
        <v>1.0097E-4</v>
      </c>
      <c r="W11">
        <f>IF($G11="s-curve",$E11+($F11-$E11)*$I$2/(1+EXP($I$3*(COUNT($I$9:W$9)+$I$4))),TREND($E11:$F11,$E$9:$F$9,W$9))</f>
        <v>1.0097E-4</v>
      </c>
      <c r="X11">
        <f>IF($G11="s-curve",$E11+($F11-$E11)*$I$2/(1+EXP($I$3*(COUNT($I$9:X$9)+$I$4))),TREND($E11:$F11,$E$9:$F$9,X$9))</f>
        <v>1.0097E-4</v>
      </c>
      <c r="Y11">
        <f>IF($G11="s-curve",$E11+($F11-$E11)*$I$2/(1+EXP($I$3*(COUNT($I$9:Y$9)+$I$4))),TREND($E11:$F11,$E$9:$F$9,Y$9))</f>
        <v>1.0097E-4</v>
      </c>
      <c r="Z11">
        <f>IF($G11="s-curve",$E11+($F11-$E11)*$I$2/(1+EXP($I$3*(COUNT($I$9:Z$9)+$I$4))),TREND($E11:$F11,$E$9:$F$9,Z$9))</f>
        <v>1.0097E-4</v>
      </c>
      <c r="AA11">
        <f>IF($G11="s-curve",$E11+($F11-$E11)*$I$2/(1+EXP($I$3*(COUNT($I$9:AA$9)+$I$4))),TREND($E11:$F11,$E$9:$F$9,AA$9))</f>
        <v>1.0097E-4</v>
      </c>
      <c r="AB11">
        <f>IF($G11="s-curve",$E11+($F11-$E11)*$I$2/(1+EXP($I$3*(COUNT($I$9:AB$9)+$I$4))),TREND($E11:$F11,$E$9:$F$9,AB$9))</f>
        <v>1.0097E-4</v>
      </c>
      <c r="AC11">
        <f>IF($G11="s-curve",$E11+($F11-$E11)*$I$2/(1+EXP($I$3*(COUNT($I$9:AC$9)+$I$4))),TREND($E11:$F11,$E$9:$F$9,AC$9))</f>
        <v>1.0097E-4</v>
      </c>
      <c r="AD11">
        <f>IF($G11="s-curve",$E11+($F11-$E11)*$I$2/(1+EXP($I$3*(COUNT($I$9:AD$9)+$I$4))),TREND($E11:$F11,$E$9:$F$9,AD$9))</f>
        <v>1.0097E-4</v>
      </c>
      <c r="AE11">
        <f>IF($G11="s-curve",$E11+($F11-$E11)*$I$2/(1+EXP($I$3*(COUNT($I$9:AE$9)+$I$4))),TREND($E11:$F11,$E$9:$F$9,AE$9))</f>
        <v>1.0097E-4</v>
      </c>
      <c r="AF11">
        <f>IF($G11="s-curve",$E11+($F11-$E11)*$I$2/(1+EXP($I$3*(COUNT($I$9:AF$9)+$I$4))),TREND($E11:$F11,$E$9:$F$9,AF$9))</f>
        <v>1.0097E-4</v>
      </c>
      <c r="AG11">
        <f>IF($G11="s-curve",$E11+($F11-$E11)*$I$2/(1+EXP($I$3*(COUNT($I$9:AG$9)+$I$4))),TREND($E11:$F11,$E$9:$F$9,AG$9))</f>
        <v>1.0097E-4</v>
      </c>
      <c r="AH11">
        <f>IF($G11="s-curve",$E11+($F11-$E11)*$I$2/(1+EXP($I$3*(COUNT($I$9:AH$9)+$I$4))),TREND($E11:$F11,$E$9:$F$9,AH$9))</f>
        <v>1.0097E-4</v>
      </c>
      <c r="AI11">
        <f>IF($G11="s-curve",$E11+($F11-$E11)*$I$2/(1+EXP($I$3*(COUNT($I$9:AI$9)+$I$4))),TREND($E11:$F11,$E$9:$F$9,AI$9))</f>
        <v>1.0097E-4</v>
      </c>
    </row>
    <row r="12" spans="1:37" x14ac:dyDescent="0.25">
      <c r="C12" t="s">
        <v>39</v>
      </c>
      <c r="D12">
        <v>1</v>
      </c>
      <c r="E12">
        <v>1</v>
      </c>
      <c r="F12">
        <v>1</v>
      </c>
      <c r="G12" s="5" t="str">
        <f>IF(E12=F12,"n/a",IF(OR(C12="battery electric vehicle",C12="natural gas vehicle",C12="plugin hybrid vehicle"),"s-curve","linear"))</f>
        <v>n/a</v>
      </c>
      <c r="I12" s="16">
        <f>E12</f>
        <v>1</v>
      </c>
      <c r="J12">
        <f t="shared" si="0"/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7" x14ac:dyDescent="0.25">
      <c r="C13" t="s">
        <v>40</v>
      </c>
      <c r="D13">
        <v>6.7382960000000006E-2</v>
      </c>
      <c r="E13" s="16">
        <v>6.7382960000000006E-2</v>
      </c>
      <c r="F13" s="16">
        <f>E13</f>
        <v>6.7382960000000006E-2</v>
      </c>
      <c r="G13" s="5" t="str">
        <f>IF(E13=F13,"n/a",IF(OR(C13="battery electric vehicle",C13="natural gas vehicle",C13="plugin hybrid vehicle"),"s-curve","linear"))</f>
        <v>n/a</v>
      </c>
      <c r="I13" s="16">
        <f>E13</f>
        <v>6.7382960000000006E-2</v>
      </c>
      <c r="J13" s="16">
        <f t="shared" si="0"/>
        <v>6.7382960000000006E-2</v>
      </c>
      <c r="K13">
        <f>IF($G13="s-curve",$E13+($F13-$E13)*$I$2/(1+EXP($I$3*(COUNT($I$9:K$9)+$I$4))),TREND($E13:$F13,$E$9:$F$9,K$9))</f>
        <v>6.7382960000000006E-2</v>
      </c>
      <c r="L13">
        <f>IF($G13="s-curve",$E13+($F13-$E13)*$I$2/(1+EXP($I$3*(COUNT($I$9:L$9)+$I$4))),TREND($E13:$F13,$E$9:$F$9,L$9))</f>
        <v>6.7382960000000006E-2</v>
      </c>
      <c r="M13">
        <f>IF($G13="s-curve",$E13+($F13-$E13)*$I$2/(1+EXP($I$3*(COUNT($I$9:M$9)+$I$4))),TREND($E13:$F13,$E$9:$F$9,M$9))</f>
        <v>6.7382960000000006E-2</v>
      </c>
      <c r="N13">
        <f>IF($G13="s-curve",$E13+($F13-$E13)*$I$2/(1+EXP($I$3*(COUNT($I$9:N$9)+$I$4))),TREND($E13:$F13,$E$9:$F$9,N$9))</f>
        <v>6.7382960000000006E-2</v>
      </c>
      <c r="O13">
        <f>IF($G13="s-curve",$E13+($F13-$E13)*$I$2/(1+EXP($I$3*(COUNT($I$9:O$9)+$I$4))),TREND($E13:$F13,$E$9:$F$9,O$9))</f>
        <v>6.7382960000000006E-2</v>
      </c>
      <c r="P13">
        <f>IF($G13="s-curve",$E13+($F13-$E13)*$I$2/(1+EXP($I$3*(COUNT($I$9:P$9)+$I$4))),TREND($E13:$F13,$E$9:$F$9,P$9))</f>
        <v>6.7382960000000006E-2</v>
      </c>
      <c r="Q13">
        <f>IF($G13="s-curve",$E13+($F13-$E13)*$I$2/(1+EXP($I$3*(COUNT($I$9:Q$9)+$I$4))),TREND($E13:$F13,$E$9:$F$9,Q$9))</f>
        <v>6.7382960000000006E-2</v>
      </c>
      <c r="R13">
        <f>IF($G13="s-curve",$E13+($F13-$E13)*$I$2/(1+EXP($I$3*(COUNT($I$9:R$9)+$I$4))),TREND($E13:$F13,$E$9:$F$9,R$9))</f>
        <v>6.7382960000000006E-2</v>
      </c>
      <c r="S13">
        <f>IF($G13="s-curve",$E13+($F13-$E13)*$I$2/(1+EXP($I$3*(COUNT($I$9:S$9)+$I$4))),TREND($E13:$F13,$E$9:$F$9,S$9))</f>
        <v>6.7382960000000006E-2</v>
      </c>
      <c r="T13">
        <f>IF($G13="s-curve",$E13+($F13-$E13)*$I$2/(1+EXP($I$3*(COUNT($I$9:T$9)+$I$4))),TREND($E13:$F13,$E$9:$F$9,T$9))</f>
        <v>6.7382960000000006E-2</v>
      </c>
      <c r="U13">
        <f>IF($G13="s-curve",$E13+($F13-$E13)*$I$2/(1+EXP($I$3*(COUNT($I$9:U$9)+$I$4))),TREND($E13:$F13,$E$9:$F$9,U$9))</f>
        <v>6.7382960000000006E-2</v>
      </c>
      <c r="V13">
        <f>IF($G13="s-curve",$E13+($F13-$E13)*$I$2/(1+EXP($I$3*(COUNT($I$9:V$9)+$I$4))),TREND($E13:$F13,$E$9:$F$9,V$9))</f>
        <v>6.7382960000000006E-2</v>
      </c>
      <c r="W13">
        <f>IF($G13="s-curve",$E13+($F13-$E13)*$I$2/(1+EXP($I$3*(COUNT($I$9:W$9)+$I$4))),TREND($E13:$F13,$E$9:$F$9,W$9))</f>
        <v>6.7382960000000006E-2</v>
      </c>
      <c r="X13">
        <f>IF($G13="s-curve",$E13+($F13-$E13)*$I$2/(1+EXP($I$3*(COUNT($I$9:X$9)+$I$4))),TREND($E13:$F13,$E$9:$F$9,X$9))</f>
        <v>6.7382960000000006E-2</v>
      </c>
      <c r="Y13">
        <f>IF($G13="s-curve",$E13+($F13-$E13)*$I$2/(1+EXP($I$3*(COUNT($I$9:Y$9)+$I$4))),TREND($E13:$F13,$E$9:$F$9,Y$9))</f>
        <v>6.7382960000000006E-2</v>
      </c>
      <c r="Z13">
        <f>IF($G13="s-curve",$E13+($F13-$E13)*$I$2/(1+EXP($I$3*(COUNT($I$9:Z$9)+$I$4))),TREND($E13:$F13,$E$9:$F$9,Z$9))</f>
        <v>6.7382960000000006E-2</v>
      </c>
      <c r="AA13">
        <f>IF($G13="s-curve",$E13+($F13-$E13)*$I$2/(1+EXP($I$3*(COUNT($I$9:AA$9)+$I$4))),TREND($E13:$F13,$E$9:$F$9,AA$9))</f>
        <v>6.7382960000000006E-2</v>
      </c>
      <c r="AB13">
        <f>IF($G13="s-curve",$E13+($F13-$E13)*$I$2/(1+EXP($I$3*(COUNT($I$9:AB$9)+$I$4))),TREND($E13:$F13,$E$9:$F$9,AB$9))</f>
        <v>6.7382960000000006E-2</v>
      </c>
      <c r="AC13">
        <f>IF($G13="s-curve",$E13+($F13-$E13)*$I$2/(1+EXP($I$3*(COUNT($I$9:AC$9)+$I$4))),TREND($E13:$F13,$E$9:$F$9,AC$9))</f>
        <v>6.7382960000000006E-2</v>
      </c>
      <c r="AD13">
        <f>IF($G13="s-curve",$E13+($F13-$E13)*$I$2/(1+EXP($I$3*(COUNT($I$9:AD$9)+$I$4))),TREND($E13:$F13,$E$9:$F$9,AD$9))</f>
        <v>6.7382960000000006E-2</v>
      </c>
      <c r="AE13">
        <f>IF($G13="s-curve",$E13+($F13-$E13)*$I$2/(1+EXP($I$3*(COUNT($I$9:AE$9)+$I$4))),TREND($E13:$F13,$E$9:$F$9,AE$9))</f>
        <v>6.7382960000000006E-2</v>
      </c>
      <c r="AF13">
        <f>IF($G13="s-curve",$E13+($F13-$E13)*$I$2/(1+EXP($I$3*(COUNT($I$9:AF$9)+$I$4))),TREND($E13:$F13,$E$9:$F$9,AF$9))</f>
        <v>6.7382960000000006E-2</v>
      </c>
      <c r="AG13">
        <f>IF($G13="s-curve",$E13+($F13-$E13)*$I$2/(1+EXP($I$3*(COUNT($I$9:AG$9)+$I$4))),TREND($E13:$F13,$E$9:$F$9,AG$9))</f>
        <v>6.7382960000000006E-2</v>
      </c>
      <c r="AH13">
        <f>IF($G13="s-curve",$E13+($F13-$E13)*$I$2/(1+EXP($I$3*(COUNT($I$9:AH$9)+$I$4))),TREND($E13:$F13,$E$9:$F$9,AH$9))</f>
        <v>6.7382960000000006E-2</v>
      </c>
      <c r="AI13">
        <f>IF($G13="s-curve",$E13+($F13-$E13)*$I$2/(1+EXP($I$3*(COUNT($I$9:AI$9)+$I$4))),TREND($E13:$F13,$E$9:$F$9,AI$9))</f>
        <v>6.7382960000000006E-2</v>
      </c>
    </row>
    <row r="14" spans="1:37" x14ac:dyDescent="0.25">
      <c r="C14" t="s">
        <v>41</v>
      </c>
      <c r="D14">
        <v>1.4073499E-2</v>
      </c>
      <c r="E14" s="16">
        <v>1.4073499E-2</v>
      </c>
      <c r="F14" s="23">
        <v>0.10239066607264966</v>
      </c>
      <c r="G14" s="5" t="str">
        <f>IF(E14=F14,"n/a",IF(OR(C14="battery electric vehicle",C14="natural gas vehicle",C14="plugin hybrid vehicle",C14="hydrogen vehicle"),"s-curve","linear"))</f>
        <v>s-curve</v>
      </c>
      <c r="I14">
        <f>D14</f>
        <v>1.4073499E-2</v>
      </c>
      <c r="J14">
        <f t="shared" si="0"/>
        <v>1.4073499E-2</v>
      </c>
      <c r="K14">
        <f>IF($G14="s-curve",$E14+($F14-$E14)*$U$2/(1+EXP($U$3*(COUNT($I$9:K$9)+$U$4))),TREND($E14:$F14,$E$9:$F$9,K$9))</f>
        <v>1.7532504683762919E-2</v>
      </c>
      <c r="L14">
        <f>IF($G14="s-curve",$E14+($F14-$E14)*$U$2/(1+EXP($U$3*(COUNT($I$9:L$9)+$U$4))),TREND($E14:$F14,$E$9:$F$9,L$9))</f>
        <v>1.9136207820162347E-2</v>
      </c>
      <c r="M14">
        <f>IF($G14="s-curve",$E14+($F14-$E14)*$U$2/(1+EXP($U$3*(COUNT($I$9:M$9)+$U$4))),TREND($E14:$F14,$E$9:$F$9,M$9))</f>
        <v>2.1419075932136523E-2</v>
      </c>
      <c r="N14">
        <f>IF($G14="s-curve",$E14+($F14-$E14)*$U$2/(1+EXP($U$3*(COUNT($I$9:N$9)+$U$4))),TREND($E14:$F14,$E$9:$F$9,N$9))</f>
        <v>2.4601163379775384E-2</v>
      </c>
      <c r="O14">
        <f>IF($G14="s-curve",$E14+($F14-$E14)*$U$2/(1+EXP($U$3*(COUNT($I$9:O$9)+$U$4))),TREND($E14:$F14,$E$9:$F$9,O$9))</f>
        <v>2.8909159345260678E-2</v>
      </c>
      <c r="P14">
        <f>IF($G14="s-curve",$E14+($F14-$E14)*$U$2/(1+EXP($U$3*(COUNT($I$9:P$9)+$U$4))),TREND($E14:$F14,$E$9:$F$9,P$9))</f>
        <v>3.4516734368895005E-2</v>
      </c>
      <c r="Q14">
        <f>IF($G14="s-curve",$E14+($F14-$E14)*$U$2/(1+EXP($U$3*(COUNT($I$9:Q$9)+$U$4))),TREND($E14:$F14,$E$9:$F$9,Q$9))</f>
        <v>4.1454074547037548E-2</v>
      </c>
      <c r="R14">
        <f>IF($G14="s-curve",$E14+($F14-$E14)*$U$2/(1+EXP($U$3*(COUNT($I$9:R$9)+$U$4))),TREND($E14:$F14,$E$9:$F$9,R$9))</f>
        <v>4.9516267970164535E-2</v>
      </c>
      <c r="S14">
        <f>IF($G14="s-curve",$E14+($F14-$E14)*$U$2/(1+EXP($U$3*(COUNT($I$9:S$9)+$U$4))),TREND($E14:$F14,$E$9:$F$9,S$9))</f>
        <v>5.8232082536324822E-2</v>
      </c>
      <c r="T14">
        <f>IF($G14="s-curve",$E14+($F14-$E14)*$U$2/(1+EXP($U$3*(COUNT($I$9:T$9)+$U$4))),TREND($E14:$F14,$E$9:$F$9,T$9))</f>
        <v>6.694789710248511E-2</v>
      </c>
      <c r="U14">
        <f>IF($G14="s-curve",$E14+($F14-$E14)*$U$2/(1+EXP($U$3*(COUNT($I$9:U$9)+$U$4))),TREND($E14:$F14,$E$9:$F$9,U$9))</f>
        <v>7.5010090525612097E-2</v>
      </c>
      <c r="V14">
        <f>IF($G14="s-curve",$E14+($F14-$E14)*$U$2/(1+EXP($U$3*(COUNT($I$9:V$9)+$U$4))),TREND($E14:$F14,$E$9:$F$9,V$9))</f>
        <v>8.1947430703754653E-2</v>
      </c>
      <c r="W14">
        <f>IF($G14="s-curve",$E14+($F14-$E14)*$U$2/(1+EXP($U$3*(COUNT($I$9:W$9)+$U$4))),TREND($E14:$F14,$E$9:$F$9,W$9))</f>
        <v>8.7555005727388974E-2</v>
      </c>
      <c r="X14">
        <f>IF($G14="s-curve",$E14+($F14-$E14)*$U$2/(1+EXP($U$3*(COUNT($I$9:X$9)+$U$4))),TREND($E14:$F14,$E$9:$F$9,X$9))</f>
        <v>9.1863001692874258E-2</v>
      </c>
      <c r="Y14">
        <f>IF($G14="s-curve",$E14+($F14-$E14)*$U$2/(1+EXP($U$3*(COUNT($I$9:Y$9)+$U$4))),TREND($E14:$F14,$E$9:$F$9,Y$9))</f>
        <v>9.5045089140513128E-2</v>
      </c>
      <c r="Z14">
        <f>IF($G14="s-curve",$E14+($F14-$E14)*$U$2/(1+EXP($U$3*(COUNT($I$9:Z$9)+$U$4))),TREND($E14:$F14,$E$9:$F$9,Z$9))</f>
        <v>9.7327957252487315E-2</v>
      </c>
      <c r="AA14">
        <f>IF($G14="s-curve",$E14+($F14-$E14)*$U$2/(1+EXP($U$3*(COUNT($I$9:AA$9)+$U$4))),TREND($E14:$F14,$E$9:$F$9,AA$9))</f>
        <v>9.8931660388886733E-2</v>
      </c>
      <c r="AB14">
        <f>IF($G14="s-curve",$E14+($F14-$E14)*$U$2/(1+EXP($U$3*(COUNT($I$9:AB$9)+$U$4))),TREND($E14:$F14,$E$9:$F$9,AB$9))</f>
        <v>0.1000416949472914</v>
      </c>
      <c r="AC14">
        <f>IF($G14="s-curve",$E14+($F14-$E14)*$U$2/(1+EXP($U$3*(COUNT($I$9:AC$9)+$U$4))),TREND($E14:$F14,$E$9:$F$9,AC$9))</f>
        <v>0.10080217496242386</v>
      </c>
      <c r="AD14">
        <f>IF($G14="s-curve",$E14+($F14-$E14)*$U$2/(1+EXP($U$3*(COUNT($I$9:AD$9)+$U$4))),TREND($E14:$F14,$E$9:$F$9,AD$9))</f>
        <v>0.10131951705381374</v>
      </c>
      <c r="AE14">
        <f>IF($G14="s-curve",$E14+($F14-$E14)*$U$2/(1+EXP($U$3*(COUNT($I$9:AE$9)+$U$4))),TREND($E14:$F14,$E$9:$F$9,AE$9))</f>
        <v>0.10166977091237364</v>
      </c>
      <c r="AF14">
        <f>IF($G14="s-curve",$E14+($F14-$E14)*$U$2/(1+EXP($U$3*(COUNT($I$9:AF$9)+$U$4))),TREND($E14:$F14,$E$9:$F$9,AF$9))</f>
        <v>0.1019061316961364</v>
      </c>
      <c r="AG14">
        <f>IF($G14="s-curve",$E14+($F14-$E14)*$U$2/(1+EXP($U$3*(COUNT($I$9:AG$9)+$U$4))),TREND($E14:$F14,$E$9:$F$9,AG$9))</f>
        <v>0.10206528444191545</v>
      </c>
      <c r="AH14">
        <f>IF($G14="s-curve",$E14+($F14-$E14)*$U$2/(1+EXP($U$3*(COUNT($I$9:AH$9)+$U$4))),TREND($E14:$F14,$E$9:$F$9,AH$9))</f>
        <v>0.10217229100021745</v>
      </c>
      <c r="AI14">
        <f>IF($G14="s-curve",$E14+($F14-$E14)*$U$2/(1+EXP($U$3*(COUNT($I$9:AI$9)+$U$4))),TREND($E14:$F14,$E$9:$F$9,AI$9))</f>
        <v>0.1022441654605116</v>
      </c>
    </row>
    <row r="15" spans="1:37" x14ac:dyDescent="0.25">
      <c r="C15" t="s">
        <v>42</v>
      </c>
      <c r="D15">
        <v>0</v>
      </c>
      <c r="E15" s="16">
        <v>0</v>
      </c>
      <c r="F15" s="16">
        <f>E15</f>
        <v>0</v>
      </c>
      <c r="G15" s="5" t="str">
        <f>IF(E15=F15,"n/a",IF(OR(C15="battery electric vehicle",C15="natural gas vehicle",C15="plugin hybrid vehicle",C15="hydrogen vehicle"),"s-curve","linear"))</f>
        <v>n/a</v>
      </c>
      <c r="I15" s="16">
        <f>E15</f>
        <v>0</v>
      </c>
      <c r="J15" s="16">
        <f t="shared" si="0"/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7" ht="15.75" customHeight="1" thickBot="1" x14ac:dyDescent="0.3">
      <c r="A16" s="17"/>
      <c r="B16" s="17"/>
      <c r="C16" s="17" t="s">
        <v>43</v>
      </c>
      <c r="D16" s="17">
        <v>0</v>
      </c>
      <c r="E16" s="20">
        <v>0</v>
      </c>
      <c r="F16" s="20">
        <f>E16</f>
        <v>0</v>
      </c>
      <c r="G16" s="6" t="str">
        <f>IF(E16=F16,"n/a",IF(OR(C16="battery electric vehicle",C16="natural gas vehicle",C16="plugin hybrid vehicle",C16="hydrogen vehicle"),"s-curve","linear"))</f>
        <v>n/a</v>
      </c>
      <c r="I16" s="16">
        <f>E16</f>
        <v>0</v>
      </c>
      <c r="J16" s="16">
        <f t="shared" si="0"/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25">
      <c r="A17" t="s">
        <v>44</v>
      </c>
      <c r="B17" t="s">
        <v>72</v>
      </c>
      <c r="C17" t="s">
        <v>37</v>
      </c>
      <c r="D17">
        <v>0.328639128</v>
      </c>
      <c r="E17">
        <v>0.328639128</v>
      </c>
      <c r="F17">
        <v>0.3</v>
      </c>
      <c r="G17" s="5" t="str">
        <f>IF(E17=F17,"n/a",IF(OR(C17="battery electric vehicle",C17="natural gas vehicle",C17="plugin hybrid vehicle"),"s-curve","linear"))</f>
        <v>s-curve</v>
      </c>
      <c r="I17" s="16">
        <f t="shared" ref="I17:I37" si="2">D17</f>
        <v>0.328639128</v>
      </c>
      <c r="J17">
        <f t="shared" si="0"/>
        <v>0.328639128</v>
      </c>
      <c r="K17" s="25">
        <f>IF($G17="s-curve",$E17+($F17-$E17)*$X$2/(1+EXP($X$3*(COUNT($I$9:K$9)+$X$4))),TREND($E17:$F17,$E$9:$F$9,K$9))</f>
        <v>0.32762040015730876</v>
      </c>
      <c r="L17" s="25">
        <f>IF($G17="s-curve",$E17+($F17-$E17)*$X$2/(1+EXP($X$3*(COUNT($I$9:L$9)+$X$4))),TREND($E17:$F17,$E$9:$F$9,L$9))</f>
        <v>0.32728089234755592</v>
      </c>
      <c r="M17" s="25">
        <f>IF($G17="s-curve",$E17+($F17-$E17)*$X$2/(1+EXP($X$3*(COUNT($I$9:M$9)+$X$4))),TREND($E17:$F17,$E$9:$F$9,M$9))</f>
        <v>0.32683562599529409</v>
      </c>
      <c r="N17" s="25">
        <f>IF($G17="s-curve",$E17+($F17-$E17)*$X$2/(1+EXP($X$3*(COUNT($I$9:N$9)+$X$4))),TREND($E17:$F17,$E$9:$F$9,N$9))</f>
        <v>0.3262571344990054</v>
      </c>
      <c r="O17" s="25">
        <f>IF($G17="s-curve",$E17+($F17-$E17)*$X$2/(1+EXP($X$3*(COUNT($I$9:O$9)+$X$4))),TREND($E17:$F17,$E$9:$F$9,O$9))</f>
        <v>0.32551469017338575</v>
      </c>
      <c r="P17" s="25">
        <f>IF($G17="s-curve",$E17+($F17-$E17)*$X$2/(1+EXP($X$3*(COUNT($I$9:P$9)+$X$4))),TREND($E17:$F17,$E$9:$F$9,P$9))</f>
        <v>0.3245766371953786</v>
      </c>
      <c r="Q17" s="25">
        <f>IF($G17="s-curve",$E17+($F17-$E17)*$X$2/(1+EXP($X$3*(COUNT($I$9:Q$9)+$X$4))),TREND($E17:$F17,$E$9:$F$9,Q$9))</f>
        <v>0.32341462007324273</v>
      </c>
      <c r="R17" s="25">
        <f>IF($G17="s-curve",$E17+($F17-$E17)*$X$2/(1+EXP($X$3*(COUNT($I$9:R$9)+$X$4))),TREND($E17:$F17,$E$9:$F$9,R$9))</f>
        <v>0.32200987964580063</v>
      </c>
      <c r="S17" s="25">
        <f>IF($G17="s-curve",$E17+($F17-$E17)*$X$2/(1+EXP($X$3*(COUNT($I$9:S$9)+$X$4))),TREND($E17:$F17,$E$9:$F$9,S$9))</f>
        <v>0.32036097380721384</v>
      </c>
      <c r="T17" s="25">
        <f>IF($G17="s-curve",$E17+($F17-$E17)*$X$2/(1+EXP($X$3*(COUNT($I$9:T$9)+$X$4))),TREND($E17:$F17,$E$9:$F$9,T$9))</f>
        <v>0.31849103359800773</v>
      </c>
      <c r="U17" s="25">
        <f>IF($G17="s-curve",$E17+($F17-$E17)*$X$2/(1+EXP($X$3*(COUNT($I$9:U$9)+$X$4))),TREND($E17:$F17,$E$9:$F$9,U$9))</f>
        <v>0.31645153276761123</v>
      </c>
      <c r="V17" s="25">
        <f>IF($G17="s-curve",$E17+($F17-$E17)*$X$2/(1+EXP($X$3*(COUNT($I$9:V$9)+$X$4))),TREND($E17:$F17,$E$9:$F$9,V$9))</f>
        <v>0.314319564</v>
      </c>
      <c r="W17" s="25">
        <f>IF($G17="s-curve",$E17+($F17-$E17)*$X$2/(1+EXP($X$3*(COUNT($I$9:W$9)+$X$4))),TREND($E17:$F17,$E$9:$F$9,W$9))</f>
        <v>0.31218759523238876</v>
      </c>
      <c r="X17" s="25">
        <f>IF($G17="s-curve",$E17+($F17-$E17)*$X$2/(1+EXP($X$3*(COUNT($I$9:X$9)+$X$4))),TREND($E17:$F17,$E$9:$F$9,X$9))</f>
        <v>0.31014809440199226</v>
      </c>
      <c r="Y17" s="25">
        <f>IF($G17="s-curve",$E17+($F17-$E17)*$X$2/(1+EXP($X$3*(COUNT($I$9:Y$9)+$X$4))),TREND($E17:$F17,$E$9:$F$9,Y$9))</f>
        <v>0.30827815419278615</v>
      </c>
      <c r="Z17" s="25">
        <f>IF($G17="s-curve",$E17+($F17-$E17)*$X$2/(1+EXP($X$3*(COUNT($I$9:Z$9)+$X$4))),TREND($E17:$F17,$E$9:$F$9,Z$9))</f>
        <v>0.30662924835419936</v>
      </c>
      <c r="AA17" s="25">
        <f>IF($G17="s-curve",$E17+($F17-$E17)*$X$2/(1+EXP($X$3*(COUNT($I$9:AA$9)+$X$4))),TREND($E17:$F17,$E$9:$F$9,AA$9))</f>
        <v>0.30522450792675726</v>
      </c>
      <c r="AB17" s="25">
        <f>IF($G17="s-curve",$E17+($F17-$E17)*$X$2/(1+EXP($X$3*(COUNT($I$9:AB$9)+$X$4))),TREND($E17:$F17,$E$9:$F$9,AB$9))</f>
        <v>0.30406249080462139</v>
      </c>
      <c r="AC17" s="25">
        <f>IF($G17="s-curve",$E17+($F17-$E17)*$X$2/(1+EXP($X$3*(COUNT($I$9:AC$9)+$X$4))),TREND($E17:$F17,$E$9:$F$9,AC$9))</f>
        <v>0.30312443782661425</v>
      </c>
      <c r="AD17" s="25">
        <f>IF($G17="s-curve",$E17+($F17-$E17)*$X$2/(1+EXP($X$3*(COUNT($I$9:AD$9)+$X$4))),TREND($E17:$F17,$E$9:$F$9,AD$9))</f>
        <v>0.30238199350099459</v>
      </c>
      <c r="AE17" s="25">
        <f>IF($G17="s-curve",$E17+($F17-$E17)*$X$2/(1+EXP($X$3*(COUNT($I$9:AE$9)+$X$4))),TREND($E17:$F17,$E$9:$F$9,AE$9))</f>
        <v>0.3018035020047059</v>
      </c>
      <c r="AF17" s="25">
        <f>IF($G17="s-curve",$E17+($F17-$E17)*$X$2/(1+EXP($X$3*(COUNT($I$9:AF$9)+$X$4))),TREND($E17:$F17,$E$9:$F$9,AF$9))</f>
        <v>0.30135823565244407</v>
      </c>
      <c r="AG17" s="25">
        <f>IF($G17="s-curve",$E17+($F17-$E17)*$X$2/(1+EXP($X$3*(COUNT($I$9:AG$9)+$X$4))),TREND($E17:$F17,$E$9:$F$9,AG$9))</f>
        <v>0.30101872784269124</v>
      </c>
      <c r="AH17" s="25">
        <f>IF($G17="s-curve",$E17+($F17-$E17)*$X$2/(1+EXP($X$3*(COUNT($I$9:AH$9)+$X$4))),TREND($E17:$F17,$E$9:$F$9,AH$9))</f>
        <v>0.30076171470346302</v>
      </c>
      <c r="AI17" s="25">
        <f>IF($G17="s-curve",$E17+($F17-$E17)*$X$2/(1+EXP($X$3*(COUNT($I$9:AI$9)+$X$4))),TREND($E17:$F17,$E$9:$F$9,AI$9))</f>
        <v>0.30056820905547738</v>
      </c>
    </row>
    <row r="18" spans="1:35" x14ac:dyDescent="0.25">
      <c r="C18" t="s">
        <v>38</v>
      </c>
      <c r="D18">
        <v>0.250478074</v>
      </c>
      <c r="E18">
        <v>0.250478074</v>
      </c>
      <c r="F18" s="16">
        <f>E18</f>
        <v>0.250478074</v>
      </c>
      <c r="G18" s="5" t="s">
        <v>73</v>
      </c>
      <c r="I18" s="16">
        <f t="shared" si="2"/>
        <v>0.250478074</v>
      </c>
      <c r="J18" s="16">
        <f t="shared" ref="J18:J37" si="3">E18</f>
        <v>0.250478074</v>
      </c>
      <c r="K18">
        <f>IF($G18="s-curve",$E18+($F18-$E18)*$I$2/(1+EXP($I$3*(COUNT($I$9:K$9)+$I$4))),TREND($E18:$F18,$E$9:$F$9,K$9))</f>
        <v>0.250478074</v>
      </c>
      <c r="L18">
        <f>IF($G18="s-curve",$E18+($F18-$E18)*$I$2/(1+EXP($I$3*(COUNT($I$9:L$9)+$I$4))),TREND($E18:$F18,$E$9:$F$9,L$9))</f>
        <v>0.250478074</v>
      </c>
      <c r="M18">
        <f>IF($G18="s-curve",$E18+($F18-$E18)*$I$2/(1+EXP($I$3*(COUNT($I$9:M$9)+$I$4))),TREND($E18:$F18,$E$9:$F$9,M$9))</f>
        <v>0.250478074</v>
      </c>
      <c r="N18">
        <f>IF($G18="s-curve",$E18+($F18-$E18)*$I$2/(1+EXP($I$3*(COUNT($I$9:N$9)+$I$4))),TREND($E18:$F18,$E$9:$F$9,N$9))</f>
        <v>0.250478074</v>
      </c>
      <c r="O18">
        <f>IF($G18="s-curve",$E18+($F18-$E18)*$I$2/(1+EXP($I$3*(COUNT($I$9:O$9)+$I$4))),TREND($E18:$F18,$E$9:$F$9,O$9))</f>
        <v>0.250478074</v>
      </c>
      <c r="P18">
        <f>IF($G18="s-curve",$E18+($F18-$E18)*$I$2/(1+EXP($I$3*(COUNT($I$9:P$9)+$I$4))),TREND($E18:$F18,$E$9:$F$9,P$9))</f>
        <v>0.250478074</v>
      </c>
      <c r="Q18">
        <f>IF($G18="s-curve",$E18+($F18-$E18)*$I$2/(1+EXP($I$3*(COUNT($I$9:Q$9)+$I$4))),TREND($E18:$F18,$E$9:$F$9,Q$9))</f>
        <v>0.250478074</v>
      </c>
      <c r="R18">
        <f>IF($G18="s-curve",$E18+($F18-$E18)*$I$2/(1+EXP($I$3*(COUNT($I$9:R$9)+$I$4))),TREND($E18:$F18,$E$9:$F$9,R$9))</f>
        <v>0.250478074</v>
      </c>
      <c r="S18">
        <f>IF($G18="s-curve",$E18+($F18-$E18)*$I$2/(1+EXP($I$3*(COUNT($I$9:S$9)+$I$4))),TREND($E18:$F18,$E$9:$F$9,S$9))</f>
        <v>0.250478074</v>
      </c>
      <c r="T18">
        <f>IF($G18="s-curve",$E18+($F18-$E18)*$I$2/(1+EXP($I$3*(COUNT($I$9:T$9)+$I$4))),TREND($E18:$F18,$E$9:$F$9,T$9))</f>
        <v>0.250478074</v>
      </c>
      <c r="U18">
        <f>IF($G18="s-curve",$E18+($F18-$E18)*$I$2/(1+EXP($I$3*(COUNT($I$9:U$9)+$I$4))),TREND($E18:$F18,$E$9:$F$9,U$9))</f>
        <v>0.250478074</v>
      </c>
      <c r="V18">
        <f>IF($G18="s-curve",$E18+($F18-$E18)*$I$2/(1+EXP($I$3*(COUNT($I$9:V$9)+$I$4))),TREND($E18:$F18,$E$9:$F$9,V$9))</f>
        <v>0.250478074</v>
      </c>
      <c r="W18">
        <f>IF($G18="s-curve",$E18+($F18-$E18)*$I$2/(1+EXP($I$3*(COUNT($I$9:W$9)+$I$4))),TREND($E18:$F18,$E$9:$F$9,W$9))</f>
        <v>0.250478074</v>
      </c>
      <c r="X18">
        <f>IF($G18="s-curve",$E18+($F18-$E18)*$I$2/(1+EXP($I$3*(COUNT($I$9:X$9)+$I$4))),TREND($E18:$F18,$E$9:$F$9,X$9))</f>
        <v>0.250478074</v>
      </c>
      <c r="Y18">
        <f>IF($G18="s-curve",$E18+($F18-$E18)*$I$2/(1+EXP($I$3*(COUNT($I$9:Y$9)+$I$4))),TREND($E18:$F18,$E$9:$F$9,Y$9))</f>
        <v>0.250478074</v>
      </c>
      <c r="Z18">
        <f>IF($G18="s-curve",$E18+($F18-$E18)*$I$2/(1+EXP($I$3*(COUNT($I$9:Z$9)+$I$4))),TREND($E18:$F18,$E$9:$F$9,Z$9))</f>
        <v>0.250478074</v>
      </c>
      <c r="AA18">
        <f>IF($G18="s-curve",$E18+($F18-$E18)*$I$2/(1+EXP($I$3*(COUNT($I$9:AA$9)+$I$4))),TREND($E18:$F18,$E$9:$F$9,AA$9))</f>
        <v>0.250478074</v>
      </c>
      <c r="AB18">
        <f>IF($G18="s-curve",$E18+($F18-$E18)*$I$2/(1+EXP($I$3*(COUNT($I$9:AB$9)+$I$4))),TREND($E18:$F18,$E$9:$F$9,AB$9))</f>
        <v>0.250478074</v>
      </c>
      <c r="AC18">
        <f>IF($G18="s-curve",$E18+($F18-$E18)*$I$2/(1+EXP($I$3*(COUNT($I$9:AC$9)+$I$4))),TREND($E18:$F18,$E$9:$F$9,AC$9))</f>
        <v>0.250478074</v>
      </c>
      <c r="AD18">
        <f>IF($G18="s-curve",$E18+($F18-$E18)*$I$2/(1+EXP($I$3*(COUNT($I$9:AD$9)+$I$4))),TREND($E18:$F18,$E$9:$F$9,AD$9))</f>
        <v>0.250478074</v>
      </c>
      <c r="AE18">
        <f>IF($G18="s-curve",$E18+($F18-$E18)*$I$2/(1+EXP($I$3*(COUNT($I$9:AE$9)+$I$4))),TREND($E18:$F18,$E$9:$F$9,AE$9))</f>
        <v>0.250478074</v>
      </c>
      <c r="AF18">
        <f>IF($G18="s-curve",$E18+($F18-$E18)*$I$2/(1+EXP($I$3*(COUNT($I$9:AF$9)+$I$4))),TREND($E18:$F18,$E$9:$F$9,AF$9))</f>
        <v>0.250478074</v>
      </c>
      <c r="AG18">
        <f>IF($G18="s-curve",$E18+($F18-$E18)*$I$2/(1+EXP($I$3*(COUNT($I$9:AG$9)+$I$4))),TREND($E18:$F18,$E$9:$F$9,AG$9))</f>
        <v>0.250478074</v>
      </c>
      <c r="AH18">
        <f>IF($G18="s-curve",$E18+($F18-$E18)*$I$2/(1+EXP($I$3*(COUNT($I$9:AH$9)+$I$4))),TREND($E18:$F18,$E$9:$F$9,AH$9))</f>
        <v>0.250478074</v>
      </c>
      <c r="AI18">
        <f>IF($G18="s-curve",$E18+($F18-$E18)*$I$2/(1+EXP($I$3*(COUNT($I$9:AI$9)+$I$4))),TREND($E18:$F18,$E$9:$F$9,AI$9))</f>
        <v>0.250478074</v>
      </c>
    </row>
    <row r="19" spans="1:35" x14ac:dyDescent="0.25">
      <c r="C19" t="s">
        <v>39</v>
      </c>
      <c r="D19">
        <v>0.76148265500000001</v>
      </c>
      <c r="E19">
        <v>0.76148265500000001</v>
      </c>
      <c r="F19" s="16">
        <f>E19</f>
        <v>0.76148265500000001</v>
      </c>
      <c r="G19" s="5" t="str">
        <f>IF(E19=F19,"n/a",IF(OR(C19="battery electric vehicle",C19="natural gas vehicle",C19="plugin hybrid vehicle"),"s-curve","linear"))</f>
        <v>n/a</v>
      </c>
      <c r="I19" s="16">
        <f t="shared" si="2"/>
        <v>0.76148265500000001</v>
      </c>
      <c r="J19" s="16">
        <f t="shared" si="3"/>
        <v>0.76148265500000001</v>
      </c>
      <c r="K19">
        <f>IF($G19="s-curve",$E19+($F19-$E19)*$I$2/(1+EXP($I$3*(COUNT($I$9:K$9)+$I$4))),TREND($E19:$F19,$E$9:$F$9,K$9))</f>
        <v>0.76148265500000001</v>
      </c>
      <c r="L19">
        <f>IF($G19="s-curve",$E19+($F19-$E19)*$I$2/(1+EXP($I$3*(COUNT($I$9:L$9)+$I$4))),TREND($E19:$F19,$E$9:$F$9,L$9))</f>
        <v>0.76148265500000001</v>
      </c>
      <c r="M19">
        <f>IF($G19="s-curve",$E19+($F19-$E19)*$I$2/(1+EXP($I$3*(COUNT($I$9:M$9)+$I$4))),TREND($E19:$F19,$E$9:$F$9,M$9))</f>
        <v>0.76148265500000001</v>
      </c>
      <c r="N19">
        <f>IF($G19="s-curve",$E19+($F19-$E19)*$I$2/(1+EXP($I$3*(COUNT($I$9:N$9)+$I$4))),TREND($E19:$F19,$E$9:$F$9,N$9))</f>
        <v>0.76148265500000001</v>
      </c>
      <c r="O19">
        <f>IF($G19="s-curve",$E19+($F19-$E19)*$I$2/(1+EXP($I$3*(COUNT($I$9:O$9)+$I$4))),TREND($E19:$F19,$E$9:$F$9,O$9))</f>
        <v>0.76148265500000001</v>
      </c>
      <c r="P19">
        <f>IF($G19="s-curve",$E19+($F19-$E19)*$I$2/(1+EXP($I$3*(COUNT($I$9:P$9)+$I$4))),TREND($E19:$F19,$E$9:$F$9,P$9))</f>
        <v>0.76148265500000001</v>
      </c>
      <c r="Q19">
        <f>IF($G19="s-curve",$E19+($F19-$E19)*$I$2/(1+EXP($I$3*(COUNT($I$9:Q$9)+$I$4))),TREND($E19:$F19,$E$9:$F$9,Q$9))</f>
        <v>0.76148265500000001</v>
      </c>
      <c r="R19">
        <f>IF($G19="s-curve",$E19+($F19-$E19)*$I$2/(1+EXP($I$3*(COUNT($I$9:R$9)+$I$4))),TREND($E19:$F19,$E$9:$F$9,R$9))</f>
        <v>0.76148265500000001</v>
      </c>
      <c r="S19">
        <f>IF($G19="s-curve",$E19+($F19-$E19)*$I$2/(1+EXP($I$3*(COUNT($I$9:S$9)+$I$4))),TREND($E19:$F19,$E$9:$F$9,S$9))</f>
        <v>0.76148265500000001</v>
      </c>
      <c r="T19">
        <f>IF($G19="s-curve",$E19+($F19-$E19)*$I$2/(1+EXP($I$3*(COUNT($I$9:T$9)+$I$4))),TREND($E19:$F19,$E$9:$F$9,T$9))</f>
        <v>0.76148265500000001</v>
      </c>
      <c r="U19">
        <f>IF($G19="s-curve",$E19+($F19-$E19)*$I$2/(1+EXP($I$3*(COUNT($I$9:U$9)+$I$4))),TREND($E19:$F19,$E$9:$F$9,U$9))</f>
        <v>0.76148265500000001</v>
      </c>
      <c r="V19">
        <f>IF($G19="s-curve",$E19+($F19-$E19)*$I$2/(1+EXP($I$3*(COUNT($I$9:V$9)+$I$4))),TREND($E19:$F19,$E$9:$F$9,V$9))</f>
        <v>0.76148265500000001</v>
      </c>
      <c r="W19">
        <f>IF($G19="s-curve",$E19+($F19-$E19)*$I$2/(1+EXP($I$3*(COUNT($I$9:W$9)+$I$4))),TREND($E19:$F19,$E$9:$F$9,W$9))</f>
        <v>0.76148265500000001</v>
      </c>
      <c r="X19">
        <f>IF($G19="s-curve",$E19+($F19-$E19)*$I$2/(1+EXP($I$3*(COUNT($I$9:X$9)+$I$4))),TREND($E19:$F19,$E$9:$F$9,X$9))</f>
        <v>0.76148265500000001</v>
      </c>
      <c r="Y19">
        <f>IF($G19="s-curve",$E19+($F19-$E19)*$I$2/(1+EXP($I$3*(COUNT($I$9:Y$9)+$I$4))),TREND($E19:$F19,$E$9:$F$9,Y$9))</f>
        <v>0.76148265500000001</v>
      </c>
      <c r="Z19">
        <f>IF($G19="s-curve",$E19+($F19-$E19)*$I$2/(1+EXP($I$3*(COUNT($I$9:Z$9)+$I$4))),TREND($E19:$F19,$E$9:$F$9,Z$9))</f>
        <v>0.76148265500000001</v>
      </c>
      <c r="AA19">
        <f>IF($G19="s-curve",$E19+($F19-$E19)*$I$2/(1+EXP($I$3*(COUNT($I$9:AA$9)+$I$4))),TREND($E19:$F19,$E$9:$F$9,AA$9))</f>
        <v>0.76148265500000001</v>
      </c>
      <c r="AB19">
        <f>IF($G19="s-curve",$E19+($F19-$E19)*$I$2/(1+EXP($I$3*(COUNT($I$9:AB$9)+$I$4))),TREND($E19:$F19,$E$9:$F$9,AB$9))</f>
        <v>0.76148265500000001</v>
      </c>
      <c r="AC19">
        <f>IF($G19="s-curve",$E19+($F19-$E19)*$I$2/(1+EXP($I$3*(COUNT($I$9:AC$9)+$I$4))),TREND($E19:$F19,$E$9:$F$9,AC$9))</f>
        <v>0.76148265500000001</v>
      </c>
      <c r="AD19">
        <f>IF($G19="s-curve",$E19+($F19-$E19)*$I$2/(1+EXP($I$3*(COUNT($I$9:AD$9)+$I$4))),TREND($E19:$F19,$E$9:$F$9,AD$9))</f>
        <v>0.76148265500000001</v>
      </c>
      <c r="AE19">
        <f>IF($G19="s-curve",$E19+($F19-$E19)*$I$2/(1+EXP($I$3*(COUNT($I$9:AE$9)+$I$4))),TREND($E19:$F19,$E$9:$F$9,AE$9))</f>
        <v>0.76148265500000001</v>
      </c>
      <c r="AF19">
        <f>IF($G19="s-curve",$E19+($F19-$E19)*$I$2/(1+EXP($I$3*(COUNT($I$9:AF$9)+$I$4))),TREND($E19:$F19,$E$9:$F$9,AF$9))</f>
        <v>0.76148265500000001</v>
      </c>
      <c r="AG19">
        <f>IF($G19="s-curve",$E19+($F19-$E19)*$I$2/(1+EXP($I$3*(COUNT($I$9:AG$9)+$I$4))),TREND($E19:$F19,$E$9:$F$9,AG$9))</f>
        <v>0.76148265500000001</v>
      </c>
      <c r="AH19">
        <f>IF($G19="s-curve",$E19+($F19-$E19)*$I$2/(1+EXP($I$3*(COUNT($I$9:AH$9)+$I$4))),TREND($E19:$F19,$E$9:$F$9,AH$9))</f>
        <v>0.76148265500000001</v>
      </c>
      <c r="AI19">
        <f>IF($G19="s-curve",$E19+($F19-$E19)*$I$2/(1+EXP($I$3*(COUNT($I$9:AI$9)+$I$4))),TREND($E19:$F19,$E$9:$F$9,AI$9))</f>
        <v>0.76148265500000001</v>
      </c>
    </row>
    <row r="20" spans="1:35" x14ac:dyDescent="0.25">
      <c r="C20" t="s">
        <v>40</v>
      </c>
      <c r="D20">
        <v>1</v>
      </c>
      <c r="E20">
        <v>1</v>
      </c>
      <c r="F20" s="24">
        <v>1</v>
      </c>
      <c r="G20" s="5" t="str">
        <f>IF(E20=F20,"n/a",IF(OR(C20="battery electric vehicle",C20="natural gas vehicle",C20="plugin hybrid vehicle"),"s-curve","linear"))</f>
        <v>n/a</v>
      </c>
      <c r="I20" s="16">
        <f t="shared" si="2"/>
        <v>1</v>
      </c>
      <c r="J20" s="16">
        <f t="shared" si="3"/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25">
      <c r="C21" t="s">
        <v>41</v>
      </c>
      <c r="D21">
        <v>1.003192E-3</v>
      </c>
      <c r="E21">
        <v>1.003192E-3</v>
      </c>
      <c r="F21" s="16">
        <v>1.235708268868196E-3</v>
      </c>
      <c r="G21" s="5" t="s">
        <v>74</v>
      </c>
      <c r="I21" s="16">
        <f t="shared" si="2"/>
        <v>1.003192E-3</v>
      </c>
      <c r="J21" s="16">
        <f t="shared" si="3"/>
        <v>1.003192E-3</v>
      </c>
      <c r="K21">
        <f>IF($G21="s-curve",$E21+($F21-$E21)*$X$2/(1+EXP($X$3*(COUNT($I$9:K$9)+$X$4))),TREND($E21:$F21,$E$9:$F$9,K$9))</f>
        <v>1.0114628802088777E-3</v>
      </c>
      <c r="L21">
        <f>IF($G21="s-curve",$E21+($F21-$E21)*$X$2/(1+EXP($X$3*(COUNT($I$9:L$9)+$X$4))),TREND($E21:$F21,$E$9:$F$9,L$9))</f>
        <v>1.0142192870790641E-3</v>
      </c>
      <c r="M21">
        <f>IF($G21="s-curve",$E21+($F21-$E21)*$X$2/(1+EXP($X$3*(COUNT($I$9:M$9)+$X$4))),TREND($E21:$F21,$E$9:$F$9,M$9))</f>
        <v>1.0178343297884813E-3</v>
      </c>
      <c r="N21">
        <f>IF($G21="s-curve",$E21+($F21-$E21)*$X$2/(1+EXP($X$3*(COUNT($I$9:N$9)+$X$4))),TREND($E21:$F21,$E$9:$F$9,N$9))</f>
        <v>1.0225310050604737E-3</v>
      </c>
      <c r="O21">
        <f>IF($G21="s-curve",$E21+($F21-$E21)*$X$2/(1+EXP($X$3*(COUNT($I$9:O$9)+$X$4))),TREND($E21:$F21,$E$9:$F$9,O$9))</f>
        <v>1.0285587858097846E-3</v>
      </c>
      <c r="P21">
        <f>IF($G21="s-curve",$E21+($F21-$E21)*$X$2/(1+EXP($X$3*(COUNT($I$9:P$9)+$X$4))),TREND($E21:$F21,$E$9:$F$9,P$9))</f>
        <v>1.0361746803456418E-3</v>
      </c>
      <c r="Q21">
        <f>IF($G21="s-curve",$E21+($F21-$E21)*$X$2/(1+EXP($X$3*(COUNT($I$9:Q$9)+$X$4))),TREND($E21:$F21,$E$9:$F$9,Q$9))</f>
        <v>1.0456089021417803E-3</v>
      </c>
      <c r="R21">
        <f>IF($G21="s-curve",$E21+($F21-$E21)*$X$2/(1+EXP($X$3*(COUNT($I$9:R$9)+$X$4))),TREND($E21:$F21,$E$9:$F$9,R$9))</f>
        <v>1.0570137536762662E-3</v>
      </c>
      <c r="S21">
        <f>IF($G21="s-curve",$E21+($F21-$E21)*$X$2/(1+EXP($X$3*(COUNT($I$9:S$9)+$X$4))),TREND($E21:$F21,$E$9:$F$9,S$9))</f>
        <v>1.0704009431641303E-3</v>
      </c>
      <c r="T21">
        <f>IF($G21="s-curve",$E21+($F21-$E21)*$X$2/(1+EXP($X$3*(COUNT($I$9:T$9)+$X$4))),TREND($E21:$F21,$E$9:$F$9,T$9))</f>
        <v>1.0855826735733526E-3</v>
      </c>
      <c r="U21">
        <f>IF($G21="s-curve",$E21+($F21-$E21)*$X$2/(1+EXP($X$3*(COUNT($I$9:U$9)+$X$4))),TREND($E21:$F21,$E$9:$F$9,U$9))</f>
        <v>1.1021410381798931E-3</v>
      </c>
      <c r="V21">
        <f>IF($G21="s-curve",$E21+($F21-$E21)*$X$2/(1+EXP($X$3*(COUNT($I$9:V$9)+$X$4))),TREND($E21:$F21,$E$9:$F$9,V$9))</f>
        <v>1.1194501344340981E-3</v>
      </c>
      <c r="W21">
        <f>IF($G21="s-curve",$E21+($F21-$E21)*$X$2/(1+EXP($X$3*(COUNT($I$9:W$9)+$X$4))),TREND($E21:$F21,$E$9:$F$9,W$9))</f>
        <v>1.1367592306883029E-3</v>
      </c>
      <c r="X21">
        <f>IF($G21="s-curve",$E21+($F21-$E21)*$X$2/(1+EXP($X$3*(COUNT($I$9:X$9)+$X$4))),TREND($E21:$F21,$E$9:$F$9,X$9))</f>
        <v>1.1533175952948434E-3</v>
      </c>
      <c r="Y21">
        <f>IF($G21="s-curve",$E21+($F21-$E21)*$X$2/(1+EXP($X$3*(COUNT($I$9:Y$9)+$X$4))),TREND($E21:$F21,$E$9:$F$9,Y$9))</f>
        <v>1.1684993257040656E-3</v>
      </c>
      <c r="Z21">
        <f>IF($G21="s-curve",$E21+($F21-$E21)*$X$2/(1+EXP($X$3*(COUNT($I$9:Z$9)+$X$4))),TREND($E21:$F21,$E$9:$F$9,Z$9))</f>
        <v>1.1818865151919297E-3</v>
      </c>
      <c r="AA21">
        <f>IF($G21="s-curve",$E21+($F21-$E21)*$X$2/(1+EXP($X$3*(COUNT($I$9:AA$9)+$X$4))),TREND($E21:$F21,$E$9:$F$9,AA$9))</f>
        <v>1.1932913667264157E-3</v>
      </c>
      <c r="AB21">
        <f>IF($G21="s-curve",$E21+($F21-$E21)*$X$2/(1+EXP($X$3*(COUNT($I$9:AB$9)+$X$4))),TREND($E21:$F21,$E$9:$F$9,AB$9))</f>
        <v>1.2027255885225542E-3</v>
      </c>
      <c r="AC21">
        <f>IF($G21="s-curve",$E21+($F21-$E21)*$X$2/(1+EXP($X$3*(COUNT($I$9:AC$9)+$X$4))),TREND($E21:$F21,$E$9:$F$9,AC$9))</f>
        <v>1.2103414830584114E-3</v>
      </c>
      <c r="AD21">
        <f>IF($G21="s-curve",$E21+($F21-$E21)*$X$2/(1+EXP($X$3*(COUNT($I$9:AD$9)+$X$4))),TREND($E21:$F21,$E$9:$F$9,AD$9))</f>
        <v>1.2163692638077223E-3</v>
      </c>
      <c r="AE21">
        <f>IF($G21="s-curve",$E21+($F21-$E21)*$X$2/(1+EXP($X$3*(COUNT($I$9:AE$9)+$X$4))),TREND($E21:$F21,$E$9:$F$9,AE$9))</f>
        <v>1.2210659390797147E-3</v>
      </c>
      <c r="AF21">
        <f>IF($G21="s-curve",$E21+($F21-$E21)*$X$2/(1+EXP($X$3*(COUNT($I$9:AF$9)+$X$4))),TREND($E21:$F21,$E$9:$F$9,AF$9))</f>
        <v>1.2246809817891319E-3</v>
      </c>
      <c r="AG21">
        <f>IF($G21="s-curve",$E21+($F21-$E21)*$X$2/(1+EXP($X$3*(COUNT($I$9:AG$9)+$X$4))),TREND($E21:$F21,$E$9:$F$9,AG$9))</f>
        <v>1.2274373886593183E-3</v>
      </c>
      <c r="AH21">
        <f>IF($G21="s-curve",$E21+($F21-$E21)*$X$2/(1+EXP($X$3*(COUNT($I$9:AH$9)+$X$4))),TREND($E21:$F21,$E$9:$F$9,AH$9))</f>
        <v>1.2295240351585918E-3</v>
      </c>
      <c r="AI21">
        <f>IF($G21="s-curve",$E21+($F21-$E21)*$X$2/(1+EXP($X$3*(COUNT($I$9:AI$9)+$X$4))),TREND($E21:$F21,$E$9:$F$9,AI$9))</f>
        <v>1.2310950750057041E-3</v>
      </c>
    </row>
    <row r="22" spans="1:35" x14ac:dyDescent="0.25">
      <c r="C22" t="s">
        <v>42</v>
      </c>
      <c r="D22">
        <v>6.0223199999999996E-4</v>
      </c>
      <c r="E22">
        <v>6.0223199999999996E-4</v>
      </c>
      <c r="F22" s="16">
        <f>E22</f>
        <v>6.0223199999999996E-4</v>
      </c>
      <c r="G22" s="5" t="str">
        <f>IF(E22=F22,"n/a",IF(OR(C22="battery electric vehicle",C22="natural gas vehicle",C22="plugin hybrid vehicle",C22="hydrogen vehicle"),"s-curve","linear"))</f>
        <v>n/a</v>
      </c>
      <c r="I22" s="16">
        <f t="shared" si="2"/>
        <v>6.0223199999999996E-4</v>
      </c>
      <c r="J22" s="16">
        <f t="shared" si="3"/>
        <v>6.0223199999999996E-4</v>
      </c>
      <c r="K22">
        <f>IF($G22="s-curve",$E22+($F22-$E22)*$I$2/(1+EXP($I$3*(COUNT($I$9:K$9)+$I$4))),TREND($E22:$F22,$E$9:$F$9,K$9))</f>
        <v>6.0223199999999996E-4</v>
      </c>
      <c r="L22">
        <f>IF($G22="s-curve",$E22+($F22-$E22)*$I$2/(1+EXP($I$3*(COUNT($I$9:L$9)+$I$4))),TREND($E22:$F22,$E$9:$F$9,L$9))</f>
        <v>6.0223199999999996E-4</v>
      </c>
      <c r="M22">
        <f>IF($G22="s-curve",$E22+($F22-$E22)*$I$2/(1+EXP($I$3*(COUNT($I$9:M$9)+$I$4))),TREND($E22:$F22,$E$9:$F$9,M$9))</f>
        <v>6.0223199999999996E-4</v>
      </c>
      <c r="N22">
        <f>IF($G22="s-curve",$E22+($F22-$E22)*$I$2/(1+EXP($I$3*(COUNT($I$9:N$9)+$I$4))),TREND($E22:$F22,$E$9:$F$9,N$9))</f>
        <v>6.0223199999999996E-4</v>
      </c>
      <c r="O22">
        <f>IF($G22="s-curve",$E22+($F22-$E22)*$I$2/(1+EXP($I$3*(COUNT($I$9:O$9)+$I$4))),TREND($E22:$F22,$E$9:$F$9,O$9))</f>
        <v>6.0223199999999996E-4</v>
      </c>
      <c r="P22">
        <f>IF($G22="s-curve",$E22+($F22-$E22)*$I$2/(1+EXP($I$3*(COUNT($I$9:P$9)+$I$4))),TREND($E22:$F22,$E$9:$F$9,P$9))</f>
        <v>6.0223199999999996E-4</v>
      </c>
      <c r="Q22">
        <f>IF($G22="s-curve",$E22+($F22-$E22)*$I$2/(1+EXP($I$3*(COUNT($I$9:Q$9)+$I$4))),TREND($E22:$F22,$E$9:$F$9,Q$9))</f>
        <v>6.0223199999999996E-4</v>
      </c>
      <c r="R22">
        <f>IF($G22="s-curve",$E22+($F22-$E22)*$I$2/(1+EXP($I$3*(COUNT($I$9:R$9)+$I$4))),TREND($E22:$F22,$E$9:$F$9,R$9))</f>
        <v>6.0223199999999996E-4</v>
      </c>
      <c r="S22">
        <f>IF($G22="s-curve",$E22+($F22-$E22)*$I$2/(1+EXP($I$3*(COUNT($I$9:S$9)+$I$4))),TREND($E22:$F22,$E$9:$F$9,S$9))</f>
        <v>6.0223199999999996E-4</v>
      </c>
      <c r="T22">
        <f>IF($G22="s-curve",$E22+($F22-$E22)*$I$2/(1+EXP($I$3*(COUNT($I$9:T$9)+$I$4))),TREND($E22:$F22,$E$9:$F$9,T$9))</f>
        <v>6.0223199999999996E-4</v>
      </c>
      <c r="U22">
        <f>IF($G22="s-curve",$E22+($F22-$E22)*$I$2/(1+EXP($I$3*(COUNT($I$9:U$9)+$I$4))),TREND($E22:$F22,$E$9:$F$9,U$9))</f>
        <v>6.0223199999999996E-4</v>
      </c>
      <c r="V22">
        <f>IF($G22="s-curve",$E22+($F22-$E22)*$I$2/(1+EXP($I$3*(COUNT($I$9:V$9)+$I$4))),TREND($E22:$F22,$E$9:$F$9,V$9))</f>
        <v>6.0223199999999996E-4</v>
      </c>
      <c r="W22">
        <f>IF($G22="s-curve",$E22+($F22-$E22)*$I$2/(1+EXP($I$3*(COUNT($I$9:W$9)+$I$4))),TREND($E22:$F22,$E$9:$F$9,W$9))</f>
        <v>6.0223199999999996E-4</v>
      </c>
      <c r="X22">
        <f>IF($G22="s-curve",$E22+($F22-$E22)*$I$2/(1+EXP($I$3*(COUNT($I$9:X$9)+$I$4))),TREND($E22:$F22,$E$9:$F$9,X$9))</f>
        <v>6.0223199999999996E-4</v>
      </c>
      <c r="Y22">
        <f>IF($G22="s-curve",$E22+($F22-$E22)*$I$2/(1+EXP($I$3*(COUNT($I$9:Y$9)+$I$4))),TREND($E22:$F22,$E$9:$F$9,Y$9))</f>
        <v>6.0223199999999996E-4</v>
      </c>
      <c r="Z22">
        <f>IF($G22="s-curve",$E22+($F22-$E22)*$I$2/(1+EXP($I$3*(COUNT($I$9:Z$9)+$I$4))),TREND($E22:$F22,$E$9:$F$9,Z$9))</f>
        <v>6.0223199999999996E-4</v>
      </c>
      <c r="AA22">
        <f>IF($G22="s-curve",$E22+($F22-$E22)*$I$2/(1+EXP($I$3*(COUNT($I$9:AA$9)+$I$4))),TREND($E22:$F22,$E$9:$F$9,AA$9))</f>
        <v>6.0223199999999996E-4</v>
      </c>
      <c r="AB22">
        <f>IF($G22="s-curve",$E22+($F22-$E22)*$I$2/(1+EXP($I$3*(COUNT($I$9:AB$9)+$I$4))),TREND($E22:$F22,$E$9:$F$9,AB$9))</f>
        <v>6.0223199999999996E-4</v>
      </c>
      <c r="AC22">
        <f>IF($G22="s-curve",$E22+($F22-$E22)*$I$2/(1+EXP($I$3*(COUNT($I$9:AC$9)+$I$4))),TREND($E22:$F22,$E$9:$F$9,AC$9))</f>
        <v>6.0223199999999996E-4</v>
      </c>
      <c r="AD22">
        <f>IF($G22="s-curve",$E22+($F22-$E22)*$I$2/(1+EXP($I$3*(COUNT($I$9:AD$9)+$I$4))),TREND($E22:$F22,$E$9:$F$9,AD$9))</f>
        <v>6.0223199999999996E-4</v>
      </c>
      <c r="AE22">
        <f>IF($G22="s-curve",$E22+($F22-$E22)*$I$2/(1+EXP($I$3*(COUNT($I$9:AE$9)+$I$4))),TREND($E22:$F22,$E$9:$F$9,AE$9))</f>
        <v>6.0223199999999996E-4</v>
      </c>
      <c r="AF22">
        <f>IF($G22="s-curve",$E22+($F22-$E22)*$I$2/(1+EXP($I$3*(COUNT($I$9:AF$9)+$I$4))),TREND($E22:$F22,$E$9:$F$9,AF$9))</f>
        <v>6.0223199999999996E-4</v>
      </c>
      <c r="AG22">
        <f>IF($G22="s-curve",$E22+($F22-$E22)*$I$2/(1+EXP($I$3*(COUNT($I$9:AG$9)+$I$4))),TREND($E22:$F22,$E$9:$F$9,AG$9))</f>
        <v>6.0223199999999996E-4</v>
      </c>
      <c r="AH22">
        <f>IF($G22="s-curve",$E22+($F22-$E22)*$I$2/(1+EXP($I$3*(COUNT($I$9:AH$9)+$I$4))),TREND($E22:$F22,$E$9:$F$9,AH$9))</f>
        <v>6.0223199999999996E-4</v>
      </c>
      <c r="AI22">
        <f>IF($G22="s-curve",$E22+($F22-$E22)*$I$2/(1+EXP($I$3*(COUNT($I$9:AI$9)+$I$4))),TREND($E22:$F22,$E$9:$F$9,AI$9))</f>
        <v>6.0223199999999996E-4</v>
      </c>
    </row>
    <row r="23" spans="1:35" ht="15.75" customHeight="1" thickBot="1" x14ac:dyDescent="0.3">
      <c r="A23" s="17"/>
      <c r="B23" s="17"/>
      <c r="C23" s="17" t="s">
        <v>43</v>
      </c>
      <c r="D23" s="20">
        <v>0</v>
      </c>
      <c r="E23" s="6">
        <v>0</v>
      </c>
      <c r="F23" s="20">
        <f>E23</f>
        <v>0</v>
      </c>
      <c r="G23" s="6" t="str">
        <f>IF(E23=F23,"n/a",IF(OR(C23="battery electric vehicle",C23="natural gas vehicle",C23="plugin hybrid vehicle",C23="hydrogen vehicle"),"s-curve","linear"))</f>
        <v>n/a</v>
      </c>
      <c r="I23" s="16">
        <f t="shared" si="2"/>
        <v>0</v>
      </c>
      <c r="J23" s="16">
        <f t="shared" si="3"/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25">
      <c r="A24" t="s">
        <v>45</v>
      </c>
      <c r="B24" t="s">
        <v>71</v>
      </c>
      <c r="C24" t="s">
        <v>37</v>
      </c>
      <c r="D24">
        <v>0.12184009799999999</v>
      </c>
      <c r="E24">
        <v>0.12184009799999999</v>
      </c>
      <c r="F24" s="26">
        <v>0.75</v>
      </c>
      <c r="G24" s="5" t="str">
        <f>IF(E24=F24,"n/a",IF(OR(C24="battery electric vehicle",C24="natural gas vehicle",C24="plugin hybrid vehicle"),"s-curve","linear"))</f>
        <v>s-curve</v>
      </c>
      <c r="I24" s="16">
        <f t="shared" si="2"/>
        <v>0.12184009799999999</v>
      </c>
      <c r="J24" s="16">
        <f t="shared" si="3"/>
        <v>0.12184009799999999</v>
      </c>
      <c r="K24">
        <f>IF($G24="s-curve",$E24+($F24-$E24)*$X$2/(1+EXP($X$3*(COUNT($I$9:K$9)+$X$4))),TREND($E24:$F24,$E$9:$F$9,K$9))</f>
        <v>0.1441844927675226</v>
      </c>
      <c r="L24">
        <f>IF($G24="s-curve",$E24+($F24-$E24)*$X$2/(1+EXP($X$3*(COUNT($I$9:L$9)+$X$4))),TREND($E24:$F24,$E$9:$F$9,L$9))</f>
        <v>0.15163112984748478</v>
      </c>
      <c r="M24">
        <f>IF($G24="s-curve",$E24+($F24-$E24)*$X$2/(1+EXP($X$3*(COUNT($I$9:M$9)+$X$4))),TREND($E24:$F24,$E$9:$F$9,M$9))</f>
        <v>0.16139743516937402</v>
      </c>
      <c r="N24">
        <f>IF($G24="s-curve",$E24+($F24-$E24)*$X$2/(1+EXP($X$3*(COUNT($I$9:N$9)+$X$4))),TREND($E24:$F24,$E$9:$F$9,N$9))</f>
        <v>0.17408585087869802</v>
      </c>
      <c r="O24">
        <f>IF($G24="s-curve",$E24+($F24-$E24)*$X$2/(1+EXP($X$3*(COUNT($I$9:O$9)+$X$4))),TREND($E24:$F24,$E$9:$F$9,O$9))</f>
        <v>0.19037034651074775</v>
      </c>
      <c r="P24">
        <f>IF($G24="s-curve",$E24+($F24-$E24)*$X$2/(1+EXP($X$3*(COUNT($I$9:P$9)+$X$4))),TREND($E24:$F24,$E$9:$F$9,P$9))</f>
        <v>0.21094524902648606</v>
      </c>
      <c r="Q24">
        <f>IF($G24="s-curve",$E24+($F24-$E24)*$X$2/(1+EXP($X$3*(COUNT($I$9:Q$9)+$X$4))),TREND($E24:$F24,$E$9:$F$9,Q$9))</f>
        <v>0.23643249715649947</v>
      </c>
      <c r="R24">
        <f>IF($G24="s-curve",$E24+($F24-$E24)*$X$2/(1+EXP($X$3*(COUNT($I$9:R$9)+$X$4))),TREND($E24:$F24,$E$9:$F$9,R$9))</f>
        <v>0.26724354731268585</v>
      </c>
      <c r="S24">
        <f>IF($G24="s-curve",$E24+($F24-$E24)*$X$2/(1+EXP($X$3*(COUNT($I$9:S$9)+$X$4))),TREND($E24:$F24,$E$9:$F$9,S$9))</f>
        <v>0.30341003010412881</v>
      </c>
      <c r="T24">
        <f>IF($G24="s-curve",$E24+($F24-$E24)*$X$2/(1+EXP($X$3*(COUNT($I$9:T$9)+$X$4))),TREND($E24:$F24,$E$9:$F$9,T$9))</f>
        <v>0.34442459795552233</v>
      </c>
      <c r="U24">
        <f>IF($G24="s-curve",$E24+($F24-$E24)*$X$2/(1+EXP($X$3*(COUNT($I$9:U$9)+$X$4))),TREND($E24:$F24,$E$9:$F$9,U$9))</f>
        <v>0.38915824493495493</v>
      </c>
      <c r="V24">
        <f>IF($G24="s-curve",$E24+($F24-$E24)*$X$2/(1+EXP($X$3*(COUNT($I$9:V$9)+$X$4))),TREND($E24:$F24,$E$9:$F$9,V$9))</f>
        <v>0.43592004900000003</v>
      </c>
      <c r="W24">
        <f>IF($G24="s-curve",$E24+($F24-$E24)*$X$2/(1+EXP($X$3*(COUNT($I$9:W$9)+$X$4))),TREND($E24:$F24,$E$9:$F$9,W$9))</f>
        <v>0.48268185306504513</v>
      </c>
      <c r="X24">
        <f>IF($G24="s-curve",$E24+($F24-$E24)*$X$2/(1+EXP($X$3*(COUNT($I$9:X$9)+$X$4))),TREND($E24:$F24,$E$9:$F$9,X$9))</f>
        <v>0.52741550004447768</v>
      </c>
      <c r="Y24">
        <f>IF($G24="s-curve",$E24+($F24-$E24)*$X$2/(1+EXP($X$3*(COUNT($I$9:Y$9)+$X$4))),TREND($E24:$F24,$E$9:$F$9,Y$9))</f>
        <v>0.56843006789587125</v>
      </c>
      <c r="Z24">
        <f>IF($G24="s-curve",$E24+($F24-$E24)*$X$2/(1+EXP($X$3*(COUNT($I$9:Z$9)+$X$4))),TREND($E24:$F24,$E$9:$F$9,Z$9))</f>
        <v>0.6045965506873141</v>
      </c>
      <c r="AA24">
        <f>IF($G24="s-curve",$E24+($F24-$E24)*$X$2/(1+EXP($X$3*(COUNT($I$9:AA$9)+$X$4))),TREND($E24:$F24,$E$9:$F$9,AA$9))</f>
        <v>0.63540760084350045</v>
      </c>
      <c r="AB24">
        <f>IF($G24="s-curve",$E24+($F24-$E24)*$X$2/(1+EXP($X$3*(COUNT($I$9:AB$9)+$X$4))),TREND($E24:$F24,$E$9:$F$9,AB$9))</f>
        <v>0.66089484897351403</v>
      </c>
      <c r="AC24">
        <f>IF($G24="s-curve",$E24+($F24-$E24)*$X$2/(1+EXP($X$3*(COUNT($I$9:AC$9)+$X$4))),TREND($E24:$F24,$E$9:$F$9,AC$9))</f>
        <v>0.68146975148925226</v>
      </c>
      <c r="AD24">
        <f>IF($G24="s-curve",$E24+($F24-$E24)*$X$2/(1+EXP($X$3*(COUNT($I$9:AD$9)+$X$4))),TREND($E24:$F24,$E$9:$F$9,AD$9))</f>
        <v>0.69775424712130196</v>
      </c>
      <c r="AE24">
        <f>IF($G24="s-curve",$E24+($F24-$E24)*$X$2/(1+EXP($X$3*(COUNT($I$9:AE$9)+$X$4))),TREND($E24:$F24,$E$9:$F$9,AE$9))</f>
        <v>0.71044266283062596</v>
      </c>
      <c r="AF24">
        <f>IF($G24="s-curve",$E24+($F24-$E24)*$X$2/(1+EXP($X$3*(COUNT($I$9:AF$9)+$X$4))),TREND($E24:$F24,$E$9:$F$9,AF$9))</f>
        <v>0.72020896815251523</v>
      </c>
      <c r="AG24">
        <f>IF($G24="s-curve",$E24+($F24-$E24)*$X$2/(1+EXP($X$3*(COUNT($I$9:AG$9)+$X$4))),TREND($E24:$F24,$E$9:$F$9,AG$9))</f>
        <v>0.72765560523247741</v>
      </c>
      <c r="AH24">
        <f>IF($G24="s-curve",$E24+($F24-$E24)*$X$2/(1+EXP($X$3*(COUNT($I$9:AH$9)+$X$4))),TREND($E24:$F24,$E$9:$F$9,AH$9))</f>
        <v>0.73329283512126131</v>
      </c>
      <c r="AI24">
        <f>IF($G24="s-curve",$E24+($F24-$E24)*$X$2/(1+EXP($X$3*(COUNT($I$9:AI$9)+$X$4))),TREND($E24:$F24,$E$9:$F$9,AI$9))</f>
        <v>0.73753711549443191</v>
      </c>
    </row>
    <row r="25" spans="1:35" x14ac:dyDescent="0.25">
      <c r="C25" t="s">
        <v>38</v>
      </c>
      <c r="D25">
        <v>1.5737247999999999E-2</v>
      </c>
      <c r="E25">
        <v>1.5737247999999999E-2</v>
      </c>
      <c r="F25" s="16">
        <f>E25</f>
        <v>1.5737247999999999E-2</v>
      </c>
      <c r="G25" s="5" t="str">
        <f>IF(E25=F25,"n/a",IF(OR(C25="battery electric vehicle",C25="natural gas vehicle",C25="plugin hybrid vehicle"),"s-curve","linear"))</f>
        <v>n/a</v>
      </c>
      <c r="I25" s="16">
        <f t="shared" si="2"/>
        <v>1.5737247999999999E-2</v>
      </c>
      <c r="J25" s="16">
        <f t="shared" si="3"/>
        <v>1.5737247999999999E-2</v>
      </c>
      <c r="K25">
        <f>IF($G25="s-curve",$E25+($F25-$E25)*$I$2/(1+EXP($I$3*(COUNT($I$9:K$9)+$I$4))),TREND($E25:$F25,$E$9:$F$9,K$9))</f>
        <v>1.5737247999999999E-2</v>
      </c>
      <c r="L25">
        <f>IF($G25="s-curve",$E25+($F25-$E25)*$I$2/(1+EXP($I$3*(COUNT($I$9:L$9)+$I$4))),TREND($E25:$F25,$E$9:$F$9,L$9))</f>
        <v>1.5737247999999999E-2</v>
      </c>
      <c r="M25">
        <f>IF($G25="s-curve",$E25+($F25-$E25)*$I$2/(1+EXP($I$3*(COUNT($I$9:M$9)+$I$4))),TREND($E25:$F25,$E$9:$F$9,M$9))</f>
        <v>1.5737247999999999E-2</v>
      </c>
      <c r="N25">
        <f>IF($G25="s-curve",$E25+($F25-$E25)*$I$2/(1+EXP($I$3*(COUNT($I$9:N$9)+$I$4))),TREND($E25:$F25,$E$9:$F$9,N$9))</f>
        <v>1.5737247999999999E-2</v>
      </c>
      <c r="O25">
        <f>IF($G25="s-curve",$E25+($F25-$E25)*$I$2/(1+EXP($I$3*(COUNT($I$9:O$9)+$I$4))),TREND($E25:$F25,$E$9:$F$9,O$9))</f>
        <v>1.5737247999999999E-2</v>
      </c>
      <c r="P25">
        <f>IF($G25="s-curve",$E25+($F25-$E25)*$I$2/(1+EXP($I$3*(COUNT($I$9:P$9)+$I$4))),TREND($E25:$F25,$E$9:$F$9,P$9))</f>
        <v>1.5737247999999999E-2</v>
      </c>
      <c r="Q25">
        <f>IF($G25="s-curve",$E25+($F25-$E25)*$I$2/(1+EXP($I$3*(COUNT($I$9:Q$9)+$I$4))),TREND($E25:$F25,$E$9:$F$9,Q$9))</f>
        <v>1.5737247999999999E-2</v>
      </c>
      <c r="R25">
        <f>IF($G25="s-curve",$E25+($F25-$E25)*$I$2/(1+EXP($I$3*(COUNT($I$9:R$9)+$I$4))),TREND($E25:$F25,$E$9:$F$9,R$9))</f>
        <v>1.5737247999999999E-2</v>
      </c>
      <c r="S25">
        <f>IF($G25="s-curve",$E25+($F25-$E25)*$I$2/(1+EXP($I$3*(COUNT($I$9:S$9)+$I$4))),TREND($E25:$F25,$E$9:$F$9,S$9))</f>
        <v>1.5737247999999999E-2</v>
      </c>
      <c r="T25">
        <f>IF($G25="s-curve",$E25+($F25-$E25)*$I$2/(1+EXP($I$3*(COUNT($I$9:T$9)+$I$4))),TREND($E25:$F25,$E$9:$F$9,T$9))</f>
        <v>1.5737247999999999E-2</v>
      </c>
      <c r="U25">
        <f>IF($G25="s-curve",$E25+($F25-$E25)*$I$2/(1+EXP($I$3*(COUNT($I$9:U$9)+$I$4))),TREND($E25:$F25,$E$9:$F$9,U$9))</f>
        <v>1.5737247999999999E-2</v>
      </c>
      <c r="V25">
        <f>IF($G25="s-curve",$E25+($F25-$E25)*$I$2/(1+EXP($I$3*(COUNT($I$9:V$9)+$I$4))),TREND($E25:$F25,$E$9:$F$9,V$9))</f>
        <v>1.5737247999999999E-2</v>
      </c>
      <c r="W25">
        <f>IF($G25="s-curve",$E25+($F25-$E25)*$I$2/(1+EXP($I$3*(COUNT($I$9:W$9)+$I$4))),TREND($E25:$F25,$E$9:$F$9,W$9))</f>
        <v>1.5737247999999999E-2</v>
      </c>
      <c r="X25">
        <f>IF($G25="s-curve",$E25+($F25-$E25)*$I$2/(1+EXP($I$3*(COUNT($I$9:X$9)+$I$4))),TREND($E25:$F25,$E$9:$F$9,X$9))</f>
        <v>1.5737247999999999E-2</v>
      </c>
      <c r="Y25">
        <f>IF($G25="s-curve",$E25+($F25-$E25)*$I$2/(1+EXP($I$3*(COUNT($I$9:Y$9)+$I$4))),TREND($E25:$F25,$E$9:$F$9,Y$9))</f>
        <v>1.5737247999999999E-2</v>
      </c>
      <c r="Z25">
        <f>IF($G25="s-curve",$E25+($F25-$E25)*$I$2/(1+EXP($I$3*(COUNT($I$9:Z$9)+$I$4))),TREND($E25:$F25,$E$9:$F$9,Z$9))</f>
        <v>1.5737247999999999E-2</v>
      </c>
      <c r="AA25">
        <f>IF($G25="s-curve",$E25+($F25-$E25)*$I$2/(1+EXP($I$3*(COUNT($I$9:AA$9)+$I$4))),TREND($E25:$F25,$E$9:$F$9,AA$9))</f>
        <v>1.5737247999999999E-2</v>
      </c>
      <c r="AB25">
        <f>IF($G25="s-curve",$E25+($F25-$E25)*$I$2/(1+EXP($I$3*(COUNT($I$9:AB$9)+$I$4))),TREND($E25:$F25,$E$9:$F$9,AB$9))</f>
        <v>1.5737247999999999E-2</v>
      </c>
      <c r="AC25">
        <f>IF($G25="s-curve",$E25+($F25-$E25)*$I$2/(1+EXP($I$3*(COUNT($I$9:AC$9)+$I$4))),TREND($E25:$F25,$E$9:$F$9,AC$9))</f>
        <v>1.5737247999999999E-2</v>
      </c>
      <c r="AD25">
        <f>IF($G25="s-curve",$E25+($F25-$E25)*$I$2/(1+EXP($I$3*(COUNT($I$9:AD$9)+$I$4))),TREND($E25:$F25,$E$9:$F$9,AD$9))</f>
        <v>1.5737247999999999E-2</v>
      </c>
      <c r="AE25">
        <f>IF($G25="s-curve",$E25+($F25-$E25)*$I$2/(1+EXP($I$3*(COUNT($I$9:AE$9)+$I$4))),TREND($E25:$F25,$E$9:$F$9,AE$9))</f>
        <v>1.5737247999999999E-2</v>
      </c>
      <c r="AF25">
        <f>IF($G25="s-curve",$E25+($F25-$E25)*$I$2/(1+EXP($I$3*(COUNT($I$9:AF$9)+$I$4))),TREND($E25:$F25,$E$9:$F$9,AF$9))</f>
        <v>1.5737247999999999E-2</v>
      </c>
      <c r="AG25">
        <f>IF($G25="s-curve",$E25+($F25-$E25)*$I$2/(1+EXP($I$3*(COUNT($I$9:AG$9)+$I$4))),TREND($E25:$F25,$E$9:$F$9,AG$9))</f>
        <v>1.5737247999999999E-2</v>
      </c>
      <c r="AH25">
        <f>IF($G25="s-curve",$E25+($F25-$E25)*$I$2/(1+EXP($I$3*(COUNT($I$9:AH$9)+$I$4))),TREND($E25:$F25,$E$9:$F$9,AH$9))</f>
        <v>1.5737247999999999E-2</v>
      </c>
      <c r="AI25">
        <f>IF($G25="s-curve",$E25+($F25-$E25)*$I$2/(1+EXP($I$3*(COUNT($I$9:AI$9)+$I$4))),TREND($E25:$F25,$E$9:$F$9,AI$9))</f>
        <v>1.5737247999999999E-2</v>
      </c>
    </row>
    <row r="26" spans="1:35" x14ac:dyDescent="0.25">
      <c r="C26" t="s">
        <v>39</v>
      </c>
      <c r="D26">
        <v>0.37956814</v>
      </c>
      <c r="E26">
        <v>0.37956814</v>
      </c>
      <c r="F26" s="16">
        <f>E26</f>
        <v>0.37956814</v>
      </c>
      <c r="G26" s="5" t="str">
        <f>IF(E26=F26,"n/a",IF(OR(C26="battery electric vehicle",C26="natural gas vehicle",C26="plugin hybrid vehicle"),"s-curve","linear"))</f>
        <v>n/a</v>
      </c>
      <c r="I26" s="16">
        <f t="shared" si="2"/>
        <v>0.37956814</v>
      </c>
      <c r="J26" s="16">
        <f t="shared" si="3"/>
        <v>0.37956814</v>
      </c>
      <c r="K26">
        <f>IF($G26="s-curve",$E26+($F26-$E26)*$I$2/(1+EXP($I$3*(COUNT($I$9:K$9)+$I$4))),TREND($E26:$F26,$E$9:$F$9,K$9))</f>
        <v>0.37956814</v>
      </c>
      <c r="L26">
        <f>IF($G26="s-curve",$E26+($F26-$E26)*$I$2/(1+EXP($I$3*(COUNT($I$9:L$9)+$I$4))),TREND($E26:$F26,$E$9:$F$9,L$9))</f>
        <v>0.37956814</v>
      </c>
      <c r="M26">
        <f>IF($G26="s-curve",$E26+($F26-$E26)*$I$2/(1+EXP($I$3*(COUNT($I$9:M$9)+$I$4))),TREND($E26:$F26,$E$9:$F$9,M$9))</f>
        <v>0.37956814</v>
      </c>
      <c r="N26">
        <f>IF($G26="s-curve",$E26+($F26-$E26)*$I$2/(1+EXP($I$3*(COUNT($I$9:N$9)+$I$4))),TREND($E26:$F26,$E$9:$F$9,N$9))</f>
        <v>0.37956814</v>
      </c>
      <c r="O26">
        <f>IF($G26="s-curve",$E26+($F26-$E26)*$I$2/(1+EXP($I$3*(COUNT($I$9:O$9)+$I$4))),TREND($E26:$F26,$E$9:$F$9,O$9))</f>
        <v>0.37956814</v>
      </c>
      <c r="P26">
        <f>IF($G26="s-curve",$E26+($F26-$E26)*$I$2/(1+EXP($I$3*(COUNT($I$9:P$9)+$I$4))),TREND($E26:$F26,$E$9:$F$9,P$9))</f>
        <v>0.37956814</v>
      </c>
      <c r="Q26">
        <f>IF($G26="s-curve",$E26+($F26-$E26)*$I$2/(1+EXP($I$3*(COUNT($I$9:Q$9)+$I$4))),TREND($E26:$F26,$E$9:$F$9,Q$9))</f>
        <v>0.37956814</v>
      </c>
      <c r="R26">
        <f>IF($G26="s-curve",$E26+($F26-$E26)*$I$2/(1+EXP($I$3*(COUNT($I$9:R$9)+$I$4))),TREND($E26:$F26,$E$9:$F$9,R$9))</f>
        <v>0.37956814</v>
      </c>
      <c r="S26">
        <f>IF($G26="s-curve",$E26+($F26-$E26)*$I$2/(1+EXP($I$3*(COUNT($I$9:S$9)+$I$4))),TREND($E26:$F26,$E$9:$F$9,S$9))</f>
        <v>0.37956814</v>
      </c>
      <c r="T26">
        <f>IF($G26="s-curve",$E26+($F26-$E26)*$I$2/(1+EXP($I$3*(COUNT($I$9:T$9)+$I$4))),TREND($E26:$F26,$E$9:$F$9,T$9))</f>
        <v>0.37956814</v>
      </c>
      <c r="U26">
        <f>IF($G26="s-curve",$E26+($F26-$E26)*$I$2/(1+EXP($I$3*(COUNT($I$9:U$9)+$I$4))),TREND($E26:$F26,$E$9:$F$9,U$9))</f>
        <v>0.37956814</v>
      </c>
      <c r="V26">
        <f>IF($G26="s-curve",$E26+($F26-$E26)*$I$2/(1+EXP($I$3*(COUNT($I$9:V$9)+$I$4))),TREND($E26:$F26,$E$9:$F$9,V$9))</f>
        <v>0.37956814</v>
      </c>
      <c r="W26">
        <f>IF($G26="s-curve",$E26+($F26-$E26)*$I$2/(1+EXP($I$3*(COUNT($I$9:W$9)+$I$4))),TREND($E26:$F26,$E$9:$F$9,W$9))</f>
        <v>0.37956814</v>
      </c>
      <c r="X26">
        <f>IF($G26="s-curve",$E26+($F26-$E26)*$I$2/(1+EXP($I$3*(COUNT($I$9:X$9)+$I$4))),TREND($E26:$F26,$E$9:$F$9,X$9))</f>
        <v>0.37956814</v>
      </c>
      <c r="Y26">
        <f>IF($G26="s-curve",$E26+($F26-$E26)*$I$2/(1+EXP($I$3*(COUNT($I$9:Y$9)+$I$4))),TREND($E26:$F26,$E$9:$F$9,Y$9))</f>
        <v>0.37956814</v>
      </c>
      <c r="Z26">
        <f>IF($G26="s-curve",$E26+($F26-$E26)*$I$2/(1+EXP($I$3*(COUNT($I$9:Z$9)+$I$4))),TREND($E26:$F26,$E$9:$F$9,Z$9))</f>
        <v>0.37956814</v>
      </c>
      <c r="AA26">
        <f>IF($G26="s-curve",$E26+($F26-$E26)*$I$2/(1+EXP($I$3*(COUNT($I$9:AA$9)+$I$4))),TREND($E26:$F26,$E$9:$F$9,AA$9))</f>
        <v>0.37956814</v>
      </c>
      <c r="AB26">
        <f>IF($G26="s-curve",$E26+($F26-$E26)*$I$2/(1+EXP($I$3*(COUNT($I$9:AB$9)+$I$4))),TREND($E26:$F26,$E$9:$F$9,AB$9))</f>
        <v>0.37956814</v>
      </c>
      <c r="AC26">
        <f>IF($G26="s-curve",$E26+($F26-$E26)*$I$2/(1+EXP($I$3*(COUNT($I$9:AC$9)+$I$4))),TREND($E26:$F26,$E$9:$F$9,AC$9))</f>
        <v>0.37956814</v>
      </c>
      <c r="AD26">
        <f>IF($G26="s-curve",$E26+($F26-$E26)*$I$2/(1+EXP($I$3*(COUNT($I$9:AD$9)+$I$4))),TREND($E26:$F26,$E$9:$F$9,AD$9))</f>
        <v>0.37956814</v>
      </c>
      <c r="AE26">
        <f>IF($G26="s-curve",$E26+($F26-$E26)*$I$2/(1+EXP($I$3*(COUNT($I$9:AE$9)+$I$4))),TREND($E26:$F26,$E$9:$F$9,AE$9))</f>
        <v>0.37956814</v>
      </c>
      <c r="AF26">
        <f>IF($G26="s-curve",$E26+($F26-$E26)*$I$2/(1+EXP($I$3*(COUNT($I$9:AF$9)+$I$4))),TREND($E26:$F26,$E$9:$F$9,AF$9))</f>
        <v>0.37956814</v>
      </c>
      <c r="AG26">
        <f>IF($G26="s-curve",$E26+($F26-$E26)*$I$2/(1+EXP($I$3*(COUNT($I$9:AG$9)+$I$4))),TREND($E26:$F26,$E$9:$F$9,AG$9))</f>
        <v>0.37956814</v>
      </c>
      <c r="AH26">
        <f>IF($G26="s-curve",$E26+($F26-$E26)*$I$2/(1+EXP($I$3*(COUNT($I$9:AH$9)+$I$4))),TREND($E26:$F26,$E$9:$F$9,AH$9))</f>
        <v>0.37956814</v>
      </c>
      <c r="AI26">
        <f>IF($G26="s-curve",$E26+($F26-$E26)*$I$2/(1+EXP($I$3*(COUNT($I$9:AI$9)+$I$4))),TREND($E26:$F26,$E$9:$F$9,AI$9))</f>
        <v>0.37956814</v>
      </c>
    </row>
    <row r="27" spans="1:35" x14ac:dyDescent="0.25">
      <c r="C27" t="s">
        <v>40</v>
      </c>
      <c r="D27">
        <v>1</v>
      </c>
      <c r="E27">
        <v>1</v>
      </c>
      <c r="F27">
        <v>1</v>
      </c>
      <c r="G27" s="5" t="str">
        <f>IF(E27=F27,"n/a",IF(OR(C27="battery electric vehicle",C27="natural gas vehicle",C27="plugin hybrid vehicle"),"s-curve","linear"))</f>
        <v>n/a</v>
      </c>
      <c r="I27" s="16">
        <f t="shared" si="2"/>
        <v>1</v>
      </c>
      <c r="J27" s="16">
        <f t="shared" si="3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25">
      <c r="C28" t="s">
        <v>41</v>
      </c>
      <c r="D28">
        <v>0</v>
      </c>
      <c r="E28">
        <v>0</v>
      </c>
      <c r="F28" s="16">
        <f>E28</f>
        <v>0</v>
      </c>
      <c r="G28" s="5" t="str">
        <f>IF(E28=F28,"n/a",IF(OR(C28="battery electric vehicle",C28="natural gas vehicle",C28="plugin hybrid vehicle"),"s-curve","linear"))</f>
        <v>n/a</v>
      </c>
      <c r="I28" s="16">
        <f t="shared" si="2"/>
        <v>0</v>
      </c>
      <c r="J28" s="16">
        <f t="shared" si="3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25">
      <c r="C29" t="s">
        <v>42</v>
      </c>
      <c r="D29">
        <v>5.5449391000000001E-2</v>
      </c>
      <c r="E29">
        <v>5.5449391000000001E-2</v>
      </c>
      <c r="F29" s="16">
        <f>E29</f>
        <v>5.5449391000000001E-2</v>
      </c>
      <c r="G29" s="5" t="str">
        <f>IF(E29=F29,"n/a",IF(OR(C29="battery electric vehicle",C29="natural gas vehicle",C29="plugin hybrid vehicle",C29="hydrogen vehicle"),"s-curve","linear"))</f>
        <v>n/a</v>
      </c>
      <c r="I29" s="16">
        <f t="shared" si="2"/>
        <v>5.5449391000000001E-2</v>
      </c>
      <c r="J29" s="16">
        <f t="shared" si="3"/>
        <v>5.5449391000000001E-2</v>
      </c>
      <c r="K29">
        <f>IF($G29="s-curve",$E29+($F29-$E29)*$I$2/(1+EXP($I$3*(COUNT($I$9:K$9)+$I$4))),TREND($E29:$F29,$E$9:$F$9,K$9))</f>
        <v>5.5449391000000001E-2</v>
      </c>
      <c r="L29">
        <f>IF($G29="s-curve",$E29+($F29-$E29)*$I$2/(1+EXP($I$3*(COUNT($I$9:L$9)+$I$4))),TREND($E29:$F29,$E$9:$F$9,L$9))</f>
        <v>5.5449391000000001E-2</v>
      </c>
      <c r="M29">
        <f>IF($G29="s-curve",$E29+($F29-$E29)*$I$2/(1+EXP($I$3*(COUNT($I$9:M$9)+$I$4))),TREND($E29:$F29,$E$9:$F$9,M$9))</f>
        <v>5.5449391000000001E-2</v>
      </c>
      <c r="N29">
        <f>IF($G29="s-curve",$E29+($F29-$E29)*$I$2/(1+EXP($I$3*(COUNT($I$9:N$9)+$I$4))),TREND($E29:$F29,$E$9:$F$9,N$9))</f>
        <v>5.5449391000000001E-2</v>
      </c>
      <c r="O29">
        <f>IF($G29="s-curve",$E29+($F29-$E29)*$I$2/(1+EXP($I$3*(COUNT($I$9:O$9)+$I$4))),TREND($E29:$F29,$E$9:$F$9,O$9))</f>
        <v>5.5449391000000001E-2</v>
      </c>
      <c r="P29">
        <f>IF($G29="s-curve",$E29+($F29-$E29)*$I$2/(1+EXP($I$3*(COUNT($I$9:P$9)+$I$4))),TREND($E29:$F29,$E$9:$F$9,P$9))</f>
        <v>5.5449391000000001E-2</v>
      </c>
      <c r="Q29">
        <f>IF($G29="s-curve",$E29+($F29-$E29)*$I$2/(1+EXP($I$3*(COUNT($I$9:Q$9)+$I$4))),TREND($E29:$F29,$E$9:$F$9,Q$9))</f>
        <v>5.5449391000000001E-2</v>
      </c>
      <c r="R29">
        <f>IF($G29="s-curve",$E29+($F29-$E29)*$I$2/(1+EXP($I$3*(COUNT($I$9:R$9)+$I$4))),TREND($E29:$F29,$E$9:$F$9,R$9))</f>
        <v>5.5449391000000001E-2</v>
      </c>
      <c r="S29">
        <f>IF($G29="s-curve",$E29+($F29-$E29)*$I$2/(1+EXP($I$3*(COUNT($I$9:S$9)+$I$4))),TREND($E29:$F29,$E$9:$F$9,S$9))</f>
        <v>5.5449391000000001E-2</v>
      </c>
      <c r="T29">
        <f>IF($G29="s-curve",$E29+($F29-$E29)*$I$2/(1+EXP($I$3*(COUNT($I$9:T$9)+$I$4))),TREND($E29:$F29,$E$9:$F$9,T$9))</f>
        <v>5.5449391000000001E-2</v>
      </c>
      <c r="U29">
        <f>IF($G29="s-curve",$E29+($F29-$E29)*$I$2/(1+EXP($I$3*(COUNT($I$9:U$9)+$I$4))),TREND($E29:$F29,$E$9:$F$9,U$9))</f>
        <v>5.5449391000000001E-2</v>
      </c>
      <c r="V29">
        <f>IF($G29="s-curve",$E29+($F29-$E29)*$I$2/(1+EXP($I$3*(COUNT($I$9:V$9)+$I$4))),TREND($E29:$F29,$E$9:$F$9,V$9))</f>
        <v>5.5449391000000001E-2</v>
      </c>
      <c r="W29">
        <f>IF($G29="s-curve",$E29+($F29-$E29)*$I$2/(1+EXP($I$3*(COUNT($I$9:W$9)+$I$4))),TREND($E29:$F29,$E$9:$F$9,W$9))</f>
        <v>5.5449391000000001E-2</v>
      </c>
      <c r="X29">
        <f>IF($G29="s-curve",$E29+($F29-$E29)*$I$2/(1+EXP($I$3*(COUNT($I$9:X$9)+$I$4))),TREND($E29:$F29,$E$9:$F$9,X$9))</f>
        <v>5.5449391000000001E-2</v>
      </c>
      <c r="Y29">
        <f>IF($G29="s-curve",$E29+($F29-$E29)*$I$2/(1+EXP($I$3*(COUNT($I$9:Y$9)+$I$4))),TREND($E29:$F29,$E$9:$F$9,Y$9))</f>
        <v>5.5449391000000001E-2</v>
      </c>
      <c r="Z29">
        <f>IF($G29="s-curve",$E29+($F29-$E29)*$I$2/(1+EXP($I$3*(COUNT($I$9:Z$9)+$I$4))),TREND($E29:$F29,$E$9:$F$9,Z$9))</f>
        <v>5.5449391000000001E-2</v>
      </c>
      <c r="AA29">
        <f>IF($G29="s-curve",$E29+($F29-$E29)*$I$2/(1+EXP($I$3*(COUNT($I$9:AA$9)+$I$4))),TREND($E29:$F29,$E$9:$F$9,AA$9))</f>
        <v>5.5449391000000001E-2</v>
      </c>
      <c r="AB29">
        <f>IF($G29="s-curve",$E29+($F29-$E29)*$I$2/(1+EXP($I$3*(COUNT($I$9:AB$9)+$I$4))),TREND($E29:$F29,$E$9:$F$9,AB$9))</f>
        <v>5.5449391000000001E-2</v>
      </c>
      <c r="AC29">
        <f>IF($G29="s-curve",$E29+($F29-$E29)*$I$2/(1+EXP($I$3*(COUNT($I$9:AC$9)+$I$4))),TREND($E29:$F29,$E$9:$F$9,AC$9))</f>
        <v>5.5449391000000001E-2</v>
      </c>
      <c r="AD29">
        <f>IF($G29="s-curve",$E29+($F29-$E29)*$I$2/(1+EXP($I$3*(COUNT($I$9:AD$9)+$I$4))),TREND($E29:$F29,$E$9:$F$9,AD$9))</f>
        <v>5.5449391000000001E-2</v>
      </c>
      <c r="AE29">
        <f>IF($G29="s-curve",$E29+($F29-$E29)*$I$2/(1+EXP($I$3*(COUNT($I$9:AE$9)+$I$4))),TREND($E29:$F29,$E$9:$F$9,AE$9))</f>
        <v>5.5449391000000001E-2</v>
      </c>
      <c r="AF29">
        <f>IF($G29="s-curve",$E29+($F29-$E29)*$I$2/(1+EXP($I$3*(COUNT($I$9:AF$9)+$I$4))),TREND($E29:$F29,$E$9:$F$9,AF$9))</f>
        <v>5.5449391000000001E-2</v>
      </c>
      <c r="AG29">
        <f>IF($G29="s-curve",$E29+($F29-$E29)*$I$2/(1+EXP($I$3*(COUNT($I$9:AG$9)+$I$4))),TREND($E29:$F29,$E$9:$F$9,AG$9))</f>
        <v>5.5449391000000001E-2</v>
      </c>
      <c r="AH29">
        <f>IF($G29="s-curve",$E29+($F29-$E29)*$I$2/(1+EXP($I$3*(COUNT($I$9:AH$9)+$I$4))),TREND($E29:$F29,$E$9:$F$9,AH$9))</f>
        <v>5.5449391000000001E-2</v>
      </c>
      <c r="AI29">
        <f>IF($G29="s-curve",$E29+($F29-$E29)*$I$2/(1+EXP($I$3*(COUNT($I$9:AI$9)+$I$4))),TREND($E29:$F29,$E$9:$F$9,AI$9))</f>
        <v>5.5449391000000001E-2</v>
      </c>
    </row>
    <row r="30" spans="1:35" ht="15.75" customHeight="1" thickBot="1" x14ac:dyDescent="0.3">
      <c r="A30" s="17"/>
      <c r="B30" s="17"/>
      <c r="C30" s="17" t="s">
        <v>43</v>
      </c>
      <c r="D30" s="20">
        <v>2.0286950000000001E-3</v>
      </c>
      <c r="E30" s="6">
        <v>2.0286950000000001E-3</v>
      </c>
      <c r="F30" s="20">
        <f>E30</f>
        <v>2.0286950000000001E-3</v>
      </c>
      <c r="G30" s="6" t="str">
        <f>IF(E30=F30,"n/a",IF(OR(C30="battery electric vehicle",C30="natural gas vehicle",C30="plugin hybrid vehicle",C30="hydrogen vehicle"),"s-curve","linear"))</f>
        <v>n/a</v>
      </c>
      <c r="I30" s="16">
        <f t="shared" si="2"/>
        <v>2.0286950000000001E-3</v>
      </c>
      <c r="J30" s="16">
        <f t="shared" si="3"/>
        <v>2.0286950000000001E-3</v>
      </c>
      <c r="K30">
        <f>IF($G30="s-curve",$E30+($F30-$E30)*$I$2/(1+EXP($I$3*(COUNT($I$9:K$9)+$I$4))),TREND($E30:$F30,$E$9:$F$9,K$9))</f>
        <v>2.0286950000000001E-3</v>
      </c>
      <c r="L30">
        <f>IF($G30="s-curve",$E30+($F30-$E30)*$I$2/(1+EXP($I$3*(COUNT($I$9:L$9)+$I$4))),TREND($E30:$F30,$E$9:$F$9,L$9))</f>
        <v>2.0286950000000001E-3</v>
      </c>
      <c r="M30">
        <f>IF($G30="s-curve",$E30+($F30-$E30)*$I$2/(1+EXP($I$3*(COUNT($I$9:M$9)+$I$4))),TREND($E30:$F30,$E$9:$F$9,M$9))</f>
        <v>2.0286950000000001E-3</v>
      </c>
      <c r="N30">
        <f>IF($G30="s-curve",$E30+($F30-$E30)*$I$2/(1+EXP($I$3*(COUNT($I$9:N$9)+$I$4))),TREND($E30:$F30,$E$9:$F$9,N$9))</f>
        <v>2.0286950000000001E-3</v>
      </c>
      <c r="O30">
        <f>IF($G30="s-curve",$E30+($F30-$E30)*$I$2/(1+EXP($I$3*(COUNT($I$9:O$9)+$I$4))),TREND($E30:$F30,$E$9:$F$9,O$9))</f>
        <v>2.0286950000000001E-3</v>
      </c>
      <c r="P30">
        <f>IF($G30="s-curve",$E30+($F30-$E30)*$I$2/(1+EXP($I$3*(COUNT($I$9:P$9)+$I$4))),TREND($E30:$F30,$E$9:$F$9,P$9))</f>
        <v>2.0286950000000001E-3</v>
      </c>
      <c r="Q30">
        <f>IF($G30="s-curve",$E30+($F30-$E30)*$I$2/(1+EXP($I$3*(COUNT($I$9:Q$9)+$I$4))),TREND($E30:$F30,$E$9:$F$9,Q$9))</f>
        <v>2.0286950000000001E-3</v>
      </c>
      <c r="R30">
        <f>IF($G30="s-curve",$E30+($F30-$E30)*$I$2/(1+EXP($I$3*(COUNT($I$9:R$9)+$I$4))),TREND($E30:$F30,$E$9:$F$9,R$9))</f>
        <v>2.0286950000000001E-3</v>
      </c>
      <c r="S30">
        <f>IF($G30="s-curve",$E30+($F30-$E30)*$I$2/(1+EXP($I$3*(COUNT($I$9:S$9)+$I$4))),TREND($E30:$F30,$E$9:$F$9,S$9))</f>
        <v>2.0286950000000001E-3</v>
      </c>
      <c r="T30">
        <f>IF($G30="s-curve",$E30+($F30-$E30)*$I$2/(1+EXP($I$3*(COUNT($I$9:T$9)+$I$4))),TREND($E30:$F30,$E$9:$F$9,T$9))</f>
        <v>2.0286950000000001E-3</v>
      </c>
      <c r="U30">
        <f>IF($G30="s-curve",$E30+($F30-$E30)*$I$2/(1+EXP($I$3*(COUNT($I$9:U$9)+$I$4))),TREND($E30:$F30,$E$9:$F$9,U$9))</f>
        <v>2.0286950000000001E-3</v>
      </c>
      <c r="V30">
        <f>IF($G30="s-curve",$E30+($F30-$E30)*$I$2/(1+EXP($I$3*(COUNT($I$9:V$9)+$I$4))),TREND($E30:$F30,$E$9:$F$9,V$9))</f>
        <v>2.0286950000000001E-3</v>
      </c>
      <c r="W30">
        <f>IF($G30="s-curve",$E30+($F30-$E30)*$I$2/(1+EXP($I$3*(COUNT($I$9:W$9)+$I$4))),TREND($E30:$F30,$E$9:$F$9,W$9))</f>
        <v>2.0286950000000001E-3</v>
      </c>
      <c r="X30">
        <f>IF($G30="s-curve",$E30+($F30-$E30)*$I$2/(1+EXP($I$3*(COUNT($I$9:X$9)+$I$4))),TREND($E30:$F30,$E$9:$F$9,X$9))</f>
        <v>2.0286950000000001E-3</v>
      </c>
      <c r="Y30">
        <f>IF($G30="s-curve",$E30+($F30-$E30)*$I$2/(1+EXP($I$3*(COUNT($I$9:Y$9)+$I$4))),TREND($E30:$F30,$E$9:$F$9,Y$9))</f>
        <v>2.0286950000000001E-3</v>
      </c>
      <c r="Z30">
        <f>IF($G30="s-curve",$E30+($F30-$E30)*$I$2/(1+EXP($I$3*(COUNT($I$9:Z$9)+$I$4))),TREND($E30:$F30,$E$9:$F$9,Z$9))</f>
        <v>2.0286950000000001E-3</v>
      </c>
      <c r="AA30">
        <f>IF($G30="s-curve",$E30+($F30-$E30)*$I$2/(1+EXP($I$3*(COUNT($I$9:AA$9)+$I$4))),TREND($E30:$F30,$E$9:$F$9,AA$9))</f>
        <v>2.0286950000000001E-3</v>
      </c>
      <c r="AB30">
        <f>IF($G30="s-curve",$E30+($F30-$E30)*$I$2/(1+EXP($I$3*(COUNT($I$9:AB$9)+$I$4))),TREND($E30:$F30,$E$9:$F$9,AB$9))</f>
        <v>2.0286950000000001E-3</v>
      </c>
      <c r="AC30">
        <f>IF($G30="s-curve",$E30+($F30-$E30)*$I$2/(1+EXP($I$3*(COUNT($I$9:AC$9)+$I$4))),TREND($E30:$F30,$E$9:$F$9,AC$9))</f>
        <v>2.0286950000000001E-3</v>
      </c>
      <c r="AD30">
        <f>IF($G30="s-curve",$E30+($F30-$E30)*$I$2/(1+EXP($I$3*(COUNT($I$9:AD$9)+$I$4))),TREND($E30:$F30,$E$9:$F$9,AD$9))</f>
        <v>2.0286950000000001E-3</v>
      </c>
      <c r="AE30">
        <f>IF($G30="s-curve",$E30+($F30-$E30)*$I$2/(1+EXP($I$3*(COUNT($I$9:AE$9)+$I$4))),TREND($E30:$F30,$E$9:$F$9,AE$9))</f>
        <v>2.0286950000000001E-3</v>
      </c>
      <c r="AF30">
        <f>IF($G30="s-curve",$E30+($F30-$E30)*$I$2/(1+EXP($I$3*(COUNT($I$9:AF$9)+$I$4))),TREND($E30:$F30,$E$9:$F$9,AF$9))</f>
        <v>2.0286950000000001E-3</v>
      </c>
      <c r="AG30">
        <f>IF($G30="s-curve",$E30+($F30-$E30)*$I$2/(1+EXP($I$3*(COUNT($I$9:AG$9)+$I$4))),TREND($E30:$F30,$E$9:$F$9,AG$9))</f>
        <v>2.0286950000000001E-3</v>
      </c>
      <c r="AH30">
        <f>IF($G30="s-curve",$E30+($F30-$E30)*$I$2/(1+EXP($I$3*(COUNT($I$9:AH$9)+$I$4))),TREND($E30:$F30,$E$9:$F$9,AH$9))</f>
        <v>2.0286950000000001E-3</v>
      </c>
      <c r="AI30">
        <f>IF($G30="s-curve",$E30+($F30-$E30)*$I$2/(1+EXP($I$3*(COUNT($I$9:AI$9)+$I$4))),TREND($E30:$F30,$E$9:$F$9,AI$9))</f>
        <v>2.0286950000000001E-3</v>
      </c>
    </row>
    <row r="31" spans="1:35" x14ac:dyDescent="0.25">
      <c r="A31" t="s">
        <v>45</v>
      </c>
      <c r="B31" t="s">
        <v>72</v>
      </c>
      <c r="C31" t="s">
        <v>37</v>
      </c>
      <c r="D31">
        <v>4.8089680000000003E-3</v>
      </c>
      <c r="E31">
        <v>4.8089680000000003E-3</v>
      </c>
      <c r="F31" s="16">
        <v>0.25</v>
      </c>
      <c r="G31" s="5" t="str">
        <f>IF(E31=F31,"n/a",IF(OR(C31="battery electric vehicle",C31="natural gas vehicle",C31="plugin hybrid vehicle"),"s-curve","linear"))</f>
        <v>s-curve</v>
      </c>
      <c r="I31" s="16">
        <f t="shared" si="2"/>
        <v>4.8089680000000003E-3</v>
      </c>
      <c r="J31" s="16">
        <f t="shared" si="3"/>
        <v>4.8089680000000003E-3</v>
      </c>
      <c r="K31">
        <f>IF($G31="s-curve",$E31+($F31-$E31)*$R$2/(1+EXP($R$3*(COUNT($K$9:K$9)+$R$4))),TREND($E31:$F31,$E$9:$F$9,K$9))</f>
        <v>1.3530704607224994E-2</v>
      </c>
      <c r="L31">
        <f>IF($G31="s-curve",$E31+($F31-$E31)*$R$2/(1+EXP($R$3*(COUNT($K$9:L$9)+$R$4))),TREND($E31:$F31,$E$9:$F$9,L$9))</f>
        <v>1.6437366787908719E-2</v>
      </c>
      <c r="M31">
        <f>IF($G31="s-curve",$E31+($F31-$E31)*$R$2/(1+EXP($R$3*(COUNT($K$9:M$9)+$R$4))),TREND($E31:$F31,$E$9:$F$9,M$9))</f>
        <v>2.0249470160118424E-2</v>
      </c>
      <c r="N31">
        <f>IF($G31="s-curve",$E31+($F31-$E31)*$R$2/(1+EXP($R$3*(COUNT($K$9:N$9)+$R$4))),TREND($E31:$F31,$E$9:$F$9,N$9))</f>
        <v>2.520216728756761E-2</v>
      </c>
      <c r="O31">
        <f>IF($G31="s-curve",$E31+($F31-$E31)*$R$2/(1+EXP($R$3*(COUNT($K$9:O$9)+$R$4))),TREND($E31:$F31,$E$9:$F$9,O$9))</f>
        <v>3.155853017687181E-2</v>
      </c>
      <c r="P31">
        <f>IF($G31="s-curve",$E31+($F31-$E31)*$R$2/(1+EXP($R$3*(COUNT($K$9:P$9)+$R$4))),TREND($E31:$F31,$E$9:$F$9,P$9))</f>
        <v>3.9589576993249581E-2</v>
      </c>
      <c r="Q31">
        <f>IF($G31="s-curve",$E31+($F31-$E31)*$R$2/(1+EXP($R$3*(COUNT($K$9:Q$9)+$R$4))),TREND($E31:$F31,$E$9:$F$9,Q$9))</f>
        <v>4.9538070445221086E-2</v>
      </c>
      <c r="R31">
        <f>IF($G31="s-curve",$E31+($F31-$E31)*$R$2/(1+EXP($R$3*(COUNT($K$9:R$9)+$R$4))),TREND($E31:$F31,$E$9:$F$9,R$9))</f>
        <v>6.1564615216299301E-2</v>
      </c>
      <c r="S31">
        <f>IF($G31="s-curve",$E31+($F31-$E31)*$R$2/(1+EXP($R$3*(COUNT($K$9:S$9)+$R$4))),TREND($E31:$F31,$E$9:$F$9,S$9))</f>
        <v>7.5681557751488576E-2</v>
      </c>
      <c r="T31">
        <f>IF($G31="s-curve",$E31+($F31-$E31)*$R$2/(1+EXP($R$3*(COUNT($K$9:T$9)+$R$4))),TREND($E31:$F31,$E$9:$F$9,T$9))</f>
        <v>9.1690863959189184E-2</v>
      </c>
      <c r="U31">
        <f>IF($G31="s-curve",$E31+($F31-$E31)*$R$2/(1+EXP($R$3*(COUNT($K$9:U$9)+$R$4))),TREND($E31:$F31,$E$9:$F$9,U$9))</f>
        <v>0.10915184647827197</v>
      </c>
      <c r="V31">
        <f>IF($G31="s-curve",$E31+($F31-$E31)*$R$2/(1+EXP($R$3*(COUNT($K$9:V$9)+$R$4))),TREND($E31:$F31,$E$9:$F$9,V$9))</f>
        <v>0.12740448400000001</v>
      </c>
      <c r="W31">
        <f>IF($G31="s-curve",$E31+($F31-$E31)*$R$2/(1+EXP($R$3*(COUNT($K$9:W$9)+$R$4))),TREND($E31:$F31,$E$9:$F$9,W$9))</f>
        <v>0.14565712152172802</v>
      </c>
      <c r="X31">
        <f>IF($G31="s-curve",$E31+($F31-$E31)*$R$2/(1+EXP($R$3*(COUNT($K$9:X$9)+$R$4))),TREND($E31:$F31,$E$9:$F$9,X$9))</f>
        <v>0.16311810404081081</v>
      </c>
      <c r="Y31">
        <f>IF($G31="s-curve",$E31+($F31-$E31)*$R$2/(1+EXP($R$3*(COUNT($K$9:Y$9)+$R$4))),TREND($E31:$F31,$E$9:$F$9,Y$9))</f>
        <v>0.17912741024851142</v>
      </c>
      <c r="Z31">
        <f>IF($G31="s-curve",$E31+($F31-$E31)*$R$2/(1+EXP($R$3*(COUNT($K$9:Z$9)+$R$4))),TREND($E31:$F31,$E$9:$F$9,Z$9))</f>
        <v>0.1932443527837007</v>
      </c>
      <c r="AA31">
        <f>IF($G31="s-curve",$E31+($F31-$E31)*$R$2/(1+EXP($R$3*(COUNT($K$9:AA$9)+$R$4))),TREND($E31:$F31,$E$9:$F$9,AA$9))</f>
        <v>0.2052708975547789</v>
      </c>
      <c r="AB31">
        <f>IF($G31="s-curve",$E31+($F31-$E31)*$R$2/(1+EXP($R$3*(COUNT($K$9:AB$9)+$R$4))),TREND($E31:$F31,$E$9:$F$9,AB$9))</f>
        <v>0.21521939100675044</v>
      </c>
      <c r="AC31">
        <f>IF($G31="s-curve",$E31+($F31-$E31)*$R$2/(1+EXP($R$3*(COUNT($K$9:AC$9)+$R$4))),TREND($E31:$F31,$E$9:$F$9,AC$9))</f>
        <v>0.2232504378231282</v>
      </c>
      <c r="AD31">
        <f>IF($G31="s-curve",$E31+($F31-$E31)*$R$2/(1+EXP($R$3*(COUNT($K$9:AD$9)+$R$4))),TREND($E31:$F31,$E$9:$F$9,AD$9))</f>
        <v>0.22960680071243239</v>
      </c>
      <c r="AE31">
        <f>IF($G31="s-curve",$E31+($F31-$E31)*$R$2/(1+EXP($R$3*(COUNT($K$9:AE$9)+$R$4))),TREND($E31:$F31,$E$9:$F$9,AE$9))</f>
        <v>0.23455949783988159</v>
      </c>
      <c r="AF31">
        <f>IF($G31="s-curve",$E31+($F31-$E31)*$R$2/(1+EXP($R$3*(COUNT($K$9:AF$9)+$R$4))),TREND($E31:$F31,$E$9:$F$9,AF$9))</f>
        <v>0.23837160121209131</v>
      </c>
      <c r="AG31">
        <f>IF($G31="s-curve",$E31+($F31-$E31)*$R$2/(1+EXP($R$3*(COUNT($K$9:AG$9)+$R$4))),TREND($E31:$F31,$E$9:$F$9,AG$9))</f>
        <v>0.241278263392775</v>
      </c>
      <c r="AH31">
        <f>IF($G31="s-curve",$E31+($F31-$E31)*$R$2/(1+EXP($R$3*(COUNT($K$9:AH$9)+$R$4))),TREND($E31:$F31,$E$9:$F$9,AH$9))</f>
        <v>0.24347865569679086</v>
      </c>
      <c r="AI31">
        <f>IF($G31="s-curve",$E31+($F31-$E31)*$R$2/(1+EXP($R$3*(COUNT($K$9:AI$9)+$R$4))),TREND($E31:$F31,$E$9:$F$9,AI$9))</f>
        <v>0.24513533496186604</v>
      </c>
    </row>
    <row r="32" spans="1:35" x14ac:dyDescent="0.25">
      <c r="C32" t="s">
        <v>38</v>
      </c>
      <c r="D32">
        <v>2.2159679000000002E-2</v>
      </c>
      <c r="E32">
        <v>2.2159679000000002E-2</v>
      </c>
      <c r="F32" s="16">
        <f>E32</f>
        <v>2.2159679000000002E-2</v>
      </c>
      <c r="G32" s="5" t="str">
        <f>IF(E32=F32,"n/a",IF(OR(C32="battery electric vehicle",C32="natural gas vehicle",C32="plugin hybrid vehicle"),"s-curve","linear"))</f>
        <v>n/a</v>
      </c>
      <c r="I32" s="16">
        <f t="shared" si="2"/>
        <v>2.2159679000000002E-2</v>
      </c>
      <c r="J32" s="16">
        <f t="shared" si="3"/>
        <v>2.2159679000000002E-2</v>
      </c>
      <c r="K32">
        <f>IF($G32="s-curve",$E32+($F32-$E32)*$I$2/(1+EXP($I$3*(COUNT($I$9:K$9)+$I$4))),TREND($E32:$F32,$E$9:$F$9,K$9))</f>
        <v>2.2159679000000002E-2</v>
      </c>
      <c r="L32">
        <f>IF($G32="s-curve",$E32+($F32-$E32)*$I$2/(1+EXP($I$3*(COUNT($I$9:L$9)+$I$4))),TREND($E32:$F32,$E$9:$F$9,L$9))</f>
        <v>2.2159679000000002E-2</v>
      </c>
      <c r="M32">
        <f>IF($G32="s-curve",$E32+($F32-$E32)*$I$2/(1+EXP($I$3*(COUNT($I$9:M$9)+$I$4))),TREND($E32:$F32,$E$9:$F$9,M$9))</f>
        <v>2.2159679000000002E-2</v>
      </c>
      <c r="N32">
        <f>IF($G32="s-curve",$E32+($F32-$E32)*$I$2/(1+EXP($I$3*(COUNT($I$9:N$9)+$I$4))),TREND($E32:$F32,$E$9:$F$9,N$9))</f>
        <v>2.2159679000000002E-2</v>
      </c>
      <c r="O32">
        <f>IF($G32="s-curve",$E32+($F32-$E32)*$I$2/(1+EXP($I$3*(COUNT($I$9:O$9)+$I$4))),TREND($E32:$F32,$E$9:$F$9,O$9))</f>
        <v>2.2159679000000002E-2</v>
      </c>
      <c r="P32">
        <f>IF($G32="s-curve",$E32+($F32-$E32)*$I$2/(1+EXP($I$3*(COUNT($I$9:P$9)+$I$4))),TREND($E32:$F32,$E$9:$F$9,P$9))</f>
        <v>2.2159679000000002E-2</v>
      </c>
      <c r="Q32">
        <f>IF($G32="s-curve",$E32+($F32-$E32)*$I$2/(1+EXP($I$3*(COUNT($I$9:Q$9)+$I$4))),TREND($E32:$F32,$E$9:$F$9,Q$9))</f>
        <v>2.2159679000000002E-2</v>
      </c>
      <c r="R32">
        <f>IF($G32="s-curve",$E32+($F32-$E32)*$I$2/(1+EXP($I$3*(COUNT($I$9:R$9)+$I$4))),TREND($E32:$F32,$E$9:$F$9,R$9))</f>
        <v>2.2159679000000002E-2</v>
      </c>
      <c r="S32">
        <f>IF($G32="s-curve",$E32+($F32-$E32)*$I$2/(1+EXP($I$3*(COUNT($I$9:S$9)+$I$4))),TREND($E32:$F32,$E$9:$F$9,S$9))</f>
        <v>2.2159679000000002E-2</v>
      </c>
      <c r="T32">
        <f>IF($G32="s-curve",$E32+($F32-$E32)*$I$2/(1+EXP($I$3*(COUNT($I$9:T$9)+$I$4))),TREND($E32:$F32,$E$9:$F$9,T$9))</f>
        <v>2.2159679000000002E-2</v>
      </c>
      <c r="U32">
        <f>IF($G32="s-curve",$E32+($F32-$E32)*$I$2/(1+EXP($I$3*(COUNT($I$9:U$9)+$I$4))),TREND($E32:$F32,$E$9:$F$9,U$9))</f>
        <v>2.2159679000000002E-2</v>
      </c>
      <c r="V32">
        <f>IF($G32="s-curve",$E32+($F32-$E32)*$I$2/(1+EXP($I$3*(COUNT($I$9:V$9)+$I$4))),TREND($E32:$F32,$E$9:$F$9,V$9))</f>
        <v>2.2159679000000002E-2</v>
      </c>
      <c r="W32">
        <f>IF($G32="s-curve",$E32+($F32-$E32)*$I$2/(1+EXP($I$3*(COUNT($I$9:W$9)+$I$4))),TREND($E32:$F32,$E$9:$F$9,W$9))</f>
        <v>2.2159679000000002E-2</v>
      </c>
      <c r="X32">
        <f>IF($G32="s-curve",$E32+($F32-$E32)*$I$2/(1+EXP($I$3*(COUNT($I$9:X$9)+$I$4))),TREND($E32:$F32,$E$9:$F$9,X$9))</f>
        <v>2.2159679000000002E-2</v>
      </c>
      <c r="Y32">
        <f>IF($G32="s-curve",$E32+($F32-$E32)*$I$2/(1+EXP($I$3*(COUNT($I$9:Y$9)+$I$4))),TREND($E32:$F32,$E$9:$F$9,Y$9))</f>
        <v>2.2159679000000002E-2</v>
      </c>
      <c r="Z32">
        <f>IF($G32="s-curve",$E32+($F32-$E32)*$I$2/(1+EXP($I$3*(COUNT($I$9:Z$9)+$I$4))),TREND($E32:$F32,$E$9:$F$9,Z$9))</f>
        <v>2.2159679000000002E-2</v>
      </c>
      <c r="AA32">
        <f>IF($G32="s-curve",$E32+($F32-$E32)*$I$2/(1+EXP($I$3*(COUNT($I$9:AA$9)+$I$4))),TREND($E32:$F32,$E$9:$F$9,AA$9))</f>
        <v>2.2159679000000002E-2</v>
      </c>
      <c r="AB32">
        <f>IF($G32="s-curve",$E32+($F32-$E32)*$I$2/(1+EXP($I$3*(COUNT($I$9:AB$9)+$I$4))),TREND($E32:$F32,$E$9:$F$9,AB$9))</f>
        <v>2.2159679000000002E-2</v>
      </c>
      <c r="AC32">
        <f>IF($G32="s-curve",$E32+($F32-$E32)*$I$2/(1+EXP($I$3*(COUNT($I$9:AC$9)+$I$4))),TREND($E32:$F32,$E$9:$F$9,AC$9))</f>
        <v>2.2159679000000002E-2</v>
      </c>
      <c r="AD32">
        <f>IF($G32="s-curve",$E32+($F32-$E32)*$I$2/(1+EXP($I$3*(COUNT($I$9:AD$9)+$I$4))),TREND($E32:$F32,$E$9:$F$9,AD$9))</f>
        <v>2.2159679000000002E-2</v>
      </c>
      <c r="AE32">
        <f>IF($G32="s-curve",$E32+($F32-$E32)*$I$2/(1+EXP($I$3*(COUNT($I$9:AE$9)+$I$4))),TREND($E32:$F32,$E$9:$F$9,AE$9))</f>
        <v>2.2159679000000002E-2</v>
      </c>
      <c r="AF32">
        <f>IF($G32="s-curve",$E32+($F32-$E32)*$I$2/(1+EXP($I$3*(COUNT($I$9:AF$9)+$I$4))),TREND($E32:$F32,$E$9:$F$9,AF$9))</f>
        <v>2.2159679000000002E-2</v>
      </c>
      <c r="AG32">
        <f>IF($G32="s-curve",$E32+($F32-$E32)*$I$2/(1+EXP($I$3*(COUNT($I$9:AG$9)+$I$4))),TREND($E32:$F32,$E$9:$F$9,AG$9))</f>
        <v>2.2159679000000002E-2</v>
      </c>
      <c r="AH32">
        <f>IF($G32="s-curve",$E32+($F32-$E32)*$I$2/(1+EXP($I$3*(COUNT($I$9:AH$9)+$I$4))),TREND($E32:$F32,$E$9:$F$9,AH$9))</f>
        <v>2.2159679000000002E-2</v>
      </c>
      <c r="AI32">
        <f>IF($G32="s-curve",$E32+($F32-$E32)*$I$2/(1+EXP($I$3*(COUNT($I$9:AI$9)+$I$4))),TREND($E32:$F32,$E$9:$F$9,AI$9))</f>
        <v>2.2159679000000002E-2</v>
      </c>
    </row>
    <row r="33" spans="1:35" x14ac:dyDescent="0.25">
      <c r="C33" t="s">
        <v>39</v>
      </c>
      <c r="D33">
        <v>7.5358100000000002E-4</v>
      </c>
      <c r="E33">
        <v>7.5358100000000002E-4</v>
      </c>
      <c r="F33" s="16">
        <f>E33</f>
        <v>7.5358100000000002E-4</v>
      </c>
      <c r="G33" s="5" t="str">
        <f>IF(E33=F33,"n/a",IF(OR(C33="battery electric vehicle",C33="natural gas vehicle",C33="plugin hybrid vehicle"),"s-curve","linear"))</f>
        <v>n/a</v>
      </c>
      <c r="I33" s="16">
        <f t="shared" si="2"/>
        <v>7.5358100000000002E-4</v>
      </c>
      <c r="J33" s="16">
        <f t="shared" si="3"/>
        <v>7.5358100000000002E-4</v>
      </c>
      <c r="K33">
        <f>IF($G33="s-curve",$E33+($F33-$E33)*$I$2/(1+EXP($I$3*(COUNT($I$9:K$9)+$I$4))),TREND($E33:$F33,$E$9:$F$9,K$9))</f>
        <v>7.5358100000000002E-4</v>
      </c>
      <c r="L33">
        <f>IF($G33="s-curve",$E33+($F33-$E33)*$I$2/(1+EXP($I$3*(COUNT($I$9:L$9)+$I$4))),TREND($E33:$F33,$E$9:$F$9,L$9))</f>
        <v>7.5358100000000002E-4</v>
      </c>
      <c r="M33">
        <f>IF($G33="s-curve",$E33+($F33-$E33)*$I$2/(1+EXP($I$3*(COUNT($I$9:M$9)+$I$4))),TREND($E33:$F33,$E$9:$F$9,M$9))</f>
        <v>7.5358100000000002E-4</v>
      </c>
      <c r="N33">
        <f>IF($G33="s-curve",$E33+($F33-$E33)*$I$2/(1+EXP($I$3*(COUNT($I$9:N$9)+$I$4))),TREND($E33:$F33,$E$9:$F$9,N$9))</f>
        <v>7.5358100000000002E-4</v>
      </c>
      <c r="O33">
        <f>IF($G33="s-curve",$E33+($F33-$E33)*$I$2/(1+EXP($I$3*(COUNT($I$9:O$9)+$I$4))),TREND($E33:$F33,$E$9:$F$9,O$9))</f>
        <v>7.5358100000000002E-4</v>
      </c>
      <c r="P33">
        <f>IF($G33="s-curve",$E33+($F33-$E33)*$I$2/(1+EXP($I$3*(COUNT($I$9:P$9)+$I$4))),TREND($E33:$F33,$E$9:$F$9,P$9))</f>
        <v>7.5358100000000002E-4</v>
      </c>
      <c r="Q33">
        <f>IF($G33="s-curve",$E33+($F33-$E33)*$I$2/(1+EXP($I$3*(COUNT($I$9:Q$9)+$I$4))),TREND($E33:$F33,$E$9:$F$9,Q$9))</f>
        <v>7.5358100000000002E-4</v>
      </c>
      <c r="R33">
        <f>IF($G33="s-curve",$E33+($F33-$E33)*$I$2/(1+EXP($I$3*(COUNT($I$9:R$9)+$I$4))),TREND($E33:$F33,$E$9:$F$9,R$9))</f>
        <v>7.5358100000000002E-4</v>
      </c>
      <c r="S33">
        <f>IF($G33="s-curve",$E33+($F33-$E33)*$I$2/(1+EXP($I$3*(COUNT($I$9:S$9)+$I$4))),TREND($E33:$F33,$E$9:$F$9,S$9))</f>
        <v>7.5358100000000002E-4</v>
      </c>
      <c r="T33">
        <f>IF($G33="s-curve",$E33+($F33-$E33)*$I$2/(1+EXP($I$3*(COUNT($I$9:T$9)+$I$4))),TREND($E33:$F33,$E$9:$F$9,T$9))</f>
        <v>7.5358100000000002E-4</v>
      </c>
      <c r="U33">
        <f>IF($G33="s-curve",$E33+($F33-$E33)*$I$2/(1+EXP($I$3*(COUNT($I$9:U$9)+$I$4))),TREND($E33:$F33,$E$9:$F$9,U$9))</f>
        <v>7.5358100000000002E-4</v>
      </c>
      <c r="V33">
        <f>IF($G33="s-curve",$E33+($F33-$E33)*$I$2/(1+EXP($I$3*(COUNT($I$9:V$9)+$I$4))),TREND($E33:$F33,$E$9:$F$9,V$9))</f>
        <v>7.5358100000000002E-4</v>
      </c>
      <c r="W33">
        <f>IF($G33="s-curve",$E33+($F33-$E33)*$I$2/(1+EXP($I$3*(COUNT($I$9:W$9)+$I$4))),TREND($E33:$F33,$E$9:$F$9,W$9))</f>
        <v>7.5358100000000002E-4</v>
      </c>
      <c r="X33">
        <f>IF($G33="s-curve",$E33+($F33-$E33)*$I$2/(1+EXP($I$3*(COUNT($I$9:X$9)+$I$4))),TREND($E33:$F33,$E$9:$F$9,X$9))</f>
        <v>7.5358100000000002E-4</v>
      </c>
      <c r="Y33">
        <f>IF($G33="s-curve",$E33+($F33-$E33)*$I$2/(1+EXP($I$3*(COUNT($I$9:Y$9)+$I$4))),TREND($E33:$F33,$E$9:$F$9,Y$9))</f>
        <v>7.5358100000000002E-4</v>
      </c>
      <c r="Z33">
        <f>IF($G33="s-curve",$E33+($F33-$E33)*$I$2/(1+EXP($I$3*(COUNT($I$9:Z$9)+$I$4))),TREND($E33:$F33,$E$9:$F$9,Z$9))</f>
        <v>7.5358100000000002E-4</v>
      </c>
      <c r="AA33">
        <f>IF($G33="s-curve",$E33+($F33-$E33)*$I$2/(1+EXP($I$3*(COUNT($I$9:AA$9)+$I$4))),TREND($E33:$F33,$E$9:$F$9,AA$9))</f>
        <v>7.5358100000000002E-4</v>
      </c>
      <c r="AB33">
        <f>IF($G33="s-curve",$E33+($F33-$E33)*$I$2/(1+EXP($I$3*(COUNT($I$9:AB$9)+$I$4))),TREND($E33:$F33,$E$9:$F$9,AB$9))</f>
        <v>7.5358100000000002E-4</v>
      </c>
      <c r="AC33">
        <f>IF($G33="s-curve",$E33+($F33-$E33)*$I$2/(1+EXP($I$3*(COUNT($I$9:AC$9)+$I$4))),TREND($E33:$F33,$E$9:$F$9,AC$9))</f>
        <v>7.5358100000000002E-4</v>
      </c>
      <c r="AD33">
        <f>IF($G33="s-curve",$E33+($F33-$E33)*$I$2/(1+EXP($I$3*(COUNT($I$9:AD$9)+$I$4))),TREND($E33:$F33,$E$9:$F$9,AD$9))</f>
        <v>7.5358100000000002E-4</v>
      </c>
      <c r="AE33">
        <f>IF($G33="s-curve",$E33+($F33-$E33)*$I$2/(1+EXP($I$3*(COUNT($I$9:AE$9)+$I$4))),TREND($E33:$F33,$E$9:$F$9,AE$9))</f>
        <v>7.5358100000000002E-4</v>
      </c>
      <c r="AF33">
        <f>IF($G33="s-curve",$E33+($F33-$E33)*$I$2/(1+EXP($I$3*(COUNT($I$9:AF$9)+$I$4))),TREND($E33:$F33,$E$9:$F$9,AF$9))</f>
        <v>7.5358100000000002E-4</v>
      </c>
      <c r="AG33">
        <f>IF($G33="s-curve",$E33+($F33-$E33)*$I$2/(1+EXP($I$3*(COUNT($I$9:AG$9)+$I$4))),TREND($E33:$F33,$E$9:$F$9,AG$9))</f>
        <v>7.5358100000000002E-4</v>
      </c>
      <c r="AH33">
        <f>IF($G33="s-curve",$E33+($F33-$E33)*$I$2/(1+EXP($I$3*(COUNT($I$9:AH$9)+$I$4))),TREND($E33:$F33,$E$9:$F$9,AH$9))</f>
        <v>7.5358100000000002E-4</v>
      </c>
      <c r="AI33">
        <f>IF($G33="s-curve",$E33+($F33-$E33)*$I$2/(1+EXP($I$3*(COUNT($I$9:AI$9)+$I$4))),TREND($E33:$F33,$E$9:$F$9,AI$9))</f>
        <v>7.5358100000000002E-4</v>
      </c>
    </row>
    <row r="34" spans="1:35" x14ac:dyDescent="0.25">
      <c r="C34" t="s">
        <v>40</v>
      </c>
      <c r="D34">
        <v>1</v>
      </c>
      <c r="E34">
        <v>1</v>
      </c>
      <c r="F34">
        <v>1</v>
      </c>
      <c r="G34" s="5" t="str">
        <f>IF(E34=F34,"n/a",IF(OR(C34="battery electric vehicle",C34="natural gas vehicle",C34="plugin hybrid vehicle"),"s-curve","linear"))</f>
        <v>n/a</v>
      </c>
      <c r="I34" s="16">
        <f t="shared" si="2"/>
        <v>1</v>
      </c>
      <c r="J34" s="16">
        <f t="shared" si="3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25">
      <c r="C35" t="s">
        <v>41</v>
      </c>
      <c r="D35">
        <v>0</v>
      </c>
      <c r="E35">
        <v>0</v>
      </c>
      <c r="F35" s="16">
        <f>E35</f>
        <v>0</v>
      </c>
      <c r="G35" s="5" t="str">
        <f>IF(E35=F35,"n/a",IF(OR(C35="battery electric vehicle",C35="natural gas vehicle",C35="plugin hybrid vehicle"),"s-curve","linear"))</f>
        <v>n/a</v>
      </c>
      <c r="I35" s="16">
        <f t="shared" si="2"/>
        <v>0</v>
      </c>
      <c r="J35" s="16">
        <f t="shared" si="3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25">
      <c r="C36" t="s">
        <v>42</v>
      </c>
      <c r="D36">
        <v>0</v>
      </c>
      <c r="E36">
        <v>0</v>
      </c>
      <c r="F36" s="16">
        <f>E36</f>
        <v>0</v>
      </c>
      <c r="G36" s="5" t="str">
        <f>IF(E36=F36,"n/a",IF(OR(C36="battery electric vehicle",C36="natural gas vehicle",C36="plugin hybrid vehicle",C36="hydrogen vehicle"),"s-curve","linear"))</f>
        <v>n/a</v>
      </c>
      <c r="I36" s="16">
        <f t="shared" si="2"/>
        <v>0</v>
      </c>
      <c r="J36" s="16">
        <f t="shared" si="3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ht="15.75" customHeight="1" thickBot="1" x14ac:dyDescent="0.3">
      <c r="A37" s="17"/>
      <c r="B37" s="17"/>
      <c r="C37" s="17" t="s">
        <v>43</v>
      </c>
      <c r="D37" s="20">
        <v>0</v>
      </c>
      <c r="E37" s="6">
        <v>0</v>
      </c>
      <c r="F37" s="20">
        <f>E37</f>
        <v>0</v>
      </c>
      <c r="G37" s="6" t="str">
        <f>IF(E37=F37,"n/a",IF(OR(C37="battery electric vehicle",C37="natural gas vehicle",C37="plugin hybrid vehicle",C37="hydrogen vehicle"),"s-curve","linear"))</f>
        <v>n/a</v>
      </c>
      <c r="I37" s="16">
        <f t="shared" si="2"/>
        <v>0</v>
      </c>
      <c r="J37" s="16">
        <f t="shared" si="3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25">
      <c r="A38" t="s">
        <v>46</v>
      </c>
      <c r="B38" t="s">
        <v>71</v>
      </c>
      <c r="C38" t="s">
        <v>37</v>
      </c>
      <c r="E38">
        <v>0</v>
      </c>
      <c r="F38">
        <v>0</v>
      </c>
      <c r="G38" s="5" t="str">
        <f>IF(E38=F38,"n/a",IF(OR(C38="battery electric vehicle",C38="natural gas vehicle",C38="plugin hybrid vehicle"),"s-curve","linear"))</f>
        <v>n/a</v>
      </c>
      <c r="I38" s="16">
        <f t="shared" ref="I38:I69" si="4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25">
      <c r="C39" t="s">
        <v>38</v>
      </c>
      <c r="E39">
        <v>0</v>
      </c>
      <c r="F39">
        <v>0</v>
      </c>
      <c r="G39" s="5" t="str">
        <f>IF(E39=F39,"n/a",IF(OR(C39="battery electric vehicle",C39="natural gas vehicle",C39="plugin hybrid vehicle"),"s-curve","linear"))</f>
        <v>n/a</v>
      </c>
      <c r="I39" s="16">
        <f t="shared" si="4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25">
      <c r="C40" t="s">
        <v>39</v>
      </c>
      <c r="E40">
        <v>0</v>
      </c>
      <c r="F40">
        <v>0</v>
      </c>
      <c r="G40" s="5" t="str">
        <f>IF(E40=F40,"n/a",IF(OR(C40="battery electric vehicle",C40="natural gas vehicle",C40="plugin hybrid vehicle"),"s-curve","linear"))</f>
        <v>n/a</v>
      </c>
      <c r="I40" s="16">
        <f t="shared" si="4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25">
      <c r="C41" t="s">
        <v>40</v>
      </c>
      <c r="E41">
        <v>1</v>
      </c>
      <c r="F41">
        <v>1</v>
      </c>
      <c r="G41" s="5" t="str">
        <f>IF(E41=F41,"n/a",IF(OR(C41="battery electric vehicle",C41="natural gas vehicle",C41="plugin hybrid vehicle"),"s-curve","linear"))</f>
        <v>n/a</v>
      </c>
      <c r="I41" s="16">
        <f t="shared" si="4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25">
      <c r="C42" t="s">
        <v>41</v>
      </c>
      <c r="E42">
        <v>0</v>
      </c>
      <c r="F42">
        <v>0</v>
      </c>
      <c r="G42" s="5" t="str">
        <f>IF(E42=F42,"n/a",IF(OR(C42="battery electric vehicle",C42="natural gas vehicle",C42="plugin hybrid vehicle"),"s-curve","linear"))</f>
        <v>n/a</v>
      </c>
      <c r="I42" s="16">
        <f t="shared" si="4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25">
      <c r="C43" t="s">
        <v>42</v>
      </c>
      <c r="E43">
        <v>0</v>
      </c>
      <c r="F43">
        <v>0</v>
      </c>
      <c r="G43" s="5" t="str">
        <f>IF(E43=F43,"n/a",IF(OR(C43="battery electric vehicle",C43="natural gas vehicle",C43="plugin hybrid vehicle",C43="hydrogen vehicle"),"s-curve","linear"))</f>
        <v>n/a</v>
      </c>
      <c r="I43" s="16">
        <f t="shared" si="4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ht="15.75" customHeight="1" thickBot="1" x14ac:dyDescent="0.3">
      <c r="A44" s="17"/>
      <c r="B44" s="17"/>
      <c r="C44" s="17" t="s">
        <v>43</v>
      </c>
      <c r="D44" s="17"/>
      <c r="E44" s="17">
        <v>0</v>
      </c>
      <c r="F44" s="17">
        <v>0</v>
      </c>
      <c r="G44" s="6" t="str">
        <f>IF(E44=F44,"n/a",IF(OR(C44="battery electric vehicle",C44="natural gas vehicle",C44="plugin hybrid vehicle",C44="hydrogen vehicle"),"s-curve","linear"))</f>
        <v>n/a</v>
      </c>
      <c r="I44" s="16">
        <f t="shared" si="4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25">
      <c r="A45" t="s">
        <v>46</v>
      </c>
      <c r="B45" t="s">
        <v>72</v>
      </c>
      <c r="C45" t="s">
        <v>37</v>
      </c>
      <c r="E45">
        <v>0</v>
      </c>
      <c r="F45">
        <v>0</v>
      </c>
      <c r="G45" s="5" t="str">
        <f>IF(E45=F45,"n/a",IF(OR(C45="battery electric vehicle",C45="natural gas vehicle",C45="plugin hybrid vehicle"),"s-curve","linear"))</f>
        <v>n/a</v>
      </c>
      <c r="I45" s="16">
        <f t="shared" si="4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25">
      <c r="C46" t="s">
        <v>38</v>
      </c>
      <c r="E46">
        <v>0</v>
      </c>
      <c r="F46">
        <v>0</v>
      </c>
      <c r="G46" s="5" t="str">
        <f>IF(E46=F46,"n/a",IF(OR(C46="battery electric vehicle",C46="natural gas vehicle",C46="plugin hybrid vehicle"),"s-curve","linear"))</f>
        <v>n/a</v>
      </c>
      <c r="I46" s="16">
        <f t="shared" si="4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25">
      <c r="C47" t="s">
        <v>39</v>
      </c>
      <c r="E47">
        <v>0</v>
      </c>
      <c r="F47">
        <v>0</v>
      </c>
      <c r="G47" s="5" t="str">
        <f>IF(E47=F47,"n/a",IF(OR(C47="battery electric vehicle",C47="natural gas vehicle",C47="plugin hybrid vehicle"),"s-curve","linear"))</f>
        <v>n/a</v>
      </c>
      <c r="I47" s="16">
        <f t="shared" si="4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25">
      <c r="C48" t="s">
        <v>40</v>
      </c>
      <c r="E48">
        <v>1</v>
      </c>
      <c r="F48">
        <v>1</v>
      </c>
      <c r="G48" s="5" t="str">
        <f>IF(E48=F48,"n/a",IF(OR(C48="battery electric vehicle",C48="natural gas vehicle",C48="plugin hybrid vehicle"),"s-curve","linear"))</f>
        <v>n/a</v>
      </c>
      <c r="I48" s="16">
        <f t="shared" si="4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25">
      <c r="C49" t="s">
        <v>41</v>
      </c>
      <c r="E49">
        <v>0</v>
      </c>
      <c r="F49">
        <v>0</v>
      </c>
      <c r="G49" s="5" t="str">
        <f>IF(E49=F49,"n/a",IF(OR(C49="battery electric vehicle",C49="natural gas vehicle",C49="plugin hybrid vehicle"),"s-curve","linear"))</f>
        <v>n/a</v>
      </c>
      <c r="I49" s="16">
        <f t="shared" si="4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25">
      <c r="C50" t="s">
        <v>42</v>
      </c>
      <c r="E50">
        <v>0</v>
      </c>
      <c r="F50">
        <v>0</v>
      </c>
      <c r="G50" s="5" t="str">
        <f>IF(E50=F50,"n/a",IF(OR(C50="battery electric vehicle",C50="natural gas vehicle",C50="plugin hybrid vehicle",C50="hydrogen vehicle"),"s-curve","linear"))</f>
        <v>n/a</v>
      </c>
      <c r="I50" s="16">
        <f t="shared" si="4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ht="15.75" customHeight="1" thickBot="1" x14ac:dyDescent="0.3">
      <c r="A51" s="17"/>
      <c r="B51" s="17"/>
      <c r="C51" s="17" t="s">
        <v>43</v>
      </c>
      <c r="D51" s="17"/>
      <c r="E51" s="17">
        <v>0</v>
      </c>
      <c r="F51" s="17">
        <v>0</v>
      </c>
      <c r="G51" s="6" t="str">
        <f>IF(E51=F51,"n/a",IF(OR(C51="battery electric vehicle",C51="natural gas vehicle",C51="plugin hybrid vehicle",C51="hydrogen vehicle"),"s-curve","linear"))</f>
        <v>n/a</v>
      </c>
      <c r="I51" s="16">
        <f t="shared" si="4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25">
      <c r="A52" t="s">
        <v>47</v>
      </c>
      <c r="B52" t="s">
        <v>71</v>
      </c>
      <c r="C52" t="s">
        <v>37</v>
      </c>
      <c r="E52" s="16">
        <f>'Calibration rail'!C4</f>
        <v>1</v>
      </c>
      <c r="F52" s="16">
        <f>E52</f>
        <v>1</v>
      </c>
      <c r="G52" s="5" t="s">
        <v>73</v>
      </c>
      <c r="I52" s="16">
        <f t="shared" si="4"/>
        <v>1</v>
      </c>
      <c r="J52">
        <f>IF($G52="s-curve",$E52+($F52-$E52)*$I$2/(1+EXP($I$3*(COUNT($I$9:J$9)+$I$4))),TREND($E52:$F52,$E$9:$F$9,J$9))</f>
        <v>1</v>
      </c>
      <c r="K52">
        <f>IF($G52="s-curve",$E52+($F52-$E52)*$I$2/(1+EXP($I$3*(COUNT($I$9:K$9)+$I$4))),TREND($E52:$F52,$E$9:$F$9,K$9))</f>
        <v>1</v>
      </c>
      <c r="L52">
        <f>IF($G52="s-curve",$E52+($F52-$E52)*$I$2/(1+EXP($I$3*(COUNT($I$9:L$9)+$I$4))),TREND($E52:$F52,$E$9:$F$9,L$9))</f>
        <v>1</v>
      </c>
      <c r="M52">
        <f>IF($G52="s-curve",$E52+($F52-$E52)*$I$2/(1+EXP($I$3*(COUNT($I$9:M$9)+$I$4))),TREND($E52:$F52,$E$9:$F$9,M$9))</f>
        <v>1</v>
      </c>
      <c r="N52">
        <f>IF($G52="s-curve",$E52+($F52-$E52)*$I$2/(1+EXP($I$3*(COUNT($I$9:N$9)+$I$4))),TREND($E52:$F52,$E$9:$F$9,N$9))</f>
        <v>1</v>
      </c>
      <c r="O52">
        <f>IF($G52="s-curve",$E52+($F52-$E52)*$I$2/(1+EXP($I$3*(COUNT($I$9:O$9)+$I$4))),TREND($E52:$F52,$E$9:$F$9,O$9))</f>
        <v>1</v>
      </c>
      <c r="P52">
        <f>IF($G52="s-curve",$E52+($F52-$E52)*$I$2/(1+EXP($I$3*(COUNT($I$9:P$9)+$I$4))),TREND($E52:$F52,$E$9:$F$9,P$9))</f>
        <v>1</v>
      </c>
      <c r="Q52">
        <f>IF($G52="s-curve",$E52+($F52-$E52)*$I$2/(1+EXP($I$3*(COUNT($I$9:Q$9)+$I$4))),TREND($E52:$F52,$E$9:$F$9,Q$9))</f>
        <v>1</v>
      </c>
      <c r="R52">
        <f>IF($G52="s-curve",$E52+($F52-$E52)*$I$2/(1+EXP($I$3*(COUNT($I$9:R$9)+$I$4))),TREND($E52:$F52,$E$9:$F$9,R$9))</f>
        <v>1</v>
      </c>
      <c r="S52">
        <f>IF($G52="s-curve",$E52+($F52-$E52)*$I$2/(1+EXP($I$3*(COUNT($I$9:S$9)+$I$4))),TREND($E52:$F52,$E$9:$F$9,S$9))</f>
        <v>1</v>
      </c>
      <c r="T52">
        <f>IF($G52="s-curve",$E52+($F52-$E52)*$I$2/(1+EXP($I$3*(COUNT($I$9:T$9)+$I$4))),TREND($E52:$F52,$E$9:$F$9,T$9))</f>
        <v>1</v>
      </c>
      <c r="U52">
        <f>IF($G52="s-curve",$E52+($F52-$E52)*$I$2/(1+EXP($I$3*(COUNT($I$9:U$9)+$I$4))),TREND($E52:$F52,$E$9:$F$9,U$9))</f>
        <v>1</v>
      </c>
      <c r="V52">
        <f>IF($G52="s-curve",$E52+($F52-$E52)*$I$2/(1+EXP($I$3*(COUNT($I$9:V$9)+$I$4))),TREND($E52:$F52,$E$9:$F$9,V$9))</f>
        <v>1</v>
      </c>
      <c r="W52">
        <f>IF($G52="s-curve",$E52+($F52-$E52)*$I$2/(1+EXP($I$3*(COUNT($I$9:W$9)+$I$4))),TREND($E52:$F52,$E$9:$F$9,W$9))</f>
        <v>1</v>
      </c>
      <c r="X52">
        <f>IF($G52="s-curve",$E52+($F52-$E52)*$I$2/(1+EXP($I$3*(COUNT($I$9:X$9)+$I$4))),TREND($E52:$F52,$E$9:$F$9,X$9))</f>
        <v>1</v>
      </c>
      <c r="Y52">
        <f>IF($G52="s-curve",$E52+($F52-$E52)*$I$2/(1+EXP($I$3*(COUNT($I$9:Y$9)+$I$4))),TREND($E52:$F52,$E$9:$F$9,Y$9))</f>
        <v>1</v>
      </c>
      <c r="Z52">
        <f>IF($G52="s-curve",$E52+($F52-$E52)*$I$2/(1+EXP($I$3*(COUNT($I$9:Z$9)+$I$4))),TREND($E52:$F52,$E$9:$F$9,Z$9))</f>
        <v>1</v>
      </c>
      <c r="AA52">
        <f>IF($G52="s-curve",$E52+($F52-$E52)*$I$2/(1+EXP($I$3*(COUNT($I$9:AA$9)+$I$4))),TREND($E52:$F52,$E$9:$F$9,AA$9))</f>
        <v>1</v>
      </c>
      <c r="AB52">
        <f>IF($G52="s-curve",$E52+($F52-$E52)*$I$2/(1+EXP($I$3*(COUNT($I$9:AB$9)+$I$4))),TREND($E52:$F52,$E$9:$F$9,AB$9))</f>
        <v>1</v>
      </c>
      <c r="AC52">
        <f>IF($G52="s-curve",$E52+($F52-$E52)*$I$2/(1+EXP($I$3*(COUNT($I$9:AC$9)+$I$4))),TREND($E52:$F52,$E$9:$F$9,AC$9))</f>
        <v>1</v>
      </c>
      <c r="AD52">
        <f>IF($G52="s-curve",$E52+($F52-$E52)*$I$2/(1+EXP($I$3*(COUNT($I$9:AD$9)+$I$4))),TREND($E52:$F52,$E$9:$F$9,AD$9))</f>
        <v>1</v>
      </c>
      <c r="AE52">
        <f>IF($G52="s-curve",$E52+($F52-$E52)*$I$2/(1+EXP($I$3*(COUNT($I$9:AE$9)+$I$4))),TREND($E52:$F52,$E$9:$F$9,AE$9))</f>
        <v>1</v>
      </c>
      <c r="AF52">
        <f>IF($G52="s-curve",$E52+($F52-$E52)*$I$2/(1+EXP($I$3*(COUNT($I$9:AF$9)+$I$4))),TREND($E52:$F52,$E$9:$F$9,AF$9))</f>
        <v>1</v>
      </c>
      <c r="AG52">
        <f>IF($G52="s-curve",$E52+($F52-$E52)*$I$2/(1+EXP($I$3*(COUNT($I$9:AG$9)+$I$4))),TREND($E52:$F52,$E$9:$F$9,AG$9))</f>
        <v>1</v>
      </c>
      <c r="AH52">
        <f>IF($G52="s-curve",$E52+($F52-$E52)*$I$2/(1+EXP($I$3*(COUNT($I$9:AH$9)+$I$4))),TREND($E52:$F52,$E$9:$F$9,AH$9))</f>
        <v>1</v>
      </c>
      <c r="AI52">
        <f>IF($G52="s-curve",$E52+($F52-$E52)*$I$2/(1+EXP($I$3*(COUNT($I$9:AI$9)+$I$4))),TREND($E52:$F52,$E$9:$F$9,AI$9))</f>
        <v>1</v>
      </c>
    </row>
    <row r="53" spans="1:35" x14ac:dyDescent="0.25">
      <c r="C53" t="s">
        <v>38</v>
      </c>
      <c r="E53">
        <v>0</v>
      </c>
      <c r="F53">
        <v>0</v>
      </c>
      <c r="G53" s="5" t="str">
        <f>IF(E53=F53,"n/a",IF(OR(C53="battery electric vehicle",C53="natural gas vehicle",C53="plugin hybrid vehicle"),"s-curve","linear"))</f>
        <v>n/a</v>
      </c>
      <c r="I53" s="16">
        <f t="shared" si="4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25">
      <c r="C54" t="s">
        <v>39</v>
      </c>
      <c r="E54">
        <v>0</v>
      </c>
      <c r="F54">
        <v>0</v>
      </c>
      <c r="G54" s="5" t="str">
        <f>IF(E54=F54,"n/a",IF(OR(C54="battery electric vehicle",C54="natural gas vehicle",C54="plugin hybrid vehicle"),"s-curve","linear"))</f>
        <v>n/a</v>
      </c>
      <c r="I54" s="16">
        <f t="shared" si="4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25">
      <c r="C55" t="s">
        <v>40</v>
      </c>
      <c r="E55" s="16">
        <f>'Calibration rail'!C5</f>
        <v>0.10755844933173792</v>
      </c>
      <c r="F55" s="16">
        <f>E55</f>
        <v>0.10755844933173792</v>
      </c>
      <c r="G55" s="5" t="str">
        <f>IF(E55=F55,"n/a",IF(OR(C55="battery electric vehicle",C55="natural gas vehicle",C55="plugin hybrid vehicle"),"s-curve","linear"))</f>
        <v>n/a</v>
      </c>
      <c r="I55" s="16">
        <f t="shared" si="4"/>
        <v>0.10755844933173792</v>
      </c>
      <c r="J55">
        <f>IF($G55="s-curve",$E55+($F55-$E55)*$I$2/(1+EXP($I$3*(COUNT($I$9:J$9)+$I$4))),TREND($E55:$F55,$E$9:$F$9,J$9))</f>
        <v>0.10755844933173792</v>
      </c>
      <c r="K55">
        <f>IF($G55="s-curve",$E55+($F55-$E55)*$I$2/(1+EXP($I$3*(COUNT($I$9:K$9)+$I$4))),TREND($E55:$F55,$E$9:$F$9,K$9))</f>
        <v>0.10755844933173792</v>
      </c>
      <c r="L55">
        <f>IF($G55="s-curve",$E55+($F55-$E55)*$I$2/(1+EXP($I$3*(COUNT($I$9:L$9)+$I$4))),TREND($E55:$F55,$E$9:$F$9,L$9))</f>
        <v>0.10755844933173792</v>
      </c>
      <c r="M55">
        <f>IF($G55="s-curve",$E55+($F55-$E55)*$I$2/(1+EXP($I$3*(COUNT($I$9:M$9)+$I$4))),TREND($E55:$F55,$E$9:$F$9,M$9))</f>
        <v>0.10755844933173792</v>
      </c>
      <c r="N55">
        <f>IF($G55="s-curve",$E55+($F55-$E55)*$I$2/(1+EXP($I$3*(COUNT($I$9:N$9)+$I$4))),TREND($E55:$F55,$E$9:$F$9,N$9))</f>
        <v>0.10755844933173792</v>
      </c>
      <c r="O55">
        <f>IF($G55="s-curve",$E55+($F55-$E55)*$I$2/(1+EXP($I$3*(COUNT($I$9:O$9)+$I$4))),TREND($E55:$F55,$E$9:$F$9,O$9))</f>
        <v>0.10755844933173792</v>
      </c>
      <c r="P55">
        <f>IF($G55="s-curve",$E55+($F55-$E55)*$I$2/(1+EXP($I$3*(COUNT($I$9:P$9)+$I$4))),TREND($E55:$F55,$E$9:$F$9,P$9))</f>
        <v>0.10755844933173792</v>
      </c>
      <c r="Q55">
        <f>IF($G55="s-curve",$E55+($F55-$E55)*$I$2/(1+EXP($I$3*(COUNT($I$9:Q$9)+$I$4))),TREND($E55:$F55,$E$9:$F$9,Q$9))</f>
        <v>0.10755844933173792</v>
      </c>
      <c r="R55">
        <f>IF($G55="s-curve",$E55+($F55-$E55)*$I$2/(1+EXP($I$3*(COUNT($I$9:R$9)+$I$4))),TREND($E55:$F55,$E$9:$F$9,R$9))</f>
        <v>0.10755844933173792</v>
      </c>
      <c r="S55">
        <f>IF($G55="s-curve",$E55+($F55-$E55)*$I$2/(1+EXP($I$3*(COUNT($I$9:S$9)+$I$4))),TREND($E55:$F55,$E$9:$F$9,S$9))</f>
        <v>0.10755844933173792</v>
      </c>
      <c r="T55">
        <f>IF($G55="s-curve",$E55+($F55-$E55)*$I$2/(1+EXP($I$3*(COUNT($I$9:T$9)+$I$4))),TREND($E55:$F55,$E$9:$F$9,T$9))</f>
        <v>0.10755844933173792</v>
      </c>
      <c r="U55">
        <f>IF($G55="s-curve",$E55+($F55-$E55)*$I$2/(1+EXP($I$3*(COUNT($I$9:U$9)+$I$4))),TREND($E55:$F55,$E$9:$F$9,U$9))</f>
        <v>0.10755844933173792</v>
      </c>
      <c r="V55">
        <f>IF($G55="s-curve",$E55+($F55-$E55)*$I$2/(1+EXP($I$3*(COUNT($I$9:V$9)+$I$4))),TREND($E55:$F55,$E$9:$F$9,V$9))</f>
        <v>0.10755844933173792</v>
      </c>
      <c r="W55">
        <f>IF($G55="s-curve",$E55+($F55-$E55)*$I$2/(1+EXP($I$3*(COUNT($I$9:W$9)+$I$4))),TREND($E55:$F55,$E$9:$F$9,W$9))</f>
        <v>0.10755844933173792</v>
      </c>
      <c r="X55">
        <f>IF($G55="s-curve",$E55+($F55-$E55)*$I$2/(1+EXP($I$3*(COUNT($I$9:X$9)+$I$4))),TREND($E55:$F55,$E$9:$F$9,X$9))</f>
        <v>0.10755844933173792</v>
      </c>
      <c r="Y55">
        <f>IF($G55="s-curve",$E55+($F55-$E55)*$I$2/(1+EXP($I$3*(COUNT($I$9:Y$9)+$I$4))),TREND($E55:$F55,$E$9:$F$9,Y$9))</f>
        <v>0.10755844933173792</v>
      </c>
      <c r="Z55">
        <f>IF($G55="s-curve",$E55+($F55-$E55)*$I$2/(1+EXP($I$3*(COUNT($I$9:Z$9)+$I$4))),TREND($E55:$F55,$E$9:$F$9,Z$9))</f>
        <v>0.10755844933173792</v>
      </c>
      <c r="AA55">
        <f>IF($G55="s-curve",$E55+($F55-$E55)*$I$2/(1+EXP($I$3*(COUNT($I$9:AA$9)+$I$4))),TREND($E55:$F55,$E$9:$F$9,AA$9))</f>
        <v>0.10755844933173792</v>
      </c>
      <c r="AB55">
        <f>IF($G55="s-curve",$E55+($F55-$E55)*$I$2/(1+EXP($I$3*(COUNT($I$9:AB$9)+$I$4))),TREND($E55:$F55,$E$9:$F$9,AB$9))</f>
        <v>0.10755844933173792</v>
      </c>
      <c r="AC55">
        <f>IF($G55="s-curve",$E55+($F55-$E55)*$I$2/(1+EXP($I$3*(COUNT($I$9:AC$9)+$I$4))),TREND($E55:$F55,$E$9:$F$9,AC$9))</f>
        <v>0.10755844933173792</v>
      </c>
      <c r="AD55">
        <f>IF($G55="s-curve",$E55+($F55-$E55)*$I$2/(1+EXP($I$3*(COUNT($I$9:AD$9)+$I$4))),TREND($E55:$F55,$E$9:$F$9,AD$9))</f>
        <v>0.10755844933173792</v>
      </c>
      <c r="AE55">
        <f>IF($G55="s-curve",$E55+($F55-$E55)*$I$2/(1+EXP($I$3*(COUNT($I$9:AE$9)+$I$4))),TREND($E55:$F55,$E$9:$F$9,AE$9))</f>
        <v>0.10755844933173792</v>
      </c>
      <c r="AF55">
        <f>IF($G55="s-curve",$E55+($F55-$E55)*$I$2/(1+EXP($I$3*(COUNT($I$9:AF$9)+$I$4))),TREND($E55:$F55,$E$9:$F$9,AF$9))</f>
        <v>0.10755844933173792</v>
      </c>
      <c r="AG55">
        <f>IF($G55="s-curve",$E55+($F55-$E55)*$I$2/(1+EXP($I$3*(COUNT($I$9:AG$9)+$I$4))),TREND($E55:$F55,$E$9:$F$9,AG$9))</f>
        <v>0.10755844933173792</v>
      </c>
      <c r="AH55">
        <f>IF($G55="s-curve",$E55+($F55-$E55)*$I$2/(1+EXP($I$3*(COUNT($I$9:AH$9)+$I$4))),TREND($E55:$F55,$E$9:$F$9,AH$9))</f>
        <v>0.10755844933173792</v>
      </c>
      <c r="AI55">
        <f>IF($G55="s-curve",$E55+($F55-$E55)*$I$2/(1+EXP($I$3*(COUNT($I$9:AI$9)+$I$4))),TREND($E55:$F55,$E$9:$F$9,AI$9))</f>
        <v>0.10755844933173792</v>
      </c>
    </row>
    <row r="56" spans="1:35" x14ac:dyDescent="0.25">
      <c r="C56" t="s">
        <v>41</v>
      </c>
      <c r="E56">
        <v>0</v>
      </c>
      <c r="F56">
        <v>0</v>
      </c>
      <c r="G56" s="5" t="str">
        <f>IF(E56=F56,"n/a",IF(OR(C56="battery electric vehicle",C56="natural gas vehicle",C56="plugin hybrid vehicle"),"s-curve","linear"))</f>
        <v>n/a</v>
      </c>
      <c r="I56" s="16">
        <f t="shared" si="4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25">
      <c r="C57" t="s">
        <v>42</v>
      </c>
      <c r="E57">
        <v>0</v>
      </c>
      <c r="F57">
        <v>0</v>
      </c>
      <c r="G57" s="5" t="str">
        <f>IF(E57=F57,"n/a",IF(OR(C57="battery electric vehicle",C57="natural gas vehicle",C57="plugin hybrid vehicle",C57="hydrogen vehicle"),"s-curve","linear"))</f>
        <v>n/a</v>
      </c>
      <c r="I57" s="16">
        <f t="shared" si="4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ht="15.75" customHeight="1" thickBot="1" x14ac:dyDescent="0.3">
      <c r="A58" s="17"/>
      <c r="B58" s="17"/>
      <c r="C58" s="17" t="s">
        <v>43</v>
      </c>
      <c r="D58" s="17"/>
      <c r="E58" s="17">
        <v>0</v>
      </c>
      <c r="F58" s="17">
        <v>0</v>
      </c>
      <c r="G58" s="6" t="str">
        <f>IF(E58=F58,"n/a",IF(OR(C58="battery electric vehicle",C58="natural gas vehicle",C58="plugin hybrid vehicle",C58="hydrogen vehicle"),"s-curve","linear"))</f>
        <v>n/a</v>
      </c>
      <c r="I58" s="16">
        <f t="shared" si="4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25">
      <c r="A59" t="s">
        <v>47</v>
      </c>
      <c r="B59" t="s">
        <v>72</v>
      </c>
      <c r="C59" t="s">
        <v>37</v>
      </c>
      <c r="E59">
        <v>0</v>
      </c>
      <c r="F59">
        <v>0</v>
      </c>
      <c r="G59" s="5" t="str">
        <f>IF(E59=F59,"n/a",IF(OR(C59="battery electric vehicle",C59="natural gas vehicle",C59="plugin hybrid vehicle"),"s-curve","linear"))</f>
        <v>n/a</v>
      </c>
      <c r="I59" s="16">
        <f t="shared" si="4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25">
      <c r="C60" t="s">
        <v>38</v>
      </c>
      <c r="E60">
        <v>0</v>
      </c>
      <c r="F60">
        <v>0</v>
      </c>
      <c r="G60" s="5" t="str">
        <f>IF(E60=F60,"n/a",IF(OR(C60="battery electric vehicle",C60="natural gas vehicle",C60="plugin hybrid vehicle"),"s-curve","linear"))</f>
        <v>n/a</v>
      </c>
      <c r="I60" s="16">
        <f t="shared" si="4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25">
      <c r="C61" t="s">
        <v>39</v>
      </c>
      <c r="E61">
        <v>0</v>
      </c>
      <c r="F61">
        <v>0</v>
      </c>
      <c r="G61" s="5" t="str">
        <f>IF(E61=F61,"n/a",IF(OR(C61="battery electric vehicle",C61="natural gas vehicle",C61="plugin hybrid vehicle"),"s-curve","linear"))</f>
        <v>n/a</v>
      </c>
      <c r="I61" s="16">
        <f t="shared" si="4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25">
      <c r="C62" t="s">
        <v>40</v>
      </c>
      <c r="E62">
        <v>1</v>
      </c>
      <c r="F62">
        <v>1</v>
      </c>
      <c r="G62" s="5" t="str">
        <f>IF(E62=F62,"n/a",IF(OR(C62="battery electric vehicle",C62="natural gas vehicle",C62="plugin hybrid vehicle"),"s-curve","linear"))</f>
        <v>n/a</v>
      </c>
      <c r="I62" s="16">
        <f t="shared" si="4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25">
      <c r="C63" t="s">
        <v>41</v>
      </c>
      <c r="E63">
        <v>0</v>
      </c>
      <c r="F63">
        <v>0</v>
      </c>
      <c r="G63" s="5" t="str">
        <f>IF(E63=F63,"n/a",IF(OR(C63="battery electric vehicle",C63="natural gas vehicle",C63="plugin hybrid vehicle"),"s-curve","linear"))</f>
        <v>n/a</v>
      </c>
      <c r="I63" s="16">
        <f t="shared" si="4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25">
      <c r="C64" t="s">
        <v>42</v>
      </c>
      <c r="E64">
        <v>0</v>
      </c>
      <c r="F64">
        <v>0</v>
      </c>
      <c r="G64" s="5" t="str">
        <f>IF(E64=F64,"n/a",IF(OR(C64="battery electric vehicle",C64="natural gas vehicle",C64="plugin hybrid vehicle",C64="hydrogen vehicle"),"s-curve","linear"))</f>
        <v>n/a</v>
      </c>
      <c r="I64" s="16">
        <f t="shared" si="4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ht="15.75" customHeight="1" thickBot="1" x14ac:dyDescent="0.3">
      <c r="A65" s="17"/>
      <c r="B65" s="17"/>
      <c r="C65" s="17" t="s">
        <v>43</v>
      </c>
      <c r="D65" s="17"/>
      <c r="E65" s="17">
        <v>0</v>
      </c>
      <c r="F65" s="17">
        <v>0</v>
      </c>
      <c r="G65" s="6" t="str">
        <f>IF(E65=F65,"n/a",IF(OR(C65="battery electric vehicle",C65="natural gas vehicle",C65="plugin hybrid vehicle",C65="hydrogen vehicle"),"s-curve","linear"))</f>
        <v>n/a</v>
      </c>
      <c r="I65" s="16">
        <f t="shared" si="4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25">
      <c r="A66" t="s">
        <v>48</v>
      </c>
      <c r="B66" t="s">
        <v>71</v>
      </c>
      <c r="C66" t="s">
        <v>37</v>
      </c>
      <c r="E66">
        <v>0</v>
      </c>
      <c r="F66">
        <v>0</v>
      </c>
      <c r="G66" s="5" t="str">
        <f>IF(E66=F66,"n/a",IF(OR(C66="battery electric vehicle",C66="natural gas vehicle",C66="plugin hybrid vehicle"),"s-curve","linear"))</f>
        <v>n/a</v>
      </c>
      <c r="I66" s="16">
        <f t="shared" si="4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25">
      <c r="C67" t="s">
        <v>38</v>
      </c>
      <c r="E67">
        <v>0</v>
      </c>
      <c r="F67">
        <v>0</v>
      </c>
      <c r="G67" s="5" t="str">
        <f>IF(E67=F67,"n/a",IF(OR(C67="battery electric vehicle",C67="natural gas vehicle",C67="plugin hybrid vehicle"),"s-curve","linear"))</f>
        <v>n/a</v>
      </c>
      <c r="I67" s="16">
        <f t="shared" si="4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25">
      <c r="C68" t="s">
        <v>39</v>
      </c>
      <c r="E68">
        <v>0</v>
      </c>
      <c r="F68">
        <v>0</v>
      </c>
      <c r="G68" s="5" t="str">
        <f>IF(E68=F68,"n/a",IF(OR(C68="battery electric vehicle",C68="natural gas vehicle",C68="plugin hybrid vehicle"),"s-curve","linear"))</f>
        <v>n/a</v>
      </c>
      <c r="I68" s="16">
        <f t="shared" si="4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25">
      <c r="C69" t="s">
        <v>40</v>
      </c>
      <c r="E69">
        <v>1</v>
      </c>
      <c r="F69">
        <v>1</v>
      </c>
      <c r="G69" s="5" t="str">
        <f>IF(E69=F69,"n/a",IF(OR(C69="battery electric vehicle",C69="natural gas vehicle",C69="plugin hybrid vehicle"),"s-curve","linear"))</f>
        <v>n/a</v>
      </c>
      <c r="I69" s="16">
        <f t="shared" si="4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25">
      <c r="C70" t="s">
        <v>41</v>
      </c>
      <c r="E70">
        <v>0</v>
      </c>
      <c r="F70">
        <v>0</v>
      </c>
      <c r="G70" s="5" t="str">
        <f>IF(E70=F70,"n/a",IF(OR(C70="battery electric vehicle",C70="natural gas vehicle",C70="plugin hybrid vehicle"),"s-curve","linear"))</f>
        <v>n/a</v>
      </c>
      <c r="I70" s="16">
        <f t="shared" ref="I70:I93" si="5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25">
      <c r="C71" t="s">
        <v>42</v>
      </c>
      <c r="E71">
        <v>0</v>
      </c>
      <c r="F71">
        <v>0</v>
      </c>
      <c r="G71" s="5" t="str">
        <f>IF(E71=F71,"n/a",IF(OR(C71="battery electric vehicle",C71="natural gas vehicle",C71="plugin hybrid vehicle",C71="hydrogen vehicle"),"s-curve","linear"))</f>
        <v>n/a</v>
      </c>
      <c r="I71" s="16">
        <f t="shared" si="5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ht="15.75" customHeight="1" thickBot="1" x14ac:dyDescent="0.3">
      <c r="A72" s="17"/>
      <c r="B72" s="17"/>
      <c r="C72" s="17" t="s">
        <v>43</v>
      </c>
      <c r="D72" s="17"/>
      <c r="E72" s="17">
        <v>0</v>
      </c>
      <c r="F72" s="17">
        <v>0</v>
      </c>
      <c r="G72" s="6" t="str">
        <f>IF(E72=F72,"n/a",IF(OR(C72="battery electric vehicle",C72="natural gas vehicle",C72="plugin hybrid vehicle",C72="hydrogen vehicle"),"s-curve","linear"))</f>
        <v>n/a</v>
      </c>
      <c r="I72" s="16">
        <f t="shared" si="5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25">
      <c r="A73" t="s">
        <v>48</v>
      </c>
      <c r="B73" t="s">
        <v>72</v>
      </c>
      <c r="C73" t="s">
        <v>37</v>
      </c>
      <c r="E73">
        <v>0</v>
      </c>
      <c r="F73">
        <v>0</v>
      </c>
      <c r="G73" s="5" t="str">
        <f>IF(E73=F73,"n/a",IF(OR(C73="battery electric vehicle",C73="natural gas vehicle",C73="plugin hybrid vehicle"),"s-curve","linear"))</f>
        <v>n/a</v>
      </c>
      <c r="I73" s="16">
        <f t="shared" si="5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25">
      <c r="C74" t="s">
        <v>38</v>
      </c>
      <c r="E74">
        <v>0</v>
      </c>
      <c r="F74">
        <v>0</v>
      </c>
      <c r="G74" s="5" t="str">
        <f>IF(E74=F74,"n/a",IF(OR(C74="battery electric vehicle",C74="natural gas vehicle",C74="plugin hybrid vehicle"),"s-curve","linear"))</f>
        <v>n/a</v>
      </c>
      <c r="I74" s="16">
        <f t="shared" si="5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25">
      <c r="C75" t="s">
        <v>39</v>
      </c>
      <c r="E75">
        <v>0</v>
      </c>
      <c r="F75">
        <v>0</v>
      </c>
      <c r="G75" s="5" t="str">
        <f>IF(E75=F75,"n/a",IF(OR(C75="battery electric vehicle",C75="natural gas vehicle",C75="plugin hybrid vehicle"),"s-curve","linear"))</f>
        <v>n/a</v>
      </c>
      <c r="I75" s="16">
        <f t="shared" si="5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25">
      <c r="C76" t="s">
        <v>40</v>
      </c>
      <c r="E76">
        <v>1</v>
      </c>
      <c r="F76">
        <v>1</v>
      </c>
      <c r="G76" s="5" t="str">
        <f>IF(E76=F76,"n/a",IF(OR(C76="battery electric vehicle",C76="natural gas vehicle",C76="plugin hybrid vehicle"),"s-curve","linear"))</f>
        <v>n/a</v>
      </c>
      <c r="I76" s="16">
        <f t="shared" si="5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25">
      <c r="C77" t="s">
        <v>41</v>
      </c>
      <c r="E77">
        <v>0</v>
      </c>
      <c r="F77">
        <v>0</v>
      </c>
      <c r="G77" s="5" t="str">
        <f>IF(E77=F77,"n/a",IF(OR(C77="battery electric vehicle",C77="natural gas vehicle",C77="plugin hybrid vehicle"),"s-curve","linear"))</f>
        <v>n/a</v>
      </c>
      <c r="I77" s="16">
        <f t="shared" si="5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25">
      <c r="C78" t="s">
        <v>42</v>
      </c>
      <c r="E78">
        <v>0</v>
      </c>
      <c r="F78">
        <v>0</v>
      </c>
      <c r="G78" s="5" t="str">
        <f>IF(E78=F78,"n/a",IF(OR(C78="battery electric vehicle",C78="natural gas vehicle",C78="plugin hybrid vehicle",C78="hydrogen vehicle"),"s-curve","linear"))</f>
        <v>n/a</v>
      </c>
      <c r="I78" s="16">
        <f t="shared" si="5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ht="15.75" customHeight="1" thickBot="1" x14ac:dyDescent="0.3">
      <c r="A79" s="17"/>
      <c r="B79" s="17"/>
      <c r="C79" s="17" t="s">
        <v>43</v>
      </c>
      <c r="D79" s="17"/>
      <c r="E79" s="17">
        <v>0</v>
      </c>
      <c r="F79" s="17">
        <v>0</v>
      </c>
      <c r="G79" s="6" t="str">
        <f>IF(E79=F79,"n/a",IF(OR(C79="battery electric vehicle",C79="natural gas vehicle",C79="plugin hybrid vehicle",C79="hydrogen vehicle"),"s-curve","linear"))</f>
        <v>n/a</v>
      </c>
      <c r="I79" s="16">
        <f t="shared" si="5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25">
      <c r="A80" t="s">
        <v>49</v>
      </c>
      <c r="B80" t="s">
        <v>71</v>
      </c>
      <c r="C80" t="s">
        <v>37</v>
      </c>
      <c r="D80">
        <f t="shared" ref="D80:F86" si="6">D10</f>
        <v>0.148288948</v>
      </c>
      <c r="E80">
        <f t="shared" si="6"/>
        <v>0.148288948</v>
      </c>
      <c r="F80">
        <f t="shared" si="6"/>
        <v>1</v>
      </c>
      <c r="G80" s="5" t="str">
        <f>IF(E80=F80,"n/a",IF(OR(C80="battery electric vehicle",C80="natural gas vehicle",C80="plugin hybrid vehicle"),"s-curve","linear"))</f>
        <v>s-curve</v>
      </c>
      <c r="I80" s="16">
        <f t="shared" si="5"/>
        <v>0.148288948</v>
      </c>
      <c r="J80">
        <f>IF($G80="s-curve",$E80+($F80-$E80)*$O$2/(1+EXP($O$3*(COUNT($I$9:J$9)+$O$4))),TREND($E80:$F80,$E$9:$F$9,J$9))</f>
        <v>0.20192405133527508</v>
      </c>
      <c r="K80">
        <f>IF($G80="s-curve",$E80+($F80-$E80)*$O$2/(1+EXP($O$3*(COUNT($I$9:K$9)+$O$4))),TREND($E80:$F80,$E$9:$F$9,K$9))</f>
        <v>0.21912805282851533</v>
      </c>
      <c r="L80">
        <f>IF($G80="s-curve",$E80+($F80-$E80)*$O$2/(1+EXP($O$3*(COUNT($I$9:L$9)+$O$4))),TREND($E80:$F80,$E$9:$F$9,L$9))</f>
        <v>0.24120791635037137</v>
      </c>
      <c r="M80">
        <f>IF($G80="s-curve",$E80+($F80-$E80)*$O$2/(1+EXP($O$3*(COUNT($I$9:M$9)+$O$4))),TREND($E80:$F80,$E$9:$F$9,M$9))</f>
        <v>0.26910506771371479</v>
      </c>
      <c r="N80">
        <f>IF($G80="s-curve",$E80+($F80-$E80)*$O$2/(1+EXP($O$3*(COUNT($I$9:N$9)+$O$4))),TREND($E80:$F80,$E$9:$F$9,N$9))</f>
        <v>0.30366278279276282</v>
      </c>
      <c r="O80">
        <f>IF($G80="s-curve",$E80+($F80-$E80)*$O$2/(1+EXP($O$3*(COUNT($I$9:O$9)+$O$4))),TREND($E80:$F80,$E$9:$F$9,O$9))</f>
        <v>0.34543894815797949</v>
      </c>
      <c r="P80">
        <f>IF($G80="s-curve",$E80+($F80-$E80)*$O$2/(1+EXP($O$3*(COUNT($I$9:P$9)+$O$4))),TREND($E80:$F80,$E$9:$F$9,P$9))</f>
        <v>0.39447645120038111</v>
      </c>
      <c r="Q80">
        <f>IF($G80="s-curve",$E80+($F80-$E80)*$O$2/(1+EXP($O$3*(COUNT($I$9:Q$9)+$O$4))),TREND($E80:$F80,$E$9:$F$9,Q$9))</f>
        <v>0.45008738819399363</v>
      </c>
      <c r="R80">
        <f>IF($G80="s-curve",$E80+($F80-$E80)*$O$2/(1+EXP($O$3*(COUNT($I$9:R$9)+$O$4))),TREND($E80:$F80,$E$9:$F$9,R$9))</f>
        <v>0.51074095969281419</v>
      </c>
      <c r="S80">
        <f>IF($G80="s-curve",$E80+($F80-$E80)*$O$2/(1+EXP($O$3*(COUNT($I$9:S$9)+$O$4))),TREND($E80:$F80,$E$9:$F$9,S$9))</f>
        <v>0.57414447400000002</v>
      </c>
      <c r="T80">
        <f>IF($G80="s-curve",$E80+($F80-$E80)*$O$2/(1+EXP($O$3*(COUNT($I$9:T$9)+$O$4))),TREND($E80:$F80,$E$9:$F$9,T$9))</f>
        <v>0.63754798830718573</v>
      </c>
      <c r="U80">
        <f>IF($G80="s-curve",$E80+($F80-$E80)*$O$2/(1+EXP($O$3*(COUNT($I$9:U$9)+$O$4))),TREND($E80:$F80,$E$9:$F$9,U$9))</f>
        <v>0.6982015598060064</v>
      </c>
      <c r="V80">
        <f>IF($G80="s-curve",$E80+($F80-$E80)*$O$2/(1+EXP($O$3*(COUNT($I$9:V$9)+$O$4))),TREND($E80:$F80,$E$9:$F$9,V$9))</f>
        <v>0.75381249679961881</v>
      </c>
      <c r="W80">
        <f>IF($G80="s-curve",$E80+($F80-$E80)*$O$2/(1+EXP($O$3*(COUNT($I$9:W$9)+$O$4))),TREND($E80:$F80,$E$9:$F$9,W$9))</f>
        <v>0.80284999984202055</v>
      </c>
      <c r="X80">
        <f>IF($G80="s-curve",$E80+($F80-$E80)*$O$2/(1+EXP($O$3*(COUNT($I$9:X$9)+$O$4))),TREND($E80:$F80,$E$9:$F$9,X$9))</f>
        <v>0.84462616520723721</v>
      </c>
      <c r="Y80">
        <f>IF($G80="s-curve",$E80+($F80-$E80)*$O$2/(1+EXP($O$3*(COUNT($I$9:Y$9)+$O$4))),TREND($E80:$F80,$E$9:$F$9,Y$9))</f>
        <v>0.87918388028628536</v>
      </c>
      <c r="Z80">
        <f>IF($G80="s-curve",$E80+($F80-$E80)*$O$2/(1+EXP($O$3*(COUNT($I$9:Z$9)+$O$4))),TREND($E80:$F80,$E$9:$F$9,Z$9))</f>
        <v>0.90708103164962861</v>
      </c>
      <c r="AA80">
        <f>IF($G80="s-curve",$E80+($F80-$E80)*$O$2/(1+EXP($O$3*(COUNT($I$9:AA$9)+$O$4))),TREND($E80:$F80,$E$9:$F$9,AA$9))</f>
        <v>0.9291608951714847</v>
      </c>
      <c r="AB80">
        <f>IF($G80="s-curve",$E80+($F80-$E80)*$O$2/(1+EXP($O$3*(COUNT($I$9:AB$9)+$O$4))),TREND($E80:$F80,$E$9:$F$9,AB$9))</f>
        <v>0.94636489666472501</v>
      </c>
      <c r="AC80">
        <f>IF($G80="s-curve",$E80+($F80-$E80)*$O$2/(1+EXP($O$3*(COUNT($I$9:AC$9)+$O$4))),TREND($E80:$F80,$E$9:$F$9,AC$9))</f>
        <v>0.95960685966391612</v>
      </c>
      <c r="AD80">
        <f>IF($G80="s-curve",$E80+($F80-$E80)*$O$2/(1+EXP($O$3*(COUNT($I$9:AD$9)+$O$4))),TREND($E80:$F80,$E$9:$F$9,AD$9))</f>
        <v>0.96970362496371199</v>
      </c>
      <c r="AE80">
        <f>IF($G80="s-curve",$E80+($F80-$E80)*$O$2/(1+EXP($O$3*(COUNT($I$9:AE$9)+$O$4))),TREND($E80:$F80,$E$9:$F$9,AE$9))</f>
        <v>0.97734704662061023</v>
      </c>
      <c r="AF80">
        <f>IF($G80="s-curve",$E80+($F80-$E80)*$O$2/(1+EXP($O$3*(COUNT($I$9:AF$9)+$O$4))),TREND($E80:$F80,$E$9:$F$9,AF$9))</f>
        <v>0.9831017923312273</v>
      </c>
      <c r="AG80">
        <f>IF($G80="s-curve",$E80+($F80-$E80)*$O$2/(1+EXP($O$3*(COUNT($I$9:AG$9)+$O$4))),TREND($E80:$F80,$E$9:$F$9,AG$9))</f>
        <v>0.98741679392424109</v>
      </c>
      <c r="AH80">
        <f>IF($G80="s-curve",$E80+($F80-$E80)*$O$2/(1+EXP($O$3*(COUNT($I$9:AH$9)+$O$4))),TREND($E80:$F80,$E$9:$F$9,AH$9))</f>
        <v>0.99064229953383387</v>
      </c>
      <c r="AI80">
        <f>IF($G80="s-curve",$E80+($F80-$E80)*$O$2/(1+EXP($O$3*(COUNT($I$9:AI$9)+$O$4))),TREND($E80:$F80,$E$9:$F$9,AI$9))</f>
        <v>0.99304784793611733</v>
      </c>
    </row>
    <row r="81" spans="1:35" x14ac:dyDescent="0.25">
      <c r="C81" t="s">
        <v>38</v>
      </c>
      <c r="D81">
        <f t="shared" si="6"/>
        <v>1.0097E-4</v>
      </c>
      <c r="E81">
        <f t="shared" si="6"/>
        <v>1.0097E-4</v>
      </c>
      <c r="F81">
        <f t="shared" si="6"/>
        <v>1.0097E-4</v>
      </c>
      <c r="G81" s="5" t="str">
        <f>IF(E81=F81,"n/a",IF(OR(C81="battery electric vehicle",C81="natural gas vehicle",C81="plugin hybrid vehicle"),"s-curve","linear"))</f>
        <v>n/a</v>
      </c>
      <c r="I81" s="16">
        <f t="shared" si="5"/>
        <v>1.0097E-4</v>
      </c>
      <c r="J81">
        <f>IF($G81="s-curve",$E81+($F81-$E81)*$I$2/(1+EXP($I$3*(COUNT($I$9:J$9)+$I$4))),TREND($E81:$F81,$E$9:$F$9,J$9))</f>
        <v>1.0097E-4</v>
      </c>
      <c r="K81">
        <f>IF($G81="s-curve",$E81+($F81-$E81)*$I$2/(1+EXP($I$3*(COUNT($I$9:K$9)+$I$4))),TREND($E81:$F81,$E$9:$F$9,K$9))</f>
        <v>1.0097E-4</v>
      </c>
      <c r="L81">
        <f>IF($G81="s-curve",$E81+($F81-$E81)*$I$2/(1+EXP($I$3*(COUNT($I$9:L$9)+$I$4))),TREND($E81:$F81,$E$9:$F$9,L$9))</f>
        <v>1.0097E-4</v>
      </c>
      <c r="M81">
        <f>IF($G81="s-curve",$E81+($F81-$E81)*$I$2/(1+EXP($I$3*(COUNT($I$9:M$9)+$I$4))),TREND($E81:$F81,$E$9:$F$9,M$9))</f>
        <v>1.0097E-4</v>
      </c>
      <c r="N81">
        <f>IF($G81="s-curve",$E81+($F81-$E81)*$I$2/(1+EXP($I$3*(COUNT($I$9:N$9)+$I$4))),TREND($E81:$F81,$E$9:$F$9,N$9))</f>
        <v>1.0097E-4</v>
      </c>
      <c r="O81">
        <f>IF($G81="s-curve",$E81+($F81-$E81)*$I$2/(1+EXP($I$3*(COUNT($I$9:O$9)+$I$4))),TREND($E81:$F81,$E$9:$F$9,O$9))</f>
        <v>1.0097E-4</v>
      </c>
      <c r="P81">
        <f>IF($G81="s-curve",$E81+($F81-$E81)*$I$2/(1+EXP($I$3*(COUNT($I$9:P$9)+$I$4))),TREND($E81:$F81,$E$9:$F$9,P$9))</f>
        <v>1.0097E-4</v>
      </c>
      <c r="Q81">
        <f>IF($G81="s-curve",$E81+($F81-$E81)*$I$2/(1+EXP($I$3*(COUNT($I$9:Q$9)+$I$4))),TREND($E81:$F81,$E$9:$F$9,Q$9))</f>
        <v>1.0097E-4</v>
      </c>
      <c r="R81">
        <f>IF($G81="s-curve",$E81+($F81-$E81)*$I$2/(1+EXP($I$3*(COUNT($I$9:R$9)+$I$4))),TREND($E81:$F81,$E$9:$F$9,R$9))</f>
        <v>1.0097E-4</v>
      </c>
      <c r="S81">
        <f>IF($G81="s-curve",$E81+($F81-$E81)*$I$2/(1+EXP($I$3*(COUNT($I$9:S$9)+$I$4))),TREND($E81:$F81,$E$9:$F$9,S$9))</f>
        <v>1.0097E-4</v>
      </c>
      <c r="T81">
        <f>IF($G81="s-curve",$E81+($F81-$E81)*$I$2/(1+EXP($I$3*(COUNT($I$9:T$9)+$I$4))),TREND($E81:$F81,$E$9:$F$9,T$9))</f>
        <v>1.0097E-4</v>
      </c>
      <c r="U81">
        <f>IF($G81="s-curve",$E81+($F81-$E81)*$I$2/(1+EXP($I$3*(COUNT($I$9:U$9)+$I$4))),TREND($E81:$F81,$E$9:$F$9,U$9))</f>
        <v>1.0097E-4</v>
      </c>
      <c r="V81">
        <f>IF($G81="s-curve",$E81+($F81-$E81)*$I$2/(1+EXP($I$3*(COUNT($I$9:V$9)+$I$4))),TREND($E81:$F81,$E$9:$F$9,V$9))</f>
        <v>1.0097E-4</v>
      </c>
      <c r="W81">
        <f>IF($G81="s-curve",$E81+($F81-$E81)*$I$2/(1+EXP($I$3*(COUNT($I$9:W$9)+$I$4))),TREND($E81:$F81,$E$9:$F$9,W$9))</f>
        <v>1.0097E-4</v>
      </c>
      <c r="X81">
        <f>IF($G81="s-curve",$E81+($F81-$E81)*$I$2/(1+EXP($I$3*(COUNT($I$9:X$9)+$I$4))),TREND($E81:$F81,$E$9:$F$9,X$9))</f>
        <v>1.0097E-4</v>
      </c>
      <c r="Y81">
        <f>IF($G81="s-curve",$E81+($F81-$E81)*$I$2/(1+EXP($I$3*(COUNT($I$9:Y$9)+$I$4))),TREND($E81:$F81,$E$9:$F$9,Y$9))</f>
        <v>1.0097E-4</v>
      </c>
      <c r="Z81">
        <f>IF($G81="s-curve",$E81+($F81-$E81)*$I$2/(1+EXP($I$3*(COUNT($I$9:Z$9)+$I$4))),TREND($E81:$F81,$E$9:$F$9,Z$9))</f>
        <v>1.0097E-4</v>
      </c>
      <c r="AA81">
        <f>IF($G81="s-curve",$E81+($F81-$E81)*$I$2/(1+EXP($I$3*(COUNT($I$9:AA$9)+$I$4))),TREND($E81:$F81,$E$9:$F$9,AA$9))</f>
        <v>1.0097E-4</v>
      </c>
      <c r="AB81">
        <f>IF($G81="s-curve",$E81+($F81-$E81)*$I$2/(1+EXP($I$3*(COUNT($I$9:AB$9)+$I$4))),TREND($E81:$F81,$E$9:$F$9,AB$9))</f>
        <v>1.0097E-4</v>
      </c>
      <c r="AC81">
        <f>IF($G81="s-curve",$E81+($F81-$E81)*$I$2/(1+EXP($I$3*(COUNT($I$9:AC$9)+$I$4))),TREND($E81:$F81,$E$9:$F$9,AC$9))</f>
        <v>1.0097E-4</v>
      </c>
      <c r="AD81">
        <f>IF($G81="s-curve",$E81+($F81-$E81)*$I$2/(1+EXP($I$3*(COUNT($I$9:AD$9)+$I$4))),TREND($E81:$F81,$E$9:$F$9,AD$9))</f>
        <v>1.0097E-4</v>
      </c>
      <c r="AE81">
        <f>IF($G81="s-curve",$E81+($F81-$E81)*$I$2/(1+EXP($I$3*(COUNT($I$9:AE$9)+$I$4))),TREND($E81:$F81,$E$9:$F$9,AE$9))</f>
        <v>1.0097E-4</v>
      </c>
      <c r="AF81">
        <f>IF($G81="s-curve",$E81+($F81-$E81)*$I$2/(1+EXP($I$3*(COUNT($I$9:AF$9)+$I$4))),TREND($E81:$F81,$E$9:$F$9,AF$9))</f>
        <v>1.0097E-4</v>
      </c>
      <c r="AG81">
        <f>IF($G81="s-curve",$E81+($F81-$E81)*$I$2/(1+EXP($I$3*(COUNT($I$9:AG$9)+$I$4))),TREND($E81:$F81,$E$9:$F$9,AG$9))</f>
        <v>1.0097E-4</v>
      </c>
      <c r="AH81">
        <f>IF($G81="s-curve",$E81+($F81-$E81)*$I$2/(1+EXP($I$3*(COUNT($I$9:AH$9)+$I$4))),TREND($E81:$F81,$E$9:$F$9,AH$9))</f>
        <v>1.0097E-4</v>
      </c>
      <c r="AI81">
        <f>IF($G81="s-curve",$E81+($F81-$E81)*$I$2/(1+EXP($I$3*(COUNT($I$9:AI$9)+$I$4))),TREND($E81:$F81,$E$9:$F$9,AI$9))</f>
        <v>1.0097E-4</v>
      </c>
    </row>
    <row r="82" spans="1:35" x14ac:dyDescent="0.25">
      <c r="C82" t="s">
        <v>39</v>
      </c>
      <c r="D82">
        <f t="shared" si="6"/>
        <v>1</v>
      </c>
      <c r="E82">
        <f t="shared" si="6"/>
        <v>1</v>
      </c>
      <c r="F82">
        <f t="shared" si="6"/>
        <v>1</v>
      </c>
      <c r="G82" s="5" t="str">
        <f>IF(E82=F82,"n/a",IF(OR(C82="battery electric vehicle",C82="natural gas vehicle",C82="plugin hybrid vehicle"),"s-curve","linear"))</f>
        <v>n/a</v>
      </c>
      <c r="I82" s="16">
        <f t="shared" si="5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25">
      <c r="C83" t="s">
        <v>40</v>
      </c>
      <c r="D83">
        <f t="shared" si="6"/>
        <v>6.7382960000000006E-2</v>
      </c>
      <c r="E83">
        <f t="shared" si="6"/>
        <v>6.7382960000000006E-2</v>
      </c>
      <c r="F83">
        <f t="shared" si="6"/>
        <v>6.7382960000000006E-2</v>
      </c>
      <c r="G83" s="5" t="str">
        <f>IF(E83=F83,"n/a",IF(OR(C83="battery electric vehicle",C83="natural gas vehicle",C83="plugin hybrid vehicle"),"s-curve","linear"))</f>
        <v>n/a</v>
      </c>
      <c r="I83" s="16">
        <f t="shared" si="5"/>
        <v>6.7382960000000006E-2</v>
      </c>
      <c r="J83">
        <f>IF($G83="s-curve",$E83+($F83-$E83)*$I$2/(1+EXP($I$3*(COUNT($I$9:J$9)+$I$4))),TREND($E83:$F83,$E$9:$F$9,J$9))</f>
        <v>6.7382960000000006E-2</v>
      </c>
      <c r="K83">
        <f>IF($G83="s-curve",$E83+($F83-$E83)*$I$2/(1+EXP($I$3*(COUNT($I$9:K$9)+$I$4))),TREND($E83:$F83,$E$9:$F$9,K$9))</f>
        <v>6.7382960000000006E-2</v>
      </c>
      <c r="L83">
        <f>IF($G83="s-curve",$E83+($F83-$E83)*$I$2/(1+EXP($I$3*(COUNT($I$9:L$9)+$I$4))),TREND($E83:$F83,$E$9:$F$9,L$9))</f>
        <v>6.7382960000000006E-2</v>
      </c>
      <c r="M83">
        <f>IF($G83="s-curve",$E83+($F83-$E83)*$I$2/(1+EXP($I$3*(COUNT($I$9:M$9)+$I$4))),TREND($E83:$F83,$E$9:$F$9,M$9))</f>
        <v>6.7382960000000006E-2</v>
      </c>
      <c r="N83">
        <f>IF($G83="s-curve",$E83+($F83-$E83)*$I$2/(1+EXP($I$3*(COUNT($I$9:N$9)+$I$4))),TREND($E83:$F83,$E$9:$F$9,N$9))</f>
        <v>6.7382960000000006E-2</v>
      </c>
      <c r="O83">
        <f>IF($G83="s-curve",$E83+($F83-$E83)*$I$2/(1+EXP($I$3*(COUNT($I$9:O$9)+$I$4))),TREND($E83:$F83,$E$9:$F$9,O$9))</f>
        <v>6.7382960000000006E-2</v>
      </c>
      <c r="P83">
        <f>IF($G83="s-curve",$E83+($F83-$E83)*$I$2/(1+EXP($I$3*(COUNT($I$9:P$9)+$I$4))),TREND($E83:$F83,$E$9:$F$9,P$9))</f>
        <v>6.7382960000000006E-2</v>
      </c>
      <c r="Q83">
        <f>IF($G83="s-curve",$E83+($F83-$E83)*$I$2/(1+EXP($I$3*(COUNT($I$9:Q$9)+$I$4))),TREND($E83:$F83,$E$9:$F$9,Q$9))</f>
        <v>6.7382960000000006E-2</v>
      </c>
      <c r="R83">
        <f>IF($G83="s-curve",$E83+($F83-$E83)*$I$2/(1+EXP($I$3*(COUNT($I$9:R$9)+$I$4))),TREND($E83:$F83,$E$9:$F$9,R$9))</f>
        <v>6.7382960000000006E-2</v>
      </c>
      <c r="S83">
        <f>IF($G83="s-curve",$E83+($F83-$E83)*$I$2/(1+EXP($I$3*(COUNT($I$9:S$9)+$I$4))),TREND($E83:$F83,$E$9:$F$9,S$9))</f>
        <v>6.7382960000000006E-2</v>
      </c>
      <c r="T83">
        <f>IF($G83="s-curve",$E83+($F83-$E83)*$I$2/(1+EXP($I$3*(COUNT($I$9:T$9)+$I$4))),TREND($E83:$F83,$E$9:$F$9,T$9))</f>
        <v>6.7382960000000006E-2</v>
      </c>
      <c r="U83">
        <f>IF($G83="s-curve",$E83+($F83-$E83)*$I$2/(1+EXP($I$3*(COUNT($I$9:U$9)+$I$4))),TREND($E83:$F83,$E$9:$F$9,U$9))</f>
        <v>6.7382960000000006E-2</v>
      </c>
      <c r="V83">
        <f>IF($G83="s-curve",$E83+($F83-$E83)*$I$2/(1+EXP($I$3*(COUNT($I$9:V$9)+$I$4))),TREND($E83:$F83,$E$9:$F$9,V$9))</f>
        <v>6.7382960000000006E-2</v>
      </c>
      <c r="W83">
        <f>IF($G83="s-curve",$E83+($F83-$E83)*$I$2/(1+EXP($I$3*(COUNT($I$9:W$9)+$I$4))),TREND($E83:$F83,$E$9:$F$9,W$9))</f>
        <v>6.7382960000000006E-2</v>
      </c>
      <c r="X83">
        <f>IF($G83="s-curve",$E83+($F83-$E83)*$I$2/(1+EXP($I$3*(COUNT($I$9:X$9)+$I$4))),TREND($E83:$F83,$E$9:$F$9,X$9))</f>
        <v>6.7382960000000006E-2</v>
      </c>
      <c r="Y83">
        <f>IF($G83="s-curve",$E83+($F83-$E83)*$I$2/(1+EXP($I$3*(COUNT($I$9:Y$9)+$I$4))),TREND($E83:$F83,$E$9:$F$9,Y$9))</f>
        <v>6.7382960000000006E-2</v>
      </c>
      <c r="Z83">
        <f>IF($G83="s-curve",$E83+($F83-$E83)*$I$2/(1+EXP($I$3*(COUNT($I$9:Z$9)+$I$4))),TREND($E83:$F83,$E$9:$F$9,Z$9))</f>
        <v>6.7382960000000006E-2</v>
      </c>
      <c r="AA83">
        <f>IF($G83="s-curve",$E83+($F83-$E83)*$I$2/(1+EXP($I$3*(COUNT($I$9:AA$9)+$I$4))),TREND($E83:$F83,$E$9:$F$9,AA$9))</f>
        <v>6.7382960000000006E-2</v>
      </c>
      <c r="AB83">
        <f>IF($G83="s-curve",$E83+($F83-$E83)*$I$2/(1+EXP($I$3*(COUNT($I$9:AB$9)+$I$4))),TREND($E83:$F83,$E$9:$F$9,AB$9))</f>
        <v>6.7382960000000006E-2</v>
      </c>
      <c r="AC83">
        <f>IF($G83="s-curve",$E83+($F83-$E83)*$I$2/(1+EXP($I$3*(COUNT($I$9:AC$9)+$I$4))),TREND($E83:$F83,$E$9:$F$9,AC$9))</f>
        <v>6.7382960000000006E-2</v>
      </c>
      <c r="AD83">
        <f>IF($G83="s-curve",$E83+($F83-$E83)*$I$2/(1+EXP($I$3*(COUNT($I$9:AD$9)+$I$4))),TREND($E83:$F83,$E$9:$F$9,AD$9))</f>
        <v>6.7382960000000006E-2</v>
      </c>
      <c r="AE83">
        <f>IF($G83="s-curve",$E83+($F83-$E83)*$I$2/(1+EXP($I$3*(COUNT($I$9:AE$9)+$I$4))),TREND($E83:$F83,$E$9:$F$9,AE$9))</f>
        <v>6.7382960000000006E-2</v>
      </c>
      <c r="AF83">
        <f>IF($G83="s-curve",$E83+($F83-$E83)*$I$2/(1+EXP($I$3*(COUNT($I$9:AF$9)+$I$4))),TREND($E83:$F83,$E$9:$F$9,AF$9))</f>
        <v>6.7382960000000006E-2</v>
      </c>
      <c r="AG83">
        <f>IF($G83="s-curve",$E83+($F83-$E83)*$I$2/(1+EXP($I$3*(COUNT($I$9:AG$9)+$I$4))),TREND($E83:$F83,$E$9:$F$9,AG$9))</f>
        <v>6.7382960000000006E-2</v>
      </c>
      <c r="AH83">
        <f>IF($G83="s-curve",$E83+($F83-$E83)*$I$2/(1+EXP($I$3*(COUNT($I$9:AH$9)+$I$4))),TREND($E83:$F83,$E$9:$F$9,AH$9))</f>
        <v>6.7382960000000006E-2</v>
      </c>
      <c r="AI83">
        <f>IF($G83="s-curve",$E83+($F83-$E83)*$I$2/(1+EXP($I$3*(COUNT($I$9:AI$9)+$I$4))),TREND($E83:$F83,$E$9:$F$9,AI$9))</f>
        <v>6.7382960000000006E-2</v>
      </c>
    </row>
    <row r="84" spans="1:35" x14ac:dyDescent="0.25">
      <c r="C84" t="s">
        <v>41</v>
      </c>
      <c r="D84">
        <f t="shared" si="6"/>
        <v>1.4073499E-2</v>
      </c>
      <c r="E84">
        <f t="shared" si="6"/>
        <v>1.4073499E-2</v>
      </c>
      <c r="F84">
        <f t="shared" si="6"/>
        <v>0.10239066607264966</v>
      </c>
      <c r="G84" s="5" t="str">
        <f>IF(E84=F84,"n/a",IF(OR(C84="battery electric vehicle",C84="natural gas vehicle",C84="plugin hybrid vehicle"),"s-curve","linear"))</f>
        <v>s-curve</v>
      </c>
      <c r="I84" s="16">
        <f t="shared" si="5"/>
        <v>1.4073499E-2</v>
      </c>
      <c r="J84">
        <f>IF($G84="s-curve",$E84+($F84-$E84)*$I$2/(1+EXP($I$3*(COUNT($I$9:J$9)+$I$4))),TREND($E84:$F84,$E$9:$F$9,J$9))</f>
        <v>1.5378299625391417E-2</v>
      </c>
      <c r="K84">
        <f>IF($G84="s-curve",$E84+($F84-$E84)*$I$2/(1+EXP($I$3*(COUNT($I$9:K$9)+$I$4))),TREND($E84:$F84,$E$9:$F$9,K$9))</f>
        <v>1.5825738596288972E-2</v>
      </c>
      <c r="L84">
        <f>IF($G84="s-curve",$E84+($F84-$E84)*$I$2/(1+EXP($I$3*(COUNT($I$9:L$9)+$I$4))),TREND($E84:$F84,$E$9:$F$9,L$9))</f>
        <v>1.6422470125358253E-2</v>
      </c>
      <c r="M84">
        <f>IF($G84="s-curve",$E84+($F84-$E84)*$I$2/(1+EXP($I$3*(COUNT($I$9:M$9)+$I$4))),TREND($E84:$F84,$E$9:$F$9,M$9))</f>
        <v>1.7215045665964251E-2</v>
      </c>
      <c r="N84">
        <f>IF($G84="s-curve",$E84+($F84-$E84)*$I$2/(1+EXP($I$3*(COUNT($I$9:N$9)+$I$4))),TREND($E84:$F84,$E$9:$F$9,N$9))</f>
        <v>1.8262017764989459E-2</v>
      </c>
      <c r="O84">
        <f>IF($G84="s-curve",$E84+($F84-$E84)*$I$2/(1+EXP($I$3*(COUNT($I$9:O$9)+$I$4))),TREND($E84:$F84,$E$9:$F$9,O$9))</f>
        <v>1.9635127408011214E-2</v>
      </c>
      <c r="P84">
        <f>IF($G84="s-curve",$E84+($F84-$E84)*$I$2/(1+EXP($I$3*(COUNT($I$9:P$9)+$I$4))),TREND($E84:$F84,$E$9:$F$9,P$9))</f>
        <v>2.1419075932136523E-2</v>
      </c>
      <c r="Q84">
        <f>IF($G84="s-curve",$E84+($F84-$E84)*$I$2/(1+EXP($I$3*(COUNT($I$9:Q$9)+$I$4))),TREND($E84:$F84,$E$9:$F$9,Q$9))</f>
        <v>2.370862118462793E-2</v>
      </c>
      <c r="R84">
        <f>IF($G84="s-curve",$E84+($F84-$E84)*$I$2/(1+EXP($I$3*(COUNT($I$9:R$9)+$I$4))),TREND($E84:$F84,$E$9:$F$9,R$9))</f>
        <v>2.6601383198249652E-2</v>
      </c>
      <c r="S84">
        <f>IF($G84="s-curve",$E84+($F84-$E84)*$I$2/(1+EXP($I$3*(COUNT($I$9:S$9)+$I$4))),TREND($E84:$F84,$E$9:$F$9,S$9))</f>
        <v>3.0184804464321601E-2</v>
      </c>
      <c r="T84">
        <f>IF($G84="s-curve",$E84+($F84-$E84)*$I$2/(1+EXP($I$3*(COUNT($I$9:T$9)+$I$4))),TREND($E84:$F84,$E$9:$F$9,T$9))</f>
        <v>3.4516734368895005E-2</v>
      </c>
      <c r="U84">
        <f>IF($G84="s-curve",$E84+($F84-$E84)*$I$2/(1+EXP($I$3*(COUNT($I$9:U$9)+$I$4))),TREND($E84:$F84,$E$9:$F$9,U$9))</f>
        <v>3.9601620069100008E-2</v>
      </c>
      <c r="V84">
        <f>IF($G84="s-curve",$E84+($F84-$E84)*$I$2/(1+EXP($I$3*(COUNT($I$9:V$9)+$I$4))),TREND($E84:$F84,$E$9:$F$9,V$9))</f>
        <v>4.5368130204196222E-2</v>
      </c>
      <c r="W84">
        <f>IF($G84="s-curve",$E84+($F84-$E84)*$I$2/(1+EXP($I$3*(COUNT($I$9:W$9)+$I$4))),TREND($E84:$F84,$E$9:$F$9,W$9))</f>
        <v>5.1657530341761002E-2</v>
      </c>
      <c r="X84">
        <f>IF($G84="s-curve",$E84+($F84-$E84)*$I$2/(1+EXP($I$3*(COUNT($I$9:X$9)+$I$4))),TREND($E84:$F84,$E$9:$F$9,X$9))</f>
        <v>5.8232082536324822E-2</v>
      </c>
      <c r="Y84">
        <f>IF($G84="s-curve",$E84+($F84-$E84)*$I$2/(1+EXP($I$3*(COUNT($I$9:Y$9)+$I$4))),TREND($E84:$F84,$E$9:$F$9,Y$9))</f>
        <v>6.4806634730888643E-2</v>
      </c>
      <c r="Z84">
        <f>IF($G84="s-curve",$E84+($F84-$E84)*$I$2/(1+EXP($I$3*(COUNT($I$9:Z$9)+$I$4))),TREND($E84:$F84,$E$9:$F$9,Z$9))</f>
        <v>7.1096034868453423E-2</v>
      </c>
      <c r="AA84">
        <f>IF($G84="s-curve",$E84+($F84-$E84)*$I$2/(1+EXP($I$3*(COUNT($I$9:AA$9)+$I$4))),TREND($E84:$F84,$E$9:$F$9,AA$9))</f>
        <v>7.6862545003549651E-2</v>
      </c>
      <c r="AB84">
        <f>IF($G84="s-curve",$E84+($F84-$E84)*$I$2/(1+EXP($I$3*(COUNT($I$9:AB$9)+$I$4))),TREND($E84:$F84,$E$9:$F$9,AB$9))</f>
        <v>8.194743070375464E-2</v>
      </c>
      <c r="AC84">
        <f>IF($G84="s-curve",$E84+($F84-$E84)*$I$2/(1+EXP($I$3*(COUNT($I$9:AC$9)+$I$4))),TREND($E84:$F84,$E$9:$F$9,AC$9))</f>
        <v>8.6279360608328054E-2</v>
      </c>
      <c r="AD84">
        <f>IF($G84="s-curve",$E84+($F84-$E84)*$I$2/(1+EXP($I$3*(COUNT($I$9:AD$9)+$I$4))),TREND($E84:$F84,$E$9:$F$9,AD$9))</f>
        <v>8.9862781874400013E-2</v>
      </c>
      <c r="AE84">
        <f>IF($G84="s-curve",$E84+($F84-$E84)*$I$2/(1+EXP($I$3*(COUNT($I$9:AE$9)+$I$4))),TREND($E84:$F84,$E$9:$F$9,AE$9))</f>
        <v>9.2755543888021721E-2</v>
      </c>
      <c r="AF84">
        <f>IF($G84="s-curve",$E84+($F84-$E84)*$I$2/(1+EXP($I$3*(COUNT($I$9:AF$9)+$I$4))),TREND($E84:$F84,$E$9:$F$9,AF$9))</f>
        <v>9.5045089140513128E-2</v>
      </c>
      <c r="AG84">
        <f>IF($G84="s-curve",$E84+($F84-$E84)*$I$2/(1+EXP($I$3*(COUNT($I$9:AG$9)+$I$4))),TREND($E84:$F84,$E$9:$F$9,AG$9))</f>
        <v>9.6829037664638448E-2</v>
      </c>
      <c r="AH84">
        <f>IF($G84="s-curve",$E84+($F84-$E84)*$I$2/(1+EXP($I$3*(COUNT($I$9:AH$9)+$I$4))),TREND($E84:$F84,$E$9:$F$9,AH$9))</f>
        <v>9.8202147307660206E-2</v>
      </c>
      <c r="AI84">
        <f>IF($G84="s-curve",$E84+($F84-$E84)*$I$2/(1+EXP($I$3*(COUNT($I$9:AI$9)+$I$4))),TREND($E84:$F84,$E$9:$F$9,AI$9))</f>
        <v>9.9249119406685404E-2</v>
      </c>
    </row>
    <row r="85" spans="1:35" x14ac:dyDescent="0.25">
      <c r="C85" t="s">
        <v>42</v>
      </c>
      <c r="D85">
        <f t="shared" si="6"/>
        <v>0</v>
      </c>
      <c r="E85">
        <f t="shared" si="6"/>
        <v>0</v>
      </c>
      <c r="F85">
        <f t="shared" si="6"/>
        <v>0</v>
      </c>
      <c r="G85" s="5" t="str">
        <f>IF(E85=F85,"n/a",IF(OR(C85="battery electric vehicle",C85="natural gas vehicle",C85="plugin hybrid vehicle",C85="hydrogen vehicle"),"s-curve","linear"))</f>
        <v>n/a</v>
      </c>
      <c r="I85" s="16">
        <f t="shared" si="5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ht="15.75" customHeight="1" thickBot="1" x14ac:dyDescent="0.3">
      <c r="A86" s="17"/>
      <c r="B86" s="17"/>
      <c r="C86" s="17" t="s">
        <v>43</v>
      </c>
      <c r="D86">
        <f t="shared" si="6"/>
        <v>0</v>
      </c>
      <c r="E86">
        <f t="shared" si="6"/>
        <v>0</v>
      </c>
      <c r="F86">
        <f t="shared" si="6"/>
        <v>0</v>
      </c>
      <c r="G86" s="6" t="str">
        <f>IF(E86=F86,"n/a",IF(OR(C86="battery electric vehicle",C86="natural gas vehicle",C86="plugin hybrid vehicle",C86="hydrogen vehicle"),"s-curve","linear"))</f>
        <v>n/a</v>
      </c>
      <c r="I86" s="16">
        <f t="shared" si="5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25">
      <c r="A87" t="s">
        <v>49</v>
      </c>
      <c r="B87" t="s">
        <v>72</v>
      </c>
      <c r="C87" t="s">
        <v>37</v>
      </c>
      <c r="E87">
        <v>0</v>
      </c>
      <c r="F87">
        <v>0</v>
      </c>
      <c r="G87" s="5" t="str">
        <f>IF(E87=F87,"n/a",IF(OR(C87="battery electric vehicle",C87="natural gas vehicle",C87="plugin hybrid vehicle"),"s-curve","linear"))</f>
        <v>n/a</v>
      </c>
      <c r="I87" s="16">
        <f t="shared" si="5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25">
      <c r="C88" t="s">
        <v>38</v>
      </c>
      <c r="E88">
        <v>0</v>
      </c>
      <c r="F88">
        <v>0</v>
      </c>
      <c r="G88" s="5" t="str">
        <f>IF(E88=F88,"n/a",IF(OR(C88="battery electric vehicle",C88="natural gas vehicle",C88="plugin hybrid vehicle"),"s-curve","linear"))</f>
        <v>n/a</v>
      </c>
      <c r="I88" s="16">
        <f t="shared" si="5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25">
      <c r="C89" t="s">
        <v>39</v>
      </c>
      <c r="E89">
        <v>0</v>
      </c>
      <c r="F89">
        <v>0</v>
      </c>
      <c r="G89" s="5" t="str">
        <f>IF(E89=F89,"n/a",IF(OR(C89="battery electric vehicle",C89="natural gas vehicle",C89="plugin hybrid vehicle"),"s-curve","linear"))</f>
        <v>n/a</v>
      </c>
      <c r="I89" s="16">
        <f t="shared" si="5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25">
      <c r="C90" t="s">
        <v>40</v>
      </c>
      <c r="E90">
        <v>0</v>
      </c>
      <c r="F90">
        <v>0</v>
      </c>
      <c r="G90" s="5" t="str">
        <f>IF(E90=F90,"n/a",IF(OR(C90="battery electric vehicle",C90="natural gas vehicle",C90="plugin hybrid vehicle"),"s-curve","linear"))</f>
        <v>n/a</v>
      </c>
      <c r="I90" s="16">
        <f t="shared" si="5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25">
      <c r="C91" t="s">
        <v>41</v>
      </c>
      <c r="E91">
        <v>0</v>
      </c>
      <c r="F91">
        <v>0</v>
      </c>
      <c r="G91" s="5" t="str">
        <f>IF(E91=F91,"n/a",IF(OR(C91="battery electric vehicle",C91="natural gas vehicle",C91="plugin hybrid vehicle"),"s-curve","linear"))</f>
        <v>n/a</v>
      </c>
      <c r="I91" s="16">
        <f t="shared" si="5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25">
      <c r="C92" t="s">
        <v>42</v>
      </c>
      <c r="E92">
        <v>0</v>
      </c>
      <c r="F92">
        <v>0</v>
      </c>
      <c r="G92" s="5" t="str">
        <f>IF(E92=F92,"n/a",IF(OR(C92="battery electric vehicle",C92="natural gas vehicle",C92="plugin hybrid vehicle",C92="hydrogen vehicle"),"s-curve","linear"))</f>
        <v>n/a</v>
      </c>
      <c r="I92" s="16">
        <f t="shared" si="5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ht="15.75" customHeight="1" thickBot="1" x14ac:dyDescent="0.3">
      <c r="A93" s="17"/>
      <c r="B93" s="17"/>
      <c r="C93" s="17" t="s">
        <v>43</v>
      </c>
      <c r="D93" s="17"/>
      <c r="E93" s="17">
        <v>0</v>
      </c>
      <c r="F93" s="17">
        <v>0</v>
      </c>
      <c r="G93" s="6" t="str">
        <f>IF(E93=F93,"n/a",IF(OR(C93="battery electric vehicle",C93="natural gas vehicle",C93="plugin hybrid vehicle",C93="hydrogen vehicle"),"s-curve","linear"))</f>
        <v>n/a</v>
      </c>
      <c r="I93" s="16">
        <f t="shared" si="5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</sheetData>
  <mergeCells count="1">
    <mergeCell ref="D8:E8"/>
  </mergeCells>
  <pageMargins left="0.7" right="0.7" top="0.75" bottom="0.75" header="0.3" footer="0.3"/>
  <pageSetup orientation="portrait" horizontalDpi="4294967293" verticalDpi="429496729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B8"/>
  <sheetViews>
    <sheetView topLeftCell="P1" workbookViewId="0">
      <selection activeCell="Z23" sqref="Z23"/>
    </sheetView>
  </sheetViews>
  <sheetFormatPr defaultColWidth="9.140625" defaultRowHeight="15" x14ac:dyDescent="0.25"/>
  <cols>
    <col min="1" max="1" width="24.42578125" customWidth="1"/>
    <col min="2" max="2" width="13.5703125" customWidth="1"/>
  </cols>
  <sheetData>
    <row r="1" spans="1:28" ht="45" customHeight="1" x14ac:dyDescent="0.25">
      <c r="A1" s="19" t="s">
        <v>75</v>
      </c>
      <c r="B1">
        <f>Data!I9</f>
        <v>2024</v>
      </c>
      <c r="C1">
        <f>Data!J9</f>
        <v>2025</v>
      </c>
      <c r="D1">
        <f>Data!K9</f>
        <v>2026</v>
      </c>
      <c r="E1">
        <f>Data!L9</f>
        <v>2027</v>
      </c>
      <c r="F1">
        <f>Data!M9</f>
        <v>2028</v>
      </c>
      <c r="G1">
        <f>Data!N9</f>
        <v>2029</v>
      </c>
      <c r="H1">
        <f>Data!O9</f>
        <v>2030</v>
      </c>
      <c r="I1">
        <f>Data!P9</f>
        <v>2031</v>
      </c>
      <c r="J1">
        <f>Data!Q9</f>
        <v>2032</v>
      </c>
      <c r="K1">
        <f>Data!R9</f>
        <v>2033</v>
      </c>
      <c r="L1">
        <f>Data!S9</f>
        <v>2034</v>
      </c>
      <c r="M1">
        <f>Data!T9</f>
        <v>2035</v>
      </c>
      <c r="N1">
        <f>Data!U9</f>
        <v>2036</v>
      </c>
      <c r="O1">
        <f>Data!V9</f>
        <v>2037</v>
      </c>
      <c r="P1">
        <f>Data!W9</f>
        <v>2038</v>
      </c>
      <c r="Q1">
        <f>Data!X9</f>
        <v>2039</v>
      </c>
      <c r="R1">
        <f>Data!Y9</f>
        <v>2040</v>
      </c>
      <c r="S1">
        <f>Data!Z9</f>
        <v>2041</v>
      </c>
      <c r="T1">
        <f>Data!AA9</f>
        <v>2042</v>
      </c>
      <c r="U1">
        <f>Data!AB9</f>
        <v>2043</v>
      </c>
      <c r="V1">
        <f>Data!AC9</f>
        <v>2044</v>
      </c>
      <c r="W1">
        <f>Data!AD9</f>
        <v>2045</v>
      </c>
      <c r="X1">
        <f>Data!AE9</f>
        <v>2046</v>
      </c>
      <c r="Y1">
        <f>Data!AF9</f>
        <v>2047</v>
      </c>
      <c r="Z1">
        <f>Data!AG9</f>
        <v>2048</v>
      </c>
      <c r="AA1">
        <f>Data!AH9</f>
        <v>2049</v>
      </c>
      <c r="AB1">
        <f>Data!AI9</f>
        <v>2050</v>
      </c>
    </row>
    <row r="2" spans="1:28" x14ac:dyDescent="0.25">
      <c r="A2" t="s">
        <v>37</v>
      </c>
      <c r="B2">
        <f>Data!I10</f>
        <v>0.148288948</v>
      </c>
      <c r="C2">
        <f>Data!J10</f>
        <v>0.148288948</v>
      </c>
      <c r="D2">
        <f>Data!K10</f>
        <v>0.18868208833608399</v>
      </c>
      <c r="E2">
        <f>Data!L10</f>
        <v>0.20192405133527508</v>
      </c>
      <c r="F2">
        <f>Data!M10</f>
        <v>0.21912805282851533</v>
      </c>
      <c r="G2">
        <f>Data!N10</f>
        <v>0.24120791635037137</v>
      </c>
      <c r="H2">
        <f>Data!O10</f>
        <v>0.26910506771371479</v>
      </c>
      <c r="I2">
        <f>Data!P10</f>
        <v>0.30366278279276282</v>
      </c>
      <c r="J2">
        <f>Data!Q10</f>
        <v>0.34543894815797949</v>
      </c>
      <c r="K2">
        <f>Data!R10</f>
        <v>0.39447645120038111</v>
      </c>
      <c r="L2">
        <f>Data!S10</f>
        <v>0.45008738819399363</v>
      </c>
      <c r="M2">
        <f>Data!T10</f>
        <v>0.51074095969281419</v>
      </c>
      <c r="N2">
        <f>Data!U10</f>
        <v>0.57414447400000002</v>
      </c>
      <c r="O2">
        <f>Data!V10</f>
        <v>0.63754798830718573</v>
      </c>
      <c r="P2">
        <f>Data!W10</f>
        <v>0.6982015598060064</v>
      </c>
      <c r="Q2">
        <f>Data!X10</f>
        <v>0.75381249679961881</v>
      </c>
      <c r="R2">
        <f>Data!Y10</f>
        <v>0.80284999984202055</v>
      </c>
      <c r="S2">
        <f>Data!Z10</f>
        <v>0.84462616520723721</v>
      </c>
      <c r="T2">
        <f>Data!AA10</f>
        <v>0.87918388028628536</v>
      </c>
      <c r="U2">
        <f>Data!AB10</f>
        <v>0.90708103164962861</v>
      </c>
      <c r="V2">
        <f>Data!AC10</f>
        <v>0.9291608951714847</v>
      </c>
      <c r="W2">
        <f>Data!AD10</f>
        <v>0.94636489666472501</v>
      </c>
      <c r="X2">
        <f>Data!AE10</f>
        <v>0.95960685966391612</v>
      </c>
      <c r="Y2">
        <f>Data!AF10</f>
        <v>0.96970362496371199</v>
      </c>
      <c r="Z2">
        <f>Data!AG10</f>
        <v>0.97734704662061023</v>
      </c>
      <c r="AA2">
        <f>Data!AH10</f>
        <v>0.9831017923312273</v>
      </c>
      <c r="AB2">
        <f>Data!AI10</f>
        <v>0.98741679392424109</v>
      </c>
    </row>
    <row r="3" spans="1:28" x14ac:dyDescent="0.25">
      <c r="A3" t="s">
        <v>38</v>
      </c>
      <c r="B3">
        <f>Data!I11</f>
        <v>1.0097E-4</v>
      </c>
      <c r="C3">
        <f>Data!J11</f>
        <v>1.0097E-4</v>
      </c>
      <c r="D3">
        <f>Data!K11</f>
        <v>1.0097E-4</v>
      </c>
      <c r="E3">
        <f>Data!L11</f>
        <v>1.0097E-4</v>
      </c>
      <c r="F3">
        <f>Data!M11</f>
        <v>1.0097E-4</v>
      </c>
      <c r="G3">
        <f>Data!N11</f>
        <v>1.0097E-4</v>
      </c>
      <c r="H3">
        <f>Data!O11</f>
        <v>1.0097E-4</v>
      </c>
      <c r="I3">
        <f>Data!P11</f>
        <v>1.0097E-4</v>
      </c>
      <c r="J3">
        <f>Data!Q11</f>
        <v>1.0097E-4</v>
      </c>
      <c r="K3">
        <f>Data!R11</f>
        <v>1.0097E-4</v>
      </c>
      <c r="L3">
        <f>Data!S11</f>
        <v>1.0097E-4</v>
      </c>
      <c r="M3">
        <f>Data!T11</f>
        <v>1.0097E-4</v>
      </c>
      <c r="N3">
        <f>Data!U11</f>
        <v>1.0097E-4</v>
      </c>
      <c r="O3">
        <f>Data!V11</f>
        <v>1.0097E-4</v>
      </c>
      <c r="P3">
        <f>Data!W11</f>
        <v>1.0097E-4</v>
      </c>
      <c r="Q3">
        <f>Data!X11</f>
        <v>1.0097E-4</v>
      </c>
      <c r="R3">
        <f>Data!Y11</f>
        <v>1.0097E-4</v>
      </c>
      <c r="S3">
        <f>Data!Z11</f>
        <v>1.0097E-4</v>
      </c>
      <c r="T3">
        <f>Data!AA11</f>
        <v>1.0097E-4</v>
      </c>
      <c r="U3">
        <f>Data!AB11</f>
        <v>1.0097E-4</v>
      </c>
      <c r="V3">
        <f>Data!AC11</f>
        <v>1.0097E-4</v>
      </c>
      <c r="W3">
        <f>Data!AD11</f>
        <v>1.0097E-4</v>
      </c>
      <c r="X3">
        <f>Data!AE11</f>
        <v>1.0097E-4</v>
      </c>
      <c r="Y3">
        <f>Data!AF11</f>
        <v>1.0097E-4</v>
      </c>
      <c r="Z3">
        <f>Data!AG11</f>
        <v>1.0097E-4</v>
      </c>
      <c r="AA3">
        <f>Data!AH11</f>
        <v>1.0097E-4</v>
      </c>
      <c r="AB3">
        <f>Data!AI11</f>
        <v>1.0097E-4</v>
      </c>
    </row>
    <row r="4" spans="1:28" x14ac:dyDescent="0.25">
      <c r="A4" t="s">
        <v>39</v>
      </c>
      <c r="B4">
        <f>Data!I12</f>
        <v>1</v>
      </c>
      <c r="C4">
        <f>Data!J12</f>
        <v>1</v>
      </c>
      <c r="D4">
        <f>Data!K12</f>
        <v>1</v>
      </c>
      <c r="E4">
        <f>Data!L12</f>
        <v>1</v>
      </c>
      <c r="F4">
        <f>Data!M12</f>
        <v>1</v>
      </c>
      <c r="G4">
        <f>Data!N12</f>
        <v>1</v>
      </c>
      <c r="H4">
        <f>Data!O12</f>
        <v>1</v>
      </c>
      <c r="I4">
        <f>Data!P12</f>
        <v>1</v>
      </c>
      <c r="J4">
        <f>Data!Q12</f>
        <v>1</v>
      </c>
      <c r="K4">
        <f>Data!R12</f>
        <v>1</v>
      </c>
      <c r="L4">
        <f>Data!S12</f>
        <v>1</v>
      </c>
      <c r="M4">
        <f>Data!T12</f>
        <v>1</v>
      </c>
      <c r="N4">
        <f>Data!U12</f>
        <v>1</v>
      </c>
      <c r="O4">
        <f>Data!V12</f>
        <v>1</v>
      </c>
      <c r="P4">
        <f>Data!W12</f>
        <v>1</v>
      </c>
      <c r="Q4">
        <f>Data!X12</f>
        <v>1</v>
      </c>
      <c r="R4">
        <f>Data!Y12</f>
        <v>1</v>
      </c>
      <c r="S4">
        <f>Data!Z12</f>
        <v>1</v>
      </c>
      <c r="T4">
        <f>Data!AA12</f>
        <v>1</v>
      </c>
      <c r="U4">
        <f>Data!AB12</f>
        <v>1</v>
      </c>
      <c r="V4">
        <f>Data!AC12</f>
        <v>1</v>
      </c>
      <c r="W4">
        <f>Data!AD12</f>
        <v>1</v>
      </c>
      <c r="X4">
        <f>Data!AE12</f>
        <v>1</v>
      </c>
      <c r="Y4">
        <f>Data!AF12</f>
        <v>1</v>
      </c>
      <c r="Z4">
        <f>Data!AG12</f>
        <v>1</v>
      </c>
      <c r="AA4">
        <f>Data!AH12</f>
        <v>1</v>
      </c>
      <c r="AB4">
        <f>Data!AI12</f>
        <v>1</v>
      </c>
    </row>
    <row r="5" spans="1:28" x14ac:dyDescent="0.25">
      <c r="A5" t="s">
        <v>40</v>
      </c>
      <c r="B5">
        <f>Data!I13</f>
        <v>6.7382960000000006E-2</v>
      </c>
      <c r="C5">
        <f>Data!J13</f>
        <v>6.7382960000000006E-2</v>
      </c>
      <c r="D5">
        <f>Data!K13</f>
        <v>6.7382960000000006E-2</v>
      </c>
      <c r="E5">
        <f>Data!L13</f>
        <v>6.7382960000000006E-2</v>
      </c>
      <c r="F5">
        <f>Data!M13</f>
        <v>6.7382960000000006E-2</v>
      </c>
      <c r="G5">
        <f>Data!N13</f>
        <v>6.7382960000000006E-2</v>
      </c>
      <c r="H5">
        <f>Data!O13</f>
        <v>6.7382960000000006E-2</v>
      </c>
      <c r="I5">
        <f>Data!P13</f>
        <v>6.7382960000000006E-2</v>
      </c>
      <c r="J5">
        <f>Data!Q13</f>
        <v>6.7382960000000006E-2</v>
      </c>
      <c r="K5">
        <f>Data!R13</f>
        <v>6.7382960000000006E-2</v>
      </c>
      <c r="L5">
        <f>Data!S13</f>
        <v>6.7382960000000006E-2</v>
      </c>
      <c r="M5">
        <f>Data!T13</f>
        <v>6.7382960000000006E-2</v>
      </c>
      <c r="N5">
        <f>Data!U13</f>
        <v>6.7382960000000006E-2</v>
      </c>
      <c r="O5">
        <f>Data!V13</f>
        <v>6.7382960000000006E-2</v>
      </c>
      <c r="P5">
        <f>Data!W13</f>
        <v>6.7382960000000006E-2</v>
      </c>
      <c r="Q5">
        <f>Data!X13</f>
        <v>6.7382960000000006E-2</v>
      </c>
      <c r="R5">
        <f>Data!Y13</f>
        <v>6.7382960000000006E-2</v>
      </c>
      <c r="S5">
        <f>Data!Z13</f>
        <v>6.7382960000000006E-2</v>
      </c>
      <c r="T5">
        <f>Data!AA13</f>
        <v>6.7382960000000006E-2</v>
      </c>
      <c r="U5">
        <f>Data!AB13</f>
        <v>6.7382960000000006E-2</v>
      </c>
      <c r="V5">
        <f>Data!AC13</f>
        <v>6.7382960000000006E-2</v>
      </c>
      <c r="W5">
        <f>Data!AD13</f>
        <v>6.7382960000000006E-2</v>
      </c>
      <c r="X5">
        <f>Data!AE13</f>
        <v>6.7382960000000006E-2</v>
      </c>
      <c r="Y5">
        <f>Data!AF13</f>
        <v>6.7382960000000006E-2</v>
      </c>
      <c r="Z5">
        <f>Data!AG13</f>
        <v>6.7382960000000006E-2</v>
      </c>
      <c r="AA5">
        <f>Data!AH13</f>
        <v>6.7382960000000006E-2</v>
      </c>
      <c r="AB5">
        <f>Data!AI13</f>
        <v>6.7382960000000006E-2</v>
      </c>
    </row>
    <row r="6" spans="1:28" x14ac:dyDescent="0.25">
      <c r="A6" t="s">
        <v>41</v>
      </c>
      <c r="B6">
        <f>Data!I14</f>
        <v>1.4073499E-2</v>
      </c>
      <c r="C6">
        <f>Data!J14</f>
        <v>1.4073499E-2</v>
      </c>
      <c r="D6">
        <f>Data!K14</f>
        <v>1.7532504683762919E-2</v>
      </c>
      <c r="E6">
        <f>Data!L14</f>
        <v>1.9136207820162347E-2</v>
      </c>
      <c r="F6">
        <f>Data!M14</f>
        <v>2.1419075932136523E-2</v>
      </c>
      <c r="G6">
        <f>Data!N14</f>
        <v>2.4601163379775384E-2</v>
      </c>
      <c r="H6">
        <f>Data!O14</f>
        <v>2.8909159345260678E-2</v>
      </c>
      <c r="I6">
        <f>Data!P14</f>
        <v>3.4516734368895005E-2</v>
      </c>
      <c r="J6">
        <f>Data!Q14</f>
        <v>4.1454074547037548E-2</v>
      </c>
      <c r="K6">
        <f>Data!R14</f>
        <v>4.9516267970164535E-2</v>
      </c>
      <c r="L6">
        <f>Data!S14</f>
        <v>5.8232082536324822E-2</v>
      </c>
      <c r="M6">
        <f>Data!T14</f>
        <v>6.694789710248511E-2</v>
      </c>
      <c r="N6">
        <f>Data!U14</f>
        <v>7.5010090525612097E-2</v>
      </c>
      <c r="O6">
        <f>Data!V14</f>
        <v>8.1947430703754653E-2</v>
      </c>
      <c r="P6">
        <f>Data!W14</f>
        <v>8.7555005727388974E-2</v>
      </c>
      <c r="Q6">
        <f>Data!X14</f>
        <v>9.1863001692874258E-2</v>
      </c>
      <c r="R6">
        <f>Data!Y14</f>
        <v>9.5045089140513128E-2</v>
      </c>
      <c r="S6">
        <f>Data!Z14</f>
        <v>9.7327957252487315E-2</v>
      </c>
      <c r="T6">
        <f>Data!AA14</f>
        <v>9.8931660388886733E-2</v>
      </c>
      <c r="U6">
        <f>Data!AB14</f>
        <v>0.1000416949472914</v>
      </c>
      <c r="V6">
        <f>Data!AC14</f>
        <v>0.10080217496242386</v>
      </c>
      <c r="W6">
        <f>Data!AD14</f>
        <v>0.10131951705381374</v>
      </c>
      <c r="X6">
        <f>Data!AE14</f>
        <v>0.10166977091237364</v>
      </c>
      <c r="Y6">
        <f>Data!AF14</f>
        <v>0.1019061316961364</v>
      </c>
      <c r="Z6">
        <f>Data!AG14</f>
        <v>0.10206528444191545</v>
      </c>
      <c r="AA6">
        <f>Data!AH14</f>
        <v>0.10217229100021745</v>
      </c>
      <c r="AB6">
        <f>Data!AI14</f>
        <v>0.1022441654605116</v>
      </c>
    </row>
    <row r="7" spans="1:28" x14ac:dyDescent="0.25">
      <c r="A7" t="s">
        <v>42</v>
      </c>
      <c r="B7">
        <f>Data!I15</f>
        <v>0</v>
      </c>
      <c r="C7">
        <f>Data!J15</f>
        <v>0</v>
      </c>
      <c r="D7">
        <f>Data!K15</f>
        <v>0</v>
      </c>
      <c r="E7">
        <f>Data!L15</f>
        <v>0</v>
      </c>
      <c r="F7">
        <f>Data!M15</f>
        <v>0</v>
      </c>
      <c r="G7">
        <f>Data!N15</f>
        <v>0</v>
      </c>
      <c r="H7">
        <f>Data!O15</f>
        <v>0</v>
      </c>
      <c r="I7">
        <f>Data!P15</f>
        <v>0</v>
      </c>
      <c r="J7">
        <f>Data!Q15</f>
        <v>0</v>
      </c>
      <c r="K7">
        <f>Data!R15</f>
        <v>0</v>
      </c>
      <c r="L7">
        <f>Data!S15</f>
        <v>0</v>
      </c>
      <c r="M7">
        <f>Data!T15</f>
        <v>0</v>
      </c>
      <c r="N7">
        <f>Data!U15</f>
        <v>0</v>
      </c>
      <c r="O7">
        <f>Data!V15</f>
        <v>0</v>
      </c>
      <c r="P7">
        <f>Data!W15</f>
        <v>0</v>
      </c>
      <c r="Q7">
        <f>Data!X15</f>
        <v>0</v>
      </c>
      <c r="R7">
        <f>Data!Y15</f>
        <v>0</v>
      </c>
      <c r="S7">
        <f>Data!Z15</f>
        <v>0</v>
      </c>
      <c r="T7">
        <f>Data!AA15</f>
        <v>0</v>
      </c>
      <c r="U7">
        <f>Data!AB15</f>
        <v>0</v>
      </c>
      <c r="V7">
        <f>Data!AC15</f>
        <v>0</v>
      </c>
      <c r="W7">
        <f>Data!AD15</f>
        <v>0</v>
      </c>
      <c r="X7">
        <f>Data!AE15</f>
        <v>0</v>
      </c>
      <c r="Y7">
        <f>Data!AF15</f>
        <v>0</v>
      </c>
      <c r="Z7">
        <f>Data!AG15</f>
        <v>0</v>
      </c>
      <c r="AA7">
        <f>Data!AH15</f>
        <v>0</v>
      </c>
      <c r="AB7">
        <f>Data!AI15</f>
        <v>0</v>
      </c>
    </row>
    <row r="8" spans="1:28" x14ac:dyDescent="0.25">
      <c r="A8" t="s">
        <v>43</v>
      </c>
      <c r="B8">
        <f>Data!I16</f>
        <v>0</v>
      </c>
      <c r="C8">
        <f>Data!J16</f>
        <v>0</v>
      </c>
      <c r="D8">
        <f>Data!K16</f>
        <v>0</v>
      </c>
      <c r="E8">
        <f>Data!L16</f>
        <v>0</v>
      </c>
      <c r="F8">
        <f>Data!M16</f>
        <v>0</v>
      </c>
      <c r="G8">
        <f>Data!N16</f>
        <v>0</v>
      </c>
      <c r="H8">
        <f>Data!O16</f>
        <v>0</v>
      </c>
      <c r="I8">
        <f>Data!P16</f>
        <v>0</v>
      </c>
      <c r="J8">
        <f>Data!Q16</f>
        <v>0</v>
      </c>
      <c r="K8">
        <f>Data!R16</f>
        <v>0</v>
      </c>
      <c r="L8">
        <f>Data!S16</f>
        <v>0</v>
      </c>
      <c r="M8">
        <f>Data!T16</f>
        <v>0</v>
      </c>
      <c r="N8">
        <f>Data!U16</f>
        <v>0</v>
      </c>
      <c r="O8">
        <f>Data!V16</f>
        <v>0</v>
      </c>
      <c r="P8">
        <f>Data!W16</f>
        <v>0</v>
      </c>
      <c r="Q8">
        <f>Data!X16</f>
        <v>0</v>
      </c>
      <c r="R8">
        <f>Data!Y16</f>
        <v>0</v>
      </c>
      <c r="S8">
        <f>Data!Z16</f>
        <v>0</v>
      </c>
      <c r="T8">
        <f>Data!AA16</f>
        <v>0</v>
      </c>
      <c r="U8">
        <f>Data!AB16</f>
        <v>0</v>
      </c>
      <c r="V8">
        <f>Data!AC16</f>
        <v>0</v>
      </c>
      <c r="W8">
        <f>Data!AD16</f>
        <v>0</v>
      </c>
      <c r="X8">
        <f>Data!AE16</f>
        <v>0</v>
      </c>
      <c r="Y8">
        <f>Data!AF16</f>
        <v>0</v>
      </c>
      <c r="Z8">
        <f>Data!AG16</f>
        <v>0</v>
      </c>
      <c r="AA8">
        <f>Data!AH16</f>
        <v>0</v>
      </c>
      <c r="AB8">
        <f>Data!AI16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B8"/>
  <sheetViews>
    <sheetView topLeftCell="E1" workbookViewId="0">
      <selection activeCell="Z23" sqref="Z23"/>
    </sheetView>
  </sheetViews>
  <sheetFormatPr defaultColWidth="9.140625" defaultRowHeight="15" x14ac:dyDescent="0.25"/>
  <cols>
    <col min="1" max="1" width="24.42578125" customWidth="1"/>
  </cols>
  <sheetData>
    <row r="1" spans="1:28" ht="45" customHeight="1" x14ac:dyDescent="0.25">
      <c r="A1" s="19" t="s">
        <v>75</v>
      </c>
      <c r="B1">
        <f>Data!I9</f>
        <v>2024</v>
      </c>
      <c r="C1">
        <f>Data!J9</f>
        <v>2025</v>
      </c>
      <c r="D1">
        <f>Data!K9</f>
        <v>2026</v>
      </c>
      <c r="E1">
        <f>Data!L9</f>
        <v>2027</v>
      </c>
      <c r="F1">
        <f>Data!M9</f>
        <v>2028</v>
      </c>
      <c r="G1">
        <f>Data!N9</f>
        <v>2029</v>
      </c>
      <c r="H1">
        <f>Data!O9</f>
        <v>2030</v>
      </c>
      <c r="I1">
        <f>Data!P9</f>
        <v>2031</v>
      </c>
      <c r="J1">
        <f>Data!Q9</f>
        <v>2032</v>
      </c>
      <c r="K1">
        <f>Data!R9</f>
        <v>2033</v>
      </c>
      <c r="L1">
        <f>Data!S9</f>
        <v>2034</v>
      </c>
      <c r="M1">
        <f>Data!T9</f>
        <v>2035</v>
      </c>
      <c r="N1">
        <f>Data!U9</f>
        <v>2036</v>
      </c>
      <c r="O1">
        <f>Data!V9</f>
        <v>2037</v>
      </c>
      <c r="P1">
        <f>Data!W9</f>
        <v>2038</v>
      </c>
      <c r="Q1">
        <f>Data!X9</f>
        <v>2039</v>
      </c>
      <c r="R1">
        <f>Data!Y9</f>
        <v>2040</v>
      </c>
      <c r="S1">
        <f>Data!Z9</f>
        <v>2041</v>
      </c>
      <c r="T1">
        <f>Data!AA9</f>
        <v>2042</v>
      </c>
      <c r="U1">
        <f>Data!AB9</f>
        <v>2043</v>
      </c>
      <c r="V1">
        <f>Data!AC9</f>
        <v>2044</v>
      </c>
      <c r="W1">
        <f>Data!AD9</f>
        <v>2045</v>
      </c>
      <c r="X1">
        <f>Data!AE9</f>
        <v>2046</v>
      </c>
      <c r="Y1">
        <f>Data!AF9</f>
        <v>2047</v>
      </c>
      <c r="Z1">
        <f>Data!AG9</f>
        <v>2048</v>
      </c>
      <c r="AA1">
        <f>Data!AH9</f>
        <v>2049</v>
      </c>
      <c r="AB1">
        <f>Data!AI9</f>
        <v>2050</v>
      </c>
    </row>
    <row r="2" spans="1:28" x14ac:dyDescent="0.25">
      <c r="A2" t="s">
        <v>37</v>
      </c>
      <c r="B2">
        <f>Data!I17</f>
        <v>0.328639128</v>
      </c>
      <c r="C2">
        <f>Data!J17</f>
        <v>0.328639128</v>
      </c>
      <c r="D2">
        <f>Data!K17</f>
        <v>0.32762040015730876</v>
      </c>
      <c r="E2">
        <f>Data!L17</f>
        <v>0.32728089234755592</v>
      </c>
      <c r="F2">
        <f>Data!M17</f>
        <v>0.32683562599529409</v>
      </c>
      <c r="G2">
        <f>Data!N17</f>
        <v>0.3262571344990054</v>
      </c>
      <c r="H2">
        <f>Data!O17</f>
        <v>0.32551469017338575</v>
      </c>
      <c r="I2">
        <f>Data!P17</f>
        <v>0.3245766371953786</v>
      </c>
      <c r="J2">
        <f>Data!Q17</f>
        <v>0.32341462007324273</v>
      </c>
      <c r="K2">
        <f>Data!R17</f>
        <v>0.32200987964580063</v>
      </c>
      <c r="L2">
        <f>Data!S17</f>
        <v>0.32036097380721384</v>
      </c>
      <c r="M2">
        <f>Data!T17</f>
        <v>0.31849103359800773</v>
      </c>
      <c r="N2">
        <f>Data!U17</f>
        <v>0.31645153276761123</v>
      </c>
      <c r="O2">
        <f>Data!V17</f>
        <v>0.314319564</v>
      </c>
      <c r="P2">
        <f>Data!W17</f>
        <v>0.31218759523238876</v>
      </c>
      <c r="Q2">
        <f>Data!X17</f>
        <v>0.31014809440199226</v>
      </c>
      <c r="R2">
        <f>Data!Y17</f>
        <v>0.30827815419278615</v>
      </c>
      <c r="S2">
        <f>Data!Z17</f>
        <v>0.30662924835419936</v>
      </c>
      <c r="T2">
        <f>Data!AA17</f>
        <v>0.30522450792675726</v>
      </c>
      <c r="U2">
        <f>Data!AB17</f>
        <v>0.30406249080462139</v>
      </c>
      <c r="V2">
        <f>Data!AC17</f>
        <v>0.30312443782661425</v>
      </c>
      <c r="W2">
        <f>Data!AD17</f>
        <v>0.30238199350099459</v>
      </c>
      <c r="X2">
        <f>Data!AE17</f>
        <v>0.3018035020047059</v>
      </c>
      <c r="Y2">
        <f>Data!AF17</f>
        <v>0.30135823565244407</v>
      </c>
      <c r="Z2">
        <f>Data!AG17</f>
        <v>0.30101872784269124</v>
      </c>
      <c r="AA2">
        <f>Data!AH17</f>
        <v>0.30076171470346302</v>
      </c>
      <c r="AB2">
        <f>Data!AI17</f>
        <v>0.30056820905547738</v>
      </c>
    </row>
    <row r="3" spans="1:28" x14ac:dyDescent="0.25">
      <c r="A3" t="s">
        <v>38</v>
      </c>
      <c r="B3">
        <f>Data!I18</f>
        <v>0.250478074</v>
      </c>
      <c r="C3">
        <f>Data!J18</f>
        <v>0.250478074</v>
      </c>
      <c r="D3">
        <f>Data!K18</f>
        <v>0.250478074</v>
      </c>
      <c r="E3">
        <f>Data!L18</f>
        <v>0.250478074</v>
      </c>
      <c r="F3">
        <f>Data!M18</f>
        <v>0.250478074</v>
      </c>
      <c r="G3">
        <f>Data!N18</f>
        <v>0.250478074</v>
      </c>
      <c r="H3">
        <f>Data!O18</f>
        <v>0.250478074</v>
      </c>
      <c r="I3">
        <f>Data!P18</f>
        <v>0.250478074</v>
      </c>
      <c r="J3">
        <f>Data!Q18</f>
        <v>0.250478074</v>
      </c>
      <c r="K3">
        <f>Data!R18</f>
        <v>0.250478074</v>
      </c>
      <c r="L3">
        <f>Data!S18</f>
        <v>0.250478074</v>
      </c>
      <c r="M3">
        <f>Data!T18</f>
        <v>0.250478074</v>
      </c>
      <c r="N3">
        <f>Data!U18</f>
        <v>0.250478074</v>
      </c>
      <c r="O3">
        <f>Data!V18</f>
        <v>0.250478074</v>
      </c>
      <c r="P3">
        <f>Data!W18</f>
        <v>0.250478074</v>
      </c>
      <c r="Q3">
        <f>Data!X18</f>
        <v>0.250478074</v>
      </c>
      <c r="R3">
        <f>Data!Y18</f>
        <v>0.250478074</v>
      </c>
      <c r="S3">
        <f>Data!Z18</f>
        <v>0.250478074</v>
      </c>
      <c r="T3">
        <f>Data!AA18</f>
        <v>0.250478074</v>
      </c>
      <c r="U3">
        <f>Data!AB18</f>
        <v>0.250478074</v>
      </c>
      <c r="V3">
        <f>Data!AC18</f>
        <v>0.250478074</v>
      </c>
      <c r="W3">
        <f>Data!AD18</f>
        <v>0.250478074</v>
      </c>
      <c r="X3">
        <f>Data!AE18</f>
        <v>0.250478074</v>
      </c>
      <c r="Y3">
        <f>Data!AF18</f>
        <v>0.250478074</v>
      </c>
      <c r="Z3">
        <f>Data!AG18</f>
        <v>0.250478074</v>
      </c>
      <c r="AA3">
        <f>Data!AH18</f>
        <v>0.250478074</v>
      </c>
      <c r="AB3">
        <f>Data!AI18</f>
        <v>0.250478074</v>
      </c>
    </row>
    <row r="4" spans="1:28" x14ac:dyDescent="0.25">
      <c r="A4" t="s">
        <v>39</v>
      </c>
      <c r="B4">
        <f>Data!I19</f>
        <v>0.76148265500000001</v>
      </c>
      <c r="C4">
        <f>Data!J19</f>
        <v>0.76148265500000001</v>
      </c>
      <c r="D4">
        <f>Data!K19</f>
        <v>0.76148265500000001</v>
      </c>
      <c r="E4">
        <f>Data!L19</f>
        <v>0.76148265500000001</v>
      </c>
      <c r="F4">
        <f>Data!M19</f>
        <v>0.76148265500000001</v>
      </c>
      <c r="G4">
        <f>Data!N19</f>
        <v>0.76148265500000001</v>
      </c>
      <c r="H4">
        <f>Data!O19</f>
        <v>0.76148265500000001</v>
      </c>
      <c r="I4">
        <f>Data!P19</f>
        <v>0.76148265500000001</v>
      </c>
      <c r="J4">
        <f>Data!Q19</f>
        <v>0.76148265500000001</v>
      </c>
      <c r="K4">
        <f>Data!R19</f>
        <v>0.76148265500000001</v>
      </c>
      <c r="L4">
        <f>Data!S19</f>
        <v>0.76148265500000001</v>
      </c>
      <c r="M4">
        <f>Data!T19</f>
        <v>0.76148265500000001</v>
      </c>
      <c r="N4">
        <f>Data!U19</f>
        <v>0.76148265500000001</v>
      </c>
      <c r="O4">
        <f>Data!V19</f>
        <v>0.76148265500000001</v>
      </c>
      <c r="P4">
        <f>Data!W19</f>
        <v>0.76148265500000001</v>
      </c>
      <c r="Q4">
        <f>Data!X19</f>
        <v>0.76148265500000001</v>
      </c>
      <c r="R4">
        <f>Data!Y19</f>
        <v>0.76148265500000001</v>
      </c>
      <c r="S4">
        <f>Data!Z19</f>
        <v>0.76148265500000001</v>
      </c>
      <c r="T4">
        <f>Data!AA19</f>
        <v>0.76148265500000001</v>
      </c>
      <c r="U4">
        <f>Data!AB19</f>
        <v>0.76148265500000001</v>
      </c>
      <c r="V4">
        <f>Data!AC19</f>
        <v>0.76148265500000001</v>
      </c>
      <c r="W4">
        <f>Data!AD19</f>
        <v>0.76148265500000001</v>
      </c>
      <c r="X4">
        <f>Data!AE19</f>
        <v>0.76148265500000001</v>
      </c>
      <c r="Y4">
        <f>Data!AF19</f>
        <v>0.76148265500000001</v>
      </c>
      <c r="Z4">
        <f>Data!AG19</f>
        <v>0.76148265500000001</v>
      </c>
      <c r="AA4">
        <f>Data!AH19</f>
        <v>0.76148265500000001</v>
      </c>
      <c r="AB4">
        <f>Data!AI19</f>
        <v>0.76148265500000001</v>
      </c>
    </row>
    <row r="5" spans="1:28" x14ac:dyDescent="0.25">
      <c r="A5" t="s">
        <v>40</v>
      </c>
      <c r="B5">
        <f>Data!I20</f>
        <v>1</v>
      </c>
      <c r="C5">
        <f>Data!J20</f>
        <v>1</v>
      </c>
      <c r="D5">
        <f>Data!K20</f>
        <v>1</v>
      </c>
      <c r="E5">
        <f>Data!L20</f>
        <v>1</v>
      </c>
      <c r="F5">
        <f>Data!M20</f>
        <v>1</v>
      </c>
      <c r="G5">
        <f>Data!N20</f>
        <v>1</v>
      </c>
      <c r="H5">
        <f>Data!O20</f>
        <v>1</v>
      </c>
      <c r="I5">
        <f>Data!P20</f>
        <v>1</v>
      </c>
      <c r="J5">
        <f>Data!Q20</f>
        <v>1</v>
      </c>
      <c r="K5">
        <f>Data!R20</f>
        <v>1</v>
      </c>
      <c r="L5">
        <f>Data!S20</f>
        <v>1</v>
      </c>
      <c r="M5">
        <f>Data!T20</f>
        <v>1</v>
      </c>
      <c r="N5">
        <f>Data!U20</f>
        <v>1</v>
      </c>
      <c r="O5">
        <f>Data!V20</f>
        <v>1</v>
      </c>
      <c r="P5">
        <f>Data!W20</f>
        <v>1</v>
      </c>
      <c r="Q5">
        <f>Data!X20</f>
        <v>1</v>
      </c>
      <c r="R5">
        <f>Data!Y20</f>
        <v>1</v>
      </c>
      <c r="S5">
        <f>Data!Z20</f>
        <v>1</v>
      </c>
      <c r="T5">
        <f>Data!AA20</f>
        <v>1</v>
      </c>
      <c r="U5">
        <f>Data!AB20</f>
        <v>1</v>
      </c>
      <c r="V5">
        <f>Data!AC20</f>
        <v>1</v>
      </c>
      <c r="W5">
        <f>Data!AD20</f>
        <v>1</v>
      </c>
      <c r="X5">
        <f>Data!AE20</f>
        <v>1</v>
      </c>
      <c r="Y5">
        <f>Data!AF20</f>
        <v>1</v>
      </c>
      <c r="Z5">
        <f>Data!AG20</f>
        <v>1</v>
      </c>
      <c r="AA5">
        <f>Data!AH20</f>
        <v>1</v>
      </c>
      <c r="AB5">
        <f>Data!AI20</f>
        <v>1</v>
      </c>
    </row>
    <row r="6" spans="1:28" x14ac:dyDescent="0.25">
      <c r="A6" t="s">
        <v>41</v>
      </c>
      <c r="B6">
        <f>Data!I21</f>
        <v>1.003192E-3</v>
      </c>
      <c r="C6">
        <f>Data!J21</f>
        <v>1.003192E-3</v>
      </c>
      <c r="D6">
        <f>Data!K21</f>
        <v>1.0114628802088777E-3</v>
      </c>
      <c r="E6">
        <f>Data!L21</f>
        <v>1.0142192870790641E-3</v>
      </c>
      <c r="F6">
        <f>Data!M21</f>
        <v>1.0178343297884813E-3</v>
      </c>
      <c r="G6">
        <f>Data!N21</f>
        <v>1.0225310050604737E-3</v>
      </c>
      <c r="H6">
        <f>Data!O21</f>
        <v>1.0285587858097846E-3</v>
      </c>
      <c r="I6">
        <f>Data!P21</f>
        <v>1.0361746803456418E-3</v>
      </c>
      <c r="J6">
        <f>Data!Q21</f>
        <v>1.0456089021417803E-3</v>
      </c>
      <c r="K6">
        <f>Data!R21</f>
        <v>1.0570137536762662E-3</v>
      </c>
      <c r="L6">
        <f>Data!S21</f>
        <v>1.0704009431641303E-3</v>
      </c>
      <c r="M6">
        <f>Data!T21</f>
        <v>1.0855826735733526E-3</v>
      </c>
      <c r="N6">
        <f>Data!U21</f>
        <v>1.1021410381798931E-3</v>
      </c>
      <c r="O6">
        <f>Data!V21</f>
        <v>1.1194501344340981E-3</v>
      </c>
      <c r="P6">
        <f>Data!W21</f>
        <v>1.1367592306883029E-3</v>
      </c>
      <c r="Q6">
        <f>Data!X21</f>
        <v>1.1533175952948434E-3</v>
      </c>
      <c r="R6">
        <f>Data!Y21</f>
        <v>1.1684993257040656E-3</v>
      </c>
      <c r="S6">
        <f>Data!Z21</f>
        <v>1.1818865151919297E-3</v>
      </c>
      <c r="T6">
        <f>Data!AA21</f>
        <v>1.1932913667264157E-3</v>
      </c>
      <c r="U6">
        <f>Data!AB21</f>
        <v>1.2027255885225542E-3</v>
      </c>
      <c r="V6">
        <f>Data!AC21</f>
        <v>1.2103414830584114E-3</v>
      </c>
      <c r="W6">
        <f>Data!AD21</f>
        <v>1.2163692638077223E-3</v>
      </c>
      <c r="X6">
        <f>Data!AE21</f>
        <v>1.2210659390797147E-3</v>
      </c>
      <c r="Y6">
        <f>Data!AF21</f>
        <v>1.2246809817891319E-3</v>
      </c>
      <c r="Z6">
        <f>Data!AG21</f>
        <v>1.2274373886593183E-3</v>
      </c>
      <c r="AA6">
        <f>Data!AH21</f>
        <v>1.2295240351585918E-3</v>
      </c>
      <c r="AB6">
        <f>Data!AI21</f>
        <v>1.2310950750057041E-3</v>
      </c>
    </row>
    <row r="7" spans="1:28" x14ac:dyDescent="0.25">
      <c r="A7" t="s">
        <v>42</v>
      </c>
      <c r="B7">
        <f>Data!I22</f>
        <v>6.0223199999999996E-4</v>
      </c>
      <c r="C7">
        <f>Data!J22</f>
        <v>6.0223199999999996E-4</v>
      </c>
      <c r="D7">
        <f>Data!K22</f>
        <v>6.0223199999999996E-4</v>
      </c>
      <c r="E7">
        <f>Data!L22</f>
        <v>6.0223199999999996E-4</v>
      </c>
      <c r="F7">
        <f>Data!M22</f>
        <v>6.0223199999999996E-4</v>
      </c>
      <c r="G7">
        <f>Data!N22</f>
        <v>6.0223199999999996E-4</v>
      </c>
      <c r="H7">
        <f>Data!O22</f>
        <v>6.0223199999999996E-4</v>
      </c>
      <c r="I7">
        <f>Data!P22</f>
        <v>6.0223199999999996E-4</v>
      </c>
      <c r="J7">
        <f>Data!Q22</f>
        <v>6.0223199999999996E-4</v>
      </c>
      <c r="K7">
        <f>Data!R22</f>
        <v>6.0223199999999996E-4</v>
      </c>
      <c r="L7">
        <f>Data!S22</f>
        <v>6.0223199999999996E-4</v>
      </c>
      <c r="M7">
        <f>Data!T22</f>
        <v>6.0223199999999996E-4</v>
      </c>
      <c r="N7">
        <f>Data!U22</f>
        <v>6.0223199999999996E-4</v>
      </c>
      <c r="O7">
        <f>Data!V22</f>
        <v>6.0223199999999996E-4</v>
      </c>
      <c r="P7">
        <f>Data!W22</f>
        <v>6.0223199999999996E-4</v>
      </c>
      <c r="Q7">
        <f>Data!X22</f>
        <v>6.0223199999999996E-4</v>
      </c>
      <c r="R7">
        <f>Data!Y22</f>
        <v>6.0223199999999996E-4</v>
      </c>
      <c r="S7">
        <f>Data!Z22</f>
        <v>6.0223199999999996E-4</v>
      </c>
      <c r="T7">
        <f>Data!AA22</f>
        <v>6.0223199999999996E-4</v>
      </c>
      <c r="U7">
        <f>Data!AB22</f>
        <v>6.0223199999999996E-4</v>
      </c>
      <c r="V7">
        <f>Data!AC22</f>
        <v>6.0223199999999996E-4</v>
      </c>
      <c r="W7">
        <f>Data!AD22</f>
        <v>6.0223199999999996E-4</v>
      </c>
      <c r="X7">
        <f>Data!AE22</f>
        <v>6.0223199999999996E-4</v>
      </c>
      <c r="Y7">
        <f>Data!AF22</f>
        <v>6.0223199999999996E-4</v>
      </c>
      <c r="Z7">
        <f>Data!AG22</f>
        <v>6.0223199999999996E-4</v>
      </c>
      <c r="AA7">
        <f>Data!AH22</f>
        <v>6.0223199999999996E-4</v>
      </c>
      <c r="AB7">
        <f>Data!AI22</f>
        <v>6.0223199999999996E-4</v>
      </c>
    </row>
    <row r="8" spans="1:28" x14ac:dyDescent="0.25">
      <c r="A8" t="s">
        <v>43</v>
      </c>
      <c r="B8">
        <f>Data!I23</f>
        <v>0</v>
      </c>
      <c r="C8">
        <f>Data!J23</f>
        <v>0</v>
      </c>
      <c r="D8">
        <f>Data!K23</f>
        <v>0</v>
      </c>
      <c r="E8">
        <f>Data!L23</f>
        <v>0</v>
      </c>
      <c r="F8">
        <f>Data!M23</f>
        <v>0</v>
      </c>
      <c r="G8">
        <f>Data!N23</f>
        <v>0</v>
      </c>
      <c r="H8">
        <f>Data!O23</f>
        <v>0</v>
      </c>
      <c r="I8">
        <f>Data!P23</f>
        <v>0</v>
      </c>
      <c r="J8">
        <f>Data!Q23</f>
        <v>0</v>
      </c>
      <c r="K8">
        <f>Data!R23</f>
        <v>0</v>
      </c>
      <c r="L8">
        <f>Data!S23</f>
        <v>0</v>
      </c>
      <c r="M8">
        <f>Data!T23</f>
        <v>0</v>
      </c>
      <c r="N8">
        <f>Data!U23</f>
        <v>0</v>
      </c>
      <c r="O8">
        <f>Data!V23</f>
        <v>0</v>
      </c>
      <c r="P8">
        <f>Data!W23</f>
        <v>0</v>
      </c>
      <c r="Q8">
        <f>Data!X23</f>
        <v>0</v>
      </c>
      <c r="R8">
        <f>Data!Y23</f>
        <v>0</v>
      </c>
      <c r="S8">
        <f>Data!Z23</f>
        <v>0</v>
      </c>
      <c r="T8">
        <f>Data!AA23</f>
        <v>0</v>
      </c>
      <c r="U8">
        <f>Data!AB23</f>
        <v>0</v>
      </c>
      <c r="V8">
        <f>Data!AC23</f>
        <v>0</v>
      </c>
      <c r="W8">
        <f>Data!AD23</f>
        <v>0</v>
      </c>
      <c r="X8">
        <f>Data!AE23</f>
        <v>0</v>
      </c>
      <c r="Y8">
        <f>Data!AF23</f>
        <v>0</v>
      </c>
      <c r="Z8">
        <f>Data!AG23</f>
        <v>0</v>
      </c>
      <c r="AA8">
        <f>Data!AH23</f>
        <v>0</v>
      </c>
      <c r="AB8">
        <f>Data!AI23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B8"/>
  <sheetViews>
    <sheetView workbookViewId="0">
      <selection activeCell="Z23" sqref="Z23"/>
    </sheetView>
  </sheetViews>
  <sheetFormatPr defaultColWidth="9.140625" defaultRowHeight="15" x14ac:dyDescent="0.25"/>
  <cols>
    <col min="1" max="1" width="24.42578125" customWidth="1"/>
  </cols>
  <sheetData>
    <row r="1" spans="1:28" ht="45" customHeight="1" x14ac:dyDescent="0.25">
      <c r="A1" s="19" t="s">
        <v>75</v>
      </c>
      <c r="B1">
        <f>Data!I9</f>
        <v>2024</v>
      </c>
      <c r="C1">
        <f>Data!J9</f>
        <v>2025</v>
      </c>
      <c r="D1">
        <f>Data!K9</f>
        <v>2026</v>
      </c>
      <c r="E1">
        <f>Data!L9</f>
        <v>2027</v>
      </c>
      <c r="F1">
        <f>Data!M9</f>
        <v>2028</v>
      </c>
      <c r="G1">
        <f>Data!N9</f>
        <v>2029</v>
      </c>
      <c r="H1">
        <f>Data!O9</f>
        <v>2030</v>
      </c>
      <c r="I1">
        <f>Data!P9</f>
        <v>2031</v>
      </c>
      <c r="J1">
        <f>Data!Q9</f>
        <v>2032</v>
      </c>
      <c r="K1">
        <f>Data!R9</f>
        <v>2033</v>
      </c>
      <c r="L1">
        <f>Data!S9</f>
        <v>2034</v>
      </c>
      <c r="M1">
        <f>Data!T9</f>
        <v>2035</v>
      </c>
      <c r="N1">
        <f>Data!U9</f>
        <v>2036</v>
      </c>
      <c r="O1">
        <f>Data!V9</f>
        <v>2037</v>
      </c>
      <c r="P1">
        <f>Data!W9</f>
        <v>2038</v>
      </c>
      <c r="Q1">
        <f>Data!X9</f>
        <v>2039</v>
      </c>
      <c r="R1">
        <f>Data!Y9</f>
        <v>2040</v>
      </c>
      <c r="S1">
        <f>Data!Z9</f>
        <v>2041</v>
      </c>
      <c r="T1">
        <f>Data!AA9</f>
        <v>2042</v>
      </c>
      <c r="U1">
        <f>Data!AB9</f>
        <v>2043</v>
      </c>
      <c r="V1">
        <f>Data!AC9</f>
        <v>2044</v>
      </c>
      <c r="W1">
        <f>Data!AD9</f>
        <v>2045</v>
      </c>
      <c r="X1">
        <f>Data!AE9</f>
        <v>2046</v>
      </c>
      <c r="Y1">
        <f>Data!AF9</f>
        <v>2047</v>
      </c>
      <c r="Z1">
        <f>Data!AG9</f>
        <v>2048</v>
      </c>
      <c r="AA1">
        <f>Data!AH9</f>
        <v>2049</v>
      </c>
      <c r="AB1">
        <f>Data!AI9</f>
        <v>2050</v>
      </c>
    </row>
    <row r="2" spans="1:28" x14ac:dyDescent="0.25">
      <c r="A2" t="s">
        <v>37</v>
      </c>
      <c r="B2">
        <f>Data!I24</f>
        <v>0.12184009799999999</v>
      </c>
      <c r="C2">
        <f>Data!J24</f>
        <v>0.12184009799999999</v>
      </c>
      <c r="D2">
        <f>Data!K24</f>
        <v>0.1441844927675226</v>
      </c>
      <c r="E2">
        <f>Data!L24</f>
        <v>0.15163112984748478</v>
      </c>
      <c r="F2">
        <f>Data!M24</f>
        <v>0.16139743516937402</v>
      </c>
      <c r="G2">
        <f>Data!N24</f>
        <v>0.17408585087869802</v>
      </c>
      <c r="H2">
        <f>Data!O24</f>
        <v>0.19037034651074775</v>
      </c>
      <c r="I2">
        <f>Data!P24</f>
        <v>0.21094524902648606</v>
      </c>
      <c r="J2">
        <f>Data!Q24</f>
        <v>0.23643249715649947</v>
      </c>
      <c r="K2">
        <f>Data!R24</f>
        <v>0.26724354731268585</v>
      </c>
      <c r="L2">
        <f>Data!S24</f>
        <v>0.30341003010412881</v>
      </c>
      <c r="M2">
        <f>Data!T24</f>
        <v>0.34442459795552233</v>
      </c>
      <c r="N2">
        <f>Data!U24</f>
        <v>0.38915824493495493</v>
      </c>
      <c r="O2">
        <f>Data!V24</f>
        <v>0.43592004900000003</v>
      </c>
      <c r="P2">
        <f>Data!W24</f>
        <v>0.48268185306504513</v>
      </c>
      <c r="Q2">
        <f>Data!X24</f>
        <v>0.52741550004447768</v>
      </c>
      <c r="R2">
        <f>Data!Y24</f>
        <v>0.56843006789587125</v>
      </c>
      <c r="S2">
        <f>Data!Z24</f>
        <v>0.6045965506873141</v>
      </c>
      <c r="T2">
        <f>Data!AA24</f>
        <v>0.63540760084350045</v>
      </c>
      <c r="U2">
        <f>Data!AB24</f>
        <v>0.66089484897351403</v>
      </c>
      <c r="V2">
        <f>Data!AC24</f>
        <v>0.68146975148925226</v>
      </c>
      <c r="W2">
        <f>Data!AD24</f>
        <v>0.69775424712130196</v>
      </c>
      <c r="X2">
        <f>Data!AE24</f>
        <v>0.71044266283062596</v>
      </c>
      <c r="Y2">
        <f>Data!AF24</f>
        <v>0.72020896815251523</v>
      </c>
      <c r="Z2">
        <f>Data!AG24</f>
        <v>0.72765560523247741</v>
      </c>
      <c r="AA2">
        <f>Data!AH24</f>
        <v>0.73329283512126131</v>
      </c>
      <c r="AB2">
        <f>Data!AI24</f>
        <v>0.73753711549443191</v>
      </c>
    </row>
    <row r="3" spans="1:28" x14ac:dyDescent="0.25">
      <c r="A3" t="s">
        <v>38</v>
      </c>
      <c r="B3">
        <f>Data!I25</f>
        <v>1.5737247999999999E-2</v>
      </c>
      <c r="C3">
        <f>Data!J25</f>
        <v>1.5737247999999999E-2</v>
      </c>
      <c r="D3">
        <f>Data!K25</f>
        <v>1.5737247999999999E-2</v>
      </c>
      <c r="E3">
        <f>Data!L25</f>
        <v>1.5737247999999999E-2</v>
      </c>
      <c r="F3">
        <f>Data!M25</f>
        <v>1.5737247999999999E-2</v>
      </c>
      <c r="G3">
        <f>Data!N25</f>
        <v>1.5737247999999999E-2</v>
      </c>
      <c r="H3">
        <f>Data!O25</f>
        <v>1.5737247999999999E-2</v>
      </c>
      <c r="I3">
        <f>Data!P25</f>
        <v>1.5737247999999999E-2</v>
      </c>
      <c r="J3">
        <f>Data!Q25</f>
        <v>1.5737247999999999E-2</v>
      </c>
      <c r="K3">
        <f>Data!R25</f>
        <v>1.5737247999999999E-2</v>
      </c>
      <c r="L3">
        <f>Data!S25</f>
        <v>1.5737247999999999E-2</v>
      </c>
      <c r="M3">
        <f>Data!T25</f>
        <v>1.5737247999999999E-2</v>
      </c>
      <c r="N3">
        <f>Data!U25</f>
        <v>1.5737247999999999E-2</v>
      </c>
      <c r="O3">
        <f>Data!V25</f>
        <v>1.5737247999999999E-2</v>
      </c>
      <c r="P3">
        <f>Data!W25</f>
        <v>1.5737247999999999E-2</v>
      </c>
      <c r="Q3">
        <f>Data!X25</f>
        <v>1.5737247999999999E-2</v>
      </c>
      <c r="R3">
        <f>Data!Y25</f>
        <v>1.5737247999999999E-2</v>
      </c>
      <c r="S3">
        <f>Data!Z25</f>
        <v>1.5737247999999999E-2</v>
      </c>
      <c r="T3">
        <f>Data!AA25</f>
        <v>1.5737247999999999E-2</v>
      </c>
      <c r="U3">
        <f>Data!AB25</f>
        <v>1.5737247999999999E-2</v>
      </c>
      <c r="V3">
        <f>Data!AC25</f>
        <v>1.5737247999999999E-2</v>
      </c>
      <c r="W3">
        <f>Data!AD25</f>
        <v>1.5737247999999999E-2</v>
      </c>
      <c r="X3">
        <f>Data!AE25</f>
        <v>1.5737247999999999E-2</v>
      </c>
      <c r="Y3">
        <f>Data!AF25</f>
        <v>1.5737247999999999E-2</v>
      </c>
      <c r="Z3">
        <f>Data!AG25</f>
        <v>1.5737247999999999E-2</v>
      </c>
      <c r="AA3">
        <f>Data!AH25</f>
        <v>1.5737247999999999E-2</v>
      </c>
      <c r="AB3">
        <f>Data!AI25</f>
        <v>1.5737247999999999E-2</v>
      </c>
    </row>
    <row r="4" spans="1:28" x14ac:dyDescent="0.25">
      <c r="A4" t="s">
        <v>39</v>
      </c>
      <c r="B4">
        <f>Data!I26</f>
        <v>0.37956814</v>
      </c>
      <c r="C4">
        <f>Data!J26</f>
        <v>0.37956814</v>
      </c>
      <c r="D4">
        <f>Data!K26</f>
        <v>0.37956814</v>
      </c>
      <c r="E4">
        <f>Data!L26</f>
        <v>0.37956814</v>
      </c>
      <c r="F4">
        <f>Data!M26</f>
        <v>0.37956814</v>
      </c>
      <c r="G4">
        <f>Data!N26</f>
        <v>0.37956814</v>
      </c>
      <c r="H4">
        <f>Data!O26</f>
        <v>0.37956814</v>
      </c>
      <c r="I4">
        <f>Data!P26</f>
        <v>0.37956814</v>
      </c>
      <c r="J4">
        <f>Data!Q26</f>
        <v>0.37956814</v>
      </c>
      <c r="K4">
        <f>Data!R26</f>
        <v>0.37956814</v>
      </c>
      <c r="L4">
        <f>Data!S26</f>
        <v>0.37956814</v>
      </c>
      <c r="M4">
        <f>Data!T26</f>
        <v>0.37956814</v>
      </c>
      <c r="N4">
        <f>Data!U26</f>
        <v>0.37956814</v>
      </c>
      <c r="O4">
        <f>Data!V26</f>
        <v>0.37956814</v>
      </c>
      <c r="P4">
        <f>Data!W26</f>
        <v>0.37956814</v>
      </c>
      <c r="Q4">
        <f>Data!X26</f>
        <v>0.37956814</v>
      </c>
      <c r="R4">
        <f>Data!Y26</f>
        <v>0.37956814</v>
      </c>
      <c r="S4">
        <f>Data!Z26</f>
        <v>0.37956814</v>
      </c>
      <c r="T4">
        <f>Data!AA26</f>
        <v>0.37956814</v>
      </c>
      <c r="U4">
        <f>Data!AB26</f>
        <v>0.37956814</v>
      </c>
      <c r="V4">
        <f>Data!AC26</f>
        <v>0.37956814</v>
      </c>
      <c r="W4">
        <f>Data!AD26</f>
        <v>0.37956814</v>
      </c>
      <c r="X4">
        <f>Data!AE26</f>
        <v>0.37956814</v>
      </c>
      <c r="Y4">
        <f>Data!AF26</f>
        <v>0.37956814</v>
      </c>
      <c r="Z4">
        <f>Data!AG26</f>
        <v>0.37956814</v>
      </c>
      <c r="AA4">
        <f>Data!AH26</f>
        <v>0.37956814</v>
      </c>
      <c r="AB4">
        <f>Data!AI26</f>
        <v>0.37956814</v>
      </c>
    </row>
    <row r="5" spans="1:28" x14ac:dyDescent="0.25">
      <c r="A5" t="s">
        <v>40</v>
      </c>
      <c r="B5">
        <f>Data!I27</f>
        <v>1</v>
      </c>
      <c r="C5">
        <f>Data!J27</f>
        <v>1</v>
      </c>
      <c r="D5">
        <f>Data!K27</f>
        <v>1</v>
      </c>
      <c r="E5">
        <f>Data!L27</f>
        <v>1</v>
      </c>
      <c r="F5">
        <f>Data!M27</f>
        <v>1</v>
      </c>
      <c r="G5">
        <f>Data!N27</f>
        <v>1</v>
      </c>
      <c r="H5">
        <f>Data!O27</f>
        <v>1</v>
      </c>
      <c r="I5">
        <f>Data!P27</f>
        <v>1</v>
      </c>
      <c r="J5">
        <f>Data!Q27</f>
        <v>1</v>
      </c>
      <c r="K5">
        <f>Data!R27</f>
        <v>1</v>
      </c>
      <c r="L5">
        <f>Data!S27</f>
        <v>1</v>
      </c>
      <c r="M5">
        <f>Data!T27</f>
        <v>1</v>
      </c>
      <c r="N5">
        <f>Data!U27</f>
        <v>1</v>
      </c>
      <c r="O5">
        <f>Data!V27</f>
        <v>1</v>
      </c>
      <c r="P5">
        <f>Data!W27</f>
        <v>1</v>
      </c>
      <c r="Q5">
        <f>Data!X27</f>
        <v>1</v>
      </c>
      <c r="R5">
        <f>Data!Y27</f>
        <v>1</v>
      </c>
      <c r="S5">
        <f>Data!Z27</f>
        <v>1</v>
      </c>
      <c r="T5">
        <f>Data!AA27</f>
        <v>1</v>
      </c>
      <c r="U5">
        <f>Data!AB27</f>
        <v>1</v>
      </c>
      <c r="V5">
        <f>Data!AC27</f>
        <v>1</v>
      </c>
      <c r="W5">
        <f>Data!AD27</f>
        <v>1</v>
      </c>
      <c r="X5">
        <f>Data!AE27</f>
        <v>1</v>
      </c>
      <c r="Y5">
        <f>Data!AF27</f>
        <v>1</v>
      </c>
      <c r="Z5">
        <f>Data!AG27</f>
        <v>1</v>
      </c>
      <c r="AA5">
        <f>Data!AH27</f>
        <v>1</v>
      </c>
      <c r="AB5">
        <f>Data!AI27</f>
        <v>1</v>
      </c>
    </row>
    <row r="6" spans="1:28" x14ac:dyDescent="0.25">
      <c r="A6" t="s">
        <v>41</v>
      </c>
      <c r="B6">
        <f>Data!I28</f>
        <v>0</v>
      </c>
      <c r="C6">
        <f>Data!J28</f>
        <v>0</v>
      </c>
      <c r="D6">
        <f>Data!K28</f>
        <v>0</v>
      </c>
      <c r="E6">
        <f>Data!L28</f>
        <v>0</v>
      </c>
      <c r="F6">
        <f>Data!M28</f>
        <v>0</v>
      </c>
      <c r="G6">
        <f>Data!N28</f>
        <v>0</v>
      </c>
      <c r="H6">
        <f>Data!O28</f>
        <v>0</v>
      </c>
      <c r="I6">
        <f>Data!P28</f>
        <v>0</v>
      </c>
      <c r="J6">
        <f>Data!Q28</f>
        <v>0</v>
      </c>
      <c r="K6">
        <f>Data!R28</f>
        <v>0</v>
      </c>
      <c r="L6">
        <f>Data!S28</f>
        <v>0</v>
      </c>
      <c r="M6">
        <f>Data!T28</f>
        <v>0</v>
      </c>
      <c r="N6">
        <f>Data!U28</f>
        <v>0</v>
      </c>
      <c r="O6">
        <f>Data!V28</f>
        <v>0</v>
      </c>
      <c r="P6">
        <f>Data!W28</f>
        <v>0</v>
      </c>
      <c r="Q6">
        <f>Data!X28</f>
        <v>0</v>
      </c>
      <c r="R6">
        <f>Data!Y28</f>
        <v>0</v>
      </c>
      <c r="S6">
        <f>Data!Z28</f>
        <v>0</v>
      </c>
      <c r="T6">
        <f>Data!AA28</f>
        <v>0</v>
      </c>
      <c r="U6">
        <f>Data!AB28</f>
        <v>0</v>
      </c>
      <c r="V6">
        <f>Data!AC28</f>
        <v>0</v>
      </c>
      <c r="W6">
        <f>Data!AD28</f>
        <v>0</v>
      </c>
      <c r="X6">
        <f>Data!AE28</f>
        <v>0</v>
      </c>
      <c r="Y6">
        <f>Data!AF28</f>
        <v>0</v>
      </c>
      <c r="Z6">
        <f>Data!AG28</f>
        <v>0</v>
      </c>
      <c r="AA6">
        <f>Data!AH28</f>
        <v>0</v>
      </c>
      <c r="AB6">
        <f>Data!AI28</f>
        <v>0</v>
      </c>
    </row>
    <row r="7" spans="1:28" x14ac:dyDescent="0.25">
      <c r="A7" t="s">
        <v>42</v>
      </c>
      <c r="B7">
        <f>Data!I29</f>
        <v>5.5449391000000001E-2</v>
      </c>
      <c r="C7">
        <f>Data!J29</f>
        <v>5.5449391000000001E-2</v>
      </c>
      <c r="D7">
        <f>Data!K29</f>
        <v>5.5449391000000001E-2</v>
      </c>
      <c r="E7">
        <f>Data!L29</f>
        <v>5.5449391000000001E-2</v>
      </c>
      <c r="F7">
        <f>Data!M29</f>
        <v>5.5449391000000001E-2</v>
      </c>
      <c r="G7">
        <f>Data!N29</f>
        <v>5.5449391000000001E-2</v>
      </c>
      <c r="H7">
        <f>Data!O29</f>
        <v>5.5449391000000001E-2</v>
      </c>
      <c r="I7">
        <f>Data!P29</f>
        <v>5.5449391000000001E-2</v>
      </c>
      <c r="J7">
        <f>Data!Q29</f>
        <v>5.5449391000000001E-2</v>
      </c>
      <c r="K7">
        <f>Data!R29</f>
        <v>5.5449391000000001E-2</v>
      </c>
      <c r="L7">
        <f>Data!S29</f>
        <v>5.5449391000000001E-2</v>
      </c>
      <c r="M7">
        <f>Data!T29</f>
        <v>5.5449391000000001E-2</v>
      </c>
      <c r="N7">
        <f>Data!U29</f>
        <v>5.5449391000000001E-2</v>
      </c>
      <c r="O7">
        <f>Data!V29</f>
        <v>5.5449391000000001E-2</v>
      </c>
      <c r="P7">
        <f>Data!W29</f>
        <v>5.5449391000000001E-2</v>
      </c>
      <c r="Q7">
        <f>Data!X29</f>
        <v>5.5449391000000001E-2</v>
      </c>
      <c r="R7">
        <f>Data!Y29</f>
        <v>5.5449391000000001E-2</v>
      </c>
      <c r="S7">
        <f>Data!Z29</f>
        <v>5.5449391000000001E-2</v>
      </c>
      <c r="T7">
        <f>Data!AA29</f>
        <v>5.5449391000000001E-2</v>
      </c>
      <c r="U7">
        <f>Data!AB29</f>
        <v>5.5449391000000001E-2</v>
      </c>
      <c r="V7">
        <f>Data!AC29</f>
        <v>5.5449391000000001E-2</v>
      </c>
      <c r="W7">
        <f>Data!AD29</f>
        <v>5.5449391000000001E-2</v>
      </c>
      <c r="X7">
        <f>Data!AE29</f>
        <v>5.5449391000000001E-2</v>
      </c>
      <c r="Y7">
        <f>Data!AF29</f>
        <v>5.5449391000000001E-2</v>
      </c>
      <c r="Z7">
        <f>Data!AG29</f>
        <v>5.5449391000000001E-2</v>
      </c>
      <c r="AA7">
        <f>Data!AH29</f>
        <v>5.5449391000000001E-2</v>
      </c>
      <c r="AB7">
        <f>Data!AI29</f>
        <v>5.5449391000000001E-2</v>
      </c>
    </row>
    <row r="8" spans="1:28" x14ac:dyDescent="0.25">
      <c r="A8" t="s">
        <v>43</v>
      </c>
      <c r="B8">
        <f>Data!I30</f>
        <v>2.0286950000000001E-3</v>
      </c>
      <c r="C8">
        <f>Data!J30</f>
        <v>2.0286950000000001E-3</v>
      </c>
      <c r="D8">
        <f>Data!K30</f>
        <v>2.0286950000000001E-3</v>
      </c>
      <c r="E8">
        <f>Data!L30</f>
        <v>2.0286950000000001E-3</v>
      </c>
      <c r="F8">
        <f>Data!M30</f>
        <v>2.0286950000000001E-3</v>
      </c>
      <c r="G8">
        <f>Data!N30</f>
        <v>2.0286950000000001E-3</v>
      </c>
      <c r="H8">
        <f>Data!O30</f>
        <v>2.0286950000000001E-3</v>
      </c>
      <c r="I8">
        <f>Data!P30</f>
        <v>2.0286950000000001E-3</v>
      </c>
      <c r="J8">
        <f>Data!Q30</f>
        <v>2.0286950000000001E-3</v>
      </c>
      <c r="K8">
        <f>Data!R30</f>
        <v>2.0286950000000001E-3</v>
      </c>
      <c r="L8">
        <f>Data!S30</f>
        <v>2.0286950000000001E-3</v>
      </c>
      <c r="M8">
        <f>Data!T30</f>
        <v>2.0286950000000001E-3</v>
      </c>
      <c r="N8">
        <f>Data!U30</f>
        <v>2.0286950000000001E-3</v>
      </c>
      <c r="O8">
        <f>Data!V30</f>
        <v>2.0286950000000001E-3</v>
      </c>
      <c r="P8">
        <f>Data!W30</f>
        <v>2.0286950000000001E-3</v>
      </c>
      <c r="Q8">
        <f>Data!X30</f>
        <v>2.0286950000000001E-3</v>
      </c>
      <c r="R8">
        <f>Data!Y30</f>
        <v>2.0286950000000001E-3</v>
      </c>
      <c r="S8">
        <f>Data!Z30</f>
        <v>2.0286950000000001E-3</v>
      </c>
      <c r="T8">
        <f>Data!AA30</f>
        <v>2.0286950000000001E-3</v>
      </c>
      <c r="U8">
        <f>Data!AB30</f>
        <v>2.0286950000000001E-3</v>
      </c>
      <c r="V8">
        <f>Data!AC30</f>
        <v>2.0286950000000001E-3</v>
      </c>
      <c r="W8">
        <f>Data!AD30</f>
        <v>2.0286950000000001E-3</v>
      </c>
      <c r="X8">
        <f>Data!AE30</f>
        <v>2.0286950000000001E-3</v>
      </c>
      <c r="Y8">
        <f>Data!AF30</f>
        <v>2.0286950000000001E-3</v>
      </c>
      <c r="Z8">
        <f>Data!AG30</f>
        <v>2.0286950000000001E-3</v>
      </c>
      <c r="AA8">
        <f>Data!AH30</f>
        <v>2.0286950000000001E-3</v>
      </c>
      <c r="AB8">
        <f>Data!AI30</f>
        <v>2.0286950000000001E-3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B8"/>
  <sheetViews>
    <sheetView workbookViewId="0">
      <selection activeCell="Z23" sqref="Z23"/>
    </sheetView>
  </sheetViews>
  <sheetFormatPr defaultColWidth="9.140625" defaultRowHeight="15" x14ac:dyDescent="0.25"/>
  <cols>
    <col min="1" max="1" width="24.42578125" customWidth="1"/>
  </cols>
  <sheetData>
    <row r="1" spans="1:28" ht="45" customHeight="1" x14ac:dyDescent="0.25">
      <c r="A1" s="19" t="s">
        <v>75</v>
      </c>
      <c r="B1">
        <f>Data!I9</f>
        <v>2024</v>
      </c>
      <c r="C1">
        <f>Data!J9</f>
        <v>2025</v>
      </c>
      <c r="D1">
        <f>Data!K9</f>
        <v>2026</v>
      </c>
      <c r="E1">
        <f>Data!L9</f>
        <v>2027</v>
      </c>
      <c r="F1">
        <f>Data!M9</f>
        <v>2028</v>
      </c>
      <c r="G1">
        <f>Data!N9</f>
        <v>2029</v>
      </c>
      <c r="H1">
        <f>Data!O9</f>
        <v>2030</v>
      </c>
      <c r="I1">
        <f>Data!P9</f>
        <v>2031</v>
      </c>
      <c r="J1">
        <f>Data!Q9</f>
        <v>2032</v>
      </c>
      <c r="K1">
        <f>Data!R9</f>
        <v>2033</v>
      </c>
      <c r="L1">
        <f>Data!S9</f>
        <v>2034</v>
      </c>
      <c r="M1">
        <f>Data!T9</f>
        <v>2035</v>
      </c>
      <c r="N1">
        <f>Data!U9</f>
        <v>2036</v>
      </c>
      <c r="O1">
        <f>Data!V9</f>
        <v>2037</v>
      </c>
      <c r="P1">
        <f>Data!W9</f>
        <v>2038</v>
      </c>
      <c r="Q1">
        <f>Data!X9</f>
        <v>2039</v>
      </c>
      <c r="R1">
        <f>Data!Y9</f>
        <v>2040</v>
      </c>
      <c r="S1">
        <f>Data!Z9</f>
        <v>2041</v>
      </c>
      <c r="T1">
        <f>Data!AA9</f>
        <v>2042</v>
      </c>
      <c r="U1">
        <f>Data!AB9</f>
        <v>2043</v>
      </c>
      <c r="V1">
        <f>Data!AC9</f>
        <v>2044</v>
      </c>
      <c r="W1">
        <f>Data!AD9</f>
        <v>2045</v>
      </c>
      <c r="X1">
        <f>Data!AE9</f>
        <v>2046</v>
      </c>
      <c r="Y1">
        <f>Data!AF9</f>
        <v>2047</v>
      </c>
      <c r="Z1">
        <f>Data!AG9</f>
        <v>2048</v>
      </c>
      <c r="AA1">
        <f>Data!AH9</f>
        <v>2049</v>
      </c>
      <c r="AB1">
        <f>Data!AI9</f>
        <v>2050</v>
      </c>
    </row>
    <row r="2" spans="1:28" x14ac:dyDescent="0.25">
      <c r="A2" t="s">
        <v>37</v>
      </c>
      <c r="B2">
        <f>Data!I31</f>
        <v>4.8089680000000003E-3</v>
      </c>
      <c r="C2">
        <f>Data!J31</f>
        <v>4.8089680000000003E-3</v>
      </c>
      <c r="D2">
        <f>Data!K31</f>
        <v>1.3530704607224994E-2</v>
      </c>
      <c r="E2">
        <f>Data!L31</f>
        <v>1.6437366787908719E-2</v>
      </c>
      <c r="F2">
        <f>Data!M31</f>
        <v>2.0249470160118424E-2</v>
      </c>
      <c r="G2">
        <f>Data!N31</f>
        <v>2.520216728756761E-2</v>
      </c>
      <c r="H2">
        <f>Data!O31</f>
        <v>3.155853017687181E-2</v>
      </c>
      <c r="I2">
        <f>Data!P31</f>
        <v>3.9589576993249581E-2</v>
      </c>
      <c r="J2">
        <f>Data!Q31</f>
        <v>4.9538070445221086E-2</v>
      </c>
      <c r="K2">
        <f>Data!R31</f>
        <v>6.1564615216299301E-2</v>
      </c>
      <c r="L2">
        <f>Data!S31</f>
        <v>7.5681557751488576E-2</v>
      </c>
      <c r="M2">
        <f>Data!T31</f>
        <v>9.1690863959189184E-2</v>
      </c>
      <c r="N2">
        <f>Data!U31</f>
        <v>0.10915184647827197</v>
      </c>
      <c r="O2">
        <f>Data!V31</f>
        <v>0.12740448400000001</v>
      </c>
      <c r="P2">
        <f>Data!W31</f>
        <v>0.14565712152172802</v>
      </c>
      <c r="Q2">
        <f>Data!X31</f>
        <v>0.16311810404081081</v>
      </c>
      <c r="R2">
        <f>Data!Y31</f>
        <v>0.17912741024851142</v>
      </c>
      <c r="S2">
        <f>Data!Z31</f>
        <v>0.1932443527837007</v>
      </c>
      <c r="T2">
        <f>Data!AA31</f>
        <v>0.2052708975547789</v>
      </c>
      <c r="U2">
        <f>Data!AB31</f>
        <v>0.21521939100675044</v>
      </c>
      <c r="V2">
        <f>Data!AC31</f>
        <v>0.2232504378231282</v>
      </c>
      <c r="W2">
        <f>Data!AD31</f>
        <v>0.22960680071243239</v>
      </c>
      <c r="X2">
        <f>Data!AE31</f>
        <v>0.23455949783988159</v>
      </c>
      <c r="Y2">
        <f>Data!AF31</f>
        <v>0.23837160121209131</v>
      </c>
      <c r="Z2">
        <f>Data!AG31</f>
        <v>0.241278263392775</v>
      </c>
      <c r="AA2">
        <f>Data!AH31</f>
        <v>0.24347865569679086</v>
      </c>
      <c r="AB2">
        <f>Data!AI31</f>
        <v>0.24513533496186604</v>
      </c>
    </row>
    <row r="3" spans="1:28" x14ac:dyDescent="0.25">
      <c r="A3" t="s">
        <v>38</v>
      </c>
      <c r="B3">
        <f>Data!I32</f>
        <v>2.2159679000000002E-2</v>
      </c>
      <c r="C3">
        <f>Data!J32</f>
        <v>2.2159679000000002E-2</v>
      </c>
      <c r="D3">
        <f>Data!K32</f>
        <v>2.2159679000000002E-2</v>
      </c>
      <c r="E3">
        <f>Data!L32</f>
        <v>2.2159679000000002E-2</v>
      </c>
      <c r="F3">
        <f>Data!M32</f>
        <v>2.2159679000000002E-2</v>
      </c>
      <c r="G3">
        <f>Data!N32</f>
        <v>2.2159679000000002E-2</v>
      </c>
      <c r="H3">
        <f>Data!O32</f>
        <v>2.2159679000000002E-2</v>
      </c>
      <c r="I3">
        <f>Data!P32</f>
        <v>2.2159679000000002E-2</v>
      </c>
      <c r="J3">
        <f>Data!Q32</f>
        <v>2.2159679000000002E-2</v>
      </c>
      <c r="K3">
        <f>Data!R32</f>
        <v>2.2159679000000002E-2</v>
      </c>
      <c r="L3">
        <f>Data!S32</f>
        <v>2.2159679000000002E-2</v>
      </c>
      <c r="M3">
        <f>Data!T32</f>
        <v>2.2159679000000002E-2</v>
      </c>
      <c r="N3">
        <f>Data!U32</f>
        <v>2.2159679000000002E-2</v>
      </c>
      <c r="O3">
        <f>Data!V32</f>
        <v>2.2159679000000002E-2</v>
      </c>
      <c r="P3">
        <f>Data!W32</f>
        <v>2.2159679000000002E-2</v>
      </c>
      <c r="Q3">
        <f>Data!X32</f>
        <v>2.2159679000000002E-2</v>
      </c>
      <c r="R3">
        <f>Data!Y32</f>
        <v>2.2159679000000002E-2</v>
      </c>
      <c r="S3">
        <f>Data!Z32</f>
        <v>2.2159679000000002E-2</v>
      </c>
      <c r="T3">
        <f>Data!AA32</f>
        <v>2.2159679000000002E-2</v>
      </c>
      <c r="U3">
        <f>Data!AB32</f>
        <v>2.2159679000000002E-2</v>
      </c>
      <c r="V3">
        <f>Data!AC32</f>
        <v>2.2159679000000002E-2</v>
      </c>
      <c r="W3">
        <f>Data!AD32</f>
        <v>2.2159679000000002E-2</v>
      </c>
      <c r="X3">
        <f>Data!AE32</f>
        <v>2.2159679000000002E-2</v>
      </c>
      <c r="Y3">
        <f>Data!AF32</f>
        <v>2.2159679000000002E-2</v>
      </c>
      <c r="Z3">
        <f>Data!AG32</f>
        <v>2.2159679000000002E-2</v>
      </c>
      <c r="AA3">
        <f>Data!AH32</f>
        <v>2.2159679000000002E-2</v>
      </c>
      <c r="AB3">
        <f>Data!AI32</f>
        <v>2.2159679000000002E-2</v>
      </c>
    </row>
    <row r="4" spans="1:28" x14ac:dyDescent="0.25">
      <c r="A4" t="s">
        <v>39</v>
      </c>
      <c r="B4">
        <f>Data!I33</f>
        <v>7.5358100000000002E-4</v>
      </c>
      <c r="C4">
        <f>Data!J33</f>
        <v>7.5358100000000002E-4</v>
      </c>
      <c r="D4">
        <f>Data!K33</f>
        <v>7.5358100000000002E-4</v>
      </c>
      <c r="E4">
        <f>Data!L33</f>
        <v>7.5358100000000002E-4</v>
      </c>
      <c r="F4">
        <f>Data!M33</f>
        <v>7.5358100000000002E-4</v>
      </c>
      <c r="G4">
        <f>Data!N33</f>
        <v>7.5358100000000002E-4</v>
      </c>
      <c r="H4">
        <f>Data!O33</f>
        <v>7.5358100000000002E-4</v>
      </c>
      <c r="I4">
        <f>Data!P33</f>
        <v>7.5358100000000002E-4</v>
      </c>
      <c r="J4">
        <f>Data!Q33</f>
        <v>7.5358100000000002E-4</v>
      </c>
      <c r="K4">
        <f>Data!R33</f>
        <v>7.5358100000000002E-4</v>
      </c>
      <c r="L4">
        <f>Data!S33</f>
        <v>7.5358100000000002E-4</v>
      </c>
      <c r="M4">
        <f>Data!T33</f>
        <v>7.5358100000000002E-4</v>
      </c>
      <c r="N4">
        <f>Data!U33</f>
        <v>7.5358100000000002E-4</v>
      </c>
      <c r="O4">
        <f>Data!V33</f>
        <v>7.5358100000000002E-4</v>
      </c>
      <c r="P4">
        <f>Data!W33</f>
        <v>7.5358100000000002E-4</v>
      </c>
      <c r="Q4">
        <f>Data!X33</f>
        <v>7.5358100000000002E-4</v>
      </c>
      <c r="R4">
        <f>Data!Y33</f>
        <v>7.5358100000000002E-4</v>
      </c>
      <c r="S4">
        <f>Data!Z33</f>
        <v>7.5358100000000002E-4</v>
      </c>
      <c r="T4">
        <f>Data!AA33</f>
        <v>7.5358100000000002E-4</v>
      </c>
      <c r="U4">
        <f>Data!AB33</f>
        <v>7.5358100000000002E-4</v>
      </c>
      <c r="V4">
        <f>Data!AC33</f>
        <v>7.5358100000000002E-4</v>
      </c>
      <c r="W4">
        <f>Data!AD33</f>
        <v>7.5358100000000002E-4</v>
      </c>
      <c r="X4">
        <f>Data!AE33</f>
        <v>7.5358100000000002E-4</v>
      </c>
      <c r="Y4">
        <f>Data!AF33</f>
        <v>7.5358100000000002E-4</v>
      </c>
      <c r="Z4">
        <f>Data!AG33</f>
        <v>7.5358100000000002E-4</v>
      </c>
      <c r="AA4">
        <f>Data!AH33</f>
        <v>7.5358100000000002E-4</v>
      </c>
      <c r="AB4">
        <f>Data!AI33</f>
        <v>7.5358100000000002E-4</v>
      </c>
    </row>
    <row r="5" spans="1:28" x14ac:dyDescent="0.25">
      <c r="A5" t="s">
        <v>40</v>
      </c>
      <c r="B5">
        <f>Data!I34</f>
        <v>1</v>
      </c>
      <c r="C5">
        <f>Data!J34</f>
        <v>1</v>
      </c>
      <c r="D5">
        <f>Data!K34</f>
        <v>1</v>
      </c>
      <c r="E5">
        <f>Data!L34</f>
        <v>1</v>
      </c>
      <c r="F5">
        <f>Data!M34</f>
        <v>1</v>
      </c>
      <c r="G5">
        <f>Data!N34</f>
        <v>1</v>
      </c>
      <c r="H5">
        <f>Data!O34</f>
        <v>1</v>
      </c>
      <c r="I5">
        <f>Data!P34</f>
        <v>1</v>
      </c>
      <c r="J5">
        <f>Data!Q34</f>
        <v>1</v>
      </c>
      <c r="K5">
        <f>Data!R34</f>
        <v>1</v>
      </c>
      <c r="L5">
        <f>Data!S34</f>
        <v>1</v>
      </c>
      <c r="M5">
        <f>Data!T34</f>
        <v>1</v>
      </c>
      <c r="N5">
        <f>Data!U34</f>
        <v>1</v>
      </c>
      <c r="O5">
        <f>Data!V34</f>
        <v>1</v>
      </c>
      <c r="P5">
        <f>Data!W34</f>
        <v>1</v>
      </c>
      <c r="Q5">
        <f>Data!X34</f>
        <v>1</v>
      </c>
      <c r="R5">
        <f>Data!Y34</f>
        <v>1</v>
      </c>
      <c r="S5">
        <f>Data!Z34</f>
        <v>1</v>
      </c>
      <c r="T5">
        <f>Data!AA34</f>
        <v>1</v>
      </c>
      <c r="U5">
        <f>Data!AB34</f>
        <v>1</v>
      </c>
      <c r="V5">
        <f>Data!AC34</f>
        <v>1</v>
      </c>
      <c r="W5">
        <f>Data!AD34</f>
        <v>1</v>
      </c>
      <c r="X5">
        <f>Data!AE34</f>
        <v>1</v>
      </c>
      <c r="Y5">
        <f>Data!AF34</f>
        <v>1</v>
      </c>
      <c r="Z5">
        <f>Data!AG34</f>
        <v>1</v>
      </c>
      <c r="AA5">
        <f>Data!AH34</f>
        <v>1</v>
      </c>
      <c r="AB5">
        <f>Data!AI34</f>
        <v>1</v>
      </c>
    </row>
    <row r="6" spans="1:28" x14ac:dyDescent="0.25">
      <c r="A6" t="s">
        <v>41</v>
      </c>
      <c r="B6">
        <f>Data!I35</f>
        <v>0</v>
      </c>
      <c r="C6">
        <f>Data!J35</f>
        <v>0</v>
      </c>
      <c r="D6">
        <f>Data!K35</f>
        <v>0</v>
      </c>
      <c r="E6">
        <f>Data!L35</f>
        <v>0</v>
      </c>
      <c r="F6">
        <f>Data!M35</f>
        <v>0</v>
      </c>
      <c r="G6">
        <f>Data!N35</f>
        <v>0</v>
      </c>
      <c r="H6">
        <f>Data!O35</f>
        <v>0</v>
      </c>
      <c r="I6">
        <f>Data!P35</f>
        <v>0</v>
      </c>
      <c r="J6">
        <f>Data!Q35</f>
        <v>0</v>
      </c>
      <c r="K6">
        <f>Data!R35</f>
        <v>0</v>
      </c>
      <c r="L6">
        <f>Data!S35</f>
        <v>0</v>
      </c>
      <c r="M6">
        <f>Data!T35</f>
        <v>0</v>
      </c>
      <c r="N6">
        <f>Data!U35</f>
        <v>0</v>
      </c>
      <c r="O6">
        <f>Data!V35</f>
        <v>0</v>
      </c>
      <c r="P6">
        <f>Data!W35</f>
        <v>0</v>
      </c>
      <c r="Q6">
        <f>Data!X35</f>
        <v>0</v>
      </c>
      <c r="R6">
        <f>Data!Y35</f>
        <v>0</v>
      </c>
      <c r="S6">
        <f>Data!Z35</f>
        <v>0</v>
      </c>
      <c r="T6">
        <f>Data!AA35</f>
        <v>0</v>
      </c>
      <c r="U6">
        <f>Data!AB35</f>
        <v>0</v>
      </c>
      <c r="V6">
        <f>Data!AC35</f>
        <v>0</v>
      </c>
      <c r="W6">
        <f>Data!AD35</f>
        <v>0</v>
      </c>
      <c r="X6">
        <f>Data!AE35</f>
        <v>0</v>
      </c>
      <c r="Y6">
        <f>Data!AF35</f>
        <v>0</v>
      </c>
      <c r="Z6">
        <f>Data!AG35</f>
        <v>0</v>
      </c>
      <c r="AA6">
        <f>Data!AH35</f>
        <v>0</v>
      </c>
      <c r="AB6">
        <f>Data!AI35</f>
        <v>0</v>
      </c>
    </row>
    <row r="7" spans="1:28" x14ac:dyDescent="0.25">
      <c r="A7" t="s">
        <v>42</v>
      </c>
      <c r="B7">
        <f>Data!I36</f>
        <v>0</v>
      </c>
      <c r="C7">
        <f>Data!J36</f>
        <v>0</v>
      </c>
      <c r="D7">
        <f>Data!K36</f>
        <v>0</v>
      </c>
      <c r="E7">
        <f>Data!L36</f>
        <v>0</v>
      </c>
      <c r="F7">
        <f>Data!M36</f>
        <v>0</v>
      </c>
      <c r="G7">
        <f>Data!N36</f>
        <v>0</v>
      </c>
      <c r="H7">
        <f>Data!O36</f>
        <v>0</v>
      </c>
      <c r="I7">
        <f>Data!P36</f>
        <v>0</v>
      </c>
      <c r="J7">
        <f>Data!Q36</f>
        <v>0</v>
      </c>
      <c r="K7">
        <f>Data!R36</f>
        <v>0</v>
      </c>
      <c r="L7">
        <f>Data!S36</f>
        <v>0</v>
      </c>
      <c r="M7">
        <f>Data!T36</f>
        <v>0</v>
      </c>
      <c r="N7">
        <f>Data!U36</f>
        <v>0</v>
      </c>
      <c r="O7">
        <f>Data!V36</f>
        <v>0</v>
      </c>
      <c r="P7">
        <f>Data!W36</f>
        <v>0</v>
      </c>
      <c r="Q7">
        <f>Data!X36</f>
        <v>0</v>
      </c>
      <c r="R7">
        <f>Data!Y36</f>
        <v>0</v>
      </c>
      <c r="S7">
        <f>Data!Z36</f>
        <v>0</v>
      </c>
      <c r="T7">
        <f>Data!AA36</f>
        <v>0</v>
      </c>
      <c r="U7">
        <f>Data!AB36</f>
        <v>0</v>
      </c>
      <c r="V7">
        <f>Data!AC36</f>
        <v>0</v>
      </c>
      <c r="W7">
        <f>Data!AD36</f>
        <v>0</v>
      </c>
      <c r="X7">
        <f>Data!AE36</f>
        <v>0</v>
      </c>
      <c r="Y7">
        <f>Data!AF36</f>
        <v>0</v>
      </c>
      <c r="Z7">
        <f>Data!AG36</f>
        <v>0</v>
      </c>
      <c r="AA7">
        <f>Data!AH36</f>
        <v>0</v>
      </c>
      <c r="AB7">
        <f>Data!AI36</f>
        <v>0</v>
      </c>
    </row>
    <row r="8" spans="1:28" x14ac:dyDescent="0.25">
      <c r="A8" t="s">
        <v>43</v>
      </c>
      <c r="B8">
        <f>Data!I37</f>
        <v>0</v>
      </c>
      <c r="C8">
        <f>Data!J37</f>
        <v>0</v>
      </c>
      <c r="D8">
        <f>Data!K37</f>
        <v>0</v>
      </c>
      <c r="E8">
        <f>Data!L37</f>
        <v>0</v>
      </c>
      <c r="F8">
        <f>Data!M37</f>
        <v>0</v>
      </c>
      <c r="G8">
        <f>Data!N37</f>
        <v>0</v>
      </c>
      <c r="H8">
        <f>Data!O37</f>
        <v>0</v>
      </c>
      <c r="I8">
        <f>Data!P37</f>
        <v>0</v>
      </c>
      <c r="J8">
        <f>Data!Q37</f>
        <v>0</v>
      </c>
      <c r="K8">
        <f>Data!R37</f>
        <v>0</v>
      </c>
      <c r="L8">
        <f>Data!S37</f>
        <v>0</v>
      </c>
      <c r="M8">
        <f>Data!T37</f>
        <v>0</v>
      </c>
      <c r="N8">
        <f>Data!U37</f>
        <v>0</v>
      </c>
      <c r="O8">
        <f>Data!V37</f>
        <v>0</v>
      </c>
      <c r="P8">
        <f>Data!W37</f>
        <v>0</v>
      </c>
      <c r="Q8">
        <f>Data!X37</f>
        <v>0</v>
      </c>
      <c r="R8">
        <f>Data!Y37</f>
        <v>0</v>
      </c>
      <c r="S8">
        <f>Data!Z37</f>
        <v>0</v>
      </c>
      <c r="T8">
        <f>Data!AA37</f>
        <v>0</v>
      </c>
      <c r="U8">
        <f>Data!AB37</f>
        <v>0</v>
      </c>
      <c r="V8">
        <f>Data!AC37</f>
        <v>0</v>
      </c>
      <c r="W8">
        <f>Data!AD37</f>
        <v>0</v>
      </c>
      <c r="X8">
        <f>Data!AE37</f>
        <v>0</v>
      </c>
      <c r="Y8">
        <f>Data!AF37</f>
        <v>0</v>
      </c>
      <c r="Z8">
        <f>Data!AG37</f>
        <v>0</v>
      </c>
      <c r="AA8">
        <f>Data!AH37</f>
        <v>0</v>
      </c>
      <c r="AB8">
        <f>Data!AI37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B8"/>
  <sheetViews>
    <sheetView workbookViewId="0">
      <selection activeCell="Z23" sqref="Z23"/>
    </sheetView>
  </sheetViews>
  <sheetFormatPr defaultColWidth="9.140625" defaultRowHeight="15" x14ac:dyDescent="0.25"/>
  <cols>
    <col min="1" max="1" width="24.42578125" customWidth="1"/>
  </cols>
  <sheetData>
    <row r="1" spans="1:28" ht="45" customHeight="1" x14ac:dyDescent="0.25">
      <c r="A1" s="19" t="s">
        <v>75</v>
      </c>
      <c r="B1">
        <f>Data!I9</f>
        <v>2024</v>
      </c>
      <c r="C1">
        <f>Data!J9</f>
        <v>2025</v>
      </c>
      <c r="D1">
        <f>Data!K9</f>
        <v>2026</v>
      </c>
      <c r="E1">
        <f>Data!L9</f>
        <v>2027</v>
      </c>
      <c r="F1">
        <f>Data!M9</f>
        <v>2028</v>
      </c>
      <c r="G1">
        <f>Data!N9</f>
        <v>2029</v>
      </c>
      <c r="H1">
        <f>Data!O9</f>
        <v>2030</v>
      </c>
      <c r="I1">
        <f>Data!P9</f>
        <v>2031</v>
      </c>
      <c r="J1">
        <f>Data!Q9</f>
        <v>2032</v>
      </c>
      <c r="K1">
        <f>Data!R9</f>
        <v>2033</v>
      </c>
      <c r="L1">
        <f>Data!S9</f>
        <v>2034</v>
      </c>
      <c r="M1">
        <f>Data!T9</f>
        <v>2035</v>
      </c>
      <c r="N1">
        <f>Data!U9</f>
        <v>2036</v>
      </c>
      <c r="O1">
        <f>Data!V9</f>
        <v>2037</v>
      </c>
      <c r="P1">
        <f>Data!W9</f>
        <v>2038</v>
      </c>
      <c r="Q1">
        <f>Data!X9</f>
        <v>2039</v>
      </c>
      <c r="R1">
        <f>Data!Y9</f>
        <v>2040</v>
      </c>
      <c r="S1">
        <f>Data!Z9</f>
        <v>2041</v>
      </c>
      <c r="T1">
        <f>Data!AA9</f>
        <v>2042</v>
      </c>
      <c r="U1">
        <f>Data!AB9</f>
        <v>2043</v>
      </c>
      <c r="V1">
        <f>Data!AC9</f>
        <v>2044</v>
      </c>
      <c r="W1">
        <f>Data!AD9</f>
        <v>2045</v>
      </c>
      <c r="X1">
        <f>Data!AE9</f>
        <v>2046</v>
      </c>
      <c r="Y1">
        <f>Data!AF9</f>
        <v>2047</v>
      </c>
      <c r="Z1">
        <f>Data!AG9</f>
        <v>2048</v>
      </c>
      <c r="AA1">
        <f>Data!AH9</f>
        <v>2049</v>
      </c>
      <c r="AB1">
        <f>Data!AI9</f>
        <v>2050</v>
      </c>
    </row>
    <row r="2" spans="1:28" x14ac:dyDescent="0.25">
      <c r="A2" t="s">
        <v>37</v>
      </c>
      <c r="B2">
        <f>Data!I38</f>
        <v>0</v>
      </c>
      <c r="C2">
        <f>Data!J38</f>
        <v>0</v>
      </c>
      <c r="D2">
        <f>Data!K38</f>
        <v>0</v>
      </c>
      <c r="E2">
        <f>Data!L38</f>
        <v>0</v>
      </c>
      <c r="F2">
        <f>Data!M38</f>
        <v>0</v>
      </c>
      <c r="G2">
        <f>Data!N38</f>
        <v>0</v>
      </c>
      <c r="H2">
        <f>Data!O38</f>
        <v>0</v>
      </c>
      <c r="I2">
        <f>Data!P38</f>
        <v>0</v>
      </c>
      <c r="J2">
        <f>Data!Q38</f>
        <v>0</v>
      </c>
      <c r="K2">
        <f>Data!R38</f>
        <v>0</v>
      </c>
      <c r="L2">
        <f>Data!S38</f>
        <v>0</v>
      </c>
      <c r="M2">
        <f>Data!T38</f>
        <v>0</v>
      </c>
      <c r="N2">
        <f>Data!U38</f>
        <v>0</v>
      </c>
      <c r="O2">
        <f>Data!V38</f>
        <v>0</v>
      </c>
      <c r="P2">
        <f>Data!W38</f>
        <v>0</v>
      </c>
      <c r="Q2">
        <f>Data!X38</f>
        <v>0</v>
      </c>
      <c r="R2">
        <f>Data!Y38</f>
        <v>0</v>
      </c>
      <c r="S2">
        <f>Data!Z38</f>
        <v>0</v>
      </c>
      <c r="T2">
        <f>Data!AA38</f>
        <v>0</v>
      </c>
      <c r="U2">
        <f>Data!AB38</f>
        <v>0</v>
      </c>
      <c r="V2">
        <f>Data!AC38</f>
        <v>0</v>
      </c>
      <c r="W2">
        <f>Data!AD38</f>
        <v>0</v>
      </c>
      <c r="X2">
        <f>Data!AE38</f>
        <v>0</v>
      </c>
      <c r="Y2">
        <f>Data!AF38</f>
        <v>0</v>
      </c>
      <c r="Z2">
        <f>Data!AG38</f>
        <v>0</v>
      </c>
      <c r="AA2">
        <f>Data!AH38</f>
        <v>0</v>
      </c>
      <c r="AB2">
        <f>Data!AI38</f>
        <v>0</v>
      </c>
    </row>
    <row r="3" spans="1:28" x14ac:dyDescent="0.25">
      <c r="A3" t="s">
        <v>38</v>
      </c>
      <c r="B3">
        <f>Data!I39</f>
        <v>0</v>
      </c>
      <c r="C3">
        <f>Data!J39</f>
        <v>0</v>
      </c>
      <c r="D3">
        <f>Data!K39</f>
        <v>0</v>
      </c>
      <c r="E3">
        <f>Data!L39</f>
        <v>0</v>
      </c>
      <c r="F3">
        <f>Data!M39</f>
        <v>0</v>
      </c>
      <c r="G3">
        <f>Data!N39</f>
        <v>0</v>
      </c>
      <c r="H3">
        <f>Data!O39</f>
        <v>0</v>
      </c>
      <c r="I3">
        <f>Data!P39</f>
        <v>0</v>
      </c>
      <c r="J3">
        <f>Data!Q39</f>
        <v>0</v>
      </c>
      <c r="K3">
        <f>Data!R39</f>
        <v>0</v>
      </c>
      <c r="L3">
        <f>Data!S39</f>
        <v>0</v>
      </c>
      <c r="M3">
        <f>Data!T39</f>
        <v>0</v>
      </c>
      <c r="N3">
        <f>Data!U39</f>
        <v>0</v>
      </c>
      <c r="O3">
        <f>Data!V39</f>
        <v>0</v>
      </c>
      <c r="P3">
        <f>Data!W39</f>
        <v>0</v>
      </c>
      <c r="Q3">
        <f>Data!X39</f>
        <v>0</v>
      </c>
      <c r="R3">
        <f>Data!Y39</f>
        <v>0</v>
      </c>
      <c r="S3">
        <f>Data!Z39</f>
        <v>0</v>
      </c>
      <c r="T3">
        <f>Data!AA39</f>
        <v>0</v>
      </c>
      <c r="U3">
        <f>Data!AB39</f>
        <v>0</v>
      </c>
      <c r="V3">
        <f>Data!AC39</f>
        <v>0</v>
      </c>
      <c r="W3">
        <f>Data!AD39</f>
        <v>0</v>
      </c>
      <c r="X3">
        <f>Data!AE39</f>
        <v>0</v>
      </c>
      <c r="Y3">
        <f>Data!AF39</f>
        <v>0</v>
      </c>
      <c r="Z3">
        <f>Data!AG39</f>
        <v>0</v>
      </c>
      <c r="AA3">
        <f>Data!AH39</f>
        <v>0</v>
      </c>
      <c r="AB3">
        <f>Data!AI39</f>
        <v>0</v>
      </c>
    </row>
    <row r="4" spans="1:28" x14ac:dyDescent="0.25">
      <c r="A4" t="s">
        <v>39</v>
      </c>
      <c r="B4">
        <f>Data!I40</f>
        <v>0</v>
      </c>
      <c r="C4">
        <f>Data!J40</f>
        <v>0</v>
      </c>
      <c r="D4">
        <f>Data!K40</f>
        <v>0</v>
      </c>
      <c r="E4">
        <f>Data!L40</f>
        <v>0</v>
      </c>
      <c r="F4">
        <f>Data!M40</f>
        <v>0</v>
      </c>
      <c r="G4">
        <f>Data!N40</f>
        <v>0</v>
      </c>
      <c r="H4">
        <f>Data!O40</f>
        <v>0</v>
      </c>
      <c r="I4">
        <f>Data!P40</f>
        <v>0</v>
      </c>
      <c r="J4">
        <f>Data!Q40</f>
        <v>0</v>
      </c>
      <c r="K4">
        <f>Data!R40</f>
        <v>0</v>
      </c>
      <c r="L4">
        <f>Data!S40</f>
        <v>0</v>
      </c>
      <c r="M4">
        <f>Data!T40</f>
        <v>0</v>
      </c>
      <c r="N4">
        <f>Data!U40</f>
        <v>0</v>
      </c>
      <c r="O4">
        <f>Data!V40</f>
        <v>0</v>
      </c>
      <c r="P4">
        <f>Data!W40</f>
        <v>0</v>
      </c>
      <c r="Q4">
        <f>Data!X40</f>
        <v>0</v>
      </c>
      <c r="R4">
        <f>Data!Y40</f>
        <v>0</v>
      </c>
      <c r="S4">
        <f>Data!Z40</f>
        <v>0</v>
      </c>
      <c r="T4">
        <f>Data!AA40</f>
        <v>0</v>
      </c>
      <c r="U4">
        <f>Data!AB40</f>
        <v>0</v>
      </c>
      <c r="V4">
        <f>Data!AC40</f>
        <v>0</v>
      </c>
      <c r="W4">
        <f>Data!AD40</f>
        <v>0</v>
      </c>
      <c r="X4">
        <f>Data!AE40</f>
        <v>0</v>
      </c>
      <c r="Y4">
        <f>Data!AF40</f>
        <v>0</v>
      </c>
      <c r="Z4">
        <f>Data!AG40</f>
        <v>0</v>
      </c>
      <c r="AA4">
        <f>Data!AH40</f>
        <v>0</v>
      </c>
      <c r="AB4">
        <f>Data!AI40</f>
        <v>0</v>
      </c>
    </row>
    <row r="5" spans="1:28" x14ac:dyDescent="0.25">
      <c r="A5" t="s">
        <v>40</v>
      </c>
      <c r="B5">
        <f>Data!I41</f>
        <v>1</v>
      </c>
      <c r="C5">
        <f>Data!J41</f>
        <v>1</v>
      </c>
      <c r="D5">
        <f>Data!K41</f>
        <v>1</v>
      </c>
      <c r="E5">
        <f>Data!L41</f>
        <v>1</v>
      </c>
      <c r="F5">
        <f>Data!M41</f>
        <v>1</v>
      </c>
      <c r="G5">
        <f>Data!N41</f>
        <v>1</v>
      </c>
      <c r="H5">
        <f>Data!O41</f>
        <v>1</v>
      </c>
      <c r="I5">
        <f>Data!P41</f>
        <v>1</v>
      </c>
      <c r="J5">
        <f>Data!Q41</f>
        <v>1</v>
      </c>
      <c r="K5">
        <f>Data!R41</f>
        <v>1</v>
      </c>
      <c r="L5">
        <f>Data!S41</f>
        <v>1</v>
      </c>
      <c r="M5">
        <f>Data!T41</f>
        <v>1</v>
      </c>
      <c r="N5">
        <f>Data!U41</f>
        <v>1</v>
      </c>
      <c r="O5">
        <f>Data!V41</f>
        <v>1</v>
      </c>
      <c r="P5">
        <f>Data!W41</f>
        <v>1</v>
      </c>
      <c r="Q5">
        <f>Data!X41</f>
        <v>1</v>
      </c>
      <c r="R5">
        <f>Data!Y41</f>
        <v>1</v>
      </c>
      <c r="S5">
        <f>Data!Z41</f>
        <v>1</v>
      </c>
      <c r="T5">
        <f>Data!AA41</f>
        <v>1</v>
      </c>
      <c r="U5">
        <f>Data!AB41</f>
        <v>1</v>
      </c>
      <c r="V5">
        <f>Data!AC41</f>
        <v>1</v>
      </c>
      <c r="W5">
        <f>Data!AD41</f>
        <v>1</v>
      </c>
      <c r="X5">
        <f>Data!AE41</f>
        <v>1</v>
      </c>
      <c r="Y5">
        <f>Data!AF41</f>
        <v>1</v>
      </c>
      <c r="Z5">
        <f>Data!AG41</f>
        <v>1</v>
      </c>
      <c r="AA5">
        <f>Data!AH41</f>
        <v>1</v>
      </c>
      <c r="AB5">
        <f>Data!AI41</f>
        <v>1</v>
      </c>
    </row>
    <row r="6" spans="1:28" x14ac:dyDescent="0.25">
      <c r="A6" t="s">
        <v>41</v>
      </c>
      <c r="B6">
        <f>Data!I42</f>
        <v>0</v>
      </c>
      <c r="C6">
        <f>Data!J42</f>
        <v>0</v>
      </c>
      <c r="D6">
        <f>Data!K42</f>
        <v>0</v>
      </c>
      <c r="E6">
        <f>Data!L42</f>
        <v>0</v>
      </c>
      <c r="F6">
        <f>Data!M42</f>
        <v>0</v>
      </c>
      <c r="G6">
        <f>Data!N42</f>
        <v>0</v>
      </c>
      <c r="H6">
        <f>Data!O42</f>
        <v>0</v>
      </c>
      <c r="I6">
        <f>Data!P42</f>
        <v>0</v>
      </c>
      <c r="J6">
        <f>Data!Q42</f>
        <v>0</v>
      </c>
      <c r="K6">
        <f>Data!R42</f>
        <v>0</v>
      </c>
      <c r="L6">
        <f>Data!S42</f>
        <v>0</v>
      </c>
      <c r="M6">
        <f>Data!T42</f>
        <v>0</v>
      </c>
      <c r="N6">
        <f>Data!U42</f>
        <v>0</v>
      </c>
      <c r="O6">
        <f>Data!V42</f>
        <v>0</v>
      </c>
      <c r="P6">
        <f>Data!W42</f>
        <v>0</v>
      </c>
      <c r="Q6">
        <f>Data!X42</f>
        <v>0</v>
      </c>
      <c r="R6">
        <f>Data!Y42</f>
        <v>0</v>
      </c>
      <c r="S6">
        <f>Data!Z42</f>
        <v>0</v>
      </c>
      <c r="T6">
        <f>Data!AA42</f>
        <v>0</v>
      </c>
      <c r="U6">
        <f>Data!AB42</f>
        <v>0</v>
      </c>
      <c r="V6">
        <f>Data!AC42</f>
        <v>0</v>
      </c>
      <c r="W6">
        <f>Data!AD42</f>
        <v>0</v>
      </c>
      <c r="X6">
        <f>Data!AE42</f>
        <v>0</v>
      </c>
      <c r="Y6">
        <f>Data!AF42</f>
        <v>0</v>
      </c>
      <c r="Z6">
        <f>Data!AG42</f>
        <v>0</v>
      </c>
      <c r="AA6">
        <f>Data!AH42</f>
        <v>0</v>
      </c>
      <c r="AB6">
        <f>Data!AI42</f>
        <v>0</v>
      </c>
    </row>
    <row r="7" spans="1:28" x14ac:dyDescent="0.25">
      <c r="A7" t="s">
        <v>42</v>
      </c>
      <c r="B7">
        <f>Data!I43</f>
        <v>0</v>
      </c>
      <c r="C7">
        <f>Data!J43</f>
        <v>0</v>
      </c>
      <c r="D7">
        <f>Data!K43</f>
        <v>0</v>
      </c>
      <c r="E7">
        <f>Data!L43</f>
        <v>0</v>
      </c>
      <c r="F7">
        <f>Data!M43</f>
        <v>0</v>
      </c>
      <c r="G7">
        <f>Data!N43</f>
        <v>0</v>
      </c>
      <c r="H7">
        <f>Data!O43</f>
        <v>0</v>
      </c>
      <c r="I7">
        <f>Data!P43</f>
        <v>0</v>
      </c>
      <c r="J7">
        <f>Data!Q43</f>
        <v>0</v>
      </c>
      <c r="K7">
        <f>Data!R43</f>
        <v>0</v>
      </c>
      <c r="L7">
        <f>Data!S43</f>
        <v>0</v>
      </c>
      <c r="M7">
        <f>Data!T43</f>
        <v>0</v>
      </c>
      <c r="N7">
        <f>Data!U43</f>
        <v>0</v>
      </c>
      <c r="O7">
        <f>Data!V43</f>
        <v>0</v>
      </c>
      <c r="P7">
        <f>Data!W43</f>
        <v>0</v>
      </c>
      <c r="Q7">
        <f>Data!X43</f>
        <v>0</v>
      </c>
      <c r="R7">
        <f>Data!Y43</f>
        <v>0</v>
      </c>
      <c r="S7">
        <f>Data!Z43</f>
        <v>0</v>
      </c>
      <c r="T7">
        <f>Data!AA43</f>
        <v>0</v>
      </c>
      <c r="U7">
        <f>Data!AB43</f>
        <v>0</v>
      </c>
      <c r="V7">
        <f>Data!AC43</f>
        <v>0</v>
      </c>
      <c r="W7">
        <f>Data!AD43</f>
        <v>0</v>
      </c>
      <c r="X7">
        <f>Data!AE43</f>
        <v>0</v>
      </c>
      <c r="Y7">
        <f>Data!AF43</f>
        <v>0</v>
      </c>
      <c r="Z7">
        <f>Data!AG43</f>
        <v>0</v>
      </c>
      <c r="AA7">
        <f>Data!AH43</f>
        <v>0</v>
      </c>
      <c r="AB7">
        <f>Data!AI43</f>
        <v>0</v>
      </c>
    </row>
    <row r="8" spans="1:28" x14ac:dyDescent="0.25">
      <c r="A8" t="s">
        <v>43</v>
      </c>
      <c r="B8">
        <f>Data!I44</f>
        <v>0</v>
      </c>
      <c r="C8">
        <f>Data!J44</f>
        <v>0</v>
      </c>
      <c r="D8">
        <f>Data!K44</f>
        <v>0</v>
      </c>
      <c r="E8">
        <f>Data!L44</f>
        <v>0</v>
      </c>
      <c r="F8">
        <f>Data!M44</f>
        <v>0</v>
      </c>
      <c r="G8">
        <f>Data!N44</f>
        <v>0</v>
      </c>
      <c r="H8">
        <f>Data!O44</f>
        <v>0</v>
      </c>
      <c r="I8">
        <f>Data!P44</f>
        <v>0</v>
      </c>
      <c r="J8">
        <f>Data!Q44</f>
        <v>0</v>
      </c>
      <c r="K8">
        <f>Data!R44</f>
        <v>0</v>
      </c>
      <c r="L8">
        <f>Data!S44</f>
        <v>0</v>
      </c>
      <c r="M8">
        <f>Data!T44</f>
        <v>0</v>
      </c>
      <c r="N8">
        <f>Data!U44</f>
        <v>0</v>
      </c>
      <c r="O8">
        <f>Data!V44</f>
        <v>0</v>
      </c>
      <c r="P8">
        <f>Data!W44</f>
        <v>0</v>
      </c>
      <c r="Q8">
        <f>Data!X44</f>
        <v>0</v>
      </c>
      <c r="R8">
        <f>Data!Y44</f>
        <v>0</v>
      </c>
      <c r="S8">
        <f>Data!Z44</f>
        <v>0</v>
      </c>
      <c r="T8">
        <f>Data!AA44</f>
        <v>0</v>
      </c>
      <c r="U8">
        <f>Data!AB44</f>
        <v>0</v>
      </c>
      <c r="V8">
        <f>Data!AC44</f>
        <v>0</v>
      </c>
      <c r="W8">
        <f>Data!AD44</f>
        <v>0</v>
      </c>
      <c r="X8">
        <f>Data!AE44</f>
        <v>0</v>
      </c>
      <c r="Y8">
        <f>Data!AF44</f>
        <v>0</v>
      </c>
      <c r="Z8">
        <f>Data!AG44</f>
        <v>0</v>
      </c>
      <c r="AA8">
        <f>Data!AH44</f>
        <v>0</v>
      </c>
      <c r="AB8">
        <f>Data!AI44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B8"/>
  <sheetViews>
    <sheetView workbookViewId="0">
      <selection activeCell="Z23" sqref="Z23"/>
    </sheetView>
  </sheetViews>
  <sheetFormatPr defaultColWidth="9.140625" defaultRowHeight="15" x14ac:dyDescent="0.25"/>
  <cols>
    <col min="1" max="1" width="24.42578125" customWidth="1"/>
  </cols>
  <sheetData>
    <row r="1" spans="1:28" ht="45" customHeight="1" x14ac:dyDescent="0.25">
      <c r="A1" s="19" t="s">
        <v>75</v>
      </c>
      <c r="B1">
        <f>Data!I9</f>
        <v>2024</v>
      </c>
      <c r="C1">
        <f>Data!J9</f>
        <v>2025</v>
      </c>
      <c r="D1">
        <f>Data!K9</f>
        <v>2026</v>
      </c>
      <c r="E1">
        <f>Data!L9</f>
        <v>2027</v>
      </c>
      <c r="F1">
        <f>Data!M9</f>
        <v>2028</v>
      </c>
      <c r="G1">
        <f>Data!N9</f>
        <v>2029</v>
      </c>
      <c r="H1">
        <f>Data!O9</f>
        <v>2030</v>
      </c>
      <c r="I1">
        <f>Data!P9</f>
        <v>2031</v>
      </c>
      <c r="J1">
        <f>Data!Q9</f>
        <v>2032</v>
      </c>
      <c r="K1">
        <f>Data!R9</f>
        <v>2033</v>
      </c>
      <c r="L1">
        <f>Data!S9</f>
        <v>2034</v>
      </c>
      <c r="M1">
        <f>Data!T9</f>
        <v>2035</v>
      </c>
      <c r="N1">
        <f>Data!U9</f>
        <v>2036</v>
      </c>
      <c r="O1">
        <f>Data!V9</f>
        <v>2037</v>
      </c>
      <c r="P1">
        <f>Data!W9</f>
        <v>2038</v>
      </c>
      <c r="Q1">
        <f>Data!X9</f>
        <v>2039</v>
      </c>
      <c r="R1">
        <f>Data!Y9</f>
        <v>2040</v>
      </c>
      <c r="S1">
        <f>Data!Z9</f>
        <v>2041</v>
      </c>
      <c r="T1">
        <f>Data!AA9</f>
        <v>2042</v>
      </c>
      <c r="U1">
        <f>Data!AB9</f>
        <v>2043</v>
      </c>
      <c r="V1">
        <f>Data!AC9</f>
        <v>2044</v>
      </c>
      <c r="W1">
        <f>Data!AD9</f>
        <v>2045</v>
      </c>
      <c r="X1">
        <f>Data!AE9</f>
        <v>2046</v>
      </c>
      <c r="Y1">
        <f>Data!AF9</f>
        <v>2047</v>
      </c>
      <c r="Z1">
        <f>Data!AG9</f>
        <v>2048</v>
      </c>
      <c r="AA1">
        <f>Data!AH9</f>
        <v>2049</v>
      </c>
      <c r="AB1">
        <f>Data!AI9</f>
        <v>2050</v>
      </c>
    </row>
    <row r="2" spans="1:28" x14ac:dyDescent="0.25">
      <c r="A2" t="s">
        <v>37</v>
      </c>
      <c r="B2">
        <f>Data!I45</f>
        <v>0</v>
      </c>
      <c r="C2">
        <f>Data!J45</f>
        <v>0</v>
      </c>
      <c r="D2">
        <f>Data!K45</f>
        <v>0</v>
      </c>
      <c r="E2">
        <f>Data!L45</f>
        <v>0</v>
      </c>
      <c r="F2">
        <f>Data!M45</f>
        <v>0</v>
      </c>
      <c r="G2">
        <f>Data!N45</f>
        <v>0</v>
      </c>
      <c r="H2">
        <f>Data!O45</f>
        <v>0</v>
      </c>
      <c r="I2">
        <f>Data!P45</f>
        <v>0</v>
      </c>
      <c r="J2">
        <f>Data!Q45</f>
        <v>0</v>
      </c>
      <c r="K2">
        <f>Data!R45</f>
        <v>0</v>
      </c>
      <c r="L2">
        <f>Data!S45</f>
        <v>0</v>
      </c>
      <c r="M2">
        <f>Data!T45</f>
        <v>0</v>
      </c>
      <c r="N2">
        <f>Data!U45</f>
        <v>0</v>
      </c>
      <c r="O2">
        <f>Data!V45</f>
        <v>0</v>
      </c>
      <c r="P2">
        <f>Data!W45</f>
        <v>0</v>
      </c>
      <c r="Q2">
        <f>Data!X45</f>
        <v>0</v>
      </c>
      <c r="R2">
        <f>Data!Y45</f>
        <v>0</v>
      </c>
      <c r="S2">
        <f>Data!Z45</f>
        <v>0</v>
      </c>
      <c r="T2">
        <f>Data!AA45</f>
        <v>0</v>
      </c>
      <c r="U2">
        <f>Data!AB45</f>
        <v>0</v>
      </c>
      <c r="V2">
        <f>Data!AC45</f>
        <v>0</v>
      </c>
      <c r="W2">
        <f>Data!AD45</f>
        <v>0</v>
      </c>
      <c r="X2">
        <f>Data!AE45</f>
        <v>0</v>
      </c>
      <c r="Y2">
        <f>Data!AF45</f>
        <v>0</v>
      </c>
      <c r="Z2">
        <f>Data!AG45</f>
        <v>0</v>
      </c>
      <c r="AA2">
        <f>Data!AH45</f>
        <v>0</v>
      </c>
      <c r="AB2">
        <f>Data!AI45</f>
        <v>0</v>
      </c>
    </row>
    <row r="3" spans="1:28" x14ac:dyDescent="0.25">
      <c r="A3" t="s">
        <v>38</v>
      </c>
      <c r="B3">
        <f>Data!I46</f>
        <v>0</v>
      </c>
      <c r="C3">
        <f>Data!J46</f>
        <v>0</v>
      </c>
      <c r="D3">
        <f>Data!K46</f>
        <v>0</v>
      </c>
      <c r="E3">
        <f>Data!L46</f>
        <v>0</v>
      </c>
      <c r="F3">
        <f>Data!M46</f>
        <v>0</v>
      </c>
      <c r="G3">
        <f>Data!N46</f>
        <v>0</v>
      </c>
      <c r="H3">
        <f>Data!O46</f>
        <v>0</v>
      </c>
      <c r="I3">
        <f>Data!P46</f>
        <v>0</v>
      </c>
      <c r="J3">
        <f>Data!Q46</f>
        <v>0</v>
      </c>
      <c r="K3">
        <f>Data!R46</f>
        <v>0</v>
      </c>
      <c r="L3">
        <f>Data!S46</f>
        <v>0</v>
      </c>
      <c r="M3">
        <f>Data!T46</f>
        <v>0</v>
      </c>
      <c r="N3">
        <f>Data!U46</f>
        <v>0</v>
      </c>
      <c r="O3">
        <f>Data!V46</f>
        <v>0</v>
      </c>
      <c r="P3">
        <f>Data!W46</f>
        <v>0</v>
      </c>
      <c r="Q3">
        <f>Data!X46</f>
        <v>0</v>
      </c>
      <c r="R3">
        <f>Data!Y46</f>
        <v>0</v>
      </c>
      <c r="S3">
        <f>Data!Z46</f>
        <v>0</v>
      </c>
      <c r="T3">
        <f>Data!AA46</f>
        <v>0</v>
      </c>
      <c r="U3">
        <f>Data!AB46</f>
        <v>0</v>
      </c>
      <c r="V3">
        <f>Data!AC46</f>
        <v>0</v>
      </c>
      <c r="W3">
        <f>Data!AD46</f>
        <v>0</v>
      </c>
      <c r="X3">
        <f>Data!AE46</f>
        <v>0</v>
      </c>
      <c r="Y3">
        <f>Data!AF46</f>
        <v>0</v>
      </c>
      <c r="Z3">
        <f>Data!AG46</f>
        <v>0</v>
      </c>
      <c r="AA3">
        <f>Data!AH46</f>
        <v>0</v>
      </c>
      <c r="AB3">
        <f>Data!AI46</f>
        <v>0</v>
      </c>
    </row>
    <row r="4" spans="1:28" x14ac:dyDescent="0.25">
      <c r="A4" t="s">
        <v>39</v>
      </c>
      <c r="B4">
        <f>Data!I47</f>
        <v>0</v>
      </c>
      <c r="C4">
        <f>Data!J47</f>
        <v>0</v>
      </c>
      <c r="D4">
        <f>Data!K47</f>
        <v>0</v>
      </c>
      <c r="E4">
        <f>Data!L47</f>
        <v>0</v>
      </c>
      <c r="F4">
        <f>Data!M47</f>
        <v>0</v>
      </c>
      <c r="G4">
        <f>Data!N47</f>
        <v>0</v>
      </c>
      <c r="H4">
        <f>Data!O47</f>
        <v>0</v>
      </c>
      <c r="I4">
        <f>Data!P47</f>
        <v>0</v>
      </c>
      <c r="J4">
        <f>Data!Q47</f>
        <v>0</v>
      </c>
      <c r="K4">
        <f>Data!R47</f>
        <v>0</v>
      </c>
      <c r="L4">
        <f>Data!S47</f>
        <v>0</v>
      </c>
      <c r="M4">
        <f>Data!T47</f>
        <v>0</v>
      </c>
      <c r="N4">
        <f>Data!U47</f>
        <v>0</v>
      </c>
      <c r="O4">
        <f>Data!V47</f>
        <v>0</v>
      </c>
      <c r="P4">
        <f>Data!W47</f>
        <v>0</v>
      </c>
      <c r="Q4">
        <f>Data!X47</f>
        <v>0</v>
      </c>
      <c r="R4">
        <f>Data!Y47</f>
        <v>0</v>
      </c>
      <c r="S4">
        <f>Data!Z47</f>
        <v>0</v>
      </c>
      <c r="T4">
        <f>Data!AA47</f>
        <v>0</v>
      </c>
      <c r="U4">
        <f>Data!AB47</f>
        <v>0</v>
      </c>
      <c r="V4">
        <f>Data!AC47</f>
        <v>0</v>
      </c>
      <c r="W4">
        <f>Data!AD47</f>
        <v>0</v>
      </c>
      <c r="X4">
        <f>Data!AE47</f>
        <v>0</v>
      </c>
      <c r="Y4">
        <f>Data!AF47</f>
        <v>0</v>
      </c>
      <c r="Z4">
        <f>Data!AG47</f>
        <v>0</v>
      </c>
      <c r="AA4">
        <f>Data!AH47</f>
        <v>0</v>
      </c>
      <c r="AB4">
        <f>Data!AI47</f>
        <v>0</v>
      </c>
    </row>
    <row r="5" spans="1:28" x14ac:dyDescent="0.25">
      <c r="A5" t="s">
        <v>40</v>
      </c>
      <c r="B5">
        <f>Data!I48</f>
        <v>1</v>
      </c>
      <c r="C5">
        <f>Data!J48</f>
        <v>1</v>
      </c>
      <c r="D5">
        <f>Data!K48</f>
        <v>1</v>
      </c>
      <c r="E5">
        <f>Data!L48</f>
        <v>1</v>
      </c>
      <c r="F5">
        <f>Data!M48</f>
        <v>1</v>
      </c>
      <c r="G5">
        <f>Data!N48</f>
        <v>1</v>
      </c>
      <c r="H5">
        <f>Data!O48</f>
        <v>1</v>
      </c>
      <c r="I5">
        <f>Data!P48</f>
        <v>1</v>
      </c>
      <c r="J5">
        <f>Data!Q48</f>
        <v>1</v>
      </c>
      <c r="K5">
        <f>Data!R48</f>
        <v>1</v>
      </c>
      <c r="L5">
        <f>Data!S48</f>
        <v>1</v>
      </c>
      <c r="M5">
        <f>Data!T48</f>
        <v>1</v>
      </c>
      <c r="N5">
        <f>Data!U48</f>
        <v>1</v>
      </c>
      <c r="O5">
        <f>Data!V48</f>
        <v>1</v>
      </c>
      <c r="P5">
        <f>Data!W48</f>
        <v>1</v>
      </c>
      <c r="Q5">
        <f>Data!X48</f>
        <v>1</v>
      </c>
      <c r="R5">
        <f>Data!Y48</f>
        <v>1</v>
      </c>
      <c r="S5">
        <f>Data!Z48</f>
        <v>1</v>
      </c>
      <c r="T5">
        <f>Data!AA48</f>
        <v>1</v>
      </c>
      <c r="U5">
        <f>Data!AB48</f>
        <v>1</v>
      </c>
      <c r="V5">
        <f>Data!AC48</f>
        <v>1</v>
      </c>
      <c r="W5">
        <f>Data!AD48</f>
        <v>1</v>
      </c>
      <c r="X5">
        <f>Data!AE48</f>
        <v>1</v>
      </c>
      <c r="Y5">
        <f>Data!AF48</f>
        <v>1</v>
      </c>
      <c r="Z5">
        <f>Data!AG48</f>
        <v>1</v>
      </c>
      <c r="AA5">
        <f>Data!AH48</f>
        <v>1</v>
      </c>
      <c r="AB5">
        <f>Data!AI48</f>
        <v>1</v>
      </c>
    </row>
    <row r="6" spans="1:28" x14ac:dyDescent="0.25">
      <c r="A6" t="s">
        <v>41</v>
      </c>
      <c r="B6">
        <f>Data!I49</f>
        <v>0</v>
      </c>
      <c r="C6">
        <f>Data!J49</f>
        <v>0</v>
      </c>
      <c r="D6">
        <f>Data!K49</f>
        <v>0</v>
      </c>
      <c r="E6">
        <f>Data!L49</f>
        <v>0</v>
      </c>
      <c r="F6">
        <f>Data!M49</f>
        <v>0</v>
      </c>
      <c r="G6">
        <f>Data!N49</f>
        <v>0</v>
      </c>
      <c r="H6">
        <f>Data!O49</f>
        <v>0</v>
      </c>
      <c r="I6">
        <f>Data!P49</f>
        <v>0</v>
      </c>
      <c r="J6">
        <f>Data!Q49</f>
        <v>0</v>
      </c>
      <c r="K6">
        <f>Data!R49</f>
        <v>0</v>
      </c>
      <c r="L6">
        <f>Data!S49</f>
        <v>0</v>
      </c>
      <c r="M6">
        <f>Data!T49</f>
        <v>0</v>
      </c>
      <c r="N6">
        <f>Data!U49</f>
        <v>0</v>
      </c>
      <c r="O6">
        <f>Data!V49</f>
        <v>0</v>
      </c>
      <c r="P6">
        <f>Data!W49</f>
        <v>0</v>
      </c>
      <c r="Q6">
        <f>Data!X49</f>
        <v>0</v>
      </c>
      <c r="R6">
        <f>Data!Y49</f>
        <v>0</v>
      </c>
      <c r="S6">
        <f>Data!Z49</f>
        <v>0</v>
      </c>
      <c r="T6">
        <f>Data!AA49</f>
        <v>0</v>
      </c>
      <c r="U6">
        <f>Data!AB49</f>
        <v>0</v>
      </c>
      <c r="V6">
        <f>Data!AC49</f>
        <v>0</v>
      </c>
      <c r="W6">
        <f>Data!AD49</f>
        <v>0</v>
      </c>
      <c r="X6">
        <f>Data!AE49</f>
        <v>0</v>
      </c>
      <c r="Y6">
        <f>Data!AF49</f>
        <v>0</v>
      </c>
      <c r="Z6">
        <f>Data!AG49</f>
        <v>0</v>
      </c>
      <c r="AA6">
        <f>Data!AH49</f>
        <v>0</v>
      </c>
      <c r="AB6">
        <f>Data!AI49</f>
        <v>0</v>
      </c>
    </row>
    <row r="7" spans="1:28" x14ac:dyDescent="0.25">
      <c r="A7" t="s">
        <v>42</v>
      </c>
      <c r="B7">
        <f>Data!I50</f>
        <v>0</v>
      </c>
      <c r="C7">
        <f>Data!J50</f>
        <v>0</v>
      </c>
      <c r="D7">
        <f>Data!K50</f>
        <v>0</v>
      </c>
      <c r="E7">
        <f>Data!L50</f>
        <v>0</v>
      </c>
      <c r="F7">
        <f>Data!M50</f>
        <v>0</v>
      </c>
      <c r="G7">
        <f>Data!N50</f>
        <v>0</v>
      </c>
      <c r="H7">
        <f>Data!O50</f>
        <v>0</v>
      </c>
      <c r="I7">
        <f>Data!P50</f>
        <v>0</v>
      </c>
      <c r="J7">
        <f>Data!Q50</f>
        <v>0</v>
      </c>
      <c r="K7">
        <f>Data!R50</f>
        <v>0</v>
      </c>
      <c r="L7">
        <f>Data!S50</f>
        <v>0</v>
      </c>
      <c r="M7">
        <f>Data!T50</f>
        <v>0</v>
      </c>
      <c r="N7">
        <f>Data!U50</f>
        <v>0</v>
      </c>
      <c r="O7">
        <f>Data!V50</f>
        <v>0</v>
      </c>
      <c r="P7">
        <f>Data!W50</f>
        <v>0</v>
      </c>
      <c r="Q7">
        <f>Data!X50</f>
        <v>0</v>
      </c>
      <c r="R7">
        <f>Data!Y50</f>
        <v>0</v>
      </c>
      <c r="S7">
        <f>Data!Z50</f>
        <v>0</v>
      </c>
      <c r="T7">
        <f>Data!AA50</f>
        <v>0</v>
      </c>
      <c r="U7">
        <f>Data!AB50</f>
        <v>0</v>
      </c>
      <c r="V7">
        <f>Data!AC50</f>
        <v>0</v>
      </c>
      <c r="W7">
        <f>Data!AD50</f>
        <v>0</v>
      </c>
      <c r="X7">
        <f>Data!AE50</f>
        <v>0</v>
      </c>
      <c r="Y7">
        <f>Data!AF50</f>
        <v>0</v>
      </c>
      <c r="Z7">
        <f>Data!AG50</f>
        <v>0</v>
      </c>
      <c r="AA7">
        <f>Data!AH50</f>
        <v>0</v>
      </c>
      <c r="AB7">
        <f>Data!AI50</f>
        <v>0</v>
      </c>
    </row>
    <row r="8" spans="1:28" x14ac:dyDescent="0.25">
      <c r="A8" t="s">
        <v>43</v>
      </c>
      <c r="B8">
        <f>Data!I51</f>
        <v>0</v>
      </c>
      <c r="C8">
        <f>Data!J51</f>
        <v>0</v>
      </c>
      <c r="D8">
        <f>Data!K51</f>
        <v>0</v>
      </c>
      <c r="E8">
        <f>Data!L51</f>
        <v>0</v>
      </c>
      <c r="F8">
        <f>Data!M51</f>
        <v>0</v>
      </c>
      <c r="G8">
        <f>Data!N51</f>
        <v>0</v>
      </c>
      <c r="H8">
        <f>Data!O51</f>
        <v>0</v>
      </c>
      <c r="I8">
        <f>Data!P51</f>
        <v>0</v>
      </c>
      <c r="J8">
        <f>Data!Q51</f>
        <v>0</v>
      </c>
      <c r="K8">
        <f>Data!R51</f>
        <v>0</v>
      </c>
      <c r="L8">
        <f>Data!S51</f>
        <v>0</v>
      </c>
      <c r="M8">
        <f>Data!T51</f>
        <v>0</v>
      </c>
      <c r="N8">
        <f>Data!U51</f>
        <v>0</v>
      </c>
      <c r="O8">
        <f>Data!V51</f>
        <v>0</v>
      </c>
      <c r="P8">
        <f>Data!W51</f>
        <v>0</v>
      </c>
      <c r="Q8">
        <f>Data!X51</f>
        <v>0</v>
      </c>
      <c r="R8">
        <f>Data!Y51</f>
        <v>0</v>
      </c>
      <c r="S8">
        <f>Data!Z51</f>
        <v>0</v>
      </c>
      <c r="T8">
        <f>Data!AA51</f>
        <v>0</v>
      </c>
      <c r="U8">
        <f>Data!AB51</f>
        <v>0</v>
      </c>
      <c r="V8">
        <f>Data!AC51</f>
        <v>0</v>
      </c>
      <c r="W8">
        <f>Data!AD51</f>
        <v>0</v>
      </c>
      <c r="X8">
        <f>Data!AE51</f>
        <v>0</v>
      </c>
      <c r="Y8">
        <f>Data!AF51</f>
        <v>0</v>
      </c>
      <c r="Z8">
        <f>Data!AG51</f>
        <v>0</v>
      </c>
      <c r="AA8">
        <f>Data!AH51</f>
        <v>0</v>
      </c>
      <c r="AB8">
        <f>Data!AI51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B8"/>
  <sheetViews>
    <sheetView workbookViewId="0">
      <selection activeCell="Z23" sqref="Z23"/>
    </sheetView>
  </sheetViews>
  <sheetFormatPr defaultColWidth="9.140625" defaultRowHeight="15" x14ac:dyDescent="0.25"/>
  <cols>
    <col min="1" max="1" width="24.42578125" customWidth="1"/>
  </cols>
  <sheetData>
    <row r="1" spans="1:28" ht="45" customHeight="1" x14ac:dyDescent="0.25">
      <c r="A1" s="19" t="s">
        <v>75</v>
      </c>
      <c r="B1">
        <f>Data!I9</f>
        <v>2024</v>
      </c>
      <c r="C1">
        <f>Data!J9</f>
        <v>2025</v>
      </c>
      <c r="D1">
        <f>Data!K9</f>
        <v>2026</v>
      </c>
      <c r="E1">
        <f>Data!L9</f>
        <v>2027</v>
      </c>
      <c r="F1">
        <f>Data!M9</f>
        <v>2028</v>
      </c>
      <c r="G1">
        <f>Data!N9</f>
        <v>2029</v>
      </c>
      <c r="H1">
        <f>Data!O9</f>
        <v>2030</v>
      </c>
      <c r="I1">
        <f>Data!P9</f>
        <v>2031</v>
      </c>
      <c r="J1">
        <f>Data!Q9</f>
        <v>2032</v>
      </c>
      <c r="K1">
        <f>Data!R9</f>
        <v>2033</v>
      </c>
      <c r="L1">
        <f>Data!S9</f>
        <v>2034</v>
      </c>
      <c r="M1">
        <f>Data!T9</f>
        <v>2035</v>
      </c>
      <c r="N1">
        <f>Data!U9</f>
        <v>2036</v>
      </c>
      <c r="O1">
        <f>Data!V9</f>
        <v>2037</v>
      </c>
      <c r="P1">
        <f>Data!W9</f>
        <v>2038</v>
      </c>
      <c r="Q1">
        <f>Data!X9</f>
        <v>2039</v>
      </c>
      <c r="R1">
        <f>Data!Y9</f>
        <v>2040</v>
      </c>
      <c r="S1">
        <f>Data!Z9</f>
        <v>2041</v>
      </c>
      <c r="T1">
        <f>Data!AA9</f>
        <v>2042</v>
      </c>
      <c r="U1">
        <f>Data!AB9</f>
        <v>2043</v>
      </c>
      <c r="V1">
        <f>Data!AC9</f>
        <v>2044</v>
      </c>
      <c r="W1">
        <f>Data!AD9</f>
        <v>2045</v>
      </c>
      <c r="X1">
        <f>Data!AE9</f>
        <v>2046</v>
      </c>
      <c r="Y1">
        <f>Data!AF9</f>
        <v>2047</v>
      </c>
      <c r="Z1">
        <f>Data!AG9</f>
        <v>2048</v>
      </c>
      <c r="AA1">
        <f>Data!AH9</f>
        <v>2049</v>
      </c>
      <c r="AB1">
        <f>Data!AI9</f>
        <v>2050</v>
      </c>
    </row>
    <row r="2" spans="1:28" x14ac:dyDescent="0.25">
      <c r="A2" t="s">
        <v>37</v>
      </c>
      <c r="B2">
        <f>Data!I52</f>
        <v>1</v>
      </c>
      <c r="C2">
        <f>Data!J52</f>
        <v>1</v>
      </c>
      <c r="D2">
        <f>Data!K52</f>
        <v>1</v>
      </c>
      <c r="E2">
        <f>Data!L52</f>
        <v>1</v>
      </c>
      <c r="F2">
        <f>Data!M52</f>
        <v>1</v>
      </c>
      <c r="G2">
        <f>Data!N52</f>
        <v>1</v>
      </c>
      <c r="H2">
        <f>Data!O52</f>
        <v>1</v>
      </c>
      <c r="I2">
        <f>Data!P52</f>
        <v>1</v>
      </c>
      <c r="J2">
        <f>Data!Q52</f>
        <v>1</v>
      </c>
      <c r="K2">
        <f>Data!R52</f>
        <v>1</v>
      </c>
      <c r="L2">
        <f>Data!S52</f>
        <v>1</v>
      </c>
      <c r="M2">
        <f>Data!T52</f>
        <v>1</v>
      </c>
      <c r="N2">
        <f>Data!U52</f>
        <v>1</v>
      </c>
      <c r="O2">
        <f>Data!V52</f>
        <v>1</v>
      </c>
      <c r="P2">
        <f>Data!W52</f>
        <v>1</v>
      </c>
      <c r="Q2">
        <f>Data!X52</f>
        <v>1</v>
      </c>
      <c r="R2">
        <f>Data!Y52</f>
        <v>1</v>
      </c>
      <c r="S2">
        <f>Data!Z52</f>
        <v>1</v>
      </c>
      <c r="T2">
        <f>Data!AA52</f>
        <v>1</v>
      </c>
      <c r="U2">
        <f>Data!AB52</f>
        <v>1</v>
      </c>
      <c r="V2">
        <f>Data!AC52</f>
        <v>1</v>
      </c>
      <c r="W2">
        <f>Data!AD52</f>
        <v>1</v>
      </c>
      <c r="X2">
        <f>Data!AE52</f>
        <v>1</v>
      </c>
      <c r="Y2">
        <f>Data!AF52</f>
        <v>1</v>
      </c>
      <c r="Z2">
        <f>Data!AG52</f>
        <v>1</v>
      </c>
      <c r="AA2">
        <f>Data!AH52</f>
        <v>1</v>
      </c>
      <c r="AB2">
        <f>Data!AI52</f>
        <v>1</v>
      </c>
    </row>
    <row r="3" spans="1:28" x14ac:dyDescent="0.25">
      <c r="A3" t="s">
        <v>38</v>
      </c>
      <c r="B3">
        <f>Data!I53</f>
        <v>0</v>
      </c>
      <c r="C3">
        <f>Data!J53</f>
        <v>0</v>
      </c>
      <c r="D3">
        <f>Data!K53</f>
        <v>0</v>
      </c>
      <c r="E3">
        <f>Data!L53</f>
        <v>0</v>
      </c>
      <c r="F3">
        <f>Data!M53</f>
        <v>0</v>
      </c>
      <c r="G3">
        <f>Data!N53</f>
        <v>0</v>
      </c>
      <c r="H3">
        <f>Data!O53</f>
        <v>0</v>
      </c>
      <c r="I3">
        <f>Data!P53</f>
        <v>0</v>
      </c>
      <c r="J3">
        <f>Data!Q53</f>
        <v>0</v>
      </c>
      <c r="K3">
        <f>Data!R53</f>
        <v>0</v>
      </c>
      <c r="L3">
        <f>Data!S53</f>
        <v>0</v>
      </c>
      <c r="M3">
        <f>Data!T53</f>
        <v>0</v>
      </c>
      <c r="N3">
        <f>Data!U53</f>
        <v>0</v>
      </c>
      <c r="O3">
        <f>Data!V53</f>
        <v>0</v>
      </c>
      <c r="P3">
        <f>Data!W53</f>
        <v>0</v>
      </c>
      <c r="Q3">
        <f>Data!X53</f>
        <v>0</v>
      </c>
      <c r="R3">
        <f>Data!Y53</f>
        <v>0</v>
      </c>
      <c r="S3">
        <f>Data!Z53</f>
        <v>0</v>
      </c>
      <c r="T3">
        <f>Data!AA53</f>
        <v>0</v>
      </c>
      <c r="U3">
        <f>Data!AB53</f>
        <v>0</v>
      </c>
      <c r="V3">
        <f>Data!AC53</f>
        <v>0</v>
      </c>
      <c r="W3">
        <f>Data!AD53</f>
        <v>0</v>
      </c>
      <c r="X3">
        <f>Data!AE53</f>
        <v>0</v>
      </c>
      <c r="Y3">
        <f>Data!AF53</f>
        <v>0</v>
      </c>
      <c r="Z3">
        <f>Data!AG53</f>
        <v>0</v>
      </c>
      <c r="AA3">
        <f>Data!AH53</f>
        <v>0</v>
      </c>
      <c r="AB3">
        <f>Data!AI53</f>
        <v>0</v>
      </c>
    </row>
    <row r="4" spans="1:28" x14ac:dyDescent="0.25">
      <c r="A4" t="s">
        <v>39</v>
      </c>
      <c r="B4">
        <f>Data!I54</f>
        <v>0</v>
      </c>
      <c r="C4">
        <f>Data!J54</f>
        <v>0</v>
      </c>
      <c r="D4">
        <f>Data!K54</f>
        <v>0</v>
      </c>
      <c r="E4">
        <f>Data!L54</f>
        <v>0</v>
      </c>
      <c r="F4">
        <f>Data!M54</f>
        <v>0</v>
      </c>
      <c r="G4">
        <f>Data!N54</f>
        <v>0</v>
      </c>
      <c r="H4">
        <f>Data!O54</f>
        <v>0</v>
      </c>
      <c r="I4">
        <f>Data!P54</f>
        <v>0</v>
      </c>
      <c r="J4">
        <f>Data!Q54</f>
        <v>0</v>
      </c>
      <c r="K4">
        <f>Data!R54</f>
        <v>0</v>
      </c>
      <c r="L4">
        <f>Data!S54</f>
        <v>0</v>
      </c>
      <c r="M4">
        <f>Data!T54</f>
        <v>0</v>
      </c>
      <c r="N4">
        <f>Data!U54</f>
        <v>0</v>
      </c>
      <c r="O4">
        <f>Data!V54</f>
        <v>0</v>
      </c>
      <c r="P4">
        <f>Data!W54</f>
        <v>0</v>
      </c>
      <c r="Q4">
        <f>Data!X54</f>
        <v>0</v>
      </c>
      <c r="R4">
        <f>Data!Y54</f>
        <v>0</v>
      </c>
      <c r="S4">
        <f>Data!Z54</f>
        <v>0</v>
      </c>
      <c r="T4">
        <f>Data!AA54</f>
        <v>0</v>
      </c>
      <c r="U4">
        <f>Data!AB54</f>
        <v>0</v>
      </c>
      <c r="V4">
        <f>Data!AC54</f>
        <v>0</v>
      </c>
      <c r="W4">
        <f>Data!AD54</f>
        <v>0</v>
      </c>
      <c r="X4">
        <f>Data!AE54</f>
        <v>0</v>
      </c>
      <c r="Y4">
        <f>Data!AF54</f>
        <v>0</v>
      </c>
      <c r="Z4">
        <f>Data!AG54</f>
        <v>0</v>
      </c>
      <c r="AA4">
        <f>Data!AH54</f>
        <v>0</v>
      </c>
      <c r="AB4">
        <f>Data!AI54</f>
        <v>0</v>
      </c>
    </row>
    <row r="5" spans="1:28" x14ac:dyDescent="0.25">
      <c r="A5" t="s">
        <v>40</v>
      </c>
      <c r="B5">
        <f>Data!I55</f>
        <v>0.10755844933173792</v>
      </c>
      <c r="C5">
        <f>Data!J55</f>
        <v>0.10755844933173792</v>
      </c>
      <c r="D5">
        <f>Data!K55</f>
        <v>0.10755844933173792</v>
      </c>
      <c r="E5">
        <f>Data!L55</f>
        <v>0.10755844933173792</v>
      </c>
      <c r="F5">
        <f>Data!M55</f>
        <v>0.10755844933173792</v>
      </c>
      <c r="G5">
        <f>Data!N55</f>
        <v>0.10755844933173792</v>
      </c>
      <c r="H5">
        <f>Data!O55</f>
        <v>0.10755844933173792</v>
      </c>
      <c r="I5">
        <f>Data!P55</f>
        <v>0.10755844933173792</v>
      </c>
      <c r="J5">
        <f>Data!Q55</f>
        <v>0.10755844933173792</v>
      </c>
      <c r="K5">
        <f>Data!R55</f>
        <v>0.10755844933173792</v>
      </c>
      <c r="L5">
        <f>Data!S55</f>
        <v>0.10755844933173792</v>
      </c>
      <c r="M5">
        <f>Data!T55</f>
        <v>0.10755844933173792</v>
      </c>
      <c r="N5">
        <f>Data!U55</f>
        <v>0.10755844933173792</v>
      </c>
      <c r="O5">
        <f>Data!V55</f>
        <v>0.10755844933173792</v>
      </c>
      <c r="P5">
        <f>Data!W55</f>
        <v>0.10755844933173792</v>
      </c>
      <c r="Q5">
        <f>Data!X55</f>
        <v>0.10755844933173792</v>
      </c>
      <c r="R5">
        <f>Data!Y55</f>
        <v>0.10755844933173792</v>
      </c>
      <c r="S5">
        <f>Data!Z55</f>
        <v>0.10755844933173792</v>
      </c>
      <c r="T5">
        <f>Data!AA55</f>
        <v>0.10755844933173792</v>
      </c>
      <c r="U5">
        <f>Data!AB55</f>
        <v>0.10755844933173792</v>
      </c>
      <c r="V5">
        <f>Data!AC55</f>
        <v>0.10755844933173792</v>
      </c>
      <c r="W5">
        <f>Data!AD55</f>
        <v>0.10755844933173792</v>
      </c>
      <c r="X5">
        <f>Data!AE55</f>
        <v>0.10755844933173792</v>
      </c>
      <c r="Y5">
        <f>Data!AF55</f>
        <v>0.10755844933173792</v>
      </c>
      <c r="Z5">
        <f>Data!AG55</f>
        <v>0.10755844933173792</v>
      </c>
      <c r="AA5">
        <f>Data!AH55</f>
        <v>0.10755844933173792</v>
      </c>
      <c r="AB5">
        <f>Data!AI55</f>
        <v>0.10755844933173792</v>
      </c>
    </row>
    <row r="6" spans="1:28" x14ac:dyDescent="0.25">
      <c r="A6" t="s">
        <v>41</v>
      </c>
      <c r="B6">
        <f>Data!I56</f>
        <v>0</v>
      </c>
      <c r="C6">
        <f>Data!J56</f>
        <v>0</v>
      </c>
      <c r="D6">
        <f>Data!K56</f>
        <v>0</v>
      </c>
      <c r="E6">
        <f>Data!L56</f>
        <v>0</v>
      </c>
      <c r="F6">
        <f>Data!M56</f>
        <v>0</v>
      </c>
      <c r="G6">
        <f>Data!N56</f>
        <v>0</v>
      </c>
      <c r="H6">
        <f>Data!O56</f>
        <v>0</v>
      </c>
      <c r="I6">
        <f>Data!P56</f>
        <v>0</v>
      </c>
      <c r="J6">
        <f>Data!Q56</f>
        <v>0</v>
      </c>
      <c r="K6">
        <f>Data!R56</f>
        <v>0</v>
      </c>
      <c r="L6">
        <f>Data!S56</f>
        <v>0</v>
      </c>
      <c r="M6">
        <f>Data!T56</f>
        <v>0</v>
      </c>
      <c r="N6">
        <f>Data!U56</f>
        <v>0</v>
      </c>
      <c r="O6">
        <f>Data!V56</f>
        <v>0</v>
      </c>
      <c r="P6">
        <f>Data!W56</f>
        <v>0</v>
      </c>
      <c r="Q6">
        <f>Data!X56</f>
        <v>0</v>
      </c>
      <c r="R6">
        <f>Data!Y56</f>
        <v>0</v>
      </c>
      <c r="S6">
        <f>Data!Z56</f>
        <v>0</v>
      </c>
      <c r="T6">
        <f>Data!AA56</f>
        <v>0</v>
      </c>
      <c r="U6">
        <f>Data!AB56</f>
        <v>0</v>
      </c>
      <c r="V6">
        <f>Data!AC56</f>
        <v>0</v>
      </c>
      <c r="W6">
        <f>Data!AD56</f>
        <v>0</v>
      </c>
      <c r="X6">
        <f>Data!AE56</f>
        <v>0</v>
      </c>
      <c r="Y6">
        <f>Data!AF56</f>
        <v>0</v>
      </c>
      <c r="Z6">
        <f>Data!AG56</f>
        <v>0</v>
      </c>
      <c r="AA6">
        <f>Data!AH56</f>
        <v>0</v>
      </c>
      <c r="AB6">
        <f>Data!AI56</f>
        <v>0</v>
      </c>
    </row>
    <row r="7" spans="1:28" x14ac:dyDescent="0.25">
      <c r="A7" t="s">
        <v>42</v>
      </c>
      <c r="B7">
        <f>Data!I57</f>
        <v>0</v>
      </c>
      <c r="C7">
        <f>Data!J57</f>
        <v>0</v>
      </c>
      <c r="D7">
        <f>Data!K57</f>
        <v>0</v>
      </c>
      <c r="E7">
        <f>Data!L57</f>
        <v>0</v>
      </c>
      <c r="F7">
        <f>Data!M57</f>
        <v>0</v>
      </c>
      <c r="G7">
        <f>Data!N57</f>
        <v>0</v>
      </c>
      <c r="H7">
        <f>Data!O57</f>
        <v>0</v>
      </c>
      <c r="I7">
        <f>Data!P57</f>
        <v>0</v>
      </c>
      <c r="J7">
        <f>Data!Q57</f>
        <v>0</v>
      </c>
      <c r="K7">
        <f>Data!R57</f>
        <v>0</v>
      </c>
      <c r="L7">
        <f>Data!S57</f>
        <v>0</v>
      </c>
      <c r="M7">
        <f>Data!T57</f>
        <v>0</v>
      </c>
      <c r="N7">
        <f>Data!U57</f>
        <v>0</v>
      </c>
      <c r="O7">
        <f>Data!V57</f>
        <v>0</v>
      </c>
      <c r="P7">
        <f>Data!W57</f>
        <v>0</v>
      </c>
      <c r="Q7">
        <f>Data!X57</f>
        <v>0</v>
      </c>
      <c r="R7">
        <f>Data!Y57</f>
        <v>0</v>
      </c>
      <c r="S7">
        <f>Data!Z57</f>
        <v>0</v>
      </c>
      <c r="T7">
        <f>Data!AA57</f>
        <v>0</v>
      </c>
      <c r="U7">
        <f>Data!AB57</f>
        <v>0</v>
      </c>
      <c r="V7">
        <f>Data!AC57</f>
        <v>0</v>
      </c>
      <c r="W7">
        <f>Data!AD57</f>
        <v>0</v>
      </c>
      <c r="X7">
        <f>Data!AE57</f>
        <v>0</v>
      </c>
      <c r="Y7">
        <f>Data!AF57</f>
        <v>0</v>
      </c>
      <c r="Z7">
        <f>Data!AG57</f>
        <v>0</v>
      </c>
      <c r="AA7">
        <f>Data!AH57</f>
        <v>0</v>
      </c>
      <c r="AB7">
        <f>Data!AI57</f>
        <v>0</v>
      </c>
    </row>
    <row r="8" spans="1:28" x14ac:dyDescent="0.25">
      <c r="A8" t="s">
        <v>43</v>
      </c>
      <c r="B8">
        <f>Data!I58</f>
        <v>0</v>
      </c>
      <c r="C8">
        <f>Data!J58</f>
        <v>0</v>
      </c>
      <c r="D8">
        <f>Data!K58</f>
        <v>0</v>
      </c>
      <c r="E8">
        <f>Data!L58</f>
        <v>0</v>
      </c>
      <c r="F8">
        <f>Data!M58</f>
        <v>0</v>
      </c>
      <c r="G8">
        <f>Data!N58</f>
        <v>0</v>
      </c>
      <c r="H8">
        <f>Data!O58</f>
        <v>0</v>
      </c>
      <c r="I8">
        <f>Data!P58</f>
        <v>0</v>
      </c>
      <c r="J8">
        <f>Data!Q58</f>
        <v>0</v>
      </c>
      <c r="K8">
        <f>Data!R58</f>
        <v>0</v>
      </c>
      <c r="L8">
        <f>Data!S58</f>
        <v>0</v>
      </c>
      <c r="M8">
        <f>Data!T58</f>
        <v>0</v>
      </c>
      <c r="N8">
        <f>Data!U58</f>
        <v>0</v>
      </c>
      <c r="O8">
        <f>Data!V58</f>
        <v>0</v>
      </c>
      <c r="P8">
        <f>Data!W58</f>
        <v>0</v>
      </c>
      <c r="Q8">
        <f>Data!X58</f>
        <v>0</v>
      </c>
      <c r="R8">
        <f>Data!Y58</f>
        <v>0</v>
      </c>
      <c r="S8">
        <f>Data!Z58</f>
        <v>0</v>
      </c>
      <c r="T8">
        <f>Data!AA58</f>
        <v>0</v>
      </c>
      <c r="U8">
        <f>Data!AB58</f>
        <v>0</v>
      </c>
      <c r="V8">
        <f>Data!AC58</f>
        <v>0</v>
      </c>
      <c r="W8">
        <f>Data!AD58</f>
        <v>0</v>
      </c>
      <c r="X8">
        <f>Data!AE58</f>
        <v>0</v>
      </c>
      <c r="Y8">
        <f>Data!AF58</f>
        <v>0</v>
      </c>
      <c r="Z8">
        <f>Data!AG58</f>
        <v>0</v>
      </c>
      <c r="AA8">
        <f>Data!AH58</f>
        <v>0</v>
      </c>
      <c r="AB8">
        <f>Data!AI58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B8"/>
  <sheetViews>
    <sheetView workbookViewId="0">
      <selection activeCell="Z23" sqref="Z23"/>
    </sheetView>
  </sheetViews>
  <sheetFormatPr defaultColWidth="9.140625" defaultRowHeight="15" x14ac:dyDescent="0.25"/>
  <cols>
    <col min="1" max="1" width="24.42578125" customWidth="1"/>
  </cols>
  <sheetData>
    <row r="1" spans="1:28" ht="45" customHeight="1" x14ac:dyDescent="0.25">
      <c r="A1" s="19" t="s">
        <v>75</v>
      </c>
      <c r="B1">
        <f>Data!I9</f>
        <v>2024</v>
      </c>
      <c r="C1">
        <f>Data!J9</f>
        <v>2025</v>
      </c>
      <c r="D1">
        <f>Data!K9</f>
        <v>2026</v>
      </c>
      <c r="E1">
        <f>Data!L9</f>
        <v>2027</v>
      </c>
      <c r="F1">
        <f>Data!M9</f>
        <v>2028</v>
      </c>
      <c r="G1">
        <f>Data!N9</f>
        <v>2029</v>
      </c>
      <c r="H1">
        <f>Data!O9</f>
        <v>2030</v>
      </c>
      <c r="I1">
        <f>Data!P9</f>
        <v>2031</v>
      </c>
      <c r="J1">
        <f>Data!Q9</f>
        <v>2032</v>
      </c>
      <c r="K1">
        <f>Data!R9</f>
        <v>2033</v>
      </c>
      <c r="L1">
        <f>Data!S9</f>
        <v>2034</v>
      </c>
      <c r="M1">
        <f>Data!T9</f>
        <v>2035</v>
      </c>
      <c r="N1">
        <f>Data!U9</f>
        <v>2036</v>
      </c>
      <c r="O1">
        <f>Data!V9</f>
        <v>2037</v>
      </c>
      <c r="P1">
        <f>Data!W9</f>
        <v>2038</v>
      </c>
      <c r="Q1">
        <f>Data!X9</f>
        <v>2039</v>
      </c>
      <c r="R1">
        <f>Data!Y9</f>
        <v>2040</v>
      </c>
      <c r="S1">
        <f>Data!Z9</f>
        <v>2041</v>
      </c>
      <c r="T1">
        <f>Data!AA9</f>
        <v>2042</v>
      </c>
      <c r="U1">
        <f>Data!AB9</f>
        <v>2043</v>
      </c>
      <c r="V1">
        <f>Data!AC9</f>
        <v>2044</v>
      </c>
      <c r="W1">
        <f>Data!AD9</f>
        <v>2045</v>
      </c>
      <c r="X1">
        <f>Data!AE9</f>
        <v>2046</v>
      </c>
      <c r="Y1">
        <f>Data!AF9</f>
        <v>2047</v>
      </c>
      <c r="Z1">
        <f>Data!AG9</f>
        <v>2048</v>
      </c>
      <c r="AA1">
        <f>Data!AH9</f>
        <v>2049</v>
      </c>
      <c r="AB1">
        <f>Data!AI9</f>
        <v>2050</v>
      </c>
    </row>
    <row r="2" spans="1:28" x14ac:dyDescent="0.25">
      <c r="A2" t="s">
        <v>37</v>
      </c>
      <c r="B2">
        <f>Data!I59</f>
        <v>0</v>
      </c>
      <c r="C2">
        <f>Data!J59</f>
        <v>0</v>
      </c>
      <c r="D2">
        <f>Data!K59</f>
        <v>0</v>
      </c>
      <c r="E2">
        <f>Data!L59</f>
        <v>0</v>
      </c>
      <c r="F2">
        <f>Data!M59</f>
        <v>0</v>
      </c>
      <c r="G2">
        <f>Data!N59</f>
        <v>0</v>
      </c>
      <c r="H2">
        <f>Data!O59</f>
        <v>0</v>
      </c>
      <c r="I2">
        <f>Data!P59</f>
        <v>0</v>
      </c>
      <c r="J2">
        <f>Data!Q59</f>
        <v>0</v>
      </c>
      <c r="K2">
        <f>Data!R59</f>
        <v>0</v>
      </c>
      <c r="L2">
        <f>Data!S59</f>
        <v>0</v>
      </c>
      <c r="M2">
        <f>Data!T59</f>
        <v>0</v>
      </c>
      <c r="N2">
        <f>Data!U59</f>
        <v>0</v>
      </c>
      <c r="O2">
        <f>Data!V59</f>
        <v>0</v>
      </c>
      <c r="P2">
        <f>Data!W59</f>
        <v>0</v>
      </c>
      <c r="Q2">
        <f>Data!X59</f>
        <v>0</v>
      </c>
      <c r="R2">
        <f>Data!Y59</f>
        <v>0</v>
      </c>
      <c r="S2">
        <f>Data!Z59</f>
        <v>0</v>
      </c>
      <c r="T2">
        <f>Data!AA59</f>
        <v>0</v>
      </c>
      <c r="U2">
        <f>Data!AB59</f>
        <v>0</v>
      </c>
      <c r="V2">
        <f>Data!AC59</f>
        <v>0</v>
      </c>
      <c r="W2">
        <f>Data!AD59</f>
        <v>0</v>
      </c>
      <c r="X2">
        <f>Data!AE59</f>
        <v>0</v>
      </c>
      <c r="Y2">
        <f>Data!AF59</f>
        <v>0</v>
      </c>
      <c r="Z2">
        <f>Data!AG59</f>
        <v>0</v>
      </c>
      <c r="AA2">
        <f>Data!AH59</f>
        <v>0</v>
      </c>
      <c r="AB2">
        <f>Data!AI59</f>
        <v>0</v>
      </c>
    </row>
    <row r="3" spans="1:28" x14ac:dyDescent="0.25">
      <c r="A3" t="s">
        <v>38</v>
      </c>
      <c r="B3">
        <f>Data!I60</f>
        <v>0</v>
      </c>
      <c r="C3">
        <f>Data!J60</f>
        <v>0</v>
      </c>
      <c r="D3">
        <f>Data!K60</f>
        <v>0</v>
      </c>
      <c r="E3">
        <f>Data!L60</f>
        <v>0</v>
      </c>
      <c r="F3">
        <f>Data!M60</f>
        <v>0</v>
      </c>
      <c r="G3">
        <f>Data!N60</f>
        <v>0</v>
      </c>
      <c r="H3">
        <f>Data!O60</f>
        <v>0</v>
      </c>
      <c r="I3">
        <f>Data!P60</f>
        <v>0</v>
      </c>
      <c r="J3">
        <f>Data!Q60</f>
        <v>0</v>
      </c>
      <c r="K3">
        <f>Data!R60</f>
        <v>0</v>
      </c>
      <c r="L3">
        <f>Data!S60</f>
        <v>0</v>
      </c>
      <c r="M3">
        <f>Data!T60</f>
        <v>0</v>
      </c>
      <c r="N3">
        <f>Data!U60</f>
        <v>0</v>
      </c>
      <c r="O3">
        <f>Data!V60</f>
        <v>0</v>
      </c>
      <c r="P3">
        <f>Data!W60</f>
        <v>0</v>
      </c>
      <c r="Q3">
        <f>Data!X60</f>
        <v>0</v>
      </c>
      <c r="R3">
        <f>Data!Y60</f>
        <v>0</v>
      </c>
      <c r="S3">
        <f>Data!Z60</f>
        <v>0</v>
      </c>
      <c r="T3">
        <f>Data!AA60</f>
        <v>0</v>
      </c>
      <c r="U3">
        <f>Data!AB60</f>
        <v>0</v>
      </c>
      <c r="V3">
        <f>Data!AC60</f>
        <v>0</v>
      </c>
      <c r="W3">
        <f>Data!AD60</f>
        <v>0</v>
      </c>
      <c r="X3">
        <f>Data!AE60</f>
        <v>0</v>
      </c>
      <c r="Y3">
        <f>Data!AF60</f>
        <v>0</v>
      </c>
      <c r="Z3">
        <f>Data!AG60</f>
        <v>0</v>
      </c>
      <c r="AA3">
        <f>Data!AH60</f>
        <v>0</v>
      </c>
      <c r="AB3">
        <f>Data!AI60</f>
        <v>0</v>
      </c>
    </row>
    <row r="4" spans="1:28" x14ac:dyDescent="0.25">
      <c r="A4" t="s">
        <v>39</v>
      </c>
      <c r="B4">
        <f>Data!I61</f>
        <v>0</v>
      </c>
      <c r="C4">
        <f>Data!J61</f>
        <v>0</v>
      </c>
      <c r="D4">
        <f>Data!K61</f>
        <v>0</v>
      </c>
      <c r="E4">
        <f>Data!L61</f>
        <v>0</v>
      </c>
      <c r="F4">
        <f>Data!M61</f>
        <v>0</v>
      </c>
      <c r="G4">
        <f>Data!N61</f>
        <v>0</v>
      </c>
      <c r="H4">
        <f>Data!O61</f>
        <v>0</v>
      </c>
      <c r="I4">
        <f>Data!P61</f>
        <v>0</v>
      </c>
      <c r="J4">
        <f>Data!Q61</f>
        <v>0</v>
      </c>
      <c r="K4">
        <f>Data!R61</f>
        <v>0</v>
      </c>
      <c r="L4">
        <f>Data!S61</f>
        <v>0</v>
      </c>
      <c r="M4">
        <f>Data!T61</f>
        <v>0</v>
      </c>
      <c r="N4">
        <f>Data!U61</f>
        <v>0</v>
      </c>
      <c r="O4">
        <f>Data!V61</f>
        <v>0</v>
      </c>
      <c r="P4">
        <f>Data!W61</f>
        <v>0</v>
      </c>
      <c r="Q4">
        <f>Data!X61</f>
        <v>0</v>
      </c>
      <c r="R4">
        <f>Data!Y61</f>
        <v>0</v>
      </c>
      <c r="S4">
        <f>Data!Z61</f>
        <v>0</v>
      </c>
      <c r="T4">
        <f>Data!AA61</f>
        <v>0</v>
      </c>
      <c r="U4">
        <f>Data!AB61</f>
        <v>0</v>
      </c>
      <c r="V4">
        <f>Data!AC61</f>
        <v>0</v>
      </c>
      <c r="W4">
        <f>Data!AD61</f>
        <v>0</v>
      </c>
      <c r="X4">
        <f>Data!AE61</f>
        <v>0</v>
      </c>
      <c r="Y4">
        <f>Data!AF61</f>
        <v>0</v>
      </c>
      <c r="Z4">
        <f>Data!AG61</f>
        <v>0</v>
      </c>
      <c r="AA4">
        <f>Data!AH61</f>
        <v>0</v>
      </c>
      <c r="AB4">
        <f>Data!AI61</f>
        <v>0</v>
      </c>
    </row>
    <row r="5" spans="1:28" x14ac:dyDescent="0.25">
      <c r="A5" t="s">
        <v>40</v>
      </c>
      <c r="B5">
        <f>Data!I62</f>
        <v>1</v>
      </c>
      <c r="C5">
        <f>Data!J62</f>
        <v>1</v>
      </c>
      <c r="D5">
        <f>Data!K62</f>
        <v>1</v>
      </c>
      <c r="E5">
        <f>Data!L62</f>
        <v>1</v>
      </c>
      <c r="F5">
        <f>Data!M62</f>
        <v>1</v>
      </c>
      <c r="G5">
        <f>Data!N62</f>
        <v>1</v>
      </c>
      <c r="H5">
        <f>Data!O62</f>
        <v>1</v>
      </c>
      <c r="I5">
        <f>Data!P62</f>
        <v>1</v>
      </c>
      <c r="J5">
        <f>Data!Q62</f>
        <v>1</v>
      </c>
      <c r="K5">
        <f>Data!R62</f>
        <v>1</v>
      </c>
      <c r="L5">
        <f>Data!S62</f>
        <v>1</v>
      </c>
      <c r="M5">
        <f>Data!T62</f>
        <v>1</v>
      </c>
      <c r="N5">
        <f>Data!U62</f>
        <v>1</v>
      </c>
      <c r="O5">
        <f>Data!V62</f>
        <v>1</v>
      </c>
      <c r="P5">
        <f>Data!W62</f>
        <v>1</v>
      </c>
      <c r="Q5">
        <f>Data!X62</f>
        <v>1</v>
      </c>
      <c r="R5">
        <f>Data!Y62</f>
        <v>1</v>
      </c>
      <c r="S5">
        <f>Data!Z62</f>
        <v>1</v>
      </c>
      <c r="T5">
        <f>Data!AA62</f>
        <v>1</v>
      </c>
      <c r="U5">
        <f>Data!AB62</f>
        <v>1</v>
      </c>
      <c r="V5">
        <f>Data!AC62</f>
        <v>1</v>
      </c>
      <c r="W5">
        <f>Data!AD62</f>
        <v>1</v>
      </c>
      <c r="X5">
        <f>Data!AE62</f>
        <v>1</v>
      </c>
      <c r="Y5">
        <f>Data!AF62</f>
        <v>1</v>
      </c>
      <c r="Z5">
        <f>Data!AG62</f>
        <v>1</v>
      </c>
      <c r="AA5">
        <f>Data!AH62</f>
        <v>1</v>
      </c>
      <c r="AB5">
        <f>Data!AI62</f>
        <v>1</v>
      </c>
    </row>
    <row r="6" spans="1:28" x14ac:dyDescent="0.25">
      <c r="A6" t="s">
        <v>41</v>
      </c>
      <c r="B6">
        <f>Data!I63</f>
        <v>0</v>
      </c>
      <c r="C6">
        <f>Data!J63</f>
        <v>0</v>
      </c>
      <c r="D6">
        <f>Data!K63</f>
        <v>0</v>
      </c>
      <c r="E6">
        <f>Data!L63</f>
        <v>0</v>
      </c>
      <c r="F6">
        <f>Data!M63</f>
        <v>0</v>
      </c>
      <c r="G6">
        <f>Data!N63</f>
        <v>0</v>
      </c>
      <c r="H6">
        <f>Data!O63</f>
        <v>0</v>
      </c>
      <c r="I6">
        <f>Data!P63</f>
        <v>0</v>
      </c>
      <c r="J6">
        <f>Data!Q63</f>
        <v>0</v>
      </c>
      <c r="K6">
        <f>Data!R63</f>
        <v>0</v>
      </c>
      <c r="L6">
        <f>Data!S63</f>
        <v>0</v>
      </c>
      <c r="M6">
        <f>Data!T63</f>
        <v>0</v>
      </c>
      <c r="N6">
        <f>Data!U63</f>
        <v>0</v>
      </c>
      <c r="O6">
        <f>Data!V63</f>
        <v>0</v>
      </c>
      <c r="P6">
        <f>Data!W63</f>
        <v>0</v>
      </c>
      <c r="Q6">
        <f>Data!X63</f>
        <v>0</v>
      </c>
      <c r="R6">
        <f>Data!Y63</f>
        <v>0</v>
      </c>
      <c r="S6">
        <f>Data!Z63</f>
        <v>0</v>
      </c>
      <c r="T6">
        <f>Data!AA63</f>
        <v>0</v>
      </c>
      <c r="U6">
        <f>Data!AB63</f>
        <v>0</v>
      </c>
      <c r="V6">
        <f>Data!AC63</f>
        <v>0</v>
      </c>
      <c r="W6">
        <f>Data!AD63</f>
        <v>0</v>
      </c>
      <c r="X6">
        <f>Data!AE63</f>
        <v>0</v>
      </c>
      <c r="Y6">
        <f>Data!AF63</f>
        <v>0</v>
      </c>
      <c r="Z6">
        <f>Data!AG63</f>
        <v>0</v>
      </c>
      <c r="AA6">
        <f>Data!AH63</f>
        <v>0</v>
      </c>
      <c r="AB6">
        <f>Data!AI63</f>
        <v>0</v>
      </c>
    </row>
    <row r="7" spans="1:28" x14ac:dyDescent="0.25">
      <c r="A7" t="s">
        <v>42</v>
      </c>
      <c r="B7">
        <f>Data!I64</f>
        <v>0</v>
      </c>
      <c r="C7">
        <f>Data!J64</f>
        <v>0</v>
      </c>
      <c r="D7">
        <f>Data!K64</f>
        <v>0</v>
      </c>
      <c r="E7">
        <f>Data!L64</f>
        <v>0</v>
      </c>
      <c r="F7">
        <f>Data!M64</f>
        <v>0</v>
      </c>
      <c r="G7">
        <f>Data!N64</f>
        <v>0</v>
      </c>
      <c r="H7">
        <f>Data!O64</f>
        <v>0</v>
      </c>
      <c r="I7">
        <f>Data!P64</f>
        <v>0</v>
      </c>
      <c r="J7">
        <f>Data!Q64</f>
        <v>0</v>
      </c>
      <c r="K7">
        <f>Data!R64</f>
        <v>0</v>
      </c>
      <c r="L7">
        <f>Data!S64</f>
        <v>0</v>
      </c>
      <c r="M7">
        <f>Data!T64</f>
        <v>0</v>
      </c>
      <c r="N7">
        <f>Data!U64</f>
        <v>0</v>
      </c>
      <c r="O7">
        <f>Data!V64</f>
        <v>0</v>
      </c>
      <c r="P7">
        <f>Data!W64</f>
        <v>0</v>
      </c>
      <c r="Q7">
        <f>Data!X64</f>
        <v>0</v>
      </c>
      <c r="R7">
        <f>Data!Y64</f>
        <v>0</v>
      </c>
      <c r="S7">
        <f>Data!Z64</f>
        <v>0</v>
      </c>
      <c r="T7">
        <f>Data!AA64</f>
        <v>0</v>
      </c>
      <c r="U7">
        <f>Data!AB64</f>
        <v>0</v>
      </c>
      <c r="V7">
        <f>Data!AC64</f>
        <v>0</v>
      </c>
      <c r="W7">
        <f>Data!AD64</f>
        <v>0</v>
      </c>
      <c r="X7">
        <f>Data!AE64</f>
        <v>0</v>
      </c>
      <c r="Y7">
        <f>Data!AF64</f>
        <v>0</v>
      </c>
      <c r="Z7">
        <f>Data!AG64</f>
        <v>0</v>
      </c>
      <c r="AA7">
        <f>Data!AH64</f>
        <v>0</v>
      </c>
      <c r="AB7">
        <f>Data!AI64</f>
        <v>0</v>
      </c>
    </row>
    <row r="8" spans="1:28" x14ac:dyDescent="0.25">
      <c r="A8" t="s">
        <v>43</v>
      </c>
      <c r="B8">
        <f>Data!I65</f>
        <v>0</v>
      </c>
      <c r="C8">
        <f>Data!J65</f>
        <v>0</v>
      </c>
      <c r="D8">
        <f>Data!K65</f>
        <v>0</v>
      </c>
      <c r="E8">
        <f>Data!L65</f>
        <v>0</v>
      </c>
      <c r="F8">
        <f>Data!M65</f>
        <v>0</v>
      </c>
      <c r="G8">
        <f>Data!N65</f>
        <v>0</v>
      </c>
      <c r="H8">
        <f>Data!O65</f>
        <v>0</v>
      </c>
      <c r="I8">
        <f>Data!P65</f>
        <v>0</v>
      </c>
      <c r="J8">
        <f>Data!Q65</f>
        <v>0</v>
      </c>
      <c r="K8">
        <f>Data!R65</f>
        <v>0</v>
      </c>
      <c r="L8">
        <f>Data!S65</f>
        <v>0</v>
      </c>
      <c r="M8">
        <f>Data!T65</f>
        <v>0</v>
      </c>
      <c r="N8">
        <f>Data!U65</f>
        <v>0</v>
      </c>
      <c r="O8">
        <f>Data!V65</f>
        <v>0</v>
      </c>
      <c r="P8">
        <f>Data!W65</f>
        <v>0</v>
      </c>
      <c r="Q8">
        <f>Data!X65</f>
        <v>0</v>
      </c>
      <c r="R8">
        <f>Data!Y65</f>
        <v>0</v>
      </c>
      <c r="S8">
        <f>Data!Z65</f>
        <v>0</v>
      </c>
      <c r="T8">
        <f>Data!AA65</f>
        <v>0</v>
      </c>
      <c r="U8">
        <f>Data!AB65</f>
        <v>0</v>
      </c>
      <c r="V8">
        <f>Data!AC65</f>
        <v>0</v>
      </c>
      <c r="W8">
        <f>Data!AD65</f>
        <v>0</v>
      </c>
      <c r="X8">
        <f>Data!AE65</f>
        <v>0</v>
      </c>
      <c r="Y8">
        <f>Data!AF65</f>
        <v>0</v>
      </c>
      <c r="Z8">
        <f>Data!AG65</f>
        <v>0</v>
      </c>
      <c r="AA8">
        <f>Data!AH65</f>
        <v>0</v>
      </c>
      <c r="AB8">
        <f>Data!AI65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B8"/>
  <sheetViews>
    <sheetView workbookViewId="0">
      <selection activeCell="Z23" sqref="Z23"/>
    </sheetView>
  </sheetViews>
  <sheetFormatPr defaultColWidth="9.140625" defaultRowHeight="15" x14ac:dyDescent="0.25"/>
  <cols>
    <col min="1" max="1" width="24.42578125" customWidth="1"/>
  </cols>
  <sheetData>
    <row r="1" spans="1:28" ht="45" customHeight="1" x14ac:dyDescent="0.25">
      <c r="A1" s="19" t="s">
        <v>75</v>
      </c>
      <c r="B1">
        <f>Data!I9</f>
        <v>2024</v>
      </c>
      <c r="C1">
        <f>Data!J9</f>
        <v>2025</v>
      </c>
      <c r="D1">
        <f>Data!K9</f>
        <v>2026</v>
      </c>
      <c r="E1">
        <f>Data!L9</f>
        <v>2027</v>
      </c>
      <c r="F1">
        <f>Data!M9</f>
        <v>2028</v>
      </c>
      <c r="G1">
        <f>Data!N9</f>
        <v>2029</v>
      </c>
      <c r="H1">
        <f>Data!O9</f>
        <v>2030</v>
      </c>
      <c r="I1">
        <f>Data!P9</f>
        <v>2031</v>
      </c>
      <c r="J1">
        <f>Data!Q9</f>
        <v>2032</v>
      </c>
      <c r="K1">
        <f>Data!R9</f>
        <v>2033</v>
      </c>
      <c r="L1">
        <f>Data!S9</f>
        <v>2034</v>
      </c>
      <c r="M1">
        <f>Data!T9</f>
        <v>2035</v>
      </c>
      <c r="N1">
        <f>Data!U9</f>
        <v>2036</v>
      </c>
      <c r="O1">
        <f>Data!V9</f>
        <v>2037</v>
      </c>
      <c r="P1">
        <f>Data!W9</f>
        <v>2038</v>
      </c>
      <c r="Q1">
        <f>Data!X9</f>
        <v>2039</v>
      </c>
      <c r="R1">
        <f>Data!Y9</f>
        <v>2040</v>
      </c>
      <c r="S1">
        <f>Data!Z9</f>
        <v>2041</v>
      </c>
      <c r="T1">
        <f>Data!AA9</f>
        <v>2042</v>
      </c>
      <c r="U1">
        <f>Data!AB9</f>
        <v>2043</v>
      </c>
      <c r="V1">
        <f>Data!AC9</f>
        <v>2044</v>
      </c>
      <c r="W1">
        <f>Data!AD9</f>
        <v>2045</v>
      </c>
      <c r="X1">
        <f>Data!AE9</f>
        <v>2046</v>
      </c>
      <c r="Y1">
        <f>Data!AF9</f>
        <v>2047</v>
      </c>
      <c r="Z1">
        <f>Data!AG9</f>
        <v>2048</v>
      </c>
      <c r="AA1">
        <f>Data!AH9</f>
        <v>2049</v>
      </c>
      <c r="AB1">
        <f>Data!AI9</f>
        <v>2050</v>
      </c>
    </row>
    <row r="2" spans="1:28" x14ac:dyDescent="0.25">
      <c r="A2" t="s">
        <v>37</v>
      </c>
      <c r="B2">
        <f>Data!I66</f>
        <v>0</v>
      </c>
      <c r="C2">
        <f>Data!J66</f>
        <v>0</v>
      </c>
      <c r="D2">
        <f>Data!K66</f>
        <v>0</v>
      </c>
      <c r="E2">
        <f>Data!L66</f>
        <v>0</v>
      </c>
      <c r="F2">
        <f>Data!M66</f>
        <v>0</v>
      </c>
      <c r="G2">
        <f>Data!N66</f>
        <v>0</v>
      </c>
      <c r="H2">
        <f>Data!O66</f>
        <v>0</v>
      </c>
      <c r="I2">
        <f>Data!P66</f>
        <v>0</v>
      </c>
      <c r="J2">
        <f>Data!Q66</f>
        <v>0</v>
      </c>
      <c r="K2">
        <f>Data!R66</f>
        <v>0</v>
      </c>
      <c r="L2">
        <f>Data!S66</f>
        <v>0</v>
      </c>
      <c r="M2">
        <f>Data!T66</f>
        <v>0</v>
      </c>
      <c r="N2">
        <f>Data!U66</f>
        <v>0</v>
      </c>
      <c r="O2">
        <f>Data!V66</f>
        <v>0</v>
      </c>
      <c r="P2">
        <f>Data!W66</f>
        <v>0</v>
      </c>
      <c r="Q2">
        <f>Data!X66</f>
        <v>0</v>
      </c>
      <c r="R2">
        <f>Data!Y66</f>
        <v>0</v>
      </c>
      <c r="S2">
        <f>Data!Z66</f>
        <v>0</v>
      </c>
      <c r="T2">
        <f>Data!AA66</f>
        <v>0</v>
      </c>
      <c r="U2">
        <f>Data!AB66</f>
        <v>0</v>
      </c>
      <c r="V2">
        <f>Data!AC66</f>
        <v>0</v>
      </c>
      <c r="W2">
        <f>Data!AD66</f>
        <v>0</v>
      </c>
      <c r="X2">
        <f>Data!AE66</f>
        <v>0</v>
      </c>
      <c r="Y2">
        <f>Data!AF66</f>
        <v>0</v>
      </c>
      <c r="Z2">
        <f>Data!AG66</f>
        <v>0</v>
      </c>
      <c r="AA2">
        <f>Data!AH66</f>
        <v>0</v>
      </c>
      <c r="AB2">
        <f>Data!AI66</f>
        <v>0</v>
      </c>
    </row>
    <row r="3" spans="1:28" x14ac:dyDescent="0.25">
      <c r="A3" t="s">
        <v>38</v>
      </c>
      <c r="B3">
        <f>Data!I67</f>
        <v>0</v>
      </c>
      <c r="C3">
        <f>Data!J67</f>
        <v>0</v>
      </c>
      <c r="D3">
        <f>Data!K67</f>
        <v>0</v>
      </c>
      <c r="E3">
        <f>Data!L67</f>
        <v>0</v>
      </c>
      <c r="F3">
        <f>Data!M67</f>
        <v>0</v>
      </c>
      <c r="G3">
        <f>Data!N67</f>
        <v>0</v>
      </c>
      <c r="H3">
        <f>Data!O67</f>
        <v>0</v>
      </c>
      <c r="I3">
        <f>Data!P67</f>
        <v>0</v>
      </c>
      <c r="J3">
        <f>Data!Q67</f>
        <v>0</v>
      </c>
      <c r="K3">
        <f>Data!R67</f>
        <v>0</v>
      </c>
      <c r="L3">
        <f>Data!S67</f>
        <v>0</v>
      </c>
      <c r="M3">
        <f>Data!T67</f>
        <v>0</v>
      </c>
      <c r="N3">
        <f>Data!U67</f>
        <v>0</v>
      </c>
      <c r="O3">
        <f>Data!V67</f>
        <v>0</v>
      </c>
      <c r="P3">
        <f>Data!W67</f>
        <v>0</v>
      </c>
      <c r="Q3">
        <f>Data!X67</f>
        <v>0</v>
      </c>
      <c r="R3">
        <f>Data!Y67</f>
        <v>0</v>
      </c>
      <c r="S3">
        <f>Data!Z67</f>
        <v>0</v>
      </c>
      <c r="T3">
        <f>Data!AA67</f>
        <v>0</v>
      </c>
      <c r="U3">
        <f>Data!AB67</f>
        <v>0</v>
      </c>
      <c r="V3">
        <f>Data!AC67</f>
        <v>0</v>
      </c>
      <c r="W3">
        <f>Data!AD67</f>
        <v>0</v>
      </c>
      <c r="X3">
        <f>Data!AE67</f>
        <v>0</v>
      </c>
      <c r="Y3">
        <f>Data!AF67</f>
        <v>0</v>
      </c>
      <c r="Z3">
        <f>Data!AG67</f>
        <v>0</v>
      </c>
      <c r="AA3">
        <f>Data!AH67</f>
        <v>0</v>
      </c>
      <c r="AB3">
        <f>Data!AI67</f>
        <v>0</v>
      </c>
    </row>
    <row r="4" spans="1:28" x14ac:dyDescent="0.25">
      <c r="A4" t="s">
        <v>39</v>
      </c>
      <c r="B4">
        <f>Data!I68</f>
        <v>0</v>
      </c>
      <c r="C4">
        <f>Data!J68</f>
        <v>0</v>
      </c>
      <c r="D4">
        <f>Data!K68</f>
        <v>0</v>
      </c>
      <c r="E4">
        <f>Data!L68</f>
        <v>0</v>
      </c>
      <c r="F4">
        <f>Data!M68</f>
        <v>0</v>
      </c>
      <c r="G4">
        <f>Data!N68</f>
        <v>0</v>
      </c>
      <c r="H4">
        <f>Data!O68</f>
        <v>0</v>
      </c>
      <c r="I4">
        <f>Data!P68</f>
        <v>0</v>
      </c>
      <c r="J4">
        <f>Data!Q68</f>
        <v>0</v>
      </c>
      <c r="K4">
        <f>Data!R68</f>
        <v>0</v>
      </c>
      <c r="L4">
        <f>Data!S68</f>
        <v>0</v>
      </c>
      <c r="M4">
        <f>Data!T68</f>
        <v>0</v>
      </c>
      <c r="N4">
        <f>Data!U68</f>
        <v>0</v>
      </c>
      <c r="O4">
        <f>Data!V68</f>
        <v>0</v>
      </c>
      <c r="P4">
        <f>Data!W68</f>
        <v>0</v>
      </c>
      <c r="Q4">
        <f>Data!X68</f>
        <v>0</v>
      </c>
      <c r="R4">
        <f>Data!Y68</f>
        <v>0</v>
      </c>
      <c r="S4">
        <f>Data!Z68</f>
        <v>0</v>
      </c>
      <c r="T4">
        <f>Data!AA68</f>
        <v>0</v>
      </c>
      <c r="U4">
        <f>Data!AB68</f>
        <v>0</v>
      </c>
      <c r="V4">
        <f>Data!AC68</f>
        <v>0</v>
      </c>
      <c r="W4">
        <f>Data!AD68</f>
        <v>0</v>
      </c>
      <c r="X4">
        <f>Data!AE68</f>
        <v>0</v>
      </c>
      <c r="Y4">
        <f>Data!AF68</f>
        <v>0</v>
      </c>
      <c r="Z4">
        <f>Data!AG68</f>
        <v>0</v>
      </c>
      <c r="AA4">
        <f>Data!AH68</f>
        <v>0</v>
      </c>
      <c r="AB4">
        <f>Data!AI68</f>
        <v>0</v>
      </c>
    </row>
    <row r="5" spans="1:28" x14ac:dyDescent="0.25">
      <c r="A5" t="s">
        <v>40</v>
      </c>
      <c r="B5">
        <f>Data!I69</f>
        <v>1</v>
      </c>
      <c r="C5">
        <f>Data!J69</f>
        <v>1</v>
      </c>
      <c r="D5">
        <f>Data!K69</f>
        <v>1</v>
      </c>
      <c r="E5">
        <f>Data!L69</f>
        <v>1</v>
      </c>
      <c r="F5">
        <f>Data!M69</f>
        <v>1</v>
      </c>
      <c r="G5">
        <f>Data!N69</f>
        <v>1</v>
      </c>
      <c r="H5">
        <f>Data!O69</f>
        <v>1</v>
      </c>
      <c r="I5">
        <f>Data!P69</f>
        <v>1</v>
      </c>
      <c r="J5">
        <f>Data!Q69</f>
        <v>1</v>
      </c>
      <c r="K5">
        <f>Data!R69</f>
        <v>1</v>
      </c>
      <c r="L5">
        <f>Data!S69</f>
        <v>1</v>
      </c>
      <c r="M5">
        <f>Data!T69</f>
        <v>1</v>
      </c>
      <c r="N5">
        <f>Data!U69</f>
        <v>1</v>
      </c>
      <c r="O5">
        <f>Data!V69</f>
        <v>1</v>
      </c>
      <c r="P5">
        <f>Data!W69</f>
        <v>1</v>
      </c>
      <c r="Q5">
        <f>Data!X69</f>
        <v>1</v>
      </c>
      <c r="R5">
        <f>Data!Y69</f>
        <v>1</v>
      </c>
      <c r="S5">
        <f>Data!Z69</f>
        <v>1</v>
      </c>
      <c r="T5">
        <f>Data!AA69</f>
        <v>1</v>
      </c>
      <c r="U5">
        <f>Data!AB69</f>
        <v>1</v>
      </c>
      <c r="V5">
        <f>Data!AC69</f>
        <v>1</v>
      </c>
      <c r="W5">
        <f>Data!AD69</f>
        <v>1</v>
      </c>
      <c r="X5">
        <f>Data!AE69</f>
        <v>1</v>
      </c>
      <c r="Y5">
        <f>Data!AF69</f>
        <v>1</v>
      </c>
      <c r="Z5">
        <f>Data!AG69</f>
        <v>1</v>
      </c>
      <c r="AA5">
        <f>Data!AH69</f>
        <v>1</v>
      </c>
      <c r="AB5">
        <f>Data!AI69</f>
        <v>1</v>
      </c>
    </row>
    <row r="6" spans="1:28" x14ac:dyDescent="0.25">
      <c r="A6" t="s">
        <v>41</v>
      </c>
      <c r="B6">
        <f>Data!I70</f>
        <v>0</v>
      </c>
      <c r="C6">
        <f>Data!J70</f>
        <v>0</v>
      </c>
      <c r="D6">
        <f>Data!K70</f>
        <v>0</v>
      </c>
      <c r="E6">
        <f>Data!L70</f>
        <v>0</v>
      </c>
      <c r="F6">
        <f>Data!M70</f>
        <v>0</v>
      </c>
      <c r="G6">
        <f>Data!N70</f>
        <v>0</v>
      </c>
      <c r="H6">
        <f>Data!O70</f>
        <v>0</v>
      </c>
      <c r="I6">
        <f>Data!P70</f>
        <v>0</v>
      </c>
      <c r="J6">
        <f>Data!Q70</f>
        <v>0</v>
      </c>
      <c r="K6">
        <f>Data!R70</f>
        <v>0</v>
      </c>
      <c r="L6">
        <f>Data!S70</f>
        <v>0</v>
      </c>
      <c r="M6">
        <f>Data!T70</f>
        <v>0</v>
      </c>
      <c r="N6">
        <f>Data!U70</f>
        <v>0</v>
      </c>
      <c r="O6">
        <f>Data!V70</f>
        <v>0</v>
      </c>
      <c r="P6">
        <f>Data!W70</f>
        <v>0</v>
      </c>
      <c r="Q6">
        <f>Data!X70</f>
        <v>0</v>
      </c>
      <c r="R6">
        <f>Data!Y70</f>
        <v>0</v>
      </c>
      <c r="S6">
        <f>Data!Z70</f>
        <v>0</v>
      </c>
      <c r="T6">
        <f>Data!AA70</f>
        <v>0</v>
      </c>
      <c r="U6">
        <f>Data!AB70</f>
        <v>0</v>
      </c>
      <c r="V6">
        <f>Data!AC70</f>
        <v>0</v>
      </c>
      <c r="W6">
        <f>Data!AD70</f>
        <v>0</v>
      </c>
      <c r="X6">
        <f>Data!AE70</f>
        <v>0</v>
      </c>
      <c r="Y6">
        <f>Data!AF70</f>
        <v>0</v>
      </c>
      <c r="Z6">
        <f>Data!AG70</f>
        <v>0</v>
      </c>
      <c r="AA6">
        <f>Data!AH70</f>
        <v>0</v>
      </c>
      <c r="AB6">
        <f>Data!AI70</f>
        <v>0</v>
      </c>
    </row>
    <row r="7" spans="1:28" x14ac:dyDescent="0.25">
      <c r="A7" t="s">
        <v>42</v>
      </c>
      <c r="B7">
        <f>Data!I71</f>
        <v>0</v>
      </c>
      <c r="C7">
        <f>Data!J71</f>
        <v>0</v>
      </c>
      <c r="D7">
        <f>Data!K71</f>
        <v>0</v>
      </c>
      <c r="E7">
        <f>Data!L71</f>
        <v>0</v>
      </c>
      <c r="F7">
        <f>Data!M71</f>
        <v>0</v>
      </c>
      <c r="G7">
        <f>Data!N71</f>
        <v>0</v>
      </c>
      <c r="H7">
        <f>Data!O71</f>
        <v>0</v>
      </c>
      <c r="I7">
        <f>Data!P71</f>
        <v>0</v>
      </c>
      <c r="J7">
        <f>Data!Q71</f>
        <v>0</v>
      </c>
      <c r="K7">
        <f>Data!R71</f>
        <v>0</v>
      </c>
      <c r="L7">
        <f>Data!S71</f>
        <v>0</v>
      </c>
      <c r="M7">
        <f>Data!T71</f>
        <v>0</v>
      </c>
      <c r="N7">
        <f>Data!U71</f>
        <v>0</v>
      </c>
      <c r="O7">
        <f>Data!V71</f>
        <v>0</v>
      </c>
      <c r="P7">
        <f>Data!W71</f>
        <v>0</v>
      </c>
      <c r="Q7">
        <f>Data!X71</f>
        <v>0</v>
      </c>
      <c r="R7">
        <f>Data!Y71</f>
        <v>0</v>
      </c>
      <c r="S7">
        <f>Data!Z71</f>
        <v>0</v>
      </c>
      <c r="T7">
        <f>Data!AA71</f>
        <v>0</v>
      </c>
      <c r="U7">
        <f>Data!AB71</f>
        <v>0</v>
      </c>
      <c r="V7">
        <f>Data!AC71</f>
        <v>0</v>
      </c>
      <c r="W7">
        <f>Data!AD71</f>
        <v>0</v>
      </c>
      <c r="X7">
        <f>Data!AE71</f>
        <v>0</v>
      </c>
      <c r="Y7">
        <f>Data!AF71</f>
        <v>0</v>
      </c>
      <c r="Z7">
        <f>Data!AG71</f>
        <v>0</v>
      </c>
      <c r="AA7">
        <f>Data!AH71</f>
        <v>0</v>
      </c>
      <c r="AB7">
        <f>Data!AI71</f>
        <v>0</v>
      </c>
    </row>
    <row r="8" spans="1:28" x14ac:dyDescent="0.25">
      <c r="A8" t="s">
        <v>43</v>
      </c>
      <c r="B8">
        <f>Data!I72</f>
        <v>0</v>
      </c>
      <c r="C8">
        <f>Data!J72</f>
        <v>0</v>
      </c>
      <c r="D8">
        <f>Data!K72</f>
        <v>0</v>
      </c>
      <c r="E8">
        <f>Data!L72</f>
        <v>0</v>
      </c>
      <c r="F8">
        <f>Data!M72</f>
        <v>0</v>
      </c>
      <c r="G8">
        <f>Data!N72</f>
        <v>0</v>
      </c>
      <c r="H8">
        <f>Data!O72</f>
        <v>0</v>
      </c>
      <c r="I8">
        <f>Data!P72</f>
        <v>0</v>
      </c>
      <c r="J8">
        <f>Data!Q72</f>
        <v>0</v>
      </c>
      <c r="K8">
        <f>Data!R72</f>
        <v>0</v>
      </c>
      <c r="L8">
        <f>Data!S72</f>
        <v>0</v>
      </c>
      <c r="M8">
        <f>Data!T72</f>
        <v>0</v>
      </c>
      <c r="N8">
        <f>Data!U72</f>
        <v>0</v>
      </c>
      <c r="O8">
        <f>Data!V72</f>
        <v>0</v>
      </c>
      <c r="P8">
        <f>Data!W72</f>
        <v>0</v>
      </c>
      <c r="Q8">
        <f>Data!X72</f>
        <v>0</v>
      </c>
      <c r="R8">
        <f>Data!Y72</f>
        <v>0</v>
      </c>
      <c r="S8">
        <f>Data!Z72</f>
        <v>0</v>
      </c>
      <c r="T8">
        <f>Data!AA72</f>
        <v>0</v>
      </c>
      <c r="U8">
        <f>Data!AB72</f>
        <v>0</v>
      </c>
      <c r="V8">
        <f>Data!AC72</f>
        <v>0</v>
      </c>
      <c r="W8">
        <f>Data!AD72</f>
        <v>0</v>
      </c>
      <c r="X8">
        <f>Data!AE72</f>
        <v>0</v>
      </c>
      <c r="Y8">
        <f>Data!AF72</f>
        <v>0</v>
      </c>
      <c r="Z8">
        <f>Data!AG72</f>
        <v>0</v>
      </c>
      <c r="AA8">
        <f>Data!AH72</f>
        <v>0</v>
      </c>
      <c r="AB8">
        <f>Data!AI72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B8"/>
  <sheetViews>
    <sheetView workbookViewId="0">
      <selection activeCell="Z23" sqref="Z23"/>
    </sheetView>
  </sheetViews>
  <sheetFormatPr defaultColWidth="9.140625" defaultRowHeight="15" x14ac:dyDescent="0.25"/>
  <cols>
    <col min="1" max="1" width="24.42578125" customWidth="1"/>
  </cols>
  <sheetData>
    <row r="1" spans="1:28" ht="45" customHeight="1" x14ac:dyDescent="0.25">
      <c r="A1" s="19" t="s">
        <v>75</v>
      </c>
      <c r="B1">
        <f>Data!I9</f>
        <v>2024</v>
      </c>
      <c r="C1">
        <f>Data!J9</f>
        <v>2025</v>
      </c>
      <c r="D1">
        <f>Data!K9</f>
        <v>2026</v>
      </c>
      <c r="E1">
        <f>Data!L9</f>
        <v>2027</v>
      </c>
      <c r="F1">
        <f>Data!M9</f>
        <v>2028</v>
      </c>
      <c r="G1">
        <f>Data!N9</f>
        <v>2029</v>
      </c>
      <c r="H1">
        <f>Data!O9</f>
        <v>2030</v>
      </c>
      <c r="I1">
        <f>Data!P9</f>
        <v>2031</v>
      </c>
      <c r="J1">
        <f>Data!Q9</f>
        <v>2032</v>
      </c>
      <c r="K1">
        <f>Data!R9</f>
        <v>2033</v>
      </c>
      <c r="L1">
        <f>Data!S9</f>
        <v>2034</v>
      </c>
      <c r="M1">
        <f>Data!T9</f>
        <v>2035</v>
      </c>
      <c r="N1">
        <f>Data!U9</f>
        <v>2036</v>
      </c>
      <c r="O1">
        <f>Data!V9</f>
        <v>2037</v>
      </c>
      <c r="P1">
        <f>Data!W9</f>
        <v>2038</v>
      </c>
      <c r="Q1">
        <f>Data!X9</f>
        <v>2039</v>
      </c>
      <c r="R1">
        <f>Data!Y9</f>
        <v>2040</v>
      </c>
      <c r="S1">
        <f>Data!Z9</f>
        <v>2041</v>
      </c>
      <c r="T1">
        <f>Data!AA9</f>
        <v>2042</v>
      </c>
      <c r="U1">
        <f>Data!AB9</f>
        <v>2043</v>
      </c>
      <c r="V1">
        <f>Data!AC9</f>
        <v>2044</v>
      </c>
      <c r="W1">
        <f>Data!AD9</f>
        <v>2045</v>
      </c>
      <c r="X1">
        <f>Data!AE9</f>
        <v>2046</v>
      </c>
      <c r="Y1">
        <f>Data!AF9</f>
        <v>2047</v>
      </c>
      <c r="Z1">
        <f>Data!AG9</f>
        <v>2048</v>
      </c>
      <c r="AA1">
        <f>Data!AH9</f>
        <v>2049</v>
      </c>
      <c r="AB1">
        <f>Data!AI9</f>
        <v>2050</v>
      </c>
    </row>
    <row r="2" spans="1:28" x14ac:dyDescent="0.25">
      <c r="A2" t="s">
        <v>37</v>
      </c>
      <c r="B2">
        <f>Data!I73</f>
        <v>0</v>
      </c>
      <c r="C2">
        <f>Data!J73</f>
        <v>0</v>
      </c>
      <c r="D2">
        <f>Data!K73</f>
        <v>0</v>
      </c>
      <c r="E2">
        <f>Data!L73</f>
        <v>0</v>
      </c>
      <c r="F2">
        <f>Data!M73</f>
        <v>0</v>
      </c>
      <c r="G2">
        <f>Data!N73</f>
        <v>0</v>
      </c>
      <c r="H2">
        <f>Data!O73</f>
        <v>0</v>
      </c>
      <c r="I2">
        <f>Data!P73</f>
        <v>0</v>
      </c>
      <c r="J2">
        <f>Data!Q73</f>
        <v>0</v>
      </c>
      <c r="K2">
        <f>Data!R73</f>
        <v>0</v>
      </c>
      <c r="L2">
        <f>Data!S73</f>
        <v>0</v>
      </c>
      <c r="M2">
        <f>Data!T73</f>
        <v>0</v>
      </c>
      <c r="N2">
        <f>Data!U73</f>
        <v>0</v>
      </c>
      <c r="O2">
        <f>Data!V73</f>
        <v>0</v>
      </c>
      <c r="P2">
        <f>Data!W73</f>
        <v>0</v>
      </c>
      <c r="Q2">
        <f>Data!X73</f>
        <v>0</v>
      </c>
      <c r="R2">
        <f>Data!Y73</f>
        <v>0</v>
      </c>
      <c r="S2">
        <f>Data!Z73</f>
        <v>0</v>
      </c>
      <c r="T2">
        <f>Data!AA73</f>
        <v>0</v>
      </c>
      <c r="U2">
        <f>Data!AB73</f>
        <v>0</v>
      </c>
      <c r="V2">
        <f>Data!AC73</f>
        <v>0</v>
      </c>
      <c r="W2">
        <f>Data!AD73</f>
        <v>0</v>
      </c>
      <c r="X2">
        <f>Data!AE73</f>
        <v>0</v>
      </c>
      <c r="Y2">
        <f>Data!AF73</f>
        <v>0</v>
      </c>
      <c r="Z2">
        <f>Data!AG73</f>
        <v>0</v>
      </c>
      <c r="AA2">
        <f>Data!AH73</f>
        <v>0</v>
      </c>
      <c r="AB2">
        <f>Data!AI73</f>
        <v>0</v>
      </c>
    </row>
    <row r="3" spans="1:28" x14ac:dyDescent="0.25">
      <c r="A3" t="s">
        <v>38</v>
      </c>
      <c r="B3">
        <f>Data!I74</f>
        <v>0</v>
      </c>
      <c r="C3">
        <f>Data!J74</f>
        <v>0</v>
      </c>
      <c r="D3">
        <f>Data!K74</f>
        <v>0</v>
      </c>
      <c r="E3">
        <f>Data!L74</f>
        <v>0</v>
      </c>
      <c r="F3">
        <f>Data!M74</f>
        <v>0</v>
      </c>
      <c r="G3">
        <f>Data!N74</f>
        <v>0</v>
      </c>
      <c r="H3">
        <f>Data!O74</f>
        <v>0</v>
      </c>
      <c r="I3">
        <f>Data!P74</f>
        <v>0</v>
      </c>
      <c r="J3">
        <f>Data!Q74</f>
        <v>0</v>
      </c>
      <c r="K3">
        <f>Data!R74</f>
        <v>0</v>
      </c>
      <c r="L3">
        <f>Data!S74</f>
        <v>0</v>
      </c>
      <c r="M3">
        <f>Data!T74</f>
        <v>0</v>
      </c>
      <c r="N3">
        <f>Data!U74</f>
        <v>0</v>
      </c>
      <c r="O3">
        <f>Data!V74</f>
        <v>0</v>
      </c>
      <c r="P3">
        <f>Data!W74</f>
        <v>0</v>
      </c>
      <c r="Q3">
        <f>Data!X74</f>
        <v>0</v>
      </c>
      <c r="R3">
        <f>Data!Y74</f>
        <v>0</v>
      </c>
      <c r="S3">
        <f>Data!Z74</f>
        <v>0</v>
      </c>
      <c r="T3">
        <f>Data!AA74</f>
        <v>0</v>
      </c>
      <c r="U3">
        <f>Data!AB74</f>
        <v>0</v>
      </c>
      <c r="V3">
        <f>Data!AC74</f>
        <v>0</v>
      </c>
      <c r="W3">
        <f>Data!AD74</f>
        <v>0</v>
      </c>
      <c r="X3">
        <f>Data!AE74</f>
        <v>0</v>
      </c>
      <c r="Y3">
        <f>Data!AF74</f>
        <v>0</v>
      </c>
      <c r="Z3">
        <f>Data!AG74</f>
        <v>0</v>
      </c>
      <c r="AA3">
        <f>Data!AH74</f>
        <v>0</v>
      </c>
      <c r="AB3">
        <f>Data!AI74</f>
        <v>0</v>
      </c>
    </row>
    <row r="4" spans="1:28" x14ac:dyDescent="0.25">
      <c r="A4" t="s">
        <v>39</v>
      </c>
      <c r="B4">
        <f>Data!I75</f>
        <v>0</v>
      </c>
      <c r="C4">
        <f>Data!J75</f>
        <v>0</v>
      </c>
      <c r="D4">
        <f>Data!K75</f>
        <v>0</v>
      </c>
      <c r="E4">
        <f>Data!L75</f>
        <v>0</v>
      </c>
      <c r="F4">
        <f>Data!M75</f>
        <v>0</v>
      </c>
      <c r="G4">
        <f>Data!N75</f>
        <v>0</v>
      </c>
      <c r="H4">
        <f>Data!O75</f>
        <v>0</v>
      </c>
      <c r="I4">
        <f>Data!P75</f>
        <v>0</v>
      </c>
      <c r="J4">
        <f>Data!Q75</f>
        <v>0</v>
      </c>
      <c r="K4">
        <f>Data!R75</f>
        <v>0</v>
      </c>
      <c r="L4">
        <f>Data!S75</f>
        <v>0</v>
      </c>
      <c r="M4">
        <f>Data!T75</f>
        <v>0</v>
      </c>
      <c r="N4">
        <f>Data!U75</f>
        <v>0</v>
      </c>
      <c r="O4">
        <f>Data!V75</f>
        <v>0</v>
      </c>
      <c r="P4">
        <f>Data!W75</f>
        <v>0</v>
      </c>
      <c r="Q4">
        <f>Data!X75</f>
        <v>0</v>
      </c>
      <c r="R4">
        <f>Data!Y75</f>
        <v>0</v>
      </c>
      <c r="S4">
        <f>Data!Z75</f>
        <v>0</v>
      </c>
      <c r="T4">
        <f>Data!AA75</f>
        <v>0</v>
      </c>
      <c r="U4">
        <f>Data!AB75</f>
        <v>0</v>
      </c>
      <c r="V4">
        <f>Data!AC75</f>
        <v>0</v>
      </c>
      <c r="W4">
        <f>Data!AD75</f>
        <v>0</v>
      </c>
      <c r="X4">
        <f>Data!AE75</f>
        <v>0</v>
      </c>
      <c r="Y4">
        <f>Data!AF75</f>
        <v>0</v>
      </c>
      <c r="Z4">
        <f>Data!AG75</f>
        <v>0</v>
      </c>
      <c r="AA4">
        <f>Data!AH75</f>
        <v>0</v>
      </c>
      <c r="AB4">
        <f>Data!AI75</f>
        <v>0</v>
      </c>
    </row>
    <row r="5" spans="1:28" x14ac:dyDescent="0.25">
      <c r="A5" t="s">
        <v>40</v>
      </c>
      <c r="B5">
        <f>Data!I76</f>
        <v>1</v>
      </c>
      <c r="C5">
        <f>Data!J76</f>
        <v>1</v>
      </c>
      <c r="D5">
        <f>Data!K76</f>
        <v>1</v>
      </c>
      <c r="E5">
        <f>Data!L76</f>
        <v>1</v>
      </c>
      <c r="F5">
        <f>Data!M76</f>
        <v>1</v>
      </c>
      <c r="G5">
        <f>Data!N76</f>
        <v>1</v>
      </c>
      <c r="H5">
        <f>Data!O76</f>
        <v>1</v>
      </c>
      <c r="I5">
        <f>Data!P76</f>
        <v>1</v>
      </c>
      <c r="J5">
        <f>Data!Q76</f>
        <v>1</v>
      </c>
      <c r="K5">
        <f>Data!R76</f>
        <v>1</v>
      </c>
      <c r="L5">
        <f>Data!S76</f>
        <v>1</v>
      </c>
      <c r="M5">
        <f>Data!T76</f>
        <v>1</v>
      </c>
      <c r="N5">
        <f>Data!U76</f>
        <v>1</v>
      </c>
      <c r="O5">
        <f>Data!V76</f>
        <v>1</v>
      </c>
      <c r="P5">
        <f>Data!W76</f>
        <v>1</v>
      </c>
      <c r="Q5">
        <f>Data!X76</f>
        <v>1</v>
      </c>
      <c r="R5">
        <f>Data!Y76</f>
        <v>1</v>
      </c>
      <c r="S5">
        <f>Data!Z76</f>
        <v>1</v>
      </c>
      <c r="T5">
        <f>Data!AA76</f>
        <v>1</v>
      </c>
      <c r="U5">
        <f>Data!AB76</f>
        <v>1</v>
      </c>
      <c r="V5">
        <f>Data!AC76</f>
        <v>1</v>
      </c>
      <c r="W5">
        <f>Data!AD76</f>
        <v>1</v>
      </c>
      <c r="X5">
        <f>Data!AE76</f>
        <v>1</v>
      </c>
      <c r="Y5">
        <f>Data!AF76</f>
        <v>1</v>
      </c>
      <c r="Z5">
        <f>Data!AG76</f>
        <v>1</v>
      </c>
      <c r="AA5">
        <f>Data!AH76</f>
        <v>1</v>
      </c>
      <c r="AB5">
        <f>Data!AI76</f>
        <v>1</v>
      </c>
    </row>
    <row r="6" spans="1:28" x14ac:dyDescent="0.25">
      <c r="A6" t="s">
        <v>41</v>
      </c>
      <c r="B6">
        <f>Data!I77</f>
        <v>0</v>
      </c>
      <c r="C6">
        <f>Data!J77</f>
        <v>0</v>
      </c>
      <c r="D6">
        <f>Data!K77</f>
        <v>0</v>
      </c>
      <c r="E6">
        <f>Data!L77</f>
        <v>0</v>
      </c>
      <c r="F6">
        <f>Data!M77</f>
        <v>0</v>
      </c>
      <c r="G6">
        <f>Data!N77</f>
        <v>0</v>
      </c>
      <c r="H6">
        <f>Data!O77</f>
        <v>0</v>
      </c>
      <c r="I6">
        <f>Data!P77</f>
        <v>0</v>
      </c>
      <c r="J6">
        <f>Data!Q77</f>
        <v>0</v>
      </c>
      <c r="K6">
        <f>Data!R77</f>
        <v>0</v>
      </c>
      <c r="L6">
        <f>Data!S77</f>
        <v>0</v>
      </c>
      <c r="M6">
        <f>Data!T77</f>
        <v>0</v>
      </c>
      <c r="N6">
        <f>Data!U77</f>
        <v>0</v>
      </c>
      <c r="O6">
        <f>Data!V77</f>
        <v>0</v>
      </c>
      <c r="P6">
        <f>Data!W77</f>
        <v>0</v>
      </c>
      <c r="Q6">
        <f>Data!X77</f>
        <v>0</v>
      </c>
      <c r="R6">
        <f>Data!Y77</f>
        <v>0</v>
      </c>
      <c r="S6">
        <f>Data!Z77</f>
        <v>0</v>
      </c>
      <c r="T6">
        <f>Data!AA77</f>
        <v>0</v>
      </c>
      <c r="U6">
        <f>Data!AB77</f>
        <v>0</v>
      </c>
      <c r="V6">
        <f>Data!AC77</f>
        <v>0</v>
      </c>
      <c r="W6">
        <f>Data!AD77</f>
        <v>0</v>
      </c>
      <c r="X6">
        <f>Data!AE77</f>
        <v>0</v>
      </c>
      <c r="Y6">
        <f>Data!AF77</f>
        <v>0</v>
      </c>
      <c r="Z6">
        <f>Data!AG77</f>
        <v>0</v>
      </c>
      <c r="AA6">
        <f>Data!AH77</f>
        <v>0</v>
      </c>
      <c r="AB6">
        <f>Data!AI77</f>
        <v>0</v>
      </c>
    </row>
    <row r="7" spans="1:28" x14ac:dyDescent="0.25">
      <c r="A7" t="s">
        <v>42</v>
      </c>
      <c r="B7">
        <f>Data!I78</f>
        <v>0</v>
      </c>
      <c r="C7">
        <f>Data!J78</f>
        <v>0</v>
      </c>
      <c r="D7">
        <f>Data!K78</f>
        <v>0</v>
      </c>
      <c r="E7">
        <f>Data!L78</f>
        <v>0</v>
      </c>
      <c r="F7">
        <f>Data!M78</f>
        <v>0</v>
      </c>
      <c r="G7">
        <f>Data!N78</f>
        <v>0</v>
      </c>
      <c r="H7">
        <f>Data!O78</f>
        <v>0</v>
      </c>
      <c r="I7">
        <f>Data!P78</f>
        <v>0</v>
      </c>
      <c r="J7">
        <f>Data!Q78</f>
        <v>0</v>
      </c>
      <c r="K7">
        <f>Data!R78</f>
        <v>0</v>
      </c>
      <c r="L7">
        <f>Data!S78</f>
        <v>0</v>
      </c>
      <c r="M7">
        <f>Data!T78</f>
        <v>0</v>
      </c>
      <c r="N7">
        <f>Data!U78</f>
        <v>0</v>
      </c>
      <c r="O7">
        <f>Data!V78</f>
        <v>0</v>
      </c>
      <c r="P7">
        <f>Data!W78</f>
        <v>0</v>
      </c>
      <c r="Q7">
        <f>Data!X78</f>
        <v>0</v>
      </c>
      <c r="R7">
        <f>Data!Y78</f>
        <v>0</v>
      </c>
      <c r="S7">
        <f>Data!Z78</f>
        <v>0</v>
      </c>
      <c r="T7">
        <f>Data!AA78</f>
        <v>0</v>
      </c>
      <c r="U7">
        <f>Data!AB78</f>
        <v>0</v>
      </c>
      <c r="V7">
        <f>Data!AC78</f>
        <v>0</v>
      </c>
      <c r="W7">
        <f>Data!AD78</f>
        <v>0</v>
      </c>
      <c r="X7">
        <f>Data!AE78</f>
        <v>0</v>
      </c>
      <c r="Y7">
        <f>Data!AF78</f>
        <v>0</v>
      </c>
      <c r="Z7">
        <f>Data!AG78</f>
        <v>0</v>
      </c>
      <c r="AA7">
        <f>Data!AH78</f>
        <v>0</v>
      </c>
      <c r="AB7">
        <f>Data!AI78</f>
        <v>0</v>
      </c>
    </row>
    <row r="8" spans="1:28" x14ac:dyDescent="0.25">
      <c r="A8" t="s">
        <v>43</v>
      </c>
      <c r="B8">
        <f>Data!I79</f>
        <v>0</v>
      </c>
      <c r="C8">
        <f>Data!J79</f>
        <v>0</v>
      </c>
      <c r="D8">
        <f>Data!K79</f>
        <v>0</v>
      </c>
      <c r="E8">
        <f>Data!L79</f>
        <v>0</v>
      </c>
      <c r="F8">
        <f>Data!M79</f>
        <v>0</v>
      </c>
      <c r="G8">
        <f>Data!N79</f>
        <v>0</v>
      </c>
      <c r="H8">
        <f>Data!O79</f>
        <v>0</v>
      </c>
      <c r="I8">
        <f>Data!P79</f>
        <v>0</v>
      </c>
      <c r="J8">
        <f>Data!Q79</f>
        <v>0</v>
      </c>
      <c r="K8">
        <f>Data!R79</f>
        <v>0</v>
      </c>
      <c r="L8">
        <f>Data!S79</f>
        <v>0</v>
      </c>
      <c r="M8">
        <f>Data!T79</f>
        <v>0</v>
      </c>
      <c r="N8">
        <f>Data!U79</f>
        <v>0</v>
      </c>
      <c r="O8">
        <f>Data!V79</f>
        <v>0</v>
      </c>
      <c r="P8">
        <f>Data!W79</f>
        <v>0</v>
      </c>
      <c r="Q8">
        <f>Data!X79</f>
        <v>0</v>
      </c>
      <c r="R8">
        <f>Data!Y79</f>
        <v>0</v>
      </c>
      <c r="S8">
        <f>Data!Z79</f>
        <v>0</v>
      </c>
      <c r="T8">
        <f>Data!AA79</f>
        <v>0</v>
      </c>
      <c r="U8">
        <f>Data!AB79</f>
        <v>0</v>
      </c>
      <c r="V8">
        <f>Data!AC79</f>
        <v>0</v>
      </c>
      <c r="W8">
        <f>Data!AD79</f>
        <v>0</v>
      </c>
      <c r="X8">
        <f>Data!AE79</f>
        <v>0</v>
      </c>
      <c r="Y8">
        <f>Data!AF79</f>
        <v>0</v>
      </c>
      <c r="Z8">
        <f>Data!AG79</f>
        <v>0</v>
      </c>
      <c r="AA8">
        <f>Data!AH79</f>
        <v>0</v>
      </c>
      <c r="AB8">
        <f>Data!AI79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B8"/>
  <sheetViews>
    <sheetView workbookViewId="0">
      <selection activeCell="Z23" sqref="Z23"/>
    </sheetView>
  </sheetViews>
  <sheetFormatPr defaultColWidth="9.140625" defaultRowHeight="15" x14ac:dyDescent="0.25"/>
  <cols>
    <col min="1" max="1" width="24.42578125" customWidth="1"/>
  </cols>
  <sheetData>
    <row r="1" spans="1:28" ht="45" customHeight="1" x14ac:dyDescent="0.25">
      <c r="A1" s="19" t="s">
        <v>75</v>
      </c>
      <c r="B1">
        <f>Data!I9</f>
        <v>2024</v>
      </c>
      <c r="C1">
        <f>Data!J9</f>
        <v>2025</v>
      </c>
      <c r="D1">
        <f>Data!K9</f>
        <v>2026</v>
      </c>
      <c r="E1">
        <f>Data!L9</f>
        <v>2027</v>
      </c>
      <c r="F1">
        <f>Data!M9</f>
        <v>2028</v>
      </c>
      <c r="G1">
        <f>Data!N9</f>
        <v>2029</v>
      </c>
      <c r="H1">
        <f>Data!O9</f>
        <v>2030</v>
      </c>
      <c r="I1">
        <f>Data!P9</f>
        <v>2031</v>
      </c>
      <c r="J1">
        <f>Data!Q9</f>
        <v>2032</v>
      </c>
      <c r="K1">
        <f>Data!R9</f>
        <v>2033</v>
      </c>
      <c r="L1">
        <f>Data!S9</f>
        <v>2034</v>
      </c>
      <c r="M1">
        <f>Data!T9</f>
        <v>2035</v>
      </c>
      <c r="N1">
        <f>Data!U9</f>
        <v>2036</v>
      </c>
      <c r="O1">
        <f>Data!V9</f>
        <v>2037</v>
      </c>
      <c r="P1">
        <f>Data!W9</f>
        <v>2038</v>
      </c>
      <c r="Q1">
        <f>Data!X9</f>
        <v>2039</v>
      </c>
      <c r="R1">
        <f>Data!Y9</f>
        <v>2040</v>
      </c>
      <c r="S1">
        <f>Data!Z9</f>
        <v>2041</v>
      </c>
      <c r="T1">
        <f>Data!AA9</f>
        <v>2042</v>
      </c>
      <c r="U1">
        <f>Data!AB9</f>
        <v>2043</v>
      </c>
      <c r="V1">
        <f>Data!AC9</f>
        <v>2044</v>
      </c>
      <c r="W1">
        <f>Data!AD9</f>
        <v>2045</v>
      </c>
      <c r="X1">
        <f>Data!AE9</f>
        <v>2046</v>
      </c>
      <c r="Y1">
        <f>Data!AF9</f>
        <v>2047</v>
      </c>
      <c r="Z1">
        <f>Data!AG9</f>
        <v>2048</v>
      </c>
      <c r="AA1">
        <f>Data!AH9</f>
        <v>2049</v>
      </c>
      <c r="AB1">
        <f>Data!AI9</f>
        <v>2050</v>
      </c>
    </row>
    <row r="2" spans="1:28" x14ac:dyDescent="0.25">
      <c r="A2" t="s">
        <v>37</v>
      </c>
      <c r="B2">
        <f>Data!I80</f>
        <v>0.148288948</v>
      </c>
      <c r="C2">
        <f>Data!J80</f>
        <v>0.20192405133527508</v>
      </c>
      <c r="D2">
        <f>Data!K80</f>
        <v>0.21912805282851533</v>
      </c>
      <c r="E2">
        <f>Data!L80</f>
        <v>0.24120791635037137</v>
      </c>
      <c r="F2">
        <f>Data!M80</f>
        <v>0.26910506771371479</v>
      </c>
      <c r="G2">
        <f>Data!N80</f>
        <v>0.30366278279276282</v>
      </c>
      <c r="H2">
        <f>Data!O80</f>
        <v>0.34543894815797949</v>
      </c>
      <c r="I2">
        <f>Data!P80</f>
        <v>0.39447645120038111</v>
      </c>
      <c r="J2">
        <f>Data!Q80</f>
        <v>0.45008738819399363</v>
      </c>
      <c r="K2">
        <f>Data!R80</f>
        <v>0.51074095969281419</v>
      </c>
      <c r="L2">
        <f>Data!S80</f>
        <v>0.57414447400000002</v>
      </c>
      <c r="M2">
        <f>Data!T80</f>
        <v>0.63754798830718573</v>
      </c>
      <c r="N2">
        <f>Data!U80</f>
        <v>0.6982015598060064</v>
      </c>
      <c r="O2">
        <f>Data!V80</f>
        <v>0.75381249679961881</v>
      </c>
      <c r="P2">
        <f>Data!W80</f>
        <v>0.80284999984202055</v>
      </c>
      <c r="Q2">
        <f>Data!X80</f>
        <v>0.84462616520723721</v>
      </c>
      <c r="R2">
        <f>Data!Y80</f>
        <v>0.87918388028628536</v>
      </c>
      <c r="S2">
        <f>Data!Z80</f>
        <v>0.90708103164962861</v>
      </c>
      <c r="T2">
        <f>Data!AA80</f>
        <v>0.9291608951714847</v>
      </c>
      <c r="U2">
        <f>Data!AB80</f>
        <v>0.94636489666472501</v>
      </c>
      <c r="V2">
        <f>Data!AC80</f>
        <v>0.95960685966391612</v>
      </c>
      <c r="W2">
        <f>Data!AD80</f>
        <v>0.96970362496371199</v>
      </c>
      <c r="X2">
        <f>Data!AE80</f>
        <v>0.97734704662061023</v>
      </c>
      <c r="Y2">
        <f>Data!AF80</f>
        <v>0.9831017923312273</v>
      </c>
      <c r="Z2">
        <f>Data!AG80</f>
        <v>0.98741679392424109</v>
      </c>
      <c r="AA2">
        <f>Data!AH80</f>
        <v>0.99064229953383387</v>
      </c>
      <c r="AB2">
        <f>Data!AI80</f>
        <v>0.99304784793611733</v>
      </c>
    </row>
    <row r="3" spans="1:28" x14ac:dyDescent="0.25">
      <c r="A3" t="s">
        <v>38</v>
      </c>
      <c r="B3">
        <f>Data!I81</f>
        <v>1.0097E-4</v>
      </c>
      <c r="C3">
        <f>Data!J81</f>
        <v>1.0097E-4</v>
      </c>
      <c r="D3">
        <f>Data!K81</f>
        <v>1.0097E-4</v>
      </c>
      <c r="E3">
        <f>Data!L81</f>
        <v>1.0097E-4</v>
      </c>
      <c r="F3">
        <f>Data!M81</f>
        <v>1.0097E-4</v>
      </c>
      <c r="G3">
        <f>Data!N81</f>
        <v>1.0097E-4</v>
      </c>
      <c r="H3">
        <f>Data!O81</f>
        <v>1.0097E-4</v>
      </c>
      <c r="I3">
        <f>Data!P81</f>
        <v>1.0097E-4</v>
      </c>
      <c r="J3">
        <f>Data!Q81</f>
        <v>1.0097E-4</v>
      </c>
      <c r="K3">
        <f>Data!R81</f>
        <v>1.0097E-4</v>
      </c>
      <c r="L3">
        <f>Data!S81</f>
        <v>1.0097E-4</v>
      </c>
      <c r="M3">
        <f>Data!T81</f>
        <v>1.0097E-4</v>
      </c>
      <c r="N3">
        <f>Data!U81</f>
        <v>1.0097E-4</v>
      </c>
      <c r="O3">
        <f>Data!V81</f>
        <v>1.0097E-4</v>
      </c>
      <c r="P3">
        <f>Data!W81</f>
        <v>1.0097E-4</v>
      </c>
      <c r="Q3">
        <f>Data!X81</f>
        <v>1.0097E-4</v>
      </c>
      <c r="R3">
        <f>Data!Y81</f>
        <v>1.0097E-4</v>
      </c>
      <c r="S3">
        <f>Data!Z81</f>
        <v>1.0097E-4</v>
      </c>
      <c r="T3">
        <f>Data!AA81</f>
        <v>1.0097E-4</v>
      </c>
      <c r="U3">
        <f>Data!AB81</f>
        <v>1.0097E-4</v>
      </c>
      <c r="V3">
        <f>Data!AC81</f>
        <v>1.0097E-4</v>
      </c>
      <c r="W3">
        <f>Data!AD81</f>
        <v>1.0097E-4</v>
      </c>
      <c r="X3">
        <f>Data!AE81</f>
        <v>1.0097E-4</v>
      </c>
      <c r="Y3">
        <f>Data!AF81</f>
        <v>1.0097E-4</v>
      </c>
      <c r="Z3">
        <f>Data!AG81</f>
        <v>1.0097E-4</v>
      </c>
      <c r="AA3">
        <f>Data!AH81</f>
        <v>1.0097E-4</v>
      </c>
      <c r="AB3">
        <f>Data!AI81</f>
        <v>1.0097E-4</v>
      </c>
    </row>
    <row r="4" spans="1:28" x14ac:dyDescent="0.25">
      <c r="A4" t="s">
        <v>39</v>
      </c>
      <c r="B4">
        <f>Data!I82</f>
        <v>1</v>
      </c>
      <c r="C4">
        <f>Data!J82</f>
        <v>1</v>
      </c>
      <c r="D4">
        <f>Data!K82</f>
        <v>1</v>
      </c>
      <c r="E4">
        <f>Data!L82</f>
        <v>1</v>
      </c>
      <c r="F4">
        <f>Data!M82</f>
        <v>1</v>
      </c>
      <c r="G4">
        <f>Data!N82</f>
        <v>1</v>
      </c>
      <c r="H4">
        <f>Data!O82</f>
        <v>1</v>
      </c>
      <c r="I4">
        <f>Data!P82</f>
        <v>1</v>
      </c>
      <c r="J4">
        <f>Data!Q82</f>
        <v>1</v>
      </c>
      <c r="K4">
        <f>Data!R82</f>
        <v>1</v>
      </c>
      <c r="L4">
        <f>Data!S82</f>
        <v>1</v>
      </c>
      <c r="M4">
        <f>Data!T82</f>
        <v>1</v>
      </c>
      <c r="N4">
        <f>Data!U82</f>
        <v>1</v>
      </c>
      <c r="O4">
        <f>Data!V82</f>
        <v>1</v>
      </c>
      <c r="P4">
        <f>Data!W82</f>
        <v>1</v>
      </c>
      <c r="Q4">
        <f>Data!X82</f>
        <v>1</v>
      </c>
      <c r="R4">
        <f>Data!Y82</f>
        <v>1</v>
      </c>
      <c r="S4">
        <f>Data!Z82</f>
        <v>1</v>
      </c>
      <c r="T4">
        <f>Data!AA82</f>
        <v>1</v>
      </c>
      <c r="U4">
        <f>Data!AB82</f>
        <v>1</v>
      </c>
      <c r="V4">
        <f>Data!AC82</f>
        <v>1</v>
      </c>
      <c r="W4">
        <f>Data!AD82</f>
        <v>1</v>
      </c>
      <c r="X4">
        <f>Data!AE82</f>
        <v>1</v>
      </c>
      <c r="Y4">
        <f>Data!AF82</f>
        <v>1</v>
      </c>
      <c r="Z4">
        <f>Data!AG82</f>
        <v>1</v>
      </c>
      <c r="AA4">
        <f>Data!AH82</f>
        <v>1</v>
      </c>
      <c r="AB4">
        <f>Data!AI82</f>
        <v>1</v>
      </c>
    </row>
    <row r="5" spans="1:28" x14ac:dyDescent="0.25">
      <c r="A5" t="s">
        <v>40</v>
      </c>
      <c r="B5">
        <f>Data!I83</f>
        <v>6.7382960000000006E-2</v>
      </c>
      <c r="C5">
        <f>Data!J83</f>
        <v>6.7382960000000006E-2</v>
      </c>
      <c r="D5">
        <f>Data!K83</f>
        <v>6.7382960000000006E-2</v>
      </c>
      <c r="E5">
        <f>Data!L83</f>
        <v>6.7382960000000006E-2</v>
      </c>
      <c r="F5">
        <f>Data!M83</f>
        <v>6.7382960000000006E-2</v>
      </c>
      <c r="G5">
        <f>Data!N83</f>
        <v>6.7382960000000006E-2</v>
      </c>
      <c r="H5">
        <f>Data!O83</f>
        <v>6.7382960000000006E-2</v>
      </c>
      <c r="I5">
        <f>Data!P83</f>
        <v>6.7382960000000006E-2</v>
      </c>
      <c r="J5">
        <f>Data!Q83</f>
        <v>6.7382960000000006E-2</v>
      </c>
      <c r="K5">
        <f>Data!R83</f>
        <v>6.7382960000000006E-2</v>
      </c>
      <c r="L5">
        <f>Data!S83</f>
        <v>6.7382960000000006E-2</v>
      </c>
      <c r="M5">
        <f>Data!T83</f>
        <v>6.7382960000000006E-2</v>
      </c>
      <c r="N5">
        <f>Data!U83</f>
        <v>6.7382960000000006E-2</v>
      </c>
      <c r="O5">
        <f>Data!V83</f>
        <v>6.7382960000000006E-2</v>
      </c>
      <c r="P5">
        <f>Data!W83</f>
        <v>6.7382960000000006E-2</v>
      </c>
      <c r="Q5">
        <f>Data!X83</f>
        <v>6.7382960000000006E-2</v>
      </c>
      <c r="R5">
        <f>Data!Y83</f>
        <v>6.7382960000000006E-2</v>
      </c>
      <c r="S5">
        <f>Data!Z83</f>
        <v>6.7382960000000006E-2</v>
      </c>
      <c r="T5">
        <f>Data!AA83</f>
        <v>6.7382960000000006E-2</v>
      </c>
      <c r="U5">
        <f>Data!AB83</f>
        <v>6.7382960000000006E-2</v>
      </c>
      <c r="V5">
        <f>Data!AC83</f>
        <v>6.7382960000000006E-2</v>
      </c>
      <c r="W5">
        <f>Data!AD83</f>
        <v>6.7382960000000006E-2</v>
      </c>
      <c r="X5">
        <f>Data!AE83</f>
        <v>6.7382960000000006E-2</v>
      </c>
      <c r="Y5">
        <f>Data!AF83</f>
        <v>6.7382960000000006E-2</v>
      </c>
      <c r="Z5">
        <f>Data!AG83</f>
        <v>6.7382960000000006E-2</v>
      </c>
      <c r="AA5">
        <f>Data!AH83</f>
        <v>6.7382960000000006E-2</v>
      </c>
      <c r="AB5">
        <f>Data!AI83</f>
        <v>6.7382960000000006E-2</v>
      </c>
    </row>
    <row r="6" spans="1:28" x14ac:dyDescent="0.25">
      <c r="A6" t="s">
        <v>41</v>
      </c>
      <c r="B6">
        <f>Data!I84</f>
        <v>1.4073499E-2</v>
      </c>
      <c r="C6">
        <f>Data!J84</f>
        <v>1.5378299625391417E-2</v>
      </c>
      <c r="D6">
        <f>Data!K84</f>
        <v>1.5825738596288972E-2</v>
      </c>
      <c r="E6">
        <f>Data!L84</f>
        <v>1.6422470125358253E-2</v>
      </c>
      <c r="F6">
        <f>Data!M84</f>
        <v>1.7215045665964251E-2</v>
      </c>
      <c r="G6">
        <f>Data!N84</f>
        <v>1.8262017764989459E-2</v>
      </c>
      <c r="H6">
        <f>Data!O84</f>
        <v>1.9635127408011214E-2</v>
      </c>
      <c r="I6">
        <f>Data!P84</f>
        <v>2.1419075932136523E-2</v>
      </c>
      <c r="J6">
        <f>Data!Q84</f>
        <v>2.370862118462793E-2</v>
      </c>
      <c r="K6">
        <f>Data!R84</f>
        <v>2.6601383198249652E-2</v>
      </c>
      <c r="L6">
        <f>Data!S84</f>
        <v>3.0184804464321601E-2</v>
      </c>
      <c r="M6">
        <f>Data!T84</f>
        <v>3.4516734368895005E-2</v>
      </c>
      <c r="N6">
        <f>Data!U84</f>
        <v>3.9601620069100008E-2</v>
      </c>
      <c r="O6">
        <f>Data!V84</f>
        <v>4.5368130204196222E-2</v>
      </c>
      <c r="P6">
        <f>Data!W84</f>
        <v>5.1657530341761002E-2</v>
      </c>
      <c r="Q6">
        <f>Data!X84</f>
        <v>5.8232082536324822E-2</v>
      </c>
      <c r="R6">
        <f>Data!Y84</f>
        <v>6.4806634730888643E-2</v>
      </c>
      <c r="S6">
        <f>Data!Z84</f>
        <v>7.1096034868453423E-2</v>
      </c>
      <c r="T6">
        <f>Data!AA84</f>
        <v>7.6862545003549651E-2</v>
      </c>
      <c r="U6">
        <f>Data!AB84</f>
        <v>8.194743070375464E-2</v>
      </c>
      <c r="V6">
        <f>Data!AC84</f>
        <v>8.6279360608328054E-2</v>
      </c>
      <c r="W6">
        <f>Data!AD84</f>
        <v>8.9862781874400013E-2</v>
      </c>
      <c r="X6">
        <f>Data!AE84</f>
        <v>9.2755543888021721E-2</v>
      </c>
      <c r="Y6">
        <f>Data!AF84</f>
        <v>9.5045089140513128E-2</v>
      </c>
      <c r="Z6">
        <f>Data!AG84</f>
        <v>9.6829037664638448E-2</v>
      </c>
      <c r="AA6">
        <f>Data!AH84</f>
        <v>9.8202147307660206E-2</v>
      </c>
      <c r="AB6">
        <f>Data!AI84</f>
        <v>9.9249119406685404E-2</v>
      </c>
    </row>
    <row r="7" spans="1:28" x14ac:dyDescent="0.25">
      <c r="A7" t="s">
        <v>42</v>
      </c>
      <c r="B7">
        <f>Data!I85</f>
        <v>0</v>
      </c>
      <c r="C7">
        <f>Data!J85</f>
        <v>0</v>
      </c>
      <c r="D7">
        <f>Data!K85</f>
        <v>0</v>
      </c>
      <c r="E7">
        <f>Data!L85</f>
        <v>0</v>
      </c>
      <c r="F7">
        <f>Data!M85</f>
        <v>0</v>
      </c>
      <c r="G7">
        <f>Data!N85</f>
        <v>0</v>
      </c>
      <c r="H7">
        <f>Data!O85</f>
        <v>0</v>
      </c>
      <c r="I7">
        <f>Data!P85</f>
        <v>0</v>
      </c>
      <c r="J7">
        <f>Data!Q85</f>
        <v>0</v>
      </c>
      <c r="K7">
        <f>Data!R85</f>
        <v>0</v>
      </c>
      <c r="L7">
        <f>Data!S85</f>
        <v>0</v>
      </c>
      <c r="M7">
        <f>Data!T85</f>
        <v>0</v>
      </c>
      <c r="N7">
        <f>Data!U85</f>
        <v>0</v>
      </c>
      <c r="O7">
        <f>Data!V85</f>
        <v>0</v>
      </c>
      <c r="P7">
        <f>Data!W85</f>
        <v>0</v>
      </c>
      <c r="Q7">
        <f>Data!X85</f>
        <v>0</v>
      </c>
      <c r="R7">
        <f>Data!Y85</f>
        <v>0</v>
      </c>
      <c r="S7">
        <f>Data!Z85</f>
        <v>0</v>
      </c>
      <c r="T7">
        <f>Data!AA85</f>
        <v>0</v>
      </c>
      <c r="U7">
        <f>Data!AB85</f>
        <v>0</v>
      </c>
      <c r="V7">
        <f>Data!AC85</f>
        <v>0</v>
      </c>
      <c r="W7">
        <f>Data!AD85</f>
        <v>0</v>
      </c>
      <c r="X7">
        <f>Data!AE85</f>
        <v>0</v>
      </c>
      <c r="Y7">
        <f>Data!AF85</f>
        <v>0</v>
      </c>
      <c r="Z7">
        <f>Data!AG85</f>
        <v>0</v>
      </c>
      <c r="AA7">
        <f>Data!AH85</f>
        <v>0</v>
      </c>
      <c r="AB7">
        <f>Data!AI85</f>
        <v>0</v>
      </c>
    </row>
    <row r="8" spans="1:28" x14ac:dyDescent="0.25">
      <c r="A8" t="s">
        <v>43</v>
      </c>
      <c r="B8">
        <f>Data!I86</f>
        <v>0</v>
      </c>
      <c r="C8">
        <f>Data!J86</f>
        <v>0</v>
      </c>
      <c r="D8">
        <f>Data!K86</f>
        <v>0</v>
      </c>
      <c r="E8">
        <f>Data!L86</f>
        <v>0</v>
      </c>
      <c r="F8">
        <f>Data!M86</f>
        <v>0</v>
      </c>
      <c r="G8">
        <f>Data!N86</f>
        <v>0</v>
      </c>
      <c r="H8">
        <f>Data!O86</f>
        <v>0</v>
      </c>
      <c r="I8">
        <f>Data!P86</f>
        <v>0</v>
      </c>
      <c r="J8">
        <f>Data!Q86</f>
        <v>0</v>
      </c>
      <c r="K8">
        <f>Data!R86</f>
        <v>0</v>
      </c>
      <c r="L8">
        <f>Data!S86</f>
        <v>0</v>
      </c>
      <c r="M8">
        <f>Data!T86</f>
        <v>0</v>
      </c>
      <c r="N8">
        <f>Data!U86</f>
        <v>0</v>
      </c>
      <c r="O8">
        <f>Data!V86</f>
        <v>0</v>
      </c>
      <c r="P8">
        <f>Data!W86</f>
        <v>0</v>
      </c>
      <c r="Q8">
        <f>Data!X86</f>
        <v>0</v>
      </c>
      <c r="R8">
        <f>Data!Y86</f>
        <v>0</v>
      </c>
      <c r="S8">
        <f>Data!Z86</f>
        <v>0</v>
      </c>
      <c r="T8">
        <f>Data!AA86</f>
        <v>0</v>
      </c>
      <c r="U8">
        <f>Data!AB86</f>
        <v>0</v>
      </c>
      <c r="V8">
        <f>Data!AC86</f>
        <v>0</v>
      </c>
      <c r="W8">
        <f>Data!AD86</f>
        <v>0</v>
      </c>
      <c r="X8">
        <f>Data!AE86</f>
        <v>0</v>
      </c>
      <c r="Y8">
        <f>Data!AF86</f>
        <v>0</v>
      </c>
      <c r="Z8">
        <f>Data!AG86</f>
        <v>0</v>
      </c>
      <c r="AA8">
        <f>Data!AH86</f>
        <v>0</v>
      </c>
      <c r="AB8">
        <f>Data!AI86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B8"/>
  <sheetViews>
    <sheetView workbookViewId="0">
      <selection activeCell="Z23" sqref="Z23"/>
    </sheetView>
  </sheetViews>
  <sheetFormatPr defaultColWidth="9.140625" defaultRowHeight="15" x14ac:dyDescent="0.25"/>
  <cols>
    <col min="1" max="1" width="24.42578125" customWidth="1"/>
  </cols>
  <sheetData>
    <row r="1" spans="1:28" ht="45" customHeight="1" x14ac:dyDescent="0.25">
      <c r="A1" s="19" t="s">
        <v>75</v>
      </c>
      <c r="B1">
        <f>Data!I9</f>
        <v>2024</v>
      </c>
      <c r="C1">
        <f>Data!J9</f>
        <v>2025</v>
      </c>
      <c r="D1">
        <f>Data!K9</f>
        <v>2026</v>
      </c>
      <c r="E1">
        <f>Data!L9</f>
        <v>2027</v>
      </c>
      <c r="F1">
        <f>Data!M9</f>
        <v>2028</v>
      </c>
      <c r="G1">
        <f>Data!N9</f>
        <v>2029</v>
      </c>
      <c r="H1">
        <f>Data!O9</f>
        <v>2030</v>
      </c>
      <c r="I1">
        <f>Data!P9</f>
        <v>2031</v>
      </c>
      <c r="J1">
        <f>Data!Q9</f>
        <v>2032</v>
      </c>
      <c r="K1">
        <f>Data!R9</f>
        <v>2033</v>
      </c>
      <c r="L1">
        <f>Data!S9</f>
        <v>2034</v>
      </c>
      <c r="M1">
        <f>Data!T9</f>
        <v>2035</v>
      </c>
      <c r="N1">
        <f>Data!U9</f>
        <v>2036</v>
      </c>
      <c r="O1">
        <f>Data!V9</f>
        <v>2037</v>
      </c>
      <c r="P1">
        <f>Data!W9</f>
        <v>2038</v>
      </c>
      <c r="Q1">
        <f>Data!X9</f>
        <v>2039</v>
      </c>
      <c r="R1">
        <f>Data!Y9</f>
        <v>2040</v>
      </c>
      <c r="S1">
        <f>Data!Z9</f>
        <v>2041</v>
      </c>
      <c r="T1">
        <f>Data!AA9</f>
        <v>2042</v>
      </c>
      <c r="U1">
        <f>Data!AB9</f>
        <v>2043</v>
      </c>
      <c r="V1">
        <f>Data!AC9</f>
        <v>2044</v>
      </c>
      <c r="W1">
        <f>Data!AD9</f>
        <v>2045</v>
      </c>
      <c r="X1">
        <f>Data!AE9</f>
        <v>2046</v>
      </c>
      <c r="Y1">
        <f>Data!AF9</f>
        <v>2047</v>
      </c>
      <c r="Z1">
        <f>Data!AG9</f>
        <v>2048</v>
      </c>
      <c r="AA1">
        <f>Data!AH9</f>
        <v>2049</v>
      </c>
      <c r="AB1">
        <f>Data!AI9</f>
        <v>2050</v>
      </c>
    </row>
    <row r="2" spans="1:28" x14ac:dyDescent="0.25">
      <c r="A2" t="s">
        <v>37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38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</row>
    <row r="4" spans="1:28" x14ac:dyDescent="0.25">
      <c r="A4" t="s">
        <v>39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</row>
    <row r="5" spans="1:28" x14ac:dyDescent="0.25">
      <c r="A5" t="s">
        <v>40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</row>
    <row r="6" spans="1:28" x14ac:dyDescent="0.25">
      <c r="A6" t="s">
        <v>41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</row>
    <row r="7" spans="1:28" x14ac:dyDescent="0.25">
      <c r="A7" t="s">
        <v>42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</row>
    <row r="8" spans="1:28" x14ac:dyDescent="0.25">
      <c r="A8" t="s">
        <v>43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Calibration rail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2017-07-01T03:43:09Z</dcterms:created>
  <dcterms:modified xsi:type="dcterms:W3CDTF">2026-10-19T14:06:01Z</dcterms:modified>
</cp:coreProperties>
</file>