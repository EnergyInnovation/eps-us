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TTS\"/>
    </mc:Choice>
  </mc:AlternateContent>
  <xr:revisionPtr revIDLastSave="0" documentId="13_ncr:1_{872A5FAF-3508-41B4-9C6A-91448C22D520}" xr6:coauthVersionLast="47" xr6:coauthVersionMax="47" xr10:uidLastSave="{00000000-0000-0000-0000-000000000000}"/>
  <bookViews>
    <workbookView xWindow="-120" yWindow="-120" windowWidth="29040" windowHeight="17520" firstSheet="2" activeTab="6" xr2:uid="{00000000-000D-0000-FFFF-FFFF00000000}"/>
  </bookViews>
  <sheets>
    <sheet name="About" sheetId="1" r:id="rId1"/>
    <sheet name="AEO 39" sheetId="4" r:id="rId2"/>
    <sheet name="AEO 49" sheetId="5" r:id="rId3"/>
    <sheet name="SYVbT-passenger" sheetId="6" r:id="rId4"/>
    <sheet name="SYVbT-freight" sheetId="19" r:id="rId5"/>
    <sheet name="Assumptions" sheetId="7" r:id="rId6"/>
    <sheet name="Data" sheetId="3" r:id="rId7"/>
    <sheet name="TTS-LDVs-psgr" sheetId="2" r:id="rId8"/>
    <sheet name="TTS-LDVs-frgt" sheetId="8" r:id="rId9"/>
    <sheet name="TTS-HDVs-psgr" sheetId="9" r:id="rId10"/>
    <sheet name="TTS-HDVs-frgt" sheetId="10" r:id="rId11"/>
    <sheet name="TTS-aircraft-psgr" sheetId="11" r:id="rId12"/>
    <sheet name="TTS-aircraft-frgt" sheetId="12" r:id="rId13"/>
    <sheet name="TTS-rail-psgr" sheetId="13" r:id="rId14"/>
    <sheet name="TTS-rail-frgt" sheetId="14" r:id="rId15"/>
    <sheet name="TTS-ships-psgr" sheetId="15" r:id="rId16"/>
    <sheet name="TTS-ships-frgt" sheetId="16" r:id="rId17"/>
    <sheet name="TTS-motorbikes-psgr" sheetId="17" r:id="rId18"/>
    <sheet name="TTS-motorbikes-frgt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3" l="1"/>
  <c r="E11" i="3"/>
  <c r="B1" i="2"/>
  <c r="I10" i="3"/>
  <c r="J9" i="3"/>
  <c r="C71" i="7"/>
  <c r="C72" i="7"/>
  <c r="B72" i="7"/>
  <c r="B71" i="7"/>
  <c r="T14" i="3"/>
  <c r="K14" i="3" l="1"/>
  <c r="K10" i="3"/>
  <c r="J24" i="3" l="1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C148" i="7"/>
  <c r="B148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C147" i="7"/>
  <c r="B147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C146" i="7"/>
  <c r="B146" i="7"/>
  <c r="C130" i="7"/>
  <c r="D130" i="7"/>
  <c r="E130" i="7"/>
  <c r="F130" i="7"/>
  <c r="F133" i="7" s="1"/>
  <c r="G130" i="7"/>
  <c r="H130" i="7"/>
  <c r="I130" i="7"/>
  <c r="J130" i="7"/>
  <c r="K130" i="7"/>
  <c r="K133" i="7" s="1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D133" i="7" s="1"/>
  <c r="AE130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V133" i="7" s="1"/>
  <c r="W131" i="7"/>
  <c r="X131" i="7"/>
  <c r="Y131" i="7"/>
  <c r="Z131" i="7"/>
  <c r="AA131" i="7"/>
  <c r="AB131" i="7"/>
  <c r="AC131" i="7"/>
  <c r="AD131" i="7"/>
  <c r="AE131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Q133" i="7"/>
  <c r="B132" i="7"/>
  <c r="B131" i="7"/>
  <c r="B130" i="7"/>
  <c r="I24" i="3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C117" i="7" s="1"/>
  <c r="AD116" i="7"/>
  <c r="AE116" i="7"/>
  <c r="B116" i="7"/>
  <c r="B115" i="7"/>
  <c r="B117" i="7" s="1"/>
  <c r="C133" i="7" l="1"/>
  <c r="N133" i="7"/>
  <c r="AA133" i="7"/>
  <c r="U117" i="7"/>
  <c r="Y133" i="7"/>
  <c r="I133" i="7"/>
  <c r="S133" i="7"/>
  <c r="AB133" i="7"/>
  <c r="T133" i="7"/>
  <c r="AE133" i="7"/>
  <c r="H133" i="7"/>
  <c r="L133" i="7"/>
  <c r="D133" i="7"/>
  <c r="X133" i="7"/>
  <c r="P133" i="7"/>
  <c r="AB117" i="7"/>
  <c r="T117" i="7"/>
  <c r="L117" i="7"/>
  <c r="X117" i="7"/>
  <c r="AD117" i="7"/>
  <c r="M117" i="7"/>
  <c r="D117" i="7"/>
  <c r="P117" i="7"/>
  <c r="AE117" i="7"/>
  <c r="O117" i="7"/>
  <c r="V117" i="7"/>
  <c r="W117" i="7"/>
  <c r="Z117" i="7"/>
  <c r="R117" i="7"/>
  <c r="F117" i="7"/>
  <c r="E117" i="7"/>
  <c r="N117" i="7"/>
  <c r="C117" i="7"/>
  <c r="J117" i="7"/>
  <c r="I117" i="7"/>
  <c r="H117" i="7"/>
  <c r="Y117" i="7"/>
  <c r="Q117" i="7"/>
  <c r="AA117" i="7"/>
  <c r="S117" i="7"/>
  <c r="K117" i="7"/>
  <c r="G117" i="7"/>
  <c r="B133" i="7"/>
  <c r="AC133" i="7"/>
  <c r="U133" i="7"/>
  <c r="W133" i="7"/>
  <c r="O133" i="7"/>
  <c r="G133" i="7"/>
  <c r="Z133" i="7"/>
  <c r="U149" i="7"/>
  <c r="D149" i="7"/>
  <c r="M149" i="7"/>
  <c r="AC149" i="7"/>
  <c r="L149" i="7"/>
  <c r="T149" i="7"/>
  <c r="AB149" i="7"/>
  <c r="M133" i="7"/>
  <c r="E133" i="7"/>
  <c r="R133" i="7"/>
  <c r="J133" i="7"/>
  <c r="V149" i="7"/>
  <c r="AD149" i="7"/>
  <c r="F149" i="7"/>
  <c r="B149" i="7"/>
  <c r="J149" i="7"/>
  <c r="R149" i="7"/>
  <c r="Z149" i="7"/>
  <c r="C149" i="7"/>
  <c r="K149" i="7"/>
  <c r="S149" i="7"/>
  <c r="AA149" i="7"/>
  <c r="E149" i="7"/>
  <c r="N149" i="7"/>
  <c r="AE149" i="7"/>
  <c r="H149" i="7"/>
  <c r="P149" i="7"/>
  <c r="X149" i="7"/>
  <c r="O149" i="7"/>
  <c r="I149" i="7"/>
  <c r="Q149" i="7"/>
  <c r="Y149" i="7"/>
  <c r="G149" i="7"/>
  <c r="W149" i="7"/>
  <c r="C104" i="7"/>
  <c r="C103" i="7"/>
  <c r="J14" i="3"/>
  <c r="I14" i="3"/>
  <c r="D92" i="7" l="1"/>
  <c r="C92" i="7" l="1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S94" i="7" s="1"/>
  <c r="T92" i="7"/>
  <c r="U92" i="7"/>
  <c r="V92" i="7"/>
  <c r="W92" i="7"/>
  <c r="X92" i="7"/>
  <c r="Y92" i="7"/>
  <c r="Z92" i="7"/>
  <c r="AA92" i="7"/>
  <c r="AB92" i="7"/>
  <c r="AC92" i="7"/>
  <c r="AD92" i="7"/>
  <c r="AE92" i="7"/>
  <c r="C93" i="7"/>
  <c r="D93" i="7"/>
  <c r="D94" i="7" s="1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B93" i="7"/>
  <c r="B92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B97" i="7"/>
  <c r="B96" i="7"/>
  <c r="B2" i="2"/>
  <c r="K94" i="7" l="1"/>
  <c r="K98" i="7"/>
  <c r="C98" i="7"/>
  <c r="Q98" i="7"/>
  <c r="AD94" i="7"/>
  <c r="N94" i="7"/>
  <c r="Q94" i="7"/>
  <c r="V94" i="7"/>
  <c r="F94" i="7"/>
  <c r="Y94" i="7"/>
  <c r="Y98" i="7"/>
  <c r="B94" i="7"/>
  <c r="E94" i="7"/>
  <c r="AB94" i="7"/>
  <c r="T94" i="7"/>
  <c r="L94" i="7"/>
  <c r="M94" i="7"/>
  <c r="C94" i="7"/>
  <c r="X94" i="7"/>
  <c r="P94" i="7"/>
  <c r="U94" i="7"/>
  <c r="W94" i="7"/>
  <c r="G94" i="7"/>
  <c r="AC94" i="7"/>
  <c r="AE94" i="7"/>
  <c r="O94" i="7"/>
  <c r="H94" i="7"/>
  <c r="I94" i="7"/>
  <c r="I98" i="7"/>
  <c r="J94" i="7"/>
  <c r="AA94" i="7"/>
  <c r="X98" i="7"/>
  <c r="P98" i="7"/>
  <c r="H98" i="7"/>
  <c r="AB98" i="7"/>
  <c r="T98" i="7"/>
  <c r="B98" i="7"/>
  <c r="AE98" i="7"/>
  <c r="G98" i="7"/>
  <c r="L98" i="7"/>
  <c r="W98" i="7"/>
  <c r="V98" i="7"/>
  <c r="N98" i="7"/>
  <c r="F98" i="7"/>
  <c r="AD98" i="7"/>
  <c r="O98" i="7"/>
  <c r="AA98" i="7"/>
  <c r="Z98" i="7"/>
  <c r="D98" i="7"/>
  <c r="S98" i="7"/>
  <c r="R98" i="7"/>
  <c r="AC98" i="7"/>
  <c r="U98" i="7"/>
  <c r="M98" i="7"/>
  <c r="E98" i="7"/>
  <c r="J98" i="7"/>
  <c r="Z94" i="7"/>
  <c r="R94" i="7"/>
  <c r="K9" i="3"/>
  <c r="C70" i="7"/>
  <c r="B70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C6" i="2" l="1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14" i="3" l="1"/>
  <c r="L36" i="3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14" i="3" l="1"/>
  <c r="M36" i="3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14" i="3" l="1"/>
  <c r="N23" i="3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H2" i="11" s="1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R24" i="3" l="1"/>
  <c r="L24" i="3"/>
  <c r="E2" i="9" s="1"/>
  <c r="M24" i="3"/>
  <c r="F2" i="9" s="1"/>
  <c r="N24" i="3"/>
  <c r="G2" i="9" s="1"/>
  <c r="Q24" i="3"/>
  <c r="J2" i="9" s="1"/>
  <c r="O24" i="3"/>
  <c r="K24" i="3"/>
  <c r="D2" i="9" s="1"/>
  <c r="P24" i="3"/>
  <c r="I2" i="9" s="1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K2" i="10" s="1"/>
  <c r="F2" i="10"/>
  <c r="C2" i="9"/>
  <c r="K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L10" i="3" s="1"/>
  <c r="B6" i="10"/>
  <c r="G17" i="3"/>
  <c r="B3" i="9"/>
  <c r="K17" i="3" l="1"/>
  <c r="N17" i="3"/>
  <c r="P17" i="3"/>
  <c r="Q17" i="3"/>
  <c r="J2" i="8" s="1"/>
  <c r="R17" i="3"/>
  <c r="K2" i="8" s="1"/>
  <c r="S17" i="3"/>
  <c r="L2" i="8" s="1"/>
  <c r="J17" i="3"/>
  <c r="C2" i="8" s="1"/>
  <c r="L17" i="3"/>
  <c r="E2" i="8" s="1"/>
  <c r="M17" i="3"/>
  <c r="F2" i="8" s="1"/>
  <c r="O17" i="3"/>
  <c r="N10" i="3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S24" i="3"/>
  <c r="L2" i="9" s="1"/>
  <c r="S31" i="3"/>
  <c r="L2" i="10" s="1"/>
  <c r="E2" i="2"/>
  <c r="G2" i="2"/>
  <c r="D2" i="2"/>
  <c r="S80" i="3"/>
  <c r="L2" i="17" s="1"/>
  <c r="L6" i="2"/>
  <c r="D2" i="8"/>
  <c r="I2" i="8"/>
  <c r="G2" i="8"/>
  <c r="H2" i="8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T17" i="3" s="1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2" s="1"/>
  <c r="T24" i="3"/>
  <c r="M2" i="9" s="1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U14" i="3" l="1"/>
  <c r="U17" i="3"/>
  <c r="U24" i="3"/>
  <c r="N2" i="9" s="1"/>
  <c r="U10" i="3"/>
  <c r="N2" i="2" s="1"/>
  <c r="N2" i="8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31" i="3" l="1"/>
  <c r="O2" i="10" s="1"/>
  <c r="V14" i="3"/>
  <c r="O6" i="2" s="1"/>
  <c r="V17" i="3"/>
  <c r="O2" i="8" s="1"/>
  <c r="V24" i="3"/>
  <c r="O2" i="9" s="1"/>
  <c r="V10" i="3"/>
  <c r="O2" i="2" s="1"/>
  <c r="V80" i="3"/>
  <c r="O2" i="17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W14" i="3" s="1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17" i="3" l="1"/>
  <c r="P2" i="8" s="1"/>
  <c r="W10" i="3"/>
  <c r="P2" i="2" s="1"/>
  <c r="W24" i="3"/>
  <c r="P2" i="9" s="1"/>
  <c r="W31" i="3"/>
  <c r="P2" i="10" s="1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17" i="3" l="1"/>
  <c r="X24" i="3"/>
  <c r="X14" i="3"/>
  <c r="Y17" i="3"/>
  <c r="X10" i="3"/>
  <c r="Q2" i="2" s="1"/>
  <c r="X31" i="3"/>
  <c r="Q2" i="10" s="1"/>
  <c r="Q2" i="8"/>
  <c r="Q2" i="9"/>
  <c r="Q6" i="2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Y14" i="3" s="1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24" i="3" l="1"/>
  <c r="R2" i="9" s="1"/>
  <c r="Y10" i="3"/>
  <c r="R2" i="2" s="1"/>
  <c r="R2" i="8"/>
  <c r="Y31" i="3"/>
  <c r="R2" i="10" s="1"/>
  <c r="R6" i="2"/>
  <c r="Y80" i="3"/>
  <c r="R2" i="17" s="1"/>
  <c r="Y36" i="3"/>
  <c r="R7" i="10" s="1"/>
  <c r="Y37" i="3"/>
  <c r="R8" i="10" s="1"/>
  <c r="Y21" i="3"/>
  <c r="R6" i="8" s="1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Z14" i="3" l="1"/>
  <c r="Z17" i="3"/>
  <c r="Z24" i="3"/>
  <c r="S2" i="9" s="1"/>
  <c r="Z10" i="3"/>
  <c r="S2" i="2" s="1"/>
  <c r="Z31" i="3"/>
  <c r="S2" i="10" s="1"/>
  <c r="Z80" i="3"/>
  <c r="S2" i="17" s="1"/>
  <c r="S6" i="2"/>
  <c r="S2" i="8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14" i="3" l="1"/>
  <c r="T6" i="2" s="1"/>
  <c r="AA17" i="3"/>
  <c r="AA31" i="3"/>
  <c r="AA24" i="3"/>
  <c r="T2" i="9" s="1"/>
  <c r="AA10" i="3"/>
  <c r="T2" i="2" s="1"/>
  <c r="AA80" i="3"/>
  <c r="T2" i="17" s="1"/>
  <c r="T2" i="8"/>
  <c r="AA21" i="3"/>
  <c r="T6" i="8" s="1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14" i="3" l="1"/>
  <c r="AB17" i="3"/>
  <c r="AB24" i="3"/>
  <c r="U2" i="9" s="1"/>
  <c r="AB10" i="3"/>
  <c r="U2" i="2" s="1"/>
  <c r="AB31" i="3"/>
  <c r="U6" i="2"/>
  <c r="AB80" i="3"/>
  <c r="U2" i="17" s="1"/>
  <c r="U2" i="8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14" i="3" l="1"/>
  <c r="AC17" i="3"/>
  <c r="AC24" i="3"/>
  <c r="V2" i="9" s="1"/>
  <c r="AC10" i="3"/>
  <c r="V2" i="2" s="1"/>
  <c r="AC31" i="3"/>
  <c r="V2" i="10" s="1"/>
  <c r="V6" i="2"/>
  <c r="AC80" i="3"/>
  <c r="V2" i="17" s="1"/>
  <c r="V2" i="8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14" i="3" l="1"/>
  <c r="W6" i="2" s="1"/>
  <c r="AD17" i="3"/>
  <c r="AD24" i="3"/>
  <c r="W2" i="9" s="1"/>
  <c r="AD10" i="3"/>
  <c r="W2" i="2" s="1"/>
  <c r="AD31" i="3"/>
  <c r="W2" i="10" s="1"/>
  <c r="AD80" i="3"/>
  <c r="W2" i="17" s="1"/>
  <c r="W2" i="8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14" i="3" l="1"/>
  <c r="X6" i="2" s="1"/>
  <c r="AE17" i="3"/>
  <c r="AE24" i="3"/>
  <c r="X2" i="9" s="1"/>
  <c r="AE10" i="3"/>
  <c r="X2" i="2" s="1"/>
  <c r="AE31" i="3"/>
  <c r="X2" i="10" s="1"/>
  <c r="AE80" i="3"/>
  <c r="X2" i="17" s="1"/>
  <c r="X2" i="8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14" i="3" l="1"/>
  <c r="Y6" i="2" s="1"/>
  <c r="AF17" i="3"/>
  <c r="AF24" i="3"/>
  <c r="Y2" i="9" s="1"/>
  <c r="AF10" i="3"/>
  <c r="AF31" i="3"/>
  <c r="AF80" i="3"/>
  <c r="Y2" i="17" s="1"/>
  <c r="Y2" i="8"/>
  <c r="Y2" i="2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14" i="3" l="1"/>
  <c r="Z6" i="2" s="1"/>
  <c r="AG17" i="3"/>
  <c r="AG10" i="3"/>
  <c r="Z2" i="2" s="1"/>
  <c r="AG24" i="3"/>
  <c r="Z2" i="9" s="1"/>
  <c r="AG31" i="3"/>
  <c r="Z2" i="10" s="1"/>
  <c r="AG80" i="3"/>
  <c r="Z2" i="17" s="1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14" i="3" l="1"/>
  <c r="AH17" i="3"/>
  <c r="AH10" i="3"/>
  <c r="AA2" i="2" s="1"/>
  <c r="AH24" i="3"/>
  <c r="AA2" i="9" s="1"/>
  <c r="AH31" i="3"/>
  <c r="AA2" i="10" s="1"/>
  <c r="AA6" i="2"/>
  <c r="AH80" i="3"/>
  <c r="AA2" i="17" s="1"/>
  <c r="AA2" i="8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14" i="3" l="1"/>
  <c r="AI17" i="3"/>
  <c r="AI24" i="3"/>
  <c r="AB2" i="9" s="1"/>
  <c r="AI10" i="3"/>
  <c r="AB2" i="2" s="1"/>
  <c r="AI31" i="3"/>
  <c r="AB2" i="10" s="1"/>
  <c r="AB6" i="2"/>
  <c r="AI80" i="3"/>
  <c r="AB2" i="17" s="1"/>
  <c r="AB2" i="8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14" i="3" l="1"/>
  <c r="AJ17" i="3"/>
  <c r="AJ24" i="3"/>
  <c r="AC2" i="9" s="1"/>
  <c r="AJ10" i="3"/>
  <c r="AC2" i="2" s="1"/>
  <c r="AJ31" i="3"/>
  <c r="AC2" i="10" s="1"/>
  <c r="AC6" i="2"/>
  <c r="AC2" i="8"/>
  <c r="AJ80" i="3"/>
  <c r="AC2" i="17" s="1"/>
  <c r="AJ36" i="3"/>
  <c r="AC7" i="10" s="1"/>
  <c r="AJ37" i="3"/>
  <c r="AC8" i="10" s="1"/>
  <c r="AJ43" i="3"/>
  <c r="AC7" i="11" s="1"/>
  <c r="AJ51" i="3"/>
  <c r="AC8" i="12" s="1"/>
  <c r="AJ57" i="3"/>
  <c r="AC7" i="13" s="1"/>
  <c r="AJ44" i="3"/>
  <c r="AC8" i="11" s="1"/>
  <c r="AJ50" i="3"/>
  <c r="AC7" i="12" s="1"/>
  <c r="AJ58" i="3"/>
  <c r="AC8" i="13" s="1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C3" i="13" s="1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C2" i="13" s="1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C5" i="13" s="1"/>
  <c r="AJ19" i="3"/>
  <c r="AC4" i="8" s="1"/>
  <c r="AJ77" i="3"/>
  <c r="AC6" i="16" s="1"/>
  <c r="AJ73" i="3"/>
  <c r="AC2" i="16" s="1"/>
  <c r="AJ59" i="3"/>
  <c r="AC2" i="14" s="1"/>
  <c r="AJ54" i="3"/>
  <c r="AC4" i="13" s="1"/>
  <c r="AJ45" i="3"/>
  <c r="AC2" i="12" s="1"/>
  <c r="AJ27" i="3"/>
  <c r="AC5" i="9" s="1"/>
  <c r="AJ68" i="3"/>
  <c r="AC4" i="15" s="1"/>
  <c r="AJ56" i="3"/>
  <c r="AC6" i="13" s="1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D2" i="9" l="1"/>
  <c r="AD2" i="10"/>
  <c r="AD2" i="17"/>
  <c r="AD2" i="8"/>
  <c r="AD7" i="10"/>
  <c r="AD8" i="10"/>
  <c r="AD8" i="13"/>
  <c r="AD7" i="11"/>
  <c r="AD8" i="12"/>
  <c r="AD7" i="13"/>
  <c r="AD8" i="11"/>
  <c r="AD7" i="12"/>
  <c r="AD8" i="15"/>
  <c r="AD7" i="16"/>
  <c r="AD7" i="14"/>
  <c r="AD8" i="14"/>
  <c r="AD7" i="15"/>
  <c r="AD8" i="16"/>
  <c r="AD7" i="17"/>
  <c r="AD7" i="8"/>
  <c r="AD8" i="9"/>
  <c r="AD8" i="17"/>
  <c r="AD7" i="9"/>
  <c r="AD3" i="8"/>
  <c r="AD8" i="8"/>
  <c r="AD3" i="13"/>
  <c r="AD6" i="11"/>
  <c r="AD5" i="16"/>
  <c r="AD4" i="17"/>
  <c r="AD4" i="14"/>
  <c r="AD2" i="13"/>
  <c r="AD4" i="16"/>
  <c r="AD5" i="14"/>
  <c r="AD5" i="11"/>
  <c r="AD6" i="15"/>
  <c r="AD3" i="12"/>
  <c r="AD2" i="15"/>
  <c r="AD3" i="15"/>
  <c r="AD2" i="12"/>
  <c r="AD4" i="8"/>
  <c r="AD6" i="16"/>
  <c r="AD6" i="13"/>
  <c r="AD2" i="11"/>
  <c r="AD3" i="16"/>
  <c r="AD2" i="16"/>
  <c r="AD2" i="14"/>
  <c r="AD4" i="12"/>
  <c r="AD6" i="12"/>
  <c r="AD4" i="11"/>
  <c r="AD5" i="15"/>
  <c r="AD4" i="15"/>
  <c r="AD5" i="10"/>
  <c r="AD3" i="14"/>
  <c r="AD5" i="13"/>
  <c r="AD5" i="9"/>
  <c r="AD5" i="12"/>
  <c r="AD3" i="11"/>
  <c r="AD6" i="14"/>
  <c r="AD4" i="13"/>
  <c r="AD5" i="8"/>
  <c r="AD6" i="17"/>
  <c r="AD3" i="17"/>
  <c r="AD4" i="10"/>
  <c r="AD4" i="9"/>
  <c r="AD5" i="17"/>
  <c r="AD6" i="10"/>
  <c r="AD6" i="9"/>
  <c r="AD3" i="10"/>
  <c r="AD3" i="9"/>
  <c r="AD6" i="8"/>
  <c r="AD1" i="17"/>
  <c r="AD1" i="15"/>
  <c r="AD1" i="13"/>
  <c r="AD1" i="11"/>
  <c r="AD1" i="9"/>
  <c r="AD1" i="14"/>
  <c r="AD1" i="12"/>
  <c r="AD1" i="18"/>
  <c r="AD1" i="10"/>
  <c r="AD1" i="16"/>
  <c r="AD1" i="8"/>
  <c r="AE2" i="9" l="1"/>
  <c r="AE2" i="10"/>
  <c r="AE2" i="17"/>
  <c r="AE2" i="8"/>
  <c r="AE7" i="10"/>
  <c r="AE8" i="10"/>
  <c r="AE8" i="11"/>
  <c r="AE7" i="12"/>
  <c r="AE8" i="13"/>
  <c r="AE7" i="14"/>
  <c r="AE7" i="9"/>
  <c r="AE7" i="11"/>
  <c r="AE8" i="12"/>
  <c r="AE7" i="13"/>
  <c r="AE8" i="14"/>
  <c r="AE7" i="15"/>
  <c r="AE8" i="16"/>
  <c r="AE7" i="17"/>
  <c r="AE8" i="15"/>
  <c r="AE7" i="16"/>
  <c r="AE8" i="9"/>
  <c r="AE7" i="8"/>
  <c r="AE8" i="17"/>
  <c r="AE3" i="8"/>
  <c r="AE8" i="8"/>
  <c r="AE6" i="11"/>
  <c r="AE3" i="13"/>
  <c r="AE4" i="17"/>
  <c r="AE4" i="16"/>
  <c r="AE6" i="15"/>
  <c r="AE2" i="15"/>
  <c r="AE2" i="13"/>
  <c r="AE5" i="16"/>
  <c r="AE4" i="14"/>
  <c r="AE5" i="14"/>
  <c r="AE3" i="12"/>
  <c r="AE5" i="11"/>
  <c r="AE5" i="10"/>
  <c r="AE3" i="16"/>
  <c r="AE5" i="13"/>
  <c r="AE3" i="11"/>
  <c r="AE6" i="14"/>
  <c r="AE6" i="13"/>
  <c r="AE4" i="12"/>
  <c r="AE5" i="15"/>
  <c r="AE2" i="14"/>
  <c r="AE2" i="11"/>
  <c r="AE6" i="12"/>
  <c r="AE2" i="12"/>
  <c r="AE4" i="11"/>
  <c r="AE5" i="9"/>
  <c r="AE4" i="8"/>
  <c r="AE5" i="12"/>
  <c r="AE6" i="16"/>
  <c r="AE2" i="16"/>
  <c r="AE3" i="15"/>
  <c r="AE3" i="14"/>
  <c r="AE4" i="15"/>
  <c r="AE4" i="13"/>
  <c r="AE5" i="8"/>
  <c r="AE6" i="17"/>
  <c r="AE3" i="17"/>
  <c r="AE4" i="9"/>
  <c r="AE4" i="10"/>
  <c r="AE5" i="17"/>
  <c r="AE6" i="10"/>
  <c r="AE6" i="9"/>
  <c r="AE3" i="9"/>
  <c r="AE6" i="8"/>
  <c r="AE3" i="10"/>
  <c r="AE1" i="18"/>
  <c r="AE1" i="16"/>
  <c r="AE1" i="14"/>
  <c r="AE1" i="12"/>
  <c r="AE1" i="10"/>
  <c r="AE1" i="17"/>
  <c r="AE1" i="15"/>
  <c r="AE1" i="13"/>
  <c r="AE1" i="11"/>
  <c r="AE1" i="8"/>
  <c r="AE1" i="9"/>
</calcChain>
</file>

<file path=xl/sharedStrings.xml><?xml version="1.0" encoding="utf-8"?>
<sst xmlns="http://schemas.openxmlformats.org/spreadsheetml/2006/main" count="1906" uniqueCount="949">
  <si>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</si>
  <si>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</si>
  <si>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</si>
  <si>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</si>
  <si>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</si>
  <si>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</si>
  <si>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</si>
  <si>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</si>
  <si>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</si>
  <si>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</si>
  <si>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</si>
  <si>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</si>
  <si>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</si>
  <si>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</si>
  <si>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</si>
  <si>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</si>
  <si>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</si>
  <si>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</si>
  <si>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</si>
  <si>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</si>
  <si>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</si>
  <si>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</si>
  <si>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</si>
  <si>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</si>
  <si>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</si>
  <si>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</si>
  <si>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</si>
  <si>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</si>
  <si>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</si>
  <si>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</si>
  <si>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</si>
  <si>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</si>
  <si>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</si>
  <si>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</si>
  <si>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</si>
  <si>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</si>
  <si>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</si>
  <si>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</si>
  <si>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</si>
  <si>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</si>
  <si>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</si>
  <si>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</si>
  <si>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First and Last Simulated Year Values</t>
  </si>
  <si>
    <t>See SYVbT variable.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</si>
  <si>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</si>
  <si>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</si>
  <si>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</si>
  <si>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</si>
  <si>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</si>
  <si>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</si>
  <si>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</si>
  <si>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</si>
  <si>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</si>
  <si>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</si>
  <si>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</si>
  <si>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</si>
  <si>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</si>
  <si>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</si>
  <si>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</si>
  <si>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</si>
  <si>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</si>
  <si>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</si>
  <si>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</si>
  <si>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</si>
  <si>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</si>
  <si>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</si>
  <si>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</si>
  <si>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</si>
  <si>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</si>
  <si>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</si>
  <si>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</si>
  <si>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</si>
  <si>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</si>
  <si>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</si>
  <si>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</si>
  <si>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</si>
  <si>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</si>
  <si>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</si>
  <si>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</si>
  <si>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</si>
  <si>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</si>
  <si>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</si>
  <si>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</si>
  <si>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</si>
  <si>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</si>
  <si>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</si>
  <si>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</si>
  <si>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</si>
  <si>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</si>
  <si>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</si>
  <si>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</si>
  <si>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</si>
  <si>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</si>
  <si>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</si>
  <si>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</si>
  <si>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</si>
  <si>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</si>
  <si>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</si>
  <si>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</si>
  <si>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</si>
  <si>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</si>
  <si>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</si>
  <si>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</si>
  <si>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</si>
  <si>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</si>
  <si>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</si>
  <si>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</si>
  <si>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</si>
  <si>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</si>
  <si>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</si>
  <si>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</si>
  <si>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</si>
  <si>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</si>
  <si>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</si>
  <si>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</si>
  <si>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</si>
  <si>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Table 39</t>
  </si>
  <si>
    <t>Table 49</t>
  </si>
  <si>
    <t>https://www.eia.gov/outlooks/aeo/supplement/excel/suptab_39.xlsx</t>
  </si>
  <si>
    <t>https://www.eia.gov/outlooks/aeo/supplement/excel/suptab_49.xlsx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</si>
  <si>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</si>
  <si>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</si>
  <si>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</si>
  <si>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Many organizations have released projections.</t>
  </si>
  <si>
    <t>See an explanation on the Assumptions page for how the passenger LDV</t>
  </si>
  <si>
    <t>values were calibrated against one such source.</t>
  </si>
  <si>
    <t>Source: U.S. Energy Information Administration</t>
  </si>
  <si>
    <t>full name</t>
  </si>
  <si>
    <t>api key</t>
  </si>
  <si>
    <t>units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</si>
  <si>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</si>
  <si>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</si>
  <si>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</si>
  <si>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</si>
  <si>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</si>
  <si>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</si>
  <si>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</si>
  <si>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Electric-Diesel Hybrid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</si>
  <si>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</si>
  <si>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</si>
  <si>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</si>
  <si>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</si>
  <si>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</si>
  <si>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</si>
  <si>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</si>
  <si>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</si>
  <si>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Conventional Light Trucks</t>
  </si>
  <si>
    <t>Total Conventional Light Trucks</t>
  </si>
  <si>
    <t>Alternative-Fuel Light Trucks</t>
  </si>
  <si>
    <t>Total Alternative Light Trucks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</si>
  <si>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</si>
  <si>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</si>
  <si>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</si>
  <si>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</si>
  <si>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</si>
  <si>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</si>
  <si>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</si>
  <si>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</si>
  <si>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</si>
  <si>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</si>
  <si>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Table 39.  Light-Duty Vehicle Stock by Technology Type</t>
  </si>
  <si>
    <t>Car Stock</t>
  </si>
  <si>
    <t>Light Truck Stock</t>
  </si>
  <si>
    <t>millions</t>
  </si>
  <si>
    <t>Table 49.  Freight Transportation Energy Use</t>
  </si>
  <si>
    <t>Vehicle Miles Traveled (billion miles)</t>
  </si>
  <si>
    <t>Light Medium</t>
  </si>
  <si>
    <t>Diesel</t>
  </si>
  <si>
    <t>Motor Gasoline</t>
  </si>
  <si>
    <t>Propane</t>
  </si>
  <si>
    <t>Compressed/Liquefied Natural Gas</t>
  </si>
  <si>
    <t>Ethanol-Flex Fuel</t>
  </si>
  <si>
    <t>Plug-in Diesel Hybrid</t>
  </si>
  <si>
    <t>Plug-in Gasoline Hybrid</t>
  </si>
  <si>
    <t>Light Medium Subtotal</t>
  </si>
  <si>
    <t>Medium</t>
  </si>
  <si>
    <t>Medium Subtotal</t>
  </si>
  <si>
    <t>Heavy</t>
  </si>
  <si>
    <t>Heavy Subtotal</t>
  </si>
  <si>
    <t>Total Vehicle Miles Traveled</t>
  </si>
  <si>
    <t>Consumption (trillion Btu)</t>
  </si>
  <si>
    <t xml:space="preserve"> Medium</t>
  </si>
  <si>
    <t>Total Consumption</t>
  </si>
  <si>
    <t>Fuel Efficiency (miles per gallon)</t>
  </si>
  <si>
    <t>Light Medium Average</t>
  </si>
  <si>
    <t>Medium Average</t>
  </si>
  <si>
    <t>Heavy Average</t>
  </si>
  <si>
    <t>Average Fuel Efficiency</t>
  </si>
  <si>
    <t>Stock (millions)</t>
  </si>
  <si>
    <t>Sales (thousands)</t>
  </si>
  <si>
    <t>Ton Miles by Rail (billion)</t>
  </si>
  <si>
    <t>Fuel Efficiency (ton miles per thousand Btu)</t>
  </si>
  <si>
    <t>Fuel Consumption (trillion Btu)</t>
  </si>
  <si>
    <t>Distillate Fuel Oil (diesel)</t>
  </si>
  <si>
    <t>Residual Fuel Oil</t>
  </si>
  <si>
    <t>Compressed Natural Gas</t>
  </si>
  <si>
    <t>Liquefied Natural Gas</t>
  </si>
  <si>
    <t>Ton Miles Shipping (billion)</t>
  </si>
  <si>
    <t>Gross Trade (billion 2012 dollars)</t>
  </si>
  <si>
    <t>Exports (billion 2012 dollars)</t>
  </si>
  <si>
    <t>Imports (billion 2012 dollars)</t>
  </si>
  <si>
    <t>billion miles</t>
  </si>
  <si>
    <t>trillion Btu</t>
  </si>
  <si>
    <t xml:space="preserve"> and Heavy Total</t>
  </si>
  <si>
    <t>mpg diesel equiv</t>
  </si>
  <si>
    <t>mpg gas equiv</t>
  </si>
  <si>
    <t>mpg</t>
  </si>
  <si>
    <t>billions</t>
  </si>
  <si>
    <t>billion 2012 $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</si>
  <si>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</si>
  <si>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</si>
  <si>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</si>
  <si>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</si>
  <si>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</si>
  <si>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</si>
  <si>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Psgr LDVs only</t>
  </si>
  <si>
    <t>LDV BEV and PHEV sales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</si>
  <si>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</si>
  <si>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</si>
  <si>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</si>
  <si>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</si>
  <si>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</si>
  <si>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</si>
  <si>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</si>
  <si>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</si>
  <si>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</si>
  <si>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</si>
  <si>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</si>
  <si>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</si>
  <si>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</si>
  <si>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</si>
  <si>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BEV</t>
  </si>
  <si>
    <t>PHEV</t>
  </si>
  <si>
    <t>HEV</t>
  </si>
  <si>
    <t>Total LDV</t>
  </si>
  <si>
    <t>2021 Total</t>
  </si>
  <si>
    <t>2022 Total</t>
  </si>
  <si>
    <t xml:space="preserve">Buses: </t>
  </si>
  <si>
    <t>https://www.iea.org/data-and-statistics/charts/electric-bus-registrations-and-sales-share-by-region-2015-2022</t>
  </si>
  <si>
    <t>IEA</t>
  </si>
  <si>
    <t>EPS</t>
  </si>
  <si>
    <t>EV Sales Share</t>
  </si>
  <si>
    <t>FCEV Sales Share</t>
  </si>
  <si>
    <t>Freight LDVs:</t>
  </si>
  <si>
    <t>PHEV Sales Share</t>
  </si>
  <si>
    <t>Total ZEV</t>
  </si>
  <si>
    <t>Freight HDVs:</t>
  </si>
  <si>
    <t>Sigmoidal Curve Values for battery electric passenger HDV Technologies</t>
  </si>
  <si>
    <t>Total</t>
  </si>
  <si>
    <t>Sigmoidal Curve Values for PHEV passenger LDV Technologies</t>
  </si>
  <si>
    <t>2027-2032, LDV PHEVs</t>
  </si>
  <si>
    <t>2023, LDV BEVs</t>
  </si>
  <si>
    <t>2033, LDV PHEVs</t>
  </si>
  <si>
    <t>Historical Year Values</t>
  </si>
  <si>
    <t>For certain onroad technologies, we calibrate historical year values</t>
  </si>
  <si>
    <t>to match with real-world sales.</t>
  </si>
  <si>
    <t>PHEV Values, passengre LDVs</t>
  </si>
  <si>
    <t>We also use calibration for PHEV values between 2027-2032,</t>
  </si>
  <si>
    <t>in order to align with EPA's projected split between BEVs and PHEVs</t>
  </si>
  <si>
    <t>in their tailpipe rules analysis.</t>
  </si>
  <si>
    <t>https://www.anl.gov/sites/www/files/2024-08/Total%20Sales%20for%20Website_July%202024.pdf</t>
  </si>
  <si>
    <t>2023 Total</t>
  </si>
  <si>
    <t>Time (Year)</t>
  </si>
  <si>
    <t>New Vehicles[LDVs,passenger,battery electric vehicle] : NDC</t>
  </si>
  <si>
    <t>New Vehicles[LDVs,passenger,natural gas vehicle] : NDC</t>
  </si>
  <si>
    <t>New Vehicles[LDVs,passenger,gasoline vehicle] : NDC</t>
  </si>
  <si>
    <t>New Vehicles[LDVs,passenger,diesel vehicle] : NDC</t>
  </si>
  <si>
    <t>New Vehicles[LDVs,passenger,plugin hybrid vehicle] : NDC</t>
  </si>
  <si>
    <t>New Vehicles[LDVs,passenger,LPG vehicle] : NDC</t>
  </si>
  <si>
    <t>New Vehicles[LDVs,passenger,hydrogen vehicle] : NDC</t>
  </si>
  <si>
    <t>New Vehicles Allocated before ZEV Standards[LDVs,passenger,battery electric vehicle] : NDC</t>
  </si>
  <si>
    <t>New Vehicles Allocated before ZEV Standards[LDVs,passenger,natural gas vehicle] : NDC</t>
  </si>
  <si>
    <t>New Vehicles Allocated before ZEV Standards[LDVs,passenger,gasoline vehicle] : NDC</t>
  </si>
  <si>
    <t>New Vehicles Allocated before ZEV Standards[LDVs,passenger,diesel vehicle] : NDC</t>
  </si>
  <si>
    <t>New Vehicles Allocated before ZEV Standards[LDVs,passenger,plugin hybrid vehicle] : NDC</t>
  </si>
  <si>
    <t>New Vehicles Allocated before ZEV Standards[LDVs,passenger,LPG vehicle] : NDC</t>
  </si>
  <si>
    <t>New Vehicles Allocated before ZEV Standards[LDVs,passenger,hydrogen vehicle] : NDC</t>
  </si>
  <si>
    <t>New Vehicles[HDVs,passenger,battery electric vehicle] : NDC</t>
  </si>
  <si>
    <t>New Vehicles[HDVs,passenger,natural gas vehicle] : NDC</t>
  </si>
  <si>
    <t>New Vehicles[HDVs,passenger,gasoline vehicle] : NDC</t>
  </si>
  <si>
    <t>New Vehicles[HDVs,passenger,diesel vehicle] : NDC</t>
  </si>
  <si>
    <t>New Vehicles[HDVs,passenger,plugin hybrid vehicle] : NDC</t>
  </si>
  <si>
    <t>New Vehicles[HDVs,passenger,LPG vehicle] : NDC</t>
  </si>
  <si>
    <t>New Vehicles[HDVs,passenger,hydrogen vehicle] : NDC</t>
  </si>
  <si>
    <t>New Vehicles[LDVs,freight,battery electric vehicle] : NDC</t>
  </si>
  <si>
    <t>New Vehicles[LDVs,freight,natural gas vehicle] : NDC</t>
  </si>
  <si>
    <t>New Vehicles[LDVs,freight,gasoline vehicle] : NDC</t>
  </si>
  <si>
    <t>New Vehicles[LDVs,freight,diesel vehicle] : NDC</t>
  </si>
  <si>
    <t>New Vehicles[LDVs,freight,plugin hybrid vehicle] : NDC</t>
  </si>
  <si>
    <t>New Vehicles[LDVs,freight,LPG vehicle] : NDC</t>
  </si>
  <si>
    <t>New Vehicles[LDVs,freight,hydrogen vehicle] : NDC</t>
  </si>
  <si>
    <t>New Vehicles[HDVs,freight,battery electric vehicle] : NDC</t>
  </si>
  <si>
    <t>New Vehicles[HDVs,freight,natural gas vehicle] : NDC</t>
  </si>
  <si>
    <t>New Vehicles[HDVs,freight,gasoline vehicle] : NDC</t>
  </si>
  <si>
    <t>New Vehicles[HDVs,freight,diesel vehicle] : NDC</t>
  </si>
  <si>
    <t>New Vehicles[HDVs,freight,plugin hybrid vehicle] : NDC</t>
  </si>
  <si>
    <t>New Vehicles[HDVs,freight,LPG vehicle] : NDC</t>
  </si>
  <si>
    <t>New Vehicles[HDVs,freight,hydrogen vehicle] : NDC</t>
  </si>
  <si>
    <t>Hydrogen ICE</t>
  </si>
  <si>
    <t>Gasoline Hybrid</t>
  </si>
  <si>
    <t>Fuel Cell Battery Dominant</t>
  </si>
  <si>
    <t>Plug-in 50 Gasoline Hybrid</t>
  </si>
  <si>
    <t>Plug-in 20 Gasoline Hybrid</t>
  </si>
  <si>
    <t>300-Mile Electric Vehicle</t>
  </si>
  <si>
    <t>200-Mile Electric Vehicle</t>
  </si>
  <si>
    <t>100-Mile Electric Vehicle</t>
  </si>
  <si>
    <t>Growth (2024-2050)</t>
  </si>
  <si>
    <t>AEO.2025.ALTTRNP.ECI_STK_TRN_LDV_FUC_NA_NA_MILL.A</t>
  </si>
  <si>
    <t>Light-Duty Vehicle Sales: Total Vehicle Stock: Fuel Cell: Alternative Transportation</t>
  </si>
  <si>
    <t>AEO.2025.ALTTRNP.ECI_STK_TRN_LDV_GSU_NA_NA_MILL.A</t>
  </si>
  <si>
    <t>Light-Duty Vehicle Sales: Total Vehicle Stock: Gaseous: Alternative Transportation</t>
  </si>
  <si>
    <t>AEO.2025.ALTTRNP.ECI_STK_TRN_LDV_EHY_NA_NA_MILL.A</t>
  </si>
  <si>
    <t>Light-Duty Vehicle Sales: Total Vehicle Stock: Electric Hybrid: Alternative Transportation</t>
  </si>
  <si>
    <t>AEO.2025.ALTTRNP.ECI_STK_TRN_LDV_PIE_NA_NA_MILL.A</t>
  </si>
  <si>
    <t>Light-Duty Vehicle Sales: Total Vehicle Stock: Plug-in Electric Hybrid: Alternative Transportation</t>
  </si>
  <si>
    <t>AEO.2025.ALTTRNP.ECI_STK_TRN_LDV_ELE_NA_NA_MILL.A</t>
  </si>
  <si>
    <t>Light-Duty Vehicle Sales: Total Vehicle Stock: Electric: Alternative Transportation</t>
  </si>
  <si>
    <t>AEO.2025.ALTTRNP.ECI_STK_TRN_LDV_FXF_NA_NA_MILL.A</t>
  </si>
  <si>
    <t>Light-Duty Vehicle Sales: Total Vehicle Stock: Flex-Fuel: Alternative Transportation</t>
  </si>
  <si>
    <t>AEO.2025.ALTTRNP.ECI_STK_TRN_LDV_TDS_NA_NA_MILL.A</t>
  </si>
  <si>
    <t>Light-Duty Vehicle Sales: Total Vehicle Stock: TDI Diesel: Alternative Transportation</t>
  </si>
  <si>
    <t>AEO.2025.ALTTRNP.ECI_STK_TRN_LDV_CVG_NA_NA_MILL.A</t>
  </si>
  <si>
    <t>Light-Duty Vehicle Sales: Total Vehicle Stock: Conventional Gasoline: Alternative Transportation</t>
  </si>
  <si>
    <t>AEO.2025.ALTTRNP.ECI_STK_TRN_LDV_NA_NA_NA_MILL.A</t>
  </si>
  <si>
    <t>Light-Duty Vehicle Stock: Total Vehicle Stock: Alternative Transportation</t>
  </si>
  <si>
    <t>AEO.2025.ALTTRNP.ECI_STK_TRN_LTK_NA_NA_NA_MILL.A</t>
  </si>
  <si>
    <t>Light-Duty Vehicle Stock: Light Truck Stock: Total: Alternative Transportation</t>
  </si>
  <si>
    <t>AEO.2025.ALTTRNP.ECI_STK_TRN_LTK_ALT_NA_NA_MILL.A</t>
  </si>
  <si>
    <t>Light-Duty Vehicle Stock: Alternative-Fuel Light Trucks: Total: Alternative Transportation</t>
  </si>
  <si>
    <t>AEO.2025.ALTTRNP.ECI_STK_TRN_LTK_FCH_NA_NA_MILL.A</t>
  </si>
  <si>
    <t>Light-Duty Vehicle Stock: Alternative-Fuel Light Trucks: Fuel Cell Hydrogen: Alternative Transportation</t>
  </si>
  <si>
    <t>AEO.2025.ALTTRNP.ECI_STK_TRN_LTK_FCLMTH_NA_NA_MILL.A</t>
  </si>
  <si>
    <t>Light-Duty Vehicle Stock: Alternative-Fuel Light Trucks: Fuel Cell Methanol: Alternative Transportation</t>
  </si>
  <si>
    <t>AEO.2025.ALTTRNP.ECI_STK_TRN_LTK_PBF_NA_NA_MILL.A</t>
  </si>
  <si>
    <t>Light-Duty Vehicle Stock: Alternative-Fuel Light Trucks: Propane Bi-fuel: Alternative Transportation</t>
  </si>
  <si>
    <t>AEO.2025.ALTTRNP.ECI_STK_TRN_LTK_PROP_NA_NA_MILL.A</t>
  </si>
  <si>
    <t>Light-Duty Vehicle Stock: Alternative-Fuel Light Trucks: Propane ICE: Alternative Transportation</t>
  </si>
  <si>
    <t>AEO.2025.ALTTRNP.ECI_STK_TRN_LTK_NBF_NA_NA_MILL.A</t>
  </si>
  <si>
    <t>Light-Duty Vehicle Stock: Alternative-Fuel Light Trucks: Natural Gas Bi-fuel: Alternative Transportation</t>
  </si>
  <si>
    <t>AEO.2025.ALTTRNP.ECI_STK_TRN_LTK_NGI_NA_NA_MILL.A</t>
  </si>
  <si>
    <t>Light-Duty Vehicle Stock: Alternative-Fuel Light Trucks: Natural Gas ICE: Alternative Transportation</t>
  </si>
  <si>
    <t>AEO.2025.ALTTRNP.ECI_STK_TRN_LTK_EGH_NA_NA_MILL.A</t>
  </si>
  <si>
    <t>Light-Duty Vehicle Stock: Alternative-Fuel Light Trucks: Electric-Gasoline Hybrid: Alternative Transportation</t>
  </si>
  <si>
    <t>AEO.2025.ALTTRNP.ECI_STK_TRN_LTK_EDH_NA_NA_MILL.A</t>
  </si>
  <si>
    <t>Light-Duty Vehicle Stock: Alternative-Fuel Light Trucks: Electric-Diesel Hybrid: Alternative Transportation</t>
  </si>
  <si>
    <t>AEO.2025.ALTTRNP.ECI_STK_TRN_LTK_PI50GH_NA_NA_MILL.A</t>
  </si>
  <si>
    <t>Light-Duty Vehicle Stock: Alternative-Fuel Light Trucks: Plug-in 50 Gasoline Hybrid: Alternative Transportation</t>
  </si>
  <si>
    <t>AEO.2025.ALTTRNP.ECI_STK_TRN_LTK_PI20GH_NA_NA_MILL.A</t>
  </si>
  <si>
    <t>Light-Duty Vehicle Stock: Alternative-Fuel Light Trucks: Plug-in 20 Gasoline Hybrid: Alternative Transportation</t>
  </si>
  <si>
    <t>AEO.2025.ALTTRNP.ECI_STK_TRN_LTK_300MIEV_NA_NA_MILL.A</t>
  </si>
  <si>
    <t>Light-Duty Vehicle Stock: Alternative-Fuel Light Trucks: 300-Mile Electric Vehicle: Alternative Transportation</t>
  </si>
  <si>
    <t>AEO.2025.ALTTRNP.ECI_STK_TRN_LTK_200MIEV_NA_NA_MILL.A</t>
  </si>
  <si>
    <t>Light-Duty Vehicle Stock: Alternative-Fuel Light Trucks: 200-Mile Electric Vehicle: Alternative Transportation</t>
  </si>
  <si>
    <t>AEO.2025.ALTTRNP.ECI_STK_TRN_LTK_100MIEV_NA_NA_MILL.A</t>
  </si>
  <si>
    <t>Light-Duty Vehicle Stock: Alternative-Fuel Light Trucks: 100-Mile Electric Vehicle: Alternative Transportation</t>
  </si>
  <si>
    <t>AEO.2025.ALTTRNP.ECI_STK_TRN_LTK_EFFI_NA_NA_MILL.A</t>
  </si>
  <si>
    <t>Light-Duty Vehicle Stock: Alternative-Fuel Light Trucks: Ethanol-Flex Fuel ICE: Alternative Transportation</t>
  </si>
  <si>
    <t>AEO.2025.ALTTRNP.ECI_STK_TRN_LTK_CNV_NA_NA_MILL.A</t>
  </si>
  <si>
    <t>Light-Duty Vehicle Stock: Conventional Light Trucks: Total: Alternative Transportation</t>
  </si>
  <si>
    <t>AEO.2025.ALTTRNP.ECI_STK_TRN_LTK_TDS_NA_NA_MILL.A</t>
  </si>
  <si>
    <t>Light-Duty Vehicle Stock: Conventional Light Trucks: TDI Diesel: Alternative Transportation</t>
  </si>
  <si>
    <t>AEO.2025.ALTTRNP.ECI_STK_TRN_LTK_GSL_NA_NA_MILL.A</t>
  </si>
  <si>
    <t>Light-Duty Vehicle Stock: Conventional Light Trucks: Gasoline: Alternative Transportation</t>
  </si>
  <si>
    <t>AEO.2025.ALTTRNP.ECI_STK_TRN_CAR_NA_NA_NA_MILL.A</t>
  </si>
  <si>
    <t>Light-Duty Vehicle Stock: Car Stock: Total: Alternative Transportation</t>
  </si>
  <si>
    <t>AEO.2025.ALTTRNP.ECI_STK_TRN_CAR_ALT_NA_NA_MILL.A</t>
  </si>
  <si>
    <t>Light-Duty Vehicle Stock: Alternative-Fuel Cars: Total: Alternative Transportation</t>
  </si>
  <si>
    <t>AEO.2025.ALTTRNP.ECI_STK_TRN_CAR_FCH_NA_NA_MILL.A</t>
  </si>
  <si>
    <t>Light-Duty Vehicle Stock: Alternative-Fuel Cars: Fuel Cell Hydrogen: Alternative Transportation</t>
  </si>
  <si>
    <t>AEO.2025.ALTTRNP.ECI_STK_TRN_CAR_FCLMTH_NA_NA_MILL.A</t>
  </si>
  <si>
    <t>Light-Duty Vehicle Stock: Alternative-Fuel Cars: Fuel Cell Methanol: Alternative Transportation</t>
  </si>
  <si>
    <t>AEO.2025.ALTTRNP.ECI_STK_TRN_CAR_PBF_NA_NA_MILL.A</t>
  </si>
  <si>
    <t>Light-Duty Vehicle Stock: Alternative-Fuel Cars: Propane Bi-fuel: Alternative Transportation</t>
  </si>
  <si>
    <t>AEO.2025.ALTTRNP.ECI_STK_TRN_CAR_PROP_NA_NA_MILL.A</t>
  </si>
  <si>
    <t>Light-Duty Vehicle Stock: Alternative-Fuel Cars: Propane ICE: Alternative Transportation</t>
  </si>
  <si>
    <t>AEO.2025.ALTTRNP.ECI_STK_TRN_CAR_NBF_NA_NA_MILL.A</t>
  </si>
  <si>
    <t>Light-Duty Vehicle Stock: Alternative-Fuel Cars: Natural Gas Bi-fuel: Alternative Transportation</t>
  </si>
  <si>
    <t>AEO.2025.ALTTRNP.ECI_STK_TRN_CAR_NGI_NA_NA_MILL.A</t>
  </si>
  <si>
    <t>Light-Duty Vehicle Stock: Alternative-Fuel Cars: Natural Gas ICE: Alternative Transportation</t>
  </si>
  <si>
    <t>AEO.2025.ALTTRNP.ECI_STK_TRN_CAR_EGH_NA_NA_MILL.A</t>
  </si>
  <si>
    <t>Light-Duty Vehicle Stock: Alternative-Fuel Cars: Electric-Gasoline Hybrid: Alternative Transportation</t>
  </si>
  <si>
    <t>AEO.2025.ALTTRNP.ECI_STK_TRN_CAR_EDH_NA_NA_MILL.A</t>
  </si>
  <si>
    <t>Light-Duty Vehicle Stock: Alternative-Fuel Cars: Electric-Diesel Hybrid: Alternative Transportation</t>
  </si>
  <si>
    <t>AEO.2025.ALTTRNP.ECI_STK_TRN_CAR_PI50GH_NA_NA_MILL.A</t>
  </si>
  <si>
    <t>Light-Duty Vehicle Stock: Alternative-Fuel Cars: Plug-in 50 Gasoline Hybrid: Alternative Transportation</t>
  </si>
  <si>
    <t>AEO.2025.ALTTRNP.ECI_STK_TRN_CAR_PI20GH_NA_NA_MILL.A</t>
  </si>
  <si>
    <t>Light-Duty Vehicle Stock: Alternative-Fuel Cars: Plug-in 20 Gasoline Hybrid: Alternative Transportation</t>
  </si>
  <si>
    <t>AEO.2025.ALTTRNP.ECI_STK_TRN_CAR_300MIEV_NA_NA_MILL.A</t>
  </si>
  <si>
    <t>Light-Duty Vehicle Stock: Alternative-Fuel Cars: 300-Mile Electric Vehicle: Alternative Transportation</t>
  </si>
  <si>
    <t>AEO.2025.ALTTRNP.ECI_STK_TRN_CAR_200MIEV_NA_NA_MILL.A</t>
  </si>
  <si>
    <t>Light-Duty Vehicle Stock: Alternative-Fuel Cars: 200-Mile Electric Vehicle: Alternative Transportation</t>
  </si>
  <si>
    <t>AEO.2025.ALTTRNP.ECI_STK_TRN_CAR_100MIEV_NA_NA_MILL.A</t>
  </si>
  <si>
    <t>Light-Duty Vehicle Stock: Alternative-Fuel Cars: 100-Mile Electric Vehicle: Alternative Transportation</t>
  </si>
  <si>
    <t>AEO.2025.ALTTRNP.ECI_STK_TRN_CAR_EFFI_NA_NA_MILL.A</t>
  </si>
  <si>
    <t>Light-Duty Vehicle Stock: Alternative-Fuel Cars: Ethanol-Flex Fuel ICE: Alternative Transportation</t>
  </si>
  <si>
    <t>AEO.2025.ALTTRNP.ECI_STK_TRN_CAR_CNV_NA_NA_MILL.A</t>
  </si>
  <si>
    <t>Light-Duty Vehicle Stock: Conventional Cars: Total: Alternative Transportation</t>
  </si>
  <si>
    <t>AEO.2025.ALTTRNP.ECI_STK_TRN_CAR_TDS_NA_NA_MILL.A</t>
  </si>
  <si>
    <t>Light-Duty Vehicle Stock: Conventional Cars: TDI Diesel: Alternative Transportation</t>
  </si>
  <si>
    <t>AEO.2025.ALTTRNP.ECI_STK_TRN_CAR_GSL_NA_NA_MILL.A</t>
  </si>
  <si>
    <t>Light-Duty Vehicle Stock: Conventional Cars: Gasoline: Alternative Transportation</t>
  </si>
  <si>
    <t>Tue Dec 09 2025 14:35:59 GMT-0800 (Pacific Standard Time)</t>
  </si>
  <si>
    <t>https://www.eia.gov/outlooks/aeo/data/browser/#/?id=49-AEO2025&amp;cases=alttrnp&amp;sourcekey=0</t>
  </si>
  <si>
    <t>AEO.2025.ALTTRNP.CNSM_NA_TRN_INTS_LNG_NA_NA_TRLBTU.A</t>
  </si>
  <si>
    <t>Freight: International Shipping: Fuel Use: LNG: Alternative Transportation</t>
  </si>
  <si>
    <t>AEO.2025.ALTTRNP.CNSM_NA_TRN_INTS_CNG_NA_NA_TRLBTU.A</t>
  </si>
  <si>
    <t>Freight: International Shipping: Fuel Use: CNG: Alternative Transportation</t>
  </si>
  <si>
    <t>AEO.2025.ALTTRNP.CNSM_NA_TRN_INTS_RFO_NA_NA_TRLBTU.A</t>
  </si>
  <si>
    <t>Freight: International Shipping: Fuel Use: Residual Fuel Oil: Alternative Transportation</t>
  </si>
  <si>
    <t>AEO.2025.ALTTRNP.CNSM_NA_TRN_INTS_DFO_NA_NA_TRLBTU.A</t>
  </si>
  <si>
    <t>Freight: International Shipping: Fuel Use: Distillate Fuel Oil: Alternative Transportation</t>
  </si>
  <si>
    <t>AEO.2025.ALTTRNP.ECI_IMP_TRN_INTS_NA_NA_NA_BLNY09DLR.A</t>
  </si>
  <si>
    <t>Freight: International Shipping: Imports: Alternative Transportation</t>
  </si>
  <si>
    <t>AEO.2025.ALTTRNP.ECI_EXPT_TRN_INTS_NA_NA_NA_BLNY09DLR.A</t>
  </si>
  <si>
    <t>Freight: International Shipping: Exports: Alternative Transportation</t>
  </si>
  <si>
    <t>AEO.2025.ALTTRNP.ECI_UGHT_TRN_INTS_NA_NA_NA_BLNY09DLR.A</t>
  </si>
  <si>
    <t>Freight: International Shipping: Gross Trade: Alternative Transportation</t>
  </si>
  <si>
    <t>AEO.2025.ALTTRNP.CNSM_NA_TRN_DMT_LNG_NA_NA_TRLBTU.A</t>
  </si>
  <si>
    <t>Freight: Domestic Shipping: Fuel Use: LNG: Alternative Transportation</t>
  </si>
  <si>
    <t>AEO.2025.ALTTRNP.CNSM_NA_TRN_DMT_CNG_NA_NA_TRLBTU.A</t>
  </si>
  <si>
    <t>Freight: Domestic Shipping: Fuel Use: CNG: Alternative Transportation</t>
  </si>
  <si>
    <t>AEO.2025.ALTTRNP.CNSM_NA_TRN_DMT_RFO_NA_NA_TRLBTU.A</t>
  </si>
  <si>
    <t>Freight: Domestic Shipping: Fuel Use: Residual Fuel Oil: Alternative Transportation</t>
  </si>
  <si>
    <t>AEO.2025.ALTTRNP.CNSM_NA_TRN_DMT_DFO_NA_NA_TRLBTU.A</t>
  </si>
  <si>
    <t>Freight: Domestic Shipping: Fuel Use: Distillate Fuel Oil: Alternative Transportation</t>
  </si>
  <si>
    <t>ton miles/thousand Btu</t>
  </si>
  <si>
    <t>AEO.2025.ALTTRNP.EFI_NA_TRN_DMT_NA_NA_NA_TONMLPTHBTU.A</t>
  </si>
  <si>
    <t>Freight: Domestic Shipping: Fuel Efficiency: Alternative Transportation</t>
  </si>
  <si>
    <t>AEO.2025.ALTTRNP.ECI_FTM_TRN_DMT_NA_NA_NA_BLN.A</t>
  </si>
  <si>
    <t>Freight: Domestic Shipping: Ton Miles Shipping: Alternative Transportation</t>
  </si>
  <si>
    <t>AEO.2025.ALTTRNP.CNSM_NA_TRN_RAIL_LNG_NA_NA_TRLBTU.A</t>
  </si>
  <si>
    <t>Freight: Railroads: Fuel Use: LNG: Alternative Transportation</t>
  </si>
  <si>
    <t>AEO.2025.ALTTRNP.CNSM_NA_TRN_RAIL_CNG_NA_NA_TRLBTU.A</t>
  </si>
  <si>
    <t>Freight: Railroads: Fuel Use: CNG: Alternative Transportation</t>
  </si>
  <si>
    <t>AEO.2025.ALTTRNP.CNSM_NA_TRN_RAIL_RFO_NA_NA_TRLBTU.A</t>
  </si>
  <si>
    <t>Freight: Railroads: Fuel Use: Residual Fuel Oil: Alternative Transportation</t>
  </si>
  <si>
    <t>AEO.2025.ALTTRNP.CNSM_NA_TRN_RAIL_DFO_NA_NA_TRLBTU.A</t>
  </si>
  <si>
    <t>Freight: Railroads: Fuel Use: Distillate Fuel Oil: Alternative Transportation</t>
  </si>
  <si>
    <t>AEO.2025.ALTTRNP.EFI_NA_TRN_RAIL_NA_NA_NA_TONMLPTHBTU.A</t>
  </si>
  <si>
    <t>Freight: Railroads: Fuel Efficiency: Alternative Transportation</t>
  </si>
  <si>
    <t>AEO.2025.ALTTRNP.ECI_FTM_TRN_RAIL_NA_NA_NA_BLN.A</t>
  </si>
  <si>
    <t>Freight: Railroads: Ton Miles by Rail: Alternative Transportation</t>
  </si>
  <si>
    <t>AEO.2025.ALTTRNP.ECI_SAL_FGHT_NA_NA_NA_NA_TH.A</t>
  </si>
  <si>
    <t>Freight: New Trucks: Sales: Alternative Transportation</t>
  </si>
  <si>
    <t>AEO.2025.ALTTRNP.ECI_SAL_FGHT_RAD_NA_NA_NA_TH.A</t>
  </si>
  <si>
    <t>Freight: New Trucks: Sales: Heavy: Alternative Transportation</t>
  </si>
  <si>
    <t>AEO.2025.ALTTRNP.ECI_SAL_FGHT_RAD_HYDICE_NA_NA_MPGDSEQ.A</t>
  </si>
  <si>
    <t>Freight: New Trucks: Sales: Heavy: Hydrogen ICE: Alternative Transportation</t>
  </si>
  <si>
    <t>AEO.2025.ALTTRNP.ECI_SAL_FGHT_RAD_GASHEV_NA_NA_MPGGASEQ.A</t>
  </si>
  <si>
    <t>Freight: New Trucks: Sales: Heavy: Gasoline Hybrid: Alternative Transportation</t>
  </si>
  <si>
    <t>AEO.2025.ALTTRNP.ECI_SAL_FGHT_RAD_FEUCELBATDOM_NA_NA_MPGDSEQ.A</t>
  </si>
  <si>
    <t>Freight: New Trucks: Sales: Heavy: Fuel Cell Battery Dominant: Alternative Transportation</t>
  </si>
  <si>
    <t>AEO.2025.ALTTRNP.ECI_SAL_FGHT_RAD_FUC_NA_NA_TH.A</t>
  </si>
  <si>
    <t>Freight: New Trucks: Sales: Heavy: Fuel Cell: Alternative Transportation</t>
  </si>
  <si>
    <t>AEO.2025.ALTTRNP.ECI_SAL_FGHT_RAD_EGH_NA_NA_TH.A</t>
  </si>
  <si>
    <t>Freight: New Trucks: Sales: Heavy: Plug-in Gasoline Hybrid: Alternative Transportation</t>
  </si>
  <si>
    <t>AEO.2025.ALTTRNP.ECI_SAL_FGHT_RAD_EDH_NA_NA_TH.A</t>
  </si>
  <si>
    <t>Freight: New Trucks: Sales: Heavy: Plug-in Diesel Hybrid: Alternative Transportation</t>
  </si>
  <si>
    <t>AEO.2025.ALTTRNP.ECI_SAL_FGHT_RAD_ELE_NA_NA_TH.A</t>
  </si>
  <si>
    <t>Freight: New Trucks: Sales: Heavy: Electric: Alternative Transportation</t>
  </si>
  <si>
    <t>AEO.2025.ALTTRNP.ECI_SAL_FGHT_RAD_EFFI_NA_NA_TH.A</t>
  </si>
  <si>
    <t>Freight: New Trucks: Sales: Heavy: Ethanol-Flex Fuel: Alternative Transportation</t>
  </si>
  <si>
    <t>AEO.2025.ALTTRNP.ECI_SAL_FGHT_RAD_NG_NA_NA_TH.A</t>
  </si>
  <si>
    <t>Freight: New Trucks: Sales: Heavy: Natural Gas: Alternative Transportation</t>
  </si>
  <si>
    <t>AEO.2025.ALTTRNP.ECI_SAL_FGHT_RAD_PROP_NA_NA_TH.A</t>
  </si>
  <si>
    <t>Freight: New Trucks: Sales: Heavy: Propane: Alternative Transportation</t>
  </si>
  <si>
    <t>AEO.2025.ALTTRNP.ECI_SAL_FGHT_RAD_MGS_NA_NA_TH.A</t>
  </si>
  <si>
    <t>Freight: New Trucks: Sales: Heavy: Motor Gasoline: Alternative Transportation</t>
  </si>
  <si>
    <t>AEO.2025.ALTTRNP.ECI_SAL_FGHT_RAD_DSL_NA_NA_TH.A</t>
  </si>
  <si>
    <t>Freight: New Trucks: Sales: Heavy: Diesel: Alternative Transportation</t>
  </si>
  <si>
    <t>AEO.2025.ALTTRNP.ECI_SAL_FGHT_SOSO_NA_NA_NA_TH.A</t>
  </si>
  <si>
    <t>Freight: New Trucks: Sales: Medium: Alternative Transportation</t>
  </si>
  <si>
    <t>AEO.2025.ALTTRNP.ECI_SAL_FGHT_SOSO_HYDICE_NA_NA_MPGDSEQ.A</t>
  </si>
  <si>
    <t>Freight: New Trucks: Sales: Medium: Hydrogen ICE: Alternative Transportation</t>
  </si>
  <si>
    <t>AEO.2025.ALTTRNP.ECI_SAL_FGHT_SOSO_GASHEV_NA_NA_MPGGASEQ.A</t>
  </si>
  <si>
    <t>Freight: New Trucks: Sales: Medium: Gasoline Hybrid: Alternative Transportation</t>
  </si>
  <si>
    <t>AEO.2025.ALTTRNP.ECI_SAL_FGHT_SOSO_FEUCELBATDOM_NA_NA_MPGDSEQ.A</t>
  </si>
  <si>
    <t>Freight: New Trucks: Sales: Medium: Fuel Cell Battery Dominant: Alternative Transportation</t>
  </si>
  <si>
    <t>AEO.2025.ALTTRNP.ECI_SAL_FGHT_SOSO_FUC_NA_NA_TH.A</t>
  </si>
  <si>
    <t>Freight: New Trucks: Sales: Medium: Fuel Cell: Alternative Transportation</t>
  </si>
  <si>
    <t>AEO.2025.ALTTRNP.ECI_SAL_FGHT_SOSO_EGH_NA_NA_TH.A</t>
  </si>
  <si>
    <t>Freight: New Trucks: Sales: Medium: Plug-in Gasoline Hybrid: Alternative Transportation</t>
  </si>
  <si>
    <t>AEO.2025.ALTTRNP.ECI_SAL_FGHT_SOSO_EDH_NA_NA_TH.A</t>
  </si>
  <si>
    <t>Freight: New Trucks: Sales: Medium: Plug-in Diesel Hybrid: Alternative Transportation</t>
  </si>
  <si>
    <t>AEO.2025.ALTTRNP.ECI_SAL_FGHT_SOSO_ELE_NA_NA_TH.A</t>
  </si>
  <si>
    <t>Freight: New Trucks: Sales: Medium: Electric: Alternative Transportation</t>
  </si>
  <si>
    <t>AEO.2025.ALTTRNP.ECI_SAL_FGHT_SOSO_EFFI_NA_NA_TH.A</t>
  </si>
  <si>
    <t>Freight: New Trucks: Sales: Medium: Ethanol-Flex Fuel: Alternative Transportation</t>
  </si>
  <si>
    <t>AEO.2025.ALTTRNP.ECI_SAL_FGHT_SOSO_NG_NA_NA_TH.A</t>
  </si>
  <si>
    <t>Freight: New Trucks: Sales: Medium: Natural Gas: Alternative Transportation</t>
  </si>
  <si>
    <t>AEO.2025.ALTTRNP.ECI_SAL_FGHT_SOSO_PROP_NA_NA_TH.A</t>
  </si>
  <si>
    <t>Freight: New Trucks: Sales: Medium: Propane: Alternative Transportation</t>
  </si>
  <si>
    <t>AEO.2025.ALTTRNP.ECI_SAL_FGHT_SOSO_MGS_NA_NA_TH.A</t>
  </si>
  <si>
    <t>Freight: New Trucks: Sales: Medium: Motor Gasoline: Alternative Transportation</t>
  </si>
  <si>
    <t>AEO.2025.ALTTRNP.ECI_SAL_FGHT_SOSO_DSL_NA_NA_TH.A</t>
  </si>
  <si>
    <t>Freight: New Trucks: Sales: Medium: Diesel: Alternative Transportation</t>
  </si>
  <si>
    <t>AEO.2025.ALTTRNP.ECI_SAL_FGHT_LITEMED_NA_NA_NA_TH.A</t>
  </si>
  <si>
    <t>Freight: New Trucks: Sales: Light Medium: Alternative Transportation</t>
  </si>
  <si>
    <t>AEO.2025.ALTTRNP.ECI_SAL_FGHT_LITEMED_HYDICE_NA_NA_MPGDSEQ.A</t>
  </si>
  <si>
    <t>Freight: New Trucks: Sales: Light Medium: Hydrogen ICE: Alternative Transportation</t>
  </si>
  <si>
    <t>AEO.2025.ALTTRNP.ECI_SAL_FGHT_LITEMED_GASHEV_NA_NA_MPGGASEQ.A</t>
  </si>
  <si>
    <t>Freight: New Trucks: Sales: Light Medium: Gasoline Hybrid: Alternative Transportation</t>
  </si>
  <si>
    <t>AEO.2025.ALTTRNP.ECI_SAL_FGHT_LITEMED_FEUCELBATDOM_NA_NA_MPGDSEQ.A</t>
  </si>
  <si>
    <t>Freight: New Trucks: Sales: Light Medium: Fuel Cell Battery Dominant: Alternative Transportation</t>
  </si>
  <si>
    <t>AEO.2025.ALTTRNP.ECI_SAL_FGHT_LITEMED_FUC_NA_NA_TH.A</t>
  </si>
  <si>
    <t>Freight: New Trucks: Sales: Light Medium: Fuel Cell: Alternative Transportation</t>
  </si>
  <si>
    <t>AEO.2025.ALTTRNP.ECI_SAL_FGHT_LITEMED_EGH_NA_NA_TH.A</t>
  </si>
  <si>
    <t>Freight: New Trucks: Sales: Light Medium: Plug-in Gasoline Hybrid: Alternative Transportation</t>
  </si>
  <si>
    <t>AEO.2025.ALTTRNP.ECI_SAL_FGHT_LITEMED_EDH_NA_NA_TH.A</t>
  </si>
  <si>
    <t>Freight: New Trucks: Sales: Light Medium: Plug-in Diesel Hybrid: Alternative Transportation</t>
  </si>
  <si>
    <t>AEO.2025.ALTTRNP.ECI_SAL_FGHT_LITEMED_ELE_NA_NA_TH.A</t>
  </si>
  <si>
    <t>Freight: New Trucks: Sales: Light Medium: Electric: Alternative Transportation</t>
  </si>
  <si>
    <t>AEO.2025.ALTTRNP.ECI_SAL_FGHT_LITEMED_EFFI_NA_NA_TH.A</t>
  </si>
  <si>
    <t>Freight: New Trucks: Sales: Light Medium: Ethanol-Flex Fuel: Alternative Transportation</t>
  </si>
  <si>
    <t>AEO.2025.ALTTRNP.ECI_SAL_FGHT_LITEMED_NG_NA_NA_TH.A</t>
  </si>
  <si>
    <t>Freight: New Trucks: Sales: Light Medium: Natural Gas: Alternative Transportation</t>
  </si>
  <si>
    <t>AEO.2025.ALTTRNP.ECI_SAL_FGHT_LITEMED_PROP_NA_NA_TH.A</t>
  </si>
  <si>
    <t>Freight: New Trucks: Sales: Light Medium: Propane: Alternative Transportation</t>
  </si>
  <si>
    <t>AEO.2025.ALTTRNP.ECI_SAL_FGHT_LITEMED_MGS_NA_NA_TH.A</t>
  </si>
  <si>
    <t>Freight: New Trucks: Sales: Light Medium: Motor Gasoline: Alternative Transportation</t>
  </si>
  <si>
    <t>AEO.2025.ALTTRNP.ECI_SAL_FGHT_LITEMED_DSL_NA_NA_TH.A</t>
  </si>
  <si>
    <t>Freight: New Trucks: Sales: Light Medium: Diesel: Alternative Transportation</t>
  </si>
  <si>
    <t>AEO.2025.ALTTRNP.EFI_NA_FGHT_NEW_NA_NA_NA_NA.A</t>
  </si>
  <si>
    <t>Freight: New Trucks: Fuel Efficiency: Alternative Transportation</t>
  </si>
  <si>
    <t>AEO.2025.ALTTRNP.EFI_NA_FGHT_RADN_NA_NA_NA_NA.A</t>
  </si>
  <si>
    <t>Freight: New Trucks: Fuel Efficiency: Heavy: Average: Alternative Transportation</t>
  </si>
  <si>
    <t>AEO.2025.ALTTRNP.EFI_NA_FGHT_RADN_HYDICE_NA_NA_MPGDSEQ.A</t>
  </si>
  <si>
    <t>Freight: New Trucks: Fuel Efficiency: Heavy: Hydrogen ICE: Alternative Transportation</t>
  </si>
  <si>
    <t>AEO.2025.ALTTRNP.EFI_NA_FGHT_RADN_GASHEV_NA_NA_MPGGASEQ.A</t>
  </si>
  <si>
    <t>Freight: New Trucks: Fuel Efficiency: Heavy: Gasoline Hybrid: Alternative Transportation</t>
  </si>
  <si>
    <t>AEO.2025.ALTTRNP.EFI_NA_FGHT_RADN_FEUCELBATDOM_NA_NA_MPGDSEQ.A</t>
  </si>
  <si>
    <t>Freight: New Trucks: Fuel Efficiency: Heavy: Fuel Cell Battery Dominant: Alternative Transportation</t>
  </si>
  <si>
    <t>AEO.2025.ALTTRNP.EFI_NA_FGHT_RADN_FUC_NA_NA_MPGDSEQ.A</t>
  </si>
  <si>
    <t>Freight: New Trucks: Fuel Efficiency: Heavy: Fuel Cell: Alternative Transportation</t>
  </si>
  <si>
    <t>AEO.2025.ALTTRNP.EFI_NA_FGHT_RADN_EGH_NA_NA_MPGGASEQ.A</t>
  </si>
  <si>
    <t>Freight: New Trucks: Fuel Efficiency: Heavy: Plug-in Gasoline Hybrid: Alternative Transportation</t>
  </si>
  <si>
    <t>AEO.2025.ALTTRNP.EFI_NA_FGHT_RADN_EDH_NA_NA_MPGDSEQ.A</t>
  </si>
  <si>
    <t>Freight: New Trucks: Fuel Efficiency: Heavy: Plug-in Diesel Hybrid: Alternative Transportation</t>
  </si>
  <si>
    <t>AEO.2025.ALTTRNP.EFI_NA_FGHT_RADN_ELE_NA_NA_MPGDSEQ.A</t>
  </si>
  <si>
    <t>Freight: New Trucks: Fuel Efficiency: Heavy: Electric: Alternative Transportation</t>
  </si>
  <si>
    <t>AEO.2025.ALTTRNP.EFI_NA_FGHT_RADN_EFFI_NA_NA_MPGGASEQ.A</t>
  </si>
  <si>
    <t>Freight: New Trucks: Fuel Efficiency: Heavy: Ethanol-Flex Fuel: Alternative Transportation</t>
  </si>
  <si>
    <t>AEO.2025.ALTTRNP.EFI_NA_FGHT_RADN_NG_NA_NA_MPGDSEQ.A</t>
  </si>
  <si>
    <t>Freight: New Trucks: Fuel Efficiency: Heavy: Natural Gas: Alternative Transportation</t>
  </si>
  <si>
    <t>AEO.2025.ALTTRNP.EFI_NA_FGHT_RADN_PROP_NA_NA_MPGGASEQ.A</t>
  </si>
  <si>
    <t>Freight: New Trucks: Fuel Efficiency: Heavy: Propane: Alternative Transportation</t>
  </si>
  <si>
    <t>AEO.2025.ALTTRNP.EFI_NA_FGHT_RADN_MGS_NA_NA_MPGGASEQ.A</t>
  </si>
  <si>
    <t>Freight: New Trucks: Fuel Efficiency: Heavy: Motor Gasoline: Alternative Transportation</t>
  </si>
  <si>
    <t>AEO.2025.ALTTRNP.EFI_NA_FGHT_RADN_DSL_NA_NA_MPGDSEQ.A</t>
  </si>
  <si>
    <t>Freight: New Trucks: Fuel Efficiency: Heavy: Diesel: Alternative Transportation</t>
  </si>
  <si>
    <t>AEO.2025.ALTTRNP.EFI_NA_FGHT_SOSON_NA_NA_NA_NA.A</t>
  </si>
  <si>
    <t>Freight: New Trucks: Fuel Efficiency: Medium: Average: Alternative Transportation</t>
  </si>
  <si>
    <t>AEO.2025.ALTTRNP.EFI_NA_FGHT_SOSON_HYDICE_NA_NA_MPGDSEQ.A</t>
  </si>
  <si>
    <t>Freight: New Trucks: Fuel Efficiency: Medium: Hydrogen ICE: Alternative Transportation</t>
  </si>
  <si>
    <t>AEO.2025.ALTTRNP.EFI_NA_FGHT_SOSON_GASHEV_NA_NA_MPGGASEQ.A</t>
  </si>
  <si>
    <t>Freight: New Trucks: Fuel Efficiency: Medium: Gasoline Hybrid: Alternative Transportation</t>
  </si>
  <si>
    <t>AEO.2025.ALTTRNP.EFI_NA_FGHT_SOSON_FEUCELBATDOM_NA_NA_MPGDSEQ.A</t>
  </si>
  <si>
    <t>Freight: New Trucks: Fuel Efficiency: Medium: Fuel Cell Battery Dominant: Alternative Transportation</t>
  </si>
  <si>
    <t>AEO.2025.ALTTRNP.EFI_NA_FGHT_SOSON_FUC_NA_NA_MPGGASEQ.A</t>
  </si>
  <si>
    <t>Freight: New Trucks: Fuel Efficiency: Medium: Fuel Cell: Alternative Transportation</t>
  </si>
  <si>
    <t>AEO.2025.ALTTRNP.EFI_NA_FGHT_SOSON_EGH_NA_NA_MPGGASEQ.A</t>
  </si>
  <si>
    <t>Freight: New Trucks: Fuel Efficiency: Medium: Plug-in Gasoline Hybrid: Alternative Transportation</t>
  </si>
  <si>
    <t>AEO.2025.ALTTRNP.EFI_NA_FGHT_SOSON_EDH_NA_NA_MPGGASEQ.A</t>
  </si>
  <si>
    <t>Freight: New Trucks: Fuel Efficiency: Medium: Plug-in Diesel Hybrid: Alternative Transportation</t>
  </si>
  <si>
    <t>AEO.2025.ALTTRNP.EFI_NA_FGHT_SOSON_ELE_NA_NA_MPGGASEQ.A</t>
  </si>
  <si>
    <t>Freight: New Trucks: Fuel Efficiency: Medium: Electric: Alternative Transportation</t>
  </si>
  <si>
    <t>AEO.2025.ALTTRNP.EFI_NA_FGHT_SOSON_EFFI_NA_NA_MPG.A</t>
  </si>
  <si>
    <t>Freight: New Trucks: Fuel Efficiency: Medium: Ethanol-Flex Fuel: Alternative Transportation</t>
  </si>
  <si>
    <t>AEO.2025.ALTTRNP.EFI_NA_FGHT_SOSON_NG_NA_NA_MPGGASEQ.A</t>
  </si>
  <si>
    <t>Freight: New Trucks: Fuel Efficiency: Medium: Natural Gas: Alternative Transportation</t>
  </si>
  <si>
    <t>AEO.2025.ALTTRNP.EFI_NA_FGHT_SOSON_PROP_NA_NA_MPGGASEQ.A</t>
  </si>
  <si>
    <t>Freight: New Trucks: Fuel Efficiency: Medium: Propane: Alternative Transportation</t>
  </si>
  <si>
    <t>AEO.2025.ALTTRNP.EFI_NA_FGHT_SOSON_MGS_NA_NA_MPGGASEQ.A</t>
  </si>
  <si>
    <t>Freight: New Trucks: Fuel Efficiency: Medium: Motor Gasoline: Alternative Transportation</t>
  </si>
  <si>
    <t>AEO.2025.ALTTRNP.EFI_NA_FGHT_SOSON_DSL_NA_NA_MPGDSEQ.A</t>
  </si>
  <si>
    <t>Freight: New Trucks: Fuel Efficiency: Medium: Diesel: Alternative Transportation</t>
  </si>
  <si>
    <t>AEO.2025.ALTTRNP.EFI_NA_FGHT_LITEMEDN_NA_NA_NA_NA.A</t>
  </si>
  <si>
    <t>Freight: New Trucks: Fuel Efficiency: Light Medium: Average: Alternative Transportation</t>
  </si>
  <si>
    <t>AEO.2025.ALTTRNP.EFI_NA_FGHT_LITEMEDN_HYDICE_NA_NA_MPGDSEQ.A</t>
  </si>
  <si>
    <t>Freight: New Trucks: Fuel Efficiency: Light Medium: Hydrogen ICE: Alternative Transportation</t>
  </si>
  <si>
    <t>AEO.2025.ALTTRNP.EFI_NA_FGHT_LITEMEDN_GASHEV_NA_NA_MPGGASEQ.A</t>
  </si>
  <si>
    <t>Freight: New Trucks: Fuel Efficiency: Light Medium: Gasoline Hybrid: Alternative Transportation</t>
  </si>
  <si>
    <t>AEO.2025.ALTTRNP.EFI_NA_FGHT_LITEMEDN_FEUCELBATDOM_NA_NA_MPGDSEQ.A</t>
  </si>
  <si>
    <t>Freight: New Trucks: Fuel Efficiency: Light Medium: Fuel Cell Battery Dominant: Alternative Transportation</t>
  </si>
  <si>
    <t>AEO.2025.ALTTRNP.EFI_NA_FGHT_LITEMEDN_FUC_NA_NA_MPGDSEQ.A</t>
  </si>
  <si>
    <t>Freight: New Trucks: Fuel Efficiency: Light Medium: Fuel Cell: Alternative Transportation</t>
  </si>
  <si>
    <t>AEO.2025.ALTTRNP.EFI_NA_FGHT_LITEMEDN_EGH_NA_NA_MPGGASEQ.A</t>
  </si>
  <si>
    <t>Freight: New Trucks: Fuel Efficiency: Light Medium: Plug-in Gasoline Hybrid: Alternative Transportation</t>
  </si>
  <si>
    <t>AEO.2025.ALTTRNP.EFI_NA_FGHT_LITEMEDN_EDH_NA_NA_MPGDSEQ.A</t>
  </si>
  <si>
    <t>Freight: New Trucks: Fuel Efficiency: Light Medium: Plug-in Diesel Hybrid: Alternative Transportation</t>
  </si>
  <si>
    <t>AEO.2025.ALTTRNP.EFI_NA_FGHT_LITEMEDN_ELE_NA_NA_MPGDSEQ.A</t>
  </si>
  <si>
    <t>Freight: New Trucks: Fuel Efficiency: Light Medium: Electric: Alternative Transportation</t>
  </si>
  <si>
    <t>AEO.2025.ALTTRNP.EFI_NA_FGHT_LITEMEDN_EFFI_NA_NA_MPGGASEQ.A</t>
  </si>
  <si>
    <t>Freight: New Trucks: Fuel Efficiency: Light Medium: Ethanol-Flex Fuel: Alternative Transportation</t>
  </si>
  <si>
    <t>AEO.2025.ALTTRNP.EFI_NA_FGHT_LITEMEDN_NG_NA_NA_MPGGASEQ.A</t>
  </si>
  <si>
    <t>Freight: New Trucks: Fuel Efficiency: Light Medium: Natural Gas: Alternative Transportation</t>
  </si>
  <si>
    <t>AEO.2025.ALTTRNP.EFI_NA_FGHT_LITEMEDN_PROP_NA_NA_MPGGASEQ.A</t>
  </si>
  <si>
    <t>Freight: New Trucks: Fuel Efficiency: Light Medium: Propane: Alternative Transportation</t>
  </si>
  <si>
    <t>AEO.2025.ALTTRNP.EFI_NA_FGHT_LITEMEDN_MGS_NA_NA_MPGGASEQ.A</t>
  </si>
  <si>
    <t>Freight: New Trucks: Fuel Efficiency: Light Medium: Motor Gasoline: Alternative Transportation</t>
  </si>
  <si>
    <t>AEO.2025.ALTTRNP.EFI_NA_FGHT_LITEMEDN_DSL_NA_NA_MPGDSEQ.A</t>
  </si>
  <si>
    <t>Freight: New Trucks: Fuel Efficiency: Light Medium: Diesel: Alternative Transportation</t>
  </si>
  <si>
    <t>AEO.2025.ALTTRNP.ECI_STK_FGHT_STK_NA_NA_NA_MILL.A</t>
  </si>
  <si>
    <t>Freight: Truck Stock: Alternative Transportation</t>
  </si>
  <si>
    <t>AEO.2025.ALTTRNP.ECI_STK_FGHT_RADS_NA_NA_NA_MILL.A</t>
  </si>
  <si>
    <t>Freight: Truck Stock: Heavy: Alternative Transportation</t>
  </si>
  <si>
    <t>AEO.2025.ALTTRNP.ECI_STK_FGHT_RADS_HYDICE_NA_NA_MILL.A</t>
  </si>
  <si>
    <t>Freight: Truck Stock: Heavy: Hydrogen ICE: Alternative Transportation</t>
  </si>
  <si>
    <t>AEO.2025.ALTTRNP.ECI_STK_FGHT_RADS_GASHEV_NA_NA_MILL.A</t>
  </si>
  <si>
    <t>Freight: Truck Stock: Heavy: Gasoline Hybrid: Alternative Transportation</t>
  </si>
  <si>
    <t>AEO.2025.ALTTRNP.ECI_STK_FGHT_RADS_FEUCELBATDOM_NA_NA_MILL.A</t>
  </si>
  <si>
    <t>Freight: Truck Stock: Heavy: Fuel Cell Battery Dominant: Alternative Transportation</t>
  </si>
  <si>
    <t>AEO.2025.ALTTRNP.ECI_STK_FGHT_RADS_FUC_NA_NA_MILL.A</t>
  </si>
  <si>
    <t>Freight: Truck Stock: Heavy: Fuel Cell: Alternative Transportation</t>
  </si>
  <si>
    <t>AEO.2025.ALTTRNP.ECI_STK_FGHT_RADS_EGH_NA_NA_MILL.A</t>
  </si>
  <si>
    <t>Freight: Truck Stock: Heavy: Plug-in Gasoline Hybrid: Alternative Transportation</t>
  </si>
  <si>
    <t>AEO.2025.ALTTRNP.ECI_STK_FGHT_RADS_EDH_NA_NA_MILL.A</t>
  </si>
  <si>
    <t>Freight: Truck Stock: Heavy: Plug-in Diesel Hybrid: Alternative Transportation</t>
  </si>
  <si>
    <t>AEO.2025.ALTTRNP.ECI_STK_FGHT_RADS_ELE_NA_NA_MILL.A</t>
  </si>
  <si>
    <t>Freight: Truck Stock: Heavy: Electric: Alternative Transportation</t>
  </si>
  <si>
    <t>AEO.2025.ALTTRNP.ECI_STK_FGHT_RADS_EFFI_NA_NA_MILL.A</t>
  </si>
  <si>
    <t>Freight: Truck Stock: Heavy: Ethanol-Flex Fuel: Alternative Transportation</t>
  </si>
  <si>
    <t>AEO.2025.ALTTRNP.ECI_STK_FGHT_RADS_NG_NA_NA_MILL.A</t>
  </si>
  <si>
    <t>Freight: Truck Stock: Heavy: Natural Gas: Alternative Transportation</t>
  </si>
  <si>
    <t>AEO.2025.ALTTRNP.ECI_STK_FGHT_RADS_PROP_NA_NA_MILL.A</t>
  </si>
  <si>
    <t>Freight: Truck Stock: Heavy: Propane: Alternative Transportation</t>
  </si>
  <si>
    <t>AEO.2025.ALTTRNP.ECI_STK_FGHT_RADS_MGS_NA_NA_MILL.A</t>
  </si>
  <si>
    <t>Freight: Truck Stock: Heavy: Motor Gasoline: Alternative Transportation</t>
  </si>
  <si>
    <t>AEO.2025.ALTTRNP.ECI_STK_FGHT_RADS_DSL_NA_NA_MILL.A</t>
  </si>
  <si>
    <t>Freight: Truck Stock: Heavy: Diesel: Alternative Transportation</t>
  </si>
  <si>
    <t>AEO.2025.ALTTRNP.ECI_STK_FGHT_SOSOS_NA_NA_NA_MILL.A</t>
  </si>
  <si>
    <t>Freight: Truck Stock: Medium: Alternative Transportation</t>
  </si>
  <si>
    <t>AEO.2025.ALTTRNP.ECI_STK_FGHT_SOSOS_HYDICE_NA_NA_MILL.A</t>
  </si>
  <si>
    <t>Freight: Truck Stock: Medium: Hydrogen ICE: Alternative Transportation</t>
  </si>
  <si>
    <t>AEO.2025.ALTTRNP.ECI_STK_FGHT_SOSOS_GASHEV_NA_NA_MILL.A</t>
  </si>
  <si>
    <t>Freight: Truck Stock: Medium: Gasoline Hybrid: Alternative Transportation</t>
  </si>
  <si>
    <t>AEO.2025.ALTTRNP.ECI_STK_FGHT_SOSOS_FEUCELBATDOM_NA_NA_MILL.A</t>
  </si>
  <si>
    <t>Freight: Truck Stock: Medium: Fuel Cell Battery Dominant: Alternative Transportation</t>
  </si>
  <si>
    <t>AEO.2025.ALTTRNP.ECI_STK_FGHT_SOSOS_FUC_NA_NA_MILL.A</t>
  </si>
  <si>
    <t>Freight: Truck Stock: Medium: Fuel Cell: Alternative Transportation</t>
  </si>
  <si>
    <t>AEO.2025.ALTTRNP.ECI_STK_FGHT_SOSOS_EGH_NA_NA_MILL.A</t>
  </si>
  <si>
    <t>Freight: Truck Stock: Medium: Plug-in Gasoline Hybrid: Alternative Transportation</t>
  </si>
  <si>
    <t>AEO.2025.ALTTRNP.ECI_STK_FGHT_SOSOS_EDH_NA_NA_MILL.A</t>
  </si>
  <si>
    <t>Freight: Truck Stock: Medium: Plug-in Diesel Hybrid: Alternative Transportation</t>
  </si>
  <si>
    <t>AEO.2025.ALTTRNP.ECI_STK_FGHT_SOSOS_ELE_NA_NA_MILL.A</t>
  </si>
  <si>
    <t>Freight: Truck Stock: Medium: Electric: Alternative Transportation</t>
  </si>
  <si>
    <t>AEO.2025.ALTTRNP.ECI_STK_FGHT_SOSOS_EFFI_NA_NA_MILL.A</t>
  </si>
  <si>
    <t>Freight: Truck Stock: Medium: Ethanol-Flex Fuel: Alternative Transportation</t>
  </si>
  <si>
    <t>AEO.2025.ALTTRNP.ECI_STK_FGHT_SOSOS_NG_NA_NA_MILL.A</t>
  </si>
  <si>
    <t>Freight: Truck Stock: Medium: Natural Gas: Alternative Transportation</t>
  </si>
  <si>
    <t>AEO.2025.ALTTRNP.ECI_STK_FGHT_SOSOS_PROP_NA_NA_MILL.A</t>
  </si>
  <si>
    <t>Freight: Truck Stock: Medium: Propane: Alternative Transportation</t>
  </si>
  <si>
    <t>AEO.2025.ALTTRNP.ECI_STK_FGHT_SOSOS_MGS_NA_NA_MILL.A</t>
  </si>
  <si>
    <t>Freight: Truck Stock: Medium: Motor Gasoline: Alternative Transportation</t>
  </si>
  <si>
    <t>AEO.2025.ALTTRNP.ECI_STK_FGHT_SOSOS_DSL_NA_NA_MILL.A</t>
  </si>
  <si>
    <t>Freight: Truck Stock: Medium: Diesel: Alternative Transportation</t>
  </si>
  <si>
    <t>AEO.2025.ALTTRNP.ECI_STK_FGHT_LITEMEDS_NA_NA_NA_MILL.A</t>
  </si>
  <si>
    <t>Freight: Truck Stock: Light Medium: Alternative Transportation</t>
  </si>
  <si>
    <t>AEO.2025.ALTTRNP.ECI_STK_FGHT_LITEMEDS_HYDICE_NA_NA_MILL.A</t>
  </si>
  <si>
    <t>Freight: Truck Stock: Light Medium: Hydrogen ICE: Alternative Transportation</t>
  </si>
  <si>
    <t>AEO.2025.ALTTRNP.ECI_STK_FGHT_LITEMEDS_GASHEV_NA_NA_MILL.A</t>
  </si>
  <si>
    <t>Freight: Truck Stock: Light Medium: Gasoline Hybrid: Alternative Transportation</t>
  </si>
  <si>
    <t>AEO.2025.ALTTRNP.ECI_STK_FGHT_LITEMEDS_FEUCELBATDOM_NA_NA_MILL.A</t>
  </si>
  <si>
    <t>Freight: Truck Stock: Light Medium: Fuel Cell Battery Dominant: Alternative Transportation</t>
  </si>
  <si>
    <t>AEO.2025.ALTTRNP.ECI_STK_FGHT_LITEMEDS_FUC_NA_NA_MILL.A</t>
  </si>
  <si>
    <t>Freight: Truck Stock: Light Medium: Fuel Cell: Alternative Transportation</t>
  </si>
  <si>
    <t>AEO.2025.ALTTRNP.ECI_STK_FGHT_LITEMEDS_EGH_NA_NA_MILL.A</t>
  </si>
  <si>
    <t>Freight: Truck Stock: Light Medium: Plug-in Gasoline Hybrid: Alternative Transportation</t>
  </si>
  <si>
    <t>AEO.2025.ALTTRNP.ECI_STK_FGHT_LITEMEDS_EDH_NA_NA_MILL.A</t>
  </si>
  <si>
    <t>Freight: Truck Stock: Light Medium: Plug-in Diesel Hybrid: Alternative Transportation</t>
  </si>
  <si>
    <t>AEO.2025.ALTTRNP.ECI_STK_FGHT_LITEMEDS_ELE_NA_NA_MILL.A</t>
  </si>
  <si>
    <t>Freight: Truck Stock: Light Medium: Electric: Alternative Transportation</t>
  </si>
  <si>
    <t>AEO.2025.ALTTRNP.ECI_STK_FGHT_LITEMEDS_EFFI_NA_NA_MILL.A</t>
  </si>
  <si>
    <t>Freight: Truck Stock: Light Medium: Ethanol-Flex Fuel: Alternative Transportation</t>
  </si>
  <si>
    <t>AEO.2025.ALTTRNP.ECI_STK_FGHT_LITEMEDS_NG_NA_NA_MILL.A</t>
  </si>
  <si>
    <t>Freight: Truck Stock: Light Medium: Natural Gas: Alternative Transportation</t>
  </si>
  <si>
    <t>AEO.2025.ALTTRNP.ECI_STK_FGHT_LITEMEDS_PROP_NA_NA_MILL.A</t>
  </si>
  <si>
    <t>Freight: Truck Stock: Light Medium: Propane: Alternative Transportation</t>
  </si>
  <si>
    <t>AEO.2025.ALTTRNP.ECI_STK_FGHT_LITEMEDS_MGS_NA_NA_MILL.A</t>
  </si>
  <si>
    <t>Freight: Truck Stock: Light Medium: Motor Gasoline: Alternative Transportation</t>
  </si>
  <si>
    <t>AEO.2025.ALTTRNP.ECI_STK_FGHT_LITEMEDS_DSL_NA_NA_MILL.A</t>
  </si>
  <si>
    <t>Freight: Truck Stock: Light Medium: Diesel: Alternative Transportation</t>
  </si>
  <si>
    <t>AEO.2025.ALTTRNP.EFI_NA_FGHT_STK_NA_NA_NA_NA.A</t>
  </si>
  <si>
    <t>Freight: Truck Stock: Fuel Efficiency: Alternative Transportation</t>
  </si>
  <si>
    <t>AEO.2025.ALTTRNP.EFI_NA_FGHT_RADS_NA_NA_NA_NA.A</t>
  </si>
  <si>
    <t>Freight: Truck Stock: Fuel Efficiency: Heavy: Average: Alternative Transportation</t>
  </si>
  <si>
    <t>AEO.2025.ALTTRNP.EFI_NA_FGHT_RADS_HYDICE_NA_NA_MPGDSEQ.A</t>
  </si>
  <si>
    <t>Freight: Truck Stock: Fuel Efficiency: Heavy: Hydrogen ICE: Alternative Transportation</t>
  </si>
  <si>
    <t>AEO.2025.ALTTRNP.EFI_NA_FGHT_RADS_GASHEV_NA_NA_MPGGASEQ.A</t>
  </si>
  <si>
    <t>Freight: Truck Stock: Fuel Efficiency: Heavy: Gasoline Hybrid: Alternative Transportation</t>
  </si>
  <si>
    <t>AEO.2025.ALTTRNP.EFI_NA_FGHT_RADS_FEUCELBATDOM_NA_NA_MPGDSEQ.A</t>
  </si>
  <si>
    <t>Freight: Truck Stock: Fuel Efficiency: Heavy: Fuel Cell Battery Dominant: Alternative Transportation</t>
  </si>
  <si>
    <t>AEO.2025.ALTTRNP.EFI_NA_FGHT_RADS_FUC_NA_NA_MPGDSEQ.A</t>
  </si>
  <si>
    <t>Freight: Truck Stock: Fuel Efficiency: Heavy: Fuel Cell: Alternative Transportation</t>
  </si>
  <si>
    <t>AEO.2025.ALTTRNP.EFI_NA_FGHT_RADS_EGH_NA_NA_MPGGASEQ.A</t>
  </si>
  <si>
    <t>Freight: Truck Stock: Fuel Efficiency: Heavy: Plug-in Gasoline Hybrid: Alternative Transportation</t>
  </si>
  <si>
    <t>AEO.2025.ALTTRNP.EFI_NA_FGHT_RADS_EDH_NA_NA_MPGDSEQ.A</t>
  </si>
  <si>
    <t>Freight: Truck Stock: Fuel Efficiency: Heavy: Plug-in Diesel Hybrid: Alternative Transportation</t>
  </si>
  <si>
    <t>AEO.2025.ALTTRNP.EFI_NA_FGHT_RADS_ELE_NA_NA_MPGDSEQ.A</t>
  </si>
  <si>
    <t>Freight: Truck Stock: Fuel Efficiency: Heavy: Electric: Alternative Transportation</t>
  </si>
  <si>
    <t>AEO.2025.ALTTRNP.EFI_NA_FGHT_RADS_EFFI_NA_NA_MPGGASEQ.A</t>
  </si>
  <si>
    <t>Freight: Truck Stock: Fuel Efficiency: Heavy: Ethanol-Flex Fuel: Alternative Transportation</t>
  </si>
  <si>
    <t>AEO.2025.ALTTRNP.EFI_NA_FGHT_RADS_NG_NA_NA_MPGDSEQ.A</t>
  </si>
  <si>
    <t>Freight: Truck Stock: Fuel Efficiency: Heavy: Natural Gas: Alternative Transportation</t>
  </si>
  <si>
    <t>AEO.2025.ALTTRNP.EFI_NA_FGHT_RADS_PROP_NA_NA_MPGGASEQ.A</t>
  </si>
  <si>
    <t>Freight: Truck Stock: Fuel Efficiency: Heavy: Propane: Alternative Transportation</t>
  </si>
  <si>
    <t>AEO.2025.ALTTRNP.EFI_NA_FGHT_RADS_MGS_NA_NA_MPGGASEQ.A</t>
  </si>
  <si>
    <t>Freight: Truck Stock: Fuel Efficiency: Heavy: Motor Gasoline: Alternative Transportation</t>
  </si>
  <si>
    <t>AEO.2025.ALTTRNP.EFI_NA_FGHT_RADS_DSL_NA_NA_MPGDSEQ.A</t>
  </si>
  <si>
    <t>Freight: Truck Stock: Fuel Efficiency: Heavy: Diesel: Alternative Transportation</t>
  </si>
  <si>
    <t>AEO.2025.ALTTRNP.EFI_NA_FGHT_SOSOS_NA_NA_NA_NA.A</t>
  </si>
  <si>
    <t>Freight: Truck Stock: Fuel Efficiency: Medium: Average: Alternative Transportation</t>
  </si>
  <si>
    <t>AEO.2025.ALTTRNP.EFI_NA_FGHT_SOSOS_HYDICE_NA_NA_MPGDSEQ.A</t>
  </si>
  <si>
    <t>Freight: Truck Stock: Fuel Efficiency: Medium: Hydrogen ICE: Alternative Transportation</t>
  </si>
  <si>
    <t>AEO.2025.ALTTRNP.EFI_NA_FGHT_SOSOS_GASHEV_NA_NA_MPGGASEQ.A</t>
  </si>
  <si>
    <t>Freight: Truck Stock: Fuel Efficiency: Medium: Gasoline Hybrid: Alternative Transportation</t>
  </si>
  <si>
    <t>AEO.2025.ALTTRNP.EFI_NA_FGHT_SOSOS_FEUCELBATDOM_NA_NA_MPGDSEQ.A</t>
  </si>
  <si>
    <t>Freight: Truck Stock: Fuel Efficiency: Medium: Fuel Cell Battery Dominant: Alternative Transportation</t>
  </si>
  <si>
    <t>AEO.2025.ALTTRNP.EFI_NA_FGHT_SOSOS_FUC_NA_NA_MPGGASEQ.A</t>
  </si>
  <si>
    <t>Freight: Truck Stock: Fuel Efficiency: Medium: Fuel Cell: Alternative Transportation</t>
  </si>
  <si>
    <t>AEO.2025.ALTTRNP.EFI_NA_FGHT_SOSOS_EGH_NA_NA_MPGGASEQ.A</t>
  </si>
  <si>
    <t>Freight: Truck Stock: Fuel Efficiency: Medium: Plug-in Gasoline Hybrid: Alternative Transportation</t>
  </si>
  <si>
    <t>AEO.2025.ALTTRNP.EFI_NA_FGHT_SOSOS_EDH_NA_NA_MPGGASEQ.A</t>
  </si>
  <si>
    <t>Freight: Truck Stock: Fuel Efficiency: Medium: Plug-in Diesel Hybrid: Alternative Transportation</t>
  </si>
  <si>
    <t>AEO.2025.ALTTRNP.EFI_NA_FGHT_SOSOS_ELE_NA_NA_MPGGASEQ.A</t>
  </si>
  <si>
    <t>Freight: Truck Stock: Fuel Efficiency: Medium: Electric: Alternative Transportation</t>
  </si>
  <si>
    <t>AEO.2025.ALTTRNP.EFI_NA_FGHT_SOSOS_EFFI_NA_NA_MPG.A</t>
  </si>
  <si>
    <t>Freight: Truck Stock: Fuel Efficiency: Medium: Ethanol-Flex Fuel: Alternative Transportation</t>
  </si>
  <si>
    <t>AEO.2025.ALTTRNP.EFI_NA_FGHT_SOSOS_NG_NA_NA_MPGGASEQ.A</t>
  </si>
  <si>
    <t>Freight: Truck Stock: Fuel Efficiency: Medium: Natural Gas: Alternative Transportation</t>
  </si>
  <si>
    <t>AEO.2025.ALTTRNP.EFI_NA_FGHT_SOSOS_PROP_NA_NA_MPGGASEQ.A</t>
  </si>
  <si>
    <t>Freight: Truck Stock: Fuel Efficiency: Medium: Propane: Alternative Transportation</t>
  </si>
  <si>
    <t>AEO.2025.ALTTRNP.EFI_NA_FGHT_SOSOS_MGS_NA_NA_MPGGASEQ.A</t>
  </si>
  <si>
    <t>Freight: Truck Stock: Fuel Efficiency: Medium: Motor Gasoline: Alternative Transportation</t>
  </si>
  <si>
    <t>AEO.2025.ALTTRNP.EFI_NA_FGHT_SOSOS_DSL_NA_NA_MPGDSEQ.A</t>
  </si>
  <si>
    <t>Freight: Truck Stock: Fuel Efficiency: Medium: Diesel: Alternative Transportation</t>
  </si>
  <si>
    <t>AEO.2025.ALTTRNP.EFI_NA_FGHT_LITEMEDS_NA_NA_NA_NA.A</t>
  </si>
  <si>
    <t>Freight: Truck Stock: Fuel Efficiency: Light Medium: Average: Alternative Transportation</t>
  </si>
  <si>
    <t>AEO.2025.ALTTRNP.EFI_NA_FGHT_LITEMEDS_HYDICE_NA_NA_MPGDSEQ.A</t>
  </si>
  <si>
    <t>Freight: Truck Stock: Fuel Efficiency: Light Medium: Hydrogen ICE: Alternative Transportation</t>
  </si>
  <si>
    <t>AEO.2025.ALTTRNP.EFI_NA_FGHT_LITEMEDS_GASHEV_NA_NA_MPGGASEQ.A</t>
  </si>
  <si>
    <t>Freight: Truck Stock: Fuel Efficiency: Light Medium: Gasoline Hybrid: Alternative Transportation</t>
  </si>
  <si>
    <t>AEO.2025.ALTTRNP.EFI_NA_FGHT_LITEMEDS_FEUCELBATDOM_NA_NA_MPGDSEQ.A</t>
  </si>
  <si>
    <t>Freight: Truck Stock: Fuel Efficiency: Light Medium: Fuel Cell Battery Dominant: Alternative Transportation</t>
  </si>
  <si>
    <t>AEO.2025.ALTTRNP.EFI_NA_FGHT_LITEMEDS_FUC_NA_NA_MPGDSEQ.A</t>
  </si>
  <si>
    <t>Freight: Truck Stock: Fuel Efficiency: Light Medium: Fuel Cell: Alternative Transportation</t>
  </si>
  <si>
    <t>AEO.2025.ALTTRNP.EFI_NA_FGHT_LITEMEDS_EGH_NA_NA_MPGGASEQ.A</t>
  </si>
  <si>
    <t>Freight: Truck Stock: Fuel Efficiency: Light Medium: Plug-in Gasoline Hybrid: Alternative Transportation</t>
  </si>
  <si>
    <t>AEO.2025.ALTTRNP.EFI_NA_FGHT_LITEMEDS_EDH_NA_NA_MPGDSEQ.A</t>
  </si>
  <si>
    <t>Freight: Truck Stock: Fuel Efficiency: Light Medium: Plug-in Diesel Hybrid: Alternative Transportation</t>
  </si>
  <si>
    <t>AEO.2025.ALTTRNP.EFI_NA_FGHT_LITEMEDS_ELE_NA_NA_MPGDSEQ.A</t>
  </si>
  <si>
    <t>Freight: Truck Stock: Fuel Efficiency: Light Medium: Electric: Alternative Transportation</t>
  </si>
  <si>
    <t>AEO.2025.ALTTRNP.EFI_NA_FGHT_LITEMEDS_EFFI_NA_NA_MPGGASEQ.A</t>
  </si>
  <si>
    <t>Freight: Truck Stock: Fuel Efficiency: Light Medium: Ethanol-Flex Fuel: Alternative Transportation</t>
  </si>
  <si>
    <t>AEO.2025.ALTTRNP.EFI_NA_FGHT_LITEMEDS_NG_NA_NA_MPGGASEQ.A</t>
  </si>
  <si>
    <t>Freight: Truck Stock: Fuel Efficiency: Light Medium: Natural Gas: Alternative Transportation</t>
  </si>
  <si>
    <t>AEO.2025.ALTTRNP.EFI_NA_FGHT_LITEMEDS_PROP_NA_NA_MPGGASEQ.A</t>
  </si>
  <si>
    <t>Freight: Truck Stock: Fuel Efficiency: Light Medium: Propane: Alternative Transportation</t>
  </si>
  <si>
    <t>AEO.2025.ALTTRNP.EFI_NA_FGHT_LITEMEDS_MGS_NA_NA_MPGGASEQ.A</t>
  </si>
  <si>
    <t>Freight: Truck Stock: Fuel Efficiency: Light Medium: Motor Gasoline: Alternative Transportation</t>
  </si>
  <si>
    <t>AEO.2025.ALTTRNP.EFI_NA_FGHT_LITEMEDS_DSL_NA_NA_MPGDSEQ.A</t>
  </si>
  <si>
    <t>Freight: Truck Stock: Fuel Efficiency: Light Medium: Diesel: Alternative Transportation</t>
  </si>
  <si>
    <t>AEO.2025.ALTTRNP.CNSM_NA_FGHT_STK_NA_NA_NA_TRLBTU.A</t>
  </si>
  <si>
    <t>Freight: Truck Stock: Use: Light Medium, Medium, and Heavy: Alternative Transportation</t>
  </si>
  <si>
    <t>AEO.2025.ALTTRNP.CNSM_NA_FGHT_STK_HYDICE_NA_NA_TRLBTU.A</t>
  </si>
  <si>
    <t>Freight: Truck Stock: Use: Light Medium, Medium, and Heavy: Hydrogen ICE: Alternative Transportation</t>
  </si>
  <si>
    <t>AEO.2025.ALTTRNP.CNSM_NA_FGHT_STK_GASHEV_NA_NA_TRLBTU.A</t>
  </si>
  <si>
    <t>Freight: Truck Stock: Use: Light Medium, Medium, and Heavy: Gasoline Hybrid: Alternative Transportation</t>
  </si>
  <si>
    <t>AEO.2025.ALTTRNP.CNSM_NA_FGHT_STK_FEUCELBATDOM_NA_NA_TRLBTU.A</t>
  </si>
  <si>
    <t>Freight: Truck Stock: Use: Light Medium, Medium, and Heavy: Fuel Cell Battery Dominant: Alternative Transportation</t>
  </si>
  <si>
    <t>AEO.2025.ALTTRNP.CNSM_NA_FGHT_STK_FUC_NA_NA_TRLBTU.A</t>
  </si>
  <si>
    <t>Freight: Truck Stock: Use: Light Medium, Medium, and Heavy: Fuel Cell: Alternative Transportation</t>
  </si>
  <si>
    <t>AEO.2025.ALTTRNP.CNSM_NA_FGHT_STK_EGH_NA_NA_TRLBTU.A</t>
  </si>
  <si>
    <t>Freight: Truck Stock: Use: Light Medium, Medium, and Heavy: Plug-in Gasoline Hybrid: Alternative Transportation</t>
  </si>
  <si>
    <t>AEO.2025.ALTTRNP.CNSM_NA_FGHT_STK_EDH_NA_NA_TRLBTU.A</t>
  </si>
  <si>
    <t>Freight: Truck Stock: Use: Light Medium, Medium, and Heavy: Plug-in Diesel Hybrid: Alternative Transportation</t>
  </si>
  <si>
    <t>AEO.2025.ALTTRNP.CNSM_NA_FGHT_STK_ELE_NA_NA_TRLBTU.A</t>
  </si>
  <si>
    <t>Freight: Truck Stock: Use: Light Medium, Medium, and Heavy: Electric: Alternative Transportation</t>
  </si>
  <si>
    <t>AEO.2025.ALTTRNP.CNSM_NA_FGHT_STK_EFFI_NA_NA_TRLBTU.A</t>
  </si>
  <si>
    <t>Freight: Truck Stock: Use: Light Medium, Medium, and Heavy: Ethanol-Flex Fuel: Alternative Transportation</t>
  </si>
  <si>
    <t>AEO.2025.ALTTRNP.CNSM_NA_FGHT_STK_NG_NA_NA_TRLBTU.A</t>
  </si>
  <si>
    <t>Freight: Truck Stock: Use: Light Medium, Medium, and Heavy: Natural Gas: Alternative Transportation</t>
  </si>
  <si>
    <t>AEO.2025.ALTTRNP.CNSM_NA_FGHT_STK_PROP_NA_NA_TRLBTU.A</t>
  </si>
  <si>
    <t>Freight: Truck Stock: Use: Light Medium, Medium, and Heavy: Propane: Alternative Transportation</t>
  </si>
  <si>
    <t>AEO.2025.ALTTRNP.CNSM_NA_FGHT_STK_MGS_NA_NA_TRLBTU.A</t>
  </si>
  <si>
    <t>Freight: Truck Stock: Use: Light Medium, Medium, and Heavy: Motor Gasoline: Alternative Transportation</t>
  </si>
  <si>
    <t>AEO.2025.ALTTRNP.CNSM_NA_FGHT_STK_DSL_NA_NA_TRLBTU.A</t>
  </si>
  <si>
    <t>Freight: Truck Stock: Use: Light Medium, Medium, and Heavy: Diesel: Alternative Transportation</t>
  </si>
  <si>
    <t>AEO.2025.ALTTRNP.CNSM_NA_FGHT_RADS_NA_NA_NA_TRLBTU.A</t>
  </si>
  <si>
    <t>Freight: Truck Stock: Use: Heavy: Alternative Transportation</t>
  </si>
  <si>
    <t>AEO.2025.ALTTRNP.CNSM_NA_FGHT_RADS_HYDICE_NA_NA_TRLBTU.A</t>
  </si>
  <si>
    <t>Freight: Truck Stock: Use: Heavy: Hydrogen ICE: Alternative Transportation</t>
  </si>
  <si>
    <t>AEO.2025.ALTTRNP.CNSM_NA_FGHT_RADS_GASHEV_NA_NA_TRLBTU.A</t>
  </si>
  <si>
    <t>Freight: Truck Stock: Use: Heavy: Gasoline Hybrid: Alternative Transportation</t>
  </si>
  <si>
    <t>AEO.2025.ALTTRNP.CNSM_NA_FGHT_RADS_FEUCELBATDOM_NA_NA_TRLBTU.A</t>
  </si>
  <si>
    <t>Freight: Truck Stock: Use: Heavy: Fuel Cell Battery Dominant: Alternative Transportation</t>
  </si>
  <si>
    <t>AEO.2025.ALTTRNP.CNSM_NA_FGHT_RADS_FUC_NA_NA_TRLBTU.A</t>
  </si>
  <si>
    <t>Freight: Truck Stock: Use: Heavy: Fuel Cell: Alternative Transportation</t>
  </si>
  <si>
    <t>AEO.2025.ALTTRNP.CNSM_NA_FGHT_RADS_EGH_NA_NA_TRLBTU.A</t>
  </si>
  <si>
    <t>Freight: Truck Stock: Use: Heavy: Plug-in Gasoline Hybrid: Alternative Transportation</t>
  </si>
  <si>
    <t>AEO.2025.ALTTRNP.CNSM_NA_FGHT_RADS_EDH_NA_NA_TRLBTU.A</t>
  </si>
  <si>
    <t>Freight: Truck Stock: Use: Heavy: Plug-in Diesel Hybrid: Alternative Transportation</t>
  </si>
  <si>
    <t>AEO.2025.ALTTRNP.CNSM_NA_FGHT_RADS_ELE_NA_NA_TRLBTU.A</t>
  </si>
  <si>
    <t>Freight: Truck Stock: Use: Heavy: Electric: Alternative Transportation</t>
  </si>
  <si>
    <t>AEO.2025.ALTTRNP.CNSM_NA_FGHT_RADS_EFFI_NA_NA_TRLBTU.A</t>
  </si>
  <si>
    <t>Freight: Truck Stock: Use: Heavy: Ethanol-Flex Fuel: Alternative Transportation</t>
  </si>
  <si>
    <t>AEO.2025.ALTTRNP.CNSM_NA_FGHT_RADS_NG_NA_NA_TRLBTU.A</t>
  </si>
  <si>
    <t>Freight: Truck Stock: Use: Heavy: Natural Gas: Alternative Transportation</t>
  </si>
  <si>
    <t>AEO.2025.ALTTRNP.CNSM_NA_FGHT_RADS_PROP_NA_NA_TRLBTU.A</t>
  </si>
  <si>
    <t>Freight: Truck Stock: Use: Heavy: Propane: Alternative Transportation</t>
  </si>
  <si>
    <t>AEO.2025.ALTTRNP.CNSM_NA_FGHT_RADS_MGS_NA_NA_TRLBTU.A</t>
  </si>
  <si>
    <t>Freight: Truck Stock: Use: Heavy: Motor Gasoline: Alternative Transportation</t>
  </si>
  <si>
    <t>AEO.2025.ALTTRNP.CNSM_NA_FGHT_RADS_DSL_NA_NA_TRLBTU.A</t>
  </si>
  <si>
    <t>Freight: Truck Stock: Use: Heavy: Diesel: Alternative Transportation</t>
  </si>
  <si>
    <t>AEO.2025.ALTTRNP.CNSM_NA_FGHT_SOSOS_NA_NA_NA_TRLBTU.A</t>
  </si>
  <si>
    <t>Freight: Truck Stock: Use: Medium: Alternative Transportation</t>
  </si>
  <si>
    <t>AEO.2025.ALTTRNP.CNSM_NA_FGHT_SOSOS_HYDICE_NA_NA_TRLBTU.A</t>
  </si>
  <si>
    <t>Freight: Truck Stock: Use: Medium: Hydrogen ICE: Alternative Transportation</t>
  </si>
  <si>
    <t>AEO.2025.ALTTRNP.CNSM_NA_FGHT_SOSOS_GASHEV_NA_NA_TRLBTU.A</t>
  </si>
  <si>
    <t>Freight: Truck Stock: Use: Medium: Gasoline Hybrid: Alternative Transportation</t>
  </si>
  <si>
    <t>AEO.2025.ALTTRNP.CNSM_NA_FGHT_SOSOS_FEUCELBATDOM_NA_NA_TRLBTU.A</t>
  </si>
  <si>
    <t>Freight: Truck Stock: Use: Medium: Fuel Cell Battery Dominant: Alternative Transportation</t>
  </si>
  <si>
    <t>AEO.2025.ALTTRNP.CNSM_NA_FGHT_SOSOS_FUC_NA_NA_TRLBTU.A</t>
  </si>
  <si>
    <t>Freight: Truck Stock: Use: Medium: Fuel Cell: Alternative Transportation</t>
  </si>
  <si>
    <t>AEO.2025.ALTTRNP.CNSM_NA_FGHT_SOSOS_EGH_NA_NA_TRLBTU.A</t>
  </si>
  <si>
    <t>Freight: Truck Stock: Use: Medium: Plug-in Gasoline Hybrid: Alternative Transportation</t>
  </si>
  <si>
    <t>AEO.2025.ALTTRNP.CNSM_NA_FGHT_SOSOS_EDH_NA_NA_TRLBTU.A</t>
  </si>
  <si>
    <t>Freight: Truck Stock: Use: Medium: Plug-in Diesel Hybrid: Alternative Transportation</t>
  </si>
  <si>
    <t>AEO.2025.ALTTRNP.CNSM_NA_FGHT_SOSOS_ELE_NA_NA_TRLBTU.A</t>
  </si>
  <si>
    <t>Freight: Truck Stock: Use: Medium: Electric: Alternative Transportation</t>
  </si>
  <si>
    <t>AEO.2025.ALTTRNP.CNSM_NA_FGHT_SOSOS_EFFI_NA_NA_TRLBTU.A</t>
  </si>
  <si>
    <t>Freight: Truck Stock: Use: Medium: Ethanol-Flex Fuel: Alternative Transportation</t>
  </si>
  <si>
    <t>AEO.2025.ALTTRNP.CNSM_NA_FGHT_SOSOS_NG_NA_NA_TRLBTU.A</t>
  </si>
  <si>
    <t>Freight: Truck Stock: Use: Medium: Natural Gas: Alternative Transportation</t>
  </si>
  <si>
    <t>AEO.2025.ALTTRNP.CNSM_NA_FGHT_SOSOS_PROP_NA_NA_TRLBTU.A</t>
  </si>
  <si>
    <t>Freight: Truck Stock: Use: Medium: Propane: Alternative Transportation</t>
  </si>
  <si>
    <t>AEO.2025.ALTTRNP.CNSM_NA_FGHT_SOSOS_MGS_NA_NA_TRLBTU.A</t>
  </si>
  <si>
    <t>Freight: Truck Stock: Use: Medium: Motor Gasoline: Alternative Transportation</t>
  </si>
  <si>
    <t>AEO.2025.ALTTRNP.CNSM_NA_FGHT_SOSOS_DSL_NA_NA_TRLBTU.A</t>
  </si>
  <si>
    <t>Freight: Truck Stock: Use: Medium: Diesel: Alternative Transportation</t>
  </si>
  <si>
    <t>AEO.2025.ALTTRNP.CNSM_NA_FGHT_LITEMEDS_NA_NA_NA_TRLBTU.A</t>
  </si>
  <si>
    <t>Freight: Truck Stock: Use: Light Medium: Alternative Transportation</t>
  </si>
  <si>
    <t>AEO.2025.ALTTRNP.CNSM_NA_FGHT_LITEMEDS_HYDICE_NA_NA_TRLBTU.A</t>
  </si>
  <si>
    <t>Freight: Truck Stock: Use: Light Medium: Hydrogen ICE: Alternative Transportation</t>
  </si>
  <si>
    <t>AEO.2025.ALTTRNP.CNSM_NA_FGHT_LITEMEDS_GASHEV_NA_NA_TRLBTU.A</t>
  </si>
  <si>
    <t>Freight: Truck Stock: Use: Light Medium: Gasoline Hybrid: Alternative Transportation</t>
  </si>
  <si>
    <t>AEO.2025.ALTTRNP.CNSM_NA_FGHT_LITEMEDS_FEUCELBATDOM_NA_NA_TRLBTU.A</t>
  </si>
  <si>
    <t>Freight: Truck Stock: Use: Light Medium: Fuel Cell Battery Dominant: Alternative Transportation</t>
  </si>
  <si>
    <t>AEO.2025.ALTTRNP.CNSM_NA_FGHT_LITEMEDS_FUC_NA_NA_TRLBTU.A</t>
  </si>
  <si>
    <t>Freight: Truck Stock: Use: Light Medium: Fuel Cell: Alternative Transportation</t>
  </si>
  <si>
    <t>AEO.2025.ALTTRNP.CNSM_NA_FGHT_LITEMEDS_EGH_NA_NA_TRLBTU.A</t>
  </si>
  <si>
    <t>Freight: Truck Stock: Use: Light Medium: Plug-in Gasoline Hybrid: Alternative Transportation</t>
  </si>
  <si>
    <t>AEO.2025.ALTTRNP.CNSM_NA_FGHT_LITEMEDS_EDH_NA_NA_TRLBTU.A</t>
  </si>
  <si>
    <t>Freight: Truck Stock: Use: Light Medium: Plug-in Diesel Hybrid: Alternative Transportation</t>
  </si>
  <si>
    <t>AEO.2025.ALTTRNP.CNSM_NA_FGHT_LITEMEDS_ELE_NA_NA_TRLBTU.A</t>
  </si>
  <si>
    <t>Freight: Truck Stock: Use: Light Medium: Electric: Alternative Transportation</t>
  </si>
  <si>
    <t>AEO.2025.ALTTRNP.CNSM_NA_FGHT_LITEMEDS_EFFI_NA_NA_TRLBTU.A</t>
  </si>
  <si>
    <t>Freight: Truck Stock: Use: Light Medium: Ethanol-Flex Fuel: Alternative Transportation</t>
  </si>
  <si>
    <t>AEO.2025.ALTTRNP.CNSM_NA_FGHT_LITEMEDS_NG_NA_NA_TRLBTU.A</t>
  </si>
  <si>
    <t>Freight: Truck Stock: Use: Light Medium: Natural Gas: Alternative Transportation</t>
  </si>
  <si>
    <t>AEO.2025.ALTTRNP.CNSM_NA_FGHT_LITEMEDS_PROP_NA_NA_TRLBTU.A</t>
  </si>
  <si>
    <t>Freight: Truck Stock: Use: Light Medium: Propane: Alternative Transportation</t>
  </si>
  <si>
    <t>AEO.2025.ALTTRNP.CNSM_NA_FGHT_LITEMEDS_MGS_NA_NA_TRLBTU.A</t>
  </si>
  <si>
    <t>Freight: Truck Stock: Use: Light Medium: Motor Gasoline: Alternative Transportation</t>
  </si>
  <si>
    <t>AEO.2025.ALTTRNP.CNSM_NA_FGHT_LITEMEDS_DSL_NA_NA_TRLBTU.A</t>
  </si>
  <si>
    <t>Freight: Truck Stock: Use: Light Medium: Diesel: Alternative Transportation</t>
  </si>
  <si>
    <t>AEO.2025.ALTTRNP.ECI_VMT_FGHT_STK_NA_NA_NA_BLNMLS.A</t>
  </si>
  <si>
    <t>Freight: Truck Stock: Vehicle Miles Traveled: Alternative Transportation</t>
  </si>
  <si>
    <t>AEO.2025.ALTTRNP.ECI_VMT_FGHT_RADS_NA_NA_NA_BLNMLS.A</t>
  </si>
  <si>
    <t>Freight: Truck Stock: Vehicle Miles Traveled: Heavy: Alternative Transportation</t>
  </si>
  <si>
    <t>AEO.2025.ALTTRNP.ECI_VMT_FGHT_RADS_HYDICE_NA_NA_BLNMLS.A</t>
  </si>
  <si>
    <t>Freight: Truck Stock: Vehicle Miles Traveled: Heavy: Hydrogen ICE: Alternative Transportation</t>
  </si>
  <si>
    <t>AEO.2025.ALTTRNP.ECI_VMT_FGHT_RADS_GASHEV_NA_NA_BLNMLS.A</t>
  </si>
  <si>
    <t>Freight: Truck Stock: Vehicle Miles Traveled: Heavy: Gasoline Hybrid: Alternative Transportation</t>
  </si>
  <si>
    <t>AEO.2025.ALTTRNP.ECI_VMT_FGHT_RADS_FEUCELBATDOM_NA_NA_BLNMLS.A</t>
  </si>
  <si>
    <t>Freight: Truck Stock: Vehicle Miles Traveled: Heavy: Fuel Cell Battery Dominant: Alternative Transportation</t>
  </si>
  <si>
    <t>AEO.2025.ALTTRNP.ECI_VMT_FGHT_RADS_FUC_NA_NA_BLNMLS.A</t>
  </si>
  <si>
    <t>Freight: Truck Stock: Vehicle Miles Traveled: Heavy: Fuel Cell: Alternative Transportation</t>
  </si>
  <si>
    <t>AEO.2025.ALTTRNP.ECI_VMT_FGHT_RADS_EGH_NA_NA_BLNMLS.A</t>
  </si>
  <si>
    <t>Freight: Truck Stock: Vehicle Miles Traveled: Heavy: Plug-in Gasoline Hybrid: Alternative Transportation</t>
  </si>
  <si>
    <t>AEO.2025.ALTTRNP.ECI_VMT_FGHT_RADS_EDH_NA_NA_BLNMLS.A</t>
  </si>
  <si>
    <t>Freight: Truck Stock: Vehicle Miles Traveled: Heavy: Plug-in Diesel Hybrid: Alternative Transportation</t>
  </si>
  <si>
    <t>AEO.2025.ALTTRNP.ECI_VMT_FGHT_RADS_ELE_NA_NA_BLNMLS.A</t>
  </si>
  <si>
    <t>Freight: Truck Stock: Vehicle Miles Traveled: Heavy: Electric: Alternative Transportation</t>
  </si>
  <si>
    <t>AEO.2025.ALTTRNP.ECI_VMT_FGHT_RADS_EFFI_NA_NA_BLNMLS.A</t>
  </si>
  <si>
    <t>Freight: Truck Stock: Vehicle Miles Traveled: Heavy: Ethanol-Flex Fuel: Alternative Transportation</t>
  </si>
  <si>
    <t>AEO.2025.ALTTRNP.ECI_VMT_FGHT_RADS_NG_NA_NA_BLNMLS.A</t>
  </si>
  <si>
    <t>Freight: Truck Stock: Vehicle Miles Traveled: Heavy: Natural Gas: Alternative Transportation</t>
  </si>
  <si>
    <t>AEO.2025.ALTTRNP.ECI_VMT_FGHT_RADS_PROP_NA_NA_BLNMLS.A</t>
  </si>
  <si>
    <t>Freight: Truck Stock: Vehicle Miles Traveled: Heavy: Propane: Alternative Transportation</t>
  </si>
  <si>
    <t>AEO.2025.ALTTRNP.ECI_VMT_FGHT_RADS_MGS_NA_NA_BLNMLS.A</t>
  </si>
  <si>
    <t>Freight: Truck Stock: Vehicle Miles Traveled: Heavy: Motor Gasoline: Alternative Transportation</t>
  </si>
  <si>
    <t>AEO.2025.ALTTRNP.ECI_VMT_FGHT_RADS_DSL_NA_NA_BLNMLS.A</t>
  </si>
  <si>
    <t>Freight: Truck Stock: Vehicle Miles Traveled: Heavy: Diesel: Alternative Transportation</t>
  </si>
  <si>
    <t>AEO.2025.ALTTRNP.ECI_VMT_FGHT_SOSOS_NA_NA_NA_BLNMLS.A</t>
  </si>
  <si>
    <t>Freight: Truck Stock: Vehicle Miles Traveled: Medium: Alternative Transportation</t>
  </si>
  <si>
    <t>AEO.2025.ALTTRNP.ECI_VMT_FGHT_SOSOS_HYDICE_NA_NA_BLNMLS.A</t>
  </si>
  <si>
    <t>Freight: Truck Stock: Vehicle Miles Traveled: Medium: Hydrogen ICE: Alternative Transportation</t>
  </si>
  <si>
    <t>AEO.2025.ALTTRNP.ECI_VMT_FGHT_SOSOS_GASHEV_NA_NA_BLNMLS.A</t>
  </si>
  <si>
    <t>Freight: Truck Stock: Vehicle Miles Traveled: Medium: Gasoline Hybrid: Alternative Transportation</t>
  </si>
  <si>
    <t>AEO.2025.ALTTRNP.ECI_VMT_FGHT_SOSOS_FEUCELBATDOM_NA_NA_BLNMLS.A</t>
  </si>
  <si>
    <t>Freight: Truck Stock: Vehicle Miles Traveled: Medium: Fuel Cell Battery Dominant: Alternative Transportation</t>
  </si>
  <si>
    <t>AEO.2025.ALTTRNP.ECI_VMT_FGHT_SOSOS_FUC_NA_NA_BLNMLS.A</t>
  </si>
  <si>
    <t>Freight: Truck Stock: Vehicle Miles Traveled: Medium: Fuel Cell: Alternative Transportation</t>
  </si>
  <si>
    <t>AEO.2025.ALTTRNP.ECI_VMT_FGHT_SOSOS_EGH_NA_NA_BLNMLS.A</t>
  </si>
  <si>
    <t>Freight: Truck Stock: Vehicle Miles Traveled: Medium: Plug-in Gasoline Hybrid: Alternative Transportation</t>
  </si>
  <si>
    <t>AEO.2025.ALTTRNP.ECI_VMT_FGHT_SOSOS_EDH_NA_NA_BLNMLS.A</t>
  </si>
  <si>
    <t>Freight: Truck Stock: Vehicle Miles Traveled: Medium: Plug-in Diesel Hybrid: Alternative Transportation</t>
  </si>
  <si>
    <t>AEO.2025.ALTTRNP.ECI_VMT_FGHT_SOSOS_ELE_NA_NA_BLNMLS.A</t>
  </si>
  <si>
    <t>Freight: Truck Stock: Vehicle Miles Traveled: Medium: Electric: Alternative Transportation</t>
  </si>
  <si>
    <t>AEO.2025.ALTTRNP.ECI_VMT_FGHT_SOSOS_EFFI_NA_NA_BLNMLS.A</t>
  </si>
  <si>
    <t>Freight: Truck Stock: Vehicle Miles Traveled: Medium: Ethanol-Flex Fuel: Alternative Transportation</t>
  </si>
  <si>
    <t>AEO.2025.ALTTRNP.ECI_VMT_FGHT_SOSOS_NG_NA_NA_BLNMLS.A</t>
  </si>
  <si>
    <t>Freight: Truck Stock: Vehicle Miles Traveled: Medium: Natural Gas: Alternative Transportation</t>
  </si>
  <si>
    <t>AEO.2025.ALTTRNP.ECI_VMT_FGHT_SOSOS_PROP_NA_NA_BLNMLS.A</t>
  </si>
  <si>
    <t>Freight: Truck Stock: Vehicle Miles Traveled: Medium: Propane: Alternative Transportation</t>
  </si>
  <si>
    <t>AEO.2025.ALTTRNP.ECI_VMT_FGHT_SOSOS_MGS_NA_NA_BLNMLS.A</t>
  </si>
  <si>
    <t>Freight: Truck Stock: Vehicle Miles Traveled: Medium: Motor Gasoline: Alternative Transportation</t>
  </si>
  <si>
    <t>AEO.2025.ALTTRNP.ECI_VMT_FGHT_SOSOS_DSL_NA_NA_BLNMLS.A</t>
  </si>
  <si>
    <t>Freight: Truck Stock: Vehicle Miles Traveled: Medium: Diesel: Alternative Transportation</t>
  </si>
  <si>
    <t>AEO.2025.ALTTRNP.ECI_VMT_FGHT_LITEMEDS_NA_NA_NA_BLNMLS.A</t>
  </si>
  <si>
    <t>Freight: Truck Stock: Vehicle Miles Traveled: Light Medium: Alternative Transportation</t>
  </si>
  <si>
    <t>AEO.2025.ALTTRNP.ECI_VMT_FGHT_LITEMEDS_HYDICE_NA_NA_BLNMLS.A</t>
  </si>
  <si>
    <t>Freight: Truck Stock: Vehicle Miles Traveled: Light Medium: Hydrogen ICE: Alternative Transportation</t>
  </si>
  <si>
    <t>AEO.2025.ALTTRNP.ECI_VMT_FGHT_LITEMEDS_GASHEV_NA_NA_BLNMLS.A</t>
  </si>
  <si>
    <t>Freight: Truck Stock: Vehicle Miles Traveled: Light Medium: Gasoline Hybrid: Alternative Transportation</t>
  </si>
  <si>
    <t>AEO.2025.ALTTRNP.ECI_VMT_FGHT_LITEMEDS_FEUCELBATDOM_NA_NA_BLNMLS.A</t>
  </si>
  <si>
    <t>Freight: Truck Stock: Vehicle Miles Traveled: Light Medium: Fuel Cell Battery Dominant: Alternative Transportation</t>
  </si>
  <si>
    <t>AEO.2025.ALTTRNP.ECI_VMT_FGHT_LITEMEDS_FUC_NA_NA_BLNMLS.A</t>
  </si>
  <si>
    <t>Freight: Truck Stock: Vehicle Miles Traveled: Light Medium: Fuel Cell: Alternative Transportation</t>
  </si>
  <si>
    <t>AEO.2025.ALTTRNP.ECI_VMT_FGHT_LITEMEDS_EGH_NA_NA_BLNMLS.A</t>
  </si>
  <si>
    <t>Freight: Truck Stock: Vehicle Miles Traveled: Light Medium: Plug-in Gasoline Hybrid: Alternative Transportation</t>
  </si>
  <si>
    <t>AEO.2025.ALTTRNP.ECI_VMT_FGHT_LITEMEDS_EDH_NA_NA_BLNMLS.A</t>
  </si>
  <si>
    <t>Freight: Truck Stock: Vehicle Miles Traveled: Light Medium: Plug-in Diesel Hybrid: Alternative Transportation</t>
  </si>
  <si>
    <t>AEO.2025.ALTTRNP.ECI_VMT_FGHT_LITEMEDS_ELE_NA_NA_BLNMLS.A</t>
  </si>
  <si>
    <t>Freight: Truck Stock: Vehicle Miles Traveled: Light Medium: Electric: Alternative Transportation</t>
  </si>
  <si>
    <t>AEO.2025.ALTTRNP.ECI_VMT_FGHT_LITEMEDS_EFFI_NA_NA_BLNMLS.A</t>
  </si>
  <si>
    <t>Freight: Truck Stock: Vehicle Miles Traveled: Light Medium: Ethanol-Flex Fuel: Alternative Transportation</t>
  </si>
  <si>
    <t>AEO.2025.ALTTRNP.ECI_VMT_FGHT_LITEMEDS_NG_NA_NA_BLNMLS.A</t>
  </si>
  <si>
    <t>Freight: Truck Stock: Vehicle Miles Traveled: Light Medium: Natural Gas: Alternative Transportation</t>
  </si>
  <si>
    <t>AEO.2025.ALTTRNP.ECI_VMT_FGHT_LITEMEDS_PROP_NA_NA_BLNMLS.A</t>
  </si>
  <si>
    <t>Freight: Truck Stock: Vehicle Miles Traveled: Light Medium: Propane: Alternative Transportation</t>
  </si>
  <si>
    <t>AEO.2025.ALTTRNP.ECI_VMT_FGHT_LITEMEDS_MGS_NA_NA_BLNMLS.A</t>
  </si>
  <si>
    <t>Freight: Truck Stock: Vehicle Miles Traveled: Light Medium: Motor Gasoline: Alternative Transportation</t>
  </si>
  <si>
    <t>AEO.2025.ALTTRNP.ECI_VMT_FGHT_LITEMEDS_DSL_NA_NA_BLNMLS.A</t>
  </si>
  <si>
    <t>Freight: Truck Stock: Vehicle Miles Traveled: Light Medium: Diesel: Alternative Transportation</t>
  </si>
  <si>
    <t>Tue Dec 09 2025 14:35:28 GMT-0800 (Pacific Standard Time)</t>
  </si>
  <si>
    <t>https://www.eia.gov/outlooks/aeo/data/browser/#/?id=58-AEO2025&amp;cases=alttrnp&amp;sourcekey=0</t>
  </si>
  <si>
    <t>Annual Energy Outlook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</si>
</sst>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0" fontId="1" fillId="2" borderId="0" xfId="0" applyFont="1" applyFill="1" applyAlignment="1">
      <alignment wrapText="1"/>
    </xf>
    <xf numFmtId="164" fontId="0" fillId="3" borderId="0" xfId="0" applyNumberFormat="1" applyFill="1"/>
    <xf numFmtId="164" fontId="5" fillId="0" borderId="0" xfId="0" applyNumberFormat="1" applyFont="1"/>
    <xf numFmtId="166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Assumptions!$B$74:$AE$74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Assumptions!$B$94:$AE$94</c:f>
              <c:numCache>
                <c:formatCode>0.0%</c:formatCode>
                <c:ptCount val="30"/>
                <c:pt idx="0">
                  <c:v>4.2154660961797416E-2</c:v>
                </c:pt>
                <c:pt idx="1">
                  <c:v>6.6744368518300623E-2</c:v>
                </c:pt>
                <c:pt idx="2">
                  <c:v>9.7026267057023635E-2</c:v>
                </c:pt>
                <c:pt idx="3">
                  <c:v>0.1314369839516514</c:v>
                </c:pt>
                <c:pt idx="4">
                  <c:v>0.16698110336755112</c:v>
                </c:pt>
                <c:pt idx="5">
                  <c:v>0.23578518867409873</c:v>
                </c:pt>
                <c:pt idx="6">
                  <c:v>0.31882121112614947</c:v>
                </c:pt>
                <c:pt idx="7">
                  <c:v>0.37102784439830427</c:v>
                </c:pt>
                <c:pt idx="8">
                  <c:v>0.4616136186472703</c:v>
                </c:pt>
                <c:pt idx="9">
                  <c:v>0.53109765073005244</c:v>
                </c:pt>
                <c:pt idx="10">
                  <c:v>0.60778663132743416</c:v>
                </c:pt>
                <c:pt idx="11">
                  <c:v>0.68101820781423272</c:v>
                </c:pt>
                <c:pt idx="12">
                  <c:v>0.67993729735449548</c:v>
                </c:pt>
                <c:pt idx="13">
                  <c:v>0.67885259818875765</c:v>
                </c:pt>
                <c:pt idx="14">
                  <c:v>0.68947395249133514</c:v>
                </c:pt>
                <c:pt idx="15">
                  <c:v>0.70560681892340715</c:v>
                </c:pt>
                <c:pt idx="16">
                  <c:v>0.71952256315576024</c:v>
                </c:pt>
                <c:pt idx="17">
                  <c:v>0.73081610357931914</c:v>
                </c:pt>
                <c:pt idx="18">
                  <c:v>0.74046108021165746</c:v>
                </c:pt>
                <c:pt idx="19">
                  <c:v>0.74829107615694423</c:v>
                </c:pt>
                <c:pt idx="20">
                  <c:v>0.75520828252518302</c:v>
                </c:pt>
                <c:pt idx="21">
                  <c:v>0.76101282443203511</c:v>
                </c:pt>
                <c:pt idx="22">
                  <c:v>0.76630998249647331</c:v>
                </c:pt>
                <c:pt idx="23">
                  <c:v>0.77080264964403677</c:v>
                </c:pt>
                <c:pt idx="24">
                  <c:v>0.77483995791013416</c:v>
                </c:pt>
                <c:pt idx="25">
                  <c:v>0.7788385078158846</c:v>
                </c:pt>
                <c:pt idx="26">
                  <c:v>0.78209941825359219</c:v>
                </c:pt>
                <c:pt idx="27">
                  <c:v>0.78671753938925337</c:v>
                </c:pt>
                <c:pt idx="28">
                  <c:v>0.7898297852399041</c:v>
                </c:pt>
                <c:pt idx="29">
                  <c:v>0.79386824433876724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Assumptions!$B$98:$AE$98</c:f>
              <c:numCache>
                <c:formatCode>0.0%</c:formatCode>
                <c:ptCount val="30"/>
                <c:pt idx="0">
                  <c:v>9.5146314183178898E-3</c:v>
                </c:pt>
                <c:pt idx="1">
                  <c:v>3.3818840712404541E-2</c:v>
                </c:pt>
                <c:pt idx="2">
                  <c:v>6.6426050497899819E-2</c:v>
                </c:pt>
                <c:pt idx="3">
                  <c:v>0.104671378234619</c:v>
                </c:pt>
                <c:pt idx="4">
                  <c:v>0.13469954763370084</c:v>
                </c:pt>
                <c:pt idx="5">
                  <c:v>0.17450266790359065</c:v>
                </c:pt>
                <c:pt idx="6">
                  <c:v>0.22192672154611381</c:v>
                </c:pt>
                <c:pt idx="7">
                  <c:v>0.2673966520134316</c:v>
                </c:pt>
                <c:pt idx="8">
                  <c:v>0.32083914359424814</c:v>
                </c:pt>
                <c:pt idx="9">
                  <c:v>0.36051139989101233</c:v>
                </c:pt>
                <c:pt idx="10">
                  <c:v>0.4103876287530655</c:v>
                </c:pt>
                <c:pt idx="11">
                  <c:v>0.45602931048542517</c:v>
                </c:pt>
                <c:pt idx="12">
                  <c:v>0.47310701297850605</c:v>
                </c:pt>
                <c:pt idx="13">
                  <c:v>0.50815053704308233</c:v>
                </c:pt>
                <c:pt idx="14">
                  <c:v>0.53767558675712968</c:v>
                </c:pt>
                <c:pt idx="15">
                  <c:v>0.56205711578746231</c:v>
                </c:pt>
                <c:pt idx="16">
                  <c:v>0.58308814715125223</c:v>
                </c:pt>
                <c:pt idx="17">
                  <c:v>0.60015554057443099</c:v>
                </c:pt>
                <c:pt idx="18">
                  <c:v>0.61473486202134753</c:v>
                </c:pt>
                <c:pt idx="19">
                  <c:v>0.62656838758221967</c:v>
                </c:pt>
                <c:pt idx="20">
                  <c:v>0.63702358221846689</c:v>
                </c:pt>
                <c:pt idx="21">
                  <c:v>0.64579522041286785</c:v>
                </c:pt>
                <c:pt idx="22">
                  <c:v>0.65380174913167644</c:v>
                </c:pt>
                <c:pt idx="23">
                  <c:v>0.66059190765928999</c:v>
                </c:pt>
                <c:pt idx="24">
                  <c:v>0.66669388082269865</c:v>
                </c:pt>
                <c:pt idx="25">
                  <c:v>0.67273587892126485</c:v>
                </c:pt>
                <c:pt idx="26">
                  <c:v>0.67766562297066535</c:v>
                </c:pt>
                <c:pt idx="27">
                  <c:v>0.68464561200303753</c:v>
                </c:pt>
                <c:pt idx="28">
                  <c:v>0.68934836518248166</c:v>
                </c:pt>
                <c:pt idx="29">
                  <c:v>0.69545082982795037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0.05</c:v>
                </c:pt>
                <c:pt idx="1">
                  <c:v>8.0680691463527979E-2</c:v>
                </c:pt>
                <c:pt idx="2">
                  <c:v>9.505457951868844E-2</c:v>
                </c:pt>
                <c:pt idx="3">
                  <c:v>0.11568149932617947</c:v>
                </c:pt>
                <c:pt idx="4">
                  <c:v>0.14476296466370087</c:v>
                </c:pt>
                <c:pt idx="5">
                  <c:v>0.18475851165546336</c:v>
                </c:pt>
                <c:pt idx="6">
                  <c:v>0.23792530586934729</c:v>
                </c:pt>
                <c:pt idx="7">
                  <c:v>0.30549435030149535</c:v>
                </c:pt>
                <c:pt idx="8">
                  <c:v>0.38662650908549429</c:v>
                </c:pt>
                <c:pt idx="9">
                  <c:v>0.47765770255314599</c:v>
                </c:pt>
                <c:pt idx="10">
                  <c:v>0.57234229744685405</c:v>
                </c:pt>
                <c:pt idx="11">
                  <c:v>0.6633734909145057</c:v>
                </c:pt>
                <c:pt idx="12">
                  <c:v>0.74450564969850463</c:v>
                </c:pt>
                <c:pt idx="13">
                  <c:v>0.8120746941306527</c:v>
                </c:pt>
                <c:pt idx="14">
                  <c:v>0.86524148834453662</c:v>
                </c:pt>
                <c:pt idx="15">
                  <c:v>0.90523703533629907</c:v>
                </c:pt>
                <c:pt idx="16">
                  <c:v>0.93431850067382061</c:v>
                </c:pt>
                <c:pt idx="17">
                  <c:v>0.9549454204813117</c:v>
                </c:pt>
                <c:pt idx="18">
                  <c:v>0.96931930853647208</c:v>
                </c:pt>
                <c:pt idx="19">
                  <c:v>0.97921279261067595</c:v>
                </c:pt>
                <c:pt idx="20">
                  <c:v>0.98596466989139064</c:v>
                </c:pt>
                <c:pt idx="21">
                  <c:v>0.9905457882264409</c:v>
                </c:pt>
                <c:pt idx="22">
                  <c:v>0.99364179162192945</c:v>
                </c:pt>
                <c:pt idx="23">
                  <c:v>0.99572854049710591</c:v>
                </c:pt>
                <c:pt idx="24">
                  <c:v>0.99713250449152702</c:v>
                </c:pt>
                <c:pt idx="25">
                  <c:v>0.99807594563040258</c:v>
                </c:pt>
                <c:pt idx="26">
                  <c:v>0.99870940604709257</c:v>
                </c:pt>
                <c:pt idx="27">
                  <c:v>0.99913450136531945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Data!$I$10:$AM$10</c:f>
              <c:numCache>
                <c:formatCode>0.0000</c:formatCode>
                <c:ptCount val="31"/>
                <c:pt idx="0" formatCode="General">
                  <c:v>0.02</c:v>
                </c:pt>
                <c:pt idx="1">
                  <c:v>6.8000000000000005E-2</c:v>
                </c:pt>
                <c:pt idx="2">
                  <c:v>9.9000000000000005E-2</c:v>
                </c:pt>
                <c:pt idx="3" formatCode="General">
                  <c:v>0.13550148435693454</c:v>
                </c:pt>
                <c:pt idx="4" formatCode="General">
                  <c:v>0.15686570128597005</c:v>
                </c:pt>
                <c:pt idx="5" formatCode="General">
                  <c:v>0.18408372983067212</c:v>
                </c:pt>
                <c:pt idx="6" formatCode="General">
                  <c:v>0.21815354100537743</c:v>
                </c:pt>
                <c:pt idx="7" formatCode="General">
                  <c:v>0.25987118651848296</c:v>
                </c:pt>
                <c:pt idx="8" formatCode="General">
                  <c:v>0.30959779396223247</c:v>
                </c:pt>
                <c:pt idx="9" formatCode="General">
                  <c:v>0.36700545236853371</c:v>
                </c:pt>
                <c:pt idx="10" formatCode="General">
                  <c:v>0.43088423395932512</c:v>
                </c:pt>
                <c:pt idx="11" formatCode="General">
                  <c:v>0.49911538413962542</c:v>
                </c:pt>
                <c:pt idx="12" formatCode="General">
                  <c:v>0.56888461586037464</c:v>
                </c:pt>
                <c:pt idx="13" formatCode="General">
                  <c:v>0.63711576604067499</c:v>
                </c:pt>
                <c:pt idx="14" formatCode="General">
                  <c:v>0.70099454763146607</c:v>
                </c:pt>
                <c:pt idx="15" formatCode="General">
                  <c:v>0.75840220603776753</c:v>
                </c:pt>
                <c:pt idx="16" formatCode="General">
                  <c:v>0.80812881348151699</c:v>
                </c:pt>
                <c:pt idx="17" formatCode="General">
                  <c:v>0.84984645899462241</c:v>
                </c:pt>
                <c:pt idx="18" formatCode="General">
                  <c:v>0.88391627016932772</c:v>
                </c:pt>
                <c:pt idx="19" formatCode="General">
                  <c:v>0.91113429871403007</c:v>
                </c:pt>
                <c:pt idx="20" formatCode="General">
                  <c:v>0.93249851564306541</c:v>
                </c:pt>
                <c:pt idx="21" formatCode="General">
                  <c:v>0.94903701235474314</c:v>
                </c:pt>
                <c:pt idx="22" formatCode="General">
                  <c:v>0.96170292871716656</c:v>
                </c:pt>
                <c:pt idx="23" formatCode="General">
                  <c:v>0.9713234230791381</c:v>
                </c:pt>
                <c:pt idx="24" formatCode="General">
                  <c:v>0.97858509124385606</c:v>
                </c:pt>
                <c:pt idx="25" formatCode="General">
                  <c:v>0.98404040094974166</c:v>
                </c:pt>
                <c:pt idx="26" formatCode="General">
                  <c:v>0.9881241302994479</c:v>
                </c:pt>
                <c:pt idx="27" formatCode="General">
                  <c:v>0.99117298738162618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9-40DF-B5F6-DC2BB01C1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05919"/>
        <c:axId val="145909759"/>
      </c:lineChart>
      <c:catAx>
        <c:axId val="145905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9759"/>
        <c:crosses val="autoZero"/>
        <c:auto val="1"/>
        <c:lblAlgn val="ctr"/>
        <c:lblOffset val="100"/>
        <c:noMultiLvlLbl val="0"/>
      </c:catAx>
      <c:valAx>
        <c:axId val="14590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Data!$I$14:$AL$14</c:f>
              <c:numCache>
                <c:formatCode>General</c:formatCode>
                <c:ptCount val="30"/>
                <c:pt idx="0">
                  <c:v>2.5000000000000001E-3</c:v>
                </c:pt>
                <c:pt idx="1">
                  <c:v>8.0000000000000002E-3</c:v>
                </c:pt>
                <c:pt idx="2">
                  <c:v>1.8679140068700261E-2</c:v>
                </c:pt>
                <c:pt idx="3">
                  <c:v>2.0151128112044503E-2</c:v>
                </c:pt>
                <c:pt idx="4">
                  <c:v>2.6021242730178792E-2</c:v>
                </c:pt>
                <c:pt idx="5">
                  <c:v>3.4401430729338323E-2</c:v>
                </c:pt>
                <c:pt idx="6">
                  <c:v>5.1499999999999997E-2</c:v>
                </c:pt>
                <c:pt idx="7">
                  <c:v>5.5E-2</c:v>
                </c:pt>
                <c:pt idx="8">
                  <c:v>7.4999999999999997E-2</c:v>
                </c:pt>
                <c:pt idx="9">
                  <c:v>8.8999999999999996E-2</c:v>
                </c:pt>
                <c:pt idx="10">
                  <c:v>0.11799999999999999</c:v>
                </c:pt>
                <c:pt idx="11">
                  <c:v>0.15</c:v>
                </c:pt>
                <c:pt idx="12">
                  <c:v>0.17702858227261439</c:v>
                </c:pt>
                <c:pt idx="13">
                  <c:v>0.19652431808271453</c:v>
                </c:pt>
                <c:pt idx="14">
                  <c:v>0.21198289652972047</c:v>
                </c:pt>
                <c:pt idx="15">
                  <c:v>0.22359856927066168</c:v>
                </c:pt>
                <c:pt idx="16">
                  <c:v>0.2319787572698212</c:v>
                </c:pt>
                <c:pt idx="17">
                  <c:v>0.23784887188795553</c:v>
                </c:pt>
                <c:pt idx="18">
                  <c:v>0.24187624796588125</c:v>
                </c:pt>
                <c:pt idx="19">
                  <c:v>0.24460014783483416</c:v>
                </c:pt>
                <c:pt idx="20">
                  <c:v>0.24642468433022793</c:v>
                </c:pt>
                <c:pt idx="21">
                  <c:v>0.2476388869188586</c:v>
                </c:pt>
                <c:pt idx="22">
                  <c:v>0.24844342975100567</c:v>
                </c:pt>
                <c:pt idx="23">
                  <c:v>0.24897499940691589</c:v>
                </c:pt>
                <c:pt idx="24">
                  <c:v>0.24932554691499179</c:v>
                </c:pt>
                <c:pt idx="25">
                  <c:v>0.24955642877591674</c:v>
                </c:pt>
                <c:pt idx="26">
                  <c:v>0.24970836961542547</c:v>
                </c:pt>
                <c:pt idx="27">
                  <c:v>0.24980830595850836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E-4CC5-851D-14400ED7F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40415"/>
        <c:axId val="144438495"/>
      </c:lineChart>
      <c:catAx>
        <c:axId val="1444404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38495"/>
        <c:crosses val="autoZero"/>
        <c:auto val="1"/>
        <c:lblAlgn val="ctr"/>
        <c:lblOffset val="100"/>
        <c:noMultiLvlLbl val="0"/>
      </c:catAx>
      <c:valAx>
        <c:axId val="1444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4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0.05</c:v>
                </c:pt>
                <c:pt idx="1">
                  <c:v>8.0680691463527979E-2</c:v>
                </c:pt>
                <c:pt idx="2">
                  <c:v>9.505457951868844E-2</c:v>
                </c:pt>
                <c:pt idx="3">
                  <c:v>0.11568149932617947</c:v>
                </c:pt>
                <c:pt idx="4">
                  <c:v>0.14476296466370087</c:v>
                </c:pt>
                <c:pt idx="5">
                  <c:v>0.18475851165546336</c:v>
                </c:pt>
                <c:pt idx="6">
                  <c:v>0.23792530586934729</c:v>
                </c:pt>
                <c:pt idx="7">
                  <c:v>0.30549435030149535</c:v>
                </c:pt>
                <c:pt idx="8">
                  <c:v>0.38662650908549429</c:v>
                </c:pt>
                <c:pt idx="9">
                  <c:v>0.47765770255314599</c:v>
                </c:pt>
                <c:pt idx="10">
                  <c:v>0.57234229744685405</c:v>
                </c:pt>
                <c:pt idx="11">
                  <c:v>0.6633734909145057</c:v>
                </c:pt>
                <c:pt idx="12">
                  <c:v>0.74450564969850463</c:v>
                </c:pt>
                <c:pt idx="13">
                  <c:v>0.8120746941306527</c:v>
                </c:pt>
                <c:pt idx="14">
                  <c:v>0.86524148834453662</c:v>
                </c:pt>
                <c:pt idx="15">
                  <c:v>0.90523703533629907</c:v>
                </c:pt>
                <c:pt idx="16">
                  <c:v>0.93431850067382061</c:v>
                </c:pt>
                <c:pt idx="17">
                  <c:v>0.9549454204813117</c:v>
                </c:pt>
                <c:pt idx="18">
                  <c:v>0.96931930853647208</c:v>
                </c:pt>
                <c:pt idx="19">
                  <c:v>0.97921279261067595</c:v>
                </c:pt>
                <c:pt idx="20">
                  <c:v>0.98596466989139064</c:v>
                </c:pt>
                <c:pt idx="21">
                  <c:v>0.9905457882264409</c:v>
                </c:pt>
                <c:pt idx="22">
                  <c:v>0.99364179162192945</c:v>
                </c:pt>
                <c:pt idx="23">
                  <c:v>0.99572854049710591</c:v>
                </c:pt>
                <c:pt idx="24">
                  <c:v>0.99713250449152702</c:v>
                </c:pt>
                <c:pt idx="25">
                  <c:v>0.99807594563040258</c:v>
                </c:pt>
                <c:pt idx="26">
                  <c:v>0.99870940604709257</c:v>
                </c:pt>
                <c:pt idx="27">
                  <c:v>0.99913450136531945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05-4226-A18C-07289D02E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7983919"/>
        <c:axId val="1637988239"/>
      </c:lineChart>
      <c:catAx>
        <c:axId val="163798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988239"/>
        <c:crosses val="autoZero"/>
        <c:auto val="1"/>
        <c:lblAlgn val="ctr"/>
        <c:lblOffset val="100"/>
        <c:noMultiLvlLbl val="0"/>
      </c:catAx>
      <c:valAx>
        <c:axId val="163798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98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Data!$I$31:$AL$31</c:f>
              <c:numCache>
                <c:formatCode>General</c:formatCode>
                <c:ptCount val="30"/>
                <c:pt idx="0" formatCode="0.0000">
                  <c:v>0.15</c:v>
                </c:pt>
                <c:pt idx="1">
                  <c:v>0.15127600491822643</c:v>
                </c:pt>
                <c:pt idx="2">
                  <c:v>0.15077439351524055</c:v>
                </c:pt>
                <c:pt idx="3">
                  <c:v>0.15127600491822643</c:v>
                </c:pt>
                <c:pt idx="4">
                  <c:v>0.15210172968313956</c:v>
                </c:pt>
                <c:pt idx="5">
                  <c:v>0.15345961705851172</c:v>
                </c:pt>
                <c:pt idx="6">
                  <c:v>0.15568892328564213</c:v>
                </c:pt>
                <c:pt idx="7">
                  <c:v>0.15933890123600419</c:v>
                </c:pt>
                <c:pt idx="8">
                  <c:v>0.16528827846777783</c:v>
                </c:pt>
                <c:pt idx="9">
                  <c:v>0.17491539613865287</c:v>
                </c:pt>
                <c:pt idx="10">
                  <c:v>0.19031199220093176</c:v>
                </c:pt>
                <c:pt idx="11">
                  <c:v>0.21447945301805701</c:v>
                </c:pt>
                <c:pt idx="12">
                  <c:v>0.25132248371879989</c:v>
                </c:pt>
                <c:pt idx="13">
                  <c:v>0.30506169523540289</c:v>
                </c:pt>
                <c:pt idx="14">
                  <c:v>0.37860020816449586</c:v>
                </c:pt>
                <c:pt idx="15">
                  <c:v>0.47090956847842358</c:v>
                </c:pt>
                <c:pt idx="16">
                  <c:v>0.57499999999999996</c:v>
                </c:pt>
                <c:pt idx="17">
                  <c:v>0.67909043152157644</c:v>
                </c:pt>
                <c:pt idx="18">
                  <c:v>0.77139979183550411</c:v>
                </c:pt>
                <c:pt idx="19">
                  <c:v>0.84493830476459708</c:v>
                </c:pt>
                <c:pt idx="20">
                  <c:v>0.89867751628119996</c:v>
                </c:pt>
                <c:pt idx="21">
                  <c:v>0.93552054698194298</c:v>
                </c:pt>
                <c:pt idx="22">
                  <c:v>0.95968800779906827</c:v>
                </c:pt>
                <c:pt idx="23">
                  <c:v>0.9750846038613471</c:v>
                </c:pt>
                <c:pt idx="24">
                  <c:v>0.9847117215322222</c:v>
                </c:pt>
                <c:pt idx="25">
                  <c:v>0.99066109876399588</c:v>
                </c:pt>
                <c:pt idx="26">
                  <c:v>0.99431107671435792</c:v>
                </c:pt>
                <c:pt idx="27">
                  <c:v>0.99654038294148828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8-48A4-922A-6459446F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857072"/>
        <c:axId val="1896858992"/>
      </c:lineChart>
      <c:catAx>
        <c:axId val="1896857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8992"/>
        <c:crosses val="autoZero"/>
        <c:auto val="1"/>
        <c:lblAlgn val="ctr"/>
        <c:lblOffset val="100"/>
        <c:noMultiLvlLbl val="0"/>
      </c:catAx>
      <c:valAx>
        <c:axId val="189685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74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495300</xdr:colOff>
      <xdr:row>33</xdr:row>
      <xdr:rowOff>122237</xdr:rowOff>
    </xdr:from>
    <xdr:to>
      <xdr:col>27</xdr:col>
      <xdr:colOff>596900</xdr:colOff>
      <xdr:row>48</xdr:row>
      <xdr:rowOff>125412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438150</xdr:colOff>
      <xdr:row>3</xdr:row>
      <xdr:rowOff>128587</xdr:rowOff>
    </xdr:from>
    <xdr:to>
      <xdr:col>35</xdr:col>
      <xdr:colOff>133350</xdr:colOff>
      <xdr:row>12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A4F8C5-6199-A6FD-10AB-7EDD21735E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409575</xdr:colOff>
      <xdr:row>2</xdr:row>
      <xdr:rowOff>33337</xdr:rowOff>
    </xdr:from>
    <xdr:to>
      <xdr:col>33</xdr:col>
      <xdr:colOff>104775</xdr:colOff>
      <xdr:row>10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FEF526-BD1E-EFFF-D20B-034FBCB5C9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400050</xdr:colOff>
      <xdr:row>7</xdr:row>
      <xdr:rowOff>52387</xdr:rowOff>
    </xdr:from>
    <xdr:to>
      <xdr:col>28</xdr:col>
      <xdr:colOff>95250</xdr:colOff>
      <xdr:row>16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31E0B0-E8D0-FDE4-AA2E-6B666C6B1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38100</xdr:colOff>
      <xdr:row>33</xdr:row>
      <xdr:rowOff>71437</xdr:rowOff>
    </xdr:from>
    <xdr:to>
      <xdr:col>22</xdr:col>
      <xdr:colOff>0</xdr:colOff>
      <xdr:row>61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BE2C0A-B1C1-C390-B73A-95D0FD818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4"/>
  <sheetViews>
    <sheetView workbookViewId="0">
      <selection activeCell="M24" sqref="M24"/>
    </sheetView>
  </sheetViews>
  <sheetFormatPr defaultColWidth="9.140625" defaultRowHeight="15" x14ac:dyDescent="0.25"/>
  <cols>
    <col min="2" max="2" width="56.28515625" customWidth="1"/>
  </cols>
  <sheetData>
    <row r="1" spans="1:2" x14ac:dyDescent="0.25">
      <c r="A1" s="1" t="s">
        <v>209</v>
      </c>
    </row>
    <row r="3" spans="1:2" x14ac:dyDescent="0.25">
      <c r="A3" s="1" t="s">
        <v>0</v>
      </c>
      <c r="B3" s="12" t="s">
        <v>73</v>
      </c>
    </row>
    <row r="4" spans="1:2" x14ac:dyDescent="0.25">
      <c r="B4" t="s">
        <v>34</v>
      </c>
    </row>
    <row r="5" spans="1:2" x14ac:dyDescent="0.25">
      <c r="B5" s="3">
        <v>2025</v>
      </c>
    </row>
    <row r="6" spans="1:2" x14ac:dyDescent="0.25">
      <c r="B6" t="s">
        <v>948</v>
      </c>
    </row>
    <row r="7" spans="1:2" x14ac:dyDescent="0.25">
      <c r="B7" t="s">
        <v>118</v>
      </c>
    </row>
    <row r="8" spans="1:2" x14ac:dyDescent="0.25">
      <c r="B8" t="s">
        <v>116</v>
      </c>
    </row>
    <row r="10" spans="1:2" x14ac:dyDescent="0.25">
      <c r="B10" s="12" t="s">
        <v>220</v>
      </c>
    </row>
    <row r="11" spans="1:2" x14ac:dyDescent="0.25">
      <c r="B11" t="s">
        <v>221</v>
      </c>
    </row>
    <row r="12" spans="1:2" x14ac:dyDescent="0.25">
      <c r="B12" s="3">
        <v>2021</v>
      </c>
    </row>
    <row r="13" spans="1:2" x14ac:dyDescent="0.25">
      <c r="B13" t="s">
        <v>222</v>
      </c>
    </row>
    <row r="14" spans="1:2" x14ac:dyDescent="0.25">
      <c r="B14" s="28" t="s">
        <v>223</v>
      </c>
    </row>
    <row r="16" spans="1:2" x14ac:dyDescent="0.25">
      <c r="B16" t="s">
        <v>224</v>
      </c>
    </row>
    <row r="17" spans="2:2" x14ac:dyDescent="0.25">
      <c r="B17" s="3">
        <v>2022</v>
      </c>
    </row>
    <row r="18" spans="2:2" x14ac:dyDescent="0.25">
      <c r="B18" t="s">
        <v>225</v>
      </c>
    </row>
    <row r="19" spans="2:2" x14ac:dyDescent="0.25">
      <c r="B19" s="30" t="s">
        <v>226</v>
      </c>
    </row>
    <row r="20" spans="2:2" x14ac:dyDescent="0.25">
      <c r="B20" s="30"/>
    </row>
    <row r="21" spans="2:2" x14ac:dyDescent="0.25">
      <c r="B21" s="3" t="s">
        <v>227</v>
      </c>
    </row>
    <row r="22" spans="2:2" x14ac:dyDescent="0.25">
      <c r="B22" s="3">
        <v>2020</v>
      </c>
    </row>
    <row r="23" spans="2:2" x14ac:dyDescent="0.25">
      <c r="B23" s="3" t="s">
        <v>228</v>
      </c>
    </row>
    <row r="24" spans="2:2" x14ac:dyDescent="0.25">
      <c r="B24" s="30" t="s">
        <v>229</v>
      </c>
    </row>
    <row r="26" spans="2:2" x14ac:dyDescent="0.25">
      <c r="B26" s="12" t="s">
        <v>74</v>
      </c>
    </row>
    <row r="27" spans="2:2" x14ac:dyDescent="0.25">
      <c r="B27" t="s">
        <v>34</v>
      </c>
    </row>
    <row r="28" spans="2:2" x14ac:dyDescent="0.25">
      <c r="B28" s="3">
        <v>2025</v>
      </c>
    </row>
    <row r="29" spans="2:2" x14ac:dyDescent="0.25">
      <c r="B29" t="s">
        <v>948</v>
      </c>
    </row>
    <row r="30" spans="2:2" x14ac:dyDescent="0.25">
      <c r="B30" t="s">
        <v>119</v>
      </c>
    </row>
    <row r="31" spans="2:2" x14ac:dyDescent="0.25">
      <c r="B31" t="s">
        <v>117</v>
      </c>
    </row>
    <row r="33" spans="1:2" x14ac:dyDescent="0.25">
      <c r="B33" s="12" t="s">
        <v>75</v>
      </c>
    </row>
    <row r="34" spans="1:2" x14ac:dyDescent="0.25">
      <c r="B34" s="13" t="s">
        <v>43</v>
      </c>
    </row>
    <row r="36" spans="1:2" x14ac:dyDescent="0.25">
      <c r="B36" s="12" t="s">
        <v>76</v>
      </c>
    </row>
    <row r="37" spans="1:2" x14ac:dyDescent="0.25">
      <c r="B37" t="s">
        <v>52</v>
      </c>
    </row>
    <row r="38" spans="1:2" x14ac:dyDescent="0.25">
      <c r="B38" s="3">
        <v>2014</v>
      </c>
    </row>
    <row r="39" spans="1:2" x14ac:dyDescent="0.25">
      <c r="B39" t="s">
        <v>53</v>
      </c>
    </row>
    <row r="40" spans="1:2" x14ac:dyDescent="0.25">
      <c r="B40" t="s">
        <v>54</v>
      </c>
    </row>
    <row r="42" spans="1:2" x14ac:dyDescent="0.25">
      <c r="B42" t="s">
        <v>55</v>
      </c>
    </row>
    <row r="43" spans="1:2" x14ac:dyDescent="0.25">
      <c r="B43" s="3">
        <v>2015</v>
      </c>
    </row>
    <row r="44" spans="1:2" x14ac:dyDescent="0.25">
      <c r="B44" t="s">
        <v>56</v>
      </c>
    </row>
    <row r="45" spans="1:2" x14ac:dyDescent="0.25">
      <c r="B45" t="s">
        <v>57</v>
      </c>
    </row>
    <row r="47" spans="1:2" x14ac:dyDescent="0.25">
      <c r="A47" s="1" t="s">
        <v>6</v>
      </c>
    </row>
    <row r="48" spans="1:2" x14ac:dyDescent="0.25">
      <c r="A48" t="s">
        <v>211</v>
      </c>
    </row>
    <row r="49" spans="1:2" x14ac:dyDescent="0.25">
      <c r="A49" t="s">
        <v>212</v>
      </c>
    </row>
    <row r="50" spans="1:2" x14ac:dyDescent="0.25">
      <c r="A50" t="s">
        <v>213</v>
      </c>
    </row>
    <row r="51" spans="1:2" x14ac:dyDescent="0.25">
      <c r="A51" s="30" t="s">
        <v>214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103</v>
      </c>
    </row>
    <row r="57" spans="1:2" x14ac:dyDescent="0.25">
      <c r="A57" t="s">
        <v>35</v>
      </c>
    </row>
    <row r="58" spans="1:2" x14ac:dyDescent="0.25">
      <c r="A58" t="s">
        <v>210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42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253</v>
      </c>
    </row>
    <row r="78" spans="2:2" x14ac:dyDescent="0.25">
      <c r="B78" t="s">
        <v>254</v>
      </c>
    </row>
    <row r="79" spans="2:2" x14ac:dyDescent="0.25">
      <c r="B79" t="s">
        <v>255</v>
      </c>
    </row>
    <row r="81" spans="2:2" x14ac:dyDescent="0.25">
      <c r="B81" s="12" t="s">
        <v>256</v>
      </c>
    </row>
    <row r="83" spans="2:2" x14ac:dyDescent="0.25">
      <c r="B83" t="s">
        <v>257</v>
      </c>
    </row>
    <row r="84" spans="2:2" x14ac:dyDescent="0.25">
      <c r="B84" t="s">
        <v>258</v>
      </c>
    </row>
    <row r="85" spans="2:2" x14ac:dyDescent="0.25">
      <c r="B85" t="s">
        <v>259</v>
      </c>
    </row>
    <row r="87" spans="2:2" x14ac:dyDescent="0.25">
      <c r="B87" s="12" t="s">
        <v>44</v>
      </c>
    </row>
    <row r="89" spans="2:2" x14ac:dyDescent="0.25">
      <c r="B89" t="s">
        <v>70</v>
      </c>
    </row>
    <row r="90" spans="2:2" x14ac:dyDescent="0.25">
      <c r="B90" t="s">
        <v>123</v>
      </c>
    </row>
    <row r="91" spans="2:2" x14ac:dyDescent="0.25">
      <c r="B91" t="s">
        <v>124</v>
      </c>
    </row>
    <row r="92" spans="2:2" x14ac:dyDescent="0.25">
      <c r="B92" t="s">
        <v>125</v>
      </c>
    </row>
    <row r="94" spans="2:2" x14ac:dyDescent="0.25">
      <c r="B94" t="s">
        <v>77</v>
      </c>
    </row>
    <row r="95" spans="2:2" x14ac:dyDescent="0.25">
      <c r="B95" t="s">
        <v>71</v>
      </c>
    </row>
    <row r="96" spans="2:2" x14ac:dyDescent="0.25">
      <c r="B96" t="s">
        <v>81</v>
      </c>
    </row>
    <row r="97" spans="2:2" x14ac:dyDescent="0.25">
      <c r="B97" t="s">
        <v>72</v>
      </c>
    </row>
    <row r="98" spans="2:2" x14ac:dyDescent="0.25">
      <c r="B98" t="s">
        <v>82</v>
      </c>
    </row>
    <row r="99" spans="2:2" x14ac:dyDescent="0.25">
      <c r="B99" t="s">
        <v>78</v>
      </c>
    </row>
    <row r="100" spans="2:2" x14ac:dyDescent="0.25">
      <c r="B100" t="s">
        <v>79</v>
      </c>
    </row>
    <row r="101" spans="2:2" x14ac:dyDescent="0.25">
      <c r="B101" t="s">
        <v>80</v>
      </c>
    </row>
    <row r="103" spans="2:2" x14ac:dyDescent="0.25">
      <c r="B103" t="s">
        <v>104</v>
      </c>
    </row>
    <row r="104" spans="2:2" x14ac:dyDescent="0.25">
      <c r="B104" t="s">
        <v>108</v>
      </c>
    </row>
    <row r="105" spans="2:2" x14ac:dyDescent="0.25">
      <c r="B105" t="s">
        <v>105</v>
      </c>
    </row>
    <row r="106" spans="2:2" x14ac:dyDescent="0.25">
      <c r="B106" t="s">
        <v>106</v>
      </c>
    </row>
    <row r="107" spans="2:2" x14ac:dyDescent="0.25">
      <c r="B107" t="s">
        <v>107</v>
      </c>
    </row>
    <row r="109" spans="2:2" x14ac:dyDescent="0.25">
      <c r="B109" t="s">
        <v>64</v>
      </c>
    </row>
    <row r="110" spans="2:2" x14ac:dyDescent="0.25">
      <c r="B110" t="s">
        <v>65</v>
      </c>
    </row>
    <row r="111" spans="2:2" x14ac:dyDescent="0.25">
      <c r="B111" t="s">
        <v>66</v>
      </c>
    </row>
    <row r="112" spans="2:2" x14ac:dyDescent="0.25">
      <c r="B112" t="s">
        <v>67</v>
      </c>
    </row>
    <row r="113" spans="2:2" x14ac:dyDescent="0.25">
      <c r="B113" t="s">
        <v>68</v>
      </c>
    </row>
    <row r="114" spans="2:2" x14ac:dyDescent="0.25">
      <c r="B114" t="s">
        <v>69</v>
      </c>
    </row>
    <row r="116" spans="2:2" x14ac:dyDescent="0.25">
      <c r="B116" t="s">
        <v>110</v>
      </c>
    </row>
    <row r="118" spans="2:2" x14ac:dyDescent="0.25">
      <c r="B118" t="s">
        <v>45</v>
      </c>
    </row>
    <row r="119" spans="2:2" x14ac:dyDescent="0.25">
      <c r="B119" t="s">
        <v>46</v>
      </c>
    </row>
    <row r="120" spans="2:2" x14ac:dyDescent="0.25">
      <c r="B120" t="s">
        <v>47</v>
      </c>
    </row>
    <row r="121" spans="2:2" x14ac:dyDescent="0.25">
      <c r="B121" t="s">
        <v>48</v>
      </c>
    </row>
    <row r="122" spans="2:2" x14ac:dyDescent="0.25">
      <c r="B122" t="s">
        <v>49</v>
      </c>
    </row>
    <row r="123" spans="2:2" x14ac:dyDescent="0.25">
      <c r="B123" t="s">
        <v>50</v>
      </c>
    </row>
    <row r="124" spans="2:2" x14ac:dyDescent="0.25">
      <c r="B124" t="s">
        <v>51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7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5" sqref="E5"/>
    </sheetView>
  </sheetViews>
  <sheetFormatPr defaultRowHeight="15" customHeight="1" x14ac:dyDescent="0.25"/>
  <cols>
    <col min="1" max="1" width="26.85546875" customWidth="1"/>
    <col min="2" max="2" width="20.7109375" customWidth="1"/>
  </cols>
  <sheetData>
    <row r="1" spans="1:33" x14ac:dyDescent="0.25"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 t="s">
        <v>306</v>
      </c>
    </row>
    <row r="10" spans="1:33" x14ac:dyDescent="0.25">
      <c r="A10" t="s">
        <v>160</v>
      </c>
    </row>
    <row r="11" spans="1:33" x14ac:dyDescent="0.25">
      <c r="A11" t="s">
        <v>402</v>
      </c>
    </row>
    <row r="12" spans="1:33" x14ac:dyDescent="0.25">
      <c r="A12" t="s">
        <v>401</v>
      </c>
    </row>
    <row r="13" spans="1:33" x14ac:dyDescent="0.25">
      <c r="A13" t="s">
        <v>126</v>
      </c>
    </row>
    <row r="14" spans="1:33" x14ac:dyDescent="0.25">
      <c r="B14" t="s">
        <v>127</v>
      </c>
      <c r="C14" t="s">
        <v>128</v>
      </c>
      <c r="D14" t="s">
        <v>129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 t="s">
        <v>306</v>
      </c>
    </row>
    <row r="15" spans="1:33" x14ac:dyDescent="0.25">
      <c r="A15" t="s">
        <v>161</v>
      </c>
    </row>
    <row r="16" spans="1:33" x14ac:dyDescent="0.25">
      <c r="A16" t="s">
        <v>130</v>
      </c>
    </row>
    <row r="17" spans="1:33" x14ac:dyDescent="0.25">
      <c r="A17" t="s">
        <v>131</v>
      </c>
      <c r="B17" t="s">
        <v>400</v>
      </c>
      <c r="C17" t="s">
        <v>399</v>
      </c>
      <c r="D17" t="s">
        <v>163</v>
      </c>
      <c r="F17">
        <v>108.74241600000001</v>
      </c>
      <c r="G17">
        <v>106.025879</v>
      </c>
      <c r="H17">
        <v>103.03121899999999</v>
      </c>
      <c r="I17">
        <v>99.755088999999998</v>
      </c>
      <c r="J17">
        <v>96.325905000000006</v>
      </c>
      <c r="K17">
        <v>92.986259000000004</v>
      </c>
      <c r="L17">
        <v>89.637253000000001</v>
      </c>
      <c r="M17">
        <v>86.243224999999995</v>
      </c>
      <c r="N17">
        <v>82.736350999999999</v>
      </c>
      <c r="O17">
        <v>79.426986999999997</v>
      </c>
      <c r="P17">
        <v>76.303139000000002</v>
      </c>
      <c r="Q17">
        <v>73.195068000000006</v>
      </c>
      <c r="R17">
        <v>70.231750000000005</v>
      </c>
      <c r="S17">
        <v>67.489211999999995</v>
      </c>
      <c r="T17">
        <v>64.999938999999998</v>
      </c>
      <c r="U17">
        <v>62.702289999999998</v>
      </c>
      <c r="V17">
        <v>60.584476000000002</v>
      </c>
      <c r="W17">
        <v>58.661816000000002</v>
      </c>
      <c r="X17">
        <v>56.918571</v>
      </c>
      <c r="Y17">
        <v>55.322688999999997</v>
      </c>
      <c r="Z17">
        <v>53.845939999999999</v>
      </c>
      <c r="AA17">
        <v>52.475898999999998</v>
      </c>
      <c r="AB17">
        <v>51.170169999999999</v>
      </c>
      <c r="AC17">
        <v>49.920616000000003</v>
      </c>
      <c r="AD17">
        <v>48.722949999999997</v>
      </c>
      <c r="AE17">
        <v>47.584212999999998</v>
      </c>
      <c r="AF17">
        <v>46.522464999999997</v>
      </c>
      <c r="AG17" s="29">
        <v>-3.2000000000000001E-2</v>
      </c>
    </row>
    <row r="18" spans="1:33" x14ac:dyDescent="0.25">
      <c r="A18" t="s">
        <v>133</v>
      </c>
      <c r="B18" t="s">
        <v>398</v>
      </c>
      <c r="C18" t="s">
        <v>397</v>
      </c>
      <c r="D18" t="s">
        <v>163</v>
      </c>
      <c r="F18">
        <v>0.48206100000000002</v>
      </c>
      <c r="G18">
        <v>0.44858900000000002</v>
      </c>
      <c r="H18">
        <v>0.41582599999999997</v>
      </c>
      <c r="I18">
        <v>0.383631</v>
      </c>
      <c r="J18">
        <v>0.35176200000000002</v>
      </c>
      <c r="K18">
        <v>0.32012000000000002</v>
      </c>
      <c r="L18">
        <v>0.28923500000000002</v>
      </c>
      <c r="M18">
        <v>0.25984099999999999</v>
      </c>
      <c r="N18">
        <v>0.23157700000000001</v>
      </c>
      <c r="O18">
        <v>0.204986</v>
      </c>
      <c r="P18">
        <v>0.18060499999999999</v>
      </c>
      <c r="Q18">
        <v>0.15894800000000001</v>
      </c>
      <c r="R18">
        <v>0.140461</v>
      </c>
      <c r="S18">
        <v>0.12514600000000001</v>
      </c>
      <c r="T18">
        <v>0.11297</v>
      </c>
      <c r="U18">
        <v>0.103879</v>
      </c>
      <c r="V18">
        <v>9.6940999999999999E-2</v>
      </c>
      <c r="W18">
        <v>9.0629000000000001E-2</v>
      </c>
      <c r="X18">
        <v>8.4923999999999999E-2</v>
      </c>
      <c r="Y18">
        <v>7.9742999999999994E-2</v>
      </c>
      <c r="Z18">
        <v>7.4915999999999996E-2</v>
      </c>
      <c r="AA18">
        <v>7.0396E-2</v>
      </c>
      <c r="AB18">
        <v>6.6163E-2</v>
      </c>
      <c r="AC18">
        <v>6.2198000000000003E-2</v>
      </c>
      <c r="AD18">
        <v>5.8481999999999999E-2</v>
      </c>
      <c r="AE18">
        <v>5.4998999999999999E-2</v>
      </c>
      <c r="AF18">
        <v>5.1733000000000001E-2</v>
      </c>
      <c r="AG18" s="29">
        <v>-8.2000000000000003E-2</v>
      </c>
    </row>
    <row r="19" spans="1:33" x14ac:dyDescent="0.25">
      <c r="A19" t="s">
        <v>134</v>
      </c>
      <c r="B19" t="s">
        <v>396</v>
      </c>
      <c r="C19" t="s">
        <v>395</v>
      </c>
      <c r="D19" t="s">
        <v>163</v>
      </c>
      <c r="F19">
        <v>109.22448</v>
      </c>
      <c r="G19">
        <v>106.474464</v>
      </c>
      <c r="H19">
        <v>103.44704400000001</v>
      </c>
      <c r="I19">
        <v>100.138718</v>
      </c>
      <c r="J19">
        <v>96.677666000000002</v>
      </c>
      <c r="K19">
        <v>93.306381000000002</v>
      </c>
      <c r="L19">
        <v>89.926490999999999</v>
      </c>
      <c r="M19">
        <v>86.503067000000001</v>
      </c>
      <c r="N19">
        <v>82.967926000000006</v>
      </c>
      <c r="O19">
        <v>79.631973000000002</v>
      </c>
      <c r="P19">
        <v>76.483742000000007</v>
      </c>
      <c r="Q19">
        <v>73.354018999999994</v>
      </c>
      <c r="R19">
        <v>70.372208000000001</v>
      </c>
      <c r="S19">
        <v>67.614356999999998</v>
      </c>
      <c r="T19">
        <v>65.112907000000007</v>
      </c>
      <c r="U19">
        <v>62.806168</v>
      </c>
      <c r="V19">
        <v>60.681418999999998</v>
      </c>
      <c r="W19">
        <v>58.752445000000002</v>
      </c>
      <c r="X19">
        <v>57.003494000000003</v>
      </c>
      <c r="Y19">
        <v>55.402431</v>
      </c>
      <c r="Z19">
        <v>53.920856000000001</v>
      </c>
      <c r="AA19">
        <v>52.546295000000001</v>
      </c>
      <c r="AB19">
        <v>51.236331999999997</v>
      </c>
      <c r="AC19">
        <v>49.982815000000002</v>
      </c>
      <c r="AD19">
        <v>48.781433</v>
      </c>
      <c r="AE19">
        <v>47.639214000000003</v>
      </c>
      <c r="AF19">
        <v>46.574196000000001</v>
      </c>
      <c r="AG19" s="29">
        <v>-3.2000000000000001E-2</v>
      </c>
    </row>
    <row r="20" spans="1:33" x14ac:dyDescent="0.25">
      <c r="A20" t="s">
        <v>135</v>
      </c>
    </row>
    <row r="21" spans="1:33" x14ac:dyDescent="0.25">
      <c r="A21" t="s">
        <v>136</v>
      </c>
      <c r="B21" t="s">
        <v>394</v>
      </c>
      <c r="C21" t="s">
        <v>393</v>
      </c>
      <c r="D21" t="s">
        <v>163</v>
      </c>
      <c r="F21">
        <v>3.7780100000000001</v>
      </c>
      <c r="G21">
        <v>3.5434100000000002</v>
      </c>
      <c r="H21">
        <v>3.2958829999999999</v>
      </c>
      <c r="I21">
        <v>3.0365920000000002</v>
      </c>
      <c r="J21">
        <v>2.7698239999999998</v>
      </c>
      <c r="K21">
        <v>2.500095</v>
      </c>
      <c r="L21">
        <v>2.2328399999999999</v>
      </c>
      <c r="M21">
        <v>1.9757119999999999</v>
      </c>
      <c r="N21">
        <v>1.7341070000000001</v>
      </c>
      <c r="O21">
        <v>1.5130859999999999</v>
      </c>
      <c r="P21">
        <v>1.3133269999999999</v>
      </c>
      <c r="Q21">
        <v>1.1375630000000001</v>
      </c>
      <c r="R21">
        <v>0.99011400000000005</v>
      </c>
      <c r="S21">
        <v>0.87148599999999998</v>
      </c>
      <c r="T21">
        <v>0.774501</v>
      </c>
      <c r="U21">
        <v>0.69865100000000002</v>
      </c>
      <c r="V21">
        <v>0.64009899999999997</v>
      </c>
      <c r="W21">
        <v>0.59181700000000004</v>
      </c>
      <c r="X21">
        <v>0.55091299999999999</v>
      </c>
      <c r="Y21">
        <v>0.51566699999999999</v>
      </c>
      <c r="Z21">
        <v>0.48551499999999997</v>
      </c>
      <c r="AA21">
        <v>0.45842100000000002</v>
      </c>
      <c r="AB21">
        <v>0.432894</v>
      </c>
      <c r="AC21">
        <v>0.40884900000000002</v>
      </c>
      <c r="AD21">
        <v>0.386237</v>
      </c>
      <c r="AE21">
        <v>0.36496499999999998</v>
      </c>
      <c r="AF21">
        <v>0.34493200000000002</v>
      </c>
      <c r="AG21" s="29">
        <v>-8.7999999999999995E-2</v>
      </c>
    </row>
    <row r="22" spans="1:33" x14ac:dyDescent="0.25">
      <c r="A22" t="s">
        <v>305</v>
      </c>
      <c r="B22" t="s">
        <v>392</v>
      </c>
      <c r="C22" t="s">
        <v>391</v>
      </c>
      <c r="D22" t="s">
        <v>163</v>
      </c>
      <c r="F22">
        <v>0.189364</v>
      </c>
      <c r="G22">
        <v>0.19455600000000001</v>
      </c>
      <c r="H22">
        <v>0.19730800000000001</v>
      </c>
      <c r="I22">
        <v>0.19857900000000001</v>
      </c>
      <c r="J22">
        <v>0.197598</v>
      </c>
      <c r="K22">
        <v>0.194962</v>
      </c>
      <c r="L22">
        <v>0.19237899999999999</v>
      </c>
      <c r="M22">
        <v>0.189522</v>
      </c>
      <c r="N22">
        <v>0.186697</v>
      </c>
      <c r="O22">
        <v>0.18129999999999999</v>
      </c>
      <c r="P22">
        <v>0.17685000000000001</v>
      </c>
      <c r="Q22">
        <v>0.173177</v>
      </c>
      <c r="R22">
        <v>0.170455</v>
      </c>
      <c r="S22">
        <v>0.16869999999999999</v>
      </c>
      <c r="T22">
        <v>0.16841300000000001</v>
      </c>
      <c r="U22">
        <v>0.169129</v>
      </c>
      <c r="V22">
        <v>0.17027500000000001</v>
      </c>
      <c r="W22">
        <v>0.172011</v>
      </c>
      <c r="X22">
        <v>0.1741</v>
      </c>
      <c r="Y22">
        <v>0.176482</v>
      </c>
      <c r="Z22">
        <v>0.17879700000000001</v>
      </c>
      <c r="AA22">
        <v>0.181057</v>
      </c>
      <c r="AB22">
        <v>0.18312400000000001</v>
      </c>
      <c r="AC22">
        <v>0.18501300000000001</v>
      </c>
      <c r="AD22">
        <v>0.18690599999999999</v>
      </c>
      <c r="AE22">
        <v>0.18876699999999999</v>
      </c>
      <c r="AF22">
        <v>0.19092799999999999</v>
      </c>
      <c r="AG22" s="29">
        <v>0</v>
      </c>
    </row>
    <row r="23" spans="1:33" x14ac:dyDescent="0.25">
      <c r="A23" t="s">
        <v>304</v>
      </c>
      <c r="B23" t="s">
        <v>390</v>
      </c>
      <c r="C23" t="s">
        <v>389</v>
      </c>
      <c r="D23" t="s">
        <v>163</v>
      </c>
      <c r="F23">
        <v>0.59605799999999998</v>
      </c>
      <c r="G23">
        <v>0.799342</v>
      </c>
      <c r="H23">
        <v>1.026953</v>
      </c>
      <c r="I23">
        <v>1.2785390000000001</v>
      </c>
      <c r="J23">
        <v>1.5151269999999999</v>
      </c>
      <c r="K23">
        <v>1.736084</v>
      </c>
      <c r="L23">
        <v>1.9814229999999999</v>
      </c>
      <c r="M23">
        <v>2.2331699999999999</v>
      </c>
      <c r="N23">
        <v>2.6783700000000001</v>
      </c>
      <c r="O23">
        <v>3.1484930000000002</v>
      </c>
      <c r="P23">
        <v>3.6508669999999999</v>
      </c>
      <c r="Q23">
        <v>4.2490540000000001</v>
      </c>
      <c r="R23">
        <v>4.8313839999999999</v>
      </c>
      <c r="S23">
        <v>5.4068480000000001</v>
      </c>
      <c r="T23">
        <v>5.9816269999999996</v>
      </c>
      <c r="U23">
        <v>6.6255899999999999</v>
      </c>
      <c r="V23">
        <v>7.2437820000000004</v>
      </c>
      <c r="W23">
        <v>7.8387960000000003</v>
      </c>
      <c r="X23">
        <v>8.4091679999999993</v>
      </c>
      <c r="Y23">
        <v>8.9656479999999998</v>
      </c>
      <c r="Z23">
        <v>9.4957309999999993</v>
      </c>
      <c r="AA23">
        <v>10.010146000000001</v>
      </c>
      <c r="AB23">
        <v>10.490636</v>
      </c>
      <c r="AC23">
        <v>10.937265999999999</v>
      </c>
      <c r="AD23">
        <v>11.354158</v>
      </c>
      <c r="AE23">
        <v>11.739839</v>
      </c>
      <c r="AF23">
        <v>12.117647</v>
      </c>
      <c r="AG23" s="29">
        <v>0.123</v>
      </c>
    </row>
    <row r="24" spans="1:33" x14ac:dyDescent="0.25">
      <c r="A24" t="s">
        <v>303</v>
      </c>
      <c r="B24" t="s">
        <v>388</v>
      </c>
      <c r="C24" t="s">
        <v>387</v>
      </c>
      <c r="D24" t="s">
        <v>163</v>
      </c>
      <c r="F24">
        <v>3.350819</v>
      </c>
      <c r="G24">
        <v>4.5535810000000003</v>
      </c>
      <c r="H24">
        <v>6.0892939999999998</v>
      </c>
      <c r="I24">
        <v>7.7830810000000001</v>
      </c>
      <c r="J24">
        <v>9.4272559999999999</v>
      </c>
      <c r="K24">
        <v>10.973656</v>
      </c>
      <c r="L24">
        <v>12.551532999999999</v>
      </c>
      <c r="M24">
        <v>14.073188999999999</v>
      </c>
      <c r="N24">
        <v>15.524174</v>
      </c>
      <c r="O24">
        <v>16.764969000000001</v>
      </c>
      <c r="P24">
        <v>18.055681</v>
      </c>
      <c r="Q24">
        <v>19.304041000000002</v>
      </c>
      <c r="R24">
        <v>20.498692999999999</v>
      </c>
      <c r="S24">
        <v>21.636648000000001</v>
      </c>
      <c r="T24">
        <v>22.716851999999999</v>
      </c>
      <c r="U24">
        <v>23.720338999999999</v>
      </c>
      <c r="V24">
        <v>24.676342000000002</v>
      </c>
      <c r="W24">
        <v>25.531099000000001</v>
      </c>
      <c r="X24">
        <v>26.285509000000001</v>
      </c>
      <c r="Y24">
        <v>26.945651999999999</v>
      </c>
      <c r="Z24">
        <v>27.518177000000001</v>
      </c>
      <c r="AA24">
        <v>28.014536</v>
      </c>
      <c r="AB24">
        <v>28.438889</v>
      </c>
      <c r="AC24">
        <v>28.795072999999999</v>
      </c>
      <c r="AD24">
        <v>29.093326999999999</v>
      </c>
      <c r="AE24">
        <v>29.345419</v>
      </c>
      <c r="AF24">
        <v>29.574321999999999</v>
      </c>
      <c r="AG24" s="29">
        <v>8.6999999999999994E-2</v>
      </c>
    </row>
    <row r="25" spans="1:33" x14ac:dyDescent="0.25">
      <c r="A25" t="s">
        <v>302</v>
      </c>
      <c r="B25" t="s">
        <v>386</v>
      </c>
      <c r="C25" t="s">
        <v>385</v>
      </c>
      <c r="D25" t="s">
        <v>163</v>
      </c>
      <c r="F25">
        <v>0.39025399999999999</v>
      </c>
      <c r="G25">
        <v>0.41901100000000002</v>
      </c>
      <c r="H25">
        <v>0.45079399999999997</v>
      </c>
      <c r="I25">
        <v>0.48530600000000002</v>
      </c>
      <c r="J25">
        <v>0.51864299999999997</v>
      </c>
      <c r="K25">
        <v>0.54260799999999998</v>
      </c>
      <c r="L25">
        <v>0.56321399999999999</v>
      </c>
      <c r="M25">
        <v>0.58076399999999995</v>
      </c>
      <c r="N25">
        <v>0.59069899999999997</v>
      </c>
      <c r="O25">
        <v>0.59323199999999998</v>
      </c>
      <c r="P25">
        <v>0.59710700000000005</v>
      </c>
      <c r="Q25">
        <v>0.59896700000000003</v>
      </c>
      <c r="R25">
        <v>0.59988600000000003</v>
      </c>
      <c r="S25">
        <v>0.60057799999999995</v>
      </c>
      <c r="T25">
        <v>0.601549</v>
      </c>
      <c r="U25">
        <v>0.60184300000000002</v>
      </c>
      <c r="V25">
        <v>0.60175800000000002</v>
      </c>
      <c r="W25">
        <v>0.60126900000000005</v>
      </c>
      <c r="X25">
        <v>0.60097299999999998</v>
      </c>
      <c r="Y25">
        <v>0.60078399999999998</v>
      </c>
      <c r="Z25">
        <v>0.59993399999999997</v>
      </c>
      <c r="AA25">
        <v>0.59881799999999996</v>
      </c>
      <c r="AB25">
        <v>0.59695399999999998</v>
      </c>
      <c r="AC25">
        <v>0.59459200000000001</v>
      </c>
      <c r="AD25">
        <v>0.59189700000000001</v>
      </c>
      <c r="AE25">
        <v>0.58897500000000003</v>
      </c>
      <c r="AF25">
        <v>0.58703700000000003</v>
      </c>
      <c r="AG25" s="29">
        <v>1.6E-2</v>
      </c>
    </row>
    <row r="26" spans="1:33" x14ac:dyDescent="0.25">
      <c r="A26" t="s">
        <v>301</v>
      </c>
      <c r="B26" t="s">
        <v>384</v>
      </c>
      <c r="C26" t="s">
        <v>383</v>
      </c>
      <c r="D26" t="s">
        <v>163</v>
      </c>
      <c r="F26">
        <v>0.23388200000000001</v>
      </c>
      <c r="G26">
        <v>0.256353</v>
      </c>
      <c r="H26">
        <v>0.30679200000000001</v>
      </c>
      <c r="I26">
        <v>0.36219400000000002</v>
      </c>
      <c r="J26">
        <v>0.41856900000000002</v>
      </c>
      <c r="K26">
        <v>0.46719899999999998</v>
      </c>
      <c r="L26">
        <v>0.51294799999999996</v>
      </c>
      <c r="M26">
        <v>0.55661799999999995</v>
      </c>
      <c r="N26">
        <v>0.58514600000000005</v>
      </c>
      <c r="O26">
        <v>0.60014100000000004</v>
      </c>
      <c r="P26">
        <v>0.618645</v>
      </c>
      <c r="Q26">
        <v>0.63188699999999998</v>
      </c>
      <c r="R26">
        <v>0.64504700000000004</v>
      </c>
      <c r="S26">
        <v>0.65804499999999999</v>
      </c>
      <c r="T26">
        <v>0.67108400000000001</v>
      </c>
      <c r="U26">
        <v>0.67890300000000003</v>
      </c>
      <c r="V26">
        <v>0.68503400000000003</v>
      </c>
      <c r="W26">
        <v>0.68902099999999999</v>
      </c>
      <c r="X26">
        <v>0.69115099999999996</v>
      </c>
      <c r="Y26">
        <v>0.69150900000000004</v>
      </c>
      <c r="Z26">
        <v>0.68911299999999998</v>
      </c>
      <c r="AA26">
        <v>0.684504</v>
      </c>
      <c r="AB26">
        <v>0.67767699999999997</v>
      </c>
      <c r="AC26">
        <v>0.66927000000000003</v>
      </c>
      <c r="AD26">
        <v>0.65995599999999999</v>
      </c>
      <c r="AE26">
        <v>0.6502</v>
      </c>
      <c r="AF26">
        <v>0.64114199999999999</v>
      </c>
      <c r="AG26" s="29">
        <v>0.04</v>
      </c>
    </row>
    <row r="27" spans="1:33" x14ac:dyDescent="0.25">
      <c r="A27" t="s">
        <v>137</v>
      </c>
      <c r="B27" t="s">
        <v>382</v>
      </c>
      <c r="C27" t="s">
        <v>381</v>
      </c>
      <c r="D27" t="s">
        <v>163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23</v>
      </c>
    </row>
    <row r="28" spans="1:33" x14ac:dyDescent="0.25">
      <c r="A28" t="s">
        <v>138</v>
      </c>
      <c r="B28" t="s">
        <v>380</v>
      </c>
      <c r="C28" t="s">
        <v>379</v>
      </c>
      <c r="D28" t="s">
        <v>163</v>
      </c>
      <c r="F28">
        <v>4.3834960000000001</v>
      </c>
      <c r="G28">
        <v>4.6673439999999999</v>
      </c>
      <c r="H28">
        <v>4.9200220000000003</v>
      </c>
      <c r="I28">
        <v>5.1893140000000004</v>
      </c>
      <c r="J28">
        <v>5.4175420000000001</v>
      </c>
      <c r="K28">
        <v>5.6472939999999996</v>
      </c>
      <c r="L28">
        <v>5.877103</v>
      </c>
      <c r="M28">
        <v>6.1017530000000004</v>
      </c>
      <c r="N28">
        <v>6.293952</v>
      </c>
      <c r="O28">
        <v>6.500947</v>
      </c>
      <c r="P28">
        <v>6.7283179999999998</v>
      </c>
      <c r="Q28">
        <v>6.9565409999999996</v>
      </c>
      <c r="R28">
        <v>7.1800379999999997</v>
      </c>
      <c r="S28">
        <v>7.4054909999999996</v>
      </c>
      <c r="T28">
        <v>7.6333349999999998</v>
      </c>
      <c r="U28">
        <v>7.8515220000000001</v>
      </c>
      <c r="V28">
        <v>8.052346</v>
      </c>
      <c r="W28">
        <v>8.2412340000000004</v>
      </c>
      <c r="X28">
        <v>8.4192579999999992</v>
      </c>
      <c r="Y28">
        <v>8.5844959999999997</v>
      </c>
      <c r="Z28">
        <v>8.7392009999999996</v>
      </c>
      <c r="AA28">
        <v>8.8846000000000007</v>
      </c>
      <c r="AB28">
        <v>9.0192829999999997</v>
      </c>
      <c r="AC28">
        <v>9.144209</v>
      </c>
      <c r="AD28">
        <v>9.2598310000000001</v>
      </c>
      <c r="AE28">
        <v>9.3698630000000005</v>
      </c>
      <c r="AF28">
        <v>9.4803820000000005</v>
      </c>
      <c r="AG28" s="29">
        <v>0.03</v>
      </c>
    </row>
    <row r="29" spans="1:33" x14ac:dyDescent="0.25">
      <c r="A29" t="s">
        <v>139</v>
      </c>
      <c r="B29" t="s">
        <v>378</v>
      </c>
      <c r="C29" t="s">
        <v>377</v>
      </c>
      <c r="D29" t="s">
        <v>163</v>
      </c>
      <c r="F29">
        <v>9.9659999999999992E-3</v>
      </c>
      <c r="G29">
        <v>9.0830000000000008E-3</v>
      </c>
      <c r="H29">
        <v>8.2019999999999992E-3</v>
      </c>
      <c r="I29">
        <v>7.3210000000000003E-3</v>
      </c>
      <c r="J29">
        <v>6.4669999999999997E-3</v>
      </c>
      <c r="K29">
        <v>5.6559999999999996E-3</v>
      </c>
      <c r="L29">
        <v>4.9849999999999998E-3</v>
      </c>
      <c r="M29">
        <v>4.352E-3</v>
      </c>
      <c r="N29">
        <v>3.7940000000000001E-3</v>
      </c>
      <c r="O29">
        <v>3.313E-3</v>
      </c>
      <c r="P29">
        <v>2.9169999999999999E-3</v>
      </c>
      <c r="Q29">
        <v>2.5860000000000002E-3</v>
      </c>
      <c r="R29">
        <v>2.3149999999999998E-3</v>
      </c>
      <c r="S29">
        <v>2.137E-3</v>
      </c>
      <c r="T29">
        <v>1.9840000000000001E-3</v>
      </c>
      <c r="U29">
        <v>1.8569999999999999E-3</v>
      </c>
      <c r="V29">
        <v>1.7440000000000001E-3</v>
      </c>
      <c r="W29">
        <v>1.6379999999999999E-3</v>
      </c>
      <c r="X29">
        <v>1.5380000000000001E-3</v>
      </c>
      <c r="Y29">
        <v>1.4450000000000001E-3</v>
      </c>
      <c r="Z29">
        <v>1.3569999999999999E-3</v>
      </c>
      <c r="AA29">
        <v>1.274E-3</v>
      </c>
      <c r="AB29">
        <v>1.1969999999999999E-3</v>
      </c>
      <c r="AC29">
        <v>1.124E-3</v>
      </c>
      <c r="AD29">
        <v>1.0560000000000001E-3</v>
      </c>
      <c r="AE29">
        <v>9.9099999999999991E-4</v>
      </c>
      <c r="AF29">
        <v>9.3099999999999997E-4</v>
      </c>
      <c r="AG29" s="29">
        <v>-8.6999999999999994E-2</v>
      </c>
    </row>
    <row r="30" spans="1:33" x14ac:dyDescent="0.25">
      <c r="A30" t="s">
        <v>140</v>
      </c>
      <c r="B30" t="s">
        <v>376</v>
      </c>
      <c r="C30" t="s">
        <v>375</v>
      </c>
      <c r="D30" t="s">
        <v>163</v>
      </c>
      <c r="F30">
        <v>2.3599999999999999E-4</v>
      </c>
      <c r="G30">
        <v>2.22E-4</v>
      </c>
      <c r="H30">
        <v>2.0900000000000001E-4</v>
      </c>
      <c r="I30">
        <v>1.9599999999999999E-4</v>
      </c>
      <c r="J30">
        <v>1.84E-4</v>
      </c>
      <c r="K30">
        <v>1.73E-4</v>
      </c>
      <c r="L30">
        <v>1.6200000000000001E-4</v>
      </c>
      <c r="M30">
        <v>1.5200000000000001E-4</v>
      </c>
      <c r="N30">
        <v>1.4300000000000001E-4</v>
      </c>
      <c r="O30">
        <v>1.34E-4</v>
      </c>
      <c r="P30">
        <v>1.26E-4</v>
      </c>
      <c r="Q30">
        <v>1.1900000000000001E-4</v>
      </c>
      <c r="R30">
        <v>1.11E-4</v>
      </c>
      <c r="S30">
        <v>1.05E-4</v>
      </c>
      <c r="T30">
        <v>9.7999999999999997E-5</v>
      </c>
      <c r="U30">
        <v>9.2E-5</v>
      </c>
      <c r="V30">
        <v>8.7000000000000001E-5</v>
      </c>
      <c r="W30">
        <v>8.1000000000000004E-5</v>
      </c>
      <c r="X30">
        <v>7.6000000000000004E-5</v>
      </c>
      <c r="Y30">
        <v>7.2000000000000002E-5</v>
      </c>
      <c r="Z30">
        <v>6.7000000000000002E-5</v>
      </c>
      <c r="AA30">
        <v>6.3E-5</v>
      </c>
      <c r="AB30">
        <v>5.8999999999999998E-5</v>
      </c>
      <c r="AC30">
        <v>5.5999999999999999E-5</v>
      </c>
      <c r="AD30">
        <v>5.1999999999999997E-5</v>
      </c>
      <c r="AE30">
        <v>4.8999999999999998E-5</v>
      </c>
      <c r="AF30">
        <v>4.6E-5</v>
      </c>
      <c r="AG30" s="29">
        <v>-6.0999999999999999E-2</v>
      </c>
    </row>
    <row r="31" spans="1:33" x14ac:dyDescent="0.25">
      <c r="A31" t="s">
        <v>141</v>
      </c>
      <c r="B31" t="s">
        <v>374</v>
      </c>
      <c r="C31" t="s">
        <v>373</v>
      </c>
      <c r="D31" t="s">
        <v>163</v>
      </c>
      <c r="F31">
        <v>1.531E-3</v>
      </c>
      <c r="G31">
        <v>1.3309999999999999E-3</v>
      </c>
      <c r="H31">
        <v>1.207E-3</v>
      </c>
      <c r="I31">
        <v>1.1299999999999999E-3</v>
      </c>
      <c r="J31">
        <v>1.062E-3</v>
      </c>
      <c r="K31">
        <v>9.9700000000000006E-4</v>
      </c>
      <c r="L31">
        <v>9.3599999999999998E-4</v>
      </c>
      <c r="M31">
        <v>8.7900000000000001E-4</v>
      </c>
      <c r="N31">
        <v>8.2600000000000002E-4</v>
      </c>
      <c r="O31">
        <v>7.76E-4</v>
      </c>
      <c r="P31">
        <v>7.2800000000000002E-4</v>
      </c>
      <c r="Q31">
        <v>6.8400000000000004E-4</v>
      </c>
      <c r="R31">
        <v>6.4199999999999999E-4</v>
      </c>
      <c r="S31">
        <v>6.0300000000000002E-4</v>
      </c>
      <c r="T31">
        <v>5.6700000000000001E-4</v>
      </c>
      <c r="U31">
        <v>5.3200000000000003E-4</v>
      </c>
      <c r="V31">
        <v>5.0000000000000001E-4</v>
      </c>
      <c r="W31">
        <v>4.6900000000000002E-4</v>
      </c>
      <c r="X31">
        <v>4.4099999999999999E-4</v>
      </c>
      <c r="Y31">
        <v>4.1399999999999998E-4</v>
      </c>
      <c r="Z31">
        <v>3.8900000000000002E-4</v>
      </c>
      <c r="AA31">
        <v>3.6499999999999998E-4</v>
      </c>
      <c r="AB31">
        <v>3.4299999999999999E-4</v>
      </c>
      <c r="AC31">
        <v>3.2200000000000002E-4</v>
      </c>
      <c r="AD31">
        <v>3.0200000000000002E-4</v>
      </c>
      <c r="AE31">
        <v>2.8400000000000002E-4</v>
      </c>
      <c r="AF31">
        <v>2.6699999999999998E-4</v>
      </c>
      <c r="AG31" s="29">
        <v>-6.5000000000000002E-2</v>
      </c>
    </row>
    <row r="32" spans="1:33" x14ac:dyDescent="0.25">
      <c r="A32" t="s">
        <v>142</v>
      </c>
      <c r="B32" t="s">
        <v>372</v>
      </c>
      <c r="C32" t="s">
        <v>371</v>
      </c>
      <c r="D32" t="s">
        <v>163</v>
      </c>
      <c r="F32">
        <v>2.9949999999999998E-3</v>
      </c>
      <c r="G32">
        <v>2.5860000000000002E-3</v>
      </c>
      <c r="H32">
        <v>2.3059999999999999E-3</v>
      </c>
      <c r="I32">
        <v>2.1350000000000002E-3</v>
      </c>
      <c r="J32">
        <v>1.99E-3</v>
      </c>
      <c r="K32">
        <v>1.869E-3</v>
      </c>
      <c r="L32">
        <v>1.755E-3</v>
      </c>
      <c r="M32">
        <v>1.6490000000000001E-3</v>
      </c>
      <c r="N32">
        <v>1.5479999999999999E-3</v>
      </c>
      <c r="O32">
        <v>1.454E-3</v>
      </c>
      <c r="P32">
        <v>1.366E-3</v>
      </c>
      <c r="Q32">
        <v>1.2819999999999999E-3</v>
      </c>
      <c r="R32">
        <v>1.204E-3</v>
      </c>
      <c r="S32">
        <v>1.1310000000000001E-3</v>
      </c>
      <c r="T32">
        <v>1.062E-3</v>
      </c>
      <c r="U32">
        <v>9.9799999999999997E-4</v>
      </c>
      <c r="V32">
        <v>9.3700000000000001E-4</v>
      </c>
      <c r="W32">
        <v>8.8000000000000003E-4</v>
      </c>
      <c r="X32">
        <v>8.2600000000000002E-4</v>
      </c>
      <c r="Y32">
        <v>7.76E-4</v>
      </c>
      <c r="Z32">
        <v>7.2900000000000005E-4</v>
      </c>
      <c r="AA32">
        <v>6.8400000000000004E-4</v>
      </c>
      <c r="AB32">
        <v>6.4300000000000002E-4</v>
      </c>
      <c r="AC32">
        <v>6.0400000000000004E-4</v>
      </c>
      <c r="AD32">
        <v>5.6700000000000001E-4</v>
      </c>
      <c r="AE32">
        <v>5.3200000000000003E-4</v>
      </c>
      <c r="AF32">
        <v>5.0000000000000001E-4</v>
      </c>
      <c r="AG32" s="29">
        <v>-6.7000000000000004E-2</v>
      </c>
    </row>
    <row r="33" spans="1:33" x14ac:dyDescent="0.25">
      <c r="A33" t="s">
        <v>143</v>
      </c>
      <c r="B33" t="s">
        <v>370</v>
      </c>
      <c r="C33" t="s">
        <v>369</v>
      </c>
      <c r="D33" t="s">
        <v>163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23</v>
      </c>
    </row>
    <row r="34" spans="1:33" x14ac:dyDescent="0.25">
      <c r="A34" t="s">
        <v>144</v>
      </c>
      <c r="B34" t="s">
        <v>368</v>
      </c>
      <c r="C34" t="s">
        <v>367</v>
      </c>
      <c r="D34" t="s">
        <v>163</v>
      </c>
      <c r="F34">
        <v>1.7094000000000002E-2</v>
      </c>
      <c r="G34">
        <v>1.7212000000000002E-2</v>
      </c>
      <c r="H34">
        <v>1.7323999999999999E-2</v>
      </c>
      <c r="I34">
        <v>1.7491E-2</v>
      </c>
      <c r="J34">
        <v>1.7677999999999999E-2</v>
      </c>
      <c r="K34">
        <v>1.7375999999999999E-2</v>
      </c>
      <c r="L34">
        <v>1.7114000000000001E-2</v>
      </c>
      <c r="M34">
        <v>1.6773E-2</v>
      </c>
      <c r="N34">
        <v>1.6348000000000001E-2</v>
      </c>
      <c r="O34">
        <v>1.5785E-2</v>
      </c>
      <c r="P34">
        <v>1.516E-2</v>
      </c>
      <c r="Q34">
        <v>1.4505000000000001E-2</v>
      </c>
      <c r="R34">
        <v>1.3759E-2</v>
      </c>
      <c r="S34">
        <v>1.2952999999999999E-2</v>
      </c>
      <c r="T34">
        <v>1.2102999999999999E-2</v>
      </c>
      <c r="U34">
        <v>1.1240999999999999E-2</v>
      </c>
      <c r="V34">
        <v>1.0390999999999999E-2</v>
      </c>
      <c r="W34">
        <v>9.5709999999999996E-3</v>
      </c>
      <c r="X34">
        <v>8.848E-3</v>
      </c>
      <c r="Y34">
        <v>8.1939999999999999E-3</v>
      </c>
      <c r="Z34">
        <v>7.6309999999999998E-3</v>
      </c>
      <c r="AA34">
        <v>7.123E-3</v>
      </c>
      <c r="AB34">
        <v>6.7089999999999997E-3</v>
      </c>
      <c r="AC34">
        <v>6.3709999999999999E-3</v>
      </c>
      <c r="AD34">
        <v>6.1079999999999997E-3</v>
      </c>
      <c r="AE34">
        <v>5.8770000000000003E-3</v>
      </c>
      <c r="AF34">
        <v>5.6889999999999996E-3</v>
      </c>
      <c r="AG34" s="29">
        <v>-4.1000000000000002E-2</v>
      </c>
    </row>
    <row r="35" spans="1:33" x14ac:dyDescent="0.25">
      <c r="A35" t="s">
        <v>145</v>
      </c>
      <c r="B35" t="s">
        <v>366</v>
      </c>
      <c r="C35" t="s">
        <v>365</v>
      </c>
      <c r="D35" t="s">
        <v>163</v>
      </c>
      <c r="F35">
        <v>12.953704999999999</v>
      </c>
      <c r="G35">
        <v>14.464029</v>
      </c>
      <c r="H35">
        <v>16.316293999999999</v>
      </c>
      <c r="I35">
        <v>18.361877</v>
      </c>
      <c r="J35">
        <v>20.291938999999999</v>
      </c>
      <c r="K35">
        <v>22.087965000000001</v>
      </c>
      <c r="L35">
        <v>23.936394</v>
      </c>
      <c r="M35">
        <v>25.734532999999999</v>
      </c>
      <c r="N35">
        <v>27.615805000000002</v>
      </c>
      <c r="O35">
        <v>29.323630999999999</v>
      </c>
      <c r="P35">
        <v>31.161090999999999</v>
      </c>
      <c r="Q35">
        <v>33.070404000000003</v>
      </c>
      <c r="R35">
        <v>34.933650999999998</v>
      </c>
      <c r="S35">
        <v>36.764729000000003</v>
      </c>
      <c r="T35">
        <v>38.563175000000001</v>
      </c>
      <c r="U35">
        <v>40.360698999999997</v>
      </c>
      <c r="V35">
        <v>42.083294000000002</v>
      </c>
      <c r="W35">
        <v>43.677886999999998</v>
      </c>
      <c r="X35">
        <v>45.142798999999997</v>
      </c>
      <c r="Y35">
        <v>46.491135</v>
      </c>
      <c r="Z35">
        <v>47.716636999999999</v>
      </c>
      <c r="AA35">
        <v>48.841591000000001</v>
      </c>
      <c r="AB35">
        <v>49.848407999999999</v>
      </c>
      <c r="AC35">
        <v>50.742747999999999</v>
      </c>
      <c r="AD35">
        <v>51.540393999999999</v>
      </c>
      <c r="AE35">
        <v>52.255763999999999</v>
      </c>
      <c r="AF35">
        <v>52.943821</v>
      </c>
      <c r="AG35" s="29">
        <v>5.6000000000000001E-2</v>
      </c>
    </row>
    <row r="36" spans="1:33" x14ac:dyDescent="0.25">
      <c r="A36" t="s">
        <v>24</v>
      </c>
      <c r="B36" t="s">
        <v>364</v>
      </c>
      <c r="C36" t="s">
        <v>363</v>
      </c>
      <c r="D36" t="s">
        <v>163</v>
      </c>
      <c r="F36">
        <v>122.178185</v>
      </c>
      <c r="G36">
        <v>120.938492</v>
      </c>
      <c r="H36">
        <v>119.763336</v>
      </c>
      <c r="I36">
        <v>118.500595</v>
      </c>
      <c r="J36">
        <v>116.969604</v>
      </c>
      <c r="K36">
        <v>115.39434799999999</v>
      </c>
      <c r="L36">
        <v>113.86288500000001</v>
      </c>
      <c r="M36">
        <v>112.237602</v>
      </c>
      <c r="N36">
        <v>110.583733</v>
      </c>
      <c r="O36">
        <v>108.95560500000001</v>
      </c>
      <c r="P36">
        <v>107.644836</v>
      </c>
      <c r="Q36">
        <v>106.424423</v>
      </c>
      <c r="R36">
        <v>105.305862</v>
      </c>
      <c r="S36">
        <v>104.37908899999999</v>
      </c>
      <c r="T36">
        <v>103.676086</v>
      </c>
      <c r="U36">
        <v>103.16687</v>
      </c>
      <c r="V36">
        <v>102.764709</v>
      </c>
      <c r="W36">
        <v>102.430328</v>
      </c>
      <c r="X36">
        <v>102.146294</v>
      </c>
      <c r="Y36">
        <v>101.89357</v>
      </c>
      <c r="Z36">
        <v>101.637497</v>
      </c>
      <c r="AA36">
        <v>101.38788599999999</v>
      </c>
      <c r="AB36">
        <v>101.08474</v>
      </c>
      <c r="AC36">
        <v>100.72556299999999</v>
      </c>
      <c r="AD36">
        <v>100.32182299999999</v>
      </c>
      <c r="AE36">
        <v>99.894974000000005</v>
      </c>
      <c r="AF36">
        <v>99.518021000000005</v>
      </c>
      <c r="AG36" s="29">
        <v>-8.0000000000000002E-3</v>
      </c>
    </row>
    <row r="37" spans="1:33" x14ac:dyDescent="0.25">
      <c r="A37" t="s">
        <v>162</v>
      </c>
    </row>
    <row r="38" spans="1:33" x14ac:dyDescent="0.25">
      <c r="A38" t="s">
        <v>146</v>
      </c>
    </row>
    <row r="39" spans="1:33" x14ac:dyDescent="0.25">
      <c r="A39" t="s">
        <v>131</v>
      </c>
      <c r="B39" t="s">
        <v>362</v>
      </c>
      <c r="C39" t="s">
        <v>361</v>
      </c>
      <c r="D39" t="s">
        <v>163</v>
      </c>
      <c r="F39">
        <v>122.602211</v>
      </c>
      <c r="G39">
        <v>123.597122</v>
      </c>
      <c r="H39">
        <v>124.07770499999999</v>
      </c>
      <c r="I39">
        <v>125.185158</v>
      </c>
      <c r="J39">
        <v>126.13748200000001</v>
      </c>
      <c r="K39">
        <v>126.961922</v>
      </c>
      <c r="L39">
        <v>127.490517</v>
      </c>
      <c r="M39">
        <v>127.716103</v>
      </c>
      <c r="N39">
        <v>127.737015</v>
      </c>
      <c r="O39">
        <v>127.87170399999999</v>
      </c>
      <c r="P39">
        <v>127.633965</v>
      </c>
      <c r="Q39">
        <v>127.17414100000001</v>
      </c>
      <c r="R39">
        <v>126.50900300000001</v>
      </c>
      <c r="S39">
        <v>125.67581199999999</v>
      </c>
      <c r="T39">
        <v>124.71436300000001</v>
      </c>
      <c r="U39">
        <v>123.672867</v>
      </c>
      <c r="V39">
        <v>122.624039</v>
      </c>
      <c r="W39">
        <v>121.549408</v>
      </c>
      <c r="X39">
        <v>120.468895</v>
      </c>
      <c r="Y39">
        <v>119.372551</v>
      </c>
      <c r="Z39">
        <v>118.32049600000001</v>
      </c>
      <c r="AA39">
        <v>117.268692</v>
      </c>
      <c r="AB39">
        <v>116.23584</v>
      </c>
      <c r="AC39">
        <v>115.21210499999999</v>
      </c>
      <c r="AD39">
        <v>114.160583</v>
      </c>
      <c r="AE39">
        <v>113.100105</v>
      </c>
      <c r="AF39">
        <v>111.98960099999999</v>
      </c>
      <c r="AG39" s="29">
        <v>-3.0000000000000001E-3</v>
      </c>
    </row>
    <row r="40" spans="1:33" x14ac:dyDescent="0.25">
      <c r="A40" t="s">
        <v>133</v>
      </c>
      <c r="B40" t="s">
        <v>360</v>
      </c>
      <c r="C40" t="s">
        <v>359</v>
      </c>
      <c r="D40" t="s">
        <v>163</v>
      </c>
      <c r="F40">
        <v>1.071032</v>
      </c>
      <c r="G40">
        <v>1.213133</v>
      </c>
      <c r="H40">
        <v>1.3465469999999999</v>
      </c>
      <c r="I40">
        <v>1.46787</v>
      </c>
      <c r="J40">
        <v>1.5797559999999999</v>
      </c>
      <c r="K40">
        <v>1.6906760000000001</v>
      </c>
      <c r="L40">
        <v>1.7601</v>
      </c>
      <c r="M40">
        <v>1.8229960000000001</v>
      </c>
      <c r="N40">
        <v>1.8818440000000001</v>
      </c>
      <c r="O40">
        <v>1.9443349999999999</v>
      </c>
      <c r="P40">
        <v>1.999323</v>
      </c>
      <c r="Q40">
        <v>2.0485660000000001</v>
      </c>
      <c r="R40">
        <v>2.0930599999999999</v>
      </c>
      <c r="S40">
        <v>2.1308479999999999</v>
      </c>
      <c r="T40">
        <v>2.1627239999999999</v>
      </c>
      <c r="U40">
        <v>2.1899769999999998</v>
      </c>
      <c r="V40">
        <v>2.2130800000000002</v>
      </c>
      <c r="W40">
        <v>2.2322739999999999</v>
      </c>
      <c r="X40">
        <v>2.246032</v>
      </c>
      <c r="Y40">
        <v>2.2551909999999999</v>
      </c>
      <c r="Z40">
        <v>2.2600150000000001</v>
      </c>
      <c r="AA40">
        <v>2.261415</v>
      </c>
      <c r="AB40">
        <v>2.2618490000000002</v>
      </c>
      <c r="AC40">
        <v>2.260939</v>
      </c>
      <c r="AD40">
        <v>2.2580719999999999</v>
      </c>
      <c r="AE40">
        <v>2.2546040000000001</v>
      </c>
      <c r="AF40">
        <v>2.2503860000000002</v>
      </c>
      <c r="AG40" s="29">
        <v>2.9000000000000001E-2</v>
      </c>
    </row>
    <row r="41" spans="1:33" x14ac:dyDescent="0.25">
      <c r="A41" t="s">
        <v>147</v>
      </c>
      <c r="B41" t="s">
        <v>358</v>
      </c>
      <c r="C41" t="s">
        <v>357</v>
      </c>
      <c r="D41" t="s">
        <v>163</v>
      </c>
      <c r="F41">
        <v>123.673241</v>
      </c>
      <c r="G41">
        <v>124.81025700000001</v>
      </c>
      <c r="H41">
        <v>125.424255</v>
      </c>
      <c r="I41">
        <v>126.65303</v>
      </c>
      <c r="J41">
        <v>127.71723900000001</v>
      </c>
      <c r="K41">
        <v>128.652603</v>
      </c>
      <c r="L41">
        <v>129.25060999999999</v>
      </c>
      <c r="M41">
        <v>129.53909300000001</v>
      </c>
      <c r="N41">
        <v>129.618866</v>
      </c>
      <c r="O41">
        <v>129.81603999999999</v>
      </c>
      <c r="P41">
        <v>129.633286</v>
      </c>
      <c r="Q41">
        <v>129.222702</v>
      </c>
      <c r="R41">
        <v>128.60206600000001</v>
      </c>
      <c r="S41">
        <v>127.806656</v>
      </c>
      <c r="T41">
        <v>126.87709</v>
      </c>
      <c r="U41">
        <v>125.862846</v>
      </c>
      <c r="V41">
        <v>124.83712</v>
      </c>
      <c r="W41">
        <v>123.781685</v>
      </c>
      <c r="X41">
        <v>122.714928</v>
      </c>
      <c r="Y41">
        <v>121.62773900000001</v>
      </c>
      <c r="Z41">
        <v>120.580513</v>
      </c>
      <c r="AA41">
        <v>119.530106</v>
      </c>
      <c r="AB41">
        <v>118.497688</v>
      </c>
      <c r="AC41">
        <v>117.473045</v>
      </c>
      <c r="AD41">
        <v>116.418655</v>
      </c>
      <c r="AE41">
        <v>115.35470599999999</v>
      </c>
      <c r="AF41">
        <v>114.23999000000001</v>
      </c>
      <c r="AG41" s="29">
        <v>-3.0000000000000001E-3</v>
      </c>
    </row>
    <row r="42" spans="1:33" x14ac:dyDescent="0.25">
      <c r="A42" t="s">
        <v>148</v>
      </c>
    </row>
    <row r="43" spans="1:33" x14ac:dyDescent="0.25">
      <c r="A43" t="s">
        <v>136</v>
      </c>
      <c r="B43" t="s">
        <v>356</v>
      </c>
      <c r="C43" t="s">
        <v>355</v>
      </c>
      <c r="D43" t="s">
        <v>163</v>
      </c>
      <c r="F43">
        <v>14.794088</v>
      </c>
      <c r="G43">
        <v>14.26782</v>
      </c>
      <c r="H43">
        <v>13.725348</v>
      </c>
      <c r="I43">
        <v>13.142136000000001</v>
      </c>
      <c r="J43">
        <v>12.529042</v>
      </c>
      <c r="K43">
        <v>11.889238000000001</v>
      </c>
      <c r="L43">
        <v>11.197042</v>
      </c>
      <c r="M43">
        <v>10.492464</v>
      </c>
      <c r="N43">
        <v>9.8005469999999999</v>
      </c>
      <c r="O43">
        <v>9.1317459999999997</v>
      </c>
      <c r="P43">
        <v>8.4819300000000002</v>
      </c>
      <c r="Q43">
        <v>7.8681229999999998</v>
      </c>
      <c r="R43">
        <v>7.3014169999999998</v>
      </c>
      <c r="S43">
        <v>6.7834430000000001</v>
      </c>
      <c r="T43">
        <v>6.3223209999999996</v>
      </c>
      <c r="U43">
        <v>5.9155230000000003</v>
      </c>
      <c r="V43">
        <v>5.5534230000000004</v>
      </c>
      <c r="W43">
        <v>5.2276680000000004</v>
      </c>
      <c r="X43">
        <v>4.9411839999999998</v>
      </c>
      <c r="Y43">
        <v>4.6852119999999999</v>
      </c>
      <c r="Z43">
        <v>4.4571750000000003</v>
      </c>
      <c r="AA43">
        <v>4.2489439999999998</v>
      </c>
      <c r="AB43">
        <v>4.0590789999999997</v>
      </c>
      <c r="AC43">
        <v>3.8813520000000001</v>
      </c>
      <c r="AD43">
        <v>3.7131080000000001</v>
      </c>
      <c r="AE43">
        <v>3.5547119999999999</v>
      </c>
      <c r="AF43">
        <v>3.4045770000000002</v>
      </c>
      <c r="AG43" s="29">
        <v>-5.5E-2</v>
      </c>
    </row>
    <row r="44" spans="1:33" x14ac:dyDescent="0.25">
      <c r="A44" t="s">
        <v>305</v>
      </c>
      <c r="B44" t="s">
        <v>354</v>
      </c>
      <c r="C44" t="s">
        <v>353</v>
      </c>
      <c r="D44" t="s">
        <v>163</v>
      </c>
      <c r="F44">
        <v>5.3600000000000002E-4</v>
      </c>
      <c r="G44">
        <v>4.8299999999999998E-4</v>
      </c>
      <c r="H44">
        <v>4.37E-4</v>
      </c>
      <c r="I44">
        <v>3.97E-4</v>
      </c>
      <c r="J44">
        <v>3.6200000000000002E-4</v>
      </c>
      <c r="K44">
        <v>3.2899999999999997E-4</v>
      </c>
      <c r="L44">
        <v>2.9799999999999998E-4</v>
      </c>
      <c r="M44">
        <v>2.7099999999999997E-4</v>
      </c>
      <c r="N44">
        <v>2.4600000000000002E-4</v>
      </c>
      <c r="O44">
        <v>2.23E-4</v>
      </c>
      <c r="P44">
        <v>2.03E-4</v>
      </c>
      <c r="Q44">
        <v>1.8599999999999999E-4</v>
      </c>
      <c r="R44">
        <v>1.7000000000000001E-4</v>
      </c>
      <c r="S44">
        <v>1.5699999999999999E-4</v>
      </c>
      <c r="T44">
        <v>1.45E-4</v>
      </c>
      <c r="U44">
        <v>1.34E-4</v>
      </c>
      <c r="V44">
        <v>1.2400000000000001E-4</v>
      </c>
      <c r="W44">
        <v>1.1400000000000001E-4</v>
      </c>
      <c r="X44">
        <v>1.06E-4</v>
      </c>
      <c r="Y44">
        <v>9.7999999999999997E-5</v>
      </c>
      <c r="Z44">
        <v>9.1000000000000003E-5</v>
      </c>
      <c r="AA44">
        <v>8.3999999999999995E-5</v>
      </c>
      <c r="AB44">
        <v>7.7999999999999999E-5</v>
      </c>
      <c r="AC44">
        <v>7.2000000000000002E-5</v>
      </c>
      <c r="AD44">
        <v>6.7000000000000002E-5</v>
      </c>
      <c r="AE44">
        <v>6.2000000000000003E-5</v>
      </c>
      <c r="AF44">
        <v>5.7000000000000003E-5</v>
      </c>
      <c r="AG44" s="29">
        <v>-8.2000000000000003E-2</v>
      </c>
    </row>
    <row r="45" spans="1:33" x14ac:dyDescent="0.25">
      <c r="A45" t="s">
        <v>304</v>
      </c>
      <c r="B45" t="s">
        <v>352</v>
      </c>
      <c r="C45" t="s">
        <v>351</v>
      </c>
      <c r="D45" t="s">
        <v>163</v>
      </c>
      <c r="F45">
        <v>0.17559</v>
      </c>
      <c r="G45">
        <v>0.26069700000000001</v>
      </c>
      <c r="H45">
        <v>0.58880699999999997</v>
      </c>
      <c r="I45">
        <v>0.78061800000000003</v>
      </c>
      <c r="J45">
        <v>0.93684699999999999</v>
      </c>
      <c r="K45">
        <v>1.068935</v>
      </c>
      <c r="L45">
        <v>1.1635329999999999</v>
      </c>
      <c r="M45">
        <v>1.2701</v>
      </c>
      <c r="N45">
        <v>1.394074</v>
      </c>
      <c r="O45">
        <v>1.4815560000000001</v>
      </c>
      <c r="P45">
        <v>1.576978</v>
      </c>
      <c r="Q45">
        <v>1.6850099999999999</v>
      </c>
      <c r="R45">
        <v>1.8017049999999999</v>
      </c>
      <c r="S45">
        <v>1.923624</v>
      </c>
      <c r="T45">
        <v>2.0508649999999999</v>
      </c>
      <c r="U45">
        <v>2.183408</v>
      </c>
      <c r="V45">
        <v>2.3182070000000001</v>
      </c>
      <c r="W45">
        <v>2.4520360000000001</v>
      </c>
      <c r="X45">
        <v>2.583637</v>
      </c>
      <c r="Y45">
        <v>2.7134860000000001</v>
      </c>
      <c r="Z45">
        <v>2.8407589999999998</v>
      </c>
      <c r="AA45">
        <v>2.9662320000000002</v>
      </c>
      <c r="AB45">
        <v>3.0892469999999999</v>
      </c>
      <c r="AC45">
        <v>3.2089500000000002</v>
      </c>
      <c r="AD45">
        <v>3.3264179999999999</v>
      </c>
      <c r="AE45">
        <v>3.4413999999999998</v>
      </c>
      <c r="AF45">
        <v>3.5571449999999998</v>
      </c>
      <c r="AG45" s="29">
        <v>0.123</v>
      </c>
    </row>
    <row r="46" spans="1:33" x14ac:dyDescent="0.25">
      <c r="A46" t="s">
        <v>303</v>
      </c>
      <c r="B46" t="s">
        <v>350</v>
      </c>
      <c r="C46" t="s">
        <v>349</v>
      </c>
      <c r="D46" t="s">
        <v>163</v>
      </c>
      <c r="F46">
        <v>0.45758599999999999</v>
      </c>
      <c r="G46">
        <v>0.92208000000000001</v>
      </c>
      <c r="H46">
        <v>1.4762390000000001</v>
      </c>
      <c r="I46">
        <v>2.0919080000000001</v>
      </c>
      <c r="J46">
        <v>2.7149969999999999</v>
      </c>
      <c r="K46">
        <v>3.3253560000000002</v>
      </c>
      <c r="L46">
        <v>3.7993299999999999</v>
      </c>
      <c r="M46">
        <v>4.2905930000000003</v>
      </c>
      <c r="N46">
        <v>4.8166580000000003</v>
      </c>
      <c r="O46">
        <v>5.250108</v>
      </c>
      <c r="P46">
        <v>5.698887</v>
      </c>
      <c r="Q46">
        <v>6.1740649999999997</v>
      </c>
      <c r="R46">
        <v>6.6656139999999997</v>
      </c>
      <c r="S46">
        <v>7.1621449999999998</v>
      </c>
      <c r="T46">
        <v>7.6618190000000004</v>
      </c>
      <c r="U46">
        <v>8.1631929999999997</v>
      </c>
      <c r="V46">
        <v>8.6570579999999993</v>
      </c>
      <c r="W46">
        <v>9.1358859999999993</v>
      </c>
      <c r="X46">
        <v>9.5951789999999999</v>
      </c>
      <c r="Y46">
        <v>10.034424</v>
      </c>
      <c r="Z46">
        <v>10.452215000000001</v>
      </c>
      <c r="AA46">
        <v>10.850963999999999</v>
      </c>
      <c r="AB46">
        <v>11.228305000000001</v>
      </c>
      <c r="AC46">
        <v>11.585025999999999</v>
      </c>
      <c r="AD46">
        <v>11.923116</v>
      </c>
      <c r="AE46">
        <v>12.243358000000001</v>
      </c>
      <c r="AF46">
        <v>12.557769</v>
      </c>
      <c r="AG46" s="29">
        <v>0.13600000000000001</v>
      </c>
    </row>
    <row r="47" spans="1:33" x14ac:dyDescent="0.25">
      <c r="A47" t="s">
        <v>302</v>
      </c>
      <c r="B47" t="s">
        <v>348</v>
      </c>
      <c r="C47" t="s">
        <v>347</v>
      </c>
      <c r="D47" t="s">
        <v>163</v>
      </c>
      <c r="F47">
        <v>0.64550799999999997</v>
      </c>
      <c r="G47">
        <v>0.89343499999999998</v>
      </c>
      <c r="H47">
        <v>1.447883</v>
      </c>
      <c r="I47">
        <v>1.7944450000000001</v>
      </c>
      <c r="J47">
        <v>2.1400239999999999</v>
      </c>
      <c r="K47">
        <v>2.427181</v>
      </c>
      <c r="L47">
        <v>2.7416390000000002</v>
      </c>
      <c r="M47">
        <v>3.0513750000000002</v>
      </c>
      <c r="N47">
        <v>3.3595090000000001</v>
      </c>
      <c r="O47">
        <v>3.6159859999999999</v>
      </c>
      <c r="P47">
        <v>3.8773240000000002</v>
      </c>
      <c r="Q47">
        <v>4.152031</v>
      </c>
      <c r="R47">
        <v>4.4107890000000003</v>
      </c>
      <c r="S47">
        <v>4.6647360000000004</v>
      </c>
      <c r="T47">
        <v>4.9148379999999996</v>
      </c>
      <c r="U47">
        <v>5.1600440000000001</v>
      </c>
      <c r="V47">
        <v>5.3934249999999997</v>
      </c>
      <c r="W47">
        <v>5.6113350000000004</v>
      </c>
      <c r="X47">
        <v>5.8120390000000004</v>
      </c>
      <c r="Y47">
        <v>5.995546</v>
      </c>
      <c r="Z47">
        <v>6.1615310000000001</v>
      </c>
      <c r="AA47">
        <v>6.3107480000000002</v>
      </c>
      <c r="AB47">
        <v>6.4453379999999996</v>
      </c>
      <c r="AC47">
        <v>6.5666919999999998</v>
      </c>
      <c r="AD47">
        <v>6.67502</v>
      </c>
      <c r="AE47">
        <v>6.7724570000000002</v>
      </c>
      <c r="AF47">
        <v>6.860519</v>
      </c>
      <c r="AG47" s="29">
        <v>9.5000000000000001E-2</v>
      </c>
    </row>
    <row r="48" spans="1:33" x14ac:dyDescent="0.25">
      <c r="A48" t="s">
        <v>301</v>
      </c>
      <c r="B48" t="s">
        <v>346</v>
      </c>
      <c r="C48" t="s">
        <v>345</v>
      </c>
      <c r="D48" t="s">
        <v>163</v>
      </c>
      <c r="F48">
        <v>0.14818100000000001</v>
      </c>
      <c r="G48">
        <v>0.36060399999999998</v>
      </c>
      <c r="H48">
        <v>0.64673000000000003</v>
      </c>
      <c r="I48">
        <v>0.96714900000000004</v>
      </c>
      <c r="J48">
        <v>1.1982600000000001</v>
      </c>
      <c r="K48">
        <v>1.377591</v>
      </c>
      <c r="L48">
        <v>1.74356</v>
      </c>
      <c r="M48">
        <v>2.102026</v>
      </c>
      <c r="N48">
        <v>2.4561959999999998</v>
      </c>
      <c r="O48">
        <v>2.7676289999999999</v>
      </c>
      <c r="P48">
        <v>3.0870160000000002</v>
      </c>
      <c r="Q48">
        <v>3.4222899999999998</v>
      </c>
      <c r="R48">
        <v>3.8247040000000001</v>
      </c>
      <c r="S48">
        <v>4.2220589999999998</v>
      </c>
      <c r="T48">
        <v>4.61496</v>
      </c>
      <c r="U48">
        <v>5.0050080000000001</v>
      </c>
      <c r="V48">
        <v>5.3880109999999997</v>
      </c>
      <c r="W48">
        <v>5.7584860000000004</v>
      </c>
      <c r="X48">
        <v>6.1135640000000002</v>
      </c>
      <c r="Y48">
        <v>6.4517600000000002</v>
      </c>
      <c r="Z48">
        <v>6.772265</v>
      </c>
      <c r="AA48">
        <v>7.0746840000000004</v>
      </c>
      <c r="AB48">
        <v>7.3582049999999999</v>
      </c>
      <c r="AC48">
        <v>7.6228749999999996</v>
      </c>
      <c r="AD48">
        <v>7.8675040000000003</v>
      </c>
      <c r="AE48">
        <v>8.0928609999999992</v>
      </c>
      <c r="AF48">
        <v>8.303077</v>
      </c>
      <c r="AG48" s="29">
        <v>0.16700000000000001</v>
      </c>
    </row>
    <row r="49" spans="1:34" x14ac:dyDescent="0.25">
      <c r="A49" t="s">
        <v>137</v>
      </c>
      <c r="B49" t="s">
        <v>344</v>
      </c>
      <c r="C49" t="s">
        <v>343</v>
      </c>
      <c r="D49" t="s">
        <v>163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23</v>
      </c>
    </row>
    <row r="50" spans="1:34" x14ac:dyDescent="0.25">
      <c r="A50" t="s">
        <v>138</v>
      </c>
      <c r="B50" t="s">
        <v>342</v>
      </c>
      <c r="C50" t="s">
        <v>341</v>
      </c>
      <c r="D50" t="s">
        <v>163</v>
      </c>
      <c r="F50">
        <v>3.349602</v>
      </c>
      <c r="G50">
        <v>4.1830809999999996</v>
      </c>
      <c r="H50">
        <v>5.2982680000000002</v>
      </c>
      <c r="I50">
        <v>6.1546149999999997</v>
      </c>
      <c r="J50">
        <v>6.9858190000000002</v>
      </c>
      <c r="K50">
        <v>7.8412740000000003</v>
      </c>
      <c r="L50">
        <v>8.7270520000000005</v>
      </c>
      <c r="M50">
        <v>9.5878870000000003</v>
      </c>
      <c r="N50">
        <v>10.431224</v>
      </c>
      <c r="O50">
        <v>11.323978</v>
      </c>
      <c r="P50">
        <v>12.183553</v>
      </c>
      <c r="Q50">
        <v>13.027006</v>
      </c>
      <c r="R50">
        <v>13.853551</v>
      </c>
      <c r="S50">
        <v>14.654529999999999</v>
      </c>
      <c r="T50">
        <v>15.429045</v>
      </c>
      <c r="U50">
        <v>16.175438</v>
      </c>
      <c r="V50">
        <v>16.896954000000001</v>
      </c>
      <c r="W50">
        <v>17.584748999999999</v>
      </c>
      <c r="X50">
        <v>18.240337</v>
      </c>
      <c r="Y50">
        <v>18.860395</v>
      </c>
      <c r="Z50">
        <v>19.456378999999998</v>
      </c>
      <c r="AA50">
        <v>20.027346000000001</v>
      </c>
      <c r="AB50">
        <v>20.583994000000001</v>
      </c>
      <c r="AC50">
        <v>21.128261999999999</v>
      </c>
      <c r="AD50">
        <v>21.654205000000001</v>
      </c>
      <c r="AE50">
        <v>22.167380999999999</v>
      </c>
      <c r="AF50">
        <v>22.661224000000001</v>
      </c>
      <c r="AG50" s="29">
        <v>7.5999999999999998E-2</v>
      </c>
    </row>
    <row r="51" spans="1:34" x14ac:dyDescent="0.25">
      <c r="A51" t="s">
        <v>139</v>
      </c>
      <c r="B51" t="s">
        <v>340</v>
      </c>
      <c r="C51" t="s">
        <v>339</v>
      </c>
      <c r="D51" t="s">
        <v>163</v>
      </c>
      <c r="F51">
        <v>2.4550000000000002E-3</v>
      </c>
      <c r="G51">
        <v>2.287E-3</v>
      </c>
      <c r="H51">
        <v>2.1250000000000002E-3</v>
      </c>
      <c r="I51">
        <v>1.9719999999999998E-3</v>
      </c>
      <c r="J51">
        <v>1.8320000000000001E-3</v>
      </c>
      <c r="K51">
        <v>1.7099999999999999E-3</v>
      </c>
      <c r="L51">
        <v>1.596E-3</v>
      </c>
      <c r="M51">
        <v>1.485E-3</v>
      </c>
      <c r="N51">
        <v>1.379E-3</v>
      </c>
      <c r="O51">
        <v>1.279E-3</v>
      </c>
      <c r="P51">
        <v>1.1850000000000001E-3</v>
      </c>
      <c r="Q51">
        <v>1.098E-3</v>
      </c>
      <c r="R51">
        <v>1.0200000000000001E-3</v>
      </c>
      <c r="S51">
        <v>9.5500000000000001E-4</v>
      </c>
      <c r="T51">
        <v>8.9400000000000005E-4</v>
      </c>
      <c r="U51">
        <v>8.3900000000000001E-4</v>
      </c>
      <c r="V51">
        <v>7.8799999999999996E-4</v>
      </c>
      <c r="W51">
        <v>7.3999999999999999E-4</v>
      </c>
      <c r="X51">
        <v>6.9399999999999996E-4</v>
      </c>
      <c r="Y51">
        <v>6.5200000000000002E-4</v>
      </c>
      <c r="Z51">
        <v>6.1200000000000002E-4</v>
      </c>
      <c r="AA51">
        <v>5.7499999999999999E-4</v>
      </c>
      <c r="AB51">
        <v>5.4000000000000001E-4</v>
      </c>
      <c r="AC51">
        <v>5.0699999999999996E-4</v>
      </c>
      <c r="AD51">
        <v>4.7600000000000002E-4</v>
      </c>
      <c r="AE51">
        <v>4.4700000000000002E-4</v>
      </c>
      <c r="AF51">
        <v>4.2000000000000002E-4</v>
      </c>
      <c r="AG51" s="29">
        <v>-6.6000000000000003E-2</v>
      </c>
    </row>
    <row r="52" spans="1:34" x14ac:dyDescent="0.25">
      <c r="A52" t="s">
        <v>140</v>
      </c>
      <c r="B52" t="s">
        <v>338</v>
      </c>
      <c r="C52" t="s">
        <v>337</v>
      </c>
      <c r="D52" t="s">
        <v>163</v>
      </c>
      <c r="F52">
        <v>1.8489999999999999E-3</v>
      </c>
      <c r="G52">
        <v>1.7359999999999999E-3</v>
      </c>
      <c r="H52">
        <v>1.629E-3</v>
      </c>
      <c r="I52">
        <v>1.529E-3</v>
      </c>
      <c r="J52">
        <v>1.436E-3</v>
      </c>
      <c r="K52">
        <v>1.3470000000000001E-3</v>
      </c>
      <c r="L52">
        <v>1.2650000000000001E-3</v>
      </c>
      <c r="M52">
        <v>1.1869999999999999E-3</v>
      </c>
      <c r="N52">
        <v>1.1150000000000001E-3</v>
      </c>
      <c r="O52">
        <v>1.0460000000000001E-3</v>
      </c>
      <c r="P52">
        <v>9.8200000000000002E-4</v>
      </c>
      <c r="Q52">
        <v>9.2199999999999997E-4</v>
      </c>
      <c r="R52">
        <v>8.6499999999999999E-4</v>
      </c>
      <c r="S52">
        <v>8.1300000000000003E-4</v>
      </c>
      <c r="T52">
        <v>7.6300000000000001E-4</v>
      </c>
      <c r="U52">
        <v>7.1599999999999995E-4</v>
      </c>
      <c r="V52">
        <v>6.7199999999999996E-4</v>
      </c>
      <c r="W52">
        <v>6.3100000000000005E-4</v>
      </c>
      <c r="X52">
        <v>5.9299999999999999E-4</v>
      </c>
      <c r="Y52">
        <v>5.5599999999999996E-4</v>
      </c>
      <c r="Z52">
        <v>5.22E-4</v>
      </c>
      <c r="AA52">
        <v>4.8999999999999998E-4</v>
      </c>
      <c r="AB52">
        <v>4.6000000000000001E-4</v>
      </c>
      <c r="AC52">
        <v>4.3199999999999998E-4</v>
      </c>
      <c r="AD52">
        <v>4.06E-4</v>
      </c>
      <c r="AE52">
        <v>3.8099999999999999E-4</v>
      </c>
      <c r="AF52">
        <v>3.5799999999999997E-4</v>
      </c>
      <c r="AG52" s="29">
        <v>-6.0999999999999999E-2</v>
      </c>
    </row>
    <row r="53" spans="1:34" x14ac:dyDescent="0.25">
      <c r="A53" t="s">
        <v>141</v>
      </c>
      <c r="B53" t="s">
        <v>336</v>
      </c>
      <c r="C53" t="s">
        <v>335</v>
      </c>
      <c r="D53" t="s">
        <v>163</v>
      </c>
      <c r="F53">
        <v>4.6610000000000002E-3</v>
      </c>
      <c r="G53">
        <v>4.248E-3</v>
      </c>
      <c r="H53">
        <v>3.9309999999999996E-3</v>
      </c>
      <c r="I53">
        <v>3.6800000000000001E-3</v>
      </c>
      <c r="J53">
        <v>3.454E-3</v>
      </c>
      <c r="K53">
        <v>3.2420000000000001E-3</v>
      </c>
      <c r="L53">
        <v>3.0439999999999998E-3</v>
      </c>
      <c r="M53">
        <v>2.8570000000000002E-3</v>
      </c>
      <c r="N53">
        <v>2.6819999999999999E-3</v>
      </c>
      <c r="O53">
        <v>2.5170000000000001E-3</v>
      </c>
      <c r="P53">
        <v>2.3630000000000001E-3</v>
      </c>
      <c r="Q53">
        <v>2.2179999999999999E-3</v>
      </c>
      <c r="R53">
        <v>2.0820000000000001E-3</v>
      </c>
      <c r="S53">
        <v>1.9550000000000001E-3</v>
      </c>
      <c r="T53">
        <v>1.835E-3</v>
      </c>
      <c r="U53">
        <v>1.7229999999999999E-3</v>
      </c>
      <c r="V53">
        <v>1.6169999999999999E-3</v>
      </c>
      <c r="W53">
        <v>1.518E-3</v>
      </c>
      <c r="X53">
        <v>1.426E-3</v>
      </c>
      <c r="Y53">
        <v>1.338E-3</v>
      </c>
      <c r="Z53">
        <v>1.2570000000000001E-3</v>
      </c>
      <c r="AA53">
        <v>1.1800000000000001E-3</v>
      </c>
      <c r="AB53">
        <v>1.108E-3</v>
      </c>
      <c r="AC53">
        <v>1.0399999999999999E-3</v>
      </c>
      <c r="AD53">
        <v>9.7599999999999998E-4</v>
      </c>
      <c r="AE53">
        <v>9.1699999999999995E-4</v>
      </c>
      <c r="AF53">
        <v>8.61E-4</v>
      </c>
      <c r="AG53" s="29">
        <v>-6.3E-2</v>
      </c>
    </row>
    <row r="54" spans="1:34" x14ac:dyDescent="0.25">
      <c r="A54" t="s">
        <v>142</v>
      </c>
      <c r="B54" t="s">
        <v>334</v>
      </c>
      <c r="C54" t="s">
        <v>333</v>
      </c>
      <c r="D54" t="s">
        <v>163</v>
      </c>
      <c r="F54">
        <v>4.3379999999999998E-3</v>
      </c>
      <c r="G54">
        <v>4.0720000000000001E-3</v>
      </c>
      <c r="H54">
        <v>3.8219999999999999E-3</v>
      </c>
      <c r="I54">
        <v>3.5869999999999999E-3</v>
      </c>
      <c r="J54">
        <v>3.3670000000000002E-3</v>
      </c>
      <c r="K54">
        <v>3.1610000000000002E-3</v>
      </c>
      <c r="L54">
        <v>2.967E-3</v>
      </c>
      <c r="M54">
        <v>2.7850000000000001E-3</v>
      </c>
      <c r="N54">
        <v>2.614E-3</v>
      </c>
      <c r="O54">
        <v>2.454E-3</v>
      </c>
      <c r="P54">
        <v>2.3040000000000001E-3</v>
      </c>
      <c r="Q54">
        <v>2.1619999999999999E-3</v>
      </c>
      <c r="R54">
        <v>2.0300000000000001E-3</v>
      </c>
      <c r="S54">
        <v>1.9059999999999999E-3</v>
      </c>
      <c r="T54">
        <v>1.789E-3</v>
      </c>
      <c r="U54">
        <v>1.6800000000000001E-3</v>
      </c>
      <c r="V54">
        <v>1.5770000000000001E-3</v>
      </c>
      <c r="W54">
        <v>1.48E-3</v>
      </c>
      <c r="X54">
        <v>1.39E-3</v>
      </c>
      <c r="Y54">
        <v>1.305E-3</v>
      </c>
      <c r="Z54">
        <v>1.225E-3</v>
      </c>
      <c r="AA54">
        <v>1.15E-3</v>
      </c>
      <c r="AB54">
        <v>1.08E-3</v>
      </c>
      <c r="AC54">
        <v>1.0139999999999999E-3</v>
      </c>
      <c r="AD54">
        <v>9.5200000000000005E-4</v>
      </c>
      <c r="AE54">
        <v>8.9400000000000005E-4</v>
      </c>
      <c r="AF54">
        <v>8.3900000000000001E-4</v>
      </c>
      <c r="AG54" s="29">
        <v>-6.0999999999999999E-2</v>
      </c>
    </row>
    <row r="55" spans="1:34" x14ac:dyDescent="0.25">
      <c r="A55" t="s">
        <v>143</v>
      </c>
      <c r="B55" t="s">
        <v>332</v>
      </c>
      <c r="C55" t="s">
        <v>331</v>
      </c>
      <c r="D55" t="s">
        <v>163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23</v>
      </c>
    </row>
    <row r="56" spans="1:34" x14ac:dyDescent="0.25">
      <c r="A56" t="s">
        <v>144</v>
      </c>
      <c r="B56" t="s">
        <v>330</v>
      </c>
      <c r="C56" t="s">
        <v>329</v>
      </c>
      <c r="D56" t="s">
        <v>163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23</v>
      </c>
    </row>
    <row r="57" spans="1:34" x14ac:dyDescent="0.25">
      <c r="A57" t="s">
        <v>149</v>
      </c>
      <c r="B57" t="s">
        <v>328</v>
      </c>
      <c r="C57" t="s">
        <v>327</v>
      </c>
      <c r="D57" t="s">
        <v>163</v>
      </c>
      <c r="F57">
        <v>19.584394</v>
      </c>
      <c r="G57">
        <v>20.900542999999999</v>
      </c>
      <c r="H57">
        <v>23.195217</v>
      </c>
      <c r="I57">
        <v>24.942038</v>
      </c>
      <c r="J57">
        <v>26.515438</v>
      </c>
      <c r="K57">
        <v>27.939364999999999</v>
      </c>
      <c r="L57">
        <v>29.381325</v>
      </c>
      <c r="M57">
        <v>30.803028000000001</v>
      </c>
      <c r="N57">
        <v>32.266243000000003</v>
      </c>
      <c r="O57">
        <v>33.578522</v>
      </c>
      <c r="P57">
        <v>34.912726999999997</v>
      </c>
      <c r="Q57">
        <v>36.335113999999997</v>
      </c>
      <c r="R57">
        <v>37.863948999999998</v>
      </c>
      <c r="S57">
        <v>39.416321000000003</v>
      </c>
      <c r="T57">
        <v>40.999274999999997</v>
      </c>
      <c r="U57">
        <v>42.607703999999998</v>
      </c>
      <c r="V57">
        <v>44.211857000000002</v>
      </c>
      <c r="W57">
        <v>45.774647000000002</v>
      </c>
      <c r="X57">
        <v>47.290146</v>
      </c>
      <c r="Y57">
        <v>48.744774</v>
      </c>
      <c r="Z57">
        <v>50.144027999999999</v>
      </c>
      <c r="AA57">
        <v>51.482399000000001</v>
      </c>
      <c r="AB57">
        <v>52.767432999999997</v>
      </c>
      <c r="AC57">
        <v>53.996223000000001</v>
      </c>
      <c r="AD57">
        <v>55.162247000000001</v>
      </c>
      <c r="AE57">
        <v>56.274867999999998</v>
      </c>
      <c r="AF57">
        <v>57.346848000000001</v>
      </c>
      <c r="AG57" s="29">
        <v>4.2000000000000003E-2</v>
      </c>
    </row>
    <row r="58" spans="1:34" x14ac:dyDescent="0.25">
      <c r="A58" t="s">
        <v>22</v>
      </c>
      <c r="B58" t="s">
        <v>326</v>
      </c>
      <c r="C58" t="s">
        <v>325</v>
      </c>
      <c r="D58" t="s">
        <v>163</v>
      </c>
      <c r="F58">
        <v>143.25762900000001</v>
      </c>
      <c r="G58">
        <v>145.71080000000001</v>
      </c>
      <c r="H58">
        <v>148.61947599999999</v>
      </c>
      <c r="I58">
        <v>151.59506200000001</v>
      </c>
      <c r="J58">
        <v>154.23268100000001</v>
      </c>
      <c r="K58">
        <v>156.59196499999999</v>
      </c>
      <c r="L58">
        <v>158.63192699999999</v>
      </c>
      <c r="M58">
        <v>160.342117</v>
      </c>
      <c r="N58">
        <v>161.88510099999999</v>
      </c>
      <c r="O58">
        <v>163.39456200000001</v>
      </c>
      <c r="P58">
        <v>164.546021</v>
      </c>
      <c r="Q58">
        <v>165.557816</v>
      </c>
      <c r="R58">
        <v>166.46601899999999</v>
      </c>
      <c r="S58">
        <v>167.22297699999999</v>
      </c>
      <c r="T58">
        <v>167.876373</v>
      </c>
      <c r="U58">
        <v>168.470551</v>
      </c>
      <c r="V58">
        <v>169.048981</v>
      </c>
      <c r="W58">
        <v>169.55633499999999</v>
      </c>
      <c r="X58">
        <v>170.005066</v>
      </c>
      <c r="Y58">
        <v>170.372513</v>
      </c>
      <c r="Z58">
        <v>170.724548</v>
      </c>
      <c r="AA58">
        <v>171.01251199999999</v>
      </c>
      <c r="AB58">
        <v>171.26512099999999</v>
      </c>
      <c r="AC58">
        <v>171.469269</v>
      </c>
      <c r="AD58">
        <v>171.58090200000001</v>
      </c>
      <c r="AE58">
        <v>171.62957800000001</v>
      </c>
      <c r="AF58">
        <v>171.586838</v>
      </c>
      <c r="AG58" s="29">
        <v>7.0000000000000001E-3</v>
      </c>
    </row>
    <row r="59" spans="1:34" x14ac:dyDescent="0.25">
      <c r="A59" t="s">
        <v>21</v>
      </c>
      <c r="B59" t="s">
        <v>151</v>
      </c>
      <c r="C59" t="s">
        <v>324</v>
      </c>
      <c r="D59" t="s">
        <v>323</v>
      </c>
      <c r="E59" t="s">
        <v>163</v>
      </c>
      <c r="F59">
        <v>265.43582199999997</v>
      </c>
      <c r="G59">
        <v>266.649292</v>
      </c>
      <c r="H59">
        <v>268.382812</v>
      </c>
      <c r="I59">
        <v>270.095642</v>
      </c>
      <c r="J59">
        <v>271.202271</v>
      </c>
      <c r="K59">
        <v>271.98632800000001</v>
      </c>
      <c r="L59">
        <v>272.49481200000002</v>
      </c>
      <c r="M59">
        <v>272.57971199999997</v>
      </c>
      <c r="N59">
        <v>272.468842</v>
      </c>
      <c r="O59">
        <v>272.35015900000002</v>
      </c>
      <c r="P59">
        <v>272.19085699999999</v>
      </c>
      <c r="Q59">
        <v>271.98223899999999</v>
      </c>
      <c r="R59">
        <v>271.77188100000001</v>
      </c>
      <c r="S59">
        <v>271.60205100000002</v>
      </c>
      <c r="T59">
        <v>271.55246</v>
      </c>
      <c r="U59">
        <v>271.63742100000002</v>
      </c>
      <c r="V59">
        <v>271.81369000000001</v>
      </c>
      <c r="W59">
        <v>271.98666400000002</v>
      </c>
      <c r="X59">
        <v>272.15136699999999</v>
      </c>
      <c r="Y59">
        <v>272.26608299999998</v>
      </c>
      <c r="Z59">
        <v>272.36206099999998</v>
      </c>
      <c r="AA59">
        <v>272.40039100000001</v>
      </c>
      <c r="AB59">
        <v>272.34985399999999</v>
      </c>
      <c r="AC59">
        <v>272.19482399999998</v>
      </c>
      <c r="AD59">
        <v>271.90271000000001</v>
      </c>
      <c r="AE59">
        <v>271.52453600000001</v>
      </c>
      <c r="AF59">
        <v>271.10485799999998</v>
      </c>
      <c r="AG59" s="29">
        <v>1E-3</v>
      </c>
      <c r="AH59" s="29"/>
    </row>
    <row r="60" spans="1:34" x14ac:dyDescent="0.25">
      <c r="A60" t="s">
        <v>152</v>
      </c>
      <c r="B60" t="s">
        <v>322</v>
      </c>
      <c r="C60" t="s">
        <v>321</v>
      </c>
      <c r="D60" t="s">
        <v>163</v>
      </c>
      <c r="F60">
        <v>231.34463500000001</v>
      </c>
      <c r="G60">
        <v>229.62300099999999</v>
      </c>
      <c r="H60">
        <v>227.10891699999999</v>
      </c>
      <c r="I60">
        <v>224.940247</v>
      </c>
      <c r="J60">
        <v>222.463379</v>
      </c>
      <c r="K60">
        <v>219.94818100000001</v>
      </c>
      <c r="L60">
        <v>217.12777700000001</v>
      </c>
      <c r="M60">
        <v>213.95931999999999</v>
      </c>
      <c r="N60">
        <v>210.47335799999999</v>
      </c>
      <c r="O60">
        <v>207.29869099999999</v>
      </c>
      <c r="P60">
        <v>203.93710300000001</v>
      </c>
      <c r="Q60">
        <v>200.369202</v>
      </c>
      <c r="R60">
        <v>196.74075300000001</v>
      </c>
      <c r="S60">
        <v>193.16502399999999</v>
      </c>
      <c r="T60">
        <v>189.714294</v>
      </c>
      <c r="U60">
        <v>186.37515300000001</v>
      </c>
      <c r="V60">
        <v>183.20851099999999</v>
      </c>
      <c r="W60">
        <v>180.21122700000001</v>
      </c>
      <c r="X60">
        <v>177.38746599999999</v>
      </c>
      <c r="Y60">
        <v>174.69523599999999</v>
      </c>
      <c r="Z60">
        <v>172.16644299999999</v>
      </c>
      <c r="AA60">
        <v>169.744598</v>
      </c>
      <c r="AB60">
        <v>167.40600599999999</v>
      </c>
      <c r="AC60">
        <v>165.132721</v>
      </c>
      <c r="AD60">
        <v>162.88353000000001</v>
      </c>
      <c r="AE60">
        <v>160.684326</v>
      </c>
      <c r="AF60">
        <v>158.51206999999999</v>
      </c>
      <c r="AG60" s="29">
        <v>-1.4E-2</v>
      </c>
    </row>
    <row r="61" spans="1:34" x14ac:dyDescent="0.25">
      <c r="A61" t="s">
        <v>153</v>
      </c>
      <c r="B61" t="s">
        <v>320</v>
      </c>
      <c r="C61" t="s">
        <v>319</v>
      </c>
      <c r="D61" t="s">
        <v>163</v>
      </c>
      <c r="F61">
        <v>1.5530930000000001</v>
      </c>
      <c r="G61">
        <v>1.6617219999999999</v>
      </c>
      <c r="H61">
        <v>1.7623740000000001</v>
      </c>
      <c r="I61">
        <v>1.8515010000000001</v>
      </c>
      <c r="J61">
        <v>1.9315180000000001</v>
      </c>
      <c r="K61">
        <v>2.010796</v>
      </c>
      <c r="L61">
        <v>2.0493350000000001</v>
      </c>
      <c r="M61">
        <v>2.0828359999999999</v>
      </c>
      <c r="N61">
        <v>2.1134210000000002</v>
      </c>
      <c r="O61">
        <v>2.149321</v>
      </c>
      <c r="P61">
        <v>2.1799279999999999</v>
      </c>
      <c r="Q61">
        <v>2.2075140000000002</v>
      </c>
      <c r="R61">
        <v>2.2335210000000001</v>
      </c>
      <c r="S61">
        <v>2.2559939999999998</v>
      </c>
      <c r="T61">
        <v>2.2756940000000001</v>
      </c>
      <c r="U61">
        <v>2.293857</v>
      </c>
      <c r="V61">
        <v>2.310022</v>
      </c>
      <c r="W61">
        <v>2.3229030000000002</v>
      </c>
      <c r="X61">
        <v>2.3309549999999999</v>
      </c>
      <c r="Y61">
        <v>2.3349340000000001</v>
      </c>
      <c r="Z61">
        <v>2.3349310000000001</v>
      </c>
      <c r="AA61">
        <v>2.3318120000000002</v>
      </c>
      <c r="AB61">
        <v>2.3280129999999999</v>
      </c>
      <c r="AC61">
        <v>2.323137</v>
      </c>
      <c r="AD61">
        <v>2.316554</v>
      </c>
      <c r="AE61">
        <v>2.3096019999999999</v>
      </c>
      <c r="AF61">
        <v>2.3021189999999998</v>
      </c>
      <c r="AG61" s="29">
        <v>1.4999999999999999E-2</v>
      </c>
    </row>
    <row r="62" spans="1:34" x14ac:dyDescent="0.25">
      <c r="A62" t="s">
        <v>154</v>
      </c>
      <c r="B62" t="s">
        <v>318</v>
      </c>
      <c r="C62" t="s">
        <v>317</v>
      </c>
      <c r="D62" t="s">
        <v>163</v>
      </c>
      <c r="F62">
        <v>18.572098</v>
      </c>
      <c r="G62">
        <v>17.811229999999998</v>
      </c>
      <c r="H62">
        <v>17.021231</v>
      </c>
      <c r="I62">
        <v>16.178728</v>
      </c>
      <c r="J62">
        <v>15.298866</v>
      </c>
      <c r="K62">
        <v>14.389333000000001</v>
      </c>
      <c r="L62">
        <v>13.429881999999999</v>
      </c>
      <c r="M62">
        <v>12.468177000000001</v>
      </c>
      <c r="N62">
        <v>11.534654</v>
      </c>
      <c r="O62">
        <v>10.644833</v>
      </c>
      <c r="P62">
        <v>9.7952580000000005</v>
      </c>
      <c r="Q62">
        <v>9.0056860000000007</v>
      </c>
      <c r="R62">
        <v>8.2915310000000009</v>
      </c>
      <c r="S62">
        <v>7.6549300000000002</v>
      </c>
      <c r="T62">
        <v>7.0968229999999997</v>
      </c>
      <c r="U62">
        <v>6.6141740000000002</v>
      </c>
      <c r="V62">
        <v>6.1935229999999999</v>
      </c>
      <c r="W62">
        <v>5.8194850000000002</v>
      </c>
      <c r="X62">
        <v>5.4920960000000001</v>
      </c>
      <c r="Y62">
        <v>5.2008789999999996</v>
      </c>
      <c r="Z62">
        <v>4.9426899999999998</v>
      </c>
      <c r="AA62">
        <v>4.7073650000000002</v>
      </c>
      <c r="AB62">
        <v>4.4919719999999996</v>
      </c>
      <c r="AC62">
        <v>4.2902009999999997</v>
      </c>
      <c r="AD62">
        <v>4.0993449999999996</v>
      </c>
      <c r="AE62">
        <v>3.9196770000000001</v>
      </c>
      <c r="AF62">
        <v>3.7495099999999999</v>
      </c>
      <c r="AG62" s="29">
        <v>-0.06</v>
      </c>
    </row>
    <row r="63" spans="1:34" x14ac:dyDescent="0.25">
      <c r="A63" t="s">
        <v>155</v>
      </c>
      <c r="B63" t="s">
        <v>316</v>
      </c>
      <c r="C63" t="s">
        <v>315</v>
      </c>
      <c r="D63" t="s">
        <v>163</v>
      </c>
      <c r="F63">
        <v>4.7699530000000001</v>
      </c>
      <c r="G63">
        <v>6.7307389999999998</v>
      </c>
      <c r="H63">
        <v>9.3790379999999995</v>
      </c>
      <c r="I63">
        <v>12.133120999999999</v>
      </c>
      <c r="J63">
        <v>14.792187</v>
      </c>
      <c r="K63">
        <v>17.299320000000002</v>
      </c>
      <c r="L63">
        <v>19.688496000000001</v>
      </c>
      <c r="M63">
        <v>22.056844999999999</v>
      </c>
      <c r="N63">
        <v>24.600218000000002</v>
      </c>
      <c r="O63">
        <v>26.826649</v>
      </c>
      <c r="P63">
        <v>29.159468</v>
      </c>
      <c r="Q63">
        <v>31.585533000000002</v>
      </c>
      <c r="R63">
        <v>33.968024999999997</v>
      </c>
      <c r="S63">
        <v>36.298121999999999</v>
      </c>
      <c r="T63">
        <v>38.579720000000002</v>
      </c>
      <c r="U63">
        <v>40.861794000000003</v>
      </c>
      <c r="V63">
        <v>43.065787999999998</v>
      </c>
      <c r="W63">
        <v>45.129944000000002</v>
      </c>
      <c r="X63">
        <v>47.047699000000001</v>
      </c>
      <c r="Y63">
        <v>48.835788999999998</v>
      </c>
      <c r="Z63">
        <v>50.485771</v>
      </c>
      <c r="AA63">
        <v>52.023018</v>
      </c>
      <c r="AB63">
        <v>53.430278999999999</v>
      </c>
      <c r="AC63">
        <v>54.711395000000003</v>
      </c>
      <c r="AD63">
        <v>55.883991000000002</v>
      </c>
      <c r="AE63">
        <v>56.958846999999999</v>
      </c>
      <c r="AF63">
        <v>57.997867999999997</v>
      </c>
      <c r="AG63" s="29">
        <v>0.10100000000000001</v>
      </c>
    </row>
    <row r="64" spans="1:34" x14ac:dyDescent="0.25">
      <c r="A64" t="s">
        <v>156</v>
      </c>
      <c r="B64" t="s">
        <v>314</v>
      </c>
      <c r="C64" t="s">
        <v>313</v>
      </c>
      <c r="D64" t="s">
        <v>163</v>
      </c>
      <c r="F64">
        <v>1.417826</v>
      </c>
      <c r="G64">
        <v>1.929403</v>
      </c>
      <c r="H64">
        <v>2.8521990000000002</v>
      </c>
      <c r="I64">
        <v>3.6090930000000001</v>
      </c>
      <c r="J64">
        <v>4.2754960000000004</v>
      </c>
      <c r="K64">
        <v>4.8145790000000002</v>
      </c>
      <c r="L64">
        <v>5.5613619999999999</v>
      </c>
      <c r="M64">
        <v>6.2907820000000001</v>
      </c>
      <c r="N64">
        <v>6.9915510000000003</v>
      </c>
      <c r="O64">
        <v>7.5769880000000001</v>
      </c>
      <c r="P64">
        <v>8.1800920000000001</v>
      </c>
      <c r="Q64">
        <v>8.8051759999999994</v>
      </c>
      <c r="R64">
        <v>9.4804270000000006</v>
      </c>
      <c r="S64">
        <v>10.145417999999999</v>
      </c>
      <c r="T64">
        <v>10.802431</v>
      </c>
      <c r="U64">
        <v>11.445798</v>
      </c>
      <c r="V64">
        <v>12.068228</v>
      </c>
      <c r="W64">
        <v>12.660111000000001</v>
      </c>
      <c r="X64">
        <v>13.217727999999999</v>
      </c>
      <c r="Y64">
        <v>13.739599</v>
      </c>
      <c r="Z64">
        <v>14.222842</v>
      </c>
      <c r="AA64">
        <v>14.668754</v>
      </c>
      <c r="AB64">
        <v>15.078174000000001</v>
      </c>
      <c r="AC64">
        <v>15.453428000000001</v>
      </c>
      <c r="AD64">
        <v>15.794376</v>
      </c>
      <c r="AE64">
        <v>16.104493999999999</v>
      </c>
      <c r="AF64">
        <v>16.391774999999999</v>
      </c>
      <c r="AG64" s="29">
        <v>9.9000000000000005E-2</v>
      </c>
    </row>
    <row r="65" spans="1:33" x14ac:dyDescent="0.25">
      <c r="A65" t="s">
        <v>157</v>
      </c>
      <c r="B65" t="s">
        <v>312</v>
      </c>
      <c r="C65" t="s">
        <v>311</v>
      </c>
      <c r="D65" t="s">
        <v>163</v>
      </c>
      <c r="F65">
        <v>7.7330969999999999</v>
      </c>
      <c r="G65">
        <v>8.8504240000000003</v>
      </c>
      <c r="H65">
        <v>10.218289</v>
      </c>
      <c r="I65">
        <v>11.343928999999999</v>
      </c>
      <c r="J65">
        <v>12.403362</v>
      </c>
      <c r="K65">
        <v>13.488567</v>
      </c>
      <c r="L65">
        <v>14.604155</v>
      </c>
      <c r="M65">
        <v>15.689640000000001</v>
      </c>
      <c r="N65">
        <v>16.725176000000001</v>
      </c>
      <c r="O65">
        <v>17.824926000000001</v>
      </c>
      <c r="P65">
        <v>18.911871000000001</v>
      </c>
      <c r="Q65">
        <v>19.983547000000002</v>
      </c>
      <c r="R65">
        <v>21.033588000000002</v>
      </c>
      <c r="S65">
        <v>22.060020000000002</v>
      </c>
      <c r="T65">
        <v>23.062380000000001</v>
      </c>
      <c r="U65">
        <v>24.026959999999999</v>
      </c>
      <c r="V65">
        <v>24.949299</v>
      </c>
      <c r="W65">
        <v>25.825983000000001</v>
      </c>
      <c r="X65">
        <v>26.659594999999999</v>
      </c>
      <c r="Y65">
        <v>27.444890999999998</v>
      </c>
      <c r="Z65">
        <v>28.19558</v>
      </c>
      <c r="AA65">
        <v>28.911944999999999</v>
      </c>
      <c r="AB65">
        <v>29.603276999999999</v>
      </c>
      <c r="AC65">
        <v>30.272469999999998</v>
      </c>
      <c r="AD65">
        <v>30.914035999999999</v>
      </c>
      <c r="AE65">
        <v>31.537243</v>
      </c>
      <c r="AF65">
        <v>32.141604999999998</v>
      </c>
      <c r="AG65" s="29">
        <v>5.6000000000000001E-2</v>
      </c>
    </row>
    <row r="66" spans="1:33" x14ac:dyDescent="0.25">
      <c r="A66" t="s">
        <v>158</v>
      </c>
      <c r="B66" t="s">
        <v>310</v>
      </c>
      <c r="C66" t="s">
        <v>309</v>
      </c>
      <c r="D66" t="s">
        <v>163</v>
      </c>
      <c r="F66">
        <v>2.8032000000000001E-2</v>
      </c>
      <c r="G66">
        <v>2.5564E-2</v>
      </c>
      <c r="H66">
        <v>2.3431E-2</v>
      </c>
      <c r="I66">
        <v>2.1551000000000001E-2</v>
      </c>
      <c r="J66">
        <v>1.9791E-2</v>
      </c>
      <c r="K66">
        <v>1.8155000000000001E-2</v>
      </c>
      <c r="L66">
        <v>1.6709000000000002E-2</v>
      </c>
      <c r="M66">
        <v>1.5346E-2</v>
      </c>
      <c r="N66">
        <v>1.41E-2</v>
      </c>
      <c r="O66">
        <v>1.2973E-2</v>
      </c>
      <c r="P66">
        <v>1.1971000000000001E-2</v>
      </c>
      <c r="Q66">
        <v>1.1072E-2</v>
      </c>
      <c r="R66">
        <v>1.0272E-2</v>
      </c>
      <c r="S66">
        <v>9.6039999999999997E-3</v>
      </c>
      <c r="T66">
        <v>8.992E-3</v>
      </c>
      <c r="U66">
        <v>8.4370000000000001E-3</v>
      </c>
      <c r="V66">
        <v>7.9220000000000002E-3</v>
      </c>
      <c r="W66">
        <v>7.4380000000000002E-3</v>
      </c>
      <c r="X66">
        <v>6.9839999999999998E-3</v>
      </c>
      <c r="Y66">
        <v>6.5579999999999996E-3</v>
      </c>
      <c r="Z66">
        <v>6.1580000000000003E-3</v>
      </c>
      <c r="AA66">
        <v>5.7819999999999998E-3</v>
      </c>
      <c r="AB66">
        <v>5.4299999999999999E-3</v>
      </c>
      <c r="AC66">
        <v>5.0990000000000002E-3</v>
      </c>
      <c r="AD66">
        <v>4.7879999999999997E-3</v>
      </c>
      <c r="AE66">
        <v>4.496E-3</v>
      </c>
      <c r="AF66">
        <v>4.2220000000000001E-3</v>
      </c>
      <c r="AG66" s="29">
        <v>-7.0000000000000007E-2</v>
      </c>
    </row>
    <row r="67" spans="1:33" x14ac:dyDescent="0.25">
      <c r="A67" t="s">
        <v>159</v>
      </c>
      <c r="B67" t="s">
        <v>308</v>
      </c>
      <c r="C67" t="s">
        <v>307</v>
      </c>
      <c r="D67" t="s">
        <v>163</v>
      </c>
      <c r="F67">
        <v>1.7094000000000002E-2</v>
      </c>
      <c r="G67">
        <v>1.7212000000000002E-2</v>
      </c>
      <c r="H67">
        <v>1.7323999999999999E-2</v>
      </c>
      <c r="I67">
        <v>1.7491E-2</v>
      </c>
      <c r="J67">
        <v>1.7677999999999999E-2</v>
      </c>
      <c r="K67">
        <v>1.7375999999999999E-2</v>
      </c>
      <c r="L67">
        <v>1.7114000000000001E-2</v>
      </c>
      <c r="M67">
        <v>1.6773E-2</v>
      </c>
      <c r="N67">
        <v>1.6348000000000001E-2</v>
      </c>
      <c r="O67">
        <v>1.5785E-2</v>
      </c>
      <c r="P67">
        <v>1.516E-2</v>
      </c>
      <c r="Q67">
        <v>1.4505000000000001E-2</v>
      </c>
      <c r="R67">
        <v>1.3759E-2</v>
      </c>
      <c r="S67">
        <v>1.2952999999999999E-2</v>
      </c>
      <c r="T67">
        <v>1.2102999999999999E-2</v>
      </c>
      <c r="U67">
        <v>1.1240999999999999E-2</v>
      </c>
      <c r="V67">
        <v>1.0390999999999999E-2</v>
      </c>
      <c r="W67">
        <v>9.5709999999999996E-3</v>
      </c>
      <c r="X67">
        <v>8.848E-3</v>
      </c>
      <c r="Y67">
        <v>8.1939999999999999E-3</v>
      </c>
      <c r="Z67">
        <v>7.6309999999999998E-3</v>
      </c>
      <c r="AA67">
        <v>7.123E-3</v>
      </c>
      <c r="AB67">
        <v>6.7089999999999997E-3</v>
      </c>
      <c r="AC67">
        <v>6.3709999999999999E-3</v>
      </c>
      <c r="AD67">
        <v>6.1079999999999997E-3</v>
      </c>
      <c r="AE67">
        <v>5.8770000000000003E-3</v>
      </c>
      <c r="AF67">
        <v>5.6889999999999996E-3</v>
      </c>
      <c r="AG67" s="29">
        <v>-4.1000000000000002E-2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323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H6" sqref="H6"/>
    </sheetView>
  </sheetViews>
  <sheetFormatPr defaultRowHeight="15" customHeight="1" x14ac:dyDescent="0.25"/>
  <cols>
    <col min="1" max="1" width="32.42578125" customWidth="1"/>
    <col min="2" max="2" width="27.28515625" customWidth="1"/>
  </cols>
  <sheetData>
    <row r="1" spans="1:33" x14ac:dyDescent="0.25"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 t="s">
        <v>306</v>
      </c>
    </row>
    <row r="2" spans="1:33" x14ac:dyDescent="0.25"/>
    <row r="3" spans="1:33" x14ac:dyDescent="0.25"/>
    <row r="4" spans="1:33" x14ac:dyDescent="0.25"/>
    <row r="5" spans="1:33" x14ac:dyDescent="0.25"/>
    <row r="6" spans="1:33" x14ac:dyDescent="0.25"/>
    <row r="7" spans="1:33" x14ac:dyDescent="0.25"/>
    <row r="8" spans="1:33" x14ac:dyDescent="0.25"/>
    <row r="9" spans="1:33" x14ac:dyDescent="0.25"/>
    <row r="10" spans="1:33" x14ac:dyDescent="0.25"/>
    <row r="11" spans="1:33" x14ac:dyDescent="0.25">
      <c r="A11" t="s">
        <v>164</v>
      </c>
    </row>
    <row r="12" spans="1:33" x14ac:dyDescent="0.25">
      <c r="A12" t="s">
        <v>947</v>
      </c>
    </row>
    <row r="13" spans="1:33" x14ac:dyDescent="0.25">
      <c r="A13" t="s">
        <v>946</v>
      </c>
    </row>
    <row r="14" spans="1:33" x14ac:dyDescent="0.25">
      <c r="A14" t="s">
        <v>126</v>
      </c>
    </row>
    <row r="15" spans="1:33" x14ac:dyDescent="0.25">
      <c r="B15" t="s">
        <v>127</v>
      </c>
      <c r="C15" t="s">
        <v>128</v>
      </c>
      <c r="D15" t="s">
        <v>129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>
        <v>2050</v>
      </c>
      <c r="AG15" t="s">
        <v>306</v>
      </c>
    </row>
    <row r="16" spans="1:33" x14ac:dyDescent="0.25">
      <c r="A16" t="s">
        <v>41</v>
      </c>
    </row>
    <row r="17" spans="1:33" x14ac:dyDescent="0.25">
      <c r="A17" t="s">
        <v>165</v>
      </c>
    </row>
    <row r="18" spans="1:33" x14ac:dyDescent="0.25">
      <c r="A18" t="s">
        <v>166</v>
      </c>
    </row>
    <row r="19" spans="1:33" x14ac:dyDescent="0.25">
      <c r="A19" t="s">
        <v>167</v>
      </c>
      <c r="B19" t="s">
        <v>945</v>
      </c>
      <c r="C19" t="s">
        <v>944</v>
      </c>
      <c r="D19" t="s">
        <v>201</v>
      </c>
      <c r="F19">
        <v>54.137805999999998</v>
      </c>
      <c r="G19">
        <v>54.071216999999997</v>
      </c>
      <c r="H19">
        <v>53.457313999999997</v>
      </c>
      <c r="I19">
        <v>52.647182000000001</v>
      </c>
      <c r="J19">
        <v>51.595882000000003</v>
      </c>
      <c r="K19">
        <v>50.530312000000002</v>
      </c>
      <c r="L19">
        <v>49.352173000000001</v>
      </c>
      <c r="M19">
        <v>47.958195000000003</v>
      </c>
      <c r="N19">
        <v>46.364254000000003</v>
      </c>
      <c r="O19">
        <v>44.630927999999997</v>
      </c>
      <c r="P19">
        <v>42.877257999999998</v>
      </c>
      <c r="Q19">
        <v>41.088706999999999</v>
      </c>
      <c r="R19">
        <v>39.341450000000002</v>
      </c>
      <c r="S19">
        <v>37.609543000000002</v>
      </c>
      <c r="T19">
        <v>35.849299999999999</v>
      </c>
      <c r="U19">
        <v>34.028595000000003</v>
      </c>
      <c r="V19">
        <v>32.296920999999998</v>
      </c>
      <c r="W19">
        <v>30.546603999999999</v>
      </c>
      <c r="X19">
        <v>28.828039</v>
      </c>
      <c r="Y19">
        <v>27.093805</v>
      </c>
      <c r="Z19">
        <v>25.4589</v>
      </c>
      <c r="AA19">
        <v>23.970109999999998</v>
      </c>
      <c r="AB19">
        <v>22.591919000000001</v>
      </c>
      <c r="AC19">
        <v>21.348120000000002</v>
      </c>
      <c r="AD19">
        <v>20.125426999999998</v>
      </c>
      <c r="AE19">
        <v>18.939999</v>
      </c>
      <c r="AF19">
        <v>17.824724</v>
      </c>
      <c r="AG19" s="29">
        <v>-4.2000000000000003E-2</v>
      </c>
    </row>
    <row r="20" spans="1:33" x14ac:dyDescent="0.25">
      <c r="A20" t="s">
        <v>168</v>
      </c>
      <c r="B20" t="s">
        <v>943</v>
      </c>
      <c r="C20" t="s">
        <v>942</v>
      </c>
      <c r="D20" t="s">
        <v>201</v>
      </c>
      <c r="F20">
        <v>24.34918</v>
      </c>
      <c r="G20">
        <v>26.157592999999999</v>
      </c>
      <c r="H20">
        <v>27.731414999999998</v>
      </c>
      <c r="I20">
        <v>29.117968000000001</v>
      </c>
      <c r="J20">
        <v>30.147932000000001</v>
      </c>
      <c r="K20">
        <v>30.947813</v>
      </c>
      <c r="L20">
        <v>31.490299</v>
      </c>
      <c r="M20">
        <v>31.687159999999999</v>
      </c>
      <c r="N20">
        <v>31.595020000000002</v>
      </c>
      <c r="O20">
        <v>31.298421999999999</v>
      </c>
      <c r="P20">
        <v>30.888570999999999</v>
      </c>
      <c r="Q20">
        <v>30.361319000000002</v>
      </c>
      <c r="R20">
        <v>29.795849</v>
      </c>
      <c r="S20">
        <v>29.181716999999999</v>
      </c>
      <c r="T20">
        <v>28.457778999999999</v>
      </c>
      <c r="U20">
        <v>27.608362</v>
      </c>
      <c r="V20">
        <v>26.763168</v>
      </c>
      <c r="W20">
        <v>25.832671999999999</v>
      </c>
      <c r="X20">
        <v>24.834416999999998</v>
      </c>
      <c r="Y20">
        <v>23.746389000000001</v>
      </c>
      <c r="Z20">
        <v>22.699881000000001</v>
      </c>
      <c r="AA20">
        <v>21.744126999999999</v>
      </c>
      <c r="AB20">
        <v>20.840295999999999</v>
      </c>
      <c r="AC20">
        <v>20.011322</v>
      </c>
      <c r="AD20">
        <v>19.174472999999999</v>
      </c>
      <c r="AE20">
        <v>18.349557999999998</v>
      </c>
      <c r="AF20">
        <v>17.565284999999999</v>
      </c>
      <c r="AG20" s="29">
        <v>-1.2E-2</v>
      </c>
    </row>
    <row r="21" spans="1:33" x14ac:dyDescent="0.25">
      <c r="A21" t="s">
        <v>169</v>
      </c>
      <c r="B21" t="s">
        <v>941</v>
      </c>
      <c r="C21" t="s">
        <v>940</v>
      </c>
      <c r="D21" t="s">
        <v>201</v>
      </c>
      <c r="F21">
        <v>7.2999999999999996E-4</v>
      </c>
      <c r="G21">
        <v>7.3099999999999999E-4</v>
      </c>
      <c r="H21">
        <v>7.3200000000000001E-4</v>
      </c>
      <c r="I21">
        <v>7.3499999999999998E-4</v>
      </c>
      <c r="J21">
        <v>7.4899999999999999E-4</v>
      </c>
      <c r="K21">
        <v>7.6800000000000002E-4</v>
      </c>
      <c r="L21">
        <v>7.8799999999999996E-4</v>
      </c>
      <c r="M21">
        <v>8.0999999999999996E-4</v>
      </c>
      <c r="N21">
        <v>8.3500000000000002E-4</v>
      </c>
      <c r="O21">
        <v>8.3000000000000001E-4</v>
      </c>
      <c r="P21">
        <v>8.1499999999999997E-4</v>
      </c>
      <c r="Q21">
        <v>8.1700000000000002E-4</v>
      </c>
      <c r="R21">
        <v>8.3000000000000001E-4</v>
      </c>
      <c r="S21">
        <v>8.4999999999999995E-4</v>
      </c>
      <c r="T21">
        <v>8.7500000000000002E-4</v>
      </c>
      <c r="U21">
        <v>9.0200000000000002E-4</v>
      </c>
      <c r="V21">
        <v>9.3000000000000005E-4</v>
      </c>
      <c r="W21">
        <v>9.5799999999999998E-4</v>
      </c>
      <c r="X21">
        <v>9.8299999999999993E-4</v>
      </c>
      <c r="Y21">
        <v>1.0070000000000001E-3</v>
      </c>
      <c r="Z21">
        <v>1.0280000000000001E-3</v>
      </c>
      <c r="AA21">
        <v>1.0510000000000001E-3</v>
      </c>
      <c r="AB21">
        <v>1.073E-3</v>
      </c>
      <c r="AC21">
        <v>1.0970000000000001E-3</v>
      </c>
      <c r="AD21">
        <v>1.119E-3</v>
      </c>
      <c r="AE21">
        <v>1.139E-3</v>
      </c>
      <c r="AF21">
        <v>1.158E-3</v>
      </c>
      <c r="AG21" s="29">
        <v>1.7999999999999999E-2</v>
      </c>
    </row>
    <row r="22" spans="1:33" x14ac:dyDescent="0.25">
      <c r="A22" t="s">
        <v>170</v>
      </c>
      <c r="B22" t="s">
        <v>939</v>
      </c>
      <c r="C22" t="s">
        <v>938</v>
      </c>
      <c r="D22" t="s">
        <v>201</v>
      </c>
      <c r="F22">
        <v>7.9604999999999995E-2</v>
      </c>
      <c r="G22">
        <v>0.21027499999999999</v>
      </c>
      <c r="H22">
        <v>0.35547800000000002</v>
      </c>
      <c r="I22">
        <v>0.50833300000000003</v>
      </c>
      <c r="J22">
        <v>0.60356399999999999</v>
      </c>
      <c r="K22">
        <v>0.70265</v>
      </c>
      <c r="L22">
        <v>0.77752100000000002</v>
      </c>
      <c r="M22">
        <v>0.81933999999999996</v>
      </c>
      <c r="N22">
        <v>0.84735300000000002</v>
      </c>
      <c r="O22">
        <v>0.85540499999999997</v>
      </c>
      <c r="P22">
        <v>0.87202400000000002</v>
      </c>
      <c r="Q22">
        <v>0.90455399999999997</v>
      </c>
      <c r="R22">
        <v>0.94545400000000002</v>
      </c>
      <c r="S22">
        <v>0.99856599999999995</v>
      </c>
      <c r="T22">
        <v>1.076068</v>
      </c>
      <c r="U22">
        <v>1.161184</v>
      </c>
      <c r="V22">
        <v>1.2678579999999999</v>
      </c>
      <c r="W22">
        <v>1.4032100000000001</v>
      </c>
      <c r="X22">
        <v>1.557526</v>
      </c>
      <c r="Y22">
        <v>1.728326</v>
      </c>
      <c r="Z22">
        <v>1.898649</v>
      </c>
      <c r="AA22">
        <v>2.0823230000000001</v>
      </c>
      <c r="AB22">
        <v>2.2790659999999998</v>
      </c>
      <c r="AC22">
        <v>2.5033970000000001</v>
      </c>
      <c r="AD22">
        <v>2.7353589999999999</v>
      </c>
      <c r="AE22">
        <v>2.980953</v>
      </c>
      <c r="AF22">
        <v>3.2338290000000001</v>
      </c>
      <c r="AG22" s="29">
        <v>0.153</v>
      </c>
    </row>
    <row r="23" spans="1:33" x14ac:dyDescent="0.25">
      <c r="A23" t="s">
        <v>171</v>
      </c>
      <c r="B23" t="s">
        <v>937</v>
      </c>
      <c r="C23" t="s">
        <v>936</v>
      </c>
      <c r="D23" t="s">
        <v>201</v>
      </c>
      <c r="F23">
        <v>3.2588729999999999</v>
      </c>
      <c r="G23">
        <v>2.9694029999999998</v>
      </c>
      <c r="H23">
        <v>2.670283</v>
      </c>
      <c r="I23">
        <v>2.3920520000000001</v>
      </c>
      <c r="J23">
        <v>2.1450879999999999</v>
      </c>
      <c r="K23">
        <v>1.9372720000000001</v>
      </c>
      <c r="L23">
        <v>1.7542489999999999</v>
      </c>
      <c r="M23">
        <v>1.591224</v>
      </c>
      <c r="N23">
        <v>1.443881</v>
      </c>
      <c r="O23">
        <v>1.3078000000000001</v>
      </c>
      <c r="P23">
        <v>1.183535</v>
      </c>
      <c r="Q23">
        <v>1.0700609999999999</v>
      </c>
      <c r="R23">
        <v>0.96449200000000002</v>
      </c>
      <c r="S23">
        <v>0.86558299999999999</v>
      </c>
      <c r="T23">
        <v>0.77333399999999997</v>
      </c>
      <c r="U23">
        <v>0.68865200000000004</v>
      </c>
      <c r="V23">
        <v>0.61294800000000005</v>
      </c>
      <c r="W23">
        <v>0.54637000000000002</v>
      </c>
      <c r="X23">
        <v>0.48824699999999999</v>
      </c>
      <c r="Y23">
        <v>0.43711</v>
      </c>
      <c r="Z23">
        <v>0.388071</v>
      </c>
      <c r="AA23">
        <v>0.34228599999999998</v>
      </c>
      <c r="AB23">
        <v>0.29872399999999999</v>
      </c>
      <c r="AC23">
        <v>0.26012600000000002</v>
      </c>
      <c r="AD23">
        <v>0.21887200000000001</v>
      </c>
      <c r="AE23">
        <v>0.17858399999999999</v>
      </c>
      <c r="AF23">
        <v>0.14052200000000001</v>
      </c>
      <c r="AG23" s="29">
        <v>-0.114</v>
      </c>
    </row>
    <row r="24" spans="1:33" x14ac:dyDescent="0.25">
      <c r="A24" t="s">
        <v>155</v>
      </c>
      <c r="B24" t="s">
        <v>935</v>
      </c>
      <c r="C24" t="s">
        <v>934</v>
      </c>
      <c r="D24" t="s">
        <v>201</v>
      </c>
      <c r="F24">
        <v>8.7280999999999997E-2</v>
      </c>
      <c r="G24">
        <v>0.119507</v>
      </c>
      <c r="H24">
        <v>0.14918300000000001</v>
      </c>
      <c r="I24">
        <v>0.17560000000000001</v>
      </c>
      <c r="J24">
        <v>0.198771</v>
      </c>
      <c r="K24">
        <v>0.22067600000000001</v>
      </c>
      <c r="L24">
        <v>0.24584900000000001</v>
      </c>
      <c r="M24">
        <v>0.31488500000000003</v>
      </c>
      <c r="N24">
        <v>0.43936399999999998</v>
      </c>
      <c r="O24">
        <v>0.55638799999999999</v>
      </c>
      <c r="P24">
        <v>0.74443599999999999</v>
      </c>
      <c r="Q24">
        <v>1.0531710000000001</v>
      </c>
      <c r="R24">
        <v>1.4948330000000001</v>
      </c>
      <c r="S24">
        <v>2.0432519999999998</v>
      </c>
      <c r="T24">
        <v>2.7092320000000001</v>
      </c>
      <c r="U24">
        <v>3.4966200000000001</v>
      </c>
      <c r="V24">
        <v>4.4216449999999998</v>
      </c>
      <c r="W24">
        <v>5.5475440000000003</v>
      </c>
      <c r="X24">
        <v>6.8312460000000002</v>
      </c>
      <c r="Y24">
        <v>8.2411890000000003</v>
      </c>
      <c r="Z24">
        <v>9.6649480000000008</v>
      </c>
      <c r="AA24">
        <v>11.152545999999999</v>
      </c>
      <c r="AB24">
        <v>12.684813</v>
      </c>
      <c r="AC24">
        <v>14.333284000000001</v>
      </c>
      <c r="AD24">
        <v>16.026073</v>
      </c>
      <c r="AE24">
        <v>17.724495000000001</v>
      </c>
      <c r="AF24">
        <v>19.422892000000001</v>
      </c>
      <c r="AG24" s="29">
        <v>0.23100000000000001</v>
      </c>
    </row>
    <row r="25" spans="1:33" x14ac:dyDescent="0.25">
      <c r="A25" t="s">
        <v>172</v>
      </c>
      <c r="B25" t="s">
        <v>933</v>
      </c>
      <c r="C25" t="s">
        <v>932</v>
      </c>
      <c r="D25" t="s">
        <v>201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23</v>
      </c>
    </row>
    <row r="26" spans="1:33" x14ac:dyDescent="0.25">
      <c r="A26" t="s">
        <v>173</v>
      </c>
      <c r="B26" t="s">
        <v>931</v>
      </c>
      <c r="C26" t="s">
        <v>930</v>
      </c>
      <c r="D26" t="s">
        <v>201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23</v>
      </c>
    </row>
    <row r="27" spans="1:33" x14ac:dyDescent="0.25">
      <c r="A27" t="s">
        <v>159</v>
      </c>
      <c r="B27" t="s">
        <v>929</v>
      </c>
      <c r="C27" t="s">
        <v>928</v>
      </c>
      <c r="D27" t="s">
        <v>201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23</v>
      </c>
    </row>
    <row r="28" spans="1:33" x14ac:dyDescent="0.25">
      <c r="A28" t="s">
        <v>300</v>
      </c>
      <c r="B28" t="s">
        <v>927</v>
      </c>
      <c r="C28" t="s">
        <v>926</v>
      </c>
      <c r="D28" t="s">
        <v>201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23</v>
      </c>
    </row>
    <row r="29" spans="1:33" x14ac:dyDescent="0.25">
      <c r="A29" t="s">
        <v>299</v>
      </c>
      <c r="B29" t="s">
        <v>925</v>
      </c>
      <c r="C29" t="s">
        <v>924</v>
      </c>
      <c r="D29" t="s">
        <v>201</v>
      </c>
      <c r="F29">
        <v>0</v>
      </c>
      <c r="G29">
        <v>0.109322</v>
      </c>
      <c r="H29">
        <v>0.28561399999999998</v>
      </c>
      <c r="I29">
        <v>0.52429300000000001</v>
      </c>
      <c r="J29">
        <v>1.3492900000000001</v>
      </c>
      <c r="K29">
        <v>2.8503099999999999</v>
      </c>
      <c r="L29">
        <v>5.0136310000000002</v>
      </c>
      <c r="M29">
        <v>7.7647050000000002</v>
      </c>
      <c r="N29">
        <v>11.073954000000001</v>
      </c>
      <c r="O29">
        <v>14.758941</v>
      </c>
      <c r="P29">
        <v>18.660900000000002</v>
      </c>
      <c r="Q29">
        <v>22.600832</v>
      </c>
      <c r="R29">
        <v>26.474253000000001</v>
      </c>
      <c r="S29">
        <v>30.237411000000002</v>
      </c>
      <c r="T29">
        <v>34.006458000000002</v>
      </c>
      <c r="U29">
        <v>37.792834999999997</v>
      </c>
      <c r="V29">
        <v>41.462817999999999</v>
      </c>
      <c r="W29">
        <v>44.911160000000002</v>
      </c>
      <c r="X29">
        <v>48.150188</v>
      </c>
      <c r="Y29">
        <v>51.148192999999999</v>
      </c>
      <c r="Z29">
        <v>53.948368000000002</v>
      </c>
      <c r="AA29">
        <v>56.632454000000003</v>
      </c>
      <c r="AB29">
        <v>59.163367999999998</v>
      </c>
      <c r="AC29">
        <v>61.704948000000002</v>
      </c>
      <c r="AD29">
        <v>64.027450999999999</v>
      </c>
      <c r="AE29">
        <v>66.138740999999996</v>
      </c>
      <c r="AF29">
        <v>68.037430000000001</v>
      </c>
      <c r="AG29" t="s">
        <v>23</v>
      </c>
    </row>
    <row r="30" spans="1:33" x14ac:dyDescent="0.25">
      <c r="A30" t="s">
        <v>298</v>
      </c>
      <c r="B30" t="s">
        <v>923</v>
      </c>
      <c r="C30" t="s">
        <v>922</v>
      </c>
      <c r="D30" t="s">
        <v>201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23</v>
      </c>
    </row>
    <row r="31" spans="1:33" x14ac:dyDescent="0.25">
      <c r="A31" t="s">
        <v>174</v>
      </c>
      <c r="B31" t="s">
        <v>921</v>
      </c>
      <c r="C31" t="s">
        <v>920</v>
      </c>
      <c r="D31" t="s">
        <v>201</v>
      </c>
      <c r="F31">
        <v>81.913414000000003</v>
      </c>
      <c r="G31">
        <v>83.637932000000006</v>
      </c>
      <c r="H31">
        <v>84.649970999999994</v>
      </c>
      <c r="I31">
        <v>85.366112000000001</v>
      </c>
      <c r="J31">
        <v>86.041008000000005</v>
      </c>
      <c r="K31">
        <v>87.189673999999997</v>
      </c>
      <c r="L31">
        <v>88.634345999999994</v>
      </c>
      <c r="M31">
        <v>90.136009000000001</v>
      </c>
      <c r="N31">
        <v>91.764342999999997</v>
      </c>
      <c r="O31">
        <v>93.408591999999999</v>
      </c>
      <c r="P31">
        <v>95.227249</v>
      </c>
      <c r="Q31">
        <v>97.079216000000002</v>
      </c>
      <c r="R31">
        <v>99.016814999999994</v>
      </c>
      <c r="S31">
        <v>100.936539</v>
      </c>
      <c r="T31">
        <v>102.872658</v>
      </c>
      <c r="U31">
        <v>104.776962</v>
      </c>
      <c r="V31">
        <v>106.826088</v>
      </c>
      <c r="W31">
        <v>108.78827699999999</v>
      </c>
      <c r="X31">
        <v>110.690437</v>
      </c>
      <c r="Y31">
        <v>112.395782</v>
      </c>
      <c r="Z31">
        <v>114.059608</v>
      </c>
      <c r="AA31">
        <v>115.924751</v>
      </c>
      <c r="AB31">
        <v>117.859016</v>
      </c>
      <c r="AC31">
        <v>120.16201</v>
      </c>
      <c r="AD31">
        <v>122.30836499999999</v>
      </c>
      <c r="AE31">
        <v>124.313187</v>
      </c>
      <c r="AF31">
        <v>126.225555</v>
      </c>
      <c r="AG31" s="29">
        <v>1.7000000000000001E-2</v>
      </c>
    </row>
    <row r="32" spans="1:33" x14ac:dyDescent="0.25">
      <c r="A32" t="s">
        <v>175</v>
      </c>
    </row>
    <row r="33" spans="1:33" x14ac:dyDescent="0.25">
      <c r="A33" t="s">
        <v>167</v>
      </c>
      <c r="B33" t="s">
        <v>919</v>
      </c>
      <c r="C33" t="s">
        <v>918</v>
      </c>
      <c r="D33" t="s">
        <v>201</v>
      </c>
      <c r="F33">
        <v>37.131771000000001</v>
      </c>
      <c r="G33">
        <v>36.594059000000001</v>
      </c>
      <c r="H33">
        <v>35.836998000000001</v>
      </c>
      <c r="I33">
        <v>35.128596999999999</v>
      </c>
      <c r="J33">
        <v>34.429993000000003</v>
      </c>
      <c r="K33">
        <v>33.848514999999999</v>
      </c>
      <c r="L33">
        <v>33.334881000000003</v>
      </c>
      <c r="M33">
        <v>32.813395999999997</v>
      </c>
      <c r="N33">
        <v>32.307029999999997</v>
      </c>
      <c r="O33">
        <v>31.735132</v>
      </c>
      <c r="P33">
        <v>31.138124000000001</v>
      </c>
      <c r="Q33">
        <v>30.495702999999999</v>
      </c>
      <c r="R33">
        <v>29.854996</v>
      </c>
      <c r="S33">
        <v>29.198588999999998</v>
      </c>
      <c r="T33">
        <v>28.521305000000002</v>
      </c>
      <c r="U33">
        <v>27.823361999999999</v>
      </c>
      <c r="V33">
        <v>27.163891</v>
      </c>
      <c r="W33">
        <v>26.519552000000001</v>
      </c>
      <c r="X33">
        <v>25.929789</v>
      </c>
      <c r="Y33">
        <v>25.381256</v>
      </c>
      <c r="Z33">
        <v>24.876940000000001</v>
      </c>
      <c r="AA33">
        <v>24.434802999999999</v>
      </c>
      <c r="AB33">
        <v>24.024281999999999</v>
      </c>
      <c r="AC33">
        <v>23.739571000000002</v>
      </c>
      <c r="AD33">
        <v>23.487732000000001</v>
      </c>
      <c r="AE33">
        <v>23.243437</v>
      </c>
      <c r="AF33">
        <v>22.989767000000001</v>
      </c>
      <c r="AG33" s="29">
        <v>-1.7999999999999999E-2</v>
      </c>
    </row>
    <row r="34" spans="1:33" x14ac:dyDescent="0.25">
      <c r="A34" t="s">
        <v>168</v>
      </c>
      <c r="B34" t="s">
        <v>917</v>
      </c>
      <c r="C34" t="s">
        <v>916</v>
      </c>
      <c r="D34" t="s">
        <v>201</v>
      </c>
      <c r="F34">
        <v>24.710927999999999</v>
      </c>
      <c r="G34">
        <v>24.792711000000001</v>
      </c>
      <c r="H34">
        <v>24.766380000000002</v>
      </c>
      <c r="I34">
        <v>24.778901999999999</v>
      </c>
      <c r="J34">
        <v>24.779399999999999</v>
      </c>
      <c r="K34">
        <v>24.825973999999999</v>
      </c>
      <c r="L34">
        <v>24.892790000000002</v>
      </c>
      <c r="M34">
        <v>24.93458</v>
      </c>
      <c r="N34">
        <v>24.980650000000001</v>
      </c>
      <c r="O34">
        <v>24.957380000000001</v>
      </c>
      <c r="P34">
        <v>24.906849000000001</v>
      </c>
      <c r="Q34">
        <v>24.796883000000001</v>
      </c>
      <c r="R34">
        <v>24.652761000000002</v>
      </c>
      <c r="S34">
        <v>24.494171000000001</v>
      </c>
      <c r="T34">
        <v>24.287745999999999</v>
      </c>
      <c r="U34">
        <v>24.046125</v>
      </c>
      <c r="V34">
        <v>23.807701000000002</v>
      </c>
      <c r="W34">
        <v>23.569877999999999</v>
      </c>
      <c r="X34">
        <v>23.351219</v>
      </c>
      <c r="Y34">
        <v>23.130773999999999</v>
      </c>
      <c r="Z34">
        <v>22.915935999999999</v>
      </c>
      <c r="AA34">
        <v>22.730301000000001</v>
      </c>
      <c r="AB34">
        <v>22.550166999999998</v>
      </c>
      <c r="AC34">
        <v>22.463426999999999</v>
      </c>
      <c r="AD34">
        <v>22.392613999999998</v>
      </c>
      <c r="AE34">
        <v>22.314965999999998</v>
      </c>
      <c r="AF34">
        <v>22.208449999999999</v>
      </c>
      <c r="AG34" s="29">
        <v>-4.0000000000000001E-3</v>
      </c>
    </row>
    <row r="35" spans="1:33" x14ac:dyDescent="0.25">
      <c r="A35" t="s">
        <v>169</v>
      </c>
      <c r="B35" t="s">
        <v>915</v>
      </c>
      <c r="C35" t="s">
        <v>914</v>
      </c>
      <c r="D35" t="s">
        <v>201</v>
      </c>
      <c r="F35">
        <v>2.5683000000000001E-2</v>
      </c>
      <c r="G35">
        <v>2.2918999999999998E-2</v>
      </c>
      <c r="H35">
        <v>2.0313999999999999E-2</v>
      </c>
      <c r="I35">
        <v>1.7925E-2</v>
      </c>
      <c r="J35">
        <v>1.5859000000000002E-2</v>
      </c>
      <c r="K35">
        <v>1.3155999999999999E-2</v>
      </c>
      <c r="L35">
        <v>1.1735000000000001E-2</v>
      </c>
      <c r="M35">
        <v>1.0444E-2</v>
      </c>
      <c r="N35">
        <v>9.3609999999999995E-3</v>
      </c>
      <c r="O35">
        <v>8.4089999999999998E-3</v>
      </c>
      <c r="P35">
        <v>7.3990000000000002E-3</v>
      </c>
      <c r="Q35">
        <v>6.6379999999999998E-3</v>
      </c>
      <c r="R35">
        <v>6.0309999999999999E-3</v>
      </c>
      <c r="S35">
        <v>5.5360000000000001E-3</v>
      </c>
      <c r="T35">
        <v>5.097E-3</v>
      </c>
      <c r="U35">
        <v>4.7149999999999996E-3</v>
      </c>
      <c r="V35">
        <v>4.4050000000000001E-3</v>
      </c>
      <c r="W35">
        <v>4.1209999999999997E-3</v>
      </c>
      <c r="X35">
        <v>3.8730000000000001E-3</v>
      </c>
      <c r="Y35">
        <v>3.6489999999999999E-3</v>
      </c>
      <c r="Z35">
        <v>3.4320000000000002E-3</v>
      </c>
      <c r="AA35">
        <v>3.297E-3</v>
      </c>
      <c r="AB35">
        <v>3.143E-3</v>
      </c>
      <c r="AC35">
        <v>3.0079999999999998E-3</v>
      </c>
      <c r="AD35">
        <v>2.6610000000000002E-3</v>
      </c>
      <c r="AE35">
        <v>2.1099999999999999E-3</v>
      </c>
      <c r="AF35">
        <v>1.676E-3</v>
      </c>
      <c r="AG35" s="29">
        <v>-0.1</v>
      </c>
    </row>
    <row r="36" spans="1:33" x14ac:dyDescent="0.25">
      <c r="A36" t="s">
        <v>170</v>
      </c>
      <c r="B36" t="s">
        <v>913</v>
      </c>
      <c r="C36" t="s">
        <v>912</v>
      </c>
      <c r="D36" t="s">
        <v>201</v>
      </c>
      <c r="F36">
        <v>0.21660399999999999</v>
      </c>
      <c r="G36">
        <v>0.29153400000000002</v>
      </c>
      <c r="H36">
        <v>0.36267500000000003</v>
      </c>
      <c r="I36">
        <v>0.42705700000000002</v>
      </c>
      <c r="J36">
        <v>0.483323</v>
      </c>
      <c r="K36">
        <v>0.533188</v>
      </c>
      <c r="L36">
        <v>0.57804699999999998</v>
      </c>
      <c r="M36">
        <v>0.61812299999999998</v>
      </c>
      <c r="N36">
        <v>0.65573599999999999</v>
      </c>
      <c r="O36">
        <v>0.691272</v>
      </c>
      <c r="P36">
        <v>0.72470299999999999</v>
      </c>
      <c r="Q36">
        <v>0.75561</v>
      </c>
      <c r="R36">
        <v>0.78383000000000003</v>
      </c>
      <c r="S36">
        <v>0.81074299999999999</v>
      </c>
      <c r="T36">
        <v>0.83725300000000002</v>
      </c>
      <c r="U36">
        <v>0.86216999999999999</v>
      </c>
      <c r="V36">
        <v>0.885768</v>
      </c>
      <c r="W36">
        <v>0.90606100000000001</v>
      </c>
      <c r="X36">
        <v>0.92689299999999997</v>
      </c>
      <c r="Y36">
        <v>0.94793899999999998</v>
      </c>
      <c r="Z36">
        <v>0.96773900000000002</v>
      </c>
      <c r="AA36">
        <v>0.98745300000000003</v>
      </c>
      <c r="AB36">
        <v>1.006273</v>
      </c>
      <c r="AC36">
        <v>1.030934</v>
      </c>
      <c r="AD36">
        <v>1.0588070000000001</v>
      </c>
      <c r="AE36">
        <v>1.0924590000000001</v>
      </c>
      <c r="AF36">
        <v>1.1249199999999999</v>
      </c>
      <c r="AG36" s="29">
        <v>6.5000000000000002E-2</v>
      </c>
    </row>
    <row r="37" spans="1:33" x14ac:dyDescent="0.25">
      <c r="A37" t="s">
        <v>171</v>
      </c>
      <c r="B37" t="s">
        <v>911</v>
      </c>
      <c r="C37" t="s">
        <v>910</v>
      </c>
      <c r="D37" t="s">
        <v>201</v>
      </c>
      <c r="F37">
        <v>0.56315499999999996</v>
      </c>
      <c r="G37">
        <v>0.50854999999999995</v>
      </c>
      <c r="H37">
        <v>0.45326300000000003</v>
      </c>
      <c r="I37">
        <v>0.40201100000000001</v>
      </c>
      <c r="J37">
        <v>0.35692600000000002</v>
      </c>
      <c r="K37">
        <v>0.320183</v>
      </c>
      <c r="L37">
        <v>0.28773399999999999</v>
      </c>
      <c r="M37">
        <v>0.25882300000000003</v>
      </c>
      <c r="N37">
        <v>0.233901</v>
      </c>
      <c r="O37">
        <v>0.21024899999999999</v>
      </c>
      <c r="P37">
        <v>0.1898</v>
      </c>
      <c r="Q37">
        <v>0.17246700000000001</v>
      </c>
      <c r="R37">
        <v>0.15728500000000001</v>
      </c>
      <c r="S37">
        <v>0.144478</v>
      </c>
      <c r="T37">
        <v>0.13336400000000001</v>
      </c>
      <c r="U37">
        <v>0.12360599999999999</v>
      </c>
      <c r="V37">
        <v>0.11543100000000001</v>
      </c>
      <c r="W37">
        <v>0.10784100000000001</v>
      </c>
      <c r="X37">
        <v>0.100605</v>
      </c>
      <c r="Y37">
        <v>9.3598000000000001E-2</v>
      </c>
      <c r="Z37">
        <v>8.6728E-2</v>
      </c>
      <c r="AA37">
        <v>7.9933000000000004E-2</v>
      </c>
      <c r="AB37">
        <v>7.2932999999999998E-2</v>
      </c>
      <c r="AC37">
        <v>6.5624000000000002E-2</v>
      </c>
      <c r="AD37">
        <v>5.7986999999999997E-2</v>
      </c>
      <c r="AE37">
        <v>5.0445999999999998E-2</v>
      </c>
      <c r="AF37">
        <v>4.2520000000000002E-2</v>
      </c>
      <c r="AG37" s="29">
        <v>-9.5000000000000001E-2</v>
      </c>
    </row>
    <row r="38" spans="1:33" x14ac:dyDescent="0.25">
      <c r="A38" t="s">
        <v>155</v>
      </c>
      <c r="B38" t="s">
        <v>909</v>
      </c>
      <c r="C38" t="s">
        <v>908</v>
      </c>
      <c r="D38" t="s">
        <v>201</v>
      </c>
      <c r="F38">
        <v>2.1684999999999999E-2</v>
      </c>
      <c r="G38">
        <v>2.3281E-2</v>
      </c>
      <c r="H38">
        <v>2.4604000000000001E-2</v>
      </c>
      <c r="I38">
        <v>2.5850999999999999E-2</v>
      </c>
      <c r="J38">
        <v>2.6849999999999999E-2</v>
      </c>
      <c r="K38">
        <v>2.7718E-2</v>
      </c>
      <c r="L38">
        <v>2.8584999999999999E-2</v>
      </c>
      <c r="M38">
        <v>2.93E-2</v>
      </c>
      <c r="N38">
        <v>3.0084E-2</v>
      </c>
      <c r="O38">
        <v>3.0797999999999999E-2</v>
      </c>
      <c r="P38">
        <v>3.1477999999999999E-2</v>
      </c>
      <c r="Q38">
        <v>3.2091000000000001E-2</v>
      </c>
      <c r="R38">
        <v>3.2672E-2</v>
      </c>
      <c r="S38">
        <v>3.3252999999999998E-2</v>
      </c>
      <c r="T38">
        <v>3.3787999999999999E-2</v>
      </c>
      <c r="U38">
        <v>3.4255000000000001E-2</v>
      </c>
      <c r="V38">
        <v>3.4696999999999999E-2</v>
      </c>
      <c r="W38">
        <v>3.5131999999999997E-2</v>
      </c>
      <c r="X38">
        <v>3.5562999999999997E-2</v>
      </c>
      <c r="Y38">
        <v>3.5920000000000001E-2</v>
      </c>
      <c r="Z38">
        <v>3.6223999999999999E-2</v>
      </c>
      <c r="AA38">
        <v>3.6521999999999999E-2</v>
      </c>
      <c r="AB38">
        <v>3.6776999999999997E-2</v>
      </c>
      <c r="AC38">
        <v>3.7164000000000003E-2</v>
      </c>
      <c r="AD38">
        <v>3.7578E-2</v>
      </c>
      <c r="AE38">
        <v>3.7975000000000002E-2</v>
      </c>
      <c r="AF38">
        <v>3.8295000000000003E-2</v>
      </c>
      <c r="AG38" s="29">
        <v>2.1999999999999999E-2</v>
      </c>
    </row>
    <row r="39" spans="1:33" x14ac:dyDescent="0.25">
      <c r="A39" t="s">
        <v>172</v>
      </c>
      <c r="B39" t="s">
        <v>907</v>
      </c>
      <c r="C39" t="s">
        <v>906</v>
      </c>
      <c r="D39" t="s">
        <v>201</v>
      </c>
      <c r="F39">
        <v>0</v>
      </c>
      <c r="G39">
        <v>0</v>
      </c>
      <c r="H39">
        <v>1.812E-3</v>
      </c>
      <c r="I39">
        <v>4.4209999999999996E-3</v>
      </c>
      <c r="J39">
        <v>8.4100000000000008E-3</v>
      </c>
      <c r="K39">
        <v>1.3413E-2</v>
      </c>
      <c r="L39">
        <v>1.8973E-2</v>
      </c>
      <c r="M39">
        <v>2.5016E-2</v>
      </c>
      <c r="N39">
        <v>3.1123999999999999E-2</v>
      </c>
      <c r="O39">
        <v>2.8725000000000001E-2</v>
      </c>
      <c r="P39">
        <v>2.6502000000000001E-2</v>
      </c>
      <c r="Q39">
        <v>2.4417999999999999E-2</v>
      </c>
      <c r="R39">
        <v>2.2536E-2</v>
      </c>
      <c r="S39">
        <v>2.0787E-2</v>
      </c>
      <c r="T39">
        <v>1.9154999999999998E-2</v>
      </c>
      <c r="U39">
        <v>1.7624999999999998E-2</v>
      </c>
      <c r="V39">
        <v>1.6230000000000001E-2</v>
      </c>
      <c r="W39">
        <v>1.4954E-2</v>
      </c>
      <c r="X39">
        <v>1.3782000000000001E-2</v>
      </c>
      <c r="Y39">
        <v>1.2718E-2</v>
      </c>
      <c r="Z39">
        <v>1.1752E-2</v>
      </c>
      <c r="AA39">
        <v>1.0893E-2</v>
      </c>
      <c r="AB39">
        <v>1.0121E-2</v>
      </c>
      <c r="AC39">
        <v>9.3299999999999998E-3</v>
      </c>
      <c r="AD39">
        <v>8.5830000000000004E-3</v>
      </c>
      <c r="AE39">
        <v>7.9159999999999994E-3</v>
      </c>
      <c r="AF39">
        <v>7.3150000000000003E-3</v>
      </c>
      <c r="AG39" t="s">
        <v>23</v>
      </c>
    </row>
    <row r="40" spans="1:33" x14ac:dyDescent="0.25">
      <c r="A40" t="s">
        <v>173</v>
      </c>
      <c r="B40" t="s">
        <v>905</v>
      </c>
      <c r="C40" t="s">
        <v>904</v>
      </c>
      <c r="D40" t="s">
        <v>201</v>
      </c>
      <c r="F40">
        <v>0</v>
      </c>
      <c r="G40">
        <v>8.5570000000000004E-3</v>
      </c>
      <c r="H40">
        <v>1.7385999999999999E-2</v>
      </c>
      <c r="I40">
        <v>2.0511000000000001E-2</v>
      </c>
      <c r="J40">
        <v>1.9573E-2</v>
      </c>
      <c r="K40">
        <v>1.7939E-2</v>
      </c>
      <c r="L40">
        <v>1.6412E-2</v>
      </c>
      <c r="M40">
        <v>1.5066E-2</v>
      </c>
      <c r="N40">
        <v>1.3932999999999999E-2</v>
      </c>
      <c r="O40">
        <v>1.2857E-2</v>
      </c>
      <c r="P40">
        <v>1.1854999999999999E-2</v>
      </c>
      <c r="Q40">
        <v>1.0898E-2</v>
      </c>
      <c r="R40">
        <v>1.0045999999999999E-2</v>
      </c>
      <c r="S40">
        <v>9.2049999999999996E-3</v>
      </c>
      <c r="T40">
        <v>8.4309999999999993E-3</v>
      </c>
      <c r="U40">
        <v>7.7409999999999996E-3</v>
      </c>
      <c r="V40">
        <v>7.1500000000000001E-3</v>
      </c>
      <c r="W40">
        <v>6.6150000000000002E-3</v>
      </c>
      <c r="X40">
        <v>6.071E-3</v>
      </c>
      <c r="Y40">
        <v>5.5319999999999996E-3</v>
      </c>
      <c r="Z40">
        <v>5.0140000000000002E-3</v>
      </c>
      <c r="AA40">
        <v>4.6039999999999996E-3</v>
      </c>
      <c r="AB40">
        <v>4.2789999999999998E-3</v>
      </c>
      <c r="AC40">
        <v>4.006E-3</v>
      </c>
      <c r="AD40">
        <v>3.7469999999999999E-3</v>
      </c>
      <c r="AE40">
        <v>3.4919999999999999E-3</v>
      </c>
      <c r="AF40">
        <v>3.2469999999999999E-3</v>
      </c>
      <c r="AG40" t="s">
        <v>23</v>
      </c>
    </row>
    <row r="41" spans="1:33" x14ac:dyDescent="0.25">
      <c r="A41" t="s">
        <v>159</v>
      </c>
      <c r="B41" t="s">
        <v>903</v>
      </c>
      <c r="C41" t="s">
        <v>902</v>
      </c>
      <c r="D41" t="s">
        <v>201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23</v>
      </c>
    </row>
    <row r="42" spans="1:33" x14ac:dyDescent="0.25">
      <c r="A42" t="s">
        <v>300</v>
      </c>
      <c r="B42" t="s">
        <v>901</v>
      </c>
      <c r="C42" t="s">
        <v>900</v>
      </c>
      <c r="D42" t="s">
        <v>201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23</v>
      </c>
    </row>
    <row r="43" spans="1:33" x14ac:dyDescent="0.25">
      <c r="A43" t="s">
        <v>299</v>
      </c>
      <c r="B43" t="s">
        <v>899</v>
      </c>
      <c r="C43" t="s">
        <v>898</v>
      </c>
      <c r="D43" t="s">
        <v>201</v>
      </c>
      <c r="F43">
        <v>0</v>
      </c>
      <c r="G43">
        <v>6.4962000000000006E-2</v>
      </c>
      <c r="H43">
        <v>0.15284300000000001</v>
      </c>
      <c r="I43">
        <v>0.26397999999999999</v>
      </c>
      <c r="J43">
        <v>0.39148899999999998</v>
      </c>
      <c r="K43">
        <v>0.54012800000000005</v>
      </c>
      <c r="L43">
        <v>0.72535000000000005</v>
      </c>
      <c r="M43">
        <v>0.96550199999999997</v>
      </c>
      <c r="N43">
        <v>1.2885960000000001</v>
      </c>
      <c r="O43">
        <v>1.7231620000000001</v>
      </c>
      <c r="P43">
        <v>2.2904900000000001</v>
      </c>
      <c r="Q43">
        <v>2.9959259999999999</v>
      </c>
      <c r="R43">
        <v>3.8416109999999999</v>
      </c>
      <c r="S43">
        <v>4.8051320000000004</v>
      </c>
      <c r="T43">
        <v>5.8463799999999999</v>
      </c>
      <c r="U43">
        <v>6.9121439999999996</v>
      </c>
      <c r="V43">
        <v>7.9788759999999996</v>
      </c>
      <c r="W43">
        <v>9.0158009999999997</v>
      </c>
      <c r="X43">
        <v>10.012964</v>
      </c>
      <c r="Y43">
        <v>10.950036000000001</v>
      </c>
      <c r="Z43">
        <v>11.814178999999999</v>
      </c>
      <c r="AA43">
        <v>12.617074000000001</v>
      </c>
      <c r="AB43">
        <v>13.349224</v>
      </c>
      <c r="AC43">
        <v>14.081083</v>
      </c>
      <c r="AD43">
        <v>14.773883</v>
      </c>
      <c r="AE43">
        <v>15.412091</v>
      </c>
      <c r="AF43">
        <v>15.978241000000001</v>
      </c>
      <c r="AG43" t="s">
        <v>23</v>
      </c>
    </row>
    <row r="44" spans="1:33" x14ac:dyDescent="0.25">
      <c r="A44" t="s">
        <v>298</v>
      </c>
      <c r="B44" t="s">
        <v>897</v>
      </c>
      <c r="C44" t="s">
        <v>896</v>
      </c>
      <c r="D44" t="s">
        <v>201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23</v>
      </c>
    </row>
    <row r="45" spans="1:33" x14ac:dyDescent="0.25">
      <c r="A45" t="s">
        <v>176</v>
      </c>
      <c r="B45" t="s">
        <v>895</v>
      </c>
      <c r="C45" t="s">
        <v>894</v>
      </c>
      <c r="D45" t="s">
        <v>201</v>
      </c>
      <c r="F45">
        <v>62.669761999999999</v>
      </c>
      <c r="G45">
        <v>62.306469</v>
      </c>
      <c r="H45">
        <v>61.636169000000002</v>
      </c>
      <c r="I45">
        <v>61.069248000000002</v>
      </c>
      <c r="J45">
        <v>60.511715000000002</v>
      </c>
      <c r="K45">
        <v>60.140095000000002</v>
      </c>
      <c r="L45">
        <v>59.894455000000001</v>
      </c>
      <c r="M45">
        <v>59.670211999999999</v>
      </c>
      <c r="N45">
        <v>59.550327000000003</v>
      </c>
      <c r="O45">
        <v>59.398045000000003</v>
      </c>
      <c r="P45">
        <v>59.327106000000001</v>
      </c>
      <c r="Q45">
        <v>59.290576999999999</v>
      </c>
      <c r="R45">
        <v>59.361587999999998</v>
      </c>
      <c r="S45">
        <v>59.521720999999999</v>
      </c>
      <c r="T45">
        <v>59.692307</v>
      </c>
      <c r="U45">
        <v>59.831532000000003</v>
      </c>
      <c r="V45">
        <v>60.013888999999999</v>
      </c>
      <c r="W45">
        <v>60.179622999999999</v>
      </c>
      <c r="X45">
        <v>60.380524000000001</v>
      </c>
      <c r="Y45">
        <v>60.561053999999999</v>
      </c>
      <c r="Z45">
        <v>60.717669999999998</v>
      </c>
      <c r="AA45">
        <v>60.904583000000002</v>
      </c>
      <c r="AB45">
        <v>61.056731999999997</v>
      </c>
      <c r="AC45">
        <v>61.433689000000001</v>
      </c>
      <c r="AD45">
        <v>61.823250000000002</v>
      </c>
      <c r="AE45">
        <v>62.164485999999997</v>
      </c>
      <c r="AF45">
        <v>62.394100000000002</v>
      </c>
      <c r="AG45" s="29">
        <v>0</v>
      </c>
    </row>
    <row r="46" spans="1:33" x14ac:dyDescent="0.25">
      <c r="A46" t="s">
        <v>177</v>
      </c>
    </row>
    <row r="47" spans="1:33" x14ac:dyDescent="0.25">
      <c r="A47" t="s">
        <v>167</v>
      </c>
      <c r="B47" t="s">
        <v>893</v>
      </c>
      <c r="C47" t="s">
        <v>892</v>
      </c>
      <c r="D47" t="s">
        <v>201</v>
      </c>
      <c r="F47">
        <v>192.94982899999999</v>
      </c>
      <c r="G47">
        <v>197.59063699999999</v>
      </c>
      <c r="H47">
        <v>200.97595200000001</v>
      </c>
      <c r="I47">
        <v>204.19201699999999</v>
      </c>
      <c r="J47">
        <v>206.488708</v>
      </c>
      <c r="K47">
        <v>208.58886699999999</v>
      </c>
      <c r="L47">
        <v>210.49195900000001</v>
      </c>
      <c r="M47">
        <v>211.89570599999999</v>
      </c>
      <c r="N47">
        <v>213.206253</v>
      </c>
      <c r="O47">
        <v>214.241714</v>
      </c>
      <c r="P47">
        <v>215.399506</v>
      </c>
      <c r="Q47">
        <v>216.51177999999999</v>
      </c>
      <c r="R47">
        <v>217.892349</v>
      </c>
      <c r="S47">
        <v>219.42524700000001</v>
      </c>
      <c r="T47">
        <v>220.96220400000001</v>
      </c>
      <c r="U47">
        <v>222.213562</v>
      </c>
      <c r="V47">
        <v>223.48240699999999</v>
      </c>
      <c r="W47">
        <v>224.63845800000001</v>
      </c>
      <c r="X47">
        <v>225.79357899999999</v>
      </c>
      <c r="Y47">
        <v>226.73658800000001</v>
      </c>
      <c r="Z47">
        <v>227.47717299999999</v>
      </c>
      <c r="AA47">
        <v>228.256531</v>
      </c>
      <c r="AB47">
        <v>228.81037900000001</v>
      </c>
      <c r="AC47">
        <v>230.14291399999999</v>
      </c>
      <c r="AD47">
        <v>231.487762</v>
      </c>
      <c r="AE47">
        <v>232.64764400000001</v>
      </c>
      <c r="AF47">
        <v>233.4263</v>
      </c>
      <c r="AG47" s="29">
        <v>7.0000000000000001E-3</v>
      </c>
    </row>
    <row r="48" spans="1:33" x14ac:dyDescent="0.25">
      <c r="A48" t="s">
        <v>168</v>
      </c>
      <c r="B48" t="s">
        <v>891</v>
      </c>
      <c r="C48" t="s">
        <v>890</v>
      </c>
      <c r="D48" t="s">
        <v>201</v>
      </c>
      <c r="F48">
        <v>0.17944199999999999</v>
      </c>
      <c r="G48">
        <v>0.15498799999999999</v>
      </c>
      <c r="H48">
        <v>0.13519600000000001</v>
      </c>
      <c r="I48">
        <v>0.119259</v>
      </c>
      <c r="J48">
        <v>0.106646</v>
      </c>
      <c r="K48">
        <v>9.7213999999999995E-2</v>
      </c>
      <c r="L48">
        <v>8.9940000000000006E-2</v>
      </c>
      <c r="M48">
        <v>8.3801E-2</v>
      </c>
      <c r="N48">
        <v>7.8592999999999996E-2</v>
      </c>
      <c r="O48">
        <v>7.3761999999999994E-2</v>
      </c>
      <c r="P48">
        <v>7.0135000000000003E-2</v>
      </c>
      <c r="Q48">
        <v>6.7147999999999999E-2</v>
      </c>
      <c r="R48">
        <v>6.4902000000000001E-2</v>
      </c>
      <c r="S48">
        <v>6.2685000000000005E-2</v>
      </c>
      <c r="T48">
        <v>6.0434000000000002E-2</v>
      </c>
      <c r="U48">
        <v>5.8535999999999998E-2</v>
      </c>
      <c r="V48">
        <v>5.7188000000000003E-2</v>
      </c>
      <c r="W48">
        <v>5.5987000000000002E-2</v>
      </c>
      <c r="X48">
        <v>5.4594999999999998E-2</v>
      </c>
      <c r="Y48">
        <v>5.3534999999999999E-2</v>
      </c>
      <c r="Z48">
        <v>5.2807E-2</v>
      </c>
      <c r="AA48">
        <v>5.2412E-2</v>
      </c>
      <c r="AB48">
        <v>5.2122000000000002E-2</v>
      </c>
      <c r="AC48">
        <v>5.2130000000000003E-2</v>
      </c>
      <c r="AD48">
        <v>5.2162E-2</v>
      </c>
      <c r="AE48">
        <v>5.2194999999999998E-2</v>
      </c>
      <c r="AF48">
        <v>5.2098999999999999E-2</v>
      </c>
      <c r="AG48" s="29">
        <v>-4.5999999999999999E-2</v>
      </c>
    </row>
    <row r="49" spans="1:33" x14ac:dyDescent="0.25">
      <c r="A49" t="s">
        <v>169</v>
      </c>
      <c r="B49" t="s">
        <v>889</v>
      </c>
      <c r="C49" t="s">
        <v>888</v>
      </c>
      <c r="D49" t="s">
        <v>201</v>
      </c>
      <c r="F49">
        <v>4.7856000000000003E-2</v>
      </c>
      <c r="G49">
        <v>5.7736999999999997E-2</v>
      </c>
      <c r="H49">
        <v>6.6908999999999996E-2</v>
      </c>
      <c r="I49">
        <v>7.5483999999999996E-2</v>
      </c>
      <c r="J49">
        <v>8.2448999999999995E-2</v>
      </c>
      <c r="K49">
        <v>8.8404999999999997E-2</v>
      </c>
      <c r="L49">
        <v>9.3265000000000001E-2</v>
      </c>
      <c r="M49">
        <v>9.6863000000000005E-2</v>
      </c>
      <c r="N49">
        <v>9.9866999999999997E-2</v>
      </c>
      <c r="O49">
        <v>0.102191</v>
      </c>
      <c r="P49">
        <v>0.104356</v>
      </c>
      <c r="Q49">
        <v>0.105952</v>
      </c>
      <c r="R49">
        <v>0.10739799999999999</v>
      </c>
      <c r="S49">
        <v>0.108672</v>
      </c>
      <c r="T49">
        <v>0.109947</v>
      </c>
      <c r="U49">
        <v>0.111064</v>
      </c>
      <c r="V49">
        <v>0.11217199999999999</v>
      </c>
      <c r="W49">
        <v>0.11304699999999999</v>
      </c>
      <c r="X49">
        <v>0.113818</v>
      </c>
      <c r="Y49">
        <v>0.114437</v>
      </c>
      <c r="Z49">
        <v>0.114983</v>
      </c>
      <c r="AA49">
        <v>0.115591</v>
      </c>
      <c r="AB49">
        <v>0.11615499999999999</v>
      </c>
      <c r="AC49">
        <v>0.11715</v>
      </c>
      <c r="AD49">
        <v>0.118132</v>
      </c>
      <c r="AE49">
        <v>0.118927</v>
      </c>
      <c r="AF49">
        <v>0.119593</v>
      </c>
      <c r="AG49" s="29">
        <v>3.5999999999999997E-2</v>
      </c>
    </row>
    <row r="50" spans="1:33" x14ac:dyDescent="0.25">
      <c r="A50" t="s">
        <v>170</v>
      </c>
      <c r="B50" t="s">
        <v>887</v>
      </c>
      <c r="C50" t="s">
        <v>886</v>
      </c>
      <c r="D50" t="s">
        <v>201</v>
      </c>
      <c r="F50">
        <v>2.1094580000000001</v>
      </c>
      <c r="G50">
        <v>2.214413</v>
      </c>
      <c r="H50">
        <v>2.3001610000000001</v>
      </c>
      <c r="I50">
        <v>2.3472629999999999</v>
      </c>
      <c r="J50">
        <v>2.3785280000000002</v>
      </c>
      <c r="K50">
        <v>2.4064909999999999</v>
      </c>
      <c r="L50">
        <v>2.4318550000000001</v>
      </c>
      <c r="M50">
        <v>2.4521289999999998</v>
      </c>
      <c r="N50">
        <v>2.4740410000000002</v>
      </c>
      <c r="O50">
        <v>2.4960559999999998</v>
      </c>
      <c r="P50">
        <v>2.521617</v>
      </c>
      <c r="Q50">
        <v>2.5483570000000002</v>
      </c>
      <c r="R50">
        <v>2.5778829999999999</v>
      </c>
      <c r="S50">
        <v>2.617191</v>
      </c>
      <c r="T50">
        <v>2.654404</v>
      </c>
      <c r="U50">
        <v>2.6962579999999998</v>
      </c>
      <c r="V50">
        <v>2.7533029999999998</v>
      </c>
      <c r="W50">
        <v>2.8257400000000001</v>
      </c>
      <c r="X50">
        <v>2.9015680000000001</v>
      </c>
      <c r="Y50">
        <v>2.9739230000000001</v>
      </c>
      <c r="Z50">
        <v>3.0567959999999998</v>
      </c>
      <c r="AA50">
        <v>3.1516289999999998</v>
      </c>
      <c r="AB50">
        <v>3.2652610000000002</v>
      </c>
      <c r="AC50">
        <v>3.4182450000000002</v>
      </c>
      <c r="AD50">
        <v>3.6164770000000002</v>
      </c>
      <c r="AE50">
        <v>3.8481260000000002</v>
      </c>
      <c r="AF50">
        <v>4.1315439999999999</v>
      </c>
      <c r="AG50" s="29">
        <v>2.5999999999999999E-2</v>
      </c>
    </row>
    <row r="51" spans="1:33" x14ac:dyDescent="0.25">
      <c r="A51" t="s">
        <v>171</v>
      </c>
      <c r="B51" t="s">
        <v>885</v>
      </c>
      <c r="C51" t="s">
        <v>884</v>
      </c>
      <c r="D51" t="s">
        <v>201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23</v>
      </c>
    </row>
    <row r="52" spans="1:33" x14ac:dyDescent="0.25">
      <c r="A52" t="s">
        <v>155</v>
      </c>
      <c r="B52" t="s">
        <v>883</v>
      </c>
      <c r="C52" t="s">
        <v>882</v>
      </c>
      <c r="D52" t="s">
        <v>201</v>
      </c>
      <c r="F52">
        <v>0.18515499999999999</v>
      </c>
      <c r="G52">
        <v>0.24551999999999999</v>
      </c>
      <c r="H52">
        <v>0.30169099999999999</v>
      </c>
      <c r="I52">
        <v>0.35297400000000001</v>
      </c>
      <c r="J52">
        <v>0.39618599999999998</v>
      </c>
      <c r="K52">
        <v>0.43319400000000002</v>
      </c>
      <c r="L52">
        <v>0.46518399999999999</v>
      </c>
      <c r="M52">
        <v>0.49213899999999999</v>
      </c>
      <c r="N52">
        <v>0.51570899999999997</v>
      </c>
      <c r="O52">
        <v>0.53597600000000001</v>
      </c>
      <c r="P52">
        <v>0.55396900000000004</v>
      </c>
      <c r="Q52">
        <v>0.56943999999999995</v>
      </c>
      <c r="R52">
        <v>0.58362599999999998</v>
      </c>
      <c r="S52">
        <v>0.596418</v>
      </c>
      <c r="T52">
        <v>0.60785299999999998</v>
      </c>
      <c r="U52">
        <v>0.61746599999999996</v>
      </c>
      <c r="V52">
        <v>0.62655300000000003</v>
      </c>
      <c r="W52">
        <v>0.63464799999999999</v>
      </c>
      <c r="X52">
        <v>0.64217500000000005</v>
      </c>
      <c r="Y52">
        <v>0.64864299999999997</v>
      </c>
      <c r="Z52">
        <v>0.65428299999999995</v>
      </c>
      <c r="AA52">
        <v>0.66003299999999998</v>
      </c>
      <c r="AB52">
        <v>0.66523100000000002</v>
      </c>
      <c r="AC52">
        <v>0.67273099999999997</v>
      </c>
      <c r="AD52">
        <v>0.68039099999999997</v>
      </c>
      <c r="AE52">
        <v>0.68770299999999995</v>
      </c>
      <c r="AF52">
        <v>0.69397600000000004</v>
      </c>
      <c r="AG52" s="29">
        <v>5.1999999999999998E-2</v>
      </c>
    </row>
    <row r="53" spans="1:33" x14ac:dyDescent="0.25">
      <c r="A53" t="s">
        <v>172</v>
      </c>
      <c r="B53" t="s">
        <v>881</v>
      </c>
      <c r="C53" t="s">
        <v>880</v>
      </c>
      <c r="D53" t="s">
        <v>201</v>
      </c>
      <c r="F53">
        <v>0</v>
      </c>
      <c r="G53">
        <v>0</v>
      </c>
      <c r="H53">
        <v>1.5969999999999999E-3</v>
      </c>
      <c r="I53">
        <v>4.424E-3</v>
      </c>
      <c r="J53">
        <v>7.4520000000000003E-3</v>
      </c>
      <c r="K53">
        <v>1.0940999999999999E-2</v>
      </c>
      <c r="L53">
        <v>1.4944000000000001E-2</v>
      </c>
      <c r="M53">
        <v>1.9642E-2</v>
      </c>
      <c r="N53">
        <v>2.5437999999999999E-2</v>
      </c>
      <c r="O53">
        <v>2.3895E-2</v>
      </c>
      <c r="P53">
        <v>2.2523999999999999E-2</v>
      </c>
      <c r="Q53">
        <v>2.1420999999999999E-2</v>
      </c>
      <c r="R53">
        <v>2.0462999999999999E-2</v>
      </c>
      <c r="S53">
        <v>1.9831000000000001E-2</v>
      </c>
      <c r="T53">
        <v>1.9446999999999999E-2</v>
      </c>
      <c r="U53">
        <v>1.9268E-2</v>
      </c>
      <c r="V53">
        <v>1.9012999999999999E-2</v>
      </c>
      <c r="W53">
        <v>1.8571000000000001E-2</v>
      </c>
      <c r="X53">
        <v>1.7878000000000002E-2</v>
      </c>
      <c r="Y53">
        <v>1.6910999999999999E-2</v>
      </c>
      <c r="Z53">
        <v>1.5798E-2</v>
      </c>
      <c r="AA53">
        <v>1.456E-2</v>
      </c>
      <c r="AB53">
        <v>1.3139E-2</v>
      </c>
      <c r="AC53">
        <v>1.1603E-2</v>
      </c>
      <c r="AD53">
        <v>1.0300999999999999E-2</v>
      </c>
      <c r="AE53">
        <v>9.221E-3</v>
      </c>
      <c r="AF53">
        <v>8.345E-3</v>
      </c>
      <c r="AG53" t="s">
        <v>23</v>
      </c>
    </row>
    <row r="54" spans="1:33" x14ac:dyDescent="0.25">
      <c r="A54" t="s">
        <v>173</v>
      </c>
      <c r="B54" t="s">
        <v>879</v>
      </c>
      <c r="C54" t="s">
        <v>878</v>
      </c>
      <c r="D54" t="s">
        <v>201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23</v>
      </c>
    </row>
    <row r="55" spans="1:33" x14ac:dyDescent="0.25">
      <c r="A55" t="s">
        <v>159</v>
      </c>
      <c r="B55" t="s">
        <v>877</v>
      </c>
      <c r="C55" t="s">
        <v>876</v>
      </c>
      <c r="D55" t="s">
        <v>201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23</v>
      </c>
    </row>
    <row r="56" spans="1:33" x14ac:dyDescent="0.25">
      <c r="A56" t="s">
        <v>300</v>
      </c>
      <c r="B56" t="s">
        <v>875</v>
      </c>
      <c r="C56" t="s">
        <v>874</v>
      </c>
      <c r="D56" t="s">
        <v>201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23</v>
      </c>
    </row>
    <row r="57" spans="1:33" x14ac:dyDescent="0.25">
      <c r="A57" t="s">
        <v>299</v>
      </c>
      <c r="B57" t="s">
        <v>873</v>
      </c>
      <c r="C57" t="s">
        <v>872</v>
      </c>
      <c r="D57" t="s">
        <v>201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23</v>
      </c>
    </row>
    <row r="58" spans="1:33" x14ac:dyDescent="0.25">
      <c r="A58" t="s">
        <v>298</v>
      </c>
      <c r="B58" t="s">
        <v>871</v>
      </c>
      <c r="C58" t="s">
        <v>870</v>
      </c>
      <c r="D58" t="s">
        <v>201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23</v>
      </c>
    </row>
    <row r="59" spans="1:33" x14ac:dyDescent="0.25">
      <c r="A59" t="s">
        <v>178</v>
      </c>
      <c r="B59" t="s">
        <v>869</v>
      </c>
      <c r="C59" t="s">
        <v>868</v>
      </c>
      <c r="D59" t="s">
        <v>201</v>
      </c>
      <c r="F59">
        <v>195.47178600000001</v>
      </c>
      <c r="G59">
        <v>200.263214</v>
      </c>
      <c r="H59">
        <v>203.781387</v>
      </c>
      <c r="I59">
        <v>207.091309</v>
      </c>
      <c r="J59">
        <v>209.459946</v>
      </c>
      <c r="K59">
        <v>211.624908</v>
      </c>
      <c r="L59">
        <v>213.58685299999999</v>
      </c>
      <c r="M59">
        <v>215.039703</v>
      </c>
      <c r="N59">
        <v>216.39988700000001</v>
      </c>
      <c r="O59">
        <v>217.47335799999999</v>
      </c>
      <c r="P59">
        <v>218.671783</v>
      </c>
      <c r="Q59">
        <v>219.823669</v>
      </c>
      <c r="R59">
        <v>221.246475</v>
      </c>
      <c r="S59">
        <v>222.829758</v>
      </c>
      <c r="T59">
        <v>224.413895</v>
      </c>
      <c r="U59">
        <v>225.715836</v>
      </c>
      <c r="V59">
        <v>227.05023199999999</v>
      </c>
      <c r="W59">
        <v>228.286179</v>
      </c>
      <c r="X59">
        <v>229.52342200000001</v>
      </c>
      <c r="Y59">
        <v>230.54377700000001</v>
      </c>
      <c r="Z59">
        <v>231.37148999999999</v>
      </c>
      <c r="AA59">
        <v>232.25056499999999</v>
      </c>
      <c r="AB59">
        <v>232.92233300000001</v>
      </c>
      <c r="AC59">
        <v>234.414322</v>
      </c>
      <c r="AD59">
        <v>235.96463</v>
      </c>
      <c r="AE59">
        <v>237.36372399999999</v>
      </c>
      <c r="AF59">
        <v>238.431488</v>
      </c>
      <c r="AG59" s="29">
        <v>8.0000000000000002E-3</v>
      </c>
    </row>
    <row r="60" spans="1:33" x14ac:dyDescent="0.25">
      <c r="A60" t="s">
        <v>179</v>
      </c>
      <c r="B60" t="s">
        <v>867</v>
      </c>
      <c r="C60" t="s">
        <v>866</v>
      </c>
      <c r="D60" t="s">
        <v>201</v>
      </c>
      <c r="F60">
        <v>340.05352800000003</v>
      </c>
      <c r="G60">
        <v>346.20687900000001</v>
      </c>
      <c r="H60">
        <v>350.06643700000001</v>
      </c>
      <c r="I60">
        <v>353.524384</v>
      </c>
      <c r="J60">
        <v>356.01034499999997</v>
      </c>
      <c r="K60">
        <v>358.95349099999999</v>
      </c>
      <c r="L60">
        <v>362.113586</v>
      </c>
      <c r="M60">
        <v>364.84457400000002</v>
      </c>
      <c r="N60">
        <v>367.71246300000001</v>
      </c>
      <c r="O60">
        <v>370.27838100000002</v>
      </c>
      <c r="P60">
        <v>373.22351099999997</v>
      </c>
      <c r="Q60">
        <v>376.19232199999999</v>
      </c>
      <c r="R60">
        <v>379.62286399999999</v>
      </c>
      <c r="S60">
        <v>383.28610200000003</v>
      </c>
      <c r="T60">
        <v>386.97692899999998</v>
      </c>
      <c r="U60">
        <v>390.32254</v>
      </c>
      <c r="V60">
        <v>393.88848899999999</v>
      </c>
      <c r="W60">
        <v>397.25256300000001</v>
      </c>
      <c r="X60">
        <v>400.59161399999999</v>
      </c>
      <c r="Y60">
        <v>403.49899299999998</v>
      </c>
      <c r="Z60">
        <v>406.14782700000001</v>
      </c>
      <c r="AA60">
        <v>409.07757600000002</v>
      </c>
      <c r="AB60">
        <v>411.83511399999998</v>
      </c>
      <c r="AC60">
        <v>416.007904</v>
      </c>
      <c r="AD60">
        <v>420.09542800000003</v>
      </c>
      <c r="AE60">
        <v>423.83947799999999</v>
      </c>
      <c r="AF60">
        <v>427.049103</v>
      </c>
      <c r="AG60" s="29">
        <v>8.9999999999999993E-3</v>
      </c>
    </row>
    <row r="61" spans="1:33" x14ac:dyDescent="0.25">
      <c r="A61" t="s">
        <v>180</v>
      </c>
    </row>
    <row r="62" spans="1:33" x14ac:dyDescent="0.25">
      <c r="A62" t="s">
        <v>166</v>
      </c>
    </row>
    <row r="63" spans="1:33" x14ac:dyDescent="0.25">
      <c r="A63" t="s">
        <v>167</v>
      </c>
      <c r="B63" t="s">
        <v>865</v>
      </c>
      <c r="C63" t="s">
        <v>864</v>
      </c>
      <c r="D63" t="s">
        <v>202</v>
      </c>
      <c r="F63">
        <v>539.32830799999999</v>
      </c>
      <c r="G63">
        <v>535.87744099999998</v>
      </c>
      <c r="H63">
        <v>526.47082499999999</v>
      </c>
      <c r="I63">
        <v>514.90979000000004</v>
      </c>
      <c r="J63">
        <v>500.66012599999999</v>
      </c>
      <c r="K63">
        <v>487.09197999999998</v>
      </c>
      <c r="L63">
        <v>472.83761600000003</v>
      </c>
      <c r="M63">
        <v>456.98330700000002</v>
      </c>
      <c r="N63">
        <v>439.54986600000001</v>
      </c>
      <c r="O63">
        <v>421.112213</v>
      </c>
      <c r="P63">
        <v>402.77359000000001</v>
      </c>
      <c r="Q63">
        <v>384.41812099999999</v>
      </c>
      <c r="R63">
        <v>366.71688799999998</v>
      </c>
      <c r="S63">
        <v>349.36556999999999</v>
      </c>
      <c r="T63">
        <v>331.83755500000001</v>
      </c>
      <c r="U63">
        <v>313.92739899999998</v>
      </c>
      <c r="V63">
        <v>297.00720200000001</v>
      </c>
      <c r="W63">
        <v>280.08450299999998</v>
      </c>
      <c r="X63">
        <v>263.625</v>
      </c>
      <c r="Y63">
        <v>247.19342</v>
      </c>
      <c r="Z63">
        <v>231.70181299999999</v>
      </c>
      <c r="AA63">
        <v>217.603363</v>
      </c>
      <c r="AB63">
        <v>204.607315</v>
      </c>
      <c r="AC63">
        <v>192.892731</v>
      </c>
      <c r="AD63">
        <v>181.41439800000001</v>
      </c>
      <c r="AE63">
        <v>170.285416</v>
      </c>
      <c r="AF63">
        <v>159.76902799999999</v>
      </c>
      <c r="AG63" s="29">
        <v>-4.5999999999999999E-2</v>
      </c>
    </row>
    <row r="64" spans="1:33" x14ac:dyDescent="0.25">
      <c r="A64" t="s">
        <v>168</v>
      </c>
      <c r="B64" t="s">
        <v>863</v>
      </c>
      <c r="C64" t="s">
        <v>862</v>
      </c>
      <c r="D64" t="s">
        <v>202</v>
      </c>
      <c r="F64">
        <v>270.20654300000001</v>
      </c>
      <c r="G64">
        <v>286.74316399999998</v>
      </c>
      <c r="H64">
        <v>300.59240699999998</v>
      </c>
      <c r="I64">
        <v>312.42083700000001</v>
      </c>
      <c r="J64">
        <v>320.31881700000002</v>
      </c>
      <c r="K64">
        <v>326.26678500000003</v>
      </c>
      <c r="L64">
        <v>329.71170000000001</v>
      </c>
      <c r="M64">
        <v>329.802032</v>
      </c>
      <c r="N64">
        <v>327.10320999999999</v>
      </c>
      <c r="O64">
        <v>322.50714099999999</v>
      </c>
      <c r="P64">
        <v>316.945312</v>
      </c>
      <c r="Q64">
        <v>310.35699499999998</v>
      </c>
      <c r="R64">
        <v>303.54803500000003</v>
      </c>
      <c r="S64">
        <v>296.39196800000002</v>
      </c>
      <c r="T64">
        <v>288.21630900000002</v>
      </c>
      <c r="U64">
        <v>278.85684199999997</v>
      </c>
      <c r="V64">
        <v>269.63986199999999</v>
      </c>
      <c r="W64">
        <v>259.62844799999999</v>
      </c>
      <c r="X64">
        <v>249.007294</v>
      </c>
      <c r="Y64">
        <v>237.562637</v>
      </c>
      <c r="Z64">
        <v>226.576401</v>
      </c>
      <c r="AA64">
        <v>216.55032299999999</v>
      </c>
      <c r="AB64">
        <v>207.086716</v>
      </c>
      <c r="AC64">
        <v>198.388046</v>
      </c>
      <c r="AD64">
        <v>189.61007699999999</v>
      </c>
      <c r="AE64">
        <v>180.95361299999999</v>
      </c>
      <c r="AF64">
        <v>172.71246300000001</v>
      </c>
      <c r="AG64" s="29">
        <v>-1.7000000000000001E-2</v>
      </c>
    </row>
    <row r="65" spans="1:33" x14ac:dyDescent="0.25">
      <c r="A65" t="s">
        <v>169</v>
      </c>
      <c r="B65" t="s">
        <v>861</v>
      </c>
      <c r="C65" t="s">
        <v>860</v>
      </c>
      <c r="D65" t="s">
        <v>202</v>
      </c>
      <c r="F65">
        <v>9.8759999999999994E-3</v>
      </c>
      <c r="G65">
        <v>9.6780000000000008E-3</v>
      </c>
      <c r="H65">
        <v>9.4769999999999993E-3</v>
      </c>
      <c r="I65">
        <v>9.3229999999999997E-3</v>
      </c>
      <c r="J65">
        <v>9.3380000000000008E-3</v>
      </c>
      <c r="K65">
        <v>9.4339999999999997E-3</v>
      </c>
      <c r="L65">
        <v>9.5499999999999995E-3</v>
      </c>
      <c r="M65">
        <v>9.6950000000000005E-3</v>
      </c>
      <c r="N65">
        <v>9.8689999999999993E-3</v>
      </c>
      <c r="O65">
        <v>9.639E-3</v>
      </c>
      <c r="P65">
        <v>9.2820000000000003E-3</v>
      </c>
      <c r="Q65">
        <v>9.1350000000000008E-3</v>
      </c>
      <c r="R65">
        <v>9.1500000000000001E-3</v>
      </c>
      <c r="S65">
        <v>9.2680000000000002E-3</v>
      </c>
      <c r="T65">
        <v>9.4549999999999999E-3</v>
      </c>
      <c r="U65">
        <v>9.6740000000000003E-3</v>
      </c>
      <c r="V65">
        <v>9.9190000000000007E-3</v>
      </c>
      <c r="W65">
        <v>1.0160000000000001E-2</v>
      </c>
      <c r="X65">
        <v>1.0387E-2</v>
      </c>
      <c r="Y65">
        <v>1.0591E-2</v>
      </c>
      <c r="Z65">
        <v>1.0782E-2</v>
      </c>
      <c r="AA65">
        <v>1.0982E-2</v>
      </c>
      <c r="AB65">
        <v>1.1176999999999999E-2</v>
      </c>
      <c r="AC65">
        <v>1.14E-2</v>
      </c>
      <c r="AD65">
        <v>1.1604E-2</v>
      </c>
      <c r="AE65">
        <v>1.1789000000000001E-2</v>
      </c>
      <c r="AF65">
        <v>1.1957000000000001E-2</v>
      </c>
      <c r="AG65" s="29">
        <v>7.0000000000000001E-3</v>
      </c>
    </row>
    <row r="66" spans="1:33" x14ac:dyDescent="0.25">
      <c r="A66" t="s">
        <v>170</v>
      </c>
      <c r="B66" t="s">
        <v>859</v>
      </c>
      <c r="C66" t="s">
        <v>858</v>
      </c>
      <c r="D66" t="s">
        <v>202</v>
      </c>
      <c r="F66">
        <v>0.92232899999999995</v>
      </c>
      <c r="G66">
        <v>2.4081709999999998</v>
      </c>
      <c r="H66">
        <v>4.0482360000000002</v>
      </c>
      <c r="I66">
        <v>5.7588280000000003</v>
      </c>
      <c r="J66">
        <v>6.7716529999999997</v>
      </c>
      <c r="K66">
        <v>7.8335220000000003</v>
      </c>
      <c r="L66">
        <v>8.6189680000000006</v>
      </c>
      <c r="M66">
        <v>9.037191</v>
      </c>
      <c r="N66">
        <v>9.3006480000000007</v>
      </c>
      <c r="O66">
        <v>9.3489950000000004</v>
      </c>
      <c r="P66">
        <v>9.4854869999999991</v>
      </c>
      <c r="Q66">
        <v>9.7867789999999992</v>
      </c>
      <c r="R66">
        <v>10.174992</v>
      </c>
      <c r="S66">
        <v>10.690709</v>
      </c>
      <c r="T66">
        <v>11.461022</v>
      </c>
      <c r="U66">
        <v>12.313684</v>
      </c>
      <c r="V66">
        <v>13.393580999999999</v>
      </c>
      <c r="W66">
        <v>14.774547999999999</v>
      </c>
      <c r="X66">
        <v>16.355795000000001</v>
      </c>
      <c r="Y66">
        <v>18.112090999999999</v>
      </c>
      <c r="Z66">
        <v>19.866278000000001</v>
      </c>
      <c r="AA66">
        <v>21.762203</v>
      </c>
      <c r="AB66">
        <v>23.796016999999999</v>
      </c>
      <c r="AC66">
        <v>26.11871</v>
      </c>
      <c r="AD66">
        <v>28.521559</v>
      </c>
      <c r="AE66">
        <v>31.067458999999999</v>
      </c>
      <c r="AF66">
        <v>33.688952999999998</v>
      </c>
      <c r="AG66" s="29">
        <v>0.14799999999999999</v>
      </c>
    </row>
    <row r="67" spans="1:33" x14ac:dyDescent="0.25">
      <c r="A67" t="s">
        <v>171</v>
      </c>
      <c r="B67" t="s">
        <v>857</v>
      </c>
      <c r="C67" t="s">
        <v>856</v>
      </c>
      <c r="D67" t="s">
        <v>202</v>
      </c>
      <c r="F67">
        <v>40.716315999999999</v>
      </c>
      <c r="G67">
        <v>37.109366999999999</v>
      </c>
      <c r="H67">
        <v>33.380229999999997</v>
      </c>
      <c r="I67">
        <v>29.907885</v>
      </c>
      <c r="J67">
        <v>26.824255000000001</v>
      </c>
      <c r="K67">
        <v>24.225940999999999</v>
      </c>
      <c r="L67">
        <v>21.93648</v>
      </c>
      <c r="M67">
        <v>19.895927</v>
      </c>
      <c r="N67">
        <v>18.051977000000001</v>
      </c>
      <c r="O67">
        <v>16.351952000000001</v>
      </c>
      <c r="P67">
        <v>14.802211</v>
      </c>
      <c r="Q67">
        <v>13.389184</v>
      </c>
      <c r="R67">
        <v>12.073988999999999</v>
      </c>
      <c r="S67">
        <v>10.838914000000001</v>
      </c>
      <c r="T67">
        <v>9.6831160000000001</v>
      </c>
      <c r="U67">
        <v>8.6211570000000002</v>
      </c>
      <c r="V67">
        <v>7.6712660000000001</v>
      </c>
      <c r="W67">
        <v>6.8364719999999997</v>
      </c>
      <c r="X67">
        <v>6.1080100000000002</v>
      </c>
      <c r="Y67">
        <v>5.4671849999999997</v>
      </c>
      <c r="Z67">
        <v>4.8528729999999998</v>
      </c>
      <c r="AA67">
        <v>4.2811690000000002</v>
      </c>
      <c r="AB67">
        <v>3.7411020000000001</v>
      </c>
      <c r="AC67">
        <v>3.2653530000000002</v>
      </c>
      <c r="AD67">
        <v>2.7555480000000001</v>
      </c>
      <c r="AE67">
        <v>2.2511809999999999</v>
      </c>
      <c r="AF67">
        <v>1.7685310000000001</v>
      </c>
      <c r="AG67" s="29">
        <v>-0.114</v>
      </c>
    </row>
    <row r="68" spans="1:33" x14ac:dyDescent="0.25">
      <c r="A68" t="s">
        <v>155</v>
      </c>
      <c r="B68" t="s">
        <v>855</v>
      </c>
      <c r="C68" t="s">
        <v>854</v>
      </c>
      <c r="D68" t="s">
        <v>202</v>
      </c>
      <c r="F68">
        <v>0.29254200000000002</v>
      </c>
      <c r="G68">
        <v>0.39745999999999998</v>
      </c>
      <c r="H68">
        <v>0.494035</v>
      </c>
      <c r="I68">
        <v>0.57998000000000005</v>
      </c>
      <c r="J68">
        <v>0.65522100000000005</v>
      </c>
      <c r="K68">
        <v>0.72641299999999998</v>
      </c>
      <c r="L68">
        <v>0.80841700000000005</v>
      </c>
      <c r="M68">
        <v>1.033936</v>
      </c>
      <c r="N68">
        <v>1.440906</v>
      </c>
      <c r="O68">
        <v>1.823518</v>
      </c>
      <c r="P68">
        <v>2.43858</v>
      </c>
      <c r="Q68">
        <v>3.4486059999999998</v>
      </c>
      <c r="R68">
        <v>4.8937140000000001</v>
      </c>
      <c r="S68">
        <v>6.688231</v>
      </c>
      <c r="T68">
        <v>8.867578</v>
      </c>
      <c r="U68">
        <v>11.444328000000001</v>
      </c>
      <c r="V68">
        <v>14.47161</v>
      </c>
      <c r="W68">
        <v>18.156417999999999</v>
      </c>
      <c r="X68">
        <v>22.357728999999999</v>
      </c>
      <c r="Y68">
        <v>26.97221</v>
      </c>
      <c r="Z68">
        <v>31.631969000000002</v>
      </c>
      <c r="AA68">
        <v>36.500670999999997</v>
      </c>
      <c r="AB68">
        <v>41.514029999999998</v>
      </c>
      <c r="AC68">
        <v>46.904494999999997</v>
      </c>
      <c r="AD68">
        <v>52.434565999999997</v>
      </c>
      <c r="AE68">
        <v>57.970725999999999</v>
      </c>
      <c r="AF68">
        <v>63.491337000000001</v>
      </c>
      <c r="AG68" s="29">
        <v>0.23</v>
      </c>
    </row>
    <row r="69" spans="1:33" x14ac:dyDescent="0.25">
      <c r="A69" t="s">
        <v>172</v>
      </c>
      <c r="B69" t="s">
        <v>853</v>
      </c>
      <c r="C69" t="s">
        <v>852</v>
      </c>
      <c r="D69" t="s">
        <v>202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23</v>
      </c>
    </row>
    <row r="70" spans="1:33" x14ac:dyDescent="0.25">
      <c r="A70" t="s">
        <v>173</v>
      </c>
      <c r="B70" t="s">
        <v>851</v>
      </c>
      <c r="C70" t="s">
        <v>850</v>
      </c>
      <c r="D70" t="s">
        <v>202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23</v>
      </c>
    </row>
    <row r="71" spans="1:33" x14ac:dyDescent="0.25">
      <c r="A71" t="s">
        <v>159</v>
      </c>
      <c r="B71" t="s">
        <v>849</v>
      </c>
      <c r="C71" t="s">
        <v>848</v>
      </c>
      <c r="D71" t="s">
        <v>202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23</v>
      </c>
    </row>
    <row r="72" spans="1:33" x14ac:dyDescent="0.25">
      <c r="A72" t="s">
        <v>300</v>
      </c>
      <c r="B72" t="s">
        <v>847</v>
      </c>
      <c r="C72" t="s">
        <v>846</v>
      </c>
      <c r="D72" t="s">
        <v>202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23</v>
      </c>
    </row>
    <row r="73" spans="1:33" x14ac:dyDescent="0.25">
      <c r="A73" t="s">
        <v>299</v>
      </c>
      <c r="B73" t="s">
        <v>845</v>
      </c>
      <c r="C73" t="s">
        <v>844</v>
      </c>
      <c r="D73" t="s">
        <v>202</v>
      </c>
      <c r="F73">
        <v>0</v>
      </c>
      <c r="G73">
        <v>0.95440199999999997</v>
      </c>
      <c r="H73">
        <v>2.4927169999999998</v>
      </c>
      <c r="I73">
        <v>4.5722139999999998</v>
      </c>
      <c r="J73">
        <v>11.711790000000001</v>
      </c>
      <c r="K73">
        <v>24.769062000000002</v>
      </c>
      <c r="L73">
        <v>43.507514999999998</v>
      </c>
      <c r="M73">
        <v>67.176765000000003</v>
      </c>
      <c r="N73">
        <v>95.398871999999997</v>
      </c>
      <c r="O73">
        <v>126.438271</v>
      </c>
      <c r="P73">
        <v>158.769058</v>
      </c>
      <c r="Q73">
        <v>191.04911799999999</v>
      </c>
      <c r="R73">
        <v>222.48751799999999</v>
      </c>
      <c r="S73">
        <v>252.82922400000001</v>
      </c>
      <c r="T73">
        <v>283.12927200000001</v>
      </c>
      <c r="U73">
        <v>313.562836</v>
      </c>
      <c r="V73">
        <v>343.07336400000003</v>
      </c>
      <c r="W73">
        <v>370.79885899999999</v>
      </c>
      <c r="X73">
        <v>396.84454299999999</v>
      </c>
      <c r="Y73">
        <v>420.95086700000002</v>
      </c>
      <c r="Z73">
        <v>443.47396900000001</v>
      </c>
      <c r="AA73">
        <v>465.08380099999999</v>
      </c>
      <c r="AB73">
        <v>485.47805799999998</v>
      </c>
      <c r="AC73">
        <v>505.99935900000003</v>
      </c>
      <c r="AD73">
        <v>524.76403800000003</v>
      </c>
      <c r="AE73">
        <v>541.83367899999996</v>
      </c>
      <c r="AF73">
        <v>557.18951400000003</v>
      </c>
      <c r="AG73" t="s">
        <v>23</v>
      </c>
    </row>
    <row r="74" spans="1:33" x14ac:dyDescent="0.25">
      <c r="A74" t="s">
        <v>298</v>
      </c>
      <c r="B74" t="s">
        <v>843</v>
      </c>
      <c r="C74" t="s">
        <v>842</v>
      </c>
      <c r="D74" t="s">
        <v>202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23</v>
      </c>
    </row>
    <row r="75" spans="1:33" x14ac:dyDescent="0.25">
      <c r="A75" t="s">
        <v>174</v>
      </c>
      <c r="B75" t="s">
        <v>841</v>
      </c>
      <c r="C75" t="s">
        <v>840</v>
      </c>
      <c r="D75" t="s">
        <v>202</v>
      </c>
      <c r="F75">
        <v>851.47570800000005</v>
      </c>
      <c r="G75">
        <v>863.49969499999997</v>
      </c>
      <c r="H75">
        <v>867.48779300000001</v>
      </c>
      <c r="I75">
        <v>868.15893600000004</v>
      </c>
      <c r="J75">
        <v>866.95111099999997</v>
      </c>
      <c r="K75">
        <v>870.92315699999995</v>
      </c>
      <c r="L75">
        <v>877.43029799999999</v>
      </c>
      <c r="M75">
        <v>883.93908699999997</v>
      </c>
      <c r="N75">
        <v>890.85497999999995</v>
      </c>
      <c r="O75">
        <v>897.59155299999998</v>
      </c>
      <c r="P75">
        <v>905.22363299999995</v>
      </c>
      <c r="Q75">
        <v>912.45806900000002</v>
      </c>
      <c r="R75">
        <v>919.90423599999997</v>
      </c>
      <c r="S75">
        <v>926.81359899999995</v>
      </c>
      <c r="T75">
        <v>933.20452899999998</v>
      </c>
      <c r="U75">
        <v>938.73590100000001</v>
      </c>
      <c r="V75">
        <v>945.26709000000005</v>
      </c>
      <c r="W75">
        <v>950.28949</v>
      </c>
      <c r="X75">
        <v>954.308899</v>
      </c>
      <c r="Y75">
        <v>956.26916500000004</v>
      </c>
      <c r="Z75">
        <v>958.11425799999995</v>
      </c>
      <c r="AA75">
        <v>961.79260299999999</v>
      </c>
      <c r="AB75">
        <v>966.23419200000001</v>
      </c>
      <c r="AC75">
        <v>973.58013900000003</v>
      </c>
      <c r="AD75">
        <v>979.51165800000001</v>
      </c>
      <c r="AE75">
        <v>984.37377900000001</v>
      </c>
      <c r="AF75">
        <v>988.63177499999995</v>
      </c>
      <c r="AG75" s="29">
        <v>6.0000000000000001E-3</v>
      </c>
    </row>
    <row r="76" spans="1:33" x14ac:dyDescent="0.25">
      <c r="A76" t="s">
        <v>175</v>
      </c>
    </row>
    <row r="77" spans="1:33" x14ac:dyDescent="0.25">
      <c r="A77" t="s">
        <v>167</v>
      </c>
      <c r="B77" t="s">
        <v>839</v>
      </c>
      <c r="C77" t="s">
        <v>838</v>
      </c>
      <c r="D77" t="s">
        <v>202</v>
      </c>
      <c r="F77">
        <v>572.37652600000001</v>
      </c>
      <c r="G77">
        <v>558.80456500000003</v>
      </c>
      <c r="H77">
        <v>541.12286400000005</v>
      </c>
      <c r="I77">
        <v>523.78063999999995</v>
      </c>
      <c r="J77">
        <v>506.713165</v>
      </c>
      <c r="K77">
        <v>491.63479599999999</v>
      </c>
      <c r="L77">
        <v>477.74710099999999</v>
      </c>
      <c r="M77">
        <v>464.060181</v>
      </c>
      <c r="N77">
        <v>450.953217</v>
      </c>
      <c r="O77">
        <v>437.35858200000001</v>
      </c>
      <c r="P77">
        <v>423.99996900000002</v>
      </c>
      <c r="Q77">
        <v>410.70755000000003</v>
      </c>
      <c r="R77">
        <v>398.23928799999999</v>
      </c>
      <c r="S77">
        <v>386.23608400000001</v>
      </c>
      <c r="T77">
        <v>374.49648999999999</v>
      </c>
      <c r="U77">
        <v>362.95611600000001</v>
      </c>
      <c r="V77">
        <v>352.30072000000001</v>
      </c>
      <c r="W77">
        <v>342.16351300000002</v>
      </c>
      <c r="X77">
        <v>333.05093399999998</v>
      </c>
      <c r="Y77">
        <v>324.80343599999998</v>
      </c>
      <c r="Z77">
        <v>317.37185699999998</v>
      </c>
      <c r="AA77">
        <v>310.901184</v>
      </c>
      <c r="AB77">
        <v>304.93978900000002</v>
      </c>
      <c r="AC77">
        <v>300.66876200000002</v>
      </c>
      <c r="AD77">
        <v>296.874573</v>
      </c>
      <c r="AE77">
        <v>293.21627799999999</v>
      </c>
      <c r="AF77">
        <v>289.48172</v>
      </c>
      <c r="AG77" s="29">
        <v>-2.5999999999999999E-2</v>
      </c>
    </row>
    <row r="78" spans="1:33" x14ac:dyDescent="0.25">
      <c r="A78" t="s">
        <v>168</v>
      </c>
      <c r="B78" t="s">
        <v>837</v>
      </c>
      <c r="C78" t="s">
        <v>836</v>
      </c>
      <c r="D78" t="s">
        <v>202</v>
      </c>
      <c r="F78">
        <v>359.68539399999997</v>
      </c>
      <c r="G78">
        <v>360.30960099999999</v>
      </c>
      <c r="H78">
        <v>358.48315400000001</v>
      </c>
      <c r="I78">
        <v>356.47775300000001</v>
      </c>
      <c r="J78">
        <v>353.87088</v>
      </c>
      <c r="K78">
        <v>351.62857100000002</v>
      </c>
      <c r="L78">
        <v>349.46173099999999</v>
      </c>
      <c r="M78">
        <v>346.85674999999998</v>
      </c>
      <c r="N78">
        <v>344.34634399999999</v>
      </c>
      <c r="O78">
        <v>341.01715100000001</v>
      </c>
      <c r="P78">
        <v>337.59548999999998</v>
      </c>
      <c r="Q78">
        <v>333.75140399999998</v>
      </c>
      <c r="R78">
        <v>329.916473</v>
      </c>
      <c r="S78">
        <v>326.27279700000003</v>
      </c>
      <c r="T78">
        <v>322.26357999999999</v>
      </c>
      <c r="U78">
        <v>318.03363000000002</v>
      </c>
      <c r="V78">
        <v>314.02862499999998</v>
      </c>
      <c r="W78">
        <v>310.18368500000003</v>
      </c>
      <c r="X78">
        <v>306.739441</v>
      </c>
      <c r="Y78">
        <v>303.39968900000002</v>
      </c>
      <c r="Z78">
        <v>300.22131300000001</v>
      </c>
      <c r="AA78">
        <v>297.467285</v>
      </c>
      <c r="AB78">
        <v>294.79830900000002</v>
      </c>
      <c r="AC78">
        <v>293.383667</v>
      </c>
      <c r="AD78">
        <v>292.20773300000002</v>
      </c>
      <c r="AE78">
        <v>290.96585099999999</v>
      </c>
      <c r="AF78">
        <v>289.34399400000001</v>
      </c>
      <c r="AG78" s="29">
        <v>-8.0000000000000002E-3</v>
      </c>
    </row>
    <row r="79" spans="1:33" x14ac:dyDescent="0.25">
      <c r="A79" t="s">
        <v>169</v>
      </c>
      <c r="B79" t="s">
        <v>835</v>
      </c>
      <c r="C79" t="s">
        <v>834</v>
      </c>
      <c r="D79" t="s">
        <v>202</v>
      </c>
      <c r="F79">
        <v>0.47085199999999999</v>
      </c>
      <c r="G79">
        <v>0.41935099999999997</v>
      </c>
      <c r="H79">
        <v>0.37104700000000002</v>
      </c>
      <c r="I79">
        <v>0.32684800000000003</v>
      </c>
      <c r="J79">
        <v>0.28870000000000001</v>
      </c>
      <c r="K79">
        <v>0.238845</v>
      </c>
      <c r="L79">
        <v>0.21263199999999999</v>
      </c>
      <c r="M79">
        <v>0.188775</v>
      </c>
      <c r="N79">
        <v>0.168763</v>
      </c>
      <c r="O79">
        <v>0.15124199999999999</v>
      </c>
      <c r="P79">
        <v>0.13289300000000001</v>
      </c>
      <c r="Q79">
        <v>0.11908299999999999</v>
      </c>
      <c r="R79">
        <v>0.107998</v>
      </c>
      <c r="S79">
        <v>9.8922999999999997E-2</v>
      </c>
      <c r="T79">
        <v>9.0830999999999995E-2</v>
      </c>
      <c r="U79">
        <v>8.3752999999999994E-2</v>
      </c>
      <c r="V79">
        <v>7.8001000000000001E-2</v>
      </c>
      <c r="W79">
        <v>7.2731000000000004E-2</v>
      </c>
      <c r="X79">
        <v>6.8098000000000006E-2</v>
      </c>
      <c r="Y79">
        <v>6.3923999999999995E-2</v>
      </c>
      <c r="Z79">
        <v>5.9880999999999997E-2</v>
      </c>
      <c r="AA79">
        <v>5.7341000000000003E-2</v>
      </c>
      <c r="AB79">
        <v>5.4455000000000003E-2</v>
      </c>
      <c r="AC79">
        <v>5.1909999999999998E-2</v>
      </c>
      <c r="AD79">
        <v>4.5478999999999999E-2</v>
      </c>
      <c r="AE79">
        <v>3.5347999999999997E-2</v>
      </c>
      <c r="AF79">
        <v>2.7369999999999998E-2</v>
      </c>
      <c r="AG79" s="29">
        <v>-0.104</v>
      </c>
    </row>
    <row r="80" spans="1:33" x14ac:dyDescent="0.25">
      <c r="A80" t="s">
        <v>170</v>
      </c>
      <c r="B80" t="s">
        <v>833</v>
      </c>
      <c r="C80" t="s">
        <v>832</v>
      </c>
      <c r="D80" t="s">
        <v>202</v>
      </c>
      <c r="F80">
        <v>3.8930639999999999</v>
      </c>
      <c r="G80">
        <v>5.1351810000000002</v>
      </c>
      <c r="H80">
        <v>6.2655669999999999</v>
      </c>
      <c r="I80">
        <v>7.246683</v>
      </c>
      <c r="J80">
        <v>8.0653629999999996</v>
      </c>
      <c r="K80">
        <v>8.758089</v>
      </c>
      <c r="L80">
        <v>9.3531890000000004</v>
      </c>
      <c r="M80">
        <v>9.8592479999999991</v>
      </c>
      <c r="N80">
        <v>10.31508</v>
      </c>
      <c r="O80">
        <v>10.730149000000001</v>
      </c>
      <c r="P80">
        <v>11.108435999999999</v>
      </c>
      <c r="Q80">
        <v>11.447547</v>
      </c>
      <c r="R80">
        <v>11.750847</v>
      </c>
      <c r="S80">
        <v>12.036473000000001</v>
      </c>
      <c r="T80">
        <v>12.319575</v>
      </c>
      <c r="U80">
        <v>12.586885000000001</v>
      </c>
      <c r="V80">
        <v>12.844605</v>
      </c>
      <c r="W80">
        <v>13.062322999999999</v>
      </c>
      <c r="X80">
        <v>13.289071</v>
      </c>
      <c r="Y80">
        <v>13.52201</v>
      </c>
      <c r="Z80">
        <v>13.743242</v>
      </c>
      <c r="AA80">
        <v>13.97</v>
      </c>
      <c r="AB80">
        <v>14.187524</v>
      </c>
      <c r="AC80">
        <v>14.488526999999999</v>
      </c>
      <c r="AD80">
        <v>14.832860999999999</v>
      </c>
      <c r="AE80">
        <v>15.254797999999999</v>
      </c>
      <c r="AF80">
        <v>15.66183</v>
      </c>
      <c r="AG80" s="29">
        <v>5.5E-2</v>
      </c>
    </row>
    <row r="81" spans="1:33" x14ac:dyDescent="0.25">
      <c r="A81" t="s">
        <v>171</v>
      </c>
      <c r="B81" t="s">
        <v>831</v>
      </c>
      <c r="C81" t="s">
        <v>830</v>
      </c>
      <c r="D81" t="s">
        <v>202</v>
      </c>
      <c r="F81">
        <v>9.0335409999999996</v>
      </c>
      <c r="G81">
        <v>8.1573930000000008</v>
      </c>
      <c r="H81">
        <v>7.269139</v>
      </c>
      <c r="I81">
        <v>6.4449149999999999</v>
      </c>
      <c r="J81">
        <v>5.7201279999999999</v>
      </c>
      <c r="K81">
        <v>5.1299650000000003</v>
      </c>
      <c r="L81">
        <v>4.6090689999999999</v>
      </c>
      <c r="M81">
        <v>4.1451770000000003</v>
      </c>
      <c r="N81">
        <v>3.7455750000000001</v>
      </c>
      <c r="O81">
        <v>3.3678439999999998</v>
      </c>
      <c r="P81">
        <v>3.0418370000000001</v>
      </c>
      <c r="Q81">
        <v>2.7652130000000001</v>
      </c>
      <c r="R81">
        <v>2.5227219999999999</v>
      </c>
      <c r="S81">
        <v>2.3180540000000001</v>
      </c>
      <c r="T81">
        <v>2.140215</v>
      </c>
      <c r="U81">
        <v>1.9839070000000001</v>
      </c>
      <c r="V81">
        <v>1.8526009999999999</v>
      </c>
      <c r="W81">
        <v>1.7306029999999999</v>
      </c>
      <c r="X81">
        <v>1.61426</v>
      </c>
      <c r="Y81">
        <v>1.5015909999999999</v>
      </c>
      <c r="Z81">
        <v>1.3909229999999999</v>
      </c>
      <c r="AA81">
        <v>1.2808109999999999</v>
      </c>
      <c r="AB81">
        <v>1.1661630000000001</v>
      </c>
      <c r="AC81">
        <v>1.0466299999999999</v>
      </c>
      <c r="AD81">
        <v>0.92224600000000001</v>
      </c>
      <c r="AE81">
        <v>0.80049199999999998</v>
      </c>
      <c r="AF81">
        <v>0.67332499999999995</v>
      </c>
      <c r="AG81" s="29">
        <v>-9.5000000000000001E-2</v>
      </c>
    </row>
    <row r="82" spans="1:33" x14ac:dyDescent="0.25">
      <c r="A82" t="s">
        <v>155</v>
      </c>
      <c r="B82" t="s">
        <v>829</v>
      </c>
      <c r="C82" t="s">
        <v>828</v>
      </c>
      <c r="D82" t="s">
        <v>202</v>
      </c>
      <c r="F82">
        <v>0.124458</v>
      </c>
      <c r="G82">
        <v>0.13747599999999999</v>
      </c>
      <c r="H82">
        <v>0.148559</v>
      </c>
      <c r="I82">
        <v>0.15875900000000001</v>
      </c>
      <c r="J82">
        <v>0.16692299999999999</v>
      </c>
      <c r="K82">
        <v>0.17386299999999999</v>
      </c>
      <c r="L82">
        <v>0.18042900000000001</v>
      </c>
      <c r="M82">
        <v>0.18590899999999999</v>
      </c>
      <c r="N82">
        <v>0.191583</v>
      </c>
      <c r="O82">
        <v>0.19669300000000001</v>
      </c>
      <c r="P82">
        <v>0.20150699999999999</v>
      </c>
      <c r="Q82">
        <v>0.20583699999999999</v>
      </c>
      <c r="R82">
        <v>0.20995</v>
      </c>
      <c r="S82">
        <v>0.21395600000000001</v>
      </c>
      <c r="T82">
        <v>0.21765999999999999</v>
      </c>
      <c r="U82">
        <v>0.22089800000000001</v>
      </c>
      <c r="V82">
        <v>0.22397800000000001</v>
      </c>
      <c r="W82">
        <v>0.226935</v>
      </c>
      <c r="X82">
        <v>0.22981099999999999</v>
      </c>
      <c r="Y82">
        <v>0.23222400000000001</v>
      </c>
      <c r="Z82">
        <v>0.23428499999999999</v>
      </c>
      <c r="AA82">
        <v>0.236315</v>
      </c>
      <c r="AB82">
        <v>0.23807500000000001</v>
      </c>
      <c r="AC82">
        <v>0.240677</v>
      </c>
      <c r="AD82">
        <v>0.243424</v>
      </c>
      <c r="AE82">
        <v>0.246055</v>
      </c>
      <c r="AF82">
        <v>0.2482</v>
      </c>
      <c r="AG82" s="29">
        <v>2.7E-2</v>
      </c>
    </row>
    <row r="83" spans="1:33" x14ac:dyDescent="0.25">
      <c r="A83" t="s">
        <v>172</v>
      </c>
      <c r="B83" t="s">
        <v>827</v>
      </c>
      <c r="C83" t="s">
        <v>826</v>
      </c>
      <c r="D83" t="s">
        <v>202</v>
      </c>
      <c r="F83">
        <v>0</v>
      </c>
      <c r="G83">
        <v>0</v>
      </c>
      <c r="H83">
        <v>2.5073000000000002E-2</v>
      </c>
      <c r="I83">
        <v>6.0426000000000001E-2</v>
      </c>
      <c r="J83">
        <v>0.113721</v>
      </c>
      <c r="K83">
        <v>0.179671</v>
      </c>
      <c r="L83">
        <v>0.25176300000000001</v>
      </c>
      <c r="M83">
        <v>0.32860099999999998</v>
      </c>
      <c r="N83">
        <v>0.404474</v>
      </c>
      <c r="O83">
        <v>0.37326100000000001</v>
      </c>
      <c r="P83">
        <v>0.34434900000000002</v>
      </c>
      <c r="Q83">
        <v>0.31725999999999999</v>
      </c>
      <c r="R83">
        <v>0.29278799999999999</v>
      </c>
      <c r="S83">
        <v>0.27005200000000001</v>
      </c>
      <c r="T83">
        <v>0.24882099999999999</v>
      </c>
      <c r="U83">
        <v>0.22892100000000001</v>
      </c>
      <c r="V83">
        <v>0.210812</v>
      </c>
      <c r="W83">
        <v>0.19425799999999999</v>
      </c>
      <c r="X83">
        <v>0.179063</v>
      </c>
      <c r="Y83">
        <v>0.16525899999999999</v>
      </c>
      <c r="Z83">
        <v>0.152697</v>
      </c>
      <c r="AA83">
        <v>0.141516</v>
      </c>
      <c r="AB83">
        <v>0.131435</v>
      </c>
      <c r="AC83">
        <v>0.121158</v>
      </c>
      <c r="AD83">
        <v>0.11146499999999999</v>
      </c>
      <c r="AE83">
        <v>0.10281899999999999</v>
      </c>
      <c r="AF83">
        <v>9.5043000000000002E-2</v>
      </c>
      <c r="AG83" t="s">
        <v>23</v>
      </c>
    </row>
    <row r="84" spans="1:33" x14ac:dyDescent="0.25">
      <c r="A84" t="s">
        <v>173</v>
      </c>
      <c r="B84" t="s">
        <v>825</v>
      </c>
      <c r="C84" t="s">
        <v>824</v>
      </c>
      <c r="D84" t="s">
        <v>202</v>
      </c>
      <c r="F84">
        <v>0</v>
      </c>
      <c r="G84">
        <v>0.115331</v>
      </c>
      <c r="H84">
        <v>0.231573</v>
      </c>
      <c r="I84">
        <v>0.27211000000000002</v>
      </c>
      <c r="J84">
        <v>0.25937199999999999</v>
      </c>
      <c r="K84">
        <v>0.23771500000000001</v>
      </c>
      <c r="L84">
        <v>0.21748300000000001</v>
      </c>
      <c r="M84">
        <v>0.19966</v>
      </c>
      <c r="N84">
        <v>0.18464700000000001</v>
      </c>
      <c r="O84">
        <v>0.17038800000000001</v>
      </c>
      <c r="P84">
        <v>0.157113</v>
      </c>
      <c r="Q84">
        <v>0.144426</v>
      </c>
      <c r="R84">
        <v>0.133132</v>
      </c>
      <c r="S84">
        <v>0.12199</v>
      </c>
      <c r="T84">
        <v>0.11172899999999999</v>
      </c>
      <c r="U84">
        <v>0.10259</v>
      </c>
      <c r="V84">
        <v>9.4766000000000003E-2</v>
      </c>
      <c r="W84">
        <v>8.7656999999999999E-2</v>
      </c>
      <c r="X84">
        <v>8.0437999999999996E-2</v>
      </c>
      <c r="Y84">
        <v>7.3296E-2</v>
      </c>
      <c r="Z84">
        <v>6.6423999999999997E-2</v>
      </c>
      <c r="AA84">
        <v>6.1006999999999999E-2</v>
      </c>
      <c r="AB84">
        <v>5.67E-2</v>
      </c>
      <c r="AC84">
        <v>5.3085E-2</v>
      </c>
      <c r="AD84">
        <v>4.9660999999999997E-2</v>
      </c>
      <c r="AE84">
        <v>4.6268999999999998E-2</v>
      </c>
      <c r="AF84">
        <v>4.3032000000000001E-2</v>
      </c>
      <c r="AG84" t="s">
        <v>23</v>
      </c>
    </row>
    <row r="85" spans="1:33" x14ac:dyDescent="0.25">
      <c r="A85" t="s">
        <v>159</v>
      </c>
      <c r="B85" t="s">
        <v>823</v>
      </c>
      <c r="C85" t="s">
        <v>822</v>
      </c>
      <c r="D85" t="s">
        <v>202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23</v>
      </c>
    </row>
    <row r="86" spans="1:33" x14ac:dyDescent="0.25">
      <c r="A86" t="s">
        <v>300</v>
      </c>
      <c r="B86" t="s">
        <v>821</v>
      </c>
      <c r="C86" t="s">
        <v>820</v>
      </c>
      <c r="D86" t="s">
        <v>202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23</v>
      </c>
    </row>
    <row r="87" spans="1:33" x14ac:dyDescent="0.25">
      <c r="A87" t="s">
        <v>299</v>
      </c>
      <c r="B87" t="s">
        <v>819</v>
      </c>
      <c r="C87" t="s">
        <v>818</v>
      </c>
      <c r="D87" t="s">
        <v>202</v>
      </c>
      <c r="F87">
        <v>0</v>
      </c>
      <c r="G87">
        <v>0.82384199999999996</v>
      </c>
      <c r="H87">
        <v>1.9341729999999999</v>
      </c>
      <c r="I87">
        <v>3.335515</v>
      </c>
      <c r="J87">
        <v>4.9386640000000002</v>
      </c>
      <c r="K87">
        <v>6.8005509999999996</v>
      </c>
      <c r="L87">
        <v>9.1020889999999994</v>
      </c>
      <c r="M87">
        <v>12.05625</v>
      </c>
      <c r="N87">
        <v>16.004729999999999</v>
      </c>
      <c r="O87">
        <v>21.257300999999998</v>
      </c>
      <c r="P87">
        <v>28.049462999999999</v>
      </c>
      <c r="Q87">
        <v>36.463977999999997</v>
      </c>
      <c r="R87">
        <v>46.535229000000001</v>
      </c>
      <c r="S87">
        <v>57.997871000000004</v>
      </c>
      <c r="T87">
        <v>70.372337000000002</v>
      </c>
      <c r="U87">
        <v>83.024604999999994</v>
      </c>
      <c r="V87">
        <v>95.680374</v>
      </c>
      <c r="W87">
        <v>107.98371899999999</v>
      </c>
      <c r="X87">
        <v>119.816109</v>
      </c>
      <c r="Y87">
        <v>130.934631</v>
      </c>
      <c r="Z87">
        <v>141.18704199999999</v>
      </c>
      <c r="AA87">
        <v>150.71357699999999</v>
      </c>
      <c r="AB87">
        <v>159.40013099999999</v>
      </c>
      <c r="AC87">
        <v>168.087479</v>
      </c>
      <c r="AD87">
        <v>176.31300400000001</v>
      </c>
      <c r="AE87">
        <v>183.890884</v>
      </c>
      <c r="AF87">
        <v>190.61299099999999</v>
      </c>
      <c r="AG87" t="s">
        <v>23</v>
      </c>
    </row>
    <row r="88" spans="1:33" x14ac:dyDescent="0.25">
      <c r="A88" t="s">
        <v>298</v>
      </c>
      <c r="B88" t="s">
        <v>817</v>
      </c>
      <c r="C88" t="s">
        <v>816</v>
      </c>
      <c r="D88" t="s">
        <v>202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23</v>
      </c>
    </row>
    <row r="89" spans="1:33" x14ac:dyDescent="0.25">
      <c r="A89" t="s">
        <v>176</v>
      </c>
      <c r="B89" t="s">
        <v>815</v>
      </c>
      <c r="C89" t="s">
        <v>814</v>
      </c>
      <c r="D89" t="s">
        <v>202</v>
      </c>
      <c r="F89">
        <v>945.583618</v>
      </c>
      <c r="G89">
        <v>933.902649</v>
      </c>
      <c r="H89">
        <v>915.85144000000003</v>
      </c>
      <c r="I89">
        <v>898.10369900000001</v>
      </c>
      <c r="J89">
        <v>880.13720699999999</v>
      </c>
      <c r="K89">
        <v>864.78234899999995</v>
      </c>
      <c r="L89">
        <v>851.13555899999994</v>
      </c>
      <c r="M89">
        <v>837.88061500000003</v>
      </c>
      <c r="N89">
        <v>826.31481900000006</v>
      </c>
      <c r="O89">
        <v>814.62268100000006</v>
      </c>
      <c r="P89">
        <v>804.63085899999999</v>
      </c>
      <c r="Q89">
        <v>795.92236300000002</v>
      </c>
      <c r="R89">
        <v>789.70843500000001</v>
      </c>
      <c r="S89">
        <v>785.566284</v>
      </c>
      <c r="T89">
        <v>782.26110800000004</v>
      </c>
      <c r="U89">
        <v>779.22161900000003</v>
      </c>
      <c r="V89">
        <v>777.314392</v>
      </c>
      <c r="W89">
        <v>775.70519999999999</v>
      </c>
      <c r="X89">
        <v>775.06707800000004</v>
      </c>
      <c r="Y89">
        <v>774.69598399999995</v>
      </c>
      <c r="Z89">
        <v>774.42779499999995</v>
      </c>
      <c r="AA89">
        <v>774.82928500000003</v>
      </c>
      <c r="AB89">
        <v>774.97283900000002</v>
      </c>
      <c r="AC89">
        <v>778.14209000000005</v>
      </c>
      <c r="AD89">
        <v>781.60040300000003</v>
      </c>
      <c r="AE89">
        <v>784.55853300000001</v>
      </c>
      <c r="AF89">
        <v>786.18713400000001</v>
      </c>
      <c r="AG89" s="29">
        <v>-7.0000000000000001E-3</v>
      </c>
    </row>
    <row r="90" spans="1:33" x14ac:dyDescent="0.25">
      <c r="A90" t="s">
        <v>177</v>
      </c>
    </row>
    <row r="91" spans="1:33" x14ac:dyDescent="0.25">
      <c r="A91" t="s">
        <v>167</v>
      </c>
      <c r="B91" t="s">
        <v>813</v>
      </c>
      <c r="C91" t="s">
        <v>812</v>
      </c>
      <c r="D91" t="s">
        <v>202</v>
      </c>
      <c r="F91">
        <v>4150.3491210000002</v>
      </c>
      <c r="G91">
        <v>4200.8354490000002</v>
      </c>
      <c r="H91">
        <v>4216.7382809999999</v>
      </c>
      <c r="I91">
        <v>4222.3842770000001</v>
      </c>
      <c r="J91">
        <v>4207.3222660000001</v>
      </c>
      <c r="K91">
        <v>4188.4086909999996</v>
      </c>
      <c r="L91">
        <v>4166.4912109999996</v>
      </c>
      <c r="M91">
        <v>4136.4614259999998</v>
      </c>
      <c r="N91">
        <v>4106.701172</v>
      </c>
      <c r="O91">
        <v>4073.8461910000001</v>
      </c>
      <c r="P91">
        <v>4046.6755370000001</v>
      </c>
      <c r="Q91">
        <v>4022.7158199999999</v>
      </c>
      <c r="R91">
        <v>4007.9099120000001</v>
      </c>
      <c r="S91">
        <v>3999.3498540000001</v>
      </c>
      <c r="T91">
        <v>3993.8400879999999</v>
      </c>
      <c r="U91">
        <v>3985.8237300000001</v>
      </c>
      <c r="V91">
        <v>3980.5234380000002</v>
      </c>
      <c r="W91">
        <v>3976.482422</v>
      </c>
      <c r="X91">
        <v>3975.83374</v>
      </c>
      <c r="Y91">
        <v>3974.7204590000001</v>
      </c>
      <c r="Z91">
        <v>3972.9650879999999</v>
      </c>
      <c r="AA91">
        <v>3974.0261230000001</v>
      </c>
      <c r="AB91">
        <v>3972.735596</v>
      </c>
      <c r="AC91">
        <v>3986.054443</v>
      </c>
      <c r="AD91">
        <v>4000.4877929999998</v>
      </c>
      <c r="AE91">
        <v>4012.3010250000002</v>
      </c>
      <c r="AF91">
        <v>4018.320068</v>
      </c>
      <c r="AG91" s="29">
        <v>-1E-3</v>
      </c>
    </row>
    <row r="92" spans="1:33" x14ac:dyDescent="0.25">
      <c r="A92" t="s">
        <v>168</v>
      </c>
      <c r="B92" t="s">
        <v>811</v>
      </c>
      <c r="C92" t="s">
        <v>810</v>
      </c>
      <c r="D92" t="s">
        <v>202</v>
      </c>
      <c r="F92">
        <v>4.4349259999999999</v>
      </c>
      <c r="G92">
        <v>3.817758</v>
      </c>
      <c r="H92">
        <v>3.316071</v>
      </c>
      <c r="I92">
        <v>2.9103439999999998</v>
      </c>
      <c r="J92">
        <v>2.588219</v>
      </c>
      <c r="K92">
        <v>2.3451490000000002</v>
      </c>
      <c r="L92">
        <v>2.1555719999999998</v>
      </c>
      <c r="M92">
        <v>1.9943740000000001</v>
      </c>
      <c r="N92">
        <v>1.8554980000000001</v>
      </c>
      <c r="O92">
        <v>1.7244470000000001</v>
      </c>
      <c r="P92">
        <v>1.6221479999999999</v>
      </c>
      <c r="Q92">
        <v>1.5351790000000001</v>
      </c>
      <c r="R92">
        <v>1.466385</v>
      </c>
      <c r="S92">
        <v>1.398488</v>
      </c>
      <c r="T92">
        <v>1.330443</v>
      </c>
      <c r="U92">
        <v>1.2710809999999999</v>
      </c>
      <c r="V92">
        <v>1.225886</v>
      </c>
      <c r="W92">
        <v>1.1849799999999999</v>
      </c>
      <c r="X92">
        <v>1.1403030000000001</v>
      </c>
      <c r="Y92">
        <v>1.1049929999999999</v>
      </c>
      <c r="Z92">
        <v>1.0789299999999999</v>
      </c>
      <c r="AA92">
        <v>1.0615270000000001</v>
      </c>
      <c r="AB92">
        <v>1.0475140000000001</v>
      </c>
      <c r="AC92">
        <v>1.040597</v>
      </c>
      <c r="AD92">
        <v>1.034845</v>
      </c>
      <c r="AE92">
        <v>1.029752</v>
      </c>
      <c r="AF92">
        <v>1.022197</v>
      </c>
      <c r="AG92" s="29">
        <v>-5.5E-2</v>
      </c>
    </row>
    <row r="93" spans="1:33" x14ac:dyDescent="0.25">
      <c r="A93" t="s">
        <v>169</v>
      </c>
      <c r="B93" t="s">
        <v>809</v>
      </c>
      <c r="C93" t="s">
        <v>808</v>
      </c>
      <c r="D93" t="s">
        <v>202</v>
      </c>
      <c r="F93">
        <v>1.1561319999999999</v>
      </c>
      <c r="G93">
        <v>1.374889</v>
      </c>
      <c r="H93">
        <v>1.574821</v>
      </c>
      <c r="I93">
        <v>1.759158</v>
      </c>
      <c r="J93">
        <v>1.904928</v>
      </c>
      <c r="K93">
        <v>2.026071</v>
      </c>
      <c r="L93">
        <v>2.1195029999999999</v>
      </c>
      <c r="M93">
        <v>2.1808689999999999</v>
      </c>
      <c r="N93">
        <v>2.2254740000000002</v>
      </c>
      <c r="O93">
        <v>2.2515000000000001</v>
      </c>
      <c r="P93">
        <v>2.2717139999999998</v>
      </c>
      <c r="Q93">
        <v>2.2773460000000001</v>
      </c>
      <c r="R93">
        <v>2.2784260000000001</v>
      </c>
      <c r="S93">
        <v>2.2754490000000001</v>
      </c>
      <c r="T93">
        <v>2.2735300000000001</v>
      </c>
      <c r="U93">
        <v>2.2699210000000001</v>
      </c>
      <c r="V93">
        <v>2.268214</v>
      </c>
      <c r="W93">
        <v>2.2635719999999999</v>
      </c>
      <c r="X93">
        <v>2.2589600000000001</v>
      </c>
      <c r="Y93">
        <v>2.2537240000000001</v>
      </c>
      <c r="Z93">
        <v>2.2496350000000001</v>
      </c>
      <c r="AA93">
        <v>2.2491400000000001</v>
      </c>
      <c r="AB93">
        <v>2.2497500000000001</v>
      </c>
      <c r="AC93">
        <v>2.2599909999999999</v>
      </c>
      <c r="AD93">
        <v>2.2705250000000001</v>
      </c>
      <c r="AE93">
        <v>2.2775180000000002</v>
      </c>
      <c r="AF93">
        <v>2.2828889999999999</v>
      </c>
      <c r="AG93" s="29">
        <v>2.7E-2</v>
      </c>
    </row>
    <row r="94" spans="1:33" x14ac:dyDescent="0.25">
      <c r="A94" t="s">
        <v>170</v>
      </c>
      <c r="B94" t="s">
        <v>807</v>
      </c>
      <c r="C94" t="s">
        <v>806</v>
      </c>
      <c r="D94" t="s">
        <v>202</v>
      </c>
      <c r="F94">
        <v>50.291285999999999</v>
      </c>
      <c r="G94">
        <v>52.723258999999999</v>
      </c>
      <c r="H94">
        <v>54.526027999999997</v>
      </c>
      <c r="I94">
        <v>55.344116</v>
      </c>
      <c r="J94">
        <v>55.688533999999997</v>
      </c>
      <c r="K94">
        <v>55.878203999999997</v>
      </c>
      <c r="L94">
        <v>55.951027000000003</v>
      </c>
      <c r="M94">
        <v>55.872238000000003</v>
      </c>
      <c r="N94">
        <v>55.809218999999999</v>
      </c>
      <c r="O94">
        <v>55.741230000000002</v>
      </c>
      <c r="P94">
        <v>55.755974000000002</v>
      </c>
      <c r="Q94">
        <v>55.805816999999998</v>
      </c>
      <c r="R94">
        <v>55.951450000000001</v>
      </c>
      <c r="S94">
        <v>56.315952000000003</v>
      </c>
      <c r="T94">
        <v>56.670273000000002</v>
      </c>
      <c r="U94">
        <v>57.133186000000002</v>
      </c>
      <c r="V94">
        <v>57.910736</v>
      </c>
      <c r="W94">
        <v>59.007088000000003</v>
      </c>
      <c r="X94">
        <v>60.194412</v>
      </c>
      <c r="Y94">
        <v>61.343024999999997</v>
      </c>
      <c r="Z94">
        <v>62.705348999999998</v>
      </c>
      <c r="AA94">
        <v>64.327826999999999</v>
      </c>
      <c r="AB94">
        <v>66.300811999999993</v>
      </c>
      <c r="AC94">
        <v>69.019630000000006</v>
      </c>
      <c r="AD94">
        <v>72.545906000000002</v>
      </c>
      <c r="AE94">
        <v>76.672927999999999</v>
      </c>
      <c r="AF94">
        <v>81.713440000000006</v>
      </c>
      <c r="AG94" s="29">
        <v>1.9E-2</v>
      </c>
    </row>
    <row r="95" spans="1:33" x14ac:dyDescent="0.25">
      <c r="A95" t="s">
        <v>171</v>
      </c>
      <c r="B95" t="s">
        <v>805</v>
      </c>
      <c r="C95" t="s">
        <v>804</v>
      </c>
      <c r="D95" t="s">
        <v>202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23</v>
      </c>
    </row>
    <row r="96" spans="1:33" x14ac:dyDescent="0.25">
      <c r="A96" t="s">
        <v>155</v>
      </c>
      <c r="B96" t="s">
        <v>803</v>
      </c>
      <c r="C96" t="s">
        <v>802</v>
      </c>
      <c r="D96" t="s">
        <v>202</v>
      </c>
      <c r="F96">
        <v>1.835842</v>
      </c>
      <c r="G96">
        <v>2.4526810000000001</v>
      </c>
      <c r="H96">
        <v>3.0207929999999998</v>
      </c>
      <c r="I96">
        <v>3.5318879999999999</v>
      </c>
      <c r="J96">
        <v>3.9540489999999999</v>
      </c>
      <c r="K96">
        <v>4.3047269999999997</v>
      </c>
      <c r="L96">
        <v>4.5975380000000001</v>
      </c>
      <c r="M96">
        <v>4.8346179999999999</v>
      </c>
      <c r="N96">
        <v>5.0316390000000002</v>
      </c>
      <c r="O96">
        <v>5.1899280000000001</v>
      </c>
      <c r="P96">
        <v>5.3246770000000003</v>
      </c>
      <c r="Q96">
        <v>5.4344979999999996</v>
      </c>
      <c r="R96">
        <v>5.5320679999999998</v>
      </c>
      <c r="S96">
        <v>5.6165799999999999</v>
      </c>
      <c r="T96">
        <v>5.6888759999999996</v>
      </c>
      <c r="U96">
        <v>5.7453709999999996</v>
      </c>
      <c r="V96">
        <v>5.7989449999999998</v>
      </c>
      <c r="W96">
        <v>5.846025</v>
      </c>
      <c r="X96">
        <v>5.8912269999999998</v>
      </c>
      <c r="Y96">
        <v>5.930237</v>
      </c>
      <c r="Z96">
        <v>5.9651719999999999</v>
      </c>
      <c r="AA96">
        <v>6.0043030000000002</v>
      </c>
      <c r="AB96">
        <v>6.041099</v>
      </c>
      <c r="AC96">
        <v>6.100841</v>
      </c>
      <c r="AD96">
        <v>6.1635619999999998</v>
      </c>
      <c r="AE96">
        <v>6.2244010000000003</v>
      </c>
      <c r="AF96">
        <v>6.2765719999999998</v>
      </c>
      <c r="AG96" s="29">
        <v>4.8000000000000001E-2</v>
      </c>
    </row>
    <row r="97" spans="1:33" x14ac:dyDescent="0.25">
      <c r="A97" t="s">
        <v>172</v>
      </c>
      <c r="B97" t="s">
        <v>801</v>
      </c>
      <c r="C97" t="s">
        <v>800</v>
      </c>
      <c r="D97" t="s">
        <v>202</v>
      </c>
      <c r="F97">
        <v>0</v>
      </c>
      <c r="G97">
        <v>0</v>
      </c>
      <c r="H97">
        <v>2.4901E-2</v>
      </c>
      <c r="I97">
        <v>6.8081000000000003E-2</v>
      </c>
      <c r="J97">
        <v>0.113634</v>
      </c>
      <c r="K97">
        <v>0.165435</v>
      </c>
      <c r="L97">
        <v>0.223909</v>
      </c>
      <c r="M97">
        <v>0.291244</v>
      </c>
      <c r="N97">
        <v>0.37263299999999999</v>
      </c>
      <c r="O97">
        <v>0.35006199999999998</v>
      </c>
      <c r="P97">
        <v>0.33010299999999998</v>
      </c>
      <c r="Q97">
        <v>0.314085</v>
      </c>
      <c r="R97">
        <v>0.30023300000000003</v>
      </c>
      <c r="S97">
        <v>0.29104400000000002</v>
      </c>
      <c r="T97">
        <v>0.28536400000000001</v>
      </c>
      <c r="U97">
        <v>0.28249800000000003</v>
      </c>
      <c r="V97">
        <v>0.278528</v>
      </c>
      <c r="W97">
        <v>0.27172800000000003</v>
      </c>
      <c r="X97">
        <v>0.261187</v>
      </c>
      <c r="Y97">
        <v>0.246643</v>
      </c>
      <c r="Z97">
        <v>0.23005400000000001</v>
      </c>
      <c r="AA97">
        <v>0.21174999999999999</v>
      </c>
      <c r="AB97">
        <v>0.19095899999999999</v>
      </c>
      <c r="AC97">
        <v>0.16870399999999999</v>
      </c>
      <c r="AD97">
        <v>0.14982000000000001</v>
      </c>
      <c r="AE97">
        <v>0.13414200000000001</v>
      </c>
      <c r="AF97">
        <v>0.121348</v>
      </c>
      <c r="AG97" t="s">
        <v>23</v>
      </c>
    </row>
    <row r="98" spans="1:33" x14ac:dyDescent="0.25">
      <c r="A98" t="s">
        <v>173</v>
      </c>
      <c r="B98" t="s">
        <v>799</v>
      </c>
      <c r="C98" t="s">
        <v>798</v>
      </c>
      <c r="D98" t="s">
        <v>202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23</v>
      </c>
    </row>
    <row r="99" spans="1:33" x14ac:dyDescent="0.25">
      <c r="A99" t="s">
        <v>159</v>
      </c>
      <c r="B99" t="s">
        <v>797</v>
      </c>
      <c r="C99" t="s">
        <v>796</v>
      </c>
      <c r="D99" t="s">
        <v>202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23</v>
      </c>
    </row>
    <row r="100" spans="1:33" x14ac:dyDescent="0.25">
      <c r="A100" t="s">
        <v>300</v>
      </c>
      <c r="B100" t="s">
        <v>795</v>
      </c>
      <c r="C100" t="s">
        <v>794</v>
      </c>
      <c r="D100" t="s">
        <v>202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23</v>
      </c>
    </row>
    <row r="101" spans="1:33" x14ac:dyDescent="0.25">
      <c r="A101" t="s">
        <v>299</v>
      </c>
      <c r="B101" t="s">
        <v>793</v>
      </c>
      <c r="C101" t="s">
        <v>792</v>
      </c>
      <c r="D101" t="s">
        <v>202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23</v>
      </c>
    </row>
    <row r="102" spans="1:33" x14ac:dyDescent="0.25">
      <c r="A102" t="s">
        <v>298</v>
      </c>
      <c r="B102" t="s">
        <v>791</v>
      </c>
      <c r="C102" t="s">
        <v>790</v>
      </c>
      <c r="D102" t="s">
        <v>202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23</v>
      </c>
    </row>
    <row r="103" spans="1:33" x14ac:dyDescent="0.25">
      <c r="A103" t="s">
        <v>178</v>
      </c>
      <c r="B103" t="s">
        <v>789</v>
      </c>
      <c r="C103" t="s">
        <v>788</v>
      </c>
      <c r="D103" t="s">
        <v>202</v>
      </c>
      <c r="F103">
        <v>4208.0673829999996</v>
      </c>
      <c r="G103">
        <v>4261.2026370000003</v>
      </c>
      <c r="H103">
        <v>4279.1987300000001</v>
      </c>
      <c r="I103">
        <v>4285.9965819999998</v>
      </c>
      <c r="J103">
        <v>4271.5712890000004</v>
      </c>
      <c r="K103">
        <v>4253.1284180000002</v>
      </c>
      <c r="L103">
        <v>4231.5385740000002</v>
      </c>
      <c r="M103">
        <v>4201.6323240000002</v>
      </c>
      <c r="N103">
        <v>4171.9951170000004</v>
      </c>
      <c r="O103">
        <v>4139.1025390000004</v>
      </c>
      <c r="P103">
        <v>4111.9794920000004</v>
      </c>
      <c r="Q103">
        <v>4088.0834960000002</v>
      </c>
      <c r="R103">
        <v>4073.4372560000002</v>
      </c>
      <c r="S103">
        <v>4065.2475589999999</v>
      </c>
      <c r="T103">
        <v>4060.0888669999999</v>
      </c>
      <c r="U103">
        <v>4052.5258789999998</v>
      </c>
      <c r="V103">
        <v>4048.0051269999999</v>
      </c>
      <c r="W103">
        <v>4045.056885</v>
      </c>
      <c r="X103">
        <v>4045.580078</v>
      </c>
      <c r="Y103">
        <v>4045.5986330000001</v>
      </c>
      <c r="Z103">
        <v>4045.1948240000002</v>
      </c>
      <c r="AA103">
        <v>4047.8803710000002</v>
      </c>
      <c r="AB103">
        <v>4048.5656739999999</v>
      </c>
      <c r="AC103">
        <v>4064.6430660000001</v>
      </c>
      <c r="AD103">
        <v>4082.6523440000001</v>
      </c>
      <c r="AE103">
        <v>4098.6396480000003</v>
      </c>
      <c r="AF103">
        <v>4109.7368159999996</v>
      </c>
      <c r="AG103" s="29">
        <v>-1E-3</v>
      </c>
    </row>
    <row r="104" spans="1:33" x14ac:dyDescent="0.25">
      <c r="A104" t="s">
        <v>166</v>
      </c>
      <c r="B104" t="s">
        <v>181</v>
      </c>
      <c r="C104" t="s">
        <v>203</v>
      </c>
    </row>
    <row r="105" spans="1:33" x14ac:dyDescent="0.25">
      <c r="A105" t="s">
        <v>167</v>
      </c>
      <c r="B105" t="s">
        <v>787</v>
      </c>
      <c r="C105" t="s">
        <v>786</v>
      </c>
      <c r="D105" t="s">
        <v>202</v>
      </c>
      <c r="F105">
        <v>5262.0537109999996</v>
      </c>
      <c r="G105">
        <v>5295.517578</v>
      </c>
      <c r="H105">
        <v>5284.3320309999999</v>
      </c>
      <c r="I105">
        <v>5261.0747069999998</v>
      </c>
      <c r="J105">
        <v>5214.6953119999998</v>
      </c>
      <c r="K105">
        <v>5167.1357420000004</v>
      </c>
      <c r="L105">
        <v>5117.076172</v>
      </c>
      <c r="M105">
        <v>5057.5048829999996</v>
      </c>
      <c r="N105">
        <v>4997.2041019999997</v>
      </c>
      <c r="O105">
        <v>4932.3168949999999</v>
      </c>
      <c r="P105">
        <v>4873.4492190000001</v>
      </c>
      <c r="Q105">
        <v>4817.8413090000004</v>
      </c>
      <c r="R105">
        <v>4772.8662109999996</v>
      </c>
      <c r="S105">
        <v>4734.9516599999997</v>
      </c>
      <c r="T105">
        <v>4700.1743159999996</v>
      </c>
      <c r="U105">
        <v>4662.7070309999999</v>
      </c>
      <c r="V105">
        <v>4629.8315430000002</v>
      </c>
      <c r="W105">
        <v>4598.7304690000001</v>
      </c>
      <c r="X105">
        <v>4572.5097660000001</v>
      </c>
      <c r="Y105">
        <v>4546.7172849999997</v>
      </c>
      <c r="Z105">
        <v>4522.0385740000002</v>
      </c>
      <c r="AA105">
        <v>4502.5307620000003</v>
      </c>
      <c r="AB105">
        <v>4482.2827150000003</v>
      </c>
      <c r="AC105">
        <v>4479.6157229999999</v>
      </c>
      <c r="AD105">
        <v>4478.7768550000001</v>
      </c>
      <c r="AE105">
        <v>4475.8027339999999</v>
      </c>
      <c r="AF105">
        <v>4467.5708009999998</v>
      </c>
      <c r="AG105" s="29">
        <v>-6.0000000000000001E-3</v>
      </c>
    </row>
    <row r="106" spans="1:33" x14ac:dyDescent="0.25">
      <c r="A106" t="s">
        <v>168</v>
      </c>
      <c r="B106" t="s">
        <v>785</v>
      </c>
      <c r="C106" t="s">
        <v>784</v>
      </c>
      <c r="D106" t="s">
        <v>202</v>
      </c>
      <c r="F106">
        <v>634.32690400000001</v>
      </c>
      <c r="G106">
        <v>650.87048300000004</v>
      </c>
      <c r="H106">
        <v>662.39166299999999</v>
      </c>
      <c r="I106">
        <v>671.808899</v>
      </c>
      <c r="J106">
        <v>676.77789299999995</v>
      </c>
      <c r="K106">
        <v>680.24054000000001</v>
      </c>
      <c r="L106">
        <v>681.32904099999996</v>
      </c>
      <c r="M106">
        <v>678.65319799999997</v>
      </c>
      <c r="N106">
        <v>673.30505400000004</v>
      </c>
      <c r="O106">
        <v>665.24871800000005</v>
      </c>
      <c r="P106">
        <v>656.16290300000003</v>
      </c>
      <c r="Q106">
        <v>645.64355499999999</v>
      </c>
      <c r="R106">
        <v>634.93084699999997</v>
      </c>
      <c r="S106">
        <v>624.06329300000004</v>
      </c>
      <c r="T106">
        <v>611.81030299999998</v>
      </c>
      <c r="U106">
        <v>598.16156000000001</v>
      </c>
      <c r="V106">
        <v>584.89434800000004</v>
      </c>
      <c r="W106">
        <v>570.99713099999997</v>
      </c>
      <c r="X106">
        <v>556.887024</v>
      </c>
      <c r="Y106">
        <v>542.06732199999999</v>
      </c>
      <c r="Z106">
        <v>527.87664800000005</v>
      </c>
      <c r="AA106">
        <v>515.07910200000003</v>
      </c>
      <c r="AB106">
        <v>502.932526</v>
      </c>
      <c r="AC106">
        <v>492.81231700000001</v>
      </c>
      <c r="AD106">
        <v>482.85266100000001</v>
      </c>
      <c r="AE106">
        <v>472.94921900000003</v>
      </c>
      <c r="AF106">
        <v>463.078644</v>
      </c>
      <c r="AG106" s="29">
        <v>-1.2E-2</v>
      </c>
    </row>
    <row r="107" spans="1:33" x14ac:dyDescent="0.25">
      <c r="A107" t="s">
        <v>169</v>
      </c>
      <c r="B107" t="s">
        <v>783</v>
      </c>
      <c r="C107" t="s">
        <v>782</v>
      </c>
      <c r="D107" t="s">
        <v>202</v>
      </c>
      <c r="F107">
        <v>1.63686</v>
      </c>
      <c r="G107">
        <v>1.8039179999999999</v>
      </c>
      <c r="H107">
        <v>1.9553450000000001</v>
      </c>
      <c r="I107">
        <v>2.095329</v>
      </c>
      <c r="J107">
        <v>2.202966</v>
      </c>
      <c r="K107">
        <v>2.2743500000000001</v>
      </c>
      <c r="L107">
        <v>2.341685</v>
      </c>
      <c r="M107">
        <v>2.3793389999999999</v>
      </c>
      <c r="N107">
        <v>2.4041060000000001</v>
      </c>
      <c r="O107">
        <v>2.4123800000000002</v>
      </c>
      <c r="P107">
        <v>2.4138890000000002</v>
      </c>
      <c r="Q107">
        <v>2.405564</v>
      </c>
      <c r="R107">
        <v>2.3955739999999999</v>
      </c>
      <c r="S107">
        <v>2.3836390000000001</v>
      </c>
      <c r="T107">
        <v>2.3738160000000001</v>
      </c>
      <c r="U107">
        <v>2.3633479999999998</v>
      </c>
      <c r="V107">
        <v>2.356134</v>
      </c>
      <c r="W107">
        <v>2.346463</v>
      </c>
      <c r="X107">
        <v>2.3374450000000002</v>
      </c>
      <c r="Y107">
        <v>2.3282379999999998</v>
      </c>
      <c r="Z107">
        <v>2.3202970000000001</v>
      </c>
      <c r="AA107">
        <v>2.3174630000000001</v>
      </c>
      <c r="AB107">
        <v>2.3153820000000001</v>
      </c>
      <c r="AC107">
        <v>2.3233009999999998</v>
      </c>
      <c r="AD107">
        <v>2.327607</v>
      </c>
      <c r="AE107">
        <v>2.3246549999999999</v>
      </c>
      <c r="AF107">
        <v>2.3222160000000001</v>
      </c>
      <c r="AG107" s="29">
        <v>1.4E-2</v>
      </c>
    </row>
    <row r="108" spans="1:33" x14ac:dyDescent="0.25">
      <c r="A108" t="s">
        <v>170</v>
      </c>
      <c r="B108" t="s">
        <v>781</v>
      </c>
      <c r="C108" t="s">
        <v>780</v>
      </c>
      <c r="D108" t="s">
        <v>202</v>
      </c>
      <c r="F108">
        <v>55.106678000000002</v>
      </c>
      <c r="G108">
        <v>60.266609000000003</v>
      </c>
      <c r="H108">
        <v>64.839827999999997</v>
      </c>
      <c r="I108">
        <v>68.349625000000003</v>
      </c>
      <c r="J108">
        <v>70.525550999999993</v>
      </c>
      <c r="K108">
        <v>72.469818000000004</v>
      </c>
      <c r="L108">
        <v>73.923186999999999</v>
      </c>
      <c r="M108">
        <v>74.768676999999997</v>
      </c>
      <c r="N108">
        <v>75.424942000000001</v>
      </c>
      <c r="O108">
        <v>75.820374000000001</v>
      </c>
      <c r="P108">
        <v>76.349898999999994</v>
      </c>
      <c r="Q108">
        <v>77.040145999999993</v>
      </c>
      <c r="R108">
        <v>77.877289000000005</v>
      </c>
      <c r="S108">
        <v>79.043137000000002</v>
      </c>
      <c r="T108">
        <v>80.450867000000002</v>
      </c>
      <c r="U108">
        <v>82.033752000000007</v>
      </c>
      <c r="V108">
        <v>84.148926000000003</v>
      </c>
      <c r="W108">
        <v>86.843956000000006</v>
      </c>
      <c r="X108">
        <v>89.839279000000005</v>
      </c>
      <c r="Y108">
        <v>92.977126999999996</v>
      </c>
      <c r="Z108">
        <v>96.314864999999998</v>
      </c>
      <c r="AA108">
        <v>100.060028</v>
      </c>
      <c r="AB108">
        <v>104.28434799999999</v>
      </c>
      <c r="AC108">
        <v>109.626869</v>
      </c>
      <c r="AD108">
        <v>115.90033</v>
      </c>
      <c r="AE108">
        <v>122.995186</v>
      </c>
      <c r="AF108">
        <v>131.064224</v>
      </c>
      <c r="AG108" s="29">
        <v>3.4000000000000002E-2</v>
      </c>
    </row>
    <row r="109" spans="1:33" x14ac:dyDescent="0.25">
      <c r="A109" t="s">
        <v>171</v>
      </c>
      <c r="B109" t="s">
        <v>779</v>
      </c>
      <c r="C109" t="s">
        <v>778</v>
      </c>
      <c r="D109" t="s">
        <v>202</v>
      </c>
      <c r="F109">
        <v>49.749854999999997</v>
      </c>
      <c r="G109">
        <v>45.266762</v>
      </c>
      <c r="H109">
        <v>40.649368000000003</v>
      </c>
      <c r="I109">
        <v>36.352798</v>
      </c>
      <c r="J109">
        <v>32.544384000000001</v>
      </c>
      <c r="K109">
        <v>29.355906000000001</v>
      </c>
      <c r="L109">
        <v>26.545546999999999</v>
      </c>
      <c r="M109">
        <v>24.041105000000002</v>
      </c>
      <c r="N109">
        <v>21.797552</v>
      </c>
      <c r="O109">
        <v>19.719795000000001</v>
      </c>
      <c r="P109">
        <v>17.844048000000001</v>
      </c>
      <c r="Q109">
        <v>16.154398</v>
      </c>
      <c r="R109">
        <v>14.596711000000001</v>
      </c>
      <c r="S109">
        <v>13.156967</v>
      </c>
      <c r="T109">
        <v>11.823331</v>
      </c>
      <c r="U109">
        <v>10.605062999999999</v>
      </c>
      <c r="V109">
        <v>9.5238669999999992</v>
      </c>
      <c r="W109">
        <v>8.5670750000000009</v>
      </c>
      <c r="X109">
        <v>7.72227</v>
      </c>
      <c r="Y109">
        <v>6.9687770000000002</v>
      </c>
      <c r="Z109">
        <v>6.2437959999999997</v>
      </c>
      <c r="AA109">
        <v>5.5619810000000003</v>
      </c>
      <c r="AB109">
        <v>4.9072649999999998</v>
      </c>
      <c r="AC109">
        <v>4.3119829999999997</v>
      </c>
      <c r="AD109">
        <v>3.677794</v>
      </c>
      <c r="AE109">
        <v>3.0516730000000001</v>
      </c>
      <c r="AF109">
        <v>2.441856</v>
      </c>
      <c r="AG109" s="29">
        <v>-0.109</v>
      </c>
    </row>
    <row r="110" spans="1:33" x14ac:dyDescent="0.25">
      <c r="A110" t="s">
        <v>155</v>
      </c>
      <c r="B110" t="s">
        <v>777</v>
      </c>
      <c r="C110" t="s">
        <v>776</v>
      </c>
      <c r="D110" t="s">
        <v>202</v>
      </c>
      <c r="F110">
        <v>2.2528419999999998</v>
      </c>
      <c r="G110">
        <v>2.9876170000000002</v>
      </c>
      <c r="H110">
        <v>3.663386</v>
      </c>
      <c r="I110">
        <v>4.270626</v>
      </c>
      <c r="J110">
        <v>4.7761940000000003</v>
      </c>
      <c r="K110">
        <v>5.2050029999999996</v>
      </c>
      <c r="L110">
        <v>5.5863839999999998</v>
      </c>
      <c r="M110">
        <v>6.0544630000000002</v>
      </c>
      <c r="N110">
        <v>6.6641269999999997</v>
      </c>
      <c r="O110">
        <v>7.2101389999999999</v>
      </c>
      <c r="P110">
        <v>7.9647639999999997</v>
      </c>
      <c r="Q110">
        <v>9.0889410000000002</v>
      </c>
      <c r="R110">
        <v>10.635733</v>
      </c>
      <c r="S110">
        <v>12.518767</v>
      </c>
      <c r="T110">
        <v>14.774114000000001</v>
      </c>
      <c r="U110">
        <v>17.410596999999999</v>
      </c>
      <c r="V110">
        <v>20.494534000000002</v>
      </c>
      <c r="W110">
        <v>24.229378000000001</v>
      </c>
      <c r="X110">
        <v>28.478767000000001</v>
      </c>
      <c r="Y110">
        <v>33.13467</v>
      </c>
      <c r="Z110">
        <v>37.831429</v>
      </c>
      <c r="AA110">
        <v>42.741287</v>
      </c>
      <c r="AB110">
        <v>47.793205</v>
      </c>
      <c r="AC110">
        <v>53.246014000000002</v>
      </c>
      <c r="AD110">
        <v>58.841552999999998</v>
      </c>
      <c r="AE110">
        <v>64.441185000000004</v>
      </c>
      <c r="AF110">
        <v>70.016105999999994</v>
      </c>
      <c r="AG110" s="29">
        <v>0.14099999999999999</v>
      </c>
    </row>
    <row r="111" spans="1:33" x14ac:dyDescent="0.25">
      <c r="A111" t="s">
        <v>172</v>
      </c>
      <c r="B111" t="s">
        <v>775</v>
      </c>
      <c r="C111" t="s">
        <v>774</v>
      </c>
      <c r="D111" t="s">
        <v>202</v>
      </c>
      <c r="F111">
        <v>0</v>
      </c>
      <c r="G111">
        <v>0</v>
      </c>
      <c r="H111">
        <v>4.9972999999999997E-2</v>
      </c>
      <c r="I111">
        <v>0.12850700000000001</v>
      </c>
      <c r="J111">
        <v>0.227355</v>
      </c>
      <c r="K111">
        <v>0.34510600000000002</v>
      </c>
      <c r="L111">
        <v>0.47567100000000001</v>
      </c>
      <c r="M111">
        <v>0.61984499999999998</v>
      </c>
      <c r="N111">
        <v>0.77710699999999999</v>
      </c>
      <c r="O111">
        <v>0.72332300000000005</v>
      </c>
      <c r="P111">
        <v>0.67445299999999997</v>
      </c>
      <c r="Q111">
        <v>0.63134599999999996</v>
      </c>
      <c r="R111">
        <v>0.59302100000000002</v>
      </c>
      <c r="S111">
        <v>0.56109699999999996</v>
      </c>
      <c r="T111">
        <v>0.53418500000000002</v>
      </c>
      <c r="U111">
        <v>0.51141899999999996</v>
      </c>
      <c r="V111">
        <v>0.48934100000000003</v>
      </c>
      <c r="W111">
        <v>0.46598600000000001</v>
      </c>
      <c r="X111">
        <v>0.44024999999999997</v>
      </c>
      <c r="Y111">
        <v>0.41190199999999999</v>
      </c>
      <c r="Z111">
        <v>0.38275100000000001</v>
      </c>
      <c r="AA111">
        <v>0.35326600000000002</v>
      </c>
      <c r="AB111">
        <v>0.32239400000000001</v>
      </c>
      <c r="AC111">
        <v>0.28986200000000001</v>
      </c>
      <c r="AD111">
        <v>0.26128499999999999</v>
      </c>
      <c r="AE111">
        <v>0.236961</v>
      </c>
      <c r="AF111">
        <v>0.216391</v>
      </c>
      <c r="AG111" t="s">
        <v>23</v>
      </c>
    </row>
    <row r="112" spans="1:33" x14ac:dyDescent="0.25">
      <c r="A112" t="s">
        <v>173</v>
      </c>
      <c r="B112" t="s">
        <v>773</v>
      </c>
      <c r="C112" t="s">
        <v>772</v>
      </c>
      <c r="D112" t="s">
        <v>202</v>
      </c>
      <c r="F112">
        <v>0</v>
      </c>
      <c r="G112">
        <v>0.115331</v>
      </c>
      <c r="H112">
        <v>0.231573</v>
      </c>
      <c r="I112">
        <v>0.27211000000000002</v>
      </c>
      <c r="J112">
        <v>0.25937199999999999</v>
      </c>
      <c r="K112">
        <v>0.23771500000000001</v>
      </c>
      <c r="L112">
        <v>0.21748300000000001</v>
      </c>
      <c r="M112">
        <v>0.19966</v>
      </c>
      <c r="N112">
        <v>0.18464700000000001</v>
      </c>
      <c r="O112">
        <v>0.17038800000000001</v>
      </c>
      <c r="P112">
        <v>0.157113</v>
      </c>
      <c r="Q112">
        <v>0.144426</v>
      </c>
      <c r="R112">
        <v>0.133132</v>
      </c>
      <c r="S112">
        <v>0.12199</v>
      </c>
      <c r="T112">
        <v>0.11172899999999999</v>
      </c>
      <c r="U112">
        <v>0.10259</v>
      </c>
      <c r="V112">
        <v>9.4766000000000003E-2</v>
      </c>
      <c r="W112">
        <v>8.7656999999999999E-2</v>
      </c>
      <c r="X112">
        <v>8.0437999999999996E-2</v>
      </c>
      <c r="Y112">
        <v>7.3296E-2</v>
      </c>
      <c r="Z112">
        <v>6.6423999999999997E-2</v>
      </c>
      <c r="AA112">
        <v>6.1006999999999999E-2</v>
      </c>
      <c r="AB112">
        <v>5.67E-2</v>
      </c>
      <c r="AC112">
        <v>5.3085E-2</v>
      </c>
      <c r="AD112">
        <v>4.9660999999999997E-2</v>
      </c>
      <c r="AE112">
        <v>4.6268999999999998E-2</v>
      </c>
      <c r="AF112">
        <v>4.3032000000000001E-2</v>
      </c>
      <c r="AG112" t="s">
        <v>23</v>
      </c>
    </row>
    <row r="113" spans="1:33" x14ac:dyDescent="0.25">
      <c r="A113" t="s">
        <v>159</v>
      </c>
      <c r="B113" t="s">
        <v>771</v>
      </c>
      <c r="C113" t="s">
        <v>770</v>
      </c>
      <c r="D113" t="s">
        <v>202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23</v>
      </c>
    </row>
    <row r="114" spans="1:33" x14ac:dyDescent="0.25">
      <c r="A114" t="s">
        <v>300</v>
      </c>
      <c r="B114" t="s">
        <v>769</v>
      </c>
      <c r="C114" t="s">
        <v>768</v>
      </c>
      <c r="D114" t="s">
        <v>202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23</v>
      </c>
    </row>
    <row r="115" spans="1:33" x14ac:dyDescent="0.25">
      <c r="A115" t="s">
        <v>299</v>
      </c>
      <c r="B115" t="s">
        <v>767</v>
      </c>
      <c r="C115" t="s">
        <v>766</v>
      </c>
      <c r="D115" t="s">
        <v>202</v>
      </c>
      <c r="F115">
        <v>0</v>
      </c>
      <c r="G115">
        <v>1.7782450000000001</v>
      </c>
      <c r="H115">
        <v>4.4268890000000001</v>
      </c>
      <c r="I115">
        <v>7.9077299999999999</v>
      </c>
      <c r="J115">
        <v>16.650454</v>
      </c>
      <c r="K115">
        <v>31.569614000000001</v>
      </c>
      <c r="L115">
        <v>52.609603999999997</v>
      </c>
      <c r="M115">
        <v>79.233017000000004</v>
      </c>
      <c r="N115">
        <v>111.403603</v>
      </c>
      <c r="O115">
        <v>147.695572</v>
      </c>
      <c r="P115">
        <v>186.81852699999999</v>
      </c>
      <c r="Q115">
        <v>227.513092</v>
      </c>
      <c r="R115">
        <v>269.02273600000001</v>
      </c>
      <c r="S115">
        <v>310.82708700000001</v>
      </c>
      <c r="T115">
        <v>353.50161700000001</v>
      </c>
      <c r="U115">
        <v>396.58743299999998</v>
      </c>
      <c r="V115">
        <v>438.75372299999998</v>
      </c>
      <c r="W115">
        <v>478.78259300000002</v>
      </c>
      <c r="X115">
        <v>516.66064500000005</v>
      </c>
      <c r="Y115">
        <v>551.88549799999998</v>
      </c>
      <c r="Z115">
        <v>584.66101100000003</v>
      </c>
      <c r="AA115">
        <v>615.79736300000002</v>
      </c>
      <c r="AB115">
        <v>644.87817399999994</v>
      </c>
      <c r="AC115">
        <v>674.08685300000002</v>
      </c>
      <c r="AD115">
        <v>701.07702600000005</v>
      </c>
      <c r="AE115">
        <v>725.72454800000003</v>
      </c>
      <c r="AF115">
        <v>747.80249000000003</v>
      </c>
      <c r="AG115" t="s">
        <v>23</v>
      </c>
    </row>
    <row r="116" spans="1:33" x14ac:dyDescent="0.25">
      <c r="A116" t="s">
        <v>298</v>
      </c>
      <c r="B116" t="s">
        <v>765</v>
      </c>
      <c r="C116" t="s">
        <v>764</v>
      </c>
      <c r="D116" t="s">
        <v>202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23</v>
      </c>
    </row>
    <row r="117" spans="1:33" x14ac:dyDescent="0.25">
      <c r="A117" t="s">
        <v>182</v>
      </c>
      <c r="B117" t="s">
        <v>763</v>
      </c>
      <c r="C117" t="s">
        <v>762</v>
      </c>
      <c r="D117" t="s">
        <v>202</v>
      </c>
      <c r="F117">
        <v>6005.1274409999996</v>
      </c>
      <c r="G117">
        <v>6058.6044920000004</v>
      </c>
      <c r="H117">
        <v>6062.5385740000002</v>
      </c>
      <c r="I117">
        <v>6052.2592770000001</v>
      </c>
      <c r="J117">
        <v>6018.6591799999997</v>
      </c>
      <c r="K117">
        <v>5988.8334960000002</v>
      </c>
      <c r="L117">
        <v>5960.1040039999998</v>
      </c>
      <c r="M117">
        <v>5923.4521480000003</v>
      </c>
      <c r="N117">
        <v>5889.1645509999998</v>
      </c>
      <c r="O117">
        <v>5851.3164059999999</v>
      </c>
      <c r="P117">
        <v>5821.8344729999999</v>
      </c>
      <c r="Q117">
        <v>5796.4619140000004</v>
      </c>
      <c r="R117">
        <v>5783.0546880000002</v>
      </c>
      <c r="S117">
        <v>5777.6264650000003</v>
      </c>
      <c r="T117">
        <v>5775.5551759999998</v>
      </c>
      <c r="U117">
        <v>5770.4799800000001</v>
      </c>
      <c r="V117">
        <v>5770.5864259999998</v>
      </c>
      <c r="W117">
        <v>5771.0493159999996</v>
      </c>
      <c r="X117">
        <v>5774.9580079999996</v>
      </c>
      <c r="Y117">
        <v>5776.5678710000002</v>
      </c>
      <c r="Z117">
        <v>5777.7348629999997</v>
      </c>
      <c r="AA117">
        <v>5784.5034180000002</v>
      </c>
      <c r="AB117">
        <v>5789.7714839999999</v>
      </c>
      <c r="AC117">
        <v>5816.3671880000002</v>
      </c>
      <c r="AD117">
        <v>5843.7641599999997</v>
      </c>
      <c r="AE117">
        <v>5867.5698240000002</v>
      </c>
      <c r="AF117">
        <v>5884.5581050000001</v>
      </c>
      <c r="AG117" s="29">
        <v>-1E-3</v>
      </c>
    </row>
    <row r="118" spans="1:33" x14ac:dyDescent="0.25">
      <c r="A118" t="s">
        <v>183</v>
      </c>
    </row>
    <row r="119" spans="1:33" x14ac:dyDescent="0.25">
      <c r="A119" t="s">
        <v>166</v>
      </c>
    </row>
    <row r="120" spans="1:33" x14ac:dyDescent="0.25">
      <c r="A120" t="s">
        <v>167</v>
      </c>
      <c r="B120" t="s">
        <v>761</v>
      </c>
      <c r="C120" t="s">
        <v>760</v>
      </c>
      <c r="D120" t="s">
        <v>204</v>
      </c>
      <c r="F120">
        <v>13.922707000000001</v>
      </c>
      <c r="G120">
        <v>13.995139999999999</v>
      </c>
      <c r="H120">
        <v>14.083459</v>
      </c>
      <c r="I120">
        <v>14.181444000000001</v>
      </c>
      <c r="J120">
        <v>14.293834</v>
      </c>
      <c r="K120">
        <v>14.38857</v>
      </c>
      <c r="L120">
        <v>14.476728</v>
      </c>
      <c r="M120">
        <v>14.555897</v>
      </c>
      <c r="N120">
        <v>14.630239</v>
      </c>
      <c r="O120">
        <v>14.699897999999999</v>
      </c>
      <c r="P120">
        <v>14.765326</v>
      </c>
      <c r="Q120">
        <v>14.825015</v>
      </c>
      <c r="R120">
        <v>14.879754999999999</v>
      </c>
      <c r="S120">
        <v>14.931191999999999</v>
      </c>
      <c r="T120">
        <v>14.984135999999999</v>
      </c>
      <c r="U120">
        <v>15.034584000000001</v>
      </c>
      <c r="V120">
        <v>15.082407999999999</v>
      </c>
      <c r="W120">
        <v>15.126908</v>
      </c>
      <c r="X120">
        <v>15.167199</v>
      </c>
      <c r="Y120">
        <v>15.202306999999999</v>
      </c>
      <c r="Z120">
        <v>15.240062</v>
      </c>
      <c r="AA120">
        <v>15.278491000000001</v>
      </c>
      <c r="AB120">
        <v>15.314698</v>
      </c>
      <c r="AC120">
        <v>15.350427</v>
      </c>
      <c r="AD120">
        <v>15.386863</v>
      </c>
      <c r="AE120">
        <v>15.426907999999999</v>
      </c>
      <c r="AF120">
        <v>15.474148</v>
      </c>
      <c r="AG120" s="29">
        <v>4.0000000000000001E-3</v>
      </c>
    </row>
    <row r="121" spans="1:33" x14ac:dyDescent="0.25">
      <c r="A121" t="s">
        <v>168</v>
      </c>
      <c r="B121" t="s">
        <v>759</v>
      </c>
      <c r="C121" t="s">
        <v>758</v>
      </c>
      <c r="D121" t="s">
        <v>205</v>
      </c>
      <c r="F121">
        <v>11.270543999999999</v>
      </c>
      <c r="G121">
        <v>11.409352999999999</v>
      </c>
      <c r="H121">
        <v>11.538529</v>
      </c>
      <c r="I121">
        <v>11.656753</v>
      </c>
      <c r="J121">
        <v>11.771490999999999</v>
      </c>
      <c r="K121">
        <v>11.863529</v>
      </c>
      <c r="L121">
        <v>11.945356</v>
      </c>
      <c r="M121">
        <v>12.01674</v>
      </c>
      <c r="N121">
        <v>12.080651</v>
      </c>
      <c r="O121">
        <v>12.137786999999999</v>
      </c>
      <c r="P121">
        <v>12.189059</v>
      </c>
      <c r="Q121">
        <v>12.235332</v>
      </c>
      <c r="R121">
        <v>12.2768</v>
      </c>
      <c r="S121">
        <v>12.314057999999999</v>
      </c>
      <c r="T121">
        <v>12.349204</v>
      </c>
      <c r="U121">
        <v>12.382721</v>
      </c>
      <c r="V121">
        <v>12.413944000000001</v>
      </c>
      <c r="W121">
        <v>12.444386</v>
      </c>
      <c r="X121">
        <v>12.473788000000001</v>
      </c>
      <c r="Y121">
        <v>12.501901</v>
      </c>
      <c r="Z121">
        <v>12.530419999999999</v>
      </c>
      <c r="AA121">
        <v>12.558555999999999</v>
      </c>
      <c r="AB121">
        <v>12.586591</v>
      </c>
      <c r="AC121">
        <v>12.615855</v>
      </c>
      <c r="AD121">
        <v>12.647904</v>
      </c>
      <c r="AE121">
        <v>12.682796</v>
      </c>
      <c r="AF121">
        <v>12.720029</v>
      </c>
      <c r="AG121" s="29">
        <v>5.0000000000000001E-3</v>
      </c>
    </row>
    <row r="122" spans="1:33" x14ac:dyDescent="0.25">
      <c r="A122" t="s">
        <v>169</v>
      </c>
      <c r="B122" t="s">
        <v>757</v>
      </c>
      <c r="C122" t="s">
        <v>756</v>
      </c>
      <c r="D122" t="s">
        <v>205</v>
      </c>
      <c r="F122">
        <v>9.2423020000000005</v>
      </c>
      <c r="G122">
        <v>9.4532989999999995</v>
      </c>
      <c r="H122">
        <v>9.6632979999999993</v>
      </c>
      <c r="I122">
        <v>9.8595740000000003</v>
      </c>
      <c r="J122">
        <v>10.033324</v>
      </c>
      <c r="K122">
        <v>10.184858</v>
      </c>
      <c r="L122">
        <v>10.326045000000001</v>
      </c>
      <c r="M122">
        <v>10.45519</v>
      </c>
      <c r="N122">
        <v>10.576914</v>
      </c>
      <c r="O122">
        <v>10.765653</v>
      </c>
      <c r="P122">
        <v>10.988288000000001</v>
      </c>
      <c r="Q122">
        <v>11.18052</v>
      </c>
      <c r="R122">
        <v>11.338896</v>
      </c>
      <c r="S122">
        <v>11.467409999999999</v>
      </c>
      <c r="T122">
        <v>11.571596</v>
      </c>
      <c r="U122">
        <v>11.657355000000001</v>
      </c>
      <c r="V122">
        <v>11.728928</v>
      </c>
      <c r="W122">
        <v>11.789823999999999</v>
      </c>
      <c r="X122">
        <v>11.842496000000001</v>
      </c>
      <c r="Y122">
        <v>11.888781</v>
      </c>
      <c r="Z122">
        <v>11.930044000000001</v>
      </c>
      <c r="AA122">
        <v>11.967499</v>
      </c>
      <c r="AB122">
        <v>12.001614999999999</v>
      </c>
      <c r="AC122">
        <v>12.032393000000001</v>
      </c>
      <c r="AD122">
        <v>12.060304</v>
      </c>
      <c r="AE122">
        <v>12.085634000000001</v>
      </c>
      <c r="AF122">
        <v>12.108743</v>
      </c>
      <c r="AG122" s="29">
        <v>0.01</v>
      </c>
    </row>
    <row r="123" spans="1:33" x14ac:dyDescent="0.25">
      <c r="A123" t="s">
        <v>170</v>
      </c>
      <c r="B123" t="s">
        <v>755</v>
      </c>
      <c r="C123" t="s">
        <v>754</v>
      </c>
      <c r="D123" t="s">
        <v>205</v>
      </c>
      <c r="F123">
        <v>10.79466</v>
      </c>
      <c r="G123">
        <v>10.920845</v>
      </c>
      <c r="H123">
        <v>10.982545999999999</v>
      </c>
      <c r="I123">
        <v>11.040056</v>
      </c>
      <c r="J123">
        <v>11.1477</v>
      </c>
      <c r="K123">
        <v>11.218605</v>
      </c>
      <c r="L123">
        <v>11.282717</v>
      </c>
      <c r="M123">
        <v>11.33933</v>
      </c>
      <c r="N123">
        <v>11.394833</v>
      </c>
      <c r="O123">
        <v>11.443618000000001</v>
      </c>
      <c r="P123">
        <v>11.49808</v>
      </c>
      <c r="Q123">
        <v>11.559828</v>
      </c>
      <c r="R123">
        <v>11.62152</v>
      </c>
      <c r="S123">
        <v>11.682252</v>
      </c>
      <c r="T123">
        <v>11.742834</v>
      </c>
      <c r="U123">
        <v>11.794235</v>
      </c>
      <c r="V123">
        <v>11.839415000000001</v>
      </c>
      <c r="W123">
        <v>11.878601</v>
      </c>
      <c r="X123">
        <v>11.910233</v>
      </c>
      <c r="Y123">
        <v>11.934759</v>
      </c>
      <c r="Z123">
        <v>11.953211</v>
      </c>
      <c r="AA123">
        <v>11.967457</v>
      </c>
      <c r="AB123">
        <v>11.978687000000001</v>
      </c>
      <c r="AC123">
        <v>11.987667999999999</v>
      </c>
      <c r="AD123">
        <v>11.994937999999999</v>
      </c>
      <c r="AE123">
        <v>12.000684</v>
      </c>
      <c r="AF123">
        <v>12.005663</v>
      </c>
      <c r="AG123" s="29">
        <v>4.0000000000000001E-3</v>
      </c>
    </row>
    <row r="124" spans="1:33" x14ac:dyDescent="0.25">
      <c r="A124" t="s">
        <v>171</v>
      </c>
      <c r="B124" t="s">
        <v>753</v>
      </c>
      <c r="C124" t="s">
        <v>752</v>
      </c>
      <c r="D124" t="s">
        <v>205</v>
      </c>
      <c r="F124">
        <v>10.010496</v>
      </c>
      <c r="G124">
        <v>10.00788</v>
      </c>
      <c r="H124">
        <v>10.005171000000001</v>
      </c>
      <c r="I124">
        <v>10.003261999999999</v>
      </c>
      <c r="J124">
        <v>10.001704999999999</v>
      </c>
      <c r="K124">
        <v>10.001531</v>
      </c>
      <c r="L124">
        <v>10.001868999999999</v>
      </c>
      <c r="M124">
        <v>10.002848999999999</v>
      </c>
      <c r="N124">
        <v>10.00376</v>
      </c>
      <c r="O124">
        <v>10.002958</v>
      </c>
      <c r="P124">
        <v>10.000252</v>
      </c>
      <c r="Q124">
        <v>9.9956479999999992</v>
      </c>
      <c r="R124">
        <v>9.9909009999999991</v>
      </c>
      <c r="S124">
        <v>9.9880270000000007</v>
      </c>
      <c r="T124">
        <v>9.9886970000000002</v>
      </c>
      <c r="U124">
        <v>9.9905819999999999</v>
      </c>
      <c r="V124">
        <v>9.9933890000000005</v>
      </c>
      <c r="W124">
        <v>9.9956650000000007</v>
      </c>
      <c r="X124">
        <v>9.9976199999999995</v>
      </c>
      <c r="Y124">
        <v>9.9996279999999995</v>
      </c>
      <c r="Z124">
        <v>10.001576</v>
      </c>
      <c r="AA124">
        <v>9.9996310000000008</v>
      </c>
      <c r="AB124">
        <v>9.9868240000000004</v>
      </c>
      <c r="AC124">
        <v>9.9634610000000006</v>
      </c>
      <c r="AD124">
        <v>9.9343210000000006</v>
      </c>
      <c r="AE124">
        <v>9.9217340000000007</v>
      </c>
      <c r="AF124">
        <v>9.9377790000000008</v>
      </c>
      <c r="AG124" s="29">
        <v>0</v>
      </c>
    </row>
    <row r="125" spans="1:33" x14ac:dyDescent="0.25">
      <c r="A125" t="s">
        <v>155</v>
      </c>
      <c r="B125" t="s">
        <v>751</v>
      </c>
      <c r="C125" t="s">
        <v>750</v>
      </c>
      <c r="D125" t="s">
        <v>204</v>
      </c>
      <c r="F125">
        <v>41.381866000000002</v>
      </c>
      <c r="G125">
        <v>41.703876000000001</v>
      </c>
      <c r="H125">
        <v>41.883159999999997</v>
      </c>
      <c r="I125">
        <v>41.993983999999998</v>
      </c>
      <c r="J125">
        <v>42.076790000000003</v>
      </c>
      <c r="K125">
        <v>42.135531999999998</v>
      </c>
      <c r="L125">
        <v>42.180328000000003</v>
      </c>
      <c r="M125">
        <v>42.241095999999999</v>
      </c>
      <c r="N125">
        <v>42.292721</v>
      </c>
      <c r="O125">
        <v>42.319889000000003</v>
      </c>
      <c r="P125">
        <v>42.341545000000004</v>
      </c>
      <c r="Q125">
        <v>42.357627999999998</v>
      </c>
      <c r="R125">
        <v>42.367283</v>
      </c>
      <c r="S125">
        <v>42.372826000000003</v>
      </c>
      <c r="T125">
        <v>42.375796999999999</v>
      </c>
      <c r="U125">
        <v>42.377429999999997</v>
      </c>
      <c r="V125">
        <v>42.378261999999999</v>
      </c>
      <c r="W125">
        <v>42.378647000000001</v>
      </c>
      <c r="X125">
        <v>42.378807000000002</v>
      </c>
      <c r="Y125">
        <v>42.378898999999997</v>
      </c>
      <c r="Z125">
        <v>42.378914000000002</v>
      </c>
      <c r="AA125">
        <v>42.378886999999999</v>
      </c>
      <c r="AB125">
        <v>42.380459000000002</v>
      </c>
      <c r="AC125">
        <v>42.38456</v>
      </c>
      <c r="AD125">
        <v>42.392181000000001</v>
      </c>
      <c r="AE125">
        <v>42.407435999999997</v>
      </c>
      <c r="AF125">
        <v>42.430264000000001</v>
      </c>
      <c r="AG125" s="29">
        <v>1E-3</v>
      </c>
    </row>
    <row r="126" spans="1:33" x14ac:dyDescent="0.25">
      <c r="A126" t="s">
        <v>172</v>
      </c>
      <c r="B126" t="s">
        <v>749</v>
      </c>
      <c r="C126" t="s">
        <v>748</v>
      </c>
      <c r="D126" t="s">
        <v>204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23</v>
      </c>
    </row>
    <row r="127" spans="1:33" x14ac:dyDescent="0.25">
      <c r="A127" t="s">
        <v>173</v>
      </c>
      <c r="B127" t="s">
        <v>747</v>
      </c>
      <c r="C127" t="s">
        <v>746</v>
      </c>
      <c r="D127" t="s">
        <v>205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23</v>
      </c>
    </row>
    <row r="128" spans="1:33" x14ac:dyDescent="0.25">
      <c r="A128" t="s">
        <v>159</v>
      </c>
      <c r="B128" t="s">
        <v>745</v>
      </c>
      <c r="C128" t="s">
        <v>744</v>
      </c>
      <c r="D128" t="s">
        <v>204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23</v>
      </c>
    </row>
    <row r="129" spans="1:33" x14ac:dyDescent="0.25">
      <c r="A129" t="s">
        <v>300</v>
      </c>
      <c r="B129" t="s">
        <v>743</v>
      </c>
      <c r="C129" t="s">
        <v>742</v>
      </c>
      <c r="D129" t="s">
        <v>204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23</v>
      </c>
    </row>
    <row r="130" spans="1:33" x14ac:dyDescent="0.25">
      <c r="A130" t="s">
        <v>299</v>
      </c>
      <c r="B130" t="s">
        <v>741</v>
      </c>
      <c r="C130" t="s">
        <v>740</v>
      </c>
      <c r="D130" t="s">
        <v>205</v>
      </c>
      <c r="F130">
        <v>0</v>
      </c>
      <c r="G130">
        <v>14.326266</v>
      </c>
      <c r="H130">
        <v>14.330572999999999</v>
      </c>
      <c r="I130">
        <v>14.341824000000001</v>
      </c>
      <c r="J130">
        <v>14.40915</v>
      </c>
      <c r="K130">
        <v>14.392595999999999</v>
      </c>
      <c r="L130">
        <v>14.412682999999999</v>
      </c>
      <c r="M130">
        <v>14.456479</v>
      </c>
      <c r="N130">
        <v>14.518309</v>
      </c>
      <c r="O130">
        <v>14.599339000000001</v>
      </c>
      <c r="P130">
        <v>14.700199</v>
      </c>
      <c r="Q130">
        <v>14.795714</v>
      </c>
      <c r="R130">
        <v>14.882458</v>
      </c>
      <c r="S130">
        <v>14.958017999999999</v>
      </c>
      <c r="T130">
        <v>15.022192</v>
      </c>
      <c r="U130">
        <v>15.074443</v>
      </c>
      <c r="V130">
        <v>15.115707</v>
      </c>
      <c r="W130">
        <v>15.148602</v>
      </c>
      <c r="X130">
        <v>15.175196</v>
      </c>
      <c r="Y130">
        <v>15.196916</v>
      </c>
      <c r="Z130">
        <v>15.214817999999999</v>
      </c>
      <c r="AA130">
        <v>15.229673</v>
      </c>
      <c r="AB130">
        <v>15.241925</v>
      </c>
      <c r="AC130">
        <v>15.251994</v>
      </c>
      <c r="AD130">
        <v>15.260142</v>
      </c>
      <c r="AE130">
        <v>15.266747000000001</v>
      </c>
      <c r="AF130">
        <v>15.272197999999999</v>
      </c>
      <c r="AG130" t="s">
        <v>23</v>
      </c>
    </row>
    <row r="131" spans="1:33" x14ac:dyDescent="0.25">
      <c r="A131" t="s">
        <v>298</v>
      </c>
      <c r="B131" t="s">
        <v>739</v>
      </c>
      <c r="C131" t="s">
        <v>738</v>
      </c>
      <c r="D131" t="s">
        <v>204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23</v>
      </c>
    </row>
    <row r="132" spans="1:33" x14ac:dyDescent="0.25">
      <c r="A132" t="s">
        <v>184</v>
      </c>
      <c r="B132" t="s">
        <v>737</v>
      </c>
      <c r="C132" t="s">
        <v>736</v>
      </c>
      <c r="F132">
        <v>12.831079000000001</v>
      </c>
      <c r="G132">
        <v>12.901629</v>
      </c>
      <c r="H132">
        <v>12.979244</v>
      </c>
      <c r="I132">
        <v>13.060256000000001</v>
      </c>
      <c r="J132">
        <v>13.160561</v>
      </c>
      <c r="K132">
        <v>13.250387</v>
      </c>
      <c r="L132">
        <v>13.341866</v>
      </c>
      <c r="M132">
        <v>13.437830999999999</v>
      </c>
      <c r="N132">
        <v>13.541937000000001</v>
      </c>
      <c r="O132">
        <v>13.647505000000001</v>
      </c>
      <c r="P132">
        <v>13.762563</v>
      </c>
      <c r="Q132">
        <v>13.886763</v>
      </c>
      <c r="R132">
        <v>14.018940000000001</v>
      </c>
      <c r="S132">
        <v>14.155526999999999</v>
      </c>
      <c r="T132">
        <v>14.300395</v>
      </c>
      <c r="U132">
        <v>14.452030000000001</v>
      </c>
      <c r="V132">
        <v>14.607469</v>
      </c>
      <c r="W132">
        <v>14.773649000000001</v>
      </c>
      <c r="X132">
        <v>14.947186</v>
      </c>
      <c r="Y132">
        <v>15.126486999999999</v>
      </c>
      <c r="Z132">
        <v>15.302503</v>
      </c>
      <c r="AA132">
        <v>15.47659</v>
      </c>
      <c r="AB132">
        <v>15.647549</v>
      </c>
      <c r="AC132">
        <v>15.819523999999999</v>
      </c>
      <c r="AD132">
        <v>15.992418000000001</v>
      </c>
      <c r="AE132">
        <v>16.163097</v>
      </c>
      <c r="AF132">
        <v>16.331121</v>
      </c>
      <c r="AG132" s="29">
        <v>8.9999999999999993E-3</v>
      </c>
    </row>
    <row r="133" spans="1:33" x14ac:dyDescent="0.25">
      <c r="A133" t="s">
        <v>175</v>
      </c>
    </row>
    <row r="134" spans="1:33" x14ac:dyDescent="0.25">
      <c r="A134" t="s">
        <v>167</v>
      </c>
      <c r="B134" t="s">
        <v>735</v>
      </c>
      <c r="C134" t="s">
        <v>734</v>
      </c>
      <c r="D134" t="s">
        <v>204</v>
      </c>
      <c r="F134">
        <v>8.9978890000000007</v>
      </c>
      <c r="G134">
        <v>9.0829520000000006</v>
      </c>
      <c r="H134">
        <v>9.1856989999999996</v>
      </c>
      <c r="I134">
        <v>9.302251</v>
      </c>
      <c r="J134">
        <v>9.4243500000000004</v>
      </c>
      <c r="K134">
        <v>9.5493419999999993</v>
      </c>
      <c r="L134">
        <v>9.6778139999999997</v>
      </c>
      <c r="M134">
        <v>9.8073920000000001</v>
      </c>
      <c r="N134">
        <v>9.9367000000000001</v>
      </c>
      <c r="O134">
        <v>10.064192</v>
      </c>
      <c r="P134">
        <v>10.185987000000001</v>
      </c>
      <c r="Q134">
        <v>10.298703</v>
      </c>
      <c r="R134">
        <v>10.397989000000001</v>
      </c>
      <c r="S134">
        <v>10.485415</v>
      </c>
      <c r="T134">
        <v>10.563262</v>
      </c>
      <c r="U134">
        <v>10.632419000000001</v>
      </c>
      <c r="V134">
        <v>10.694361000000001</v>
      </c>
      <c r="W134">
        <v>10.750007999999999</v>
      </c>
      <c r="X134">
        <v>10.79853</v>
      </c>
      <c r="Y134">
        <v>10.838488</v>
      </c>
      <c r="Z134">
        <v>10.87189</v>
      </c>
      <c r="AA134">
        <v>10.900912</v>
      </c>
      <c r="AB134">
        <v>10.927300000000001</v>
      </c>
      <c r="AC134">
        <v>10.951186</v>
      </c>
      <c r="AD134">
        <v>10.973481</v>
      </c>
      <c r="AE134">
        <v>10.994838</v>
      </c>
      <c r="AF134">
        <v>11.015133000000001</v>
      </c>
      <c r="AG134" s="29">
        <v>8.0000000000000002E-3</v>
      </c>
    </row>
    <row r="135" spans="1:33" x14ac:dyDescent="0.25">
      <c r="A135" t="s">
        <v>168</v>
      </c>
      <c r="B135" t="s">
        <v>733</v>
      </c>
      <c r="C135" t="s">
        <v>732</v>
      </c>
      <c r="D135" t="s">
        <v>205</v>
      </c>
      <c r="F135">
        <v>8.592568</v>
      </c>
      <c r="G135">
        <v>8.606071</v>
      </c>
      <c r="H135">
        <v>8.6407279999999993</v>
      </c>
      <c r="I135">
        <v>8.6937289999999994</v>
      </c>
      <c r="J135">
        <v>8.7579480000000007</v>
      </c>
      <c r="K135">
        <v>8.8303630000000002</v>
      </c>
      <c r="L135">
        <v>8.9090279999999993</v>
      </c>
      <c r="M135">
        <v>8.9910139999999998</v>
      </c>
      <c r="N135">
        <v>9.0732940000000006</v>
      </c>
      <c r="O135">
        <v>9.1533490000000004</v>
      </c>
      <c r="P135">
        <v>9.2273899999999998</v>
      </c>
      <c r="Q135">
        <v>9.2924640000000007</v>
      </c>
      <c r="R135">
        <v>9.3458290000000002</v>
      </c>
      <c r="S135">
        <v>9.3894179999999992</v>
      </c>
      <c r="T135">
        <v>9.426107</v>
      </c>
      <c r="U135">
        <v>9.4564690000000002</v>
      </c>
      <c r="V135">
        <v>9.4821089999999995</v>
      </c>
      <c r="W135">
        <v>9.5037509999999994</v>
      </c>
      <c r="X135">
        <v>9.5213079999999994</v>
      </c>
      <c r="Y135">
        <v>9.5352370000000004</v>
      </c>
      <c r="Z135">
        <v>9.5466929999999994</v>
      </c>
      <c r="AA135">
        <v>9.5570179999999993</v>
      </c>
      <c r="AB135">
        <v>9.5671199999999992</v>
      </c>
      <c r="AC135">
        <v>9.5762730000000005</v>
      </c>
      <c r="AD135">
        <v>9.5845059999999993</v>
      </c>
      <c r="AE135">
        <v>9.5920339999999999</v>
      </c>
      <c r="AF135">
        <v>9.5997579999999996</v>
      </c>
      <c r="AG135" s="29">
        <v>4.0000000000000001E-3</v>
      </c>
    </row>
    <row r="136" spans="1:33" x14ac:dyDescent="0.25">
      <c r="A136" t="s">
        <v>169</v>
      </c>
      <c r="B136" t="s">
        <v>731</v>
      </c>
      <c r="C136" t="s">
        <v>730</v>
      </c>
      <c r="D136" t="s">
        <v>205</v>
      </c>
      <c r="F136">
        <v>6.8220650000000003</v>
      </c>
      <c r="G136">
        <v>6.8356219999999999</v>
      </c>
      <c r="H136">
        <v>6.8474570000000003</v>
      </c>
      <c r="I136">
        <v>6.8590809999999998</v>
      </c>
      <c r="J136">
        <v>6.8706709999999998</v>
      </c>
      <c r="K136">
        <v>6.8888879999999997</v>
      </c>
      <c r="L136">
        <v>6.9028039999999997</v>
      </c>
      <c r="M136">
        <v>6.9194360000000001</v>
      </c>
      <c r="N136">
        <v>6.9374929999999999</v>
      </c>
      <c r="O136">
        <v>6.9537370000000003</v>
      </c>
      <c r="P136">
        <v>6.9632969999999998</v>
      </c>
      <c r="Q136">
        <v>6.9714309999999999</v>
      </c>
      <c r="R136">
        <v>6.9840410000000004</v>
      </c>
      <c r="S136">
        <v>6.9995570000000003</v>
      </c>
      <c r="T136">
        <v>7.0186469999999996</v>
      </c>
      <c r="U136">
        <v>7.0403880000000001</v>
      </c>
      <c r="V136">
        <v>7.0628229999999999</v>
      </c>
      <c r="W136">
        <v>7.0873840000000001</v>
      </c>
      <c r="X136">
        <v>7.1132809999999997</v>
      </c>
      <c r="Y136">
        <v>7.1400220000000001</v>
      </c>
      <c r="Z136">
        <v>7.1690750000000003</v>
      </c>
      <c r="AA136">
        <v>7.192005</v>
      </c>
      <c r="AB136">
        <v>7.2187939999999999</v>
      </c>
      <c r="AC136">
        <v>7.2469020000000004</v>
      </c>
      <c r="AD136">
        <v>7.3173399999999997</v>
      </c>
      <c r="AE136">
        <v>7.4649669999999997</v>
      </c>
      <c r="AF136">
        <v>7.6597530000000003</v>
      </c>
      <c r="AG136" s="29">
        <v>4.0000000000000001E-3</v>
      </c>
    </row>
    <row r="137" spans="1:33" x14ac:dyDescent="0.25">
      <c r="A137" t="s">
        <v>170</v>
      </c>
      <c r="B137" t="s">
        <v>729</v>
      </c>
      <c r="C137" t="s">
        <v>728</v>
      </c>
      <c r="D137" t="s">
        <v>205</v>
      </c>
      <c r="F137">
        <v>6.9587450000000004</v>
      </c>
      <c r="G137">
        <v>7.1005240000000001</v>
      </c>
      <c r="H137">
        <v>7.2395759999999996</v>
      </c>
      <c r="I137">
        <v>7.3705959999999999</v>
      </c>
      <c r="J137">
        <v>7.4949719999999997</v>
      </c>
      <c r="K137">
        <v>7.6142539999999999</v>
      </c>
      <c r="L137">
        <v>7.7296529999999999</v>
      </c>
      <c r="M137">
        <v>7.8412980000000001</v>
      </c>
      <c r="N137">
        <v>7.9508369999999999</v>
      </c>
      <c r="O137">
        <v>8.0574860000000008</v>
      </c>
      <c r="P137">
        <v>8.1595089999999999</v>
      </c>
      <c r="Q137">
        <v>8.2554759999999998</v>
      </c>
      <c r="R137">
        <v>8.3427430000000005</v>
      </c>
      <c r="S137">
        <v>8.4244380000000003</v>
      </c>
      <c r="T137">
        <v>8.4999819999999993</v>
      </c>
      <c r="U137">
        <v>8.5670479999999998</v>
      </c>
      <c r="V137">
        <v>8.6249350000000007</v>
      </c>
      <c r="W137">
        <v>8.6754809999999996</v>
      </c>
      <c r="X137">
        <v>8.7235139999999998</v>
      </c>
      <c r="Y137">
        <v>8.7679089999999995</v>
      </c>
      <c r="Z137">
        <v>8.8069520000000008</v>
      </c>
      <c r="AA137">
        <v>8.8404869999999995</v>
      </c>
      <c r="AB137">
        <v>8.8708639999999992</v>
      </c>
      <c r="AC137">
        <v>8.8994520000000001</v>
      </c>
      <c r="AD137">
        <v>8.9278849999999998</v>
      </c>
      <c r="AE137">
        <v>8.9568460000000005</v>
      </c>
      <c r="AF137">
        <v>8.9833010000000009</v>
      </c>
      <c r="AG137" s="29">
        <v>0.01</v>
      </c>
    </row>
    <row r="138" spans="1:33" x14ac:dyDescent="0.25">
      <c r="A138" t="s">
        <v>171</v>
      </c>
      <c r="B138" t="s">
        <v>727</v>
      </c>
      <c r="C138" t="s">
        <v>726</v>
      </c>
      <c r="D138" t="s">
        <v>206</v>
      </c>
      <c r="F138">
        <v>7.796983</v>
      </c>
      <c r="G138">
        <v>7.7971940000000002</v>
      </c>
      <c r="H138">
        <v>7.7987250000000001</v>
      </c>
      <c r="I138">
        <v>7.801488</v>
      </c>
      <c r="J138">
        <v>7.8042069999999999</v>
      </c>
      <c r="K138">
        <v>7.8062139999999998</v>
      </c>
      <c r="L138">
        <v>7.8079090000000004</v>
      </c>
      <c r="M138">
        <v>7.8093599999999999</v>
      </c>
      <c r="N138">
        <v>7.8103420000000003</v>
      </c>
      <c r="O138">
        <v>7.8079689999999999</v>
      </c>
      <c r="P138">
        <v>7.8039969999999999</v>
      </c>
      <c r="Q138">
        <v>7.8007169999999997</v>
      </c>
      <c r="R138">
        <v>7.797841</v>
      </c>
      <c r="S138">
        <v>7.7953469999999996</v>
      </c>
      <c r="T138">
        <v>7.7935889999999999</v>
      </c>
      <c r="U138">
        <v>7.7924810000000004</v>
      </c>
      <c r="V138">
        <v>7.7928889999999997</v>
      </c>
      <c r="W138">
        <v>7.7937029999999998</v>
      </c>
      <c r="X138">
        <v>7.79474</v>
      </c>
      <c r="Y138">
        <v>7.7960089999999997</v>
      </c>
      <c r="Z138">
        <v>7.7985680000000004</v>
      </c>
      <c r="AA138">
        <v>7.8054160000000001</v>
      </c>
      <c r="AB138">
        <v>7.8220879999999999</v>
      </c>
      <c r="AC138">
        <v>7.8419610000000004</v>
      </c>
      <c r="AD138">
        <v>7.8639159999999997</v>
      </c>
      <c r="AE138">
        <v>7.8818760000000001</v>
      </c>
      <c r="AF138">
        <v>7.8981960000000004</v>
      </c>
      <c r="AG138" s="29">
        <v>0</v>
      </c>
    </row>
    <row r="139" spans="1:33" x14ac:dyDescent="0.25">
      <c r="A139" t="s">
        <v>155</v>
      </c>
      <c r="B139" t="s">
        <v>725</v>
      </c>
      <c r="C139" t="s">
        <v>724</v>
      </c>
      <c r="D139" t="s">
        <v>205</v>
      </c>
      <c r="F139">
        <v>24.166793999999999</v>
      </c>
      <c r="G139">
        <v>23.488609</v>
      </c>
      <c r="H139">
        <v>22.970822999999999</v>
      </c>
      <c r="I139">
        <v>22.584382999999999</v>
      </c>
      <c r="J139">
        <v>22.309833999999999</v>
      </c>
      <c r="K139">
        <v>22.112442000000001</v>
      </c>
      <c r="L139">
        <v>21.974169</v>
      </c>
      <c r="M139">
        <v>21.859919000000001</v>
      </c>
      <c r="N139">
        <v>21.779983999999999</v>
      </c>
      <c r="O139">
        <v>21.717737</v>
      </c>
      <c r="P139">
        <v>21.666831999999999</v>
      </c>
      <c r="Q139">
        <v>21.623701000000001</v>
      </c>
      <c r="R139">
        <v>21.584246</v>
      </c>
      <c r="S139">
        <v>21.556746</v>
      </c>
      <c r="T139">
        <v>21.530912000000001</v>
      </c>
      <c r="U139">
        <v>21.508230000000001</v>
      </c>
      <c r="V139">
        <v>21.486397</v>
      </c>
      <c r="W139">
        <v>21.472149000000002</v>
      </c>
      <c r="X139">
        <v>21.463833000000001</v>
      </c>
      <c r="Y139">
        <v>21.454124</v>
      </c>
      <c r="Z139">
        <v>21.444941</v>
      </c>
      <c r="AA139">
        <v>21.435572000000001</v>
      </c>
      <c r="AB139">
        <v>21.425909000000001</v>
      </c>
      <c r="AC139">
        <v>21.417406</v>
      </c>
      <c r="AD139">
        <v>21.411480000000001</v>
      </c>
      <c r="AE139">
        <v>21.406433</v>
      </c>
      <c r="AF139">
        <v>21.400034000000002</v>
      </c>
      <c r="AG139" s="29">
        <v>-5.0000000000000001E-3</v>
      </c>
    </row>
    <row r="140" spans="1:33" x14ac:dyDescent="0.25">
      <c r="A140" t="s">
        <v>172</v>
      </c>
      <c r="B140" t="s">
        <v>723</v>
      </c>
      <c r="C140" t="s">
        <v>722</v>
      </c>
      <c r="D140" t="s">
        <v>205</v>
      </c>
      <c r="F140">
        <v>0</v>
      </c>
      <c r="G140">
        <v>0</v>
      </c>
      <c r="H140">
        <v>10.021416</v>
      </c>
      <c r="I140">
        <v>10.148141000000001</v>
      </c>
      <c r="J140">
        <v>10.257020000000001</v>
      </c>
      <c r="K140">
        <v>10.35416</v>
      </c>
      <c r="L140">
        <v>10.452347</v>
      </c>
      <c r="M140">
        <v>10.558968</v>
      </c>
      <c r="N140">
        <v>10.672829</v>
      </c>
      <c r="O140">
        <v>10.673995</v>
      </c>
      <c r="P140">
        <v>10.674879000000001</v>
      </c>
      <c r="Q140">
        <v>10.674975999999999</v>
      </c>
      <c r="R140">
        <v>10.675637</v>
      </c>
      <c r="S140">
        <v>10.676446</v>
      </c>
      <c r="T140">
        <v>10.677424999999999</v>
      </c>
      <c r="U140">
        <v>10.678618</v>
      </c>
      <c r="V140">
        <v>10.678158</v>
      </c>
      <c r="W140">
        <v>10.677065000000001</v>
      </c>
      <c r="X140">
        <v>10.675454999999999</v>
      </c>
      <c r="Y140">
        <v>10.674443</v>
      </c>
      <c r="Z140">
        <v>10.674431999999999</v>
      </c>
      <c r="AA140">
        <v>10.676520999999999</v>
      </c>
      <c r="AB140">
        <v>10.680699000000001</v>
      </c>
      <c r="AC140">
        <v>10.681051</v>
      </c>
      <c r="AD140">
        <v>10.679695000000001</v>
      </c>
      <c r="AE140">
        <v>10.677787</v>
      </c>
      <c r="AF140">
        <v>10.675386</v>
      </c>
      <c r="AG140" t="s">
        <v>23</v>
      </c>
    </row>
    <row r="141" spans="1:33" x14ac:dyDescent="0.25">
      <c r="A141" t="s">
        <v>173</v>
      </c>
      <c r="B141" t="s">
        <v>721</v>
      </c>
      <c r="C141" t="s">
        <v>720</v>
      </c>
      <c r="D141" t="s">
        <v>205</v>
      </c>
      <c r="F141">
        <v>0</v>
      </c>
      <c r="G141">
        <v>9.2793500000000009</v>
      </c>
      <c r="H141">
        <v>9.3903090000000002</v>
      </c>
      <c r="I141">
        <v>9.4275889999999993</v>
      </c>
      <c r="J141">
        <v>9.4380749999999995</v>
      </c>
      <c r="K141">
        <v>9.4384440000000005</v>
      </c>
      <c r="L141">
        <v>9.4383389999999991</v>
      </c>
      <c r="M141">
        <v>9.4377980000000008</v>
      </c>
      <c r="N141">
        <v>9.4372070000000008</v>
      </c>
      <c r="O141">
        <v>9.4371589999999994</v>
      </c>
      <c r="P141">
        <v>9.4370309999999993</v>
      </c>
      <c r="Q141">
        <v>9.4372480000000003</v>
      </c>
      <c r="R141">
        <v>9.4374789999999997</v>
      </c>
      <c r="S141">
        <v>9.4374090000000006</v>
      </c>
      <c r="T141">
        <v>9.4373679999999993</v>
      </c>
      <c r="U141">
        <v>9.4368029999999994</v>
      </c>
      <c r="V141">
        <v>9.4368730000000003</v>
      </c>
      <c r="W141">
        <v>9.4382909999999995</v>
      </c>
      <c r="X141">
        <v>9.4389240000000001</v>
      </c>
      <c r="Y141">
        <v>9.4395220000000002</v>
      </c>
      <c r="Z141">
        <v>9.4401240000000008</v>
      </c>
      <c r="AA141">
        <v>9.4384189999999997</v>
      </c>
      <c r="AB141">
        <v>9.4378630000000001</v>
      </c>
      <c r="AC141">
        <v>9.4376599999999993</v>
      </c>
      <c r="AD141">
        <v>9.4378349999999998</v>
      </c>
      <c r="AE141">
        <v>9.4380550000000003</v>
      </c>
      <c r="AF141">
        <v>9.4382800000000007</v>
      </c>
      <c r="AG141" t="s">
        <v>23</v>
      </c>
    </row>
    <row r="142" spans="1:33" x14ac:dyDescent="0.25">
      <c r="A142" t="s">
        <v>159</v>
      </c>
      <c r="B142" t="s">
        <v>719</v>
      </c>
      <c r="C142" t="s">
        <v>718</v>
      </c>
      <c r="D142" t="s">
        <v>205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</v>
      </c>
    </row>
    <row r="143" spans="1:33" x14ac:dyDescent="0.25">
      <c r="A143" t="s">
        <v>300</v>
      </c>
      <c r="B143" t="s">
        <v>717</v>
      </c>
      <c r="C143" t="s">
        <v>716</v>
      </c>
      <c r="D143" t="s">
        <v>204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</v>
      </c>
    </row>
    <row r="144" spans="1:33" x14ac:dyDescent="0.25">
      <c r="A144" t="s">
        <v>299</v>
      </c>
      <c r="B144" t="s">
        <v>715</v>
      </c>
      <c r="C144" t="s">
        <v>714</v>
      </c>
      <c r="D144" t="s">
        <v>205</v>
      </c>
      <c r="F144">
        <v>0</v>
      </c>
      <c r="G144">
        <v>9.8621339999999993</v>
      </c>
      <c r="H144">
        <v>9.8833859999999998</v>
      </c>
      <c r="I144">
        <v>9.8984020000000008</v>
      </c>
      <c r="J144">
        <v>9.914415</v>
      </c>
      <c r="K144">
        <v>9.9336549999999999</v>
      </c>
      <c r="L144">
        <v>9.9669659999999993</v>
      </c>
      <c r="M144">
        <v>10.016080000000001</v>
      </c>
      <c r="N144">
        <v>10.069900000000001</v>
      </c>
      <c r="O144">
        <v>10.138522999999999</v>
      </c>
      <c r="P144">
        <v>10.213169000000001</v>
      </c>
      <c r="Q144">
        <v>10.27599</v>
      </c>
      <c r="R144">
        <v>10.324953000000001</v>
      </c>
      <c r="S144">
        <v>10.362147</v>
      </c>
      <c r="T144">
        <v>10.390623</v>
      </c>
      <c r="U144">
        <v>10.412682999999999</v>
      </c>
      <c r="V144">
        <v>10.429790000000001</v>
      </c>
      <c r="W144">
        <v>10.442456999999999</v>
      </c>
      <c r="X144">
        <v>10.452116999999999</v>
      </c>
      <c r="Y144">
        <v>10.459664</v>
      </c>
      <c r="Z144">
        <v>10.465630000000001</v>
      </c>
      <c r="AA144">
        <v>10.470389000000001</v>
      </c>
      <c r="AB144">
        <v>10.474275</v>
      </c>
      <c r="AC144">
        <v>10.47749</v>
      </c>
      <c r="AD144">
        <v>10.480141</v>
      </c>
      <c r="AE144">
        <v>10.482335000000001</v>
      </c>
      <c r="AF144">
        <v>10.484144000000001</v>
      </c>
      <c r="AG144" t="s">
        <v>23</v>
      </c>
    </row>
    <row r="145" spans="1:33" x14ac:dyDescent="0.25">
      <c r="A145" t="s">
        <v>298</v>
      </c>
      <c r="B145" t="s">
        <v>713</v>
      </c>
      <c r="C145" t="s">
        <v>712</v>
      </c>
      <c r="D145" t="s">
        <v>204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</v>
      </c>
    </row>
    <row r="146" spans="1:33" x14ac:dyDescent="0.25">
      <c r="A146" t="s">
        <v>185</v>
      </c>
      <c r="B146" t="s">
        <v>711</v>
      </c>
      <c r="C146" t="s">
        <v>710</v>
      </c>
      <c r="F146">
        <v>8.8135969999999997</v>
      </c>
      <c r="G146">
        <v>8.8656690000000005</v>
      </c>
      <c r="H146">
        <v>8.9361870000000003</v>
      </c>
      <c r="I146">
        <v>9.0218129999999999</v>
      </c>
      <c r="J146">
        <v>9.1149059999999995</v>
      </c>
      <c r="K146">
        <v>9.2129379999999994</v>
      </c>
      <c r="L146">
        <v>9.3155249999999992</v>
      </c>
      <c r="M146">
        <v>9.4202680000000001</v>
      </c>
      <c r="N146">
        <v>9.5250190000000003</v>
      </c>
      <c r="O146">
        <v>9.6281189999999999</v>
      </c>
      <c r="P146">
        <v>9.7260120000000008</v>
      </c>
      <c r="Q146">
        <v>9.8152310000000007</v>
      </c>
      <c r="R146">
        <v>9.8922919999999994</v>
      </c>
      <c r="S146">
        <v>9.9582700000000006</v>
      </c>
      <c r="T146">
        <v>10.015612000000001</v>
      </c>
      <c r="U146">
        <v>10.064689</v>
      </c>
      <c r="V146">
        <v>10.107037</v>
      </c>
      <c r="W146">
        <v>10.143312</v>
      </c>
      <c r="X146">
        <v>10.173615</v>
      </c>
      <c r="Y146">
        <v>10.198003</v>
      </c>
      <c r="Z146">
        <v>10.217998</v>
      </c>
      <c r="AA146">
        <v>10.235155000000001</v>
      </c>
      <c r="AB146">
        <v>10.250697000000001</v>
      </c>
      <c r="AC146">
        <v>10.264521999999999</v>
      </c>
      <c r="AD146">
        <v>10.276980999999999</v>
      </c>
      <c r="AE146">
        <v>10.288339000000001</v>
      </c>
      <c r="AF146">
        <v>10.299118999999999</v>
      </c>
      <c r="AG146" s="29">
        <v>6.0000000000000001E-3</v>
      </c>
    </row>
    <row r="147" spans="1:33" x14ac:dyDescent="0.25">
      <c r="A147" t="s">
        <v>177</v>
      </c>
    </row>
    <row r="148" spans="1:33" x14ac:dyDescent="0.25">
      <c r="A148" t="s">
        <v>167</v>
      </c>
      <c r="B148" t="s">
        <v>709</v>
      </c>
      <c r="C148" t="s">
        <v>708</v>
      </c>
      <c r="D148" t="s">
        <v>204</v>
      </c>
      <c r="F148">
        <v>6.4481590000000004</v>
      </c>
      <c r="G148">
        <v>6.5237150000000002</v>
      </c>
      <c r="H148">
        <v>6.610277</v>
      </c>
      <c r="I148">
        <v>6.7069049999999999</v>
      </c>
      <c r="J148">
        <v>6.8064679999999997</v>
      </c>
      <c r="K148">
        <v>6.9066099999999997</v>
      </c>
      <c r="L148">
        <v>7.0061400000000003</v>
      </c>
      <c r="M148">
        <v>7.1038860000000001</v>
      </c>
      <c r="N148">
        <v>7.1993840000000002</v>
      </c>
      <c r="O148">
        <v>7.2923330000000002</v>
      </c>
      <c r="P148">
        <v>7.3804069999999999</v>
      </c>
      <c r="Q148">
        <v>7.4618279999999997</v>
      </c>
      <c r="R148">
        <v>7.5358000000000001</v>
      </c>
      <c r="S148">
        <v>7.6030470000000001</v>
      </c>
      <c r="T148">
        <v>7.664059</v>
      </c>
      <c r="U148">
        <v>7.7193630000000004</v>
      </c>
      <c r="V148">
        <v>7.769641</v>
      </c>
      <c r="W148">
        <v>7.8135589999999997</v>
      </c>
      <c r="X148">
        <v>7.8512329999999997</v>
      </c>
      <c r="Y148">
        <v>7.8831619999999996</v>
      </c>
      <c r="Z148">
        <v>7.910139</v>
      </c>
      <c r="AA148">
        <v>7.9335370000000003</v>
      </c>
      <c r="AB148">
        <v>7.9543119999999998</v>
      </c>
      <c r="AC148">
        <v>7.9732010000000004</v>
      </c>
      <c r="AD148">
        <v>7.990386</v>
      </c>
      <c r="AE148">
        <v>8.0064489999999999</v>
      </c>
      <c r="AF148">
        <v>8.0207669999999993</v>
      </c>
      <c r="AG148" s="29">
        <v>8.0000000000000002E-3</v>
      </c>
    </row>
    <row r="149" spans="1:33" x14ac:dyDescent="0.25">
      <c r="A149" t="s">
        <v>168</v>
      </c>
      <c r="B149" t="s">
        <v>707</v>
      </c>
      <c r="C149" t="s">
        <v>706</v>
      </c>
      <c r="D149" t="s">
        <v>205</v>
      </c>
      <c r="F149">
        <v>5.0604979999999999</v>
      </c>
      <c r="G149">
        <v>5.0774359999999996</v>
      </c>
      <c r="H149">
        <v>5.0991439999999999</v>
      </c>
      <c r="I149">
        <v>5.1250900000000001</v>
      </c>
      <c r="J149">
        <v>5.1534420000000001</v>
      </c>
      <c r="K149">
        <v>5.1845939999999997</v>
      </c>
      <c r="L149">
        <v>5.2184819999999998</v>
      </c>
      <c r="M149">
        <v>5.2552859999999999</v>
      </c>
      <c r="N149">
        <v>5.2975779999999997</v>
      </c>
      <c r="O149">
        <v>5.3497630000000003</v>
      </c>
      <c r="P149">
        <v>5.4074600000000004</v>
      </c>
      <c r="Q149">
        <v>5.4704280000000001</v>
      </c>
      <c r="R149">
        <v>5.5354279999999996</v>
      </c>
      <c r="S149">
        <v>5.6057940000000004</v>
      </c>
      <c r="T149">
        <v>5.680758</v>
      </c>
      <c r="U149">
        <v>5.7590899999999996</v>
      </c>
      <c r="V149">
        <v>5.8335530000000002</v>
      </c>
      <c r="W149">
        <v>5.9079370000000004</v>
      </c>
      <c r="X149">
        <v>5.9863949999999999</v>
      </c>
      <c r="Y149">
        <v>6.0574680000000001</v>
      </c>
      <c r="Z149">
        <v>6.1193</v>
      </c>
      <c r="AA149">
        <v>6.1728969999999999</v>
      </c>
      <c r="AB149">
        <v>6.2207470000000002</v>
      </c>
      <c r="AC149">
        <v>6.2629130000000002</v>
      </c>
      <c r="AD149">
        <v>6.3015109999999996</v>
      </c>
      <c r="AE149">
        <v>6.3367149999999999</v>
      </c>
      <c r="AF149">
        <v>6.3716860000000004</v>
      </c>
      <c r="AG149" s="29">
        <v>8.9999999999999993E-3</v>
      </c>
    </row>
    <row r="150" spans="1:33" x14ac:dyDescent="0.25">
      <c r="A150" t="s">
        <v>169</v>
      </c>
      <c r="B150" t="s">
        <v>705</v>
      </c>
      <c r="C150" t="s">
        <v>704</v>
      </c>
      <c r="D150" t="s">
        <v>205</v>
      </c>
      <c r="F150">
        <v>5.1770810000000003</v>
      </c>
      <c r="G150">
        <v>5.2519499999999999</v>
      </c>
      <c r="H150">
        <v>5.3134009999999998</v>
      </c>
      <c r="I150">
        <v>5.3660629999999996</v>
      </c>
      <c r="J150">
        <v>5.4125629999999996</v>
      </c>
      <c r="K150">
        <v>5.4564050000000002</v>
      </c>
      <c r="L150">
        <v>5.5025110000000002</v>
      </c>
      <c r="M150">
        <v>5.553839</v>
      </c>
      <c r="N150">
        <v>5.6110850000000001</v>
      </c>
      <c r="O150">
        <v>5.6749489999999998</v>
      </c>
      <c r="P150">
        <v>5.7430880000000002</v>
      </c>
      <c r="Q150">
        <v>5.815677</v>
      </c>
      <c r="R150">
        <v>5.8909649999999996</v>
      </c>
      <c r="S150">
        <v>5.9667110000000001</v>
      </c>
      <c r="T150">
        <v>6.0391219999999999</v>
      </c>
      <c r="U150">
        <v>6.1066419999999999</v>
      </c>
      <c r="V150">
        <v>6.168126</v>
      </c>
      <c r="W150">
        <v>6.2248260000000002</v>
      </c>
      <c r="X150">
        <v>6.2762650000000004</v>
      </c>
      <c r="Y150">
        <v>6.3219269999999996</v>
      </c>
      <c r="Z150">
        <v>6.3612109999999999</v>
      </c>
      <c r="AA150">
        <v>6.3945879999999997</v>
      </c>
      <c r="AB150">
        <v>6.4228620000000003</v>
      </c>
      <c r="AC150">
        <v>6.4477200000000003</v>
      </c>
      <c r="AD150">
        <v>6.471025</v>
      </c>
      <c r="AE150">
        <v>6.4940899999999999</v>
      </c>
      <c r="AF150">
        <v>6.5145</v>
      </c>
      <c r="AG150" s="29">
        <v>8.9999999999999993E-3</v>
      </c>
    </row>
    <row r="151" spans="1:33" x14ac:dyDescent="0.25">
      <c r="A151" t="s">
        <v>170</v>
      </c>
      <c r="B151" t="s">
        <v>703</v>
      </c>
      <c r="C151" t="s">
        <v>702</v>
      </c>
      <c r="D151" t="s">
        <v>204</v>
      </c>
      <c r="F151">
        <v>5.8177469999999998</v>
      </c>
      <c r="G151">
        <v>5.8252810000000004</v>
      </c>
      <c r="H151">
        <v>5.8505969999999996</v>
      </c>
      <c r="I151">
        <v>5.8820009999999998</v>
      </c>
      <c r="J151">
        <v>5.923349</v>
      </c>
      <c r="K151">
        <v>5.9725099999999998</v>
      </c>
      <c r="L151">
        <v>6.0274619999999999</v>
      </c>
      <c r="M151">
        <v>6.0861039999999997</v>
      </c>
      <c r="N151">
        <v>6.1471739999999997</v>
      </c>
      <c r="O151">
        <v>6.2090630000000004</v>
      </c>
      <c r="P151">
        <v>6.2704079999999998</v>
      </c>
      <c r="Q151">
        <v>6.3303279999999997</v>
      </c>
      <c r="R151">
        <v>6.3855779999999998</v>
      </c>
      <c r="S151">
        <v>6.4388249999999996</v>
      </c>
      <c r="T151">
        <v>6.4865199999999996</v>
      </c>
      <c r="U151">
        <v>6.5314629999999996</v>
      </c>
      <c r="V151">
        <v>6.5754039999999998</v>
      </c>
      <c r="W151">
        <v>6.6179860000000001</v>
      </c>
      <c r="X151">
        <v>6.6568529999999999</v>
      </c>
      <c r="Y151">
        <v>6.6910489999999996</v>
      </c>
      <c r="Z151">
        <v>6.7246829999999997</v>
      </c>
      <c r="AA151">
        <v>6.7557660000000004</v>
      </c>
      <c r="AB151">
        <v>6.7887440000000003</v>
      </c>
      <c r="AC151">
        <v>6.8248379999999997</v>
      </c>
      <c r="AD151">
        <v>6.8676399999999997</v>
      </c>
      <c r="AE151">
        <v>6.9122810000000001</v>
      </c>
      <c r="AF151">
        <v>6.9615030000000004</v>
      </c>
      <c r="AG151" s="29">
        <v>7.0000000000000001E-3</v>
      </c>
    </row>
    <row r="152" spans="1:33" x14ac:dyDescent="0.25">
      <c r="A152" t="s">
        <v>171</v>
      </c>
      <c r="B152" t="s">
        <v>701</v>
      </c>
      <c r="C152" t="s">
        <v>700</v>
      </c>
      <c r="D152" t="s">
        <v>205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23</v>
      </c>
    </row>
    <row r="153" spans="1:33" x14ac:dyDescent="0.25">
      <c r="A153" t="s">
        <v>155</v>
      </c>
      <c r="B153" t="s">
        <v>699</v>
      </c>
      <c r="C153" t="s">
        <v>698</v>
      </c>
      <c r="D153" t="s">
        <v>204</v>
      </c>
      <c r="F153">
        <v>13.988659</v>
      </c>
      <c r="G153">
        <v>13.883277</v>
      </c>
      <c r="H153">
        <v>13.850619999999999</v>
      </c>
      <c r="I153">
        <v>13.859565999999999</v>
      </c>
      <c r="J153">
        <v>13.895028999999999</v>
      </c>
      <c r="K153">
        <v>13.954997000000001</v>
      </c>
      <c r="L153">
        <v>14.030798000000001</v>
      </c>
      <c r="M153">
        <v>14.115463999999999</v>
      </c>
      <c r="N153">
        <v>14.211738</v>
      </c>
      <c r="O153">
        <v>14.318835999999999</v>
      </c>
      <c r="P153">
        <v>14.423564000000001</v>
      </c>
      <c r="Q153">
        <v>14.524480000000001</v>
      </c>
      <c r="R153">
        <v>14.620310999999999</v>
      </c>
      <c r="S153">
        <v>14.710813999999999</v>
      </c>
      <c r="T153">
        <v>14.79519</v>
      </c>
      <c r="U153">
        <v>14.872324000000001</v>
      </c>
      <c r="V153">
        <v>14.941452999999999</v>
      </c>
      <c r="W153">
        <v>15.002162</v>
      </c>
      <c r="X153">
        <v>15.054307</v>
      </c>
      <c r="Y153">
        <v>15.098464999999999</v>
      </c>
      <c r="Z153">
        <v>15.13503</v>
      </c>
      <c r="AA153">
        <v>15.16474</v>
      </c>
      <c r="AB153">
        <v>15.188535</v>
      </c>
      <c r="AC153">
        <v>15.207722</v>
      </c>
      <c r="AD153">
        <v>15.223267</v>
      </c>
      <c r="AE153">
        <v>15.235799</v>
      </c>
      <c r="AF153">
        <v>15.245944</v>
      </c>
      <c r="AG153" s="29">
        <v>3.0000000000000001E-3</v>
      </c>
    </row>
    <row r="154" spans="1:33" x14ac:dyDescent="0.25">
      <c r="A154" t="s">
        <v>172</v>
      </c>
      <c r="B154" t="s">
        <v>697</v>
      </c>
      <c r="C154" t="s">
        <v>696</v>
      </c>
      <c r="D154" t="s">
        <v>204</v>
      </c>
      <c r="F154">
        <v>0</v>
      </c>
      <c r="G154">
        <v>0</v>
      </c>
      <c r="H154">
        <v>8.8917629999999992</v>
      </c>
      <c r="I154">
        <v>9.0109379999999994</v>
      </c>
      <c r="J154">
        <v>9.0930579999999992</v>
      </c>
      <c r="K154">
        <v>9.1704240000000006</v>
      </c>
      <c r="L154">
        <v>9.2546510000000008</v>
      </c>
      <c r="M154">
        <v>9.3515370000000004</v>
      </c>
      <c r="N154">
        <v>9.4650669999999995</v>
      </c>
      <c r="O154">
        <v>9.4638760000000008</v>
      </c>
      <c r="P154">
        <v>9.4589940000000006</v>
      </c>
      <c r="Q154">
        <v>9.4530069999999995</v>
      </c>
      <c r="R154">
        <v>9.4444230000000005</v>
      </c>
      <c r="S154">
        <v>9.438231</v>
      </c>
      <c r="T154">
        <v>9.4353920000000002</v>
      </c>
      <c r="U154">
        <v>9.4374330000000004</v>
      </c>
      <c r="V154">
        <v>9.4385729999999999</v>
      </c>
      <c r="W154">
        <v>9.443244</v>
      </c>
      <c r="X154">
        <v>9.4517179999999996</v>
      </c>
      <c r="Y154">
        <v>9.4627800000000004</v>
      </c>
      <c r="Z154">
        <v>9.4740059999999993</v>
      </c>
      <c r="AA154">
        <v>9.4837299999999995</v>
      </c>
      <c r="AB154">
        <v>9.4882910000000003</v>
      </c>
      <c r="AC154">
        <v>9.4838109999999993</v>
      </c>
      <c r="AD154">
        <v>9.4798200000000001</v>
      </c>
      <c r="AE154">
        <v>9.4780770000000008</v>
      </c>
      <c r="AF154">
        <v>9.4804750000000002</v>
      </c>
      <c r="AG154" t="s">
        <v>23</v>
      </c>
    </row>
    <row r="155" spans="1:33" x14ac:dyDescent="0.25">
      <c r="A155" t="s">
        <v>173</v>
      </c>
      <c r="B155" t="s">
        <v>695</v>
      </c>
      <c r="C155" t="s">
        <v>694</v>
      </c>
      <c r="D155" t="s">
        <v>205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23</v>
      </c>
    </row>
    <row r="156" spans="1:33" x14ac:dyDescent="0.25">
      <c r="A156" t="s">
        <v>159</v>
      </c>
      <c r="B156" t="s">
        <v>693</v>
      </c>
      <c r="C156" t="s">
        <v>692</v>
      </c>
      <c r="D156" t="s">
        <v>204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23</v>
      </c>
    </row>
    <row r="157" spans="1:33" x14ac:dyDescent="0.25">
      <c r="A157" t="s">
        <v>300</v>
      </c>
      <c r="B157" t="s">
        <v>691</v>
      </c>
      <c r="C157" t="s">
        <v>690</v>
      </c>
      <c r="D157" t="s">
        <v>204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23</v>
      </c>
    </row>
    <row r="158" spans="1:33" x14ac:dyDescent="0.25">
      <c r="A158" t="s">
        <v>299</v>
      </c>
      <c r="B158" t="s">
        <v>689</v>
      </c>
      <c r="C158" t="s">
        <v>688</v>
      </c>
      <c r="D158" t="s">
        <v>205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23</v>
      </c>
    </row>
    <row r="159" spans="1:33" x14ac:dyDescent="0.25">
      <c r="A159" t="s">
        <v>298</v>
      </c>
      <c r="B159" t="s">
        <v>687</v>
      </c>
      <c r="C159" t="s">
        <v>686</v>
      </c>
      <c r="D159" t="s">
        <v>204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23</v>
      </c>
    </row>
    <row r="160" spans="1:33" x14ac:dyDescent="0.25">
      <c r="A160" t="s">
        <v>186</v>
      </c>
      <c r="B160" t="s">
        <v>685</v>
      </c>
      <c r="C160" t="s">
        <v>684</v>
      </c>
      <c r="F160">
        <v>6.4419060000000004</v>
      </c>
      <c r="G160">
        <v>6.517417</v>
      </c>
      <c r="H160">
        <v>6.6038949999999996</v>
      </c>
      <c r="I160">
        <v>6.7003839999999997</v>
      </c>
      <c r="J160">
        <v>6.799779</v>
      </c>
      <c r="K160">
        <v>6.8997419999999998</v>
      </c>
      <c r="L160">
        <v>6.9991070000000004</v>
      </c>
      <c r="M160">
        <v>7.096711</v>
      </c>
      <c r="N160">
        <v>7.1920929999999998</v>
      </c>
      <c r="O160">
        <v>7.2848660000000001</v>
      </c>
      <c r="P160">
        <v>7.3727790000000004</v>
      </c>
      <c r="Q160">
        <v>7.4540790000000001</v>
      </c>
      <c r="R160">
        <v>7.527946</v>
      </c>
      <c r="S160">
        <v>7.5950939999999996</v>
      </c>
      <c r="T160">
        <v>7.6560100000000002</v>
      </c>
      <c r="U160">
        <v>7.7111929999999997</v>
      </c>
      <c r="V160">
        <v>7.761298</v>
      </c>
      <c r="W160">
        <v>7.8050090000000001</v>
      </c>
      <c r="X160">
        <v>7.8424889999999996</v>
      </c>
      <c r="Y160">
        <v>7.8742320000000001</v>
      </c>
      <c r="Z160">
        <v>7.901008</v>
      </c>
      <c r="AA160">
        <v>7.9241510000000002</v>
      </c>
      <c r="AB160">
        <v>7.9446289999999999</v>
      </c>
      <c r="AC160">
        <v>7.9631720000000001</v>
      </c>
      <c r="AD160">
        <v>7.9799680000000004</v>
      </c>
      <c r="AE160">
        <v>7.9955740000000004</v>
      </c>
      <c r="AF160">
        <v>8.0093580000000006</v>
      </c>
      <c r="AG160" s="29">
        <v>8.0000000000000002E-3</v>
      </c>
    </row>
    <row r="161" spans="1:33" x14ac:dyDescent="0.25">
      <c r="A161" t="s">
        <v>187</v>
      </c>
      <c r="B161" t="s">
        <v>683</v>
      </c>
      <c r="C161" t="s">
        <v>682</v>
      </c>
      <c r="F161">
        <v>7.7570209999999999</v>
      </c>
      <c r="G161">
        <v>7.8260290000000001</v>
      </c>
      <c r="H161">
        <v>7.9062919999999997</v>
      </c>
      <c r="I161">
        <v>7.9960300000000002</v>
      </c>
      <c r="J161">
        <v>8.0947870000000002</v>
      </c>
      <c r="K161">
        <v>8.1991739999999993</v>
      </c>
      <c r="L161">
        <v>8.3074709999999996</v>
      </c>
      <c r="M161">
        <v>8.4176070000000003</v>
      </c>
      <c r="N161">
        <v>8.5283189999999998</v>
      </c>
      <c r="O161">
        <v>8.6380090000000003</v>
      </c>
      <c r="P161">
        <v>8.7450670000000006</v>
      </c>
      <c r="Q161">
        <v>8.8470680000000002</v>
      </c>
      <c r="R161">
        <v>8.9420520000000003</v>
      </c>
      <c r="S161">
        <v>9.0299519999999998</v>
      </c>
      <c r="T161">
        <v>9.1127310000000001</v>
      </c>
      <c r="U161">
        <v>9.1914829999999998</v>
      </c>
      <c r="V161">
        <v>9.2668909999999993</v>
      </c>
      <c r="W161">
        <v>9.3372069999999994</v>
      </c>
      <c r="X161">
        <v>9.4020569999999992</v>
      </c>
      <c r="Y161">
        <v>9.4613689999999995</v>
      </c>
      <c r="Z161">
        <v>9.5162099999999992</v>
      </c>
      <c r="AA161">
        <v>9.5691070000000007</v>
      </c>
      <c r="AB161">
        <v>9.6208849999999995</v>
      </c>
      <c r="AC161">
        <v>9.6705679999999994</v>
      </c>
      <c r="AD161">
        <v>9.7169779999999992</v>
      </c>
      <c r="AE161">
        <v>9.7613669999999999</v>
      </c>
      <c r="AF161">
        <v>9.8045439999999999</v>
      </c>
      <c r="AG161" s="29">
        <v>8.9999999999999993E-3</v>
      </c>
    </row>
    <row r="162" spans="1:33" x14ac:dyDescent="0.25">
      <c r="A162" t="s">
        <v>188</v>
      </c>
    </row>
    <row r="163" spans="1:33" x14ac:dyDescent="0.25">
      <c r="A163" t="s">
        <v>166</v>
      </c>
    </row>
    <row r="164" spans="1:33" x14ac:dyDescent="0.25">
      <c r="A164" t="s">
        <v>167</v>
      </c>
      <c r="B164" t="s">
        <v>681</v>
      </c>
      <c r="C164" t="s">
        <v>680</v>
      </c>
      <c r="D164" t="s">
        <v>163</v>
      </c>
      <c r="F164">
        <v>3.3905850000000002</v>
      </c>
      <c r="G164">
        <v>3.486351</v>
      </c>
      <c r="H164">
        <v>3.5834139999999999</v>
      </c>
      <c r="I164">
        <v>3.6768480000000001</v>
      </c>
      <c r="J164">
        <v>3.7508810000000001</v>
      </c>
      <c r="K164">
        <v>3.8030469999999998</v>
      </c>
      <c r="L164">
        <v>3.834028</v>
      </c>
      <c r="M164">
        <v>3.8420770000000002</v>
      </c>
      <c r="N164">
        <v>3.8310469999999999</v>
      </c>
      <c r="O164">
        <v>3.8013629999999998</v>
      </c>
      <c r="P164">
        <v>3.7583890000000002</v>
      </c>
      <c r="Q164">
        <v>3.7012700000000001</v>
      </c>
      <c r="R164">
        <v>3.6357650000000001</v>
      </c>
      <c r="S164">
        <v>3.5635560000000002</v>
      </c>
      <c r="T164">
        <v>3.482507</v>
      </c>
      <c r="U164">
        <v>3.3883709999999998</v>
      </c>
      <c r="V164">
        <v>3.2845849999999999</v>
      </c>
      <c r="W164">
        <v>3.1761979999999999</v>
      </c>
      <c r="X164">
        <v>3.0619679999999998</v>
      </c>
      <c r="Y164">
        <v>2.9523220000000001</v>
      </c>
      <c r="Z164">
        <v>2.8473959999999998</v>
      </c>
      <c r="AA164">
        <v>2.7389570000000001</v>
      </c>
      <c r="AB164">
        <v>2.6264699999999999</v>
      </c>
      <c r="AC164">
        <v>2.51606</v>
      </c>
      <c r="AD164">
        <v>2.4064749999999999</v>
      </c>
      <c r="AE164">
        <v>2.2915329999999998</v>
      </c>
      <c r="AF164">
        <v>2.1755209999999998</v>
      </c>
      <c r="AG164" s="29">
        <v>-1.7000000000000001E-2</v>
      </c>
    </row>
    <row r="165" spans="1:33" x14ac:dyDescent="0.25">
      <c r="A165" t="s">
        <v>168</v>
      </c>
      <c r="B165" t="s">
        <v>679</v>
      </c>
      <c r="C165" t="s">
        <v>678</v>
      </c>
      <c r="D165" t="s">
        <v>163</v>
      </c>
      <c r="F165">
        <v>1.4982899999999999</v>
      </c>
      <c r="G165">
        <v>1.5895760000000001</v>
      </c>
      <c r="H165">
        <v>1.693641</v>
      </c>
      <c r="I165">
        <v>1.804721</v>
      </c>
      <c r="J165">
        <v>1.9074690000000001</v>
      </c>
      <c r="K165">
        <v>1.997787</v>
      </c>
      <c r="L165">
        <v>2.0758009999999998</v>
      </c>
      <c r="M165">
        <v>2.1368490000000002</v>
      </c>
      <c r="N165">
        <v>2.1833619999999998</v>
      </c>
      <c r="O165">
        <v>2.2201759999999999</v>
      </c>
      <c r="P165">
        <v>2.2482600000000001</v>
      </c>
      <c r="Q165">
        <v>2.265781</v>
      </c>
      <c r="R165">
        <v>2.2771539999999999</v>
      </c>
      <c r="S165">
        <v>2.2832889999999999</v>
      </c>
      <c r="T165">
        <v>2.2795169999999998</v>
      </c>
      <c r="U165">
        <v>2.2650090000000001</v>
      </c>
      <c r="V165">
        <v>2.2445900000000001</v>
      </c>
      <c r="W165">
        <v>2.218207</v>
      </c>
      <c r="X165">
        <v>2.1835680000000002</v>
      </c>
      <c r="Y165">
        <v>2.143459</v>
      </c>
      <c r="Z165">
        <v>2.1011060000000001</v>
      </c>
      <c r="AA165">
        <v>2.056289</v>
      </c>
      <c r="AB165">
        <v>2.0091060000000001</v>
      </c>
      <c r="AC165">
        <v>1.960016</v>
      </c>
      <c r="AD165">
        <v>1.908291</v>
      </c>
      <c r="AE165">
        <v>1.853021</v>
      </c>
      <c r="AF165">
        <v>1.796217</v>
      </c>
      <c r="AG165" s="29">
        <v>7.0000000000000001E-3</v>
      </c>
    </row>
    <row r="166" spans="1:33" x14ac:dyDescent="0.25">
      <c r="A166" t="s">
        <v>169</v>
      </c>
      <c r="B166" t="s">
        <v>677</v>
      </c>
      <c r="C166" t="s">
        <v>676</v>
      </c>
      <c r="D166" t="s">
        <v>163</v>
      </c>
      <c r="F166">
        <v>1.06E-4</v>
      </c>
      <c r="G166">
        <v>1.03E-4</v>
      </c>
      <c r="H166">
        <v>1E-4</v>
      </c>
      <c r="I166">
        <v>9.7E-5</v>
      </c>
      <c r="J166">
        <v>9.5000000000000005E-5</v>
      </c>
      <c r="K166">
        <v>9.2999999999999997E-5</v>
      </c>
      <c r="L166">
        <v>9.2E-5</v>
      </c>
      <c r="M166">
        <v>9.1000000000000003E-5</v>
      </c>
      <c r="N166">
        <v>9.0000000000000006E-5</v>
      </c>
      <c r="O166">
        <v>9.0000000000000006E-5</v>
      </c>
      <c r="P166">
        <v>8.2000000000000001E-5</v>
      </c>
      <c r="Q166">
        <v>7.1000000000000005E-5</v>
      </c>
      <c r="R166">
        <v>6.4999999999999994E-5</v>
      </c>
      <c r="S166">
        <v>6.0999999999999999E-5</v>
      </c>
      <c r="T166">
        <v>6.0000000000000002E-5</v>
      </c>
      <c r="U166">
        <v>6.0000000000000002E-5</v>
      </c>
      <c r="V166">
        <v>6.0000000000000002E-5</v>
      </c>
      <c r="W166">
        <v>6.2000000000000003E-5</v>
      </c>
      <c r="X166">
        <v>6.3999999999999997E-5</v>
      </c>
      <c r="Y166">
        <v>6.6000000000000005E-5</v>
      </c>
      <c r="Z166">
        <v>6.7999999999999999E-5</v>
      </c>
      <c r="AA166">
        <v>6.9999999999999994E-5</v>
      </c>
      <c r="AB166">
        <v>7.2000000000000002E-5</v>
      </c>
      <c r="AC166">
        <v>7.4999999999999993E-5</v>
      </c>
      <c r="AD166">
        <v>7.7000000000000001E-5</v>
      </c>
      <c r="AE166">
        <v>7.8999999999999996E-5</v>
      </c>
      <c r="AF166">
        <v>8.1000000000000004E-5</v>
      </c>
      <c r="AG166" s="29">
        <v>-1.0999999999999999E-2</v>
      </c>
    </row>
    <row r="167" spans="1:33" x14ac:dyDescent="0.25">
      <c r="A167" t="s">
        <v>170</v>
      </c>
      <c r="B167" t="s">
        <v>675</v>
      </c>
      <c r="C167" t="s">
        <v>674</v>
      </c>
      <c r="D167" t="s">
        <v>163</v>
      </c>
      <c r="F167">
        <v>2.6129999999999999E-3</v>
      </c>
      <c r="G167">
        <v>5.9820000000000003E-3</v>
      </c>
      <c r="H167">
        <v>9.7140000000000004E-3</v>
      </c>
      <c r="I167">
        <v>1.3611E-2</v>
      </c>
      <c r="J167">
        <v>1.6615000000000001E-2</v>
      </c>
      <c r="K167">
        <v>1.9800000000000002E-2</v>
      </c>
      <c r="L167">
        <v>2.2692E-2</v>
      </c>
      <c r="M167">
        <v>2.5092E-2</v>
      </c>
      <c r="N167">
        <v>2.7334000000000001E-2</v>
      </c>
      <c r="O167">
        <v>2.9357000000000001E-2</v>
      </c>
      <c r="P167">
        <v>3.1753000000000003E-2</v>
      </c>
      <c r="Q167">
        <v>3.4562000000000002E-2</v>
      </c>
      <c r="R167">
        <v>3.7726999999999997E-2</v>
      </c>
      <c r="S167">
        <v>4.1474999999999998E-2</v>
      </c>
      <c r="T167">
        <v>4.6141000000000001E-2</v>
      </c>
      <c r="U167">
        <v>5.135E-2</v>
      </c>
      <c r="V167">
        <v>5.7452000000000003E-2</v>
      </c>
      <c r="W167">
        <v>6.4610000000000001E-2</v>
      </c>
      <c r="X167">
        <v>7.2647000000000003E-2</v>
      </c>
      <c r="Y167">
        <v>8.1342999999999999E-2</v>
      </c>
      <c r="Z167">
        <v>9.06E-2</v>
      </c>
      <c r="AA167">
        <v>0.10058300000000001</v>
      </c>
      <c r="AB167">
        <v>0.11129600000000001</v>
      </c>
      <c r="AC167">
        <v>0.122808</v>
      </c>
      <c r="AD167">
        <v>0.134797</v>
      </c>
      <c r="AE167">
        <v>0.14738200000000001</v>
      </c>
      <c r="AF167">
        <v>0.16040199999999999</v>
      </c>
      <c r="AG167" s="29">
        <v>0.17199999999999999</v>
      </c>
    </row>
    <row r="168" spans="1:33" x14ac:dyDescent="0.25">
      <c r="A168" t="s">
        <v>171</v>
      </c>
      <c r="B168" t="s">
        <v>673</v>
      </c>
      <c r="C168" t="s">
        <v>672</v>
      </c>
      <c r="D168" t="s">
        <v>163</v>
      </c>
      <c r="F168">
        <v>0.21093400000000001</v>
      </c>
      <c r="G168">
        <v>0.20787800000000001</v>
      </c>
      <c r="H168">
        <v>0.20425199999999999</v>
      </c>
      <c r="I168">
        <v>0.199938</v>
      </c>
      <c r="J168">
        <v>0.194773</v>
      </c>
      <c r="K168">
        <v>0.18897900000000001</v>
      </c>
      <c r="L168">
        <v>0.182667</v>
      </c>
      <c r="M168">
        <v>0.17594399999999999</v>
      </c>
      <c r="N168">
        <v>0.16902500000000001</v>
      </c>
      <c r="O168">
        <v>0.161879</v>
      </c>
      <c r="P168">
        <v>0.15459100000000001</v>
      </c>
      <c r="Q168">
        <v>0.147121</v>
      </c>
      <c r="R168">
        <v>0.139652</v>
      </c>
      <c r="S168">
        <v>0.132075</v>
      </c>
      <c r="T168">
        <v>0.12452299999999999</v>
      </c>
      <c r="U168">
        <v>0.117046</v>
      </c>
      <c r="V168">
        <v>0.109762</v>
      </c>
      <c r="W168">
        <v>0.102717</v>
      </c>
      <c r="X168">
        <v>9.6032000000000006E-2</v>
      </c>
      <c r="Y168">
        <v>8.9762999999999996E-2</v>
      </c>
      <c r="Z168">
        <v>8.3586999999999995E-2</v>
      </c>
      <c r="AA168">
        <v>7.6545000000000002E-2</v>
      </c>
      <c r="AB168">
        <v>6.9138000000000005E-2</v>
      </c>
      <c r="AC168">
        <v>6.1460000000000001E-2</v>
      </c>
      <c r="AD168">
        <v>5.4272000000000001E-2</v>
      </c>
      <c r="AE168">
        <v>4.5946000000000001E-2</v>
      </c>
      <c r="AF168">
        <v>3.7659999999999999E-2</v>
      </c>
      <c r="AG168" s="29">
        <v>-6.4000000000000001E-2</v>
      </c>
    </row>
    <row r="169" spans="1:33" x14ac:dyDescent="0.25">
      <c r="A169" t="s">
        <v>155</v>
      </c>
      <c r="B169" t="s">
        <v>671</v>
      </c>
      <c r="C169" t="s">
        <v>670</v>
      </c>
      <c r="D169" t="s">
        <v>163</v>
      </c>
      <c r="F169">
        <v>3.3530000000000001E-3</v>
      </c>
      <c r="G169">
        <v>4.712E-3</v>
      </c>
      <c r="H169">
        <v>6.1380000000000002E-3</v>
      </c>
      <c r="I169">
        <v>7.5929999999999999E-3</v>
      </c>
      <c r="J169">
        <v>9.0279999999999996E-3</v>
      </c>
      <c r="K169">
        <v>1.0449999999999999E-2</v>
      </c>
      <c r="L169">
        <v>1.2096000000000001E-2</v>
      </c>
      <c r="M169">
        <v>1.6115999999999998E-2</v>
      </c>
      <c r="N169">
        <v>2.3144000000000001E-2</v>
      </c>
      <c r="O169">
        <v>3.0137000000000001E-2</v>
      </c>
      <c r="P169">
        <v>4.1231999999999998E-2</v>
      </c>
      <c r="Q169">
        <v>5.9050999999999999E-2</v>
      </c>
      <c r="R169">
        <v>8.4289000000000003E-2</v>
      </c>
      <c r="S169">
        <v>0.11565400000000001</v>
      </c>
      <c r="T169">
        <v>0.153889</v>
      </c>
      <c r="U169">
        <v>0.199877</v>
      </c>
      <c r="V169">
        <v>0.25327300000000003</v>
      </c>
      <c r="W169">
        <v>0.31786300000000001</v>
      </c>
      <c r="X169">
        <v>0.39220500000000003</v>
      </c>
      <c r="Y169">
        <v>0.475219</v>
      </c>
      <c r="Z169">
        <v>0.56319900000000001</v>
      </c>
      <c r="AA169">
        <v>0.65591299999999997</v>
      </c>
      <c r="AB169">
        <v>0.75208399999999997</v>
      </c>
      <c r="AC169">
        <v>0.85373900000000003</v>
      </c>
      <c r="AD169">
        <v>0.95974700000000002</v>
      </c>
      <c r="AE169">
        <v>1.069048</v>
      </c>
      <c r="AF169">
        <v>1.181</v>
      </c>
      <c r="AG169" s="29">
        <v>0.253</v>
      </c>
    </row>
    <row r="170" spans="1:33" x14ac:dyDescent="0.25">
      <c r="A170" t="s">
        <v>172</v>
      </c>
      <c r="B170" t="s">
        <v>669</v>
      </c>
      <c r="C170" t="s">
        <v>668</v>
      </c>
      <c r="D170" t="s">
        <v>163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23</v>
      </c>
    </row>
    <row r="171" spans="1:33" x14ac:dyDescent="0.25">
      <c r="A171" t="s">
        <v>173</v>
      </c>
      <c r="B171" t="s">
        <v>667</v>
      </c>
      <c r="C171" t="s">
        <v>666</v>
      </c>
      <c r="D171" t="s">
        <v>163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23</v>
      </c>
    </row>
    <row r="172" spans="1:33" x14ac:dyDescent="0.25">
      <c r="A172" t="s">
        <v>159</v>
      </c>
      <c r="B172" t="s">
        <v>665</v>
      </c>
      <c r="C172" t="s">
        <v>664</v>
      </c>
      <c r="D172" t="s">
        <v>163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23</v>
      </c>
    </row>
    <row r="173" spans="1:33" x14ac:dyDescent="0.25">
      <c r="A173" t="s">
        <v>300</v>
      </c>
      <c r="B173" t="s">
        <v>663</v>
      </c>
      <c r="C173" t="s">
        <v>662</v>
      </c>
      <c r="D173" t="s">
        <v>163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23</v>
      </c>
    </row>
    <row r="174" spans="1:33" x14ac:dyDescent="0.25">
      <c r="A174" t="s">
        <v>299</v>
      </c>
      <c r="B174" t="s">
        <v>661</v>
      </c>
      <c r="C174" t="s">
        <v>660</v>
      </c>
      <c r="D174" t="s">
        <v>163</v>
      </c>
      <c r="F174">
        <v>0</v>
      </c>
      <c r="G174">
        <v>2.0379999999999999E-3</v>
      </c>
      <c r="H174">
        <v>5.3639999999999998E-3</v>
      </c>
      <c r="I174">
        <v>1.0276E-2</v>
      </c>
      <c r="J174">
        <v>3.6535999999999999E-2</v>
      </c>
      <c r="K174">
        <v>9.0727000000000002E-2</v>
      </c>
      <c r="L174">
        <v>0.174703</v>
      </c>
      <c r="M174">
        <v>0.28721799999999997</v>
      </c>
      <c r="N174">
        <v>0.42857600000000001</v>
      </c>
      <c r="O174">
        <v>0.59094800000000003</v>
      </c>
      <c r="P174">
        <v>0.77014400000000005</v>
      </c>
      <c r="Q174">
        <v>0.96182400000000001</v>
      </c>
      <c r="R174">
        <v>1.160407</v>
      </c>
      <c r="S174">
        <v>1.36402</v>
      </c>
      <c r="T174">
        <v>1.5784469999999999</v>
      </c>
      <c r="U174">
        <v>1.805226</v>
      </c>
      <c r="V174">
        <v>2.0337710000000002</v>
      </c>
      <c r="W174">
        <v>2.2612679999999998</v>
      </c>
      <c r="X174">
        <v>2.488102</v>
      </c>
      <c r="Y174">
        <v>2.7142050000000002</v>
      </c>
      <c r="Z174">
        <v>2.9380959999999998</v>
      </c>
      <c r="AA174">
        <v>3.1570019999999999</v>
      </c>
      <c r="AB174">
        <v>3.3707229999999999</v>
      </c>
      <c r="AC174">
        <v>3.578576</v>
      </c>
      <c r="AD174">
        <v>3.7794880000000002</v>
      </c>
      <c r="AE174">
        <v>3.9730300000000001</v>
      </c>
      <c r="AF174">
        <v>4.1586670000000003</v>
      </c>
      <c r="AG174" t="s">
        <v>23</v>
      </c>
    </row>
    <row r="175" spans="1:33" x14ac:dyDescent="0.25">
      <c r="A175" t="s">
        <v>298</v>
      </c>
      <c r="B175" t="s">
        <v>659</v>
      </c>
      <c r="C175" t="s">
        <v>658</v>
      </c>
      <c r="D175" t="s">
        <v>163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23</v>
      </c>
    </row>
    <row r="176" spans="1:33" x14ac:dyDescent="0.25">
      <c r="A176" t="s">
        <v>174</v>
      </c>
      <c r="B176" t="s">
        <v>657</v>
      </c>
      <c r="C176" t="s">
        <v>656</v>
      </c>
      <c r="D176" t="s">
        <v>163</v>
      </c>
      <c r="F176">
        <v>5.1058789999999998</v>
      </c>
      <c r="G176">
        <v>5.29664</v>
      </c>
      <c r="H176">
        <v>5.5026190000000001</v>
      </c>
      <c r="I176">
        <v>5.7130809999999999</v>
      </c>
      <c r="J176">
        <v>5.9153969999999996</v>
      </c>
      <c r="K176">
        <v>6.110881</v>
      </c>
      <c r="L176">
        <v>6.302073</v>
      </c>
      <c r="M176">
        <v>6.4833819999999998</v>
      </c>
      <c r="N176">
        <v>6.6625709999999998</v>
      </c>
      <c r="O176">
        <v>6.8339429999999997</v>
      </c>
      <c r="P176">
        <v>7.0044469999999999</v>
      </c>
      <c r="Q176">
        <v>7.1696759999999999</v>
      </c>
      <c r="R176">
        <v>7.3350530000000003</v>
      </c>
      <c r="S176">
        <v>7.500127</v>
      </c>
      <c r="T176">
        <v>7.6650790000000004</v>
      </c>
      <c r="U176">
        <v>7.8269320000000002</v>
      </c>
      <c r="V176">
        <v>7.9834909999999999</v>
      </c>
      <c r="W176">
        <v>8.1409230000000008</v>
      </c>
      <c r="X176">
        <v>8.2945799999999998</v>
      </c>
      <c r="Y176">
        <v>8.4563760000000006</v>
      </c>
      <c r="Z176">
        <v>8.6240450000000006</v>
      </c>
      <c r="AA176">
        <v>8.7853530000000006</v>
      </c>
      <c r="AB176">
        <v>8.9388819999999996</v>
      </c>
      <c r="AC176">
        <v>9.092746</v>
      </c>
      <c r="AD176">
        <v>9.24315</v>
      </c>
      <c r="AE176">
        <v>9.3800469999999994</v>
      </c>
      <c r="AF176">
        <v>9.5095489999999998</v>
      </c>
      <c r="AG176" s="29">
        <v>2.4E-2</v>
      </c>
    </row>
    <row r="177" spans="1:33" x14ac:dyDescent="0.25">
      <c r="A177" t="s">
        <v>175</v>
      </c>
    </row>
    <row r="178" spans="1:33" x14ac:dyDescent="0.25">
      <c r="A178" t="s">
        <v>167</v>
      </c>
      <c r="B178" t="s">
        <v>655</v>
      </c>
      <c r="C178" t="s">
        <v>654</v>
      </c>
      <c r="D178" t="s">
        <v>163</v>
      </c>
      <c r="F178">
        <v>2.3430569999999999</v>
      </c>
      <c r="G178">
        <v>2.3601730000000001</v>
      </c>
      <c r="H178">
        <v>2.383213</v>
      </c>
      <c r="I178">
        <v>2.4088270000000001</v>
      </c>
      <c r="J178">
        <v>2.4287920000000001</v>
      </c>
      <c r="K178">
        <v>2.438984</v>
      </c>
      <c r="L178">
        <v>2.4438149999999998</v>
      </c>
      <c r="M178">
        <v>2.4413939999999998</v>
      </c>
      <c r="N178">
        <v>2.4343599999999999</v>
      </c>
      <c r="O178">
        <v>2.418981</v>
      </c>
      <c r="P178">
        <v>2.3954230000000001</v>
      </c>
      <c r="Q178">
        <v>2.3676149999999998</v>
      </c>
      <c r="R178">
        <v>2.3380269999999999</v>
      </c>
      <c r="S178">
        <v>2.3065199999999999</v>
      </c>
      <c r="T178">
        <v>2.2718259999999999</v>
      </c>
      <c r="U178">
        <v>2.2329409999999998</v>
      </c>
      <c r="V178">
        <v>2.1898680000000001</v>
      </c>
      <c r="W178">
        <v>2.1439339999999998</v>
      </c>
      <c r="X178">
        <v>2.0985369999999999</v>
      </c>
      <c r="Y178">
        <v>2.059526</v>
      </c>
      <c r="Z178">
        <v>2.0253060000000001</v>
      </c>
      <c r="AA178">
        <v>1.9918910000000001</v>
      </c>
      <c r="AB178">
        <v>1.9569749999999999</v>
      </c>
      <c r="AC178">
        <v>1.9238310000000001</v>
      </c>
      <c r="AD178">
        <v>1.892142</v>
      </c>
      <c r="AE178">
        <v>1.859585</v>
      </c>
      <c r="AF178">
        <v>1.825566</v>
      </c>
      <c r="AG178" s="29">
        <v>-0.01</v>
      </c>
    </row>
    <row r="179" spans="1:33" x14ac:dyDescent="0.25">
      <c r="A179" t="s">
        <v>168</v>
      </c>
      <c r="B179" t="s">
        <v>653</v>
      </c>
      <c r="C179" t="s">
        <v>652</v>
      </c>
      <c r="D179" t="s">
        <v>163</v>
      </c>
      <c r="F179">
        <v>1.585955</v>
      </c>
      <c r="G179">
        <v>1.6031569999999999</v>
      </c>
      <c r="H179">
        <v>1.6305590000000001</v>
      </c>
      <c r="I179">
        <v>1.665565</v>
      </c>
      <c r="J179">
        <v>1.6999679999999999</v>
      </c>
      <c r="K179">
        <v>1.7294670000000001</v>
      </c>
      <c r="L179">
        <v>1.756974</v>
      </c>
      <c r="M179">
        <v>1.779245</v>
      </c>
      <c r="N179">
        <v>1.8013349999999999</v>
      </c>
      <c r="O179">
        <v>1.81704</v>
      </c>
      <c r="P179">
        <v>1.8287150000000001</v>
      </c>
      <c r="Q179">
        <v>1.838938</v>
      </c>
      <c r="R179">
        <v>1.8455870000000001</v>
      </c>
      <c r="S179">
        <v>1.8517380000000001</v>
      </c>
      <c r="T179">
        <v>1.852997</v>
      </c>
      <c r="U179">
        <v>1.8526800000000001</v>
      </c>
      <c r="V179">
        <v>1.8467750000000001</v>
      </c>
      <c r="W179">
        <v>1.8396710000000001</v>
      </c>
      <c r="X179">
        <v>1.8324419999999999</v>
      </c>
      <c r="Y179">
        <v>1.8273280000000001</v>
      </c>
      <c r="Z179">
        <v>1.8227979999999999</v>
      </c>
      <c r="AA179">
        <v>1.815434</v>
      </c>
      <c r="AB179">
        <v>1.805024</v>
      </c>
      <c r="AC179">
        <v>1.7930740000000001</v>
      </c>
      <c r="AD179">
        <v>1.7802450000000001</v>
      </c>
      <c r="AE179">
        <v>1.7660819999999999</v>
      </c>
      <c r="AF179">
        <v>1.7487239999999999</v>
      </c>
      <c r="AG179" s="29">
        <v>4.0000000000000001E-3</v>
      </c>
    </row>
    <row r="180" spans="1:33" x14ac:dyDescent="0.25">
      <c r="A180" t="s">
        <v>169</v>
      </c>
      <c r="B180" t="s">
        <v>651</v>
      </c>
      <c r="C180" t="s">
        <v>650</v>
      </c>
      <c r="D180" t="s">
        <v>163</v>
      </c>
      <c r="F180">
        <v>2.1900000000000001E-3</v>
      </c>
      <c r="G180">
        <v>2.039E-3</v>
      </c>
      <c r="H180">
        <v>1.923E-3</v>
      </c>
      <c r="I180">
        <v>1.818E-3</v>
      </c>
      <c r="J180">
        <v>1.725E-3</v>
      </c>
      <c r="K180">
        <v>1.531E-3</v>
      </c>
      <c r="L180">
        <v>1.441E-3</v>
      </c>
      <c r="M180">
        <v>1.346E-3</v>
      </c>
      <c r="N180">
        <v>1.2639999999999999E-3</v>
      </c>
      <c r="O180">
        <v>1.2030000000000001E-3</v>
      </c>
      <c r="P180">
        <v>1.1180000000000001E-3</v>
      </c>
      <c r="Q180">
        <v>1.0169999999999999E-3</v>
      </c>
      <c r="R180">
        <v>9.3400000000000004E-4</v>
      </c>
      <c r="S180">
        <v>8.6700000000000004E-4</v>
      </c>
      <c r="T180">
        <v>8.0699999999999999E-4</v>
      </c>
      <c r="U180">
        <v>7.5299999999999998E-4</v>
      </c>
      <c r="V180">
        <v>7.0799999999999997E-4</v>
      </c>
      <c r="W180">
        <v>6.6399999999999999E-4</v>
      </c>
      <c r="X180">
        <v>6.2299999999999996E-4</v>
      </c>
      <c r="Y180">
        <v>5.8500000000000002E-4</v>
      </c>
      <c r="Z180">
        <v>5.4699999999999996E-4</v>
      </c>
      <c r="AA180">
        <v>5.2099999999999998E-4</v>
      </c>
      <c r="AB180">
        <v>4.9200000000000003E-4</v>
      </c>
      <c r="AC180">
        <v>4.6500000000000003E-4</v>
      </c>
      <c r="AD180">
        <v>4.4000000000000002E-4</v>
      </c>
      <c r="AE180">
        <v>3.3799999999999998E-4</v>
      </c>
      <c r="AF180">
        <v>2.5099999999999998E-4</v>
      </c>
      <c r="AG180" s="29">
        <v>-0.08</v>
      </c>
    </row>
    <row r="181" spans="1:33" x14ac:dyDescent="0.25">
      <c r="A181" t="s">
        <v>170</v>
      </c>
      <c r="B181" t="s">
        <v>649</v>
      </c>
      <c r="C181" t="s">
        <v>648</v>
      </c>
      <c r="D181" t="s">
        <v>163</v>
      </c>
      <c r="F181">
        <v>8.0219999999999996E-3</v>
      </c>
      <c r="G181">
        <v>1.0805E-2</v>
      </c>
      <c r="H181">
        <v>1.3792E-2</v>
      </c>
      <c r="I181">
        <v>1.6891E-2</v>
      </c>
      <c r="J181">
        <v>1.9911999999999999E-2</v>
      </c>
      <c r="K181">
        <v>2.2794999999999999E-2</v>
      </c>
      <c r="L181">
        <v>2.5595E-2</v>
      </c>
      <c r="M181">
        <v>2.8303999999999999E-2</v>
      </c>
      <c r="N181">
        <v>3.0956000000000001E-2</v>
      </c>
      <c r="O181">
        <v>3.3620999999999998E-2</v>
      </c>
      <c r="P181">
        <v>3.6246E-2</v>
      </c>
      <c r="Q181">
        <v>3.8836000000000002E-2</v>
      </c>
      <c r="R181">
        <v>4.1377999999999998E-2</v>
      </c>
      <c r="S181">
        <v>4.3868999999999998E-2</v>
      </c>
      <c r="T181">
        <v>4.6358000000000003E-2</v>
      </c>
      <c r="U181">
        <v>4.8814999999999997E-2</v>
      </c>
      <c r="V181">
        <v>5.1213000000000002E-2</v>
      </c>
      <c r="W181">
        <v>5.3511000000000003E-2</v>
      </c>
      <c r="X181">
        <v>5.5780999999999997E-2</v>
      </c>
      <c r="Y181">
        <v>5.7986000000000003E-2</v>
      </c>
      <c r="Z181">
        <v>6.0061999999999997E-2</v>
      </c>
      <c r="AA181">
        <v>6.2019999999999999E-2</v>
      </c>
      <c r="AB181">
        <v>6.3844999999999999E-2</v>
      </c>
      <c r="AC181">
        <v>6.5603999999999996E-2</v>
      </c>
      <c r="AD181">
        <v>6.7313999999999999E-2</v>
      </c>
      <c r="AE181">
        <v>6.9006999999999999E-2</v>
      </c>
      <c r="AF181">
        <v>7.059E-2</v>
      </c>
      <c r="AG181" s="29">
        <v>8.6999999999999994E-2</v>
      </c>
    </row>
    <row r="182" spans="1:33" x14ac:dyDescent="0.25">
      <c r="A182" t="s">
        <v>171</v>
      </c>
      <c r="B182" t="s">
        <v>647</v>
      </c>
      <c r="C182" t="s">
        <v>646</v>
      </c>
      <c r="D182" t="s">
        <v>163</v>
      </c>
      <c r="F182">
        <v>3.0175E-2</v>
      </c>
      <c r="G182">
        <v>2.9818000000000001E-2</v>
      </c>
      <c r="H182">
        <v>2.9425E-2</v>
      </c>
      <c r="I182">
        <v>2.8955999999999999E-2</v>
      </c>
      <c r="J182">
        <v>2.8405E-2</v>
      </c>
      <c r="K182">
        <v>2.7910999999999998E-2</v>
      </c>
      <c r="L182">
        <v>2.7310000000000001E-2</v>
      </c>
      <c r="M182">
        <v>2.6641000000000001E-2</v>
      </c>
      <c r="N182">
        <v>2.5982000000000002E-2</v>
      </c>
      <c r="O182">
        <v>2.5176E-2</v>
      </c>
      <c r="P182">
        <v>2.4344999999999999E-2</v>
      </c>
      <c r="Q182">
        <v>2.3564000000000002E-2</v>
      </c>
      <c r="R182">
        <v>2.2744E-2</v>
      </c>
      <c r="S182">
        <v>2.1894E-2</v>
      </c>
      <c r="T182">
        <v>2.1017999999999998E-2</v>
      </c>
      <c r="U182">
        <v>2.0091999999999999E-2</v>
      </c>
      <c r="V182">
        <v>1.9136E-2</v>
      </c>
      <c r="W182">
        <v>1.8169999999999999E-2</v>
      </c>
      <c r="X182">
        <v>1.7172E-2</v>
      </c>
      <c r="Y182">
        <v>1.6177E-2</v>
      </c>
      <c r="Z182">
        <v>1.5131E-2</v>
      </c>
      <c r="AA182">
        <v>1.4052E-2</v>
      </c>
      <c r="AB182">
        <v>1.2877E-2</v>
      </c>
      <c r="AC182">
        <v>1.1648E-2</v>
      </c>
      <c r="AD182">
        <v>1.0281E-2</v>
      </c>
      <c r="AE182">
        <v>8.9499999999999996E-3</v>
      </c>
      <c r="AF182">
        <v>7.6639999999999998E-3</v>
      </c>
      <c r="AG182" s="29">
        <v>-5.0999999999999997E-2</v>
      </c>
    </row>
    <row r="183" spans="1:33" x14ac:dyDescent="0.25">
      <c r="A183" t="s">
        <v>155</v>
      </c>
      <c r="B183" t="s">
        <v>645</v>
      </c>
      <c r="C183" t="s">
        <v>644</v>
      </c>
      <c r="D183" t="s">
        <v>163</v>
      </c>
      <c r="F183">
        <v>8.1800000000000004E-4</v>
      </c>
      <c r="G183">
        <v>9.2199999999999997E-4</v>
      </c>
      <c r="H183">
        <v>1.0300000000000001E-3</v>
      </c>
      <c r="I183">
        <v>1.145E-3</v>
      </c>
      <c r="J183">
        <v>1.2539999999999999E-3</v>
      </c>
      <c r="K183">
        <v>1.353E-3</v>
      </c>
      <c r="L183">
        <v>1.4519999999999999E-3</v>
      </c>
      <c r="M183">
        <v>1.5399999999999999E-3</v>
      </c>
      <c r="N183">
        <v>1.6329999999999999E-3</v>
      </c>
      <c r="O183">
        <v>1.725E-3</v>
      </c>
      <c r="P183">
        <v>1.815E-3</v>
      </c>
      <c r="Q183">
        <v>1.9009999999999999E-3</v>
      </c>
      <c r="R183">
        <v>1.9840000000000001E-3</v>
      </c>
      <c r="S183">
        <v>2.0669999999999998E-3</v>
      </c>
      <c r="T183">
        <v>2.1459999999999999E-3</v>
      </c>
      <c r="U183">
        <v>2.2209999999999999E-3</v>
      </c>
      <c r="V183">
        <v>2.2910000000000001E-3</v>
      </c>
      <c r="W183">
        <v>2.3570000000000002E-3</v>
      </c>
      <c r="X183">
        <v>2.4199999999999998E-3</v>
      </c>
      <c r="Y183">
        <v>2.4789999999999999E-3</v>
      </c>
      <c r="Z183">
        <v>2.5300000000000001E-3</v>
      </c>
      <c r="AA183">
        <v>2.5769999999999999E-3</v>
      </c>
      <c r="AB183">
        <v>2.6159999999999998E-3</v>
      </c>
      <c r="AC183">
        <v>2.6519999999999998E-3</v>
      </c>
      <c r="AD183">
        <v>2.6909999999999998E-3</v>
      </c>
      <c r="AE183">
        <v>2.7290000000000001E-3</v>
      </c>
      <c r="AF183">
        <v>2.761E-3</v>
      </c>
      <c r="AG183" s="29">
        <v>4.8000000000000001E-2</v>
      </c>
    </row>
    <row r="184" spans="1:33" x14ac:dyDescent="0.25">
      <c r="A184" t="s">
        <v>172</v>
      </c>
      <c r="B184" t="s">
        <v>643</v>
      </c>
      <c r="C184" t="s">
        <v>642</v>
      </c>
      <c r="D184" t="s">
        <v>163</v>
      </c>
      <c r="F184">
        <v>0</v>
      </c>
      <c r="G184">
        <v>0</v>
      </c>
      <c r="H184">
        <v>1.22E-4</v>
      </c>
      <c r="I184">
        <v>3.1500000000000001E-4</v>
      </c>
      <c r="J184">
        <v>6.2699999999999995E-4</v>
      </c>
      <c r="K184">
        <v>1.0369999999999999E-3</v>
      </c>
      <c r="L184">
        <v>1.516E-3</v>
      </c>
      <c r="M184">
        <v>2.0600000000000002E-3</v>
      </c>
      <c r="N184">
        <v>2.637E-3</v>
      </c>
      <c r="O184">
        <v>2.6210000000000001E-3</v>
      </c>
      <c r="P184">
        <v>2.601E-3</v>
      </c>
      <c r="Q184">
        <v>2.578E-3</v>
      </c>
      <c r="R184">
        <v>2.5579999999999999E-3</v>
      </c>
      <c r="S184">
        <v>2.5379999999999999E-3</v>
      </c>
      <c r="T184">
        <v>2.5170000000000001E-3</v>
      </c>
      <c r="U184">
        <v>2.4940000000000001E-3</v>
      </c>
      <c r="V184">
        <v>2.4729999999999999E-3</v>
      </c>
      <c r="W184">
        <v>2.4559999999999998E-3</v>
      </c>
      <c r="X184">
        <v>2.441E-3</v>
      </c>
      <c r="Y184">
        <v>2.4320000000000001E-3</v>
      </c>
      <c r="Z184">
        <v>2.4260000000000002E-3</v>
      </c>
      <c r="AA184">
        <v>2.421E-3</v>
      </c>
      <c r="AB184">
        <v>2.4139999999999999E-3</v>
      </c>
      <c r="AC184">
        <v>2.3779999999999999E-3</v>
      </c>
      <c r="AD184">
        <v>2.3280000000000002E-3</v>
      </c>
      <c r="AE184">
        <v>2.2699999999999999E-3</v>
      </c>
      <c r="AF184">
        <v>2.2000000000000001E-3</v>
      </c>
      <c r="AG184" t="s">
        <v>23</v>
      </c>
    </row>
    <row r="185" spans="1:33" x14ac:dyDescent="0.25">
      <c r="A185" t="s">
        <v>173</v>
      </c>
      <c r="B185" t="s">
        <v>641</v>
      </c>
      <c r="C185" t="s">
        <v>640</v>
      </c>
      <c r="D185" t="s">
        <v>163</v>
      </c>
      <c r="F185">
        <v>0</v>
      </c>
      <c r="G185">
        <v>5.62E-4</v>
      </c>
      <c r="H185">
        <v>1.2110000000000001E-3</v>
      </c>
      <c r="I185">
        <v>1.542E-3</v>
      </c>
      <c r="J185">
        <v>1.609E-3</v>
      </c>
      <c r="K185">
        <v>1.609E-3</v>
      </c>
      <c r="L185">
        <v>1.598E-3</v>
      </c>
      <c r="M185">
        <v>1.588E-3</v>
      </c>
      <c r="N185">
        <v>1.586E-3</v>
      </c>
      <c r="O185">
        <v>1.5809999999999999E-3</v>
      </c>
      <c r="P185">
        <v>1.572E-3</v>
      </c>
      <c r="Q185">
        <v>1.5590000000000001E-3</v>
      </c>
      <c r="R185">
        <v>1.5499999999999999E-3</v>
      </c>
      <c r="S185">
        <v>1.5319999999999999E-3</v>
      </c>
      <c r="T185">
        <v>1.5139999999999999E-3</v>
      </c>
      <c r="U185">
        <v>1.5020000000000001E-3</v>
      </c>
      <c r="V185">
        <v>1.4970000000000001E-3</v>
      </c>
      <c r="W185">
        <v>1.493E-3</v>
      </c>
      <c r="X185">
        <v>1.477E-3</v>
      </c>
      <c r="Y185">
        <v>1.454E-3</v>
      </c>
      <c r="Z185">
        <v>1.4220000000000001E-3</v>
      </c>
      <c r="AA185">
        <v>1.387E-3</v>
      </c>
      <c r="AB185">
        <v>1.3420000000000001E-3</v>
      </c>
      <c r="AC185">
        <v>1.289E-3</v>
      </c>
      <c r="AD185">
        <v>1.232E-3</v>
      </c>
      <c r="AE185">
        <v>1.17E-3</v>
      </c>
      <c r="AF185">
        <v>1.1050000000000001E-3</v>
      </c>
      <c r="AG185" t="s">
        <v>23</v>
      </c>
    </row>
    <row r="186" spans="1:33" x14ac:dyDescent="0.25">
      <c r="A186" t="s">
        <v>159</v>
      </c>
      <c r="B186" t="s">
        <v>639</v>
      </c>
      <c r="C186" t="s">
        <v>638</v>
      </c>
      <c r="D186" t="s">
        <v>163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23</v>
      </c>
    </row>
    <row r="187" spans="1:33" x14ac:dyDescent="0.25">
      <c r="A187" t="s">
        <v>300</v>
      </c>
      <c r="B187" t="s">
        <v>637</v>
      </c>
      <c r="C187" t="s">
        <v>636</v>
      </c>
      <c r="D187" t="s">
        <v>163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23</v>
      </c>
    </row>
    <row r="188" spans="1:33" x14ac:dyDescent="0.25">
      <c r="A188" t="s">
        <v>299</v>
      </c>
      <c r="B188" t="s">
        <v>635</v>
      </c>
      <c r="C188" t="s">
        <v>634</v>
      </c>
      <c r="D188" t="s">
        <v>163</v>
      </c>
      <c r="F188">
        <v>0</v>
      </c>
      <c r="G188">
        <v>1.714E-3</v>
      </c>
      <c r="H188">
        <v>4.0610000000000004E-3</v>
      </c>
      <c r="I188">
        <v>7.2750000000000002E-3</v>
      </c>
      <c r="J188">
        <v>1.1434E-2</v>
      </c>
      <c r="K188">
        <v>1.6846E-2</v>
      </c>
      <c r="L188">
        <v>2.4177000000000001E-2</v>
      </c>
      <c r="M188">
        <v>3.4250000000000003E-2</v>
      </c>
      <c r="N188">
        <v>4.8252999999999997E-2</v>
      </c>
      <c r="O188">
        <v>6.7613000000000006E-2</v>
      </c>
      <c r="P188">
        <v>9.3364000000000003E-2</v>
      </c>
      <c r="Q188">
        <v>0.12609000000000001</v>
      </c>
      <c r="R188">
        <v>0.16609399999999999</v>
      </c>
      <c r="S188">
        <v>0.212897</v>
      </c>
      <c r="T188">
        <v>0.26521899999999998</v>
      </c>
      <c r="U188">
        <v>0.32117800000000002</v>
      </c>
      <c r="V188">
        <v>0.37935200000000002</v>
      </c>
      <c r="W188">
        <v>0.43880200000000003</v>
      </c>
      <c r="X188">
        <v>0.49908999999999998</v>
      </c>
      <c r="Y188">
        <v>0.55974599999999997</v>
      </c>
      <c r="Z188">
        <v>0.61965000000000003</v>
      </c>
      <c r="AA188">
        <v>0.67806999999999995</v>
      </c>
      <c r="AB188">
        <v>0.73476300000000005</v>
      </c>
      <c r="AC188">
        <v>0.79071899999999995</v>
      </c>
      <c r="AD188">
        <v>0.84615200000000002</v>
      </c>
      <c r="AE188">
        <v>0.90025699999999997</v>
      </c>
      <c r="AF188">
        <v>0.95221999999999996</v>
      </c>
      <c r="AG188" t="s">
        <v>23</v>
      </c>
    </row>
    <row r="189" spans="1:33" x14ac:dyDescent="0.25">
      <c r="A189" t="s">
        <v>298</v>
      </c>
      <c r="B189" t="s">
        <v>633</v>
      </c>
      <c r="C189" t="s">
        <v>632</v>
      </c>
      <c r="D189" t="s">
        <v>163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23</v>
      </c>
    </row>
    <row r="190" spans="1:33" x14ac:dyDescent="0.25">
      <c r="A190" t="s">
        <v>176</v>
      </c>
      <c r="B190" t="s">
        <v>631</v>
      </c>
      <c r="C190" t="s">
        <v>630</v>
      </c>
      <c r="D190" t="s">
        <v>163</v>
      </c>
      <c r="F190">
        <v>3.970215</v>
      </c>
      <c r="G190">
        <v>4.0091910000000004</v>
      </c>
      <c r="H190">
        <v>4.0653360000000003</v>
      </c>
      <c r="I190">
        <v>4.1323340000000002</v>
      </c>
      <c r="J190">
        <v>4.1937249999999997</v>
      </c>
      <c r="K190">
        <v>4.2415349999999998</v>
      </c>
      <c r="L190">
        <v>4.2838779999999996</v>
      </c>
      <c r="M190">
        <v>4.3163669999999996</v>
      </c>
      <c r="N190">
        <v>4.348007</v>
      </c>
      <c r="O190">
        <v>4.369561</v>
      </c>
      <c r="P190">
        <v>4.3852000000000002</v>
      </c>
      <c r="Q190">
        <v>4.4020970000000004</v>
      </c>
      <c r="R190">
        <v>4.4208569999999998</v>
      </c>
      <c r="S190">
        <v>4.4439219999999997</v>
      </c>
      <c r="T190">
        <v>4.4644000000000004</v>
      </c>
      <c r="U190">
        <v>4.4826800000000002</v>
      </c>
      <c r="V190">
        <v>4.4933120000000004</v>
      </c>
      <c r="W190">
        <v>4.5010579999999996</v>
      </c>
      <c r="X190">
        <v>4.5099869999999997</v>
      </c>
      <c r="Y190">
        <v>4.527717</v>
      </c>
      <c r="Z190">
        <v>4.5498729999999998</v>
      </c>
      <c r="AA190">
        <v>4.5683740000000004</v>
      </c>
      <c r="AB190">
        <v>4.5803440000000002</v>
      </c>
      <c r="AC190">
        <v>4.5916600000000001</v>
      </c>
      <c r="AD190">
        <v>4.6028260000000003</v>
      </c>
      <c r="AE190">
        <v>4.6103870000000002</v>
      </c>
      <c r="AF190">
        <v>4.6110850000000001</v>
      </c>
      <c r="AG190" s="29">
        <v>6.0000000000000001E-3</v>
      </c>
    </row>
    <row r="191" spans="1:33" x14ac:dyDescent="0.25">
      <c r="A191" t="s">
        <v>177</v>
      </c>
    </row>
    <row r="192" spans="1:33" x14ac:dyDescent="0.25">
      <c r="A192" t="s">
        <v>167</v>
      </c>
      <c r="B192" t="s">
        <v>629</v>
      </c>
      <c r="C192" t="s">
        <v>628</v>
      </c>
      <c r="D192" t="s">
        <v>163</v>
      </c>
      <c r="F192">
        <v>5.4532230000000004</v>
      </c>
      <c r="G192">
        <v>5.54474</v>
      </c>
      <c r="H192">
        <v>5.6681350000000004</v>
      </c>
      <c r="I192">
        <v>5.8111879999999996</v>
      </c>
      <c r="J192">
        <v>5.9438380000000004</v>
      </c>
      <c r="K192">
        <v>6.0549759999999999</v>
      </c>
      <c r="L192">
        <v>6.1551280000000004</v>
      </c>
      <c r="M192">
        <v>6.2453989999999999</v>
      </c>
      <c r="N192">
        <v>6.3268560000000003</v>
      </c>
      <c r="O192">
        <v>6.4006259999999999</v>
      </c>
      <c r="P192">
        <v>6.4616090000000002</v>
      </c>
      <c r="Q192">
        <v>6.5220029999999998</v>
      </c>
      <c r="R192">
        <v>6.5889709999999999</v>
      </c>
      <c r="S192">
        <v>6.6581659999999996</v>
      </c>
      <c r="T192">
        <v>6.7268949999999998</v>
      </c>
      <c r="U192">
        <v>6.785615</v>
      </c>
      <c r="V192">
        <v>6.8349149999999996</v>
      </c>
      <c r="W192">
        <v>6.8703469999999998</v>
      </c>
      <c r="X192">
        <v>6.9170680000000004</v>
      </c>
      <c r="Y192">
        <v>6.9704490000000003</v>
      </c>
      <c r="Z192">
        <v>7.0275299999999996</v>
      </c>
      <c r="AA192">
        <v>7.0818209999999997</v>
      </c>
      <c r="AB192">
        <v>7.1251420000000003</v>
      </c>
      <c r="AC192">
        <v>7.1636379999999997</v>
      </c>
      <c r="AD192">
        <v>7.1999880000000003</v>
      </c>
      <c r="AE192">
        <v>7.227563</v>
      </c>
      <c r="AF192">
        <v>7.2418500000000003</v>
      </c>
      <c r="AG192" s="29">
        <v>1.0999999999999999E-2</v>
      </c>
    </row>
    <row r="193" spans="1:33" x14ac:dyDescent="0.25">
      <c r="A193" t="s">
        <v>168</v>
      </c>
      <c r="B193" t="s">
        <v>627</v>
      </c>
      <c r="C193" t="s">
        <v>626</v>
      </c>
      <c r="D193" t="s">
        <v>163</v>
      </c>
      <c r="F193">
        <v>3.8136000000000003E-2</v>
      </c>
      <c r="G193">
        <v>3.1983999999999999E-2</v>
      </c>
      <c r="H193">
        <v>2.7276000000000002E-2</v>
      </c>
      <c r="I193">
        <v>2.3623000000000002E-2</v>
      </c>
      <c r="J193">
        <v>2.0743000000000001E-2</v>
      </c>
      <c r="K193">
        <v>1.8360999999999999E-2</v>
      </c>
      <c r="L193">
        <v>1.6451E-2</v>
      </c>
      <c r="M193">
        <v>1.4766E-2</v>
      </c>
      <c r="N193">
        <v>1.3356E-2</v>
      </c>
      <c r="O193">
        <v>1.2163999999999999E-2</v>
      </c>
      <c r="P193">
        <v>1.123E-2</v>
      </c>
      <c r="Q193">
        <v>1.0534E-2</v>
      </c>
      <c r="R193">
        <v>9.9780000000000008E-3</v>
      </c>
      <c r="S193">
        <v>9.5230000000000002E-3</v>
      </c>
      <c r="T193">
        <v>9.1430000000000001E-3</v>
      </c>
      <c r="U193">
        <v>8.8090000000000009E-3</v>
      </c>
      <c r="V193">
        <v>8.4720000000000004E-3</v>
      </c>
      <c r="W193">
        <v>8.2249999999999997E-3</v>
      </c>
      <c r="X193">
        <v>7.9209999999999992E-3</v>
      </c>
      <c r="Y193">
        <v>7.6280000000000002E-3</v>
      </c>
      <c r="Z193">
        <v>7.4219999999999998E-3</v>
      </c>
      <c r="AA193">
        <v>7.2960000000000004E-3</v>
      </c>
      <c r="AB193">
        <v>7.2110000000000004E-3</v>
      </c>
      <c r="AC193">
        <v>7.1520000000000004E-3</v>
      </c>
      <c r="AD193">
        <v>7.1180000000000002E-3</v>
      </c>
      <c r="AE193">
        <v>7.0850000000000002E-3</v>
      </c>
      <c r="AF193">
        <v>7.051E-3</v>
      </c>
      <c r="AG193" s="29">
        <v>-6.3E-2</v>
      </c>
    </row>
    <row r="194" spans="1:33" x14ac:dyDescent="0.25">
      <c r="A194" t="s">
        <v>169</v>
      </c>
      <c r="B194" t="s">
        <v>625</v>
      </c>
      <c r="C194" t="s">
        <v>624</v>
      </c>
      <c r="D194" t="s">
        <v>163</v>
      </c>
      <c r="F194">
        <v>3.0569999999999998E-3</v>
      </c>
      <c r="G194">
        <v>3.0070000000000001E-3</v>
      </c>
      <c r="H194">
        <v>3.0309999999999998E-3</v>
      </c>
      <c r="I194">
        <v>3.107E-3</v>
      </c>
      <c r="J194">
        <v>3.1909999999999998E-3</v>
      </c>
      <c r="K194">
        <v>3.241E-3</v>
      </c>
      <c r="L194">
        <v>3.297E-3</v>
      </c>
      <c r="M194">
        <v>3.3300000000000001E-3</v>
      </c>
      <c r="N194">
        <v>3.346E-3</v>
      </c>
      <c r="O194">
        <v>3.3730000000000001E-3</v>
      </c>
      <c r="P194">
        <v>3.4280000000000001E-3</v>
      </c>
      <c r="Q194">
        <v>3.4710000000000001E-3</v>
      </c>
      <c r="R194">
        <v>3.5140000000000002E-3</v>
      </c>
      <c r="S194">
        <v>3.5530000000000002E-3</v>
      </c>
      <c r="T194">
        <v>3.6020000000000002E-3</v>
      </c>
      <c r="U194">
        <v>3.6579999999999998E-3</v>
      </c>
      <c r="V194">
        <v>3.715E-3</v>
      </c>
      <c r="W194">
        <v>3.7629999999999999E-3</v>
      </c>
      <c r="X194">
        <v>3.8070000000000001E-3</v>
      </c>
      <c r="Y194">
        <v>3.8449999999999999E-3</v>
      </c>
      <c r="Z194">
        <v>3.8839999999999999E-3</v>
      </c>
      <c r="AA194">
        <v>3.9179999999999996E-3</v>
      </c>
      <c r="AB194">
        <v>3.9500000000000004E-3</v>
      </c>
      <c r="AC194">
        <v>3.98E-3</v>
      </c>
      <c r="AD194">
        <v>4.0140000000000002E-3</v>
      </c>
      <c r="AE194">
        <v>4.0249999999999999E-3</v>
      </c>
      <c r="AF194">
        <v>4.0070000000000001E-3</v>
      </c>
      <c r="AG194" s="29">
        <v>0.01</v>
      </c>
    </row>
    <row r="195" spans="1:33" x14ac:dyDescent="0.25">
      <c r="A195" t="s">
        <v>170</v>
      </c>
      <c r="B195" t="s">
        <v>623</v>
      </c>
      <c r="C195" t="s">
        <v>622</v>
      </c>
      <c r="D195" t="s">
        <v>163</v>
      </c>
      <c r="F195">
        <v>5.7391999999999999E-2</v>
      </c>
      <c r="G195">
        <v>6.1581999999999998E-2</v>
      </c>
      <c r="H195">
        <v>6.6053000000000001E-2</v>
      </c>
      <c r="I195">
        <v>7.0393999999999998E-2</v>
      </c>
      <c r="J195">
        <v>7.4439000000000005E-2</v>
      </c>
      <c r="K195">
        <v>7.8131999999999993E-2</v>
      </c>
      <c r="L195">
        <v>8.1558000000000005E-2</v>
      </c>
      <c r="M195">
        <v>8.4717000000000001E-2</v>
      </c>
      <c r="N195">
        <v>8.7696999999999997E-2</v>
      </c>
      <c r="O195">
        <v>9.0575000000000003E-2</v>
      </c>
      <c r="P195">
        <v>9.3313999999999994E-2</v>
      </c>
      <c r="Q195">
        <v>9.5942E-2</v>
      </c>
      <c r="R195">
        <v>9.8466999999999999E-2</v>
      </c>
      <c r="S195">
        <v>0.10101300000000001</v>
      </c>
      <c r="T195">
        <v>0.103474</v>
      </c>
      <c r="U195">
        <v>0.10592500000000001</v>
      </c>
      <c r="V195">
        <v>0.108441</v>
      </c>
      <c r="W195">
        <v>0.11104899999999999</v>
      </c>
      <c r="X195">
        <v>0.11365</v>
      </c>
      <c r="Y195">
        <v>0.11616600000000001</v>
      </c>
      <c r="Z195">
        <v>0.118715</v>
      </c>
      <c r="AA195">
        <v>0.12114999999999999</v>
      </c>
      <c r="AB195">
        <v>0.12349</v>
      </c>
      <c r="AC195">
        <v>0.12600500000000001</v>
      </c>
      <c r="AD195">
        <v>0.12883</v>
      </c>
      <c r="AE195">
        <v>0.13184399999999999</v>
      </c>
      <c r="AF195">
        <v>0.13523499999999999</v>
      </c>
      <c r="AG195" s="29">
        <v>3.4000000000000002E-2</v>
      </c>
    </row>
    <row r="196" spans="1:33" x14ac:dyDescent="0.25">
      <c r="A196" t="s">
        <v>171</v>
      </c>
      <c r="B196" t="s">
        <v>621</v>
      </c>
      <c r="C196" t="s">
        <v>620</v>
      </c>
      <c r="D196" t="s">
        <v>163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23</v>
      </c>
    </row>
    <row r="197" spans="1:33" x14ac:dyDescent="0.25">
      <c r="A197" t="s">
        <v>155</v>
      </c>
      <c r="B197" t="s">
        <v>619</v>
      </c>
      <c r="C197" t="s">
        <v>618</v>
      </c>
      <c r="D197" t="s">
        <v>163</v>
      </c>
      <c r="F197">
        <v>2.114E-3</v>
      </c>
      <c r="G197">
        <v>2.921E-3</v>
      </c>
      <c r="H197">
        <v>3.8010000000000001E-3</v>
      </c>
      <c r="I197">
        <v>4.7330000000000002E-3</v>
      </c>
      <c r="J197">
        <v>5.6499999999999996E-3</v>
      </c>
      <c r="K197">
        <v>6.5319999999999996E-3</v>
      </c>
      <c r="L197">
        <v>7.3819999999999997E-3</v>
      </c>
      <c r="M197">
        <v>8.1930000000000006E-3</v>
      </c>
      <c r="N197">
        <v>8.9680000000000003E-3</v>
      </c>
      <c r="O197">
        <v>9.7109999999999991E-3</v>
      </c>
      <c r="P197">
        <v>1.0414E-2</v>
      </c>
      <c r="Q197">
        <v>1.1073E-2</v>
      </c>
      <c r="R197">
        <v>1.1696E-2</v>
      </c>
      <c r="S197">
        <v>1.2281E-2</v>
      </c>
      <c r="T197">
        <v>1.2834E-2</v>
      </c>
      <c r="U197">
        <v>1.3354E-2</v>
      </c>
      <c r="V197">
        <v>1.3842E-2</v>
      </c>
      <c r="W197">
        <v>1.4302E-2</v>
      </c>
      <c r="X197">
        <v>1.4742E-2</v>
      </c>
      <c r="Y197">
        <v>1.5167E-2</v>
      </c>
      <c r="Z197">
        <v>1.5570000000000001E-2</v>
      </c>
      <c r="AA197">
        <v>1.5951E-2</v>
      </c>
      <c r="AB197">
        <v>1.6309000000000001E-2</v>
      </c>
      <c r="AC197">
        <v>1.6659E-2</v>
      </c>
      <c r="AD197">
        <v>1.7006E-2</v>
      </c>
      <c r="AE197">
        <v>1.7343000000000001E-2</v>
      </c>
      <c r="AF197">
        <v>1.7661E-2</v>
      </c>
      <c r="AG197" s="29">
        <v>8.5000000000000006E-2</v>
      </c>
    </row>
    <row r="198" spans="1:33" x14ac:dyDescent="0.25">
      <c r="A198" t="s">
        <v>172</v>
      </c>
      <c r="B198" t="s">
        <v>617</v>
      </c>
      <c r="C198" t="s">
        <v>616</v>
      </c>
      <c r="D198" t="s">
        <v>163</v>
      </c>
      <c r="F198">
        <v>0</v>
      </c>
      <c r="G198">
        <v>0</v>
      </c>
      <c r="H198">
        <v>1.22E-4</v>
      </c>
      <c r="I198">
        <v>3.5199999999999999E-4</v>
      </c>
      <c r="J198">
        <v>6.2E-4</v>
      </c>
      <c r="K198">
        <v>9.41E-4</v>
      </c>
      <c r="L198">
        <v>1.3209999999999999E-3</v>
      </c>
      <c r="M198">
        <v>1.7750000000000001E-3</v>
      </c>
      <c r="N198">
        <v>2.336E-3</v>
      </c>
      <c r="O198">
        <v>2.3189999999999999E-3</v>
      </c>
      <c r="P198">
        <v>2.313E-3</v>
      </c>
      <c r="Q198">
        <v>2.33E-3</v>
      </c>
      <c r="R198">
        <v>2.3609999999999998E-3</v>
      </c>
      <c r="S198">
        <v>2.4290000000000002E-3</v>
      </c>
      <c r="T198">
        <v>2.5279999999999999E-3</v>
      </c>
      <c r="U198">
        <v>2.6589999999999999E-3</v>
      </c>
      <c r="V198">
        <v>2.7859999999999998E-3</v>
      </c>
      <c r="W198">
        <v>2.8890000000000001E-3</v>
      </c>
      <c r="X198">
        <v>2.9499999999999999E-3</v>
      </c>
      <c r="Y198">
        <v>2.9640000000000001E-3</v>
      </c>
      <c r="Z198">
        <v>2.9450000000000001E-3</v>
      </c>
      <c r="AA198">
        <v>2.8879999999999999E-3</v>
      </c>
      <c r="AB198">
        <v>2.7810000000000001E-3</v>
      </c>
      <c r="AC198">
        <v>2.6259999999999999E-3</v>
      </c>
      <c r="AD198">
        <v>2.4940000000000001E-3</v>
      </c>
      <c r="AE198">
        <v>2.3879999999999999E-3</v>
      </c>
      <c r="AF198">
        <v>2.3059999999999999E-3</v>
      </c>
      <c r="AG198" t="s">
        <v>23</v>
      </c>
    </row>
    <row r="199" spans="1:33" x14ac:dyDescent="0.25">
      <c r="A199" t="s">
        <v>173</v>
      </c>
      <c r="B199" t="s">
        <v>615</v>
      </c>
      <c r="C199" t="s">
        <v>614</v>
      </c>
      <c r="D199" t="s">
        <v>163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23</v>
      </c>
    </row>
    <row r="200" spans="1:33" x14ac:dyDescent="0.25">
      <c r="A200" t="s">
        <v>159</v>
      </c>
      <c r="B200" t="s">
        <v>613</v>
      </c>
      <c r="C200" t="s">
        <v>612</v>
      </c>
      <c r="D200" t="s">
        <v>163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23</v>
      </c>
    </row>
    <row r="201" spans="1:33" x14ac:dyDescent="0.25">
      <c r="A201" t="s">
        <v>300</v>
      </c>
      <c r="B201" t="s">
        <v>611</v>
      </c>
      <c r="C201" t="s">
        <v>610</v>
      </c>
      <c r="D201" t="s">
        <v>163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23</v>
      </c>
    </row>
    <row r="202" spans="1:33" x14ac:dyDescent="0.25">
      <c r="A202" t="s">
        <v>299</v>
      </c>
      <c r="B202" t="s">
        <v>609</v>
      </c>
      <c r="C202" t="s">
        <v>608</v>
      </c>
      <c r="D202" t="s">
        <v>163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23</v>
      </c>
    </row>
    <row r="203" spans="1:33" x14ac:dyDescent="0.25">
      <c r="A203" t="s">
        <v>298</v>
      </c>
      <c r="B203" t="s">
        <v>607</v>
      </c>
      <c r="C203" t="s">
        <v>606</v>
      </c>
      <c r="D203" t="s">
        <v>163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23</v>
      </c>
    </row>
    <row r="204" spans="1:33" x14ac:dyDescent="0.25">
      <c r="A204" t="s">
        <v>178</v>
      </c>
      <c r="B204" t="s">
        <v>605</v>
      </c>
      <c r="C204" t="s">
        <v>604</v>
      </c>
      <c r="D204" t="s">
        <v>163</v>
      </c>
      <c r="F204">
        <v>5.5539240000000003</v>
      </c>
      <c r="G204">
        <v>5.6442329999999998</v>
      </c>
      <c r="H204">
        <v>5.7684139999999999</v>
      </c>
      <c r="I204">
        <v>5.9133979999999999</v>
      </c>
      <c r="J204">
        <v>6.0484790000000004</v>
      </c>
      <c r="K204">
        <v>6.1621829999999997</v>
      </c>
      <c r="L204">
        <v>6.2651370000000002</v>
      </c>
      <c r="M204">
        <v>6.3581779999999997</v>
      </c>
      <c r="N204">
        <v>6.4425569999999999</v>
      </c>
      <c r="O204">
        <v>6.5187679999999997</v>
      </c>
      <c r="P204">
        <v>6.5823070000000001</v>
      </c>
      <c r="Q204">
        <v>6.6453530000000001</v>
      </c>
      <c r="R204">
        <v>6.7149859999999997</v>
      </c>
      <c r="S204">
        <v>6.7869659999999996</v>
      </c>
      <c r="T204">
        <v>6.8584779999999999</v>
      </c>
      <c r="U204">
        <v>6.9200189999999999</v>
      </c>
      <c r="V204">
        <v>6.9721710000000003</v>
      </c>
      <c r="W204">
        <v>7.01058</v>
      </c>
      <c r="X204">
        <v>7.0601390000000004</v>
      </c>
      <c r="Y204">
        <v>7.1162190000000001</v>
      </c>
      <c r="Z204">
        <v>7.1760700000000002</v>
      </c>
      <c r="AA204">
        <v>7.2330199999999998</v>
      </c>
      <c r="AB204">
        <v>7.2788839999999997</v>
      </c>
      <c r="AC204">
        <v>7.3200570000000003</v>
      </c>
      <c r="AD204">
        <v>7.3594530000000002</v>
      </c>
      <c r="AE204">
        <v>7.390244</v>
      </c>
      <c r="AF204">
        <v>7.408112</v>
      </c>
      <c r="AG204" s="29">
        <v>1.0999999999999999E-2</v>
      </c>
    </row>
    <row r="205" spans="1:33" x14ac:dyDescent="0.25">
      <c r="A205" t="s">
        <v>21</v>
      </c>
      <c r="B205" t="s">
        <v>603</v>
      </c>
      <c r="C205" t="s">
        <v>602</v>
      </c>
      <c r="D205" t="s">
        <v>163</v>
      </c>
      <c r="F205">
        <v>14.630017</v>
      </c>
      <c r="G205">
        <v>14.950063999999999</v>
      </c>
      <c r="H205">
        <v>15.336373999999999</v>
      </c>
      <c r="I205">
        <v>15.758817000000001</v>
      </c>
      <c r="J205">
        <v>16.157616000000001</v>
      </c>
      <c r="K205">
        <v>16.514610000000001</v>
      </c>
      <c r="L205">
        <v>16.851102999999998</v>
      </c>
      <c r="M205">
        <v>17.157919</v>
      </c>
      <c r="N205">
        <v>17.453142</v>
      </c>
      <c r="O205">
        <v>17.722261</v>
      </c>
      <c r="P205">
        <v>17.971948999999999</v>
      </c>
      <c r="Q205">
        <v>18.217116999999998</v>
      </c>
      <c r="R205">
        <v>18.470904999999998</v>
      </c>
      <c r="S205">
        <v>18.730982000000001</v>
      </c>
      <c r="T205">
        <v>18.987928</v>
      </c>
      <c r="U205">
        <v>19.229583999999999</v>
      </c>
      <c r="V205">
        <v>19.448927000000001</v>
      </c>
      <c r="W205">
        <v>19.6525</v>
      </c>
      <c r="X205">
        <v>19.864656</v>
      </c>
      <c r="Y205">
        <v>20.100263999999999</v>
      </c>
      <c r="Z205">
        <v>20.349910999999999</v>
      </c>
      <c r="AA205">
        <v>20.586701999999999</v>
      </c>
      <c r="AB205">
        <v>20.79805</v>
      </c>
      <c r="AC205">
        <v>21.004408000000002</v>
      </c>
      <c r="AD205">
        <v>21.205359999999999</v>
      </c>
      <c r="AE205">
        <v>21.380649999999999</v>
      </c>
      <c r="AF205">
        <v>21.528708000000002</v>
      </c>
      <c r="AG205" s="29">
        <v>1.4999999999999999E-2</v>
      </c>
    </row>
    <row r="206" spans="1:33" x14ac:dyDescent="0.25">
      <c r="A206" t="s">
        <v>40</v>
      </c>
    </row>
    <row r="207" spans="1:33" x14ac:dyDescent="0.25">
      <c r="A207" t="s">
        <v>183</v>
      </c>
    </row>
    <row r="208" spans="1:33" x14ac:dyDescent="0.25">
      <c r="A208" t="s">
        <v>166</v>
      </c>
    </row>
    <row r="209" spans="1:33" x14ac:dyDescent="0.25">
      <c r="A209" t="s">
        <v>167</v>
      </c>
      <c r="B209" t="s">
        <v>601</v>
      </c>
      <c r="C209" t="s">
        <v>600</v>
      </c>
      <c r="D209" t="s">
        <v>204</v>
      </c>
      <c r="F209">
        <v>14.400703999999999</v>
      </c>
      <c r="G209">
        <v>14.660596</v>
      </c>
      <c r="H209">
        <v>14.909394000000001</v>
      </c>
      <c r="I209">
        <v>15.148808000000001</v>
      </c>
      <c r="J209">
        <v>15.587316</v>
      </c>
      <c r="K209">
        <v>15.569564</v>
      </c>
      <c r="L209">
        <v>15.706894999999999</v>
      </c>
      <c r="M209">
        <v>15.808894</v>
      </c>
      <c r="N209">
        <v>15.874243</v>
      </c>
      <c r="O209">
        <v>15.908842999999999</v>
      </c>
      <c r="P209">
        <v>15.928421</v>
      </c>
      <c r="Q209">
        <v>15.940676</v>
      </c>
      <c r="R209">
        <v>15.931882999999999</v>
      </c>
      <c r="S209">
        <v>15.918108999999999</v>
      </c>
      <c r="T209">
        <v>15.923935</v>
      </c>
      <c r="U209">
        <v>15.946382</v>
      </c>
      <c r="V209">
        <v>15.949452000000001</v>
      </c>
      <c r="W209">
        <v>15.974583000000001</v>
      </c>
      <c r="X209">
        <v>16.011904000000001</v>
      </c>
      <c r="Y209">
        <v>16.067564000000001</v>
      </c>
      <c r="Z209">
        <v>16.092542999999999</v>
      </c>
      <c r="AA209">
        <v>16.10285</v>
      </c>
      <c r="AB209">
        <v>16.070187000000001</v>
      </c>
      <c r="AC209">
        <v>16.117353000000001</v>
      </c>
      <c r="AD209">
        <v>16.17164</v>
      </c>
      <c r="AE209">
        <v>16.204170000000001</v>
      </c>
      <c r="AF209">
        <v>16.214468</v>
      </c>
      <c r="AG209" s="29">
        <v>5.0000000000000001E-3</v>
      </c>
    </row>
    <row r="210" spans="1:33" x14ac:dyDescent="0.25">
      <c r="A210" t="s">
        <v>168</v>
      </c>
      <c r="B210" t="s">
        <v>599</v>
      </c>
      <c r="C210" t="s">
        <v>598</v>
      </c>
      <c r="D210" t="s">
        <v>205</v>
      </c>
      <c r="F210">
        <v>12.031425</v>
      </c>
      <c r="G210">
        <v>12.120165999999999</v>
      </c>
      <c r="H210">
        <v>12.218216999999999</v>
      </c>
      <c r="I210">
        <v>12.314306</v>
      </c>
      <c r="J210">
        <v>12.519958000000001</v>
      </c>
      <c r="K210">
        <v>12.526904</v>
      </c>
      <c r="L210">
        <v>12.614868</v>
      </c>
      <c r="M210">
        <v>12.696854999999999</v>
      </c>
      <c r="N210">
        <v>12.776363</v>
      </c>
      <c r="O210">
        <v>12.810620999999999</v>
      </c>
      <c r="P210">
        <v>12.829993999999999</v>
      </c>
      <c r="Q210">
        <v>12.839169999999999</v>
      </c>
      <c r="R210">
        <v>12.820976</v>
      </c>
      <c r="S210">
        <v>12.785634999999999</v>
      </c>
      <c r="T210">
        <v>12.802814</v>
      </c>
      <c r="U210">
        <v>12.846814</v>
      </c>
      <c r="V210">
        <v>12.852778000000001</v>
      </c>
      <c r="W210">
        <v>12.900325</v>
      </c>
      <c r="X210">
        <v>12.970843</v>
      </c>
      <c r="Y210">
        <v>13.073732</v>
      </c>
      <c r="Z210">
        <v>13.11858</v>
      </c>
      <c r="AA210">
        <v>13.137976999999999</v>
      </c>
      <c r="AB210">
        <v>13.165692999999999</v>
      </c>
      <c r="AC210">
        <v>13.248922</v>
      </c>
      <c r="AD210">
        <v>13.34107</v>
      </c>
      <c r="AE210">
        <v>13.395440000000001</v>
      </c>
      <c r="AF210">
        <v>13.397116</v>
      </c>
      <c r="AG210" s="29">
        <v>4.0000000000000001E-3</v>
      </c>
    </row>
    <row r="211" spans="1:33" x14ac:dyDescent="0.25">
      <c r="A211" t="s">
        <v>169</v>
      </c>
      <c r="B211" t="s">
        <v>597</v>
      </c>
      <c r="C211" t="s">
        <v>596</v>
      </c>
      <c r="D211" t="s">
        <v>205</v>
      </c>
      <c r="F211">
        <v>11.1304</v>
      </c>
      <c r="G211">
        <v>11.18446</v>
      </c>
      <c r="H211">
        <v>11.218819999999999</v>
      </c>
      <c r="I211">
        <v>11.255887</v>
      </c>
      <c r="J211">
        <v>11.412219</v>
      </c>
      <c r="K211">
        <v>11.400475999999999</v>
      </c>
      <c r="L211">
        <v>11.479112000000001</v>
      </c>
      <c r="M211">
        <v>11.570024</v>
      </c>
      <c r="N211">
        <v>11.661617</v>
      </c>
      <c r="O211">
        <v>11.750628000000001</v>
      </c>
      <c r="P211">
        <v>11.847393</v>
      </c>
      <c r="Q211">
        <v>11.933859</v>
      </c>
      <c r="R211">
        <v>12.002807000000001</v>
      </c>
      <c r="S211">
        <v>12.054949000000001</v>
      </c>
      <c r="T211">
        <v>12.095764000000001</v>
      </c>
      <c r="U211">
        <v>12.138782000000001</v>
      </c>
      <c r="V211">
        <v>12.178782</v>
      </c>
      <c r="W211">
        <v>12.217374</v>
      </c>
      <c r="X211">
        <v>12.250284000000001</v>
      </c>
      <c r="Y211">
        <v>12.276258</v>
      </c>
      <c r="Z211">
        <v>12.298315000000001</v>
      </c>
      <c r="AA211">
        <v>12.314526000000001</v>
      </c>
      <c r="AB211">
        <v>12.324564000000001</v>
      </c>
      <c r="AC211">
        <v>12.324909</v>
      </c>
      <c r="AD211">
        <v>12.324966999999999</v>
      </c>
      <c r="AE211">
        <v>12.326323</v>
      </c>
      <c r="AF211">
        <v>12.328670000000001</v>
      </c>
      <c r="AG211" s="29">
        <v>4.0000000000000001E-3</v>
      </c>
    </row>
    <row r="212" spans="1:33" x14ac:dyDescent="0.25">
      <c r="A212" t="s">
        <v>170</v>
      </c>
      <c r="B212" t="s">
        <v>595</v>
      </c>
      <c r="C212" t="s">
        <v>594</v>
      </c>
      <c r="D212" t="s">
        <v>205</v>
      </c>
      <c r="F212">
        <v>10.947818</v>
      </c>
      <c r="G212">
        <v>10.990493000000001</v>
      </c>
      <c r="H212">
        <v>11.056637</v>
      </c>
      <c r="I212">
        <v>11.142770000000001</v>
      </c>
      <c r="J212">
        <v>11.533828</v>
      </c>
      <c r="K212">
        <v>11.485296999999999</v>
      </c>
      <c r="L212">
        <v>11.616588999999999</v>
      </c>
      <c r="M212">
        <v>11.763449</v>
      </c>
      <c r="N212">
        <v>11.902488999999999</v>
      </c>
      <c r="O212">
        <v>12.032113000000001</v>
      </c>
      <c r="P212">
        <v>12.096603999999999</v>
      </c>
      <c r="Q212">
        <v>12.130247000000001</v>
      </c>
      <c r="R212">
        <v>12.148973</v>
      </c>
      <c r="S212">
        <v>12.149476</v>
      </c>
      <c r="T212">
        <v>12.133198999999999</v>
      </c>
      <c r="U212">
        <v>12.114938</v>
      </c>
      <c r="V212">
        <v>12.096787000000001</v>
      </c>
      <c r="W212">
        <v>12.080774999999999</v>
      </c>
      <c r="X212">
        <v>12.068275999999999</v>
      </c>
      <c r="Y212">
        <v>12.056754</v>
      </c>
      <c r="Z212">
        <v>12.050371</v>
      </c>
      <c r="AA212">
        <v>12.042301</v>
      </c>
      <c r="AB212">
        <v>12.03565</v>
      </c>
      <c r="AC212">
        <v>12.029597000000001</v>
      </c>
      <c r="AD212">
        <v>12.026527</v>
      </c>
      <c r="AE212">
        <v>12.023883</v>
      </c>
      <c r="AF212">
        <v>12.026020000000001</v>
      </c>
      <c r="AG212" s="29">
        <v>4.0000000000000001E-3</v>
      </c>
    </row>
    <row r="213" spans="1:33" x14ac:dyDescent="0.25">
      <c r="A213" t="s">
        <v>171</v>
      </c>
      <c r="B213" t="s">
        <v>593</v>
      </c>
      <c r="C213" t="s">
        <v>592</v>
      </c>
      <c r="D213" t="s">
        <v>205</v>
      </c>
      <c r="F213">
        <v>11.410875000000001</v>
      </c>
      <c r="G213">
        <v>11.497379</v>
      </c>
      <c r="H213">
        <v>11.591085</v>
      </c>
      <c r="I213">
        <v>11.68336</v>
      </c>
      <c r="J213">
        <v>11.866866999999999</v>
      </c>
      <c r="K213">
        <v>11.851042</v>
      </c>
      <c r="L213">
        <v>11.905309000000001</v>
      </c>
      <c r="M213">
        <v>11.944247000000001</v>
      </c>
      <c r="N213">
        <v>11.971857</v>
      </c>
      <c r="O213">
        <v>11.984635000000001</v>
      </c>
      <c r="P213">
        <v>11.987278</v>
      </c>
      <c r="Q213">
        <v>11.987494</v>
      </c>
      <c r="R213">
        <v>11.984787000000001</v>
      </c>
      <c r="S213">
        <v>11.975884000000001</v>
      </c>
      <c r="T213">
        <v>11.981134000000001</v>
      </c>
      <c r="U213">
        <v>11.985151</v>
      </c>
      <c r="V213">
        <v>11.989549</v>
      </c>
      <c r="W213">
        <v>11.995281</v>
      </c>
      <c r="X213">
        <v>12.000392</v>
      </c>
      <c r="Y213">
        <v>12.00244</v>
      </c>
      <c r="Z213">
        <v>12.002852000000001</v>
      </c>
      <c r="AA213">
        <v>12.003465</v>
      </c>
      <c r="AB213">
        <v>12.005936</v>
      </c>
      <c r="AC213">
        <v>12.007431</v>
      </c>
      <c r="AD213">
        <v>12.006736999999999</v>
      </c>
      <c r="AE213">
        <v>12.007421000000001</v>
      </c>
      <c r="AF213">
        <v>12.009321</v>
      </c>
      <c r="AG213" s="29">
        <v>2E-3</v>
      </c>
    </row>
    <row r="214" spans="1:33" x14ac:dyDescent="0.25">
      <c r="A214" t="s">
        <v>155</v>
      </c>
      <c r="B214" t="s">
        <v>591</v>
      </c>
      <c r="C214" t="s">
        <v>590</v>
      </c>
      <c r="D214" t="s">
        <v>204</v>
      </c>
      <c r="F214">
        <v>42.360385999999998</v>
      </c>
      <c r="G214">
        <v>42.360390000000002</v>
      </c>
      <c r="H214">
        <v>42.360385999999998</v>
      </c>
      <c r="I214">
        <v>42.360385999999998</v>
      </c>
      <c r="J214">
        <v>42.416671999999998</v>
      </c>
      <c r="K214">
        <v>42.410789000000001</v>
      </c>
      <c r="L214">
        <v>42.405189999999997</v>
      </c>
      <c r="M214">
        <v>42.400252999999999</v>
      </c>
      <c r="N214">
        <v>42.396197999999998</v>
      </c>
      <c r="O214">
        <v>42.392837999999998</v>
      </c>
      <c r="P214">
        <v>42.389648000000001</v>
      </c>
      <c r="Q214">
        <v>42.387165000000003</v>
      </c>
      <c r="R214">
        <v>42.385235000000002</v>
      </c>
      <c r="S214">
        <v>42.383716999999997</v>
      </c>
      <c r="T214">
        <v>42.382415999999999</v>
      </c>
      <c r="U214">
        <v>42.381301999999998</v>
      </c>
      <c r="V214">
        <v>42.380360000000003</v>
      </c>
      <c r="W214">
        <v>42.379612000000002</v>
      </c>
      <c r="X214">
        <v>42.379097000000002</v>
      </c>
      <c r="Y214">
        <v>42.378754000000001</v>
      </c>
      <c r="Z214">
        <v>42.378543999999998</v>
      </c>
      <c r="AA214">
        <v>42.378436999999998</v>
      </c>
      <c r="AB214">
        <v>42.387768000000001</v>
      </c>
      <c r="AC214">
        <v>42.405109000000003</v>
      </c>
      <c r="AD214">
        <v>42.432685999999997</v>
      </c>
      <c r="AE214">
        <v>42.494225</v>
      </c>
      <c r="AF214">
        <v>42.567383</v>
      </c>
      <c r="AG214" s="29">
        <v>0</v>
      </c>
    </row>
    <row r="215" spans="1:33" x14ac:dyDescent="0.25">
      <c r="A215" t="s">
        <v>172</v>
      </c>
      <c r="B215" t="s">
        <v>589</v>
      </c>
      <c r="C215" t="s">
        <v>588</v>
      </c>
      <c r="D215" t="s">
        <v>204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23</v>
      </c>
    </row>
    <row r="216" spans="1:33" x14ac:dyDescent="0.25">
      <c r="A216" t="s">
        <v>173</v>
      </c>
      <c r="B216" t="s">
        <v>587</v>
      </c>
      <c r="C216" t="s">
        <v>586</v>
      </c>
      <c r="D216" t="s">
        <v>205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23</v>
      </c>
    </row>
    <row r="217" spans="1:33" x14ac:dyDescent="0.25">
      <c r="A217" t="s">
        <v>159</v>
      </c>
      <c r="B217" t="s">
        <v>585</v>
      </c>
      <c r="C217" t="s">
        <v>584</v>
      </c>
      <c r="D217" t="s">
        <v>204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23</v>
      </c>
    </row>
    <row r="218" spans="1:33" x14ac:dyDescent="0.25">
      <c r="A218" t="s">
        <v>300</v>
      </c>
      <c r="B218" t="s">
        <v>583</v>
      </c>
      <c r="C218" t="s">
        <v>582</v>
      </c>
      <c r="D218" t="s">
        <v>204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23</v>
      </c>
    </row>
    <row r="219" spans="1:33" x14ac:dyDescent="0.25">
      <c r="A219" t="s">
        <v>299</v>
      </c>
      <c r="B219" t="s">
        <v>581</v>
      </c>
      <c r="C219" t="s">
        <v>580</v>
      </c>
      <c r="D219" t="s">
        <v>205</v>
      </c>
      <c r="F219">
        <v>0</v>
      </c>
      <c r="G219">
        <v>14.326266</v>
      </c>
      <c r="H219">
        <v>14.333030000000001</v>
      </c>
      <c r="I219">
        <v>14.353346999999999</v>
      </c>
      <c r="J219">
        <v>14.447293999999999</v>
      </c>
      <c r="K219">
        <v>14.378346000000001</v>
      </c>
      <c r="L219">
        <v>14.436540000000001</v>
      </c>
      <c r="M219">
        <v>14.524727</v>
      </c>
      <c r="N219">
        <v>14.638783</v>
      </c>
      <c r="O219">
        <v>14.794591</v>
      </c>
      <c r="P219">
        <v>14.996159</v>
      </c>
      <c r="Q219">
        <v>15.127234</v>
      </c>
      <c r="R219">
        <v>15.234635000000001</v>
      </c>
      <c r="S219">
        <v>15.307149000000001</v>
      </c>
      <c r="T219">
        <v>15.344830999999999</v>
      </c>
      <c r="U219">
        <v>15.355515</v>
      </c>
      <c r="V219">
        <v>15.359513</v>
      </c>
      <c r="W219">
        <v>15.360636</v>
      </c>
      <c r="X219">
        <v>15.358568</v>
      </c>
      <c r="Y219">
        <v>15.354512</v>
      </c>
      <c r="Z219">
        <v>15.350286000000001</v>
      </c>
      <c r="AA219">
        <v>15.346555</v>
      </c>
      <c r="AB219">
        <v>15.341411000000001</v>
      </c>
      <c r="AC219">
        <v>15.336034</v>
      </c>
      <c r="AD219">
        <v>15.330036</v>
      </c>
      <c r="AE219">
        <v>15.324598</v>
      </c>
      <c r="AF219">
        <v>15.319876000000001</v>
      </c>
      <c r="AG219" t="s">
        <v>23</v>
      </c>
    </row>
    <row r="220" spans="1:33" x14ac:dyDescent="0.25">
      <c r="A220" t="s">
        <v>298</v>
      </c>
      <c r="B220" t="s">
        <v>579</v>
      </c>
      <c r="C220" t="s">
        <v>578</v>
      </c>
      <c r="D220" t="s">
        <v>204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23</v>
      </c>
    </row>
    <row r="221" spans="1:33" x14ac:dyDescent="0.25">
      <c r="A221" t="s">
        <v>184</v>
      </c>
      <c r="B221" t="s">
        <v>577</v>
      </c>
      <c r="C221" t="s">
        <v>576</v>
      </c>
      <c r="F221">
        <v>13.24691</v>
      </c>
      <c r="G221">
        <v>13.387729</v>
      </c>
      <c r="H221">
        <v>13.526486</v>
      </c>
      <c r="I221">
        <v>13.658398</v>
      </c>
      <c r="J221">
        <v>13.988308</v>
      </c>
      <c r="K221">
        <v>13.992438999999999</v>
      </c>
      <c r="L221">
        <v>14.126111999999999</v>
      </c>
      <c r="M221">
        <v>14.305666</v>
      </c>
      <c r="N221">
        <v>14.499096</v>
      </c>
      <c r="O221">
        <v>14.622809999999999</v>
      </c>
      <c r="P221">
        <v>14.85224</v>
      </c>
      <c r="Q221">
        <v>15.099515999999999</v>
      </c>
      <c r="R221">
        <v>15.341229999999999</v>
      </c>
      <c r="S221">
        <v>15.5327</v>
      </c>
      <c r="T221">
        <v>15.755352999999999</v>
      </c>
      <c r="U221">
        <v>15.990437</v>
      </c>
      <c r="V221">
        <v>16.206022000000001</v>
      </c>
      <c r="W221">
        <v>16.530912000000001</v>
      </c>
      <c r="X221">
        <v>16.825386000000002</v>
      </c>
      <c r="Y221">
        <v>17.108689999999999</v>
      </c>
      <c r="Z221">
        <v>17.222024999999999</v>
      </c>
      <c r="AA221">
        <v>17.366146000000001</v>
      </c>
      <c r="AB221">
        <v>17.496670000000002</v>
      </c>
      <c r="AC221">
        <v>17.688658</v>
      </c>
      <c r="AD221">
        <v>17.867958000000002</v>
      </c>
      <c r="AE221">
        <v>17.986695999999998</v>
      </c>
      <c r="AF221">
        <v>18.089565</v>
      </c>
      <c r="AG221" s="29">
        <v>1.2E-2</v>
      </c>
    </row>
    <row r="222" spans="1:33" x14ac:dyDescent="0.25">
      <c r="A222" t="s">
        <v>175</v>
      </c>
    </row>
    <row r="223" spans="1:33" x14ac:dyDescent="0.25">
      <c r="A223" t="s">
        <v>167</v>
      </c>
      <c r="B223" t="s">
        <v>575</v>
      </c>
      <c r="C223" t="s">
        <v>574</v>
      </c>
      <c r="D223" t="s">
        <v>204</v>
      </c>
      <c r="F223">
        <v>9.7849989999999991</v>
      </c>
      <c r="G223">
        <v>10.026484999999999</v>
      </c>
      <c r="H223">
        <v>10.297043</v>
      </c>
      <c r="I223">
        <v>10.544124</v>
      </c>
      <c r="J223">
        <v>10.791912999999999</v>
      </c>
      <c r="K223">
        <v>11.033872000000001</v>
      </c>
      <c r="L223">
        <v>11.261635</v>
      </c>
      <c r="M223">
        <v>11.455491</v>
      </c>
      <c r="N223">
        <v>11.601601</v>
      </c>
      <c r="O223">
        <v>11.682551</v>
      </c>
      <c r="P223">
        <v>11.723087</v>
      </c>
      <c r="Q223">
        <v>11.713308</v>
      </c>
      <c r="R223">
        <v>11.615100999999999</v>
      </c>
      <c r="S223">
        <v>11.513228</v>
      </c>
      <c r="T223">
        <v>11.43233</v>
      </c>
      <c r="U223">
        <v>11.366671999999999</v>
      </c>
      <c r="V223">
        <v>11.317329000000001</v>
      </c>
      <c r="W223">
        <v>11.281013</v>
      </c>
      <c r="X223">
        <v>11.255193999999999</v>
      </c>
      <c r="Y223">
        <v>11.238102</v>
      </c>
      <c r="Z223">
        <v>11.227041</v>
      </c>
      <c r="AA223">
        <v>11.220007000000001</v>
      </c>
      <c r="AB223">
        <v>11.215096000000001</v>
      </c>
      <c r="AC223">
        <v>11.211975000000001</v>
      </c>
      <c r="AD223">
        <v>11.209434999999999</v>
      </c>
      <c r="AE223">
        <v>11.207504</v>
      </c>
      <c r="AF223">
        <v>11.206441999999999</v>
      </c>
      <c r="AG223" s="29">
        <v>5.0000000000000001E-3</v>
      </c>
    </row>
    <row r="224" spans="1:33" x14ac:dyDescent="0.25">
      <c r="A224" t="s">
        <v>168</v>
      </c>
      <c r="B224" t="s">
        <v>573</v>
      </c>
      <c r="C224" t="s">
        <v>572</v>
      </c>
      <c r="D224" t="s">
        <v>205</v>
      </c>
      <c r="F224">
        <v>8.4680619999999998</v>
      </c>
      <c r="G224">
        <v>8.6707540000000005</v>
      </c>
      <c r="H224">
        <v>8.8990670000000005</v>
      </c>
      <c r="I224">
        <v>9.1109399999999994</v>
      </c>
      <c r="J224">
        <v>9.3181930000000008</v>
      </c>
      <c r="K224">
        <v>9.5216189999999994</v>
      </c>
      <c r="L224">
        <v>9.7092709999999993</v>
      </c>
      <c r="M224">
        <v>9.8688789999999997</v>
      </c>
      <c r="N224">
        <v>9.989236</v>
      </c>
      <c r="O224">
        <v>10.056124000000001</v>
      </c>
      <c r="P224">
        <v>10.090163</v>
      </c>
      <c r="Q224">
        <v>10.084135</v>
      </c>
      <c r="R224">
        <v>10.00173</v>
      </c>
      <c r="S224">
        <v>9.9210449999999994</v>
      </c>
      <c r="T224">
        <v>9.849278</v>
      </c>
      <c r="U224">
        <v>9.7908279999999994</v>
      </c>
      <c r="V224">
        <v>9.7466910000000002</v>
      </c>
      <c r="W224">
        <v>9.7147670000000002</v>
      </c>
      <c r="X224">
        <v>9.6919889999999995</v>
      </c>
      <c r="Y224">
        <v>9.6765349999999994</v>
      </c>
      <c r="Z224">
        <v>9.6673709999999993</v>
      </c>
      <c r="AA224">
        <v>9.6616359999999997</v>
      </c>
      <c r="AB224">
        <v>9.6577310000000001</v>
      </c>
      <c r="AC224">
        <v>9.6552410000000002</v>
      </c>
      <c r="AD224">
        <v>9.653378</v>
      </c>
      <c r="AE224">
        <v>9.6519560000000002</v>
      </c>
      <c r="AF224">
        <v>9.6513120000000008</v>
      </c>
      <c r="AG224" s="29">
        <v>5.0000000000000001E-3</v>
      </c>
    </row>
    <row r="225" spans="1:33" x14ac:dyDescent="0.25">
      <c r="A225" t="s">
        <v>169</v>
      </c>
      <c r="B225" t="s">
        <v>571</v>
      </c>
      <c r="C225" t="s">
        <v>570</v>
      </c>
      <c r="D225" t="s">
        <v>205</v>
      </c>
      <c r="F225">
        <v>7.468928</v>
      </c>
      <c r="G225">
        <v>7.6975340000000001</v>
      </c>
      <c r="H225">
        <v>7.835801</v>
      </c>
      <c r="I225">
        <v>7.9895449999999997</v>
      </c>
      <c r="J225">
        <v>8.1724920000000001</v>
      </c>
      <c r="K225">
        <v>8.3751320000000007</v>
      </c>
      <c r="L225">
        <v>8.5944050000000001</v>
      </c>
      <c r="M225">
        <v>8.8283649999999998</v>
      </c>
      <c r="N225">
        <v>9.0630760000000006</v>
      </c>
      <c r="O225">
        <v>9.2916950000000007</v>
      </c>
      <c r="P225">
        <v>9.4915249999999993</v>
      </c>
      <c r="Q225">
        <v>9.6633849999999999</v>
      </c>
      <c r="R225">
        <v>9.8078500000000002</v>
      </c>
      <c r="S225">
        <v>9.9150539999999996</v>
      </c>
      <c r="T225">
        <v>9.9733809999999998</v>
      </c>
      <c r="U225">
        <v>10.013802</v>
      </c>
      <c r="V225">
        <v>10.013801000000001</v>
      </c>
      <c r="W225">
        <v>10.013802</v>
      </c>
      <c r="X225">
        <v>10.013802</v>
      </c>
      <c r="Y225">
        <v>10.013801000000001</v>
      </c>
      <c r="Z225">
        <v>10.013802</v>
      </c>
      <c r="AA225">
        <v>10.013802</v>
      </c>
      <c r="AB225">
        <v>10.013802</v>
      </c>
      <c r="AC225">
        <v>10.013802</v>
      </c>
      <c r="AD225">
        <v>10.017586</v>
      </c>
      <c r="AE225">
        <v>10.022081</v>
      </c>
      <c r="AF225">
        <v>10.025565</v>
      </c>
      <c r="AG225" s="29">
        <v>1.0999999999999999E-2</v>
      </c>
    </row>
    <row r="226" spans="1:33" x14ac:dyDescent="0.25">
      <c r="A226" t="s">
        <v>170</v>
      </c>
      <c r="B226" t="s">
        <v>569</v>
      </c>
      <c r="C226" t="s">
        <v>568</v>
      </c>
      <c r="D226" t="s">
        <v>205</v>
      </c>
      <c r="F226">
        <v>7.2163789999999999</v>
      </c>
      <c r="G226">
        <v>7.416461</v>
      </c>
      <c r="H226">
        <v>7.6319780000000002</v>
      </c>
      <c r="I226">
        <v>7.825393</v>
      </c>
      <c r="J226">
        <v>8.0266669999999998</v>
      </c>
      <c r="K226">
        <v>8.235671</v>
      </c>
      <c r="L226">
        <v>8.4316169999999993</v>
      </c>
      <c r="M226">
        <v>8.6047229999999999</v>
      </c>
      <c r="N226">
        <v>8.7581489999999995</v>
      </c>
      <c r="O226">
        <v>8.8879529999999995</v>
      </c>
      <c r="P226">
        <v>8.9932660000000002</v>
      </c>
      <c r="Q226">
        <v>9.0730699999999995</v>
      </c>
      <c r="R226">
        <v>9.1100340000000006</v>
      </c>
      <c r="S226">
        <v>9.1353430000000007</v>
      </c>
      <c r="T226">
        <v>9.155996</v>
      </c>
      <c r="U226">
        <v>9.1489290000000008</v>
      </c>
      <c r="V226">
        <v>9.1335929999999994</v>
      </c>
      <c r="W226">
        <v>9.1254559999999998</v>
      </c>
      <c r="X226">
        <v>9.1447719999999997</v>
      </c>
      <c r="Y226">
        <v>9.1544419999999995</v>
      </c>
      <c r="Z226">
        <v>9.1553930000000001</v>
      </c>
      <c r="AA226">
        <v>9.1520589999999995</v>
      </c>
      <c r="AB226">
        <v>9.1620259999999991</v>
      </c>
      <c r="AC226">
        <v>9.1698070000000005</v>
      </c>
      <c r="AD226">
        <v>9.1916449999999994</v>
      </c>
      <c r="AE226">
        <v>9.2168109999999999</v>
      </c>
      <c r="AF226">
        <v>9.2265280000000001</v>
      </c>
      <c r="AG226" s="29">
        <v>8.9999999999999993E-3</v>
      </c>
    </row>
    <row r="227" spans="1:33" x14ac:dyDescent="0.25">
      <c r="A227" t="s">
        <v>171</v>
      </c>
      <c r="B227" t="s">
        <v>567</v>
      </c>
      <c r="C227" t="s">
        <v>566</v>
      </c>
      <c r="D227" t="s">
        <v>206</v>
      </c>
      <c r="F227">
        <v>8.0342880000000001</v>
      </c>
      <c r="G227">
        <v>8.2322190000000006</v>
      </c>
      <c r="H227">
        <v>8.4505730000000003</v>
      </c>
      <c r="I227">
        <v>8.6575150000000001</v>
      </c>
      <c r="J227">
        <v>8.8608019999999996</v>
      </c>
      <c r="K227">
        <v>9.0625509999999991</v>
      </c>
      <c r="L227">
        <v>9.2542179999999998</v>
      </c>
      <c r="M227">
        <v>9.4266679999999994</v>
      </c>
      <c r="N227">
        <v>9.5723140000000004</v>
      </c>
      <c r="O227">
        <v>9.6850860000000001</v>
      </c>
      <c r="P227">
        <v>9.7758880000000001</v>
      </c>
      <c r="Q227">
        <v>9.8407579999999992</v>
      </c>
      <c r="R227">
        <v>9.8381159999999994</v>
      </c>
      <c r="S227">
        <v>9.8358609999999995</v>
      </c>
      <c r="T227">
        <v>9.8339459999999992</v>
      </c>
      <c r="U227">
        <v>9.8322900000000004</v>
      </c>
      <c r="V227">
        <v>9.8308420000000005</v>
      </c>
      <c r="W227">
        <v>9.8295639999999995</v>
      </c>
      <c r="X227">
        <v>9.8284210000000005</v>
      </c>
      <c r="Y227">
        <v>9.8273869999999999</v>
      </c>
      <c r="Z227">
        <v>9.8272980000000008</v>
      </c>
      <c r="AA227">
        <v>9.8272980000000008</v>
      </c>
      <c r="AB227">
        <v>9.8272980000000008</v>
      </c>
      <c r="AC227">
        <v>9.8272980000000008</v>
      </c>
      <c r="AD227">
        <v>9.8272980000000008</v>
      </c>
      <c r="AE227">
        <v>9.827299</v>
      </c>
      <c r="AF227">
        <v>9.8272980000000008</v>
      </c>
      <c r="AG227" s="29">
        <v>8.0000000000000002E-3</v>
      </c>
    </row>
    <row r="228" spans="1:33" x14ac:dyDescent="0.25">
      <c r="A228" t="s">
        <v>155</v>
      </c>
      <c r="B228" t="s">
        <v>565</v>
      </c>
      <c r="C228" t="s">
        <v>564</v>
      </c>
      <c r="D228" t="s">
        <v>205</v>
      </c>
      <c r="F228">
        <v>20.468603000000002</v>
      </c>
      <c r="G228">
        <v>20.532591</v>
      </c>
      <c r="H228">
        <v>20.616028</v>
      </c>
      <c r="I228">
        <v>20.719861999999999</v>
      </c>
      <c r="J228">
        <v>20.841422999999999</v>
      </c>
      <c r="K228">
        <v>20.971781</v>
      </c>
      <c r="L228">
        <v>21.093063000000001</v>
      </c>
      <c r="M228">
        <v>21.147656999999999</v>
      </c>
      <c r="N228">
        <v>21.195461000000002</v>
      </c>
      <c r="O228">
        <v>21.235396999999999</v>
      </c>
      <c r="P228">
        <v>21.265718</v>
      </c>
      <c r="Q228">
        <v>21.284417999999999</v>
      </c>
      <c r="R228">
        <v>21.296794999999999</v>
      </c>
      <c r="S228">
        <v>21.296386999999999</v>
      </c>
      <c r="T228">
        <v>21.296099000000002</v>
      </c>
      <c r="U228">
        <v>21.295897</v>
      </c>
      <c r="V228">
        <v>21.295755</v>
      </c>
      <c r="W228">
        <v>21.295658</v>
      </c>
      <c r="X228">
        <v>21.295591000000002</v>
      </c>
      <c r="Y228">
        <v>21.295546000000002</v>
      </c>
      <c r="Z228">
        <v>21.295513</v>
      </c>
      <c r="AA228">
        <v>21.295490000000001</v>
      </c>
      <c r="AB228">
        <v>21.295477000000002</v>
      </c>
      <c r="AC228">
        <v>21.295466999999999</v>
      </c>
      <c r="AD228">
        <v>21.295462000000001</v>
      </c>
      <c r="AE228">
        <v>21.295456000000001</v>
      </c>
      <c r="AF228">
        <v>21.295452000000001</v>
      </c>
      <c r="AG228" s="29">
        <v>2E-3</v>
      </c>
    </row>
    <row r="229" spans="1:33" x14ac:dyDescent="0.25">
      <c r="A229" t="s">
        <v>172</v>
      </c>
      <c r="B229" t="s">
        <v>563</v>
      </c>
      <c r="C229" t="s">
        <v>562</v>
      </c>
      <c r="D229" t="s">
        <v>205</v>
      </c>
      <c r="F229">
        <v>0</v>
      </c>
      <c r="G229">
        <v>0</v>
      </c>
      <c r="H229">
        <v>10.021416</v>
      </c>
      <c r="I229">
        <v>10.224057</v>
      </c>
      <c r="J229">
        <v>10.358897000000001</v>
      </c>
      <c r="K229">
        <v>10.486587999999999</v>
      </c>
      <c r="L229">
        <v>10.638026</v>
      </c>
      <c r="M229">
        <v>10.812464</v>
      </c>
      <c r="N229">
        <v>11.011009</v>
      </c>
      <c r="O229">
        <v>11.011009</v>
      </c>
      <c r="P229">
        <v>11.011009</v>
      </c>
      <c r="Q229">
        <v>11.011009</v>
      </c>
      <c r="R229">
        <v>11.011009</v>
      </c>
      <c r="S229">
        <v>11.011009</v>
      </c>
      <c r="T229">
        <v>11.011009</v>
      </c>
      <c r="U229">
        <v>11.011009</v>
      </c>
      <c r="V229">
        <v>11.011009</v>
      </c>
      <c r="W229">
        <v>11.011009</v>
      </c>
      <c r="X229">
        <v>11.011009</v>
      </c>
      <c r="Y229">
        <v>11.011009</v>
      </c>
      <c r="Z229">
        <v>11.011009</v>
      </c>
      <c r="AA229">
        <v>11.011009</v>
      </c>
      <c r="AB229">
        <v>11.011009</v>
      </c>
      <c r="AC229">
        <v>11.011009</v>
      </c>
      <c r="AD229">
        <v>11.011009</v>
      </c>
      <c r="AE229">
        <v>11.011009</v>
      </c>
      <c r="AF229">
        <v>11.011009</v>
      </c>
      <c r="AG229" t="s">
        <v>23</v>
      </c>
    </row>
    <row r="230" spans="1:33" x14ac:dyDescent="0.25">
      <c r="A230" t="s">
        <v>173</v>
      </c>
      <c r="B230" t="s">
        <v>561</v>
      </c>
      <c r="C230" t="s">
        <v>560</v>
      </c>
      <c r="D230" t="s">
        <v>205</v>
      </c>
      <c r="F230">
        <v>0</v>
      </c>
      <c r="G230">
        <v>9.2793500000000009</v>
      </c>
      <c r="H230">
        <v>9.4812709999999996</v>
      </c>
      <c r="I230">
        <v>9.5533289999999997</v>
      </c>
      <c r="J230">
        <v>9.6466309999999993</v>
      </c>
      <c r="K230">
        <v>9.6466309999999993</v>
      </c>
      <c r="L230">
        <v>9.6466309999999993</v>
      </c>
      <c r="M230">
        <v>9.6466309999999993</v>
      </c>
      <c r="N230">
        <v>9.6466309999999993</v>
      </c>
      <c r="O230">
        <v>9.6466309999999993</v>
      </c>
      <c r="P230">
        <v>9.6466309999999993</v>
      </c>
      <c r="Q230">
        <v>9.6466309999999993</v>
      </c>
      <c r="R230">
        <v>9.6466309999999993</v>
      </c>
      <c r="S230">
        <v>9.6466309999999993</v>
      </c>
      <c r="T230">
        <v>9.6466309999999993</v>
      </c>
      <c r="U230">
        <v>9.6466309999999993</v>
      </c>
      <c r="V230">
        <v>9.6466309999999993</v>
      </c>
      <c r="W230">
        <v>9.6466309999999993</v>
      </c>
      <c r="X230">
        <v>9.6466309999999993</v>
      </c>
      <c r="Y230">
        <v>9.6466309999999993</v>
      </c>
      <c r="Z230">
        <v>9.6466309999999993</v>
      </c>
      <c r="AA230">
        <v>9.6466309999999993</v>
      </c>
      <c r="AB230">
        <v>9.6466309999999993</v>
      </c>
      <c r="AC230">
        <v>9.6466309999999993</v>
      </c>
      <c r="AD230">
        <v>9.6466309999999993</v>
      </c>
      <c r="AE230">
        <v>9.6466309999999993</v>
      </c>
      <c r="AF230">
        <v>9.6466309999999993</v>
      </c>
      <c r="AG230" t="s">
        <v>23</v>
      </c>
    </row>
    <row r="231" spans="1:33" x14ac:dyDescent="0.25">
      <c r="A231" t="s">
        <v>159</v>
      </c>
      <c r="B231" t="s">
        <v>559</v>
      </c>
      <c r="C231" t="s">
        <v>558</v>
      </c>
      <c r="D231" t="s">
        <v>205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23</v>
      </c>
    </row>
    <row r="232" spans="1:33" x14ac:dyDescent="0.25">
      <c r="A232" t="s">
        <v>300</v>
      </c>
      <c r="B232" t="s">
        <v>557</v>
      </c>
      <c r="C232" t="s">
        <v>556</v>
      </c>
      <c r="D232" t="s">
        <v>204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23</v>
      </c>
    </row>
    <row r="233" spans="1:33" x14ac:dyDescent="0.25">
      <c r="A233" t="s">
        <v>299</v>
      </c>
      <c r="B233" t="s">
        <v>555</v>
      </c>
      <c r="C233" t="s">
        <v>554</v>
      </c>
      <c r="D233" t="s">
        <v>205</v>
      </c>
      <c r="F233">
        <v>0</v>
      </c>
      <c r="G233">
        <v>9.8621339999999993</v>
      </c>
      <c r="H233">
        <v>9.8967150000000004</v>
      </c>
      <c r="I233">
        <v>9.9150019999999994</v>
      </c>
      <c r="J233">
        <v>9.9396450000000005</v>
      </c>
      <c r="K233">
        <v>9.9715810000000005</v>
      </c>
      <c r="L233">
        <v>10.039865000000001</v>
      </c>
      <c r="M233">
        <v>10.128325</v>
      </c>
      <c r="N233">
        <v>10.193020000000001</v>
      </c>
      <c r="O233">
        <v>10.295206</v>
      </c>
      <c r="P233">
        <v>10.388249999999999</v>
      </c>
      <c r="Q233">
        <v>10.430880999999999</v>
      </c>
      <c r="R233">
        <v>10.45384</v>
      </c>
      <c r="S233">
        <v>10.468995</v>
      </c>
      <c r="T233">
        <v>10.481465999999999</v>
      </c>
      <c r="U233">
        <v>10.491256999999999</v>
      </c>
      <c r="V233">
        <v>10.497921</v>
      </c>
      <c r="W233">
        <v>10.497920000000001</v>
      </c>
      <c r="X233">
        <v>10.497921</v>
      </c>
      <c r="Y233">
        <v>10.497921</v>
      </c>
      <c r="Z233">
        <v>10.497921</v>
      </c>
      <c r="AA233">
        <v>10.497921</v>
      </c>
      <c r="AB233">
        <v>10.497921</v>
      </c>
      <c r="AC233">
        <v>10.497921</v>
      </c>
      <c r="AD233">
        <v>10.497921</v>
      </c>
      <c r="AE233">
        <v>10.497921</v>
      </c>
      <c r="AF233">
        <v>10.497921</v>
      </c>
      <c r="AG233" t="s">
        <v>23</v>
      </c>
    </row>
    <row r="234" spans="1:33" x14ac:dyDescent="0.25">
      <c r="A234" t="s">
        <v>298</v>
      </c>
      <c r="B234" t="s">
        <v>553</v>
      </c>
      <c r="C234" t="s">
        <v>552</v>
      </c>
      <c r="D234" t="s">
        <v>204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23</v>
      </c>
    </row>
    <row r="235" spans="1:33" x14ac:dyDescent="0.25">
      <c r="A235" t="s">
        <v>185</v>
      </c>
      <c r="B235" t="s">
        <v>551</v>
      </c>
      <c r="C235" t="s">
        <v>550</v>
      </c>
      <c r="F235">
        <v>9.1279810000000001</v>
      </c>
      <c r="G235">
        <v>9.3468029999999995</v>
      </c>
      <c r="H235">
        <v>9.5876459999999994</v>
      </c>
      <c r="I235">
        <v>9.8079889999999992</v>
      </c>
      <c r="J235">
        <v>10.023955000000001</v>
      </c>
      <c r="K235">
        <v>10.233446000000001</v>
      </c>
      <c r="L235">
        <v>10.426334000000001</v>
      </c>
      <c r="M235">
        <v>10.585993999999999</v>
      </c>
      <c r="N235">
        <v>10.698321999999999</v>
      </c>
      <c r="O235">
        <v>10.756053</v>
      </c>
      <c r="P235">
        <v>10.781209</v>
      </c>
      <c r="Q235">
        <v>10.763572999999999</v>
      </c>
      <c r="R235">
        <v>10.683064</v>
      </c>
      <c r="S235">
        <v>10.608274</v>
      </c>
      <c r="T235">
        <v>10.550203</v>
      </c>
      <c r="U235">
        <v>10.505644999999999</v>
      </c>
      <c r="V235">
        <v>10.473542999999999</v>
      </c>
      <c r="W235">
        <v>10.449609000000001</v>
      </c>
      <c r="X235">
        <v>10.432373</v>
      </c>
      <c r="Y235">
        <v>10.420355000000001</v>
      </c>
      <c r="Z235">
        <v>10.412753</v>
      </c>
      <c r="AA235">
        <v>10.407598</v>
      </c>
      <c r="AB235">
        <v>10.404016</v>
      </c>
      <c r="AC235">
        <v>10.400836</v>
      </c>
      <c r="AD235">
        <v>10.39828</v>
      </c>
      <c r="AE235">
        <v>10.395341999999999</v>
      </c>
      <c r="AF235">
        <v>10.393948</v>
      </c>
      <c r="AG235" s="29">
        <v>5.0000000000000001E-3</v>
      </c>
    </row>
    <row r="236" spans="1:33" x14ac:dyDescent="0.25">
      <c r="A236" t="s">
        <v>177</v>
      </c>
    </row>
    <row r="237" spans="1:33" x14ac:dyDescent="0.25">
      <c r="A237" t="s">
        <v>167</v>
      </c>
      <c r="B237" t="s">
        <v>549</v>
      </c>
      <c r="C237" t="s">
        <v>548</v>
      </c>
      <c r="D237" t="s">
        <v>204</v>
      </c>
      <c r="F237">
        <v>6.8624530000000004</v>
      </c>
      <c r="G237">
        <v>7.0176189999999998</v>
      </c>
      <c r="H237">
        <v>7.1843830000000004</v>
      </c>
      <c r="I237">
        <v>7.3522480000000003</v>
      </c>
      <c r="J237">
        <v>7.5117200000000004</v>
      </c>
      <c r="K237">
        <v>7.6655379999999997</v>
      </c>
      <c r="L237">
        <v>7.7929139999999997</v>
      </c>
      <c r="M237">
        <v>7.9047320000000001</v>
      </c>
      <c r="N237">
        <v>7.9926409999999999</v>
      </c>
      <c r="O237">
        <v>8.0601009999999995</v>
      </c>
      <c r="P237">
        <v>8.1108750000000001</v>
      </c>
      <c r="Q237">
        <v>8.1426850000000002</v>
      </c>
      <c r="R237">
        <v>8.1450519999999997</v>
      </c>
      <c r="S237">
        <v>8.1467080000000003</v>
      </c>
      <c r="T237">
        <v>8.1442990000000002</v>
      </c>
      <c r="U237">
        <v>8.1463560000000008</v>
      </c>
      <c r="V237">
        <v>8.1463929999999998</v>
      </c>
      <c r="W237">
        <v>8.1463429999999999</v>
      </c>
      <c r="X237">
        <v>8.1464379999999998</v>
      </c>
      <c r="Y237">
        <v>8.1440920000000006</v>
      </c>
      <c r="Z237">
        <v>8.1438550000000003</v>
      </c>
      <c r="AA237">
        <v>8.1438740000000003</v>
      </c>
      <c r="AB237">
        <v>8.1432500000000001</v>
      </c>
      <c r="AC237">
        <v>8.1429019999999994</v>
      </c>
      <c r="AD237">
        <v>8.1380999999999997</v>
      </c>
      <c r="AE237">
        <v>8.1375489999999999</v>
      </c>
      <c r="AF237">
        <v>8.1374619999999993</v>
      </c>
      <c r="AG237" s="29">
        <v>7.0000000000000001E-3</v>
      </c>
    </row>
    <row r="238" spans="1:33" x14ac:dyDescent="0.25">
      <c r="A238" t="s">
        <v>168</v>
      </c>
      <c r="B238" t="s">
        <v>547</v>
      </c>
      <c r="C238" t="s">
        <v>546</v>
      </c>
      <c r="D238" t="s">
        <v>205</v>
      </c>
      <c r="F238">
        <v>5.5283899999999999</v>
      </c>
      <c r="G238">
        <v>5.6677540000000004</v>
      </c>
      <c r="H238">
        <v>5.8193339999999996</v>
      </c>
      <c r="I238">
        <v>5.9614390000000004</v>
      </c>
      <c r="J238">
        <v>6.0965199999999999</v>
      </c>
      <c r="K238">
        <v>6.2297969999999996</v>
      </c>
      <c r="L238">
        <v>6.3555460000000004</v>
      </c>
      <c r="M238">
        <v>6.4679209999999996</v>
      </c>
      <c r="N238">
        <v>6.5620820000000002</v>
      </c>
      <c r="O238">
        <v>6.6345039999999997</v>
      </c>
      <c r="P238">
        <v>6.6923459999999997</v>
      </c>
      <c r="Q238">
        <v>6.7331079999999996</v>
      </c>
      <c r="R238">
        <v>6.7294159999999996</v>
      </c>
      <c r="S238">
        <v>6.7262579999999996</v>
      </c>
      <c r="T238">
        <v>6.723573</v>
      </c>
      <c r="U238">
        <v>6.7212490000000003</v>
      </c>
      <c r="V238">
        <v>6.7192170000000004</v>
      </c>
      <c r="W238">
        <v>6.7174230000000001</v>
      </c>
      <c r="X238">
        <v>6.7158129999999998</v>
      </c>
      <c r="Y238">
        <v>6.7143459999999999</v>
      </c>
      <c r="Z238">
        <v>6.7129890000000003</v>
      </c>
      <c r="AA238">
        <v>6.7117690000000003</v>
      </c>
      <c r="AB238">
        <v>6.7106870000000001</v>
      </c>
      <c r="AC238">
        <v>6.7097610000000003</v>
      </c>
      <c r="AD238">
        <v>6.7089619999999996</v>
      </c>
      <c r="AE238">
        <v>6.7082750000000004</v>
      </c>
      <c r="AF238">
        <v>6.7077359999999997</v>
      </c>
      <c r="AG238" s="29">
        <v>7.0000000000000001E-3</v>
      </c>
    </row>
    <row r="239" spans="1:33" x14ac:dyDescent="0.25">
      <c r="A239" t="s">
        <v>169</v>
      </c>
      <c r="B239" t="s">
        <v>545</v>
      </c>
      <c r="C239" t="s">
        <v>544</v>
      </c>
      <c r="D239" t="s">
        <v>205</v>
      </c>
      <c r="F239">
        <v>5.4372439999999997</v>
      </c>
      <c r="G239">
        <v>5.5245800000000003</v>
      </c>
      <c r="H239">
        <v>5.5677580000000004</v>
      </c>
      <c r="I239">
        <v>5.6220689999999998</v>
      </c>
      <c r="J239">
        <v>5.6845129999999999</v>
      </c>
      <c r="K239">
        <v>5.7616360000000002</v>
      </c>
      <c r="L239">
        <v>5.8562839999999996</v>
      </c>
      <c r="M239">
        <v>5.9682110000000002</v>
      </c>
      <c r="N239">
        <v>6.0886110000000002</v>
      </c>
      <c r="O239">
        <v>6.2060690000000003</v>
      </c>
      <c r="P239">
        <v>6.3273029999999997</v>
      </c>
      <c r="Q239">
        <v>6.4255699999999996</v>
      </c>
      <c r="R239">
        <v>6.5132250000000003</v>
      </c>
      <c r="S239">
        <v>6.5731999999999999</v>
      </c>
      <c r="T239">
        <v>6.6169479999999998</v>
      </c>
      <c r="U239">
        <v>6.6467029999999996</v>
      </c>
      <c r="V239">
        <v>6.659745</v>
      </c>
      <c r="W239">
        <v>6.6698519999999997</v>
      </c>
      <c r="X239">
        <v>6.6757249999999999</v>
      </c>
      <c r="Y239">
        <v>6.675643</v>
      </c>
      <c r="Z239">
        <v>6.6756099999999998</v>
      </c>
      <c r="AA239">
        <v>6.6746559999999997</v>
      </c>
      <c r="AB239">
        <v>6.6771929999999999</v>
      </c>
      <c r="AC239">
        <v>6.6810499999999999</v>
      </c>
      <c r="AD239">
        <v>6.6854810000000002</v>
      </c>
      <c r="AE239">
        <v>6.6909190000000001</v>
      </c>
      <c r="AF239">
        <v>6.6984519999999996</v>
      </c>
      <c r="AG239" s="29">
        <v>8.0000000000000002E-3</v>
      </c>
    </row>
    <row r="240" spans="1:33" x14ac:dyDescent="0.25">
      <c r="A240" t="s">
        <v>170</v>
      </c>
      <c r="B240" t="s">
        <v>543</v>
      </c>
      <c r="C240" t="s">
        <v>542</v>
      </c>
      <c r="D240" t="s">
        <v>204</v>
      </c>
      <c r="F240">
        <v>5.6899410000000001</v>
      </c>
      <c r="G240">
        <v>5.8690319999999998</v>
      </c>
      <c r="H240">
        <v>6.0111840000000001</v>
      </c>
      <c r="I240">
        <v>6.1010439999999999</v>
      </c>
      <c r="J240">
        <v>6.2319899999999997</v>
      </c>
      <c r="K240">
        <v>6.36381</v>
      </c>
      <c r="L240">
        <v>6.480442</v>
      </c>
      <c r="M240">
        <v>6.5830200000000003</v>
      </c>
      <c r="N240">
        <v>6.6688960000000002</v>
      </c>
      <c r="O240">
        <v>6.7348330000000001</v>
      </c>
      <c r="P240">
        <v>6.7896280000000004</v>
      </c>
      <c r="Q240">
        <v>6.8331369999999998</v>
      </c>
      <c r="R240">
        <v>6.8360130000000003</v>
      </c>
      <c r="S240">
        <v>6.8514400000000002</v>
      </c>
      <c r="T240">
        <v>6.8495600000000003</v>
      </c>
      <c r="U240">
        <v>6.8668829999999996</v>
      </c>
      <c r="V240">
        <v>6.8978650000000004</v>
      </c>
      <c r="W240">
        <v>6.922809</v>
      </c>
      <c r="X240">
        <v>6.9350180000000003</v>
      </c>
      <c r="Y240">
        <v>6.9377930000000001</v>
      </c>
      <c r="Z240">
        <v>6.9690779999999997</v>
      </c>
      <c r="AA240">
        <v>6.9773649999999998</v>
      </c>
      <c r="AB240">
        <v>7.0204279999999999</v>
      </c>
      <c r="AC240">
        <v>7.0619449999999997</v>
      </c>
      <c r="AD240">
        <v>7.1275449999999996</v>
      </c>
      <c r="AE240">
        <v>7.1666280000000002</v>
      </c>
      <c r="AF240">
        <v>7.2303740000000003</v>
      </c>
      <c r="AG240" s="29">
        <v>8.9999999999999993E-3</v>
      </c>
    </row>
    <row r="241" spans="1:33" x14ac:dyDescent="0.25">
      <c r="A241" t="s">
        <v>171</v>
      </c>
      <c r="B241" t="s">
        <v>541</v>
      </c>
      <c r="C241" t="s">
        <v>540</v>
      </c>
      <c r="D241" t="s">
        <v>205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23</v>
      </c>
    </row>
    <row r="242" spans="1:33" x14ac:dyDescent="0.25">
      <c r="A242" t="s">
        <v>155</v>
      </c>
      <c r="B242" t="s">
        <v>539</v>
      </c>
      <c r="C242" t="s">
        <v>538</v>
      </c>
      <c r="D242" t="s">
        <v>204</v>
      </c>
      <c r="F242">
        <v>13.553058</v>
      </c>
      <c r="G242">
        <v>13.654142999999999</v>
      </c>
      <c r="H242">
        <v>13.78584</v>
      </c>
      <c r="I242">
        <v>13.926949</v>
      </c>
      <c r="J242">
        <v>14.084097</v>
      </c>
      <c r="K242">
        <v>14.299403999999999</v>
      </c>
      <c r="L242">
        <v>14.499537999999999</v>
      </c>
      <c r="M242">
        <v>14.670741</v>
      </c>
      <c r="N242">
        <v>14.874043</v>
      </c>
      <c r="O242">
        <v>15.077652</v>
      </c>
      <c r="P242">
        <v>15.165792</v>
      </c>
      <c r="Q242">
        <v>15.2387</v>
      </c>
      <c r="R242">
        <v>15.287716</v>
      </c>
      <c r="S242">
        <v>15.326226999999999</v>
      </c>
      <c r="T242">
        <v>15.354395</v>
      </c>
      <c r="U242">
        <v>15.370070999999999</v>
      </c>
      <c r="V242">
        <v>15.375595000000001</v>
      </c>
      <c r="W242">
        <v>15.377668999999999</v>
      </c>
      <c r="X242">
        <v>15.379139</v>
      </c>
      <c r="Y242">
        <v>15.380027</v>
      </c>
      <c r="Z242">
        <v>15.380454</v>
      </c>
      <c r="AA242">
        <v>15.380836</v>
      </c>
      <c r="AB242">
        <v>15.380919</v>
      </c>
      <c r="AC242">
        <v>15.380917</v>
      </c>
      <c r="AD242">
        <v>15.380915</v>
      </c>
      <c r="AE242">
        <v>15.380915</v>
      </c>
      <c r="AF242">
        <v>15.380915999999999</v>
      </c>
      <c r="AG242" s="29">
        <v>5.0000000000000001E-3</v>
      </c>
    </row>
    <row r="243" spans="1:33" x14ac:dyDescent="0.25">
      <c r="A243" t="s">
        <v>172</v>
      </c>
      <c r="B243" t="s">
        <v>537</v>
      </c>
      <c r="C243" t="s">
        <v>536</v>
      </c>
      <c r="D243" t="s">
        <v>204</v>
      </c>
      <c r="F243">
        <v>0</v>
      </c>
      <c r="G243">
        <v>0</v>
      </c>
      <c r="H243">
        <v>8.8917629999999992</v>
      </c>
      <c r="I243">
        <v>9.0715620000000001</v>
      </c>
      <c r="J243">
        <v>9.1912020000000005</v>
      </c>
      <c r="K243">
        <v>9.3044989999999999</v>
      </c>
      <c r="L243">
        <v>9.4388670000000001</v>
      </c>
      <c r="M243">
        <v>9.5936409999999999</v>
      </c>
      <c r="N243">
        <v>9.7698049999999999</v>
      </c>
      <c r="O243">
        <v>9.7698049999999999</v>
      </c>
      <c r="P243">
        <v>9.7698049999999999</v>
      </c>
      <c r="Q243">
        <v>9.7698049999999999</v>
      </c>
      <c r="R243">
        <v>9.7698049999999999</v>
      </c>
      <c r="S243">
        <v>9.7698049999999999</v>
      </c>
      <c r="T243">
        <v>9.7698049999999999</v>
      </c>
      <c r="U243">
        <v>9.7698049999999999</v>
      </c>
      <c r="V243">
        <v>9.7698049999999999</v>
      </c>
      <c r="W243">
        <v>9.7698049999999999</v>
      </c>
      <c r="X243">
        <v>9.7698049999999999</v>
      </c>
      <c r="Y243">
        <v>9.7698049999999999</v>
      </c>
      <c r="Z243">
        <v>9.7698049999999999</v>
      </c>
      <c r="AA243">
        <v>9.7698049999999999</v>
      </c>
      <c r="AB243">
        <v>9.7698049999999999</v>
      </c>
      <c r="AC243">
        <v>9.7698049999999999</v>
      </c>
      <c r="AD243">
        <v>9.7698049999999999</v>
      </c>
      <c r="AE243">
        <v>9.7698049999999999</v>
      </c>
      <c r="AF243">
        <v>9.7698049999999999</v>
      </c>
      <c r="AG243" t="s">
        <v>23</v>
      </c>
    </row>
    <row r="244" spans="1:33" x14ac:dyDescent="0.25">
      <c r="A244" t="s">
        <v>173</v>
      </c>
      <c r="B244" t="s">
        <v>535</v>
      </c>
      <c r="C244" t="s">
        <v>534</v>
      </c>
      <c r="D244" t="s">
        <v>205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23</v>
      </c>
    </row>
    <row r="245" spans="1:33" x14ac:dyDescent="0.25">
      <c r="A245" t="s">
        <v>159</v>
      </c>
      <c r="B245" t="s">
        <v>533</v>
      </c>
      <c r="C245" t="s">
        <v>532</v>
      </c>
      <c r="D245" t="s">
        <v>204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23</v>
      </c>
    </row>
    <row r="246" spans="1:33" x14ac:dyDescent="0.25">
      <c r="A246" t="s">
        <v>300</v>
      </c>
      <c r="B246" t="s">
        <v>531</v>
      </c>
      <c r="C246" t="s">
        <v>530</v>
      </c>
      <c r="D246" t="s">
        <v>204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23</v>
      </c>
    </row>
    <row r="247" spans="1:33" x14ac:dyDescent="0.25">
      <c r="A247" t="s">
        <v>299</v>
      </c>
      <c r="B247" t="s">
        <v>529</v>
      </c>
      <c r="C247" t="s">
        <v>528</v>
      </c>
      <c r="D247" t="s">
        <v>205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23</v>
      </c>
    </row>
    <row r="248" spans="1:33" x14ac:dyDescent="0.25">
      <c r="A248" t="s">
        <v>298</v>
      </c>
      <c r="B248" t="s">
        <v>527</v>
      </c>
      <c r="C248" t="s">
        <v>526</v>
      </c>
      <c r="D248" t="s">
        <v>204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23</v>
      </c>
    </row>
    <row r="249" spans="1:33" x14ac:dyDescent="0.25">
      <c r="A249" t="s">
        <v>186</v>
      </c>
      <c r="B249" t="s">
        <v>525</v>
      </c>
      <c r="C249" t="s">
        <v>524</v>
      </c>
      <c r="F249">
        <v>6.8548869999999997</v>
      </c>
      <c r="G249">
        <v>7.008928</v>
      </c>
      <c r="H249">
        <v>7.1755069999999996</v>
      </c>
      <c r="I249">
        <v>7.3440310000000002</v>
      </c>
      <c r="J249">
        <v>7.5033560000000001</v>
      </c>
      <c r="K249">
        <v>7.6570200000000002</v>
      </c>
      <c r="L249">
        <v>7.7844319999999998</v>
      </c>
      <c r="M249">
        <v>7.8963190000000001</v>
      </c>
      <c r="N249">
        <v>7.9844039999999996</v>
      </c>
      <c r="O249">
        <v>8.0514679999999998</v>
      </c>
      <c r="P249">
        <v>8.1022870000000005</v>
      </c>
      <c r="Q249">
        <v>8.1342009999999991</v>
      </c>
      <c r="R249">
        <v>8.1366180000000004</v>
      </c>
      <c r="S249">
        <v>8.1379459999999995</v>
      </c>
      <c r="T249">
        <v>8.1357149999999994</v>
      </c>
      <c r="U249">
        <v>8.1375189999999993</v>
      </c>
      <c r="V249">
        <v>8.1371649999999995</v>
      </c>
      <c r="W249">
        <v>8.1364129999999992</v>
      </c>
      <c r="X249">
        <v>8.1363679999999992</v>
      </c>
      <c r="Y249">
        <v>8.1339330000000007</v>
      </c>
      <c r="Z249">
        <v>8.1331659999999992</v>
      </c>
      <c r="AA249">
        <v>8.1322799999999997</v>
      </c>
      <c r="AB249">
        <v>8.1308959999999999</v>
      </c>
      <c r="AC249">
        <v>8.1295079999999995</v>
      </c>
      <c r="AD249">
        <v>8.123742</v>
      </c>
      <c r="AE249">
        <v>8.1220119999999998</v>
      </c>
      <c r="AF249">
        <v>8.1205160000000003</v>
      </c>
      <c r="AG249" s="29">
        <v>7.0000000000000001E-3</v>
      </c>
    </row>
    <row r="250" spans="1:33" x14ac:dyDescent="0.25">
      <c r="A250" t="s">
        <v>187</v>
      </c>
      <c r="B250" t="s">
        <v>523</v>
      </c>
      <c r="C250" t="s">
        <v>522</v>
      </c>
      <c r="F250">
        <v>7.7845329999999997</v>
      </c>
      <c r="G250">
        <v>8.1700400000000002</v>
      </c>
      <c r="H250">
        <v>8.3375160000000008</v>
      </c>
      <c r="I250">
        <v>8.4989089999999994</v>
      </c>
      <c r="J250">
        <v>8.694566</v>
      </c>
      <c r="K250">
        <v>8.8765870000000007</v>
      </c>
      <c r="L250">
        <v>9.0367379999999997</v>
      </c>
      <c r="M250">
        <v>9.1778119999999994</v>
      </c>
      <c r="N250">
        <v>9.2946340000000003</v>
      </c>
      <c r="O250">
        <v>9.3798370000000002</v>
      </c>
      <c r="P250">
        <v>9.462923</v>
      </c>
      <c r="Q250">
        <v>9.5250459999999997</v>
      </c>
      <c r="R250">
        <v>9.545712</v>
      </c>
      <c r="S250">
        <v>9.5580890000000007</v>
      </c>
      <c r="T250">
        <v>9.5769409999999997</v>
      </c>
      <c r="U250">
        <v>9.6088719999999999</v>
      </c>
      <c r="V250">
        <v>9.6380960000000009</v>
      </c>
      <c r="W250">
        <v>9.6714420000000008</v>
      </c>
      <c r="X250">
        <v>9.6972349999999992</v>
      </c>
      <c r="Y250">
        <v>9.7202509999999993</v>
      </c>
      <c r="Z250">
        <v>9.7451000000000008</v>
      </c>
      <c r="AA250">
        <v>9.7827490000000008</v>
      </c>
      <c r="AB250">
        <v>9.8186359999999997</v>
      </c>
      <c r="AC250">
        <v>9.8371399999999998</v>
      </c>
      <c r="AD250">
        <v>9.8385599999999993</v>
      </c>
      <c r="AE250">
        <v>9.8505929999999999</v>
      </c>
      <c r="AF250">
        <v>9.8773979999999995</v>
      </c>
      <c r="AG250" s="29">
        <v>8.9999999999999993E-3</v>
      </c>
    </row>
    <row r="251" spans="1:33" x14ac:dyDescent="0.25">
      <c r="A251" t="s">
        <v>189</v>
      </c>
    </row>
    <row r="252" spans="1:33" x14ac:dyDescent="0.25">
      <c r="A252" t="s">
        <v>166</v>
      </c>
    </row>
    <row r="253" spans="1:33" x14ac:dyDescent="0.25">
      <c r="A253" t="s">
        <v>167</v>
      </c>
      <c r="B253" t="s">
        <v>521</v>
      </c>
      <c r="C253" t="s">
        <v>520</v>
      </c>
      <c r="D253" t="s">
        <v>132</v>
      </c>
      <c r="F253">
        <v>119.36211400000001</v>
      </c>
      <c r="G253">
        <v>168.04504399999999</v>
      </c>
      <c r="H253">
        <v>172.93017599999999</v>
      </c>
      <c r="I253">
        <v>173.02984599999999</v>
      </c>
      <c r="J253">
        <v>157.32209800000001</v>
      </c>
      <c r="K253">
        <v>139.67721599999999</v>
      </c>
      <c r="L253">
        <v>122.53037999999999</v>
      </c>
      <c r="M253">
        <v>104.252419</v>
      </c>
      <c r="N253">
        <v>88.038826</v>
      </c>
      <c r="O253">
        <v>79.593902999999997</v>
      </c>
      <c r="P253">
        <v>71.125832000000003</v>
      </c>
      <c r="Q253">
        <v>62.814281000000001</v>
      </c>
      <c r="R253">
        <v>56.953330999999999</v>
      </c>
      <c r="S253">
        <v>52.718108999999998</v>
      </c>
      <c r="T253">
        <v>45.731597999999998</v>
      </c>
      <c r="U253">
        <v>38.088886000000002</v>
      </c>
      <c r="V253">
        <v>34.851616</v>
      </c>
      <c r="W253">
        <v>30.140041</v>
      </c>
      <c r="X253">
        <v>25.780429999999999</v>
      </c>
      <c r="Y253">
        <v>21.591252999999998</v>
      </c>
      <c r="Z253">
        <v>19.974440000000001</v>
      </c>
      <c r="AA253">
        <v>19.347550999999999</v>
      </c>
      <c r="AB253">
        <v>18.670155999999999</v>
      </c>
      <c r="AC253">
        <v>16.993980000000001</v>
      </c>
      <c r="AD253">
        <v>15.383893</v>
      </c>
      <c r="AE253">
        <v>14.574971</v>
      </c>
      <c r="AF253">
        <v>14.517200000000001</v>
      </c>
      <c r="AG253" s="29">
        <v>-7.8E-2</v>
      </c>
    </row>
    <row r="254" spans="1:33" x14ac:dyDescent="0.25">
      <c r="A254" t="s">
        <v>168</v>
      </c>
      <c r="B254" t="s">
        <v>519</v>
      </c>
      <c r="C254" t="s">
        <v>518</v>
      </c>
      <c r="D254" t="s">
        <v>132</v>
      </c>
      <c r="F254">
        <v>96.207825</v>
      </c>
      <c r="G254">
        <v>140.926468</v>
      </c>
      <c r="H254">
        <v>150.30540500000001</v>
      </c>
      <c r="I254">
        <v>155.36149599999999</v>
      </c>
      <c r="J254">
        <v>145.78999300000001</v>
      </c>
      <c r="K254">
        <v>133.32659899999999</v>
      </c>
      <c r="L254">
        <v>120.12693</v>
      </c>
      <c r="M254">
        <v>104.729378</v>
      </c>
      <c r="N254">
        <v>90.536331000000004</v>
      </c>
      <c r="O254">
        <v>83.471191000000005</v>
      </c>
      <c r="P254">
        <v>75.916870000000003</v>
      </c>
      <c r="Q254">
        <v>68.160194000000004</v>
      </c>
      <c r="R254">
        <v>62.740749000000001</v>
      </c>
      <c r="S254">
        <v>58.886211000000003</v>
      </c>
      <c r="T254">
        <v>51.738425999999997</v>
      </c>
      <c r="U254">
        <v>43.728943000000001</v>
      </c>
      <c r="V254">
        <v>40.399540000000002</v>
      </c>
      <c r="W254">
        <v>35.366146000000001</v>
      </c>
      <c r="X254">
        <v>30.567242</v>
      </c>
      <c r="Y254">
        <v>25.960905</v>
      </c>
      <c r="Z254">
        <v>24.193511999999998</v>
      </c>
      <c r="AA254">
        <v>23.534416</v>
      </c>
      <c r="AB254">
        <v>22.799233999999998</v>
      </c>
      <c r="AC254">
        <v>20.943881999999999</v>
      </c>
      <c r="AD254">
        <v>19.132334</v>
      </c>
      <c r="AE254">
        <v>18.236712000000001</v>
      </c>
      <c r="AF254">
        <v>18.209972</v>
      </c>
      <c r="AG254" s="29">
        <v>-6.2E-2</v>
      </c>
    </row>
    <row r="255" spans="1:33" x14ac:dyDescent="0.25">
      <c r="A255" t="s">
        <v>169</v>
      </c>
      <c r="B255" t="s">
        <v>517</v>
      </c>
      <c r="C255" t="s">
        <v>516</v>
      </c>
      <c r="D255" t="s">
        <v>132</v>
      </c>
      <c r="F255">
        <v>2.1840000000000002E-3</v>
      </c>
      <c r="G255">
        <v>3.1580000000000002E-3</v>
      </c>
      <c r="H255">
        <v>3.3180000000000002E-3</v>
      </c>
      <c r="I255">
        <v>3.3869999999999998E-3</v>
      </c>
      <c r="J255">
        <v>3.339E-3</v>
      </c>
      <c r="K255">
        <v>3.3189999999999999E-3</v>
      </c>
      <c r="L255">
        <v>3.3140000000000001E-3</v>
      </c>
      <c r="M255">
        <v>3.2829999999999999E-3</v>
      </c>
      <c r="N255">
        <v>3.297E-3</v>
      </c>
      <c r="O255">
        <v>3.3509999999999998E-3</v>
      </c>
      <c r="P255">
        <v>3.4060000000000002E-3</v>
      </c>
      <c r="Q255">
        <v>3.4459999999999998E-3</v>
      </c>
      <c r="R255">
        <v>3.4849999999999998E-3</v>
      </c>
      <c r="S255">
        <v>3.5249999999999999E-3</v>
      </c>
      <c r="T255">
        <v>3.5739999999999999E-3</v>
      </c>
      <c r="U255">
        <v>3.5969999999999999E-3</v>
      </c>
      <c r="V255">
        <v>3.5799999999999998E-3</v>
      </c>
      <c r="W255">
        <v>3.5400000000000002E-3</v>
      </c>
      <c r="X255">
        <v>3.49E-3</v>
      </c>
      <c r="Y255">
        <v>3.4650000000000002E-3</v>
      </c>
      <c r="Z255">
        <v>3.4420000000000002E-3</v>
      </c>
      <c r="AA255">
        <v>3.4429999999999999E-3</v>
      </c>
      <c r="AB255">
        <v>3.444E-3</v>
      </c>
      <c r="AC255">
        <v>3.46E-3</v>
      </c>
      <c r="AD255">
        <v>3.4650000000000002E-3</v>
      </c>
      <c r="AE255">
        <v>3.46E-3</v>
      </c>
      <c r="AF255">
        <v>3.4520000000000002E-3</v>
      </c>
      <c r="AG255" s="29">
        <v>1.7999999999999999E-2</v>
      </c>
    </row>
    <row r="256" spans="1:33" x14ac:dyDescent="0.25">
      <c r="A256" t="s">
        <v>170</v>
      </c>
      <c r="B256" t="s">
        <v>515</v>
      </c>
      <c r="C256" t="s">
        <v>514</v>
      </c>
      <c r="D256" t="s">
        <v>132</v>
      </c>
      <c r="F256">
        <v>1.8444510000000001</v>
      </c>
      <c r="G256">
        <v>3.3833199999999999</v>
      </c>
      <c r="H256">
        <v>3.7551990000000002</v>
      </c>
      <c r="I256">
        <v>3.9225240000000001</v>
      </c>
      <c r="J256">
        <v>3.0337079999999998</v>
      </c>
      <c r="K256">
        <v>3.2252130000000001</v>
      </c>
      <c r="L256">
        <v>2.9592960000000001</v>
      </c>
      <c r="M256">
        <v>2.4964080000000002</v>
      </c>
      <c r="N256">
        <v>2.3470780000000002</v>
      </c>
      <c r="O256">
        <v>2.1422949999999998</v>
      </c>
      <c r="P256">
        <v>2.5325519999999999</v>
      </c>
      <c r="Q256">
        <v>2.9827849999999998</v>
      </c>
      <c r="R256">
        <v>3.393907</v>
      </c>
      <c r="S256">
        <v>4.0493690000000004</v>
      </c>
      <c r="T256">
        <v>5.0462020000000001</v>
      </c>
      <c r="U256">
        <v>5.6631039999999997</v>
      </c>
      <c r="V256">
        <v>6.637721</v>
      </c>
      <c r="W256">
        <v>7.7824429999999998</v>
      </c>
      <c r="X256">
        <v>8.7570530000000009</v>
      </c>
      <c r="Y256">
        <v>9.5117189999999994</v>
      </c>
      <c r="Z256">
        <v>10.158861999999999</v>
      </c>
      <c r="AA256">
        <v>10.974225000000001</v>
      </c>
      <c r="AB256">
        <v>11.79744</v>
      </c>
      <c r="AC256">
        <v>12.722552</v>
      </c>
      <c r="AD256">
        <v>13.328785</v>
      </c>
      <c r="AE256">
        <v>14.058415999999999</v>
      </c>
      <c r="AF256">
        <v>14.624667000000001</v>
      </c>
      <c r="AG256" s="29">
        <v>8.3000000000000004E-2</v>
      </c>
    </row>
    <row r="257" spans="1:33" x14ac:dyDescent="0.25">
      <c r="A257" t="s">
        <v>171</v>
      </c>
      <c r="B257" t="s">
        <v>513</v>
      </c>
      <c r="C257" t="s">
        <v>512</v>
      </c>
      <c r="D257" t="s">
        <v>132</v>
      </c>
      <c r="F257">
        <v>2.1840000000000002E-3</v>
      </c>
      <c r="G257">
        <v>3.1580000000000002E-3</v>
      </c>
      <c r="H257">
        <v>3.3180000000000002E-3</v>
      </c>
      <c r="I257">
        <v>3.3869999999999998E-3</v>
      </c>
      <c r="J257">
        <v>3.339E-3</v>
      </c>
      <c r="K257">
        <v>3.3189999999999999E-3</v>
      </c>
      <c r="L257">
        <v>3.3140000000000001E-3</v>
      </c>
      <c r="M257">
        <v>3.2829999999999999E-3</v>
      </c>
      <c r="N257">
        <v>3.297E-3</v>
      </c>
      <c r="O257">
        <v>3.3509999999999998E-3</v>
      </c>
      <c r="P257">
        <v>3.4060000000000002E-3</v>
      </c>
      <c r="Q257">
        <v>3.4459999999999998E-3</v>
      </c>
      <c r="R257">
        <v>3.4849999999999998E-3</v>
      </c>
      <c r="S257">
        <v>3.5249999999999999E-3</v>
      </c>
      <c r="T257">
        <v>3.5739999999999999E-3</v>
      </c>
      <c r="U257">
        <v>3.5969999999999999E-3</v>
      </c>
      <c r="V257">
        <v>3.5799999999999998E-3</v>
      </c>
      <c r="W257">
        <v>3.5400000000000002E-3</v>
      </c>
      <c r="X257">
        <v>3.49E-3</v>
      </c>
      <c r="Y257">
        <v>3.4650000000000002E-3</v>
      </c>
      <c r="Z257">
        <v>3.4420000000000002E-3</v>
      </c>
      <c r="AA257">
        <v>3.4429999999999999E-3</v>
      </c>
      <c r="AB257">
        <v>3.444E-3</v>
      </c>
      <c r="AC257">
        <v>3.46E-3</v>
      </c>
      <c r="AD257">
        <v>3.4650000000000002E-3</v>
      </c>
      <c r="AE257">
        <v>3.46E-3</v>
      </c>
      <c r="AF257">
        <v>3.4520000000000002E-3</v>
      </c>
      <c r="AG257" s="29">
        <v>1.7999999999999999E-2</v>
      </c>
    </row>
    <row r="258" spans="1:33" x14ac:dyDescent="0.25">
      <c r="A258" t="s">
        <v>155</v>
      </c>
      <c r="B258" t="s">
        <v>511</v>
      </c>
      <c r="C258" t="s">
        <v>510</v>
      </c>
      <c r="D258" t="s">
        <v>132</v>
      </c>
      <c r="F258">
        <v>0.94423100000000004</v>
      </c>
      <c r="G258">
        <v>1.365408</v>
      </c>
      <c r="H258">
        <v>1.4345939999999999</v>
      </c>
      <c r="I258">
        <v>1.464623</v>
      </c>
      <c r="J258">
        <v>1.4437329999999999</v>
      </c>
      <c r="K258">
        <v>1.4353499999999999</v>
      </c>
      <c r="L258">
        <v>1.650101</v>
      </c>
      <c r="M258">
        <v>4.0234750000000004</v>
      </c>
      <c r="N258">
        <v>7.0397679999999996</v>
      </c>
      <c r="O258">
        <v>7.0255640000000001</v>
      </c>
      <c r="P258">
        <v>11.163259999999999</v>
      </c>
      <c r="Q258">
        <v>17.926338000000001</v>
      </c>
      <c r="R258">
        <v>25.431442000000001</v>
      </c>
      <c r="S258">
        <v>31.65118</v>
      </c>
      <c r="T258">
        <v>38.719349000000001</v>
      </c>
      <c r="U258">
        <v>46.610855000000001</v>
      </c>
      <c r="V258">
        <v>54.171871000000003</v>
      </c>
      <c r="W258">
        <v>65.451530000000005</v>
      </c>
      <c r="X258">
        <v>75.256614999999996</v>
      </c>
      <c r="Y258">
        <v>83.868813000000003</v>
      </c>
      <c r="Z258">
        <v>88.847701999999998</v>
      </c>
      <c r="AA258">
        <v>93.758324000000002</v>
      </c>
      <c r="AB258">
        <v>97.673721</v>
      </c>
      <c r="AC258">
        <v>103.783997</v>
      </c>
      <c r="AD258">
        <v>109.08074999999999</v>
      </c>
      <c r="AE258">
        <v>113.297623</v>
      </c>
      <c r="AF258">
        <v>116.983017</v>
      </c>
      <c r="AG258" s="29">
        <v>0.20399999999999999</v>
      </c>
    </row>
    <row r="259" spans="1:33" x14ac:dyDescent="0.25">
      <c r="A259" t="s">
        <v>172</v>
      </c>
      <c r="B259" t="s">
        <v>509</v>
      </c>
      <c r="C259" t="s">
        <v>508</v>
      </c>
      <c r="D259" t="s">
        <v>132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23</v>
      </c>
    </row>
    <row r="260" spans="1:33" x14ac:dyDescent="0.25">
      <c r="A260" t="s">
        <v>173</v>
      </c>
      <c r="B260" t="s">
        <v>507</v>
      </c>
      <c r="C260" t="s">
        <v>506</v>
      </c>
      <c r="D260" t="s">
        <v>132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23</v>
      </c>
    </row>
    <row r="261" spans="1:33" x14ac:dyDescent="0.25">
      <c r="A261" t="s">
        <v>159</v>
      </c>
      <c r="B261" t="s">
        <v>505</v>
      </c>
      <c r="C261" t="s">
        <v>504</v>
      </c>
      <c r="D261" t="s">
        <v>132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23</v>
      </c>
    </row>
    <row r="262" spans="1:33" x14ac:dyDescent="0.25">
      <c r="A262" t="s">
        <v>300</v>
      </c>
      <c r="B262" t="s">
        <v>503</v>
      </c>
      <c r="C262" t="s">
        <v>502</v>
      </c>
      <c r="D262" t="s">
        <v>132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23</v>
      </c>
    </row>
    <row r="263" spans="1:33" x14ac:dyDescent="0.25">
      <c r="A263" t="s">
        <v>299</v>
      </c>
      <c r="B263" t="s">
        <v>501</v>
      </c>
      <c r="C263" t="s">
        <v>500</v>
      </c>
      <c r="D263" t="s">
        <v>132</v>
      </c>
      <c r="F263">
        <v>0</v>
      </c>
      <c r="G263">
        <v>2.0379999999999998</v>
      </c>
      <c r="H263">
        <v>3.3325499999999999</v>
      </c>
      <c r="I263">
        <v>4.9237310000000001</v>
      </c>
      <c r="J263">
        <v>26.281714999999998</v>
      </c>
      <c r="K263">
        <v>54.287185999999998</v>
      </c>
      <c r="L263">
        <v>84.201340000000002</v>
      </c>
      <c r="M263">
        <v>112.861259</v>
      </c>
      <c r="N263">
        <v>141.79293799999999</v>
      </c>
      <c r="O263">
        <v>162.911743</v>
      </c>
      <c r="P263">
        <v>179.93774400000001</v>
      </c>
      <c r="Q263">
        <v>192.76023900000001</v>
      </c>
      <c r="R263">
        <v>199.99612400000001</v>
      </c>
      <c r="S263">
        <v>205.27304100000001</v>
      </c>
      <c r="T263">
        <v>216.36737099999999</v>
      </c>
      <c r="U263">
        <v>229.177155</v>
      </c>
      <c r="V263">
        <v>231.776825</v>
      </c>
      <c r="W263">
        <v>232.09574900000001</v>
      </c>
      <c r="X263">
        <v>233.31234699999999</v>
      </c>
      <c r="Y263">
        <v>235.00767500000001</v>
      </c>
      <c r="Z263">
        <v>235.77676400000001</v>
      </c>
      <c r="AA263">
        <v>234.52491800000001</v>
      </c>
      <c r="AB263">
        <v>233.47456399999999</v>
      </c>
      <c r="AC263">
        <v>232.177063</v>
      </c>
      <c r="AD263">
        <v>230.277771</v>
      </c>
      <c r="AE263">
        <v>228.13374300000001</v>
      </c>
      <c r="AF263">
        <v>225.89794900000001</v>
      </c>
      <c r="AG263" t="s">
        <v>23</v>
      </c>
    </row>
    <row r="264" spans="1:33" x14ac:dyDescent="0.25">
      <c r="A264" t="s">
        <v>298</v>
      </c>
      <c r="B264" t="s">
        <v>499</v>
      </c>
      <c r="C264" t="s">
        <v>498</v>
      </c>
      <c r="D264" t="s">
        <v>132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23</v>
      </c>
    </row>
    <row r="265" spans="1:33" x14ac:dyDescent="0.25">
      <c r="A265" t="s">
        <v>174</v>
      </c>
      <c r="B265" t="s">
        <v>497</v>
      </c>
      <c r="C265" t="s">
        <v>496</v>
      </c>
      <c r="D265" t="s">
        <v>132</v>
      </c>
      <c r="F265">
        <v>218.36299099999999</v>
      </c>
      <c r="G265">
        <v>315.76449600000001</v>
      </c>
      <c r="H265">
        <v>331.76449600000001</v>
      </c>
      <c r="I265">
        <v>338.70901500000002</v>
      </c>
      <c r="J265">
        <v>333.87792999999999</v>
      </c>
      <c r="K265">
        <v>331.958191</v>
      </c>
      <c r="L265">
        <v>331.47467</v>
      </c>
      <c r="M265">
        <v>328.36953699999998</v>
      </c>
      <c r="N265">
        <v>329.76156600000002</v>
      </c>
      <c r="O265">
        <v>335.15133700000001</v>
      </c>
      <c r="P265">
        <v>340.68307499999997</v>
      </c>
      <c r="Q265">
        <v>344.650757</v>
      </c>
      <c r="R265">
        <v>348.52252199999998</v>
      </c>
      <c r="S265">
        <v>352.58496100000002</v>
      </c>
      <c r="T265">
        <v>357.61010700000003</v>
      </c>
      <c r="U265">
        <v>363.27615400000002</v>
      </c>
      <c r="V265">
        <v>367.84466600000002</v>
      </c>
      <c r="W265">
        <v>370.84301799999997</v>
      </c>
      <c r="X265">
        <v>373.680725</v>
      </c>
      <c r="Y265">
        <v>375.94732699999997</v>
      </c>
      <c r="Z265">
        <v>378.958191</v>
      </c>
      <c r="AA265">
        <v>382.14627100000001</v>
      </c>
      <c r="AB265">
        <v>384.421967</v>
      </c>
      <c r="AC265">
        <v>386.62838699999998</v>
      </c>
      <c r="AD265">
        <v>387.21048000000002</v>
      </c>
      <c r="AE265">
        <v>388.30838</v>
      </c>
      <c r="AF265">
        <v>390.23971599999999</v>
      </c>
      <c r="AG265" s="29">
        <v>2.3E-2</v>
      </c>
    </row>
    <row r="266" spans="1:33" x14ac:dyDescent="0.25">
      <c r="A266" t="s">
        <v>175</v>
      </c>
    </row>
    <row r="267" spans="1:33" x14ac:dyDescent="0.25">
      <c r="A267" t="s">
        <v>167</v>
      </c>
      <c r="B267" t="s">
        <v>495</v>
      </c>
      <c r="C267" t="s">
        <v>494</v>
      </c>
      <c r="D267" t="s">
        <v>132</v>
      </c>
      <c r="F267">
        <v>98.313300999999996</v>
      </c>
      <c r="G267">
        <v>97.836608999999996</v>
      </c>
      <c r="H267">
        <v>103.452797</v>
      </c>
      <c r="I267">
        <v>107.243362</v>
      </c>
      <c r="J267">
        <v>103.19278</v>
      </c>
      <c r="K267">
        <v>97.216232000000005</v>
      </c>
      <c r="L267">
        <v>92.846428000000003</v>
      </c>
      <c r="M267">
        <v>88.334923000000003</v>
      </c>
      <c r="N267">
        <v>84.694091999999998</v>
      </c>
      <c r="O267">
        <v>82.005225999999993</v>
      </c>
      <c r="P267">
        <v>78.010101000000006</v>
      </c>
      <c r="Q267">
        <v>73.601714999999999</v>
      </c>
      <c r="R267">
        <v>69.995048999999995</v>
      </c>
      <c r="S267">
        <v>66.991837000000004</v>
      </c>
      <c r="T267">
        <v>64.365700000000004</v>
      </c>
      <c r="U267">
        <v>61.897514000000001</v>
      </c>
      <c r="V267">
        <v>59.811084999999999</v>
      </c>
      <c r="W267">
        <v>58.321438000000001</v>
      </c>
      <c r="X267">
        <v>57.454478999999999</v>
      </c>
      <c r="Y267">
        <v>56.892189000000002</v>
      </c>
      <c r="Z267">
        <v>55.89143</v>
      </c>
      <c r="AA267">
        <v>54.660702000000001</v>
      </c>
      <c r="AB267">
        <v>53.547351999999997</v>
      </c>
      <c r="AC267">
        <v>53.545704000000001</v>
      </c>
      <c r="AD267">
        <v>53.922440000000002</v>
      </c>
      <c r="AE267">
        <v>53.735672000000001</v>
      </c>
      <c r="AF267">
        <v>53.022548999999998</v>
      </c>
      <c r="AG267" s="29">
        <v>-2.3E-2</v>
      </c>
    </row>
    <row r="268" spans="1:33" x14ac:dyDescent="0.25">
      <c r="A268" t="s">
        <v>168</v>
      </c>
      <c r="B268" t="s">
        <v>493</v>
      </c>
      <c r="C268" t="s">
        <v>492</v>
      </c>
      <c r="D268" t="s">
        <v>132</v>
      </c>
      <c r="F268">
        <v>76.054267999999993</v>
      </c>
      <c r="G268">
        <v>77.454300000000003</v>
      </c>
      <c r="H268">
        <v>83.635658000000006</v>
      </c>
      <c r="I268">
        <v>88.378853000000007</v>
      </c>
      <c r="J268">
        <v>86.513474000000002</v>
      </c>
      <c r="K268">
        <v>82.790276000000006</v>
      </c>
      <c r="L268">
        <v>80.210464000000002</v>
      </c>
      <c r="M268">
        <v>77.315155000000004</v>
      </c>
      <c r="N268">
        <v>75.013228999999995</v>
      </c>
      <c r="O268">
        <v>73.405411000000001</v>
      </c>
      <c r="P268">
        <v>70.518044000000003</v>
      </c>
      <c r="Q268">
        <v>67.130249000000006</v>
      </c>
      <c r="R268">
        <v>64.362808000000001</v>
      </c>
      <c r="S268">
        <v>62.059382999999997</v>
      </c>
      <c r="T268">
        <v>60.030147999999997</v>
      </c>
      <c r="U268">
        <v>58.084083999999997</v>
      </c>
      <c r="V268">
        <v>56.441662000000001</v>
      </c>
      <c r="W268">
        <v>55.317905000000003</v>
      </c>
      <c r="X268">
        <v>54.749245000000002</v>
      </c>
      <c r="Y268">
        <v>54.443297999999999</v>
      </c>
      <c r="Z268">
        <v>53.692692000000001</v>
      </c>
      <c r="AA268">
        <v>52.695610000000002</v>
      </c>
      <c r="AB268">
        <v>51.788212000000001</v>
      </c>
      <c r="AC268">
        <v>51.938023000000001</v>
      </c>
      <c r="AD268">
        <v>52.443145999999999</v>
      </c>
      <c r="AE268">
        <v>52.388401000000002</v>
      </c>
      <c r="AF268">
        <v>51.808399000000001</v>
      </c>
      <c r="AG268" s="29">
        <v>-1.4999999999999999E-2</v>
      </c>
    </row>
    <row r="269" spans="1:33" x14ac:dyDescent="0.25">
      <c r="A269" t="s">
        <v>169</v>
      </c>
      <c r="B269" t="s">
        <v>491</v>
      </c>
      <c r="C269" t="s">
        <v>490</v>
      </c>
      <c r="D269" t="s">
        <v>132</v>
      </c>
      <c r="F269">
        <v>1.7719999999999999E-3</v>
      </c>
      <c r="G269">
        <v>1.805E-3</v>
      </c>
      <c r="H269">
        <v>1.934E-3</v>
      </c>
      <c r="I269">
        <v>2.0270000000000002E-3</v>
      </c>
      <c r="J269">
        <v>1.9750000000000002E-3</v>
      </c>
      <c r="K269">
        <v>1.89E-3</v>
      </c>
      <c r="L269">
        <v>1.8389999999999999E-3</v>
      </c>
      <c r="M269">
        <v>1.7930000000000001E-3</v>
      </c>
      <c r="N269">
        <v>1.7730000000000001E-3</v>
      </c>
      <c r="O269">
        <v>1.779E-3</v>
      </c>
      <c r="P269">
        <v>1.774E-3</v>
      </c>
      <c r="Q269">
        <v>1.7669999999999999E-3</v>
      </c>
      <c r="R269">
        <v>1.7769999999999999E-3</v>
      </c>
      <c r="S269">
        <v>1.794E-3</v>
      </c>
      <c r="T269">
        <v>1.805E-3</v>
      </c>
      <c r="U269">
        <v>1.802E-3</v>
      </c>
      <c r="V269">
        <v>1.7899999999999999E-3</v>
      </c>
      <c r="W269">
        <v>1.7799999999999999E-3</v>
      </c>
      <c r="X269">
        <v>1.7799999999999999E-3</v>
      </c>
      <c r="Y269">
        <v>1.7799999999999999E-3</v>
      </c>
      <c r="Z269">
        <v>1.761E-3</v>
      </c>
      <c r="AA269">
        <v>1.7309999999999999E-3</v>
      </c>
      <c r="AB269">
        <v>1.7030000000000001E-3</v>
      </c>
      <c r="AC269">
        <v>1.7080000000000001E-3</v>
      </c>
      <c r="AD269">
        <v>1.7240000000000001E-3</v>
      </c>
      <c r="AE269">
        <v>1.7229999999999999E-3</v>
      </c>
      <c r="AF269">
        <v>1.7030000000000001E-3</v>
      </c>
      <c r="AG269" s="29">
        <v>-2E-3</v>
      </c>
    </row>
    <row r="270" spans="1:33" x14ac:dyDescent="0.25">
      <c r="A270" t="s">
        <v>170</v>
      </c>
      <c r="B270" t="s">
        <v>489</v>
      </c>
      <c r="C270" t="s">
        <v>488</v>
      </c>
      <c r="D270" t="s">
        <v>132</v>
      </c>
      <c r="F270">
        <v>2.734982</v>
      </c>
      <c r="G270">
        <v>2.8151139999999999</v>
      </c>
      <c r="H270">
        <v>3.0271919999999999</v>
      </c>
      <c r="I270">
        <v>3.1629010000000002</v>
      </c>
      <c r="J270">
        <v>3.1006689999999999</v>
      </c>
      <c r="K270">
        <v>2.9745460000000001</v>
      </c>
      <c r="L270">
        <v>2.8916620000000002</v>
      </c>
      <c r="M270">
        <v>2.818619</v>
      </c>
      <c r="N270">
        <v>2.7908780000000002</v>
      </c>
      <c r="O270">
        <v>2.8054260000000002</v>
      </c>
      <c r="P270">
        <v>2.799328</v>
      </c>
      <c r="Q270">
        <v>2.78904</v>
      </c>
      <c r="R270">
        <v>2.7893089999999998</v>
      </c>
      <c r="S270">
        <v>2.8199649999999998</v>
      </c>
      <c r="T270">
        <v>2.852411</v>
      </c>
      <c r="U270">
        <v>2.859318</v>
      </c>
      <c r="V270">
        <v>2.8380749999999999</v>
      </c>
      <c r="W270">
        <v>2.8099569999999998</v>
      </c>
      <c r="X270">
        <v>2.8388279999999999</v>
      </c>
      <c r="Y270">
        <v>2.87378</v>
      </c>
      <c r="Z270">
        <v>2.8516379999999999</v>
      </c>
      <c r="AA270">
        <v>2.8105190000000002</v>
      </c>
      <c r="AB270">
        <v>2.7745690000000001</v>
      </c>
      <c r="AC270">
        <v>2.8271250000000001</v>
      </c>
      <c r="AD270">
        <v>2.8986519999999998</v>
      </c>
      <c r="AE270">
        <v>2.9838719999999999</v>
      </c>
      <c r="AF270">
        <v>2.9742109999999999</v>
      </c>
      <c r="AG270" s="29">
        <v>3.0000000000000001E-3</v>
      </c>
    </row>
    <row r="271" spans="1:33" x14ac:dyDescent="0.25">
      <c r="A271" t="s">
        <v>171</v>
      </c>
      <c r="B271" t="s">
        <v>487</v>
      </c>
      <c r="C271" t="s">
        <v>486</v>
      </c>
      <c r="D271" t="s">
        <v>132</v>
      </c>
      <c r="F271">
        <v>1.7719999999999999E-3</v>
      </c>
      <c r="G271">
        <v>1.805E-3</v>
      </c>
      <c r="H271">
        <v>1.934E-3</v>
      </c>
      <c r="I271">
        <v>2.0270000000000002E-3</v>
      </c>
      <c r="J271">
        <v>1.9750000000000002E-3</v>
      </c>
      <c r="K271">
        <v>1.89E-3</v>
      </c>
      <c r="L271">
        <v>1.8389999999999999E-3</v>
      </c>
      <c r="M271">
        <v>1.7930000000000001E-3</v>
      </c>
      <c r="N271">
        <v>1.7730000000000001E-3</v>
      </c>
      <c r="O271">
        <v>1.779E-3</v>
      </c>
      <c r="P271">
        <v>1.774E-3</v>
      </c>
      <c r="Q271">
        <v>1.7669999999999999E-3</v>
      </c>
      <c r="R271">
        <v>1.7769999999999999E-3</v>
      </c>
      <c r="S271">
        <v>1.794E-3</v>
      </c>
      <c r="T271">
        <v>1.805E-3</v>
      </c>
      <c r="U271">
        <v>1.802E-3</v>
      </c>
      <c r="V271">
        <v>1.7899999999999999E-3</v>
      </c>
      <c r="W271">
        <v>1.7799999999999999E-3</v>
      </c>
      <c r="X271">
        <v>1.7799999999999999E-3</v>
      </c>
      <c r="Y271">
        <v>1.7799999999999999E-3</v>
      </c>
      <c r="Z271">
        <v>1.761E-3</v>
      </c>
      <c r="AA271">
        <v>1.7309999999999999E-3</v>
      </c>
      <c r="AB271">
        <v>1.7030000000000001E-3</v>
      </c>
      <c r="AC271">
        <v>1.7080000000000001E-3</v>
      </c>
      <c r="AD271">
        <v>1.7240000000000001E-3</v>
      </c>
      <c r="AE271">
        <v>1.7229999999999999E-3</v>
      </c>
      <c r="AF271">
        <v>1.7030000000000001E-3</v>
      </c>
      <c r="AG271" s="29">
        <v>-2E-3</v>
      </c>
    </row>
    <row r="272" spans="1:33" x14ac:dyDescent="0.25">
      <c r="A272" t="s">
        <v>155</v>
      </c>
      <c r="B272" t="s">
        <v>485</v>
      </c>
      <c r="C272" t="s">
        <v>484</v>
      </c>
      <c r="D272" t="s">
        <v>132</v>
      </c>
      <c r="F272">
        <v>0.113667</v>
      </c>
      <c r="G272">
        <v>0.115771</v>
      </c>
      <c r="H272">
        <v>0.12402299999999999</v>
      </c>
      <c r="I272">
        <v>0.12998299999999999</v>
      </c>
      <c r="J272">
        <v>0.126668</v>
      </c>
      <c r="K272">
        <v>0.121198</v>
      </c>
      <c r="L272">
        <v>0.117975</v>
      </c>
      <c r="M272">
        <v>0.114995</v>
      </c>
      <c r="N272">
        <v>0.113729</v>
      </c>
      <c r="O272">
        <v>0.11407299999999999</v>
      </c>
      <c r="P272">
        <v>0.113798</v>
      </c>
      <c r="Q272">
        <v>0.113326</v>
      </c>
      <c r="R272">
        <v>0.113995</v>
      </c>
      <c r="S272">
        <v>0.115079</v>
      </c>
      <c r="T272">
        <v>0.115797</v>
      </c>
      <c r="U272">
        <v>0.115552</v>
      </c>
      <c r="V272">
        <v>0.1148</v>
      </c>
      <c r="W272">
        <v>0.11419799999999999</v>
      </c>
      <c r="X272">
        <v>0.114139</v>
      </c>
      <c r="Y272">
        <v>0.114187</v>
      </c>
      <c r="Z272">
        <v>0.11297699999999999</v>
      </c>
      <c r="AA272">
        <v>0.111053</v>
      </c>
      <c r="AB272">
        <v>0.10920299999999999</v>
      </c>
      <c r="AC272">
        <v>0.10954899999999999</v>
      </c>
      <c r="AD272">
        <v>0.11060499999999999</v>
      </c>
      <c r="AE272">
        <v>0.110504</v>
      </c>
      <c r="AF272">
        <v>0.109221</v>
      </c>
      <c r="AG272" s="29">
        <v>-2E-3</v>
      </c>
    </row>
    <row r="273" spans="1:33" x14ac:dyDescent="0.25">
      <c r="A273" t="s">
        <v>172</v>
      </c>
      <c r="B273" t="s">
        <v>483</v>
      </c>
      <c r="C273" t="s">
        <v>482</v>
      </c>
      <c r="D273" t="s">
        <v>132</v>
      </c>
      <c r="F273">
        <v>0</v>
      </c>
      <c r="G273">
        <v>0</v>
      </c>
      <c r="H273">
        <v>0.122118</v>
      </c>
      <c r="I273">
        <v>0.193159</v>
      </c>
      <c r="J273">
        <v>0.31195200000000001</v>
      </c>
      <c r="K273">
        <v>0.412692</v>
      </c>
      <c r="L273">
        <v>0.48345900000000003</v>
      </c>
      <c r="M273">
        <v>0.55136799999999997</v>
      </c>
      <c r="N273">
        <v>0.58849499999999999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23</v>
      </c>
    </row>
    <row r="274" spans="1:33" x14ac:dyDescent="0.25">
      <c r="A274" t="s">
        <v>173</v>
      </c>
      <c r="B274" t="s">
        <v>481</v>
      </c>
      <c r="C274" t="s">
        <v>480</v>
      </c>
      <c r="D274" t="s">
        <v>132</v>
      </c>
      <c r="F274">
        <v>0</v>
      </c>
      <c r="G274">
        <v>0.56174199999999996</v>
      </c>
      <c r="H274">
        <v>0.65029199999999998</v>
      </c>
      <c r="I274">
        <v>0.331312</v>
      </c>
      <c r="J274">
        <v>6.5602999999999995E-2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23</v>
      </c>
    </row>
    <row r="275" spans="1:33" x14ac:dyDescent="0.25">
      <c r="A275" t="s">
        <v>159</v>
      </c>
      <c r="B275" t="s">
        <v>479</v>
      </c>
      <c r="C275" t="s">
        <v>478</v>
      </c>
      <c r="D275" t="s">
        <v>132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23</v>
      </c>
    </row>
    <row r="276" spans="1:33" x14ac:dyDescent="0.25">
      <c r="A276" t="s">
        <v>300</v>
      </c>
      <c r="B276" t="s">
        <v>477</v>
      </c>
      <c r="C276" t="s">
        <v>476</v>
      </c>
      <c r="D276" t="s">
        <v>132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23</v>
      </c>
    </row>
    <row r="277" spans="1:33" x14ac:dyDescent="0.25">
      <c r="A277" t="s">
        <v>299</v>
      </c>
      <c r="B277" t="s">
        <v>475</v>
      </c>
      <c r="C277" t="s">
        <v>474</v>
      </c>
      <c r="D277" t="s">
        <v>132</v>
      </c>
      <c r="F277">
        <v>0</v>
      </c>
      <c r="G277">
        <v>1.7135560000000001</v>
      </c>
      <c r="H277">
        <v>2.350819</v>
      </c>
      <c r="I277">
        <v>3.2148279999999998</v>
      </c>
      <c r="J277">
        <v>4.1746100000000004</v>
      </c>
      <c r="K277">
        <v>5.4425470000000002</v>
      </c>
      <c r="L277">
        <v>7.3824759999999996</v>
      </c>
      <c r="M277">
        <v>10.151320999999999</v>
      </c>
      <c r="N277">
        <v>14.112121999999999</v>
      </c>
      <c r="O277">
        <v>19.519396</v>
      </c>
      <c r="P277">
        <v>25.979019000000001</v>
      </c>
      <c r="Q277">
        <v>33.050400000000003</v>
      </c>
      <c r="R277">
        <v>40.467086999999999</v>
      </c>
      <c r="S277">
        <v>47.431865999999999</v>
      </c>
      <c r="T277">
        <v>53.173378</v>
      </c>
      <c r="U277">
        <v>57.198608</v>
      </c>
      <c r="V277">
        <v>59.776516000000001</v>
      </c>
      <c r="W277">
        <v>61.481461000000003</v>
      </c>
      <c r="X277">
        <v>62.795741999999997</v>
      </c>
      <c r="Y277">
        <v>63.703178000000001</v>
      </c>
      <c r="Z277">
        <v>63.591166999999999</v>
      </c>
      <c r="AA277">
        <v>62.862864999999999</v>
      </c>
      <c r="AB277">
        <v>62.037998000000002</v>
      </c>
      <c r="AC277">
        <v>62.375670999999997</v>
      </c>
      <c r="AD277">
        <v>63.0672</v>
      </c>
      <c r="AE277">
        <v>63.067070000000001</v>
      </c>
      <c r="AF277">
        <v>62.370319000000002</v>
      </c>
      <c r="AG277" t="s">
        <v>23</v>
      </c>
    </row>
    <row r="278" spans="1:33" x14ac:dyDescent="0.25">
      <c r="A278" t="s">
        <v>298</v>
      </c>
      <c r="B278" t="s">
        <v>473</v>
      </c>
      <c r="C278" t="s">
        <v>472</v>
      </c>
      <c r="D278" t="s">
        <v>132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23</v>
      </c>
    </row>
    <row r="279" spans="1:33" x14ac:dyDescent="0.25">
      <c r="A279" t="s">
        <v>176</v>
      </c>
      <c r="B279" t="s">
        <v>471</v>
      </c>
      <c r="C279" t="s">
        <v>470</v>
      </c>
      <c r="D279" t="s">
        <v>132</v>
      </c>
      <c r="F279">
        <v>177.219742</v>
      </c>
      <c r="G279">
        <v>180.500732</v>
      </c>
      <c r="H279">
        <v>193.36677599999999</v>
      </c>
      <c r="I279">
        <v>202.658447</v>
      </c>
      <c r="J279">
        <v>197.48968500000001</v>
      </c>
      <c r="K279">
        <v>188.96127300000001</v>
      </c>
      <c r="L279">
        <v>183.93614199999999</v>
      </c>
      <c r="M279">
        <v>179.28994800000001</v>
      </c>
      <c r="N279">
        <v>177.31608600000001</v>
      </c>
      <c r="O279">
        <v>177.85307299999999</v>
      </c>
      <c r="P279">
        <v>177.42384300000001</v>
      </c>
      <c r="Q279">
        <v>176.68826300000001</v>
      </c>
      <c r="R279">
        <v>177.73182700000001</v>
      </c>
      <c r="S279">
        <v>179.42169200000001</v>
      </c>
      <c r="T279">
        <v>180.54106100000001</v>
      </c>
      <c r="U279">
        <v>180.158661</v>
      </c>
      <c r="V279">
        <v>178.98571799999999</v>
      </c>
      <c r="W279">
        <v>178.04853800000001</v>
      </c>
      <c r="X279">
        <v>177.955994</v>
      </c>
      <c r="Y279">
        <v>178.03021200000001</v>
      </c>
      <c r="Z279">
        <v>176.14343299999999</v>
      </c>
      <c r="AA279">
        <v>173.144226</v>
      </c>
      <c r="AB279">
        <v>170.26071200000001</v>
      </c>
      <c r="AC279">
        <v>170.79948400000001</v>
      </c>
      <c r="AD279">
        <v>172.44551100000001</v>
      </c>
      <c r="AE279">
        <v>172.288971</v>
      </c>
      <c r="AF279">
        <v>170.28810100000001</v>
      </c>
      <c r="AG279" s="29">
        <v>-2E-3</v>
      </c>
    </row>
    <row r="280" spans="1:33" x14ac:dyDescent="0.25">
      <c r="A280" t="s">
        <v>177</v>
      </c>
    </row>
    <row r="281" spans="1:33" x14ac:dyDescent="0.25">
      <c r="A281" t="s">
        <v>167</v>
      </c>
      <c r="B281" t="s">
        <v>469</v>
      </c>
      <c r="C281" t="s">
        <v>468</v>
      </c>
      <c r="D281" t="s">
        <v>132</v>
      </c>
      <c r="F281">
        <v>307.59622200000001</v>
      </c>
      <c r="G281">
        <v>313.02185100000003</v>
      </c>
      <c r="H281">
        <v>335.22216800000001</v>
      </c>
      <c r="I281">
        <v>351.56460600000003</v>
      </c>
      <c r="J281">
        <v>342.586029</v>
      </c>
      <c r="K281">
        <v>327.72351099999997</v>
      </c>
      <c r="L281">
        <v>318.936554</v>
      </c>
      <c r="M281">
        <v>310.78518700000001</v>
      </c>
      <c r="N281">
        <v>307.22323599999999</v>
      </c>
      <c r="O281">
        <v>308.72027600000001</v>
      </c>
      <c r="P281">
        <v>307.94979899999998</v>
      </c>
      <c r="Q281">
        <v>306.63226300000002</v>
      </c>
      <c r="R281">
        <v>308.43292200000002</v>
      </c>
      <c r="S281">
        <v>311.27868699999999</v>
      </c>
      <c r="T281">
        <v>313.22674599999999</v>
      </c>
      <c r="U281">
        <v>312.47369400000002</v>
      </c>
      <c r="V281">
        <v>310.26293900000002</v>
      </c>
      <c r="W281">
        <v>308.45281999999997</v>
      </c>
      <c r="X281">
        <v>308.23263500000002</v>
      </c>
      <c r="Y281">
        <v>308.30825800000002</v>
      </c>
      <c r="Z281">
        <v>304.84274299999998</v>
      </c>
      <c r="AA281">
        <v>299.50528000000003</v>
      </c>
      <c r="AB281">
        <v>294.25860599999999</v>
      </c>
      <c r="AC281">
        <v>294.85919200000001</v>
      </c>
      <c r="AD281">
        <v>297.13476600000001</v>
      </c>
      <c r="AE281">
        <v>296.41198700000001</v>
      </c>
      <c r="AF281">
        <v>292.27603099999999</v>
      </c>
      <c r="AG281" s="29">
        <v>-2E-3</v>
      </c>
    </row>
    <row r="282" spans="1:33" x14ac:dyDescent="0.25">
      <c r="A282" t="s">
        <v>168</v>
      </c>
      <c r="B282" t="s">
        <v>467</v>
      </c>
      <c r="C282" t="s">
        <v>466</v>
      </c>
      <c r="D282" t="s">
        <v>132</v>
      </c>
      <c r="F282">
        <v>0.164275</v>
      </c>
      <c r="G282">
        <v>0.16734399999999999</v>
      </c>
      <c r="H282">
        <v>0.17882999999999999</v>
      </c>
      <c r="I282">
        <v>0.18709799999999999</v>
      </c>
      <c r="J282">
        <v>0.18209800000000001</v>
      </c>
      <c r="K282">
        <v>0.173901</v>
      </c>
      <c r="L282">
        <v>0.16891500000000001</v>
      </c>
      <c r="M282">
        <v>0.16417200000000001</v>
      </c>
      <c r="N282">
        <v>0.16173799999999999</v>
      </c>
      <c r="O282">
        <v>0.16499900000000001</v>
      </c>
      <c r="P282">
        <v>0.164607</v>
      </c>
      <c r="Q282">
        <v>0.16392899999999999</v>
      </c>
      <c r="R282">
        <v>0.16490099999999999</v>
      </c>
      <c r="S282">
        <v>0.16647300000000001</v>
      </c>
      <c r="T282">
        <v>0.167514</v>
      </c>
      <c r="U282">
        <v>0.16716200000000001</v>
      </c>
      <c r="V282">
        <v>0.166076</v>
      </c>
      <c r="W282">
        <v>0.16520799999999999</v>
      </c>
      <c r="X282">
        <v>0.16512299999999999</v>
      </c>
      <c r="Y282">
        <v>0.16519300000000001</v>
      </c>
      <c r="Z282">
        <v>0.16344400000000001</v>
      </c>
      <c r="AA282">
        <v>0.160662</v>
      </c>
      <c r="AB282">
        <v>0.15798699999999999</v>
      </c>
      <c r="AC282">
        <v>0.15848699999999999</v>
      </c>
      <c r="AD282">
        <v>0.16001499999999999</v>
      </c>
      <c r="AE282">
        <v>0.15987000000000001</v>
      </c>
      <c r="AF282">
        <v>0.15801000000000001</v>
      </c>
      <c r="AG282" s="29">
        <v>-1E-3</v>
      </c>
    </row>
    <row r="283" spans="1:33" x14ac:dyDescent="0.25">
      <c r="A283" t="s">
        <v>169</v>
      </c>
      <c r="B283" t="s">
        <v>465</v>
      </c>
      <c r="C283" t="s">
        <v>464</v>
      </c>
      <c r="D283" t="s">
        <v>132</v>
      </c>
      <c r="F283">
        <v>0.15823000000000001</v>
      </c>
      <c r="G283">
        <v>0.161159</v>
      </c>
      <c r="H283">
        <v>0.17264699999999999</v>
      </c>
      <c r="I283">
        <v>0.18094299999999999</v>
      </c>
      <c r="J283">
        <v>0.17632800000000001</v>
      </c>
      <c r="K283">
        <v>0.168714</v>
      </c>
      <c r="L283">
        <v>0.16422700000000001</v>
      </c>
      <c r="M283">
        <v>0.160079</v>
      </c>
      <c r="N283">
        <v>0.15831600000000001</v>
      </c>
      <c r="O283">
        <v>0.15879699999999999</v>
      </c>
      <c r="P283">
        <v>0.158414</v>
      </c>
      <c r="Q283">
        <v>0.15775800000000001</v>
      </c>
      <c r="R283">
        <v>0.158689</v>
      </c>
      <c r="S283">
        <v>0.16019800000000001</v>
      </c>
      <c r="T283">
        <v>0.16119800000000001</v>
      </c>
      <c r="U283">
        <v>0.160856</v>
      </c>
      <c r="V283">
        <v>0.15980900000000001</v>
      </c>
      <c r="W283">
        <v>0.158972</v>
      </c>
      <c r="X283">
        <v>0.158889</v>
      </c>
      <c r="Y283">
        <v>0.15895599999999999</v>
      </c>
      <c r="Z283">
        <v>0.15727099999999999</v>
      </c>
      <c r="AA283">
        <v>0.15459300000000001</v>
      </c>
      <c r="AB283">
        <v>0.15201799999999999</v>
      </c>
      <c r="AC283">
        <v>0.152499</v>
      </c>
      <c r="AD283">
        <v>0.15396799999999999</v>
      </c>
      <c r="AE283">
        <v>0.15382799999999999</v>
      </c>
      <c r="AF283">
        <v>0.15203900000000001</v>
      </c>
      <c r="AG283" s="29">
        <v>-2E-3</v>
      </c>
    </row>
    <row r="284" spans="1:33" x14ac:dyDescent="0.25">
      <c r="A284" t="s">
        <v>170</v>
      </c>
      <c r="B284" t="s">
        <v>463</v>
      </c>
      <c r="C284" t="s">
        <v>462</v>
      </c>
      <c r="D284" t="s">
        <v>132</v>
      </c>
      <c r="F284">
        <v>4.9517290000000003</v>
      </c>
      <c r="G284">
        <v>5.312443</v>
      </c>
      <c r="H284">
        <v>5.6818520000000001</v>
      </c>
      <c r="I284">
        <v>5.6170330000000002</v>
      </c>
      <c r="J284">
        <v>5.4386429999999999</v>
      </c>
      <c r="K284">
        <v>5.203786</v>
      </c>
      <c r="L284">
        <v>5.0673890000000004</v>
      </c>
      <c r="M284">
        <v>4.9440660000000003</v>
      </c>
      <c r="N284">
        <v>4.9118769999999996</v>
      </c>
      <c r="O284">
        <v>4.9445069999999998</v>
      </c>
      <c r="P284">
        <v>4.9579420000000001</v>
      </c>
      <c r="Q284">
        <v>4.9781510000000004</v>
      </c>
      <c r="R284">
        <v>5.0178739999999999</v>
      </c>
      <c r="S284">
        <v>5.1524660000000004</v>
      </c>
      <c r="T284">
        <v>5.1785119999999996</v>
      </c>
      <c r="U284">
        <v>5.2572320000000001</v>
      </c>
      <c r="V284">
        <v>5.3993229999999999</v>
      </c>
      <c r="W284">
        <v>5.556578</v>
      </c>
      <c r="X284">
        <v>5.6135780000000004</v>
      </c>
      <c r="Y284">
        <v>5.6688020000000003</v>
      </c>
      <c r="Z284">
        <v>5.8067770000000003</v>
      </c>
      <c r="AA284">
        <v>5.8547640000000003</v>
      </c>
      <c r="AB284">
        <v>6.0161300000000004</v>
      </c>
      <c r="AC284">
        <v>6.3656329999999999</v>
      </c>
      <c r="AD284">
        <v>6.993036</v>
      </c>
      <c r="AE284">
        <v>7.4397250000000001</v>
      </c>
      <c r="AF284">
        <v>8.0469609999999996</v>
      </c>
      <c r="AG284" s="29">
        <v>1.9E-2</v>
      </c>
    </row>
    <row r="285" spans="1:33" x14ac:dyDescent="0.25">
      <c r="A285" t="s">
        <v>171</v>
      </c>
      <c r="B285" t="s">
        <v>461</v>
      </c>
      <c r="C285" t="s">
        <v>460</v>
      </c>
      <c r="D285" t="s">
        <v>132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23</v>
      </c>
    </row>
    <row r="286" spans="1:33" x14ac:dyDescent="0.25">
      <c r="A286" t="s">
        <v>155</v>
      </c>
      <c r="B286" t="s">
        <v>459</v>
      </c>
      <c r="C286" t="s">
        <v>458</v>
      </c>
      <c r="D286" t="s">
        <v>132</v>
      </c>
      <c r="F286">
        <v>0.73615900000000001</v>
      </c>
      <c r="G286">
        <v>0.74978900000000004</v>
      </c>
      <c r="H286">
        <v>0.80323500000000003</v>
      </c>
      <c r="I286">
        <v>0.84183300000000005</v>
      </c>
      <c r="J286">
        <v>0.82036399999999998</v>
      </c>
      <c r="K286">
        <v>0.78493800000000002</v>
      </c>
      <c r="L286">
        <v>0.76406399999999997</v>
      </c>
      <c r="M286">
        <v>0.74476500000000001</v>
      </c>
      <c r="N286">
        <v>0.73656500000000003</v>
      </c>
      <c r="O286">
        <v>0.73880100000000004</v>
      </c>
      <c r="P286">
        <v>0.73701899999999998</v>
      </c>
      <c r="Q286">
        <v>0.73396300000000003</v>
      </c>
      <c r="R286">
        <v>0.73829800000000001</v>
      </c>
      <c r="S286">
        <v>0.74531800000000004</v>
      </c>
      <c r="T286">
        <v>0.74996799999999997</v>
      </c>
      <c r="U286">
        <v>0.74838000000000005</v>
      </c>
      <c r="V286">
        <v>0.74350700000000003</v>
      </c>
      <c r="W286">
        <v>0.73961399999999999</v>
      </c>
      <c r="X286">
        <v>0.73922500000000002</v>
      </c>
      <c r="Y286">
        <v>0.73953599999999997</v>
      </c>
      <c r="Z286">
        <v>0.73169799999999996</v>
      </c>
      <c r="AA286">
        <v>0.71923599999999999</v>
      </c>
      <c r="AB286">
        <v>0.70725899999999997</v>
      </c>
      <c r="AC286">
        <v>0.70949399999999996</v>
      </c>
      <c r="AD286">
        <v>0.71632700000000005</v>
      </c>
      <c r="AE286">
        <v>0.71567499999999995</v>
      </c>
      <c r="AF286">
        <v>0.70735400000000004</v>
      </c>
      <c r="AG286" s="29">
        <v>-2E-3</v>
      </c>
    </row>
    <row r="287" spans="1:33" x14ac:dyDescent="0.25">
      <c r="A287" t="s">
        <v>172</v>
      </c>
      <c r="B287" t="s">
        <v>457</v>
      </c>
      <c r="C287" t="s">
        <v>456</v>
      </c>
      <c r="D287" t="s">
        <v>132</v>
      </c>
      <c r="F287">
        <v>0</v>
      </c>
      <c r="G287">
        <v>0</v>
      </c>
      <c r="H287">
        <v>0.121547</v>
      </c>
      <c r="I287">
        <v>0.23117199999999999</v>
      </c>
      <c r="J287">
        <v>0.2727</v>
      </c>
      <c r="K287">
        <v>0.32945400000000002</v>
      </c>
      <c r="L287">
        <v>0.39071099999999997</v>
      </c>
      <c r="M287">
        <v>0.47172500000000001</v>
      </c>
      <c r="N287">
        <v>0.58538199999999996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23</v>
      </c>
    </row>
    <row r="288" spans="1:33" x14ac:dyDescent="0.25">
      <c r="A288" t="s">
        <v>173</v>
      </c>
      <c r="B288" t="s">
        <v>455</v>
      </c>
      <c r="C288" t="s">
        <v>454</v>
      </c>
      <c r="D288" t="s">
        <v>132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23</v>
      </c>
    </row>
    <row r="289" spans="1:33" x14ac:dyDescent="0.25">
      <c r="A289" t="s">
        <v>159</v>
      </c>
      <c r="B289" t="s">
        <v>453</v>
      </c>
      <c r="C289" t="s">
        <v>452</v>
      </c>
      <c r="D289" t="s">
        <v>132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23</v>
      </c>
    </row>
    <row r="290" spans="1:33" x14ac:dyDescent="0.25">
      <c r="A290" t="s">
        <v>300</v>
      </c>
      <c r="B290" t="s">
        <v>451</v>
      </c>
      <c r="C290" t="s">
        <v>450</v>
      </c>
      <c r="D290" t="s">
        <v>132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 t="s">
        <v>23</v>
      </c>
    </row>
    <row r="291" spans="1:33" x14ac:dyDescent="0.25">
      <c r="A291" t="s">
        <v>299</v>
      </c>
      <c r="B291" t="s">
        <v>449</v>
      </c>
      <c r="C291" t="s">
        <v>448</v>
      </c>
      <c r="D291" t="s">
        <v>132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 t="s">
        <v>23</v>
      </c>
    </row>
    <row r="292" spans="1:33" x14ac:dyDescent="0.25">
      <c r="A292" t="s">
        <v>298</v>
      </c>
      <c r="B292" t="s">
        <v>447</v>
      </c>
      <c r="C292" t="s">
        <v>446</v>
      </c>
      <c r="D292" t="s">
        <v>132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 t="s">
        <v>23</v>
      </c>
    </row>
    <row r="293" spans="1:33" x14ac:dyDescent="0.25">
      <c r="A293" t="s">
        <v>178</v>
      </c>
      <c r="B293" t="s">
        <v>445</v>
      </c>
      <c r="C293" t="s">
        <v>444</v>
      </c>
      <c r="D293" t="s">
        <v>132</v>
      </c>
      <c r="F293">
        <v>313.60665899999998</v>
      </c>
      <c r="G293">
        <v>319.41256700000002</v>
      </c>
      <c r="H293">
        <v>342.18023699999998</v>
      </c>
      <c r="I293">
        <v>358.62271099999998</v>
      </c>
      <c r="J293">
        <v>349.476135</v>
      </c>
      <c r="K293">
        <v>334.38430799999998</v>
      </c>
      <c r="L293">
        <v>325.49188199999998</v>
      </c>
      <c r="M293">
        <v>317.27001999999999</v>
      </c>
      <c r="N293">
        <v>313.77713</v>
      </c>
      <c r="O293">
        <v>314.72732500000001</v>
      </c>
      <c r="P293">
        <v>313.967804</v>
      </c>
      <c r="Q293">
        <v>312.66604599999999</v>
      </c>
      <c r="R293">
        <v>314.51275600000002</v>
      </c>
      <c r="S293">
        <v>317.50311299999998</v>
      </c>
      <c r="T293">
        <v>319.483948</v>
      </c>
      <c r="U293">
        <v>318.80731200000002</v>
      </c>
      <c r="V293">
        <v>316.731628</v>
      </c>
      <c r="W293">
        <v>315.07318099999998</v>
      </c>
      <c r="X293">
        <v>314.909424</v>
      </c>
      <c r="Y293">
        <v>315.04077100000001</v>
      </c>
      <c r="Z293">
        <v>311.70193499999999</v>
      </c>
      <c r="AA293">
        <v>306.39459199999999</v>
      </c>
      <c r="AB293">
        <v>301.29199199999999</v>
      </c>
      <c r="AC293">
        <v>302.245361</v>
      </c>
      <c r="AD293">
        <v>305.15811200000002</v>
      </c>
      <c r="AE293">
        <v>304.88110399999999</v>
      </c>
      <c r="AF293">
        <v>301.34033199999999</v>
      </c>
      <c r="AG293" s="29">
        <v>-2E-3</v>
      </c>
    </row>
    <row r="294" spans="1:33" x14ac:dyDescent="0.25">
      <c r="A294" t="s">
        <v>150</v>
      </c>
      <c r="B294" t="s">
        <v>443</v>
      </c>
      <c r="C294" t="s">
        <v>442</v>
      </c>
      <c r="D294" t="s">
        <v>132</v>
      </c>
      <c r="F294">
        <v>709.18963599999995</v>
      </c>
      <c r="G294">
        <v>815.67779499999995</v>
      </c>
      <c r="H294">
        <v>867.31158400000004</v>
      </c>
      <c r="I294">
        <v>899.99011199999995</v>
      </c>
      <c r="J294">
        <v>880.84381099999996</v>
      </c>
      <c r="K294">
        <v>855.30389400000001</v>
      </c>
      <c r="L294">
        <v>840.902649</v>
      </c>
      <c r="M294">
        <v>824.92938200000003</v>
      </c>
      <c r="N294">
        <v>820.85467500000004</v>
      </c>
      <c r="O294">
        <v>827.73187299999995</v>
      </c>
      <c r="P294">
        <v>832.07470699999999</v>
      </c>
      <c r="Q294">
        <v>834.00494400000002</v>
      </c>
      <c r="R294">
        <v>840.76702899999998</v>
      </c>
      <c r="S294">
        <v>849.50982699999997</v>
      </c>
      <c r="T294">
        <v>857.63500999999997</v>
      </c>
      <c r="U294">
        <v>862.24194299999999</v>
      </c>
      <c r="V294">
        <v>863.56207300000005</v>
      </c>
      <c r="W294">
        <v>863.96466099999998</v>
      </c>
      <c r="X294">
        <v>866.54614300000003</v>
      </c>
      <c r="Y294">
        <v>869.01824999999997</v>
      </c>
      <c r="Z294">
        <v>866.80364999999995</v>
      </c>
      <c r="AA294">
        <v>861.68536400000005</v>
      </c>
      <c r="AB294">
        <v>855.97473100000002</v>
      </c>
      <c r="AC294">
        <v>859.67327899999998</v>
      </c>
      <c r="AD294">
        <v>864.81408699999997</v>
      </c>
      <c r="AE294">
        <v>865.47839399999998</v>
      </c>
      <c r="AF294">
        <v>861.86840800000004</v>
      </c>
      <c r="AG294" s="29">
        <v>8.0000000000000002E-3</v>
      </c>
    </row>
    <row r="295" spans="1:33" x14ac:dyDescent="0.25">
      <c r="A295" t="s">
        <v>39</v>
      </c>
    </row>
    <row r="296" spans="1:33" x14ac:dyDescent="0.25">
      <c r="A296" t="s">
        <v>190</v>
      </c>
      <c r="B296" t="s">
        <v>441</v>
      </c>
      <c r="C296" t="s">
        <v>440</v>
      </c>
      <c r="D296" t="s">
        <v>207</v>
      </c>
      <c r="F296">
        <v>1464.855225</v>
      </c>
      <c r="G296">
        <v>1498.5776370000001</v>
      </c>
      <c r="H296">
        <v>1462.373169</v>
      </c>
      <c r="I296">
        <v>1413.733154</v>
      </c>
      <c r="J296">
        <v>1414.115112</v>
      </c>
      <c r="K296">
        <v>1410.565186</v>
      </c>
      <c r="L296">
        <v>1369.7414550000001</v>
      </c>
      <c r="M296">
        <v>1370.1805420000001</v>
      </c>
      <c r="N296">
        <v>1305.8111570000001</v>
      </c>
      <c r="O296">
        <v>1312.2113039999999</v>
      </c>
      <c r="P296">
        <v>1299.8524170000001</v>
      </c>
      <c r="Q296">
        <v>1300.4210210000001</v>
      </c>
      <c r="R296">
        <v>1305.7510990000001</v>
      </c>
      <c r="S296">
        <v>1312.3923339999999</v>
      </c>
      <c r="T296">
        <v>1330.286621</v>
      </c>
      <c r="U296">
        <v>1321.974976</v>
      </c>
      <c r="V296">
        <v>1328.3294679999999</v>
      </c>
      <c r="W296">
        <v>1330.294678</v>
      </c>
      <c r="X296">
        <v>1337.347534</v>
      </c>
      <c r="Y296">
        <v>1345.204712</v>
      </c>
      <c r="Z296">
        <v>1349.7685550000001</v>
      </c>
      <c r="AA296">
        <v>1354.558716</v>
      </c>
      <c r="AB296">
        <v>1355.6860349999999</v>
      </c>
      <c r="AC296">
        <v>1370.355591</v>
      </c>
      <c r="AD296">
        <v>1382.527466</v>
      </c>
      <c r="AE296">
        <v>1392.701904</v>
      </c>
      <c r="AF296">
        <v>1397.21228</v>
      </c>
      <c r="AG296" s="29">
        <v>-2E-3</v>
      </c>
    </row>
    <row r="297" spans="1:33" x14ac:dyDescent="0.25">
      <c r="A297" t="s">
        <v>191</v>
      </c>
      <c r="B297" t="s">
        <v>439</v>
      </c>
      <c r="C297" t="s">
        <v>438</v>
      </c>
      <c r="D297" t="s">
        <v>425</v>
      </c>
      <c r="F297">
        <v>3.3734500000000001</v>
      </c>
      <c r="G297">
        <v>3.3770099999999998</v>
      </c>
      <c r="H297">
        <v>3.3805740000000002</v>
      </c>
      <c r="I297">
        <v>3.3841420000000002</v>
      </c>
      <c r="J297">
        <v>3.3877130000000002</v>
      </c>
      <c r="K297">
        <v>3.391289</v>
      </c>
      <c r="L297">
        <v>3.3948680000000002</v>
      </c>
      <c r="M297">
        <v>3.3984510000000001</v>
      </c>
      <c r="N297">
        <v>3.402037</v>
      </c>
      <c r="O297">
        <v>3.4056280000000001</v>
      </c>
      <c r="P297">
        <v>3.4092220000000002</v>
      </c>
      <c r="Q297">
        <v>3.41282</v>
      </c>
      <c r="R297">
        <v>3.4164219999999998</v>
      </c>
      <c r="S297">
        <v>3.4200270000000002</v>
      </c>
      <c r="T297">
        <v>3.4236369999999998</v>
      </c>
      <c r="U297">
        <v>3.4272499999999999</v>
      </c>
      <c r="V297">
        <v>3.4308670000000001</v>
      </c>
      <c r="W297">
        <v>3.434488</v>
      </c>
      <c r="X297">
        <v>3.438113</v>
      </c>
      <c r="Y297">
        <v>3.4417409999999999</v>
      </c>
      <c r="Z297">
        <v>3.445373</v>
      </c>
      <c r="AA297">
        <v>3.4490099999999999</v>
      </c>
      <c r="AB297">
        <v>3.4526490000000001</v>
      </c>
      <c r="AC297">
        <v>3.4562930000000001</v>
      </c>
      <c r="AD297">
        <v>3.4599410000000002</v>
      </c>
      <c r="AE297">
        <v>3.4635929999999999</v>
      </c>
      <c r="AF297">
        <v>3.4672480000000001</v>
      </c>
      <c r="AG297" s="29">
        <v>1E-3</v>
      </c>
    </row>
    <row r="298" spans="1:33" x14ac:dyDescent="0.25">
      <c r="A298" t="s">
        <v>192</v>
      </c>
    </row>
    <row r="299" spans="1:33" x14ac:dyDescent="0.25">
      <c r="A299" t="s">
        <v>193</v>
      </c>
      <c r="B299" t="s">
        <v>437</v>
      </c>
      <c r="C299" t="s">
        <v>436</v>
      </c>
      <c r="D299" t="s">
        <v>202</v>
      </c>
      <c r="F299">
        <v>434.230682</v>
      </c>
      <c r="G299">
        <v>443.75869799999998</v>
      </c>
      <c r="H299">
        <v>432.581299</v>
      </c>
      <c r="I299">
        <v>417.75234999999998</v>
      </c>
      <c r="J299">
        <v>417.42465199999998</v>
      </c>
      <c r="K299">
        <v>415.93777499999999</v>
      </c>
      <c r="L299">
        <v>403.47412100000003</v>
      </c>
      <c r="M299">
        <v>403.17804000000001</v>
      </c>
      <c r="N299">
        <v>383.83212300000002</v>
      </c>
      <c r="O299">
        <v>385.30667099999999</v>
      </c>
      <c r="P299">
        <v>381.27539100000001</v>
      </c>
      <c r="Q299">
        <v>381.04003899999998</v>
      </c>
      <c r="R299">
        <v>382.19842499999999</v>
      </c>
      <c r="S299">
        <v>383.73739599999999</v>
      </c>
      <c r="T299">
        <v>388.55950899999999</v>
      </c>
      <c r="U299">
        <v>385.72473100000002</v>
      </c>
      <c r="V299">
        <v>387.17019699999997</v>
      </c>
      <c r="W299">
        <v>387.33422899999999</v>
      </c>
      <c r="X299">
        <v>388.97726399999999</v>
      </c>
      <c r="Y299">
        <v>390.85006700000002</v>
      </c>
      <c r="Z299">
        <v>391.76263399999999</v>
      </c>
      <c r="AA299">
        <v>392.73843399999998</v>
      </c>
      <c r="AB299">
        <v>392.65093999999999</v>
      </c>
      <c r="AC299">
        <v>396.48129299999999</v>
      </c>
      <c r="AD299">
        <v>399.58117700000003</v>
      </c>
      <c r="AE299">
        <v>402.097534</v>
      </c>
      <c r="AF299">
        <v>402.97448700000001</v>
      </c>
      <c r="AG299" s="29">
        <v>-3.0000000000000001E-3</v>
      </c>
    </row>
    <row r="300" spans="1:33" x14ac:dyDescent="0.25">
      <c r="A300" t="s">
        <v>194</v>
      </c>
      <c r="B300" t="s">
        <v>435</v>
      </c>
      <c r="C300" t="s">
        <v>434</v>
      </c>
      <c r="D300" t="s">
        <v>202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 t="s">
        <v>23</v>
      </c>
    </row>
    <row r="301" spans="1:33" x14ac:dyDescent="0.25">
      <c r="A301" t="s">
        <v>195</v>
      </c>
      <c r="B301" t="s">
        <v>433</v>
      </c>
      <c r="C301" t="s">
        <v>432</v>
      </c>
      <c r="D301" t="s">
        <v>202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 t="s">
        <v>23</v>
      </c>
    </row>
    <row r="302" spans="1:33" x14ac:dyDescent="0.25">
      <c r="A302" t="s">
        <v>196</v>
      </c>
      <c r="B302" t="s">
        <v>431</v>
      </c>
      <c r="C302" t="s">
        <v>430</v>
      </c>
      <c r="D302" t="s">
        <v>202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 t="s">
        <v>23</v>
      </c>
    </row>
    <row r="303" spans="1:33" x14ac:dyDescent="0.25">
      <c r="A303" t="s">
        <v>38</v>
      </c>
    </row>
    <row r="304" spans="1:33" x14ac:dyDescent="0.25">
      <c r="A304" t="s">
        <v>197</v>
      </c>
      <c r="B304" t="s">
        <v>429</v>
      </c>
      <c r="C304" t="s">
        <v>428</v>
      </c>
      <c r="D304" t="s">
        <v>207</v>
      </c>
      <c r="F304">
        <v>458.773346</v>
      </c>
      <c r="G304">
        <v>464.892853</v>
      </c>
      <c r="H304">
        <v>462.96167000000003</v>
      </c>
      <c r="I304">
        <v>460.98571800000002</v>
      </c>
      <c r="J304">
        <v>459.37042200000002</v>
      </c>
      <c r="K304">
        <v>457.35058600000002</v>
      </c>
      <c r="L304">
        <v>454.85974099999999</v>
      </c>
      <c r="M304">
        <v>451.94982900000002</v>
      </c>
      <c r="N304">
        <v>448.29049700000002</v>
      </c>
      <c r="O304">
        <v>446.236603</v>
      </c>
      <c r="P304">
        <v>444.57028200000002</v>
      </c>
      <c r="Q304">
        <v>442.67672700000003</v>
      </c>
      <c r="R304">
        <v>440.63128699999999</v>
      </c>
      <c r="S304">
        <v>439.09964000000002</v>
      </c>
      <c r="T304">
        <v>437.71414199999998</v>
      </c>
      <c r="U304">
        <v>435.98474099999999</v>
      </c>
      <c r="V304">
        <v>434.76898199999999</v>
      </c>
      <c r="W304">
        <v>433.49096700000001</v>
      </c>
      <c r="X304">
        <v>432.22720299999997</v>
      </c>
      <c r="Y304">
        <v>430.67340100000001</v>
      </c>
      <c r="Z304">
        <v>428.801331</v>
      </c>
      <c r="AA304">
        <v>427.06716899999998</v>
      </c>
      <c r="AB304">
        <v>425.27600100000001</v>
      </c>
      <c r="AC304">
        <v>424.65441900000002</v>
      </c>
      <c r="AD304">
        <v>423.51385499999998</v>
      </c>
      <c r="AE304">
        <v>422.14224200000001</v>
      </c>
      <c r="AF304">
        <v>420.62109400000003</v>
      </c>
      <c r="AG304" s="29">
        <v>-3.0000000000000001E-3</v>
      </c>
    </row>
    <row r="305" spans="1:33" x14ac:dyDescent="0.25">
      <c r="A305" t="s">
        <v>191</v>
      </c>
      <c r="B305" t="s">
        <v>427</v>
      </c>
      <c r="C305" t="s">
        <v>426</v>
      </c>
      <c r="D305" t="s">
        <v>425</v>
      </c>
      <c r="F305">
        <v>4.8577789999999998</v>
      </c>
      <c r="G305">
        <v>4.876665</v>
      </c>
      <c r="H305">
        <v>4.8956239999999998</v>
      </c>
      <c r="I305">
        <v>4.9146570000000001</v>
      </c>
      <c r="J305">
        <v>4.933764</v>
      </c>
      <c r="K305">
        <v>4.9529449999999997</v>
      </c>
      <c r="L305">
        <v>4.9722</v>
      </c>
      <c r="M305">
        <v>4.9915310000000002</v>
      </c>
      <c r="N305">
        <v>5.0109370000000002</v>
      </c>
      <c r="O305">
        <v>5.0304180000000001</v>
      </c>
      <c r="P305">
        <v>5.0499749999999999</v>
      </c>
      <c r="Q305">
        <v>5.0696079999999997</v>
      </c>
      <c r="R305">
        <v>5.0893170000000003</v>
      </c>
      <c r="S305">
        <v>5.1091030000000002</v>
      </c>
      <c r="T305">
        <v>5.1289660000000001</v>
      </c>
      <c r="U305">
        <v>5.1489060000000002</v>
      </c>
      <c r="V305">
        <v>5.1689230000000004</v>
      </c>
      <c r="W305">
        <v>5.189019</v>
      </c>
      <c r="X305">
        <v>5.2091919999999998</v>
      </c>
      <c r="Y305">
        <v>5.2294450000000001</v>
      </c>
      <c r="Z305">
        <v>5.2497749999999996</v>
      </c>
      <c r="AA305">
        <v>5.2701849999999997</v>
      </c>
      <c r="AB305">
        <v>5.2906740000000001</v>
      </c>
      <c r="AC305">
        <v>5.3112430000000002</v>
      </c>
      <c r="AD305">
        <v>5.3318919999999999</v>
      </c>
      <c r="AE305">
        <v>5.3526210000000001</v>
      </c>
      <c r="AF305">
        <v>5.3734299999999999</v>
      </c>
      <c r="AG305" s="29">
        <v>4.0000000000000001E-3</v>
      </c>
    </row>
    <row r="306" spans="1:33" x14ac:dyDescent="0.25">
      <c r="A306" t="s">
        <v>192</v>
      </c>
    </row>
    <row r="307" spans="1:33" x14ac:dyDescent="0.25">
      <c r="A307" t="s">
        <v>193</v>
      </c>
      <c r="B307" t="s">
        <v>424</v>
      </c>
      <c r="C307" t="s">
        <v>423</v>
      </c>
      <c r="D307" t="s">
        <v>202</v>
      </c>
      <c r="F307">
        <v>92.332252999999994</v>
      </c>
      <c r="G307">
        <v>93.278983999999994</v>
      </c>
      <c r="H307">
        <v>92.539314000000005</v>
      </c>
      <c r="I307">
        <v>91.795044000000004</v>
      </c>
      <c r="J307">
        <v>91.125641000000002</v>
      </c>
      <c r="K307">
        <v>90.379990000000006</v>
      </c>
      <c r="L307">
        <v>89.546463000000003</v>
      </c>
      <c r="M307">
        <v>88.635925</v>
      </c>
      <c r="N307">
        <v>87.584746999999993</v>
      </c>
      <c r="O307">
        <v>86.852417000000003</v>
      </c>
      <c r="P307">
        <v>86.199318000000005</v>
      </c>
      <c r="Q307">
        <v>85.505904999999998</v>
      </c>
      <c r="R307">
        <v>84.786452999999995</v>
      </c>
      <c r="S307">
        <v>84.170158000000001</v>
      </c>
      <c r="T307">
        <v>83.586044000000001</v>
      </c>
      <c r="U307">
        <v>82.940169999999995</v>
      </c>
      <c r="V307">
        <v>82.351212000000004</v>
      </c>
      <c r="W307">
        <v>81.693588000000005</v>
      </c>
      <c r="X307">
        <v>81.036438000000004</v>
      </c>
      <c r="Y307">
        <v>80.322616999999994</v>
      </c>
      <c r="Z307">
        <v>79.547393999999997</v>
      </c>
      <c r="AA307">
        <v>78.795531999999994</v>
      </c>
      <c r="AB307">
        <v>78.030472000000003</v>
      </c>
      <c r="AC307">
        <v>77.475707999999997</v>
      </c>
      <c r="AD307">
        <v>76.820853999999997</v>
      </c>
      <c r="AE307">
        <v>76.119011</v>
      </c>
      <c r="AF307">
        <v>75.385009999999994</v>
      </c>
      <c r="AG307" s="29">
        <v>-8.0000000000000002E-3</v>
      </c>
    </row>
    <row r="308" spans="1:33" x14ac:dyDescent="0.25">
      <c r="A308" t="s">
        <v>194</v>
      </c>
      <c r="B308" t="s">
        <v>422</v>
      </c>
      <c r="C308" t="s">
        <v>421</v>
      </c>
      <c r="D308" t="s">
        <v>202</v>
      </c>
      <c r="F308">
        <v>1.3822049999999999</v>
      </c>
      <c r="G308">
        <v>1.2632559999999999</v>
      </c>
      <c r="H308">
        <v>1.198018</v>
      </c>
      <c r="I308">
        <v>1.1309709999999999</v>
      </c>
      <c r="J308">
        <v>1.0674129999999999</v>
      </c>
      <c r="K308">
        <v>1.0042279999999999</v>
      </c>
      <c r="L308">
        <v>0.937581</v>
      </c>
      <c r="M308">
        <v>0.868587</v>
      </c>
      <c r="N308">
        <v>0.80069400000000002</v>
      </c>
      <c r="O308">
        <v>0.73563800000000001</v>
      </c>
      <c r="P308">
        <v>0.673956</v>
      </c>
      <c r="Q308">
        <v>0.61449699999999996</v>
      </c>
      <c r="R308">
        <v>0.56326799999999999</v>
      </c>
      <c r="S308">
        <v>0.50884700000000005</v>
      </c>
      <c r="T308">
        <v>0.44785000000000003</v>
      </c>
      <c r="U308">
        <v>0.38284099999999999</v>
      </c>
      <c r="V308">
        <v>0.32558700000000002</v>
      </c>
      <c r="W308">
        <v>0.32329599999999997</v>
      </c>
      <c r="X308">
        <v>0.321021</v>
      </c>
      <c r="Y308">
        <v>0.31855600000000001</v>
      </c>
      <c r="Z308">
        <v>0.31585600000000003</v>
      </c>
      <c r="AA308">
        <v>0.31325799999999998</v>
      </c>
      <c r="AB308">
        <v>0.310612</v>
      </c>
      <c r="AC308">
        <v>0.30888199999999999</v>
      </c>
      <c r="AD308">
        <v>0.306782</v>
      </c>
      <c r="AE308">
        <v>0.30452499999999999</v>
      </c>
      <c r="AF308">
        <v>0.302176</v>
      </c>
      <c r="AG308" s="29">
        <v>-5.7000000000000002E-2</v>
      </c>
    </row>
    <row r="309" spans="1:33" x14ac:dyDescent="0.25">
      <c r="A309" t="s">
        <v>195</v>
      </c>
      <c r="B309" t="s">
        <v>420</v>
      </c>
      <c r="C309" t="s">
        <v>419</v>
      </c>
      <c r="D309" t="s">
        <v>202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t="s">
        <v>23</v>
      </c>
    </row>
    <row r="310" spans="1:33" x14ac:dyDescent="0.25">
      <c r="A310" t="s">
        <v>196</v>
      </c>
      <c r="B310" t="s">
        <v>418</v>
      </c>
      <c r="C310" t="s">
        <v>417</v>
      </c>
      <c r="D310" t="s">
        <v>202</v>
      </c>
      <c r="F310">
        <v>0.72651399999999999</v>
      </c>
      <c r="G310">
        <v>0.78784500000000002</v>
      </c>
      <c r="H310">
        <v>0.82910799999999996</v>
      </c>
      <c r="I310">
        <v>0.87214700000000001</v>
      </c>
      <c r="J310">
        <v>0.91445100000000001</v>
      </c>
      <c r="K310">
        <v>0.95491099999999995</v>
      </c>
      <c r="L310">
        <v>0.99653099999999994</v>
      </c>
      <c r="M310">
        <v>1.038818</v>
      </c>
      <c r="N310">
        <v>1.0769789999999999</v>
      </c>
      <c r="O310">
        <v>1.119599</v>
      </c>
      <c r="P310">
        <v>1.1608780000000001</v>
      </c>
      <c r="Q310">
        <v>1.199308</v>
      </c>
      <c r="R310">
        <v>1.229924</v>
      </c>
      <c r="S310">
        <v>1.2655670000000001</v>
      </c>
      <c r="T310">
        <v>1.3077129999999999</v>
      </c>
      <c r="U310">
        <v>1.352198</v>
      </c>
      <c r="V310">
        <v>1.4353050000000001</v>
      </c>
      <c r="W310">
        <v>1.5231779999999999</v>
      </c>
      <c r="X310">
        <v>1.616471</v>
      </c>
      <c r="Y310">
        <v>1.7143079999999999</v>
      </c>
      <c r="Z310">
        <v>1.8166960000000001</v>
      </c>
      <c r="AA310">
        <v>1.9257839999999999</v>
      </c>
      <c r="AB310">
        <v>2.0411160000000002</v>
      </c>
      <c r="AC310">
        <v>2.1692900000000002</v>
      </c>
      <c r="AD310">
        <v>2.3026849999999999</v>
      </c>
      <c r="AE310">
        <v>2.44293</v>
      </c>
      <c r="AF310">
        <v>2.590767</v>
      </c>
      <c r="AG310" s="29">
        <v>0.05</v>
      </c>
    </row>
    <row r="311" spans="1:33" x14ac:dyDescent="0.25">
      <c r="A311" t="s">
        <v>37</v>
      </c>
    </row>
    <row r="312" spans="1:33" x14ac:dyDescent="0.25">
      <c r="A312" t="s">
        <v>198</v>
      </c>
      <c r="B312" t="s">
        <v>416</v>
      </c>
      <c r="C312" t="s">
        <v>415</v>
      </c>
      <c r="D312" t="s">
        <v>208</v>
      </c>
      <c r="F312">
        <v>6023.5166019999997</v>
      </c>
      <c r="G312">
        <v>6248.9067379999997</v>
      </c>
      <c r="H312">
        <v>6421.529297</v>
      </c>
      <c r="I312">
        <v>6659.548828</v>
      </c>
      <c r="J312">
        <v>6864.0795900000003</v>
      </c>
      <c r="K312">
        <v>7079.498047</v>
      </c>
      <c r="L312">
        <v>7297.4252930000002</v>
      </c>
      <c r="M312">
        <v>7503.923828</v>
      </c>
      <c r="N312">
        <v>7740.4560549999997</v>
      </c>
      <c r="O312">
        <v>7974.0815430000002</v>
      </c>
      <c r="P312">
        <v>8222.6484380000002</v>
      </c>
      <c r="Q312">
        <v>8411.9707030000009</v>
      </c>
      <c r="R312">
        <v>8574.0878909999992</v>
      </c>
      <c r="S312">
        <v>8726.2421880000002</v>
      </c>
      <c r="T312">
        <v>8864.3476559999999</v>
      </c>
      <c r="U312">
        <v>9003.0683590000008</v>
      </c>
      <c r="V312">
        <v>9128.03125</v>
      </c>
      <c r="W312">
        <v>9252.5576170000004</v>
      </c>
      <c r="X312">
        <v>9379.8408199999994</v>
      </c>
      <c r="Y312">
        <v>9504.1064449999994</v>
      </c>
      <c r="Z312">
        <v>9625.9179690000001</v>
      </c>
      <c r="AA312">
        <v>9740.8447269999997</v>
      </c>
      <c r="AB312">
        <v>9833.2382809999999</v>
      </c>
      <c r="AC312">
        <v>9964.6669920000004</v>
      </c>
      <c r="AD312">
        <v>10123.741211</v>
      </c>
      <c r="AE312">
        <v>10282.939453000001</v>
      </c>
      <c r="AF312">
        <v>10434.558594</v>
      </c>
      <c r="AG312" s="29">
        <v>2.1000000000000001E-2</v>
      </c>
    </row>
    <row r="313" spans="1:33" x14ac:dyDescent="0.25">
      <c r="A313" t="s">
        <v>199</v>
      </c>
      <c r="B313" t="s">
        <v>414</v>
      </c>
      <c r="C313" t="s">
        <v>413</v>
      </c>
      <c r="D313" t="s">
        <v>208</v>
      </c>
      <c r="F313">
        <v>1938.3862300000001</v>
      </c>
      <c r="G313">
        <v>2014.6479489999999</v>
      </c>
      <c r="H313">
        <v>2075.9914549999999</v>
      </c>
      <c r="I313">
        <v>2166.7897950000001</v>
      </c>
      <c r="J313">
        <v>2249.5659179999998</v>
      </c>
      <c r="K313">
        <v>2329.5798340000001</v>
      </c>
      <c r="L313">
        <v>2404.4145509999998</v>
      </c>
      <c r="M313">
        <v>2470.181885</v>
      </c>
      <c r="N313">
        <v>2540.5629880000001</v>
      </c>
      <c r="O313">
        <v>2603.9204100000002</v>
      </c>
      <c r="P313">
        <v>2673.7998050000001</v>
      </c>
      <c r="Q313">
        <v>2730.7907709999999</v>
      </c>
      <c r="R313">
        <v>2779.3188479999999</v>
      </c>
      <c r="S313">
        <v>2825.1267090000001</v>
      </c>
      <c r="T313">
        <v>2876.078857</v>
      </c>
      <c r="U313">
        <v>2928.6367190000001</v>
      </c>
      <c r="V313">
        <v>2981.3789059999999</v>
      </c>
      <c r="W313">
        <v>3039.28125</v>
      </c>
      <c r="X313">
        <v>3096.5607909999999</v>
      </c>
      <c r="Y313">
        <v>3154.7770999999998</v>
      </c>
      <c r="Z313">
        <v>3209.8603520000001</v>
      </c>
      <c r="AA313">
        <v>3262.2211910000001</v>
      </c>
      <c r="AB313">
        <v>3305.1987300000001</v>
      </c>
      <c r="AC313">
        <v>3359.7014159999999</v>
      </c>
      <c r="AD313">
        <v>3411.3432619999999</v>
      </c>
      <c r="AE313">
        <v>3458.4096679999998</v>
      </c>
      <c r="AF313">
        <v>3501.953857</v>
      </c>
      <c r="AG313" s="29">
        <v>2.3E-2</v>
      </c>
    </row>
    <row r="314" spans="1:33" x14ac:dyDescent="0.25">
      <c r="A314" t="s">
        <v>200</v>
      </c>
      <c r="B314" t="s">
        <v>412</v>
      </c>
      <c r="C314" t="s">
        <v>411</v>
      </c>
      <c r="D314" t="s">
        <v>208</v>
      </c>
      <c r="F314">
        <v>4085.1303710000002</v>
      </c>
      <c r="G314">
        <v>4234.2587890000004</v>
      </c>
      <c r="H314">
        <v>4345.5380859999996</v>
      </c>
      <c r="I314">
        <v>4492.7587890000004</v>
      </c>
      <c r="J314">
        <v>4614.513672</v>
      </c>
      <c r="K314">
        <v>4749.9179690000001</v>
      </c>
      <c r="L314">
        <v>4893.0107420000004</v>
      </c>
      <c r="M314">
        <v>5033.7421880000002</v>
      </c>
      <c r="N314">
        <v>5199.8930659999996</v>
      </c>
      <c r="O314">
        <v>5370.1611329999996</v>
      </c>
      <c r="P314">
        <v>5548.8481449999999</v>
      </c>
      <c r="Q314">
        <v>5681.1801759999998</v>
      </c>
      <c r="R314">
        <v>5794.7695309999999</v>
      </c>
      <c r="S314">
        <v>5901.1157229999999</v>
      </c>
      <c r="T314">
        <v>5988.2690430000002</v>
      </c>
      <c r="U314">
        <v>6074.4321289999998</v>
      </c>
      <c r="V314">
        <v>6146.6523440000001</v>
      </c>
      <c r="W314">
        <v>6213.2763670000004</v>
      </c>
      <c r="X314">
        <v>6283.2802730000003</v>
      </c>
      <c r="Y314">
        <v>6349.3295900000003</v>
      </c>
      <c r="Z314">
        <v>6416.0571289999998</v>
      </c>
      <c r="AA314">
        <v>6478.6235349999997</v>
      </c>
      <c r="AB314">
        <v>6528.0390619999998</v>
      </c>
      <c r="AC314">
        <v>6604.9653319999998</v>
      </c>
      <c r="AD314">
        <v>6712.3979490000002</v>
      </c>
      <c r="AE314">
        <v>6824.5302730000003</v>
      </c>
      <c r="AF314">
        <v>6932.6049800000001</v>
      </c>
      <c r="AG314" s="29">
        <v>2.1000000000000001E-2</v>
      </c>
    </row>
    <row r="315" spans="1:33" x14ac:dyDescent="0.25">
      <c r="A315" t="s">
        <v>192</v>
      </c>
    </row>
    <row r="316" spans="1:33" x14ac:dyDescent="0.25">
      <c r="A316" t="s">
        <v>193</v>
      </c>
      <c r="B316" t="s">
        <v>410</v>
      </c>
      <c r="C316" t="s">
        <v>409</v>
      </c>
      <c r="D316" t="s">
        <v>202</v>
      </c>
      <c r="F316">
        <v>195.74534600000001</v>
      </c>
      <c r="G316">
        <v>212.661835</v>
      </c>
      <c r="H316">
        <v>224.314606</v>
      </c>
      <c r="I316">
        <v>228.064087</v>
      </c>
      <c r="J316">
        <v>233.18679800000001</v>
      </c>
      <c r="K316">
        <v>235.61990399999999</v>
      </c>
      <c r="L316">
        <v>238.52423099999999</v>
      </c>
      <c r="M316">
        <v>242.35704000000001</v>
      </c>
      <c r="N316">
        <v>248.63774100000001</v>
      </c>
      <c r="O316">
        <v>254.948486</v>
      </c>
      <c r="P316">
        <v>261.07586700000002</v>
      </c>
      <c r="Q316">
        <v>263.98260499999998</v>
      </c>
      <c r="R316">
        <v>266.61132800000001</v>
      </c>
      <c r="S316">
        <v>268.03750600000001</v>
      </c>
      <c r="T316">
        <v>270.21701000000002</v>
      </c>
      <c r="U316">
        <v>272.002228</v>
      </c>
      <c r="V316">
        <v>273.95889299999999</v>
      </c>
      <c r="W316">
        <v>276.39965799999999</v>
      </c>
      <c r="X316">
        <v>278.885986</v>
      </c>
      <c r="Y316">
        <v>280.99075299999998</v>
      </c>
      <c r="Z316">
        <v>283.009094</v>
      </c>
      <c r="AA316">
        <v>284.52014200000002</v>
      </c>
      <c r="AB316">
        <v>284.75753800000001</v>
      </c>
      <c r="AC316">
        <v>286.24276700000001</v>
      </c>
      <c r="AD316">
        <v>288.10394300000002</v>
      </c>
      <c r="AE316">
        <v>290.23345899999998</v>
      </c>
      <c r="AF316">
        <v>292.11120599999998</v>
      </c>
      <c r="AG316" s="29">
        <v>1.6E-2</v>
      </c>
    </row>
    <row r="317" spans="1:33" x14ac:dyDescent="0.25">
      <c r="A317" t="s">
        <v>194</v>
      </c>
      <c r="B317" t="s">
        <v>408</v>
      </c>
      <c r="C317" t="s">
        <v>407</v>
      </c>
      <c r="D317" t="s">
        <v>202</v>
      </c>
      <c r="F317">
        <v>550.43896500000005</v>
      </c>
      <c r="G317">
        <v>514.18347200000005</v>
      </c>
      <c r="H317">
        <v>510.80633499999999</v>
      </c>
      <c r="I317">
        <v>520.583618</v>
      </c>
      <c r="J317">
        <v>526.08252000000005</v>
      </c>
      <c r="K317">
        <v>535.16064500000005</v>
      </c>
      <c r="L317">
        <v>543.52642800000001</v>
      </c>
      <c r="M317">
        <v>549.77069100000006</v>
      </c>
      <c r="N317">
        <v>554.768372</v>
      </c>
      <c r="O317">
        <v>559.316101</v>
      </c>
      <c r="P317">
        <v>564.45159899999999</v>
      </c>
      <c r="Q317">
        <v>570.71923800000002</v>
      </c>
      <c r="R317">
        <v>575.59594700000002</v>
      </c>
      <c r="S317">
        <v>581.43194600000004</v>
      </c>
      <c r="T317">
        <v>585.571777</v>
      </c>
      <c r="U317">
        <v>590.16540499999996</v>
      </c>
      <c r="V317">
        <v>593.91705300000001</v>
      </c>
      <c r="W317">
        <v>597.12823500000002</v>
      </c>
      <c r="X317">
        <v>600.45532200000002</v>
      </c>
      <c r="Y317">
        <v>603.99230999999997</v>
      </c>
      <c r="Z317">
        <v>607.38354500000003</v>
      </c>
      <c r="AA317">
        <v>610.92431599999998</v>
      </c>
      <c r="AB317">
        <v>615.06170699999996</v>
      </c>
      <c r="AC317">
        <v>619.51269500000001</v>
      </c>
      <c r="AD317">
        <v>624.67334000000005</v>
      </c>
      <c r="AE317">
        <v>629.26171899999997</v>
      </c>
      <c r="AF317">
        <v>633.68322799999999</v>
      </c>
      <c r="AG317" s="29">
        <v>5.0000000000000001E-3</v>
      </c>
    </row>
    <row r="318" spans="1:33" x14ac:dyDescent="0.25">
      <c r="A318" t="s">
        <v>195</v>
      </c>
      <c r="B318" t="s">
        <v>406</v>
      </c>
      <c r="C318" t="s">
        <v>405</v>
      </c>
      <c r="D318" t="s">
        <v>202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t="s">
        <v>23</v>
      </c>
    </row>
    <row r="319" spans="1:33" x14ac:dyDescent="0.25">
      <c r="A319" t="s">
        <v>196</v>
      </c>
      <c r="B319" t="s">
        <v>404</v>
      </c>
      <c r="C319" t="s">
        <v>403</v>
      </c>
      <c r="D319" t="s">
        <v>202</v>
      </c>
      <c r="F319">
        <v>5.9348320000000001</v>
      </c>
      <c r="G319">
        <v>6.5364779999999998</v>
      </c>
      <c r="H319">
        <v>6.6340339999999998</v>
      </c>
      <c r="I319">
        <v>6.6726179999999999</v>
      </c>
      <c r="J319">
        <v>7.0259280000000004</v>
      </c>
      <c r="K319">
        <v>7.4154460000000002</v>
      </c>
      <c r="L319">
        <v>7.8749640000000003</v>
      </c>
      <c r="M319">
        <v>8.4281520000000008</v>
      </c>
      <c r="N319">
        <v>8.7182600000000008</v>
      </c>
      <c r="O319">
        <v>9.0221319999999992</v>
      </c>
      <c r="P319">
        <v>9.4022459999999999</v>
      </c>
      <c r="Q319">
        <v>9.4618070000000003</v>
      </c>
      <c r="R319">
        <v>9.6343019999999999</v>
      </c>
      <c r="S319">
        <v>9.8146550000000001</v>
      </c>
      <c r="T319">
        <v>10.029487</v>
      </c>
      <c r="U319">
        <v>10.238963999999999</v>
      </c>
      <c r="V319">
        <v>10.386210999999999</v>
      </c>
      <c r="W319">
        <v>10.461117</v>
      </c>
      <c r="X319">
        <v>10.493995</v>
      </c>
      <c r="Y319">
        <v>10.588778</v>
      </c>
      <c r="Z319">
        <v>10.700267999999999</v>
      </c>
      <c r="AA319">
        <v>10.871041999999999</v>
      </c>
      <c r="AB319">
        <v>10.939361999999999</v>
      </c>
      <c r="AC319">
        <v>11.028162999999999</v>
      </c>
      <c r="AD319">
        <v>11.141788</v>
      </c>
      <c r="AE319">
        <v>11.308977000000001</v>
      </c>
      <c r="AF319">
        <v>11.478370999999999</v>
      </c>
      <c r="AG319" s="29">
        <v>2.5999999999999999E-2</v>
      </c>
    </row>
    <row r="320" spans="1:33" x14ac:dyDescent="0.25"/>
    <row r="321" x14ac:dyDescent="0.25"/>
    <row r="322" x14ac:dyDescent="0.25"/>
    <row r="323" x14ac:dyDescent="0.25"/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115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111</v>
      </c>
      <c r="H1" s="4" t="s">
        <v>112</v>
      </c>
    </row>
    <row r="2" spans="1:10" x14ac:dyDescent="0.25">
      <c r="A2" s="1" t="s">
        <v>12</v>
      </c>
      <c r="B2" s="5">
        <v>2799214</v>
      </c>
      <c r="C2" s="5">
        <v>16648</v>
      </c>
      <c r="D2" s="5">
        <v>256819978</v>
      </c>
      <c r="E2" s="5">
        <v>1348635</v>
      </c>
      <c r="F2" s="5">
        <v>1130472.0000000002</v>
      </c>
      <c r="G2" s="5">
        <v>16384</v>
      </c>
      <c r="H2" s="5">
        <v>15809</v>
      </c>
      <c r="J2" s="5"/>
    </row>
    <row r="3" spans="1:10" x14ac:dyDescent="0.25">
      <c r="A3" s="1" t="s">
        <v>13</v>
      </c>
      <c r="B3" s="5">
        <v>300</v>
      </c>
      <c r="C3" s="5">
        <v>123405.86316307285</v>
      </c>
      <c r="D3" s="5">
        <v>98369.804893824577</v>
      </c>
      <c r="E3" s="5">
        <v>703911.92875736777</v>
      </c>
      <c r="F3" s="5">
        <v>0</v>
      </c>
      <c r="G3" s="5">
        <v>41837.429476286045</v>
      </c>
      <c r="H3" s="5">
        <v>105.31556700313551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2563.6060360683009</v>
      </c>
      <c r="C5" s="5">
        <v>0</v>
      </c>
      <c r="D5" s="5">
        <v>0</v>
      </c>
      <c r="E5" s="5">
        <v>173.39396393169866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10231405.018379824</v>
      </c>
      <c r="E6" s="5">
        <v>2473594.5350763109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9516910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F16" sqref="F16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25" t="s">
        <v>115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111</v>
      </c>
      <c r="H1" s="4" t="s">
        <v>112</v>
      </c>
    </row>
    <row r="2" spans="1:10" x14ac:dyDescent="0.25">
      <c r="A2" s="1" t="s">
        <v>12</v>
      </c>
      <c r="B2" s="5">
        <v>368.00000000000006</v>
      </c>
      <c r="C2" s="5">
        <v>15528.946</v>
      </c>
      <c r="D2" s="5">
        <v>12709651.744000001</v>
      </c>
      <c r="E2" s="5">
        <v>10634736.973000001</v>
      </c>
      <c r="F2" s="5">
        <v>2288.1999999999998</v>
      </c>
      <c r="G2" s="5">
        <v>3349.4049999999997</v>
      </c>
      <c r="H2" s="5">
        <v>0</v>
      </c>
      <c r="I2" s="24"/>
      <c r="J2" s="5"/>
    </row>
    <row r="3" spans="1:10" x14ac:dyDescent="0.25">
      <c r="A3" s="1" t="s">
        <v>13</v>
      </c>
      <c r="B3" s="5">
        <v>255.00000000000003</v>
      </c>
      <c r="C3" s="5">
        <v>53506</v>
      </c>
      <c r="D3" s="5">
        <v>39244</v>
      </c>
      <c r="E3" s="5">
        <v>5288878</v>
      </c>
      <c r="F3" s="5">
        <v>0</v>
      </c>
      <c r="G3" s="5">
        <v>3134</v>
      </c>
      <c r="H3" s="5">
        <v>0</v>
      </c>
      <c r="J3" s="5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46.014765775534414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0</v>
      </c>
      <c r="C5" s="5">
        <v>0</v>
      </c>
      <c r="D5" s="5">
        <v>0</v>
      </c>
      <c r="E5" s="5">
        <v>24526.1775147929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0</v>
      </c>
      <c r="E6" s="5">
        <v>9678.1610755012989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49"/>
  <sheetViews>
    <sheetView zoomScale="85" zoomScaleNormal="85" workbookViewId="0">
      <selection activeCell="H13" sqref="H13"/>
    </sheetView>
  </sheetViews>
  <sheetFormatPr defaultColWidth="9.140625" defaultRowHeight="15" x14ac:dyDescent="0.25"/>
  <cols>
    <col min="1" max="1" width="58.28515625" customWidth="1"/>
    <col min="6" max="6" width="13" customWidth="1"/>
    <col min="7" max="7" width="14.28515625" customWidth="1"/>
  </cols>
  <sheetData>
    <row r="1" spans="1:14" x14ac:dyDescent="0.25">
      <c r="A1" s="1" t="s">
        <v>63</v>
      </c>
    </row>
    <row r="2" spans="1:14" x14ac:dyDescent="0.25">
      <c r="A2" s="15">
        <v>5</v>
      </c>
    </row>
    <row r="4" spans="1:14" x14ac:dyDescent="0.25">
      <c r="A4" t="s">
        <v>58</v>
      </c>
    </row>
    <row r="5" spans="1:14" x14ac:dyDescent="0.25">
      <c r="A5" t="s">
        <v>59</v>
      </c>
    </row>
    <row r="6" spans="1:14" x14ac:dyDescent="0.25">
      <c r="A6" t="s">
        <v>60</v>
      </c>
    </row>
    <row r="7" spans="1:14" x14ac:dyDescent="0.25">
      <c r="A7" t="s">
        <v>61</v>
      </c>
    </row>
    <row r="8" spans="1:14" x14ac:dyDescent="0.25">
      <c r="A8" t="s">
        <v>62</v>
      </c>
    </row>
    <row r="10" spans="1:14" x14ac:dyDescent="0.25">
      <c r="A10" s="1" t="s">
        <v>113</v>
      </c>
    </row>
    <row r="11" spans="1:14" x14ac:dyDescent="0.25">
      <c r="A11" s="15">
        <v>4</v>
      </c>
    </row>
    <row r="13" spans="1:14" x14ac:dyDescent="0.25">
      <c r="A13" t="s">
        <v>83</v>
      </c>
    </row>
    <row r="14" spans="1:14" x14ac:dyDescent="0.25">
      <c r="A14" t="s">
        <v>84</v>
      </c>
    </row>
    <row r="15" spans="1:14" x14ac:dyDescent="0.25">
      <c r="A15" t="s">
        <v>60</v>
      </c>
      <c r="N15" s="32"/>
    </row>
    <row r="16" spans="1:14" x14ac:dyDescent="0.25">
      <c r="A16" t="s">
        <v>85</v>
      </c>
      <c r="N16" s="34"/>
    </row>
    <row r="17" spans="1:17" x14ac:dyDescent="0.25">
      <c r="A17" t="s">
        <v>86</v>
      </c>
      <c r="N17" s="33"/>
      <c r="O17" s="35"/>
      <c r="P17" s="35"/>
      <c r="Q17" s="35"/>
    </row>
    <row r="18" spans="1:17" x14ac:dyDescent="0.25">
      <c r="N18" s="35"/>
      <c r="O18" s="36"/>
      <c r="P18" s="36"/>
      <c r="Q18" s="36"/>
    </row>
    <row r="19" spans="1:17" x14ac:dyDescent="0.25">
      <c r="A19" t="s">
        <v>87</v>
      </c>
      <c r="N19" s="35"/>
      <c r="O19" s="36"/>
      <c r="P19" s="36"/>
      <c r="Q19" s="36"/>
    </row>
    <row r="20" spans="1:17" x14ac:dyDescent="0.25">
      <c r="A20" t="s">
        <v>88</v>
      </c>
      <c r="N20" s="35"/>
      <c r="O20" s="36"/>
      <c r="P20" s="36"/>
      <c r="Q20" s="36"/>
    </row>
    <row r="21" spans="1:17" x14ac:dyDescent="0.25">
      <c r="A21" t="s">
        <v>89</v>
      </c>
      <c r="N21" s="35"/>
      <c r="O21" s="36"/>
      <c r="P21" s="36"/>
      <c r="Q21" s="36"/>
    </row>
    <row r="22" spans="1:17" x14ac:dyDescent="0.25">
      <c r="A22" t="s">
        <v>90</v>
      </c>
      <c r="N22" s="35"/>
      <c r="O22" s="36"/>
      <c r="P22" s="36"/>
      <c r="Q22" s="36"/>
    </row>
    <row r="23" spans="1:17" x14ac:dyDescent="0.25">
      <c r="A23" t="s">
        <v>91</v>
      </c>
      <c r="N23" s="35"/>
      <c r="O23" s="36"/>
      <c r="P23" s="36"/>
      <c r="Q23" s="36"/>
    </row>
    <row r="24" spans="1:17" x14ac:dyDescent="0.25">
      <c r="A24" t="s">
        <v>92</v>
      </c>
      <c r="N24" s="35"/>
      <c r="O24" s="36"/>
      <c r="P24" s="36"/>
      <c r="Q24" s="36"/>
    </row>
    <row r="25" spans="1:17" x14ac:dyDescent="0.25">
      <c r="A25" t="s">
        <v>93</v>
      </c>
      <c r="N25" s="35"/>
      <c r="O25" s="37"/>
      <c r="P25" s="36"/>
      <c r="Q25" s="36"/>
    </row>
    <row r="26" spans="1:17" x14ac:dyDescent="0.25">
      <c r="N26" s="35"/>
      <c r="O26" s="37"/>
      <c r="P26" s="36"/>
      <c r="Q26" s="36"/>
    </row>
    <row r="27" spans="1:17" x14ac:dyDescent="0.25">
      <c r="A27" s="1" t="s">
        <v>216</v>
      </c>
      <c r="N27" s="35"/>
      <c r="O27" s="37"/>
      <c r="P27" s="36"/>
      <c r="Q27" s="36"/>
    </row>
    <row r="28" spans="1:17" x14ac:dyDescent="0.25">
      <c r="N28" s="35"/>
      <c r="O28" s="37"/>
      <c r="P28" s="36"/>
      <c r="Q28" s="36"/>
    </row>
    <row r="29" spans="1:17" x14ac:dyDescent="0.25">
      <c r="A29" t="s">
        <v>230</v>
      </c>
      <c r="N29" s="35"/>
      <c r="O29" s="37"/>
      <c r="P29" s="36"/>
      <c r="Q29" s="36"/>
    </row>
    <row r="30" spans="1:17" x14ac:dyDescent="0.25">
      <c r="N30" s="35"/>
      <c r="O30" s="37"/>
      <c r="P30" s="36"/>
      <c r="Q30" s="36"/>
    </row>
    <row r="31" spans="1:17" x14ac:dyDescent="0.25">
      <c r="A31" s="28" t="s">
        <v>260</v>
      </c>
      <c r="N31" s="35"/>
      <c r="O31" s="37"/>
      <c r="P31" s="36"/>
      <c r="Q31" s="36"/>
    </row>
    <row r="32" spans="1:17" x14ac:dyDescent="0.25">
      <c r="A32" s="28"/>
      <c r="B32" t="s">
        <v>231</v>
      </c>
      <c r="C32" t="s">
        <v>232</v>
      </c>
      <c r="D32" t="s">
        <v>233</v>
      </c>
      <c r="E32" t="s">
        <v>234</v>
      </c>
      <c r="N32" s="35"/>
      <c r="O32" s="37"/>
      <c r="P32" s="36"/>
      <c r="Q32" s="36"/>
    </row>
    <row r="33" spans="1:30" x14ac:dyDescent="0.25">
      <c r="A33" s="40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5"/>
      <c r="O33" s="37"/>
      <c r="P33" s="36"/>
      <c r="Q33" s="36"/>
    </row>
    <row r="34" spans="1:30" x14ac:dyDescent="0.25">
      <c r="A34" s="40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5"/>
      <c r="O34" s="37"/>
      <c r="P34" s="36"/>
      <c r="Q34" s="36"/>
    </row>
    <row r="35" spans="1:30" x14ac:dyDescent="0.25">
      <c r="A35" s="40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5"/>
      <c r="O35" s="37"/>
      <c r="P35" s="36"/>
      <c r="Q35" s="36"/>
    </row>
    <row r="36" spans="1:30" x14ac:dyDescent="0.25">
      <c r="A36" s="40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5"/>
      <c r="O36" s="37"/>
      <c r="P36" s="36"/>
      <c r="Q36" s="36"/>
    </row>
    <row r="37" spans="1:30" x14ac:dyDescent="0.25">
      <c r="A37" s="40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5"/>
      <c r="O37" s="37"/>
      <c r="P37" s="36"/>
      <c r="Q37" s="36"/>
    </row>
    <row r="38" spans="1:30" x14ac:dyDescent="0.25">
      <c r="A38" s="40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5"/>
      <c r="O38" s="37"/>
      <c r="P38" s="36"/>
      <c r="Q38" s="36"/>
    </row>
    <row r="39" spans="1:30" x14ac:dyDescent="0.25">
      <c r="A39" s="40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7"/>
      <c r="P39" s="36"/>
      <c r="Q39" s="36"/>
      <c r="R39" s="11"/>
      <c r="S39" s="11"/>
      <c r="T39" s="11"/>
      <c r="U39" s="40"/>
      <c r="V39" s="11"/>
      <c r="W39" s="11"/>
      <c r="X39" s="11"/>
      <c r="Y39" s="11"/>
      <c r="Z39" s="40"/>
      <c r="AA39" s="11"/>
      <c r="AB39" s="11"/>
      <c r="AC39" s="11"/>
      <c r="AD39" s="11"/>
    </row>
    <row r="40" spans="1:30" x14ac:dyDescent="0.25">
      <c r="A40" s="40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5"/>
      <c r="O40" s="37"/>
      <c r="P40" s="36"/>
      <c r="Q40" s="36"/>
    </row>
    <row r="41" spans="1:30" x14ac:dyDescent="0.25">
      <c r="A41" s="40">
        <v>45190</v>
      </c>
      <c r="B41" s="11">
        <v>42020</v>
      </c>
      <c r="C41" s="11">
        <v>12554</v>
      </c>
      <c r="D41" s="41">
        <v>60102</v>
      </c>
      <c r="E41" s="11">
        <v>1015935</v>
      </c>
      <c r="N41" s="35"/>
      <c r="O41" s="37"/>
      <c r="P41" s="36"/>
      <c r="Q41" s="36"/>
    </row>
    <row r="42" spans="1:30" x14ac:dyDescent="0.25">
      <c r="A42" s="40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5"/>
      <c r="O42" s="37"/>
      <c r="P42" s="36"/>
      <c r="Q42" s="36"/>
    </row>
    <row r="43" spans="1:30" x14ac:dyDescent="0.25">
      <c r="A43" s="40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5"/>
      <c r="O43" s="37"/>
      <c r="P43" s="36"/>
      <c r="Q43" s="36"/>
    </row>
    <row r="44" spans="1:30" x14ac:dyDescent="0.25">
      <c r="A44" s="40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5"/>
      <c r="O44" s="37"/>
      <c r="P44" s="36"/>
      <c r="Q44" s="36"/>
    </row>
    <row r="45" spans="1:30" x14ac:dyDescent="0.25">
      <c r="A45" s="40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5"/>
      <c r="O45" s="37"/>
      <c r="P45" s="36"/>
      <c r="Q45" s="36"/>
    </row>
    <row r="46" spans="1:30" x14ac:dyDescent="0.25">
      <c r="A46" s="40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5"/>
      <c r="O46" s="37"/>
      <c r="P46" s="36"/>
      <c r="Q46" s="36"/>
    </row>
    <row r="47" spans="1:30" x14ac:dyDescent="0.25">
      <c r="A47" s="40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5"/>
      <c r="O47" s="37"/>
      <c r="P47" s="36"/>
      <c r="Q47" s="36"/>
    </row>
    <row r="48" spans="1:30" x14ac:dyDescent="0.25">
      <c r="A48" s="40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5"/>
      <c r="O48" s="37"/>
      <c r="P48" s="36"/>
      <c r="Q48" s="36"/>
    </row>
    <row r="49" spans="1:17" x14ac:dyDescent="0.25">
      <c r="A49" s="40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5"/>
      <c r="O49" s="37"/>
      <c r="P49" s="36"/>
      <c r="Q49" s="36"/>
    </row>
    <row r="50" spans="1:17" x14ac:dyDescent="0.25">
      <c r="A50" s="40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5"/>
      <c r="O50" s="37"/>
      <c r="P50" s="36"/>
      <c r="Q50" s="36"/>
    </row>
    <row r="51" spans="1:17" x14ac:dyDescent="0.25">
      <c r="A51" s="40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5"/>
      <c r="O51" s="37"/>
      <c r="P51" s="36"/>
      <c r="Q51" s="36"/>
    </row>
    <row r="52" spans="1:17" x14ac:dyDescent="0.25">
      <c r="A52" s="40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5"/>
      <c r="O52" s="37"/>
      <c r="P52" s="36"/>
      <c r="Q52" s="36"/>
    </row>
    <row r="53" spans="1:17" x14ac:dyDescent="0.25">
      <c r="A53" s="40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5"/>
      <c r="O53" s="37"/>
      <c r="P53" s="36"/>
      <c r="Q53" s="36"/>
    </row>
    <row r="54" spans="1:17" x14ac:dyDescent="0.25">
      <c r="A54" s="40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5"/>
      <c r="O54" s="37"/>
      <c r="P54" s="36"/>
      <c r="Q54" s="36"/>
    </row>
    <row r="55" spans="1:17" x14ac:dyDescent="0.25">
      <c r="A55" s="40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5"/>
      <c r="O55" s="37"/>
      <c r="P55" s="36"/>
      <c r="Q55" s="36"/>
    </row>
    <row r="56" spans="1:17" x14ac:dyDescent="0.25">
      <c r="A56" s="40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5"/>
      <c r="O56" s="37"/>
      <c r="P56" s="36"/>
      <c r="Q56" s="36"/>
    </row>
    <row r="57" spans="1:17" x14ac:dyDescent="0.25">
      <c r="A57" s="40">
        <v>45314</v>
      </c>
      <c r="B57" s="11">
        <v>72944</v>
      </c>
      <c r="C57" s="11">
        <v>15593</v>
      </c>
      <c r="D57" s="11">
        <v>60069</v>
      </c>
      <c r="E57" s="11">
        <v>1046919</v>
      </c>
      <c r="N57" s="35"/>
      <c r="O57" s="37"/>
      <c r="P57" s="36"/>
      <c r="Q57" s="36"/>
    </row>
    <row r="58" spans="1:17" x14ac:dyDescent="0.25">
      <c r="A58" s="40">
        <v>45345</v>
      </c>
      <c r="B58" s="11">
        <v>81158</v>
      </c>
      <c r="C58" s="11">
        <v>17789</v>
      </c>
      <c r="D58" s="11">
        <v>66320</v>
      </c>
      <c r="E58" s="11">
        <v>1138756</v>
      </c>
      <c r="N58" s="35"/>
      <c r="O58" s="37"/>
      <c r="P58" s="36"/>
      <c r="Q58" s="36"/>
    </row>
    <row r="59" spans="1:17" x14ac:dyDescent="0.25">
      <c r="A59" s="40">
        <v>45374</v>
      </c>
      <c r="B59" s="11">
        <v>92077</v>
      </c>
      <c r="C59" s="11">
        <v>21397</v>
      </c>
      <c r="D59" s="11">
        <v>94289</v>
      </c>
      <c r="E59" s="11">
        <v>1374992</v>
      </c>
      <c r="N59" s="35"/>
      <c r="O59" s="37"/>
      <c r="P59" s="36"/>
      <c r="Q59" s="36"/>
    </row>
    <row r="60" spans="1:17" x14ac:dyDescent="0.25">
      <c r="A60" s="40">
        <v>45405</v>
      </c>
      <c r="B60" s="11">
        <v>92880</v>
      </c>
      <c r="C60" s="11">
        <v>24165</v>
      </c>
      <c r="D60" s="11">
        <v>100528</v>
      </c>
      <c r="E60" s="11">
        <v>1357844</v>
      </c>
      <c r="N60" s="35"/>
      <c r="O60" s="37"/>
      <c r="P60" s="36"/>
      <c r="Q60" s="36"/>
    </row>
    <row r="61" spans="1:17" x14ac:dyDescent="0.25">
      <c r="A61" s="40">
        <v>45435</v>
      </c>
      <c r="B61" s="11">
        <v>95898</v>
      </c>
      <c r="C61" s="11">
        <v>25125</v>
      </c>
      <c r="D61" s="11">
        <v>103832</v>
      </c>
      <c r="E61" s="11">
        <v>1363818</v>
      </c>
      <c r="N61" s="35"/>
      <c r="O61" s="37"/>
      <c r="P61" s="36"/>
      <c r="Q61" s="36"/>
    </row>
    <row r="62" spans="1:17" x14ac:dyDescent="0.25">
      <c r="A62" s="40">
        <v>45466</v>
      </c>
      <c r="B62" s="11">
        <v>102525</v>
      </c>
      <c r="C62" s="11">
        <v>22560</v>
      </c>
      <c r="D62" s="11">
        <v>100762</v>
      </c>
      <c r="E62" s="11">
        <v>1368713</v>
      </c>
      <c r="N62" s="35"/>
      <c r="O62" s="37"/>
      <c r="P62" s="36"/>
      <c r="Q62" s="36"/>
    </row>
    <row r="63" spans="1:17" x14ac:dyDescent="0.25">
      <c r="A63" s="40">
        <v>45496</v>
      </c>
      <c r="B63" s="11">
        <v>101234</v>
      </c>
      <c r="C63" s="11">
        <v>23194</v>
      </c>
      <c r="D63" s="11">
        <v>103757</v>
      </c>
      <c r="E63" s="11">
        <v>1299271</v>
      </c>
      <c r="N63" s="35"/>
      <c r="O63" s="37"/>
      <c r="P63" s="36"/>
      <c r="Q63" s="36"/>
    </row>
    <row r="64" spans="1:17" x14ac:dyDescent="0.25">
      <c r="A64" s="40">
        <v>45527</v>
      </c>
      <c r="B64" s="11">
        <v>92277</v>
      </c>
      <c r="C64" s="11">
        <v>28148</v>
      </c>
      <c r="D64" s="11">
        <v>107325</v>
      </c>
      <c r="E64" s="11">
        <v>1316366</v>
      </c>
      <c r="N64" s="35"/>
      <c r="O64" s="37"/>
      <c r="P64" s="36"/>
      <c r="Q64" s="36"/>
    </row>
    <row r="65" spans="1:31" x14ac:dyDescent="0.25">
      <c r="A65" s="40">
        <v>45558</v>
      </c>
      <c r="B65" s="11">
        <v>101719</v>
      </c>
      <c r="C65" s="11">
        <v>29632</v>
      </c>
      <c r="D65" s="11">
        <v>109269</v>
      </c>
      <c r="E65" s="11">
        <v>1331167</v>
      </c>
      <c r="N65" s="35"/>
      <c r="O65" s="37"/>
      <c r="P65" s="36"/>
      <c r="Q65" s="36"/>
    </row>
    <row r="66" spans="1:31" x14ac:dyDescent="0.25">
      <c r="A66" s="40">
        <v>45588</v>
      </c>
      <c r="B66" s="11">
        <v>90509</v>
      </c>
      <c r="C66" s="11">
        <v>22037</v>
      </c>
      <c r="D66" s="11">
        <v>103799</v>
      </c>
      <c r="E66" s="11">
        <v>1193974</v>
      </c>
      <c r="N66" s="35"/>
      <c r="O66" s="37"/>
      <c r="P66" s="36"/>
      <c r="Q66" s="36"/>
    </row>
    <row r="67" spans="1:31" x14ac:dyDescent="0.25">
      <c r="A67" s="40">
        <v>45619</v>
      </c>
      <c r="B67" s="11">
        <v>102323</v>
      </c>
      <c r="C67" s="11">
        <v>24530</v>
      </c>
      <c r="D67" s="11">
        <v>108549</v>
      </c>
      <c r="E67" s="11">
        <v>1235583</v>
      </c>
      <c r="N67" s="35"/>
      <c r="O67" s="37"/>
      <c r="P67" s="36"/>
      <c r="Q67" s="36"/>
    </row>
    <row r="68" spans="1:31" x14ac:dyDescent="0.25">
      <c r="A68" s="40">
        <v>45649</v>
      </c>
      <c r="B68" s="11">
        <v>121647</v>
      </c>
      <c r="C68" s="11">
        <v>41121</v>
      </c>
      <c r="D68" s="11">
        <v>117098</v>
      </c>
      <c r="E68" s="11">
        <v>1458853</v>
      </c>
      <c r="N68" s="35"/>
      <c r="O68" s="37"/>
      <c r="P68" s="36"/>
      <c r="Q68" s="36"/>
    </row>
    <row r="69" spans="1:31" x14ac:dyDescent="0.25">
      <c r="N69" s="35"/>
      <c r="O69" s="37"/>
      <c r="P69" s="36"/>
      <c r="Q69" s="36"/>
    </row>
    <row r="70" spans="1:31" x14ac:dyDescent="0.25">
      <c r="A70" t="s">
        <v>235</v>
      </c>
      <c r="B70" s="42">
        <f>SUM(B33:B44)/SUM($E33:$E44)</f>
        <v>3.0740270956534144E-2</v>
      </c>
      <c r="C70" s="42">
        <f>SUM(C33:C44)/SUM($E33:$E44)</f>
        <v>1.1782787056616747E-2</v>
      </c>
      <c r="N70" s="35"/>
      <c r="O70" s="37"/>
      <c r="P70" s="36"/>
      <c r="Q70" s="36"/>
    </row>
    <row r="71" spans="1:31" x14ac:dyDescent="0.25">
      <c r="A71" t="s">
        <v>236</v>
      </c>
      <c r="B71" s="42">
        <f>SUM(B45:B56)/SUM($E45:$E56)</f>
        <v>5.4269769832779612E-2</v>
      </c>
      <c r="C71" s="42">
        <f>SUM(C45:C56)/SUM($E45:$E56)</f>
        <v>1.3329237243666206E-2</v>
      </c>
      <c r="N71" s="35"/>
      <c r="O71" s="37"/>
      <c r="P71" s="36"/>
      <c r="Q71" s="36"/>
    </row>
    <row r="72" spans="1:31" x14ac:dyDescent="0.25">
      <c r="A72" t="s">
        <v>261</v>
      </c>
      <c r="B72" s="42">
        <f>SUM(B57:B68)/SUM($E$57:$E$68)</f>
        <v>7.4078008267459874E-2</v>
      </c>
      <c r="C72" s="42">
        <f>SUM(C57:C68)/SUM($E$57:$E$68)</f>
        <v>1.9067939984977647E-2</v>
      </c>
      <c r="N72" s="35"/>
      <c r="O72" s="37"/>
      <c r="P72" s="36"/>
      <c r="Q72" s="36"/>
    </row>
    <row r="74" spans="1:31" x14ac:dyDescent="0.25">
      <c r="A74" t="s">
        <v>262</v>
      </c>
      <c r="B74">
        <v>2021</v>
      </c>
      <c r="C74">
        <v>2022</v>
      </c>
      <c r="D74">
        <v>2023</v>
      </c>
      <c r="E74">
        <v>2024</v>
      </c>
      <c r="F74">
        <v>2025</v>
      </c>
      <c r="G74">
        <v>2026</v>
      </c>
      <c r="H74">
        <v>2027</v>
      </c>
      <c r="I74">
        <v>2028</v>
      </c>
      <c r="J74">
        <v>2029</v>
      </c>
      <c r="K74">
        <v>2030</v>
      </c>
      <c r="L74">
        <v>2031</v>
      </c>
      <c r="M74">
        <v>2032</v>
      </c>
      <c r="N74">
        <v>2033</v>
      </c>
      <c r="O74">
        <v>2034</v>
      </c>
      <c r="P74">
        <v>2035</v>
      </c>
      <c r="Q74">
        <v>2036</v>
      </c>
      <c r="R74">
        <v>2037</v>
      </c>
      <c r="S74">
        <v>2038</v>
      </c>
      <c r="T74">
        <v>2039</v>
      </c>
      <c r="U74">
        <v>2040</v>
      </c>
      <c r="V74">
        <v>2041</v>
      </c>
      <c r="W74">
        <v>2042</v>
      </c>
      <c r="X74">
        <v>2043</v>
      </c>
      <c r="Y74">
        <v>2044</v>
      </c>
      <c r="Z74">
        <v>2045</v>
      </c>
      <c r="AA74">
        <v>2046</v>
      </c>
      <c r="AB74">
        <v>2047</v>
      </c>
      <c r="AC74">
        <v>2048</v>
      </c>
      <c r="AD74">
        <v>2049</v>
      </c>
      <c r="AE74">
        <v>2050</v>
      </c>
    </row>
    <row r="75" spans="1:31" x14ac:dyDescent="0.25">
      <c r="A75" t="s">
        <v>263</v>
      </c>
      <c r="B75" s="38">
        <v>463311</v>
      </c>
      <c r="C75" s="38">
        <v>807492</v>
      </c>
      <c r="D75" s="38">
        <v>1167320</v>
      </c>
      <c r="E75" s="38">
        <v>1726420</v>
      </c>
      <c r="F75" s="38">
        <v>2209270</v>
      </c>
      <c r="G75" s="38">
        <v>3129840</v>
      </c>
      <c r="H75" s="38">
        <v>4152910</v>
      </c>
      <c r="I75" s="38">
        <v>4989540</v>
      </c>
      <c r="J75" s="38">
        <v>6162480</v>
      </c>
      <c r="K75" s="38">
        <v>7139260</v>
      </c>
      <c r="L75" s="38">
        <v>8082380</v>
      </c>
      <c r="M75" s="38">
        <v>8980930</v>
      </c>
      <c r="N75" s="38">
        <v>8965160</v>
      </c>
      <c r="O75" s="38">
        <v>9037440</v>
      </c>
      <c r="P75" s="38">
        <v>9277120</v>
      </c>
      <c r="Q75" s="38">
        <v>9595900</v>
      </c>
      <c r="R75" s="38">
        <v>9890790</v>
      </c>
      <c r="S75" s="38">
        <v>10156600</v>
      </c>
      <c r="T75" s="38">
        <v>10401700</v>
      </c>
      <c r="U75" s="38">
        <v>10625400</v>
      </c>
      <c r="V75" s="38">
        <v>10834400</v>
      </c>
      <c r="W75" s="38">
        <v>11027500</v>
      </c>
      <c r="X75" s="38">
        <v>11211000</v>
      </c>
      <c r="Y75" s="38">
        <v>11381800</v>
      </c>
      <c r="Z75" s="38">
        <v>11545500</v>
      </c>
      <c r="AA75" s="38">
        <v>11712200</v>
      </c>
      <c r="AB75" s="38">
        <v>11862700</v>
      </c>
      <c r="AC75" s="38">
        <v>12034800</v>
      </c>
      <c r="AD75" s="38">
        <v>12183100</v>
      </c>
      <c r="AE75" s="38">
        <v>12352000</v>
      </c>
    </row>
    <row r="76" spans="1:31" x14ac:dyDescent="0.25">
      <c r="A76" t="s">
        <v>264</v>
      </c>
      <c r="B76">
        <v>3516</v>
      </c>
      <c r="C76">
        <v>4470</v>
      </c>
      <c r="D76">
        <v>4062</v>
      </c>
      <c r="E76">
        <v>4176</v>
      </c>
      <c r="F76">
        <v>3870</v>
      </c>
      <c r="G76">
        <v>3540</v>
      </c>
      <c r="H76">
        <v>3210</v>
      </c>
      <c r="I76">
        <v>3030</v>
      </c>
      <c r="J76">
        <v>2694</v>
      </c>
      <c r="K76">
        <v>2463</v>
      </c>
      <c r="L76">
        <v>2178</v>
      </c>
      <c r="M76">
        <v>1887</v>
      </c>
      <c r="N76">
        <v>2028</v>
      </c>
      <c r="O76">
        <v>2190</v>
      </c>
      <c r="P76">
        <v>2286</v>
      </c>
      <c r="Q76">
        <v>2334</v>
      </c>
      <c r="R76">
        <v>2385</v>
      </c>
      <c r="S76">
        <v>2433</v>
      </c>
      <c r="T76">
        <v>2481</v>
      </c>
      <c r="U76">
        <v>2517</v>
      </c>
      <c r="V76">
        <v>2541</v>
      </c>
      <c r="W76">
        <v>2562</v>
      </c>
      <c r="X76">
        <v>2565</v>
      </c>
      <c r="Y76">
        <v>2571</v>
      </c>
      <c r="Z76">
        <v>2565</v>
      </c>
      <c r="AA76">
        <v>2544</v>
      </c>
      <c r="AB76">
        <v>2532</v>
      </c>
      <c r="AC76">
        <v>2502</v>
      </c>
      <c r="AD76">
        <v>2481</v>
      </c>
      <c r="AE76">
        <v>2451</v>
      </c>
    </row>
    <row r="77" spans="1:31" x14ac:dyDescent="0.25">
      <c r="A77" t="s">
        <v>265</v>
      </c>
      <c r="B77" s="38">
        <v>14511600</v>
      </c>
      <c r="C77" s="38">
        <v>14288700</v>
      </c>
      <c r="D77" s="38">
        <v>13843600</v>
      </c>
      <c r="E77" s="38">
        <v>13360600</v>
      </c>
      <c r="F77" s="38">
        <v>12864200</v>
      </c>
      <c r="G77" s="38">
        <v>11848800</v>
      </c>
      <c r="H77" s="38">
        <v>10599800</v>
      </c>
      <c r="I77" s="38">
        <v>9815180</v>
      </c>
      <c r="J77" s="38">
        <v>8425310</v>
      </c>
      <c r="K77" s="38">
        <v>7354610</v>
      </c>
      <c r="L77" s="38">
        <v>6162040</v>
      </c>
      <c r="M77" s="38">
        <v>5018510</v>
      </c>
      <c r="N77" s="38">
        <v>5040260</v>
      </c>
      <c r="O77" s="38">
        <v>5061460</v>
      </c>
      <c r="P77" s="38">
        <v>4899020</v>
      </c>
      <c r="Q77" s="38">
        <v>4652280</v>
      </c>
      <c r="R77" s="38">
        <v>4442140</v>
      </c>
      <c r="S77" s="38">
        <v>4275890</v>
      </c>
      <c r="T77" s="38">
        <v>4136900</v>
      </c>
      <c r="U77" s="38">
        <v>4029200</v>
      </c>
      <c r="V77" s="38">
        <v>3936020</v>
      </c>
      <c r="W77" s="38">
        <v>3860780</v>
      </c>
      <c r="X77" s="38">
        <v>3793520</v>
      </c>
      <c r="Y77" s="38">
        <v>3738370</v>
      </c>
      <c r="Z77" s="38">
        <v>3690880</v>
      </c>
      <c r="AA77" s="38">
        <v>3643840</v>
      </c>
      <c r="AB77" s="38">
        <v>3607970</v>
      </c>
      <c r="AC77" s="38">
        <v>3548650</v>
      </c>
      <c r="AD77" s="38">
        <v>3514410</v>
      </c>
      <c r="AE77" s="38">
        <v>3464980</v>
      </c>
    </row>
    <row r="78" spans="1:31" x14ac:dyDescent="0.25">
      <c r="A78" t="s">
        <v>266</v>
      </c>
      <c r="B78">
        <v>52776</v>
      </c>
      <c r="C78">
        <v>50499</v>
      </c>
      <c r="D78">
        <v>60435</v>
      </c>
      <c r="E78">
        <v>68004</v>
      </c>
      <c r="F78">
        <v>75276</v>
      </c>
      <c r="G78">
        <v>78180</v>
      </c>
      <c r="H78">
        <v>77799</v>
      </c>
      <c r="I78">
        <v>79809</v>
      </c>
      <c r="J78">
        <v>74904</v>
      </c>
      <c r="K78">
        <v>71088</v>
      </c>
      <c r="L78">
        <v>64242</v>
      </c>
      <c r="M78">
        <v>56232</v>
      </c>
      <c r="N78">
        <v>60468</v>
      </c>
      <c r="O78">
        <v>64773</v>
      </c>
      <c r="P78">
        <v>66630</v>
      </c>
      <c r="Q78">
        <v>67236</v>
      </c>
      <c r="R78">
        <v>67806</v>
      </c>
      <c r="S78">
        <v>68808</v>
      </c>
      <c r="T78">
        <v>70164</v>
      </c>
      <c r="U78">
        <v>71637</v>
      </c>
      <c r="V78">
        <v>73212</v>
      </c>
      <c r="W78">
        <v>75114</v>
      </c>
      <c r="X78">
        <v>76824</v>
      </c>
      <c r="Y78">
        <v>79089</v>
      </c>
      <c r="Z78">
        <v>81180</v>
      </c>
      <c r="AA78">
        <v>83421</v>
      </c>
      <c r="AB78">
        <v>85611</v>
      </c>
      <c r="AC78">
        <v>87495</v>
      </c>
      <c r="AD78">
        <v>89817</v>
      </c>
      <c r="AE78">
        <v>91863</v>
      </c>
    </row>
    <row r="79" spans="1:31" x14ac:dyDescent="0.25">
      <c r="A79" t="s">
        <v>267</v>
      </c>
      <c r="B79" s="38">
        <v>177957</v>
      </c>
      <c r="C79" s="38">
        <v>218646</v>
      </c>
      <c r="D79" s="38">
        <v>327606</v>
      </c>
      <c r="E79" s="38">
        <v>307017</v>
      </c>
      <c r="F79" s="38">
        <v>386229</v>
      </c>
      <c r="G79" s="38">
        <v>552588</v>
      </c>
      <c r="H79" s="38">
        <v>848292</v>
      </c>
      <c r="I79" s="38">
        <v>851853</v>
      </c>
      <c r="J79" s="38">
        <v>1131360</v>
      </c>
      <c r="K79" s="38">
        <v>1278360</v>
      </c>
      <c r="L79" s="38">
        <v>1574540</v>
      </c>
      <c r="M79" s="38">
        <v>1863670</v>
      </c>
      <c r="N79" s="38">
        <v>1881280</v>
      </c>
      <c r="O79" s="38">
        <v>1809630</v>
      </c>
      <c r="P79" s="38">
        <v>1760230</v>
      </c>
      <c r="Q79" s="38">
        <v>1728870</v>
      </c>
      <c r="R79" s="38">
        <v>1692780</v>
      </c>
      <c r="S79" s="38">
        <v>1653940</v>
      </c>
      <c r="T79" s="38">
        <v>1616960</v>
      </c>
      <c r="U79" s="38">
        <v>1582600</v>
      </c>
      <c r="V79" s="38">
        <v>1552200</v>
      </c>
      <c r="W79" s="38">
        <v>1524160</v>
      </c>
      <c r="X79" s="38">
        <v>1499740</v>
      </c>
      <c r="Y79" s="38">
        <v>1476450</v>
      </c>
      <c r="Z79" s="38">
        <v>1455800</v>
      </c>
      <c r="AA79" s="38">
        <v>1434830</v>
      </c>
      <c r="AB79" s="38">
        <v>1416200</v>
      </c>
      <c r="AC79" s="38">
        <v>1399870</v>
      </c>
      <c r="AD79" s="38">
        <v>1384600</v>
      </c>
      <c r="AE79" s="38">
        <v>1369780</v>
      </c>
    </row>
    <row r="80" spans="1:31" x14ac:dyDescent="0.25">
      <c r="A80" t="s">
        <v>268</v>
      </c>
      <c r="B80">
        <v>3021</v>
      </c>
      <c r="C80">
        <v>4275</v>
      </c>
      <c r="D80">
        <v>4326</v>
      </c>
      <c r="E80">
        <v>4512</v>
      </c>
      <c r="F80">
        <v>4728</v>
      </c>
      <c r="G80">
        <v>4656</v>
      </c>
      <c r="H80">
        <v>4383</v>
      </c>
      <c r="I80">
        <v>4233</v>
      </c>
      <c r="J80">
        <v>3801</v>
      </c>
      <c r="K80">
        <v>3456</v>
      </c>
      <c r="L80">
        <v>3009</v>
      </c>
      <c r="M80">
        <v>2541</v>
      </c>
      <c r="N80">
        <v>2643</v>
      </c>
      <c r="O80">
        <v>2742</v>
      </c>
      <c r="P80">
        <v>2745</v>
      </c>
      <c r="Q80">
        <v>2694</v>
      </c>
      <c r="R80">
        <v>2649</v>
      </c>
      <c r="S80">
        <v>2622</v>
      </c>
      <c r="T80">
        <v>2610</v>
      </c>
      <c r="U80">
        <v>2607</v>
      </c>
      <c r="V80">
        <v>2613</v>
      </c>
      <c r="W80">
        <v>2628</v>
      </c>
      <c r="X80">
        <v>2646</v>
      </c>
      <c r="Y80">
        <v>2679</v>
      </c>
      <c r="Z80">
        <v>2706</v>
      </c>
      <c r="AA80">
        <v>2739</v>
      </c>
      <c r="AB80">
        <v>2769</v>
      </c>
      <c r="AC80">
        <v>2787</v>
      </c>
      <c r="AD80">
        <v>2814</v>
      </c>
      <c r="AE80">
        <v>2841</v>
      </c>
    </row>
    <row r="81" spans="1:31" x14ac:dyDescent="0.25">
      <c r="A81" t="s">
        <v>269</v>
      </c>
      <c r="B81">
        <v>87</v>
      </c>
      <c r="C81">
        <v>69</v>
      </c>
      <c r="D81">
        <v>87</v>
      </c>
      <c r="E81">
        <v>84</v>
      </c>
      <c r="F81">
        <v>96</v>
      </c>
      <c r="G81">
        <v>120</v>
      </c>
      <c r="H81">
        <v>147</v>
      </c>
      <c r="I81">
        <v>168</v>
      </c>
      <c r="J81">
        <v>198</v>
      </c>
      <c r="K81">
        <v>240</v>
      </c>
      <c r="L81">
        <v>279</v>
      </c>
      <c r="M81">
        <v>327</v>
      </c>
      <c r="N81">
        <v>279</v>
      </c>
      <c r="O81">
        <v>300</v>
      </c>
      <c r="P81">
        <v>333</v>
      </c>
      <c r="Q81">
        <v>375</v>
      </c>
      <c r="R81">
        <v>417</v>
      </c>
      <c r="S81">
        <v>462</v>
      </c>
      <c r="T81">
        <v>504</v>
      </c>
      <c r="U81">
        <v>546</v>
      </c>
      <c r="V81">
        <v>582</v>
      </c>
      <c r="W81">
        <v>618</v>
      </c>
      <c r="X81">
        <v>648</v>
      </c>
      <c r="Y81">
        <v>678</v>
      </c>
      <c r="Z81">
        <v>705</v>
      </c>
      <c r="AA81">
        <v>729</v>
      </c>
      <c r="AB81">
        <v>750</v>
      </c>
      <c r="AC81">
        <v>762</v>
      </c>
      <c r="AD81">
        <v>783</v>
      </c>
      <c r="AE81">
        <v>792</v>
      </c>
    </row>
    <row r="83" spans="1:31" x14ac:dyDescent="0.25">
      <c r="A83" t="s">
        <v>262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31" x14ac:dyDescent="0.25">
      <c r="A84" t="s">
        <v>270</v>
      </c>
      <c r="B84">
        <v>104573</v>
      </c>
      <c r="C84" s="38">
        <v>409151</v>
      </c>
      <c r="D84" s="38">
        <v>799171</v>
      </c>
      <c r="E84" s="38">
        <v>1374860</v>
      </c>
      <c r="F84" s="38">
        <v>1782170</v>
      </c>
      <c r="G84" s="38">
        <v>2316370</v>
      </c>
      <c r="H84" s="38">
        <v>2890770</v>
      </c>
      <c r="I84" s="38">
        <v>3595910</v>
      </c>
      <c r="J84" s="38">
        <v>4283150</v>
      </c>
      <c r="K84" s="38">
        <v>4846180</v>
      </c>
      <c r="L84" s="38">
        <v>5457360</v>
      </c>
      <c r="M84" s="38">
        <v>6013890</v>
      </c>
      <c r="N84" s="38">
        <v>6238040</v>
      </c>
      <c r="O84" s="38">
        <v>6764920</v>
      </c>
      <c r="P84" s="38">
        <v>7234620</v>
      </c>
      <c r="Q84" s="38">
        <v>7643700</v>
      </c>
      <c r="R84" s="38">
        <v>8015320</v>
      </c>
      <c r="S84" s="38">
        <v>8340710</v>
      </c>
      <c r="T84" s="38">
        <v>8635580</v>
      </c>
      <c r="U84" s="38">
        <v>8897010</v>
      </c>
      <c r="V84" s="38">
        <v>9138920</v>
      </c>
      <c r="W84" s="38">
        <v>9357930</v>
      </c>
      <c r="X84" s="38">
        <v>9565050</v>
      </c>
      <c r="Y84" s="38">
        <v>9754430</v>
      </c>
      <c r="Z84" s="38">
        <v>9934100</v>
      </c>
      <c r="AA84" s="38">
        <v>10116600</v>
      </c>
      <c r="AB84" s="38">
        <v>10278700</v>
      </c>
      <c r="AC84" s="38">
        <v>10473400</v>
      </c>
      <c r="AD84" s="38">
        <v>10633200</v>
      </c>
      <c r="AE84" s="38">
        <v>10820700</v>
      </c>
    </row>
    <row r="85" spans="1:31" x14ac:dyDescent="0.25">
      <c r="A85" t="s">
        <v>271</v>
      </c>
      <c r="B85">
        <v>3638.33</v>
      </c>
      <c r="C85">
        <v>4629.22</v>
      </c>
      <c r="D85">
        <v>4202.0600000000004</v>
      </c>
      <c r="E85">
        <v>4305</v>
      </c>
      <c r="F85">
        <v>4021.97</v>
      </c>
      <c r="G85">
        <v>3824.2</v>
      </c>
      <c r="H85">
        <v>3666.92</v>
      </c>
      <c r="I85">
        <v>3530.88</v>
      </c>
      <c r="J85">
        <v>3401.86</v>
      </c>
      <c r="K85">
        <v>3362.38</v>
      </c>
      <c r="L85">
        <v>3274.56</v>
      </c>
      <c r="M85">
        <v>3220.16</v>
      </c>
      <c r="N85">
        <v>3342.01</v>
      </c>
      <c r="O85">
        <v>3358.36</v>
      </c>
      <c r="P85">
        <v>3403.94</v>
      </c>
      <c r="Q85">
        <v>3475.46</v>
      </c>
      <c r="R85">
        <v>3545.57</v>
      </c>
      <c r="S85">
        <v>3617.34</v>
      </c>
      <c r="T85">
        <v>3684.35</v>
      </c>
      <c r="U85">
        <v>3735.01</v>
      </c>
      <c r="V85">
        <v>3769.83</v>
      </c>
      <c r="W85">
        <v>3797.95</v>
      </c>
      <c r="X85">
        <v>3804.43</v>
      </c>
      <c r="Y85">
        <v>3811.51</v>
      </c>
      <c r="Z85">
        <v>3800.7</v>
      </c>
      <c r="AA85">
        <v>3767.45</v>
      </c>
      <c r="AB85">
        <v>3747.52</v>
      </c>
      <c r="AC85">
        <v>3702.44</v>
      </c>
      <c r="AD85">
        <v>3670.26</v>
      </c>
      <c r="AE85">
        <v>3625.18</v>
      </c>
    </row>
    <row r="86" spans="1:31" x14ac:dyDescent="0.25">
      <c r="A86" t="s">
        <v>272</v>
      </c>
      <c r="B86" s="38">
        <v>15006200</v>
      </c>
      <c r="C86" s="38">
        <v>14792900</v>
      </c>
      <c r="D86" s="38">
        <v>14312800</v>
      </c>
      <c r="E86" s="38">
        <v>13772400</v>
      </c>
      <c r="F86" s="38">
        <v>13362800</v>
      </c>
      <c r="G86" s="38">
        <v>12799000</v>
      </c>
      <c r="H86" s="38">
        <v>12107600</v>
      </c>
      <c r="I86" s="38">
        <v>11432400</v>
      </c>
      <c r="J86" s="38">
        <v>10628400</v>
      </c>
      <c r="K86" s="38">
        <v>10030400</v>
      </c>
      <c r="L86" s="38">
        <v>9263600</v>
      </c>
      <c r="M86" s="38">
        <v>8558570</v>
      </c>
      <c r="N86" s="38">
        <v>8297620</v>
      </c>
      <c r="O86" s="38">
        <v>7752050</v>
      </c>
      <c r="P86" s="38">
        <v>7294100</v>
      </c>
      <c r="Q86" s="38">
        <v>6921040</v>
      </c>
      <c r="R86" s="38">
        <v>6603230</v>
      </c>
      <c r="S86" s="38">
        <v>6351670</v>
      </c>
      <c r="T86" s="38">
        <v>6141240</v>
      </c>
      <c r="U86" s="38">
        <v>5978010</v>
      </c>
      <c r="V86" s="38">
        <v>5836690</v>
      </c>
      <c r="W86" s="38">
        <v>5722470</v>
      </c>
      <c r="X86" s="38">
        <v>5620280</v>
      </c>
      <c r="Y86" s="38">
        <v>5536400</v>
      </c>
      <c r="Z86" s="38">
        <v>5464070</v>
      </c>
      <c r="AA86" s="38">
        <v>5392400</v>
      </c>
      <c r="AB86" s="38">
        <v>5337620</v>
      </c>
      <c r="AC86" s="38">
        <v>5247410</v>
      </c>
      <c r="AD86" s="38">
        <v>5195100</v>
      </c>
      <c r="AE86" s="38">
        <v>5119790</v>
      </c>
    </row>
    <row r="87" spans="1:31" x14ac:dyDescent="0.25">
      <c r="A87" t="s">
        <v>273</v>
      </c>
      <c r="B87">
        <v>54575</v>
      </c>
      <c r="C87">
        <v>52281.4</v>
      </c>
      <c r="D87">
        <v>62485.5</v>
      </c>
      <c r="E87">
        <v>70102</v>
      </c>
      <c r="F87">
        <v>78194.7</v>
      </c>
      <c r="G87">
        <v>84450.6</v>
      </c>
      <c r="H87">
        <v>88866.2</v>
      </c>
      <c r="I87">
        <v>92960.2</v>
      </c>
      <c r="J87">
        <v>94490.8</v>
      </c>
      <c r="K87">
        <v>96954.4</v>
      </c>
      <c r="L87">
        <v>96577.3</v>
      </c>
      <c r="M87">
        <v>95901.3</v>
      </c>
      <c r="N87">
        <v>99547.9</v>
      </c>
      <c r="O87">
        <v>99205.6</v>
      </c>
      <c r="P87">
        <v>99206.5</v>
      </c>
      <c r="Q87">
        <v>100029</v>
      </c>
      <c r="R87">
        <v>100796</v>
      </c>
      <c r="S87">
        <v>102215</v>
      </c>
      <c r="T87">
        <v>104161</v>
      </c>
      <c r="U87">
        <v>106288</v>
      </c>
      <c r="V87">
        <v>108569</v>
      </c>
      <c r="W87">
        <v>111335</v>
      </c>
      <c r="X87">
        <v>113822</v>
      </c>
      <c r="Y87">
        <v>117128</v>
      </c>
      <c r="Z87">
        <v>120183</v>
      </c>
      <c r="AA87">
        <v>123454</v>
      </c>
      <c r="AB87">
        <v>126656</v>
      </c>
      <c r="AC87">
        <v>129383</v>
      </c>
      <c r="AD87">
        <v>132773</v>
      </c>
      <c r="AE87">
        <v>135736</v>
      </c>
    </row>
    <row r="88" spans="1:31" x14ac:dyDescent="0.25">
      <c r="A88" t="s">
        <v>274</v>
      </c>
      <c r="B88">
        <v>40166.400000000001</v>
      </c>
      <c r="C88" s="38">
        <v>110787</v>
      </c>
      <c r="D88" s="38">
        <v>224287</v>
      </c>
      <c r="E88" s="38">
        <v>244499</v>
      </c>
      <c r="F88" s="38">
        <v>311565</v>
      </c>
      <c r="G88" s="38">
        <v>408966</v>
      </c>
      <c r="H88" s="38">
        <v>590483</v>
      </c>
      <c r="I88" s="38">
        <v>613924</v>
      </c>
      <c r="J88" s="38">
        <v>786338</v>
      </c>
      <c r="K88" s="38">
        <v>867758</v>
      </c>
      <c r="L88" s="38">
        <v>1063160</v>
      </c>
      <c r="M88" s="38">
        <v>1247970</v>
      </c>
      <c r="N88" s="38">
        <v>1309020</v>
      </c>
      <c r="O88" s="38">
        <v>1354590</v>
      </c>
      <c r="P88" s="38">
        <v>1372690</v>
      </c>
      <c r="Q88" s="38">
        <v>1377150</v>
      </c>
      <c r="R88" s="38">
        <v>1371800</v>
      </c>
      <c r="S88" s="38">
        <v>1358240</v>
      </c>
      <c r="T88" s="38">
        <v>1342410</v>
      </c>
      <c r="U88" s="38">
        <v>1325160</v>
      </c>
      <c r="V88" s="38">
        <v>1309290</v>
      </c>
      <c r="W88" s="38">
        <v>1293400</v>
      </c>
      <c r="X88" s="38">
        <v>1279550</v>
      </c>
      <c r="Y88" s="38">
        <v>1265340</v>
      </c>
      <c r="Z88" s="38">
        <v>1252610</v>
      </c>
      <c r="AA88" s="38">
        <v>1239360</v>
      </c>
      <c r="AB88" s="38">
        <v>1227090</v>
      </c>
      <c r="AC88" s="38">
        <v>1218240</v>
      </c>
      <c r="AD88" s="38">
        <v>1208460</v>
      </c>
      <c r="AE88" s="38">
        <v>1199970</v>
      </c>
    </row>
    <row r="89" spans="1:31" x14ac:dyDescent="0.25">
      <c r="A89" t="s">
        <v>275</v>
      </c>
      <c r="B89">
        <v>3124.15</v>
      </c>
      <c r="C89">
        <v>4426.42</v>
      </c>
      <c r="D89">
        <v>4473.63</v>
      </c>
      <c r="E89">
        <v>4651.57</v>
      </c>
      <c r="F89">
        <v>4911.43</v>
      </c>
      <c r="G89">
        <v>5031.38</v>
      </c>
      <c r="H89">
        <v>5008.46</v>
      </c>
      <c r="I89">
        <v>4933.28</v>
      </c>
      <c r="J89">
        <v>4795.88</v>
      </c>
      <c r="K89">
        <v>4716.55</v>
      </c>
      <c r="L89">
        <v>4524.03</v>
      </c>
      <c r="M89">
        <v>4337.05</v>
      </c>
      <c r="N89">
        <v>4354.97</v>
      </c>
      <c r="O89">
        <v>4202.08</v>
      </c>
      <c r="P89">
        <v>4088.06</v>
      </c>
      <c r="Q89">
        <v>4008.56</v>
      </c>
      <c r="R89">
        <v>3941.36</v>
      </c>
      <c r="S89">
        <v>3895.27</v>
      </c>
      <c r="T89">
        <v>3876.84</v>
      </c>
      <c r="U89">
        <v>3871.76</v>
      </c>
      <c r="V89">
        <v>3874.88</v>
      </c>
      <c r="W89">
        <v>3896.32</v>
      </c>
      <c r="X89">
        <v>3924</v>
      </c>
      <c r="Y89">
        <v>3968.6</v>
      </c>
      <c r="Z89">
        <v>4009.51</v>
      </c>
      <c r="AA89">
        <v>4053.4</v>
      </c>
      <c r="AB89">
        <v>4100.88</v>
      </c>
      <c r="AC89">
        <v>4121.57</v>
      </c>
      <c r="AD89">
        <v>4162.1099999999997</v>
      </c>
      <c r="AE89">
        <v>4199.1000000000004</v>
      </c>
    </row>
    <row r="90" spans="1:31" x14ac:dyDescent="0.25">
      <c r="A90" t="s">
        <v>276</v>
      </c>
      <c r="B90">
        <v>20.2271</v>
      </c>
      <c r="C90">
        <v>36.170299999999997</v>
      </c>
      <c r="D90">
        <v>60.139699999999998</v>
      </c>
      <c r="E90">
        <v>68.810900000000004</v>
      </c>
      <c r="F90">
        <v>78.781700000000001</v>
      </c>
      <c r="G90">
        <v>90.389600000000002</v>
      </c>
      <c r="H90">
        <v>103.08799999999999</v>
      </c>
      <c r="I90">
        <v>121.408</v>
      </c>
      <c r="J90">
        <v>138.869</v>
      </c>
      <c r="K90">
        <v>163.53</v>
      </c>
      <c r="L90">
        <v>189.69200000000001</v>
      </c>
      <c r="M90">
        <v>219.50899999999999</v>
      </c>
      <c r="N90">
        <v>195.45</v>
      </c>
      <c r="O90">
        <v>226.393</v>
      </c>
      <c r="P90">
        <v>261.99700000000001</v>
      </c>
      <c r="Q90">
        <v>300.37599999999998</v>
      </c>
      <c r="R90">
        <v>339.49099999999999</v>
      </c>
      <c r="S90">
        <v>379.642</v>
      </c>
      <c r="T90">
        <v>419.44099999999997</v>
      </c>
      <c r="U90">
        <v>457.21499999999997</v>
      </c>
      <c r="V90">
        <v>492.59100000000001</v>
      </c>
      <c r="W90">
        <v>525.99699999999996</v>
      </c>
      <c r="X90">
        <v>554.86699999999996</v>
      </c>
      <c r="Y90">
        <v>582.49199999999996</v>
      </c>
      <c r="Z90">
        <v>606.83500000000004</v>
      </c>
      <c r="AA90">
        <v>630.28200000000004</v>
      </c>
      <c r="AB90">
        <v>650.85400000000004</v>
      </c>
      <c r="AC90">
        <v>665.40800000000002</v>
      </c>
      <c r="AD90">
        <v>683.63699999999994</v>
      </c>
      <c r="AE90">
        <v>695.59699999999998</v>
      </c>
    </row>
    <row r="92" spans="1:31" x14ac:dyDescent="0.25">
      <c r="A92" t="s">
        <v>217</v>
      </c>
      <c r="B92" s="43">
        <f>B75/SUM(B$75:B$81)</f>
        <v>3.0456405317076982E-2</v>
      </c>
      <c r="C92" s="43">
        <f t="shared" ref="C92:AE92" si="0">C75/SUM(C$75:C$81)</f>
        <v>5.2522705156206675E-2</v>
      </c>
      <c r="D92" s="43">
        <f>D75/SUM(D$75:D$81)</f>
        <v>7.5763417092889432E-2</v>
      </c>
      <c r="E92" s="31">
        <f t="shared" si="0"/>
        <v>0.11159206694567377</v>
      </c>
      <c r="F92" s="31">
        <f t="shared" si="0"/>
        <v>0.14213310898475773</v>
      </c>
      <c r="G92" s="31">
        <f t="shared" si="0"/>
        <v>0.20040308050007799</v>
      </c>
      <c r="H92" s="31">
        <f t="shared" si="0"/>
        <v>0.2647435148386123</v>
      </c>
      <c r="I92" s="31">
        <f t="shared" si="0"/>
        <v>0.31692068497002601</v>
      </c>
      <c r="J92" s="31">
        <f t="shared" si="0"/>
        <v>0.39001194057470828</v>
      </c>
      <c r="K92" s="31">
        <f t="shared" si="0"/>
        <v>0.45044136156669395</v>
      </c>
      <c r="L92" s="31">
        <f t="shared" si="0"/>
        <v>0.50868833057623208</v>
      </c>
      <c r="M92" s="31">
        <f t="shared" si="0"/>
        <v>0.56398362808264735</v>
      </c>
      <c r="N92" s="31">
        <f t="shared" si="0"/>
        <v>0.56200436832275191</v>
      </c>
      <c r="O92" s="31">
        <f t="shared" si="0"/>
        <v>0.56559878612150616</v>
      </c>
      <c r="P92" s="31">
        <f t="shared" si="0"/>
        <v>0.57951705745821369</v>
      </c>
      <c r="Q92" s="31">
        <f t="shared" si="0"/>
        <v>0.5978869746323433</v>
      </c>
      <c r="R92" s="31">
        <f t="shared" si="0"/>
        <v>0.6143742017733187</v>
      </c>
      <c r="S92" s="31">
        <f t="shared" si="0"/>
        <v>0.62847311279701967</v>
      </c>
      <c r="T92" s="31">
        <f t="shared" si="0"/>
        <v>0.64084132657364445</v>
      </c>
      <c r="U92" s="31">
        <f t="shared" si="0"/>
        <v>0.6512853866807008</v>
      </c>
      <c r="V92" s="31">
        <f t="shared" si="0"/>
        <v>0.66057098931029035</v>
      </c>
      <c r="W92" s="31">
        <f t="shared" si="0"/>
        <v>0.66860231407035142</v>
      </c>
      <c r="X92" s="31">
        <f t="shared" si="0"/>
        <v>0.67589308047902497</v>
      </c>
      <c r="Y92" s="31">
        <f t="shared" si="0"/>
        <v>0.68229514885139875</v>
      </c>
      <c r="Z92" s="31">
        <f t="shared" si="0"/>
        <v>0.68807847938678857</v>
      </c>
      <c r="AA92" s="31">
        <f t="shared" si="0"/>
        <v>0.69383825633935603</v>
      </c>
      <c r="AB92" s="31">
        <f t="shared" si="0"/>
        <v>0.69868820225447048</v>
      </c>
      <c r="AC92" s="31">
        <f t="shared" si="0"/>
        <v>0.70474289603256246</v>
      </c>
      <c r="AD92" s="31">
        <f t="shared" si="0"/>
        <v>0.70922671171652352</v>
      </c>
      <c r="AE92" s="31">
        <f t="shared" si="0"/>
        <v>0.71462015526210543</v>
      </c>
    </row>
    <row r="93" spans="1:31" x14ac:dyDescent="0.25">
      <c r="A93" t="s">
        <v>218</v>
      </c>
      <c r="B93" s="43">
        <f>B79/SUM(B$75:B$81)</f>
        <v>1.1698255644720433E-2</v>
      </c>
      <c r="C93" s="43">
        <f t="shared" ref="C93:AE93" si="1">C79/SUM(C$75:C$81)</f>
        <v>1.4221663362093946E-2</v>
      </c>
      <c r="D93" s="43">
        <f t="shared" si="1"/>
        <v>2.12628499641342E-2</v>
      </c>
      <c r="E93" s="31">
        <f t="shared" si="1"/>
        <v>1.9844917005977642E-2</v>
      </c>
      <c r="F93" s="31">
        <f t="shared" si="1"/>
        <v>2.4847994382793406E-2</v>
      </c>
      <c r="G93" s="31">
        <f t="shared" si="1"/>
        <v>3.5382108174020745E-2</v>
      </c>
      <c r="H93" s="31">
        <f t="shared" si="1"/>
        <v>5.4077696287537197E-2</v>
      </c>
      <c r="I93" s="31">
        <f t="shared" si="1"/>
        <v>5.4107159428278269E-2</v>
      </c>
      <c r="J93" s="31">
        <f t="shared" si="1"/>
        <v>7.1601678072562014E-2</v>
      </c>
      <c r="K93" s="31">
        <f t="shared" si="1"/>
        <v>8.0656289163358513E-2</v>
      </c>
      <c r="L93" s="31">
        <f t="shared" si="1"/>
        <v>9.9098300751202045E-2</v>
      </c>
      <c r="M93" s="31">
        <f t="shared" si="1"/>
        <v>0.1170345797315854</v>
      </c>
      <c r="N93" s="31">
        <f t="shared" si="1"/>
        <v>0.11793292903174363</v>
      </c>
      <c r="O93" s="31">
        <f t="shared" si="1"/>
        <v>0.11325381206725148</v>
      </c>
      <c r="P93" s="31">
        <f t="shared" si="1"/>
        <v>0.10995689503312144</v>
      </c>
      <c r="Q93" s="31">
        <f t="shared" si="1"/>
        <v>0.10771984429106383</v>
      </c>
      <c r="R93" s="31">
        <f t="shared" si="1"/>
        <v>0.10514836138244149</v>
      </c>
      <c r="S93" s="31">
        <f t="shared" si="1"/>
        <v>0.10234299078229947</v>
      </c>
      <c r="T93" s="31">
        <f t="shared" si="1"/>
        <v>9.9619753638013023E-2</v>
      </c>
      <c r="U93" s="31">
        <f t="shared" si="1"/>
        <v>9.700568947624344E-2</v>
      </c>
      <c r="V93" s="31">
        <f t="shared" si="1"/>
        <v>9.4637293214892629E-2</v>
      </c>
      <c r="W93" s="31">
        <f t="shared" si="1"/>
        <v>9.2410510361683684E-2</v>
      </c>
      <c r="X93" s="31">
        <f t="shared" si="1"/>
        <v>9.04169020174483E-2</v>
      </c>
      <c r="Y93" s="31">
        <f t="shared" si="1"/>
        <v>8.8507500792638041E-2</v>
      </c>
      <c r="Z93" s="31">
        <f t="shared" si="1"/>
        <v>8.676147852334562E-2</v>
      </c>
      <c r="AA93" s="31">
        <f t="shared" si="1"/>
        <v>8.5000251476528593E-2</v>
      </c>
      <c r="AB93" s="31">
        <f t="shared" si="1"/>
        <v>8.3411215999121713E-2</v>
      </c>
      <c r="AC93" s="31">
        <f t="shared" si="1"/>
        <v>8.1974643356690857E-2</v>
      </c>
      <c r="AD93" s="31">
        <f t="shared" si="1"/>
        <v>8.0603073523380628E-2</v>
      </c>
      <c r="AE93" s="31">
        <f t="shared" si="1"/>
        <v>7.924808907666181E-2</v>
      </c>
    </row>
    <row r="94" spans="1:31" x14ac:dyDescent="0.25">
      <c r="A94" t="s">
        <v>219</v>
      </c>
      <c r="B94" s="39">
        <f t="shared" ref="B94:AE94" si="2">SUM(B92:B93)</f>
        <v>4.2154660961797416E-2</v>
      </c>
      <c r="C94" s="39">
        <f t="shared" si="2"/>
        <v>6.6744368518300623E-2</v>
      </c>
      <c r="D94" s="39">
        <f t="shared" si="2"/>
        <v>9.7026267057023635E-2</v>
      </c>
      <c r="E94" s="39">
        <f t="shared" si="2"/>
        <v>0.1314369839516514</v>
      </c>
      <c r="F94" s="39">
        <f t="shared" si="2"/>
        <v>0.16698110336755112</v>
      </c>
      <c r="G94" s="39">
        <f t="shared" si="2"/>
        <v>0.23578518867409873</v>
      </c>
      <c r="H94" s="39">
        <f t="shared" si="2"/>
        <v>0.31882121112614947</v>
      </c>
      <c r="I94" s="39">
        <f t="shared" si="2"/>
        <v>0.37102784439830427</v>
      </c>
      <c r="J94" s="39">
        <f t="shared" si="2"/>
        <v>0.4616136186472703</v>
      </c>
      <c r="K94" s="39">
        <f t="shared" si="2"/>
        <v>0.53109765073005244</v>
      </c>
      <c r="L94" s="39">
        <f t="shared" si="2"/>
        <v>0.60778663132743416</v>
      </c>
      <c r="M94" s="39">
        <f t="shared" si="2"/>
        <v>0.68101820781423272</v>
      </c>
      <c r="N94" s="39">
        <f t="shared" si="2"/>
        <v>0.67993729735449548</v>
      </c>
      <c r="O94" s="39">
        <f t="shared" si="2"/>
        <v>0.67885259818875765</v>
      </c>
      <c r="P94" s="39">
        <f t="shared" si="2"/>
        <v>0.68947395249133514</v>
      </c>
      <c r="Q94" s="39">
        <f t="shared" si="2"/>
        <v>0.70560681892340715</v>
      </c>
      <c r="R94" s="39">
        <f t="shared" si="2"/>
        <v>0.71952256315576024</v>
      </c>
      <c r="S94" s="39">
        <f t="shared" si="2"/>
        <v>0.73081610357931914</v>
      </c>
      <c r="T94" s="39">
        <f t="shared" si="2"/>
        <v>0.74046108021165746</v>
      </c>
      <c r="U94" s="39">
        <f t="shared" si="2"/>
        <v>0.74829107615694423</v>
      </c>
      <c r="V94" s="39">
        <f t="shared" si="2"/>
        <v>0.75520828252518302</v>
      </c>
      <c r="W94" s="39">
        <f t="shared" si="2"/>
        <v>0.76101282443203511</v>
      </c>
      <c r="X94" s="39">
        <f t="shared" si="2"/>
        <v>0.76630998249647331</v>
      </c>
      <c r="Y94" s="39">
        <f t="shared" si="2"/>
        <v>0.77080264964403677</v>
      </c>
      <c r="Z94" s="39">
        <f t="shared" si="2"/>
        <v>0.77483995791013416</v>
      </c>
      <c r="AA94" s="39">
        <f t="shared" si="2"/>
        <v>0.7788385078158846</v>
      </c>
      <c r="AB94" s="39">
        <f t="shared" si="2"/>
        <v>0.78209941825359219</v>
      </c>
      <c r="AC94" s="39">
        <f t="shared" si="2"/>
        <v>0.78671753938925337</v>
      </c>
      <c r="AD94" s="39">
        <f t="shared" si="2"/>
        <v>0.7898297852399041</v>
      </c>
      <c r="AE94" s="39">
        <f t="shared" si="2"/>
        <v>0.79386824433876724</v>
      </c>
    </row>
    <row r="96" spans="1:31" x14ac:dyDescent="0.25">
      <c r="A96" t="s">
        <v>217</v>
      </c>
      <c r="B96" s="31">
        <f>B84/SUM(B84:B90)</f>
        <v>6.8742412315358267E-3</v>
      </c>
      <c r="C96" s="31">
        <f t="shared" ref="C96:AE96" si="3">C84/SUM(C84:C90)</f>
        <v>2.6612812482105619E-2</v>
      </c>
      <c r="D96" s="31">
        <f t="shared" si="3"/>
        <v>5.1869029508252514E-2</v>
      </c>
      <c r="E96" s="31">
        <f t="shared" si="3"/>
        <v>8.8867564931339058E-2</v>
      </c>
      <c r="F96" s="31">
        <f t="shared" si="3"/>
        <v>0.11465514633244066</v>
      </c>
      <c r="G96" s="31">
        <f t="shared" si="3"/>
        <v>0.14831666438627761</v>
      </c>
      <c r="H96" s="31">
        <f t="shared" si="3"/>
        <v>0.18428396581456719</v>
      </c>
      <c r="I96" s="31">
        <f t="shared" si="3"/>
        <v>0.22840195003926966</v>
      </c>
      <c r="J96" s="31">
        <f t="shared" si="3"/>
        <v>0.27107316910222568</v>
      </c>
      <c r="K96" s="31">
        <f t="shared" si="3"/>
        <v>0.3057616543833388</v>
      </c>
      <c r="L96" s="31">
        <f t="shared" si="3"/>
        <v>0.34347460473272523</v>
      </c>
      <c r="M96" s="31">
        <f t="shared" si="3"/>
        <v>0.37765945777461885</v>
      </c>
      <c r="N96" s="31">
        <f t="shared" si="3"/>
        <v>0.39104770218342505</v>
      </c>
      <c r="O96" s="31">
        <f t="shared" si="3"/>
        <v>0.42337502276042382</v>
      </c>
      <c r="P96" s="31">
        <f t="shared" si="3"/>
        <v>0.4519273214819573</v>
      </c>
      <c r="Q96" s="31">
        <f t="shared" si="3"/>
        <v>0.4762517917873178</v>
      </c>
      <c r="R96" s="31">
        <f t="shared" si="3"/>
        <v>0.49787773967141946</v>
      </c>
      <c r="S96" s="31">
        <f t="shared" si="3"/>
        <v>0.51610981795189814</v>
      </c>
      <c r="T96" s="31">
        <f t="shared" si="3"/>
        <v>0.53203020646185339</v>
      </c>
      <c r="U96" s="31">
        <f t="shared" si="3"/>
        <v>0.54534264348987394</v>
      </c>
      <c r="V96" s="31">
        <f t="shared" si="3"/>
        <v>0.55719664478489539</v>
      </c>
      <c r="W96" s="31">
        <f t="shared" si="3"/>
        <v>0.56737576123903666</v>
      </c>
      <c r="X96" s="31">
        <f t="shared" si="3"/>
        <v>0.57665994324658743</v>
      </c>
      <c r="Y96" s="31">
        <f t="shared" si="3"/>
        <v>0.58473974700279663</v>
      </c>
      <c r="Z96" s="31">
        <f t="shared" si="3"/>
        <v>0.59204213584519227</v>
      </c>
      <c r="AA96" s="31">
        <f t="shared" si="3"/>
        <v>0.59931523118211649</v>
      </c>
      <c r="AB96" s="31">
        <f t="shared" si="3"/>
        <v>0.60539273173146546</v>
      </c>
      <c r="AC96" s="31">
        <f t="shared" si="3"/>
        <v>0.61330723087202599</v>
      </c>
      <c r="AD96" s="31">
        <f t="shared" si="3"/>
        <v>0.61899928191303955</v>
      </c>
      <c r="AE96" s="31">
        <f t="shared" si="3"/>
        <v>0.62602706790214713</v>
      </c>
    </row>
    <row r="97" spans="1:31" x14ac:dyDescent="0.25">
      <c r="A97" t="s">
        <v>218</v>
      </c>
      <c r="B97" s="31">
        <f>B88/SUM(B84:B90)</f>
        <v>2.6403901867820627E-3</v>
      </c>
      <c r="C97" s="31">
        <f t="shared" ref="C97:AE97" si="4">C88/SUM(C84:C90)</f>
        <v>7.2060282302989246E-3</v>
      </c>
      <c r="D97" s="31">
        <f t="shared" si="4"/>
        <v>1.4557020989647312E-2</v>
      </c>
      <c r="E97" s="31">
        <f t="shared" si="4"/>
        <v>1.5803813303279946E-2</v>
      </c>
      <c r="F97" s="31">
        <f t="shared" si="4"/>
        <v>2.004440130126019E-2</v>
      </c>
      <c r="G97" s="31">
        <f t="shared" si="4"/>
        <v>2.6186003517313039E-2</v>
      </c>
      <c r="H97" s="31">
        <f t="shared" si="4"/>
        <v>3.7642755731546643E-2</v>
      </c>
      <c r="I97" s="31">
        <f t="shared" si="4"/>
        <v>3.8994701974161917E-2</v>
      </c>
      <c r="J97" s="31">
        <f t="shared" si="4"/>
        <v>4.9765974492022441E-2</v>
      </c>
      <c r="K97" s="31">
        <f t="shared" si="4"/>
        <v>5.4749745507673531E-2</v>
      </c>
      <c r="L97" s="31">
        <f t="shared" si="4"/>
        <v>6.6913024020340273E-2</v>
      </c>
      <c r="M97" s="31">
        <f t="shared" si="4"/>
        <v>7.836985271080632E-2</v>
      </c>
      <c r="N97" s="31">
        <f t="shared" si="4"/>
        <v>8.2059310795080997E-2</v>
      </c>
      <c r="O97" s="31">
        <f t="shared" si="4"/>
        <v>8.4775514282658559E-2</v>
      </c>
      <c r="P97" s="31">
        <f t="shared" si="4"/>
        <v>8.5748265275172431E-2</v>
      </c>
      <c r="Q97" s="31">
        <f t="shared" si="4"/>
        <v>8.5805324000144526E-2</v>
      </c>
      <c r="R97" s="31">
        <f t="shared" si="4"/>
        <v>8.5210407479832773E-2</v>
      </c>
      <c r="S97" s="31">
        <f t="shared" si="4"/>
        <v>8.4045722622532876E-2</v>
      </c>
      <c r="T97" s="31">
        <f t="shared" si="4"/>
        <v>8.2704655559494161E-2</v>
      </c>
      <c r="U97" s="31">
        <f t="shared" si="4"/>
        <v>8.1225744092345786E-2</v>
      </c>
      <c r="V97" s="31">
        <f t="shared" si="4"/>
        <v>7.9826937433571554E-2</v>
      </c>
      <c r="W97" s="31">
        <f t="shared" si="4"/>
        <v>7.8419459173831182E-2</v>
      </c>
      <c r="X97" s="31">
        <f t="shared" si="4"/>
        <v>7.7141805885089038E-2</v>
      </c>
      <c r="Y97" s="31">
        <f t="shared" si="4"/>
        <v>7.5852160656493375E-2</v>
      </c>
      <c r="Z97" s="31">
        <f t="shared" si="4"/>
        <v>7.4651744977506401E-2</v>
      </c>
      <c r="AA97" s="31">
        <f t="shared" si="4"/>
        <v>7.3420647739148318E-2</v>
      </c>
      <c r="AB97" s="31">
        <f t="shared" si="4"/>
        <v>7.2272891239199888E-2</v>
      </c>
      <c r="AC97" s="31">
        <f t="shared" si="4"/>
        <v>7.1338381131011597E-2</v>
      </c>
      <c r="AD97" s="31">
        <f t="shared" si="4"/>
        <v>7.0349083269442114E-2</v>
      </c>
      <c r="AE97" s="31">
        <f t="shared" si="4"/>
        <v>6.9423761925803282E-2</v>
      </c>
    </row>
    <row r="98" spans="1:31" x14ac:dyDescent="0.25">
      <c r="A98" t="s">
        <v>219</v>
      </c>
      <c r="B98" s="39">
        <f>SUM(B96:B97)</f>
        <v>9.5146314183178898E-3</v>
      </c>
      <c r="C98" s="39">
        <f t="shared" ref="C98:AE98" si="5">SUM(C96:C97)</f>
        <v>3.3818840712404541E-2</v>
      </c>
      <c r="D98" s="39">
        <f t="shared" si="5"/>
        <v>6.6426050497899819E-2</v>
      </c>
      <c r="E98" s="39">
        <f t="shared" si="5"/>
        <v>0.104671378234619</v>
      </c>
      <c r="F98" s="39">
        <f t="shared" si="5"/>
        <v>0.13469954763370084</v>
      </c>
      <c r="G98" s="39">
        <f t="shared" si="5"/>
        <v>0.17450266790359065</v>
      </c>
      <c r="H98" s="39">
        <f t="shared" si="5"/>
        <v>0.22192672154611381</v>
      </c>
      <c r="I98" s="39">
        <f t="shared" si="5"/>
        <v>0.2673966520134316</v>
      </c>
      <c r="J98" s="39">
        <f t="shared" si="5"/>
        <v>0.32083914359424814</v>
      </c>
      <c r="K98" s="39">
        <f t="shared" si="5"/>
        <v>0.36051139989101233</v>
      </c>
      <c r="L98" s="39">
        <f t="shared" si="5"/>
        <v>0.4103876287530655</v>
      </c>
      <c r="M98" s="39">
        <f t="shared" si="5"/>
        <v>0.45602931048542517</v>
      </c>
      <c r="N98" s="39">
        <f t="shared" si="5"/>
        <v>0.47310701297850605</v>
      </c>
      <c r="O98" s="39">
        <f t="shared" si="5"/>
        <v>0.50815053704308233</v>
      </c>
      <c r="P98" s="39">
        <f t="shared" si="5"/>
        <v>0.53767558675712968</v>
      </c>
      <c r="Q98" s="39">
        <f t="shared" si="5"/>
        <v>0.56205711578746231</v>
      </c>
      <c r="R98" s="39">
        <f t="shared" si="5"/>
        <v>0.58308814715125223</v>
      </c>
      <c r="S98" s="39">
        <f t="shared" si="5"/>
        <v>0.60015554057443099</v>
      </c>
      <c r="T98" s="39">
        <f t="shared" si="5"/>
        <v>0.61473486202134753</v>
      </c>
      <c r="U98" s="39">
        <f t="shared" si="5"/>
        <v>0.62656838758221967</v>
      </c>
      <c r="V98" s="39">
        <f t="shared" si="5"/>
        <v>0.63702358221846689</v>
      </c>
      <c r="W98" s="39">
        <f t="shared" si="5"/>
        <v>0.64579522041286785</v>
      </c>
      <c r="X98" s="39">
        <f t="shared" si="5"/>
        <v>0.65380174913167644</v>
      </c>
      <c r="Y98" s="39">
        <f t="shared" si="5"/>
        <v>0.66059190765928999</v>
      </c>
      <c r="Z98" s="39">
        <f t="shared" si="5"/>
        <v>0.66669388082269865</v>
      </c>
      <c r="AA98" s="39">
        <f t="shared" si="5"/>
        <v>0.67273587892126485</v>
      </c>
      <c r="AB98" s="39">
        <f t="shared" si="5"/>
        <v>0.67766562297066535</v>
      </c>
      <c r="AC98" s="39">
        <f t="shared" si="5"/>
        <v>0.68464561200303753</v>
      </c>
      <c r="AD98" s="39">
        <f t="shared" si="5"/>
        <v>0.68934836518248166</v>
      </c>
      <c r="AE98" s="39">
        <f t="shared" si="5"/>
        <v>0.69545082982795037</v>
      </c>
    </row>
    <row r="99" spans="1:31" x14ac:dyDescent="0.25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</row>
    <row r="100" spans="1:31" x14ac:dyDescent="0.25">
      <c r="A100" s="1" t="s">
        <v>237</v>
      </c>
      <c r="B100" t="s">
        <v>238</v>
      </c>
    </row>
    <row r="102" spans="1:31" x14ac:dyDescent="0.25">
      <c r="B102" t="s">
        <v>239</v>
      </c>
      <c r="C102" t="s">
        <v>240</v>
      </c>
    </row>
    <row r="103" spans="1:31" x14ac:dyDescent="0.25">
      <c r="A103">
        <v>2021</v>
      </c>
      <c r="B103" s="42">
        <v>0.01</v>
      </c>
      <c r="C103" s="42">
        <f>B107/SUM(B107:B113)</f>
        <v>9.9649732547720544E-3</v>
      </c>
    </row>
    <row r="104" spans="1:31" x14ac:dyDescent="0.25">
      <c r="A104">
        <v>2022</v>
      </c>
      <c r="B104" s="42">
        <v>0.02</v>
      </c>
      <c r="C104" s="42">
        <f>C107/SUM(C107:C113)</f>
        <v>1.626220809222113E-2</v>
      </c>
    </row>
    <row r="106" spans="1:31" x14ac:dyDescent="0.25">
      <c r="A106" t="s">
        <v>262</v>
      </c>
      <c r="B106">
        <v>2021</v>
      </c>
      <c r="C106">
        <v>2022</v>
      </c>
      <c r="D106">
        <v>2023</v>
      </c>
      <c r="E106">
        <v>2024</v>
      </c>
      <c r="F106">
        <v>2025</v>
      </c>
      <c r="G106">
        <v>2026</v>
      </c>
      <c r="H106">
        <v>2027</v>
      </c>
      <c r="I106">
        <v>2028</v>
      </c>
      <c r="J106">
        <v>2029</v>
      </c>
      <c r="K106">
        <v>2030</v>
      </c>
      <c r="L106">
        <v>2031</v>
      </c>
      <c r="M106">
        <v>2032</v>
      </c>
      <c r="N106">
        <v>2033</v>
      </c>
      <c r="O106">
        <v>2034</v>
      </c>
      <c r="P106">
        <v>2035</v>
      </c>
      <c r="Q106">
        <v>2036</v>
      </c>
      <c r="R106">
        <v>2037</v>
      </c>
      <c r="S106">
        <v>2038</v>
      </c>
      <c r="T106">
        <v>2039</v>
      </c>
      <c r="U106">
        <v>2040</v>
      </c>
      <c r="V106">
        <v>2041</v>
      </c>
      <c r="W106">
        <v>2042</v>
      </c>
      <c r="X106">
        <v>2043</v>
      </c>
      <c r="Y106">
        <v>2044</v>
      </c>
      <c r="Z106">
        <v>2045</v>
      </c>
      <c r="AA106">
        <v>2046</v>
      </c>
      <c r="AB106">
        <v>2047</v>
      </c>
      <c r="AC106">
        <v>2048</v>
      </c>
      <c r="AD106">
        <v>2049</v>
      </c>
      <c r="AE106">
        <v>2050</v>
      </c>
    </row>
    <row r="107" spans="1:31" x14ac:dyDescent="0.25">
      <c r="A107" t="s">
        <v>277</v>
      </c>
      <c r="B107">
        <v>1101</v>
      </c>
      <c r="C107">
        <v>2133</v>
      </c>
      <c r="D107">
        <v>7974</v>
      </c>
      <c r="E107">
        <v>15552</v>
      </c>
      <c r="F107">
        <v>24525</v>
      </c>
      <c r="G107">
        <v>36483</v>
      </c>
      <c r="H107">
        <v>52311</v>
      </c>
      <c r="I107">
        <v>66918</v>
      </c>
      <c r="J107">
        <v>82059</v>
      </c>
      <c r="K107">
        <v>92814</v>
      </c>
      <c r="L107">
        <v>92127</v>
      </c>
      <c r="M107">
        <v>92145</v>
      </c>
      <c r="N107">
        <v>67338</v>
      </c>
      <c r="O107">
        <v>67404</v>
      </c>
      <c r="P107">
        <v>67428</v>
      </c>
      <c r="Q107">
        <v>67359</v>
      </c>
      <c r="R107">
        <v>67248</v>
      </c>
      <c r="S107">
        <v>67086</v>
      </c>
      <c r="T107">
        <v>67524</v>
      </c>
      <c r="U107">
        <v>67920</v>
      </c>
      <c r="V107">
        <v>68511</v>
      </c>
      <c r="W107">
        <v>68718</v>
      </c>
      <c r="X107">
        <v>69066</v>
      </c>
      <c r="Y107">
        <v>69117</v>
      </c>
      <c r="Z107">
        <v>69222</v>
      </c>
      <c r="AA107">
        <v>69729</v>
      </c>
      <c r="AB107">
        <v>69681</v>
      </c>
      <c r="AC107">
        <v>70272</v>
      </c>
      <c r="AD107">
        <v>69987</v>
      </c>
      <c r="AE107">
        <v>70446</v>
      </c>
    </row>
    <row r="108" spans="1:31" x14ac:dyDescent="0.25">
      <c r="A108" t="s">
        <v>278</v>
      </c>
      <c r="B108">
        <v>60</v>
      </c>
      <c r="C108">
        <v>147</v>
      </c>
      <c r="D108">
        <v>99</v>
      </c>
      <c r="E108">
        <v>99</v>
      </c>
      <c r="F108">
        <v>75</v>
      </c>
      <c r="G108">
        <v>60</v>
      </c>
      <c r="H108">
        <v>51</v>
      </c>
      <c r="I108">
        <v>33</v>
      </c>
      <c r="J108">
        <v>24</v>
      </c>
      <c r="K108">
        <v>18</v>
      </c>
      <c r="L108">
        <v>18</v>
      </c>
      <c r="M108">
        <v>15</v>
      </c>
      <c r="N108">
        <v>18</v>
      </c>
      <c r="O108">
        <v>18</v>
      </c>
      <c r="P108">
        <v>15</v>
      </c>
      <c r="Q108">
        <v>12</v>
      </c>
      <c r="R108">
        <v>12</v>
      </c>
      <c r="S108">
        <v>9</v>
      </c>
      <c r="T108">
        <v>9</v>
      </c>
      <c r="U108">
        <v>9</v>
      </c>
      <c r="V108">
        <v>6</v>
      </c>
      <c r="W108">
        <v>6</v>
      </c>
      <c r="X108">
        <v>6</v>
      </c>
      <c r="Y108">
        <v>6</v>
      </c>
      <c r="Z108">
        <v>6</v>
      </c>
      <c r="AA108">
        <v>6</v>
      </c>
      <c r="AB108">
        <v>6</v>
      </c>
      <c r="AC108">
        <v>3</v>
      </c>
      <c r="AD108">
        <v>3</v>
      </c>
      <c r="AE108">
        <v>3</v>
      </c>
    </row>
    <row r="109" spans="1:31" x14ac:dyDescent="0.25">
      <c r="A109" t="s">
        <v>279</v>
      </c>
      <c r="B109">
        <v>12276</v>
      </c>
      <c r="C109">
        <v>15456</v>
      </c>
      <c r="D109">
        <v>15222</v>
      </c>
      <c r="E109">
        <v>15048</v>
      </c>
      <c r="F109">
        <v>14499</v>
      </c>
      <c r="G109">
        <v>13503</v>
      </c>
      <c r="H109">
        <v>11934</v>
      </c>
      <c r="I109">
        <v>10356</v>
      </c>
      <c r="J109">
        <v>8703</v>
      </c>
      <c r="K109">
        <v>7440</v>
      </c>
      <c r="L109">
        <v>7605</v>
      </c>
      <c r="M109">
        <v>7638</v>
      </c>
      <c r="N109">
        <v>10686</v>
      </c>
      <c r="O109">
        <v>10698</v>
      </c>
      <c r="P109">
        <v>10740</v>
      </c>
      <c r="Q109">
        <v>10692</v>
      </c>
      <c r="R109">
        <v>10725</v>
      </c>
      <c r="S109">
        <v>10731</v>
      </c>
      <c r="T109">
        <v>10629</v>
      </c>
      <c r="U109">
        <v>10551</v>
      </c>
      <c r="V109">
        <v>10503</v>
      </c>
      <c r="W109">
        <v>10416</v>
      </c>
      <c r="X109">
        <v>10365</v>
      </c>
      <c r="Y109">
        <v>10248</v>
      </c>
      <c r="Z109">
        <v>10182</v>
      </c>
      <c r="AA109">
        <v>10008</v>
      </c>
      <c r="AB109">
        <v>9954</v>
      </c>
      <c r="AC109">
        <v>9780</v>
      </c>
      <c r="AD109">
        <v>9708</v>
      </c>
      <c r="AE109">
        <v>9540</v>
      </c>
    </row>
    <row r="110" spans="1:31" x14ac:dyDescent="0.25">
      <c r="A110" t="s">
        <v>280</v>
      </c>
      <c r="B110">
        <v>97050</v>
      </c>
      <c r="C110">
        <v>113415</v>
      </c>
      <c r="D110">
        <v>116379</v>
      </c>
      <c r="E110">
        <v>113814</v>
      </c>
      <c r="F110">
        <v>108417</v>
      </c>
      <c r="G110">
        <v>99657</v>
      </c>
      <c r="H110">
        <v>87042</v>
      </c>
      <c r="I110">
        <v>75279</v>
      </c>
      <c r="J110">
        <v>62715</v>
      </c>
      <c r="K110">
        <v>53865</v>
      </c>
      <c r="L110">
        <v>54708</v>
      </c>
      <c r="M110">
        <v>54939</v>
      </c>
      <c r="N110">
        <v>77082</v>
      </c>
      <c r="O110">
        <v>77259</v>
      </c>
      <c r="P110">
        <v>77367</v>
      </c>
      <c r="Q110">
        <v>77541</v>
      </c>
      <c r="R110">
        <v>77622</v>
      </c>
      <c r="S110">
        <v>77640</v>
      </c>
      <c r="T110">
        <v>77070</v>
      </c>
      <c r="U110">
        <v>76458</v>
      </c>
      <c r="V110">
        <v>75555</v>
      </c>
      <c r="W110">
        <v>75036</v>
      </c>
      <c r="X110">
        <v>74277</v>
      </c>
      <c r="Y110">
        <v>73872</v>
      </c>
      <c r="Z110">
        <v>73326</v>
      </c>
      <c r="AA110">
        <v>72498</v>
      </c>
      <c r="AB110">
        <v>72051</v>
      </c>
      <c r="AC110">
        <v>71121</v>
      </c>
      <c r="AD110">
        <v>70902</v>
      </c>
      <c r="AE110">
        <v>70071</v>
      </c>
    </row>
    <row r="111" spans="1:31" x14ac:dyDescent="0.25">
      <c r="A111" t="s">
        <v>281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25">
      <c r="A112" t="s">
        <v>282</v>
      </c>
      <c r="B112">
        <v>0</v>
      </c>
      <c r="C112">
        <v>12</v>
      </c>
      <c r="D112">
        <v>15</v>
      </c>
      <c r="E112">
        <v>24</v>
      </c>
      <c r="F112">
        <v>30</v>
      </c>
      <c r="G112">
        <v>33</v>
      </c>
      <c r="H112">
        <v>36</v>
      </c>
      <c r="I112">
        <v>30</v>
      </c>
      <c r="J112">
        <v>27</v>
      </c>
      <c r="K112">
        <v>27</v>
      </c>
      <c r="L112">
        <v>27</v>
      </c>
      <c r="M112">
        <v>30</v>
      </c>
      <c r="N112">
        <v>45</v>
      </c>
      <c r="O112">
        <v>48</v>
      </c>
      <c r="P112">
        <v>51</v>
      </c>
      <c r="Q112">
        <v>54</v>
      </c>
      <c r="R112">
        <v>57</v>
      </c>
      <c r="S112">
        <v>57</v>
      </c>
      <c r="T112">
        <v>57</v>
      </c>
      <c r="U112">
        <v>60</v>
      </c>
      <c r="V112">
        <v>60</v>
      </c>
      <c r="W112">
        <v>60</v>
      </c>
      <c r="X112">
        <v>63</v>
      </c>
      <c r="Y112">
        <v>63</v>
      </c>
      <c r="Z112">
        <v>66</v>
      </c>
      <c r="AA112">
        <v>66</v>
      </c>
      <c r="AB112">
        <v>66</v>
      </c>
      <c r="AC112">
        <v>69</v>
      </c>
      <c r="AD112">
        <v>66</v>
      </c>
      <c r="AE112">
        <v>66</v>
      </c>
    </row>
    <row r="113" spans="1:31" x14ac:dyDescent="0.25">
      <c r="A113" t="s">
        <v>283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3</v>
      </c>
      <c r="H113">
        <v>9</v>
      </c>
      <c r="I113">
        <v>24</v>
      </c>
      <c r="J113">
        <v>51</v>
      </c>
      <c r="K113">
        <v>111</v>
      </c>
      <c r="L113">
        <v>264</v>
      </c>
      <c r="M113">
        <v>363</v>
      </c>
      <c r="N113">
        <v>297</v>
      </c>
      <c r="O113">
        <v>378</v>
      </c>
      <c r="P113">
        <v>471</v>
      </c>
      <c r="Q113">
        <v>639</v>
      </c>
      <c r="R113">
        <v>834</v>
      </c>
      <c r="S113">
        <v>1065</v>
      </c>
      <c r="T113">
        <v>1335</v>
      </c>
      <c r="U113">
        <v>1632</v>
      </c>
      <c r="V113">
        <v>1953</v>
      </c>
      <c r="W113">
        <v>2289</v>
      </c>
      <c r="X113">
        <v>2637</v>
      </c>
      <c r="Y113">
        <v>2997</v>
      </c>
      <c r="Z113">
        <v>3372</v>
      </c>
      <c r="AA113">
        <v>3777</v>
      </c>
      <c r="AB113">
        <v>4170</v>
      </c>
      <c r="AC113">
        <v>4542</v>
      </c>
      <c r="AD113">
        <v>4950</v>
      </c>
      <c r="AE113">
        <v>5343</v>
      </c>
    </row>
    <row r="115" spans="1:31" x14ac:dyDescent="0.25">
      <c r="A115" t="s">
        <v>241</v>
      </c>
      <c r="B115" s="44">
        <f>B107/SUM(B107:B113)</f>
        <v>9.9649732547720544E-3</v>
      </c>
      <c r="C115" s="44">
        <f t="shared" ref="C115:AE115" si="6">C107/SUM(C107:C113)</f>
        <v>1.626220809222113E-2</v>
      </c>
      <c r="D115" s="44">
        <f t="shared" si="6"/>
        <v>5.7083950776367499E-2</v>
      </c>
      <c r="E115" s="44">
        <f t="shared" si="6"/>
        <v>0.10759874634176717</v>
      </c>
      <c r="F115" s="44">
        <f t="shared" si="6"/>
        <v>0.16621934854214956</v>
      </c>
      <c r="G115" s="44">
        <f t="shared" si="6"/>
        <v>0.24364394045639412</v>
      </c>
      <c r="H115" s="44">
        <f t="shared" si="6"/>
        <v>0.34555399219198984</v>
      </c>
      <c r="I115" s="44">
        <f t="shared" si="6"/>
        <v>0.43840408805031444</v>
      </c>
      <c r="J115" s="44">
        <f t="shared" si="6"/>
        <v>0.53431133162737088</v>
      </c>
      <c r="K115" s="44">
        <f t="shared" si="6"/>
        <v>0.60161400097228979</v>
      </c>
      <c r="L115" s="44">
        <f t="shared" si="6"/>
        <v>0.5953317953589361</v>
      </c>
      <c r="M115" s="44">
        <f t="shared" si="6"/>
        <v>0.59398568942177532</v>
      </c>
      <c r="N115" s="44">
        <f t="shared" si="6"/>
        <v>0.43313650573115664</v>
      </c>
      <c r="O115" s="44">
        <f t="shared" si="6"/>
        <v>0.43261769519591797</v>
      </c>
      <c r="P115" s="44">
        <f t="shared" si="6"/>
        <v>0.43203137013685994</v>
      </c>
      <c r="Q115" s="44">
        <f t="shared" si="6"/>
        <v>0.43096796483617728</v>
      </c>
      <c r="R115" s="44">
        <f t="shared" si="6"/>
        <v>0.42970517195107927</v>
      </c>
      <c r="S115" s="44">
        <f t="shared" si="6"/>
        <v>0.42842363399494215</v>
      </c>
      <c r="T115" s="44">
        <f t="shared" si="6"/>
        <v>0.43112166717744405</v>
      </c>
      <c r="U115" s="44">
        <f t="shared" si="6"/>
        <v>0.43363340356253594</v>
      </c>
      <c r="V115" s="44">
        <f t="shared" si="6"/>
        <v>0.43752394819526402</v>
      </c>
      <c r="W115" s="44">
        <f t="shared" si="6"/>
        <v>0.43902252036415906</v>
      </c>
      <c r="X115" s="44">
        <f t="shared" si="6"/>
        <v>0.44155893973685217</v>
      </c>
      <c r="Y115" s="44">
        <f t="shared" si="6"/>
        <v>0.44219880616494883</v>
      </c>
      <c r="Z115" s="44">
        <f t="shared" si="6"/>
        <v>0.44323639018018363</v>
      </c>
      <c r="AA115" s="44">
        <f t="shared" si="6"/>
        <v>0.44674021680633508</v>
      </c>
      <c r="AB115" s="44">
        <f t="shared" si="6"/>
        <v>0.44687932892104049</v>
      </c>
      <c r="AC115" s="44">
        <f t="shared" si="6"/>
        <v>0.45107743264842382</v>
      </c>
      <c r="AD115" s="44">
        <f t="shared" si="6"/>
        <v>0.44974167180752622</v>
      </c>
      <c r="AE115" s="44">
        <f t="shared" si="6"/>
        <v>0.45311927136599578</v>
      </c>
    </row>
    <row r="116" spans="1:31" x14ac:dyDescent="0.25">
      <c r="A116" t="s">
        <v>242</v>
      </c>
      <c r="B116" s="44">
        <f>B113/SUM(B107:B113)</f>
        <v>0</v>
      </c>
      <c r="C116" s="44">
        <f t="shared" ref="C116:AE116" si="7">C113/SUM(C107:C113)</f>
        <v>0</v>
      </c>
      <c r="D116" s="44">
        <f t="shared" si="7"/>
        <v>0</v>
      </c>
      <c r="E116" s="44">
        <f t="shared" si="7"/>
        <v>0</v>
      </c>
      <c r="F116" s="44">
        <f t="shared" si="7"/>
        <v>0</v>
      </c>
      <c r="G116" s="44">
        <f t="shared" si="7"/>
        <v>2.0034860657544126E-5</v>
      </c>
      <c r="H116" s="44">
        <f t="shared" si="7"/>
        <v>5.9451853906977663E-5</v>
      </c>
      <c r="I116" s="44">
        <f t="shared" si="7"/>
        <v>1.5723270440251572E-4</v>
      </c>
      <c r="J116" s="44">
        <f t="shared" si="7"/>
        <v>3.3207665110464323E-4</v>
      </c>
      <c r="K116" s="44">
        <f t="shared" si="7"/>
        <v>7.1949440933398153E-4</v>
      </c>
      <c r="L116" s="44">
        <f t="shared" si="7"/>
        <v>1.7059884070333249E-3</v>
      </c>
      <c r="M116" s="44">
        <f t="shared" si="7"/>
        <v>2.3399729259330885E-3</v>
      </c>
      <c r="N116" s="44">
        <f t="shared" si="7"/>
        <v>1.9103855505383813E-3</v>
      </c>
      <c r="O116" s="44">
        <f t="shared" si="7"/>
        <v>2.4261095600269567E-3</v>
      </c>
      <c r="P116" s="44">
        <f t="shared" si="7"/>
        <v>3.0178379209595571E-3</v>
      </c>
      <c r="Q116" s="44">
        <f t="shared" si="7"/>
        <v>4.0883702182383536E-3</v>
      </c>
      <c r="R116" s="44">
        <f t="shared" si="7"/>
        <v>5.3291415864739483E-3</v>
      </c>
      <c r="S116" s="44">
        <f t="shared" si="7"/>
        <v>6.801287454977393E-3</v>
      </c>
      <c r="T116" s="44">
        <f t="shared" si="7"/>
        <v>8.5235979160281951E-3</v>
      </c>
      <c r="U116" s="44">
        <f t="shared" si="7"/>
        <v>1.0419459873587436E-2</v>
      </c>
      <c r="V116" s="44">
        <f t="shared" si="7"/>
        <v>1.2472220093493754E-2</v>
      </c>
      <c r="W116" s="44">
        <f t="shared" si="7"/>
        <v>1.4623862002874939E-2</v>
      </c>
      <c r="X116" s="44">
        <f t="shared" si="7"/>
        <v>1.6859104683723963E-2</v>
      </c>
      <c r="Y116" s="44">
        <f t="shared" si="7"/>
        <v>1.9174296078770081E-2</v>
      </c>
      <c r="Z116" s="44">
        <f t="shared" si="7"/>
        <v>2.1591302009297323E-2</v>
      </c>
      <c r="AA116" s="44">
        <f t="shared" si="7"/>
        <v>2.4198508495425541E-2</v>
      </c>
      <c r="AB116" s="44">
        <f t="shared" si="7"/>
        <v>2.6743112205633371E-2</v>
      </c>
      <c r="AC116" s="44">
        <f t="shared" si="7"/>
        <v>2.9155192666910589E-2</v>
      </c>
      <c r="AD116" s="44">
        <f t="shared" si="7"/>
        <v>3.180906847624923E-2</v>
      </c>
      <c r="AE116" s="44">
        <f t="shared" si="7"/>
        <v>3.4366979912394111E-2</v>
      </c>
    </row>
    <row r="117" spans="1:31" x14ac:dyDescent="0.25">
      <c r="A117" t="s">
        <v>248</v>
      </c>
      <c r="B117" s="45">
        <f>SUM(B115:B116)</f>
        <v>9.9649732547720544E-3</v>
      </c>
      <c r="C117" s="45">
        <f t="shared" ref="C117:AE117" si="8">SUM(C115:C116)</f>
        <v>1.626220809222113E-2</v>
      </c>
      <c r="D117" s="45">
        <f t="shared" si="8"/>
        <v>5.7083950776367499E-2</v>
      </c>
      <c r="E117" s="45">
        <f t="shared" si="8"/>
        <v>0.10759874634176717</v>
      </c>
      <c r="F117" s="45">
        <f t="shared" si="8"/>
        <v>0.16621934854214956</v>
      </c>
      <c r="G117" s="45">
        <f t="shared" si="8"/>
        <v>0.24366397531705167</v>
      </c>
      <c r="H117" s="45">
        <f t="shared" si="8"/>
        <v>0.34561344404589683</v>
      </c>
      <c r="I117" s="45">
        <f t="shared" si="8"/>
        <v>0.43856132075471699</v>
      </c>
      <c r="J117" s="45">
        <f t="shared" si="8"/>
        <v>0.53464340827847556</v>
      </c>
      <c r="K117" s="45">
        <f t="shared" si="8"/>
        <v>0.60233349538162373</v>
      </c>
      <c r="L117" s="45">
        <f t="shared" si="8"/>
        <v>0.59703778376596939</v>
      </c>
      <c r="M117" s="45">
        <f t="shared" si="8"/>
        <v>0.59632566234770845</v>
      </c>
      <c r="N117" s="45">
        <f t="shared" si="8"/>
        <v>0.43504689128169505</v>
      </c>
      <c r="O117" s="45">
        <f t="shared" si="8"/>
        <v>0.43504380475594495</v>
      </c>
      <c r="P117" s="45">
        <f t="shared" si="8"/>
        <v>0.43504920805781949</v>
      </c>
      <c r="Q117" s="45">
        <f t="shared" si="8"/>
        <v>0.43505633505441565</v>
      </c>
      <c r="R117" s="45">
        <f t="shared" si="8"/>
        <v>0.43503431353755323</v>
      </c>
      <c r="S117" s="45">
        <f t="shared" si="8"/>
        <v>0.43522492144991953</v>
      </c>
      <c r="T117" s="45">
        <f t="shared" si="8"/>
        <v>0.43964526509347224</v>
      </c>
      <c r="U117" s="45">
        <f t="shared" si="8"/>
        <v>0.44405286343612338</v>
      </c>
      <c r="V117" s="45">
        <f t="shared" si="8"/>
        <v>0.44999616828875777</v>
      </c>
      <c r="W117" s="45">
        <f t="shared" si="8"/>
        <v>0.45364638236703403</v>
      </c>
      <c r="X117" s="45">
        <f t="shared" si="8"/>
        <v>0.45841804442057615</v>
      </c>
      <c r="Y117" s="45">
        <f t="shared" si="8"/>
        <v>0.46137310224371891</v>
      </c>
      <c r="Z117" s="45">
        <f t="shared" si="8"/>
        <v>0.46482769218948095</v>
      </c>
      <c r="AA117" s="45">
        <f t="shared" si="8"/>
        <v>0.47093872530176062</v>
      </c>
      <c r="AB117" s="45">
        <f t="shared" si="8"/>
        <v>0.47362244112667384</v>
      </c>
      <c r="AC117" s="45">
        <f t="shared" si="8"/>
        <v>0.48023262531533439</v>
      </c>
      <c r="AD117" s="45">
        <f t="shared" si="8"/>
        <v>0.48155074028377542</v>
      </c>
      <c r="AE117" s="45">
        <f t="shared" si="8"/>
        <v>0.4874862512783899</v>
      </c>
    </row>
    <row r="119" spans="1:31" x14ac:dyDescent="0.25">
      <c r="A119" s="1" t="s">
        <v>243</v>
      </c>
    </row>
    <row r="121" spans="1:31" x14ac:dyDescent="0.25">
      <c r="A121" s="13" t="s">
        <v>262</v>
      </c>
      <c r="B121">
        <v>2021</v>
      </c>
      <c r="C121">
        <v>2022</v>
      </c>
      <c r="D121">
        <v>2023</v>
      </c>
      <c r="E121">
        <v>2024</v>
      </c>
      <c r="F121">
        <v>2025</v>
      </c>
      <c r="G121">
        <v>2026</v>
      </c>
      <c r="H121">
        <v>2027</v>
      </c>
      <c r="I121">
        <v>2028</v>
      </c>
      <c r="J121">
        <v>2029</v>
      </c>
      <c r="K121">
        <v>2030</v>
      </c>
      <c r="L121">
        <v>2031</v>
      </c>
      <c r="M121">
        <v>2032</v>
      </c>
      <c r="N121">
        <v>2033</v>
      </c>
      <c r="O121">
        <v>2034</v>
      </c>
      <c r="P121">
        <v>2035</v>
      </c>
      <c r="Q121">
        <v>2036</v>
      </c>
      <c r="R121">
        <v>2037</v>
      </c>
      <c r="S121">
        <v>2038</v>
      </c>
      <c r="T121">
        <v>2039</v>
      </c>
      <c r="U121">
        <v>2040</v>
      </c>
      <c r="V121">
        <v>2041</v>
      </c>
      <c r="W121">
        <v>2042</v>
      </c>
      <c r="X121">
        <v>2043</v>
      </c>
      <c r="Y121">
        <v>2044</v>
      </c>
      <c r="Z121">
        <v>2045</v>
      </c>
      <c r="AA121">
        <v>2046</v>
      </c>
      <c r="AB121">
        <v>2047</v>
      </c>
      <c r="AC121">
        <v>2048</v>
      </c>
      <c r="AD121">
        <v>2049</v>
      </c>
      <c r="AE121">
        <v>2050</v>
      </c>
    </row>
    <row r="122" spans="1:31" x14ac:dyDescent="0.25">
      <c r="A122" t="s">
        <v>284</v>
      </c>
      <c r="B122">
        <v>7347</v>
      </c>
      <c r="C122">
        <v>11271</v>
      </c>
      <c r="D122">
        <v>20274</v>
      </c>
      <c r="E122">
        <v>33201</v>
      </c>
      <c r="F122">
        <v>52125</v>
      </c>
      <c r="G122">
        <v>72627</v>
      </c>
      <c r="H122">
        <v>202926</v>
      </c>
      <c r="I122">
        <v>263625</v>
      </c>
      <c r="J122">
        <v>324018</v>
      </c>
      <c r="K122">
        <v>384396</v>
      </c>
      <c r="L122">
        <v>553518</v>
      </c>
      <c r="M122">
        <v>722892</v>
      </c>
      <c r="N122">
        <v>723747</v>
      </c>
      <c r="O122">
        <v>722799</v>
      </c>
      <c r="P122">
        <v>721497</v>
      </c>
      <c r="Q122">
        <v>718962</v>
      </c>
      <c r="R122">
        <v>716940</v>
      </c>
      <c r="S122">
        <v>715020</v>
      </c>
      <c r="T122">
        <v>713217</v>
      </c>
      <c r="U122" s="38">
        <v>712041</v>
      </c>
      <c r="V122" s="38">
        <v>711786</v>
      </c>
      <c r="W122" s="38">
        <v>713052</v>
      </c>
      <c r="X122" s="38">
        <v>716232</v>
      </c>
      <c r="Y122" s="38">
        <v>720633</v>
      </c>
      <c r="Z122" s="38">
        <v>725325</v>
      </c>
      <c r="AA122" s="38">
        <v>729951</v>
      </c>
      <c r="AB122" s="38">
        <v>734796</v>
      </c>
      <c r="AC122" s="38">
        <v>740355</v>
      </c>
      <c r="AD122" s="38">
        <v>745575</v>
      </c>
      <c r="AE122" s="38">
        <v>749913</v>
      </c>
    </row>
    <row r="123" spans="1:31" x14ac:dyDescent="0.25">
      <c r="A123" t="s">
        <v>285</v>
      </c>
      <c r="B123">
        <v>342</v>
      </c>
      <c r="C123">
        <v>318</v>
      </c>
      <c r="D123">
        <v>294</v>
      </c>
      <c r="E123">
        <v>303</v>
      </c>
      <c r="F123">
        <v>282</v>
      </c>
      <c r="G123">
        <v>270</v>
      </c>
      <c r="H123">
        <v>237</v>
      </c>
      <c r="I123">
        <v>219</v>
      </c>
      <c r="J123">
        <v>207</v>
      </c>
      <c r="K123">
        <v>192</v>
      </c>
      <c r="L123">
        <v>156</v>
      </c>
      <c r="M123">
        <v>117</v>
      </c>
      <c r="N123">
        <v>117</v>
      </c>
      <c r="O123">
        <v>117</v>
      </c>
      <c r="P123">
        <v>117</v>
      </c>
      <c r="Q123">
        <v>114</v>
      </c>
      <c r="R123">
        <v>114</v>
      </c>
      <c r="S123">
        <v>114</v>
      </c>
      <c r="T123">
        <v>114</v>
      </c>
      <c r="U123">
        <v>111</v>
      </c>
      <c r="V123">
        <v>111</v>
      </c>
      <c r="W123">
        <v>111</v>
      </c>
      <c r="X123">
        <v>111</v>
      </c>
      <c r="Y123">
        <v>111</v>
      </c>
      <c r="Z123">
        <v>111</v>
      </c>
      <c r="AA123">
        <v>111</v>
      </c>
      <c r="AB123">
        <v>111</v>
      </c>
      <c r="AC123">
        <v>111</v>
      </c>
      <c r="AD123">
        <v>111</v>
      </c>
      <c r="AE123">
        <v>111</v>
      </c>
    </row>
    <row r="124" spans="1:31" x14ac:dyDescent="0.25">
      <c r="A124" t="s">
        <v>286</v>
      </c>
      <c r="B124" s="38">
        <v>862224</v>
      </c>
      <c r="C124" s="38">
        <v>737448</v>
      </c>
      <c r="D124" s="38">
        <v>731397</v>
      </c>
      <c r="E124" s="38">
        <v>732237</v>
      </c>
      <c r="F124">
        <v>729291</v>
      </c>
      <c r="G124">
        <v>728367</v>
      </c>
      <c r="H124">
        <v>655545</v>
      </c>
      <c r="I124">
        <v>625401</v>
      </c>
      <c r="J124">
        <v>595767</v>
      </c>
      <c r="K124">
        <v>563820</v>
      </c>
      <c r="L124">
        <v>463563</v>
      </c>
      <c r="M124">
        <v>360552</v>
      </c>
      <c r="N124">
        <v>364605</v>
      </c>
      <c r="O124">
        <v>366792</v>
      </c>
      <c r="P124">
        <v>369513</v>
      </c>
      <c r="Q124">
        <v>371538</v>
      </c>
      <c r="R124">
        <v>374244</v>
      </c>
      <c r="S124">
        <v>376833</v>
      </c>
      <c r="T124">
        <v>379101</v>
      </c>
      <c r="U124">
        <v>381432</v>
      </c>
      <c r="V124">
        <v>383991</v>
      </c>
      <c r="W124">
        <v>386706</v>
      </c>
      <c r="X124">
        <v>390339</v>
      </c>
      <c r="Y124">
        <v>393804</v>
      </c>
      <c r="Z124">
        <v>397497</v>
      </c>
      <c r="AA124">
        <v>400596</v>
      </c>
      <c r="AB124">
        <v>403629</v>
      </c>
      <c r="AC124">
        <v>406893</v>
      </c>
      <c r="AD124">
        <v>410334</v>
      </c>
      <c r="AE124">
        <v>412581</v>
      </c>
    </row>
    <row r="125" spans="1:31" x14ac:dyDescent="0.25">
      <c r="A125" t="s">
        <v>287</v>
      </c>
      <c r="B125">
        <v>604722</v>
      </c>
      <c r="C125">
        <v>505500</v>
      </c>
      <c r="D125">
        <v>508941</v>
      </c>
      <c r="E125">
        <v>505569</v>
      </c>
      <c r="F125">
        <v>502530</v>
      </c>
      <c r="G125">
        <v>496149</v>
      </c>
      <c r="H125">
        <v>445344</v>
      </c>
      <c r="I125">
        <v>423945</v>
      </c>
      <c r="J125">
        <v>401547</v>
      </c>
      <c r="K125">
        <v>380397</v>
      </c>
      <c r="L125">
        <v>310716</v>
      </c>
      <c r="M125">
        <v>241785</v>
      </c>
      <c r="N125">
        <v>242373</v>
      </c>
      <c r="O125">
        <v>243972</v>
      </c>
      <c r="P125">
        <v>244575</v>
      </c>
      <c r="Q125">
        <v>246354</v>
      </c>
      <c r="R125">
        <v>248010</v>
      </c>
      <c r="S125">
        <v>249705</v>
      </c>
      <c r="T125">
        <v>251361</v>
      </c>
      <c r="U125">
        <v>252873</v>
      </c>
      <c r="V125">
        <v>254322</v>
      </c>
      <c r="W125">
        <v>256230</v>
      </c>
      <c r="X125">
        <v>258258</v>
      </c>
      <c r="Y125">
        <v>260976</v>
      </c>
      <c r="Z125">
        <v>263361</v>
      </c>
      <c r="AA125">
        <v>265773</v>
      </c>
      <c r="AB125">
        <v>268137</v>
      </c>
      <c r="AC125">
        <v>270642</v>
      </c>
      <c r="AD125">
        <v>272568</v>
      </c>
      <c r="AE125">
        <v>274524</v>
      </c>
    </row>
    <row r="126" spans="1:31" x14ac:dyDescent="0.25">
      <c r="A126" t="s">
        <v>288</v>
      </c>
      <c r="B126">
        <v>42</v>
      </c>
      <c r="C126">
        <v>561</v>
      </c>
      <c r="D126">
        <v>1008</v>
      </c>
      <c r="E126">
        <v>1641</v>
      </c>
      <c r="F126">
        <v>2601</v>
      </c>
      <c r="G126">
        <v>3633</v>
      </c>
      <c r="H126">
        <v>10194</v>
      </c>
      <c r="I126">
        <v>13440</v>
      </c>
      <c r="J126">
        <v>17043</v>
      </c>
      <c r="K126">
        <v>21744</v>
      </c>
      <c r="L126">
        <v>33156</v>
      </c>
      <c r="M126">
        <v>47076</v>
      </c>
      <c r="N126">
        <v>52152</v>
      </c>
      <c r="O126">
        <v>57942</v>
      </c>
      <c r="P126">
        <v>64704</v>
      </c>
      <c r="Q126">
        <v>72087</v>
      </c>
      <c r="R126">
        <v>79728</v>
      </c>
      <c r="S126">
        <v>87135</v>
      </c>
      <c r="T126">
        <v>93972</v>
      </c>
      <c r="U126">
        <v>100095</v>
      </c>
      <c r="V126">
        <v>105489</v>
      </c>
      <c r="W126">
        <v>110139</v>
      </c>
      <c r="X126">
        <v>114231</v>
      </c>
      <c r="Y126">
        <v>117771</v>
      </c>
      <c r="Z126">
        <v>120846</v>
      </c>
      <c r="AA126">
        <v>123237</v>
      </c>
      <c r="AB126">
        <v>125244</v>
      </c>
      <c r="AC126">
        <v>126993</v>
      </c>
      <c r="AD126">
        <v>128589</v>
      </c>
      <c r="AE126">
        <v>129612</v>
      </c>
    </row>
    <row r="127" spans="1:31" x14ac:dyDescent="0.25">
      <c r="A127" t="s">
        <v>289</v>
      </c>
      <c r="B127">
        <v>126</v>
      </c>
      <c r="C127">
        <v>129</v>
      </c>
      <c r="D127">
        <v>126</v>
      </c>
      <c r="E127">
        <v>129</v>
      </c>
      <c r="F127">
        <v>129</v>
      </c>
      <c r="G127">
        <v>132</v>
      </c>
      <c r="H127">
        <v>120</v>
      </c>
      <c r="I127">
        <v>114</v>
      </c>
      <c r="J127">
        <v>111</v>
      </c>
      <c r="K127">
        <v>105</v>
      </c>
      <c r="L127">
        <v>87</v>
      </c>
      <c r="M127">
        <v>69</v>
      </c>
      <c r="N127">
        <v>72</v>
      </c>
      <c r="O127">
        <v>72</v>
      </c>
      <c r="P127">
        <v>75</v>
      </c>
      <c r="Q127">
        <v>75</v>
      </c>
      <c r="R127">
        <v>78</v>
      </c>
      <c r="S127">
        <v>78</v>
      </c>
      <c r="T127">
        <v>81</v>
      </c>
      <c r="U127">
        <v>81</v>
      </c>
      <c r="V127">
        <v>84</v>
      </c>
      <c r="W127">
        <v>84</v>
      </c>
      <c r="X127">
        <v>87</v>
      </c>
      <c r="Y127">
        <v>87</v>
      </c>
      <c r="Z127">
        <v>90</v>
      </c>
      <c r="AA127">
        <v>93</v>
      </c>
      <c r="AB127">
        <v>93</v>
      </c>
      <c r="AC127">
        <v>96</v>
      </c>
      <c r="AD127">
        <v>99</v>
      </c>
      <c r="AE127">
        <v>99</v>
      </c>
    </row>
    <row r="128" spans="1:31" x14ac:dyDescent="0.25">
      <c r="A128" t="s">
        <v>290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3</v>
      </c>
      <c r="O128">
        <v>3</v>
      </c>
      <c r="P128">
        <v>6</v>
      </c>
      <c r="Q128">
        <v>6</v>
      </c>
      <c r="R128">
        <v>6</v>
      </c>
      <c r="S128">
        <v>9</v>
      </c>
      <c r="T128">
        <v>9</v>
      </c>
      <c r="U128">
        <v>9</v>
      </c>
      <c r="V128">
        <v>12</v>
      </c>
      <c r="W128">
        <v>12</v>
      </c>
      <c r="X128">
        <v>15</v>
      </c>
      <c r="Y128">
        <v>15</v>
      </c>
      <c r="Z128">
        <v>15</v>
      </c>
      <c r="AA128">
        <v>18</v>
      </c>
      <c r="AB128">
        <v>18</v>
      </c>
      <c r="AC128">
        <v>18</v>
      </c>
      <c r="AD128">
        <v>18</v>
      </c>
      <c r="AE128">
        <v>21</v>
      </c>
    </row>
    <row r="130" spans="1:31" x14ac:dyDescent="0.25">
      <c r="A130" t="s">
        <v>241</v>
      </c>
      <c r="B130" s="44">
        <f>B122/SUM(B122:B128)</f>
        <v>4.98168229926302E-3</v>
      </c>
      <c r="C130" s="44">
        <f t="shared" ref="C130:AE130" si="9">C122/SUM(C122:C128)</f>
        <v>8.9792523583383729E-3</v>
      </c>
      <c r="D130" s="44">
        <f t="shared" si="9"/>
        <v>1.6064467053342208E-2</v>
      </c>
      <c r="E130" s="44">
        <f t="shared" si="9"/>
        <v>2.6079272315958149E-2</v>
      </c>
      <c r="F130" s="44">
        <f t="shared" si="9"/>
        <v>4.0502487260656528E-2</v>
      </c>
      <c r="G130" s="44">
        <f t="shared" si="9"/>
        <v>5.581634488133061E-2</v>
      </c>
      <c r="H130" s="44">
        <f t="shared" si="9"/>
        <v>0.15439078612806478</v>
      </c>
      <c r="I130" s="44">
        <f t="shared" si="9"/>
        <v>0.1987007290027315</v>
      </c>
      <c r="J130" s="44">
        <f t="shared" si="9"/>
        <v>0.24204055746911354</v>
      </c>
      <c r="K130" s="44">
        <f t="shared" si="9"/>
        <v>0.28459990493494264</v>
      </c>
      <c r="L130" s="44">
        <f t="shared" si="9"/>
        <v>0.40664002838673846</v>
      </c>
      <c r="M130" s="44">
        <f t="shared" si="9"/>
        <v>0.5266995702713454</v>
      </c>
      <c r="N130" s="44">
        <f t="shared" si="9"/>
        <v>0.5232905950462341</v>
      </c>
      <c r="O130" s="44">
        <f t="shared" si="9"/>
        <v>0.51936520665058561</v>
      </c>
      <c r="P130" s="44">
        <f t="shared" si="9"/>
        <v>0.51517579242077938</v>
      </c>
      <c r="Q130" s="44">
        <f t="shared" si="9"/>
        <v>0.51021476990155668</v>
      </c>
      <c r="R130" s="44">
        <f t="shared" si="9"/>
        <v>0.50520040588533743</v>
      </c>
      <c r="S130" s="44">
        <f t="shared" si="9"/>
        <v>0.50040100945206567</v>
      </c>
      <c r="T130" s="44">
        <f t="shared" si="9"/>
        <v>0.49602845905880633</v>
      </c>
      <c r="U130" s="44">
        <f t="shared" si="9"/>
        <v>0.49220263202644471</v>
      </c>
      <c r="V130" s="44">
        <f t="shared" si="9"/>
        <v>0.4889328511225825</v>
      </c>
      <c r="W130" s="44">
        <f t="shared" si="9"/>
        <v>0.48628211580717629</v>
      </c>
      <c r="X130" s="44">
        <f t="shared" si="9"/>
        <v>0.48417837681077125</v>
      </c>
      <c r="Y130" s="44">
        <f t="shared" si="9"/>
        <v>0.48254616823255975</v>
      </c>
      <c r="Z130" s="44">
        <f t="shared" si="9"/>
        <v>0.48122567996576537</v>
      </c>
      <c r="AA130" s="44">
        <f t="shared" si="9"/>
        <v>0.48030075425440144</v>
      </c>
      <c r="AB130" s="44">
        <f t="shared" si="9"/>
        <v>0.47962308782868196</v>
      </c>
      <c r="AC130" s="44">
        <f t="shared" si="9"/>
        <v>0.47916068003013379</v>
      </c>
      <c r="AD130" s="44">
        <f t="shared" si="9"/>
        <v>0.47876316225452614</v>
      </c>
      <c r="AE130" s="44">
        <f t="shared" si="9"/>
        <v>0.47860850451954579</v>
      </c>
    </row>
    <row r="131" spans="1:31" x14ac:dyDescent="0.25">
      <c r="A131" t="s">
        <v>244</v>
      </c>
      <c r="B131" s="44">
        <f>B126/SUM(B122:B128)</f>
        <v>2.8478379824288396E-5</v>
      </c>
      <c r="C131" s="44">
        <f t="shared" ref="C131:AE131" si="10">C126/SUM(C122:C128)</f>
        <v>4.4693111285847102E-4</v>
      </c>
      <c r="D131" s="44">
        <f t="shared" si="10"/>
        <v>7.9870685556717694E-4</v>
      </c>
      <c r="E131" s="44">
        <f t="shared" si="10"/>
        <v>1.288999905740409E-3</v>
      </c>
      <c r="F131" s="44">
        <f t="shared" si="10"/>
        <v>2.0210449758267168E-3</v>
      </c>
      <c r="G131" s="44">
        <f t="shared" si="10"/>
        <v>2.7920853257586589E-3</v>
      </c>
      <c r="H131" s="44">
        <f t="shared" si="10"/>
        <v>7.7558305677414051E-3</v>
      </c>
      <c r="I131" s="44">
        <f t="shared" si="10"/>
        <v>1.013006277021038E-2</v>
      </c>
      <c r="J131" s="44">
        <f t="shared" si="10"/>
        <v>1.2731074264226375E-2</v>
      </c>
      <c r="K131" s="44">
        <f t="shared" si="10"/>
        <v>1.6098867659667095E-2</v>
      </c>
      <c r="L131" s="44">
        <f t="shared" si="10"/>
        <v>2.435793737726813E-2</v>
      </c>
      <c r="M131" s="44">
        <f t="shared" si="10"/>
        <v>3.429960349553441E-2</v>
      </c>
      <c r="N131" s="44">
        <f t="shared" si="10"/>
        <v>3.7707446266238343E-2</v>
      </c>
      <c r="O131" s="44">
        <f t="shared" si="10"/>
        <v>4.1634062586899306E-2</v>
      </c>
      <c r="P131" s="44">
        <f t="shared" si="10"/>
        <v>4.6201071484419348E-2</v>
      </c>
      <c r="Q131" s="44">
        <f t="shared" si="10"/>
        <v>5.1156879108900773E-2</v>
      </c>
      <c r="R131" s="44">
        <f t="shared" si="10"/>
        <v>5.6181295450701843E-2</v>
      </c>
      <c r="S131" s="44">
        <f t="shared" si="10"/>
        <v>6.0980730551041577E-2</v>
      </c>
      <c r="T131" s="44">
        <f t="shared" si="10"/>
        <v>6.5355686074047806E-2</v>
      </c>
      <c r="U131" s="44">
        <f t="shared" si="10"/>
        <v>6.9191271924913006E-2</v>
      </c>
      <c r="V131" s="44">
        <f t="shared" si="10"/>
        <v>7.246143859540663E-2</v>
      </c>
      <c r="W131" s="44">
        <f t="shared" si="10"/>
        <v>7.5111809451325548E-2</v>
      </c>
      <c r="X131" s="44">
        <f t="shared" si="10"/>
        <v>7.7221040335353916E-2</v>
      </c>
      <c r="Y131" s="44">
        <f t="shared" si="10"/>
        <v>7.8861146768073057E-2</v>
      </c>
      <c r="Z131" s="44">
        <f t="shared" si="10"/>
        <v>8.0176746315297115E-2</v>
      </c>
      <c r="AA131" s="44">
        <f t="shared" si="10"/>
        <v>8.1088763563649718E-2</v>
      </c>
      <c r="AB131" s="44">
        <f t="shared" si="10"/>
        <v>8.1750464090734637E-2</v>
      </c>
      <c r="AC131" s="44">
        <f t="shared" si="10"/>
        <v>8.2190371158520958E-2</v>
      </c>
      <c r="AD131" s="44">
        <f t="shared" si="10"/>
        <v>8.2572076948861289E-2</v>
      </c>
      <c r="AE131" s="44">
        <f t="shared" si="10"/>
        <v>8.2720802930189727E-2</v>
      </c>
    </row>
    <row r="132" spans="1:31" x14ac:dyDescent="0.25">
      <c r="A132" t="s">
        <v>242</v>
      </c>
      <c r="B132" s="44">
        <f>B128/SUM(B122:B128)</f>
        <v>0</v>
      </c>
      <c r="C132" s="44">
        <f t="shared" ref="C132:AE132" si="11">C128/SUM(C122:C128)</f>
        <v>0</v>
      </c>
      <c r="D132" s="44">
        <f t="shared" si="11"/>
        <v>0</v>
      </c>
      <c r="E132" s="44">
        <f t="shared" si="11"/>
        <v>0</v>
      </c>
      <c r="F132" s="44">
        <f t="shared" si="11"/>
        <v>0</v>
      </c>
      <c r="G132" s="44">
        <f t="shared" si="11"/>
        <v>0</v>
      </c>
      <c r="H132" s="44">
        <f t="shared" si="11"/>
        <v>0</v>
      </c>
      <c r="I132" s="44">
        <f t="shared" si="11"/>
        <v>0</v>
      </c>
      <c r="J132" s="44">
        <f t="shared" si="11"/>
        <v>0</v>
      </c>
      <c r="K132" s="44">
        <f t="shared" si="11"/>
        <v>0</v>
      </c>
      <c r="L132" s="44">
        <f t="shared" si="11"/>
        <v>2.2039393211426103E-6</v>
      </c>
      <c r="M132" s="44">
        <f t="shared" si="11"/>
        <v>2.1858019051449404E-6</v>
      </c>
      <c r="N132" s="44">
        <f t="shared" si="11"/>
        <v>2.1690891777633653E-6</v>
      </c>
      <c r="O132" s="44">
        <f t="shared" si="11"/>
        <v>2.1556416375116137E-6</v>
      </c>
      <c r="P132" s="44">
        <f t="shared" si="11"/>
        <v>4.2842239877985304E-6</v>
      </c>
      <c r="Q132" s="44">
        <f t="shared" si="11"/>
        <v>4.2579282624246343E-6</v>
      </c>
      <c r="R132" s="44">
        <f t="shared" si="11"/>
        <v>4.2279722645019451E-6</v>
      </c>
      <c r="S132" s="44">
        <f t="shared" si="11"/>
        <v>6.2985777811370193E-6</v>
      </c>
      <c r="T132" s="44">
        <f t="shared" si="11"/>
        <v>6.2593237843871604E-6</v>
      </c>
      <c r="U132" s="44">
        <f t="shared" si="11"/>
        <v>6.2213042342196619E-6</v>
      </c>
      <c r="V132" s="44">
        <f t="shared" si="11"/>
        <v>8.2429188175532949E-6</v>
      </c>
      <c r="W132" s="44">
        <f t="shared" si="11"/>
        <v>8.1836743879634513E-6</v>
      </c>
      <c r="X132" s="44">
        <f t="shared" si="11"/>
        <v>1.014011612460986E-5</v>
      </c>
      <c r="Y132" s="44">
        <f t="shared" si="11"/>
        <v>1.0044214632813645E-5</v>
      </c>
      <c r="Z132" s="44">
        <f t="shared" si="11"/>
        <v>9.9519321676303457E-6</v>
      </c>
      <c r="AA132" s="44">
        <f t="shared" si="11"/>
        <v>1.1843827293310409E-5</v>
      </c>
      <c r="AB132" s="44">
        <f t="shared" si="11"/>
        <v>1.1749132522382098E-5</v>
      </c>
      <c r="AC132" s="44">
        <f t="shared" si="11"/>
        <v>1.1649671090952865E-5</v>
      </c>
      <c r="AD132" s="44">
        <f t="shared" si="11"/>
        <v>1.1558511109655594E-5</v>
      </c>
      <c r="AE132" s="44">
        <f t="shared" si="11"/>
        <v>1.3402592827315249E-5</v>
      </c>
    </row>
    <row r="133" spans="1:31" x14ac:dyDescent="0.25">
      <c r="A133" t="s">
        <v>245</v>
      </c>
      <c r="B133" s="45">
        <f>SUM(B130:B132)</f>
        <v>5.0101606790873086E-3</v>
      </c>
      <c r="C133" s="45">
        <f t="shared" ref="C133:AE133" si="12">SUM(C130:C132)</f>
        <v>9.4261834711968431E-3</v>
      </c>
      <c r="D133" s="45">
        <f t="shared" si="12"/>
        <v>1.6863173908909384E-2</v>
      </c>
      <c r="E133" s="45">
        <f t="shared" si="12"/>
        <v>2.7368272221698558E-2</v>
      </c>
      <c r="F133" s="45">
        <f t="shared" si="12"/>
        <v>4.2523532236483245E-2</v>
      </c>
      <c r="G133" s="45">
        <f t="shared" si="12"/>
        <v>5.8608430207089265E-2</v>
      </c>
      <c r="H133" s="45">
        <f t="shared" si="12"/>
        <v>0.16214661669580618</v>
      </c>
      <c r="I133" s="45">
        <f t="shared" si="12"/>
        <v>0.20883079177294189</v>
      </c>
      <c r="J133" s="45">
        <f t="shared" si="12"/>
        <v>0.25477163173333994</v>
      </c>
      <c r="K133" s="45">
        <f t="shared" si="12"/>
        <v>0.30069877259460975</v>
      </c>
      <c r="L133" s="45">
        <f t="shared" si="12"/>
        <v>0.43100016970332777</v>
      </c>
      <c r="M133" s="45">
        <f t="shared" si="12"/>
        <v>0.56100135956878494</v>
      </c>
      <c r="N133" s="45">
        <f t="shared" si="12"/>
        <v>0.56100021040165016</v>
      </c>
      <c r="O133" s="45">
        <f t="shared" si="12"/>
        <v>0.56100142487912241</v>
      </c>
      <c r="P133" s="45">
        <f t="shared" si="12"/>
        <v>0.56138114812918649</v>
      </c>
      <c r="Q133" s="45">
        <f t="shared" si="12"/>
        <v>0.56137590693871986</v>
      </c>
      <c r="R133" s="45">
        <f t="shared" si="12"/>
        <v>0.56138592930830378</v>
      </c>
      <c r="S133" s="45">
        <f t="shared" si="12"/>
        <v>0.56138803858088837</v>
      </c>
      <c r="T133" s="45">
        <f t="shared" si="12"/>
        <v>0.56139040445663857</v>
      </c>
      <c r="U133" s="45">
        <f t="shared" si="12"/>
        <v>0.56140012525559191</v>
      </c>
      <c r="V133" s="45">
        <f t="shared" si="12"/>
        <v>0.56140253263680662</v>
      </c>
      <c r="W133" s="45">
        <f t="shared" si="12"/>
        <v>0.56140210893288978</v>
      </c>
      <c r="X133" s="45">
        <f t="shared" si="12"/>
        <v>0.56140955726224984</v>
      </c>
      <c r="Y133" s="45">
        <f t="shared" si="12"/>
        <v>0.56141735921526559</v>
      </c>
      <c r="Z133" s="45">
        <f t="shared" si="12"/>
        <v>0.5614123782132302</v>
      </c>
      <c r="AA133" s="45">
        <f t="shared" si="12"/>
        <v>0.56140136164534449</v>
      </c>
      <c r="AB133" s="45">
        <f t="shared" si="12"/>
        <v>0.56138530105193896</v>
      </c>
      <c r="AC133" s="45">
        <f t="shared" si="12"/>
        <v>0.56136270085974571</v>
      </c>
      <c r="AD133" s="45">
        <f t="shared" si="12"/>
        <v>0.56134679771449714</v>
      </c>
      <c r="AE133" s="45">
        <f t="shared" si="12"/>
        <v>0.56134271004256286</v>
      </c>
    </row>
    <row r="135" spans="1:31" x14ac:dyDescent="0.25">
      <c r="A135" s="1" t="s">
        <v>246</v>
      </c>
    </row>
    <row r="137" spans="1:31" x14ac:dyDescent="0.25">
      <c r="A137" s="13" t="s">
        <v>262</v>
      </c>
      <c r="B137">
        <v>2021</v>
      </c>
      <c r="C137">
        <v>2022</v>
      </c>
      <c r="D137">
        <v>2023</v>
      </c>
      <c r="E137">
        <v>2024</v>
      </c>
      <c r="F137">
        <v>2025</v>
      </c>
      <c r="G137">
        <v>2026</v>
      </c>
      <c r="H137">
        <v>2027</v>
      </c>
      <c r="I137">
        <v>2028</v>
      </c>
      <c r="J137">
        <v>2029</v>
      </c>
      <c r="K137">
        <v>2030</v>
      </c>
      <c r="L137">
        <v>2031</v>
      </c>
      <c r="M137">
        <v>2032</v>
      </c>
      <c r="N137">
        <v>2033</v>
      </c>
      <c r="O137">
        <v>2034</v>
      </c>
      <c r="P137">
        <v>2035</v>
      </c>
      <c r="Q137">
        <v>2036</v>
      </c>
      <c r="R137">
        <v>2037</v>
      </c>
      <c r="S137">
        <v>2038</v>
      </c>
      <c r="T137">
        <v>2039</v>
      </c>
      <c r="U137">
        <v>2040</v>
      </c>
      <c r="V137">
        <v>2041</v>
      </c>
      <c r="W137">
        <v>2042</v>
      </c>
      <c r="X137">
        <v>2043</v>
      </c>
      <c r="Y137">
        <v>2044</v>
      </c>
      <c r="Z137">
        <v>2045</v>
      </c>
      <c r="AA137">
        <v>2046</v>
      </c>
      <c r="AB137">
        <v>2047</v>
      </c>
      <c r="AC137">
        <v>2048</v>
      </c>
      <c r="AD137">
        <v>2049</v>
      </c>
      <c r="AE137">
        <v>2050</v>
      </c>
    </row>
    <row r="138" spans="1:31" x14ac:dyDescent="0.25">
      <c r="A138" t="s">
        <v>291</v>
      </c>
      <c r="B138">
        <v>0</v>
      </c>
      <c r="C138">
        <v>0</v>
      </c>
      <c r="D138">
        <v>12</v>
      </c>
      <c r="E138">
        <v>1575</v>
      </c>
      <c r="F138">
        <v>4365</v>
      </c>
      <c r="G138">
        <v>6357</v>
      </c>
      <c r="H138">
        <v>11655</v>
      </c>
      <c r="I138">
        <v>15957</v>
      </c>
      <c r="J138">
        <v>20703</v>
      </c>
      <c r="K138">
        <v>29718</v>
      </c>
      <c r="L138">
        <v>52710</v>
      </c>
      <c r="M138">
        <v>87363</v>
      </c>
      <c r="N138">
        <v>90498</v>
      </c>
      <c r="O138">
        <v>90522</v>
      </c>
      <c r="P138">
        <v>90606</v>
      </c>
      <c r="Q138">
        <v>90624</v>
      </c>
      <c r="R138">
        <v>90861</v>
      </c>
      <c r="S138">
        <v>91098</v>
      </c>
      <c r="T138">
        <v>91131</v>
      </c>
      <c r="U138" s="38">
        <v>91086</v>
      </c>
      <c r="V138" s="38">
        <v>90768</v>
      </c>
      <c r="W138" s="38">
        <v>90633</v>
      </c>
      <c r="X138" s="38">
        <v>90615</v>
      </c>
      <c r="Y138" s="38">
        <v>90669</v>
      </c>
      <c r="Z138" s="38">
        <v>90732</v>
      </c>
      <c r="AA138" s="38">
        <v>90594</v>
      </c>
      <c r="AB138" s="38">
        <v>90306</v>
      </c>
      <c r="AC138" s="38">
        <v>90180</v>
      </c>
      <c r="AD138" s="38">
        <v>89913</v>
      </c>
      <c r="AE138" s="38">
        <v>89520</v>
      </c>
    </row>
    <row r="139" spans="1:31" x14ac:dyDescent="0.25">
      <c r="A139" t="s">
        <v>292</v>
      </c>
      <c r="B139">
        <v>216</v>
      </c>
      <c r="C139">
        <v>423</v>
      </c>
      <c r="D139">
        <v>246</v>
      </c>
      <c r="E139">
        <v>324</v>
      </c>
      <c r="F139">
        <v>252</v>
      </c>
      <c r="G139">
        <v>237</v>
      </c>
      <c r="H139">
        <v>237</v>
      </c>
      <c r="I139">
        <v>243</v>
      </c>
      <c r="J139">
        <v>261</v>
      </c>
      <c r="K139">
        <v>282</v>
      </c>
      <c r="L139">
        <v>288</v>
      </c>
      <c r="M139">
        <v>279</v>
      </c>
      <c r="N139">
        <v>318</v>
      </c>
      <c r="O139">
        <v>360</v>
      </c>
      <c r="P139">
        <v>405</v>
      </c>
      <c r="Q139">
        <v>447</v>
      </c>
      <c r="R139">
        <v>492</v>
      </c>
      <c r="S139">
        <v>531</v>
      </c>
      <c r="T139">
        <v>564</v>
      </c>
      <c r="U139">
        <v>594</v>
      </c>
      <c r="V139">
        <v>618</v>
      </c>
      <c r="W139">
        <v>639</v>
      </c>
      <c r="X139">
        <v>657</v>
      </c>
      <c r="Y139">
        <v>666</v>
      </c>
      <c r="Z139">
        <v>675</v>
      </c>
      <c r="AA139">
        <v>678</v>
      </c>
      <c r="AB139">
        <v>681</v>
      </c>
      <c r="AC139">
        <v>681</v>
      </c>
      <c r="AD139">
        <v>678</v>
      </c>
      <c r="AE139">
        <v>678</v>
      </c>
    </row>
    <row r="140" spans="1:31" x14ac:dyDescent="0.25">
      <c r="A140" t="s">
        <v>293</v>
      </c>
      <c r="B140" s="38">
        <v>0</v>
      </c>
      <c r="C140" s="38">
        <v>0</v>
      </c>
      <c r="D140" s="38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25">
      <c r="A141" t="s">
        <v>294</v>
      </c>
      <c r="B141">
        <v>325233</v>
      </c>
      <c r="C141">
        <v>278238</v>
      </c>
      <c r="D141">
        <v>278943</v>
      </c>
      <c r="E141">
        <v>277641</v>
      </c>
      <c r="F141">
        <v>276681</v>
      </c>
      <c r="G141">
        <v>277521</v>
      </c>
      <c r="H141">
        <v>275220</v>
      </c>
      <c r="I141">
        <v>273813</v>
      </c>
      <c r="J141">
        <v>271518</v>
      </c>
      <c r="K141">
        <v>264405</v>
      </c>
      <c r="L141">
        <v>242238</v>
      </c>
      <c r="M141">
        <v>207252</v>
      </c>
      <c r="N141">
        <v>207942</v>
      </c>
      <c r="O141">
        <v>207756</v>
      </c>
      <c r="P141">
        <v>207588</v>
      </c>
      <c r="Q141">
        <v>207552</v>
      </c>
      <c r="R141">
        <v>207936</v>
      </c>
      <c r="S141">
        <v>208428</v>
      </c>
      <c r="T141">
        <v>208497</v>
      </c>
      <c r="U141">
        <v>208443</v>
      </c>
      <c r="V141">
        <v>207777</v>
      </c>
      <c r="W141">
        <v>207612</v>
      </c>
      <c r="X141">
        <v>207681</v>
      </c>
      <c r="Y141">
        <v>208005</v>
      </c>
      <c r="Z141">
        <v>208362</v>
      </c>
      <c r="AA141">
        <v>208269</v>
      </c>
      <c r="AB141">
        <v>207837</v>
      </c>
      <c r="AC141">
        <v>207456</v>
      </c>
      <c r="AD141">
        <v>207105</v>
      </c>
      <c r="AE141">
        <v>206103</v>
      </c>
    </row>
    <row r="142" spans="1:31" x14ac:dyDescent="0.25">
      <c r="A142" t="s">
        <v>295</v>
      </c>
      <c r="B142">
        <v>0</v>
      </c>
      <c r="C142">
        <v>0</v>
      </c>
      <c r="D142">
        <v>0</v>
      </c>
      <c r="E142">
        <v>0</v>
      </c>
      <c r="F142">
        <v>3</v>
      </c>
      <c r="G142">
        <v>3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25">
      <c r="A143" t="s">
        <v>296</v>
      </c>
      <c r="B143">
        <v>27</v>
      </c>
      <c r="C143">
        <v>63</v>
      </c>
      <c r="D143">
        <v>54</v>
      </c>
      <c r="E143">
        <v>66</v>
      </c>
      <c r="F143">
        <v>78</v>
      </c>
      <c r="G143">
        <v>90</v>
      </c>
      <c r="H143">
        <v>96</v>
      </c>
      <c r="I143">
        <v>102</v>
      </c>
      <c r="J143">
        <v>111</v>
      </c>
      <c r="K143">
        <v>117</v>
      </c>
      <c r="L143">
        <v>114</v>
      </c>
      <c r="M143">
        <v>105</v>
      </c>
      <c r="N143">
        <v>114</v>
      </c>
      <c r="O143">
        <v>120</v>
      </c>
      <c r="P143">
        <v>126</v>
      </c>
      <c r="Q143">
        <v>132</v>
      </c>
      <c r="R143">
        <v>138</v>
      </c>
      <c r="S143">
        <v>144</v>
      </c>
      <c r="T143">
        <v>150</v>
      </c>
      <c r="U143">
        <v>156</v>
      </c>
      <c r="V143">
        <v>159</v>
      </c>
      <c r="W143">
        <v>165</v>
      </c>
      <c r="X143">
        <v>171</v>
      </c>
      <c r="Y143">
        <v>177</v>
      </c>
      <c r="Z143">
        <v>183</v>
      </c>
      <c r="AA143">
        <v>192</v>
      </c>
      <c r="AB143">
        <v>198</v>
      </c>
      <c r="AC143">
        <v>201</v>
      </c>
      <c r="AD143">
        <v>207</v>
      </c>
      <c r="AE143">
        <v>213</v>
      </c>
    </row>
    <row r="144" spans="1:31" x14ac:dyDescent="0.25">
      <c r="A144" t="s">
        <v>297</v>
      </c>
      <c r="B144">
        <v>0</v>
      </c>
      <c r="C144">
        <v>0</v>
      </c>
      <c r="D144">
        <v>0</v>
      </c>
      <c r="E144">
        <v>6</v>
      </c>
      <c r="F144">
        <v>27</v>
      </c>
      <c r="G144">
        <v>54</v>
      </c>
      <c r="H144">
        <v>132</v>
      </c>
      <c r="I144">
        <v>249</v>
      </c>
      <c r="J144">
        <v>432</v>
      </c>
      <c r="K144">
        <v>1074</v>
      </c>
      <c r="L144">
        <v>2268</v>
      </c>
      <c r="M144">
        <v>4251</v>
      </c>
      <c r="N144">
        <v>1485</v>
      </c>
      <c r="O144">
        <v>1446</v>
      </c>
      <c r="P144">
        <v>1353</v>
      </c>
      <c r="Q144">
        <v>1341</v>
      </c>
      <c r="R144">
        <v>1296</v>
      </c>
      <c r="S144">
        <v>1293</v>
      </c>
      <c r="T144">
        <v>1308</v>
      </c>
      <c r="U144">
        <v>1344</v>
      </c>
      <c r="V144">
        <v>1380</v>
      </c>
      <c r="W144">
        <v>1452</v>
      </c>
      <c r="X144">
        <v>1512</v>
      </c>
      <c r="Y144">
        <v>1608</v>
      </c>
      <c r="Z144">
        <v>1707</v>
      </c>
      <c r="AA144">
        <v>1809</v>
      </c>
      <c r="AB144">
        <v>1908</v>
      </c>
      <c r="AC144">
        <v>1869</v>
      </c>
      <c r="AD144">
        <v>1980</v>
      </c>
      <c r="AE144">
        <v>1935</v>
      </c>
    </row>
    <row r="146" spans="1:31" x14ac:dyDescent="0.25">
      <c r="A146" t="s">
        <v>241</v>
      </c>
      <c r="B146" s="44">
        <f>B138/SUM(B138:B144)</f>
        <v>0</v>
      </c>
      <c r="C146" s="44">
        <f t="shared" ref="C146:AE146" si="13">C138/SUM(C138:C144)</f>
        <v>0</v>
      </c>
      <c r="D146" s="44">
        <f t="shared" si="13"/>
        <v>4.2971477681688779E-5</v>
      </c>
      <c r="E146" s="44">
        <f t="shared" si="13"/>
        <v>5.6328054589931762E-3</v>
      </c>
      <c r="F146" s="44">
        <f t="shared" si="13"/>
        <v>1.55113963454937E-2</v>
      </c>
      <c r="G146" s="44">
        <f t="shared" si="13"/>
        <v>2.2363172003292738E-2</v>
      </c>
      <c r="H146" s="44">
        <f t="shared" si="13"/>
        <v>4.0561703904781789E-2</v>
      </c>
      <c r="I146" s="44">
        <f t="shared" si="13"/>
        <v>5.4955159730545107E-2</v>
      </c>
      <c r="J146" s="44">
        <f t="shared" si="13"/>
        <v>7.0652674686460193E-2</v>
      </c>
      <c r="K146" s="44">
        <f t="shared" si="13"/>
        <v>0.10053586652052125</v>
      </c>
      <c r="L146" s="44">
        <f t="shared" si="13"/>
        <v>0.17710622341390642</v>
      </c>
      <c r="M146" s="44">
        <f t="shared" si="13"/>
        <v>0.29193984962406017</v>
      </c>
      <c r="N146" s="44">
        <f t="shared" si="13"/>
        <v>0.30130145127298513</v>
      </c>
      <c r="O146" s="44">
        <f t="shared" si="13"/>
        <v>0.30153495622976378</v>
      </c>
      <c r="P146" s="44">
        <f t="shared" si="13"/>
        <v>0.30194149521124508</v>
      </c>
      <c r="Q146" s="44">
        <f t="shared" si="13"/>
        <v>0.30198336532309661</v>
      </c>
      <c r="R146" s="44">
        <f t="shared" si="13"/>
        <v>0.30214183817001028</v>
      </c>
      <c r="S146" s="44">
        <f t="shared" si="13"/>
        <v>0.30215526677147803</v>
      </c>
      <c r="T146" s="44">
        <f t="shared" si="13"/>
        <v>0.30210840377921433</v>
      </c>
      <c r="U146" s="44">
        <f t="shared" si="13"/>
        <v>0.30198625436389137</v>
      </c>
      <c r="V146" s="44">
        <f t="shared" si="13"/>
        <v>0.30185366242991402</v>
      </c>
      <c r="W146" s="44">
        <f t="shared" si="13"/>
        <v>0.30160631744985872</v>
      </c>
      <c r="X146" s="44">
        <f t="shared" si="13"/>
        <v>0.30141100866163734</v>
      </c>
      <c r="Y146" s="44">
        <f t="shared" si="13"/>
        <v>0.30110087173100869</v>
      </c>
      <c r="Z146" s="44">
        <f t="shared" si="13"/>
        <v>0.30077670482233249</v>
      </c>
      <c r="AA146" s="44">
        <f t="shared" si="13"/>
        <v>0.30043576019260998</v>
      </c>
      <c r="AB146" s="44">
        <f t="shared" si="13"/>
        <v>0.3000897218622271</v>
      </c>
      <c r="AC146" s="44">
        <f t="shared" si="13"/>
        <v>0.30021272558399664</v>
      </c>
      <c r="AD146" s="44">
        <f t="shared" si="13"/>
        <v>0.29982693250367642</v>
      </c>
      <c r="AE146" s="44">
        <f t="shared" si="13"/>
        <v>0.29995074535347749</v>
      </c>
    </row>
    <row r="147" spans="1:31" x14ac:dyDescent="0.25">
      <c r="A147" t="s">
        <v>244</v>
      </c>
      <c r="B147" s="44">
        <f>B142/SUM(B138:B144)</f>
        <v>0</v>
      </c>
      <c r="C147" s="44">
        <f t="shared" ref="C147:AE147" si="14">C142/SUM(C138:C144)</f>
        <v>0</v>
      </c>
      <c r="D147" s="44">
        <f t="shared" si="14"/>
        <v>0</v>
      </c>
      <c r="E147" s="44">
        <f t="shared" si="14"/>
        <v>0</v>
      </c>
      <c r="F147" s="44">
        <f t="shared" si="14"/>
        <v>1.0660753502057525E-5</v>
      </c>
      <c r="G147" s="44">
        <f t="shared" si="14"/>
        <v>1.0553644173333052E-5</v>
      </c>
      <c r="H147" s="44">
        <f t="shared" si="14"/>
        <v>0</v>
      </c>
      <c r="I147" s="44">
        <f t="shared" si="14"/>
        <v>0</v>
      </c>
      <c r="J147" s="44">
        <f t="shared" si="14"/>
        <v>0</v>
      </c>
      <c r="K147" s="44">
        <f t="shared" si="14"/>
        <v>0</v>
      </c>
      <c r="L147" s="44">
        <f t="shared" si="14"/>
        <v>0</v>
      </c>
      <c r="M147" s="44">
        <f t="shared" si="14"/>
        <v>0</v>
      </c>
      <c r="N147" s="44">
        <f t="shared" si="14"/>
        <v>0</v>
      </c>
      <c r="O147" s="44">
        <f t="shared" si="14"/>
        <v>0</v>
      </c>
      <c r="P147" s="44">
        <f t="shared" si="14"/>
        <v>0</v>
      </c>
      <c r="Q147" s="44">
        <f t="shared" si="14"/>
        <v>0</v>
      </c>
      <c r="R147" s="44">
        <f t="shared" si="14"/>
        <v>0</v>
      </c>
      <c r="S147" s="44">
        <f t="shared" si="14"/>
        <v>0</v>
      </c>
      <c r="T147" s="44">
        <f t="shared" si="14"/>
        <v>0</v>
      </c>
      <c r="U147" s="44">
        <f t="shared" si="14"/>
        <v>0</v>
      </c>
      <c r="V147" s="44">
        <f t="shared" si="14"/>
        <v>0</v>
      </c>
      <c r="W147" s="44">
        <f t="shared" si="14"/>
        <v>0</v>
      </c>
      <c r="X147" s="44">
        <f t="shared" si="14"/>
        <v>0</v>
      </c>
      <c r="Y147" s="44">
        <f t="shared" si="14"/>
        <v>0</v>
      </c>
      <c r="Z147" s="44">
        <f t="shared" si="14"/>
        <v>0</v>
      </c>
      <c r="AA147" s="44">
        <f t="shared" si="14"/>
        <v>0</v>
      </c>
      <c r="AB147" s="44">
        <f t="shared" si="14"/>
        <v>0</v>
      </c>
      <c r="AC147" s="44">
        <f t="shared" si="14"/>
        <v>0</v>
      </c>
      <c r="AD147" s="44">
        <f t="shared" si="14"/>
        <v>0</v>
      </c>
      <c r="AE147" s="44">
        <f t="shared" si="14"/>
        <v>0</v>
      </c>
    </row>
    <row r="148" spans="1:31" x14ac:dyDescent="0.25">
      <c r="A148" t="s">
        <v>242</v>
      </c>
      <c r="B148" s="44">
        <f>B144/SUM(B138:B144)</f>
        <v>0</v>
      </c>
      <c r="C148" s="44">
        <f t="shared" ref="C148:AE148" si="15">C144/SUM(C138:C144)</f>
        <v>0</v>
      </c>
      <c r="D148" s="44">
        <f t="shared" si="15"/>
        <v>0</v>
      </c>
      <c r="E148" s="44">
        <f t="shared" si="15"/>
        <v>2.1458306510450196E-5</v>
      </c>
      <c r="F148" s="44">
        <f t="shared" si="15"/>
        <v>9.5946781518517726E-5</v>
      </c>
      <c r="G148" s="44">
        <f t="shared" si="15"/>
        <v>1.8996559511999492E-4</v>
      </c>
      <c r="H148" s="44">
        <f t="shared" si="15"/>
        <v>4.5938609313008979E-4</v>
      </c>
      <c r="I148" s="44">
        <f t="shared" si="15"/>
        <v>8.5754432367648884E-4</v>
      </c>
      <c r="J148" s="44">
        <f t="shared" si="15"/>
        <v>1.474276938827745E-3</v>
      </c>
      <c r="K148" s="44">
        <f t="shared" si="15"/>
        <v>3.6333373929281856E-3</v>
      </c>
      <c r="L148" s="44">
        <f t="shared" si="15"/>
        <v>7.6205068241840214E-3</v>
      </c>
      <c r="M148" s="44">
        <f t="shared" si="15"/>
        <v>1.4205513784461153E-2</v>
      </c>
      <c r="N148" s="44">
        <f t="shared" si="15"/>
        <v>4.9441165013633772E-3</v>
      </c>
      <c r="O148" s="44">
        <f t="shared" si="15"/>
        <v>4.8167246272534676E-3</v>
      </c>
      <c r="P148" s="44">
        <f t="shared" si="15"/>
        <v>4.5088277047967531E-3</v>
      </c>
      <c r="Q148" s="44">
        <f t="shared" si="15"/>
        <v>4.4685700575815739E-3</v>
      </c>
      <c r="R148" s="44">
        <f t="shared" si="15"/>
        <v>4.3096138306680902E-3</v>
      </c>
      <c r="S148" s="44">
        <f t="shared" si="15"/>
        <v>4.2886425600509462E-3</v>
      </c>
      <c r="T148" s="44">
        <f t="shared" si="15"/>
        <v>4.3361511685728492E-3</v>
      </c>
      <c r="U148" s="44">
        <f t="shared" si="15"/>
        <v>4.4558936155399288E-3</v>
      </c>
      <c r="V148" s="44">
        <f t="shared" si="15"/>
        <v>4.589261128958238E-3</v>
      </c>
      <c r="W148" s="44">
        <f t="shared" si="15"/>
        <v>4.8319306757714613E-3</v>
      </c>
      <c r="X148" s="44">
        <f t="shared" si="15"/>
        <v>5.0293378038558257E-3</v>
      </c>
      <c r="Y148" s="44">
        <f t="shared" si="15"/>
        <v>5.3399750933997509E-3</v>
      </c>
      <c r="Z148" s="44">
        <f t="shared" si="15"/>
        <v>5.6587073483635496E-3</v>
      </c>
      <c r="AA148" s="44">
        <f t="shared" si="15"/>
        <v>5.9991642955210221E-3</v>
      </c>
      <c r="AB148" s="44">
        <f t="shared" si="15"/>
        <v>6.3403449307147842E-3</v>
      </c>
      <c r="AC148" s="44">
        <f t="shared" si="15"/>
        <v>6.2219736539863577E-3</v>
      </c>
      <c r="AD148" s="44">
        <f t="shared" si="15"/>
        <v>6.6025750042516583E-3</v>
      </c>
      <c r="AE148" s="44">
        <f t="shared" si="15"/>
        <v>6.4835197973523119E-3</v>
      </c>
    </row>
    <row r="149" spans="1:31" x14ac:dyDescent="0.25">
      <c r="A149" t="s">
        <v>245</v>
      </c>
      <c r="B149" s="45">
        <f t="shared" ref="B149:AE149" si="16">SUM(B146:B148)</f>
        <v>0</v>
      </c>
      <c r="C149" s="45">
        <f t="shared" si="16"/>
        <v>0</v>
      </c>
      <c r="D149" s="45">
        <f t="shared" si="16"/>
        <v>4.2971477681688779E-5</v>
      </c>
      <c r="E149" s="45">
        <f t="shared" si="16"/>
        <v>5.6542637655036263E-3</v>
      </c>
      <c r="F149" s="45">
        <f t="shared" si="16"/>
        <v>1.5618003880514274E-2</v>
      </c>
      <c r="G149" s="45">
        <f t="shared" si="16"/>
        <v>2.2563691242586066E-2</v>
      </c>
      <c r="H149" s="45">
        <f t="shared" si="16"/>
        <v>4.1021089997911882E-2</v>
      </c>
      <c r="I149" s="45">
        <f t="shared" si="16"/>
        <v>5.5812704054221597E-2</v>
      </c>
      <c r="J149" s="45">
        <f t="shared" si="16"/>
        <v>7.2126951625287941E-2</v>
      </c>
      <c r="K149" s="45">
        <f t="shared" si="16"/>
        <v>0.10416920391344944</v>
      </c>
      <c r="L149" s="45">
        <f t="shared" si="16"/>
        <v>0.18472673023809044</v>
      </c>
      <c r="M149" s="45">
        <f t="shared" si="16"/>
        <v>0.30614536340852133</v>
      </c>
      <c r="N149" s="45">
        <f t="shared" si="16"/>
        <v>0.30624556777434853</v>
      </c>
      <c r="O149" s="45">
        <f t="shared" si="16"/>
        <v>0.30635168085701725</v>
      </c>
      <c r="P149" s="45">
        <f t="shared" si="16"/>
        <v>0.30645032291604185</v>
      </c>
      <c r="Q149" s="45">
        <f t="shared" si="16"/>
        <v>0.30645193538067816</v>
      </c>
      <c r="R149" s="45">
        <f t="shared" si="16"/>
        <v>0.30645145200067836</v>
      </c>
      <c r="S149" s="45">
        <f t="shared" si="16"/>
        <v>0.30644390933152899</v>
      </c>
      <c r="T149" s="45">
        <f t="shared" si="16"/>
        <v>0.30644455494778716</v>
      </c>
      <c r="U149" s="45">
        <f t="shared" si="16"/>
        <v>0.30644214797943131</v>
      </c>
      <c r="V149" s="45">
        <f t="shared" si="16"/>
        <v>0.30644292355887226</v>
      </c>
      <c r="W149" s="45">
        <f t="shared" si="16"/>
        <v>0.3064382481256302</v>
      </c>
      <c r="X149" s="45">
        <f t="shared" si="16"/>
        <v>0.30644034646549317</v>
      </c>
      <c r="Y149" s="45">
        <f t="shared" si="16"/>
        <v>0.30644084682440842</v>
      </c>
      <c r="Z149" s="45">
        <f t="shared" si="16"/>
        <v>0.30643541217069603</v>
      </c>
      <c r="AA149" s="45">
        <f t="shared" si="16"/>
        <v>0.30643492448813098</v>
      </c>
      <c r="AB149" s="45">
        <f t="shared" si="16"/>
        <v>0.30643006679294188</v>
      </c>
      <c r="AC149" s="45">
        <f t="shared" si="16"/>
        <v>0.306434699237983</v>
      </c>
      <c r="AD149" s="45">
        <f t="shared" si="16"/>
        <v>0.30642950750792808</v>
      </c>
      <c r="AE149" s="45">
        <f t="shared" si="16"/>
        <v>0.30643426515082978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topLeftCell="H6" workbookViewId="0">
      <selection activeCell="R8" sqref="R8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7" max="7" width="13.140625" customWidth="1"/>
    <col min="8" max="9" width="9.140625" customWidth="1"/>
    <col min="14" max="14" width="11.140625" customWidth="1"/>
  </cols>
  <sheetData>
    <row r="1" spans="1:38" x14ac:dyDescent="0.25">
      <c r="A1" t="s">
        <v>98</v>
      </c>
      <c r="H1" s="16" t="s">
        <v>122</v>
      </c>
      <c r="I1" s="17"/>
      <c r="J1" s="18"/>
      <c r="K1" s="18"/>
      <c r="L1" s="18"/>
      <c r="N1" s="16" t="s">
        <v>121</v>
      </c>
      <c r="O1" s="17"/>
      <c r="P1" s="18"/>
      <c r="Q1" s="16" t="s">
        <v>247</v>
      </c>
      <c r="R1" s="17"/>
      <c r="T1" s="16" t="s">
        <v>249</v>
      </c>
      <c r="U1" s="17"/>
      <c r="W1" s="16" t="s">
        <v>121</v>
      </c>
      <c r="X1" s="17"/>
    </row>
    <row r="2" spans="1:38" x14ac:dyDescent="0.25">
      <c r="A2" t="s">
        <v>99</v>
      </c>
      <c r="H2" s="9" t="s">
        <v>94</v>
      </c>
      <c r="I2" s="19">
        <v>1</v>
      </c>
      <c r="N2" s="9" t="s">
        <v>94</v>
      </c>
      <c r="O2" s="19">
        <v>1</v>
      </c>
      <c r="Q2" s="9" t="s">
        <v>94</v>
      </c>
      <c r="R2" s="19">
        <v>1</v>
      </c>
      <c r="T2" s="9" t="s">
        <v>94</v>
      </c>
      <c r="U2" s="19">
        <v>1</v>
      </c>
      <c r="W2" s="9" t="s">
        <v>94</v>
      </c>
      <c r="X2" s="19">
        <v>1</v>
      </c>
    </row>
    <row r="3" spans="1:38" x14ac:dyDescent="0.25">
      <c r="A3" t="s">
        <v>100</v>
      </c>
      <c r="H3" s="9" t="s">
        <v>95</v>
      </c>
      <c r="I3" s="19">
        <v>-0.3</v>
      </c>
      <c r="N3" s="9" t="s">
        <v>95</v>
      </c>
      <c r="O3" s="19">
        <v>-0.3</v>
      </c>
      <c r="Q3" s="9" t="s">
        <v>95</v>
      </c>
      <c r="R3" s="19">
        <v>-0.5</v>
      </c>
      <c r="T3" s="9" t="s">
        <v>95</v>
      </c>
      <c r="U3" s="19">
        <v>-0.42</v>
      </c>
      <c r="W3" s="9" t="s">
        <v>95</v>
      </c>
      <c r="X3" s="19">
        <v>-0.4</v>
      </c>
    </row>
    <row r="4" spans="1:38" ht="15.75" thickBot="1" x14ac:dyDescent="0.3">
      <c r="A4" t="s">
        <v>101</v>
      </c>
      <c r="H4" s="10" t="s">
        <v>96</v>
      </c>
      <c r="I4" s="20">
        <v>-16</v>
      </c>
      <c r="N4" s="10" t="s">
        <v>96</v>
      </c>
      <c r="O4" s="20">
        <v>-10.5</v>
      </c>
      <c r="Q4" s="10" t="s">
        <v>96</v>
      </c>
      <c r="R4" s="20">
        <v>-15</v>
      </c>
      <c r="T4" s="10" t="s">
        <v>96</v>
      </c>
      <c r="U4" s="20">
        <v>-11</v>
      </c>
      <c r="W4" s="10" t="s">
        <v>96</v>
      </c>
      <c r="X4" s="20">
        <v>-10.5</v>
      </c>
    </row>
    <row r="5" spans="1:38" x14ac:dyDescent="0.25">
      <c r="A5" t="s">
        <v>102</v>
      </c>
    </row>
    <row r="6" spans="1:38" ht="60" x14ac:dyDescent="0.25">
      <c r="A6" s="12"/>
      <c r="B6" s="12"/>
      <c r="C6" s="12"/>
      <c r="D6" s="12"/>
      <c r="E6" s="2" t="s">
        <v>20</v>
      </c>
      <c r="F6" s="2" t="s">
        <v>20</v>
      </c>
      <c r="G6" s="2" t="s">
        <v>97</v>
      </c>
      <c r="N6" s="46" t="s">
        <v>251</v>
      </c>
      <c r="O6" s="22">
        <v>9.9000000000000005E-2</v>
      </c>
      <c r="R6" s="46" t="s">
        <v>250</v>
      </c>
      <c r="S6">
        <v>0.05</v>
      </c>
      <c r="T6">
        <v>5.8000000000000003E-2</v>
      </c>
      <c r="U6">
        <v>7.8E-2</v>
      </c>
      <c r="V6">
        <v>0.09</v>
      </c>
      <c r="W6">
        <v>0.12</v>
      </c>
      <c r="X6">
        <v>0.15</v>
      </c>
    </row>
    <row r="7" spans="1:38" ht="30" x14ac:dyDescent="0.25">
      <c r="A7" s="12"/>
      <c r="B7" s="12"/>
      <c r="C7" s="12" t="s">
        <v>215</v>
      </c>
      <c r="D7" s="12"/>
      <c r="E7" s="2">
        <v>2020</v>
      </c>
      <c r="F7" s="2">
        <v>2050</v>
      </c>
      <c r="G7" s="2"/>
      <c r="N7" s="46" t="s">
        <v>252</v>
      </c>
      <c r="O7">
        <v>1.8679140068700261E-2</v>
      </c>
    </row>
    <row r="8" spans="1:38" ht="90" x14ac:dyDescent="0.25">
      <c r="A8" s="12"/>
      <c r="B8" s="12"/>
      <c r="C8" s="12"/>
      <c r="D8" s="12"/>
      <c r="E8" s="27"/>
      <c r="F8" s="27"/>
      <c r="G8" s="27" t="s">
        <v>120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2023</v>
      </c>
      <c r="E9" s="12">
        <v>2024</v>
      </c>
      <c r="F9" s="12">
        <v>2050</v>
      </c>
      <c r="G9" s="6"/>
      <c r="I9" s="21">
        <v>2023</v>
      </c>
      <c r="J9" s="21">
        <f>E9</f>
        <v>2024</v>
      </c>
      <c r="K9" s="21">
        <f t="shared" ref="K9:AJ9" si="0">J9+1</f>
        <v>2025</v>
      </c>
      <c r="L9" s="21">
        <f t="shared" si="0"/>
        <v>2026</v>
      </c>
      <c r="M9" s="21">
        <f t="shared" si="0"/>
        <v>2027</v>
      </c>
      <c r="N9" s="21">
        <f t="shared" si="0"/>
        <v>2028</v>
      </c>
      <c r="O9" s="21">
        <f t="shared" si="0"/>
        <v>2029</v>
      </c>
      <c r="P9" s="21">
        <f t="shared" si="0"/>
        <v>2030</v>
      </c>
      <c r="Q9" s="21">
        <f t="shared" si="0"/>
        <v>2031</v>
      </c>
      <c r="R9" s="21">
        <f t="shared" si="0"/>
        <v>2032</v>
      </c>
      <c r="S9" s="21">
        <f t="shared" si="0"/>
        <v>2033</v>
      </c>
      <c r="T9" s="21">
        <f t="shared" si="0"/>
        <v>2034</v>
      </c>
      <c r="U9" s="21">
        <f t="shared" si="0"/>
        <v>2035</v>
      </c>
      <c r="V9" s="21">
        <f t="shared" si="0"/>
        <v>2036</v>
      </c>
      <c r="W9" s="21">
        <f t="shared" si="0"/>
        <v>2037</v>
      </c>
      <c r="X9" s="21">
        <f t="shared" si="0"/>
        <v>2038</v>
      </c>
      <c r="Y9" s="21">
        <f t="shared" si="0"/>
        <v>2039</v>
      </c>
      <c r="Z9" s="21">
        <f t="shared" si="0"/>
        <v>2040</v>
      </c>
      <c r="AA9" s="21">
        <f t="shared" si="0"/>
        <v>2041</v>
      </c>
      <c r="AB9" s="21">
        <f t="shared" si="0"/>
        <v>2042</v>
      </c>
      <c r="AC9" s="21">
        <f t="shared" si="0"/>
        <v>2043</v>
      </c>
      <c r="AD9" s="21">
        <f t="shared" si="0"/>
        <v>2044</v>
      </c>
      <c r="AE9" s="21">
        <f t="shared" si="0"/>
        <v>2045</v>
      </c>
      <c r="AF9" s="21">
        <f t="shared" si="0"/>
        <v>2046</v>
      </c>
      <c r="AG9" s="21">
        <f t="shared" si="0"/>
        <v>2047</v>
      </c>
      <c r="AH9" s="21">
        <f t="shared" si="0"/>
        <v>2048</v>
      </c>
      <c r="AI9" s="21">
        <f t="shared" si="0"/>
        <v>2049</v>
      </c>
      <c r="AJ9" s="21">
        <f t="shared" si="0"/>
        <v>2050</v>
      </c>
      <c r="AK9" s="21"/>
      <c r="AL9" s="21"/>
    </row>
    <row r="10" spans="1:38" x14ac:dyDescent="0.25">
      <c r="A10" t="s">
        <v>12</v>
      </c>
      <c r="B10" t="s">
        <v>19</v>
      </c>
      <c r="C10" t="s">
        <v>1</v>
      </c>
      <c r="D10">
        <v>0.02</v>
      </c>
      <c r="E10" s="22">
        <v>6.8000000000000005E-2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 s="15">
        <f>D10</f>
        <v>0.02</v>
      </c>
      <c r="J10" s="47">
        <f>E10</f>
        <v>6.8000000000000005E-2</v>
      </c>
      <c r="K10" s="47">
        <f>O6</f>
        <v>9.9000000000000005E-2</v>
      </c>
      <c r="L10">
        <f>IF($G10="s-curve",$E10+($F10-$E10)*$O$2/(1+EXP($O$3*(COUNT($K$9:L$9)+$O$4))),TREND($E10:$F10,$E$9:$F$9,L$9))</f>
        <v>0.13550148435693454</v>
      </c>
      <c r="M10">
        <f>IF($G10="s-curve",$E10+($F10-$E10)*$O$2/(1+EXP($O$3*(COUNT($K$9:M$9)+$O$4))),TREND($E10:$F10,$E$9:$F$9,M$9))</f>
        <v>0.15686570128597005</v>
      </c>
      <c r="N10">
        <f>IF($G10="s-curve",$E10+($F10-$E10)*$O$2/(1+EXP($O$3*(COUNT($K$9:N$9)+$O$4))),TREND($E10:$F10,$E$9:$F$9,N$9))</f>
        <v>0.18408372983067212</v>
      </c>
      <c r="O10">
        <f>IF($G10="s-curve",$E10+($F10-$E10)*$O$2/(1+EXP($O$3*(COUNT($K$9:O$9)+$O$4))),TREND($E10:$F10,$E$9:$F$9,O$9))</f>
        <v>0.21815354100537743</v>
      </c>
      <c r="P10">
        <f>IF($G10="s-curve",$E10+($F10-$E10)*$O$2/(1+EXP($O$3*(COUNT($K$9:P$9)+$O$4))),TREND($E10:$F10,$E$9:$F$9,P$9))</f>
        <v>0.25987118651848296</v>
      </c>
      <c r="Q10">
        <f>IF($G10="s-curve",$E10+($F10-$E10)*$O$2/(1+EXP($O$3*(COUNT($K$9:Q$9)+$O$4))),TREND($E10:$F10,$E$9:$F$9,Q$9))</f>
        <v>0.30959779396223247</v>
      </c>
      <c r="R10">
        <f>IF($G10="s-curve",$E10+($F10-$E10)*$O$2/(1+EXP($O$3*(COUNT($K$9:R$9)+$O$4))),TREND($E10:$F10,$E$9:$F$9,R$9))</f>
        <v>0.36700545236853371</v>
      </c>
      <c r="S10">
        <f>IF($G10="s-curve",$E10+($F10-$E10)*$O$2/(1+EXP($O$3*(COUNT($K$9:S$9)+$O$4))),TREND($E10:$F10,$E$9:$F$9,S$9))</f>
        <v>0.43088423395932512</v>
      </c>
      <c r="T10">
        <f>IF($G10="s-curve",$E10+($F10-$E10)*$O$2/(1+EXP($O$3*(COUNT($K$9:T$9)+$O$4))),TREND($E10:$F10,$E$9:$F$9,T$9))</f>
        <v>0.49911538413962542</v>
      </c>
      <c r="U10">
        <f>IF($G10="s-curve",$E10+($F10-$E10)*$O$2/(1+EXP($O$3*(COUNT($K$9:U$9)+$O$4))),TREND($E10:$F10,$E$9:$F$9,U$9))</f>
        <v>0.56888461586037464</v>
      </c>
      <c r="V10">
        <f>IF($G10="s-curve",$E10+($F10-$E10)*$O$2/(1+EXP($O$3*(COUNT($K$9:V$9)+$O$4))),TREND($E10:$F10,$E$9:$F$9,V$9))</f>
        <v>0.63711576604067499</v>
      </c>
      <c r="W10">
        <f>IF($G10="s-curve",$E10+($F10-$E10)*$O$2/(1+EXP($O$3*(COUNT($K$9:W$9)+$O$4))),TREND($E10:$F10,$E$9:$F$9,W$9))</f>
        <v>0.70099454763146607</v>
      </c>
      <c r="X10">
        <f>IF($G10="s-curve",$E10+($F10-$E10)*$O$2/(1+EXP($O$3*(COUNT($K$9:X$9)+$O$4))),TREND($E10:$F10,$E$9:$F$9,X$9))</f>
        <v>0.75840220603776753</v>
      </c>
      <c r="Y10">
        <f>IF($G10="s-curve",$E10+($F10-$E10)*$O$2/(1+EXP($O$3*(COUNT($K$9:Y$9)+$O$4))),TREND($E10:$F10,$E$9:$F$9,Y$9))</f>
        <v>0.80812881348151699</v>
      </c>
      <c r="Z10">
        <f>IF($G10="s-curve",$E10+($F10-$E10)*$O$2/(1+EXP($O$3*(COUNT($K$9:Z$9)+$O$4))),TREND($E10:$F10,$E$9:$F$9,Z$9))</f>
        <v>0.84984645899462241</v>
      </c>
      <c r="AA10">
        <f>IF($G10="s-curve",$E10+($F10-$E10)*$O$2/(1+EXP($O$3*(COUNT($K$9:AA$9)+$O$4))),TREND($E10:$F10,$E$9:$F$9,AA$9))</f>
        <v>0.88391627016932772</v>
      </c>
      <c r="AB10">
        <f>IF($G10="s-curve",$E10+($F10-$E10)*$O$2/(1+EXP($O$3*(COUNT($K$9:AB$9)+$O$4))),TREND($E10:$F10,$E$9:$F$9,AB$9))</f>
        <v>0.91113429871403007</v>
      </c>
      <c r="AC10">
        <f>IF($G10="s-curve",$E10+($F10-$E10)*$O$2/(1+EXP($O$3*(COUNT($K$9:AC$9)+$O$4))),TREND($E10:$F10,$E$9:$F$9,AC$9))</f>
        <v>0.93249851564306541</v>
      </c>
      <c r="AD10">
        <f>IF($G10="s-curve",$E10+($F10-$E10)*$O$2/(1+EXP($O$3*(COUNT($K$9:AD$9)+$O$4))),TREND($E10:$F10,$E$9:$F$9,AD$9))</f>
        <v>0.94903701235474314</v>
      </c>
      <c r="AE10">
        <f>IF($G10="s-curve",$E10+($F10-$E10)*$O$2/(1+EXP($O$3*(COUNT($K$9:AE$9)+$O$4))),TREND($E10:$F10,$E$9:$F$9,AE$9))</f>
        <v>0.96170292871716656</v>
      </c>
      <c r="AF10">
        <f>IF($G10="s-curve",$E10+($F10-$E10)*$O$2/(1+EXP($O$3*(COUNT($K$9:AF$9)+$O$4))),TREND($E10:$F10,$E$9:$F$9,AF$9))</f>
        <v>0.9713234230791381</v>
      </c>
      <c r="AG10">
        <f>IF($G10="s-curve",$E10+($F10-$E10)*$O$2/(1+EXP($O$3*(COUNT($K$9:AG$9)+$O$4))),TREND($E10:$F10,$E$9:$F$9,AG$9))</f>
        <v>0.97858509124385606</v>
      </c>
      <c r="AH10">
        <f>IF($G10="s-curve",$E10+($F10-$E10)*$O$2/(1+EXP($O$3*(COUNT($K$9:AH$9)+$O$4))),TREND($E10:$F10,$E$9:$F$9,AH$9))</f>
        <v>0.98404040094974166</v>
      </c>
      <c r="AI10">
        <f>IF($G10="s-curve",$E10+($F10-$E10)*$O$2/(1+EXP($O$3*(COUNT($K$9:AI$9)+$O$4))),TREND($E10:$F10,$E$9:$F$9,AI$9))</f>
        <v>0.9881241302994479</v>
      </c>
      <c r="AJ10">
        <f>IF($G10="s-curve",$E10+($F10-$E10)*$O$2/(1+EXP($O$3*(COUNT($K$9:AJ$9)+$O$4))),TREND($E10:$F10,$E$9:$F$9,AJ$9))</f>
        <v>0.99117298738162618</v>
      </c>
    </row>
    <row r="11" spans="1:38" x14ac:dyDescent="0.25">
      <c r="C11" t="s">
        <v>2</v>
      </c>
      <c r="E11" s="22">
        <f>SUM(SUM(INDEX('AEO 39'!$29:$30,0,MATCH($E$9,'AEO 39'!$1:$1,0))),SUM(INDEX('AEO 39'!$51:$52,0,MATCH($E$9,'AEO 39'!$1:$1,0))))/INDEX('AEO 39'!$59:$59,MATCH($E$9,'AEO 39'!$1:$1,0))</f>
        <v>5.4649745052120366E-5</v>
      </c>
      <c r="F11" s="22">
        <f>SUM(SUM(INDEX('AEO 39'!$29:$30,0,MATCH($F$9,'AEO 39'!$1:$1,0))),SUM(INDEX('AEO 39'!$51:$52,0,MATCH($F$9,'AEO 39'!$1:$1,0))))/INDEX('AEO 39'!$59:$59,MATCH($F$9,'AEO 39'!$1:$1,0))*Assumptions!$A$11</f>
        <v>2.5894039862612868E-5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5.4649745052120366E-5</v>
      </c>
      <c r="J11">
        <f>IF($G11="s-curve",$E11+($F11-$E11)*$I$2/(1+EXP($I$3*(COUNT($I$9:J$9)+$I$4))),TREND($E11:$F11,$E$9:$F$9,J$9))</f>
        <v>5.4224907352288168E-5</v>
      </c>
      <c r="K11">
        <f>IF($G11="s-curve",$E11+($F11-$E11)*$I$2/(1+EXP($I$3*(COUNT($I$9:K$9)+$I$4))),TREND($E11:$F11,$E$9:$F$9,K$9))</f>
        <v>5.4079223069561536E-5</v>
      </c>
      <c r="L11">
        <f>IF($G11="s-curve",$E11+($F11-$E11)*$I$2/(1+EXP($I$3*(COUNT($I$9:L$9)+$I$4))),TREND($E11:$F11,$E$9:$F$9,L$9))</f>
        <v>5.3884929745896789E-5</v>
      </c>
      <c r="M11">
        <f>IF($G11="s-curve",$E11+($F11-$E11)*$I$2/(1+EXP($I$3*(COUNT($I$9:M$9)+$I$4))),TREND($E11:$F11,$E$9:$F$9,M$9))</f>
        <v>5.3626870420156271E-5</v>
      </c>
      <c r="N11">
        <f>IF($G11="s-curve",$E11+($F11-$E11)*$I$2/(1+EXP($I$3*(COUNT($I$9:N$9)+$I$4))),TREND($E11:$F11,$E$9:$F$9,N$9))</f>
        <v>5.3285980624671284E-5</v>
      </c>
      <c r="O11">
        <f>IF($G11="s-curve",$E11+($F11-$E11)*$I$2/(1+EXP($I$3*(COUNT($I$9:O$9)+$I$4))),TREND($E11:$F11,$E$9:$F$9,O$9))</f>
        <v>5.2838901790551485E-5</v>
      </c>
      <c r="P11">
        <f>IF($G11="s-curve",$E11+($F11-$E11)*$I$2/(1+EXP($I$3*(COUNT($I$9:P$9)+$I$4))),TREND($E11:$F11,$E$9:$F$9,P$9))</f>
        <v>5.2258055511924749E-5</v>
      </c>
      <c r="Q11">
        <f>IF($G11="s-curve",$E11+($F11-$E11)*$I$2/(1+EXP($I$3*(COUNT($I$9:Q$9)+$I$4))),TREND($E11:$F11,$E$9:$F$9,Q$9))</f>
        <v>5.151258902470691E-5</v>
      </c>
      <c r="R11">
        <f>IF($G11="s-curve",$E11+($F11-$E11)*$I$2/(1+EXP($I$3*(COUNT($I$9:R$9)+$I$4))),TREND($E11:$F11,$E$9:$F$9,R$9))</f>
        <v>5.0570717649024244E-5</v>
      </c>
      <c r="S11">
        <f>IF($G11="s-curve",$E11+($F11-$E11)*$I$2/(1+EXP($I$3*(COUNT($I$9:S$9)+$I$4))),TREND($E11:$F11,$E$9:$F$9,S$9))</f>
        <v>4.9403970470503303E-5</v>
      </c>
      <c r="T11">
        <f>IF($G11="s-curve",$E11+($F11-$E11)*$I$2/(1+EXP($I$3*(COUNT($I$9:T$9)+$I$4))),TREND($E11:$F11,$E$9:$F$9,T$9))</f>
        <v>4.7993511967740696E-5</v>
      </c>
      <c r="U11">
        <f>IF($G11="s-curve",$E11+($F11-$E11)*$I$2/(1+EXP($I$3*(COUNT($I$9:U$9)+$I$4))),TREND($E11:$F11,$E$9:$F$9,U$9))</f>
        <v>4.6337894164724468E-5</v>
      </c>
      <c r="V11">
        <f>IF($G11="s-curve",$E11+($F11-$E11)*$I$2/(1+EXP($I$3*(COUNT($I$9:V$9)+$I$4))),TREND($E11:$F11,$E$9:$F$9,V$9))</f>
        <v>4.4460342258188219E-5</v>
      </c>
      <c r="W11">
        <f>IF($G11="s-curve",$E11+($F11-$E11)*$I$2/(1+EXP($I$3*(COUNT($I$9:W$9)+$I$4))),TREND($E11:$F11,$E$9:$F$9,W$9))</f>
        <v>4.2412539524367639E-5</v>
      </c>
      <c r="X11">
        <f>IF($G11="s-curve",$E11+($F11-$E11)*$I$2/(1+EXP($I$3*(COUNT($I$9:X$9)+$I$4))),TREND($E11:$F11,$E$9:$F$9,X$9))</f>
        <v>4.0271892457366615E-5</v>
      </c>
      <c r="Y11">
        <f>IF($G11="s-curve",$E11+($F11-$E11)*$I$2/(1+EXP($I$3*(COUNT($I$9:Y$9)+$I$4))),TREND($E11:$F11,$E$9:$F$9,Y$9))</f>
        <v>3.8131245390365598E-5</v>
      </c>
      <c r="Z11">
        <f>IF($G11="s-curve",$E11+($F11-$E11)*$I$2/(1+EXP($I$3*(COUNT($I$9:Z$9)+$I$4))),TREND($E11:$F11,$E$9:$F$9,Z$9))</f>
        <v>3.6083442656545018E-5</v>
      </c>
      <c r="AA11">
        <f>IF($G11="s-curve",$E11+($F11-$E11)*$I$2/(1+EXP($I$3*(COUNT($I$9:AA$9)+$I$4))),TREND($E11:$F11,$E$9:$F$9,AA$9))</f>
        <v>3.4205890750008762E-5</v>
      </c>
      <c r="AB11">
        <f>IF($G11="s-curve",$E11+($F11-$E11)*$I$2/(1+EXP($I$3*(COUNT($I$9:AB$9)+$I$4))),TREND($E11:$F11,$E$9:$F$9,AB$9))</f>
        <v>3.2550272946992541E-5</v>
      </c>
      <c r="AC11">
        <f>IF($G11="s-curve",$E11+($F11-$E11)*$I$2/(1+EXP($I$3*(COUNT($I$9:AC$9)+$I$4))),TREND($E11:$F11,$E$9:$F$9,AC$9))</f>
        <v>3.1139814444229934E-5</v>
      </c>
      <c r="AD11">
        <f>IF($G11="s-curve",$E11+($F11-$E11)*$I$2/(1+EXP($I$3*(COUNT($I$9:AD$9)+$I$4))),TREND($E11:$F11,$E$9:$F$9,AD$9))</f>
        <v>2.9973067265708986E-5</v>
      </c>
      <c r="AE11">
        <f>IF($G11="s-curve",$E11+($F11-$E11)*$I$2/(1+EXP($I$3*(COUNT($I$9:AE$9)+$I$4))),TREND($E11:$F11,$E$9:$F$9,AE$9))</f>
        <v>2.9031195890026324E-5</v>
      </c>
      <c r="AF11">
        <f>IF($G11="s-curve",$E11+($F11-$E11)*$I$2/(1+EXP($I$3*(COUNT($I$9:AF$9)+$I$4))),TREND($E11:$F11,$E$9:$F$9,AF$9))</f>
        <v>2.8285729402808482E-5</v>
      </c>
      <c r="AG11">
        <f>IF($G11="s-curve",$E11+($F11-$E11)*$I$2/(1+EXP($I$3*(COUNT($I$9:AG$9)+$I$4))),TREND($E11:$F11,$E$9:$F$9,AG$9))</f>
        <v>2.7704883124181745E-5</v>
      </c>
      <c r="AH11">
        <f>IF($G11="s-curve",$E11+($F11-$E11)*$I$2/(1+EXP($I$3*(COUNT($I$9:AH$9)+$I$4))),TREND($E11:$F11,$E$9:$F$9,AH$9))</f>
        <v>2.7257804290061946E-5</v>
      </c>
      <c r="AI11">
        <f>IF($G11="s-curve",$E11+($F11-$E11)*$I$2/(1+EXP($I$3*(COUNT($I$9:AI$9)+$I$4))),TREND($E11:$F11,$E$9:$F$9,AI$9))</f>
        <v>2.6916914494576966E-5</v>
      </c>
      <c r="AJ11">
        <f>IF($G11="s-curve",$E11+($F11-$E11)*$I$2/(1+EXP($I$3*(COUNT($I$9:AJ$9)+$I$4))),TREND($E11:$F11,$E$9:$F$9,AJ$9))</f>
        <v>2.6658855168836448E-5</v>
      </c>
    </row>
    <row r="12" spans="1:38" x14ac:dyDescent="0.2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</row>
    <row r="13" spans="1:38" x14ac:dyDescent="0.25">
      <c r="C13" t="s">
        <v>4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</f>
        <v>5.851105507530179E-3</v>
      </c>
      <c r="F13" s="22">
        <f>SUM(INDEX('AEO 39'!$18:$18,MATCH(F$9,'AEO 39'!$1:$1,0)),INDEX('AEO 39'!$27:$27,MATCH(F$9,'AEO 39'!$1:$1,0)),INDEX('AEO 39'!$40:$40,MATCH(F$9,'AEO 39'!$1:$1,0)),INDEX('AEO 39'!$49:$49,MATCH(F$9,'AEO 39'!$1:$1,0)))/INDEX('AEO 39'!$59:$59,MATCH(F$9,'AEO 39'!$1:$1,0))*Assumptions!A11</f>
        <v>3.3966473592295425E-2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5.851105507530179E-3</v>
      </c>
      <c r="J13">
        <f>IF($G13="s-curve",$E13+($F13-$E13)*$I$2/(1+EXP($I$3*(COUNT($I$9:J$9)+$I$4))),TREND($E13:$F13,$E$9:$F$9,J$9))</f>
        <v>5.8511055075296525E-3</v>
      </c>
      <c r="K13">
        <f>IF($G13="s-curve",$E13+($F13-$E13)*$I$2/(1+EXP($I$3*(COUNT($I$9:K$9)+$I$4))),TREND($E13:$F13,$E$9:$F$9,K$9))</f>
        <v>6.9324658184823917E-3</v>
      </c>
      <c r="L13">
        <f>IF($G13="s-curve",$E13+($F13-$E13)*$I$2/(1+EXP($I$3*(COUNT($I$9:L$9)+$I$4))),TREND($E13:$F13,$E$9:$F$9,L$9))</f>
        <v>8.0138261294346869E-3</v>
      </c>
      <c r="M13">
        <f>IF($G13="s-curve",$E13+($F13-$E13)*$I$2/(1+EXP($I$3*(COUNT($I$9:M$9)+$I$4))),TREND($E13:$F13,$E$9:$F$9,M$9))</f>
        <v>9.0951864403874261E-3</v>
      </c>
      <c r="N13">
        <f>IF($G13="s-curve",$E13+($F13-$E13)*$I$2/(1+EXP($I$3*(COUNT($I$9:N$9)+$I$4))),TREND($E13:$F13,$E$9:$F$9,N$9))</f>
        <v>1.0176546751339721E-2</v>
      </c>
      <c r="O13">
        <f>IF($G13="s-curve",$E13+($F13-$E13)*$I$2/(1+EXP($I$3*(COUNT($I$9:O$9)+$I$4))),TREND($E13:$F13,$E$9:$F$9,O$9))</f>
        <v>1.125790706229246E-2</v>
      </c>
      <c r="P13">
        <f>IF($G13="s-curve",$E13+($F13-$E13)*$I$2/(1+EXP($I$3*(COUNT($I$9:P$9)+$I$4))),TREND($E13:$F13,$E$9:$F$9,P$9))</f>
        <v>1.2339267373244756E-2</v>
      </c>
      <c r="Q13">
        <f>IF($G13="s-curve",$E13+($F13-$E13)*$I$2/(1+EXP($I$3*(COUNT($I$9:Q$9)+$I$4))),TREND($E13:$F13,$E$9:$F$9,Q$9))</f>
        <v>1.3420627684197495E-2</v>
      </c>
      <c r="R13">
        <f>IF($G13="s-curve",$E13+($F13-$E13)*$I$2/(1+EXP($I$3*(COUNT($I$9:R$9)+$I$4))),TREND($E13:$F13,$E$9:$F$9,R$9))</f>
        <v>1.450198799514979E-2</v>
      </c>
      <c r="S13">
        <f>IF($G13="s-curve",$E13+($F13-$E13)*$I$2/(1+EXP($I$3*(COUNT($I$9:S$9)+$I$4))),TREND($E13:$F13,$E$9:$F$9,S$9))</f>
        <v>1.5583348306102529E-2</v>
      </c>
      <c r="T13">
        <f>IF($G13="s-curve",$E13+($F13-$E13)*$I$2/(1+EXP($I$3*(COUNT($I$9:T$9)+$I$4))),TREND($E13:$F13,$E$9:$F$9,T$9))</f>
        <v>1.6664708617054824E-2</v>
      </c>
      <c r="U13">
        <f>IF($G13="s-curve",$E13+($F13-$E13)*$I$2/(1+EXP($I$3*(COUNT($I$9:U$9)+$I$4))),TREND($E13:$F13,$E$9:$F$9,U$9))</f>
        <v>1.7746068928007563E-2</v>
      </c>
      <c r="V13">
        <f>IF($G13="s-curve",$E13+($F13-$E13)*$I$2/(1+EXP($I$3*(COUNT($I$9:V$9)+$I$4))),TREND($E13:$F13,$E$9:$F$9,V$9))</f>
        <v>1.8827429238959859E-2</v>
      </c>
      <c r="W13">
        <f>IF($G13="s-curve",$E13+($F13-$E13)*$I$2/(1+EXP($I$3*(COUNT($I$9:W$9)+$I$4))),TREND($E13:$F13,$E$9:$F$9,W$9))</f>
        <v>1.9908789549912598E-2</v>
      </c>
      <c r="X13">
        <f>IF($G13="s-curve",$E13+($F13-$E13)*$I$2/(1+EXP($I$3*(COUNT($I$9:X$9)+$I$4))),TREND($E13:$F13,$E$9:$F$9,X$9))</f>
        <v>2.0990149860864893E-2</v>
      </c>
      <c r="Y13">
        <f>IF($G13="s-curve",$E13+($F13-$E13)*$I$2/(1+EXP($I$3*(COUNT($I$9:Y$9)+$I$4))),TREND($E13:$F13,$E$9:$F$9,Y$9))</f>
        <v>2.2071510171817632E-2</v>
      </c>
      <c r="Z13">
        <f>IF($G13="s-curve",$E13+($F13-$E13)*$I$2/(1+EXP($I$3*(COUNT($I$9:Z$9)+$I$4))),TREND($E13:$F13,$E$9:$F$9,Z$9))</f>
        <v>2.3152870482769927E-2</v>
      </c>
      <c r="AA13">
        <f>IF($G13="s-curve",$E13+($F13-$E13)*$I$2/(1+EXP($I$3*(COUNT($I$9:AA$9)+$I$4))),TREND($E13:$F13,$E$9:$F$9,AA$9))</f>
        <v>2.4234230793722666E-2</v>
      </c>
      <c r="AB13">
        <f>IF($G13="s-curve",$E13+($F13-$E13)*$I$2/(1+EXP($I$3*(COUNT($I$9:AB$9)+$I$4))),TREND($E13:$F13,$E$9:$F$9,AB$9))</f>
        <v>2.5315591104674962E-2</v>
      </c>
      <c r="AC13">
        <f>IF($G13="s-curve",$E13+($F13-$E13)*$I$2/(1+EXP($I$3*(COUNT($I$9:AC$9)+$I$4))),TREND($E13:$F13,$E$9:$F$9,AC$9))</f>
        <v>2.6396951415627701E-2</v>
      </c>
      <c r="AD13">
        <f>IF($G13="s-curve",$E13+($F13-$E13)*$I$2/(1+EXP($I$3*(COUNT($I$9:AD$9)+$I$4))),TREND($E13:$F13,$E$9:$F$9,AD$9))</f>
        <v>2.7478311726579996E-2</v>
      </c>
      <c r="AE13">
        <f>IF($G13="s-curve",$E13+($F13-$E13)*$I$2/(1+EXP($I$3*(COUNT($I$9:AE$9)+$I$4))),TREND($E13:$F13,$E$9:$F$9,AE$9))</f>
        <v>2.8559672037532735E-2</v>
      </c>
      <c r="AF13">
        <f>IF($G13="s-curve",$E13+($F13-$E13)*$I$2/(1+EXP($I$3*(COUNT($I$9:AF$9)+$I$4))),TREND($E13:$F13,$E$9:$F$9,AF$9))</f>
        <v>2.964103234848503E-2</v>
      </c>
      <c r="AG13">
        <f>IF($G13="s-curve",$E13+($F13-$E13)*$I$2/(1+EXP($I$3*(COUNT($I$9:AG$9)+$I$4))),TREND($E13:$F13,$E$9:$F$9,AG$9))</f>
        <v>3.0722392659437769E-2</v>
      </c>
      <c r="AH13">
        <f>IF($G13="s-curve",$E13+($F13-$E13)*$I$2/(1+EXP($I$3*(COUNT($I$9:AH$9)+$I$4))),TREND($E13:$F13,$E$9:$F$9,AH$9))</f>
        <v>3.1803752970390065E-2</v>
      </c>
      <c r="AI13">
        <f>IF($G13="s-curve",$E13+($F13-$E13)*$I$2/(1+EXP($I$3*(COUNT($I$9:AI$9)+$I$4))),TREND($E13:$F13,$E$9:$F$9,AI$9))</f>
        <v>3.288511328134236E-2</v>
      </c>
      <c r="AJ13">
        <f>IF($G13="s-curve",$E13+($F13-$E13)*$I$2/(1+EXP($I$3*(COUNT($I$9:AJ$9)+$I$4))),TREND($E13:$F13,$E$9:$F$9,AJ$9))</f>
        <v>3.3966473592295099E-2</v>
      </c>
    </row>
    <row r="14" spans="1:38" x14ac:dyDescent="0.25">
      <c r="C14" t="s">
        <v>5</v>
      </c>
      <c r="D14">
        <v>2.5000000000000001E-3</v>
      </c>
      <c r="E14" s="22">
        <v>8.0000000000000002E-3</v>
      </c>
      <c r="F14" s="48">
        <v>0.25</v>
      </c>
      <c r="G14" s="7" t="str">
        <f>IF(E14=F14,"n/a",IF(OR(C14="battery electric vehicle",C14="natural gas vehicle",C14="plugin hybrid vehicle",C14="hydrogen vehicle"),"s-curve","linear"))</f>
        <v>s-curve</v>
      </c>
      <c r="I14" s="15">
        <f>D14</f>
        <v>2.5000000000000001E-3</v>
      </c>
      <c r="J14" s="15">
        <f>E14</f>
        <v>8.0000000000000002E-3</v>
      </c>
      <c r="K14" s="15">
        <f>O7</f>
        <v>1.8679140068700261E-2</v>
      </c>
      <c r="L14">
        <f>IF($G14="s-curve",$E14+($F14-$E14)*$U$2/(1+EXP($U$3*(COUNT($I$9:L$9)+$U$4))),TREND($E14:$F14,$E$9:$F$9,L$9))</f>
        <v>2.0151128112044503E-2</v>
      </c>
      <c r="M14">
        <f>IF($G14="s-curve",$E14+($F14-$E14)*$U$2/(1+EXP($U$3*(COUNT($I$9:M$9)+$U$4))),TREND($E14:$F14,$E$9:$F$9,M$9))</f>
        <v>2.6021242730178792E-2</v>
      </c>
      <c r="N14">
        <f>IF($G14="s-curve",$E14+($F14-$E14)*$U$2/(1+EXP($U$3*(COUNT($I$9:N$9)+$U$4))),TREND($E14:$F14,$E$9:$F$9,N$9))</f>
        <v>3.4401430729338323E-2</v>
      </c>
      <c r="O14" s="15">
        <v>5.1499999999999997E-2</v>
      </c>
      <c r="P14" s="15">
        <v>5.5E-2</v>
      </c>
      <c r="Q14" s="15">
        <v>7.4999999999999997E-2</v>
      </c>
      <c r="R14" s="15">
        <v>8.8999999999999996E-2</v>
      </c>
      <c r="S14" s="15">
        <v>0.11799999999999999</v>
      </c>
      <c r="T14" s="15">
        <f>X6</f>
        <v>0.15</v>
      </c>
      <c r="U14">
        <f>IF($G14="s-curve",$E14+($F14-$E14)*$U$2/(1+EXP($U$3*(COUNT($I$9:U$9)+$U$4))),TREND($E14:$F14,$E$9:$F$9,U$9))</f>
        <v>0.17702858227261439</v>
      </c>
      <c r="V14">
        <f>IF($G14="s-curve",$E14+($F14-$E14)*$U$2/(1+EXP($U$3*(COUNT($I$9:V$9)+$U$4))),TREND($E14:$F14,$E$9:$F$9,V$9))</f>
        <v>0.19652431808271453</v>
      </c>
      <c r="W14">
        <f>IF($G14="s-curve",$E14+($F14-$E14)*$U$2/(1+EXP($U$3*(COUNT($I$9:W$9)+$U$4))),TREND($E14:$F14,$E$9:$F$9,W$9))</f>
        <v>0.21198289652972047</v>
      </c>
      <c r="X14">
        <f>IF($G14="s-curve",$E14+($F14-$E14)*$U$2/(1+EXP($U$3*(COUNT($I$9:X$9)+$U$4))),TREND($E14:$F14,$E$9:$F$9,X$9))</f>
        <v>0.22359856927066168</v>
      </c>
      <c r="Y14">
        <f>IF($G14="s-curve",$E14+($F14-$E14)*$U$2/(1+EXP($U$3*(COUNT($I$9:Y$9)+$U$4))),TREND($E14:$F14,$E$9:$F$9,Y$9))</f>
        <v>0.2319787572698212</v>
      </c>
      <c r="Z14">
        <f>IF($G14="s-curve",$E14+($F14-$E14)*$U$2/(1+EXP($U$3*(COUNT($I$9:Z$9)+$U$4))),TREND($E14:$F14,$E$9:$F$9,Z$9))</f>
        <v>0.23784887188795553</v>
      </c>
      <c r="AA14">
        <f>IF($G14="s-curve",$E14+($F14-$E14)*$U$2/(1+EXP($U$3*(COUNT($I$9:AA$9)+$U$4))),TREND($E14:$F14,$E$9:$F$9,AA$9))</f>
        <v>0.24187624796588125</v>
      </c>
      <c r="AB14">
        <f>IF($G14="s-curve",$E14+($F14-$E14)*$U$2/(1+EXP($U$3*(COUNT($I$9:AB$9)+$U$4))),TREND($E14:$F14,$E$9:$F$9,AB$9))</f>
        <v>0.24460014783483416</v>
      </c>
      <c r="AC14">
        <f>IF($G14="s-curve",$E14+($F14-$E14)*$U$2/(1+EXP($U$3*(COUNT($I$9:AC$9)+$U$4))),TREND($E14:$F14,$E$9:$F$9,AC$9))</f>
        <v>0.24642468433022793</v>
      </c>
      <c r="AD14">
        <f>IF($G14="s-curve",$E14+($F14-$E14)*$U$2/(1+EXP($U$3*(COUNT($I$9:AD$9)+$U$4))),TREND($E14:$F14,$E$9:$F$9,AD$9))</f>
        <v>0.2476388869188586</v>
      </c>
      <c r="AE14">
        <f>IF($G14="s-curve",$E14+($F14-$E14)*$U$2/(1+EXP($U$3*(COUNT($I$9:AE$9)+$U$4))),TREND($E14:$F14,$E$9:$F$9,AE$9))</f>
        <v>0.24844342975100567</v>
      </c>
      <c r="AF14">
        <f>IF($G14="s-curve",$E14+($F14-$E14)*$U$2/(1+EXP($U$3*(COUNT($I$9:AF$9)+$U$4))),TREND($E14:$F14,$E$9:$F$9,AF$9))</f>
        <v>0.24897499940691589</v>
      </c>
      <c r="AG14">
        <f>IF($G14="s-curve",$E14+($F14-$E14)*$U$2/(1+EXP($U$3*(COUNT($I$9:AG$9)+$U$4))),TREND($E14:$F14,$E$9:$F$9,AG$9))</f>
        <v>0.24932554691499179</v>
      </c>
      <c r="AH14">
        <f>IF($G14="s-curve",$E14+($F14-$E14)*$U$2/(1+EXP($U$3*(COUNT($I$9:AH$9)+$U$4))),TREND($E14:$F14,$E$9:$F$9,AH$9))</f>
        <v>0.24955642877591674</v>
      </c>
      <c r="AI14">
        <f>IF($G14="s-curve",$E14+($F14-$E14)*$U$2/(1+EXP($U$3*(COUNT($I$9:AI$9)+$U$4))),TREND($E14:$F14,$E$9:$F$9,AI$9))</f>
        <v>0.24970836961542547</v>
      </c>
      <c r="AJ14">
        <f>IF($G14="s-curve",$E14+($F14-$E14)*$U$2/(1+EXP($U$3*(COUNT($I$9:AJ$9)+$U$4))),TREND($E14:$F14,$E$9:$F$9,AJ$9))</f>
        <v>0.24980830595850836</v>
      </c>
    </row>
    <row r="15" spans="1:38" x14ac:dyDescent="0.25">
      <c r="C15" t="s">
        <v>111</v>
      </c>
      <c r="E15" s="22">
        <f>SUM(SUM(INDEX('AEO 39'!31:32,0,MATCH(E$9,'AEO 39'!$1:$1,0))),SUM(INDEX('AEO 39'!53:54,0,MATCH(E$9,'AEO 39'!$1:$1,0))))/INDEX('AEO 39'!$59:$59,MATCH(E$9,'AEO 39'!$1:$1,0))</f>
        <v>5.095393642836949E-5</v>
      </c>
      <c r="F15" s="22">
        <f>SUM(SUM(INDEX('AEO 39'!31:32,0,MATCH(F$9,'AEO 39'!$1:$1,0))),SUM(INDEX('AEO 39'!53:54,0,MATCH(F$9,'AEO 39'!$1:$1,0))))/INDEX('AEO 39'!$59:$59,MATCH(F$9,'AEO 39'!$1:$1,0))*Assumptions!A11</f>
        <v>3.6399200194339569E-5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5.095393642836949E-5</v>
      </c>
      <c r="J15">
        <f>IF($G15="s-curve",$E15+($F15-$E15)*$I$2/(1+EXP($I$3*(COUNT($I$9:J$9)+$I$4))),TREND($E15:$F15,$E$9:$F$9,J$9))</f>
        <v>5.0953936428369375E-5</v>
      </c>
      <c r="K15">
        <f>IF($G15="s-curve",$E15+($F15-$E15)*$I$2/(1+EXP($I$3*(COUNT($I$9:K$9)+$I$4))),TREND($E15:$F15,$E$9:$F$9,K$9))</f>
        <v>5.0394138880906604E-5</v>
      </c>
      <c r="L15">
        <f>IF($G15="s-curve",$E15+($F15-$E15)*$I$2/(1+EXP($I$3*(COUNT($I$9:L$9)+$I$4))),TREND($E15:$F15,$E$9:$F$9,L$9))</f>
        <v>4.9834341333444051E-5</v>
      </c>
      <c r="M15">
        <f>IF($G15="s-curve",$E15+($F15-$E15)*$I$2/(1+EXP($I$3*(COUNT($I$9:M$9)+$I$4))),TREND($E15:$F15,$E$9:$F$9,M$9))</f>
        <v>4.9274543785981281E-5</v>
      </c>
      <c r="N15">
        <f>IF($G15="s-curve",$E15+($F15-$E15)*$I$2/(1+EXP($I$3*(COUNT($I$9:N$9)+$I$4))),TREND($E15:$F15,$E$9:$F$9,N$9))</f>
        <v>4.8714746238518727E-5</v>
      </c>
      <c r="O15">
        <f>IF($G15="s-curve",$E15+($F15-$E15)*$I$2/(1+EXP($I$3*(COUNT($I$9:O$9)+$I$4))),TREND($E15:$F15,$E$9:$F$9,O$9))</f>
        <v>4.8154948691055957E-5</v>
      </c>
      <c r="P15">
        <f>IF($G15="s-curve",$E15+($F15-$E15)*$I$2/(1+EXP($I$3*(COUNT($I$9:P$9)+$I$4))),TREND($E15:$F15,$E$9:$F$9,P$9))</f>
        <v>4.7595151143593186E-5</v>
      </c>
      <c r="Q15">
        <f>IF($G15="s-curve",$E15+($F15-$E15)*$I$2/(1+EXP($I$3*(COUNT($I$9:Q$9)+$I$4))),TREND($E15:$F15,$E$9:$F$9,Q$9))</f>
        <v>4.7035353596130633E-5</v>
      </c>
      <c r="R15">
        <f>IF($G15="s-curve",$E15+($F15-$E15)*$I$2/(1+EXP($I$3*(COUNT($I$9:R$9)+$I$4))),TREND($E15:$F15,$E$9:$F$9,R$9))</f>
        <v>4.6475556048667863E-5</v>
      </c>
      <c r="S15">
        <f>IF($G15="s-curve",$E15+($F15-$E15)*$I$2/(1+EXP($I$3*(COUNT($I$9:S$9)+$I$4))),TREND($E15:$F15,$E$9:$F$9,S$9))</f>
        <v>4.5915758501205092E-5</v>
      </c>
      <c r="T15">
        <f>IF($G15="s-curve",$E15+($F15-$E15)*$I$2/(1+EXP($I$3*(COUNT($I$9:T$9)+$I$4))),TREND($E15:$F15,$E$9:$F$9,T$9))</f>
        <v>4.5355960953742539E-5</v>
      </c>
      <c r="U15">
        <f>IF($G15="s-curve",$E15+($F15-$E15)*$I$2/(1+EXP($I$3*(COUNT($I$9:U$9)+$I$4))),TREND($E15:$F15,$E$9:$F$9,U$9))</f>
        <v>4.4796163406279768E-5</v>
      </c>
      <c r="V15">
        <f>IF($G15="s-curve",$E15+($F15-$E15)*$I$2/(1+EXP($I$3*(COUNT($I$9:V$9)+$I$4))),TREND($E15:$F15,$E$9:$F$9,V$9))</f>
        <v>4.4236365858817215E-5</v>
      </c>
      <c r="W15">
        <f>IF($G15="s-curve",$E15+($F15-$E15)*$I$2/(1+EXP($I$3*(COUNT($I$9:W$9)+$I$4))),TREND($E15:$F15,$E$9:$F$9,W$9))</f>
        <v>4.3676568311354445E-5</v>
      </c>
      <c r="X15">
        <f>IF($G15="s-curve",$E15+($F15-$E15)*$I$2/(1+EXP($I$3*(COUNT($I$9:X$9)+$I$4))),TREND($E15:$F15,$E$9:$F$9,X$9))</f>
        <v>4.3116770763891674E-5</v>
      </c>
      <c r="Y15">
        <f>IF($G15="s-curve",$E15+($F15-$E15)*$I$2/(1+EXP($I$3*(COUNT($I$9:Y$9)+$I$4))),TREND($E15:$F15,$E$9:$F$9,Y$9))</f>
        <v>4.2556973216429121E-5</v>
      </c>
      <c r="Z15">
        <f>IF($G15="s-curve",$E15+($F15-$E15)*$I$2/(1+EXP($I$3*(COUNT($I$9:Z$9)+$I$4))),TREND($E15:$F15,$E$9:$F$9,Z$9))</f>
        <v>4.1997175668966351E-5</v>
      </c>
      <c r="AA15">
        <f>IF($G15="s-curve",$E15+($F15-$E15)*$I$2/(1+EXP($I$3*(COUNT($I$9:AA$9)+$I$4))),TREND($E15:$F15,$E$9:$F$9,AA$9))</f>
        <v>4.143737812150358E-5</v>
      </c>
      <c r="AB15">
        <f>IF($G15="s-curve",$E15+($F15-$E15)*$I$2/(1+EXP($I$3*(COUNT($I$9:AB$9)+$I$4))),TREND($E15:$F15,$E$9:$F$9,AB$9))</f>
        <v>4.0877580574041027E-5</v>
      </c>
      <c r="AC15">
        <f>IF($G15="s-curve",$E15+($F15-$E15)*$I$2/(1+EXP($I$3*(COUNT($I$9:AC$9)+$I$4))),TREND($E15:$F15,$E$9:$F$9,AC$9))</f>
        <v>4.0317783026578256E-5</v>
      </c>
      <c r="AD15">
        <f>IF($G15="s-curve",$E15+($F15-$E15)*$I$2/(1+EXP($I$3*(COUNT($I$9:AD$9)+$I$4))),TREND($E15:$F15,$E$9:$F$9,AD$9))</f>
        <v>3.9757985479115703E-5</v>
      </c>
      <c r="AE15">
        <f>IF($G15="s-curve",$E15+($F15-$E15)*$I$2/(1+EXP($I$3*(COUNT($I$9:AE$9)+$I$4))),TREND($E15:$F15,$E$9:$F$9,AE$9))</f>
        <v>3.9198187931652933E-5</v>
      </c>
      <c r="AF15">
        <f>IF($G15="s-curve",$E15+($F15-$E15)*$I$2/(1+EXP($I$3*(COUNT($I$9:AF$9)+$I$4))),TREND($E15:$F15,$E$9:$F$9,AF$9))</f>
        <v>3.8638390384190162E-5</v>
      </c>
      <c r="AG15">
        <f>IF($G15="s-curve",$E15+($F15-$E15)*$I$2/(1+EXP($I$3*(COUNT($I$9:AG$9)+$I$4))),TREND($E15:$F15,$E$9:$F$9,AG$9))</f>
        <v>3.8078592836727609E-5</v>
      </c>
      <c r="AH15">
        <f>IF($G15="s-curve",$E15+($F15-$E15)*$I$2/(1+EXP($I$3*(COUNT($I$9:AH$9)+$I$4))),TREND($E15:$F15,$E$9:$F$9,AH$9))</f>
        <v>3.7518795289264838E-5</v>
      </c>
      <c r="AI15">
        <f>IF($G15="s-curve",$E15+($F15-$E15)*$I$2/(1+EXP($I$3*(COUNT($I$9:AI$9)+$I$4))),TREND($E15:$F15,$E$9:$F$9,AI$9))</f>
        <v>3.6958997741802068E-5</v>
      </c>
      <c r="AJ15">
        <f>IF($G15="s-curve",$E15+($F15-$E15)*$I$2/(1+EXP($I$3*(COUNT($I$9:AJ$9)+$I$4))),TREND($E15:$F15,$E$9:$F$9,AJ$9))</f>
        <v>3.6399200194339515E-5</v>
      </c>
    </row>
    <row r="16" spans="1:38" ht="15.75" thickBot="1" x14ac:dyDescent="0.3">
      <c r="A16" s="23"/>
      <c r="B16" s="23"/>
      <c r="C16" s="23" t="s">
        <v>112</v>
      </c>
      <c r="D16" s="23"/>
      <c r="E16" s="26">
        <f>SUM(SUM(INDEX('AEO 39'!34:34,0,MATCH(E$9,'AEO 39'!$1:$1,0))),SUM(INDEX('AEO 39'!56:56,0,MATCH(E$9,'AEO 39'!$1:$1,0))))/INDEX('AEO 39'!$59:$59,MATCH(E$9,'AEO 39'!$1:$1,0))</f>
        <v>6.4399747823034987E-5</v>
      </c>
      <c r="F16" s="26">
        <f>SUM(SUM(INDEX('AEO 39'!34:34,0,MATCH(F$9,'AEO 39'!$1:$1,0))),SUM(INDEX('AEO 39'!56:56,0,MATCH(F$9,'AEO 39'!$1:$1,0))))/INDEX('AEO 39'!$59:$59,MATCH(F$9,'AEO 39'!$1:$1,0))*Assumptions!A11</f>
        <v>8.3938001583136517E-5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6.4399747823034987E-5</v>
      </c>
      <c r="J16">
        <f>IF($G16="s-curve",$E16+($F16-$E16)*$I$2/(1+EXP($I$3*(COUNT($I$9:J$9)+$I$4))),TREND($E16:$F16,$E$9:$F$9,J$9))</f>
        <v>6.4688406603317938E-5</v>
      </c>
      <c r="K16">
        <f>IF($G16="s-curve",$E16+($F16-$E16)*$I$2/(1+EXP($I$3*(COUNT($I$9:K$9)+$I$4))),TREND($E16:$F16,$E$9:$F$9,K$9))</f>
        <v>6.4787392751145396E-5</v>
      </c>
      <c r="L16">
        <f>IF($G16="s-curve",$E16+($F16-$E16)*$I$2/(1+EXP($I$3*(COUNT($I$9:L$9)+$I$4))),TREND($E16:$F16,$E$9:$F$9,L$9))</f>
        <v>6.4919406632795584E-5</v>
      </c>
      <c r="M16">
        <f>IF($G16="s-curve",$E16+($F16-$E16)*$I$2/(1+EXP($I$3*(COUNT($I$9:M$9)+$I$4))),TREND($E16:$F16,$E$9:$F$9,M$9))</f>
        <v>6.5094746745592361E-5</v>
      </c>
      <c r="N16">
        <f>IF($G16="s-curve",$E16+($F16-$E16)*$I$2/(1+EXP($I$3*(COUNT($I$9:N$9)+$I$4))),TREND($E16:$F16,$E$9:$F$9,N$9))</f>
        <v>6.5326366567972676E-5</v>
      </c>
      <c r="O16">
        <f>IF($G16="s-curve",$E16+($F16-$E16)*$I$2/(1+EXP($I$3*(COUNT($I$9:O$9)+$I$4))),TREND($E16:$F16,$E$9:$F$9,O$9))</f>
        <v>6.5630137233801817E-5</v>
      </c>
      <c r="P16">
        <f>IF($G16="s-curve",$E16+($F16-$E16)*$I$2/(1+EXP($I$3*(COUNT($I$9:P$9)+$I$4))),TREND($E16:$F16,$E$9:$F$9,P$9))</f>
        <v>6.6024797073045143E-5</v>
      </c>
      <c r="Q16">
        <f>IF($G16="s-curve",$E16+($F16-$E16)*$I$2/(1+EXP($I$3*(COUNT($I$9:Q$9)+$I$4))),TREND($E16:$F16,$E$9:$F$9,Q$9))</f>
        <v>6.6531309199975293E-5</v>
      </c>
      <c r="R16">
        <f>IF($G16="s-curve",$E16+($F16-$E16)*$I$2/(1+EXP($I$3*(COUNT($I$9:R$9)+$I$4))),TREND($E16:$F16,$E$9:$F$9,R$9))</f>
        <v>6.7171269925201356E-5</v>
      </c>
      <c r="S16">
        <f>IF($G16="s-curve",$E16+($F16-$E16)*$I$2/(1+EXP($I$3*(COUNT($I$9:S$9)+$I$4))),TREND($E16:$F16,$E$9:$F$9,S$9))</f>
        <v>6.7964023999483026E-5</v>
      </c>
      <c r="T16">
        <f>IF($G16="s-curve",$E16+($F16-$E16)*$I$2/(1+EXP($I$3*(COUNT($I$9:T$9)+$I$4))),TREND($E16:$F16,$E$9:$F$9,T$9))</f>
        <v>6.8922369342205625E-5</v>
      </c>
      <c r="U16">
        <f>IF($G16="s-curve",$E16+($F16-$E16)*$I$2/(1+EXP($I$3*(COUNT($I$9:U$9)+$I$4))),TREND($E16:$F16,$E$9:$F$9,U$9))</f>
        <v>7.0047289790231215E-5</v>
      </c>
      <c r="V16">
        <f>IF($G16="s-curve",$E16+($F16-$E16)*$I$2/(1+EXP($I$3*(COUNT($I$9:V$9)+$I$4))),TREND($E16:$F16,$E$9:$F$9,V$9))</f>
        <v>7.1323004830287098E-5</v>
      </c>
      <c r="W16">
        <f>IF($G16="s-curve",$E16+($F16-$E16)*$I$2/(1+EXP($I$3*(COUNT($I$9:W$9)+$I$4))),TREND($E16:$F16,$E$9:$F$9,W$9))</f>
        <v>7.2714397919078935E-5</v>
      </c>
      <c r="X16">
        <f>IF($G16="s-curve",$E16+($F16-$E16)*$I$2/(1+EXP($I$3*(COUNT($I$9:X$9)+$I$4))),TREND($E16:$F16,$E$9:$F$9,X$9))</f>
        <v>7.4168874703085759E-5</v>
      </c>
      <c r="Y16">
        <f>IF($G16="s-curve",$E16+($F16-$E16)*$I$2/(1+EXP($I$3*(COUNT($I$9:Y$9)+$I$4))),TREND($E16:$F16,$E$9:$F$9,Y$9))</f>
        <v>7.5623351487092569E-5</v>
      </c>
      <c r="Z16">
        <f>IF($G16="s-curve",$E16+($F16-$E16)*$I$2/(1+EXP($I$3*(COUNT($I$9:Z$9)+$I$4))),TREND($E16:$F16,$E$9:$F$9,Z$9))</f>
        <v>7.7014744575884406E-5</v>
      </c>
      <c r="AA16">
        <f>IF($G16="s-curve",$E16+($F16-$E16)*$I$2/(1+EXP($I$3*(COUNT($I$9:AA$9)+$I$4))),TREND($E16:$F16,$E$9:$F$9,AA$9))</f>
        <v>7.8290459615940289E-5</v>
      </c>
      <c r="AB16">
        <f>IF($G16="s-curve",$E16+($F16-$E16)*$I$2/(1+EXP($I$3*(COUNT($I$9:AB$9)+$I$4))),TREND($E16:$F16,$E$9:$F$9,AB$9))</f>
        <v>7.9415380063965879E-5</v>
      </c>
      <c r="AC16">
        <f>IF($G16="s-curve",$E16+($F16-$E16)*$I$2/(1+EXP($I$3*(COUNT($I$9:AC$9)+$I$4))),TREND($E16:$F16,$E$9:$F$9,AC$9))</f>
        <v>8.0373725406688478E-5</v>
      </c>
      <c r="AD16">
        <f>IF($G16="s-curve",$E16+($F16-$E16)*$I$2/(1+EXP($I$3*(COUNT($I$9:AD$9)+$I$4))),TREND($E16:$F16,$E$9:$F$9,AD$9))</f>
        <v>8.1166479480970148E-5</v>
      </c>
      <c r="AE16">
        <f>IF($G16="s-curve",$E16+($F16-$E16)*$I$2/(1+EXP($I$3*(COUNT($I$9:AE$9)+$I$4))),TREND($E16:$F16,$E$9:$F$9,AE$9))</f>
        <v>8.1806440206196211E-5</v>
      </c>
      <c r="AF16">
        <f>IF($G16="s-curve",$E16+($F16-$E16)*$I$2/(1+EXP($I$3*(COUNT($I$9:AF$9)+$I$4))),TREND($E16:$F16,$E$9:$F$9,AF$9))</f>
        <v>8.231295233312636E-5</v>
      </c>
      <c r="AG16">
        <f>IF($G16="s-curve",$E16+($F16-$E16)*$I$2/(1+EXP($I$3*(COUNT($I$9:AG$9)+$I$4))),TREND($E16:$F16,$E$9:$F$9,AG$9))</f>
        <v>8.2707612172369687E-5</v>
      </c>
      <c r="AH16">
        <f>IF($G16="s-curve",$E16+($F16-$E16)*$I$2/(1+EXP($I$3*(COUNT($I$9:AH$9)+$I$4))),TREND($E16:$F16,$E$9:$F$9,AH$9))</f>
        <v>8.3011382838198827E-5</v>
      </c>
      <c r="AI16">
        <f>IF($G16="s-curve",$E16+($F16-$E16)*$I$2/(1+EXP($I$3*(COUNT($I$9:AI$9)+$I$4))),TREND($E16:$F16,$E$9:$F$9,AI$9))</f>
        <v>8.3243002660579157E-5</v>
      </c>
      <c r="AJ16">
        <f>IF($G16="s-curve",$E16+($F16-$E16)*$I$2/(1+EXP($I$3*(COUNT($I$9:AJ$9)+$I$4))),TREND($E16:$F16,$E$9:$F$9,AJ$9))</f>
        <v>8.341834277337592E-5</v>
      </c>
    </row>
    <row r="17" spans="1:36" x14ac:dyDescent="0.25">
      <c r="A17" t="s">
        <v>12</v>
      </c>
      <c r="B17" t="s">
        <v>18</v>
      </c>
      <c r="C17" t="s">
        <v>1</v>
      </c>
      <c r="E17" s="22">
        <v>0.05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0.05</v>
      </c>
      <c r="J17">
        <f>IF($G17="s-curve",$E17+($F17-$E17)*$X$2/(1+EXP($X$3*(COUNT($I$9:J$9)+$X$4))),TREND($E17:$F17,$E$9:$F$9,J$9))</f>
        <v>8.0680691463527979E-2</v>
      </c>
      <c r="K17">
        <f>IF($G17="s-curve",$E17+($F17-$E17)*$X$2/(1+EXP($X$3*(COUNT($I$9:K$9)+$X$4))),TREND($E17:$F17,$E$9:$F$9,K$9))</f>
        <v>9.505457951868844E-2</v>
      </c>
      <c r="L17">
        <f>IF($G17="s-curve",$E17+($F17-$E17)*$X$2/(1+EXP($X$3*(COUNT($I$9:L$9)+$X$4))),TREND($E17:$F17,$E$9:$F$9,L$9))</f>
        <v>0.11568149932617947</v>
      </c>
      <c r="M17">
        <f>IF($G17="s-curve",$E17+($F17-$E17)*$X$2/(1+EXP($X$3*(COUNT($I$9:M$9)+$X$4))),TREND($E17:$F17,$E$9:$F$9,M$9))</f>
        <v>0.14476296466370087</v>
      </c>
      <c r="N17">
        <f>IF($G17="s-curve",$E17+($F17-$E17)*$X$2/(1+EXP($X$3*(COUNT($I$9:N$9)+$X$4))),TREND($E17:$F17,$E$9:$F$9,N$9))</f>
        <v>0.18475851165546336</v>
      </c>
      <c r="O17">
        <f>IF($G17="s-curve",$E17+($F17-$E17)*$X$2/(1+EXP($X$3*(COUNT($I$9:O$9)+$X$4))),TREND($E17:$F17,$E$9:$F$9,O$9))</f>
        <v>0.23792530586934729</v>
      </c>
      <c r="P17">
        <f>IF($G17="s-curve",$E17+($F17-$E17)*$X$2/(1+EXP($X$3*(COUNT($I$9:P$9)+$X$4))),TREND($E17:$F17,$E$9:$F$9,P$9))</f>
        <v>0.30549435030149535</v>
      </c>
      <c r="Q17">
        <f>IF($G17="s-curve",$E17+($F17-$E17)*$X$2/(1+EXP($X$3*(COUNT($I$9:Q$9)+$X$4))),TREND($E17:$F17,$E$9:$F$9,Q$9))</f>
        <v>0.38662650908549429</v>
      </c>
      <c r="R17">
        <f>IF($G17="s-curve",$E17+($F17-$E17)*$X$2/(1+EXP($X$3*(COUNT($I$9:R$9)+$X$4))),TREND($E17:$F17,$E$9:$F$9,R$9))</f>
        <v>0.47765770255314599</v>
      </c>
      <c r="S17">
        <f>IF($G17="s-curve",$E17+($F17-$E17)*$X$2/(1+EXP($X$3*(COUNT($I$9:S$9)+$X$4))),TREND($E17:$F17,$E$9:$F$9,S$9))</f>
        <v>0.57234229744685405</v>
      </c>
      <c r="T17">
        <f>IF($G17="s-curve",$E17+($F17-$E17)*$X$2/(1+EXP($X$3*(COUNT($I$9:T$9)+$X$4))),TREND($E17:$F17,$E$9:$F$9,T$9))</f>
        <v>0.6633734909145057</v>
      </c>
      <c r="U17">
        <f>IF($G17="s-curve",$E17+($F17-$E17)*$X$2/(1+EXP($X$3*(COUNT($I$9:U$9)+$X$4))),TREND($E17:$F17,$E$9:$F$9,U$9))</f>
        <v>0.74450564969850463</v>
      </c>
      <c r="V17">
        <f>IF($G17="s-curve",$E17+($F17-$E17)*$X$2/(1+EXP($X$3*(COUNT($I$9:V$9)+$X$4))),TREND($E17:$F17,$E$9:$F$9,V$9))</f>
        <v>0.8120746941306527</v>
      </c>
      <c r="W17">
        <f>IF($G17="s-curve",$E17+($F17-$E17)*$X$2/(1+EXP($X$3*(COUNT($I$9:W$9)+$X$4))),TREND($E17:$F17,$E$9:$F$9,W$9))</f>
        <v>0.86524148834453662</v>
      </c>
      <c r="X17">
        <f>IF($G17="s-curve",$E17+($F17-$E17)*$X$2/(1+EXP($X$3*(COUNT($I$9:X$9)+$X$4))),TREND($E17:$F17,$E$9:$F$9,X$9))</f>
        <v>0.90523703533629907</v>
      </c>
      <c r="Y17">
        <f>IF($G17="s-curve",$E17+($F17-$E17)*$X$2/(1+EXP($X$3*(COUNT($I$9:Y$9)+$X$4))),TREND($E17:$F17,$E$9:$F$9,Y$9))</f>
        <v>0.93431850067382061</v>
      </c>
      <c r="Z17">
        <f>IF($G17="s-curve",$E17+($F17-$E17)*$X$2/(1+EXP($X$3*(COUNT($I$9:Z$9)+$X$4))),TREND($E17:$F17,$E$9:$F$9,Z$9))</f>
        <v>0.9549454204813117</v>
      </c>
      <c r="AA17">
        <f>IF($G17="s-curve",$E17+($F17-$E17)*$X$2/(1+EXP($X$3*(COUNT($I$9:AA$9)+$X$4))),TREND($E17:$F17,$E$9:$F$9,AA$9))</f>
        <v>0.96931930853647208</v>
      </c>
      <c r="AB17">
        <f>IF($G17="s-curve",$E17+($F17-$E17)*$X$2/(1+EXP($X$3*(COUNT($I$9:AB$9)+$X$4))),TREND($E17:$F17,$E$9:$F$9,AB$9))</f>
        <v>0.97921279261067595</v>
      </c>
      <c r="AC17">
        <f>IF($G17="s-curve",$E17+($F17-$E17)*$X$2/(1+EXP($X$3*(COUNT($I$9:AC$9)+$X$4))),TREND($E17:$F17,$E$9:$F$9,AC$9))</f>
        <v>0.98596466989139064</v>
      </c>
      <c r="AD17">
        <f>IF($G17="s-curve",$E17+($F17-$E17)*$X$2/(1+EXP($X$3*(COUNT($I$9:AD$9)+$X$4))),TREND($E17:$F17,$E$9:$F$9,AD$9))</f>
        <v>0.9905457882264409</v>
      </c>
      <c r="AE17">
        <f>IF($G17="s-curve",$E17+($F17-$E17)*$X$2/(1+EXP($X$3*(COUNT($I$9:AE$9)+$X$4))),TREND($E17:$F17,$E$9:$F$9,AE$9))</f>
        <v>0.99364179162192945</v>
      </c>
      <c r="AF17">
        <f>IF($G17="s-curve",$E17+($F17-$E17)*$X$2/(1+EXP($X$3*(COUNT($I$9:AF$9)+$X$4))),TREND($E17:$F17,$E$9:$F$9,AF$9))</f>
        <v>0.99572854049710591</v>
      </c>
      <c r="AG17">
        <f>IF($G17="s-curve",$E17+($F17-$E17)*$X$2/(1+EXP($X$3*(COUNT($I$9:AG$9)+$X$4))),TREND($E17:$F17,$E$9:$F$9,AG$9))</f>
        <v>0.99713250449152702</v>
      </c>
      <c r="AH17">
        <f>IF($G17="s-curve",$E17+($F17-$E17)*$X$2/(1+EXP($X$3*(COUNT($I$9:AH$9)+$X$4))),TREND($E17:$F17,$E$9:$F$9,AH$9))</f>
        <v>0.99807594563040258</v>
      </c>
      <c r="AI17">
        <f>IF($G17="s-curve",$E17+($F17-$E17)*$X$2/(1+EXP($X$3*(COUNT($I$9:AI$9)+$X$4))),TREND($E17:$F17,$E$9:$F$9,AI$9))</f>
        <v>0.99870940604709257</v>
      </c>
      <c r="AJ17">
        <f>IF($G17="s-curve",$E17+($F17-$E17)*$X$2/(1+EXP($X$3*(COUNT($I$9:AJ$9)+$X$4))),TREND($E17:$F17,$E$9:$F$9,AJ$9))</f>
        <v>0.99913450136531945</v>
      </c>
    </row>
    <row r="18" spans="1:36" x14ac:dyDescent="0.25">
      <c r="C18" t="s">
        <v>2</v>
      </c>
      <c r="E18" s="22">
        <f>'SYVbT-freight'!C$2/'SYVbT-freight'!$2:$2</f>
        <v>1.4602096920145425E-3</v>
      </c>
      <c r="F18" s="22">
        <f>F11</f>
        <v>2.5894039862612868E-5</v>
      </c>
      <c r="G18" s="7" t="s">
        <v>109</v>
      </c>
      <c r="I18" s="22">
        <f t="shared" si="1"/>
        <v>1.4602096920145425E-3</v>
      </c>
      <c r="J18">
        <f>IF($G18="s-curve",$E18+($F18-$E18)*$I$2/(1+EXP($I$3*(COUNT($I$9:J$9)+$I$4))),TREND($E18:$F18,$E$9:$F$9,J$9))</f>
        <v>1.4602096920145469E-3</v>
      </c>
      <c r="K18">
        <f>IF($G18="s-curve",$E18+($F18-$E18)*$I$2/(1+EXP($I$3*(COUNT($I$9:K$9)+$I$4))),TREND($E18:$F18,$E$9:$F$9,K$9))</f>
        <v>1.4050437053933218E-3</v>
      </c>
      <c r="L18">
        <f>IF($G18="s-curve",$E18+($F18-$E18)*$I$2/(1+EXP($I$3*(COUNT($I$9:L$9)+$I$4))),TREND($E18:$F18,$E$9:$F$9,L$9))</f>
        <v>1.3498777187720967E-3</v>
      </c>
      <c r="M18">
        <f>IF($G18="s-curve",$E18+($F18-$E18)*$I$2/(1+EXP($I$3*(COUNT($I$9:M$9)+$I$4))),TREND($E18:$F18,$E$9:$F$9,M$9))</f>
        <v>1.2947117321508717E-3</v>
      </c>
      <c r="N18">
        <f>IF($G18="s-curve",$E18+($F18-$E18)*$I$2/(1+EXP($I$3*(COUNT($I$9:N$9)+$I$4))),TREND($E18:$F18,$E$9:$F$9,N$9))</f>
        <v>1.2395457455296327E-3</v>
      </c>
      <c r="O18">
        <f>IF($G18="s-curve",$E18+($F18-$E18)*$I$2/(1+EXP($I$3*(COUNT($I$9:O$9)+$I$4))),TREND($E18:$F18,$E$9:$F$9,O$9))</f>
        <v>1.1843797589084076E-3</v>
      </c>
      <c r="P18">
        <f>IF($G18="s-curve",$E18+($F18-$E18)*$I$2/(1+EXP($I$3*(COUNT($I$9:P$9)+$I$4))),TREND($E18:$F18,$E$9:$F$9,P$9))</f>
        <v>1.1292137722871826E-3</v>
      </c>
      <c r="Q18">
        <f>IF($G18="s-curve",$E18+($F18-$E18)*$I$2/(1+EXP($I$3*(COUNT($I$9:Q$9)+$I$4))),TREND($E18:$F18,$E$9:$F$9,Q$9))</f>
        <v>1.0740477856659575E-3</v>
      </c>
      <c r="R18">
        <f>IF($G18="s-curve",$E18+($F18-$E18)*$I$2/(1+EXP($I$3*(COUNT($I$9:R$9)+$I$4))),TREND($E18:$F18,$E$9:$F$9,R$9))</f>
        <v>1.0188817990447185E-3</v>
      </c>
      <c r="S18">
        <f>IF($G18="s-curve",$E18+($F18-$E18)*$I$2/(1+EXP($I$3*(COUNT($I$9:S$9)+$I$4))),TREND($E18:$F18,$E$9:$F$9,S$9))</f>
        <v>9.6371581242349347E-4</v>
      </c>
      <c r="T18">
        <f>IF($G18="s-curve",$E18+($F18-$E18)*$I$2/(1+EXP($I$3*(COUNT($I$9:T$9)+$I$4))),TREND($E18:$F18,$E$9:$F$9,T$9))</f>
        <v>9.085498258022684E-4</v>
      </c>
      <c r="U18">
        <f>IF($G18="s-curve",$E18+($F18-$E18)*$I$2/(1+EXP($I$3*(COUNT($I$9:U$9)+$I$4))),TREND($E18:$F18,$E$9:$F$9,U$9))</f>
        <v>8.5338383918104332E-4</v>
      </c>
      <c r="V18">
        <f>IF($G18="s-curve",$E18+($F18-$E18)*$I$2/(1+EXP($I$3*(COUNT($I$9:V$9)+$I$4))),TREND($E18:$F18,$E$9:$F$9,V$9))</f>
        <v>7.9821785255981825E-4</v>
      </c>
      <c r="W18">
        <f>IF($G18="s-curve",$E18+($F18-$E18)*$I$2/(1+EXP($I$3*(COUNT($I$9:W$9)+$I$4))),TREND($E18:$F18,$E$9:$F$9,W$9))</f>
        <v>7.430518659385793E-4</v>
      </c>
      <c r="X18">
        <f>IF($G18="s-curve",$E18+($F18-$E18)*$I$2/(1+EXP($I$3*(COUNT($I$9:X$9)+$I$4))),TREND($E18:$F18,$E$9:$F$9,X$9))</f>
        <v>6.8788587931735423E-4</v>
      </c>
      <c r="Y18">
        <f>IF($G18="s-curve",$E18+($F18-$E18)*$I$2/(1+EXP($I$3*(COUNT($I$9:Y$9)+$I$4))),TREND($E18:$F18,$E$9:$F$9,Y$9))</f>
        <v>6.3271989269612916E-4</v>
      </c>
      <c r="Z18">
        <f>IF($G18="s-curve",$E18+($F18-$E18)*$I$2/(1+EXP($I$3*(COUNT($I$9:Z$9)+$I$4))),TREND($E18:$F18,$E$9:$F$9,Z$9))</f>
        <v>5.7755390607490409E-4</v>
      </c>
      <c r="AA18">
        <f>IF($G18="s-curve",$E18+($F18-$E18)*$I$2/(1+EXP($I$3*(COUNT($I$9:AA$9)+$I$4))),TREND($E18:$F18,$E$9:$F$9,AA$9))</f>
        <v>5.2238791945367902E-4</v>
      </c>
      <c r="AB18">
        <f>IF($G18="s-curve",$E18+($F18-$E18)*$I$2/(1+EXP($I$3*(COUNT($I$9:AB$9)+$I$4))),TREND($E18:$F18,$E$9:$F$9,AB$9))</f>
        <v>4.6722193283244007E-4</v>
      </c>
      <c r="AC18">
        <f>IF($G18="s-curve",$E18+($F18-$E18)*$I$2/(1+EXP($I$3*(COUNT($I$9:AC$9)+$I$4))),TREND($E18:$F18,$E$9:$F$9,AC$9))</f>
        <v>4.12055946211215E-4</v>
      </c>
      <c r="AD18">
        <f>IF($G18="s-curve",$E18+($F18-$E18)*$I$2/(1+EXP($I$3*(COUNT($I$9:AD$9)+$I$4))),TREND($E18:$F18,$E$9:$F$9,AD$9))</f>
        <v>3.5688995958998992E-4</v>
      </c>
      <c r="AE18">
        <f>IF($G18="s-curve",$E18+($F18-$E18)*$I$2/(1+EXP($I$3*(COUNT($I$9:AE$9)+$I$4))),TREND($E18:$F18,$E$9:$F$9,AE$9))</f>
        <v>3.0172397296876485E-4</v>
      </c>
      <c r="AF18">
        <f>IF($G18="s-curve",$E18+($F18-$E18)*$I$2/(1+EXP($I$3*(COUNT($I$9:AF$9)+$I$4))),TREND($E18:$F18,$E$9:$F$9,AF$9))</f>
        <v>2.465579863475259E-4</v>
      </c>
      <c r="AG18">
        <f>IF($G18="s-curve",$E18+($F18-$E18)*$I$2/(1+EXP($I$3*(COUNT($I$9:AG$9)+$I$4))),TREND($E18:$F18,$E$9:$F$9,AG$9))</f>
        <v>1.9139199972630083E-4</v>
      </c>
      <c r="AH18">
        <f>IF($G18="s-curve",$E18+($F18-$E18)*$I$2/(1+EXP($I$3*(COUNT($I$9:AH$9)+$I$4))),TREND($E18:$F18,$E$9:$F$9,AH$9))</f>
        <v>1.3622601310507576E-4</v>
      </c>
      <c r="AI18">
        <f>IF($G18="s-curve",$E18+($F18-$E18)*$I$2/(1+EXP($I$3*(COUNT($I$9:AI$9)+$I$4))),TREND($E18:$F18,$E$9:$F$9,AI$9))</f>
        <v>8.1060026483850689E-5</v>
      </c>
      <c r="AJ18">
        <f>IF($G18="s-curve",$E18+($F18-$E18)*$I$2/(1+EXP($I$3*(COUNT($I$9:AJ$9)+$I$4))),TREND($E18:$F18,$E$9:$F$9,AJ$9))</f>
        <v>2.5894039862625617E-5</v>
      </c>
    </row>
    <row r="19" spans="1:36" x14ac:dyDescent="0.25">
      <c r="C19" t="s">
        <v>3</v>
      </c>
      <c r="E19" s="22">
        <v>3</v>
      </c>
      <c r="F19">
        <v>3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3</v>
      </c>
      <c r="J19">
        <f>IF($G19="s-curve",$E19+($F19-$E19)*$I$2/(1+EXP($I$3*(COUNT($I$9:J$9)+$I$4))),TREND($E19:$F19,$E$9:$F$9,J$9))</f>
        <v>3</v>
      </c>
      <c r="K19">
        <f>IF($G19="s-curve",$E19+($F19-$E19)*$I$2/(1+EXP($I$3*(COUNT($I$9:K$9)+$I$4))),TREND($E19:$F19,$E$9:$F$9,K$9))</f>
        <v>3</v>
      </c>
      <c r="L19">
        <f>IF($G19="s-curve",$E19+($F19-$E19)*$I$2/(1+EXP($I$3*(COUNT($I$9:L$9)+$I$4))),TREND($E19:$F19,$E$9:$F$9,L$9))</f>
        <v>3</v>
      </c>
      <c r="M19">
        <f>IF($G19="s-curve",$E19+($F19-$E19)*$I$2/(1+EXP($I$3*(COUNT($I$9:M$9)+$I$4))),TREND($E19:$F19,$E$9:$F$9,M$9))</f>
        <v>3</v>
      </c>
      <c r="N19">
        <f>IF($G19="s-curve",$E19+($F19-$E19)*$I$2/(1+EXP($I$3*(COUNT($I$9:N$9)+$I$4))),TREND($E19:$F19,$E$9:$F$9,N$9))</f>
        <v>3</v>
      </c>
      <c r="O19">
        <f>IF($G19="s-curve",$E19+($F19-$E19)*$I$2/(1+EXP($I$3*(COUNT($I$9:O$9)+$I$4))),TREND($E19:$F19,$E$9:$F$9,O$9))</f>
        <v>3</v>
      </c>
      <c r="P19">
        <f>IF($G19="s-curve",$E19+($F19-$E19)*$I$2/(1+EXP($I$3*(COUNT($I$9:P$9)+$I$4))),TREND($E19:$F19,$E$9:$F$9,P$9))</f>
        <v>3</v>
      </c>
      <c r="Q19">
        <f>IF($G19="s-curve",$E19+($F19-$E19)*$I$2/(1+EXP($I$3*(COUNT($I$9:Q$9)+$I$4))),TREND($E19:$F19,$E$9:$F$9,Q$9))</f>
        <v>3</v>
      </c>
      <c r="R19">
        <f>IF($G19="s-curve",$E19+($F19-$E19)*$I$2/(1+EXP($I$3*(COUNT($I$9:R$9)+$I$4))),TREND($E19:$F19,$E$9:$F$9,R$9))</f>
        <v>3</v>
      </c>
      <c r="S19">
        <f>IF($G19="s-curve",$E19+($F19-$E19)*$I$2/(1+EXP($I$3*(COUNT($I$9:S$9)+$I$4))),TREND($E19:$F19,$E$9:$F$9,S$9))</f>
        <v>3</v>
      </c>
      <c r="T19">
        <f>IF($G19="s-curve",$E19+($F19-$E19)*$I$2/(1+EXP($I$3*(COUNT($I$9:T$9)+$I$4))),TREND($E19:$F19,$E$9:$F$9,T$9))</f>
        <v>3</v>
      </c>
      <c r="U19">
        <f>IF($G19="s-curve",$E19+($F19-$E19)*$I$2/(1+EXP($I$3*(COUNT($I$9:U$9)+$I$4))),TREND($E19:$F19,$E$9:$F$9,U$9))</f>
        <v>3</v>
      </c>
      <c r="V19">
        <f>IF($G19="s-curve",$E19+($F19-$E19)*$I$2/(1+EXP($I$3*(COUNT($I$9:V$9)+$I$4))),TREND($E19:$F19,$E$9:$F$9,V$9))</f>
        <v>3</v>
      </c>
      <c r="W19">
        <f>IF($G19="s-curve",$E19+($F19-$E19)*$I$2/(1+EXP($I$3*(COUNT($I$9:W$9)+$I$4))),TREND($E19:$F19,$E$9:$F$9,W$9))</f>
        <v>3</v>
      </c>
      <c r="X19">
        <f>IF($G19="s-curve",$E19+($F19-$E19)*$I$2/(1+EXP($I$3*(COUNT($I$9:X$9)+$I$4))),TREND($E19:$F19,$E$9:$F$9,X$9))</f>
        <v>3</v>
      </c>
      <c r="Y19">
        <f>IF($G19="s-curve",$E19+($F19-$E19)*$I$2/(1+EXP($I$3*(COUNT($I$9:Y$9)+$I$4))),TREND($E19:$F19,$E$9:$F$9,Y$9))</f>
        <v>3</v>
      </c>
      <c r="Z19">
        <f>IF($G19="s-curve",$E19+($F19-$E19)*$I$2/(1+EXP($I$3*(COUNT($I$9:Z$9)+$I$4))),TREND($E19:$F19,$E$9:$F$9,Z$9))</f>
        <v>3</v>
      </c>
      <c r="AA19">
        <f>IF($G19="s-curve",$E19+($F19-$E19)*$I$2/(1+EXP($I$3*(COUNT($I$9:AA$9)+$I$4))),TREND($E19:$F19,$E$9:$F$9,AA$9))</f>
        <v>3</v>
      </c>
      <c r="AB19">
        <f>IF($G19="s-curve",$E19+($F19-$E19)*$I$2/(1+EXP($I$3*(COUNT($I$9:AB$9)+$I$4))),TREND($E19:$F19,$E$9:$F$9,AB$9))</f>
        <v>3</v>
      </c>
      <c r="AC19">
        <f>IF($G19="s-curve",$E19+($F19-$E19)*$I$2/(1+EXP($I$3*(COUNT($I$9:AC$9)+$I$4))),TREND($E19:$F19,$E$9:$F$9,AC$9))</f>
        <v>3</v>
      </c>
      <c r="AD19">
        <f>IF($G19="s-curve",$E19+($F19-$E19)*$I$2/(1+EXP($I$3*(COUNT($I$9:AD$9)+$I$4))),TREND($E19:$F19,$E$9:$F$9,AD$9))</f>
        <v>3</v>
      </c>
      <c r="AE19">
        <f>IF($G19="s-curve",$E19+($F19-$E19)*$I$2/(1+EXP($I$3*(COUNT($I$9:AE$9)+$I$4))),TREND($E19:$F19,$E$9:$F$9,AE$9))</f>
        <v>3</v>
      </c>
      <c r="AF19">
        <f>IF($G19="s-curve",$E19+($F19-$E19)*$I$2/(1+EXP($I$3*(COUNT($I$9:AF$9)+$I$4))),TREND($E19:$F19,$E$9:$F$9,AF$9))</f>
        <v>3</v>
      </c>
      <c r="AG19">
        <f>IF($G19="s-curve",$E19+($F19-$E19)*$I$2/(1+EXP($I$3*(COUNT($I$9:AG$9)+$I$4))),TREND($E19:$F19,$E$9:$F$9,AG$9))</f>
        <v>3</v>
      </c>
      <c r="AH19">
        <f>IF($G19="s-curve",$E19+($F19-$E19)*$I$2/(1+EXP($I$3*(COUNT($I$9:AH$9)+$I$4))),TREND($E19:$F19,$E$9:$F$9,AH$9))</f>
        <v>3</v>
      </c>
      <c r="AI19">
        <f>IF($G19="s-curve",$E19+($F19-$E19)*$I$2/(1+EXP($I$3*(COUNT($I$9:AI$9)+$I$4))),TREND($E19:$F19,$E$9:$F$9,AI$9))</f>
        <v>3</v>
      </c>
      <c r="AJ19">
        <f>IF($G19="s-curve",$E19+($F19-$E19)*$I$2/(1+EXP($I$3*(COUNT($I$9:AJ$9)+$I$4))),TREND($E19:$F19,$E$9:$F$9,AJ$9))</f>
        <v>3</v>
      </c>
    </row>
    <row r="20" spans="1:36" x14ac:dyDescent="0.25">
      <c r="C20" t="s">
        <v>4</v>
      </c>
      <c r="E20" s="22">
        <v>3</v>
      </c>
      <c r="F20" s="49">
        <v>3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3</v>
      </c>
      <c r="J20">
        <f>IF($G20="s-curve",$E20+($F20-$E20)*$I$2/(1+EXP($I$3*(COUNT($I$9:J$9)+$I$4))),TREND($E20:$F20,$E$9:$F$9,J$9))</f>
        <v>3</v>
      </c>
      <c r="K20">
        <f>IF($G20="s-curve",$E20+($F20-$E20)*$I$2/(1+EXP($I$3*(COUNT($I$9:K$9)+$I$4))),TREND($E20:$F20,$E$9:$F$9,K$9))</f>
        <v>3</v>
      </c>
      <c r="L20">
        <f>IF($G20="s-curve",$E20+($F20-$E20)*$I$2/(1+EXP($I$3*(COUNT($I$9:L$9)+$I$4))),TREND($E20:$F20,$E$9:$F$9,L$9))</f>
        <v>3</v>
      </c>
      <c r="M20">
        <f>IF($G20="s-curve",$E20+($F20-$E20)*$I$2/(1+EXP($I$3*(COUNT($I$9:M$9)+$I$4))),TREND($E20:$F20,$E$9:$F$9,M$9))</f>
        <v>3</v>
      </c>
      <c r="N20">
        <f>IF($G20="s-curve",$E20+($F20-$E20)*$I$2/(1+EXP($I$3*(COUNT($I$9:N$9)+$I$4))),TREND($E20:$F20,$E$9:$F$9,N$9))</f>
        <v>3</v>
      </c>
      <c r="O20">
        <f>IF($G20="s-curve",$E20+($F20-$E20)*$I$2/(1+EXP($I$3*(COUNT($I$9:O$9)+$I$4))),TREND($E20:$F20,$E$9:$F$9,O$9))</f>
        <v>3</v>
      </c>
      <c r="P20">
        <f>IF($G20="s-curve",$E20+($F20-$E20)*$I$2/(1+EXP($I$3*(COUNT($I$9:P$9)+$I$4))),TREND($E20:$F20,$E$9:$F$9,P$9))</f>
        <v>3</v>
      </c>
      <c r="Q20">
        <f>IF($G20="s-curve",$E20+($F20-$E20)*$I$2/(1+EXP($I$3*(COUNT($I$9:Q$9)+$I$4))),TREND($E20:$F20,$E$9:$F$9,Q$9))</f>
        <v>3</v>
      </c>
      <c r="R20">
        <f>IF($G20="s-curve",$E20+($F20-$E20)*$I$2/(1+EXP($I$3*(COUNT($I$9:R$9)+$I$4))),TREND($E20:$F20,$E$9:$F$9,R$9))</f>
        <v>3</v>
      </c>
      <c r="S20">
        <f>IF($G20="s-curve",$E20+($F20-$E20)*$I$2/(1+EXP($I$3*(COUNT($I$9:S$9)+$I$4))),TREND($E20:$F20,$E$9:$F$9,S$9))</f>
        <v>3</v>
      </c>
      <c r="T20">
        <f>IF($G20="s-curve",$E20+($F20-$E20)*$I$2/(1+EXP($I$3*(COUNT($I$9:T$9)+$I$4))),TREND($E20:$F20,$E$9:$F$9,T$9))</f>
        <v>3</v>
      </c>
      <c r="U20">
        <f>IF($G20="s-curve",$E20+($F20-$E20)*$I$2/(1+EXP($I$3*(COUNT($I$9:U$9)+$I$4))),TREND($E20:$F20,$E$9:$F$9,U$9))</f>
        <v>3</v>
      </c>
      <c r="V20">
        <f>IF($G20="s-curve",$E20+($F20-$E20)*$I$2/(1+EXP($I$3*(COUNT($I$9:V$9)+$I$4))),TREND($E20:$F20,$E$9:$F$9,V$9))</f>
        <v>3</v>
      </c>
      <c r="W20">
        <f>IF($G20="s-curve",$E20+($F20-$E20)*$I$2/(1+EXP($I$3*(COUNT($I$9:W$9)+$I$4))),TREND($E20:$F20,$E$9:$F$9,W$9))</f>
        <v>3</v>
      </c>
      <c r="X20">
        <f>IF($G20="s-curve",$E20+($F20-$E20)*$I$2/(1+EXP($I$3*(COUNT($I$9:X$9)+$I$4))),TREND($E20:$F20,$E$9:$F$9,X$9))</f>
        <v>3</v>
      </c>
      <c r="Y20">
        <f>IF($G20="s-curve",$E20+($F20-$E20)*$I$2/(1+EXP($I$3*(COUNT($I$9:Y$9)+$I$4))),TREND($E20:$F20,$E$9:$F$9,Y$9))</f>
        <v>3</v>
      </c>
      <c r="Z20">
        <f>IF($G20="s-curve",$E20+($F20-$E20)*$I$2/(1+EXP($I$3*(COUNT($I$9:Z$9)+$I$4))),TREND($E20:$F20,$E$9:$F$9,Z$9))</f>
        <v>3</v>
      </c>
      <c r="AA20">
        <f>IF($G20="s-curve",$E20+($F20-$E20)*$I$2/(1+EXP($I$3*(COUNT($I$9:AA$9)+$I$4))),TREND($E20:$F20,$E$9:$F$9,AA$9))</f>
        <v>3</v>
      </c>
      <c r="AB20">
        <f>IF($G20="s-curve",$E20+($F20-$E20)*$I$2/(1+EXP($I$3*(COUNT($I$9:AB$9)+$I$4))),TREND($E20:$F20,$E$9:$F$9,AB$9))</f>
        <v>3</v>
      </c>
      <c r="AC20">
        <f>IF($G20="s-curve",$E20+($F20-$E20)*$I$2/(1+EXP($I$3*(COUNT($I$9:AC$9)+$I$4))),TREND($E20:$F20,$E$9:$F$9,AC$9))</f>
        <v>3</v>
      </c>
      <c r="AD20">
        <f>IF($G20="s-curve",$E20+($F20-$E20)*$I$2/(1+EXP($I$3*(COUNT($I$9:AD$9)+$I$4))),TREND($E20:$F20,$E$9:$F$9,AD$9))</f>
        <v>3</v>
      </c>
      <c r="AE20">
        <f>IF($G20="s-curve",$E20+($F20-$E20)*$I$2/(1+EXP($I$3*(COUNT($I$9:AE$9)+$I$4))),TREND($E20:$F20,$E$9:$F$9,AE$9))</f>
        <v>3</v>
      </c>
      <c r="AF20">
        <f>IF($G20="s-curve",$E20+($F20-$E20)*$I$2/(1+EXP($I$3*(COUNT($I$9:AF$9)+$I$4))),TREND($E20:$F20,$E$9:$F$9,AF$9))</f>
        <v>3</v>
      </c>
      <c r="AG20">
        <f>IF($G20="s-curve",$E20+($F20-$E20)*$I$2/(1+EXP($I$3*(COUNT($I$9:AG$9)+$I$4))),TREND($E20:$F20,$E$9:$F$9,AG$9))</f>
        <v>3</v>
      </c>
      <c r="AH20">
        <f>IF($G20="s-curve",$E20+($F20-$E20)*$I$2/(1+EXP($I$3*(COUNT($I$9:AH$9)+$I$4))),TREND($E20:$F20,$E$9:$F$9,AH$9))</f>
        <v>3</v>
      </c>
      <c r="AI20">
        <f>IF($G20="s-curve",$E20+($F20-$E20)*$I$2/(1+EXP($I$3*(COUNT($I$9:AI$9)+$I$4))),TREND($E20:$F20,$E$9:$F$9,AI$9))</f>
        <v>3</v>
      </c>
      <c r="AJ20">
        <f>IF($G20="s-curve",$E20+($F20-$E20)*$I$2/(1+EXP($I$3*(COUNT($I$9:AJ$9)+$I$4))),TREND($E20:$F20,$E$9:$F$9,AJ$9))</f>
        <v>3</v>
      </c>
    </row>
    <row r="21" spans="1:36" x14ac:dyDescent="0.25">
      <c r="C21" t="s">
        <v>5</v>
      </c>
      <c r="E21" s="22">
        <f>'SYVbT-freight'!F$2/'SYVbT-freight'!$2:$2</f>
        <v>2.1516282027561148E-4</v>
      </c>
      <c r="F21" s="22">
        <f>F14</f>
        <v>0.25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2.1516282027561148E-4</v>
      </c>
      <c r="J21">
        <f>IF($G21="s-curve",$E21+($F21-$E21)*$I$2/(1+EXP($I$3*(COUNT($I$9:J$9)+$I$4))),TREND($E21:$F21,$E$9:$F$9,J$9))</f>
        <v>3.9054919212679093E-3</v>
      </c>
      <c r="K21">
        <f>IF($G21="s-curve",$E21+($F21-$E21)*$I$2/(1+EXP($I$3*(COUNT($I$9:K$9)+$I$4))),TREND($E21:$F21,$E$9:$F$9,K$9))</f>
        <v>5.1709703576581145E-3</v>
      </c>
      <c r="L21">
        <f>IF($G21="s-curve",$E21+($F21-$E21)*$I$2/(1+EXP($I$3*(COUNT($I$9:L$9)+$I$4))),TREND($E21:$F21,$E$9:$F$9,L$9))</f>
        <v>6.8586885303432267E-3</v>
      </c>
      <c r="M21">
        <f>IF($G21="s-curve",$E21+($F21-$E21)*$I$2/(1+EXP($I$3*(COUNT($I$9:M$9)+$I$4))),TREND($E21:$F21,$E$9:$F$9,M$9))</f>
        <v>9.1003065410301971E-3</v>
      </c>
      <c r="N21">
        <f>IF($G21="s-curve",$E21+($F21-$E21)*$I$2/(1+EXP($I$3*(COUNT($I$9:N$9)+$I$4))),TREND($E21:$F21,$E$9:$F$9,N$9))</f>
        <v>1.2061426830040387E-2</v>
      </c>
      <c r="O21">
        <f>IF($G21="s-curve",$E21+($F21-$E21)*$I$2/(1+EXP($I$3*(COUNT($I$9:O$9)+$I$4))),TREND($E21:$F21,$E$9:$F$9,O$9))</f>
        <v>1.5944952309633297E-2</v>
      </c>
      <c r="P21">
        <f>IF($G21="s-curve",$E21+($F21-$E21)*$I$2/(1+EXP($I$3*(COUNT($I$9:P$9)+$I$4))),TREND($E21:$F21,$E$9:$F$9,P$9))</f>
        <v>2.0990441271808647E-2</v>
      </c>
      <c r="Q21">
        <f>IF($G21="s-curve",$E21+($F21-$E21)*$I$2/(1+EXP($I$3*(COUNT($I$9:Q$9)+$I$4))),TREND($E21:$F21,$E$9:$F$9,Q$9))</f>
        <v>2.746589453944729E-2</v>
      </c>
      <c r="R21">
        <f>IF($G21="s-curve",$E21+($F21-$E21)*$I$2/(1+EXP($I$3*(COUNT($I$9:R$9)+$I$4))),TREND($E21:$F21,$E$9:$F$9,R$9))</f>
        <v>3.5647407970214477E-2</v>
      </c>
      <c r="S21">
        <f>IF($G21="s-curve",$E21+($F21-$E21)*$I$2/(1+EXP($I$3*(COUNT($I$9:S$9)+$I$4))),TREND($E21:$F21,$E$9:$F$9,S$9))</f>
        <v>4.5782292581672268E-2</v>
      </c>
      <c r="T21">
        <f>IF($G21="s-curve",$E21+($F21-$E21)*$I$2/(1+EXP($I$3*(COUNT($I$9:T$9)+$I$4))),TREND($E21:$F21,$E$9:$F$9,T$9))</f>
        <v>5.8034162085114943E-2</v>
      </c>
      <c r="U21">
        <f>IF($G21="s-curve",$E21+($F21-$E21)*$I$2/(1+EXP($I$3*(COUNT($I$9:U$9)+$I$4))),TREND($E21:$F21,$E$9:$F$9,U$9))</f>
        <v>7.2415594243807363E-2</v>
      </c>
      <c r="V21">
        <f>IF($G21="s-curve",$E21+($F21-$E21)*$I$2/(1+EXP($I$3*(COUNT($I$9:V$9)+$I$4))),TREND($E21:$F21,$E$9:$F$9,V$9))</f>
        <v>8.8724844675327416E-2</v>
      </c>
      <c r="W21">
        <f>IF($G21="s-curve",$E21+($F21-$E21)*$I$2/(1+EXP($I$3*(COUNT($I$9:W$9)+$I$4))),TREND($E21:$F21,$E$9:$F$9,W$9))</f>
        <v>0.10651296946908867</v>
      </c>
      <c r="X21">
        <f>IF($G21="s-curve",$E21+($F21-$E21)*$I$2/(1+EXP($I$3*(COUNT($I$9:X$9)+$I$4))),TREND($E21:$F21,$E$9:$F$9,X$9))</f>
        <v>0.12510758141013781</v>
      </c>
      <c r="Y21">
        <f>IF($G21="s-curve",$E21+($F21-$E21)*$I$2/(1+EXP($I$3*(COUNT($I$9:Y$9)+$I$4))),TREND($E21:$F21,$E$9:$F$9,Y$9))</f>
        <v>0.14370219335118695</v>
      </c>
      <c r="Z21">
        <f>IF($G21="s-curve",$E21+($F21-$E21)*$I$2/(1+EXP($I$3*(COUNT($I$9:Z$9)+$I$4))),TREND($E21:$F21,$E$9:$F$9,Z$9))</f>
        <v>0.16149031814494819</v>
      </c>
      <c r="AA21">
        <f>IF($G21="s-curve",$E21+($F21-$E21)*$I$2/(1+EXP($I$3*(COUNT($I$9:AA$9)+$I$4))),TREND($E21:$F21,$E$9:$F$9,AA$9))</f>
        <v>0.17779956857646825</v>
      </c>
      <c r="AB21">
        <f>IF($G21="s-curve",$E21+($F21-$E21)*$I$2/(1+EXP($I$3*(COUNT($I$9:AB$9)+$I$4))),TREND($E21:$F21,$E$9:$F$9,AB$9))</f>
        <v>0.19218100073516065</v>
      </c>
      <c r="AC21">
        <f>IF($G21="s-curve",$E21+($F21-$E21)*$I$2/(1+EXP($I$3*(COUNT($I$9:AC$9)+$I$4))),TREND($E21:$F21,$E$9:$F$9,AC$9))</f>
        <v>0.20443287023860335</v>
      </c>
      <c r="AD21">
        <f>IF($G21="s-curve",$E21+($F21-$E21)*$I$2/(1+EXP($I$3*(COUNT($I$9:AD$9)+$I$4))),TREND($E21:$F21,$E$9:$F$9,AD$9))</f>
        <v>0.21456775485006116</v>
      </c>
      <c r="AE21">
        <f>IF($G21="s-curve",$E21+($F21-$E21)*$I$2/(1+EXP($I$3*(COUNT($I$9:AE$9)+$I$4))),TREND($E21:$F21,$E$9:$F$9,AE$9))</f>
        <v>0.22274926828082833</v>
      </c>
      <c r="AF21">
        <f>IF($G21="s-curve",$E21+($F21-$E21)*$I$2/(1+EXP($I$3*(COUNT($I$9:AF$9)+$I$4))),TREND($E21:$F21,$E$9:$F$9,AF$9))</f>
        <v>0.22922472154846699</v>
      </c>
      <c r="AG21">
        <f>IF($G21="s-curve",$E21+($F21-$E21)*$I$2/(1+EXP($I$3*(COUNT($I$9:AG$9)+$I$4))),TREND($E21:$F21,$E$9:$F$9,AG$9))</f>
        <v>0.23427021051064234</v>
      </c>
      <c r="AH21">
        <f>IF($G21="s-curve",$E21+($F21-$E21)*$I$2/(1+EXP($I$3*(COUNT($I$9:AH$9)+$I$4))),TREND($E21:$F21,$E$9:$F$9,AH$9))</f>
        <v>0.23815373599023526</v>
      </c>
      <c r="AI21">
        <f>IF($G21="s-curve",$E21+($F21-$E21)*$I$2/(1+EXP($I$3*(COUNT($I$9:AI$9)+$I$4))),TREND($E21:$F21,$E$9:$F$9,AI$9))</f>
        <v>0.24111485627924542</v>
      </c>
      <c r="AJ21">
        <f>IF($G21="s-curve",$E21+($F21-$E21)*$I$2/(1+EXP($I$3*(COUNT($I$9:AJ$9)+$I$4))),TREND($E21:$F21,$E$9:$F$9,AJ$9))</f>
        <v>0.24335647428993237</v>
      </c>
    </row>
    <row r="22" spans="1:36" x14ac:dyDescent="0.25">
      <c r="C22" t="s">
        <v>111</v>
      </c>
      <c r="E22" s="22">
        <f>'SYVbT-freight'!G$2/'SYVbT-freight'!$2:$2</f>
        <v>3.1494949132297636E-4</v>
      </c>
      <c r="F22" s="22">
        <f>F15</f>
        <v>3.6399200194339569E-5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3.1494949132297636E-4</v>
      </c>
      <c r="J22">
        <f>IF($G22="s-curve",$E22+($F22-$E22)*$I$2/(1+EXP($I$3*(COUNT($I$9:J$9)+$I$4))),TREND($E22:$F22,$E$9:$F$9,J$9))</f>
        <v>3.1494949132297723E-4</v>
      </c>
      <c r="K22">
        <f>IF($G22="s-curve",$E22+($F22-$E22)*$I$2/(1+EXP($I$3*(COUNT($I$9:K$9)+$I$4))),TREND($E22:$F22,$E$9:$F$9,K$9))</f>
        <v>3.042360185872596E-4</v>
      </c>
      <c r="L22">
        <f>IF($G22="s-curve",$E22+($F22-$E22)*$I$2/(1+EXP($I$3*(COUNT($I$9:L$9)+$I$4))),TREND($E22:$F22,$E$9:$F$9,L$9))</f>
        <v>2.9352254585154544E-4</v>
      </c>
      <c r="M22">
        <f>IF($G22="s-curve",$E22+($F22-$E22)*$I$2/(1+EXP($I$3*(COUNT($I$9:M$9)+$I$4))),TREND($E22:$F22,$E$9:$F$9,M$9))</f>
        <v>2.8280907311582781E-4</v>
      </c>
      <c r="N22">
        <f>IF($G22="s-curve",$E22+($F22-$E22)*$I$2/(1+EXP($I$3*(COUNT($I$9:N$9)+$I$4))),TREND($E22:$F22,$E$9:$F$9,N$9))</f>
        <v>2.7209560038011019E-4</v>
      </c>
      <c r="O22">
        <f>IF($G22="s-curve",$E22+($F22-$E22)*$I$2/(1+EXP($I$3*(COUNT($I$9:O$9)+$I$4))),TREND($E22:$F22,$E$9:$F$9,O$9))</f>
        <v>2.6138212764439256E-4</v>
      </c>
      <c r="P22">
        <f>IF($G22="s-curve",$E22+($F22-$E22)*$I$2/(1+EXP($I$3*(COUNT($I$9:P$9)+$I$4))),TREND($E22:$F22,$E$9:$F$9,P$9))</f>
        <v>2.506686549086784E-4</v>
      </c>
      <c r="Q22">
        <f>IF($G22="s-curve",$E22+($F22-$E22)*$I$2/(1+EXP($I$3*(COUNT($I$9:Q$9)+$I$4))),TREND($E22:$F22,$E$9:$F$9,Q$9))</f>
        <v>2.3995518217296077E-4</v>
      </c>
      <c r="R22">
        <f>IF($G22="s-curve",$E22+($F22-$E22)*$I$2/(1+EXP($I$3*(COUNT($I$9:R$9)+$I$4))),TREND($E22:$F22,$E$9:$F$9,R$9))</f>
        <v>2.2924170943724315E-4</v>
      </c>
      <c r="S22">
        <f>IF($G22="s-curve",$E22+($F22-$E22)*$I$2/(1+EXP($I$3*(COUNT($I$9:S$9)+$I$4))),TREND($E22:$F22,$E$9:$F$9,S$9))</f>
        <v>2.1852823670152552E-4</v>
      </c>
      <c r="T22">
        <f>IF($G22="s-curve",$E22+($F22-$E22)*$I$2/(1+EXP($I$3*(COUNT($I$9:T$9)+$I$4))),TREND($E22:$F22,$E$9:$F$9,T$9))</f>
        <v>2.0781476396581136E-4</v>
      </c>
      <c r="U22">
        <f>IF($G22="s-curve",$E22+($F22-$E22)*$I$2/(1+EXP($I$3*(COUNT($I$9:U$9)+$I$4))),TREND($E22:$F22,$E$9:$F$9,U$9))</f>
        <v>1.9710129123009373E-4</v>
      </c>
      <c r="V22">
        <f>IF($G22="s-curve",$E22+($F22-$E22)*$I$2/(1+EXP($I$3*(COUNT($I$9:V$9)+$I$4))),TREND($E22:$F22,$E$9:$F$9,V$9))</f>
        <v>1.8638781849437611E-4</v>
      </c>
      <c r="W22">
        <f>IF($G22="s-curve",$E22+($F22-$E22)*$I$2/(1+EXP($I$3*(COUNT($I$9:W$9)+$I$4))),TREND($E22:$F22,$E$9:$F$9,W$9))</f>
        <v>1.7567434575865848E-4</v>
      </c>
      <c r="X22">
        <f>IF($G22="s-curve",$E22+($F22-$E22)*$I$2/(1+EXP($I$3*(COUNT($I$9:X$9)+$I$4))),TREND($E22:$F22,$E$9:$F$9,X$9))</f>
        <v>1.6496087302294432E-4</v>
      </c>
      <c r="Y22">
        <f>IF($G22="s-curve",$E22+($F22-$E22)*$I$2/(1+EXP($I$3*(COUNT($I$9:Y$9)+$I$4))),TREND($E22:$F22,$E$9:$F$9,Y$9))</f>
        <v>1.5424740028722669E-4</v>
      </c>
      <c r="Z22">
        <f>IF($G22="s-curve",$E22+($F22-$E22)*$I$2/(1+EXP($I$3*(COUNT($I$9:Z$9)+$I$4))),TREND($E22:$F22,$E$9:$F$9,Z$9))</f>
        <v>1.4353392755150907E-4</v>
      </c>
      <c r="AA22">
        <f>IF($G22="s-curve",$E22+($F22-$E22)*$I$2/(1+EXP($I$3*(COUNT($I$9:AA$9)+$I$4))),TREND($E22:$F22,$E$9:$F$9,AA$9))</f>
        <v>1.3282045481579144E-4</v>
      </c>
      <c r="AB22">
        <f>IF($G22="s-curve",$E22+($F22-$E22)*$I$2/(1+EXP($I$3*(COUNT($I$9:AB$9)+$I$4))),TREND($E22:$F22,$E$9:$F$9,AB$9))</f>
        <v>1.2210698208007728E-4</v>
      </c>
      <c r="AC22">
        <f>IF($G22="s-curve",$E22+($F22-$E22)*$I$2/(1+EXP($I$3*(COUNT($I$9:AC$9)+$I$4))),TREND($E22:$F22,$E$9:$F$9,AC$9))</f>
        <v>1.1139350934435965E-4</v>
      </c>
      <c r="AD22">
        <f>IF($G22="s-curve",$E22+($F22-$E22)*$I$2/(1+EXP($I$3*(COUNT($I$9:AD$9)+$I$4))),TREND($E22:$F22,$E$9:$F$9,AD$9))</f>
        <v>1.0068003660864203E-4</v>
      </c>
      <c r="AE22">
        <f>IF($G22="s-curve",$E22+($F22-$E22)*$I$2/(1+EXP($I$3*(COUNT($I$9:AE$9)+$I$4))),TREND($E22:$F22,$E$9:$F$9,AE$9))</f>
        <v>8.9966563872924399E-5</v>
      </c>
      <c r="AF22">
        <f>IF($G22="s-curve",$E22+($F22-$E22)*$I$2/(1+EXP($I$3*(COUNT($I$9:AF$9)+$I$4))),TREND($E22:$F22,$E$9:$F$9,AF$9))</f>
        <v>7.9253091137210241E-5</v>
      </c>
      <c r="AG22">
        <f>IF($G22="s-curve",$E22+($F22-$E22)*$I$2/(1+EXP($I$3*(COUNT($I$9:AG$9)+$I$4))),TREND($E22:$F22,$E$9:$F$9,AG$9))</f>
        <v>6.8539618401492614E-5</v>
      </c>
      <c r="AH22">
        <f>IF($G22="s-curve",$E22+($F22-$E22)*$I$2/(1+EXP($I$3*(COUNT($I$9:AH$9)+$I$4))),TREND($E22:$F22,$E$9:$F$9,AH$9))</f>
        <v>5.7826145665774986E-5</v>
      </c>
      <c r="AI22">
        <f>IF($G22="s-curve",$E22+($F22-$E22)*$I$2/(1+EXP($I$3*(COUNT($I$9:AI$9)+$I$4))),TREND($E22:$F22,$E$9:$F$9,AI$9))</f>
        <v>4.7112672930057359E-5</v>
      </c>
      <c r="AJ22">
        <f>IF($G22="s-curve",$E22+($F22-$E22)*$I$2/(1+EXP($I$3*(COUNT($I$9:AJ$9)+$I$4))),TREND($E22:$F22,$E$9:$F$9,AJ$9))</f>
        <v>3.6399200194339731E-5</v>
      </c>
    </row>
    <row r="23" spans="1:36" ht="15.75" thickBot="1" x14ac:dyDescent="0.3">
      <c r="A23" s="23"/>
      <c r="B23" s="23"/>
      <c r="C23" s="23" t="s">
        <v>112</v>
      </c>
      <c r="D23" s="23"/>
      <c r="E23" s="26">
        <f>'SYVbT-freight'!H$2/'SYVbT-freight'!$2:$2</f>
        <v>0</v>
      </c>
      <c r="F23" s="26">
        <f>F16</f>
        <v>8.3938001583136517E-5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0</v>
      </c>
      <c r="J23">
        <f>IF($G23="s-curve",$E23+($F23-$E23)*$I$2/(1+EXP($I$3*(COUNT($I$9:J$9)+$I$4))),TREND($E23:$F23,$E$9:$F$9,J$9))</f>
        <v>1.2401026956592628E-6</v>
      </c>
      <c r="K23">
        <f>IF($G23="s-curve",$E23+($F23-$E23)*$I$2/(1+EXP($I$3*(COUNT($I$9:K$9)+$I$4))),TREND($E23:$F23,$E$9:$F$9,K$9))</f>
        <v>1.6653556141169106E-6</v>
      </c>
      <c r="L23">
        <f>IF($G23="s-curve",$E23+($F23-$E23)*$I$2/(1+EXP($I$3*(COUNT($I$9:L$9)+$I$4))),TREND($E23:$F23,$E$9:$F$9,L$9))</f>
        <v>2.2324984889616389E-6</v>
      </c>
      <c r="M23">
        <f>IF($G23="s-curve",$E23+($F23-$E23)*$I$2/(1+EXP($I$3*(COUNT($I$9:M$9)+$I$4))),TREND($E23:$F23,$E$9:$F$9,M$9))</f>
        <v>2.9857745414805842E-6</v>
      </c>
      <c r="N23">
        <f>IF($G23="s-curve",$E23+($F23-$E23)*$I$2/(1+EXP($I$3*(COUNT($I$9:N$9)+$I$4))),TREND($E23:$F23,$E$9:$F$9,N$9))</f>
        <v>3.9808330178602321E-6</v>
      </c>
      <c r="O23">
        <f>IF($G23="s-curve",$E23+($F23-$E23)*$I$2/(1+EXP($I$3*(COUNT($I$9:O$9)+$I$4))),TREND($E23:$F23,$E$9:$F$9,O$9))</f>
        <v>5.2858576604075921E-6</v>
      </c>
      <c r="P23">
        <f>IF($G23="s-curve",$E23+($F23-$E23)*$I$2/(1+EXP($I$3*(COUNT($I$9:P$9)+$I$4))),TREND($E23:$F23,$E$9:$F$9,P$9))</f>
        <v>6.9813499299805894E-6</v>
      </c>
      <c r="Q23">
        <f>IF($G23="s-curve",$E23+($F23-$E23)*$I$2/(1+EXP($I$3*(COUNT($I$9:Q$9)+$I$4))),TREND($E23:$F23,$E$9:$F$9,Q$9))</f>
        <v>9.1573691502325181E-6</v>
      </c>
      <c r="R23">
        <f>IF($G23="s-curve",$E23+($F23-$E23)*$I$2/(1+EXP($I$3*(COUNT($I$9:R$9)+$I$4))),TREND($E23:$F23,$E$9:$F$9,R$9))</f>
        <v>1.1906694910186747E-5</v>
      </c>
      <c r="S23">
        <f>IF($G23="s-curve",$E23+($F23-$E23)*$I$2/(1+EXP($I$3*(COUNT($I$9:S$9)+$I$4))),TREND($E23:$F23,$E$9:$F$9,S$9))</f>
        <v>1.5312433906062449E-5</v>
      </c>
      <c r="T23">
        <f>IF($G23="s-curve",$E23+($F23-$E23)*$I$2/(1+EXP($I$3*(COUNT($I$9:T$9)+$I$4))),TREND($E23:$F23,$E$9:$F$9,T$9))</f>
        <v>1.9429567089116327E-5</v>
      </c>
      <c r="U23">
        <f>IF($G23="s-curve",$E23+($F23-$E23)*$I$2/(1+EXP($I$3*(COUNT($I$9:U$9)+$I$4))),TREND($E23:$F23,$E$9:$F$9,U$9))</f>
        <v>2.4262321106268815E-5</v>
      </c>
      <c r="V23">
        <f>IF($G23="s-curve",$E23+($F23-$E23)*$I$2/(1+EXP($I$3*(COUNT($I$9:V$9)+$I$4))),TREND($E23:$F23,$E$9:$F$9,V$9))</f>
        <v>2.974290152899362E-5</v>
      </c>
      <c r="W23">
        <f>IF($G23="s-curve",$E23+($F23-$E23)*$I$2/(1+EXP($I$3*(COUNT($I$9:W$9)+$I$4))),TREND($E23:$F23,$E$9:$F$9,W$9))</f>
        <v>3.5720444697578556E-5</v>
      </c>
      <c r="X23">
        <f>IF($G23="s-curve",$E23+($F23-$E23)*$I$2/(1+EXP($I$3*(COUNT($I$9:X$9)+$I$4))),TREND($E23:$F23,$E$9:$F$9,X$9))</f>
        <v>4.1969000791568258E-5</v>
      </c>
      <c r="Y23">
        <f>IF($G23="s-curve",$E23+($F23-$E23)*$I$2/(1+EXP($I$3*(COUNT($I$9:Y$9)+$I$4))),TREND($E23:$F23,$E$9:$F$9,Y$9))</f>
        <v>4.8217556885557961E-5</v>
      </c>
      <c r="Z23">
        <f>IF($G23="s-curve",$E23+($F23-$E23)*$I$2/(1+EXP($I$3*(COUNT($I$9:Z$9)+$I$4))),TREND($E23:$F23,$E$9:$F$9,Z$9))</f>
        <v>5.4195100054142894E-5</v>
      </c>
      <c r="AA23">
        <f>IF($G23="s-curve",$E23+($F23-$E23)*$I$2/(1+EXP($I$3*(COUNT($I$9:AA$9)+$I$4))),TREND($E23:$F23,$E$9:$F$9,AA$9))</f>
        <v>5.9675680476867698E-5</v>
      </c>
      <c r="AB23">
        <f>IF($G23="s-curve",$E23+($F23-$E23)*$I$2/(1+EXP($I$3*(COUNT($I$9:AB$9)+$I$4))),TREND($E23:$F23,$E$9:$F$9,AB$9))</f>
        <v>6.450843449402019E-5</v>
      </c>
      <c r="AC23">
        <f>IF($G23="s-curve",$E23+($F23-$E23)*$I$2/(1+EXP($I$3*(COUNT($I$9:AC$9)+$I$4))),TREND($E23:$F23,$E$9:$F$9,AC$9))</f>
        <v>6.8625567677074064E-5</v>
      </c>
      <c r="AD23">
        <f>IF($G23="s-curve",$E23+($F23-$E23)*$I$2/(1+EXP($I$3*(COUNT($I$9:AD$9)+$I$4))),TREND($E23:$F23,$E$9:$F$9,AD$9))</f>
        <v>7.2031306672949773E-5</v>
      </c>
      <c r="AE23">
        <f>IF($G23="s-curve",$E23+($F23-$E23)*$I$2/(1+EXP($I$3*(COUNT($I$9:AE$9)+$I$4))),TREND($E23:$F23,$E$9:$F$9,AE$9))</f>
        <v>7.4780632432904005E-5</v>
      </c>
      <c r="AF23">
        <f>IF($G23="s-curve",$E23+($F23-$E23)*$I$2/(1+EXP($I$3*(COUNT($I$9:AF$9)+$I$4))),TREND($E23:$F23,$E$9:$F$9,AF$9))</f>
        <v>7.6956651653155929E-5</v>
      </c>
      <c r="AG23">
        <f>IF($G23="s-curve",$E23+($F23-$E23)*$I$2/(1+EXP($I$3*(COUNT($I$9:AG$9)+$I$4))),TREND($E23:$F23,$E$9:$F$9,AG$9))</f>
        <v>7.8652143922728924E-5</v>
      </c>
      <c r="AH23">
        <f>IF($G23="s-curve",$E23+($F23-$E23)*$I$2/(1+EXP($I$3*(COUNT($I$9:AH$9)+$I$4))),TREND($E23:$F23,$E$9:$F$9,AH$9))</f>
        <v>7.9957168565276287E-5</v>
      </c>
      <c r="AI23">
        <f>IF($G23="s-curve",$E23+($F23-$E23)*$I$2/(1+EXP($I$3*(COUNT($I$9:AI$9)+$I$4))),TREND($E23:$F23,$E$9:$F$9,AI$9))</f>
        <v>8.0952227041655936E-5</v>
      </c>
      <c r="AJ23">
        <f>IF($G23="s-curve",$E23+($F23-$E23)*$I$2/(1+EXP($I$3*(COUNT($I$9:AJ$9)+$I$4))),TREND($E23:$F23,$E$9:$F$9,AJ$9))</f>
        <v>8.1705503094174872E-5</v>
      </c>
    </row>
    <row r="24" spans="1:36" x14ac:dyDescent="0.25">
      <c r="A24" t="s">
        <v>13</v>
      </c>
      <c r="B24" t="s">
        <v>19</v>
      </c>
      <c r="C24" t="s">
        <v>1</v>
      </c>
      <c r="D24">
        <v>1</v>
      </c>
      <c r="E24" s="22">
        <v>1</v>
      </c>
      <c r="F24" s="49">
        <v>1</v>
      </c>
      <c r="G24" s="7" t="str">
        <f>IF(E24=F24,"n/a",IF(OR(C24="battery electric vehicle",C24="natural gas vehicle",C24="plugin hybrid vehicle"),"s-curve","linear"))</f>
        <v>n/a</v>
      </c>
      <c r="I24" s="22">
        <f>D24</f>
        <v>1</v>
      </c>
      <c r="J24" s="22">
        <f>E24</f>
        <v>1</v>
      </c>
      <c r="K24">
        <f>IF($G24="s-curve",$E24+($F24-$E24)*$O$2/(1+EXP($O$3*(COUNT($K$9:K$9)+$O$4))),TREND($E24:$F24,$E$9:$F$9,K$9))</f>
        <v>1</v>
      </c>
      <c r="L24">
        <f>IF($G24="s-curve",$E24+($F24-$E24)*$O$2/(1+EXP($O$3*(COUNT($K$9:L$9)+$O$4))),TREND($E24:$F24,$E$9:$F$9,L$9))</f>
        <v>1</v>
      </c>
      <c r="M24">
        <f>IF($G24="s-curve",$E24+($F24-$E24)*$O$2/(1+EXP($O$3*(COUNT($K$9:M$9)+$O$4))),TREND($E24:$F24,$E$9:$F$9,M$9))</f>
        <v>1</v>
      </c>
      <c r="N24">
        <f>IF($G24="s-curve",$E24+($F24-$E24)*$O$2/(1+EXP($O$3*(COUNT($K$9:N$9)+$O$4))),TREND($E24:$F24,$E$9:$F$9,N$9))</f>
        <v>1</v>
      </c>
      <c r="O24">
        <f>IF($G24="s-curve",$E24+($F24-$E24)*$O$2/(1+EXP($O$3*(COUNT($K$9:O$9)+$O$4))),TREND($E24:$F24,$E$9:$F$9,O$9))</f>
        <v>1</v>
      </c>
      <c r="P24">
        <f>IF($G24="s-curve",$E24+($F24-$E24)*$O$2/(1+EXP($O$3*(COUNT($K$9:P$9)+$O$4))),TREND($E24:$F24,$E$9:$F$9,P$9))</f>
        <v>1</v>
      </c>
      <c r="Q24">
        <f>IF($G24="s-curve",$E24+($F24-$E24)*$O$2/(1+EXP($O$3*(COUNT($K$9:Q$9)+$O$4))),TREND($E24:$F24,$E$9:$F$9,Q$9))</f>
        <v>1</v>
      </c>
      <c r="R24">
        <f>IF($G24="s-curve",$E24+($F24-$E24)*$O$2/(1+EXP($O$3*(COUNT($K$9:R$9)+$O$4))),TREND($E24:$F24,$E$9:$F$9,R$9))</f>
        <v>1</v>
      </c>
      <c r="S24">
        <f>IF($G24="s-curve",$E24+($F24-$E24)*$O$2/(1+EXP($O$3*(COUNT($K$9:S$9)+$O$4))),TREND($E24:$F24,$E$9:$F$9,S$9))</f>
        <v>1</v>
      </c>
      <c r="T24">
        <f>IF($G24="s-curve",$E24+($F24-$E24)*$O$2/(1+EXP($O$3*(COUNT($K$9:T$9)+$O$4))),TREND($E24:$F24,$E$9:$F$9,T$9))</f>
        <v>1</v>
      </c>
      <c r="U24">
        <f>IF($G24="s-curve",$E24+($F24-$E24)*$O$2/(1+EXP($O$3*(COUNT($K$9:U$9)+$O$4))),TREND($E24:$F24,$E$9:$F$9,U$9))</f>
        <v>1</v>
      </c>
      <c r="V24">
        <f>IF($G24="s-curve",$E24+($F24-$E24)*$O$2/(1+EXP($O$3*(COUNT($K$9:V$9)+$O$4))),TREND($E24:$F24,$E$9:$F$9,V$9))</f>
        <v>1</v>
      </c>
      <c r="W24">
        <f>IF($G24="s-curve",$E24+($F24-$E24)*$O$2/(1+EXP($O$3*(COUNT($K$9:W$9)+$O$4))),TREND($E24:$F24,$E$9:$F$9,W$9))</f>
        <v>1</v>
      </c>
      <c r="X24">
        <f>IF($G24="s-curve",$E24+($F24-$E24)*$O$2/(1+EXP($O$3*(COUNT($K$9:X$9)+$O$4))),TREND($E24:$F24,$E$9:$F$9,X$9))</f>
        <v>1</v>
      </c>
      <c r="Y24">
        <f>IF($G24="s-curve",$E24+($F24-$E24)*$O$2/(1+EXP($O$3*(COUNT($K$9:Y$9)+$O$4))),TREND($E24:$F24,$E$9:$F$9,Y$9))</f>
        <v>1</v>
      </c>
      <c r="Z24">
        <f>IF($G24="s-curve",$E24+($F24-$E24)*$O$2/(1+EXP($O$3*(COUNT($K$9:Z$9)+$O$4))),TREND($E24:$F24,$E$9:$F$9,Z$9))</f>
        <v>1</v>
      </c>
      <c r="AA24">
        <f>IF($G24="s-curve",$E24+($F24-$E24)*$O$2/(1+EXP($O$3*(COUNT($K$9:AA$9)+$O$4))),TREND($E24:$F24,$E$9:$F$9,AA$9))</f>
        <v>1</v>
      </c>
      <c r="AB24">
        <f>IF($G24="s-curve",$E24+($F24-$E24)*$O$2/(1+EXP($O$3*(COUNT($K$9:AB$9)+$O$4))),TREND($E24:$F24,$E$9:$F$9,AB$9))</f>
        <v>1</v>
      </c>
      <c r="AC24">
        <f>IF($G24="s-curve",$E24+($F24-$E24)*$O$2/(1+EXP($O$3*(COUNT($K$9:AC$9)+$O$4))),TREND($E24:$F24,$E$9:$F$9,AC$9))</f>
        <v>1</v>
      </c>
      <c r="AD24">
        <f>IF($G24="s-curve",$E24+($F24-$E24)*$O$2/(1+EXP($O$3*(COUNT($K$9:AD$9)+$O$4))),TREND($E24:$F24,$E$9:$F$9,AD$9))</f>
        <v>1</v>
      </c>
      <c r="AE24">
        <f>IF($G24="s-curve",$E24+($F24-$E24)*$O$2/(1+EXP($O$3*(COUNT($K$9:AE$9)+$O$4))),TREND($E24:$F24,$E$9:$F$9,AE$9))</f>
        <v>1</v>
      </c>
      <c r="AF24">
        <f>IF($G24="s-curve",$E24+($F24-$E24)*$O$2/(1+EXP($O$3*(COUNT($K$9:AF$9)+$O$4))),TREND($E24:$F24,$E$9:$F$9,AF$9))</f>
        <v>1</v>
      </c>
      <c r="AG24">
        <f>IF($G24="s-curve",$E24+($F24-$E24)*$O$2/(1+EXP($O$3*(COUNT($K$9:AG$9)+$O$4))),TREND($E24:$F24,$E$9:$F$9,AG$9))</f>
        <v>1</v>
      </c>
      <c r="AH24">
        <f>IF($G24="s-curve",$E24+($F24-$E24)*$O$2/(1+EXP($O$3*(COUNT($K$9:AH$9)+$O$4))),TREND($E24:$F24,$E$9:$F$9,AH$9))</f>
        <v>1</v>
      </c>
      <c r="AI24">
        <f>IF($G24="s-curve",$E24+($F24-$E24)*$O$2/(1+EXP($O$3*(COUNT($K$9:AI$9)+$O$4))),TREND($E24:$F24,$E$9:$F$9,AI$9))</f>
        <v>1</v>
      </c>
      <c r="AJ24">
        <f>IF($G24="s-curve",$E24+($F24-$E24)*$O$2/(1+EXP($O$3*(COUNT($K$9:AJ$9)+$O$4))),TREND($E24:$F24,$E$9:$F$9,AJ$9))</f>
        <v>1</v>
      </c>
    </row>
    <row r="25" spans="1:36" x14ac:dyDescent="0.25">
      <c r="C25" t="s">
        <v>2</v>
      </c>
      <c r="E25" s="22">
        <f>'SYVbT-passenger'!D3/SUM('SYVbT-passenger'!3:3)*3</f>
        <v>0.30488703775431764</v>
      </c>
      <c r="F25" s="22">
        <f>F32*3</f>
        <v>0.44634143847166052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0.30488703775431764</v>
      </c>
      <c r="J25">
        <f>IF($G25="s-curve",$E25+($F25-$E25)*$I$2/(1+EXP($I$3*(COUNT($I$9:J$9)+$I$4))),TREND($E25:$F25,$E$9:$F$9,J$9))</f>
        <v>0.30697688955366859</v>
      </c>
      <c r="K25">
        <f>IF($G25="s-curve",$E25+($F25-$E25)*$I$2/(1+EXP($I$3*(COUNT($I$9:K$9)+$I$4))),TREND($E25:$F25,$E$9:$F$9,K$9))</f>
        <v>0.30769353631198043</v>
      </c>
      <c r="L25">
        <f>IF($G25="s-curve",$E25+($F25-$E25)*$I$2/(1+EXP($I$3*(COUNT($I$9:L$9)+$I$4))),TREND($E25:$F25,$E$9:$F$9,L$9))</f>
        <v>0.30864929954161624</v>
      </c>
      <c r="M25">
        <f>IF($G25="s-curve",$E25+($F25-$E25)*$I$2/(1+EXP($I$3*(COUNT($I$9:M$9)+$I$4))),TREND($E25:$F25,$E$9:$F$9,M$9))</f>
        <v>0.30991873901568157</v>
      </c>
      <c r="N25">
        <f>IF($G25="s-curve",$E25+($F25-$E25)*$I$2/(1+EXP($I$3*(COUNT($I$9:N$9)+$I$4))),TREND($E25:$F25,$E$9:$F$9,N$9))</f>
        <v>0.31159563622314707</v>
      </c>
      <c r="O25">
        <f>IF($G25="s-curve",$E25+($F25-$E25)*$I$2/(1+EXP($I$3*(COUNT($I$9:O$9)+$I$4))),TREND($E25:$F25,$E$9:$F$9,O$9))</f>
        <v>0.31379489609651995</v>
      </c>
      <c r="P25">
        <f>IF($G25="s-curve",$E25+($F25-$E25)*$I$2/(1+EXP($I$3*(COUNT($I$9:P$9)+$I$4))),TREND($E25:$F25,$E$9:$F$9,P$9))</f>
        <v>0.31665218169291087</v>
      </c>
      <c r="Q25">
        <f>IF($G25="s-curve",$E25+($F25-$E25)*$I$2/(1+EXP($I$3*(COUNT($I$9:Q$9)+$I$4))),TREND($E25:$F25,$E$9:$F$9,Q$9))</f>
        <v>0.32031926321671017</v>
      </c>
      <c r="R25">
        <f>IF($G25="s-curve",$E25+($F25-$E25)*$I$2/(1+EXP($I$3*(COUNT($I$9:R$9)+$I$4))),TREND($E25:$F25,$E$9:$F$9,R$9))</f>
        <v>0.32495249513093305</v>
      </c>
      <c r="S25">
        <f>IF($G25="s-curve",$E25+($F25-$E25)*$I$2/(1+EXP($I$3*(COUNT($I$9:S$9)+$I$4))),TREND($E25:$F25,$E$9:$F$9,S$9))</f>
        <v>0.33069193089989313</v>
      </c>
      <c r="T25">
        <f>IF($G25="s-curve",$E25+($F25-$E25)*$I$2/(1+EXP($I$3*(COUNT($I$9:T$9)+$I$4))),TREND($E25:$F25,$E$9:$F$9,T$9))</f>
        <v>0.33763022578538127</v>
      </c>
      <c r="U25">
        <f>IF($G25="s-curve",$E25+($F25-$E25)*$I$2/(1+EXP($I$3*(COUNT($I$9:U$9)+$I$4))),TREND($E25:$F25,$E$9:$F$9,U$9))</f>
        <v>0.34577450263754761</v>
      </c>
      <c r="V25">
        <f>IF($G25="s-curve",$E25+($F25-$E25)*$I$2/(1+EXP($I$3*(COUNT($I$9:V$9)+$I$4))),TREND($E25:$F25,$E$9:$F$9,V$9))</f>
        <v>0.3550105126051174</v>
      </c>
      <c r="W25">
        <f>IF($G25="s-curve",$E25+($F25-$E25)*$I$2/(1+EXP($I$3*(COUNT($I$9:W$9)+$I$4))),TREND($E25:$F25,$E$9:$F$9,W$9))</f>
        <v>0.36508401650950512</v>
      </c>
      <c r="X25">
        <f>IF($G25="s-curve",$E25+($F25-$E25)*$I$2/(1+EXP($I$3*(COUNT($I$9:X$9)+$I$4))),TREND($E25:$F25,$E$9:$F$9,X$9))</f>
        <v>0.37561423811298911</v>
      </c>
      <c r="Y25">
        <f>IF($G25="s-curve",$E25+($F25-$E25)*$I$2/(1+EXP($I$3*(COUNT($I$9:Y$9)+$I$4))),TREND($E25:$F25,$E$9:$F$9,Y$9))</f>
        <v>0.38614445971647304</v>
      </c>
      <c r="Z25">
        <f>IF($G25="s-curve",$E25+($F25-$E25)*$I$2/(1+EXP($I$3*(COUNT($I$9:Z$9)+$I$4))),TREND($E25:$F25,$E$9:$F$9,Z$9))</f>
        <v>0.39621796362086076</v>
      </c>
      <c r="AA25">
        <f>IF($G25="s-curve",$E25+($F25-$E25)*$I$2/(1+EXP($I$3*(COUNT($I$9:AA$9)+$I$4))),TREND($E25:$F25,$E$9:$F$9,AA$9))</f>
        <v>0.40545397358843055</v>
      </c>
      <c r="AB25">
        <f>IF($G25="s-curve",$E25+($F25-$E25)*$I$2/(1+EXP($I$3*(COUNT($I$9:AB$9)+$I$4))),TREND($E25:$F25,$E$9:$F$9,AB$9))</f>
        <v>0.41359825044059684</v>
      </c>
      <c r="AC25">
        <f>IF($G25="s-curve",$E25+($F25-$E25)*$I$2/(1+EXP($I$3*(COUNT($I$9:AC$9)+$I$4))),TREND($E25:$F25,$E$9:$F$9,AC$9))</f>
        <v>0.42053654532608503</v>
      </c>
      <c r="AD25">
        <f>IF($G25="s-curve",$E25+($F25-$E25)*$I$2/(1+EXP($I$3*(COUNT($I$9:AD$9)+$I$4))),TREND($E25:$F25,$E$9:$F$9,AD$9))</f>
        <v>0.42627598109504511</v>
      </c>
      <c r="AE25">
        <f>IF($G25="s-curve",$E25+($F25-$E25)*$I$2/(1+EXP($I$3*(COUNT($I$9:AE$9)+$I$4))),TREND($E25:$F25,$E$9:$F$9,AE$9))</f>
        <v>0.43090921300926799</v>
      </c>
      <c r="AF25">
        <f>IF($G25="s-curve",$E25+($F25-$E25)*$I$2/(1+EXP($I$3*(COUNT($I$9:AF$9)+$I$4))),TREND($E25:$F25,$E$9:$F$9,AF$9))</f>
        <v>0.43457629453306729</v>
      </c>
      <c r="AG25">
        <f>IF($G25="s-curve",$E25+($F25-$E25)*$I$2/(1+EXP($I$3*(COUNT($I$9:AG$9)+$I$4))),TREND($E25:$F25,$E$9:$F$9,AG$9))</f>
        <v>0.43743358012945821</v>
      </c>
      <c r="AH25">
        <f>IF($G25="s-curve",$E25+($F25-$E25)*$I$2/(1+EXP($I$3*(COUNT($I$9:AH$9)+$I$4))),TREND($E25:$F25,$E$9:$F$9,AH$9))</f>
        <v>0.43963284000283109</v>
      </c>
      <c r="AI25">
        <f>IF($G25="s-curve",$E25+($F25-$E25)*$I$2/(1+EXP($I$3*(COUNT($I$9:AI$9)+$I$4))),TREND($E25:$F25,$E$9:$F$9,AI$9))</f>
        <v>0.44130973721029659</v>
      </c>
      <c r="AJ25">
        <f>IF($G25="s-curve",$E25+($F25-$E25)*$I$2/(1+EXP($I$3*(COUNT($I$9:AJ$9)+$I$4))),TREND($E25:$F25,$E$9:$F$9,AJ$9))</f>
        <v>0.44257917668436197</v>
      </c>
    </row>
    <row r="26" spans="1:36" x14ac:dyDescent="0.25">
      <c r="C26" t="s">
        <v>3</v>
      </c>
      <c r="E26" s="22">
        <f>'SYVbT-passenger'!D3/SUM('SYVbT-passenger'!3:3)*3</f>
        <v>0.30488703775431764</v>
      </c>
      <c r="F26" s="22">
        <f>E26</f>
        <v>0.30488703775431764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0.30488703775431764</v>
      </c>
      <c r="J26">
        <f>IF($G26="s-curve",$E26+($F26-$E26)*$I$2/(1+EXP($I$3*(COUNT($I$9:J$9)+$I$4))),TREND($E26:$F26,$E$9:$F$9,J$9))</f>
        <v>0.30488703775431764</v>
      </c>
      <c r="K26">
        <f>IF($G26="s-curve",$E26+($F26-$E26)*$I$2/(1+EXP($I$3*(COUNT($I$9:K$9)+$I$4))),TREND($E26:$F26,$E$9:$F$9,K$9))</f>
        <v>0.30488703775431764</v>
      </c>
      <c r="L26">
        <f>IF($G26="s-curve",$E26+($F26-$E26)*$I$2/(1+EXP($I$3*(COUNT($I$9:L$9)+$I$4))),TREND($E26:$F26,$E$9:$F$9,L$9))</f>
        <v>0.30488703775431764</v>
      </c>
      <c r="M26">
        <f>IF($G26="s-curve",$E26+($F26-$E26)*$I$2/(1+EXP($I$3*(COUNT($I$9:M$9)+$I$4))),TREND($E26:$F26,$E$9:$F$9,M$9))</f>
        <v>0.30488703775431764</v>
      </c>
      <c r="N26">
        <f>IF($G26="s-curve",$E26+($F26-$E26)*$I$2/(1+EXP($I$3*(COUNT($I$9:N$9)+$I$4))),TREND($E26:$F26,$E$9:$F$9,N$9))</f>
        <v>0.30488703775431764</v>
      </c>
      <c r="O26">
        <f>IF($G26="s-curve",$E26+($F26-$E26)*$I$2/(1+EXP($I$3*(COUNT($I$9:O$9)+$I$4))),TREND($E26:$F26,$E$9:$F$9,O$9))</f>
        <v>0.30488703775431764</v>
      </c>
      <c r="P26">
        <f>IF($G26="s-curve",$E26+($F26-$E26)*$I$2/(1+EXP($I$3*(COUNT($I$9:P$9)+$I$4))),TREND($E26:$F26,$E$9:$F$9,P$9))</f>
        <v>0.30488703775431764</v>
      </c>
      <c r="Q26">
        <f>IF($G26="s-curve",$E26+($F26-$E26)*$I$2/(1+EXP($I$3*(COUNT($I$9:Q$9)+$I$4))),TREND($E26:$F26,$E$9:$F$9,Q$9))</f>
        <v>0.30488703775431764</v>
      </c>
      <c r="R26">
        <f>IF($G26="s-curve",$E26+($F26-$E26)*$I$2/(1+EXP($I$3*(COUNT($I$9:R$9)+$I$4))),TREND($E26:$F26,$E$9:$F$9,R$9))</f>
        <v>0.30488703775431764</v>
      </c>
      <c r="S26">
        <f>IF($G26="s-curve",$E26+($F26-$E26)*$I$2/(1+EXP($I$3*(COUNT($I$9:S$9)+$I$4))),TREND($E26:$F26,$E$9:$F$9,S$9))</f>
        <v>0.30488703775431764</v>
      </c>
      <c r="T26">
        <f>IF($G26="s-curve",$E26+($F26-$E26)*$I$2/(1+EXP($I$3*(COUNT($I$9:T$9)+$I$4))),TREND($E26:$F26,$E$9:$F$9,T$9))</f>
        <v>0.30488703775431764</v>
      </c>
      <c r="U26">
        <f>IF($G26="s-curve",$E26+($F26-$E26)*$I$2/(1+EXP($I$3*(COUNT($I$9:U$9)+$I$4))),TREND($E26:$F26,$E$9:$F$9,U$9))</f>
        <v>0.30488703775431764</v>
      </c>
      <c r="V26">
        <f>IF($G26="s-curve",$E26+($F26-$E26)*$I$2/(1+EXP($I$3*(COUNT($I$9:V$9)+$I$4))),TREND($E26:$F26,$E$9:$F$9,V$9))</f>
        <v>0.30488703775431764</v>
      </c>
      <c r="W26">
        <f>IF($G26="s-curve",$E26+($F26-$E26)*$I$2/(1+EXP($I$3*(COUNT($I$9:W$9)+$I$4))),TREND($E26:$F26,$E$9:$F$9,W$9))</f>
        <v>0.30488703775431764</v>
      </c>
      <c r="X26">
        <f>IF($G26="s-curve",$E26+($F26-$E26)*$I$2/(1+EXP($I$3*(COUNT($I$9:X$9)+$I$4))),TREND($E26:$F26,$E$9:$F$9,X$9))</f>
        <v>0.30488703775431764</v>
      </c>
      <c r="Y26">
        <f>IF($G26="s-curve",$E26+($F26-$E26)*$I$2/(1+EXP($I$3*(COUNT($I$9:Y$9)+$I$4))),TREND($E26:$F26,$E$9:$F$9,Y$9))</f>
        <v>0.30488703775431764</v>
      </c>
      <c r="Z26">
        <f>IF($G26="s-curve",$E26+($F26-$E26)*$I$2/(1+EXP($I$3*(COUNT($I$9:Z$9)+$I$4))),TREND($E26:$F26,$E$9:$F$9,Z$9))</f>
        <v>0.30488703775431764</v>
      </c>
      <c r="AA26">
        <f>IF($G26="s-curve",$E26+($F26-$E26)*$I$2/(1+EXP($I$3*(COUNT($I$9:AA$9)+$I$4))),TREND($E26:$F26,$E$9:$F$9,AA$9))</f>
        <v>0.30488703775431764</v>
      </c>
      <c r="AB26">
        <f>IF($G26="s-curve",$E26+($F26-$E26)*$I$2/(1+EXP($I$3*(COUNT($I$9:AB$9)+$I$4))),TREND($E26:$F26,$E$9:$F$9,AB$9))</f>
        <v>0.30488703775431764</v>
      </c>
      <c r="AC26">
        <f>IF($G26="s-curve",$E26+($F26-$E26)*$I$2/(1+EXP($I$3*(COUNT($I$9:AC$9)+$I$4))),TREND($E26:$F26,$E$9:$F$9,AC$9))</f>
        <v>0.30488703775431764</v>
      </c>
      <c r="AD26">
        <f>IF($G26="s-curve",$E26+($F26-$E26)*$I$2/(1+EXP($I$3*(COUNT($I$9:AD$9)+$I$4))),TREND($E26:$F26,$E$9:$F$9,AD$9))</f>
        <v>0.30488703775431764</v>
      </c>
      <c r="AE26">
        <f>IF($G26="s-curve",$E26+($F26-$E26)*$I$2/(1+EXP($I$3*(COUNT($I$9:AE$9)+$I$4))),TREND($E26:$F26,$E$9:$F$9,AE$9))</f>
        <v>0.30488703775431764</v>
      </c>
      <c r="AF26">
        <f>IF($G26="s-curve",$E26+($F26-$E26)*$I$2/(1+EXP($I$3*(COUNT($I$9:AF$9)+$I$4))),TREND($E26:$F26,$E$9:$F$9,AF$9))</f>
        <v>0.30488703775431764</v>
      </c>
      <c r="AG26">
        <f>IF($G26="s-curve",$E26+($F26-$E26)*$I$2/(1+EXP($I$3*(COUNT($I$9:AG$9)+$I$4))),TREND($E26:$F26,$E$9:$F$9,AG$9))</f>
        <v>0.30488703775431764</v>
      </c>
      <c r="AH26">
        <f>IF($G26="s-curve",$E26+($F26-$E26)*$I$2/(1+EXP($I$3*(COUNT($I$9:AH$9)+$I$4))),TREND($E26:$F26,$E$9:$F$9,AH$9))</f>
        <v>0.30488703775431764</v>
      </c>
      <c r="AI26">
        <f>IF($G26="s-curve",$E26+($F26-$E26)*$I$2/(1+EXP($I$3*(COUNT($I$9:AI$9)+$I$4))),TREND($E26:$F26,$E$9:$F$9,AI$9))</f>
        <v>0.30488703775431764</v>
      </c>
      <c r="AJ26">
        <f>IF($G26="s-curve",$E26+($F26-$E26)*$I$2/(1+EXP($I$3*(COUNT($I$9:AJ$9)+$I$4))),TREND($E26:$F26,$E$9:$F$9,AJ$9))</f>
        <v>0.30488703775431764</v>
      </c>
    </row>
    <row r="27" spans="1:36" x14ac:dyDescent="0.25">
      <c r="C27" t="s">
        <v>4</v>
      </c>
      <c r="E27">
        <v>2</v>
      </c>
      <c r="F27">
        <v>2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2</v>
      </c>
      <c r="J27">
        <f>IF($G27="s-curve",$E27+($F27-$E27)*$I$2/(1+EXP($I$3*(COUNT($I$9:J$9)+$I$4))),TREND($E27:$F27,$E$9:$F$9,J$9))</f>
        <v>2</v>
      </c>
      <c r="K27">
        <f>IF($G27="s-curve",$E27+($F27-$E27)*$I$2/(1+EXP($I$3*(COUNT($I$9:K$9)+$I$4))),TREND($E27:$F27,$E$9:$F$9,K$9))</f>
        <v>2</v>
      </c>
      <c r="L27">
        <f>IF($G27="s-curve",$E27+($F27-$E27)*$I$2/(1+EXP($I$3*(COUNT($I$9:L$9)+$I$4))),TREND($E27:$F27,$E$9:$F$9,L$9))</f>
        <v>2</v>
      </c>
      <c r="M27">
        <f>IF($G27="s-curve",$E27+($F27-$E27)*$I$2/(1+EXP($I$3*(COUNT($I$9:M$9)+$I$4))),TREND($E27:$F27,$E$9:$F$9,M$9))</f>
        <v>2</v>
      </c>
      <c r="N27">
        <f>IF($G27="s-curve",$E27+($F27-$E27)*$I$2/(1+EXP($I$3*(COUNT($I$9:N$9)+$I$4))),TREND($E27:$F27,$E$9:$F$9,N$9))</f>
        <v>2</v>
      </c>
      <c r="O27">
        <f>IF($G27="s-curve",$E27+($F27-$E27)*$I$2/(1+EXP($I$3*(COUNT($I$9:O$9)+$I$4))),TREND($E27:$F27,$E$9:$F$9,O$9))</f>
        <v>2</v>
      </c>
      <c r="P27">
        <f>IF($G27="s-curve",$E27+($F27-$E27)*$I$2/(1+EXP($I$3*(COUNT($I$9:P$9)+$I$4))),TREND($E27:$F27,$E$9:$F$9,P$9))</f>
        <v>2</v>
      </c>
      <c r="Q27">
        <f>IF($G27="s-curve",$E27+($F27-$E27)*$I$2/(1+EXP($I$3*(COUNT($I$9:Q$9)+$I$4))),TREND($E27:$F27,$E$9:$F$9,Q$9))</f>
        <v>2</v>
      </c>
      <c r="R27">
        <f>IF($G27="s-curve",$E27+($F27-$E27)*$I$2/(1+EXP($I$3*(COUNT($I$9:R$9)+$I$4))),TREND($E27:$F27,$E$9:$F$9,R$9))</f>
        <v>2</v>
      </c>
      <c r="S27">
        <f>IF($G27="s-curve",$E27+($F27-$E27)*$I$2/(1+EXP($I$3*(COUNT($I$9:S$9)+$I$4))),TREND($E27:$F27,$E$9:$F$9,S$9))</f>
        <v>2</v>
      </c>
      <c r="T27">
        <f>IF($G27="s-curve",$E27+($F27-$E27)*$I$2/(1+EXP($I$3*(COUNT($I$9:T$9)+$I$4))),TREND($E27:$F27,$E$9:$F$9,T$9))</f>
        <v>2</v>
      </c>
      <c r="U27">
        <f>IF($G27="s-curve",$E27+($F27-$E27)*$I$2/(1+EXP($I$3*(COUNT($I$9:U$9)+$I$4))),TREND($E27:$F27,$E$9:$F$9,U$9))</f>
        <v>2</v>
      </c>
      <c r="V27">
        <f>IF($G27="s-curve",$E27+($F27-$E27)*$I$2/(1+EXP($I$3*(COUNT($I$9:V$9)+$I$4))),TREND($E27:$F27,$E$9:$F$9,V$9))</f>
        <v>2</v>
      </c>
      <c r="W27">
        <f>IF($G27="s-curve",$E27+($F27-$E27)*$I$2/(1+EXP($I$3*(COUNT($I$9:W$9)+$I$4))),TREND($E27:$F27,$E$9:$F$9,W$9))</f>
        <v>2</v>
      </c>
      <c r="X27">
        <f>IF($G27="s-curve",$E27+($F27-$E27)*$I$2/(1+EXP($I$3*(COUNT($I$9:X$9)+$I$4))),TREND($E27:$F27,$E$9:$F$9,X$9))</f>
        <v>2</v>
      </c>
      <c r="Y27">
        <f>IF($G27="s-curve",$E27+($F27-$E27)*$I$2/(1+EXP($I$3*(COUNT($I$9:Y$9)+$I$4))),TREND($E27:$F27,$E$9:$F$9,Y$9))</f>
        <v>2</v>
      </c>
      <c r="Z27">
        <f>IF($G27="s-curve",$E27+($F27-$E27)*$I$2/(1+EXP($I$3*(COUNT($I$9:Z$9)+$I$4))),TREND($E27:$F27,$E$9:$F$9,Z$9))</f>
        <v>2</v>
      </c>
      <c r="AA27">
        <f>IF($G27="s-curve",$E27+($F27-$E27)*$I$2/(1+EXP($I$3*(COUNT($I$9:AA$9)+$I$4))),TREND($E27:$F27,$E$9:$F$9,AA$9))</f>
        <v>2</v>
      </c>
      <c r="AB27">
        <f>IF($G27="s-curve",$E27+($F27-$E27)*$I$2/(1+EXP($I$3*(COUNT($I$9:AB$9)+$I$4))),TREND($E27:$F27,$E$9:$F$9,AB$9))</f>
        <v>2</v>
      </c>
      <c r="AC27">
        <f>IF($G27="s-curve",$E27+($F27-$E27)*$I$2/(1+EXP($I$3*(COUNT($I$9:AC$9)+$I$4))),TREND($E27:$F27,$E$9:$F$9,AC$9))</f>
        <v>2</v>
      </c>
      <c r="AD27">
        <f>IF($G27="s-curve",$E27+($F27-$E27)*$I$2/(1+EXP($I$3*(COUNT($I$9:AD$9)+$I$4))),TREND($E27:$F27,$E$9:$F$9,AD$9))</f>
        <v>2</v>
      </c>
      <c r="AE27">
        <f>IF($G27="s-curve",$E27+($F27-$E27)*$I$2/(1+EXP($I$3*(COUNT($I$9:AE$9)+$I$4))),TREND($E27:$F27,$E$9:$F$9,AE$9))</f>
        <v>2</v>
      </c>
      <c r="AF27">
        <f>IF($G27="s-curve",$E27+($F27-$E27)*$I$2/(1+EXP($I$3*(COUNT($I$9:AF$9)+$I$4))),TREND($E27:$F27,$E$9:$F$9,AF$9))</f>
        <v>2</v>
      </c>
      <c r="AG27">
        <f>IF($G27="s-curve",$E27+($F27-$E27)*$I$2/(1+EXP($I$3*(COUNT($I$9:AG$9)+$I$4))),TREND($E27:$F27,$E$9:$F$9,AG$9))</f>
        <v>2</v>
      </c>
      <c r="AH27">
        <f>IF($G27="s-curve",$E27+($F27-$E27)*$I$2/(1+EXP($I$3*(COUNT($I$9:AH$9)+$I$4))),TREND($E27:$F27,$E$9:$F$9,AH$9))</f>
        <v>2</v>
      </c>
      <c r="AI27">
        <f>IF($G27="s-curve",$E27+($F27-$E27)*$I$2/(1+EXP($I$3*(COUNT($I$9:AI$9)+$I$4))),TREND($E27:$F27,$E$9:$F$9,AI$9))</f>
        <v>2</v>
      </c>
      <c r="AJ27">
        <f>IF($G27="s-curve",$E27+($F27-$E27)*$I$2/(1+EXP($I$3*(COUNT($I$9:AJ$9)+$I$4))),TREND($E27:$F27,$E$9:$F$9,AJ$9))</f>
        <v>2</v>
      </c>
    </row>
    <row r="28" spans="1:36" x14ac:dyDescent="0.2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</row>
    <row r="29" spans="1:36" x14ac:dyDescent="0.25">
      <c r="C29" t="s">
        <v>111</v>
      </c>
      <c r="E29" s="22">
        <f>'SYVbT-passenger'!G3/SUM('SYVbT-passenger'!3:3)*3</f>
        <v>0.12967078621379674</v>
      </c>
      <c r="F29" s="22">
        <f>F36*($E$29/$E$36)*3</f>
        <v>0.53886894931351725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0.12967078621379674</v>
      </c>
      <c r="J29">
        <f>IF($G29="s-curve",$E29+($F29-$E29)*$I$2/(1+EXP($I$3*(COUNT($I$9:J$9)+$I$4))),TREND($E29:$F29,$E$9:$F$9,J$9))</f>
        <v>0.12967078621379358</v>
      </c>
      <c r="K29">
        <f>IF($G29="s-curve",$E29+($F29-$E29)*$I$2/(1+EXP($I$3*(COUNT($I$9:K$9)+$I$4))),TREND($E29:$F29,$E$9:$F$9,K$9))</f>
        <v>0.14540917710224477</v>
      </c>
      <c r="L29">
        <f>IF($G29="s-curve",$E29+($F29-$E29)*$I$2/(1+EXP($I$3*(COUNT($I$9:L$9)+$I$4))),TREND($E29:$F29,$E$9:$F$9,L$9))</f>
        <v>0.16114756799069241</v>
      </c>
      <c r="M29">
        <f>IF($G29="s-curve",$E29+($F29-$E29)*$I$2/(1+EXP($I$3*(COUNT($I$9:M$9)+$I$4))),TREND($E29:$F29,$E$9:$F$9,M$9))</f>
        <v>0.1768859588791436</v>
      </c>
      <c r="N29">
        <f>IF($G29="s-curve",$E29+($F29-$E29)*$I$2/(1+EXP($I$3*(COUNT($I$9:N$9)+$I$4))),TREND($E29:$F29,$E$9:$F$9,N$9))</f>
        <v>0.19262434976759479</v>
      </c>
      <c r="O29">
        <f>IF($G29="s-curve",$E29+($F29-$E29)*$I$2/(1+EXP($I$3*(COUNT($I$9:O$9)+$I$4))),TREND($E29:$F29,$E$9:$F$9,O$9))</f>
        <v>0.20836274065604599</v>
      </c>
      <c r="P29">
        <f>IF($G29="s-curve",$E29+($F29-$E29)*$I$2/(1+EXP($I$3*(COUNT($I$9:P$9)+$I$4))),TREND($E29:$F29,$E$9:$F$9,P$9))</f>
        <v>0.22410113154449718</v>
      </c>
      <c r="Q29">
        <f>IF($G29="s-curve",$E29+($F29-$E29)*$I$2/(1+EXP($I$3*(COUNT($I$9:Q$9)+$I$4))),TREND($E29:$F29,$E$9:$F$9,Q$9))</f>
        <v>0.23983952243294837</v>
      </c>
      <c r="R29">
        <f>IF($G29="s-curve",$E29+($F29-$E29)*$I$2/(1+EXP($I$3*(COUNT($I$9:R$9)+$I$4))),TREND($E29:$F29,$E$9:$F$9,R$9))</f>
        <v>0.25557791332139956</v>
      </c>
      <c r="S29">
        <f>IF($G29="s-curve",$E29+($F29-$E29)*$I$2/(1+EXP($I$3*(COUNT($I$9:S$9)+$I$4))),TREND($E29:$F29,$E$9:$F$9,S$9))</f>
        <v>0.27131630420985076</v>
      </c>
      <c r="T29">
        <f>IF($G29="s-curve",$E29+($F29-$E29)*$I$2/(1+EXP($I$3*(COUNT($I$9:T$9)+$I$4))),TREND($E29:$F29,$E$9:$F$9,T$9))</f>
        <v>0.28705469509830195</v>
      </c>
      <c r="U29">
        <f>IF($G29="s-curve",$E29+($F29-$E29)*$I$2/(1+EXP($I$3*(COUNT($I$9:U$9)+$I$4))),TREND($E29:$F29,$E$9:$F$9,U$9))</f>
        <v>0.30279308598675314</v>
      </c>
      <c r="V29">
        <f>IF($G29="s-curve",$E29+($F29-$E29)*$I$2/(1+EXP($I$3*(COUNT($I$9:V$9)+$I$4))),TREND($E29:$F29,$E$9:$F$9,V$9))</f>
        <v>0.31853147687520433</v>
      </c>
      <c r="W29">
        <f>IF($G29="s-curve",$E29+($F29-$E29)*$I$2/(1+EXP($I$3*(COUNT($I$9:W$9)+$I$4))),TREND($E29:$F29,$E$9:$F$9,W$9))</f>
        <v>0.33426986776365553</v>
      </c>
      <c r="X29">
        <f>IF($G29="s-curve",$E29+($F29-$E29)*$I$2/(1+EXP($I$3*(COUNT($I$9:X$9)+$I$4))),TREND($E29:$F29,$E$9:$F$9,X$9))</f>
        <v>0.35000825865210672</v>
      </c>
      <c r="Y29">
        <f>IF($G29="s-curve",$E29+($F29-$E29)*$I$2/(1+EXP($I$3*(COUNT($I$9:Y$9)+$I$4))),TREND($E29:$F29,$E$9:$F$9,Y$9))</f>
        <v>0.36574664954055791</v>
      </c>
      <c r="Z29">
        <f>IF($G29="s-curve",$E29+($F29-$E29)*$I$2/(1+EXP($I$3*(COUNT($I$9:Z$9)+$I$4))),TREND($E29:$F29,$E$9:$F$9,Z$9))</f>
        <v>0.381485040429002</v>
      </c>
      <c r="AA29">
        <f>IF($G29="s-curve",$E29+($F29-$E29)*$I$2/(1+EXP($I$3*(COUNT($I$9:AA$9)+$I$4))),TREND($E29:$F29,$E$9:$F$9,AA$9))</f>
        <v>0.39722343131745319</v>
      </c>
      <c r="AB29">
        <f>IF($G29="s-curve",$E29+($F29-$E29)*$I$2/(1+EXP($I$3*(COUNT($I$9:AB$9)+$I$4))),TREND($E29:$F29,$E$9:$F$9,AB$9))</f>
        <v>0.41296182220590438</v>
      </c>
      <c r="AC29">
        <f>IF($G29="s-curve",$E29+($F29-$E29)*$I$2/(1+EXP($I$3*(COUNT($I$9:AC$9)+$I$4))),TREND($E29:$F29,$E$9:$F$9,AC$9))</f>
        <v>0.42870021309435558</v>
      </c>
      <c r="AD29">
        <f>IF($G29="s-curve",$E29+($F29-$E29)*$I$2/(1+EXP($I$3*(COUNT($I$9:AD$9)+$I$4))),TREND($E29:$F29,$E$9:$F$9,AD$9))</f>
        <v>0.44443860398280677</v>
      </c>
      <c r="AE29">
        <f>IF($G29="s-curve",$E29+($F29-$E29)*$I$2/(1+EXP($I$3*(COUNT($I$9:AE$9)+$I$4))),TREND($E29:$F29,$E$9:$F$9,AE$9))</f>
        <v>0.46017699487125796</v>
      </c>
      <c r="AF29">
        <f>IF($G29="s-curve",$E29+($F29-$E29)*$I$2/(1+EXP($I$3*(COUNT($I$9:AF$9)+$I$4))),TREND($E29:$F29,$E$9:$F$9,AF$9))</f>
        <v>0.47591538575970915</v>
      </c>
      <c r="AG29">
        <f>IF($G29="s-curve",$E29+($F29-$E29)*$I$2/(1+EXP($I$3*(COUNT($I$9:AG$9)+$I$4))),TREND($E29:$F29,$E$9:$F$9,AG$9))</f>
        <v>0.49165377664816035</v>
      </c>
      <c r="AH29">
        <f>IF($G29="s-curve",$E29+($F29-$E29)*$I$2/(1+EXP($I$3*(COUNT($I$9:AH$9)+$I$4))),TREND($E29:$F29,$E$9:$F$9,AH$9))</f>
        <v>0.50739216753661154</v>
      </c>
      <c r="AI29">
        <f>IF($G29="s-curve",$E29+($F29-$E29)*$I$2/(1+EXP($I$3*(COUNT($I$9:AI$9)+$I$4))),TREND($E29:$F29,$E$9:$F$9,AI$9))</f>
        <v>0.52313055842506273</v>
      </c>
      <c r="AJ29">
        <f>IF($G29="s-curve",$E29+($F29-$E29)*$I$2/(1+EXP($I$3*(COUNT($I$9:AJ$9)+$I$4))),TREND($E29:$F29,$E$9:$F$9,AJ$9))</f>
        <v>0.53886894931351392</v>
      </c>
    </row>
    <row r="30" spans="1:36" ht="15.75" thickBot="1" x14ac:dyDescent="0.3">
      <c r="A30" s="23"/>
      <c r="B30" s="23"/>
      <c r="C30" s="23" t="s">
        <v>112</v>
      </c>
      <c r="D30" s="23"/>
      <c r="E30" s="26">
        <f>'SYVbT-passenger'!H3/SUM('SYVbT-passenger'!3:3)</f>
        <v>1.0880490304811035E-4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1.0880490304811035E-4</v>
      </c>
      <c r="J30">
        <f>IF($G30="s-curve",$E30+($F30-$E30)*$I$2/(1+EXP($I$3*(COUNT($I$9:J$9)+$I$4))),TREND($E30:$F30,$E$9:$F$9,J$9))</f>
        <v>8.4589900062574685E-4</v>
      </c>
      <c r="K30">
        <f>IF($G30="s-curve",$E30+($F30-$E30)*$I$2/(1+EXP($I$3*(COUNT($I$9:K$9)+$I$4))),TREND($E30:$F30,$E$9:$F$9,K$9))</f>
        <v>1.0986614672101446E-3</v>
      </c>
      <c r="L30">
        <f>IF($G30="s-curve",$E30+($F30-$E30)*$I$2/(1+EXP($I$3*(COUNT($I$9:L$9)+$I$4))),TREND($E30:$F30,$E$9:$F$9,L$9))</f>
        <v>1.4357606985839016E-3</v>
      </c>
      <c r="M30">
        <f>IF($G30="s-curve",$E30+($F30-$E30)*$I$2/(1+EXP($I$3*(COUNT($I$9:M$9)+$I$4))),TREND($E30:$F30,$E$9:$F$9,M$9))</f>
        <v>1.8834940468798042E-3</v>
      </c>
      <c r="N30">
        <f>IF($G30="s-curve",$E30+($F30-$E30)*$I$2/(1+EXP($I$3*(COUNT($I$9:N$9)+$I$4))),TREND($E30:$F30,$E$9:$F$9,N$9))</f>
        <v>2.4749383943933924E-3</v>
      </c>
      <c r="O30">
        <f>IF($G30="s-curve",$E30+($F30-$E30)*$I$2/(1+EXP($I$3*(COUNT($I$9:O$9)+$I$4))),TREND($E30:$F30,$E$9:$F$9,O$9))</f>
        <v>3.2506208959975401E-3</v>
      </c>
      <c r="P30">
        <f>IF($G30="s-curve",$E30+($F30-$E30)*$I$2/(1+EXP($I$3*(COUNT($I$9:P$9)+$I$4))),TREND($E30:$F30,$E$9:$F$9,P$9))</f>
        <v>4.2583901305659581E-3</v>
      </c>
      <c r="Q30">
        <f>IF($G30="s-curve",$E30+($F30-$E30)*$I$2/(1+EXP($I$3*(COUNT($I$9:Q$9)+$I$4))),TREND($E30:$F30,$E$9:$F$9,Q$9))</f>
        <v>5.5517756937757106E-3</v>
      </c>
      <c r="R30">
        <f>IF($G30="s-curve",$E30+($F30-$E30)*$I$2/(1+EXP($I$3*(COUNT($I$9:R$9)+$I$4))),TREND($E30:$F30,$E$9:$F$9,R$9))</f>
        <v>7.185924056708733E-3</v>
      </c>
      <c r="S30">
        <f>IF($G30="s-curve",$E30+($F30-$E30)*$I$2/(1+EXP($I$3*(COUNT($I$9:S$9)+$I$4))),TREND($E30:$F30,$E$9:$F$9,S$9))</f>
        <v>9.2102323019346774E-3</v>
      </c>
      <c r="T30">
        <f>IF($G30="s-curve",$E30+($F30-$E30)*$I$2/(1+EXP($I$3*(COUNT($I$9:T$9)+$I$4))),TREND($E30:$F30,$E$9:$F$9,T$9))</f>
        <v>1.1657380089607801E-2</v>
      </c>
      <c r="U30">
        <f>IF($G30="s-curve",$E30+($F30-$E30)*$I$2/(1+EXP($I$3*(COUNT($I$9:U$9)+$I$4))),TREND($E30:$F30,$E$9:$F$9,U$9))</f>
        <v>1.452987966045502E-2</v>
      </c>
      <c r="V30">
        <f>IF($G30="s-curve",$E30+($F30-$E30)*$I$2/(1+EXP($I$3*(COUNT($I$9:V$9)+$I$4))),TREND($E30:$F30,$E$9:$F$9,V$9))</f>
        <v>1.7787435260511523E-2</v>
      </c>
      <c r="W30">
        <f>IF($G30="s-curve",$E30+($F30-$E30)*$I$2/(1+EXP($I$3*(COUNT($I$9:W$9)+$I$4))),TREND($E30:$F30,$E$9:$F$9,W$9))</f>
        <v>2.1340376321765452E-2</v>
      </c>
      <c r="X30">
        <f>IF($G30="s-curve",$E30+($F30-$E30)*$I$2/(1+EXP($I$3*(COUNT($I$9:X$9)+$I$4))),TREND($E30:$F30,$E$9:$F$9,X$9))</f>
        <v>2.5054402451524054E-2</v>
      </c>
      <c r="Y30">
        <f>IF($G30="s-curve",$E30+($F30-$E30)*$I$2/(1+EXP($I$3*(COUNT($I$9:Y$9)+$I$4))),TREND($E30:$F30,$E$9:$F$9,Y$9))</f>
        <v>2.8768428581282656E-2</v>
      </c>
      <c r="Z30">
        <f>IF($G30="s-curve",$E30+($F30-$E30)*$I$2/(1+EXP($I$3*(COUNT($I$9:Z$9)+$I$4))),TREND($E30:$F30,$E$9:$F$9,Z$9))</f>
        <v>3.2321369642536582E-2</v>
      </c>
      <c r="AA30">
        <f>IF($G30="s-curve",$E30+($F30-$E30)*$I$2/(1+EXP($I$3*(COUNT($I$9:AA$9)+$I$4))),TREND($E30:$F30,$E$9:$F$9,AA$9))</f>
        <v>3.5578925242593096E-2</v>
      </c>
      <c r="AB30">
        <f>IF($G30="s-curve",$E30+($F30-$E30)*$I$2/(1+EXP($I$3*(COUNT($I$9:AB$9)+$I$4))),TREND($E30:$F30,$E$9:$F$9,AB$9))</f>
        <v>3.8451424813440313E-2</v>
      </c>
      <c r="AC30">
        <f>IF($G30="s-curve",$E30+($F30-$E30)*$I$2/(1+EXP($I$3*(COUNT($I$9:AC$9)+$I$4))),TREND($E30:$F30,$E$9:$F$9,AC$9))</f>
        <v>4.0898572601113438E-2</v>
      </c>
      <c r="AD30">
        <f>IF($G30="s-curve",$E30+($F30-$E30)*$I$2/(1+EXP($I$3*(COUNT($I$9:AD$9)+$I$4))),TREND($E30:$F30,$E$9:$F$9,AD$9))</f>
        <v>4.2922880846339384E-2</v>
      </c>
      <c r="AE30">
        <f>IF($G30="s-curve",$E30+($F30-$E30)*$I$2/(1+EXP($I$3*(COUNT($I$9:AE$9)+$I$4))),TREND($E30:$F30,$E$9:$F$9,AE$9))</f>
        <v>4.4557029209272403E-2</v>
      </c>
      <c r="AF30">
        <f>IF($G30="s-curve",$E30+($F30-$E30)*$I$2/(1+EXP($I$3*(COUNT($I$9:AF$9)+$I$4))),TREND($E30:$F30,$E$9:$F$9,AF$9))</f>
        <v>4.5850414772482161E-2</v>
      </c>
      <c r="AG30">
        <f>IF($G30="s-curve",$E30+($F30-$E30)*$I$2/(1+EXP($I$3*(COUNT($I$9:AG$9)+$I$4))),TREND($E30:$F30,$E$9:$F$9,AG$9))</f>
        <v>4.6858184007050573E-2</v>
      </c>
      <c r="AH30">
        <f>IF($G30="s-curve",$E30+($F30-$E30)*$I$2/(1+EXP($I$3*(COUNT($I$9:AH$9)+$I$4))),TREND($E30:$F30,$E$9:$F$9,AH$9))</f>
        <v>4.7633866508654726E-2</v>
      </c>
      <c r="AI30">
        <f>IF($G30="s-curve",$E30+($F30-$E30)*$I$2/(1+EXP($I$3*(COUNT($I$9:AI$9)+$I$4))),TREND($E30:$F30,$E$9:$F$9,AI$9))</f>
        <v>4.822531085616831E-2</v>
      </c>
      <c r="AJ30">
        <f>IF($G30="s-curve",$E30+($F30-$E30)*$I$2/(1+EXP($I$3*(COUNT($I$9:AJ$9)+$I$4))),TREND($E30:$F30,$E$9:$F$9,AJ$9))</f>
        <v>4.8673044204464208E-2</v>
      </c>
    </row>
    <row r="31" spans="1:36" x14ac:dyDescent="0.25">
      <c r="A31" t="s">
        <v>13</v>
      </c>
      <c r="B31" t="s">
        <v>18</v>
      </c>
      <c r="C31" t="s">
        <v>1</v>
      </c>
      <c r="E31" s="22">
        <v>0.15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0.15</v>
      </c>
      <c r="J31">
        <f>IF($G31="s-curve",$E31+($F31-$E31)*$R$2/(1+EXP($R$3*(COUNT(J$9:$K$9)+$R$4))),TREND($E31:$F31,$E$9:$F$9,J$9))</f>
        <v>0.15127600491822643</v>
      </c>
      <c r="K31">
        <f>IF($G31="s-curve",$E31+($F31-$E31)*$R$2/(1+EXP($R$3*(COUNT($K$9:K$9)+$R$4))),TREND($E31:$F31,$E$9:$F$9,K$9))</f>
        <v>0.15077439351524055</v>
      </c>
      <c r="L31">
        <f>IF($G31="s-curve",$E31+($F31-$E31)*$R$2/(1+EXP($R$3*(COUNT($K$9:L$9)+$R$4))),TREND($E31:$F31,$E$9:$F$9,L$9))</f>
        <v>0.15127600491822643</v>
      </c>
      <c r="M31">
        <f>IF($G31="s-curve",$E31+($F31-$E31)*$R$2/(1+EXP($R$3*(COUNT($K$9:M$9)+$R$4))),TREND($E31:$F31,$E$9:$F$9,M$9))</f>
        <v>0.15210172968313956</v>
      </c>
      <c r="N31">
        <f>IF($G31="s-curve",$E31+($F31-$E31)*$R$2/(1+EXP($R$3*(COUNT($K$9:N$9)+$R$4))),TREND($E31:$F31,$E$9:$F$9,N$9))</f>
        <v>0.15345961705851172</v>
      </c>
      <c r="O31">
        <f>IF($G31="s-curve",$E31+($F31-$E31)*$R$2/(1+EXP($R$3*(COUNT($K$9:O$9)+$R$4))),TREND($E31:$F31,$E$9:$F$9,O$9))</f>
        <v>0.15568892328564213</v>
      </c>
      <c r="P31">
        <f>IF($G31="s-curve",$E31+($F31-$E31)*$R$2/(1+EXP($R$3*(COUNT($K$9:P$9)+$R$4))),TREND($E31:$F31,$E$9:$F$9,P$9))</f>
        <v>0.15933890123600419</v>
      </c>
      <c r="Q31">
        <f>IF($G31="s-curve",$E31+($F31-$E31)*$R$2/(1+EXP($R$3*(COUNT($K$9:Q$9)+$R$4))),TREND($E31:$F31,$E$9:$F$9,Q$9))</f>
        <v>0.16528827846777783</v>
      </c>
      <c r="R31">
        <f>IF($G31="s-curve",$E31+($F31-$E31)*$R$2/(1+EXP($R$3*(COUNT($K$9:R$9)+$R$4))),TREND($E31:$F31,$E$9:$F$9,R$9))</f>
        <v>0.17491539613865287</v>
      </c>
      <c r="S31">
        <f>IF($G31="s-curve",$E31+($F31-$E31)*$R$2/(1+EXP($R$3*(COUNT($K$9:S$9)+$R$4))),TREND($E31:$F31,$E$9:$F$9,S$9))</f>
        <v>0.19031199220093176</v>
      </c>
      <c r="T31">
        <f>IF($G31="s-curve",$E31+($F31-$E31)*$R$2/(1+EXP($R$3*(COUNT($K$9:T$9)+$R$4))),TREND($E31:$F31,$E$9:$F$9,T$9))</f>
        <v>0.21447945301805701</v>
      </c>
      <c r="U31">
        <f>IF($G31="s-curve",$E31+($F31-$E31)*$R$2/(1+EXP($R$3*(COUNT($K$9:U$9)+$R$4))),TREND($E31:$F31,$E$9:$F$9,U$9))</f>
        <v>0.25132248371879989</v>
      </c>
      <c r="V31">
        <f>IF($G31="s-curve",$E31+($F31-$E31)*$R$2/(1+EXP($R$3*(COUNT($K$9:V$9)+$R$4))),TREND($E31:$F31,$E$9:$F$9,V$9))</f>
        <v>0.30506169523540289</v>
      </c>
      <c r="W31">
        <f>IF($G31="s-curve",$E31+($F31-$E31)*$R$2/(1+EXP($R$3*(COUNT($K$9:W$9)+$R$4))),TREND($E31:$F31,$E$9:$F$9,W$9))</f>
        <v>0.37860020816449586</v>
      </c>
      <c r="X31">
        <f>IF($G31="s-curve",$E31+($F31-$E31)*$R$2/(1+EXP($R$3*(COUNT($K$9:X$9)+$R$4))),TREND($E31:$F31,$E$9:$F$9,X$9))</f>
        <v>0.47090956847842358</v>
      </c>
      <c r="Y31">
        <f>IF($G31="s-curve",$E31+($F31-$E31)*$R$2/(1+EXP($R$3*(COUNT($K$9:Y$9)+$R$4))),TREND($E31:$F31,$E$9:$F$9,Y$9))</f>
        <v>0.57499999999999996</v>
      </c>
      <c r="Z31">
        <f>IF($G31="s-curve",$E31+($F31-$E31)*$R$2/(1+EXP($R$3*(COUNT($K$9:Z$9)+$R$4))),TREND($E31:$F31,$E$9:$F$9,Z$9))</f>
        <v>0.67909043152157644</v>
      </c>
      <c r="AA31">
        <f>IF($G31="s-curve",$E31+($F31-$E31)*$R$2/(1+EXP($R$3*(COUNT($K$9:AA$9)+$R$4))),TREND($E31:$F31,$E$9:$F$9,AA$9))</f>
        <v>0.77139979183550411</v>
      </c>
      <c r="AB31">
        <f>IF($G31="s-curve",$E31+($F31-$E31)*$R$2/(1+EXP($R$3*(COUNT($K$9:AB$9)+$R$4))),TREND($E31:$F31,$E$9:$F$9,AB$9))</f>
        <v>0.84493830476459708</v>
      </c>
      <c r="AC31">
        <f>IF($G31="s-curve",$E31+($F31-$E31)*$R$2/(1+EXP($R$3*(COUNT($K$9:AC$9)+$R$4))),TREND($E31:$F31,$E$9:$F$9,AC$9))</f>
        <v>0.89867751628119996</v>
      </c>
      <c r="AD31">
        <f>IF($G31="s-curve",$E31+($F31-$E31)*$R$2/(1+EXP($R$3*(COUNT($K$9:AD$9)+$R$4))),TREND($E31:$F31,$E$9:$F$9,AD$9))</f>
        <v>0.93552054698194298</v>
      </c>
      <c r="AE31">
        <f>IF($G31="s-curve",$E31+($F31-$E31)*$R$2/(1+EXP($R$3*(COUNT($K$9:AE$9)+$R$4))),TREND($E31:$F31,$E$9:$F$9,AE$9))</f>
        <v>0.95968800779906827</v>
      </c>
      <c r="AF31">
        <f>IF($G31="s-curve",$E31+($F31-$E31)*$R$2/(1+EXP($R$3*(COUNT($K$9:AF$9)+$R$4))),TREND($E31:$F31,$E$9:$F$9,AF$9))</f>
        <v>0.9750846038613471</v>
      </c>
      <c r="AG31">
        <f>IF($G31="s-curve",$E31+($F31-$E31)*$R$2/(1+EXP($R$3*(COUNT($K$9:AG$9)+$R$4))),TREND($E31:$F31,$E$9:$F$9,AG$9))</f>
        <v>0.9847117215322222</v>
      </c>
      <c r="AH31">
        <f>IF($G31="s-curve",$E31+($F31-$E31)*$R$2/(1+EXP($R$3*(COUNT($K$9:AH$9)+$R$4))),TREND($E31:$F31,$E$9:$F$9,AH$9))</f>
        <v>0.99066109876399588</v>
      </c>
      <c r="AI31">
        <f>IF($G31="s-curve",$E31+($F31-$E31)*$R$2/(1+EXP($R$3*(COUNT($K$9:AI$9)+$R$4))),TREND($E31:$F31,$E$9:$F$9,AI$9))</f>
        <v>0.99431107671435792</v>
      </c>
      <c r="AJ31">
        <f>IF($G31="s-curve",$E31+($F31-$E31)*$R$2/(1+EXP($R$3*(COUNT($K$9:AJ$9)+$R$4))),TREND($E31:$F31,$E$9:$F$9,AJ$9))</f>
        <v>0.99654038294148828</v>
      </c>
    </row>
    <row r="32" spans="1:36" x14ac:dyDescent="0.25">
      <c r="C32" t="s">
        <v>2</v>
      </c>
      <c r="E32" s="22">
        <f>SUM(INDEX('AEO 49'!$256:$256,MATCH(E$9,'AEO 49'!$1:$1,0)),INDEX('AEO 49'!$270:$270,MATCH(E$9,'AEO 49'!$1:$1,0)),INDEX('AEO 49'!$284:$284,MATCH(E$9,'AEO 49'!$1:$1,0)))/INDEX('AEO 49'!$294:$294,MATCH(E$9,'AEO 49'!$1:$1,0))</f>
        <v>1.3439511121112888E-2</v>
      </c>
      <c r="F32" s="22">
        <f>SUM(INDEX('AEO 49'!$256:$256,MATCH(F$9,'AEO 49'!$1:$1,0)),INDEX('AEO 49'!$270:$270,MATCH(F$9,'AEO 49'!$1:$1,0)),INDEX('AEO 49'!$284:$284,MATCH(F$9,'AEO 49'!$1:$1,0)))*Assumptions!A2/INDEX('AEO 49'!$294:$294,MATCH(F$9,'AEO 49'!$1:$1,0))</f>
        <v>0.14878047949055351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1.3439511121112888E-2</v>
      </c>
      <c r="J32">
        <f>IF($G32="s-curve",$E32+($F32-$E32)*$I$2/(1+EXP($I$3*(COUNT($I$9:J$9)+$I$4))),TREND($E32:$F32,$E$9:$F$9,J$9))</f>
        <v>1.543904287720127E-2</v>
      </c>
      <c r="K32">
        <f>IF($G32="s-curve",$E32+($F32-$E32)*$I$2/(1+EXP($I$3*(COUNT($I$9:K$9)+$I$4))),TREND($E32:$F32,$E$9:$F$9,K$9))</f>
        <v>1.6124717311908704E-2</v>
      </c>
      <c r="L32">
        <f>IF($G32="s-curve",$E32+($F32-$E32)*$I$2/(1+EXP($I$3*(COUNT($I$9:L$9)+$I$4))),TREND($E32:$F32,$E$9:$F$9,L$9))</f>
        <v>1.7039173987521708E-2</v>
      </c>
      <c r="M32">
        <f>IF($G32="s-curve",$E32+($F32-$E32)*$I$2/(1+EXP($I$3*(COUNT($I$9:M$9)+$I$4))),TREND($E32:$F32,$E$9:$F$9,M$9))</f>
        <v>1.8253750323324127E-2</v>
      </c>
      <c r="N32">
        <f>IF($G32="s-curve",$E32+($F32-$E32)*$I$2/(1+EXP($I$3*(COUNT($I$9:N$9)+$I$4))),TREND($E32:$F32,$E$9:$F$9,N$9))</f>
        <v>1.9858174722731055E-2</v>
      </c>
      <c r="O32">
        <f>IF($G32="s-curve",$E32+($F32-$E32)*$I$2/(1+EXP($I$3*(COUNT($I$9:O$9)+$I$4))),TREND($E32:$F32,$E$9:$F$9,O$9))</f>
        <v>2.1962386111340375E-2</v>
      </c>
      <c r="P32">
        <f>IF($G32="s-curve",$E32+($F32-$E32)*$I$2/(1+EXP($I$3*(COUNT($I$9:P$9)+$I$4))),TREND($E32:$F32,$E$9:$F$9,P$9))</f>
        <v>2.4696184406497922E-2</v>
      </c>
      <c r="Q32">
        <f>IF($G32="s-curve",$E32+($F32-$E32)*$I$2/(1+EXP($I$3*(COUNT($I$9:Q$9)+$I$4))),TREND($E32:$F32,$E$9:$F$9,Q$9))</f>
        <v>2.8204780547754854E-2</v>
      </c>
      <c r="R32">
        <f>IF($G32="s-curve",$E32+($F32-$E32)*$I$2/(1+EXP($I$3*(COUNT($I$9:R$9)+$I$4))),TREND($E32:$F32,$E$9:$F$9,R$9))</f>
        <v>3.2637771608981278E-2</v>
      </c>
      <c r="S32">
        <f>IF($G32="s-curve",$E32+($F32-$E32)*$I$2/(1+EXP($I$3*(COUNT($I$9:S$9)+$I$4))),TREND($E32:$F32,$E$9:$F$9,S$9))</f>
        <v>3.8129158168367601E-2</v>
      </c>
      <c r="T32">
        <f>IF($G32="s-curve",$E32+($F32-$E32)*$I$2/(1+EXP($I$3*(COUNT($I$9:T$9)+$I$4))),TREND($E32:$F32,$E$9:$F$9,T$9))</f>
        <v>4.4767591075881769E-2</v>
      </c>
      <c r="U32">
        <f>IF($G32="s-curve",$E32+($F32-$E32)*$I$2/(1+EXP($I$3*(COUNT($I$9:U$9)+$I$4))),TREND($E32:$F32,$E$9:$F$9,U$9))</f>
        <v>5.2559885343513316E-2</v>
      </c>
      <c r="V32">
        <f>IF($G32="s-curve",$E32+($F32-$E32)*$I$2/(1+EXP($I$3*(COUNT($I$9:V$9)+$I$4))),TREND($E32:$F32,$E$9:$F$9,V$9))</f>
        <v>6.1396729772118255E-2</v>
      </c>
      <c r="W32">
        <f>IF($G32="s-curve",$E32+($F32-$E32)*$I$2/(1+EXP($I$3*(COUNT($I$9:W$9)+$I$4))),TREND($E32:$F32,$E$9:$F$9,W$9))</f>
        <v>7.1034872992684905E-2</v>
      </c>
      <c r="X32">
        <f>IF($G32="s-curve",$E32+($F32-$E32)*$I$2/(1+EXP($I$3*(COUNT($I$9:X$9)+$I$4))),TREND($E32:$F32,$E$9:$F$9,X$9))</f>
        <v>8.1109995305833196E-2</v>
      </c>
      <c r="Y32">
        <f>IF($G32="s-curve",$E32+($F32-$E32)*$I$2/(1+EXP($I$3*(COUNT($I$9:Y$9)+$I$4))),TREND($E32:$F32,$E$9:$F$9,Y$9))</f>
        <v>9.1185117618981487E-2</v>
      </c>
      <c r="Z32">
        <f>IF($G32="s-curve",$E32+($F32-$E32)*$I$2/(1+EXP($I$3*(COUNT($I$9:Z$9)+$I$4))),TREND($E32:$F32,$E$9:$F$9,Z$9))</f>
        <v>0.10082326083954814</v>
      </c>
      <c r="AA32">
        <f>IF($G32="s-curve",$E32+($F32-$E32)*$I$2/(1+EXP($I$3*(COUNT($I$9:AA$9)+$I$4))),TREND($E32:$F32,$E$9:$F$9,AA$9))</f>
        <v>0.10966010526815308</v>
      </c>
      <c r="AB32">
        <f>IF($G32="s-curve",$E32+($F32-$E32)*$I$2/(1+EXP($I$3*(COUNT($I$9:AB$9)+$I$4))),TREND($E32:$F32,$E$9:$F$9,AB$9))</f>
        <v>0.11745239953578462</v>
      </c>
      <c r="AC32">
        <f>IF($G32="s-curve",$E32+($F32-$E32)*$I$2/(1+EXP($I$3*(COUNT($I$9:AC$9)+$I$4))),TREND($E32:$F32,$E$9:$F$9,AC$9))</f>
        <v>0.12409083244329878</v>
      </c>
      <c r="AD32">
        <f>IF($G32="s-curve",$E32+($F32-$E32)*$I$2/(1+EXP($I$3*(COUNT($I$9:AD$9)+$I$4))),TREND($E32:$F32,$E$9:$F$9,AD$9))</f>
        <v>0.12958221900268513</v>
      </c>
      <c r="AE32">
        <f>IF($G32="s-curve",$E32+($F32-$E32)*$I$2/(1+EXP($I$3*(COUNT($I$9:AE$9)+$I$4))),TREND($E32:$F32,$E$9:$F$9,AE$9))</f>
        <v>0.13401521006391154</v>
      </c>
      <c r="AF32">
        <f>IF($G32="s-curve",$E32+($F32-$E32)*$I$2/(1+EXP($I$3*(COUNT($I$9:AF$9)+$I$4))),TREND($E32:$F32,$E$9:$F$9,AF$9))</f>
        <v>0.13752380620516849</v>
      </c>
      <c r="AG32">
        <f>IF($G32="s-curve",$E32+($F32-$E32)*$I$2/(1+EXP($I$3*(COUNT($I$9:AG$9)+$I$4))),TREND($E32:$F32,$E$9:$F$9,AG$9))</f>
        <v>0.14025760450032604</v>
      </c>
      <c r="AH32">
        <f>IF($G32="s-curve",$E32+($F32-$E32)*$I$2/(1+EXP($I$3*(COUNT($I$9:AH$9)+$I$4))),TREND($E32:$F32,$E$9:$F$9,AH$9))</f>
        <v>0.14236181588893534</v>
      </c>
      <c r="AI32">
        <f>IF($G32="s-curve",$E32+($F32-$E32)*$I$2/(1+EXP($I$3*(COUNT($I$9:AI$9)+$I$4))),TREND($E32:$F32,$E$9:$F$9,AI$9))</f>
        <v>0.14396624028834226</v>
      </c>
      <c r="AJ32">
        <f>IF($G32="s-curve",$E32+($F32-$E32)*$I$2/(1+EXP($I$3*(COUNT($I$9:AJ$9)+$I$4))),TREND($E32:$F32,$E$9:$F$9,AJ$9))</f>
        <v>0.14518081662414467</v>
      </c>
    </row>
    <row r="33" spans="1:36" x14ac:dyDescent="0.2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</row>
    <row r="34" spans="1:36" x14ac:dyDescent="0.25">
      <c r="C34" t="s">
        <v>4</v>
      </c>
      <c r="E34">
        <v>3</v>
      </c>
      <c r="F34">
        <v>3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3</v>
      </c>
      <c r="J34">
        <f>IF($G34="s-curve",$E34+($F34-$E34)*$I$2/(1+EXP($I$3*(COUNT($I$9:J$9)+$I$4))),TREND($E34:$F34,$E$9:$F$9,J$9))</f>
        <v>3</v>
      </c>
      <c r="K34">
        <f>IF($G34="s-curve",$E34+($F34-$E34)*$I$2/(1+EXP($I$3*(COUNT($I$9:K$9)+$I$4))),TREND($E34:$F34,$E$9:$F$9,K$9))</f>
        <v>3</v>
      </c>
      <c r="L34">
        <f>IF($G34="s-curve",$E34+($F34-$E34)*$I$2/(1+EXP($I$3*(COUNT($I$9:L$9)+$I$4))),TREND($E34:$F34,$E$9:$F$9,L$9))</f>
        <v>3</v>
      </c>
      <c r="M34">
        <f>IF($G34="s-curve",$E34+($F34-$E34)*$I$2/(1+EXP($I$3*(COUNT($I$9:M$9)+$I$4))),TREND($E34:$F34,$E$9:$F$9,M$9))</f>
        <v>3</v>
      </c>
      <c r="N34">
        <f>IF($G34="s-curve",$E34+($F34-$E34)*$I$2/(1+EXP($I$3*(COUNT($I$9:N$9)+$I$4))),TREND($E34:$F34,$E$9:$F$9,N$9))</f>
        <v>3</v>
      </c>
      <c r="O34">
        <f>IF($G34="s-curve",$E34+($F34-$E34)*$I$2/(1+EXP($I$3*(COUNT($I$9:O$9)+$I$4))),TREND($E34:$F34,$E$9:$F$9,O$9))</f>
        <v>3</v>
      </c>
      <c r="P34">
        <f>IF($G34="s-curve",$E34+($F34-$E34)*$I$2/(1+EXP($I$3*(COUNT($I$9:P$9)+$I$4))),TREND($E34:$F34,$E$9:$F$9,P$9))</f>
        <v>3</v>
      </c>
      <c r="Q34">
        <f>IF($G34="s-curve",$E34+($F34-$E34)*$I$2/(1+EXP($I$3*(COUNT($I$9:Q$9)+$I$4))),TREND($E34:$F34,$E$9:$F$9,Q$9))</f>
        <v>3</v>
      </c>
      <c r="R34">
        <f>IF($G34="s-curve",$E34+($F34-$E34)*$I$2/(1+EXP($I$3*(COUNT($I$9:R$9)+$I$4))),TREND($E34:$F34,$E$9:$F$9,R$9))</f>
        <v>3</v>
      </c>
      <c r="S34">
        <f>IF($G34="s-curve",$E34+($F34-$E34)*$I$2/(1+EXP($I$3*(COUNT($I$9:S$9)+$I$4))),TREND($E34:$F34,$E$9:$F$9,S$9))</f>
        <v>3</v>
      </c>
      <c r="T34">
        <f>IF($G34="s-curve",$E34+($F34-$E34)*$I$2/(1+EXP($I$3*(COUNT($I$9:T$9)+$I$4))),TREND($E34:$F34,$E$9:$F$9,T$9))</f>
        <v>3</v>
      </c>
      <c r="U34">
        <f>IF($G34="s-curve",$E34+($F34-$E34)*$I$2/(1+EXP($I$3*(COUNT($I$9:U$9)+$I$4))),TREND($E34:$F34,$E$9:$F$9,U$9))</f>
        <v>3</v>
      </c>
      <c r="V34">
        <f>IF($G34="s-curve",$E34+($F34-$E34)*$I$2/(1+EXP($I$3*(COUNT($I$9:V$9)+$I$4))),TREND($E34:$F34,$E$9:$F$9,V$9))</f>
        <v>3</v>
      </c>
      <c r="W34">
        <f>IF($G34="s-curve",$E34+($F34-$E34)*$I$2/(1+EXP($I$3*(COUNT($I$9:W$9)+$I$4))),TREND($E34:$F34,$E$9:$F$9,W$9))</f>
        <v>3</v>
      </c>
      <c r="X34">
        <f>IF($G34="s-curve",$E34+($F34-$E34)*$I$2/(1+EXP($I$3*(COUNT($I$9:X$9)+$I$4))),TREND($E34:$F34,$E$9:$F$9,X$9))</f>
        <v>3</v>
      </c>
      <c r="Y34">
        <f>IF($G34="s-curve",$E34+($F34-$E34)*$I$2/(1+EXP($I$3*(COUNT($I$9:Y$9)+$I$4))),TREND($E34:$F34,$E$9:$F$9,Y$9))</f>
        <v>3</v>
      </c>
      <c r="Z34">
        <f>IF($G34="s-curve",$E34+($F34-$E34)*$I$2/(1+EXP($I$3*(COUNT($I$9:Z$9)+$I$4))),TREND($E34:$F34,$E$9:$F$9,Z$9))</f>
        <v>3</v>
      </c>
      <c r="AA34">
        <f>IF($G34="s-curve",$E34+($F34-$E34)*$I$2/(1+EXP($I$3*(COUNT($I$9:AA$9)+$I$4))),TREND($E34:$F34,$E$9:$F$9,AA$9))</f>
        <v>3</v>
      </c>
      <c r="AB34">
        <f>IF($G34="s-curve",$E34+($F34-$E34)*$I$2/(1+EXP($I$3*(COUNT($I$9:AB$9)+$I$4))),TREND($E34:$F34,$E$9:$F$9,AB$9))</f>
        <v>3</v>
      </c>
      <c r="AC34">
        <f>IF($G34="s-curve",$E34+($F34-$E34)*$I$2/(1+EXP($I$3*(COUNT($I$9:AC$9)+$I$4))),TREND($E34:$F34,$E$9:$F$9,AC$9))</f>
        <v>3</v>
      </c>
      <c r="AD34">
        <f>IF($G34="s-curve",$E34+($F34-$E34)*$I$2/(1+EXP($I$3*(COUNT($I$9:AD$9)+$I$4))),TREND($E34:$F34,$E$9:$F$9,AD$9))</f>
        <v>3</v>
      </c>
      <c r="AE34">
        <f>IF($G34="s-curve",$E34+($F34-$E34)*$I$2/(1+EXP($I$3*(COUNT($I$9:AE$9)+$I$4))),TREND($E34:$F34,$E$9:$F$9,AE$9))</f>
        <v>3</v>
      </c>
      <c r="AF34">
        <f>IF($G34="s-curve",$E34+($F34-$E34)*$I$2/(1+EXP($I$3*(COUNT($I$9:AF$9)+$I$4))),TREND($E34:$F34,$E$9:$F$9,AF$9))</f>
        <v>3</v>
      </c>
      <c r="AG34">
        <f>IF($G34="s-curve",$E34+($F34-$E34)*$I$2/(1+EXP($I$3*(COUNT($I$9:AG$9)+$I$4))),TREND($E34:$F34,$E$9:$F$9,AG$9))</f>
        <v>3</v>
      </c>
      <c r="AH34">
        <f>IF($G34="s-curve",$E34+($F34-$E34)*$I$2/(1+EXP($I$3*(COUNT($I$9:AH$9)+$I$4))),TREND($E34:$F34,$E$9:$F$9,AH$9))</f>
        <v>3</v>
      </c>
      <c r="AI34">
        <f>IF($G34="s-curve",$E34+($F34-$E34)*$I$2/(1+EXP($I$3*(COUNT($I$9:AI$9)+$I$4))),TREND($E34:$F34,$E$9:$F$9,AI$9))</f>
        <v>3</v>
      </c>
      <c r="AJ34">
        <f>IF($G34="s-curve",$E34+($F34-$E34)*$I$2/(1+EXP($I$3*(COUNT($I$9:AJ$9)+$I$4))),TREND($E34:$F34,$E$9:$F$9,AJ$9))</f>
        <v>3</v>
      </c>
    </row>
    <row r="35" spans="1:36" x14ac:dyDescent="0.2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</row>
    <row r="36" spans="1:36" x14ac:dyDescent="0.25">
      <c r="C36" t="s">
        <v>111</v>
      </c>
      <c r="E36" s="22">
        <f>'SYVbT-freight'!G3/SUM('SYVbT-freight'!3:3)</f>
        <v>5.8198516364943692E-4</v>
      </c>
      <c r="F36" s="22">
        <f>SUM(SUM(INDEX('AEO 49'!166:166,0,MATCH(F$9,'AEO 49'!$1:$1,0))),SUM(INDEX('AEO 49'!180:180,0,MATCH(F$9,'AEO 49'!$1:$1,0))),SUM(INDEX('AEO 49'!194:194,0,MATCH(F$9,'AEO 49'!$1:$1,0))))/INDEX('AEO 49'!$205:$205,MATCH(F$9,'AEO 49'!$1:$1,0))*Assumptions!A11</f>
        <v>8.0617935827825794E-4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5.8198516364943692E-4</v>
      </c>
      <c r="J36">
        <f>IF($G36="s-curve",$E36+($F36-$E36)*$I$2/(1+EXP($I$3*(COUNT($I$9:J$9)+$I$4))),TREND($E36:$F36,$E$9:$F$9,J$9))</f>
        <v>5.8198516364943789E-4</v>
      </c>
      <c r="K36">
        <f>IF($G36="s-curve",$E36+($F36-$E36)*$I$2/(1+EXP($I$3*(COUNT($I$9:K$9)+$I$4))),TREND($E36:$F36,$E$9:$F$9,K$9))</f>
        <v>5.9060801728900644E-4</v>
      </c>
      <c r="L36">
        <f>IF($G36="s-curve",$E36+($F36-$E36)*$I$2/(1+EXP($I$3*(COUNT($I$9:L$9)+$I$4))),TREND($E36:$F36,$E$9:$F$9,L$9))</f>
        <v>5.9923087092857846E-4</v>
      </c>
      <c r="M36">
        <f>IF($G36="s-curve",$E36+($F36-$E36)*$I$2/(1+EXP($I$3*(COUNT($I$9:M$9)+$I$4))),TREND($E36:$F36,$E$9:$F$9,M$9))</f>
        <v>6.0785372456814701E-4</v>
      </c>
      <c r="N36">
        <f>IF($G36="s-curve",$E36+($F36-$E36)*$I$2/(1+EXP($I$3*(COUNT($I$9:N$9)+$I$4))),TREND($E36:$F36,$E$9:$F$9,N$9))</f>
        <v>6.1647657820771556E-4</v>
      </c>
      <c r="O36">
        <f>IF($G36="s-curve",$E36+($F36-$E36)*$I$2/(1+EXP($I$3*(COUNT($I$9:O$9)+$I$4))),TREND($E36:$F36,$E$9:$F$9,O$9))</f>
        <v>6.2509943184728758E-4</v>
      </c>
      <c r="P36">
        <f>IF($G36="s-curve",$E36+($F36-$E36)*$I$2/(1+EXP($I$3*(COUNT($I$9:P$9)+$I$4))),TREND($E36:$F36,$E$9:$F$9,P$9))</f>
        <v>6.3372228548685614E-4</v>
      </c>
      <c r="Q36">
        <f>IF($G36="s-curve",$E36+($F36-$E36)*$I$2/(1+EXP($I$3*(COUNT($I$9:Q$9)+$I$4))),TREND($E36:$F36,$E$9:$F$9,Q$9))</f>
        <v>6.4234513912642816E-4</v>
      </c>
      <c r="R36">
        <f>IF($G36="s-curve",$E36+($F36-$E36)*$I$2/(1+EXP($I$3*(COUNT($I$9:R$9)+$I$4))),TREND($E36:$F36,$E$9:$F$9,R$9))</f>
        <v>6.5096799276599671E-4</v>
      </c>
      <c r="S36">
        <f>IF($G36="s-curve",$E36+($F36-$E36)*$I$2/(1+EXP($I$3*(COUNT($I$9:S$9)+$I$4))),TREND($E36:$F36,$E$9:$F$9,S$9))</f>
        <v>6.5959084640556873E-4</v>
      </c>
      <c r="T36">
        <f>IF($G36="s-curve",$E36+($F36-$E36)*$I$2/(1+EXP($I$3*(COUNT($I$9:T$9)+$I$4))),TREND($E36:$F36,$E$9:$F$9,T$9))</f>
        <v>6.6821370004513728E-4</v>
      </c>
      <c r="U36">
        <f>IF($G36="s-curve",$E36+($F36-$E36)*$I$2/(1+EXP($I$3*(COUNT($I$9:U$9)+$I$4))),TREND($E36:$F36,$E$9:$F$9,U$9))</f>
        <v>6.7683655368470583E-4</v>
      </c>
      <c r="V36">
        <f>IF($G36="s-curve",$E36+($F36-$E36)*$I$2/(1+EXP($I$3*(COUNT($I$9:V$9)+$I$4))),TREND($E36:$F36,$E$9:$F$9,V$9))</f>
        <v>6.8545940732427785E-4</v>
      </c>
      <c r="W36">
        <f>IF($G36="s-curve",$E36+($F36-$E36)*$I$2/(1+EXP($I$3*(COUNT($I$9:W$9)+$I$4))),TREND($E36:$F36,$E$9:$F$9,W$9))</f>
        <v>6.940822609638464E-4</v>
      </c>
      <c r="X36">
        <f>IF($G36="s-curve",$E36+($F36-$E36)*$I$2/(1+EXP($I$3*(COUNT($I$9:X$9)+$I$4))),TREND($E36:$F36,$E$9:$F$9,X$9))</f>
        <v>7.0270511460341842E-4</v>
      </c>
      <c r="Y36">
        <f>IF($G36="s-curve",$E36+($F36-$E36)*$I$2/(1+EXP($I$3*(COUNT($I$9:Y$9)+$I$4))),TREND($E36:$F36,$E$9:$F$9,Y$9))</f>
        <v>7.1132796824298697E-4</v>
      </c>
      <c r="Z36">
        <f>IF($G36="s-curve",$E36+($F36-$E36)*$I$2/(1+EXP($I$3*(COUNT($I$9:Z$9)+$I$4))),TREND($E36:$F36,$E$9:$F$9,Z$9))</f>
        <v>7.1995082188255899E-4</v>
      </c>
      <c r="AA36">
        <f>IF($G36="s-curve",$E36+($F36-$E36)*$I$2/(1+EXP($I$3*(COUNT($I$9:AA$9)+$I$4))),TREND($E36:$F36,$E$9:$F$9,AA$9))</f>
        <v>7.2857367552212754E-4</v>
      </c>
      <c r="AB36">
        <f>IF($G36="s-curve",$E36+($F36-$E36)*$I$2/(1+EXP($I$3*(COUNT($I$9:AB$9)+$I$4))),TREND($E36:$F36,$E$9:$F$9,AB$9))</f>
        <v>7.3719652916169609E-4</v>
      </c>
      <c r="AC36">
        <f>IF($G36="s-curve",$E36+($F36-$E36)*$I$2/(1+EXP($I$3*(COUNT($I$9:AC$9)+$I$4))),TREND($E36:$F36,$E$9:$F$9,AC$9))</f>
        <v>7.4581938280126811E-4</v>
      </c>
      <c r="AD36">
        <f>IF($G36="s-curve",$E36+($F36-$E36)*$I$2/(1+EXP($I$3*(COUNT($I$9:AD$9)+$I$4))),TREND($E36:$F36,$E$9:$F$9,AD$9))</f>
        <v>7.5444223644083666E-4</v>
      </c>
      <c r="AE36">
        <f>IF($G36="s-curve",$E36+($F36-$E36)*$I$2/(1+EXP($I$3*(COUNT($I$9:AE$9)+$I$4))),TREND($E36:$F36,$E$9:$F$9,AE$9))</f>
        <v>7.6306509008040868E-4</v>
      </c>
      <c r="AF36">
        <f>IF($G36="s-curve",$E36+($F36-$E36)*$I$2/(1+EXP($I$3*(COUNT($I$9:AF$9)+$I$4))),TREND($E36:$F36,$E$9:$F$9,AF$9))</f>
        <v>7.7168794371997723E-4</v>
      </c>
      <c r="AG36">
        <f>IF($G36="s-curve",$E36+($F36-$E36)*$I$2/(1+EXP($I$3*(COUNT($I$9:AG$9)+$I$4))),TREND($E36:$F36,$E$9:$F$9,AG$9))</f>
        <v>7.8031079735954925E-4</v>
      </c>
      <c r="AH36">
        <f>IF($G36="s-curve",$E36+($F36-$E36)*$I$2/(1+EXP($I$3*(COUNT($I$9:AH$9)+$I$4))),TREND($E36:$F36,$E$9:$F$9,AH$9))</f>
        <v>7.889336509991178E-4</v>
      </c>
      <c r="AI36">
        <f>IF($G36="s-curve",$E36+($F36-$E36)*$I$2/(1+EXP($I$3*(COUNT($I$9:AI$9)+$I$4))),TREND($E36:$F36,$E$9:$F$9,AI$9))</f>
        <v>7.9755650463868635E-4</v>
      </c>
      <c r="AJ36">
        <f>IF($G36="s-curve",$E36+($F36-$E36)*$I$2/(1+EXP($I$3*(COUNT($I$9:AJ$9)+$I$4))),TREND($E36:$F36,$E$9:$F$9,AJ$9))</f>
        <v>8.0617935827825837E-4</v>
      </c>
    </row>
    <row r="37" spans="1:36" ht="15.75" thickBot="1" x14ac:dyDescent="0.3">
      <c r="A37" s="23"/>
      <c r="B37" s="23"/>
      <c r="C37" s="23" t="s">
        <v>112</v>
      </c>
      <c r="D37" s="23"/>
      <c r="E37" s="26">
        <v>5.0000000000000001E-3</v>
      </c>
      <c r="F37" s="26">
        <v>0.04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5.0000000000000001E-3</v>
      </c>
      <c r="J37">
        <f>IF($G37="s-curve",$E37+($F37-$E37)*$I$2/(1+EXP($I$3*(COUNT($I$9:J$9)+$I$4))),TREND($E37:$F37,$E$9:$F$9,J$9))</f>
        <v>5.5170911092645575E-3</v>
      </c>
      <c r="K37">
        <f>IF($G37="s-curve",$E37+($F37-$E37)*$I$2/(1+EXP($I$3*(COUNT($I$9:K$9)+$I$4))),TREND($E37:$F37,$E$9:$F$9,K$9))</f>
        <v>5.6944107006927126E-3</v>
      </c>
      <c r="L37">
        <f>IF($G37="s-curve",$E37+($F37-$E37)*$I$2/(1+EXP($I$3*(COUNT($I$9:L$9)+$I$4))),TREND($E37:$F37,$E$9:$F$9,L$9))</f>
        <v>5.9308947751903051E-3</v>
      </c>
      <c r="M37">
        <f>IF($G37="s-curve",$E37+($F37-$E37)*$I$2/(1+EXP($I$3*(COUNT($I$9:M$9)+$I$4))),TREND($E37:$F37,$E$9:$F$9,M$9))</f>
        <v>6.2449916245422669E-3</v>
      </c>
      <c r="N37">
        <f>IF($G37="s-curve",$E37+($F37-$E37)*$I$2/(1+EXP($I$3*(COUNT($I$9:N$9)+$I$4))),TREND($E37:$F37,$E$9:$F$9,N$9))</f>
        <v>6.6599055612148374E-3</v>
      </c>
      <c r="O37">
        <f>IF($G37="s-curve",$E37+($F37-$E37)*$I$2/(1+EXP($I$3*(COUNT($I$9:O$9)+$I$4))),TREND($E37:$F37,$E$9:$F$9,O$9))</f>
        <v>7.2040674619948779E-3</v>
      </c>
      <c r="P37">
        <f>IF($G37="s-curve",$E37+($F37-$E37)*$I$2/(1+EXP($I$3*(COUNT($I$9:P$9)+$I$4))),TREND($E37:$F37,$E$9:$F$9,P$9))</f>
        <v>7.9110443772872838E-3</v>
      </c>
      <c r="Q37">
        <f>IF($G37="s-curve",$E37+($F37-$E37)*$I$2/(1+EXP($I$3*(COUNT($I$9:Q$9)+$I$4))),TREND($E37:$F37,$E$9:$F$9,Q$9))</f>
        <v>8.8183887418464522E-3</v>
      </c>
      <c r="R37">
        <f>IF($G37="s-curve",$E37+($F37-$E37)*$I$2/(1+EXP($I$3*(COUNT($I$9:R$9)+$I$4))),TREND($E37:$F37,$E$9:$F$9,R$9))</f>
        <v>9.9647872715170754E-3</v>
      </c>
      <c r="S37">
        <f>IF($G37="s-curve",$E37+($F37-$E37)*$I$2/(1+EXP($I$3*(COUNT($I$9:S$9)+$I$4))),TREND($E37:$F37,$E$9:$F$9,S$9))</f>
        <v>1.1384893333222474E-2</v>
      </c>
      <c r="T37">
        <f>IF($G37="s-curve",$E37+($F37-$E37)*$I$2/(1+EXP($I$3*(COUNT($I$9:T$9)+$I$4))),TREND($E37:$F37,$E$9:$F$9,T$9))</f>
        <v>1.3101632577534383E-2</v>
      </c>
      <c r="U37">
        <f>IF($G37="s-curve",$E37+($F37-$E37)*$I$2/(1+EXP($I$3*(COUNT($I$9:U$9)+$I$4))),TREND($E37:$F37,$E$9:$F$9,U$9))</f>
        <v>1.5116767408124863E-2</v>
      </c>
      <c r="V37">
        <f>IF($G37="s-curve",$E37+($F37-$E37)*$I$2/(1+EXP($I$3*(COUNT($I$9:V$9)+$I$4))),TREND($E37:$F37,$E$9:$F$9,V$9))</f>
        <v>1.7402029282097161E-2</v>
      </c>
      <c r="W37">
        <f>IF($G37="s-curve",$E37+($F37-$E37)*$I$2/(1+EXP($I$3*(COUNT($I$9:W$9)+$I$4))),TREND($E37:$F37,$E$9:$F$9,W$9))</f>
        <v>1.9894511911591937E-2</v>
      </c>
      <c r="X37">
        <f>IF($G37="s-curve",$E37+($F37-$E37)*$I$2/(1+EXP($I$3*(COUNT($I$9:X$9)+$I$4))),TREND($E37:$F37,$E$9:$F$9,X$9))</f>
        <v>2.2500000000000003E-2</v>
      </c>
      <c r="Y37">
        <f>IF($G37="s-curve",$E37+($F37-$E37)*$I$2/(1+EXP($I$3*(COUNT($I$9:Y$9)+$I$4))),TREND($E37:$F37,$E$9:$F$9,Y$9))</f>
        <v>2.5105488088408068E-2</v>
      </c>
      <c r="Z37">
        <f>IF($G37="s-curve",$E37+($F37-$E37)*$I$2/(1+EXP($I$3*(COUNT($I$9:Z$9)+$I$4))),TREND($E37:$F37,$E$9:$F$9,Z$9))</f>
        <v>2.7597970717902844E-2</v>
      </c>
      <c r="AA37">
        <f>IF($G37="s-curve",$E37+($F37-$E37)*$I$2/(1+EXP($I$3*(COUNT($I$9:AA$9)+$I$4))),TREND($E37:$F37,$E$9:$F$9,AA$9))</f>
        <v>2.9883232591875142E-2</v>
      </c>
      <c r="AB37">
        <f>IF($G37="s-curve",$E37+($F37-$E37)*$I$2/(1+EXP($I$3*(COUNT($I$9:AB$9)+$I$4))),TREND($E37:$F37,$E$9:$F$9,AB$9))</f>
        <v>3.1898367422465615E-2</v>
      </c>
      <c r="AC37">
        <f>IF($G37="s-curve",$E37+($F37-$E37)*$I$2/(1+EXP($I$3*(COUNT($I$9:AC$9)+$I$4))),TREND($E37:$F37,$E$9:$F$9,AC$9))</f>
        <v>3.3615106666777528E-2</v>
      </c>
      <c r="AD37">
        <f>IF($G37="s-curve",$E37+($F37-$E37)*$I$2/(1+EXP($I$3*(COUNT($I$9:AD$9)+$I$4))),TREND($E37:$F37,$E$9:$F$9,AD$9))</f>
        <v>3.503521272848293E-2</v>
      </c>
      <c r="AE37">
        <f>IF($G37="s-curve",$E37+($F37-$E37)*$I$2/(1+EXP($I$3*(COUNT($I$9:AE$9)+$I$4))),TREND($E37:$F37,$E$9:$F$9,AE$9))</f>
        <v>3.618161125815355E-2</v>
      </c>
      <c r="AF37">
        <f>IF($G37="s-curve",$E37+($F37-$E37)*$I$2/(1+EXP($I$3*(COUNT($I$9:AF$9)+$I$4))),TREND($E37:$F37,$E$9:$F$9,AF$9))</f>
        <v>3.7088955622712722E-2</v>
      </c>
      <c r="AG37">
        <f>IF($G37="s-curve",$E37+($F37-$E37)*$I$2/(1+EXP($I$3*(COUNT($I$9:AG$9)+$I$4))),TREND($E37:$F37,$E$9:$F$9,AG$9))</f>
        <v>3.7795932538005124E-2</v>
      </c>
      <c r="AH37">
        <f>IF($G37="s-curve",$E37+($F37-$E37)*$I$2/(1+EXP($I$3*(COUNT($I$9:AH$9)+$I$4))),TREND($E37:$F37,$E$9:$F$9,AH$9))</f>
        <v>3.8340094438785166E-2</v>
      </c>
      <c r="AI37">
        <f>IF($G37="s-curve",$E37+($F37-$E37)*$I$2/(1+EXP($I$3*(COUNT($I$9:AI$9)+$I$4))),TREND($E37:$F37,$E$9:$F$9,AI$9))</f>
        <v>3.8755008375457735E-2</v>
      </c>
      <c r="AJ37">
        <f>IF($G37="s-curve",$E37+($F37-$E37)*$I$2/(1+EXP($I$3*(COUNT($I$9:AJ$9)+$I$4))),TREND($E37:$F37,$E$9:$F$9,AJ$9))</f>
        <v>3.9069105224809692E-2</v>
      </c>
    </row>
    <row r="38" spans="1:36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</row>
    <row r="39" spans="1:36" x14ac:dyDescent="0.2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</row>
    <row r="40" spans="1:36" x14ac:dyDescent="0.2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</row>
    <row r="41" spans="1:36" x14ac:dyDescent="0.2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</row>
    <row r="42" spans="1:36" x14ac:dyDescent="0.2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</row>
    <row r="43" spans="1:36" x14ac:dyDescent="0.25">
      <c r="C43" t="s">
        <v>111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</row>
    <row r="44" spans="1:36" ht="15.75" thickBot="1" x14ac:dyDescent="0.3">
      <c r="A44" s="23"/>
      <c r="B44" s="23"/>
      <c r="C44" s="23" t="s">
        <v>112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</row>
    <row r="45" spans="1:36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</row>
    <row r="46" spans="1:36" x14ac:dyDescent="0.2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</row>
    <row r="47" spans="1:36" x14ac:dyDescent="0.2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</row>
    <row r="48" spans="1:36" x14ac:dyDescent="0.2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</row>
    <row r="49" spans="1:36" x14ac:dyDescent="0.2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</row>
    <row r="50" spans="1:36" x14ac:dyDescent="0.25">
      <c r="C50" t="s">
        <v>111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</row>
    <row r="51" spans="1:36" ht="15.75" thickBot="1" x14ac:dyDescent="0.3">
      <c r="A51" s="23"/>
      <c r="B51" s="23"/>
      <c r="C51" s="23" t="s">
        <v>112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</row>
    <row r="52" spans="1:36" x14ac:dyDescent="0.25">
      <c r="A52" t="s">
        <v>15</v>
      </c>
      <c r="B52" t="s">
        <v>19</v>
      </c>
      <c r="C52" t="s">
        <v>1</v>
      </c>
      <c r="E52" s="22">
        <f>'SYVbT-passenger'!B5/SUM('SYVbT-passenger'!B5:H5)</f>
        <v>0.93664816809218165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0.93664816809218165</v>
      </c>
      <c r="J52">
        <f>IF($G52="s-curve",$E52+($F52-$E52)*$I$2/(1+EXP($I$3*(COUNT($I$9:J$9)+$I$4))),TREND($E52:$F52,$E$9:$F$9,J$9))</f>
        <v>0.93758413006461472</v>
      </c>
      <c r="K52">
        <f>IF($G52="s-curve",$E52+($F52-$E52)*$I$2/(1+EXP($I$3*(COUNT($I$9:K$9)+$I$4))),TREND($E52:$F52,$E$9:$F$9,K$9))</f>
        <v>0.93790508780604664</v>
      </c>
      <c r="L52">
        <f>IF($G52="s-curve",$E52+($F52-$E52)*$I$2/(1+EXP($I$3*(COUNT($I$9:L$9)+$I$4))),TREND($E52:$F52,$E$9:$F$9,L$9))</f>
        <v>0.93833313635851656</v>
      </c>
      <c r="M52">
        <f>IF($G52="s-curve",$E52+($F52-$E52)*$I$2/(1+EXP($I$3*(COUNT($I$9:M$9)+$I$4))),TREND($E52:$F52,$E$9:$F$9,M$9))</f>
        <v>0.93890166809574294</v>
      </c>
      <c r="N52">
        <f>IF($G52="s-curve",$E52+($F52-$E52)*$I$2/(1+EXP($I$3*(COUNT($I$9:N$9)+$I$4))),TREND($E52:$F52,$E$9:$F$9,N$9))</f>
        <v>0.93965268403780833</v>
      </c>
      <c r="O52">
        <f>IF($G52="s-curve",$E52+($F52-$E52)*$I$2/(1+EXP($I$3*(COUNT($I$9:O$9)+$I$4))),TREND($E52:$F52,$E$9:$F$9,O$9))</f>
        <v>0.94063764555977569</v>
      </c>
      <c r="P52">
        <f>IF($G52="s-curve",$E52+($F52-$E52)*$I$2/(1+EXP($I$3*(COUNT($I$9:P$9)+$I$4))),TREND($E52:$F52,$E$9:$F$9,P$9))</f>
        <v>0.94191731077978458</v>
      </c>
      <c r="Q52">
        <f>IF($G52="s-curve",$E52+($F52-$E52)*$I$2/(1+EXP($I$3*(COUNT($I$9:Q$9)+$I$4))),TREND($E52:$F52,$E$9:$F$9,Q$9))</f>
        <v>0.94355965157024346</v>
      </c>
      <c r="R52">
        <f>IF($G52="s-curve",$E52+($F52-$E52)*$I$2/(1+EXP($I$3*(COUNT($I$9:R$9)+$I$4))),TREND($E52:$F52,$E$9:$F$9,R$9))</f>
        <v>0.94563469291170243</v>
      </c>
      <c r="S52">
        <f>IF($G52="s-curve",$E52+($F52-$E52)*$I$2/(1+EXP($I$3*(COUNT($I$9:S$9)+$I$4))),TREND($E52:$F52,$E$9:$F$9,S$9))</f>
        <v>0.94820515921205761</v>
      </c>
      <c r="T52">
        <f>IF($G52="s-curve",$E52+($F52-$E52)*$I$2/(1+EXP($I$3*(COUNT($I$9:T$9)+$I$4))),TREND($E52:$F52,$E$9:$F$9,T$9))</f>
        <v>0.95131254709877777</v>
      </c>
      <c r="U52">
        <f>IF($G52="s-curve",$E52+($F52-$E52)*$I$2/(1+EXP($I$3*(COUNT($I$9:U$9)+$I$4))),TREND($E52:$F52,$E$9:$F$9,U$9))</f>
        <v>0.95496004661475364</v>
      </c>
      <c r="V52">
        <f>IF($G52="s-curve",$E52+($F52-$E52)*$I$2/(1+EXP($I$3*(COUNT($I$9:V$9)+$I$4))),TREND($E52:$F52,$E$9:$F$9,V$9))</f>
        <v>0.95909649021776056</v>
      </c>
      <c r="W52">
        <f>IF($G52="s-curve",$E52+($F52-$E52)*$I$2/(1+EXP($I$3*(COUNT($I$9:W$9)+$I$4))),TREND($E52:$F52,$E$9:$F$9,W$9))</f>
        <v>0.96360801423424369</v>
      </c>
      <c r="X52">
        <f>IF($G52="s-curve",$E52+($F52-$E52)*$I$2/(1+EXP($I$3*(COUNT($I$9:X$9)+$I$4))),TREND($E52:$F52,$E$9:$F$9,X$9))</f>
        <v>0.96832408404609083</v>
      </c>
      <c r="Y52">
        <f>IF($G52="s-curve",$E52+($F52-$E52)*$I$2/(1+EXP($I$3*(COUNT($I$9:Y$9)+$I$4))),TREND($E52:$F52,$E$9:$F$9,Y$9))</f>
        <v>0.97304015385793796</v>
      </c>
      <c r="Z52">
        <f>IF($G52="s-curve",$E52+($F52-$E52)*$I$2/(1+EXP($I$3*(COUNT($I$9:Z$9)+$I$4))),TREND($E52:$F52,$E$9:$F$9,Z$9))</f>
        <v>0.9775516778744211</v>
      </c>
      <c r="AA52">
        <f>IF($G52="s-curve",$E52+($F52-$E52)*$I$2/(1+EXP($I$3*(COUNT($I$9:AA$9)+$I$4))),TREND($E52:$F52,$E$9:$F$9,AA$9))</f>
        <v>0.98168812147742801</v>
      </c>
      <c r="AB52">
        <f>IF($G52="s-curve",$E52+($F52-$E52)*$I$2/(1+EXP($I$3*(COUNT($I$9:AB$9)+$I$4))),TREND($E52:$F52,$E$9:$F$9,AB$9))</f>
        <v>0.98533562099340388</v>
      </c>
      <c r="AC52">
        <f>IF($G52="s-curve",$E52+($F52-$E52)*$I$2/(1+EXP($I$3*(COUNT($I$9:AC$9)+$I$4))),TREND($E52:$F52,$E$9:$F$9,AC$9))</f>
        <v>0.98844300888012404</v>
      </c>
      <c r="AD52">
        <f>IF($G52="s-curve",$E52+($F52-$E52)*$I$2/(1+EXP($I$3*(COUNT($I$9:AD$9)+$I$4))),TREND($E52:$F52,$E$9:$F$9,AD$9))</f>
        <v>0.99101347518047922</v>
      </c>
      <c r="AE52">
        <f>IF($G52="s-curve",$E52+($F52-$E52)*$I$2/(1+EXP($I$3*(COUNT($I$9:AE$9)+$I$4))),TREND($E52:$F52,$E$9:$F$9,AE$9))</f>
        <v>0.99308851652193819</v>
      </c>
      <c r="AF52">
        <f>IF($G52="s-curve",$E52+($F52-$E52)*$I$2/(1+EXP($I$3*(COUNT($I$9:AF$9)+$I$4))),TREND($E52:$F52,$E$9:$F$9,AF$9))</f>
        <v>0.99473085731239708</v>
      </c>
      <c r="AG52">
        <f>IF($G52="s-curve",$E52+($F52-$E52)*$I$2/(1+EXP($I$3*(COUNT($I$9:AG$9)+$I$4))),TREND($E52:$F52,$E$9:$F$9,AG$9))</f>
        <v>0.99601052253240596</v>
      </c>
      <c r="AH52">
        <f>IF($G52="s-curve",$E52+($F52-$E52)*$I$2/(1+EXP($I$3*(COUNT($I$9:AH$9)+$I$4))),TREND($E52:$F52,$E$9:$F$9,AH$9))</f>
        <v>0.99699548405437333</v>
      </c>
      <c r="AI52">
        <f>IF($G52="s-curve",$E52+($F52-$E52)*$I$2/(1+EXP($I$3*(COUNT($I$9:AI$9)+$I$4))),TREND($E52:$F52,$E$9:$F$9,AI$9))</f>
        <v>0.99774649999643872</v>
      </c>
      <c r="AJ52">
        <f>IF($G52="s-curve",$E52+($F52-$E52)*$I$2/(1+EXP($I$3*(COUNT($I$9:AJ$9)+$I$4))),TREND($E52:$F52,$E$9:$F$9,AJ$9))</f>
        <v>0.99831503173366509</v>
      </c>
    </row>
    <row r="53" spans="1:36" x14ac:dyDescent="0.2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</row>
    <row r="54" spans="1:36" x14ac:dyDescent="0.2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</row>
    <row r="55" spans="1:36" x14ac:dyDescent="0.25">
      <c r="C55" t="s">
        <v>4</v>
      </c>
      <c r="E55" s="22">
        <f>1-E52</f>
        <v>6.3351831907818346E-2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6.3351831907818346E-2</v>
      </c>
      <c r="J55">
        <f>IF($G55="s-curve",$E55+($F55-$E55)*$I$2/(1+EXP($I$3*(COUNT($I$9:J$9)+$I$4))),TREND($E55:$F55,$E$9:$F$9,J$9))</f>
        <v>6.3351831907809242E-2</v>
      </c>
      <c r="K55">
        <f>IF($G55="s-curve",$E55+($F55-$E55)*$I$2/(1+EXP($I$3*(COUNT($I$9:K$9)+$I$4))),TREND($E55:$F55,$E$9:$F$9,K$9))</f>
        <v>9.9376761449818218E-2</v>
      </c>
      <c r="L55">
        <f>IF($G55="s-curve",$E55+($F55-$E55)*$I$2/(1+EXP($I$3*(COUNT($I$9:L$9)+$I$4))),TREND($E55:$F55,$E$9:$F$9,L$9))</f>
        <v>0.13540169099182719</v>
      </c>
      <c r="M55">
        <f>IF($G55="s-curve",$E55+($F55-$E55)*$I$2/(1+EXP($I$3*(COUNT($I$9:M$9)+$I$4))),TREND($E55:$F55,$E$9:$F$9,M$9))</f>
        <v>0.17142662053383617</v>
      </c>
      <c r="N55">
        <f>IF($G55="s-curve",$E55+($F55-$E55)*$I$2/(1+EXP($I$3*(COUNT($I$9:N$9)+$I$4))),TREND($E55:$F55,$E$9:$F$9,N$9))</f>
        <v>0.20745155007584515</v>
      </c>
      <c r="O55">
        <f>IF($G55="s-curve",$E55+($F55-$E55)*$I$2/(1+EXP($I$3*(COUNT($I$9:O$9)+$I$4))),TREND($E55:$F55,$E$9:$F$9,O$9))</f>
        <v>0.24347647961785412</v>
      </c>
      <c r="P55">
        <f>IF($G55="s-curve",$E55+($F55-$E55)*$I$2/(1+EXP($I$3*(COUNT($I$9:P$9)+$I$4))),TREND($E55:$F55,$E$9:$F$9,P$9))</f>
        <v>0.2795014091598631</v>
      </c>
      <c r="Q55">
        <f>IF($G55="s-curve",$E55+($F55-$E55)*$I$2/(1+EXP($I$3*(COUNT($I$9:Q$9)+$I$4))),TREND($E55:$F55,$E$9:$F$9,Q$9))</f>
        <v>0.31552633870185787</v>
      </c>
      <c r="R55">
        <f>IF($G55="s-curve",$E55+($F55-$E55)*$I$2/(1+EXP($I$3*(COUNT($I$9:R$9)+$I$4))),TREND($E55:$F55,$E$9:$F$9,R$9))</f>
        <v>0.35155126824386684</v>
      </c>
      <c r="S55">
        <f>IF($G55="s-curve",$E55+($F55-$E55)*$I$2/(1+EXP($I$3*(COUNT($I$9:S$9)+$I$4))),TREND($E55:$F55,$E$9:$F$9,S$9))</f>
        <v>0.38757619778587582</v>
      </c>
      <c r="T55">
        <f>IF($G55="s-curve",$E55+($F55-$E55)*$I$2/(1+EXP($I$3*(COUNT($I$9:T$9)+$I$4))),TREND($E55:$F55,$E$9:$F$9,T$9))</f>
        <v>0.4236011273278848</v>
      </c>
      <c r="U55">
        <f>IF($G55="s-curve",$E55+($F55-$E55)*$I$2/(1+EXP($I$3*(COUNT($I$9:U$9)+$I$4))),TREND($E55:$F55,$E$9:$F$9,U$9))</f>
        <v>0.45962605686989377</v>
      </c>
      <c r="V55">
        <f>IF($G55="s-curve",$E55+($F55-$E55)*$I$2/(1+EXP($I$3*(COUNT($I$9:V$9)+$I$4))),TREND($E55:$F55,$E$9:$F$9,V$9))</f>
        <v>0.49565098641190275</v>
      </c>
      <c r="W55">
        <f>IF($G55="s-curve",$E55+($F55-$E55)*$I$2/(1+EXP($I$3*(COUNT($I$9:W$9)+$I$4))),TREND($E55:$F55,$E$9:$F$9,W$9))</f>
        <v>0.53167591595391173</v>
      </c>
      <c r="X55">
        <f>IF($G55="s-curve",$E55+($F55-$E55)*$I$2/(1+EXP($I$3*(COUNT($I$9:X$9)+$I$4))),TREND($E55:$F55,$E$9:$F$9,X$9))</f>
        <v>0.56770084549590649</v>
      </c>
      <c r="Y55">
        <f>IF($G55="s-curve",$E55+($F55-$E55)*$I$2/(1+EXP($I$3*(COUNT($I$9:Y$9)+$I$4))),TREND($E55:$F55,$E$9:$F$9,Y$9))</f>
        <v>0.60372577503791547</v>
      </c>
      <c r="Z55">
        <f>IF($G55="s-curve",$E55+($F55-$E55)*$I$2/(1+EXP($I$3*(COUNT($I$9:Z$9)+$I$4))),TREND($E55:$F55,$E$9:$F$9,Z$9))</f>
        <v>0.63975070457992445</v>
      </c>
      <c r="AA55">
        <f>IF($G55="s-curve",$E55+($F55-$E55)*$I$2/(1+EXP($I$3*(COUNT($I$9:AA$9)+$I$4))),TREND($E55:$F55,$E$9:$F$9,AA$9))</f>
        <v>0.67577563412193342</v>
      </c>
      <c r="AB55">
        <f>IF($G55="s-curve",$E55+($F55-$E55)*$I$2/(1+EXP($I$3*(COUNT($I$9:AB$9)+$I$4))),TREND($E55:$F55,$E$9:$F$9,AB$9))</f>
        <v>0.7118005636639424</v>
      </c>
      <c r="AC55">
        <f>IF($G55="s-curve",$E55+($F55-$E55)*$I$2/(1+EXP($I$3*(COUNT($I$9:AC$9)+$I$4))),TREND($E55:$F55,$E$9:$F$9,AC$9))</f>
        <v>0.74782549320595137</v>
      </c>
      <c r="AD55">
        <f>IF($G55="s-curve",$E55+($F55-$E55)*$I$2/(1+EXP($I$3*(COUNT($I$9:AD$9)+$I$4))),TREND($E55:$F55,$E$9:$F$9,AD$9))</f>
        <v>0.78385042274796035</v>
      </c>
      <c r="AE55">
        <f>IF($G55="s-curve",$E55+($F55-$E55)*$I$2/(1+EXP($I$3*(COUNT($I$9:AE$9)+$I$4))),TREND($E55:$F55,$E$9:$F$9,AE$9))</f>
        <v>0.81987535228995512</v>
      </c>
      <c r="AF55">
        <f>IF($G55="s-curve",$E55+($F55-$E55)*$I$2/(1+EXP($I$3*(COUNT($I$9:AF$9)+$I$4))),TREND($E55:$F55,$E$9:$F$9,AF$9))</f>
        <v>0.85590028183196409</v>
      </c>
      <c r="AG55">
        <f>IF($G55="s-curve",$E55+($F55-$E55)*$I$2/(1+EXP($I$3*(COUNT($I$9:AG$9)+$I$4))),TREND($E55:$F55,$E$9:$F$9,AG$9))</f>
        <v>0.89192521137397307</v>
      </c>
      <c r="AH55">
        <f>IF($G55="s-curve",$E55+($F55-$E55)*$I$2/(1+EXP($I$3*(COUNT($I$9:AH$9)+$I$4))),TREND($E55:$F55,$E$9:$F$9,AH$9))</f>
        <v>0.92795014091598205</v>
      </c>
      <c r="AI55">
        <f>IF($G55="s-curve",$E55+($F55-$E55)*$I$2/(1+EXP($I$3*(COUNT($I$9:AI$9)+$I$4))),TREND($E55:$F55,$E$9:$F$9,AI$9))</f>
        <v>0.96397507045799102</v>
      </c>
      <c r="AJ55">
        <f>IF($G55="s-curve",$E55+($F55-$E55)*$I$2/(1+EXP($I$3*(COUNT($I$9:AJ$9)+$I$4))),TREND($E55:$F55,$E$9:$F$9,AJ$9))</f>
        <v>1</v>
      </c>
    </row>
    <row r="56" spans="1:36" x14ac:dyDescent="0.2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</row>
    <row r="57" spans="1:36" x14ac:dyDescent="0.25">
      <c r="C57" t="s">
        <v>111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</row>
    <row r="58" spans="1:36" ht="15.75" thickBot="1" x14ac:dyDescent="0.3">
      <c r="A58" s="23"/>
      <c r="B58" s="23"/>
      <c r="C58" s="23" t="s">
        <v>112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</row>
    <row r="59" spans="1:36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</row>
    <row r="60" spans="1:36" x14ac:dyDescent="0.2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</row>
    <row r="61" spans="1:36" x14ac:dyDescent="0.2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</row>
    <row r="62" spans="1:36" x14ac:dyDescent="0.2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</row>
    <row r="63" spans="1:36" x14ac:dyDescent="0.2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</row>
    <row r="64" spans="1:36" x14ac:dyDescent="0.25">
      <c r="C64" t="s">
        <v>111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</row>
    <row r="65" spans="1:36" ht="15.75" thickBot="1" x14ac:dyDescent="0.3">
      <c r="A65" s="23"/>
      <c r="B65" s="23"/>
      <c r="C65" s="23" t="s">
        <v>112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</row>
    <row r="66" spans="1:36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</row>
    <row r="67" spans="1:36" x14ac:dyDescent="0.2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</row>
    <row r="68" spans="1:36" x14ac:dyDescent="0.2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</row>
    <row r="69" spans="1:36" x14ac:dyDescent="0.2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</row>
    <row r="70" spans="1:36" x14ac:dyDescent="0.2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</row>
    <row r="71" spans="1:36" x14ac:dyDescent="0.25">
      <c r="C71" t="s">
        <v>111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</row>
    <row r="72" spans="1:36" ht="15.75" thickBot="1" x14ac:dyDescent="0.3">
      <c r="A72" s="23"/>
      <c r="B72" s="23"/>
      <c r="C72" s="23" t="s">
        <v>112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</row>
    <row r="73" spans="1:36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</row>
    <row r="74" spans="1:36" x14ac:dyDescent="0.2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</row>
    <row r="75" spans="1:36" x14ac:dyDescent="0.2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</row>
    <row r="76" spans="1:36" x14ac:dyDescent="0.2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</row>
    <row r="77" spans="1:36" x14ac:dyDescent="0.2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</row>
    <row r="78" spans="1:36" x14ac:dyDescent="0.25">
      <c r="C78" t="s">
        <v>111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</row>
    <row r="79" spans="1:36" ht="15.75" thickBot="1" x14ac:dyDescent="0.3">
      <c r="A79" s="23"/>
      <c r="B79" s="23"/>
      <c r="C79" s="23" t="s">
        <v>112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</row>
    <row r="80" spans="1:36" x14ac:dyDescent="0.2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7.2426485361517731E-2</v>
      </c>
      <c r="K80">
        <f>IF($G80="s-curve",$E80+($F80-$E80)*$O$2/(1+EXP($O$3*(COUNT($I$9:K$9)+$O$4))),TREND($E80:$F80,$E$9:$F$9,K$9))</f>
        <v>9.534946489910949E-2</v>
      </c>
      <c r="L80">
        <f>IF($G80="s-curve",$E80+($F80-$E80)*$O$2/(1+EXP($O$3*(COUNT($I$9:L$9)+$O$4))),TREND($E80:$F80,$E$9:$F$9,L$9))</f>
        <v>0.12455335818741645</v>
      </c>
      <c r="M80">
        <f>IF($G80="s-curve",$E80+($F80-$E80)*$O$2/(1+EXP($O$3*(COUNT($I$9:M$9)+$O$4))),TREND($E80:$F80,$E$9:$F$9,M$9))</f>
        <v>0.16110894957658525</v>
      </c>
      <c r="N80">
        <f>IF($G80="s-curve",$E80+($F80-$E80)*$O$2/(1+EXP($O$3*(COUNT($I$9:N$9)+$O$4))),TREND($E80:$F80,$E$9:$F$9,N$9))</f>
        <v>0.20587037180094736</v>
      </c>
      <c r="O80">
        <f>IF($G80="s-curve",$E80+($F80-$E80)*$O$2/(1+EXP($O$3*(COUNT($I$9:O$9)+$O$4))),TREND($E80:$F80,$E$9:$F$9,O$9))</f>
        <v>0.259225100817846</v>
      </c>
      <c r="P80">
        <f>IF($G80="s-curve",$E80+($F80-$E80)*$O$2/(1+EXP($O$3*(COUNT($I$9:P$9)+$O$4))),TREND($E80:$F80,$E$9:$F$9,P$9))</f>
        <v>0.32082130082460703</v>
      </c>
      <c r="Q80">
        <f>IF($G80="s-curve",$E80+($F80-$E80)*$O$2/(1+EXP($O$3*(COUNT($I$9:Q$9)+$O$4))),TREND($E80:$F80,$E$9:$F$9,Q$9))</f>
        <v>0.38936076605077802</v>
      </c>
      <c r="R80">
        <f>IF($G80="s-curve",$E80+($F80-$E80)*$O$2/(1+EXP($O$3*(COUNT($I$9:R$9)+$O$4))),TREND($E80:$F80,$E$9:$F$9,R$9))</f>
        <v>0.46257015465625045</v>
      </c>
      <c r="S80">
        <f>IF($G80="s-curve",$E80+($F80-$E80)*$O$2/(1+EXP($O$3*(COUNT($I$9:S$9)+$O$4))),TREND($E80:$F80,$E$9:$F$9,S$9))</f>
        <v>0.5374298453437496</v>
      </c>
      <c r="T80">
        <f>IF($G80="s-curve",$E80+($F80-$E80)*$O$2/(1+EXP($O$3*(COUNT($I$9:T$9)+$O$4))),TREND($E80:$F80,$E$9:$F$9,T$9))</f>
        <v>0.61063923394922204</v>
      </c>
      <c r="U80">
        <f>IF($G80="s-curve",$E80+($F80-$E80)*$O$2/(1+EXP($O$3*(COUNT($I$9:U$9)+$O$4))),TREND($E80:$F80,$E$9:$F$9,U$9))</f>
        <v>0.67917869917539297</v>
      </c>
      <c r="V80">
        <f>IF($G80="s-curve",$E80+($F80-$E80)*$O$2/(1+EXP($O$3*(COUNT($I$9:V$9)+$O$4))),TREND($E80:$F80,$E$9:$F$9,V$9))</f>
        <v>0.740774899182154</v>
      </c>
      <c r="W80">
        <f>IF($G80="s-curve",$E80+($F80-$E80)*$O$2/(1+EXP($O$3*(COUNT($I$9:W$9)+$O$4))),TREND($E80:$F80,$E$9:$F$9,W$9))</f>
        <v>0.79412962819905253</v>
      </c>
      <c r="X80">
        <f>IF($G80="s-curve",$E80+($F80-$E80)*$O$2/(1+EXP($O$3*(COUNT($I$9:X$9)+$O$4))),TREND($E80:$F80,$E$9:$F$9,X$9))</f>
        <v>0.83889105042341472</v>
      </c>
      <c r="Y80">
        <f>IF($G80="s-curve",$E80+($F80-$E80)*$O$2/(1+EXP($O$3*(COUNT($I$9:Y$9)+$O$4))),TREND($E80:$F80,$E$9:$F$9,Y$9))</f>
        <v>0.87544664181258358</v>
      </c>
      <c r="Z80">
        <f>IF($G80="s-curve",$E80+($F80-$E80)*$O$2/(1+EXP($O$3*(COUNT($I$9:Z$9)+$O$4))),TREND($E80:$F80,$E$9:$F$9,Z$9))</f>
        <v>0.90465053510089055</v>
      </c>
      <c r="AA80">
        <f>IF($G80="s-curve",$E80+($F80-$E80)*$O$2/(1+EXP($O$3*(COUNT($I$9:AA$9)+$O$4))),TREND($E80:$F80,$E$9:$F$9,AA$9))</f>
        <v>0.92757351463848225</v>
      </c>
      <c r="AB80">
        <f>IF($G80="s-curve",$E80+($F80-$E80)*$O$2/(1+EXP($O$3*(COUNT($I$9:AB$9)+$O$4))),TREND($E80:$F80,$E$9:$F$9,AB$9))</f>
        <v>0.94531868278405917</v>
      </c>
      <c r="AC80">
        <f>IF($G80="s-curve",$E80+($F80-$E80)*$O$2/(1+EXP($O$3*(COUNT($I$9:AC$9)+$O$4))),TREND($E80:$F80,$E$9:$F$9,AC$9))</f>
        <v>0.95890872179953501</v>
      </c>
      <c r="AD80">
        <f>IF($G80="s-curve",$E80+($F80-$E80)*$O$2/(1+EXP($O$3*(COUNT($I$9:AD$9)+$O$4))),TREND($E80:$F80,$E$9:$F$9,AD$9))</f>
        <v>0.96923114064285198</v>
      </c>
      <c r="AE80">
        <f>IF($G80="s-curve",$E80+($F80-$E80)*$O$2/(1+EXP($O$3*(COUNT($I$9:AE$9)+$O$4))),TREND($E80:$F80,$E$9:$F$9,AE$9))</f>
        <v>0.97702263008997436</v>
      </c>
      <c r="AF80">
        <f>IF($G80="s-curve",$E80+($F80-$E80)*$O$2/(1+EXP($O$3*(COUNT($I$9:AF$9)+$O$4))),TREND($E80:$F80,$E$9:$F$9,AF$9))</f>
        <v>0.98287596668427235</v>
      </c>
      <c r="AG80">
        <f>IF($G80="s-curve",$E80+($F80-$E80)*$O$2/(1+EXP($O$3*(COUNT($I$9:AG$9)+$O$4))),TREND($E80:$F80,$E$9:$F$9,AG$9))</f>
        <v>0.98725765053588843</v>
      </c>
      <c r="AH80">
        <f>IF($G80="s-curve",$E80+($F80-$E80)*$O$2/(1+EXP($O$3*(COUNT($I$9:AH$9)+$O$4))),TREND($E80:$F80,$E$9:$F$9,AH$9))</f>
        <v>0.99052895641805383</v>
      </c>
      <c r="AI80">
        <f>IF($G80="s-curve",$E80+($F80-$E80)*$O$2/(1+EXP($O$3*(COUNT($I$9:AI$9)+$O$4))),TREND($E80:$F80,$E$9:$F$9,AI$9))</f>
        <v>0.99296641284500486</v>
      </c>
      <c r="AJ80">
        <f>IF($G80="s-curve",$E80+($F80-$E80)*$O$2/(1+EXP($O$3*(COUNT($I$9:AJ$9)+$O$4))),TREND($E80:$F80,$E$9:$F$9,AJ$9))</f>
        <v>0.99477987430644166</v>
      </c>
    </row>
    <row r="81" spans="1:36" x14ac:dyDescent="0.2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</row>
    <row r="82" spans="1:36" x14ac:dyDescent="0.2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</row>
    <row r="83" spans="1:36" x14ac:dyDescent="0.2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</row>
    <row r="84" spans="1:36" x14ac:dyDescent="0.2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</row>
    <row r="85" spans="1:36" x14ac:dyDescent="0.25">
      <c r="C85" t="s">
        <v>111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</row>
    <row r="86" spans="1:36" ht="15.75" thickBot="1" x14ac:dyDescent="0.3">
      <c r="A86" s="23"/>
      <c r="B86" s="23"/>
      <c r="C86" s="23" t="s">
        <v>112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</row>
    <row r="87" spans="1:36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</row>
    <row r="88" spans="1:36" x14ac:dyDescent="0.2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</row>
    <row r="89" spans="1:36" x14ac:dyDescent="0.2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</row>
    <row r="90" spans="1:36" x14ac:dyDescent="0.2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</row>
    <row r="91" spans="1:36" x14ac:dyDescent="0.2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</row>
    <row r="92" spans="1:36" x14ac:dyDescent="0.25">
      <c r="C92" t="s">
        <v>111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</row>
    <row r="93" spans="1:36" ht="15.75" thickBot="1" x14ac:dyDescent="0.3">
      <c r="A93" s="23"/>
      <c r="B93" s="23"/>
      <c r="C93" s="23" t="s">
        <v>112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C8"/>
  <sheetViews>
    <sheetView workbookViewId="0">
      <selection activeCell="C3" sqref="C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9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</row>
    <row r="2" spans="1:29" x14ac:dyDescent="0.25">
      <c r="A2" t="s">
        <v>1</v>
      </c>
      <c r="B2">
        <f>Data!I10</f>
        <v>0.02</v>
      </c>
      <c r="C2">
        <f>Data!J10</f>
        <v>6.8000000000000005E-2</v>
      </c>
      <c r="D2">
        <f>Data!K10</f>
        <v>9.9000000000000005E-2</v>
      </c>
      <c r="E2">
        <f>Data!L10</f>
        <v>0.13550148435693454</v>
      </c>
      <c r="F2">
        <f>Data!M10</f>
        <v>0.15686570128597005</v>
      </c>
      <c r="G2">
        <f>Data!N10</f>
        <v>0.18408372983067212</v>
      </c>
      <c r="H2">
        <f>Data!O10</f>
        <v>0.21815354100537743</v>
      </c>
      <c r="I2">
        <f>Data!P10</f>
        <v>0.25987118651848296</v>
      </c>
      <c r="J2">
        <f>Data!Q10</f>
        <v>0.30959779396223247</v>
      </c>
      <c r="K2">
        <f>Data!R10</f>
        <v>0.36700545236853371</v>
      </c>
      <c r="L2">
        <f>Data!S10</f>
        <v>0.43088423395932512</v>
      </c>
      <c r="M2">
        <f>Data!T10</f>
        <v>0.49911538413962542</v>
      </c>
      <c r="N2">
        <f>Data!U10</f>
        <v>0.56888461586037464</v>
      </c>
      <c r="O2">
        <f>Data!V10</f>
        <v>0.63711576604067499</v>
      </c>
      <c r="P2">
        <f>Data!W10</f>
        <v>0.70099454763146607</v>
      </c>
      <c r="Q2">
        <f>Data!X10</f>
        <v>0.75840220603776753</v>
      </c>
      <c r="R2">
        <f>Data!Y10</f>
        <v>0.80812881348151699</v>
      </c>
      <c r="S2">
        <f>Data!Z10</f>
        <v>0.84984645899462241</v>
      </c>
      <c r="T2">
        <f>Data!AA10</f>
        <v>0.88391627016932772</v>
      </c>
      <c r="U2">
        <f>Data!AB10</f>
        <v>0.91113429871403007</v>
      </c>
      <c r="V2">
        <f>Data!AC10</f>
        <v>0.93249851564306541</v>
      </c>
      <c r="W2">
        <f>Data!AD10</f>
        <v>0.94903701235474314</v>
      </c>
      <c r="X2">
        <f>Data!AE10</f>
        <v>0.96170292871716656</v>
      </c>
      <c r="Y2">
        <f>Data!AF10</f>
        <v>0.9713234230791381</v>
      </c>
      <c r="Z2">
        <f>Data!AG10</f>
        <v>0.97858509124385606</v>
      </c>
      <c r="AA2">
        <f>Data!AH10</f>
        <v>0.98404040094974166</v>
      </c>
      <c r="AB2">
        <f>Data!AI10</f>
        <v>0.9881241302994479</v>
      </c>
      <c r="AC2">
        <f>Data!AJ10</f>
        <v>0.99117298738162618</v>
      </c>
    </row>
    <row r="3" spans="1:29" x14ac:dyDescent="0.25">
      <c r="A3" t="s">
        <v>2</v>
      </c>
      <c r="B3">
        <f>Data!I11</f>
        <v>5.4649745052120366E-5</v>
      </c>
      <c r="C3">
        <f>Data!J11</f>
        <v>5.4224907352288168E-5</v>
      </c>
      <c r="D3">
        <f>Data!K11</f>
        <v>5.4079223069561536E-5</v>
      </c>
      <c r="E3">
        <f>Data!L11</f>
        <v>5.3884929745896789E-5</v>
      </c>
      <c r="F3">
        <f>Data!M11</f>
        <v>5.3626870420156271E-5</v>
      </c>
      <c r="G3">
        <f>Data!N11</f>
        <v>5.3285980624671284E-5</v>
      </c>
      <c r="H3">
        <f>Data!O11</f>
        <v>5.2838901790551485E-5</v>
      </c>
      <c r="I3">
        <f>Data!P11</f>
        <v>5.2258055511924749E-5</v>
      </c>
      <c r="J3">
        <f>Data!Q11</f>
        <v>5.151258902470691E-5</v>
      </c>
      <c r="K3">
        <f>Data!R11</f>
        <v>5.0570717649024244E-5</v>
      </c>
      <c r="L3">
        <f>Data!S11</f>
        <v>4.9403970470503303E-5</v>
      </c>
      <c r="M3">
        <f>Data!T11</f>
        <v>4.7993511967740696E-5</v>
      </c>
      <c r="N3">
        <f>Data!U11</f>
        <v>4.6337894164724468E-5</v>
      </c>
      <c r="O3">
        <f>Data!V11</f>
        <v>4.4460342258188219E-5</v>
      </c>
      <c r="P3">
        <f>Data!W11</f>
        <v>4.2412539524367639E-5</v>
      </c>
      <c r="Q3">
        <f>Data!X11</f>
        <v>4.0271892457366615E-5</v>
      </c>
      <c r="R3">
        <f>Data!Y11</f>
        <v>3.8131245390365598E-5</v>
      </c>
      <c r="S3">
        <f>Data!Z11</f>
        <v>3.6083442656545018E-5</v>
      </c>
      <c r="T3">
        <f>Data!AA11</f>
        <v>3.4205890750008762E-5</v>
      </c>
      <c r="U3">
        <f>Data!AB11</f>
        <v>3.2550272946992541E-5</v>
      </c>
      <c r="V3">
        <f>Data!AC11</f>
        <v>3.1139814444229934E-5</v>
      </c>
      <c r="W3">
        <f>Data!AD11</f>
        <v>2.9973067265708986E-5</v>
      </c>
      <c r="X3">
        <f>Data!AE11</f>
        <v>2.9031195890026324E-5</v>
      </c>
      <c r="Y3">
        <f>Data!AF11</f>
        <v>2.8285729402808482E-5</v>
      </c>
      <c r="Z3">
        <f>Data!AG11</f>
        <v>2.7704883124181745E-5</v>
      </c>
      <c r="AA3">
        <f>Data!AH11</f>
        <v>2.7257804290061946E-5</v>
      </c>
      <c r="AB3">
        <f>Data!AI11</f>
        <v>2.6916914494576966E-5</v>
      </c>
      <c r="AC3">
        <f>Data!AJ11</f>
        <v>2.6658855168836448E-5</v>
      </c>
    </row>
    <row r="4" spans="1:29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</row>
    <row r="5" spans="1:29" x14ac:dyDescent="0.25">
      <c r="A5" t="s">
        <v>4</v>
      </c>
      <c r="B5">
        <f>Data!I13</f>
        <v>5.851105507530179E-3</v>
      </c>
      <c r="C5">
        <f>Data!J13</f>
        <v>5.8511055075296525E-3</v>
      </c>
      <c r="D5">
        <f>Data!K13</f>
        <v>6.9324658184823917E-3</v>
      </c>
      <c r="E5">
        <f>Data!L13</f>
        <v>8.0138261294346869E-3</v>
      </c>
      <c r="F5">
        <f>Data!M13</f>
        <v>9.0951864403874261E-3</v>
      </c>
      <c r="G5">
        <f>Data!N13</f>
        <v>1.0176546751339721E-2</v>
      </c>
      <c r="H5">
        <f>Data!O13</f>
        <v>1.125790706229246E-2</v>
      </c>
      <c r="I5">
        <f>Data!P13</f>
        <v>1.2339267373244756E-2</v>
      </c>
      <c r="J5">
        <f>Data!Q13</f>
        <v>1.3420627684197495E-2</v>
      </c>
      <c r="K5">
        <f>Data!R13</f>
        <v>1.450198799514979E-2</v>
      </c>
      <c r="L5">
        <f>Data!S13</f>
        <v>1.5583348306102529E-2</v>
      </c>
      <c r="M5">
        <f>Data!T13</f>
        <v>1.6664708617054824E-2</v>
      </c>
      <c r="N5">
        <f>Data!U13</f>
        <v>1.7746068928007563E-2</v>
      </c>
      <c r="O5">
        <f>Data!V13</f>
        <v>1.8827429238959859E-2</v>
      </c>
      <c r="P5">
        <f>Data!W13</f>
        <v>1.9908789549912598E-2</v>
      </c>
      <c r="Q5">
        <f>Data!X13</f>
        <v>2.0990149860864893E-2</v>
      </c>
      <c r="R5">
        <f>Data!Y13</f>
        <v>2.2071510171817632E-2</v>
      </c>
      <c r="S5">
        <f>Data!Z13</f>
        <v>2.3152870482769927E-2</v>
      </c>
      <c r="T5">
        <f>Data!AA13</f>
        <v>2.4234230793722666E-2</v>
      </c>
      <c r="U5">
        <f>Data!AB13</f>
        <v>2.5315591104674962E-2</v>
      </c>
      <c r="V5">
        <f>Data!AC13</f>
        <v>2.6396951415627701E-2</v>
      </c>
      <c r="W5">
        <f>Data!AD13</f>
        <v>2.7478311726579996E-2</v>
      </c>
      <c r="X5">
        <f>Data!AE13</f>
        <v>2.8559672037532735E-2</v>
      </c>
      <c r="Y5">
        <f>Data!AF13</f>
        <v>2.964103234848503E-2</v>
      </c>
      <c r="Z5">
        <f>Data!AG13</f>
        <v>3.0722392659437769E-2</v>
      </c>
      <c r="AA5">
        <f>Data!AH13</f>
        <v>3.1803752970390065E-2</v>
      </c>
      <c r="AB5">
        <f>Data!AI13</f>
        <v>3.288511328134236E-2</v>
      </c>
      <c r="AC5">
        <f>Data!AJ13</f>
        <v>3.3966473592295099E-2</v>
      </c>
    </row>
    <row r="6" spans="1:29" x14ac:dyDescent="0.25">
      <c r="A6" t="s">
        <v>5</v>
      </c>
      <c r="B6">
        <f>Data!I14</f>
        <v>2.5000000000000001E-3</v>
      </c>
      <c r="C6">
        <f>Data!J14</f>
        <v>8.0000000000000002E-3</v>
      </c>
      <c r="D6">
        <f>Data!K14</f>
        <v>1.8679140068700261E-2</v>
      </c>
      <c r="E6">
        <f>Data!L14</f>
        <v>2.0151128112044503E-2</v>
      </c>
      <c r="F6">
        <f>Data!M14</f>
        <v>2.6021242730178792E-2</v>
      </c>
      <c r="G6">
        <f>Data!N14</f>
        <v>3.4401430729338323E-2</v>
      </c>
      <c r="H6">
        <f>Data!O14</f>
        <v>5.1499999999999997E-2</v>
      </c>
      <c r="I6">
        <f>Data!P14</f>
        <v>5.5E-2</v>
      </c>
      <c r="J6">
        <f>Data!Q14</f>
        <v>7.4999999999999997E-2</v>
      </c>
      <c r="K6">
        <f>Data!R14</f>
        <v>8.8999999999999996E-2</v>
      </c>
      <c r="L6">
        <f>Data!S14</f>
        <v>0.11799999999999999</v>
      </c>
      <c r="M6">
        <f>Data!T14</f>
        <v>0.15</v>
      </c>
      <c r="N6">
        <f>Data!U14</f>
        <v>0.17702858227261439</v>
      </c>
      <c r="O6">
        <f>Data!V14</f>
        <v>0.19652431808271453</v>
      </c>
      <c r="P6">
        <f>Data!W14</f>
        <v>0.21198289652972047</v>
      </c>
      <c r="Q6">
        <f>Data!X14</f>
        <v>0.22359856927066168</v>
      </c>
      <c r="R6">
        <f>Data!Y14</f>
        <v>0.2319787572698212</v>
      </c>
      <c r="S6">
        <f>Data!Z14</f>
        <v>0.23784887188795553</v>
      </c>
      <c r="T6">
        <f>Data!AA14</f>
        <v>0.24187624796588125</v>
      </c>
      <c r="U6">
        <f>Data!AB14</f>
        <v>0.24460014783483416</v>
      </c>
      <c r="V6">
        <f>Data!AC14</f>
        <v>0.24642468433022793</v>
      </c>
      <c r="W6">
        <f>Data!AD14</f>
        <v>0.2476388869188586</v>
      </c>
      <c r="X6">
        <f>Data!AE14</f>
        <v>0.24844342975100567</v>
      </c>
      <c r="Y6">
        <f>Data!AF14</f>
        <v>0.24897499940691589</v>
      </c>
      <c r="Z6">
        <f>Data!AG14</f>
        <v>0.24932554691499179</v>
      </c>
      <c r="AA6">
        <f>Data!AH14</f>
        <v>0.24955642877591674</v>
      </c>
      <c r="AB6">
        <f>Data!AI14</f>
        <v>0.24970836961542547</v>
      </c>
      <c r="AC6">
        <f>Data!AJ14</f>
        <v>0.24980830595850836</v>
      </c>
    </row>
    <row r="7" spans="1:29" x14ac:dyDescent="0.25">
      <c r="A7" t="s">
        <v>111</v>
      </c>
      <c r="B7">
        <f>Data!I15</f>
        <v>5.095393642836949E-5</v>
      </c>
      <c r="C7">
        <f>Data!J15</f>
        <v>5.0953936428369375E-5</v>
      </c>
      <c r="D7">
        <f>Data!K15</f>
        <v>5.0394138880906604E-5</v>
      </c>
      <c r="E7">
        <f>Data!L15</f>
        <v>4.9834341333444051E-5</v>
      </c>
      <c r="F7">
        <f>Data!M15</f>
        <v>4.9274543785981281E-5</v>
      </c>
      <c r="G7">
        <f>Data!N15</f>
        <v>4.8714746238518727E-5</v>
      </c>
      <c r="H7">
        <f>Data!O15</f>
        <v>4.8154948691055957E-5</v>
      </c>
      <c r="I7">
        <f>Data!P15</f>
        <v>4.7595151143593186E-5</v>
      </c>
      <c r="J7">
        <f>Data!Q15</f>
        <v>4.7035353596130633E-5</v>
      </c>
      <c r="K7">
        <f>Data!R15</f>
        <v>4.6475556048667863E-5</v>
      </c>
      <c r="L7">
        <f>Data!S15</f>
        <v>4.5915758501205092E-5</v>
      </c>
      <c r="M7">
        <f>Data!T15</f>
        <v>4.5355960953742539E-5</v>
      </c>
      <c r="N7">
        <f>Data!U15</f>
        <v>4.4796163406279768E-5</v>
      </c>
      <c r="O7">
        <f>Data!V15</f>
        <v>4.4236365858817215E-5</v>
      </c>
      <c r="P7">
        <f>Data!W15</f>
        <v>4.3676568311354445E-5</v>
      </c>
      <c r="Q7">
        <f>Data!X15</f>
        <v>4.3116770763891674E-5</v>
      </c>
      <c r="R7">
        <f>Data!Y15</f>
        <v>4.2556973216429121E-5</v>
      </c>
      <c r="S7">
        <f>Data!Z15</f>
        <v>4.1997175668966351E-5</v>
      </c>
      <c r="T7">
        <f>Data!AA15</f>
        <v>4.143737812150358E-5</v>
      </c>
      <c r="U7">
        <f>Data!AB15</f>
        <v>4.0877580574041027E-5</v>
      </c>
      <c r="V7">
        <f>Data!AC15</f>
        <v>4.0317783026578256E-5</v>
      </c>
      <c r="W7">
        <f>Data!AD15</f>
        <v>3.9757985479115703E-5</v>
      </c>
      <c r="X7">
        <f>Data!AE15</f>
        <v>3.9198187931652933E-5</v>
      </c>
      <c r="Y7">
        <f>Data!AF15</f>
        <v>3.8638390384190162E-5</v>
      </c>
      <c r="Z7">
        <f>Data!AG15</f>
        <v>3.8078592836727609E-5</v>
      </c>
      <c r="AA7">
        <f>Data!AH15</f>
        <v>3.7518795289264838E-5</v>
      </c>
      <c r="AB7">
        <f>Data!AI15</f>
        <v>3.6958997741802068E-5</v>
      </c>
      <c r="AC7">
        <f>Data!AJ15</f>
        <v>3.6399200194339515E-5</v>
      </c>
    </row>
    <row r="8" spans="1:29" x14ac:dyDescent="0.25">
      <c r="A8" t="s">
        <v>112</v>
      </c>
      <c r="B8">
        <f>Data!I16</f>
        <v>6.4399747823034987E-5</v>
      </c>
      <c r="C8">
        <f>Data!J16</f>
        <v>6.4688406603317938E-5</v>
      </c>
      <c r="D8">
        <f>Data!K16</f>
        <v>6.4787392751145396E-5</v>
      </c>
      <c r="E8">
        <f>Data!L16</f>
        <v>6.4919406632795584E-5</v>
      </c>
      <c r="F8">
        <f>Data!M16</f>
        <v>6.5094746745592361E-5</v>
      </c>
      <c r="G8">
        <f>Data!N16</f>
        <v>6.5326366567972676E-5</v>
      </c>
      <c r="H8">
        <f>Data!O16</f>
        <v>6.5630137233801817E-5</v>
      </c>
      <c r="I8">
        <f>Data!P16</f>
        <v>6.6024797073045143E-5</v>
      </c>
      <c r="J8">
        <f>Data!Q16</f>
        <v>6.6531309199975293E-5</v>
      </c>
      <c r="K8">
        <f>Data!R16</f>
        <v>6.7171269925201356E-5</v>
      </c>
      <c r="L8">
        <f>Data!S16</f>
        <v>6.7964023999483026E-5</v>
      </c>
      <c r="M8">
        <f>Data!T16</f>
        <v>6.8922369342205625E-5</v>
      </c>
      <c r="N8">
        <f>Data!U16</f>
        <v>7.0047289790231215E-5</v>
      </c>
      <c r="O8">
        <f>Data!V16</f>
        <v>7.1323004830287098E-5</v>
      </c>
      <c r="P8">
        <f>Data!W16</f>
        <v>7.2714397919078935E-5</v>
      </c>
      <c r="Q8">
        <f>Data!X16</f>
        <v>7.4168874703085759E-5</v>
      </c>
      <c r="R8">
        <f>Data!Y16</f>
        <v>7.5623351487092569E-5</v>
      </c>
      <c r="S8">
        <f>Data!Z16</f>
        <v>7.7014744575884406E-5</v>
      </c>
      <c r="T8">
        <f>Data!AA16</f>
        <v>7.8290459615940289E-5</v>
      </c>
      <c r="U8">
        <f>Data!AB16</f>
        <v>7.9415380063965879E-5</v>
      </c>
      <c r="V8">
        <f>Data!AC16</f>
        <v>8.0373725406688478E-5</v>
      </c>
      <c r="W8">
        <f>Data!AD16</f>
        <v>8.1166479480970148E-5</v>
      </c>
      <c r="X8">
        <f>Data!AE16</f>
        <v>8.1806440206196211E-5</v>
      </c>
      <c r="Y8">
        <f>Data!AF16</f>
        <v>8.231295233312636E-5</v>
      </c>
      <c r="Z8">
        <f>Data!AG16</f>
        <v>8.2707612172369687E-5</v>
      </c>
      <c r="AA8">
        <f>Data!AH16</f>
        <v>8.3011382838198827E-5</v>
      </c>
      <c r="AB8">
        <f>Data!AI16</f>
        <v>8.3243002660579157E-5</v>
      </c>
      <c r="AC8">
        <f>Data!AJ16</f>
        <v>8.341834277337592E-5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Data!I17</f>
        <v>0.05</v>
      </c>
      <c r="C2">
        <f>Data!J17</f>
        <v>8.0680691463527979E-2</v>
      </c>
      <c r="D2">
        <f>Data!K17</f>
        <v>9.505457951868844E-2</v>
      </c>
      <c r="E2">
        <f>Data!L17</f>
        <v>0.11568149932617947</v>
      </c>
      <c r="F2">
        <f>Data!M17</f>
        <v>0.14476296466370087</v>
      </c>
      <c r="G2">
        <f>Data!N17</f>
        <v>0.18475851165546336</v>
      </c>
      <c r="H2">
        <f>Data!O17</f>
        <v>0.23792530586934729</v>
      </c>
      <c r="I2">
        <f>Data!P17</f>
        <v>0.30549435030149535</v>
      </c>
      <c r="J2">
        <f>Data!Q17</f>
        <v>0.38662650908549429</v>
      </c>
      <c r="K2">
        <f>Data!R17</f>
        <v>0.47765770255314599</v>
      </c>
      <c r="L2">
        <f>Data!S17</f>
        <v>0.57234229744685405</v>
      </c>
      <c r="M2">
        <f>Data!T17</f>
        <v>0.6633734909145057</v>
      </c>
      <c r="N2">
        <f>Data!U17</f>
        <v>0.74450564969850463</v>
      </c>
      <c r="O2">
        <f>Data!V17</f>
        <v>0.8120746941306527</v>
      </c>
      <c r="P2">
        <f>Data!W17</f>
        <v>0.86524148834453662</v>
      </c>
      <c r="Q2">
        <f>Data!X17</f>
        <v>0.90523703533629907</v>
      </c>
      <c r="R2">
        <f>Data!Y17</f>
        <v>0.93431850067382061</v>
      </c>
      <c r="S2">
        <f>Data!Z17</f>
        <v>0.9549454204813117</v>
      </c>
      <c r="T2">
        <f>Data!AA17</f>
        <v>0.96931930853647208</v>
      </c>
      <c r="U2">
        <f>Data!AB17</f>
        <v>0.97921279261067595</v>
      </c>
      <c r="V2">
        <f>Data!AC17</f>
        <v>0.98596466989139064</v>
      </c>
      <c r="W2">
        <f>Data!AD17</f>
        <v>0.9905457882264409</v>
      </c>
      <c r="X2">
        <f>Data!AE17</f>
        <v>0.99364179162192945</v>
      </c>
      <c r="Y2">
        <f>Data!AF17</f>
        <v>0.99572854049710591</v>
      </c>
      <c r="Z2">
        <f>Data!AG17</f>
        <v>0.99713250449152702</v>
      </c>
      <c r="AA2">
        <f>Data!AH17</f>
        <v>0.99807594563040258</v>
      </c>
      <c r="AB2">
        <f>Data!AI17</f>
        <v>0.99870940604709257</v>
      </c>
      <c r="AC2">
        <f>Data!AJ17</f>
        <v>0.99913450136531945</v>
      </c>
      <c r="AD2">
        <f>Data!AK17</f>
        <v>0</v>
      </c>
      <c r="AE2">
        <f>Data!AL17</f>
        <v>0</v>
      </c>
    </row>
    <row r="3" spans="1:31" x14ac:dyDescent="0.25">
      <c r="A3" t="s">
        <v>2</v>
      </c>
      <c r="B3">
        <f>Data!I18</f>
        <v>1.4602096920145425E-3</v>
      </c>
      <c r="C3">
        <f>Data!J18</f>
        <v>1.4602096920145469E-3</v>
      </c>
      <c r="D3">
        <f>Data!K18</f>
        <v>1.4050437053933218E-3</v>
      </c>
      <c r="E3">
        <f>Data!L18</f>
        <v>1.3498777187720967E-3</v>
      </c>
      <c r="F3">
        <f>Data!M18</f>
        <v>1.2947117321508717E-3</v>
      </c>
      <c r="G3">
        <f>Data!N18</f>
        <v>1.2395457455296327E-3</v>
      </c>
      <c r="H3">
        <f>Data!O18</f>
        <v>1.1843797589084076E-3</v>
      </c>
      <c r="I3">
        <f>Data!P18</f>
        <v>1.1292137722871826E-3</v>
      </c>
      <c r="J3">
        <f>Data!Q18</f>
        <v>1.0740477856659575E-3</v>
      </c>
      <c r="K3">
        <f>Data!R18</f>
        <v>1.0188817990447185E-3</v>
      </c>
      <c r="L3">
        <f>Data!S18</f>
        <v>9.6371581242349347E-4</v>
      </c>
      <c r="M3">
        <f>Data!T18</f>
        <v>9.085498258022684E-4</v>
      </c>
      <c r="N3">
        <f>Data!U18</f>
        <v>8.5338383918104332E-4</v>
      </c>
      <c r="O3">
        <f>Data!V18</f>
        <v>7.9821785255981825E-4</v>
      </c>
      <c r="P3">
        <f>Data!W18</f>
        <v>7.430518659385793E-4</v>
      </c>
      <c r="Q3">
        <f>Data!X18</f>
        <v>6.8788587931735423E-4</v>
      </c>
      <c r="R3">
        <f>Data!Y18</f>
        <v>6.3271989269612916E-4</v>
      </c>
      <c r="S3">
        <f>Data!Z18</f>
        <v>5.7755390607490409E-4</v>
      </c>
      <c r="T3">
        <f>Data!AA18</f>
        <v>5.2238791945367902E-4</v>
      </c>
      <c r="U3">
        <f>Data!AB18</f>
        <v>4.6722193283244007E-4</v>
      </c>
      <c r="V3">
        <f>Data!AC18</f>
        <v>4.12055946211215E-4</v>
      </c>
      <c r="W3">
        <f>Data!AD18</f>
        <v>3.5688995958998992E-4</v>
      </c>
      <c r="X3">
        <f>Data!AE18</f>
        <v>3.0172397296876485E-4</v>
      </c>
      <c r="Y3">
        <f>Data!AF18</f>
        <v>2.465579863475259E-4</v>
      </c>
      <c r="Z3">
        <f>Data!AG18</f>
        <v>1.9139199972630083E-4</v>
      </c>
      <c r="AA3">
        <f>Data!AH18</f>
        <v>1.3622601310507576E-4</v>
      </c>
      <c r="AB3">
        <f>Data!AI18</f>
        <v>8.1060026483850689E-5</v>
      </c>
      <c r="AC3">
        <f>Data!AJ18</f>
        <v>2.5894039862625617E-5</v>
      </c>
      <c r="AD3">
        <f>Data!AK18</f>
        <v>0</v>
      </c>
      <c r="AE3">
        <f>Data!AL18</f>
        <v>0</v>
      </c>
    </row>
    <row r="4" spans="1:31" x14ac:dyDescent="0.25">
      <c r="A4" t="s">
        <v>3</v>
      </c>
      <c r="B4">
        <f>Data!I19</f>
        <v>3</v>
      </c>
      <c r="C4">
        <f>Data!J19</f>
        <v>3</v>
      </c>
      <c r="D4">
        <f>Data!K19</f>
        <v>3</v>
      </c>
      <c r="E4">
        <f>Data!L19</f>
        <v>3</v>
      </c>
      <c r="F4">
        <f>Data!M19</f>
        <v>3</v>
      </c>
      <c r="G4">
        <f>Data!N19</f>
        <v>3</v>
      </c>
      <c r="H4">
        <f>Data!O19</f>
        <v>3</v>
      </c>
      <c r="I4">
        <f>Data!P19</f>
        <v>3</v>
      </c>
      <c r="J4">
        <f>Data!Q19</f>
        <v>3</v>
      </c>
      <c r="K4">
        <f>Data!R19</f>
        <v>3</v>
      </c>
      <c r="L4">
        <f>Data!S19</f>
        <v>3</v>
      </c>
      <c r="M4">
        <f>Data!T19</f>
        <v>3</v>
      </c>
      <c r="N4">
        <f>Data!U19</f>
        <v>3</v>
      </c>
      <c r="O4">
        <f>Data!V19</f>
        <v>3</v>
      </c>
      <c r="P4">
        <f>Data!W19</f>
        <v>3</v>
      </c>
      <c r="Q4">
        <f>Data!X19</f>
        <v>3</v>
      </c>
      <c r="R4">
        <f>Data!Y19</f>
        <v>3</v>
      </c>
      <c r="S4">
        <f>Data!Z19</f>
        <v>3</v>
      </c>
      <c r="T4">
        <f>Data!AA19</f>
        <v>3</v>
      </c>
      <c r="U4">
        <f>Data!AB19</f>
        <v>3</v>
      </c>
      <c r="V4">
        <f>Data!AC19</f>
        <v>3</v>
      </c>
      <c r="W4">
        <f>Data!AD19</f>
        <v>3</v>
      </c>
      <c r="X4">
        <f>Data!AE19</f>
        <v>3</v>
      </c>
      <c r="Y4">
        <f>Data!AF19</f>
        <v>3</v>
      </c>
      <c r="Z4">
        <f>Data!AG19</f>
        <v>3</v>
      </c>
      <c r="AA4">
        <f>Data!AH19</f>
        <v>3</v>
      </c>
      <c r="AB4">
        <f>Data!AI19</f>
        <v>3</v>
      </c>
      <c r="AC4">
        <f>Data!AJ19</f>
        <v>3</v>
      </c>
      <c r="AD4">
        <f>Data!AK19</f>
        <v>0</v>
      </c>
      <c r="AE4">
        <f>Data!AL19</f>
        <v>0</v>
      </c>
    </row>
    <row r="5" spans="1:31" x14ac:dyDescent="0.25">
      <c r="A5" t="s">
        <v>4</v>
      </c>
      <c r="B5">
        <f>Data!I20</f>
        <v>3</v>
      </c>
      <c r="C5">
        <f>Data!J20</f>
        <v>3</v>
      </c>
      <c r="D5">
        <f>Data!K20</f>
        <v>3</v>
      </c>
      <c r="E5">
        <f>Data!L20</f>
        <v>3</v>
      </c>
      <c r="F5">
        <f>Data!M20</f>
        <v>3</v>
      </c>
      <c r="G5">
        <f>Data!N20</f>
        <v>3</v>
      </c>
      <c r="H5">
        <f>Data!O20</f>
        <v>3</v>
      </c>
      <c r="I5">
        <f>Data!P20</f>
        <v>3</v>
      </c>
      <c r="J5">
        <f>Data!Q20</f>
        <v>3</v>
      </c>
      <c r="K5">
        <f>Data!R20</f>
        <v>3</v>
      </c>
      <c r="L5">
        <f>Data!S20</f>
        <v>3</v>
      </c>
      <c r="M5">
        <f>Data!T20</f>
        <v>3</v>
      </c>
      <c r="N5">
        <f>Data!U20</f>
        <v>3</v>
      </c>
      <c r="O5">
        <f>Data!V20</f>
        <v>3</v>
      </c>
      <c r="P5">
        <f>Data!W20</f>
        <v>3</v>
      </c>
      <c r="Q5">
        <f>Data!X20</f>
        <v>3</v>
      </c>
      <c r="R5">
        <f>Data!Y20</f>
        <v>3</v>
      </c>
      <c r="S5">
        <f>Data!Z20</f>
        <v>3</v>
      </c>
      <c r="T5">
        <f>Data!AA20</f>
        <v>3</v>
      </c>
      <c r="U5">
        <f>Data!AB20</f>
        <v>3</v>
      </c>
      <c r="V5">
        <f>Data!AC20</f>
        <v>3</v>
      </c>
      <c r="W5">
        <f>Data!AD20</f>
        <v>3</v>
      </c>
      <c r="X5">
        <f>Data!AE20</f>
        <v>3</v>
      </c>
      <c r="Y5">
        <f>Data!AF20</f>
        <v>3</v>
      </c>
      <c r="Z5">
        <f>Data!AG20</f>
        <v>3</v>
      </c>
      <c r="AA5">
        <f>Data!AH20</f>
        <v>3</v>
      </c>
      <c r="AB5">
        <f>Data!AI20</f>
        <v>3</v>
      </c>
      <c r="AC5">
        <f>Data!AJ20</f>
        <v>3</v>
      </c>
      <c r="AD5">
        <f>Data!AK20</f>
        <v>0</v>
      </c>
      <c r="AE5">
        <f>Data!AL20</f>
        <v>0</v>
      </c>
    </row>
    <row r="6" spans="1:31" x14ac:dyDescent="0.25">
      <c r="A6" t="s">
        <v>5</v>
      </c>
      <c r="B6">
        <f>Data!I21</f>
        <v>2.1516282027561148E-4</v>
      </c>
      <c r="C6">
        <f>Data!J21</f>
        <v>3.9054919212679093E-3</v>
      </c>
      <c r="D6">
        <f>Data!K21</f>
        <v>5.1709703576581145E-3</v>
      </c>
      <c r="E6">
        <f>Data!L21</f>
        <v>6.8586885303432267E-3</v>
      </c>
      <c r="F6">
        <f>Data!M21</f>
        <v>9.1003065410301971E-3</v>
      </c>
      <c r="G6">
        <f>Data!N21</f>
        <v>1.2061426830040387E-2</v>
      </c>
      <c r="H6">
        <f>Data!O21</f>
        <v>1.5944952309633297E-2</v>
      </c>
      <c r="I6">
        <f>Data!P21</f>
        <v>2.0990441271808647E-2</v>
      </c>
      <c r="J6">
        <f>Data!Q21</f>
        <v>2.746589453944729E-2</v>
      </c>
      <c r="K6">
        <f>Data!R21</f>
        <v>3.5647407970214477E-2</v>
      </c>
      <c r="L6">
        <f>Data!S21</f>
        <v>4.5782292581672268E-2</v>
      </c>
      <c r="M6">
        <f>Data!T21</f>
        <v>5.8034162085114943E-2</v>
      </c>
      <c r="N6">
        <f>Data!U21</f>
        <v>7.2415594243807363E-2</v>
      </c>
      <c r="O6">
        <f>Data!V21</f>
        <v>8.8724844675327416E-2</v>
      </c>
      <c r="P6">
        <f>Data!W21</f>
        <v>0.10651296946908867</v>
      </c>
      <c r="Q6">
        <f>Data!X21</f>
        <v>0.12510758141013781</v>
      </c>
      <c r="R6">
        <f>Data!Y21</f>
        <v>0.14370219335118695</v>
      </c>
      <c r="S6">
        <f>Data!Z21</f>
        <v>0.16149031814494819</v>
      </c>
      <c r="T6">
        <f>Data!AA21</f>
        <v>0.17779956857646825</v>
      </c>
      <c r="U6">
        <f>Data!AB21</f>
        <v>0.19218100073516065</v>
      </c>
      <c r="V6">
        <f>Data!AC21</f>
        <v>0.20443287023860335</v>
      </c>
      <c r="W6">
        <f>Data!AD21</f>
        <v>0.21456775485006116</v>
      </c>
      <c r="X6">
        <f>Data!AE21</f>
        <v>0.22274926828082833</v>
      </c>
      <c r="Y6">
        <f>Data!AF21</f>
        <v>0.22922472154846699</v>
      </c>
      <c r="Z6">
        <f>Data!AG21</f>
        <v>0.23427021051064234</v>
      </c>
      <c r="AA6">
        <f>Data!AH21</f>
        <v>0.23815373599023526</v>
      </c>
      <c r="AB6">
        <f>Data!AI21</f>
        <v>0.24111485627924542</v>
      </c>
      <c r="AC6">
        <f>Data!AJ21</f>
        <v>0.24335647428993237</v>
      </c>
      <c r="AD6">
        <f>Data!AK21</f>
        <v>0</v>
      </c>
      <c r="AE6">
        <f>Data!AL21</f>
        <v>0</v>
      </c>
    </row>
    <row r="7" spans="1:31" x14ac:dyDescent="0.25">
      <c r="A7" t="s">
        <v>111</v>
      </c>
      <c r="B7">
        <f>Data!I22</f>
        <v>3.1494949132297636E-4</v>
      </c>
      <c r="C7">
        <f>Data!J22</f>
        <v>3.1494949132297723E-4</v>
      </c>
      <c r="D7">
        <f>Data!K22</f>
        <v>3.042360185872596E-4</v>
      </c>
      <c r="E7">
        <f>Data!L22</f>
        <v>2.9352254585154544E-4</v>
      </c>
      <c r="F7">
        <f>Data!M22</f>
        <v>2.8280907311582781E-4</v>
      </c>
      <c r="G7">
        <f>Data!N22</f>
        <v>2.7209560038011019E-4</v>
      </c>
      <c r="H7">
        <f>Data!O22</f>
        <v>2.6138212764439256E-4</v>
      </c>
      <c r="I7">
        <f>Data!P22</f>
        <v>2.506686549086784E-4</v>
      </c>
      <c r="J7">
        <f>Data!Q22</f>
        <v>2.3995518217296077E-4</v>
      </c>
      <c r="K7">
        <f>Data!R22</f>
        <v>2.2924170943724315E-4</v>
      </c>
      <c r="L7">
        <f>Data!S22</f>
        <v>2.1852823670152552E-4</v>
      </c>
      <c r="M7">
        <f>Data!T22</f>
        <v>2.0781476396581136E-4</v>
      </c>
      <c r="N7">
        <f>Data!U22</f>
        <v>1.9710129123009373E-4</v>
      </c>
      <c r="O7">
        <f>Data!V22</f>
        <v>1.8638781849437611E-4</v>
      </c>
      <c r="P7">
        <f>Data!W22</f>
        <v>1.7567434575865848E-4</v>
      </c>
      <c r="Q7">
        <f>Data!X22</f>
        <v>1.6496087302294432E-4</v>
      </c>
      <c r="R7">
        <f>Data!Y22</f>
        <v>1.5424740028722669E-4</v>
      </c>
      <c r="S7">
        <f>Data!Z22</f>
        <v>1.4353392755150907E-4</v>
      </c>
      <c r="T7">
        <f>Data!AA22</f>
        <v>1.3282045481579144E-4</v>
      </c>
      <c r="U7">
        <f>Data!AB22</f>
        <v>1.2210698208007728E-4</v>
      </c>
      <c r="V7">
        <f>Data!AC22</f>
        <v>1.1139350934435965E-4</v>
      </c>
      <c r="W7">
        <f>Data!AD22</f>
        <v>1.0068003660864203E-4</v>
      </c>
      <c r="X7">
        <f>Data!AE22</f>
        <v>8.9966563872924399E-5</v>
      </c>
      <c r="Y7">
        <f>Data!AF22</f>
        <v>7.9253091137210241E-5</v>
      </c>
      <c r="Z7">
        <f>Data!AG22</f>
        <v>6.8539618401492614E-5</v>
      </c>
      <c r="AA7">
        <f>Data!AH22</f>
        <v>5.7826145665774986E-5</v>
      </c>
      <c r="AB7">
        <f>Data!AI22</f>
        <v>4.7112672930057359E-5</v>
      </c>
      <c r="AC7">
        <f>Data!AJ22</f>
        <v>3.6399200194339731E-5</v>
      </c>
      <c r="AD7">
        <f>Data!AK22</f>
        <v>0</v>
      </c>
      <c r="AE7">
        <f>Data!AL22</f>
        <v>0</v>
      </c>
    </row>
    <row r="8" spans="1:31" x14ac:dyDescent="0.25">
      <c r="A8" t="s">
        <v>112</v>
      </c>
      <c r="B8">
        <f>Data!I23</f>
        <v>0</v>
      </c>
      <c r="C8">
        <f>Data!J23</f>
        <v>1.2401026956592628E-6</v>
      </c>
      <c r="D8">
        <f>Data!K23</f>
        <v>1.6653556141169106E-6</v>
      </c>
      <c r="E8">
        <f>Data!L23</f>
        <v>2.2324984889616389E-6</v>
      </c>
      <c r="F8">
        <f>Data!M23</f>
        <v>2.9857745414805842E-6</v>
      </c>
      <c r="G8">
        <f>Data!N23</f>
        <v>3.9808330178602321E-6</v>
      </c>
      <c r="H8">
        <f>Data!O23</f>
        <v>5.2858576604075921E-6</v>
      </c>
      <c r="I8">
        <f>Data!P23</f>
        <v>6.9813499299805894E-6</v>
      </c>
      <c r="J8">
        <f>Data!Q23</f>
        <v>9.1573691502325181E-6</v>
      </c>
      <c r="K8">
        <f>Data!R23</f>
        <v>1.1906694910186747E-5</v>
      </c>
      <c r="L8">
        <f>Data!S23</f>
        <v>1.5312433906062449E-5</v>
      </c>
      <c r="M8">
        <f>Data!T23</f>
        <v>1.9429567089116327E-5</v>
      </c>
      <c r="N8">
        <f>Data!U23</f>
        <v>2.4262321106268815E-5</v>
      </c>
      <c r="O8">
        <f>Data!V23</f>
        <v>2.974290152899362E-5</v>
      </c>
      <c r="P8">
        <f>Data!W23</f>
        <v>3.5720444697578556E-5</v>
      </c>
      <c r="Q8">
        <f>Data!X23</f>
        <v>4.1969000791568258E-5</v>
      </c>
      <c r="R8">
        <f>Data!Y23</f>
        <v>4.8217556885557961E-5</v>
      </c>
      <c r="S8">
        <f>Data!Z23</f>
        <v>5.4195100054142894E-5</v>
      </c>
      <c r="T8">
        <f>Data!AA23</f>
        <v>5.9675680476867698E-5</v>
      </c>
      <c r="U8">
        <f>Data!AB23</f>
        <v>6.450843449402019E-5</v>
      </c>
      <c r="V8">
        <f>Data!AC23</f>
        <v>6.8625567677074064E-5</v>
      </c>
      <c r="W8">
        <f>Data!AD23</f>
        <v>7.2031306672949773E-5</v>
      </c>
      <c r="X8">
        <f>Data!AE23</f>
        <v>7.4780632432904005E-5</v>
      </c>
      <c r="Y8">
        <f>Data!AF23</f>
        <v>7.6956651653155929E-5</v>
      </c>
      <c r="Z8">
        <f>Data!AG23</f>
        <v>7.8652143922728924E-5</v>
      </c>
      <c r="AA8">
        <f>Data!AH23</f>
        <v>7.9957168565276287E-5</v>
      </c>
      <c r="AB8">
        <f>Data!AI23</f>
        <v>8.0952227041655936E-5</v>
      </c>
      <c r="AC8">
        <f>Data!AJ23</f>
        <v>8.1705503094174872E-5</v>
      </c>
      <c r="AD8">
        <f>Data!AK23</f>
        <v>0</v>
      </c>
      <c r="AE8">
        <f>Data!AL23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Data!I24</f>
        <v>1</v>
      </c>
      <c r="C2">
        <f>Data!J24</f>
        <v>1</v>
      </c>
      <c r="D2">
        <f>Data!K24</f>
        <v>1</v>
      </c>
      <c r="E2">
        <f>Data!L24</f>
        <v>1</v>
      </c>
      <c r="F2">
        <f>Data!M24</f>
        <v>1</v>
      </c>
      <c r="G2">
        <f>Data!N24</f>
        <v>1</v>
      </c>
      <c r="H2">
        <f>Data!O24</f>
        <v>1</v>
      </c>
      <c r="I2">
        <f>Data!P24</f>
        <v>1</v>
      </c>
      <c r="J2">
        <f>Data!Q24</f>
        <v>1</v>
      </c>
      <c r="K2">
        <f>Data!R24</f>
        <v>1</v>
      </c>
      <c r="L2">
        <f>Data!S24</f>
        <v>1</v>
      </c>
      <c r="M2">
        <f>Data!T24</f>
        <v>1</v>
      </c>
      <c r="N2">
        <f>Data!U24</f>
        <v>1</v>
      </c>
      <c r="O2">
        <f>Data!V24</f>
        <v>1</v>
      </c>
      <c r="P2">
        <f>Data!W24</f>
        <v>1</v>
      </c>
      <c r="Q2">
        <f>Data!X24</f>
        <v>1</v>
      </c>
      <c r="R2">
        <f>Data!Y24</f>
        <v>1</v>
      </c>
      <c r="S2">
        <f>Data!Z24</f>
        <v>1</v>
      </c>
      <c r="T2">
        <f>Data!AA24</f>
        <v>1</v>
      </c>
      <c r="U2">
        <f>Data!AB24</f>
        <v>1</v>
      </c>
      <c r="V2">
        <f>Data!AC24</f>
        <v>1</v>
      </c>
      <c r="W2">
        <f>Data!AD24</f>
        <v>1</v>
      </c>
      <c r="X2">
        <f>Data!AE24</f>
        <v>1</v>
      </c>
      <c r="Y2">
        <f>Data!AF24</f>
        <v>1</v>
      </c>
      <c r="Z2">
        <f>Data!AG24</f>
        <v>1</v>
      </c>
      <c r="AA2">
        <f>Data!AH24</f>
        <v>1</v>
      </c>
      <c r="AB2">
        <f>Data!AI24</f>
        <v>1</v>
      </c>
      <c r="AC2">
        <f>Data!AJ24</f>
        <v>1</v>
      </c>
      <c r="AD2">
        <f>Data!AK24</f>
        <v>0</v>
      </c>
      <c r="AE2">
        <f>Data!AL24</f>
        <v>0</v>
      </c>
    </row>
    <row r="3" spans="1:31" x14ac:dyDescent="0.25">
      <c r="A3" t="s">
        <v>2</v>
      </c>
      <c r="B3">
        <f>Data!I25</f>
        <v>0.30488703775431764</v>
      </c>
      <c r="C3">
        <f>Data!J25</f>
        <v>0.30697688955366859</v>
      </c>
      <c r="D3">
        <f>Data!K25</f>
        <v>0.30769353631198043</v>
      </c>
      <c r="E3">
        <f>Data!L25</f>
        <v>0.30864929954161624</v>
      </c>
      <c r="F3">
        <f>Data!M25</f>
        <v>0.30991873901568157</v>
      </c>
      <c r="G3">
        <f>Data!N25</f>
        <v>0.31159563622314707</v>
      </c>
      <c r="H3">
        <f>Data!O25</f>
        <v>0.31379489609651995</v>
      </c>
      <c r="I3">
        <f>Data!P25</f>
        <v>0.31665218169291087</v>
      </c>
      <c r="J3">
        <f>Data!Q25</f>
        <v>0.32031926321671017</v>
      </c>
      <c r="K3">
        <f>Data!R25</f>
        <v>0.32495249513093305</v>
      </c>
      <c r="L3">
        <f>Data!S25</f>
        <v>0.33069193089989313</v>
      </c>
      <c r="M3">
        <f>Data!T25</f>
        <v>0.33763022578538127</v>
      </c>
      <c r="N3">
        <f>Data!U25</f>
        <v>0.34577450263754761</v>
      </c>
      <c r="O3">
        <f>Data!V25</f>
        <v>0.3550105126051174</v>
      </c>
      <c r="P3">
        <f>Data!W25</f>
        <v>0.36508401650950512</v>
      </c>
      <c r="Q3">
        <f>Data!X25</f>
        <v>0.37561423811298911</v>
      </c>
      <c r="R3">
        <f>Data!Y25</f>
        <v>0.38614445971647304</v>
      </c>
      <c r="S3">
        <f>Data!Z25</f>
        <v>0.39621796362086076</v>
      </c>
      <c r="T3">
        <f>Data!AA25</f>
        <v>0.40545397358843055</v>
      </c>
      <c r="U3">
        <f>Data!AB25</f>
        <v>0.41359825044059684</v>
      </c>
      <c r="V3">
        <f>Data!AC25</f>
        <v>0.42053654532608503</v>
      </c>
      <c r="W3">
        <f>Data!AD25</f>
        <v>0.42627598109504511</v>
      </c>
      <c r="X3">
        <f>Data!AE25</f>
        <v>0.43090921300926799</v>
      </c>
      <c r="Y3">
        <f>Data!AF25</f>
        <v>0.43457629453306729</v>
      </c>
      <c r="Z3">
        <f>Data!AG25</f>
        <v>0.43743358012945821</v>
      </c>
      <c r="AA3">
        <f>Data!AH25</f>
        <v>0.43963284000283109</v>
      </c>
      <c r="AB3">
        <f>Data!AI25</f>
        <v>0.44130973721029659</v>
      </c>
      <c r="AC3">
        <f>Data!AJ25</f>
        <v>0.44257917668436197</v>
      </c>
      <c r="AD3">
        <f>Data!AK25</f>
        <v>0</v>
      </c>
      <c r="AE3">
        <f>Data!AL25</f>
        <v>0</v>
      </c>
    </row>
    <row r="4" spans="1:31" x14ac:dyDescent="0.25">
      <c r="A4" t="s">
        <v>3</v>
      </c>
      <c r="B4">
        <f>Data!I26</f>
        <v>0.30488703775431764</v>
      </c>
      <c r="C4">
        <f>Data!J26</f>
        <v>0.30488703775431764</v>
      </c>
      <c r="D4">
        <f>Data!K26</f>
        <v>0.30488703775431764</v>
      </c>
      <c r="E4">
        <f>Data!L26</f>
        <v>0.30488703775431764</v>
      </c>
      <c r="F4">
        <f>Data!M26</f>
        <v>0.30488703775431764</v>
      </c>
      <c r="G4">
        <f>Data!N26</f>
        <v>0.30488703775431764</v>
      </c>
      <c r="H4">
        <f>Data!O26</f>
        <v>0.30488703775431764</v>
      </c>
      <c r="I4">
        <f>Data!P26</f>
        <v>0.30488703775431764</v>
      </c>
      <c r="J4">
        <f>Data!Q26</f>
        <v>0.30488703775431764</v>
      </c>
      <c r="K4">
        <f>Data!R26</f>
        <v>0.30488703775431764</v>
      </c>
      <c r="L4">
        <f>Data!S26</f>
        <v>0.30488703775431764</v>
      </c>
      <c r="M4">
        <f>Data!T26</f>
        <v>0.30488703775431764</v>
      </c>
      <c r="N4">
        <f>Data!U26</f>
        <v>0.30488703775431764</v>
      </c>
      <c r="O4">
        <f>Data!V26</f>
        <v>0.30488703775431764</v>
      </c>
      <c r="P4">
        <f>Data!W26</f>
        <v>0.30488703775431764</v>
      </c>
      <c r="Q4">
        <f>Data!X26</f>
        <v>0.30488703775431764</v>
      </c>
      <c r="R4">
        <f>Data!Y26</f>
        <v>0.30488703775431764</v>
      </c>
      <c r="S4">
        <f>Data!Z26</f>
        <v>0.30488703775431764</v>
      </c>
      <c r="T4">
        <f>Data!AA26</f>
        <v>0.30488703775431764</v>
      </c>
      <c r="U4">
        <f>Data!AB26</f>
        <v>0.30488703775431764</v>
      </c>
      <c r="V4">
        <f>Data!AC26</f>
        <v>0.30488703775431764</v>
      </c>
      <c r="W4">
        <f>Data!AD26</f>
        <v>0.30488703775431764</v>
      </c>
      <c r="X4">
        <f>Data!AE26</f>
        <v>0.30488703775431764</v>
      </c>
      <c r="Y4">
        <f>Data!AF26</f>
        <v>0.30488703775431764</v>
      </c>
      <c r="Z4">
        <f>Data!AG26</f>
        <v>0.30488703775431764</v>
      </c>
      <c r="AA4">
        <f>Data!AH26</f>
        <v>0.30488703775431764</v>
      </c>
      <c r="AB4">
        <f>Data!AI26</f>
        <v>0.30488703775431764</v>
      </c>
      <c r="AC4">
        <f>Data!AJ26</f>
        <v>0.30488703775431764</v>
      </c>
      <c r="AD4">
        <f>Data!AK26</f>
        <v>0</v>
      </c>
      <c r="AE4">
        <f>Data!AL26</f>
        <v>0</v>
      </c>
    </row>
    <row r="5" spans="1:31" x14ac:dyDescent="0.25">
      <c r="A5" t="s">
        <v>4</v>
      </c>
      <c r="B5">
        <f>Data!I27</f>
        <v>2</v>
      </c>
      <c r="C5">
        <f>Data!J27</f>
        <v>2</v>
      </c>
      <c r="D5">
        <f>Data!K27</f>
        <v>2</v>
      </c>
      <c r="E5">
        <f>Data!L27</f>
        <v>2</v>
      </c>
      <c r="F5">
        <f>Data!M27</f>
        <v>2</v>
      </c>
      <c r="G5">
        <f>Data!N27</f>
        <v>2</v>
      </c>
      <c r="H5">
        <f>Data!O27</f>
        <v>2</v>
      </c>
      <c r="I5">
        <f>Data!P27</f>
        <v>2</v>
      </c>
      <c r="J5">
        <f>Data!Q27</f>
        <v>2</v>
      </c>
      <c r="K5">
        <f>Data!R27</f>
        <v>2</v>
      </c>
      <c r="L5">
        <f>Data!S27</f>
        <v>2</v>
      </c>
      <c r="M5">
        <f>Data!T27</f>
        <v>2</v>
      </c>
      <c r="N5">
        <f>Data!U27</f>
        <v>2</v>
      </c>
      <c r="O5">
        <f>Data!V27</f>
        <v>2</v>
      </c>
      <c r="P5">
        <f>Data!W27</f>
        <v>2</v>
      </c>
      <c r="Q5">
        <f>Data!X27</f>
        <v>2</v>
      </c>
      <c r="R5">
        <f>Data!Y27</f>
        <v>2</v>
      </c>
      <c r="S5">
        <f>Data!Z27</f>
        <v>2</v>
      </c>
      <c r="T5">
        <f>Data!AA27</f>
        <v>2</v>
      </c>
      <c r="U5">
        <f>Data!AB27</f>
        <v>2</v>
      </c>
      <c r="V5">
        <f>Data!AC27</f>
        <v>2</v>
      </c>
      <c r="W5">
        <f>Data!AD27</f>
        <v>2</v>
      </c>
      <c r="X5">
        <f>Data!AE27</f>
        <v>2</v>
      </c>
      <c r="Y5">
        <f>Data!AF27</f>
        <v>2</v>
      </c>
      <c r="Z5">
        <f>Data!AG27</f>
        <v>2</v>
      </c>
      <c r="AA5">
        <f>Data!AH27</f>
        <v>2</v>
      </c>
      <c r="AB5">
        <f>Data!AI27</f>
        <v>2</v>
      </c>
      <c r="AC5">
        <f>Data!AJ27</f>
        <v>2</v>
      </c>
      <c r="AD5">
        <f>Data!AK27</f>
        <v>0</v>
      </c>
      <c r="AE5">
        <f>Data!AL27</f>
        <v>0</v>
      </c>
    </row>
    <row r="6" spans="1:31" x14ac:dyDescent="0.2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0</v>
      </c>
      <c r="AE6">
        <f>Data!AL28</f>
        <v>0</v>
      </c>
    </row>
    <row r="7" spans="1:31" x14ac:dyDescent="0.25">
      <c r="A7" t="s">
        <v>111</v>
      </c>
      <c r="B7">
        <f>Data!I29</f>
        <v>0.12967078621379674</v>
      </c>
      <c r="C7">
        <f>Data!J29</f>
        <v>0.12967078621379358</v>
      </c>
      <c r="D7">
        <f>Data!K29</f>
        <v>0.14540917710224477</v>
      </c>
      <c r="E7">
        <f>Data!L29</f>
        <v>0.16114756799069241</v>
      </c>
      <c r="F7">
        <f>Data!M29</f>
        <v>0.1768859588791436</v>
      </c>
      <c r="G7">
        <f>Data!N29</f>
        <v>0.19262434976759479</v>
      </c>
      <c r="H7">
        <f>Data!O29</f>
        <v>0.20836274065604599</v>
      </c>
      <c r="I7">
        <f>Data!P29</f>
        <v>0.22410113154449718</v>
      </c>
      <c r="J7">
        <f>Data!Q29</f>
        <v>0.23983952243294837</v>
      </c>
      <c r="K7">
        <f>Data!R29</f>
        <v>0.25557791332139956</v>
      </c>
      <c r="L7">
        <f>Data!S29</f>
        <v>0.27131630420985076</v>
      </c>
      <c r="M7">
        <f>Data!T29</f>
        <v>0.28705469509830195</v>
      </c>
      <c r="N7">
        <f>Data!U29</f>
        <v>0.30279308598675314</v>
      </c>
      <c r="O7">
        <f>Data!V29</f>
        <v>0.31853147687520433</v>
      </c>
      <c r="P7">
        <f>Data!W29</f>
        <v>0.33426986776365553</v>
      </c>
      <c r="Q7">
        <f>Data!X29</f>
        <v>0.35000825865210672</v>
      </c>
      <c r="R7">
        <f>Data!Y29</f>
        <v>0.36574664954055791</v>
      </c>
      <c r="S7">
        <f>Data!Z29</f>
        <v>0.381485040429002</v>
      </c>
      <c r="T7">
        <f>Data!AA29</f>
        <v>0.39722343131745319</v>
      </c>
      <c r="U7">
        <f>Data!AB29</f>
        <v>0.41296182220590438</v>
      </c>
      <c r="V7">
        <f>Data!AC29</f>
        <v>0.42870021309435558</v>
      </c>
      <c r="W7">
        <f>Data!AD29</f>
        <v>0.44443860398280677</v>
      </c>
      <c r="X7">
        <f>Data!AE29</f>
        <v>0.46017699487125796</v>
      </c>
      <c r="Y7">
        <f>Data!AF29</f>
        <v>0.47591538575970915</v>
      </c>
      <c r="Z7">
        <f>Data!AG29</f>
        <v>0.49165377664816035</v>
      </c>
      <c r="AA7">
        <f>Data!AH29</f>
        <v>0.50739216753661154</v>
      </c>
      <c r="AB7">
        <f>Data!AI29</f>
        <v>0.52313055842506273</v>
      </c>
      <c r="AC7">
        <f>Data!AJ29</f>
        <v>0.53886894931351392</v>
      </c>
      <c r="AD7">
        <f>Data!AK29</f>
        <v>0</v>
      </c>
      <c r="AE7">
        <f>Data!AL29</f>
        <v>0</v>
      </c>
    </row>
    <row r="8" spans="1:31" x14ac:dyDescent="0.25">
      <c r="A8" t="s">
        <v>112</v>
      </c>
      <c r="B8">
        <f>Data!I30</f>
        <v>1.0880490304811035E-4</v>
      </c>
      <c r="C8">
        <f>Data!J30</f>
        <v>8.4589900062574685E-4</v>
      </c>
      <c r="D8">
        <f>Data!K30</f>
        <v>1.0986614672101446E-3</v>
      </c>
      <c r="E8">
        <f>Data!L30</f>
        <v>1.4357606985839016E-3</v>
      </c>
      <c r="F8">
        <f>Data!M30</f>
        <v>1.8834940468798042E-3</v>
      </c>
      <c r="G8">
        <f>Data!N30</f>
        <v>2.4749383943933924E-3</v>
      </c>
      <c r="H8">
        <f>Data!O30</f>
        <v>3.2506208959975401E-3</v>
      </c>
      <c r="I8">
        <f>Data!P30</f>
        <v>4.2583901305659581E-3</v>
      </c>
      <c r="J8">
        <f>Data!Q30</f>
        <v>5.5517756937757106E-3</v>
      </c>
      <c r="K8">
        <f>Data!R30</f>
        <v>7.185924056708733E-3</v>
      </c>
      <c r="L8">
        <f>Data!S30</f>
        <v>9.2102323019346774E-3</v>
      </c>
      <c r="M8">
        <f>Data!T30</f>
        <v>1.1657380089607801E-2</v>
      </c>
      <c r="N8">
        <f>Data!U30</f>
        <v>1.452987966045502E-2</v>
      </c>
      <c r="O8">
        <f>Data!V30</f>
        <v>1.7787435260511523E-2</v>
      </c>
      <c r="P8">
        <f>Data!W30</f>
        <v>2.1340376321765452E-2</v>
      </c>
      <c r="Q8">
        <f>Data!X30</f>
        <v>2.5054402451524054E-2</v>
      </c>
      <c r="R8">
        <f>Data!Y30</f>
        <v>2.8768428581282656E-2</v>
      </c>
      <c r="S8">
        <f>Data!Z30</f>
        <v>3.2321369642536582E-2</v>
      </c>
      <c r="T8">
        <f>Data!AA30</f>
        <v>3.5578925242593096E-2</v>
      </c>
      <c r="U8">
        <f>Data!AB30</f>
        <v>3.8451424813440313E-2</v>
      </c>
      <c r="V8">
        <f>Data!AC30</f>
        <v>4.0898572601113438E-2</v>
      </c>
      <c r="W8">
        <f>Data!AD30</f>
        <v>4.2922880846339384E-2</v>
      </c>
      <c r="X8">
        <f>Data!AE30</f>
        <v>4.4557029209272403E-2</v>
      </c>
      <c r="Y8">
        <f>Data!AF30</f>
        <v>4.5850414772482161E-2</v>
      </c>
      <c r="Z8">
        <f>Data!AG30</f>
        <v>4.6858184007050573E-2</v>
      </c>
      <c r="AA8">
        <f>Data!AH30</f>
        <v>4.7633866508654726E-2</v>
      </c>
      <c r="AB8">
        <f>Data!AI30</f>
        <v>4.822531085616831E-2</v>
      </c>
      <c r="AC8">
        <f>Data!AJ30</f>
        <v>4.8673044204464208E-2</v>
      </c>
      <c r="AD8">
        <f>Data!AK30</f>
        <v>0</v>
      </c>
      <c r="AE8">
        <f>Data!AL30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Data!I31</f>
        <v>0.15</v>
      </c>
      <c r="C2">
        <f>Data!J31</f>
        <v>0.15127600491822643</v>
      </c>
      <c r="D2">
        <f>Data!K31</f>
        <v>0.15077439351524055</v>
      </c>
      <c r="E2">
        <f>Data!L31</f>
        <v>0.15127600491822643</v>
      </c>
      <c r="F2">
        <f>Data!M31</f>
        <v>0.15210172968313956</v>
      </c>
      <c r="G2">
        <f>Data!N31</f>
        <v>0.15345961705851172</v>
      </c>
      <c r="H2">
        <f>Data!O31</f>
        <v>0.15568892328564213</v>
      </c>
      <c r="I2">
        <f>Data!P31</f>
        <v>0.15933890123600419</v>
      </c>
      <c r="J2">
        <f>Data!Q31</f>
        <v>0.16528827846777783</v>
      </c>
      <c r="K2">
        <f>Data!R31</f>
        <v>0.17491539613865287</v>
      </c>
      <c r="L2">
        <f>Data!S31</f>
        <v>0.19031199220093176</v>
      </c>
      <c r="M2">
        <f>Data!T31</f>
        <v>0.21447945301805701</v>
      </c>
      <c r="N2">
        <f>Data!U31</f>
        <v>0.25132248371879989</v>
      </c>
      <c r="O2">
        <f>Data!V31</f>
        <v>0.30506169523540289</v>
      </c>
      <c r="P2">
        <f>Data!W31</f>
        <v>0.37860020816449586</v>
      </c>
      <c r="Q2">
        <f>Data!X31</f>
        <v>0.47090956847842358</v>
      </c>
      <c r="R2">
        <f>Data!Y31</f>
        <v>0.57499999999999996</v>
      </c>
      <c r="S2">
        <f>Data!Z31</f>
        <v>0.67909043152157644</v>
      </c>
      <c r="T2">
        <f>Data!AA31</f>
        <v>0.77139979183550411</v>
      </c>
      <c r="U2">
        <f>Data!AB31</f>
        <v>0.84493830476459708</v>
      </c>
      <c r="V2">
        <f>Data!AC31</f>
        <v>0.89867751628119996</v>
      </c>
      <c r="W2">
        <f>Data!AD31</f>
        <v>0.93552054698194298</v>
      </c>
      <c r="X2">
        <f>Data!AE31</f>
        <v>0.95968800779906827</v>
      </c>
      <c r="Y2">
        <f>Data!AF31</f>
        <v>0.9750846038613471</v>
      </c>
      <c r="Z2">
        <f>Data!AG31</f>
        <v>0.9847117215322222</v>
      </c>
      <c r="AA2">
        <f>Data!AH31</f>
        <v>0.99066109876399588</v>
      </c>
      <c r="AB2">
        <f>Data!AI31</f>
        <v>0.99431107671435792</v>
      </c>
      <c r="AC2">
        <f>Data!AJ31</f>
        <v>0.99654038294148828</v>
      </c>
      <c r="AD2">
        <f>Data!AK31</f>
        <v>0</v>
      </c>
      <c r="AE2">
        <f>Data!AL31</f>
        <v>0</v>
      </c>
    </row>
    <row r="3" spans="1:31" x14ac:dyDescent="0.25">
      <c r="A3" t="s">
        <v>2</v>
      </c>
      <c r="B3">
        <f>Data!I32</f>
        <v>1.3439511121112888E-2</v>
      </c>
      <c r="C3">
        <f>Data!J32</f>
        <v>1.543904287720127E-2</v>
      </c>
      <c r="D3">
        <f>Data!K32</f>
        <v>1.6124717311908704E-2</v>
      </c>
      <c r="E3">
        <f>Data!L32</f>
        <v>1.7039173987521708E-2</v>
      </c>
      <c r="F3">
        <f>Data!M32</f>
        <v>1.8253750323324127E-2</v>
      </c>
      <c r="G3">
        <f>Data!N32</f>
        <v>1.9858174722731055E-2</v>
      </c>
      <c r="H3">
        <f>Data!O32</f>
        <v>2.1962386111340375E-2</v>
      </c>
      <c r="I3">
        <f>Data!P32</f>
        <v>2.4696184406497922E-2</v>
      </c>
      <c r="J3">
        <f>Data!Q32</f>
        <v>2.8204780547754854E-2</v>
      </c>
      <c r="K3">
        <f>Data!R32</f>
        <v>3.2637771608981278E-2</v>
      </c>
      <c r="L3">
        <f>Data!S32</f>
        <v>3.8129158168367601E-2</v>
      </c>
      <c r="M3">
        <f>Data!T32</f>
        <v>4.4767591075881769E-2</v>
      </c>
      <c r="N3">
        <f>Data!U32</f>
        <v>5.2559885343513316E-2</v>
      </c>
      <c r="O3">
        <f>Data!V32</f>
        <v>6.1396729772118255E-2</v>
      </c>
      <c r="P3">
        <f>Data!W32</f>
        <v>7.1034872992684905E-2</v>
      </c>
      <c r="Q3">
        <f>Data!X32</f>
        <v>8.1109995305833196E-2</v>
      </c>
      <c r="R3">
        <f>Data!Y32</f>
        <v>9.1185117618981487E-2</v>
      </c>
      <c r="S3">
        <f>Data!Z32</f>
        <v>0.10082326083954814</v>
      </c>
      <c r="T3">
        <f>Data!AA32</f>
        <v>0.10966010526815308</v>
      </c>
      <c r="U3">
        <f>Data!AB32</f>
        <v>0.11745239953578462</v>
      </c>
      <c r="V3">
        <f>Data!AC32</f>
        <v>0.12409083244329878</v>
      </c>
      <c r="W3">
        <f>Data!AD32</f>
        <v>0.12958221900268513</v>
      </c>
      <c r="X3">
        <f>Data!AE32</f>
        <v>0.13401521006391154</v>
      </c>
      <c r="Y3">
        <f>Data!AF32</f>
        <v>0.13752380620516849</v>
      </c>
      <c r="Z3">
        <f>Data!AG32</f>
        <v>0.14025760450032604</v>
      </c>
      <c r="AA3">
        <f>Data!AH32</f>
        <v>0.14236181588893534</v>
      </c>
      <c r="AB3">
        <f>Data!AI32</f>
        <v>0.14396624028834226</v>
      </c>
      <c r="AC3">
        <f>Data!AJ32</f>
        <v>0.14518081662414467</v>
      </c>
      <c r="AD3">
        <f>Data!AK32</f>
        <v>0</v>
      </c>
      <c r="AE3">
        <f>Data!AL32</f>
        <v>0</v>
      </c>
    </row>
    <row r="4" spans="1:31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25">
      <c r="A5" t="s">
        <v>4</v>
      </c>
      <c r="B5">
        <f>Data!I34</f>
        <v>3</v>
      </c>
      <c r="C5">
        <f>Data!J34</f>
        <v>3</v>
      </c>
      <c r="D5">
        <f>Data!K34</f>
        <v>3</v>
      </c>
      <c r="E5">
        <f>Data!L34</f>
        <v>3</v>
      </c>
      <c r="F5">
        <f>Data!M34</f>
        <v>3</v>
      </c>
      <c r="G5">
        <f>Data!N34</f>
        <v>3</v>
      </c>
      <c r="H5">
        <f>Data!O34</f>
        <v>3</v>
      </c>
      <c r="I5">
        <f>Data!P34</f>
        <v>3</v>
      </c>
      <c r="J5">
        <f>Data!Q34</f>
        <v>3</v>
      </c>
      <c r="K5">
        <f>Data!R34</f>
        <v>3</v>
      </c>
      <c r="L5">
        <f>Data!S34</f>
        <v>3</v>
      </c>
      <c r="M5">
        <f>Data!T34</f>
        <v>3</v>
      </c>
      <c r="N5">
        <f>Data!U34</f>
        <v>3</v>
      </c>
      <c r="O5">
        <f>Data!V34</f>
        <v>3</v>
      </c>
      <c r="P5">
        <f>Data!W34</f>
        <v>3</v>
      </c>
      <c r="Q5">
        <f>Data!X34</f>
        <v>3</v>
      </c>
      <c r="R5">
        <f>Data!Y34</f>
        <v>3</v>
      </c>
      <c r="S5">
        <f>Data!Z34</f>
        <v>3</v>
      </c>
      <c r="T5">
        <f>Data!AA34</f>
        <v>3</v>
      </c>
      <c r="U5">
        <f>Data!AB34</f>
        <v>3</v>
      </c>
      <c r="V5">
        <f>Data!AC34</f>
        <v>3</v>
      </c>
      <c r="W5">
        <f>Data!AD34</f>
        <v>3</v>
      </c>
      <c r="X5">
        <f>Data!AE34</f>
        <v>3</v>
      </c>
      <c r="Y5">
        <f>Data!AF34</f>
        <v>3</v>
      </c>
      <c r="Z5">
        <f>Data!AG34</f>
        <v>3</v>
      </c>
      <c r="AA5">
        <f>Data!AH34</f>
        <v>3</v>
      </c>
      <c r="AB5">
        <f>Data!AI34</f>
        <v>3</v>
      </c>
      <c r="AC5">
        <f>Data!AJ34</f>
        <v>3</v>
      </c>
      <c r="AD5">
        <f>Data!AK34</f>
        <v>0</v>
      </c>
      <c r="AE5">
        <f>Data!AL34</f>
        <v>0</v>
      </c>
    </row>
    <row r="6" spans="1:31" x14ac:dyDescent="0.2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0</v>
      </c>
      <c r="AE6">
        <f>Data!AL35</f>
        <v>0</v>
      </c>
    </row>
    <row r="7" spans="1:31" x14ac:dyDescent="0.25">
      <c r="A7" t="s">
        <v>111</v>
      </c>
      <c r="B7">
        <f>Data!I36</f>
        <v>5.8198516364943692E-4</v>
      </c>
      <c r="C7">
        <f>Data!J36</f>
        <v>5.8198516364943789E-4</v>
      </c>
      <c r="D7">
        <f>Data!K36</f>
        <v>5.9060801728900644E-4</v>
      </c>
      <c r="E7">
        <f>Data!L36</f>
        <v>5.9923087092857846E-4</v>
      </c>
      <c r="F7">
        <f>Data!M36</f>
        <v>6.0785372456814701E-4</v>
      </c>
      <c r="G7">
        <f>Data!N36</f>
        <v>6.1647657820771556E-4</v>
      </c>
      <c r="H7">
        <f>Data!O36</f>
        <v>6.2509943184728758E-4</v>
      </c>
      <c r="I7">
        <f>Data!P36</f>
        <v>6.3372228548685614E-4</v>
      </c>
      <c r="J7">
        <f>Data!Q36</f>
        <v>6.4234513912642816E-4</v>
      </c>
      <c r="K7">
        <f>Data!R36</f>
        <v>6.5096799276599671E-4</v>
      </c>
      <c r="L7">
        <f>Data!S36</f>
        <v>6.5959084640556873E-4</v>
      </c>
      <c r="M7">
        <f>Data!T36</f>
        <v>6.6821370004513728E-4</v>
      </c>
      <c r="N7">
        <f>Data!U36</f>
        <v>6.7683655368470583E-4</v>
      </c>
      <c r="O7">
        <f>Data!V36</f>
        <v>6.8545940732427785E-4</v>
      </c>
      <c r="P7">
        <f>Data!W36</f>
        <v>6.940822609638464E-4</v>
      </c>
      <c r="Q7">
        <f>Data!X36</f>
        <v>7.0270511460341842E-4</v>
      </c>
      <c r="R7">
        <f>Data!Y36</f>
        <v>7.1132796824298697E-4</v>
      </c>
      <c r="S7">
        <f>Data!Z36</f>
        <v>7.1995082188255899E-4</v>
      </c>
      <c r="T7">
        <f>Data!AA36</f>
        <v>7.2857367552212754E-4</v>
      </c>
      <c r="U7">
        <f>Data!AB36</f>
        <v>7.3719652916169609E-4</v>
      </c>
      <c r="V7">
        <f>Data!AC36</f>
        <v>7.4581938280126811E-4</v>
      </c>
      <c r="W7">
        <f>Data!AD36</f>
        <v>7.5444223644083666E-4</v>
      </c>
      <c r="X7">
        <f>Data!AE36</f>
        <v>7.6306509008040868E-4</v>
      </c>
      <c r="Y7">
        <f>Data!AF36</f>
        <v>7.7168794371997723E-4</v>
      </c>
      <c r="Z7">
        <f>Data!AG36</f>
        <v>7.8031079735954925E-4</v>
      </c>
      <c r="AA7">
        <f>Data!AH36</f>
        <v>7.889336509991178E-4</v>
      </c>
      <c r="AB7">
        <f>Data!AI36</f>
        <v>7.9755650463868635E-4</v>
      </c>
      <c r="AC7">
        <f>Data!AJ36</f>
        <v>8.0617935827825837E-4</v>
      </c>
      <c r="AD7">
        <f>Data!AK36</f>
        <v>0</v>
      </c>
      <c r="AE7">
        <f>Data!AL36</f>
        <v>0</v>
      </c>
    </row>
    <row r="8" spans="1:31" x14ac:dyDescent="0.25">
      <c r="A8" t="s">
        <v>112</v>
      </c>
      <c r="B8">
        <f>Data!I37</f>
        <v>5.0000000000000001E-3</v>
      </c>
      <c r="C8">
        <f>Data!J37</f>
        <v>5.5170911092645575E-3</v>
      </c>
      <c r="D8">
        <f>Data!K37</f>
        <v>5.6944107006927126E-3</v>
      </c>
      <c r="E8">
        <f>Data!L37</f>
        <v>5.9308947751903051E-3</v>
      </c>
      <c r="F8">
        <f>Data!M37</f>
        <v>6.2449916245422669E-3</v>
      </c>
      <c r="G8">
        <f>Data!N37</f>
        <v>6.6599055612148374E-3</v>
      </c>
      <c r="H8">
        <f>Data!O37</f>
        <v>7.2040674619948779E-3</v>
      </c>
      <c r="I8">
        <f>Data!P37</f>
        <v>7.9110443772872838E-3</v>
      </c>
      <c r="J8">
        <f>Data!Q37</f>
        <v>8.8183887418464522E-3</v>
      </c>
      <c r="K8">
        <f>Data!R37</f>
        <v>9.9647872715170754E-3</v>
      </c>
      <c r="L8">
        <f>Data!S37</f>
        <v>1.1384893333222474E-2</v>
      </c>
      <c r="M8">
        <f>Data!T37</f>
        <v>1.3101632577534383E-2</v>
      </c>
      <c r="N8">
        <f>Data!U37</f>
        <v>1.5116767408124863E-2</v>
      </c>
      <c r="O8">
        <f>Data!V37</f>
        <v>1.7402029282097161E-2</v>
      </c>
      <c r="P8">
        <f>Data!W37</f>
        <v>1.9894511911591937E-2</v>
      </c>
      <c r="Q8">
        <f>Data!X37</f>
        <v>2.2500000000000003E-2</v>
      </c>
      <c r="R8">
        <f>Data!Y37</f>
        <v>2.5105488088408068E-2</v>
      </c>
      <c r="S8">
        <f>Data!Z37</f>
        <v>2.7597970717902844E-2</v>
      </c>
      <c r="T8">
        <f>Data!AA37</f>
        <v>2.9883232591875142E-2</v>
      </c>
      <c r="U8">
        <f>Data!AB37</f>
        <v>3.1898367422465615E-2</v>
      </c>
      <c r="V8">
        <f>Data!AC37</f>
        <v>3.3615106666777528E-2</v>
      </c>
      <c r="W8">
        <f>Data!AD37</f>
        <v>3.503521272848293E-2</v>
      </c>
      <c r="X8">
        <f>Data!AE37</f>
        <v>3.618161125815355E-2</v>
      </c>
      <c r="Y8">
        <f>Data!AF37</f>
        <v>3.7088955622712722E-2</v>
      </c>
      <c r="Z8">
        <f>Data!AG37</f>
        <v>3.7795932538005124E-2</v>
      </c>
      <c r="AA8">
        <f>Data!AH37</f>
        <v>3.8340094438785166E-2</v>
      </c>
      <c r="AB8">
        <f>Data!AI37</f>
        <v>3.8755008375457735E-2</v>
      </c>
      <c r="AC8">
        <f>Data!AJ37</f>
        <v>3.9069105224809692E-2</v>
      </c>
      <c r="AD8">
        <f>Data!AK37</f>
        <v>0</v>
      </c>
      <c r="AE8">
        <f>Data!AL37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0</v>
      </c>
      <c r="AE5">
        <f>Data!AL41</f>
        <v>0</v>
      </c>
    </row>
    <row r="6" spans="1:31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25">
      <c r="A7" t="s">
        <v>111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25">
      <c r="A8" t="s">
        <v>112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0</v>
      </c>
      <c r="AE5">
        <f>Data!AL48</f>
        <v>0</v>
      </c>
    </row>
    <row r="6" spans="1:31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25">
      <c r="A7" t="s">
        <v>111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25">
      <c r="A8" t="s">
        <v>112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>
      <selection activeCell="A5" sqref="A5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Data!I52</f>
        <v>0.93664816809218165</v>
      </c>
      <c r="C2">
        <f>Data!J52</f>
        <v>0.93758413006461472</v>
      </c>
      <c r="D2">
        <f>Data!K52</f>
        <v>0.93790508780604664</v>
      </c>
      <c r="E2">
        <f>Data!L52</f>
        <v>0.93833313635851656</v>
      </c>
      <c r="F2">
        <f>Data!M52</f>
        <v>0.93890166809574294</v>
      </c>
      <c r="G2">
        <f>Data!N52</f>
        <v>0.93965268403780833</v>
      </c>
      <c r="H2">
        <f>Data!O52</f>
        <v>0.94063764555977569</v>
      </c>
      <c r="I2">
        <f>Data!P52</f>
        <v>0.94191731077978458</v>
      </c>
      <c r="J2">
        <f>Data!Q52</f>
        <v>0.94355965157024346</v>
      </c>
      <c r="K2">
        <f>Data!R52</f>
        <v>0.94563469291170243</v>
      </c>
      <c r="L2">
        <f>Data!S52</f>
        <v>0.94820515921205761</v>
      </c>
      <c r="M2">
        <f>Data!T52</f>
        <v>0.95131254709877777</v>
      </c>
      <c r="N2">
        <f>Data!U52</f>
        <v>0.95496004661475364</v>
      </c>
      <c r="O2">
        <f>Data!V52</f>
        <v>0.95909649021776056</v>
      </c>
      <c r="P2">
        <f>Data!W52</f>
        <v>0.96360801423424369</v>
      </c>
      <c r="Q2">
        <f>Data!X52</f>
        <v>0.96832408404609083</v>
      </c>
      <c r="R2">
        <f>Data!Y52</f>
        <v>0.97304015385793796</v>
      </c>
      <c r="S2">
        <f>Data!Z52</f>
        <v>0.9775516778744211</v>
      </c>
      <c r="T2">
        <f>Data!AA52</f>
        <v>0.98168812147742801</v>
      </c>
      <c r="U2">
        <f>Data!AB52</f>
        <v>0.98533562099340388</v>
      </c>
      <c r="V2">
        <f>Data!AC52</f>
        <v>0.98844300888012404</v>
      </c>
      <c r="W2">
        <f>Data!AD52</f>
        <v>0.99101347518047922</v>
      </c>
      <c r="X2">
        <f>Data!AE52</f>
        <v>0.99308851652193819</v>
      </c>
      <c r="Y2">
        <f>Data!AF52</f>
        <v>0.99473085731239708</v>
      </c>
      <c r="Z2">
        <f>Data!AG52</f>
        <v>0.99601052253240596</v>
      </c>
      <c r="AA2">
        <f>Data!AH52</f>
        <v>0.99699548405437333</v>
      </c>
      <c r="AB2">
        <f>Data!AI52</f>
        <v>0.99774649999643872</v>
      </c>
      <c r="AC2">
        <f>Data!AJ52</f>
        <v>0.99831503173366509</v>
      </c>
      <c r="AD2">
        <f>Data!AK52</f>
        <v>0</v>
      </c>
      <c r="AE2">
        <f>Data!AL52</f>
        <v>0</v>
      </c>
    </row>
    <row r="3" spans="1:31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25">
      <c r="A5" t="s">
        <v>4</v>
      </c>
      <c r="B5">
        <f>Data!I55</f>
        <v>6.3351831907818346E-2</v>
      </c>
      <c r="C5">
        <f>Data!J55</f>
        <v>6.3351831907809242E-2</v>
      </c>
      <c r="D5">
        <f>Data!K55</f>
        <v>9.9376761449818218E-2</v>
      </c>
      <c r="E5">
        <f>Data!L55</f>
        <v>0.13540169099182719</v>
      </c>
      <c r="F5">
        <f>Data!M55</f>
        <v>0.17142662053383617</v>
      </c>
      <c r="G5">
        <f>Data!N55</f>
        <v>0.20745155007584515</v>
      </c>
      <c r="H5">
        <f>Data!O55</f>
        <v>0.24347647961785412</v>
      </c>
      <c r="I5">
        <f>Data!P55</f>
        <v>0.2795014091598631</v>
      </c>
      <c r="J5">
        <f>Data!Q55</f>
        <v>0.31552633870185787</v>
      </c>
      <c r="K5">
        <f>Data!R55</f>
        <v>0.35155126824386684</v>
      </c>
      <c r="L5">
        <f>Data!S55</f>
        <v>0.38757619778587582</v>
      </c>
      <c r="M5">
        <f>Data!T55</f>
        <v>0.4236011273278848</v>
      </c>
      <c r="N5">
        <f>Data!U55</f>
        <v>0.45962605686989377</v>
      </c>
      <c r="O5">
        <f>Data!V55</f>
        <v>0.49565098641190275</v>
      </c>
      <c r="P5">
        <f>Data!W55</f>
        <v>0.53167591595391173</v>
      </c>
      <c r="Q5">
        <f>Data!X55</f>
        <v>0.56770084549590649</v>
      </c>
      <c r="R5">
        <f>Data!Y55</f>
        <v>0.60372577503791547</v>
      </c>
      <c r="S5">
        <f>Data!Z55</f>
        <v>0.63975070457992445</v>
      </c>
      <c r="T5">
        <f>Data!AA55</f>
        <v>0.67577563412193342</v>
      </c>
      <c r="U5">
        <f>Data!AB55</f>
        <v>0.7118005636639424</v>
      </c>
      <c r="V5">
        <f>Data!AC55</f>
        <v>0.74782549320595137</v>
      </c>
      <c r="W5">
        <f>Data!AD55</f>
        <v>0.78385042274796035</v>
      </c>
      <c r="X5">
        <f>Data!AE55</f>
        <v>0.81987535228995512</v>
      </c>
      <c r="Y5">
        <f>Data!AF55</f>
        <v>0.85590028183196409</v>
      </c>
      <c r="Z5">
        <f>Data!AG55</f>
        <v>0.89192521137397307</v>
      </c>
      <c r="AA5">
        <f>Data!AH55</f>
        <v>0.92795014091598205</v>
      </c>
      <c r="AB5">
        <f>Data!AI55</f>
        <v>0.96397507045799102</v>
      </c>
      <c r="AC5">
        <f>Data!AJ55</f>
        <v>1</v>
      </c>
      <c r="AD5">
        <f>Data!AK55</f>
        <v>0</v>
      </c>
      <c r="AE5">
        <f>Data!AL55</f>
        <v>0</v>
      </c>
    </row>
    <row r="6" spans="1:31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25">
      <c r="A7" t="s">
        <v>111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25">
      <c r="A8" t="s">
        <v>112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0</v>
      </c>
      <c r="AE5">
        <f>Data!AL62</f>
        <v>0</v>
      </c>
    </row>
    <row r="6" spans="1:31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25">
      <c r="A7" t="s">
        <v>111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25">
      <c r="A8" t="s">
        <v>112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0</v>
      </c>
      <c r="AE5">
        <f>Data!AL69</f>
        <v>0</v>
      </c>
    </row>
    <row r="6" spans="1:31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25">
      <c r="A7" t="s">
        <v>111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25">
      <c r="A8" t="s">
        <v>112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0</v>
      </c>
      <c r="AE5">
        <f>Data!AL76</f>
        <v>0</v>
      </c>
    </row>
    <row r="6" spans="1:31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25">
      <c r="A7" t="s">
        <v>111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25">
      <c r="A8" t="s">
        <v>112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f>Data!I80</f>
        <v>0</v>
      </c>
      <c r="C2">
        <f>Data!J80</f>
        <v>7.2426485361517731E-2</v>
      </c>
      <c r="D2">
        <f>Data!K80</f>
        <v>9.534946489910949E-2</v>
      </c>
      <c r="E2">
        <f>Data!L80</f>
        <v>0.12455335818741645</v>
      </c>
      <c r="F2">
        <f>Data!M80</f>
        <v>0.16110894957658525</v>
      </c>
      <c r="G2">
        <f>Data!N80</f>
        <v>0.20587037180094736</v>
      </c>
      <c r="H2">
        <f>Data!O80</f>
        <v>0.259225100817846</v>
      </c>
      <c r="I2">
        <f>Data!P80</f>
        <v>0.32082130082460703</v>
      </c>
      <c r="J2">
        <f>Data!Q80</f>
        <v>0.38936076605077802</v>
      </c>
      <c r="K2">
        <f>Data!R80</f>
        <v>0.46257015465625045</v>
      </c>
      <c r="L2">
        <f>Data!S80</f>
        <v>0.5374298453437496</v>
      </c>
      <c r="M2">
        <f>Data!T80</f>
        <v>0.61063923394922204</v>
      </c>
      <c r="N2">
        <f>Data!U80</f>
        <v>0.67917869917539297</v>
      </c>
      <c r="O2">
        <f>Data!V80</f>
        <v>0.740774899182154</v>
      </c>
      <c r="P2">
        <f>Data!W80</f>
        <v>0.79412962819905253</v>
      </c>
      <c r="Q2">
        <f>Data!X80</f>
        <v>0.83889105042341472</v>
      </c>
      <c r="R2">
        <f>Data!Y80</f>
        <v>0.87544664181258358</v>
      </c>
      <c r="S2">
        <f>Data!Z80</f>
        <v>0.90465053510089055</v>
      </c>
      <c r="T2">
        <f>Data!AA80</f>
        <v>0.92757351463848225</v>
      </c>
      <c r="U2">
        <f>Data!AB80</f>
        <v>0.94531868278405917</v>
      </c>
      <c r="V2">
        <f>Data!AC80</f>
        <v>0.95890872179953501</v>
      </c>
      <c r="W2">
        <f>Data!AD80</f>
        <v>0.96923114064285198</v>
      </c>
      <c r="X2">
        <f>Data!AE80</f>
        <v>0.97702263008997436</v>
      </c>
      <c r="Y2">
        <f>Data!AF80</f>
        <v>0.98287596668427235</v>
      </c>
      <c r="Z2">
        <f>Data!AG80</f>
        <v>0.98725765053588843</v>
      </c>
      <c r="AA2">
        <f>Data!AH80</f>
        <v>0.99052895641805383</v>
      </c>
      <c r="AB2">
        <f>Data!AI80</f>
        <v>0.99296641284500486</v>
      </c>
      <c r="AC2">
        <f>Data!AJ80</f>
        <v>0.99477987430644166</v>
      </c>
      <c r="AD2">
        <f>Data!AK80</f>
        <v>0</v>
      </c>
      <c r="AE2">
        <f>Data!AL80</f>
        <v>0</v>
      </c>
    </row>
    <row r="3" spans="1:31" x14ac:dyDescent="0.2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</row>
    <row r="4" spans="1:31" x14ac:dyDescent="0.2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0</v>
      </c>
      <c r="AE4">
        <f>Data!AL82</f>
        <v>0</v>
      </c>
    </row>
    <row r="5" spans="1:31" x14ac:dyDescent="0.2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</row>
    <row r="6" spans="1:31" x14ac:dyDescent="0.2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</row>
    <row r="7" spans="1:31" x14ac:dyDescent="0.25">
      <c r="A7" t="s">
        <v>111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25">
      <c r="A8" t="s">
        <v>112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111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112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AEO 39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2025-12-10T17:49:20Z</dcterms:modified>
</cp:coreProperties>
</file>