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C2F805FB-F374-4D13-9550-481F01E7301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5" l="1"/>
  <c r="B1" i="14"/>
  <c r="B1" i="13"/>
  <c r="B1" i="12"/>
  <c r="B1" i="11"/>
  <c r="B1" i="10"/>
  <c r="B1" i="9"/>
  <c r="B1" i="8"/>
  <c r="C5" i="7"/>
  <c r="B5" i="7"/>
  <c r="B1" i="7"/>
  <c r="B1" i="6"/>
  <c r="B1" i="5"/>
  <c r="B2" i="4"/>
  <c r="B1" i="4"/>
  <c r="I93" i="3"/>
  <c r="G93" i="3"/>
  <c r="I92" i="3"/>
  <c r="G92" i="3"/>
  <c r="J92" i="3" s="1"/>
  <c r="I91" i="3"/>
  <c r="G91" i="3"/>
  <c r="I90" i="3"/>
  <c r="G90" i="3"/>
  <c r="I89" i="3"/>
  <c r="G89" i="3"/>
  <c r="I88" i="3"/>
  <c r="G88" i="3"/>
  <c r="J88" i="3" s="1"/>
  <c r="I87" i="3"/>
  <c r="G87" i="3"/>
  <c r="E86" i="3"/>
  <c r="I86" i="3" s="1"/>
  <c r="B8" i="14" s="1"/>
  <c r="D86" i="3"/>
  <c r="F85" i="3"/>
  <c r="E85" i="3"/>
  <c r="I85" i="3" s="1"/>
  <c r="B7" i="14" s="1"/>
  <c r="D85" i="3"/>
  <c r="E84" i="3"/>
  <c r="I84" i="3" s="1"/>
  <c r="B6" i="14" s="1"/>
  <c r="D84" i="3"/>
  <c r="E83" i="3"/>
  <c r="I83" i="3" s="1"/>
  <c r="B5" i="14" s="1"/>
  <c r="D83" i="3"/>
  <c r="F82" i="3"/>
  <c r="E82" i="3"/>
  <c r="I82" i="3" s="1"/>
  <c r="B4" i="14" s="1"/>
  <c r="D82" i="3"/>
  <c r="E81" i="3"/>
  <c r="I81" i="3" s="1"/>
  <c r="B3" i="14" s="1"/>
  <c r="D81" i="3"/>
  <c r="F80" i="3"/>
  <c r="E80" i="3"/>
  <c r="I80" i="3" s="1"/>
  <c r="B2" i="14" s="1"/>
  <c r="D80" i="3"/>
  <c r="I79" i="3"/>
  <c r="B8" i="13" s="1"/>
  <c r="G79" i="3"/>
  <c r="J79" i="3" s="1"/>
  <c r="C8" i="13" s="1"/>
  <c r="I78" i="3"/>
  <c r="B7" i="13" s="1"/>
  <c r="G78" i="3"/>
  <c r="I77" i="3"/>
  <c r="B6" i="13" s="1"/>
  <c r="G77" i="3"/>
  <c r="I76" i="3"/>
  <c r="B5" i="13" s="1"/>
  <c r="G76" i="3"/>
  <c r="J76" i="3" s="1"/>
  <c r="C5" i="13" s="1"/>
  <c r="I75" i="3"/>
  <c r="B4" i="13" s="1"/>
  <c r="G75" i="3"/>
  <c r="J75" i="3" s="1"/>
  <c r="C4" i="13" s="1"/>
  <c r="I74" i="3"/>
  <c r="B3" i="13" s="1"/>
  <c r="G74" i="3"/>
  <c r="I73" i="3"/>
  <c r="B2" i="13" s="1"/>
  <c r="G73" i="3"/>
  <c r="J73" i="3" s="1"/>
  <c r="C2" i="13" s="1"/>
  <c r="I72" i="3"/>
  <c r="B8" i="12" s="1"/>
  <c r="G72" i="3"/>
  <c r="I71" i="3"/>
  <c r="B7" i="12" s="1"/>
  <c r="G71" i="3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J67" i="3" s="1"/>
  <c r="C3" i="12" s="1"/>
  <c r="I66" i="3"/>
  <c r="B2" i="12" s="1"/>
  <c r="G66" i="3"/>
  <c r="I65" i="3"/>
  <c r="B8" i="11" s="1"/>
  <c r="G65" i="3"/>
  <c r="I64" i="3"/>
  <c r="B7" i="11" s="1"/>
  <c r="G64" i="3"/>
  <c r="J64" i="3" s="1"/>
  <c r="C7" i="11" s="1"/>
  <c r="I63" i="3"/>
  <c r="B6" i="11" s="1"/>
  <c r="G63" i="3"/>
  <c r="I62" i="3"/>
  <c r="B5" i="11" s="1"/>
  <c r="G62" i="3"/>
  <c r="I61" i="3"/>
  <c r="B4" i="11" s="1"/>
  <c r="G61" i="3"/>
  <c r="I60" i="3"/>
  <c r="B3" i="11" s="1"/>
  <c r="G60" i="3"/>
  <c r="I59" i="3"/>
  <c r="B2" i="11" s="1"/>
  <c r="G59" i="3"/>
  <c r="I58" i="3"/>
  <c r="B8" i="10" s="1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E52" i="3"/>
  <c r="I51" i="3"/>
  <c r="B8" i="9" s="1"/>
  <c r="G51" i="3"/>
  <c r="J51" i="3" s="1"/>
  <c r="C8" i="9" s="1"/>
  <c r="I50" i="3"/>
  <c r="B7" i="9" s="1"/>
  <c r="G50" i="3"/>
  <c r="I49" i="3"/>
  <c r="B6" i="9" s="1"/>
  <c r="G49" i="3"/>
  <c r="J49" i="3" s="1"/>
  <c r="C6" i="9" s="1"/>
  <c r="I48" i="3"/>
  <c r="B5" i="9" s="1"/>
  <c r="G48" i="3"/>
  <c r="I47" i="3"/>
  <c r="B4" i="9" s="1"/>
  <c r="G47" i="3"/>
  <c r="I46" i="3"/>
  <c r="B3" i="9" s="1"/>
  <c r="G46" i="3"/>
  <c r="I45" i="3"/>
  <c r="B2" i="9" s="1"/>
  <c r="G45" i="3"/>
  <c r="I44" i="3"/>
  <c r="B8" i="8" s="1"/>
  <c r="G44" i="3"/>
  <c r="I43" i="3"/>
  <c r="B7" i="8" s="1"/>
  <c r="G43" i="3"/>
  <c r="J43" i="3" s="1"/>
  <c r="C7" i="8" s="1"/>
  <c r="I42" i="3"/>
  <c r="B6" i="8" s="1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C6" i="7" s="1"/>
  <c r="I35" i="3"/>
  <c r="B6" i="7" s="1"/>
  <c r="F35" i="3"/>
  <c r="G35" i="3" s="1"/>
  <c r="J34" i="3"/>
  <c r="I34" i="3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B3" i="6" s="1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F22" i="3"/>
  <c r="G22" i="3" s="1"/>
  <c r="J21" i="3"/>
  <c r="C6" i="5" s="1"/>
  <c r="I21" i="3"/>
  <c r="B6" i="5" s="1"/>
  <c r="F21" i="3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J17" i="3" s="1"/>
  <c r="C2" i="5" s="1"/>
  <c r="I16" i="3"/>
  <c r="B8" i="4" s="1"/>
  <c r="F16" i="3"/>
  <c r="F86" i="3" s="1"/>
  <c r="I15" i="3"/>
  <c r="B7" i="4" s="1"/>
  <c r="F15" i="3"/>
  <c r="G15" i="3" s="1"/>
  <c r="J14" i="3"/>
  <c r="C6" i="4" s="1"/>
  <c r="I14" i="3"/>
  <c r="B6" i="4" s="1"/>
  <c r="F14" i="3"/>
  <c r="F84" i="3" s="1"/>
  <c r="I13" i="3"/>
  <c r="B5" i="4" s="1"/>
  <c r="F13" i="3"/>
  <c r="F83" i="3" s="1"/>
  <c r="G83" i="3" s="1"/>
  <c r="J83" i="3" s="1"/>
  <c r="C5" i="14" s="1"/>
  <c r="I12" i="3"/>
  <c r="B4" i="4" s="1"/>
  <c r="G12" i="3"/>
  <c r="I11" i="3"/>
  <c r="B3" i="4" s="1"/>
  <c r="F11" i="3"/>
  <c r="F81" i="3" s="1"/>
  <c r="J10" i="3"/>
  <c r="C2" i="4" s="1"/>
  <c r="I10" i="3"/>
  <c r="G10" i="3"/>
  <c r="J9" i="3"/>
  <c r="C1" i="12" s="1"/>
  <c r="G13" i="3" l="1"/>
  <c r="J91" i="3"/>
  <c r="G80" i="3"/>
  <c r="J80" i="3" s="1"/>
  <c r="C2" i="14" s="1"/>
  <c r="G86" i="3"/>
  <c r="G81" i="3"/>
  <c r="J47" i="3"/>
  <c r="C4" i="9" s="1"/>
  <c r="J59" i="3"/>
  <c r="C2" i="11" s="1"/>
  <c r="J53" i="3"/>
  <c r="C3" i="10" s="1"/>
  <c r="K54" i="3"/>
  <c r="D4" i="10" s="1"/>
  <c r="K28" i="3"/>
  <c r="D6" i="6" s="1"/>
  <c r="K22" i="3"/>
  <c r="D7" i="5" s="1"/>
  <c r="K15" i="3"/>
  <c r="D7" i="4" s="1"/>
  <c r="J15" i="3"/>
  <c r="C7" i="4" s="1"/>
  <c r="J65" i="3"/>
  <c r="C8" i="11" s="1"/>
  <c r="J87" i="3"/>
  <c r="J44" i="3"/>
  <c r="C8" i="8" s="1"/>
  <c r="F52" i="3"/>
  <c r="J48" i="3"/>
  <c r="C5" i="9" s="1"/>
  <c r="J68" i="3"/>
  <c r="C4" i="12" s="1"/>
  <c r="J13" i="3"/>
  <c r="C5" i="4" s="1"/>
  <c r="J58" i="3"/>
  <c r="C8" i="10" s="1"/>
  <c r="I52" i="3"/>
  <c r="B2" i="10" s="1"/>
  <c r="J54" i="3"/>
  <c r="C4" i="10" s="1"/>
  <c r="J56" i="3"/>
  <c r="C6" i="10" s="1"/>
  <c r="G82" i="3"/>
  <c r="G14" i="3"/>
  <c r="J46" i="3"/>
  <c r="C3" i="9" s="1"/>
  <c r="K56" i="3"/>
  <c r="D6" i="10" s="1"/>
  <c r="J42" i="3"/>
  <c r="C6" i="8" s="1"/>
  <c r="K87" i="3"/>
  <c r="K81" i="3"/>
  <c r="D3" i="14" s="1"/>
  <c r="J81" i="3"/>
  <c r="C3" i="14" s="1"/>
  <c r="J86" i="3"/>
  <c r="C8" i="14" s="1"/>
  <c r="G85" i="3"/>
  <c r="E55" i="3"/>
  <c r="G11" i="3"/>
  <c r="G16" i="3"/>
  <c r="J61" i="3"/>
  <c r="C4" i="11" s="1"/>
  <c r="J41" i="3"/>
  <c r="C5" i="8" s="1"/>
  <c r="J62" i="3"/>
  <c r="C5" i="11" s="1"/>
  <c r="J78" i="3"/>
  <c r="C7" i="13" s="1"/>
  <c r="K9" i="3"/>
  <c r="K46" i="3" s="1"/>
  <c r="D3" i="9" s="1"/>
  <c r="J12" i="3"/>
  <c r="C4" i="4" s="1"/>
  <c r="J38" i="3"/>
  <c r="C2" i="8" s="1"/>
  <c r="J70" i="3"/>
  <c r="C6" i="12" s="1"/>
  <c r="K78" i="3"/>
  <c r="D7" i="13" s="1"/>
  <c r="G84" i="3"/>
  <c r="C1" i="7"/>
  <c r="J93" i="3"/>
  <c r="J39" i="3"/>
  <c r="C3" i="8" s="1"/>
  <c r="J69" i="3"/>
  <c r="C5" i="12" s="1"/>
  <c r="C1" i="14"/>
  <c r="C1" i="9"/>
  <c r="C1" i="10"/>
  <c r="C1" i="11"/>
  <c r="C1" i="5"/>
  <c r="C1" i="4"/>
  <c r="C1" i="15"/>
  <c r="C1" i="13"/>
  <c r="C1" i="6"/>
  <c r="J63" i="3"/>
  <c r="C6" i="11" s="1"/>
  <c r="J60" i="3"/>
  <c r="C3" i="11" s="1"/>
  <c r="K17" i="3"/>
  <c r="D2" i="5" s="1"/>
  <c r="C1" i="8"/>
  <c r="J74" i="3"/>
  <c r="C3" i="13" s="1"/>
  <c r="J66" i="3"/>
  <c r="C2" i="12" s="1"/>
  <c r="J57" i="3"/>
  <c r="C7" i="10" s="1"/>
  <c r="K66" i="3"/>
  <c r="D2" i="12" s="1"/>
  <c r="J72" i="3"/>
  <c r="C8" i="12" s="1"/>
  <c r="J40" i="3"/>
  <c r="C4" i="8" s="1"/>
  <c r="J45" i="3"/>
  <c r="C2" i="9" s="1"/>
  <c r="J50" i="3"/>
  <c r="C7" i="9" s="1"/>
  <c r="J71" i="3"/>
  <c r="C7" i="12" s="1"/>
  <c r="J90" i="3"/>
  <c r="J77" i="3"/>
  <c r="C6" i="13" s="1"/>
  <c r="J89" i="3"/>
  <c r="K68" i="3" l="1"/>
  <c r="D4" i="12" s="1"/>
  <c r="K19" i="3"/>
  <c r="D4" i="5" s="1"/>
  <c r="K36" i="3"/>
  <c r="D7" i="7" s="1"/>
  <c r="K91" i="3"/>
  <c r="K20" i="3"/>
  <c r="D5" i="5" s="1"/>
  <c r="K53" i="3"/>
  <c r="D3" i="10" s="1"/>
  <c r="K32" i="3"/>
  <c r="D3" i="7" s="1"/>
  <c r="K74" i="3"/>
  <c r="D3" i="13" s="1"/>
  <c r="K58" i="3"/>
  <c r="D8" i="10" s="1"/>
  <c r="K13" i="3"/>
  <c r="D5" i="4" s="1"/>
  <c r="K72" i="3"/>
  <c r="D8" i="12" s="1"/>
  <c r="L84" i="3"/>
  <c r="E6" i="14" s="1"/>
  <c r="K84" i="3"/>
  <c r="D6" i="14" s="1"/>
  <c r="J84" i="3"/>
  <c r="C6" i="14" s="1"/>
  <c r="L14" i="3"/>
  <c r="E6" i="4" s="1"/>
  <c r="K14" i="3"/>
  <c r="D6" i="4" s="1"/>
  <c r="L52" i="3"/>
  <c r="E2" i="10" s="1"/>
  <c r="K49" i="3"/>
  <c r="D6" i="9" s="1"/>
  <c r="D1" i="15"/>
  <c r="D1" i="10"/>
  <c r="D1" i="11"/>
  <c r="D1" i="9"/>
  <c r="D1" i="13"/>
  <c r="D1" i="12"/>
  <c r="D1" i="4"/>
  <c r="K90" i="3"/>
  <c r="D1" i="14"/>
  <c r="D1" i="6"/>
  <c r="K89" i="3"/>
  <c r="K57" i="3"/>
  <c r="D7" i="10" s="1"/>
  <c r="K71" i="3"/>
  <c r="D7" i="12" s="1"/>
  <c r="D1" i="7"/>
  <c r="K93" i="3"/>
  <c r="K73" i="3"/>
  <c r="D2" i="13" s="1"/>
  <c r="K67" i="3"/>
  <c r="D3" i="12" s="1"/>
  <c r="K69" i="3"/>
  <c r="D5" i="12" s="1"/>
  <c r="K39" i="3"/>
  <c r="D3" i="8" s="1"/>
  <c r="K63" i="3"/>
  <c r="D6" i="11" s="1"/>
  <c r="K18" i="3"/>
  <c r="D3" i="5" s="1"/>
  <c r="K75" i="3"/>
  <c r="D4" i="13" s="1"/>
  <c r="L9" i="3"/>
  <c r="L31" i="3"/>
  <c r="E2" i="7" s="1"/>
  <c r="D1" i="8"/>
  <c r="K77" i="3"/>
  <c r="D6" i="13" s="1"/>
  <c r="K31" i="3"/>
  <c r="D2" i="7" s="1"/>
  <c r="K62" i="3"/>
  <c r="D5" i="11" s="1"/>
  <c r="K41" i="3"/>
  <c r="D5" i="8" s="1"/>
  <c r="K88" i="3"/>
  <c r="K80" i="3"/>
  <c r="D2" i="14" s="1"/>
  <c r="K27" i="3"/>
  <c r="D5" i="6" s="1"/>
  <c r="D1" i="5"/>
  <c r="K24" i="3"/>
  <c r="D2" i="6" s="1"/>
  <c r="K60" i="3"/>
  <c r="D3" i="11" s="1"/>
  <c r="K83" i="3"/>
  <c r="D5" i="14" s="1"/>
  <c r="L10" i="3"/>
  <c r="E2" i="4" s="1"/>
  <c r="K61" i="3"/>
  <c r="D4" i="11" s="1"/>
  <c r="K43" i="3"/>
  <c r="D7" i="8" s="1"/>
  <c r="K23" i="3"/>
  <c r="D8" i="5" s="1"/>
  <c r="K48" i="3"/>
  <c r="D5" i="9" s="1"/>
  <c r="K33" i="3"/>
  <c r="D4" i="7" s="1"/>
  <c r="K42" i="3"/>
  <c r="D6" i="8" s="1"/>
  <c r="K64" i="3"/>
  <c r="D7" i="11" s="1"/>
  <c r="K29" i="3"/>
  <c r="D7" i="6" s="1"/>
  <c r="K40" i="3"/>
  <c r="D4" i="8" s="1"/>
  <c r="K37" i="3"/>
  <c r="D8" i="7" s="1"/>
  <c r="K30" i="3"/>
  <c r="D8" i="6" s="1"/>
  <c r="K35" i="3"/>
  <c r="D6" i="7" s="1"/>
  <c r="K79" i="3"/>
  <c r="D8" i="13" s="1"/>
  <c r="L17" i="3"/>
  <c r="E2" i="5" s="1"/>
  <c r="K86" i="3"/>
  <c r="D8" i="14" s="1"/>
  <c r="K10" i="3"/>
  <c r="D2" i="4" s="1"/>
  <c r="K45" i="3"/>
  <c r="D2" i="9" s="1"/>
  <c r="K50" i="3"/>
  <c r="D7" i="9" s="1"/>
  <c r="K92" i="3"/>
  <c r="K70" i="3"/>
  <c r="D6" i="12" s="1"/>
  <c r="K59" i="3"/>
  <c r="D2" i="11" s="1"/>
  <c r="K44" i="3"/>
  <c r="D8" i="8" s="1"/>
  <c r="K34" i="3"/>
  <c r="D5" i="7" s="1"/>
  <c r="K76" i="3"/>
  <c r="D5" i="13" s="1"/>
  <c r="K47" i="3"/>
  <c r="D4" i="9" s="1"/>
  <c r="K21" i="3"/>
  <c r="D6" i="5" s="1"/>
  <c r="K12" i="3"/>
  <c r="D4" i="4" s="1"/>
  <c r="K65" i="3"/>
  <c r="D8" i="11" s="1"/>
  <c r="L21" i="3"/>
  <c r="E6" i="5" s="1"/>
  <c r="K25" i="3"/>
  <c r="D3" i="6" s="1"/>
  <c r="K26" i="3"/>
  <c r="D4" i="6" s="1"/>
  <c r="K38" i="3"/>
  <c r="D2" i="8" s="1"/>
  <c r="K51" i="3"/>
  <c r="D8" i="9" s="1"/>
  <c r="J52" i="3"/>
  <c r="C2" i="10" s="1"/>
  <c r="K82" i="3"/>
  <c r="D4" i="14" s="1"/>
  <c r="J82" i="3"/>
  <c r="C4" i="14" s="1"/>
  <c r="J16" i="3"/>
  <c r="C8" i="4" s="1"/>
  <c r="L16" i="3"/>
  <c r="E8" i="4" s="1"/>
  <c r="K16" i="3"/>
  <c r="D8" i="4" s="1"/>
  <c r="K52" i="3"/>
  <c r="D2" i="10" s="1"/>
  <c r="L11" i="3"/>
  <c r="E3" i="4" s="1"/>
  <c r="K11" i="3"/>
  <c r="D3" i="4" s="1"/>
  <c r="J11" i="3"/>
  <c r="C3" i="4" s="1"/>
  <c r="F55" i="3"/>
  <c r="G55" i="3" s="1"/>
  <c r="I55" i="3"/>
  <c r="B5" i="10" s="1"/>
  <c r="L85" i="3"/>
  <c r="E7" i="14" s="1"/>
  <c r="K85" i="3"/>
  <c r="D7" i="14" s="1"/>
  <c r="J85" i="3"/>
  <c r="C7" i="14" s="1"/>
  <c r="K55" i="3" l="1"/>
  <c r="D5" i="10" s="1"/>
  <c r="J55" i="3"/>
  <c r="C5" i="10" s="1"/>
  <c r="L55" i="3"/>
  <c r="E5" i="10" s="1"/>
  <c r="E1" i="15"/>
  <c r="E1" i="10"/>
  <c r="E1" i="13"/>
  <c r="E1" i="9"/>
  <c r="E1" i="12"/>
  <c r="E1" i="6"/>
  <c r="L90" i="3"/>
  <c r="E1" i="14"/>
  <c r="L89" i="3"/>
  <c r="E1" i="11"/>
  <c r="L71" i="3"/>
  <c r="E7" i="12" s="1"/>
  <c r="E1" i="4"/>
  <c r="E1" i="7"/>
  <c r="E1" i="5"/>
  <c r="L63" i="3"/>
  <c r="E6" i="11" s="1"/>
  <c r="L60" i="3"/>
  <c r="E3" i="11" s="1"/>
  <c r="L18" i="3"/>
  <c r="E3" i="5" s="1"/>
  <c r="L93" i="3"/>
  <c r="L74" i="3"/>
  <c r="E3" i="13" s="1"/>
  <c r="M9" i="3"/>
  <c r="L75" i="3"/>
  <c r="E4" i="13" s="1"/>
  <c r="E1" i="8"/>
  <c r="L77" i="3"/>
  <c r="E6" i="13" s="1"/>
  <c r="L69" i="3"/>
  <c r="E5" i="12" s="1"/>
  <c r="L40" i="3"/>
  <c r="E4" i="8" s="1"/>
  <c r="L39" i="3"/>
  <c r="E3" i="8" s="1"/>
  <c r="L41" i="3"/>
  <c r="E5" i="8" s="1"/>
  <c r="L79" i="3"/>
  <c r="E8" i="13" s="1"/>
  <c r="L92" i="3"/>
  <c r="L88" i="3"/>
  <c r="L27" i="3"/>
  <c r="E5" i="6" s="1"/>
  <c r="L45" i="3"/>
  <c r="E2" i="9" s="1"/>
  <c r="L67" i="3"/>
  <c r="E3" i="12" s="1"/>
  <c r="L50" i="3"/>
  <c r="E7" i="9" s="1"/>
  <c r="L20" i="3"/>
  <c r="E5" i="5" s="1"/>
  <c r="L61" i="3"/>
  <c r="E4" i="11" s="1"/>
  <c r="L43" i="3"/>
  <c r="E7" i="8" s="1"/>
  <c r="L23" i="3"/>
  <c r="E8" i="5" s="1"/>
  <c r="L83" i="3"/>
  <c r="E5" i="14" s="1"/>
  <c r="L86" i="3"/>
  <c r="E8" i="14" s="1"/>
  <c r="L38" i="3"/>
  <c r="E2" i="8" s="1"/>
  <c r="L68" i="3"/>
  <c r="E4" i="12" s="1"/>
  <c r="L64" i="3"/>
  <c r="E7" i="11" s="1"/>
  <c r="L54" i="3"/>
  <c r="E4" i="10" s="1"/>
  <c r="L70" i="3"/>
  <c r="E6" i="12" s="1"/>
  <c r="L22" i="3"/>
  <c r="E7" i="5" s="1"/>
  <c r="L28" i="3"/>
  <c r="E6" i="6" s="1"/>
  <c r="L57" i="3"/>
  <c r="E7" i="10" s="1"/>
  <c r="L48" i="3"/>
  <c r="E5" i="9" s="1"/>
  <c r="L32" i="3"/>
  <c r="E3" i="7" s="1"/>
  <c r="L59" i="3"/>
  <c r="E2" i="11" s="1"/>
  <c r="L15" i="3"/>
  <c r="E7" i="4" s="1"/>
  <c r="L44" i="3"/>
  <c r="E8" i="8" s="1"/>
  <c r="L58" i="3"/>
  <c r="E8" i="10" s="1"/>
  <c r="L76" i="3"/>
  <c r="E5" i="13" s="1"/>
  <c r="L47" i="3"/>
  <c r="E4" i="9" s="1"/>
  <c r="L37" i="3"/>
  <c r="E8" i="7" s="1"/>
  <c r="L42" i="3"/>
  <c r="E6" i="8" s="1"/>
  <c r="L87" i="3"/>
  <c r="L53" i="3"/>
  <c r="E3" i="10" s="1"/>
  <c r="L25" i="3"/>
  <c r="E3" i="6" s="1"/>
  <c r="L35" i="3"/>
  <c r="E6" i="7" s="1"/>
  <c r="L65" i="3"/>
  <c r="E8" i="11" s="1"/>
  <c r="L30" i="3"/>
  <c r="E8" i="6" s="1"/>
  <c r="L13" i="3"/>
  <c r="E5" i="4" s="1"/>
  <c r="L46" i="3"/>
  <c r="E3" i="9" s="1"/>
  <c r="L56" i="3"/>
  <c r="E6" i="10" s="1"/>
  <c r="L51" i="3"/>
  <c r="E8" i="9" s="1"/>
  <c r="L34" i="3"/>
  <c r="E5" i="7" s="1"/>
  <c r="L26" i="3"/>
  <c r="E4" i="6" s="1"/>
  <c r="L73" i="3"/>
  <c r="E2" i="13" s="1"/>
  <c r="L78" i="3"/>
  <c r="E7" i="13" s="1"/>
  <c r="L62" i="3"/>
  <c r="E5" i="11" s="1"/>
  <c r="L12" i="3"/>
  <c r="E4" i="4" s="1"/>
  <c r="L81" i="3"/>
  <c r="E3" i="14" s="1"/>
  <c r="L66" i="3"/>
  <c r="E2" i="12" s="1"/>
  <c r="L29" i="3"/>
  <c r="E7" i="6" s="1"/>
  <c r="L33" i="3"/>
  <c r="E4" i="7" s="1"/>
  <c r="L72" i="3"/>
  <c r="E8" i="12" s="1"/>
  <c r="L36" i="3"/>
  <c r="E7" i="7" s="1"/>
  <c r="L19" i="3"/>
  <c r="E4" i="5" s="1"/>
  <c r="L49" i="3"/>
  <c r="E6" i="9" s="1"/>
  <c r="L91" i="3"/>
  <c r="M17" i="3"/>
  <c r="F2" i="5" s="1"/>
  <c r="M10" i="3"/>
  <c r="F2" i="4" s="1"/>
  <c r="M31" i="3"/>
  <c r="F2" i="7" s="1"/>
  <c r="L80" i="3"/>
  <c r="E2" i="14" s="1"/>
  <c r="L82" i="3"/>
  <c r="E4" i="14" s="1"/>
  <c r="M84" i="3"/>
  <c r="F6" i="14" s="1"/>
  <c r="L24" i="3"/>
  <c r="E2" i="6" s="1"/>
  <c r="M55" i="3" l="1"/>
  <c r="F5" i="10" s="1"/>
  <c r="F1" i="15"/>
  <c r="F1" i="10"/>
  <c r="F1" i="13"/>
  <c r="F1" i="12"/>
  <c r="F1" i="6"/>
  <c r="F1" i="14"/>
  <c r="F1" i="9"/>
  <c r="M89" i="3"/>
  <c r="M79" i="3"/>
  <c r="F8" i="13" s="1"/>
  <c r="M72" i="3"/>
  <c r="F8" i="12" s="1"/>
  <c r="M57" i="3"/>
  <c r="F7" i="10" s="1"/>
  <c r="F1" i="11"/>
  <c r="F1" i="4"/>
  <c r="F1" i="7"/>
  <c r="M93" i="3"/>
  <c r="M63" i="3"/>
  <c r="F6" i="11" s="1"/>
  <c r="M74" i="3"/>
  <c r="F3" i="13" s="1"/>
  <c r="N9" i="3"/>
  <c r="N17" i="3" s="1"/>
  <c r="G2" i="5" s="1"/>
  <c r="M75" i="3"/>
  <c r="F4" i="13" s="1"/>
  <c r="F1" i="5"/>
  <c r="M69" i="3"/>
  <c r="F5" i="12" s="1"/>
  <c r="M40" i="3"/>
  <c r="F4" i="8" s="1"/>
  <c r="M39" i="3"/>
  <c r="F3" i="8" s="1"/>
  <c r="M18" i="3"/>
  <c r="F3" i="5" s="1"/>
  <c r="M88" i="3"/>
  <c r="M27" i="3"/>
  <c r="F5" i="6" s="1"/>
  <c r="M60" i="3"/>
  <c r="F3" i="11" s="1"/>
  <c r="M77" i="3"/>
  <c r="F6" i="13" s="1"/>
  <c r="M92" i="3"/>
  <c r="M67" i="3"/>
  <c r="F3" i="12" s="1"/>
  <c r="M50" i="3"/>
  <c r="F7" i="9" s="1"/>
  <c r="F1" i="8"/>
  <c r="M45" i="3"/>
  <c r="F2" i="9" s="1"/>
  <c r="M86" i="3"/>
  <c r="F8" i="14" s="1"/>
  <c r="M61" i="3"/>
  <c r="F4" i="11" s="1"/>
  <c r="M23" i="3"/>
  <c r="F8" i="5" s="1"/>
  <c r="M43" i="3"/>
  <c r="F7" i="8" s="1"/>
  <c r="M83" i="3"/>
  <c r="F5" i="14" s="1"/>
  <c r="M41" i="3"/>
  <c r="F5" i="8" s="1"/>
  <c r="M20" i="3"/>
  <c r="F5" i="5" s="1"/>
  <c r="M33" i="3"/>
  <c r="F4" i="7" s="1"/>
  <c r="M76" i="3"/>
  <c r="F5" i="13" s="1"/>
  <c r="M47" i="3"/>
  <c r="F4" i="9" s="1"/>
  <c r="M71" i="3"/>
  <c r="F7" i="12" s="1"/>
  <c r="M56" i="3"/>
  <c r="F6" i="10" s="1"/>
  <c r="M70" i="3"/>
  <c r="F6" i="12" s="1"/>
  <c r="M90" i="3"/>
  <c r="M51" i="3"/>
  <c r="F8" i="9" s="1"/>
  <c r="M13" i="3"/>
  <c r="F5" i="4" s="1"/>
  <c r="M81" i="3"/>
  <c r="F3" i="14" s="1"/>
  <c r="M37" i="3"/>
  <c r="F8" i="7" s="1"/>
  <c r="M68" i="3"/>
  <c r="F4" i="12" s="1"/>
  <c r="M42" i="3"/>
  <c r="F6" i="8" s="1"/>
  <c r="M64" i="3"/>
  <c r="F7" i="11" s="1"/>
  <c r="M32" i="3"/>
  <c r="F3" i="7" s="1"/>
  <c r="M35" i="3"/>
  <c r="F6" i="7" s="1"/>
  <c r="M53" i="3"/>
  <c r="F3" i="10" s="1"/>
  <c r="M87" i="3"/>
  <c r="M54" i="3"/>
  <c r="F4" i="10" s="1"/>
  <c r="M30" i="3"/>
  <c r="F8" i="6" s="1"/>
  <c r="M44" i="3"/>
  <c r="F8" i="8" s="1"/>
  <c r="M78" i="3"/>
  <c r="F7" i="13" s="1"/>
  <c r="M48" i="3"/>
  <c r="F5" i="9" s="1"/>
  <c r="M91" i="3"/>
  <c r="M49" i="3"/>
  <c r="F6" i="9" s="1"/>
  <c r="M65" i="3"/>
  <c r="F8" i="11" s="1"/>
  <c r="M59" i="3"/>
  <c r="F2" i="11" s="1"/>
  <c r="M22" i="3"/>
  <c r="F7" i="5" s="1"/>
  <c r="M19" i="3"/>
  <c r="F4" i="5" s="1"/>
  <c r="M58" i="3"/>
  <c r="F8" i="10" s="1"/>
  <c r="M28" i="3"/>
  <c r="F6" i="6" s="1"/>
  <c r="M73" i="3"/>
  <c r="F2" i="13" s="1"/>
  <c r="M66" i="3"/>
  <c r="F2" i="12" s="1"/>
  <c r="M12" i="3"/>
  <c r="F4" i="4" s="1"/>
  <c r="M25" i="3"/>
  <c r="F3" i="6" s="1"/>
  <c r="M15" i="3"/>
  <c r="F7" i="4" s="1"/>
  <c r="M29" i="3"/>
  <c r="F7" i="6" s="1"/>
  <c r="M46" i="3"/>
  <c r="F3" i="9" s="1"/>
  <c r="M62" i="3"/>
  <c r="F5" i="11" s="1"/>
  <c r="M38" i="3"/>
  <c r="F2" i="8" s="1"/>
  <c r="M26" i="3"/>
  <c r="F4" i="6" s="1"/>
  <c r="M34" i="3"/>
  <c r="F5" i="7" s="1"/>
  <c r="M36" i="3"/>
  <c r="F7" i="7" s="1"/>
  <c r="M14" i="3"/>
  <c r="F6" i="4" s="1"/>
  <c r="M24" i="3"/>
  <c r="F2" i="6" s="1"/>
  <c r="M52" i="3"/>
  <c r="F2" i="10" s="1"/>
  <c r="M82" i="3"/>
  <c r="F4" i="14" s="1"/>
  <c r="M85" i="3"/>
  <c r="F7" i="14" s="1"/>
  <c r="M16" i="3"/>
  <c r="F8" i="4" s="1"/>
  <c r="M21" i="3"/>
  <c r="F6" i="5" s="1"/>
  <c r="M11" i="3"/>
  <c r="F3" i="4" s="1"/>
  <c r="N21" i="3"/>
  <c r="G6" i="5" s="1"/>
  <c r="M80" i="3"/>
  <c r="F2" i="14" s="1"/>
  <c r="N24" i="3" l="1"/>
  <c r="G2" i="6" s="1"/>
  <c r="N14" i="3"/>
  <c r="G6" i="4" s="1"/>
  <c r="N10" i="3"/>
  <c r="G2" i="4" s="1"/>
  <c r="G1" i="15"/>
  <c r="G1" i="10"/>
  <c r="G1" i="13"/>
  <c r="G1" i="12"/>
  <c r="G1" i="14"/>
  <c r="G1" i="7"/>
  <c r="G1" i="6"/>
  <c r="G1" i="9"/>
  <c r="N89" i="3"/>
  <c r="N79" i="3"/>
  <c r="G8" i="13" s="1"/>
  <c r="G1" i="8"/>
  <c r="G1" i="11"/>
  <c r="G1" i="4"/>
  <c r="N71" i="3"/>
  <c r="G7" i="12" s="1"/>
  <c r="N90" i="3"/>
  <c r="G1" i="5"/>
  <c r="N50" i="3"/>
  <c r="G7" i="9" s="1"/>
  <c r="N45" i="3"/>
  <c r="G2" i="9" s="1"/>
  <c r="N74" i="3"/>
  <c r="G3" i="13" s="1"/>
  <c r="O9" i="3"/>
  <c r="N75" i="3"/>
  <c r="G4" i="13" s="1"/>
  <c r="N18" i="3"/>
  <c r="G3" i="5" s="1"/>
  <c r="N93" i="3"/>
  <c r="N77" i="3"/>
  <c r="G6" i="13" s="1"/>
  <c r="N57" i="3"/>
  <c r="G7" i="10" s="1"/>
  <c r="N72" i="3"/>
  <c r="G8" i="12" s="1"/>
  <c r="N40" i="3"/>
  <c r="G4" i="8" s="1"/>
  <c r="N60" i="3"/>
  <c r="G3" i="11" s="1"/>
  <c r="N39" i="3"/>
  <c r="G3" i="8" s="1"/>
  <c r="N92" i="3"/>
  <c r="N61" i="3"/>
  <c r="G4" i="11" s="1"/>
  <c r="N67" i="3"/>
  <c r="G3" i="12" s="1"/>
  <c r="N27" i="3"/>
  <c r="G5" i="6" s="1"/>
  <c r="N69" i="3"/>
  <c r="G5" i="12" s="1"/>
  <c r="N23" i="3"/>
  <c r="G8" i="5" s="1"/>
  <c r="N33" i="3"/>
  <c r="G4" i="7" s="1"/>
  <c r="N83" i="3"/>
  <c r="G5" i="14" s="1"/>
  <c r="N88" i="3"/>
  <c r="N41" i="3"/>
  <c r="G5" i="8" s="1"/>
  <c r="N20" i="3"/>
  <c r="G5" i="5" s="1"/>
  <c r="N43" i="3"/>
  <c r="G7" i="8" s="1"/>
  <c r="N53" i="3"/>
  <c r="G3" i="10" s="1"/>
  <c r="N56" i="3"/>
  <c r="G6" i="10" s="1"/>
  <c r="N78" i="3"/>
  <c r="G7" i="13" s="1"/>
  <c r="N13" i="3"/>
  <c r="G5" i="4" s="1"/>
  <c r="N48" i="3"/>
  <c r="G5" i="9" s="1"/>
  <c r="N51" i="3"/>
  <c r="G8" i="9" s="1"/>
  <c r="N49" i="3"/>
  <c r="G6" i="9" s="1"/>
  <c r="N87" i="3"/>
  <c r="N64" i="3"/>
  <c r="G7" i="11" s="1"/>
  <c r="N38" i="3"/>
  <c r="G2" i="8" s="1"/>
  <c r="N22" i="3"/>
  <c r="G7" i="5" s="1"/>
  <c r="N15" i="3"/>
  <c r="G7" i="4" s="1"/>
  <c r="N30" i="3"/>
  <c r="G8" i="6" s="1"/>
  <c r="N66" i="3"/>
  <c r="G2" i="12" s="1"/>
  <c r="N63" i="3"/>
  <c r="G6" i="11" s="1"/>
  <c r="N26" i="3"/>
  <c r="G4" i="6" s="1"/>
  <c r="N46" i="3"/>
  <c r="G3" i="9" s="1"/>
  <c r="N70" i="3"/>
  <c r="G6" i="12" s="1"/>
  <c r="N54" i="3"/>
  <c r="G4" i="10" s="1"/>
  <c r="N59" i="3"/>
  <c r="G2" i="11" s="1"/>
  <c r="N32" i="3"/>
  <c r="G3" i="7" s="1"/>
  <c r="N91" i="3"/>
  <c r="N34" i="3"/>
  <c r="G5" i="7" s="1"/>
  <c r="N36" i="3"/>
  <c r="G7" i="7" s="1"/>
  <c r="N35" i="3"/>
  <c r="G6" i="7" s="1"/>
  <c r="N76" i="3"/>
  <c r="G5" i="13" s="1"/>
  <c r="N65" i="3"/>
  <c r="G8" i="11" s="1"/>
  <c r="N47" i="3"/>
  <c r="G4" i="9" s="1"/>
  <c r="N42" i="3"/>
  <c r="G6" i="8" s="1"/>
  <c r="N12" i="3"/>
  <c r="G4" i="4" s="1"/>
  <c r="N28" i="3"/>
  <c r="G6" i="6" s="1"/>
  <c r="N73" i="3"/>
  <c r="G2" i="13" s="1"/>
  <c r="N19" i="3"/>
  <c r="G4" i="5" s="1"/>
  <c r="N68" i="3"/>
  <c r="G4" i="12" s="1"/>
  <c r="N58" i="3"/>
  <c r="G8" i="10" s="1"/>
  <c r="N44" i="3"/>
  <c r="G8" i="8" s="1"/>
  <c r="N37" i="3"/>
  <c r="G8" i="7" s="1"/>
  <c r="N25" i="3"/>
  <c r="G3" i="6" s="1"/>
  <c r="N29" i="3"/>
  <c r="G7" i="6" s="1"/>
  <c r="N81" i="3"/>
  <c r="G3" i="14" s="1"/>
  <c r="N86" i="3"/>
  <c r="G8" i="14" s="1"/>
  <c r="N62" i="3"/>
  <c r="G5" i="11" s="1"/>
  <c r="N52" i="3"/>
  <c r="G2" i="10" s="1"/>
  <c r="N11" i="3"/>
  <c r="G3" i="4" s="1"/>
  <c r="N16" i="3"/>
  <c r="G8" i="4" s="1"/>
  <c r="N82" i="3"/>
  <c r="G4" i="14" s="1"/>
  <c r="N85" i="3"/>
  <c r="G7" i="14" s="1"/>
  <c r="N55" i="3"/>
  <c r="G5" i="10" s="1"/>
  <c r="O80" i="3"/>
  <c r="H2" i="14" s="1"/>
  <c r="N80" i="3"/>
  <c r="G2" i="14" s="1"/>
  <c r="N84" i="3"/>
  <c r="G6" i="14" s="1"/>
  <c r="O21" i="3"/>
  <c r="H6" i="5" s="1"/>
  <c r="N31" i="3"/>
  <c r="G2" i="7" s="1"/>
  <c r="H1" i="11" l="1"/>
  <c r="H1" i="13"/>
  <c r="H1" i="10"/>
  <c r="H1" i="12"/>
  <c r="H1" i="14"/>
  <c r="H1" i="7"/>
  <c r="H1" i="6"/>
  <c r="H1" i="15"/>
  <c r="H1" i="9"/>
  <c r="O89" i="3"/>
  <c r="O79" i="3"/>
  <c r="H8" i="13" s="1"/>
  <c r="H1" i="8"/>
  <c r="O90" i="3"/>
  <c r="O66" i="3"/>
  <c r="H2" i="12" s="1"/>
  <c r="H1" i="4"/>
  <c r="O71" i="3"/>
  <c r="H7" i="12" s="1"/>
  <c r="H1" i="5"/>
  <c r="O72" i="3"/>
  <c r="H8" i="12" s="1"/>
  <c r="O57" i="3"/>
  <c r="H7" i="10" s="1"/>
  <c r="P9" i="3"/>
  <c r="O75" i="3"/>
  <c r="H4" i="13" s="1"/>
  <c r="O74" i="3"/>
  <c r="H3" i="13" s="1"/>
  <c r="O63" i="3"/>
  <c r="H6" i="11" s="1"/>
  <c r="O38" i="3"/>
  <c r="H2" i="8" s="1"/>
  <c r="O61" i="3"/>
  <c r="H4" i="11" s="1"/>
  <c r="O92" i="3"/>
  <c r="O50" i="3"/>
  <c r="H7" i="9" s="1"/>
  <c r="O18" i="3"/>
  <c r="H3" i="5" s="1"/>
  <c r="O73" i="3"/>
  <c r="H2" i="13" s="1"/>
  <c r="O40" i="3"/>
  <c r="H4" i="8" s="1"/>
  <c r="O43" i="3"/>
  <c r="H7" i="8" s="1"/>
  <c r="O60" i="3"/>
  <c r="H3" i="11" s="1"/>
  <c r="O77" i="3"/>
  <c r="H6" i="13" s="1"/>
  <c r="O67" i="3"/>
  <c r="H3" i="12" s="1"/>
  <c r="O45" i="3"/>
  <c r="H2" i="9" s="1"/>
  <c r="O86" i="3"/>
  <c r="H8" i="14" s="1"/>
  <c r="O69" i="3"/>
  <c r="H5" i="12" s="1"/>
  <c r="O27" i="3"/>
  <c r="H5" i="6" s="1"/>
  <c r="O33" i="3"/>
  <c r="H4" i="7" s="1"/>
  <c r="O41" i="3"/>
  <c r="H5" i="8" s="1"/>
  <c r="O87" i="3"/>
  <c r="O30" i="3"/>
  <c r="H8" i="6" s="1"/>
  <c r="O64" i="3"/>
  <c r="H7" i="11" s="1"/>
  <c r="O83" i="3"/>
  <c r="H5" i="14" s="1"/>
  <c r="O88" i="3"/>
  <c r="O70" i="3"/>
  <c r="H6" i="12" s="1"/>
  <c r="O19" i="3"/>
  <c r="H4" i="5" s="1"/>
  <c r="O26" i="3"/>
  <c r="H4" i="6" s="1"/>
  <c r="O68" i="3"/>
  <c r="H4" i="12" s="1"/>
  <c r="O54" i="3"/>
  <c r="H4" i="10" s="1"/>
  <c r="O78" i="3"/>
  <c r="H7" i="13" s="1"/>
  <c r="O91" i="3"/>
  <c r="O93" i="3"/>
  <c r="O36" i="3"/>
  <c r="H7" i="7" s="1"/>
  <c r="O51" i="3"/>
  <c r="H8" i="9" s="1"/>
  <c r="O81" i="3"/>
  <c r="H3" i="14" s="1"/>
  <c r="O59" i="3"/>
  <c r="H2" i="11" s="1"/>
  <c r="O49" i="3"/>
  <c r="H6" i="9" s="1"/>
  <c r="O15" i="3"/>
  <c r="H7" i="4" s="1"/>
  <c r="O58" i="3"/>
  <c r="H8" i="10" s="1"/>
  <c r="O34" i="3"/>
  <c r="H5" i="7" s="1"/>
  <c r="O47" i="3"/>
  <c r="H4" i="9" s="1"/>
  <c r="O42" i="3"/>
  <c r="H6" i="8" s="1"/>
  <c r="O35" i="3"/>
  <c r="H6" i="7" s="1"/>
  <c r="O29" i="3"/>
  <c r="H7" i="6" s="1"/>
  <c r="O25" i="3"/>
  <c r="H3" i="6" s="1"/>
  <c r="O44" i="3"/>
  <c r="H8" i="8" s="1"/>
  <c r="O37" i="3"/>
  <c r="H8" i="7" s="1"/>
  <c r="O53" i="3"/>
  <c r="H3" i="10" s="1"/>
  <c r="O46" i="3"/>
  <c r="H3" i="9" s="1"/>
  <c r="O20" i="3"/>
  <c r="H5" i="5" s="1"/>
  <c r="O13" i="3"/>
  <c r="H5" i="4" s="1"/>
  <c r="O65" i="3"/>
  <c r="H8" i="11" s="1"/>
  <c r="O32" i="3"/>
  <c r="H3" i="7" s="1"/>
  <c r="O23" i="3"/>
  <c r="H8" i="5" s="1"/>
  <c r="O22" i="3"/>
  <c r="H7" i="5" s="1"/>
  <c r="O28" i="3"/>
  <c r="H6" i="6" s="1"/>
  <c r="O39" i="3"/>
  <c r="H3" i="8" s="1"/>
  <c r="O62" i="3"/>
  <c r="H5" i="11" s="1"/>
  <c r="O52" i="3"/>
  <c r="H2" i="10" s="1"/>
  <c r="O76" i="3"/>
  <c r="H5" i="13" s="1"/>
  <c r="O56" i="3"/>
  <c r="H6" i="10" s="1"/>
  <c r="O48" i="3"/>
  <c r="H5" i="9" s="1"/>
  <c r="O12" i="3"/>
  <c r="H4" i="4" s="1"/>
  <c r="O16" i="3"/>
  <c r="H8" i="4" s="1"/>
  <c r="O82" i="3"/>
  <c r="H4" i="14" s="1"/>
  <c r="O85" i="3"/>
  <c r="H7" i="14" s="1"/>
  <c r="O11" i="3"/>
  <c r="H3" i="4" s="1"/>
  <c r="O55" i="3"/>
  <c r="H5" i="10" s="1"/>
  <c r="O24" i="3"/>
  <c r="H2" i="6" s="1"/>
  <c r="O10" i="3"/>
  <c r="H2" i="4" s="1"/>
  <c r="O31" i="3"/>
  <c r="H2" i="7" s="1"/>
  <c r="O17" i="3"/>
  <c r="H2" i="5" s="1"/>
  <c r="O84" i="3"/>
  <c r="H6" i="14" s="1"/>
  <c r="O14" i="3"/>
  <c r="H6" i="4" s="1"/>
  <c r="I1" i="11" l="1"/>
  <c r="I1" i="14"/>
  <c r="I1" i="7"/>
  <c r="I1" i="13"/>
  <c r="I1" i="15"/>
  <c r="I1" i="9"/>
  <c r="P89" i="3"/>
  <c r="P79" i="3"/>
  <c r="I8" i="13" s="1"/>
  <c r="I1" i="8"/>
  <c r="I1" i="6"/>
  <c r="I1" i="10"/>
  <c r="I1" i="4"/>
  <c r="P71" i="3"/>
  <c r="I7" i="12" s="1"/>
  <c r="Q9" i="3"/>
  <c r="I1" i="5"/>
  <c r="P90" i="3"/>
  <c r="P91" i="3"/>
  <c r="P75" i="3"/>
  <c r="I4" i="13" s="1"/>
  <c r="P67" i="3"/>
  <c r="I3" i="12" s="1"/>
  <c r="P66" i="3"/>
  <c r="I2" i="12" s="1"/>
  <c r="P74" i="3"/>
  <c r="I3" i="13" s="1"/>
  <c r="P63" i="3"/>
  <c r="I6" i="11" s="1"/>
  <c r="P12" i="3"/>
  <c r="I4" i="4" s="1"/>
  <c r="P77" i="3"/>
  <c r="I6" i="13" s="1"/>
  <c r="P50" i="3"/>
  <c r="I7" i="9" s="1"/>
  <c r="P57" i="3"/>
  <c r="I7" i="10" s="1"/>
  <c r="P61" i="3"/>
  <c r="I4" i="11" s="1"/>
  <c r="P73" i="3"/>
  <c r="I2" i="13" s="1"/>
  <c r="P18" i="3"/>
  <c r="I3" i="5" s="1"/>
  <c r="P92" i="3"/>
  <c r="P60" i="3"/>
  <c r="I3" i="11" s="1"/>
  <c r="P72" i="3"/>
  <c r="I8" i="12" s="1"/>
  <c r="P45" i="3"/>
  <c r="I2" i="9" s="1"/>
  <c r="P86" i="3"/>
  <c r="I8" i="14" s="1"/>
  <c r="P40" i="3"/>
  <c r="I4" i="8" s="1"/>
  <c r="P43" i="3"/>
  <c r="I7" i="8" s="1"/>
  <c r="P69" i="3"/>
  <c r="I5" i="12" s="1"/>
  <c r="I1" i="12"/>
  <c r="P27" i="3"/>
  <c r="I5" i="6" s="1"/>
  <c r="P41" i="3"/>
  <c r="I5" i="8" s="1"/>
  <c r="P33" i="3"/>
  <c r="I4" i="7" s="1"/>
  <c r="P26" i="3"/>
  <c r="I4" i="6" s="1"/>
  <c r="P54" i="3"/>
  <c r="I4" i="10" s="1"/>
  <c r="P64" i="3"/>
  <c r="I7" i="11" s="1"/>
  <c r="P53" i="3"/>
  <c r="I3" i="10" s="1"/>
  <c r="P78" i="3"/>
  <c r="I7" i="13" s="1"/>
  <c r="P46" i="3"/>
  <c r="I3" i="9" s="1"/>
  <c r="P49" i="3"/>
  <c r="I6" i="9" s="1"/>
  <c r="P70" i="3"/>
  <c r="I6" i="12" s="1"/>
  <c r="P93" i="3"/>
  <c r="P37" i="3"/>
  <c r="I8" i="7" s="1"/>
  <c r="P81" i="3"/>
  <c r="I3" i="14" s="1"/>
  <c r="P68" i="3"/>
  <c r="I4" i="12" s="1"/>
  <c r="P59" i="3"/>
  <c r="I2" i="11" s="1"/>
  <c r="P13" i="3"/>
  <c r="I5" i="4" s="1"/>
  <c r="P48" i="3"/>
  <c r="I5" i="9" s="1"/>
  <c r="P88" i="3"/>
  <c r="P19" i="3"/>
  <c r="I4" i="5" s="1"/>
  <c r="P83" i="3"/>
  <c r="I5" i="14" s="1"/>
  <c r="P62" i="3"/>
  <c r="I5" i="11" s="1"/>
  <c r="P36" i="3"/>
  <c r="I7" i="7" s="1"/>
  <c r="P25" i="3"/>
  <c r="I3" i="6" s="1"/>
  <c r="P56" i="3"/>
  <c r="I6" i="10" s="1"/>
  <c r="P35" i="3"/>
  <c r="I6" i="7" s="1"/>
  <c r="P22" i="3"/>
  <c r="I7" i="5" s="1"/>
  <c r="P58" i="3"/>
  <c r="I8" i="10" s="1"/>
  <c r="P76" i="3"/>
  <c r="I5" i="13" s="1"/>
  <c r="P42" i="3"/>
  <c r="I6" i="8" s="1"/>
  <c r="P32" i="3"/>
  <c r="I3" i="7" s="1"/>
  <c r="P15" i="3"/>
  <c r="I7" i="4" s="1"/>
  <c r="P23" i="3"/>
  <c r="I8" i="5" s="1"/>
  <c r="P87" i="3"/>
  <c r="P39" i="3"/>
  <c r="I3" i="8" s="1"/>
  <c r="P20" i="3"/>
  <c r="I5" i="5" s="1"/>
  <c r="P30" i="3"/>
  <c r="I8" i="6" s="1"/>
  <c r="P44" i="3"/>
  <c r="I8" i="8" s="1"/>
  <c r="P65" i="3"/>
  <c r="I8" i="11" s="1"/>
  <c r="P34" i="3"/>
  <c r="I5" i="7" s="1"/>
  <c r="P47" i="3"/>
  <c r="I4" i="9" s="1"/>
  <c r="P51" i="3"/>
  <c r="I8" i="9" s="1"/>
  <c r="P28" i="3"/>
  <c r="I6" i="6" s="1"/>
  <c r="P29" i="3"/>
  <c r="I7" i="6" s="1"/>
  <c r="P38" i="3"/>
  <c r="I2" i="8" s="1"/>
  <c r="P52" i="3"/>
  <c r="I2" i="10" s="1"/>
  <c r="P85" i="3"/>
  <c r="I7" i="14" s="1"/>
  <c r="P16" i="3"/>
  <c r="I8" i="4" s="1"/>
  <c r="P11" i="3"/>
  <c r="I3" i="4" s="1"/>
  <c r="P82" i="3"/>
  <c r="I4" i="14" s="1"/>
  <c r="P55" i="3"/>
  <c r="I5" i="10" s="1"/>
  <c r="P17" i="3"/>
  <c r="I2" i="5" s="1"/>
  <c r="P84" i="3"/>
  <c r="I6" i="14" s="1"/>
  <c r="P24" i="3"/>
  <c r="I2" i="6" s="1"/>
  <c r="P14" i="3"/>
  <c r="I6" i="4" s="1"/>
  <c r="P80" i="3"/>
  <c r="I2" i="14" s="1"/>
  <c r="Q10" i="3"/>
  <c r="J2" i="4" s="1"/>
  <c r="P10" i="3"/>
  <c r="I2" i="4" s="1"/>
  <c r="P31" i="3"/>
  <c r="I2" i="7" s="1"/>
  <c r="P21" i="3"/>
  <c r="I6" i="5" s="1"/>
  <c r="Q14" i="3"/>
  <c r="J6" i="4" s="1"/>
  <c r="J1" i="11" l="1"/>
  <c r="J1" i="8"/>
  <c r="J1" i="14"/>
  <c r="J1" i="7"/>
  <c r="J1" i="13"/>
  <c r="J1" i="6"/>
  <c r="J1" i="15"/>
  <c r="J1" i="9"/>
  <c r="Q89" i="3"/>
  <c r="J1" i="5"/>
  <c r="J1" i="4"/>
  <c r="Q71" i="3"/>
  <c r="J7" i="12" s="1"/>
  <c r="Q90" i="3"/>
  <c r="J1" i="12"/>
  <c r="Q66" i="3"/>
  <c r="J2" i="12" s="1"/>
  <c r="Q75" i="3"/>
  <c r="J4" i="13" s="1"/>
  <c r="Q92" i="3"/>
  <c r="Q57" i="3"/>
  <c r="J7" i="10" s="1"/>
  <c r="J1" i="10"/>
  <c r="Q67" i="3"/>
  <c r="J3" i="12" s="1"/>
  <c r="Q91" i="3"/>
  <c r="Q50" i="3"/>
  <c r="J7" i="9" s="1"/>
  <c r="R9" i="3"/>
  <c r="R14" i="3" s="1"/>
  <c r="K6" i="4" s="1"/>
  <c r="Q86" i="3"/>
  <c r="J8" i="14" s="1"/>
  <c r="Q43" i="3"/>
  <c r="J7" i="8" s="1"/>
  <c r="Q61" i="3"/>
  <c r="J4" i="11" s="1"/>
  <c r="Q60" i="3"/>
  <c r="J3" i="11" s="1"/>
  <c r="Q40" i="3"/>
  <c r="J4" i="8" s="1"/>
  <c r="Q74" i="3"/>
  <c r="J3" i="13" s="1"/>
  <c r="Q18" i="3"/>
  <c r="J3" i="5" s="1"/>
  <c r="Q45" i="3"/>
  <c r="J2" i="9" s="1"/>
  <c r="Q77" i="3"/>
  <c r="J6" i="13" s="1"/>
  <c r="Q79" i="3"/>
  <c r="J8" i="13" s="1"/>
  <c r="Q72" i="3"/>
  <c r="J8" i="12" s="1"/>
  <c r="Q38" i="3"/>
  <c r="J2" i="8" s="1"/>
  <c r="Q41" i="3"/>
  <c r="J5" i="8" s="1"/>
  <c r="Q69" i="3"/>
  <c r="J5" i="12" s="1"/>
  <c r="Q27" i="3"/>
  <c r="J5" i="6" s="1"/>
  <c r="Q47" i="3"/>
  <c r="J4" i="9" s="1"/>
  <c r="Q48" i="3"/>
  <c r="J5" i="9" s="1"/>
  <c r="Q93" i="3"/>
  <c r="Q23" i="3"/>
  <c r="J8" i="5" s="1"/>
  <c r="Q29" i="3"/>
  <c r="J7" i="6" s="1"/>
  <c r="Q51" i="3"/>
  <c r="J8" i="9" s="1"/>
  <c r="Q49" i="3"/>
  <c r="J6" i="9" s="1"/>
  <c r="Q78" i="3"/>
  <c r="J7" i="13" s="1"/>
  <c r="Q70" i="3"/>
  <c r="J6" i="12" s="1"/>
  <c r="Q33" i="3"/>
  <c r="J4" i="7" s="1"/>
  <c r="Q26" i="3"/>
  <c r="J4" i="6" s="1"/>
  <c r="Q59" i="3"/>
  <c r="J2" i="11" s="1"/>
  <c r="Q37" i="3"/>
  <c r="J8" i="7" s="1"/>
  <c r="Q63" i="3"/>
  <c r="J6" i="11" s="1"/>
  <c r="Q46" i="3"/>
  <c r="J3" i="9" s="1"/>
  <c r="Q35" i="3"/>
  <c r="J6" i="7" s="1"/>
  <c r="Q15" i="3"/>
  <c r="J7" i="4" s="1"/>
  <c r="Q25" i="3"/>
  <c r="J3" i="6" s="1"/>
  <c r="Q22" i="3"/>
  <c r="J7" i="5" s="1"/>
  <c r="Q12" i="3"/>
  <c r="J4" i="4" s="1"/>
  <c r="Q83" i="3"/>
  <c r="J5" i="14" s="1"/>
  <c r="Q81" i="3"/>
  <c r="J3" i="14" s="1"/>
  <c r="Q19" i="3"/>
  <c r="J4" i="5" s="1"/>
  <c r="Q13" i="3"/>
  <c r="J5" i="4" s="1"/>
  <c r="Q53" i="3"/>
  <c r="J3" i="10" s="1"/>
  <c r="Q56" i="3"/>
  <c r="J6" i="10" s="1"/>
  <c r="Q62" i="3"/>
  <c r="J5" i="11" s="1"/>
  <c r="Q36" i="3"/>
  <c r="J7" i="7" s="1"/>
  <c r="Q42" i="3"/>
  <c r="J6" i="8" s="1"/>
  <c r="Q76" i="3"/>
  <c r="J5" i="13" s="1"/>
  <c r="Q73" i="3"/>
  <c r="J2" i="13" s="1"/>
  <c r="Q28" i="3"/>
  <c r="J6" i="6" s="1"/>
  <c r="Q32" i="3"/>
  <c r="J3" i="7" s="1"/>
  <c r="Q20" i="3"/>
  <c r="J5" i="5" s="1"/>
  <c r="Q87" i="3"/>
  <c r="Q34" i="3"/>
  <c r="J5" i="7" s="1"/>
  <c r="Q64" i="3"/>
  <c r="J7" i="11" s="1"/>
  <c r="Q65" i="3"/>
  <c r="J8" i="11" s="1"/>
  <c r="Q44" i="3"/>
  <c r="J8" i="8" s="1"/>
  <c r="Q54" i="3"/>
  <c r="J4" i="10" s="1"/>
  <c r="Q39" i="3"/>
  <c r="J3" i="8" s="1"/>
  <c r="Q30" i="3"/>
  <c r="J8" i="6" s="1"/>
  <c r="Q58" i="3"/>
  <c r="J8" i="10" s="1"/>
  <c r="Q88" i="3"/>
  <c r="Q68" i="3"/>
  <c r="J4" i="12" s="1"/>
  <c r="Q82" i="3"/>
  <c r="J4" i="14" s="1"/>
  <c r="Q52" i="3"/>
  <c r="J2" i="10" s="1"/>
  <c r="Q11" i="3"/>
  <c r="J3" i="4" s="1"/>
  <c r="Q16" i="3"/>
  <c r="J8" i="4" s="1"/>
  <c r="Q85" i="3"/>
  <c r="J7" i="14" s="1"/>
  <c r="Q55" i="3"/>
  <c r="J5" i="10" s="1"/>
  <c r="Q17" i="3"/>
  <c r="J2" i="5" s="1"/>
  <c r="Q31" i="3"/>
  <c r="J2" i="7" s="1"/>
  <c r="Q80" i="3"/>
  <c r="J2" i="14" s="1"/>
  <c r="Q21" i="3"/>
  <c r="J6" i="5" s="1"/>
  <c r="Q84" i="3"/>
  <c r="J6" i="14" s="1"/>
  <c r="Q24" i="3"/>
  <c r="J2" i="6" s="1"/>
  <c r="R24" i="3" l="1"/>
  <c r="K2" i="6" s="1"/>
  <c r="K1" i="11"/>
  <c r="K1" i="8"/>
  <c r="K1" i="6"/>
  <c r="K1" i="14"/>
  <c r="K1" i="7"/>
  <c r="K1" i="13"/>
  <c r="K1" i="15"/>
  <c r="K1" i="10"/>
  <c r="R79" i="3"/>
  <c r="K8" i="13" s="1"/>
  <c r="K1" i="5"/>
  <c r="K1" i="9"/>
  <c r="R90" i="3"/>
  <c r="K1" i="12"/>
  <c r="R71" i="3"/>
  <c r="K7" i="12" s="1"/>
  <c r="R45" i="3"/>
  <c r="K2" i="9" s="1"/>
  <c r="R92" i="3"/>
  <c r="R66" i="3"/>
  <c r="K2" i="12" s="1"/>
  <c r="R50" i="3"/>
  <c r="K7" i="9" s="1"/>
  <c r="R89" i="3"/>
  <c r="R57" i="3"/>
  <c r="K7" i="10" s="1"/>
  <c r="R67" i="3"/>
  <c r="K3" i="12" s="1"/>
  <c r="R91" i="3"/>
  <c r="S9" i="3"/>
  <c r="R12" i="3"/>
  <c r="K4" i="4" s="1"/>
  <c r="R61" i="3"/>
  <c r="K4" i="11" s="1"/>
  <c r="R73" i="3"/>
  <c r="K2" i="13" s="1"/>
  <c r="R64" i="3"/>
  <c r="K7" i="11" s="1"/>
  <c r="R72" i="3"/>
  <c r="K8" i="12" s="1"/>
  <c r="R63" i="3"/>
  <c r="K6" i="11" s="1"/>
  <c r="R43" i="3"/>
  <c r="K7" i="8" s="1"/>
  <c r="R41" i="3"/>
  <c r="K5" i="8" s="1"/>
  <c r="R77" i="3"/>
  <c r="K6" i="13" s="1"/>
  <c r="R62" i="3"/>
  <c r="K5" i="11" s="1"/>
  <c r="R40" i="3"/>
  <c r="K4" i="8" s="1"/>
  <c r="R74" i="3"/>
  <c r="K3" i="13" s="1"/>
  <c r="R23" i="3"/>
  <c r="K8" i="5" s="1"/>
  <c r="K1" i="4"/>
  <c r="R38" i="3"/>
  <c r="K2" i="8" s="1"/>
  <c r="R27" i="3"/>
  <c r="K5" i="6" s="1"/>
  <c r="R13" i="3"/>
  <c r="K5" i="4" s="1"/>
  <c r="R76" i="3"/>
  <c r="K5" i="13" s="1"/>
  <c r="R51" i="3"/>
  <c r="K8" i="9" s="1"/>
  <c r="R49" i="3"/>
  <c r="K6" i="9" s="1"/>
  <c r="R18" i="3"/>
  <c r="K3" i="5" s="1"/>
  <c r="R70" i="3"/>
  <c r="K6" i="12" s="1"/>
  <c r="R56" i="3"/>
  <c r="K6" i="10" s="1"/>
  <c r="R29" i="3"/>
  <c r="K7" i="6" s="1"/>
  <c r="R58" i="3"/>
  <c r="K8" i="10" s="1"/>
  <c r="R88" i="3"/>
  <c r="R60" i="3"/>
  <c r="K3" i="11" s="1"/>
  <c r="R35" i="3"/>
  <c r="K6" i="7" s="1"/>
  <c r="R93" i="3"/>
  <c r="R81" i="3"/>
  <c r="K3" i="14" s="1"/>
  <c r="R75" i="3"/>
  <c r="K4" i="13" s="1"/>
  <c r="R47" i="3"/>
  <c r="K4" i="9" s="1"/>
  <c r="R28" i="3"/>
  <c r="K6" i="6" s="1"/>
  <c r="R34" i="3"/>
  <c r="K5" i="7" s="1"/>
  <c r="R44" i="3"/>
  <c r="K8" i="8" s="1"/>
  <c r="R32" i="3"/>
  <c r="K3" i="7" s="1"/>
  <c r="R59" i="3"/>
  <c r="K2" i="11" s="1"/>
  <c r="R22" i="3"/>
  <c r="K7" i="5" s="1"/>
  <c r="R37" i="3"/>
  <c r="K8" i="7" s="1"/>
  <c r="R15" i="3"/>
  <c r="K7" i="4" s="1"/>
  <c r="R30" i="3"/>
  <c r="K8" i="6" s="1"/>
  <c r="R33" i="3"/>
  <c r="K4" i="7" s="1"/>
  <c r="R48" i="3"/>
  <c r="K5" i="9" s="1"/>
  <c r="R83" i="3"/>
  <c r="K5" i="14" s="1"/>
  <c r="R25" i="3"/>
  <c r="K3" i="6" s="1"/>
  <c r="R26" i="3"/>
  <c r="K4" i="6" s="1"/>
  <c r="R19" i="3"/>
  <c r="K4" i="5" s="1"/>
  <c r="R53" i="3"/>
  <c r="K3" i="10" s="1"/>
  <c r="R69" i="3"/>
  <c r="K5" i="12" s="1"/>
  <c r="R87" i="3"/>
  <c r="R36" i="3"/>
  <c r="K7" i="7" s="1"/>
  <c r="R86" i="3"/>
  <c r="K8" i="14" s="1"/>
  <c r="R46" i="3"/>
  <c r="K3" i="9" s="1"/>
  <c r="R20" i="3"/>
  <c r="K5" i="5" s="1"/>
  <c r="R39" i="3"/>
  <c r="K3" i="8" s="1"/>
  <c r="R42" i="3"/>
  <c r="K6" i="8" s="1"/>
  <c r="R78" i="3"/>
  <c r="K7" i="13" s="1"/>
  <c r="R54" i="3"/>
  <c r="K4" i="10" s="1"/>
  <c r="R68" i="3"/>
  <c r="K4" i="12" s="1"/>
  <c r="R65" i="3"/>
  <c r="K8" i="11" s="1"/>
  <c r="R52" i="3"/>
  <c r="K2" i="10" s="1"/>
  <c r="R11" i="3"/>
  <c r="K3" i="4" s="1"/>
  <c r="R16" i="3"/>
  <c r="K8" i="4" s="1"/>
  <c r="R85" i="3"/>
  <c r="K7" i="14" s="1"/>
  <c r="R82" i="3"/>
  <c r="K4" i="14" s="1"/>
  <c r="R55" i="3"/>
  <c r="K5" i="10" s="1"/>
  <c r="R84" i="3"/>
  <c r="K6" i="14" s="1"/>
  <c r="R17" i="3"/>
  <c r="K2" i="5" s="1"/>
  <c r="S10" i="3"/>
  <c r="L2" i="4" s="1"/>
  <c r="S31" i="3"/>
  <c r="L2" i="7" s="1"/>
  <c r="R10" i="3"/>
  <c r="K2" i="4" s="1"/>
  <c r="R80" i="3"/>
  <c r="K2" i="14" s="1"/>
  <c r="R21" i="3"/>
  <c r="K6" i="5" s="1"/>
  <c r="R31" i="3"/>
  <c r="K2" i="7" s="1"/>
  <c r="S14" i="3"/>
  <c r="L6" i="4" s="1"/>
  <c r="L1" i="12" l="1"/>
  <c r="L1" i="8"/>
  <c r="L1" i="6"/>
  <c r="L1" i="14"/>
  <c r="L1" i="13"/>
  <c r="L1" i="15"/>
  <c r="L1" i="10"/>
  <c r="L1" i="7"/>
  <c r="L1" i="5"/>
  <c r="L1" i="4"/>
  <c r="L1" i="9"/>
  <c r="S89" i="3"/>
  <c r="S91" i="3"/>
  <c r="S71" i="3"/>
  <c r="L7" i="12" s="1"/>
  <c r="L1" i="11"/>
  <c r="S50" i="3"/>
  <c r="L7" i="9" s="1"/>
  <c r="S67" i="3"/>
  <c r="L3" i="12" s="1"/>
  <c r="S92" i="3"/>
  <c r="S66" i="3"/>
  <c r="L2" i="12" s="1"/>
  <c r="S57" i="3"/>
  <c r="L7" i="10" s="1"/>
  <c r="S45" i="3"/>
  <c r="L2" i="9" s="1"/>
  <c r="S93" i="3"/>
  <c r="S73" i="3"/>
  <c r="L2" i="13" s="1"/>
  <c r="S64" i="3"/>
  <c r="L7" i="11" s="1"/>
  <c r="S72" i="3"/>
  <c r="L8" i="12" s="1"/>
  <c r="S63" i="3"/>
  <c r="L6" i="11" s="1"/>
  <c r="S60" i="3"/>
  <c r="L3" i="11" s="1"/>
  <c r="S40" i="3"/>
  <c r="L4" i="8" s="1"/>
  <c r="T9" i="3"/>
  <c r="S74" i="3"/>
  <c r="L3" i="13" s="1"/>
  <c r="S23" i="3"/>
  <c r="L8" i="5" s="1"/>
  <c r="S27" i="3"/>
  <c r="L5" i="6" s="1"/>
  <c r="S77" i="3"/>
  <c r="L6" i="13" s="1"/>
  <c r="S79" i="3"/>
  <c r="L8" i="13" s="1"/>
  <c r="S43" i="3"/>
  <c r="L7" i="8" s="1"/>
  <c r="S12" i="3"/>
  <c r="L4" i="4" s="1"/>
  <c r="S30" i="3"/>
  <c r="L8" i="6" s="1"/>
  <c r="S38" i="3"/>
  <c r="L2" i="8" s="1"/>
  <c r="S13" i="3"/>
  <c r="L5" i="4" s="1"/>
  <c r="S58" i="3"/>
  <c r="L8" i="10" s="1"/>
  <c r="S78" i="3"/>
  <c r="L7" i="13" s="1"/>
  <c r="S41" i="3"/>
  <c r="L5" i="8" s="1"/>
  <c r="S68" i="3"/>
  <c r="L4" i="12" s="1"/>
  <c r="S56" i="3"/>
  <c r="L6" i="10" s="1"/>
  <c r="S29" i="3"/>
  <c r="L7" i="6" s="1"/>
  <c r="S32" i="3"/>
  <c r="L3" i="7" s="1"/>
  <c r="S22" i="3"/>
  <c r="L7" i="5" s="1"/>
  <c r="S25" i="3"/>
  <c r="L3" i="6" s="1"/>
  <c r="S42" i="3"/>
  <c r="L6" i="8" s="1"/>
  <c r="S37" i="3"/>
  <c r="L8" i="7" s="1"/>
  <c r="S59" i="3"/>
  <c r="L2" i="11" s="1"/>
  <c r="S36" i="3"/>
  <c r="L7" i="7" s="1"/>
  <c r="S81" i="3"/>
  <c r="L3" i="14" s="1"/>
  <c r="S75" i="3"/>
  <c r="L4" i="13" s="1"/>
  <c r="S70" i="3"/>
  <c r="L6" i="12" s="1"/>
  <c r="S28" i="3"/>
  <c r="L6" i="6" s="1"/>
  <c r="S35" i="3"/>
  <c r="L6" i="7" s="1"/>
  <c r="S33" i="3"/>
  <c r="L4" i="7" s="1"/>
  <c r="S46" i="3"/>
  <c r="L3" i="9" s="1"/>
  <c r="S19" i="3"/>
  <c r="L4" i="5" s="1"/>
  <c r="S26" i="3"/>
  <c r="L4" i="6" s="1"/>
  <c r="S48" i="3"/>
  <c r="L5" i="9" s="1"/>
  <c r="S34" i="3"/>
  <c r="L5" i="7" s="1"/>
  <c r="S83" i="3"/>
  <c r="L5" i="14" s="1"/>
  <c r="S15" i="3"/>
  <c r="L7" i="4" s="1"/>
  <c r="S44" i="3"/>
  <c r="L8" i="8" s="1"/>
  <c r="S51" i="3"/>
  <c r="L8" i="9" s="1"/>
  <c r="S90" i="3"/>
  <c r="S53" i="3"/>
  <c r="L3" i="10" s="1"/>
  <c r="S88" i="3"/>
  <c r="S54" i="3"/>
  <c r="L4" i="10" s="1"/>
  <c r="S20" i="3"/>
  <c r="L5" i="5" s="1"/>
  <c r="S39" i="3"/>
  <c r="L3" i="8" s="1"/>
  <c r="S76" i="3"/>
  <c r="L5" i="13" s="1"/>
  <c r="S61" i="3"/>
  <c r="L4" i="11" s="1"/>
  <c r="S86" i="3"/>
  <c r="L8" i="14" s="1"/>
  <c r="S47" i="3"/>
  <c r="L4" i="9" s="1"/>
  <c r="S18" i="3"/>
  <c r="L3" i="5" s="1"/>
  <c r="S62" i="3"/>
  <c r="L5" i="11" s="1"/>
  <c r="S69" i="3"/>
  <c r="L5" i="12" s="1"/>
  <c r="S87" i="3"/>
  <c r="S65" i="3"/>
  <c r="L8" i="11" s="1"/>
  <c r="S49" i="3"/>
  <c r="L6" i="9" s="1"/>
  <c r="S11" i="3"/>
  <c r="L3" i="4" s="1"/>
  <c r="S82" i="3"/>
  <c r="L4" i="14" s="1"/>
  <c r="S16" i="3"/>
  <c r="L8" i="4" s="1"/>
  <c r="S52" i="3"/>
  <c r="L2" i="10" s="1"/>
  <c r="S85" i="3"/>
  <c r="L7" i="14" s="1"/>
  <c r="S55" i="3"/>
  <c r="L5" i="10" s="1"/>
  <c r="S80" i="3"/>
  <c r="L2" i="14" s="1"/>
  <c r="S17" i="3"/>
  <c r="L2" i="5" s="1"/>
  <c r="S21" i="3"/>
  <c r="L6" i="5" s="1"/>
  <c r="S24" i="3"/>
  <c r="L2" i="6" s="1"/>
  <c r="S84" i="3"/>
  <c r="L6" i="14" s="1"/>
  <c r="M1" i="12" l="1"/>
  <c r="M1" i="8"/>
  <c r="M1" i="14"/>
  <c r="M1" i="11"/>
  <c r="M1" i="6"/>
  <c r="M1" i="15"/>
  <c r="M1" i="10"/>
  <c r="M1" i="7"/>
  <c r="M1" i="5"/>
  <c r="M1" i="13"/>
  <c r="M1" i="4"/>
  <c r="M1" i="9"/>
  <c r="T91" i="3"/>
  <c r="T92" i="3"/>
  <c r="T77" i="3"/>
  <c r="M6" i="13" s="1"/>
  <c r="T89" i="3"/>
  <c r="T67" i="3"/>
  <c r="M3" i="12" s="1"/>
  <c r="T66" i="3"/>
  <c r="M2" i="12" s="1"/>
  <c r="T57" i="3"/>
  <c r="M7" i="10" s="1"/>
  <c r="T71" i="3"/>
  <c r="M7" i="12" s="1"/>
  <c r="T50" i="3"/>
  <c r="M7" i="9" s="1"/>
  <c r="T45" i="3"/>
  <c r="M2" i="9" s="1"/>
  <c r="T79" i="3"/>
  <c r="M8" i="13" s="1"/>
  <c r="T43" i="3"/>
  <c r="M7" i="8" s="1"/>
  <c r="T60" i="3"/>
  <c r="M3" i="11" s="1"/>
  <c r="T40" i="3"/>
  <c r="M4" i="8" s="1"/>
  <c r="T74" i="3"/>
  <c r="M3" i="13" s="1"/>
  <c r="T23" i="3"/>
  <c r="M8" i="5" s="1"/>
  <c r="T62" i="3"/>
  <c r="M5" i="11" s="1"/>
  <c r="T93" i="3"/>
  <c r="U9" i="3"/>
  <c r="T27" i="3"/>
  <c r="M5" i="6" s="1"/>
  <c r="T39" i="3"/>
  <c r="M3" i="8" s="1"/>
  <c r="T38" i="3"/>
  <c r="M2" i="8" s="1"/>
  <c r="T63" i="3"/>
  <c r="M6" i="11" s="1"/>
  <c r="T12" i="3"/>
  <c r="M4" i="4" s="1"/>
  <c r="T73" i="3"/>
  <c r="M2" i="13" s="1"/>
  <c r="T30" i="3"/>
  <c r="M8" i="6" s="1"/>
  <c r="T49" i="3"/>
  <c r="M6" i="9" s="1"/>
  <c r="T68" i="3"/>
  <c r="M4" i="12" s="1"/>
  <c r="T59" i="3"/>
  <c r="M2" i="11" s="1"/>
  <c r="T26" i="3"/>
  <c r="M4" i="6" s="1"/>
  <c r="T36" i="3"/>
  <c r="M7" i="7" s="1"/>
  <c r="T81" i="3"/>
  <c r="M3" i="14" s="1"/>
  <c r="T75" i="3"/>
  <c r="M4" i="13" s="1"/>
  <c r="T34" i="3"/>
  <c r="M5" i="7" s="1"/>
  <c r="T41" i="3"/>
  <c r="M5" i="8" s="1"/>
  <c r="T32" i="3"/>
  <c r="M3" i="7" s="1"/>
  <c r="T42" i="3"/>
  <c r="M6" i="8" s="1"/>
  <c r="T22" i="3"/>
  <c r="M7" i="5" s="1"/>
  <c r="T33" i="3"/>
  <c r="M4" i="7" s="1"/>
  <c r="T46" i="3"/>
  <c r="M3" i="9" s="1"/>
  <c r="T83" i="3"/>
  <c r="M5" i="14" s="1"/>
  <c r="T70" i="3"/>
  <c r="M6" i="12" s="1"/>
  <c r="T56" i="3"/>
  <c r="M6" i="10" s="1"/>
  <c r="T51" i="3"/>
  <c r="M8" i="9" s="1"/>
  <c r="T78" i="3"/>
  <c r="M7" i="13" s="1"/>
  <c r="T35" i="3"/>
  <c r="M6" i="7" s="1"/>
  <c r="T28" i="3"/>
  <c r="M6" i="6" s="1"/>
  <c r="T90" i="3"/>
  <c r="T48" i="3"/>
  <c r="M5" i="9" s="1"/>
  <c r="T88" i="3"/>
  <c r="T44" i="3"/>
  <c r="M8" i="8" s="1"/>
  <c r="T25" i="3"/>
  <c r="M3" i="6" s="1"/>
  <c r="T87" i="3"/>
  <c r="T53" i="3"/>
  <c r="M3" i="10" s="1"/>
  <c r="T15" i="3"/>
  <c r="M7" i="4" s="1"/>
  <c r="T64" i="3"/>
  <c r="M7" i="11" s="1"/>
  <c r="T69" i="3"/>
  <c r="M5" i="12" s="1"/>
  <c r="T20" i="3"/>
  <c r="M5" i="5" s="1"/>
  <c r="T54" i="3"/>
  <c r="M4" i="10" s="1"/>
  <c r="T61" i="3"/>
  <c r="M4" i="11" s="1"/>
  <c r="T47" i="3"/>
  <c r="M4" i="9" s="1"/>
  <c r="T18" i="3"/>
  <c r="M3" i="5" s="1"/>
  <c r="T86" i="3"/>
  <c r="M8" i="14" s="1"/>
  <c r="T13" i="3"/>
  <c r="M5" i="4" s="1"/>
  <c r="T37" i="3"/>
  <c r="M8" i="7" s="1"/>
  <c r="T65" i="3"/>
  <c r="M8" i="11" s="1"/>
  <c r="T19" i="3"/>
  <c r="M4" i="5" s="1"/>
  <c r="T76" i="3"/>
  <c r="M5" i="13" s="1"/>
  <c r="T58" i="3"/>
  <c r="M8" i="10" s="1"/>
  <c r="T29" i="3"/>
  <c r="M7" i="6" s="1"/>
  <c r="T72" i="3"/>
  <c r="M8" i="12" s="1"/>
  <c r="T82" i="3"/>
  <c r="M4" i="14" s="1"/>
  <c r="T85" i="3"/>
  <c r="M7" i="14" s="1"/>
  <c r="T16" i="3"/>
  <c r="M8" i="4" s="1"/>
  <c r="T11" i="3"/>
  <c r="M3" i="4" s="1"/>
  <c r="T52" i="3"/>
  <c r="M2" i="10" s="1"/>
  <c r="T55" i="3"/>
  <c r="M5" i="10" s="1"/>
  <c r="T21" i="3"/>
  <c r="M6" i="5" s="1"/>
  <c r="T24" i="3"/>
  <c r="M2" i="6" s="1"/>
  <c r="T80" i="3"/>
  <c r="M2" i="14" s="1"/>
  <c r="T10" i="3"/>
  <c r="M2" i="4" s="1"/>
  <c r="T31" i="3"/>
  <c r="M2" i="7" s="1"/>
  <c r="T14" i="3"/>
  <c r="M6" i="4" s="1"/>
  <c r="T84" i="3"/>
  <c r="M6" i="14" s="1"/>
  <c r="T17" i="3"/>
  <c r="M2" i="5" s="1"/>
  <c r="N1" i="12" l="1"/>
  <c r="N1" i="6"/>
  <c r="N1" i="14"/>
  <c r="N1" i="11"/>
  <c r="N1" i="15"/>
  <c r="N1" i="10"/>
  <c r="N1" i="7"/>
  <c r="N1" i="9"/>
  <c r="N1" i="5"/>
  <c r="N1" i="8"/>
  <c r="N1" i="13"/>
  <c r="N1" i="4"/>
  <c r="U91" i="3"/>
  <c r="U92" i="3"/>
  <c r="U77" i="3"/>
  <c r="N6" i="13" s="1"/>
  <c r="U89" i="3"/>
  <c r="U66" i="3"/>
  <c r="N2" i="12" s="1"/>
  <c r="U57" i="3"/>
  <c r="N7" i="10" s="1"/>
  <c r="U60" i="3"/>
  <c r="N3" i="11" s="1"/>
  <c r="U50" i="3"/>
  <c r="N7" i="9" s="1"/>
  <c r="U45" i="3"/>
  <c r="N2" i="9" s="1"/>
  <c r="U79" i="3"/>
  <c r="N8" i="13" s="1"/>
  <c r="U71" i="3"/>
  <c r="N7" i="12" s="1"/>
  <c r="U75" i="3"/>
  <c r="N4" i="13" s="1"/>
  <c r="U23" i="3"/>
  <c r="N8" i="5" s="1"/>
  <c r="U62" i="3"/>
  <c r="N5" i="11" s="1"/>
  <c r="U40" i="3"/>
  <c r="N4" i="8" s="1"/>
  <c r="U74" i="3"/>
  <c r="N3" i="13" s="1"/>
  <c r="U63" i="3"/>
  <c r="N6" i="11" s="1"/>
  <c r="U38" i="3"/>
  <c r="N2" i="8" s="1"/>
  <c r="U39" i="3"/>
  <c r="N3" i="8" s="1"/>
  <c r="U93" i="3"/>
  <c r="V9" i="3"/>
  <c r="U83" i="3"/>
  <c r="N5" i="14" s="1"/>
  <c r="U18" i="3"/>
  <c r="N3" i="5" s="1"/>
  <c r="U12" i="3"/>
  <c r="N4" i="4" s="1"/>
  <c r="U73" i="3"/>
  <c r="N2" i="13" s="1"/>
  <c r="U30" i="3"/>
  <c r="N8" i="6" s="1"/>
  <c r="U81" i="3"/>
  <c r="N3" i="14" s="1"/>
  <c r="U22" i="3"/>
  <c r="N7" i="5" s="1"/>
  <c r="U87" i="3"/>
  <c r="U68" i="3"/>
  <c r="N4" i="12" s="1"/>
  <c r="U90" i="3"/>
  <c r="U49" i="3"/>
  <c r="N6" i="9" s="1"/>
  <c r="U33" i="3"/>
  <c r="N4" i="7" s="1"/>
  <c r="U46" i="3"/>
  <c r="N3" i="9" s="1"/>
  <c r="U54" i="3"/>
  <c r="N4" i="10" s="1"/>
  <c r="U36" i="3"/>
  <c r="N7" i="7" s="1"/>
  <c r="U25" i="3"/>
  <c r="N3" i="6" s="1"/>
  <c r="U88" i="3"/>
  <c r="U19" i="3"/>
  <c r="N4" i="5" s="1"/>
  <c r="U34" i="3"/>
  <c r="N5" i="7" s="1"/>
  <c r="U28" i="3"/>
  <c r="N6" i="6" s="1"/>
  <c r="U65" i="3"/>
  <c r="N8" i="11" s="1"/>
  <c r="U47" i="3"/>
  <c r="N4" i="9" s="1"/>
  <c r="U53" i="3"/>
  <c r="N3" i="10" s="1"/>
  <c r="U15" i="3"/>
  <c r="N7" i="4" s="1"/>
  <c r="U20" i="3"/>
  <c r="N5" i="5" s="1"/>
  <c r="U43" i="3"/>
  <c r="N7" i="8" s="1"/>
  <c r="U58" i="3"/>
  <c r="N8" i="10" s="1"/>
  <c r="U59" i="3"/>
  <c r="N2" i="11" s="1"/>
  <c r="U26" i="3"/>
  <c r="N4" i="6" s="1"/>
  <c r="U37" i="3"/>
  <c r="N8" i="7" s="1"/>
  <c r="U42" i="3"/>
  <c r="N6" i="8" s="1"/>
  <c r="U41" i="3"/>
  <c r="N5" i="8" s="1"/>
  <c r="U48" i="3"/>
  <c r="N5" i="9" s="1"/>
  <c r="U78" i="3"/>
  <c r="N7" i="13" s="1"/>
  <c r="U67" i="3"/>
  <c r="N3" i="12" s="1"/>
  <c r="U64" i="3"/>
  <c r="N7" i="11" s="1"/>
  <c r="U51" i="3"/>
  <c r="N8" i="9" s="1"/>
  <c r="U69" i="3"/>
  <c r="N5" i="12" s="1"/>
  <c r="U13" i="3"/>
  <c r="N5" i="4" s="1"/>
  <c r="U76" i="3"/>
  <c r="N5" i="13" s="1"/>
  <c r="U32" i="3"/>
  <c r="N3" i="7" s="1"/>
  <c r="U72" i="3"/>
  <c r="N8" i="12" s="1"/>
  <c r="U61" i="3"/>
  <c r="N4" i="11" s="1"/>
  <c r="U44" i="3"/>
  <c r="N8" i="8" s="1"/>
  <c r="U27" i="3"/>
  <c r="N5" i="6" s="1"/>
  <c r="U56" i="3"/>
  <c r="N6" i="10" s="1"/>
  <c r="U35" i="3"/>
  <c r="N6" i="7" s="1"/>
  <c r="U29" i="3"/>
  <c r="N7" i="6" s="1"/>
  <c r="U86" i="3"/>
  <c r="N8" i="14" s="1"/>
  <c r="U70" i="3"/>
  <c r="N6" i="12" s="1"/>
  <c r="U52" i="3"/>
  <c r="N2" i="10" s="1"/>
  <c r="U85" i="3"/>
  <c r="N7" i="14" s="1"/>
  <c r="U16" i="3"/>
  <c r="N8" i="4" s="1"/>
  <c r="U11" i="3"/>
  <c r="N3" i="4" s="1"/>
  <c r="U82" i="3"/>
  <c r="N4" i="14" s="1"/>
  <c r="U55" i="3"/>
  <c r="N5" i="10" s="1"/>
  <c r="U80" i="3"/>
  <c r="N2" i="14" s="1"/>
  <c r="U24" i="3"/>
  <c r="N2" i="6" s="1"/>
  <c r="U21" i="3"/>
  <c r="N6" i="5" s="1"/>
  <c r="U10" i="3"/>
  <c r="N2" i="4" s="1"/>
  <c r="U17" i="3"/>
  <c r="N2" i="5" s="1"/>
  <c r="U84" i="3"/>
  <c r="N6" i="14" s="1"/>
  <c r="U31" i="3"/>
  <c r="N2" i="7" s="1"/>
  <c r="U14" i="3"/>
  <c r="N6" i="4" s="1"/>
  <c r="O1" i="12" l="1"/>
  <c r="O1" i="14"/>
  <c r="O1" i="11"/>
  <c r="O1" i="7"/>
  <c r="O1" i="4"/>
  <c r="O1" i="6"/>
  <c r="O1" i="15"/>
  <c r="O1" i="5"/>
  <c r="O1" i="9"/>
  <c r="O1" i="8"/>
  <c r="O1" i="13"/>
  <c r="V91" i="3"/>
  <c r="V92" i="3"/>
  <c r="V77" i="3"/>
  <c r="O6" i="13" s="1"/>
  <c r="V89" i="3"/>
  <c r="V66" i="3"/>
  <c r="O2" i="12" s="1"/>
  <c r="V57" i="3"/>
  <c r="O7" i="10" s="1"/>
  <c r="V60" i="3"/>
  <c r="O3" i="11" s="1"/>
  <c r="V50" i="3"/>
  <c r="O7" i="9" s="1"/>
  <c r="V45" i="3"/>
  <c r="O2" i="9" s="1"/>
  <c r="V71" i="3"/>
  <c r="O7" i="12" s="1"/>
  <c r="O1" i="10"/>
  <c r="V79" i="3"/>
  <c r="O8" i="13" s="1"/>
  <c r="V75" i="3"/>
  <c r="O4" i="13" s="1"/>
  <c r="V63" i="3"/>
  <c r="O6" i="11" s="1"/>
  <c r="V38" i="3"/>
  <c r="O2" i="8" s="1"/>
  <c r="V39" i="3"/>
  <c r="O3" i="8" s="1"/>
  <c r="W9" i="3"/>
  <c r="V74" i="3"/>
  <c r="O3" i="13" s="1"/>
  <c r="V18" i="3"/>
  <c r="O3" i="5" s="1"/>
  <c r="V93" i="3"/>
  <c r="V40" i="3"/>
  <c r="O4" i="8" s="1"/>
  <c r="V23" i="3"/>
  <c r="O8" i="5" s="1"/>
  <c r="V12" i="3"/>
  <c r="O4" i="4" s="1"/>
  <c r="V73" i="3"/>
  <c r="O2" i="13" s="1"/>
  <c r="V30" i="3"/>
  <c r="O8" i="6" s="1"/>
  <c r="V19" i="3"/>
  <c r="O4" i="5" s="1"/>
  <c r="V22" i="3"/>
  <c r="O7" i="5" s="1"/>
  <c r="V33" i="3"/>
  <c r="O4" i="7" s="1"/>
  <c r="V46" i="3"/>
  <c r="O3" i="9" s="1"/>
  <c r="V41" i="3"/>
  <c r="O5" i="8" s="1"/>
  <c r="V87" i="3"/>
  <c r="V47" i="3"/>
  <c r="O4" i="9" s="1"/>
  <c r="V34" i="3"/>
  <c r="O5" i="7" s="1"/>
  <c r="V49" i="3"/>
  <c r="O6" i="9" s="1"/>
  <c r="V28" i="3"/>
  <c r="O6" i="6" s="1"/>
  <c r="V51" i="3"/>
  <c r="O8" i="9" s="1"/>
  <c r="V69" i="3"/>
  <c r="O5" i="12" s="1"/>
  <c r="V54" i="3"/>
  <c r="O4" i="10" s="1"/>
  <c r="V65" i="3"/>
  <c r="O8" i="11" s="1"/>
  <c r="V44" i="3"/>
  <c r="O8" i="8" s="1"/>
  <c r="V15" i="3"/>
  <c r="O7" i="4" s="1"/>
  <c r="V29" i="3"/>
  <c r="O7" i="6" s="1"/>
  <c r="V36" i="3"/>
  <c r="O7" i="7" s="1"/>
  <c r="V81" i="3"/>
  <c r="O3" i="14" s="1"/>
  <c r="V48" i="3"/>
  <c r="O5" i="9" s="1"/>
  <c r="V83" i="3"/>
  <c r="O5" i="14" s="1"/>
  <c r="V58" i="3"/>
  <c r="O8" i="10" s="1"/>
  <c r="V26" i="3"/>
  <c r="O4" i="6" s="1"/>
  <c r="V53" i="3"/>
  <c r="O3" i="10" s="1"/>
  <c r="V42" i="3"/>
  <c r="O6" i="8" s="1"/>
  <c r="V90" i="3"/>
  <c r="V88" i="3"/>
  <c r="V70" i="3"/>
  <c r="O6" i="12" s="1"/>
  <c r="V20" i="3"/>
  <c r="O5" i="5" s="1"/>
  <c r="V64" i="3"/>
  <c r="O7" i="11" s="1"/>
  <c r="V62" i="3"/>
  <c r="O5" i="11" s="1"/>
  <c r="V67" i="3"/>
  <c r="O3" i="12" s="1"/>
  <c r="V86" i="3"/>
  <c r="O8" i="14" s="1"/>
  <c r="V78" i="3"/>
  <c r="O7" i="13" s="1"/>
  <c r="V37" i="3"/>
  <c r="O8" i="7" s="1"/>
  <c r="V61" i="3"/>
  <c r="O4" i="11" s="1"/>
  <c r="V43" i="3"/>
  <c r="O7" i="8" s="1"/>
  <c r="V72" i="3"/>
  <c r="O8" i="12" s="1"/>
  <c r="V56" i="3"/>
  <c r="O6" i="10" s="1"/>
  <c r="V76" i="3"/>
  <c r="O5" i="13" s="1"/>
  <c r="V35" i="3"/>
  <c r="O6" i="7" s="1"/>
  <c r="V32" i="3"/>
  <c r="O3" i="7" s="1"/>
  <c r="V59" i="3"/>
  <c r="O2" i="11" s="1"/>
  <c r="V13" i="3"/>
  <c r="O5" i="4" s="1"/>
  <c r="V25" i="3"/>
  <c r="O3" i="6" s="1"/>
  <c r="V68" i="3"/>
  <c r="O4" i="12" s="1"/>
  <c r="V27" i="3"/>
  <c r="O5" i="6" s="1"/>
  <c r="V82" i="3"/>
  <c r="O4" i="14" s="1"/>
  <c r="V11" i="3"/>
  <c r="O3" i="4" s="1"/>
  <c r="V85" i="3"/>
  <c r="O7" i="14" s="1"/>
  <c r="V16" i="3"/>
  <c r="O8" i="4" s="1"/>
  <c r="V52" i="3"/>
  <c r="O2" i="10" s="1"/>
  <c r="V55" i="3"/>
  <c r="O5" i="10" s="1"/>
  <c r="V21" i="3"/>
  <c r="O6" i="5" s="1"/>
  <c r="V24" i="3"/>
  <c r="O2" i="6" s="1"/>
  <c r="V17" i="3"/>
  <c r="O2" i="5" s="1"/>
  <c r="V10" i="3"/>
  <c r="O2" i="4" s="1"/>
  <c r="V31" i="3"/>
  <c r="O2" i="7" s="1"/>
  <c r="V80" i="3"/>
  <c r="O2" i="14" s="1"/>
  <c r="V14" i="3"/>
  <c r="O6" i="4" s="1"/>
  <c r="V84" i="3"/>
  <c r="O6" i="14" s="1"/>
  <c r="P1" i="13" l="1"/>
  <c r="P1" i="8"/>
  <c r="P1" i="11"/>
  <c r="P1" i="7"/>
  <c r="P1" i="6"/>
  <c r="P1" i="15"/>
  <c r="P1" i="5"/>
  <c r="P1" i="9"/>
  <c r="P1" i="14"/>
  <c r="P1" i="4"/>
  <c r="W90" i="3"/>
  <c r="W91" i="3"/>
  <c r="W77" i="3"/>
  <c r="P6" i="13" s="1"/>
  <c r="W79" i="3"/>
  <c r="P8" i="13" s="1"/>
  <c r="P1" i="12"/>
  <c r="W89" i="3"/>
  <c r="W66" i="3"/>
  <c r="P2" i="12" s="1"/>
  <c r="W57" i="3"/>
  <c r="P7" i="10" s="1"/>
  <c r="W67" i="3"/>
  <c r="P3" i="12" s="1"/>
  <c r="W50" i="3"/>
  <c r="P7" i="9" s="1"/>
  <c r="W45" i="3"/>
  <c r="P2" i="9" s="1"/>
  <c r="W71" i="3"/>
  <c r="P7" i="12" s="1"/>
  <c r="W72" i="3"/>
  <c r="P8" i="12" s="1"/>
  <c r="P1" i="10"/>
  <c r="W60" i="3"/>
  <c r="P3" i="11" s="1"/>
  <c r="W62" i="3"/>
  <c r="P5" i="11" s="1"/>
  <c r="W39" i="3"/>
  <c r="P3" i="8" s="1"/>
  <c r="W74" i="3"/>
  <c r="P3" i="13" s="1"/>
  <c r="W83" i="3"/>
  <c r="P5" i="14" s="1"/>
  <c r="W18" i="3"/>
  <c r="P3" i="5" s="1"/>
  <c r="W63" i="3"/>
  <c r="P6" i="11" s="1"/>
  <c r="W23" i="3"/>
  <c r="P8" i="5" s="1"/>
  <c r="W40" i="3"/>
  <c r="P4" i="8" s="1"/>
  <c r="X9" i="3"/>
  <c r="W30" i="3"/>
  <c r="P8" i="6" s="1"/>
  <c r="W73" i="3"/>
  <c r="P2" i="13" s="1"/>
  <c r="W12" i="3"/>
  <c r="P4" i="4" s="1"/>
  <c r="W22" i="3"/>
  <c r="P7" i="5" s="1"/>
  <c r="W29" i="3"/>
  <c r="P7" i="6" s="1"/>
  <c r="W51" i="3"/>
  <c r="P8" i="9" s="1"/>
  <c r="W32" i="3"/>
  <c r="P3" i="7" s="1"/>
  <c r="W42" i="3"/>
  <c r="P6" i="8" s="1"/>
  <c r="W48" i="3"/>
  <c r="P5" i="9" s="1"/>
  <c r="W70" i="3"/>
  <c r="P6" i="12" s="1"/>
  <c r="W36" i="3"/>
  <c r="P7" i="7" s="1"/>
  <c r="W20" i="3"/>
  <c r="P5" i="5" s="1"/>
  <c r="W69" i="3"/>
  <c r="P5" i="12" s="1"/>
  <c r="W68" i="3"/>
  <c r="P4" i="12" s="1"/>
  <c r="W43" i="3"/>
  <c r="P7" i="8" s="1"/>
  <c r="W54" i="3"/>
  <c r="P4" i="10" s="1"/>
  <c r="W53" i="3"/>
  <c r="P3" i="10" s="1"/>
  <c r="W87" i="3"/>
  <c r="W41" i="3"/>
  <c r="P5" i="8" s="1"/>
  <c r="W64" i="3"/>
  <c r="P7" i="11" s="1"/>
  <c r="W88" i="3"/>
  <c r="W47" i="3"/>
  <c r="P4" i="9" s="1"/>
  <c r="W34" i="3"/>
  <c r="P5" i="7" s="1"/>
  <c r="W19" i="3"/>
  <c r="P4" i="5" s="1"/>
  <c r="W13" i="3"/>
  <c r="P5" i="4" s="1"/>
  <c r="W86" i="3"/>
  <c r="P8" i="14" s="1"/>
  <c r="W28" i="3"/>
  <c r="P6" i="6" s="1"/>
  <c r="W26" i="3"/>
  <c r="P4" i="6" s="1"/>
  <c r="W78" i="3"/>
  <c r="P7" i="13" s="1"/>
  <c r="W76" i="3"/>
  <c r="P5" i="13" s="1"/>
  <c r="W58" i="3"/>
  <c r="P8" i="10" s="1"/>
  <c r="W49" i="3"/>
  <c r="P6" i="9" s="1"/>
  <c r="W61" i="3"/>
  <c r="P4" i="11" s="1"/>
  <c r="W46" i="3"/>
  <c r="P3" i="9" s="1"/>
  <c r="W25" i="3"/>
  <c r="P3" i="6" s="1"/>
  <c r="W44" i="3"/>
  <c r="P8" i="8" s="1"/>
  <c r="W59" i="3"/>
  <c r="P2" i="11" s="1"/>
  <c r="W93" i="3"/>
  <c r="W92" i="3"/>
  <c r="W75" i="3"/>
  <c r="P4" i="13" s="1"/>
  <c r="W27" i="3"/>
  <c r="P5" i="6" s="1"/>
  <c r="W37" i="3"/>
  <c r="P8" i="7" s="1"/>
  <c r="W56" i="3"/>
  <c r="P6" i="10" s="1"/>
  <c r="W15" i="3"/>
  <c r="P7" i="4" s="1"/>
  <c r="W33" i="3"/>
  <c r="P4" i="7" s="1"/>
  <c r="W65" i="3"/>
  <c r="P8" i="11" s="1"/>
  <c r="W38" i="3"/>
  <c r="P2" i="8" s="1"/>
  <c r="W35" i="3"/>
  <c r="P6" i="7" s="1"/>
  <c r="W81" i="3"/>
  <c r="P3" i="14" s="1"/>
  <c r="W16" i="3"/>
  <c r="P8" i="4" s="1"/>
  <c r="W82" i="3"/>
  <c r="P4" i="14" s="1"/>
  <c r="W85" i="3"/>
  <c r="P7" i="14" s="1"/>
  <c r="W11" i="3"/>
  <c r="P3" i="4" s="1"/>
  <c r="W52" i="3"/>
  <c r="P2" i="10" s="1"/>
  <c r="W55" i="3"/>
  <c r="P5" i="10" s="1"/>
  <c r="W84" i="3"/>
  <c r="P6" i="14" s="1"/>
  <c r="W80" i="3"/>
  <c r="P2" i="14" s="1"/>
  <c r="W21" i="3"/>
  <c r="P6" i="5" s="1"/>
  <c r="W14" i="3"/>
  <c r="P6" i="4" s="1"/>
  <c r="W24" i="3"/>
  <c r="P2" i="6" s="1"/>
  <c r="W31" i="3"/>
  <c r="P2" i="7" s="1"/>
  <c r="W10" i="3"/>
  <c r="P2" i="4" s="1"/>
  <c r="W17" i="3"/>
  <c r="P2" i="5" s="1"/>
  <c r="Q1" i="13" l="1"/>
  <c r="Q1" i="8"/>
  <c r="Q1" i="7"/>
  <c r="Q1" i="9"/>
  <c r="Q1" i="6"/>
  <c r="Q1" i="15"/>
  <c r="Q1" i="5"/>
  <c r="Q1" i="14"/>
  <c r="Q1" i="4"/>
  <c r="Q1" i="12"/>
  <c r="X91" i="3"/>
  <c r="X77" i="3"/>
  <c r="Q6" i="13" s="1"/>
  <c r="X79" i="3"/>
  <c r="Q8" i="13" s="1"/>
  <c r="Q1" i="11"/>
  <c r="X89" i="3"/>
  <c r="X66" i="3"/>
  <c r="Q2" i="12" s="1"/>
  <c r="X57" i="3"/>
  <c r="Q7" i="10" s="1"/>
  <c r="X67" i="3"/>
  <c r="Q3" i="12" s="1"/>
  <c r="X50" i="3"/>
  <c r="Q7" i="9" s="1"/>
  <c r="X45" i="3"/>
  <c r="Q2" i="9" s="1"/>
  <c r="X71" i="3"/>
  <c r="Q7" i="12" s="1"/>
  <c r="X40" i="3"/>
  <c r="Q4" i="8" s="1"/>
  <c r="X72" i="3"/>
  <c r="Q8" i="12" s="1"/>
  <c r="X27" i="3"/>
  <c r="Q5" i="6" s="1"/>
  <c r="Q1" i="10"/>
  <c r="X60" i="3"/>
  <c r="Q3" i="11" s="1"/>
  <c r="X23" i="3"/>
  <c r="Q8" i="5" s="1"/>
  <c r="X62" i="3"/>
  <c r="Q5" i="11" s="1"/>
  <c r="X39" i="3"/>
  <c r="Q3" i="8" s="1"/>
  <c r="X41" i="3"/>
  <c r="Q5" i="8" s="1"/>
  <c r="X30" i="3"/>
  <c r="Q8" i="6" s="1"/>
  <c r="X18" i="3"/>
  <c r="Q3" i="5" s="1"/>
  <c r="X90" i="3"/>
  <c r="Y9" i="3"/>
  <c r="X63" i="3"/>
  <c r="Q6" i="11" s="1"/>
  <c r="X86" i="3"/>
  <c r="Q8" i="14" s="1"/>
  <c r="X88" i="3"/>
  <c r="X12" i="3"/>
  <c r="Q4" i="4" s="1"/>
  <c r="X73" i="3"/>
  <c r="Q2" i="13" s="1"/>
  <c r="X48" i="3"/>
  <c r="Q5" i="9" s="1"/>
  <c r="X75" i="3"/>
  <c r="Q4" i="13" s="1"/>
  <c r="X44" i="3"/>
  <c r="Q8" i="8" s="1"/>
  <c r="X64" i="3"/>
  <c r="Q7" i="11" s="1"/>
  <c r="X43" i="3"/>
  <c r="Q7" i="8" s="1"/>
  <c r="X47" i="3"/>
  <c r="Q4" i="9" s="1"/>
  <c r="X19" i="3"/>
  <c r="Q4" i="5" s="1"/>
  <c r="X53" i="3"/>
  <c r="Q3" i="10" s="1"/>
  <c r="X65" i="3"/>
  <c r="Q8" i="11" s="1"/>
  <c r="X87" i="3"/>
  <c r="X70" i="3"/>
  <c r="Q6" i="12" s="1"/>
  <c r="X74" i="3"/>
  <c r="Q3" i="13" s="1"/>
  <c r="X34" i="3"/>
  <c r="Q5" i="7" s="1"/>
  <c r="X26" i="3"/>
  <c r="Q4" i="6" s="1"/>
  <c r="X54" i="3"/>
  <c r="Q4" i="10" s="1"/>
  <c r="X22" i="3"/>
  <c r="Q7" i="5" s="1"/>
  <c r="X76" i="3"/>
  <c r="Q5" i="13" s="1"/>
  <c r="X32" i="3"/>
  <c r="Q3" i="7" s="1"/>
  <c r="X28" i="3"/>
  <c r="Q6" i="6" s="1"/>
  <c r="X69" i="3"/>
  <c r="Q5" i="12" s="1"/>
  <c r="X68" i="3"/>
  <c r="Q4" i="12" s="1"/>
  <c r="X35" i="3"/>
  <c r="Q6" i="7" s="1"/>
  <c r="X36" i="3"/>
  <c r="Q7" i="7" s="1"/>
  <c r="X25" i="3"/>
  <c r="Q3" i="6" s="1"/>
  <c r="X37" i="3"/>
  <c r="Q8" i="7" s="1"/>
  <c r="X81" i="3"/>
  <c r="Q3" i="14" s="1"/>
  <c r="X29" i="3"/>
  <c r="Q7" i="6" s="1"/>
  <c r="X15" i="3"/>
  <c r="Q7" i="4" s="1"/>
  <c r="X58" i="3"/>
  <c r="Q8" i="10" s="1"/>
  <c r="X46" i="3"/>
  <c r="Q3" i="9" s="1"/>
  <c r="X20" i="3"/>
  <c r="Q5" i="5" s="1"/>
  <c r="X42" i="3"/>
  <c r="Q6" i="8" s="1"/>
  <c r="X49" i="3"/>
  <c r="Q6" i="9" s="1"/>
  <c r="X83" i="3"/>
  <c r="Q5" i="14" s="1"/>
  <c r="X78" i="3"/>
  <c r="Q7" i="13" s="1"/>
  <c r="X93" i="3"/>
  <c r="X59" i="3"/>
  <c r="Q2" i="11" s="1"/>
  <c r="X38" i="3"/>
  <c r="Q2" i="8" s="1"/>
  <c r="X13" i="3"/>
  <c r="Q5" i="4" s="1"/>
  <c r="X92" i="3"/>
  <c r="X33" i="3"/>
  <c r="Q4" i="7" s="1"/>
  <c r="X52" i="3"/>
  <c r="Q2" i="10" s="1"/>
  <c r="X56" i="3"/>
  <c r="Q6" i="10" s="1"/>
  <c r="X61" i="3"/>
  <c r="Q4" i="11" s="1"/>
  <c r="X51" i="3"/>
  <c r="Q8" i="9" s="1"/>
  <c r="X16" i="3"/>
  <c r="Q8" i="4" s="1"/>
  <c r="X11" i="3"/>
  <c r="Q3" i="4" s="1"/>
  <c r="X82" i="3"/>
  <c r="Q4" i="14" s="1"/>
  <c r="X85" i="3"/>
  <c r="Q7" i="14" s="1"/>
  <c r="X55" i="3"/>
  <c r="Q5" i="10" s="1"/>
  <c r="X80" i="3"/>
  <c r="Q2" i="14" s="1"/>
  <c r="X31" i="3"/>
  <c r="Q2" i="7" s="1"/>
  <c r="X24" i="3"/>
  <c r="Q2" i="6" s="1"/>
  <c r="X10" i="3"/>
  <c r="Q2" i="4" s="1"/>
  <c r="X84" i="3"/>
  <c r="Q6" i="14" s="1"/>
  <c r="X14" i="3"/>
  <c r="Q6" i="4" s="1"/>
  <c r="X17" i="3"/>
  <c r="Q2" i="5" s="1"/>
  <c r="X21" i="3"/>
  <c r="Q6" i="5" s="1"/>
  <c r="R1" i="13" l="1"/>
  <c r="R1" i="8"/>
  <c r="R1" i="7"/>
  <c r="R1" i="9"/>
  <c r="R1" i="15"/>
  <c r="R1" i="5"/>
  <c r="R1" i="14"/>
  <c r="R1" i="4"/>
  <c r="R1" i="6"/>
  <c r="R1" i="12"/>
  <c r="Y79" i="3"/>
  <c r="R8" i="13" s="1"/>
  <c r="R1" i="10"/>
  <c r="Y90" i="3"/>
  <c r="Y50" i="3"/>
  <c r="R7" i="9" s="1"/>
  <c r="Y45" i="3"/>
  <c r="R2" i="9" s="1"/>
  <c r="R1" i="11"/>
  <c r="Y71" i="3"/>
  <c r="R7" i="12" s="1"/>
  <c r="Y23" i="3"/>
  <c r="R8" i="5" s="1"/>
  <c r="Y40" i="3"/>
  <c r="R4" i="8" s="1"/>
  <c r="Y73" i="3"/>
  <c r="R2" i="13" s="1"/>
  <c r="Y60" i="3"/>
  <c r="R3" i="11" s="1"/>
  <c r="Y27" i="3"/>
  <c r="R5" i="6" s="1"/>
  <c r="Y89" i="3"/>
  <c r="Y66" i="3"/>
  <c r="R2" i="12" s="1"/>
  <c r="Y57" i="3"/>
  <c r="R7" i="10" s="1"/>
  <c r="Y18" i="3"/>
  <c r="R3" i="5" s="1"/>
  <c r="Y63" i="3"/>
  <c r="R6" i="11" s="1"/>
  <c r="Y75" i="3"/>
  <c r="R4" i="13" s="1"/>
  <c r="Y30" i="3"/>
  <c r="R8" i="6" s="1"/>
  <c r="Z9" i="3"/>
  <c r="Y61" i="3"/>
  <c r="R4" i="11" s="1"/>
  <c r="Y41" i="3"/>
  <c r="R5" i="8" s="1"/>
  <c r="Y12" i="3"/>
  <c r="R4" i="4" s="1"/>
  <c r="Y62" i="3"/>
  <c r="R5" i="11" s="1"/>
  <c r="Y91" i="3"/>
  <c r="Y39" i="3"/>
  <c r="R3" i="8" s="1"/>
  <c r="Y53" i="3"/>
  <c r="R3" i="10" s="1"/>
  <c r="Y65" i="3"/>
  <c r="R8" i="11" s="1"/>
  <c r="Y74" i="3"/>
  <c r="R3" i="13" s="1"/>
  <c r="Y22" i="3"/>
  <c r="R7" i="5" s="1"/>
  <c r="Y29" i="3"/>
  <c r="R7" i="6" s="1"/>
  <c r="Y78" i="3"/>
  <c r="R7" i="13" s="1"/>
  <c r="Y20" i="3"/>
  <c r="R5" i="5" s="1"/>
  <c r="Y36" i="3"/>
  <c r="R7" i="7" s="1"/>
  <c r="Y44" i="3"/>
  <c r="R8" i="8" s="1"/>
  <c r="Y35" i="3"/>
  <c r="R6" i="7" s="1"/>
  <c r="Y34" i="3"/>
  <c r="R5" i="7" s="1"/>
  <c r="Y43" i="3"/>
  <c r="R7" i="8" s="1"/>
  <c r="Y47" i="3"/>
  <c r="R4" i="9" s="1"/>
  <c r="Y86" i="3"/>
  <c r="R8" i="14" s="1"/>
  <c r="Y46" i="3"/>
  <c r="R3" i="9" s="1"/>
  <c r="Y93" i="3"/>
  <c r="Y32" i="3"/>
  <c r="R3" i="7" s="1"/>
  <c r="Y25" i="3"/>
  <c r="R3" i="6" s="1"/>
  <c r="Y28" i="3"/>
  <c r="R6" i="6" s="1"/>
  <c r="Y64" i="3"/>
  <c r="R7" i="11" s="1"/>
  <c r="Y33" i="3"/>
  <c r="R4" i="7" s="1"/>
  <c r="Y58" i="3"/>
  <c r="R8" i="10" s="1"/>
  <c r="Y15" i="3"/>
  <c r="R7" i="4" s="1"/>
  <c r="Y26" i="3"/>
  <c r="R4" i="6" s="1"/>
  <c r="Y54" i="3"/>
  <c r="R4" i="10" s="1"/>
  <c r="Y67" i="3"/>
  <c r="R3" i="12" s="1"/>
  <c r="Y81" i="3"/>
  <c r="R3" i="14" s="1"/>
  <c r="Y87" i="3"/>
  <c r="Y69" i="3"/>
  <c r="R5" i="12" s="1"/>
  <c r="Y77" i="3"/>
  <c r="R6" i="13" s="1"/>
  <c r="Y68" i="3"/>
  <c r="R4" i="12" s="1"/>
  <c r="Y76" i="3"/>
  <c r="R5" i="13" s="1"/>
  <c r="Y70" i="3"/>
  <c r="R6" i="12" s="1"/>
  <c r="Y49" i="3"/>
  <c r="R6" i="9" s="1"/>
  <c r="Y37" i="3"/>
  <c r="R8" i="7" s="1"/>
  <c r="Y19" i="3"/>
  <c r="R4" i="5" s="1"/>
  <c r="Y88" i="3"/>
  <c r="Y38" i="3"/>
  <c r="R2" i="8" s="1"/>
  <c r="Y13" i="3"/>
  <c r="R5" i="4" s="1"/>
  <c r="Y72" i="3"/>
  <c r="R8" i="12" s="1"/>
  <c r="Y83" i="3"/>
  <c r="R5" i="14" s="1"/>
  <c r="Y92" i="3"/>
  <c r="Y42" i="3"/>
  <c r="R6" i="8" s="1"/>
  <c r="Y52" i="3"/>
  <c r="R2" i="10" s="1"/>
  <c r="Y48" i="3"/>
  <c r="R5" i="9" s="1"/>
  <c r="Y59" i="3"/>
  <c r="R2" i="11" s="1"/>
  <c r="Y51" i="3"/>
  <c r="R8" i="9" s="1"/>
  <c r="Y56" i="3"/>
  <c r="R6" i="10" s="1"/>
  <c r="Y85" i="3"/>
  <c r="R7" i="14" s="1"/>
  <c r="Y11" i="3"/>
  <c r="R3" i="4" s="1"/>
  <c r="Y16" i="3"/>
  <c r="R8" i="4" s="1"/>
  <c r="Y82" i="3"/>
  <c r="R4" i="14" s="1"/>
  <c r="Y55" i="3"/>
  <c r="R5" i="10" s="1"/>
  <c r="Y21" i="3"/>
  <c r="R6" i="5" s="1"/>
  <c r="Y31" i="3"/>
  <c r="R2" i="7" s="1"/>
  <c r="Y14" i="3"/>
  <c r="R6" i="4" s="1"/>
  <c r="Y80" i="3"/>
  <c r="R2" i="14" s="1"/>
  <c r="Y84" i="3"/>
  <c r="R6" i="14" s="1"/>
  <c r="Y24" i="3"/>
  <c r="R2" i="6" s="1"/>
  <c r="Y17" i="3"/>
  <c r="R2" i="5" s="1"/>
  <c r="Y10" i="3"/>
  <c r="R2" i="4" s="1"/>
  <c r="S1" i="13" l="1"/>
  <c r="S1" i="8"/>
  <c r="S1" i="9"/>
  <c r="S1" i="15"/>
  <c r="S1" i="5"/>
  <c r="S1" i="7"/>
  <c r="S1" i="14"/>
  <c r="S1" i="4"/>
  <c r="S1" i="6"/>
  <c r="S1" i="12"/>
  <c r="Z79" i="3"/>
  <c r="S8" i="13" s="1"/>
  <c r="S1" i="10"/>
  <c r="Z91" i="3"/>
  <c r="S1" i="11"/>
  <c r="Z71" i="3"/>
  <c r="S7" i="12" s="1"/>
  <c r="Z67" i="3"/>
  <c r="S3" i="12" s="1"/>
  <c r="Z41" i="3"/>
  <c r="S5" i="8" s="1"/>
  <c r="Z72" i="3"/>
  <c r="S8" i="12" s="1"/>
  <c r="Z40" i="3"/>
  <c r="S4" i="8" s="1"/>
  <c r="Z73" i="3"/>
  <c r="S2" i="13" s="1"/>
  <c r="Z89" i="3"/>
  <c r="Z66" i="3"/>
  <c r="S2" i="12" s="1"/>
  <c r="Z57" i="3"/>
  <c r="S7" i="10" s="1"/>
  <c r="Z70" i="3"/>
  <c r="S6" i="12" s="1"/>
  <c r="Z50" i="3"/>
  <c r="S7" i="9" s="1"/>
  <c r="Z45" i="3"/>
  <c r="S2" i="9" s="1"/>
  <c r="AA9" i="3"/>
  <c r="Z90" i="3"/>
  <c r="Z12" i="3"/>
  <c r="S4" i="4" s="1"/>
  <c r="Z63" i="3"/>
  <c r="S6" i="11" s="1"/>
  <c r="Z30" i="3"/>
  <c r="S8" i="6" s="1"/>
  <c r="Z39" i="3"/>
  <c r="S3" i="8" s="1"/>
  <c r="Z18" i="3"/>
  <c r="S3" i="5" s="1"/>
  <c r="Z88" i="3"/>
  <c r="Z62" i="3"/>
  <c r="S5" i="11" s="1"/>
  <c r="Z15" i="3"/>
  <c r="S7" i="4" s="1"/>
  <c r="Z87" i="3"/>
  <c r="Z44" i="3"/>
  <c r="S8" i="8" s="1"/>
  <c r="Z69" i="3"/>
  <c r="S5" i="12" s="1"/>
  <c r="Z25" i="3"/>
  <c r="S3" i="6" s="1"/>
  <c r="Z49" i="3"/>
  <c r="S6" i="9" s="1"/>
  <c r="Z32" i="3"/>
  <c r="S3" i="7" s="1"/>
  <c r="Z59" i="3"/>
  <c r="S2" i="11" s="1"/>
  <c r="Z26" i="3"/>
  <c r="S4" i="6" s="1"/>
  <c r="Z34" i="3"/>
  <c r="S5" i="7" s="1"/>
  <c r="Z86" i="3"/>
  <c r="S8" i="14" s="1"/>
  <c r="Z65" i="3"/>
  <c r="S8" i="11" s="1"/>
  <c r="Z37" i="3"/>
  <c r="S8" i="7" s="1"/>
  <c r="Z83" i="3"/>
  <c r="S5" i="14" s="1"/>
  <c r="Z75" i="3"/>
  <c r="S4" i="13" s="1"/>
  <c r="Z68" i="3"/>
  <c r="S4" i="12" s="1"/>
  <c r="Z43" i="3"/>
  <c r="S7" i="8" s="1"/>
  <c r="Z76" i="3"/>
  <c r="S5" i="13" s="1"/>
  <c r="Z47" i="3"/>
  <c r="S4" i="9" s="1"/>
  <c r="Z54" i="3"/>
  <c r="S4" i="10" s="1"/>
  <c r="Z35" i="3"/>
  <c r="S6" i="7" s="1"/>
  <c r="Z60" i="3"/>
  <c r="S3" i="11" s="1"/>
  <c r="Z93" i="3"/>
  <c r="Z22" i="3"/>
  <c r="S7" i="5" s="1"/>
  <c r="Z46" i="3"/>
  <c r="S3" i="9" s="1"/>
  <c r="Z64" i="3"/>
  <c r="S7" i="11" s="1"/>
  <c r="Z29" i="3"/>
  <c r="S7" i="6" s="1"/>
  <c r="Z28" i="3"/>
  <c r="S6" i="6" s="1"/>
  <c r="Z36" i="3"/>
  <c r="S7" i="7" s="1"/>
  <c r="Z13" i="3"/>
  <c r="S5" i="4" s="1"/>
  <c r="Z78" i="3"/>
  <c r="S7" i="13" s="1"/>
  <c r="Z92" i="3"/>
  <c r="Z20" i="3"/>
  <c r="S5" i="5" s="1"/>
  <c r="Z56" i="3"/>
  <c r="S6" i="10" s="1"/>
  <c r="Z77" i="3"/>
  <c r="S6" i="13" s="1"/>
  <c r="Z23" i="3"/>
  <c r="S8" i="5" s="1"/>
  <c r="Z33" i="3"/>
  <c r="S4" i="7" s="1"/>
  <c r="Z42" i="3"/>
  <c r="S6" i="8" s="1"/>
  <c r="Z27" i="3"/>
  <c r="S5" i="6" s="1"/>
  <c r="Z53" i="3"/>
  <c r="S3" i="10" s="1"/>
  <c r="Z74" i="3"/>
  <c r="S3" i="13" s="1"/>
  <c r="Z52" i="3"/>
  <c r="S2" i="10" s="1"/>
  <c r="Z48" i="3"/>
  <c r="S5" i="9" s="1"/>
  <c r="Z19" i="3"/>
  <c r="S4" i="5" s="1"/>
  <c r="Z81" i="3"/>
  <c r="S3" i="14" s="1"/>
  <c r="Z61" i="3"/>
  <c r="S4" i="11" s="1"/>
  <c r="Z51" i="3"/>
  <c r="S8" i="9" s="1"/>
  <c r="Z38" i="3"/>
  <c r="S2" i="8" s="1"/>
  <c r="Z58" i="3"/>
  <c r="S8" i="10" s="1"/>
  <c r="Z82" i="3"/>
  <c r="S4" i="14" s="1"/>
  <c r="Z85" i="3"/>
  <c r="S7" i="14" s="1"/>
  <c r="Z11" i="3"/>
  <c r="S3" i="4" s="1"/>
  <c r="Z16" i="3"/>
  <c r="S8" i="4" s="1"/>
  <c r="Z55" i="3"/>
  <c r="S5" i="10" s="1"/>
  <c r="Z21" i="3"/>
  <c r="S6" i="5" s="1"/>
  <c r="Z17" i="3"/>
  <c r="S2" i="5" s="1"/>
  <c r="Z31" i="3"/>
  <c r="S2" i="7" s="1"/>
  <c r="Z24" i="3"/>
  <c r="S2" i="6" s="1"/>
  <c r="Z14" i="3"/>
  <c r="S6" i="4" s="1"/>
  <c r="Z80" i="3"/>
  <c r="S2" i="14" s="1"/>
  <c r="Z10" i="3"/>
  <c r="S2" i="4" s="1"/>
  <c r="Z84" i="3"/>
  <c r="S6" i="14" s="1"/>
  <c r="T1" i="14" l="1"/>
  <c r="T1" i="9"/>
  <c r="T1" i="15"/>
  <c r="T1" i="8"/>
  <c r="T1" i="6"/>
  <c r="T1" i="5"/>
  <c r="T1" i="13"/>
  <c r="T1" i="12"/>
  <c r="AA92" i="3"/>
  <c r="AA79" i="3"/>
  <c r="T8" i="13" s="1"/>
  <c r="T1" i="7"/>
  <c r="AA60" i="3"/>
  <c r="T3" i="11" s="1"/>
  <c r="AA67" i="3"/>
  <c r="T3" i="12" s="1"/>
  <c r="T1" i="10"/>
  <c r="T1" i="4"/>
  <c r="AA72" i="3"/>
  <c r="T8" i="12" s="1"/>
  <c r="AA41" i="3"/>
  <c r="T5" i="8" s="1"/>
  <c r="AA73" i="3"/>
  <c r="T2" i="13" s="1"/>
  <c r="T1" i="11"/>
  <c r="AA71" i="3"/>
  <c r="T7" i="12" s="1"/>
  <c r="AA66" i="3"/>
  <c r="T2" i="12" s="1"/>
  <c r="AB9" i="3"/>
  <c r="AA61" i="3"/>
  <c r="T4" i="11" s="1"/>
  <c r="AA90" i="3"/>
  <c r="AA57" i="3"/>
  <c r="T7" i="10" s="1"/>
  <c r="AA30" i="3"/>
  <c r="T8" i="6" s="1"/>
  <c r="AA12" i="3"/>
  <c r="T4" i="4" s="1"/>
  <c r="AA69" i="3"/>
  <c r="T5" i="12" s="1"/>
  <c r="AA18" i="3"/>
  <c r="T3" i="5" s="1"/>
  <c r="AA88" i="3"/>
  <c r="AA91" i="3"/>
  <c r="AA39" i="3"/>
  <c r="T3" i="8" s="1"/>
  <c r="AA64" i="3"/>
  <c r="T7" i="11" s="1"/>
  <c r="AA62" i="3"/>
  <c r="T5" i="11" s="1"/>
  <c r="AA26" i="3"/>
  <c r="T4" i="6" s="1"/>
  <c r="AA43" i="3"/>
  <c r="T7" i="8" s="1"/>
  <c r="AA40" i="3"/>
  <c r="T4" i="8" s="1"/>
  <c r="AA54" i="3"/>
  <c r="T4" i="10" s="1"/>
  <c r="AA89" i="3"/>
  <c r="AA36" i="3"/>
  <c r="T7" i="7" s="1"/>
  <c r="AA46" i="3"/>
  <c r="T3" i="9" s="1"/>
  <c r="AA50" i="3"/>
  <c r="T7" i="9" s="1"/>
  <c r="AA25" i="3"/>
  <c r="T3" i="6" s="1"/>
  <c r="AA76" i="3"/>
  <c r="T5" i="13" s="1"/>
  <c r="AA47" i="3"/>
  <c r="T4" i="9" s="1"/>
  <c r="AA86" i="3"/>
  <c r="T8" i="14" s="1"/>
  <c r="AA65" i="3"/>
  <c r="T8" i="11" s="1"/>
  <c r="AA49" i="3"/>
  <c r="T6" i="9" s="1"/>
  <c r="AA93" i="3"/>
  <c r="AA35" i="3"/>
  <c r="T6" i="7" s="1"/>
  <c r="AA29" i="3"/>
  <c r="T7" i="6" s="1"/>
  <c r="AA23" i="3"/>
  <c r="T8" i="5" s="1"/>
  <c r="AA77" i="3"/>
  <c r="T6" i="13" s="1"/>
  <c r="AA45" i="3"/>
  <c r="T2" i="9" s="1"/>
  <c r="AA53" i="3"/>
  <c r="T3" i="10" s="1"/>
  <c r="AA63" i="3"/>
  <c r="T6" i="11" s="1"/>
  <c r="AA32" i="3"/>
  <c r="T3" i="7" s="1"/>
  <c r="AA87" i="3"/>
  <c r="AA27" i="3"/>
  <c r="T5" i="6" s="1"/>
  <c r="AA68" i="3"/>
  <c r="T4" i="12" s="1"/>
  <c r="AA75" i="3"/>
  <c r="T4" i="13" s="1"/>
  <c r="AA28" i="3"/>
  <c r="T6" i="6" s="1"/>
  <c r="AA42" i="3"/>
  <c r="T6" i="8" s="1"/>
  <c r="AA38" i="3"/>
  <c r="T2" i="8" s="1"/>
  <c r="AA13" i="3"/>
  <c r="T5" i="4" s="1"/>
  <c r="AA78" i="3"/>
  <c r="T7" i="13" s="1"/>
  <c r="AA15" i="3"/>
  <c r="T7" i="4" s="1"/>
  <c r="AA51" i="3"/>
  <c r="T8" i="9" s="1"/>
  <c r="AA58" i="3"/>
  <c r="T8" i="10" s="1"/>
  <c r="AA19" i="3"/>
  <c r="T4" i="5" s="1"/>
  <c r="AA33" i="3"/>
  <c r="T4" i="7" s="1"/>
  <c r="AA56" i="3"/>
  <c r="T6" i="10" s="1"/>
  <c r="AA59" i="3"/>
  <c r="T2" i="11" s="1"/>
  <c r="AA44" i="3"/>
  <c r="T8" i="8" s="1"/>
  <c r="AA48" i="3"/>
  <c r="T5" i="9" s="1"/>
  <c r="AA81" i="3"/>
  <c r="T3" i="14" s="1"/>
  <c r="AA83" i="3"/>
  <c r="T5" i="14" s="1"/>
  <c r="AA20" i="3"/>
  <c r="T5" i="5" s="1"/>
  <c r="AA34" i="3"/>
  <c r="T5" i="7" s="1"/>
  <c r="AA37" i="3"/>
  <c r="T8" i="7" s="1"/>
  <c r="AA74" i="3"/>
  <c r="T3" i="13" s="1"/>
  <c r="AA70" i="3"/>
  <c r="T6" i="12" s="1"/>
  <c r="AA22" i="3"/>
  <c r="T7" i="5" s="1"/>
  <c r="AA85" i="3"/>
  <c r="T7" i="14" s="1"/>
  <c r="AA16" i="3"/>
  <c r="T8" i="4" s="1"/>
  <c r="AA82" i="3"/>
  <c r="T4" i="14" s="1"/>
  <c r="AA11" i="3"/>
  <c r="T3" i="4" s="1"/>
  <c r="AA52" i="3"/>
  <c r="T2" i="10" s="1"/>
  <c r="AA55" i="3"/>
  <c r="T5" i="10" s="1"/>
  <c r="AA10" i="3"/>
  <c r="T2" i="4" s="1"/>
  <c r="AA17" i="3"/>
  <c r="T2" i="5" s="1"/>
  <c r="AA24" i="3"/>
  <c r="T2" i="6" s="1"/>
  <c r="AA80" i="3"/>
  <c r="T2" i="14" s="1"/>
  <c r="AA21" i="3"/>
  <c r="T6" i="5" s="1"/>
  <c r="AA14" i="3"/>
  <c r="T6" i="4" s="1"/>
  <c r="AA31" i="3"/>
  <c r="T2" i="7" s="1"/>
  <c r="AA84" i="3"/>
  <c r="T6" i="14" s="1"/>
  <c r="U1" i="14" l="1"/>
  <c r="U1" i="9"/>
  <c r="U1" i="15"/>
  <c r="U1" i="12"/>
  <c r="U1" i="8"/>
  <c r="U1" i="6"/>
  <c r="U1" i="5"/>
  <c r="U1" i="13"/>
  <c r="U1" i="4"/>
  <c r="U1" i="7"/>
  <c r="AB67" i="3"/>
  <c r="U3" i="12" s="1"/>
  <c r="AB63" i="3"/>
  <c r="U6" i="11" s="1"/>
  <c r="U1" i="10"/>
  <c r="AB73" i="3"/>
  <c r="U2" i="13" s="1"/>
  <c r="AB61" i="3"/>
  <c r="U4" i="11" s="1"/>
  <c r="AB90" i="3"/>
  <c r="AB72" i="3"/>
  <c r="U8" i="12" s="1"/>
  <c r="AB18" i="3"/>
  <c r="U3" i="5" s="1"/>
  <c r="AB12" i="3"/>
  <c r="U4" i="4" s="1"/>
  <c r="U1" i="11"/>
  <c r="AB38" i="3"/>
  <c r="U2" i="8" s="1"/>
  <c r="AB30" i="3"/>
  <c r="U8" i="6" s="1"/>
  <c r="AB70" i="3"/>
  <c r="U6" i="12" s="1"/>
  <c r="AB66" i="3"/>
  <c r="U2" i="12" s="1"/>
  <c r="AB62" i="3"/>
  <c r="U5" i="11" s="1"/>
  <c r="AB39" i="3"/>
  <c r="U3" i="8" s="1"/>
  <c r="AC9" i="3"/>
  <c r="AB88" i="3"/>
  <c r="AB20" i="3"/>
  <c r="U5" i="5" s="1"/>
  <c r="AB29" i="3"/>
  <c r="U7" i="6" s="1"/>
  <c r="AB32" i="3"/>
  <c r="U3" i="7" s="1"/>
  <c r="AB75" i="3"/>
  <c r="U4" i="13" s="1"/>
  <c r="AB40" i="3"/>
  <c r="U4" i="8" s="1"/>
  <c r="AB45" i="3"/>
  <c r="U2" i="9" s="1"/>
  <c r="AB46" i="3"/>
  <c r="U3" i="9" s="1"/>
  <c r="AB22" i="3"/>
  <c r="U7" i="5" s="1"/>
  <c r="AB42" i="3"/>
  <c r="U6" i="8" s="1"/>
  <c r="AB23" i="3"/>
  <c r="U8" i="5" s="1"/>
  <c r="AB35" i="3"/>
  <c r="U6" i="7" s="1"/>
  <c r="AB83" i="3"/>
  <c r="U5" i="14" s="1"/>
  <c r="AB50" i="3"/>
  <c r="U7" i="9" s="1"/>
  <c r="AB71" i="3"/>
  <c r="U7" i="12" s="1"/>
  <c r="AB48" i="3"/>
  <c r="U5" i="9" s="1"/>
  <c r="AB56" i="3"/>
  <c r="U6" i="10" s="1"/>
  <c r="AB37" i="3"/>
  <c r="U8" i="7" s="1"/>
  <c r="AB53" i="3"/>
  <c r="U3" i="10" s="1"/>
  <c r="AB76" i="3"/>
  <c r="U5" i="13" s="1"/>
  <c r="AB86" i="3"/>
  <c r="U8" i="14" s="1"/>
  <c r="AB25" i="3"/>
  <c r="U3" i="6" s="1"/>
  <c r="AB43" i="3"/>
  <c r="U7" i="8" s="1"/>
  <c r="AB93" i="3"/>
  <c r="AB27" i="3"/>
  <c r="U5" i="6" s="1"/>
  <c r="AB64" i="3"/>
  <c r="U7" i="11" s="1"/>
  <c r="AB87" i="3"/>
  <c r="AB49" i="3"/>
  <c r="U6" i="9" s="1"/>
  <c r="AB68" i="3"/>
  <c r="U4" i="12" s="1"/>
  <c r="AB77" i="3"/>
  <c r="U6" i="13" s="1"/>
  <c r="AB19" i="3"/>
  <c r="U4" i="5" s="1"/>
  <c r="AB79" i="3"/>
  <c r="U8" i="13" s="1"/>
  <c r="AB74" i="3"/>
  <c r="U3" i="13" s="1"/>
  <c r="AB89" i="3"/>
  <c r="AB57" i="3"/>
  <c r="U7" i="10" s="1"/>
  <c r="AB13" i="3"/>
  <c r="U5" i="4" s="1"/>
  <c r="AB15" i="3"/>
  <c r="U7" i="4" s="1"/>
  <c r="AB33" i="3"/>
  <c r="U4" i="7" s="1"/>
  <c r="AB41" i="3"/>
  <c r="U5" i="8" s="1"/>
  <c r="AB92" i="3"/>
  <c r="AB54" i="3"/>
  <c r="U4" i="10" s="1"/>
  <c r="AB60" i="3"/>
  <c r="U3" i="11" s="1"/>
  <c r="AB28" i="3"/>
  <c r="U6" i="6" s="1"/>
  <c r="AB47" i="3"/>
  <c r="U4" i="9" s="1"/>
  <c r="AB36" i="3"/>
  <c r="U7" i="7" s="1"/>
  <c r="AB51" i="3"/>
  <c r="U8" i="9" s="1"/>
  <c r="AB69" i="3"/>
  <c r="U5" i="12" s="1"/>
  <c r="AB58" i="3"/>
  <c r="U8" i="10" s="1"/>
  <c r="AB26" i="3"/>
  <c r="U4" i="6" s="1"/>
  <c r="AB44" i="3"/>
  <c r="U8" i="8" s="1"/>
  <c r="AB59" i="3"/>
  <c r="U2" i="11" s="1"/>
  <c r="AB81" i="3"/>
  <c r="U3" i="14" s="1"/>
  <c r="AB91" i="3"/>
  <c r="AB65" i="3"/>
  <c r="U8" i="11" s="1"/>
  <c r="AB34" i="3"/>
  <c r="U5" i="7" s="1"/>
  <c r="AB78" i="3"/>
  <c r="U7" i="13" s="1"/>
  <c r="AB52" i="3"/>
  <c r="U2" i="10" s="1"/>
  <c r="AB82" i="3"/>
  <c r="U4" i="14" s="1"/>
  <c r="AB16" i="3"/>
  <c r="U8" i="4" s="1"/>
  <c r="AB11" i="3"/>
  <c r="U3" i="4" s="1"/>
  <c r="AB85" i="3"/>
  <c r="U7" i="14" s="1"/>
  <c r="AB55" i="3"/>
  <c r="U5" i="10" s="1"/>
  <c r="AB31" i="3"/>
  <c r="U2" i="7" s="1"/>
  <c r="AB17" i="3"/>
  <c r="U2" i="5" s="1"/>
  <c r="AB80" i="3"/>
  <c r="U2" i="14" s="1"/>
  <c r="AB24" i="3"/>
  <c r="U2" i="6" s="1"/>
  <c r="AB10" i="3"/>
  <c r="U2" i="4" s="1"/>
  <c r="AB84" i="3"/>
  <c r="U6" i="14" s="1"/>
  <c r="AB14" i="3"/>
  <c r="U6" i="4" s="1"/>
  <c r="AB21" i="3"/>
  <c r="U6" i="5" s="1"/>
  <c r="V1" i="14" l="1"/>
  <c r="V1" i="9"/>
  <c r="V1" i="15"/>
  <c r="V1" i="12"/>
  <c r="AC89" i="3"/>
  <c r="V1" i="4"/>
  <c r="V1" i="13"/>
  <c r="V1" i="11"/>
  <c r="AC79" i="3"/>
  <c r="V8" i="13" s="1"/>
  <c r="V1" i="7"/>
  <c r="V1" i="5"/>
  <c r="AC67" i="3"/>
  <c r="V3" i="12" s="1"/>
  <c r="V1" i="10"/>
  <c r="AC73" i="3"/>
  <c r="V2" i="13" s="1"/>
  <c r="AC57" i="3"/>
  <c r="V7" i="10" s="1"/>
  <c r="V1" i="6"/>
  <c r="AC72" i="3"/>
  <c r="V8" i="12" s="1"/>
  <c r="AC90" i="3"/>
  <c r="AC39" i="3"/>
  <c r="V3" i="8" s="1"/>
  <c r="AD9" i="3"/>
  <c r="AC18" i="3"/>
  <c r="V3" i="5" s="1"/>
  <c r="AC62" i="3"/>
  <c r="V5" i="11" s="1"/>
  <c r="AC38" i="3"/>
  <c r="V2" i="8" s="1"/>
  <c r="AC88" i="3"/>
  <c r="AC70" i="3"/>
  <c r="V6" i="12" s="1"/>
  <c r="V1" i="8"/>
  <c r="AC20" i="3"/>
  <c r="V5" i="5" s="1"/>
  <c r="AC13" i="3"/>
  <c r="V5" i="4" s="1"/>
  <c r="AC36" i="3"/>
  <c r="V7" i="7" s="1"/>
  <c r="AC66" i="3"/>
  <c r="V2" i="12" s="1"/>
  <c r="AC43" i="3"/>
  <c r="V7" i="8" s="1"/>
  <c r="AC83" i="3"/>
  <c r="V5" i="14" s="1"/>
  <c r="AC25" i="3"/>
  <c r="V3" i="6" s="1"/>
  <c r="AC42" i="3"/>
  <c r="V6" i="8" s="1"/>
  <c r="AC41" i="3"/>
  <c r="V5" i="8" s="1"/>
  <c r="AC93" i="3"/>
  <c r="AC40" i="3"/>
  <c r="V4" i="8" s="1"/>
  <c r="AC68" i="3"/>
  <c r="V4" i="12" s="1"/>
  <c r="AC56" i="3"/>
  <c r="V6" i="10" s="1"/>
  <c r="AC77" i="3"/>
  <c r="V6" i="13" s="1"/>
  <c r="AC60" i="3"/>
  <c r="V3" i="11" s="1"/>
  <c r="AC63" i="3"/>
  <c r="V6" i="11" s="1"/>
  <c r="AC34" i="3"/>
  <c r="V5" i="7" s="1"/>
  <c r="AC64" i="3"/>
  <c r="V7" i="11" s="1"/>
  <c r="AC29" i="3"/>
  <c r="V7" i="6" s="1"/>
  <c r="AC46" i="3"/>
  <c r="V3" i="9" s="1"/>
  <c r="AC35" i="3"/>
  <c r="V6" i="7" s="1"/>
  <c r="AC30" i="3"/>
  <c r="V8" i="6" s="1"/>
  <c r="AC45" i="3"/>
  <c r="V2" i="9" s="1"/>
  <c r="AC26" i="3"/>
  <c r="V4" i="6" s="1"/>
  <c r="AC53" i="3"/>
  <c r="V3" i="10" s="1"/>
  <c r="AC86" i="3"/>
  <c r="V8" i="14" s="1"/>
  <c r="AC69" i="3"/>
  <c r="V5" i="12" s="1"/>
  <c r="AC22" i="3"/>
  <c r="V7" i="5" s="1"/>
  <c r="AC49" i="3"/>
  <c r="V6" i="9" s="1"/>
  <c r="AC48" i="3"/>
  <c r="V5" i="9" s="1"/>
  <c r="AC33" i="3"/>
  <c r="V4" i="7" s="1"/>
  <c r="AC54" i="3"/>
  <c r="V4" i="10" s="1"/>
  <c r="AC37" i="3"/>
  <c r="V8" i="7" s="1"/>
  <c r="AC15" i="3"/>
  <c r="V7" i="4" s="1"/>
  <c r="AC74" i="3"/>
  <c r="V3" i="13" s="1"/>
  <c r="AC44" i="3"/>
  <c r="V8" i="8" s="1"/>
  <c r="AC87" i="3"/>
  <c r="AC91" i="3"/>
  <c r="AC81" i="3"/>
  <c r="V3" i="14" s="1"/>
  <c r="AC23" i="3"/>
  <c r="V8" i="5" s="1"/>
  <c r="AC32" i="3"/>
  <c r="V3" i="7" s="1"/>
  <c r="AC51" i="3"/>
  <c r="V8" i="9" s="1"/>
  <c r="AC58" i="3"/>
  <c r="V8" i="10" s="1"/>
  <c r="AC75" i="3"/>
  <c r="V4" i="13" s="1"/>
  <c r="AC28" i="3"/>
  <c r="V6" i="6" s="1"/>
  <c r="AC19" i="3"/>
  <c r="V4" i="5" s="1"/>
  <c r="AC78" i="3"/>
  <c r="V7" i="13" s="1"/>
  <c r="AC12" i="3"/>
  <c r="V4" i="4" s="1"/>
  <c r="AC47" i="3"/>
  <c r="V4" i="9" s="1"/>
  <c r="AC27" i="3"/>
  <c r="V5" i="6" s="1"/>
  <c r="AC71" i="3"/>
  <c r="V7" i="12" s="1"/>
  <c r="AC76" i="3"/>
  <c r="V5" i="13" s="1"/>
  <c r="AC92" i="3"/>
  <c r="AC61" i="3"/>
  <c r="V4" i="11" s="1"/>
  <c r="AC50" i="3"/>
  <c r="V7" i="9" s="1"/>
  <c r="AC65" i="3"/>
  <c r="V8" i="11" s="1"/>
  <c r="AC59" i="3"/>
  <c r="V2" i="11" s="1"/>
  <c r="AC85" i="3"/>
  <c r="V7" i="14" s="1"/>
  <c r="AC11" i="3"/>
  <c r="V3" i="4" s="1"/>
  <c r="AC52" i="3"/>
  <c r="V2" i="10" s="1"/>
  <c r="AC16" i="3"/>
  <c r="V8" i="4" s="1"/>
  <c r="AC82" i="3"/>
  <c r="V4" i="14" s="1"/>
  <c r="AC55" i="3"/>
  <c r="V5" i="10" s="1"/>
  <c r="AC24" i="3"/>
  <c r="V2" i="6" s="1"/>
  <c r="AC10" i="3"/>
  <c r="V2" i="4" s="1"/>
  <c r="AC80" i="3"/>
  <c r="V2" i="14" s="1"/>
  <c r="AC21" i="3"/>
  <c r="V6" i="5" s="1"/>
  <c r="AC14" i="3"/>
  <c r="V6" i="4" s="1"/>
  <c r="AC31" i="3"/>
  <c r="V2" i="7" s="1"/>
  <c r="AC84" i="3"/>
  <c r="V6" i="14" s="1"/>
  <c r="AC17" i="3"/>
  <c r="V2" i="5" s="1"/>
  <c r="W1" i="14" l="1"/>
  <c r="W1" i="9"/>
  <c r="W1" i="15"/>
  <c r="W1" i="12"/>
  <c r="W1" i="4"/>
  <c r="W1" i="13"/>
  <c r="W1" i="11"/>
  <c r="W1" i="8"/>
  <c r="W1" i="6"/>
  <c r="W1" i="5"/>
  <c r="AD77" i="3"/>
  <c r="W6" i="13" s="1"/>
  <c r="W1" i="7"/>
  <c r="AD67" i="3"/>
  <c r="W3" i="12" s="1"/>
  <c r="W1" i="10"/>
  <c r="AD73" i="3"/>
  <c r="W2" i="13" s="1"/>
  <c r="AD72" i="3"/>
  <c r="W8" i="12" s="1"/>
  <c r="AD39" i="3"/>
  <c r="W3" i="8" s="1"/>
  <c r="AE9" i="3"/>
  <c r="AD79" i="3"/>
  <c r="W8" i="13" s="1"/>
  <c r="AD62" i="3"/>
  <c r="W5" i="11" s="1"/>
  <c r="AD90" i="3"/>
  <c r="AD18" i="3"/>
  <c r="W3" i="5" s="1"/>
  <c r="AD38" i="3"/>
  <c r="W2" i="8" s="1"/>
  <c r="AD20" i="3"/>
  <c r="W5" i="5" s="1"/>
  <c r="AD88" i="3"/>
  <c r="AD93" i="3"/>
  <c r="AD69" i="3"/>
  <c r="W5" i="12" s="1"/>
  <c r="AD70" i="3"/>
  <c r="W6" i="12" s="1"/>
  <c r="AD56" i="3"/>
  <c r="W6" i="10" s="1"/>
  <c r="AD36" i="3"/>
  <c r="W7" i="7" s="1"/>
  <c r="AD64" i="3"/>
  <c r="W7" i="11" s="1"/>
  <c r="AD54" i="3"/>
  <c r="W4" i="10" s="1"/>
  <c r="AD71" i="3"/>
  <c r="W7" i="12" s="1"/>
  <c r="AD65" i="3"/>
  <c r="W8" i="11" s="1"/>
  <c r="AD87" i="3"/>
  <c r="AD81" i="3"/>
  <c r="W3" i="14" s="1"/>
  <c r="AD59" i="3"/>
  <c r="W2" i="11" s="1"/>
  <c r="AD12" i="3"/>
  <c r="W4" i="4" s="1"/>
  <c r="AD75" i="3"/>
  <c r="W4" i="13" s="1"/>
  <c r="AD86" i="3"/>
  <c r="W8" i="14" s="1"/>
  <c r="AD91" i="3"/>
  <c r="AD92" i="3"/>
  <c r="AD44" i="3"/>
  <c r="W8" i="8" s="1"/>
  <c r="AD50" i="3"/>
  <c r="W7" i="9" s="1"/>
  <c r="AD68" i="3"/>
  <c r="W4" i="12" s="1"/>
  <c r="AD61" i="3"/>
  <c r="W4" i="11" s="1"/>
  <c r="AD48" i="3"/>
  <c r="W5" i="9" s="1"/>
  <c r="AD40" i="3"/>
  <c r="W4" i="8" s="1"/>
  <c r="AD43" i="3"/>
  <c r="W7" i="8" s="1"/>
  <c r="AD35" i="3"/>
  <c r="W6" i="7" s="1"/>
  <c r="AD37" i="3"/>
  <c r="W8" i="7" s="1"/>
  <c r="AD25" i="3"/>
  <c r="W3" i="6" s="1"/>
  <c r="AD51" i="3"/>
  <c r="W8" i="9" s="1"/>
  <c r="AD34" i="3"/>
  <c r="W5" i="7" s="1"/>
  <c r="AD76" i="3"/>
  <c r="W5" i="13" s="1"/>
  <c r="AD26" i="3"/>
  <c r="W4" i="6" s="1"/>
  <c r="AD29" i="3"/>
  <c r="W7" i="6" s="1"/>
  <c r="AD45" i="3"/>
  <c r="W2" i="9" s="1"/>
  <c r="AD60" i="3"/>
  <c r="W3" i="11" s="1"/>
  <c r="AD42" i="3"/>
  <c r="W6" i="8" s="1"/>
  <c r="AD22" i="3"/>
  <c r="W7" i="5" s="1"/>
  <c r="AD30" i="3"/>
  <c r="W8" i="6" s="1"/>
  <c r="AD28" i="3"/>
  <c r="W6" i="6" s="1"/>
  <c r="AD49" i="3"/>
  <c r="W6" i="9" s="1"/>
  <c r="AD27" i="3"/>
  <c r="W5" i="6" s="1"/>
  <c r="AD23" i="3"/>
  <c r="W8" i="5" s="1"/>
  <c r="AD83" i="3"/>
  <c r="W5" i="14" s="1"/>
  <c r="AD57" i="3"/>
  <c r="W7" i="10" s="1"/>
  <c r="AD15" i="3"/>
  <c r="W7" i="4" s="1"/>
  <c r="AD13" i="3"/>
  <c r="W5" i="4" s="1"/>
  <c r="AD63" i="3"/>
  <c r="W6" i="11" s="1"/>
  <c r="AD32" i="3"/>
  <c r="W3" i="7" s="1"/>
  <c r="AD66" i="3"/>
  <c r="W2" i="12" s="1"/>
  <c r="AD53" i="3"/>
  <c r="W3" i="10" s="1"/>
  <c r="AD89" i="3"/>
  <c r="AD46" i="3"/>
  <c r="W3" i="9" s="1"/>
  <c r="AD47" i="3"/>
  <c r="W4" i="9" s="1"/>
  <c r="AD19" i="3"/>
  <c r="W4" i="5" s="1"/>
  <c r="AD33" i="3"/>
  <c r="W4" i="7" s="1"/>
  <c r="AD41" i="3"/>
  <c r="W5" i="8" s="1"/>
  <c r="AD58" i="3"/>
  <c r="W8" i="10" s="1"/>
  <c r="AD78" i="3"/>
  <c r="W7" i="13" s="1"/>
  <c r="AD74" i="3"/>
  <c r="W3" i="13" s="1"/>
  <c r="AD82" i="3"/>
  <c r="W4" i="14" s="1"/>
  <c r="AD16" i="3"/>
  <c r="W8" i="4" s="1"/>
  <c r="AD85" i="3"/>
  <c r="W7" i="14" s="1"/>
  <c r="AD52" i="3"/>
  <c r="W2" i="10" s="1"/>
  <c r="AD11" i="3"/>
  <c r="W3" i="4" s="1"/>
  <c r="AD55" i="3"/>
  <c r="W5" i="10" s="1"/>
  <c r="AD80" i="3"/>
  <c r="W2" i="14" s="1"/>
  <c r="AD84" i="3"/>
  <c r="W6" i="14" s="1"/>
  <c r="AD17" i="3"/>
  <c r="W2" i="5" s="1"/>
  <c r="AD14" i="3"/>
  <c r="W6" i="4" s="1"/>
  <c r="AD21" i="3"/>
  <c r="W6" i="5" s="1"/>
  <c r="AD31" i="3"/>
  <c r="W2" i="7" s="1"/>
  <c r="AD24" i="3"/>
  <c r="W2" i="6" s="1"/>
  <c r="AD10" i="3"/>
  <c r="W2" i="4" s="1"/>
  <c r="X1" i="15" l="1"/>
  <c r="X1" i="10"/>
  <c r="X1" i="12"/>
  <c r="X1" i="9"/>
  <c r="X1" i="14"/>
  <c r="X1" i="4"/>
  <c r="X1" i="13"/>
  <c r="X1" i="11"/>
  <c r="X1" i="7"/>
  <c r="AE75" i="3"/>
  <c r="X4" i="13" s="1"/>
  <c r="AE60" i="3"/>
  <c r="X3" i="11" s="1"/>
  <c r="X1" i="5"/>
  <c r="AE73" i="3"/>
  <c r="X2" i="13" s="1"/>
  <c r="AE57" i="3"/>
  <c r="X7" i="10" s="1"/>
  <c r="AE72" i="3"/>
  <c r="X8" i="12" s="1"/>
  <c r="X1" i="6"/>
  <c r="AF9" i="3"/>
  <c r="AE88" i="3"/>
  <c r="AE90" i="3"/>
  <c r="AE39" i="3"/>
  <c r="X3" i="8" s="1"/>
  <c r="AE71" i="3"/>
  <c r="X7" i="12" s="1"/>
  <c r="AE89" i="3"/>
  <c r="X1" i="8"/>
  <c r="AE70" i="3"/>
  <c r="X6" i="12" s="1"/>
  <c r="AE38" i="3"/>
  <c r="X2" i="8" s="1"/>
  <c r="AE81" i="3"/>
  <c r="X3" i="14" s="1"/>
  <c r="AE69" i="3"/>
  <c r="X5" i="12" s="1"/>
  <c r="AE20" i="3"/>
  <c r="X5" i="5" s="1"/>
  <c r="AE78" i="3"/>
  <c r="X7" i="13" s="1"/>
  <c r="AE64" i="3"/>
  <c r="X7" i="11" s="1"/>
  <c r="AE36" i="3"/>
  <c r="X7" i="7" s="1"/>
  <c r="AE13" i="3"/>
  <c r="X5" i="4" s="1"/>
  <c r="AE56" i="3"/>
  <c r="X6" i="10" s="1"/>
  <c r="AE54" i="3"/>
  <c r="X4" i="10" s="1"/>
  <c r="AE25" i="3"/>
  <c r="X3" i="6" s="1"/>
  <c r="AE61" i="3"/>
  <c r="X4" i="11" s="1"/>
  <c r="AE27" i="3"/>
  <c r="X5" i="6" s="1"/>
  <c r="AE35" i="3"/>
  <c r="X6" i="7" s="1"/>
  <c r="AE30" i="3"/>
  <c r="X8" i="6" s="1"/>
  <c r="AE63" i="3"/>
  <c r="X6" i="11" s="1"/>
  <c r="AE92" i="3"/>
  <c r="AE67" i="3"/>
  <c r="X3" i="12" s="1"/>
  <c r="AE45" i="3"/>
  <c r="X2" i="9" s="1"/>
  <c r="AE59" i="3"/>
  <c r="X2" i="11" s="1"/>
  <c r="AE34" i="3"/>
  <c r="X5" i="7" s="1"/>
  <c r="AE86" i="3"/>
  <c r="X8" i="14" s="1"/>
  <c r="AE62" i="3"/>
  <c r="X5" i="11" s="1"/>
  <c r="AE18" i="3"/>
  <c r="X3" i="5" s="1"/>
  <c r="AE51" i="3"/>
  <c r="X8" i="9" s="1"/>
  <c r="AE41" i="3"/>
  <c r="X5" i="8" s="1"/>
  <c r="AE77" i="3"/>
  <c r="X6" i="13" s="1"/>
  <c r="AE58" i="3"/>
  <c r="X8" i="10" s="1"/>
  <c r="AE33" i="3"/>
  <c r="X4" i="7" s="1"/>
  <c r="AE29" i="3"/>
  <c r="X7" i="6" s="1"/>
  <c r="AE79" i="3"/>
  <c r="X8" i="13" s="1"/>
  <c r="AE28" i="3"/>
  <c r="X6" i="6" s="1"/>
  <c r="AE47" i="3"/>
  <c r="X4" i="9" s="1"/>
  <c r="AE19" i="3"/>
  <c r="X4" i="5" s="1"/>
  <c r="AE76" i="3"/>
  <c r="X5" i="13" s="1"/>
  <c r="AE37" i="3"/>
  <c r="X8" i="7" s="1"/>
  <c r="AE48" i="3"/>
  <c r="X5" i="9" s="1"/>
  <c r="AE12" i="3"/>
  <c r="X4" i="4" s="1"/>
  <c r="AE42" i="3"/>
  <c r="X6" i="8" s="1"/>
  <c r="AE44" i="3"/>
  <c r="X8" i="8" s="1"/>
  <c r="AE26" i="3"/>
  <c r="X4" i="6" s="1"/>
  <c r="AE91" i="3"/>
  <c r="AE49" i="3"/>
  <c r="X6" i="9" s="1"/>
  <c r="AE68" i="3"/>
  <c r="X4" i="12" s="1"/>
  <c r="AE52" i="3"/>
  <c r="X2" i="10" s="1"/>
  <c r="AE83" i="3"/>
  <c r="X5" i="14" s="1"/>
  <c r="AE53" i="3"/>
  <c r="X3" i="10" s="1"/>
  <c r="AE32" i="3"/>
  <c r="X3" i="7" s="1"/>
  <c r="AE87" i="3"/>
  <c r="AE40" i="3"/>
  <c r="X4" i="8" s="1"/>
  <c r="AE46" i="3"/>
  <c r="X3" i="9" s="1"/>
  <c r="AE93" i="3"/>
  <c r="AE74" i="3"/>
  <c r="X3" i="13" s="1"/>
  <c r="AE22" i="3"/>
  <c r="X7" i="5" s="1"/>
  <c r="AE65" i="3"/>
  <c r="X8" i="11" s="1"/>
  <c r="AE50" i="3"/>
  <c r="X7" i="9" s="1"/>
  <c r="AE43" i="3"/>
  <c r="X7" i="8" s="1"/>
  <c r="AE15" i="3"/>
  <c r="X7" i="4" s="1"/>
  <c r="AE23" i="3"/>
  <c r="X8" i="5" s="1"/>
  <c r="AE66" i="3"/>
  <c r="X2" i="12" s="1"/>
  <c r="AE16" i="3"/>
  <c r="X8" i="4" s="1"/>
  <c r="AE85" i="3"/>
  <c r="X7" i="14" s="1"/>
  <c r="AE82" i="3"/>
  <c r="X4" i="14" s="1"/>
  <c r="AE11" i="3"/>
  <c r="X3" i="4" s="1"/>
  <c r="AE55" i="3"/>
  <c r="X5" i="10" s="1"/>
  <c r="AE31" i="3"/>
  <c r="X2" i="7" s="1"/>
  <c r="AE14" i="3"/>
  <c r="X6" i="4" s="1"/>
  <c r="AE84" i="3"/>
  <c r="X6" i="14" s="1"/>
  <c r="AE24" i="3"/>
  <c r="X2" i="6" s="1"/>
  <c r="AE21" i="3"/>
  <c r="X6" i="5" s="1"/>
  <c r="AE80" i="3"/>
  <c r="X2" i="14" s="1"/>
  <c r="AE17" i="3"/>
  <c r="X2" i="5" s="1"/>
  <c r="AE10" i="3"/>
  <c r="X2" i="4" s="1"/>
  <c r="Y1" i="15" l="1"/>
  <c r="Y1" i="10"/>
  <c r="Y1" i="9"/>
  <c r="Y1" i="4"/>
  <c r="Y1" i="13"/>
  <c r="Y1" i="8"/>
  <c r="Y1" i="5"/>
  <c r="Y1" i="12"/>
  <c r="Y1" i="11"/>
  <c r="AF67" i="3"/>
  <c r="Y3" i="12" s="1"/>
  <c r="AF63" i="3"/>
  <c r="Y6" i="11" s="1"/>
  <c r="AF66" i="3"/>
  <c r="Y2" i="12" s="1"/>
  <c r="Y1" i="14"/>
  <c r="AF79" i="3"/>
  <c r="Y8" i="13" s="1"/>
  <c r="Y1" i="6"/>
  <c r="AF38" i="3"/>
  <c r="Y2" i="8" s="1"/>
  <c r="AF60" i="3"/>
  <c r="Y3" i="11" s="1"/>
  <c r="AF40" i="3"/>
  <c r="Y4" i="8" s="1"/>
  <c r="AG9" i="3"/>
  <c r="Y1" i="7"/>
  <c r="AF50" i="3"/>
  <c r="Y7" i="9" s="1"/>
  <c r="AF45" i="3"/>
  <c r="Y2" i="9" s="1"/>
  <c r="AF27" i="3"/>
  <c r="Y5" i="6" s="1"/>
  <c r="AF23" i="3"/>
  <c r="Y8" i="5" s="1"/>
  <c r="AF75" i="3"/>
  <c r="Y4" i="13" s="1"/>
  <c r="AF89" i="3"/>
  <c r="AF93" i="3"/>
  <c r="AF77" i="3"/>
  <c r="Y6" i="13" s="1"/>
  <c r="AF70" i="3"/>
  <c r="Y6" i="12" s="1"/>
  <c r="AF81" i="3"/>
  <c r="Y3" i="14" s="1"/>
  <c r="AF69" i="3"/>
  <c r="Y5" i="12" s="1"/>
  <c r="AF20" i="3"/>
  <c r="Y5" i="5" s="1"/>
  <c r="AF64" i="3"/>
  <c r="Y7" i="11" s="1"/>
  <c r="AF46" i="3"/>
  <c r="Y3" i="9" s="1"/>
  <c r="AF56" i="3"/>
  <c r="Y6" i="10" s="1"/>
  <c r="AF13" i="3"/>
  <c r="Y5" i="4" s="1"/>
  <c r="AF71" i="3"/>
  <c r="Y7" i="12" s="1"/>
  <c r="AF44" i="3"/>
  <c r="Y8" i="8" s="1"/>
  <c r="AF33" i="3"/>
  <c r="Y4" i="7" s="1"/>
  <c r="AF54" i="3"/>
  <c r="Y4" i="10" s="1"/>
  <c r="AF36" i="3"/>
  <c r="Y7" i="7" s="1"/>
  <c r="AF59" i="3"/>
  <c r="Y2" i="11" s="1"/>
  <c r="AF28" i="3"/>
  <c r="Y6" i="6" s="1"/>
  <c r="AF72" i="3"/>
  <c r="Y8" i="12" s="1"/>
  <c r="AF32" i="3"/>
  <c r="Y3" i="7" s="1"/>
  <c r="AF47" i="3"/>
  <c r="Y4" i="9" s="1"/>
  <c r="AF65" i="3"/>
  <c r="Y8" i="11" s="1"/>
  <c r="AF29" i="3"/>
  <c r="Y7" i="6" s="1"/>
  <c r="AF43" i="3"/>
  <c r="Y7" i="8" s="1"/>
  <c r="AF37" i="3"/>
  <c r="Y8" i="7" s="1"/>
  <c r="AF68" i="3"/>
  <c r="Y4" i="12" s="1"/>
  <c r="AF42" i="3"/>
  <c r="Y6" i="8" s="1"/>
  <c r="AF58" i="3"/>
  <c r="Y8" i="10" s="1"/>
  <c r="AF41" i="3"/>
  <c r="Y5" i="8" s="1"/>
  <c r="AF51" i="3"/>
  <c r="Y8" i="9" s="1"/>
  <c r="AF30" i="3"/>
  <c r="Y8" i="6" s="1"/>
  <c r="AF61" i="3"/>
  <c r="Y4" i="11" s="1"/>
  <c r="AF35" i="3"/>
  <c r="Y6" i="7" s="1"/>
  <c r="AF76" i="3"/>
  <c r="Y5" i="13" s="1"/>
  <c r="AF19" i="3"/>
  <c r="Y4" i="5" s="1"/>
  <c r="AF18" i="3"/>
  <c r="Y3" i="5" s="1"/>
  <c r="AF90" i="3"/>
  <c r="AF91" i="3"/>
  <c r="AF83" i="3"/>
  <c r="Y5" i="14" s="1"/>
  <c r="AF73" i="3"/>
  <c r="Y2" i="13" s="1"/>
  <c r="AF39" i="3"/>
  <c r="Y3" i="8" s="1"/>
  <c r="AF48" i="3"/>
  <c r="Y5" i="9" s="1"/>
  <c r="AF34" i="3"/>
  <c r="Y5" i="7" s="1"/>
  <c r="AF53" i="3"/>
  <c r="Y3" i="10" s="1"/>
  <c r="AF49" i="3"/>
  <c r="Y6" i="9" s="1"/>
  <c r="AF78" i="3"/>
  <c r="Y7" i="13" s="1"/>
  <c r="AF88" i="3"/>
  <c r="AF22" i="3"/>
  <c r="Y7" i="5" s="1"/>
  <c r="AF57" i="3"/>
  <c r="Y7" i="10" s="1"/>
  <c r="AF86" i="3"/>
  <c r="Y8" i="14" s="1"/>
  <c r="AF87" i="3"/>
  <c r="AF74" i="3"/>
  <c r="Y3" i="13" s="1"/>
  <c r="AF62" i="3"/>
  <c r="Y5" i="11" s="1"/>
  <c r="AF15" i="3"/>
  <c r="Y7" i="4" s="1"/>
  <c r="AF26" i="3"/>
  <c r="Y4" i="6" s="1"/>
  <c r="AF92" i="3"/>
  <c r="AF25" i="3"/>
  <c r="Y3" i="6" s="1"/>
  <c r="AF12" i="3"/>
  <c r="Y4" i="4" s="1"/>
  <c r="AF85" i="3"/>
  <c r="Y7" i="14" s="1"/>
  <c r="AF82" i="3"/>
  <c r="Y4" i="14" s="1"/>
  <c r="AF16" i="3"/>
  <c r="Y8" i="4" s="1"/>
  <c r="AF11" i="3"/>
  <c r="Y3" i="4" s="1"/>
  <c r="AF52" i="3"/>
  <c r="Y2" i="10" s="1"/>
  <c r="AF55" i="3"/>
  <c r="Y5" i="10" s="1"/>
  <c r="AF10" i="3"/>
  <c r="Y2" i="4" s="1"/>
  <c r="AF84" i="3"/>
  <c r="Y6" i="14" s="1"/>
  <c r="AF24" i="3"/>
  <c r="Y2" i="6" s="1"/>
  <c r="AF14" i="3"/>
  <c r="Y6" i="4" s="1"/>
  <c r="AF31" i="3"/>
  <c r="Y2" i="7" s="1"/>
  <c r="AF17" i="3"/>
  <c r="Y2" i="5" s="1"/>
  <c r="AF80" i="3"/>
  <c r="Y2" i="14" s="1"/>
  <c r="AF21" i="3"/>
  <c r="Y6" i="5" s="1"/>
  <c r="Z1" i="15" l="1"/>
  <c r="Z1" i="10"/>
  <c r="Z1" i="8"/>
  <c r="Z1" i="13"/>
  <c r="Z1" i="5"/>
  <c r="Z1" i="12"/>
  <c r="Z1" i="11"/>
  <c r="Z1" i="7"/>
  <c r="Z1" i="14"/>
  <c r="AG57" i="3"/>
  <c r="Z7" i="10" s="1"/>
  <c r="AG72" i="3"/>
  <c r="Z8" i="12" s="1"/>
  <c r="Z1" i="6"/>
  <c r="AG77" i="3"/>
  <c r="Z6" i="13" s="1"/>
  <c r="AG60" i="3"/>
  <c r="Z3" i="11" s="1"/>
  <c r="AG79" i="3"/>
  <c r="Z8" i="13" s="1"/>
  <c r="AG40" i="3"/>
  <c r="Z4" i="8" s="1"/>
  <c r="AH9" i="3"/>
  <c r="AG67" i="3"/>
  <c r="Z3" i="12" s="1"/>
  <c r="AG83" i="3"/>
  <c r="Z5" i="14" s="1"/>
  <c r="AG93" i="3"/>
  <c r="AG70" i="3"/>
  <c r="Z6" i="12" s="1"/>
  <c r="AG81" i="3"/>
  <c r="Z3" i="14" s="1"/>
  <c r="AG45" i="3"/>
  <c r="Z2" i="9" s="1"/>
  <c r="AG63" i="3"/>
  <c r="Z6" i="11" s="1"/>
  <c r="AG89" i="3"/>
  <c r="AG69" i="3"/>
  <c r="Z5" i="12" s="1"/>
  <c r="AG20" i="3"/>
  <c r="Z5" i="5" s="1"/>
  <c r="AG33" i="3"/>
  <c r="Z4" i="7" s="1"/>
  <c r="AG50" i="3"/>
  <c r="Z7" i="9" s="1"/>
  <c r="AG44" i="3"/>
  <c r="Z8" i="8" s="1"/>
  <c r="AG64" i="3"/>
  <c r="Z7" i="11" s="1"/>
  <c r="Z1" i="4"/>
  <c r="AG78" i="3"/>
  <c r="Z7" i="13" s="1"/>
  <c r="AG56" i="3"/>
  <c r="Z6" i="10" s="1"/>
  <c r="AG25" i="3"/>
  <c r="Z3" i="6" s="1"/>
  <c r="AG13" i="3"/>
  <c r="Z5" i="4" s="1"/>
  <c r="AG46" i="3"/>
  <c r="Z3" i="9" s="1"/>
  <c r="AG54" i="3"/>
  <c r="Z4" i="10" s="1"/>
  <c r="AG58" i="3"/>
  <c r="Z8" i="10" s="1"/>
  <c r="Z1" i="9"/>
  <c r="AG37" i="3"/>
  <c r="Z8" i="7" s="1"/>
  <c r="AG68" i="3"/>
  <c r="Z4" i="12" s="1"/>
  <c r="AG42" i="3"/>
  <c r="Z6" i="8" s="1"/>
  <c r="AG91" i="3"/>
  <c r="AG35" i="3"/>
  <c r="Z6" i="7" s="1"/>
  <c r="AG76" i="3"/>
  <c r="Z5" i="13" s="1"/>
  <c r="AG34" i="3"/>
  <c r="Z5" i="7" s="1"/>
  <c r="AG61" i="3"/>
  <c r="Z4" i="11" s="1"/>
  <c r="AG12" i="3"/>
  <c r="Z4" i="4" s="1"/>
  <c r="AG29" i="3"/>
  <c r="Z7" i="6" s="1"/>
  <c r="AG41" i="3"/>
  <c r="Z5" i="8" s="1"/>
  <c r="AG27" i="3"/>
  <c r="Z5" i="6" s="1"/>
  <c r="AG19" i="3"/>
  <c r="Z4" i="5" s="1"/>
  <c r="AG15" i="3"/>
  <c r="Z7" i="4" s="1"/>
  <c r="AG43" i="3"/>
  <c r="Z7" i="8" s="1"/>
  <c r="AG66" i="3"/>
  <c r="Z2" i="12" s="1"/>
  <c r="AG49" i="3"/>
  <c r="Z6" i="9" s="1"/>
  <c r="AG75" i="3"/>
  <c r="Z4" i="13" s="1"/>
  <c r="AG92" i="3"/>
  <c r="AG30" i="3"/>
  <c r="Z8" i="6" s="1"/>
  <c r="AG59" i="3"/>
  <c r="Z2" i="11" s="1"/>
  <c r="AG36" i="3"/>
  <c r="Z7" i="7" s="1"/>
  <c r="AG71" i="3"/>
  <c r="Z7" i="12" s="1"/>
  <c r="AG32" i="3"/>
  <c r="Z3" i="7" s="1"/>
  <c r="AG51" i="3"/>
  <c r="Z8" i="9" s="1"/>
  <c r="AG23" i="3"/>
  <c r="Z8" i="5" s="1"/>
  <c r="AG65" i="3"/>
  <c r="Z8" i="11" s="1"/>
  <c r="AG38" i="3"/>
  <c r="Z2" i="8" s="1"/>
  <c r="AG48" i="3"/>
  <c r="Z5" i="9" s="1"/>
  <c r="AG86" i="3"/>
  <c r="Z8" i="14" s="1"/>
  <c r="AG18" i="3"/>
  <c r="Z3" i="5" s="1"/>
  <c r="AG88" i="3"/>
  <c r="AG87" i="3"/>
  <c r="AG47" i="3"/>
  <c r="Z4" i="9" s="1"/>
  <c r="AG26" i="3"/>
  <c r="Z4" i="6" s="1"/>
  <c r="AG39" i="3"/>
  <c r="Z3" i="8" s="1"/>
  <c r="AG22" i="3"/>
  <c r="Z7" i="5" s="1"/>
  <c r="AG74" i="3"/>
  <c r="Z3" i="13" s="1"/>
  <c r="AG90" i="3"/>
  <c r="AG28" i="3"/>
  <c r="Z6" i="6" s="1"/>
  <c r="AG62" i="3"/>
  <c r="Z5" i="11" s="1"/>
  <c r="AG73" i="3"/>
  <c r="Z2" i="13" s="1"/>
  <c r="AG53" i="3"/>
  <c r="Z3" i="10" s="1"/>
  <c r="AG85" i="3"/>
  <c r="Z7" i="14" s="1"/>
  <c r="AG52" i="3"/>
  <c r="Z2" i="10" s="1"/>
  <c r="AG16" i="3"/>
  <c r="Z8" i="4" s="1"/>
  <c r="AG11" i="3"/>
  <c r="Z3" i="4" s="1"/>
  <c r="AG82" i="3"/>
  <c r="Z4" i="14" s="1"/>
  <c r="AG55" i="3"/>
  <c r="Z5" i="10" s="1"/>
  <c r="AG80" i="3"/>
  <c r="Z2" i="14" s="1"/>
  <c r="AG84" i="3"/>
  <c r="Z6" i="14" s="1"/>
  <c r="AG21" i="3"/>
  <c r="Z6" i="5" s="1"/>
  <c r="AG24" i="3"/>
  <c r="Z2" i="6" s="1"/>
  <c r="AG14" i="3"/>
  <c r="Z6" i="4" s="1"/>
  <c r="AG31" i="3"/>
  <c r="Z2" i="7" s="1"/>
  <c r="AG10" i="3"/>
  <c r="Z2" i="4" s="1"/>
  <c r="AG17" i="3"/>
  <c r="Z2" i="5" s="1"/>
  <c r="AA1" i="15" l="1"/>
  <c r="AA1" i="10"/>
  <c r="AA1" i="8"/>
  <c r="AA1" i="5"/>
  <c r="AA1" i="12"/>
  <c r="AA1" i="11"/>
  <c r="AA1" i="7"/>
  <c r="AH92" i="3"/>
  <c r="AA1" i="14"/>
  <c r="AA1" i="9"/>
  <c r="AH67" i="3"/>
  <c r="AA3" i="12" s="1"/>
  <c r="AH50" i="3"/>
  <c r="AA7" i="9" s="1"/>
  <c r="AH45" i="3"/>
  <c r="AA2" i="9" s="1"/>
  <c r="AH60" i="3"/>
  <c r="AA3" i="11" s="1"/>
  <c r="AH18" i="3"/>
  <c r="AA3" i="5" s="1"/>
  <c r="AH79" i="3"/>
  <c r="AA8" i="13" s="1"/>
  <c r="AH40" i="3"/>
  <c r="AA4" i="8" s="1"/>
  <c r="AI9" i="3"/>
  <c r="AA1" i="4"/>
  <c r="AA1" i="6"/>
  <c r="AH41" i="3"/>
  <c r="AA5" i="8" s="1"/>
  <c r="AH93" i="3"/>
  <c r="AH70" i="3"/>
  <c r="AA6" i="12" s="1"/>
  <c r="AH27" i="3"/>
  <c r="AA5" i="6" s="1"/>
  <c r="AH13" i="3"/>
  <c r="AA5" i="4" s="1"/>
  <c r="AA1" i="13"/>
  <c r="AH77" i="3"/>
  <c r="AA6" i="13" s="1"/>
  <c r="AH89" i="3"/>
  <c r="AH20" i="3"/>
  <c r="AA5" i="5" s="1"/>
  <c r="AH83" i="3"/>
  <c r="AA5" i="14" s="1"/>
  <c r="AH81" i="3"/>
  <c r="AA3" i="14" s="1"/>
  <c r="AH69" i="3"/>
  <c r="AA5" i="12" s="1"/>
  <c r="AH57" i="3"/>
  <c r="AA7" i="10" s="1"/>
  <c r="AH23" i="3"/>
  <c r="AA8" i="5" s="1"/>
  <c r="AH33" i="3"/>
  <c r="AA4" i="7" s="1"/>
  <c r="AH64" i="3"/>
  <c r="AA7" i="11" s="1"/>
  <c r="AH44" i="3"/>
  <c r="AA8" i="8" s="1"/>
  <c r="AH48" i="3"/>
  <c r="AA5" i="9" s="1"/>
  <c r="AH46" i="3"/>
  <c r="AA3" i="9" s="1"/>
  <c r="AH71" i="3"/>
  <c r="AA7" i="12" s="1"/>
  <c r="AH78" i="3"/>
  <c r="AA7" i="13" s="1"/>
  <c r="AH56" i="3"/>
  <c r="AA6" i="10" s="1"/>
  <c r="AH75" i="3"/>
  <c r="AA4" i="13" s="1"/>
  <c r="AH58" i="3"/>
  <c r="AA8" i="10" s="1"/>
  <c r="AH54" i="3"/>
  <c r="AA4" i="10" s="1"/>
  <c r="AH19" i="3"/>
  <c r="AA4" i="5" s="1"/>
  <c r="AH43" i="3"/>
  <c r="AA7" i="8" s="1"/>
  <c r="AH32" i="3"/>
  <c r="AA3" i="7" s="1"/>
  <c r="AH30" i="3"/>
  <c r="AA8" i="6" s="1"/>
  <c r="AH39" i="3"/>
  <c r="AA3" i="8" s="1"/>
  <c r="AH74" i="3"/>
  <c r="AA3" i="13" s="1"/>
  <c r="AH15" i="3"/>
  <c r="AA7" i="4" s="1"/>
  <c r="AH59" i="3"/>
  <c r="AA2" i="11" s="1"/>
  <c r="AH91" i="3"/>
  <c r="AH63" i="3"/>
  <c r="AA6" i="11" s="1"/>
  <c r="AH90" i="3"/>
  <c r="AH29" i="3"/>
  <c r="AA7" i="6" s="1"/>
  <c r="AH51" i="3"/>
  <c r="AA8" i="9" s="1"/>
  <c r="AH61" i="3"/>
  <c r="AA4" i="11" s="1"/>
  <c r="AH87" i="3"/>
  <c r="AH38" i="3"/>
  <c r="AA2" i="8" s="1"/>
  <c r="AH12" i="3"/>
  <c r="AA4" i="4" s="1"/>
  <c r="AH47" i="3"/>
  <c r="AA4" i="9" s="1"/>
  <c r="AH42" i="3"/>
  <c r="AA6" i="8" s="1"/>
  <c r="AH88" i="3"/>
  <c r="AH72" i="3"/>
  <c r="AA8" i="12" s="1"/>
  <c r="AH36" i="3"/>
  <c r="AA7" i="7" s="1"/>
  <c r="AH26" i="3"/>
  <c r="AA4" i="6" s="1"/>
  <c r="AH37" i="3"/>
  <c r="AA8" i="7" s="1"/>
  <c r="AH34" i="3"/>
  <c r="AA5" i="7" s="1"/>
  <c r="AH73" i="3"/>
  <c r="AA2" i="13" s="1"/>
  <c r="AH68" i="3"/>
  <c r="AA4" i="12" s="1"/>
  <c r="AH49" i="3"/>
  <c r="AA6" i="9" s="1"/>
  <c r="AH22" i="3"/>
  <c r="AA7" i="5" s="1"/>
  <c r="AH76" i="3"/>
  <c r="AA5" i="13" s="1"/>
  <c r="AH65" i="3"/>
  <c r="AA8" i="11" s="1"/>
  <c r="AH35" i="3"/>
  <c r="AA6" i="7" s="1"/>
  <c r="AH25" i="3"/>
  <c r="AA3" i="6" s="1"/>
  <c r="AH86" i="3"/>
  <c r="AA8" i="14" s="1"/>
  <c r="AH53" i="3"/>
  <c r="AA3" i="10" s="1"/>
  <c r="AH62" i="3"/>
  <c r="AA5" i="11" s="1"/>
  <c r="AH66" i="3"/>
  <c r="AA2" i="12" s="1"/>
  <c r="AH28" i="3"/>
  <c r="AA6" i="6" s="1"/>
  <c r="AH85" i="3"/>
  <c r="AA7" i="14" s="1"/>
  <c r="AH16" i="3"/>
  <c r="AA8" i="4" s="1"/>
  <c r="AH52" i="3"/>
  <c r="AA2" i="10" s="1"/>
  <c r="AH82" i="3"/>
  <c r="AA4" i="14" s="1"/>
  <c r="AH11" i="3"/>
  <c r="AA3" i="4" s="1"/>
  <c r="AH55" i="3"/>
  <c r="AA5" i="10" s="1"/>
  <c r="AH14" i="3"/>
  <c r="AA6" i="4" s="1"/>
  <c r="AH84" i="3"/>
  <c r="AA6" i="14" s="1"/>
  <c r="AH80" i="3"/>
  <c r="AA2" i="14" s="1"/>
  <c r="AH17" i="3"/>
  <c r="AA2" i="5" s="1"/>
  <c r="AH24" i="3"/>
  <c r="AA2" i="6" s="1"/>
  <c r="AH21" i="3"/>
  <c r="AA6" i="5" s="1"/>
  <c r="AH31" i="3"/>
  <c r="AA2" i="7" s="1"/>
  <c r="AH10" i="3"/>
  <c r="AA2" i="4" s="1"/>
  <c r="AB1" i="11" l="1"/>
  <c r="AB1" i="15"/>
  <c r="AB1" i="8"/>
  <c r="AB1" i="10"/>
  <c r="AB1" i="5"/>
  <c r="AB1" i="12"/>
  <c r="AI90" i="3"/>
  <c r="AB1" i="7"/>
  <c r="AI79" i="3"/>
  <c r="AB8" i="13" s="1"/>
  <c r="AB1" i="13"/>
  <c r="AB1" i="6"/>
  <c r="AB1" i="14"/>
  <c r="AI63" i="3"/>
  <c r="AB6" i="11" s="1"/>
  <c r="AI57" i="3"/>
  <c r="AB7" i="10" s="1"/>
  <c r="AI60" i="3"/>
  <c r="AB3" i="11" s="1"/>
  <c r="AI18" i="3"/>
  <c r="AB3" i="5" s="1"/>
  <c r="AI40" i="3"/>
  <c r="AB4" i="8" s="1"/>
  <c r="AB1" i="4"/>
  <c r="AI69" i="3"/>
  <c r="AB5" i="12" s="1"/>
  <c r="AI67" i="3"/>
  <c r="AB3" i="12" s="1"/>
  <c r="AI77" i="3"/>
  <c r="AB6" i="13" s="1"/>
  <c r="AI20" i="3"/>
  <c r="AB5" i="5" s="1"/>
  <c r="AI71" i="3"/>
  <c r="AB7" i="12" s="1"/>
  <c r="AI74" i="3"/>
  <c r="AB3" i="13" s="1"/>
  <c r="AI89" i="3"/>
  <c r="AI45" i="3"/>
  <c r="AB2" i="9" s="1"/>
  <c r="AI43" i="3"/>
  <c r="AB7" i="8" s="1"/>
  <c r="AI83" i="3"/>
  <c r="AB5" i="14" s="1"/>
  <c r="AI27" i="3"/>
  <c r="AB5" i="6" s="1"/>
  <c r="AI33" i="3"/>
  <c r="AB4" i="7" s="1"/>
  <c r="AI78" i="3"/>
  <c r="AB7" i="13" s="1"/>
  <c r="AI81" i="3"/>
  <c r="AB3" i="14" s="1"/>
  <c r="AI13" i="3"/>
  <c r="AB5" i="4" s="1"/>
  <c r="AI64" i="3"/>
  <c r="AB7" i="11" s="1"/>
  <c r="AI56" i="3"/>
  <c r="AB6" i="10" s="1"/>
  <c r="AI58" i="3"/>
  <c r="AB8" i="10" s="1"/>
  <c r="AI34" i="3"/>
  <c r="AB5" i="7" s="1"/>
  <c r="AI50" i="3"/>
  <c r="AB7" i="9" s="1"/>
  <c r="AI70" i="3"/>
  <c r="AB6" i="12" s="1"/>
  <c r="AI48" i="3"/>
  <c r="AB5" i="9" s="1"/>
  <c r="AI46" i="3"/>
  <c r="AB3" i="9" s="1"/>
  <c r="AB1" i="9"/>
  <c r="AI75" i="3"/>
  <c r="AB4" i="13" s="1"/>
  <c r="AI35" i="3"/>
  <c r="AB6" i="7" s="1"/>
  <c r="AI61" i="3"/>
  <c r="AB4" i="11" s="1"/>
  <c r="AI73" i="3"/>
  <c r="AB2" i="13" s="1"/>
  <c r="AI92" i="3"/>
  <c r="AI36" i="3"/>
  <c r="AB7" i="7" s="1"/>
  <c r="AI87" i="3"/>
  <c r="AI53" i="3"/>
  <c r="AB3" i="10" s="1"/>
  <c r="AI15" i="3"/>
  <c r="AB7" i="4" s="1"/>
  <c r="AI54" i="3"/>
  <c r="AB4" i="10" s="1"/>
  <c r="AI59" i="3"/>
  <c r="AB2" i="11" s="1"/>
  <c r="AI38" i="3"/>
  <c r="AB2" i="8" s="1"/>
  <c r="AI29" i="3"/>
  <c r="AB7" i="6" s="1"/>
  <c r="AI25" i="3"/>
  <c r="AB3" i="6" s="1"/>
  <c r="AI88" i="3"/>
  <c r="AI93" i="3"/>
  <c r="AI22" i="3"/>
  <c r="AB7" i="5" s="1"/>
  <c r="AI49" i="3"/>
  <c r="AB6" i="9" s="1"/>
  <c r="AI41" i="3"/>
  <c r="AB5" i="8" s="1"/>
  <c r="AI28" i="3"/>
  <c r="AB6" i="6" s="1"/>
  <c r="AI51" i="3"/>
  <c r="AB8" i="9" s="1"/>
  <c r="AI86" i="3"/>
  <c r="AB8" i="14" s="1"/>
  <c r="AI26" i="3"/>
  <c r="AB4" i="6" s="1"/>
  <c r="AI68" i="3"/>
  <c r="AB4" i="12" s="1"/>
  <c r="AI19" i="3"/>
  <c r="AB4" i="5" s="1"/>
  <c r="AI91" i="3"/>
  <c r="AI44" i="3"/>
  <c r="AB8" i="8" s="1"/>
  <c r="AI62" i="3"/>
  <c r="AB5" i="11" s="1"/>
  <c r="AI32" i="3"/>
  <c r="AB3" i="7" s="1"/>
  <c r="AI23" i="3"/>
  <c r="AB8" i="5" s="1"/>
  <c r="AI30" i="3"/>
  <c r="AB8" i="6" s="1"/>
  <c r="AI37" i="3"/>
  <c r="AB8" i="7" s="1"/>
  <c r="AI12" i="3"/>
  <c r="AB4" i="4" s="1"/>
  <c r="AI72" i="3"/>
  <c r="AB8" i="12" s="1"/>
  <c r="AI76" i="3"/>
  <c r="AB5" i="13" s="1"/>
  <c r="AI42" i="3"/>
  <c r="AB6" i="8" s="1"/>
  <c r="AI66" i="3"/>
  <c r="AB2" i="12" s="1"/>
  <c r="AI65" i="3"/>
  <c r="AB8" i="11" s="1"/>
  <c r="AI47" i="3"/>
  <c r="AB4" i="9" s="1"/>
  <c r="AI39" i="3"/>
  <c r="AB3" i="8" s="1"/>
  <c r="AI82" i="3"/>
  <c r="AB4" i="14" s="1"/>
  <c r="AI11" i="3"/>
  <c r="AB3" i="4" s="1"/>
  <c r="AI85" i="3"/>
  <c r="AB7" i="14" s="1"/>
  <c r="AI52" i="3"/>
  <c r="AB2" i="10" s="1"/>
  <c r="AI16" i="3"/>
  <c r="AB8" i="4" s="1"/>
  <c r="AI55" i="3"/>
  <c r="AB5" i="10" s="1"/>
  <c r="AI17" i="3"/>
  <c r="AB2" i="5" s="1"/>
  <c r="AI84" i="3"/>
  <c r="AB6" i="14" s="1"/>
  <c r="AI80" i="3"/>
  <c r="AB2" i="14" s="1"/>
  <c r="AI14" i="3"/>
  <c r="AB6" i="4" s="1"/>
  <c r="AI10" i="3"/>
  <c r="AB2" i="4" s="1"/>
  <c r="AI31" i="3"/>
  <c r="AB2" i="7" s="1"/>
  <c r="AI21" i="3"/>
  <c r="AB6" i="5" s="1"/>
  <c r="AI24" i="3"/>
  <c r="AB2" i="6" s="1"/>
</calcChain>
</file>

<file path=xl/sharedStrings.xml><?xml version="1.0" encoding="utf-8"?>
<sst xmlns="http://schemas.openxmlformats.org/spreadsheetml/2006/main" count="292" uniqueCount="76">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</sst>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2:2" x14ac:dyDescent="0.25">
      <c r="B53" s="1"/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0.16449392895100001</v>
      </c>
      <c r="E10" s="16">
        <v>0.14828894775500001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16">
        <f>E10</f>
        <v>0.14828894775500001</v>
      </c>
      <c r="K10">
        <f>IF($G10="s-curve",$E10+($F10-$E10)*$O$2/(1+EXP($O$3*(COUNT($K$9:K$9)+$O$4))),TREND($E10:$F10,$E$9:$F$9,K$9))</f>
        <v>0.18868208810270334</v>
      </c>
      <c r="L10">
        <f>IF($G10="s-curve",$E10+($F10-$E10)*$O$2/(1+EXP($O$3*(COUNT($K$9:L$9)+$O$4))),TREND($E10:$F10,$E$9:$F$9,L$9))</f>
        <v>0.20192405110570355</v>
      </c>
      <c r="M10">
        <f>IF($G10="s-curve",$E10+($F10-$E10)*$O$2/(1+EXP($O$3*(COUNT($K$9:M$9)+$O$4))),TREND($E10:$F10,$E$9:$F$9,M$9))</f>
        <v>0.21912805260389268</v>
      </c>
      <c r="N10">
        <f>IF($G10="s-curve",$E10+($F10-$E10)*$O$2/(1+EXP($O$3*(COUNT($K$9:N$9)+$O$4))),TREND($E10:$F10,$E$9:$F$9,N$9))</f>
        <v>0.2412079161321001</v>
      </c>
      <c r="O10">
        <f>IF($G10="s-curve",$E10+($F10-$E10)*$O$2/(1+EXP($O$3*(COUNT($K$9:O$9)+$O$4))),TREND($E10:$F10,$E$9:$F$9,O$9))</f>
        <v>0.2691050675034683</v>
      </c>
      <c r="P10">
        <f>IF($G10="s-curve",$E10+($F10-$E10)*$O$2/(1+EXP($O$3*(COUNT($K$9:P$9)+$O$4))),TREND($E10:$F10,$E$9:$F$9,P$9))</f>
        <v>0.30366278259245705</v>
      </c>
      <c r="Q10">
        <f>IF($G10="s-curve",$E10+($F10-$E10)*$O$2/(1+EXP($O$3*(COUNT($K$9:Q$9)+$O$4))),TREND($E10:$F10,$E$9:$F$9,Q$9))</f>
        <v>0.34543894796969088</v>
      </c>
      <c r="R10">
        <f>IF($G10="s-curve",$E10+($F10-$E10)*$O$2/(1+EXP($O$3*(COUNT($K$9:R$9)+$O$4))),TREND($E10:$F10,$E$9:$F$9,R$9))</f>
        <v>0.39447645102619855</v>
      </c>
      <c r="S10">
        <f>IF($G10="s-curve",$E10+($F10-$E10)*$O$2/(1+EXP($O$3*(COUNT($K$9:S$9)+$O$4))),TREND($E10:$F10,$E$9:$F$9,S$9))</f>
        <v>0.45008738803580778</v>
      </c>
      <c r="T10">
        <f>IF($G10="s-curve",$E10+($F10-$E10)*$O$2/(1+EXP($O$3*(COUNT($K$9:T$9)+$O$4))),TREND($E10:$F10,$E$9:$F$9,T$9))</f>
        <v>0.51074095955207577</v>
      </c>
      <c r="U10">
        <f>IF($G10="s-curve",$E10+($F10-$E10)*$O$2/(1+EXP($O$3*(COUNT($K$9:U$9)+$O$4))),TREND($E10:$F10,$E$9:$F$9,U$9))</f>
        <v>0.57414447387750001</v>
      </c>
      <c r="V10">
        <f>IF($G10="s-curve",$E10+($F10-$E10)*$O$2/(1+EXP($O$3*(COUNT($K$9:V$9)+$O$4))),TREND($E10:$F10,$E$9:$F$9,V$9))</f>
        <v>0.63754798820292424</v>
      </c>
      <c r="W10">
        <f>IF($G10="s-curve",$E10+($F10-$E10)*$O$2/(1+EXP($O$3*(COUNT($K$9:W$9)+$O$4))),TREND($E10:$F10,$E$9:$F$9,W$9))</f>
        <v>0.69820155971919218</v>
      </c>
      <c r="X10">
        <f>IF($G10="s-curve",$E10+($F10-$E10)*$O$2/(1+EXP($O$3*(COUNT($K$9:X$9)+$O$4))),TREND($E10:$F10,$E$9:$F$9,X$9))</f>
        <v>0.75381249672880146</v>
      </c>
      <c r="Y10">
        <f>IF($G10="s-curve",$E10+($F10-$E10)*$O$2/(1+EXP($O$3*(COUNT($K$9:Y$9)+$O$4))),TREND($E10:$F10,$E$9:$F$9,Y$9))</f>
        <v>0.80284999978530913</v>
      </c>
      <c r="Z10">
        <f>IF($G10="s-curve",$E10+($F10-$E10)*$O$2/(1+EXP($O$3*(COUNT($K$9:Z$9)+$O$4))),TREND($E10:$F10,$E$9:$F$9,Z$9))</f>
        <v>0.84462616516254285</v>
      </c>
      <c r="AA10">
        <f>IF($G10="s-curve",$E10+($F10-$E10)*$O$2/(1+EXP($O$3*(COUNT($K$9:AA$9)+$O$4))),TREND($E10:$F10,$E$9:$F$9,AA$9))</f>
        <v>0.87918388025153182</v>
      </c>
      <c r="AB10">
        <f>IF($G10="s-curve",$E10+($F10-$E10)*$O$2/(1+EXP($O$3*(COUNT($K$9:AB$9)+$O$4))),TREND($E10:$F10,$E$9:$F$9,AB$9))</f>
        <v>0.90708103162289988</v>
      </c>
      <c r="AC10">
        <f>IF($G10="s-curve",$E10+($F10-$E10)*$O$2/(1+EXP($O$3*(COUNT($K$9:AC$9)+$O$4))),TREND($E10:$F10,$E$9:$F$9,AC$9))</f>
        <v>0.92916089515110734</v>
      </c>
      <c r="AD10">
        <f>IF($G10="s-curve",$E10+($F10-$E10)*$O$2/(1+EXP($O$3*(COUNT($K$9:AD$9)+$O$4))),TREND($E10:$F10,$E$9:$F$9,AD$9))</f>
        <v>0.94636489664929646</v>
      </c>
      <c r="AE10">
        <f>IF($G10="s-curve",$E10+($F10-$E10)*$O$2/(1+EXP($O$3*(COUNT($K$9:AE$9)+$O$4))),TREND($E10:$F10,$E$9:$F$9,AE$9))</f>
        <v>0.95960685965229675</v>
      </c>
      <c r="AF10">
        <f>IF($G10="s-curve",$E10+($F10-$E10)*$O$2/(1+EXP($O$3*(COUNT($K$9:AF$9)+$O$4))),TREND($E10:$F10,$E$9:$F$9,AF$9))</f>
        <v>0.96970362495499696</v>
      </c>
      <c r="AG10">
        <f>IF($G10="s-curve",$E10+($F10-$E10)*$O$2/(1+EXP($O$3*(COUNT($K$9:AG$9)+$O$4))),TREND($E10:$F10,$E$9:$F$9,AG$9))</f>
        <v>0.97734704661409399</v>
      </c>
      <c r="AH10">
        <f>IF($G10="s-curve",$E10+($F10-$E10)*$O$2/(1+EXP($O$3*(COUNT($K$9:AH$9)+$O$4))),TREND($E10:$F10,$E$9:$F$9,AH$9))</f>
        <v>0.98310179232636641</v>
      </c>
      <c r="AI10">
        <f>IF($G10="s-curve",$E10+($F10-$E10)*$O$2/(1+EXP($O$3*(COUNT($K$9:AI$9)+$O$4))),TREND($E10:$F10,$E$9:$F$9,AI$9))</f>
        <v>0.98741679392062143</v>
      </c>
    </row>
    <row r="11" spans="1:37" x14ac:dyDescent="0.25">
      <c r="C11" t="s">
        <v>38</v>
      </c>
      <c r="D11">
        <v>1.0004432735E-4</v>
      </c>
      <c r="E11" s="16">
        <v>1.00970167475E-4</v>
      </c>
      <c r="F11" s="16">
        <f>E11</f>
        <v>1.00970167475E-4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6.6777915503600002E-2</v>
      </c>
      <c r="E13" s="16">
        <v>6.7382959534800002E-2</v>
      </c>
      <c r="F13" s="16">
        <f>E13</f>
        <v>6.7382959534800002E-2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7" x14ac:dyDescent="0.25">
      <c r="C14" t="s">
        <v>41</v>
      </c>
      <c r="D14">
        <v>1.68426429502E-2</v>
      </c>
      <c r="E14" s="16">
        <v>1.4073498597800001E-2</v>
      </c>
      <c r="F14" s="23">
        <f>D14/D10*F10</f>
        <v>0.10239066607264966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>
        <f>E14</f>
        <v>1.4073498597800001E-2</v>
      </c>
      <c r="K14">
        <f>IF($G14="s-curve",$E14+($F14-$E14)*$U$2/(1+EXP($U$3*(COUNT($I$9:K$9)+$U$4))),TREND($E14:$F14,$E$9:$F$9,K$9))</f>
        <v>1.7532504297315375E-2</v>
      </c>
      <c r="L14">
        <f>IF($G14="s-curve",$E14+($F14-$E14)*$U$2/(1+EXP($U$3*(COUNT($I$9:L$9)+$U$4))),TREND($E14:$F14,$E$9:$F$9,L$9))</f>
        <v>1.9136207441018131E-2</v>
      </c>
      <c r="M14">
        <f>IF($G14="s-curve",$E14+($F14-$E14)*$U$2/(1+EXP($U$3*(COUNT($I$9:M$9)+$U$4))),TREND($E14:$F14,$E$9:$F$9,M$9))</f>
        <v>2.1419075563388582E-2</v>
      </c>
      <c r="N14">
        <f>IF($G14="s-curve",$E14+($F14-$E14)*$U$2/(1+EXP($U$3*(COUNT($I$9:N$9)+$U$4))),TREND($E14:$F14,$E$9:$F$9,N$9))</f>
        <v>2.4601163025518801E-2</v>
      </c>
      <c r="O14">
        <f>IF($G14="s-curve",$E14+($F14-$E14)*$U$2/(1+EXP($U$3*(COUNT($I$9:O$9)+$U$4))),TREND($E14:$F14,$E$9:$F$9,O$9))</f>
        <v>2.8909159010622888E-2</v>
      </c>
      <c r="P14">
        <f>IF($G14="s-curve",$E14+($F14-$E14)*$U$2/(1+EXP($U$3*(COUNT($I$9:P$9)+$U$4))),TREND($E14:$F14,$E$9:$F$9,P$9))</f>
        <v>3.4516734059794343E-2</v>
      </c>
      <c r="Q14">
        <f>IF($G14="s-curve",$E14+($F14-$E14)*$U$2/(1+EXP($U$3*(COUNT($I$9:Q$9)+$U$4))),TREND($E14:$F14,$E$9:$F$9,Q$9))</f>
        <v>4.1454074269529816E-2</v>
      </c>
      <c r="R14">
        <f>IF($G14="s-curve",$E14+($F14-$E14)*$U$2/(1+EXP($U$3*(COUNT($I$9:R$9)+$U$4))),TREND($E14:$F14,$E$9:$F$9,R$9))</f>
        <v>4.9516267729372364E-2</v>
      </c>
      <c r="S14">
        <f>IF($G14="s-curve",$E14+($F14-$E14)*$U$2/(1+EXP($U$3*(COUNT($I$9:S$9)+$U$4))),TREND($E14:$F14,$E$9:$F$9,S$9))</f>
        <v>5.8232082335224832E-2</v>
      </c>
      <c r="T14">
        <f>IF($G14="s-curve",$E14+($F14-$E14)*$U$2/(1+EXP($U$3*(COUNT($I$9:T$9)+$U$4))),TREND($E14:$F14,$E$9:$F$9,T$9))</f>
        <v>6.6947896941077292E-2</v>
      </c>
      <c r="U14">
        <f>IF($G14="s-curve",$E14+($F14-$E14)*$U$2/(1+EXP($U$3*(COUNT($I$9:U$9)+$U$4))),TREND($E14:$F14,$E$9:$F$9,U$9))</f>
        <v>7.5010090400919854E-2</v>
      </c>
      <c r="V14">
        <f>IF($G14="s-curve",$E14+($F14-$E14)*$U$2/(1+EXP($U$3*(COUNT($I$9:V$9)+$U$4))),TREND($E14:$F14,$E$9:$F$9,V$9))</f>
        <v>8.194743061065532E-2</v>
      </c>
      <c r="W14">
        <f>IF($G14="s-curve",$E14+($F14-$E14)*$U$2/(1+EXP($U$3*(COUNT($I$9:W$9)+$U$4))),TREND($E14:$F14,$E$9:$F$9,W$9))</f>
        <v>8.7555005659826768E-2</v>
      </c>
      <c r="X14">
        <f>IF($G14="s-curve",$E14+($F14-$E14)*$U$2/(1+EXP($U$3*(COUNT($I$9:X$9)+$U$4))),TREND($E14:$F14,$E$9:$F$9,X$9))</f>
        <v>9.1863001644930858E-2</v>
      </c>
      <c r="Y14">
        <f>IF($G14="s-curve",$E14+($F14-$E14)*$U$2/(1+EXP($U$3*(COUNT($I$9:Y$9)+$U$4))),TREND($E14:$F14,$E$9:$F$9,Y$9))</f>
        <v>9.5045089107061081E-2</v>
      </c>
      <c r="Z14">
        <f>IF($G14="s-curve",$E14+($F14-$E14)*$U$2/(1+EXP($U$3*(COUNT($I$9:Z$9)+$U$4))),TREND($E14:$F14,$E$9:$F$9,Z$9))</f>
        <v>9.7327957229431522E-2</v>
      </c>
      <c r="AA14">
        <f>IF($G14="s-curve",$E14+($F14-$E14)*$U$2/(1+EXP($U$3*(COUNT($I$9:AA$9)+$U$4))),TREND($E14:$F14,$E$9:$F$9,AA$9))</f>
        <v>9.8931660373134278E-2</v>
      </c>
      <c r="AB14">
        <f>IF($G14="s-curve",$E14+($F14-$E14)*$U$2/(1+EXP($U$3*(COUNT($I$9:AB$9)+$U$4))),TREND($E14:$F14,$E$9:$F$9,AB$9))</f>
        <v>0.10004169493659409</v>
      </c>
      <c r="AC14">
        <f>IF($G14="s-curve",$E14+($F14-$E14)*$U$2/(1+EXP($U$3*(COUNT($I$9:AC$9)+$U$4))),TREND($E14:$F14,$E$9:$F$9,AC$9))</f>
        <v>0.10080217495518981</v>
      </c>
      <c r="AD14">
        <f>IF($G14="s-curve",$E14+($F14-$E14)*$U$2/(1+EXP($U$3*(COUNT($I$9:AD$9)+$U$4))),TREND($E14:$F14,$E$9:$F$9,AD$9))</f>
        <v>0.10131951704893569</v>
      </c>
      <c r="AE14">
        <f>IF($G14="s-curve",$E14+($F14-$E14)*$U$2/(1+EXP($U$3*(COUNT($I$9:AE$9)+$U$4))),TREND($E14:$F14,$E$9:$F$9,AE$9))</f>
        <v>0.10166977090909066</v>
      </c>
      <c r="AF14">
        <f>IF($G14="s-curve",$E14+($F14-$E14)*$U$2/(1+EXP($U$3*(COUNT($I$9:AF$9)+$U$4))),TREND($E14:$F14,$E$9:$F$9,AF$9))</f>
        <v>0.10190613169392981</v>
      </c>
      <c r="AG14">
        <f>IF($G14="s-curve",$E14+($F14-$E14)*$U$2/(1+EXP($U$3*(COUNT($I$9:AG$9)+$U$4))),TREND($E14:$F14,$E$9:$F$9,AG$9))</f>
        <v>0.10206528444043367</v>
      </c>
      <c r="AH14">
        <f>IF($G14="s-curve",$E14+($F14-$E14)*$U$2/(1+EXP($U$3*(COUNT($I$9:AH$9)+$U$4))),TREND($E14:$F14,$E$9:$F$9,AH$9))</f>
        <v>0.10217229099922295</v>
      </c>
      <c r="AI14">
        <f>IF($G14="s-curve",$E14+($F14-$E14)*$U$2/(1+EXP($U$3*(COUNT($I$9:AI$9)+$U$4))),TREND($E14:$F14,$E$9:$F$9,AI$9))</f>
        <v>0.10224416545984444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0.464269858905</v>
      </c>
      <c r="E17">
        <v>0.21897752724899999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0.464269858905</v>
      </c>
      <c r="J17">
        <f>IF($G17="s-curve",$E17+($F17-$E17)*$X$2/(1+EXP($X$3*(COUNT($I$9:J$9)+$X$4))),TREND($E17:$F17,$E$9:$F$9,J$9))</f>
        <v>0.22113248143634012</v>
      </c>
      <c r="K17" s="25">
        <f>IF($G17="s-curve",$D17+($F17-$D17)*$X$2/(1+EXP($X$3*(COUNT($I$9:K$9)+$X$4))),TREND($D17:$F17,$E$9:$F$9,K$9))</f>
        <v>0.45842658466210101</v>
      </c>
      <c r="L17" s="25">
        <f>IF($G17="s-curve",$D17+($F17-$D17)*$X$2/(1+EXP($X$3*(COUNT($I$9:L$9)+$X$4))),TREND($D17:$F17,$E$9:$F$9,L$9))</f>
        <v>0.45647921740967468</v>
      </c>
      <c r="M17" s="25">
        <f>IF($G17="s-curve",$D17+($F17-$D17)*$X$2/(1+EXP($X$3*(COUNT($I$9:M$9)+$X$4))),TREND($D17:$F17,$E$9:$F$9,M$9))</f>
        <v>0.45392523459074285</v>
      </c>
      <c r="N17" s="25">
        <f>IF($G17="s-curve",$D17+($F17-$D17)*$X$2/(1+EXP($X$3*(COUNT($I$9:N$9)+$X$4))),TREND($D17:$F17,$E$9:$F$9,N$9))</f>
        <v>0.45060709178719499</v>
      </c>
      <c r="O17" s="25">
        <f>IF($G17="s-curve",$D17+($F17-$D17)*$X$2/(1+EXP($X$3*(COUNT($I$9:O$9)+$X$4))),TREND($D17:$F17,$E$9:$F$9,O$9))</f>
        <v>0.44634853948021264</v>
      </c>
      <c r="P17" s="25">
        <f>IF($G17="s-curve",$D17+($F17-$D17)*$X$2/(1+EXP($X$3*(COUNT($I$9:P$9)+$X$4))),TREND($D17:$F17,$E$9:$F$9,P$9))</f>
        <v>0.44096800448827289</v>
      </c>
      <c r="Q17" s="25">
        <f>IF($G17="s-curve",$D17+($F17-$D17)*$X$2/(1+EXP($X$3*(COUNT($I$9:Q$9)+$X$4))),TREND($D17:$F17,$E$9:$F$9,Q$9))</f>
        <v>0.43430284384865914</v>
      </c>
      <c r="R17" s="25">
        <f>IF($G17="s-curve",$D17+($F17-$D17)*$X$2/(1+EXP($X$3*(COUNT($I$9:R$9)+$X$4))),TREND($D17:$F17,$E$9:$F$9,R$9))</f>
        <v>0.42624545775037931</v>
      </c>
      <c r="S17" s="25">
        <f>IF($G17="s-curve",$D17+($F17-$D17)*$X$2/(1+EXP($X$3*(COUNT($I$9:S$9)+$X$4))),TREND($D17:$F17,$E$9:$F$9,S$9))</f>
        <v>0.41678757448478931</v>
      </c>
      <c r="T17" s="25">
        <f>IF($G17="s-curve",$D17+($F17-$D17)*$X$2/(1+EXP($X$3*(COUNT($I$9:T$9)+$X$4))),TREND($D17:$F17,$E$9:$F$9,T$9))</f>
        <v>0.40606187032483487</v>
      </c>
      <c r="U17" s="25">
        <f>IF($G17="s-curve",$D17+($F17-$D17)*$X$2/(1+EXP($X$3*(COUNT($I$9:U$9)+$X$4))),TREND($D17:$F17,$E$9:$F$9,U$9))</f>
        <v>0.39436359118568431</v>
      </c>
      <c r="V17" s="25">
        <f>IF($G17="s-curve",$D17+($F17-$D17)*$X$2/(1+EXP($X$3*(COUNT($I$9:V$9)+$X$4))),TREND($D17:$F17,$E$9:$F$9,V$9))</f>
        <v>0.38213492945249999</v>
      </c>
      <c r="W17" s="25">
        <f>IF($G17="s-curve",$D17+($F17-$D17)*$X$2/(1+EXP($X$3*(COUNT($I$9:W$9)+$X$4))),TREND($D17:$F17,$E$9:$F$9,W$9))</f>
        <v>0.36990626771931567</v>
      </c>
      <c r="X17" s="25">
        <f>IF($G17="s-curve",$D17+($F17-$D17)*$X$2/(1+EXP($X$3*(COUNT($I$9:X$9)+$X$4))),TREND($D17:$F17,$E$9:$F$9,X$9))</f>
        <v>0.35820798858016512</v>
      </c>
      <c r="Y17" s="25">
        <f>IF($G17="s-curve",$D17+($F17-$D17)*$X$2/(1+EXP($X$3*(COUNT($I$9:Y$9)+$X$4))),TREND($D17:$F17,$E$9:$F$9,Y$9))</f>
        <v>0.34748228442021067</v>
      </c>
      <c r="Z17" s="25">
        <f>IF($G17="s-curve",$D17+($F17-$D17)*$X$2/(1+EXP($X$3*(COUNT($I$9:Z$9)+$X$4))),TREND($D17:$F17,$E$9:$F$9,Z$9))</f>
        <v>0.33802440115462073</v>
      </c>
      <c r="AA17" s="25">
        <f>IF($G17="s-curve",$D17+($F17-$D17)*$X$2/(1+EXP($X$3*(COUNT($I$9:AA$9)+$X$4))),TREND($D17:$F17,$E$9:$F$9,AA$9))</f>
        <v>0.32996701505634085</v>
      </c>
      <c r="AB17" s="25">
        <f>IF($G17="s-curve",$D17+($F17-$D17)*$X$2/(1+EXP($X$3*(COUNT($I$9:AB$9)+$X$4))),TREND($D17:$F17,$E$9:$F$9,AB$9))</f>
        <v>0.3233018544167271</v>
      </c>
      <c r="AC17" s="25">
        <f>IF($G17="s-curve",$D17+($F17-$D17)*$X$2/(1+EXP($X$3*(COUNT($I$9:AC$9)+$X$4))),TREND($D17:$F17,$E$9:$F$9,AC$9))</f>
        <v>0.3179213194247873</v>
      </c>
      <c r="AD17" s="25">
        <f>IF($G17="s-curve",$D17+($F17-$D17)*$X$2/(1+EXP($X$3*(COUNT($I$9:AD$9)+$X$4))),TREND($D17:$F17,$E$9:$F$9,AD$9))</f>
        <v>0.313662767117805</v>
      </c>
      <c r="AE17" s="25">
        <f>IF($G17="s-curve",$D17+($F17-$D17)*$X$2/(1+EXP($X$3*(COUNT($I$9:AE$9)+$X$4))),TREND($D17:$F17,$E$9:$F$9,AE$9))</f>
        <v>0.31034462431425713</v>
      </c>
      <c r="AF17" s="25">
        <f>IF($G17="s-curve",$D17+($F17-$D17)*$X$2/(1+EXP($X$3*(COUNT($I$9:AF$9)+$X$4))),TREND($D17:$F17,$E$9:$F$9,AF$9))</f>
        <v>0.30779064149532531</v>
      </c>
      <c r="AG17" s="25">
        <f>IF($G17="s-curve",$D17+($F17-$D17)*$X$2/(1+EXP($X$3*(COUNT($I$9:AG$9)+$X$4))),TREND($D17:$F17,$E$9:$F$9,AG$9))</f>
        <v>0.30584327424289898</v>
      </c>
      <c r="AH17" s="25">
        <f>IF($G17="s-curve",$D17+($F17-$D17)*$X$2/(1+EXP($X$3*(COUNT($I$9:AH$9)+$X$4))),TREND($D17:$F17,$E$9:$F$9,AH$9))</f>
        <v>0.30436908438216892</v>
      </c>
      <c r="AI17" s="25">
        <f>IF($G17="s-curve",$D17+($F17-$D17)*$X$2/(1+EXP($X$3*(COUNT($I$9:AI$9)+$X$4))),TREND($D17:$F17,$E$9:$F$9,AI$9))</f>
        <v>0.30325916422356897</v>
      </c>
    </row>
    <row r="18" spans="1:35" x14ac:dyDescent="0.25">
      <c r="C18" t="s">
        <v>38</v>
      </c>
      <c r="D18">
        <v>0</v>
      </c>
      <c r="E18">
        <v>0</v>
      </c>
      <c r="F18" s="16">
        <f>E18</f>
        <v>0</v>
      </c>
      <c r="G18" s="5" t="s">
        <v>73</v>
      </c>
      <c r="I18" s="16">
        <f t="shared" si="1"/>
        <v>0</v>
      </c>
      <c r="J18" s="16">
        <f t="shared" ref="J18:J37" si="2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39</v>
      </c>
      <c r="D19">
        <v>1</v>
      </c>
      <c r="E19">
        <v>0.95569574619999997</v>
      </c>
      <c r="F19" s="16">
        <f>E19</f>
        <v>0.95569574619999997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1</v>
      </c>
      <c r="J19" s="16">
        <f t="shared" si="2"/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40</v>
      </c>
      <c r="D20">
        <v>0.97299803336400004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0.97299803336400004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0</v>
      </c>
      <c r="E21">
        <v>9.0197447039299999E-4</v>
      </c>
      <c r="F21" s="16">
        <f>E21/E17*F17</f>
        <v>1.235708268868196E-3</v>
      </c>
      <c r="G21" s="5" t="s">
        <v>74</v>
      </c>
      <c r="I21" s="16">
        <f t="shared" si="1"/>
        <v>0</v>
      </c>
      <c r="J21" s="16">
        <f t="shared" si="2"/>
        <v>9.0197447039299999E-4</v>
      </c>
      <c r="K21">
        <f>IF($G21="s-curve",$E21+($F21-$E21)*$X$2/(1+EXP($X$3*(COUNT($I$9:K$9)+$X$4))),TREND($E21:$F21,$E$9:$F$9,K$9))</f>
        <v>9.1384577850523699E-4</v>
      </c>
      <c r="L21">
        <f>IF($G21="s-curve",$E21+($F21-$E21)*$X$2/(1+EXP($X$3*(COUNT($I$9:L$9)+$X$4))),TREND($E21:$F21,$E$9:$F$9,L$9))</f>
        <v>9.1780208719455226E-4</v>
      </c>
      <c r="M21">
        <f>IF($G21="s-curve",$E21+($F21-$E21)*$X$2/(1+EXP($X$3*(COUNT($I$9:M$9)+$X$4))),TREND($E21:$F21,$E$9:$F$9,M$9))</f>
        <v>9.229908077126324E-4</v>
      </c>
      <c r="N21">
        <f>IF($G21="s-curve",$E21+($F21-$E21)*$X$2/(1+EXP($X$3*(COUNT($I$9:N$9)+$X$4))),TREND($E21:$F21,$E$9:$F$9,N$9))</f>
        <v>9.2973201032334131E-4</v>
      </c>
      <c r="O21">
        <f>IF($G21="s-curve",$E21+($F21-$E21)*$X$2/(1+EXP($X$3*(COUNT($I$9:O$9)+$X$4))),TREND($E21:$F21,$E$9:$F$9,O$9))</f>
        <v>9.3838376693218116E-4</v>
      </c>
      <c r="P21">
        <f>IF($G21="s-curve",$E21+($F21-$E21)*$X$2/(1+EXP($X$3*(COUNT($I$9:P$9)+$X$4))),TREND($E21:$F21,$E$9:$F$9,P$9))</f>
        <v>9.4931496509999139E-4</v>
      </c>
      <c r="Q21">
        <f>IF($G21="s-curve",$E21+($F21-$E21)*$X$2/(1+EXP($X$3*(COUNT($I$9:Q$9)+$X$4))),TREND($E21:$F21,$E$9:$F$9,Q$9))</f>
        <v>9.6285603339172255E-4</v>
      </c>
      <c r="R21">
        <f>IF($G21="s-curve",$E21+($F21-$E21)*$X$2/(1+EXP($X$3*(COUNT($I$9:R$9)+$X$4))),TREND($E21:$F21,$E$9:$F$9,R$9))</f>
        <v>9.7922557364874116E-4</v>
      </c>
      <c r="S21">
        <f>IF($G21="s-curve",$E21+($F21-$E21)*$X$2/(1+EXP($X$3*(COUNT($I$9:S$9)+$X$4))),TREND($E21:$F21,$E$9:$F$9,S$9))</f>
        <v>9.9844039083310217E-4</v>
      </c>
      <c r="T21">
        <f>IF($G21="s-curve",$E21+($F21-$E21)*$X$2/(1+EXP($X$3*(COUNT($I$9:T$9)+$X$4))),TREND($E21:$F21,$E$9:$F$9,T$9))</f>
        <v>1.020230937281997E-3</v>
      </c>
      <c r="U21">
        <f>IF($G21="s-curve",$E21+($F21-$E21)*$X$2/(1+EXP($X$3*(COUNT($I$9:U$9)+$X$4))),TREND($E21:$F21,$E$9:$F$9,U$9))</f>
        <v>1.0439973857269895E-3</v>
      </c>
      <c r="V21">
        <f>IF($G21="s-curve",$E21+($F21-$E21)*$X$2/(1+EXP($X$3*(COUNT($I$9:V$9)+$X$4))),TREND($E21:$F21,$E$9:$F$9,V$9))</f>
        <v>1.0688413696305979E-3</v>
      </c>
      <c r="W21">
        <f>IF($G21="s-curve",$E21+($F21-$E21)*$X$2/(1+EXP($X$3*(COUNT($I$9:W$9)+$X$4))),TREND($E21:$F21,$E$9:$F$9,W$9))</f>
        <v>1.0936853535342065E-3</v>
      </c>
      <c r="X21">
        <f>IF($G21="s-curve",$E21+($F21-$E21)*$X$2/(1+EXP($X$3*(COUNT($I$9:X$9)+$X$4))),TREND($E21:$F21,$E$9:$F$9,X$9))</f>
        <v>1.117451801979199E-3</v>
      </c>
      <c r="Y21">
        <f>IF($G21="s-curve",$E21+($F21-$E21)*$X$2/(1+EXP($X$3*(COUNT($I$9:Y$9)+$X$4))),TREND($E21:$F21,$E$9:$F$9,Y$9))</f>
        <v>1.1392423484280938E-3</v>
      </c>
      <c r="Z21">
        <f>IF($G21="s-curve",$E21+($F21-$E21)*$X$2/(1+EXP($X$3*(COUNT($I$9:Z$9)+$X$4))),TREND($E21:$F21,$E$9:$F$9,Z$9))</f>
        <v>1.1584571656124548E-3</v>
      </c>
      <c r="AA21">
        <f>IF($G21="s-curve",$E21+($F21-$E21)*$X$2/(1+EXP($X$3*(COUNT($I$9:AA$9)+$X$4))),TREND($E21:$F21,$E$9:$F$9,AA$9))</f>
        <v>1.1748267058694735E-3</v>
      </c>
      <c r="AB21">
        <f>IF($G21="s-curve",$E21+($F21-$E21)*$X$2/(1+EXP($X$3*(COUNT($I$9:AB$9)+$X$4))),TREND($E21:$F21,$E$9:$F$9,AB$9))</f>
        <v>1.1883677741612046E-3</v>
      </c>
      <c r="AC21">
        <f>IF($G21="s-curve",$E21+($F21-$E21)*$X$2/(1+EXP($X$3*(COUNT($I$9:AC$9)+$X$4))),TREND($E21:$F21,$E$9:$F$9,AC$9))</f>
        <v>1.1992989723290147E-3</v>
      </c>
      <c r="AD21">
        <f>IF($G21="s-curve",$E21+($F21-$E21)*$X$2/(1+EXP($X$3*(COUNT($I$9:AD$9)+$X$4))),TREND($E21:$F21,$E$9:$F$9,AD$9))</f>
        <v>1.2079507289378547E-3</v>
      </c>
      <c r="AE21">
        <f>IF($G21="s-curve",$E21+($F21-$E21)*$X$2/(1+EXP($X$3*(COUNT($I$9:AE$9)+$X$4))),TREND($E21:$F21,$E$9:$F$9,AE$9))</f>
        <v>1.2146919315485635E-3</v>
      </c>
      <c r="AF21">
        <f>IF($G21="s-curve",$E21+($F21-$E21)*$X$2/(1+EXP($X$3*(COUNT($I$9:AF$9)+$X$4))),TREND($E21:$F21,$E$9:$F$9,AF$9))</f>
        <v>1.2198806520666437E-3</v>
      </c>
      <c r="AG21">
        <f>IF($G21="s-curve",$E21+($F21-$E21)*$X$2/(1+EXP($X$3*(COUNT($I$9:AG$9)+$X$4))),TREND($E21:$F21,$E$9:$F$9,AG$9))</f>
        <v>1.223836960755959E-3</v>
      </c>
      <c r="AH21">
        <f>IF($G21="s-curve",$E21+($F21-$E21)*$X$2/(1+EXP($X$3*(COUNT($I$9:AH$9)+$X$4))),TREND($E21:$F21,$E$9:$F$9,AH$9))</f>
        <v>1.2268319531737681E-3</v>
      </c>
      <c r="AI21">
        <f>IF($G21="s-curve",$E21+($F21-$E21)*$X$2/(1+EXP($X$3*(COUNT($I$9:AI$9)+$X$4))),TREND($E21:$F21,$E$9:$F$9,AI$9))</f>
        <v>1.2290868882726532E-3</v>
      </c>
    </row>
    <row r="22" spans="1:35" x14ac:dyDescent="0.25">
      <c r="C22" t="s">
        <v>42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0</v>
      </c>
      <c r="J22" s="16">
        <f t="shared" si="2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0.87530894177700003</v>
      </c>
      <c r="F23" s="20">
        <f>E23</f>
        <v>0.87530894177700003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45</v>
      </c>
      <c r="B24" t="s">
        <v>71</v>
      </c>
      <c r="C24" t="s">
        <v>37</v>
      </c>
      <c r="D24">
        <v>3.1162890650799999E-2</v>
      </c>
      <c r="E24">
        <v>3.0635270769200001E-2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3.1162890650799999E-2</v>
      </c>
      <c r="J24" s="16">
        <f t="shared" si="2"/>
        <v>3.0635270769200001E-2</v>
      </c>
      <c r="K24">
        <f>IF($G24="s-curve",$E24+($F24-$E24)*$X$2/(1+EXP($X$3*(COUNT($I$9:K$9)+$X$4))),TREND($E24:$F24,$E$9:$F$9,K$9))</f>
        <v>5.6223929708727458E-2</v>
      </c>
      <c r="L24">
        <f>IF($G24="s-curve",$E24+($F24-$E24)*$X$2/(1+EXP($X$3*(COUNT($I$9:L$9)+$X$4))),TREND($E24:$F24,$E$9:$F$9,L$9))</f>
        <v>6.4751771186114582E-2</v>
      </c>
      <c r="M24">
        <f>IF($G24="s-curve",$E24+($F24-$E24)*$X$2/(1+EXP($X$3*(COUNT($I$9:M$9)+$X$4))),TREND($E24:$F24,$E$9:$F$9,M$9))</f>
        <v>7.593608199789606E-2</v>
      </c>
      <c r="N24">
        <f>IF($G24="s-curve",$E24+($F24-$E24)*$X$2/(1+EXP($X$3*(COUNT($I$9:N$9)+$X$4))),TREND($E24:$F24,$E$9:$F$9,N$9))</f>
        <v>9.0466775061945975E-2</v>
      </c>
      <c r="O24">
        <f>IF($G24="s-curve",$E24+($F24-$E24)*$X$2/(1+EXP($X$3*(COUNT($I$9:O$9)+$X$4))),TREND($E24:$F24,$E$9:$F$9,O$9))</f>
        <v>0.10911567600852309</v>
      </c>
      <c r="P24">
        <f>IF($G24="s-curve",$E24+($F24-$E24)*$X$2/(1+EXP($X$3*(COUNT($I$9:P$9)+$X$4))),TREND($E24:$F24,$E$9:$F$9,P$9))</f>
        <v>0.13267792366244005</v>
      </c>
      <c r="Q24">
        <f>IF($G24="s-curve",$E24+($F24-$E24)*$X$2/(1+EXP($X$3*(COUNT($I$9:Q$9)+$X$4))),TREND($E24:$F24,$E$9:$F$9,Q$9))</f>
        <v>0.16186575830694638</v>
      </c>
      <c r="R24">
        <f>IF($G24="s-curve",$E24+($F24-$E24)*$X$2/(1+EXP($X$3*(COUNT($I$9:R$9)+$X$4))),TREND($E24:$F24,$E$9:$F$9,R$9))</f>
        <v>0.19715037721106998</v>
      </c>
      <c r="S24">
        <f>IF($G24="s-curve",$E24+($F24-$E24)*$X$2/(1+EXP($X$3*(COUNT($I$9:S$9)+$X$4))),TREND($E24:$F24,$E$9:$F$9,S$9))</f>
        <v>0.2385680035473921</v>
      </c>
      <c r="T24">
        <f>IF($G24="s-curve",$E24+($F24-$E24)*$X$2/(1+EXP($X$3*(COUNT($I$9:T$9)+$X$4))),TREND($E24:$F24,$E$9:$F$9,T$9))</f>
        <v>0.2855376260957222</v>
      </c>
      <c r="U24">
        <f>IF($G24="s-curve",$E24+($F24-$E24)*$X$2/(1+EXP($X$3*(COUNT($I$9:U$9)+$X$4))),TREND($E24:$F24,$E$9:$F$9,U$9))</f>
        <v>0.33676631443512162</v>
      </c>
      <c r="V24">
        <f>IF($G24="s-curve",$E24+($F24-$E24)*$X$2/(1+EXP($X$3*(COUNT($I$9:V$9)+$X$4))),TREND($E24:$F24,$E$9:$F$9,V$9))</f>
        <v>0.39031763538459996</v>
      </c>
      <c r="W24">
        <f>IF($G24="s-curve",$E24+($F24-$E24)*$X$2/(1+EXP($X$3*(COUNT($I$9:W$9)+$X$4))),TREND($E24:$F24,$E$9:$F$9,W$9))</f>
        <v>0.4438689563340783</v>
      </c>
      <c r="X24">
        <f>IF($G24="s-curve",$E24+($F24-$E24)*$X$2/(1+EXP($X$3*(COUNT($I$9:X$9)+$X$4))),TREND($E24:$F24,$E$9:$F$9,X$9))</f>
        <v>0.49509764467347783</v>
      </c>
      <c r="Y24">
        <f>IF($G24="s-curve",$E24+($F24-$E24)*$X$2/(1+EXP($X$3*(COUNT($I$9:Y$9)+$X$4))),TREND($E24:$F24,$E$9:$F$9,Y$9))</f>
        <v>0.54206726722180787</v>
      </c>
      <c r="Z24">
        <f>IF($G24="s-curve",$E24+($F24-$E24)*$X$2/(1+EXP($X$3*(COUNT($I$9:Z$9)+$X$4))),TREND($E24:$F24,$E$9:$F$9,Z$9))</f>
        <v>0.58348489355812994</v>
      </c>
      <c r="AA24">
        <f>IF($G24="s-curve",$E24+($F24-$E24)*$X$2/(1+EXP($X$3*(COUNT($I$9:AA$9)+$X$4))),TREND($E24:$F24,$E$9:$F$9,AA$9))</f>
        <v>0.61876951246225353</v>
      </c>
      <c r="AB24">
        <f>IF($G24="s-curve",$E24+($F24-$E24)*$X$2/(1+EXP($X$3*(COUNT($I$9:AB$9)+$X$4))),TREND($E24:$F24,$E$9:$F$9,AB$9))</f>
        <v>0.64795734710676001</v>
      </c>
      <c r="AC24">
        <f>IF($G24="s-curve",$E24+($F24-$E24)*$X$2/(1+EXP($X$3*(COUNT($I$9:AC$9)+$X$4))),TREND($E24:$F24,$E$9:$F$9,AC$9))</f>
        <v>0.67151959476067691</v>
      </c>
      <c r="AD24">
        <f>IF($G24="s-curve",$E24+($F24-$E24)*$X$2/(1+EXP($X$3*(COUNT($I$9:AD$9)+$X$4))),TREND($E24:$F24,$E$9:$F$9,AD$9))</f>
        <v>0.69016849570725403</v>
      </c>
      <c r="AE24">
        <f>IF($G24="s-curve",$E24+($F24-$E24)*$X$2/(1+EXP($X$3*(COUNT($I$9:AE$9)+$X$4))),TREND($E24:$F24,$E$9:$F$9,AE$9))</f>
        <v>0.704699188771304</v>
      </c>
      <c r="AF24">
        <f>IF($G24="s-curve",$E24+($F24-$E24)*$X$2/(1+EXP($X$3*(COUNT($I$9:AF$9)+$X$4))),TREND($E24:$F24,$E$9:$F$9,AF$9))</f>
        <v>0.7158834995830855</v>
      </c>
      <c r="AG24">
        <f>IF($G24="s-curve",$E24+($F24-$E24)*$X$2/(1+EXP($X$3*(COUNT($I$9:AG$9)+$X$4))),TREND($E24:$F24,$E$9:$F$9,AG$9))</f>
        <v>0.72441134106047256</v>
      </c>
      <c r="AH24">
        <f>IF($G24="s-curve",$E24+($F24-$E24)*$X$2/(1+EXP($X$3*(COUNT($I$9:AH$9)+$X$4))),TREND($E24:$F24,$E$9:$F$9,AH$9))</f>
        <v>0.73086706091722453</v>
      </c>
      <c r="AI24">
        <f>IF($G24="s-curve",$E24+($F24-$E24)*$X$2/(1+EXP($X$3*(COUNT($I$9:AI$9)+$X$4))),TREND($E24:$F24,$E$9:$F$9,AI$9))</f>
        <v>0.73572758383774906</v>
      </c>
    </row>
    <row r="25" spans="1:35" x14ac:dyDescent="0.25">
      <c r="C25" t="s">
        <v>38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0</v>
      </c>
      <c r="J25" s="16">
        <f t="shared" si="2"/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39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</v>
      </c>
      <c r="J26" s="16">
        <f t="shared" si="2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0</v>
      </c>
      <c r="J29" s="16">
        <f t="shared" si="2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.75" customHeight="1" thickBot="1" x14ac:dyDescent="0.3">
      <c r="A30" s="17"/>
      <c r="B30" s="17"/>
      <c r="C30" s="17" t="s">
        <v>43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0</v>
      </c>
      <c r="J30" s="16">
        <f t="shared" si="2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45</v>
      </c>
      <c r="B31" t="s">
        <v>72</v>
      </c>
      <c r="C31" t="s">
        <v>37</v>
      </c>
      <c r="D31">
        <v>4.7973229575300003E-3</v>
      </c>
      <c r="E31">
        <v>6.1405058414400002E-3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4.7973229575300003E-3</v>
      </c>
      <c r="J31" s="16">
        <f t="shared" si="2"/>
        <v>6.1405058414400002E-3</v>
      </c>
      <c r="K31">
        <f>IF($G31="s-curve",$E31+($F31-$E31)*$R$2/(1+EXP($R$3*(COUNT($K$9:K$9)+$R$4))),TREND($E31:$F31,$E$9:$F$9,K$9))</f>
        <v>1.4814878064083456E-2</v>
      </c>
      <c r="L31">
        <f>IF($G31="s-curve",$E31+($F31-$E31)*$R$2/(1+EXP($R$3*(COUNT($K$9:L$9)+$R$4))),TREND($E31:$F31,$E$9:$F$9,L$9))</f>
        <v>1.7705755284549454E-2</v>
      </c>
      <c r="M31">
        <f>IF($G31="s-curve",$E31+($F31-$E31)*$R$2/(1+EXP($R$3*(COUNT($K$9:M$9)+$R$4))),TREND($E31:$F31,$E$9:$F$9,M$9))</f>
        <v>2.1497156594966059E-2</v>
      </c>
      <c r="N31">
        <f>IF($G31="s-curve",$E31+($F31-$E31)*$R$2/(1+EXP($R$3*(COUNT($K$9:N$9)+$R$4))),TREND($E31:$F31,$E$9:$F$9,N$9))</f>
        <v>2.6422957536251346E-2</v>
      </c>
      <c r="O31">
        <f>IF($G31="s-curve",$E31+($F31-$E31)*$R$2/(1+EXP($R$3*(COUNT($K$9:O$9)+$R$4))),TREND($E31:$F31,$E$9:$F$9,O$9))</f>
        <v>3.2744801472509036E-2</v>
      </c>
      <c r="P31">
        <f>IF($G31="s-curve",$E31+($F31-$E31)*$R$2/(1+EXP($R$3*(COUNT($K$9:P$9)+$R$4))),TREND($E31:$F31,$E$9:$F$9,P$9))</f>
        <v>4.0732234773926027E-2</v>
      </c>
      <c r="Q31">
        <f>IF($G31="s-curve",$E31+($F31-$E31)*$R$2/(1+EXP($R$3*(COUNT($K$9:Q$9)+$R$4))),TREND($E31:$F31,$E$9:$F$9,Q$9))</f>
        <v>5.0626701798468406E-2</v>
      </c>
      <c r="R31">
        <f>IF($G31="s-curve",$E31+($F31-$E31)*$R$2/(1+EXP($R$3*(COUNT($K$9:R$9)+$R$4))),TREND($E31:$F31,$E$9:$F$9,R$9))</f>
        <v>6.2587935047612731E-2</v>
      </c>
      <c r="S31">
        <f>IF($G31="s-curve",$E31+($F31-$E31)*$R$2/(1+EXP($R$3*(COUNT($K$9:S$9)+$R$4))),TREND($E31:$F31,$E$9:$F$9,S$9))</f>
        <v>7.6628213917586716E-2</v>
      </c>
      <c r="T31">
        <f>IF($G31="s-curve",$E31+($F31-$E31)*$R$2/(1+EXP($R$3*(COUNT($K$9:T$9)+$R$4))),TREND($E31:$F31,$E$9:$F$9,T$9))</f>
        <v>9.2550579763493207E-2</v>
      </c>
      <c r="U31">
        <f>IF($G31="s-curve",$E31+($F31-$E31)*$R$2/(1+EXP($R$3*(COUNT($K$9:U$9)+$R$4))),TREND($E31:$F31,$E$9:$F$9,U$9))</f>
        <v>0.10991673842713874</v>
      </c>
      <c r="V31">
        <f>IF($G31="s-curve",$E31+($F31-$E31)*$R$2/(1+EXP($R$3*(COUNT($K$9:V$9)+$R$4))),TREND($E31:$F31,$E$9:$F$9,V$9))</f>
        <v>0.12807025292072</v>
      </c>
      <c r="W31">
        <f>IF($G31="s-curve",$E31+($F31-$E31)*$R$2/(1+EXP($R$3*(COUNT($K$9:W$9)+$R$4))),TREND($E31:$F31,$E$9:$F$9,W$9))</f>
        <v>0.14622376741430126</v>
      </c>
      <c r="X31">
        <f>IF($G31="s-curve",$E31+($F31-$E31)*$R$2/(1+EXP($R$3*(COUNT($K$9:X$9)+$R$4))),TREND($E31:$F31,$E$9:$F$9,X$9))</f>
        <v>0.16358992607794678</v>
      </c>
      <c r="Y31">
        <f>IF($G31="s-curve",$E31+($F31-$E31)*$R$2/(1+EXP($R$3*(COUNT($K$9:Y$9)+$R$4))),TREND($E31:$F31,$E$9:$F$9,Y$9))</f>
        <v>0.17951229192385326</v>
      </c>
      <c r="Z31">
        <f>IF($G31="s-curve",$E31+($F31-$E31)*$R$2/(1+EXP($R$3*(COUNT($K$9:Z$9)+$R$4))),TREND($E31:$F31,$E$9:$F$9,Z$9))</f>
        <v>0.19355257079382726</v>
      </c>
      <c r="AA31">
        <f>IF($G31="s-curve",$E31+($F31-$E31)*$R$2/(1+EXP($R$3*(COUNT($K$9:AA$9)+$R$4))),TREND($E31:$F31,$E$9:$F$9,AA$9))</f>
        <v>0.20551380404297159</v>
      </c>
      <c r="AB31">
        <f>IF($G31="s-curve",$E31+($F31-$E31)*$R$2/(1+EXP($R$3*(COUNT($K$9:AB$9)+$R$4))),TREND($E31:$F31,$E$9:$F$9,AB$9))</f>
        <v>0.21540827106751401</v>
      </c>
      <c r="AC31">
        <f>IF($G31="s-curve",$E31+($F31-$E31)*$R$2/(1+EXP($R$3*(COUNT($K$9:AC$9)+$R$4))),TREND($E31:$F31,$E$9:$F$9,AC$9))</f>
        <v>0.22339570436893097</v>
      </c>
      <c r="AD31">
        <f>IF($G31="s-curve",$E31+($F31-$E31)*$R$2/(1+EXP($R$3*(COUNT($K$9:AD$9)+$R$4))),TREND($E31:$F31,$E$9:$F$9,AD$9))</f>
        <v>0.22971754830518867</v>
      </c>
      <c r="AE31">
        <f>IF($G31="s-curve",$E31+($F31-$E31)*$R$2/(1+EXP($R$3*(COUNT($K$9:AE$9)+$R$4))),TREND($E31:$F31,$E$9:$F$9,AE$9))</f>
        <v>0.23464334924647395</v>
      </c>
      <c r="AF31">
        <f>IF($G31="s-curve",$E31+($F31-$E31)*$R$2/(1+EXP($R$3*(COUNT($K$9:AF$9)+$R$4))),TREND($E31:$F31,$E$9:$F$9,AF$9))</f>
        <v>0.23843475055689056</v>
      </c>
      <c r="AG31">
        <f>IF($G31="s-curve",$E31+($F31-$E31)*$R$2/(1+EXP($R$3*(COUNT($K$9:AG$9)+$R$4))),TREND($E31:$F31,$E$9:$F$9,AG$9))</f>
        <v>0.24132562777735656</v>
      </c>
      <c r="AH31">
        <f>IF($G31="s-curve",$E31+($F31-$E31)*$R$2/(1+EXP($R$3*(COUNT($K$9:AH$9)+$R$4))),TREND($E31:$F31,$E$9:$F$9,AH$9))</f>
        <v>0.24351407060020699</v>
      </c>
      <c r="AI31">
        <f>IF($G31="s-curve",$E31+($F31-$E31)*$R$2/(1+EXP($R$3*(COUNT($K$9:AI$9)+$R$4))),TREND($E31:$F31,$E$9:$F$9,AI$9))</f>
        <v>0.2451617530797367</v>
      </c>
    </row>
    <row r="32" spans="1:35" x14ac:dyDescent="0.25">
      <c r="C32" t="s">
        <v>38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0</v>
      </c>
      <c r="J32" s="16">
        <f t="shared" si="2"/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39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0</v>
      </c>
      <c r="J33" s="16">
        <f t="shared" si="2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6.2247642917999998E-4</v>
      </c>
      <c r="E37" s="6">
        <v>3.70282921188E-3</v>
      </c>
      <c r="F37" s="20">
        <f>E37</f>
        <v>3.70282921188E-3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6.2247642917999998E-4</v>
      </c>
      <c r="J37" s="16">
        <f t="shared" si="2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5">D10</f>
        <v>0.16449392895100001</v>
      </c>
      <c r="E80">
        <f t="shared" si="5"/>
        <v>0.14828894775500001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0.14828894775500001</v>
      </c>
      <c r="J80">
        <f>IF($G80="s-curve",$E80+($F80-$E80)*$O$2/(1+EXP($O$3*(COUNT($I$9:J$9)+$O$4))),TREND($E80:$F80,$E$9:$F$9,J$9))</f>
        <v>0.20192405110570355</v>
      </c>
      <c r="K80">
        <f>IF($G80="s-curve",$E80+($F80-$E80)*$O$2/(1+EXP($O$3*(COUNT($I$9:K$9)+$O$4))),TREND($E80:$F80,$E$9:$F$9,K$9))</f>
        <v>0.21912805260389268</v>
      </c>
      <c r="L80">
        <f>IF($G80="s-curve",$E80+($F80-$E80)*$O$2/(1+EXP($O$3*(COUNT($I$9:L$9)+$O$4))),TREND($E80:$F80,$E$9:$F$9,L$9))</f>
        <v>0.2412079161321001</v>
      </c>
      <c r="M80">
        <f>IF($G80="s-curve",$E80+($F80-$E80)*$O$2/(1+EXP($O$3*(COUNT($I$9:M$9)+$O$4))),TREND($E80:$F80,$E$9:$F$9,M$9))</f>
        <v>0.2691050675034683</v>
      </c>
      <c r="N80">
        <f>IF($G80="s-curve",$E80+($F80-$E80)*$O$2/(1+EXP($O$3*(COUNT($I$9:N$9)+$O$4))),TREND($E80:$F80,$E$9:$F$9,N$9))</f>
        <v>0.30366278259245705</v>
      </c>
      <c r="O80">
        <f>IF($G80="s-curve",$E80+($F80-$E80)*$O$2/(1+EXP($O$3*(COUNT($I$9:O$9)+$O$4))),TREND($E80:$F80,$E$9:$F$9,O$9))</f>
        <v>0.34543894796969088</v>
      </c>
      <c r="P80">
        <f>IF($G80="s-curve",$E80+($F80-$E80)*$O$2/(1+EXP($O$3*(COUNT($I$9:P$9)+$O$4))),TREND($E80:$F80,$E$9:$F$9,P$9))</f>
        <v>0.39447645102619855</v>
      </c>
      <c r="Q80">
        <f>IF($G80="s-curve",$E80+($F80-$E80)*$O$2/(1+EXP($O$3*(COUNT($I$9:Q$9)+$O$4))),TREND($E80:$F80,$E$9:$F$9,Q$9))</f>
        <v>0.45008738803580778</v>
      </c>
      <c r="R80">
        <f>IF($G80="s-curve",$E80+($F80-$E80)*$O$2/(1+EXP($O$3*(COUNT($I$9:R$9)+$O$4))),TREND($E80:$F80,$E$9:$F$9,R$9))</f>
        <v>0.51074095955207577</v>
      </c>
      <c r="S80">
        <f>IF($G80="s-curve",$E80+($F80-$E80)*$O$2/(1+EXP($O$3*(COUNT($I$9:S$9)+$O$4))),TREND($E80:$F80,$E$9:$F$9,S$9))</f>
        <v>0.57414447387750001</v>
      </c>
      <c r="T80">
        <f>IF($G80="s-curve",$E80+($F80-$E80)*$O$2/(1+EXP($O$3*(COUNT($I$9:T$9)+$O$4))),TREND($E80:$F80,$E$9:$F$9,T$9))</f>
        <v>0.63754798820292424</v>
      </c>
      <c r="U80">
        <f>IF($G80="s-curve",$E80+($F80-$E80)*$O$2/(1+EXP($O$3*(COUNT($I$9:U$9)+$O$4))),TREND($E80:$F80,$E$9:$F$9,U$9))</f>
        <v>0.69820155971919218</v>
      </c>
      <c r="V80">
        <f>IF($G80="s-curve",$E80+($F80-$E80)*$O$2/(1+EXP($O$3*(COUNT($I$9:V$9)+$O$4))),TREND($E80:$F80,$E$9:$F$9,V$9))</f>
        <v>0.75381249672880146</v>
      </c>
      <c r="W80">
        <f>IF($G80="s-curve",$E80+($F80-$E80)*$O$2/(1+EXP($O$3*(COUNT($I$9:W$9)+$O$4))),TREND($E80:$F80,$E$9:$F$9,W$9))</f>
        <v>0.80284999978530913</v>
      </c>
      <c r="X80">
        <f>IF($G80="s-curve",$E80+($F80-$E80)*$O$2/(1+EXP($O$3*(COUNT($I$9:X$9)+$O$4))),TREND($E80:$F80,$E$9:$F$9,X$9))</f>
        <v>0.84462616516254285</v>
      </c>
      <c r="Y80">
        <f>IF($G80="s-curve",$E80+($F80-$E80)*$O$2/(1+EXP($O$3*(COUNT($I$9:Y$9)+$O$4))),TREND($E80:$F80,$E$9:$F$9,Y$9))</f>
        <v>0.87918388025153182</v>
      </c>
      <c r="Z80">
        <f>IF($G80="s-curve",$E80+($F80-$E80)*$O$2/(1+EXP($O$3*(COUNT($I$9:Z$9)+$O$4))),TREND($E80:$F80,$E$9:$F$9,Z$9))</f>
        <v>0.90708103162289988</v>
      </c>
      <c r="AA80">
        <f>IF($G80="s-curve",$E80+($F80-$E80)*$O$2/(1+EXP($O$3*(COUNT($I$9:AA$9)+$O$4))),TREND($E80:$F80,$E$9:$F$9,AA$9))</f>
        <v>0.92916089515110734</v>
      </c>
      <c r="AB80">
        <f>IF($G80="s-curve",$E80+($F80-$E80)*$O$2/(1+EXP($O$3*(COUNT($I$9:AB$9)+$O$4))),TREND($E80:$F80,$E$9:$F$9,AB$9))</f>
        <v>0.94636489664929646</v>
      </c>
      <c r="AC80">
        <f>IF($G80="s-curve",$E80+($F80-$E80)*$O$2/(1+EXP($O$3*(COUNT($I$9:AC$9)+$O$4))),TREND($E80:$F80,$E$9:$F$9,AC$9))</f>
        <v>0.95960685965229675</v>
      </c>
      <c r="AD80">
        <f>IF($G80="s-curve",$E80+($F80-$E80)*$O$2/(1+EXP($O$3*(COUNT($I$9:AD$9)+$O$4))),TREND($E80:$F80,$E$9:$F$9,AD$9))</f>
        <v>0.96970362495499696</v>
      </c>
      <c r="AE80">
        <f>IF($G80="s-curve",$E80+($F80-$E80)*$O$2/(1+EXP($O$3*(COUNT($I$9:AE$9)+$O$4))),TREND($E80:$F80,$E$9:$F$9,AE$9))</f>
        <v>0.97734704661409399</v>
      </c>
      <c r="AF80">
        <f>IF($G80="s-curve",$E80+($F80-$E80)*$O$2/(1+EXP($O$3*(COUNT($I$9:AF$9)+$O$4))),TREND($E80:$F80,$E$9:$F$9,AF$9))</f>
        <v>0.98310179232636641</v>
      </c>
      <c r="AG80">
        <f>IF($G80="s-curve",$E80+($F80-$E80)*$O$2/(1+EXP($O$3*(COUNT($I$9:AG$9)+$O$4))),TREND($E80:$F80,$E$9:$F$9,AG$9))</f>
        <v>0.98741679392062143</v>
      </c>
      <c r="AH80">
        <f>IF($G80="s-curve",$E80+($F80-$E80)*$O$2/(1+EXP($O$3*(COUNT($I$9:AH$9)+$O$4))),TREND($E80:$F80,$E$9:$F$9,AH$9))</f>
        <v>0.99064229953114202</v>
      </c>
      <c r="AI80">
        <f>IF($G80="s-curve",$E80+($F80-$E80)*$O$2/(1+EXP($O$3*(COUNT($I$9:AI$9)+$O$4))),TREND($E80:$F80,$E$9:$F$9,AI$9))</f>
        <v>0.99304784793411749</v>
      </c>
    </row>
    <row r="81" spans="1:35" x14ac:dyDescent="0.25">
      <c r="C81" t="s">
        <v>38</v>
      </c>
      <c r="D81">
        <f t="shared" si="5"/>
        <v>1.0004432735E-4</v>
      </c>
      <c r="E81">
        <f t="shared" si="5"/>
        <v>1.00970167475E-4</v>
      </c>
      <c r="F81">
        <f t="shared" si="5"/>
        <v>1.00970167475E-4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5"/>
        <v>6.6777915503600002E-2</v>
      </c>
      <c r="E83">
        <f t="shared" si="5"/>
        <v>6.7382959534800002E-2</v>
      </c>
      <c r="F83">
        <f t="shared" si="5"/>
        <v>6.7382959534800002E-2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41</v>
      </c>
      <c r="D84">
        <f t="shared" si="5"/>
        <v>1.68426429502E-2</v>
      </c>
      <c r="E84">
        <f t="shared" si="5"/>
        <v>1.4073498597800001E-2</v>
      </c>
      <c r="F84">
        <f t="shared" si="5"/>
        <v>0.10239066607264966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1.4073498597800001E-2</v>
      </c>
      <c r="J84">
        <f>IF($G84="s-curve",$E84+($F84-$E84)*$I$2/(1+EXP($I$3*(COUNT($I$9:J$9)+$I$4))),TREND($E84:$F84,$E$9:$F$9,J$9))</f>
        <v>1.5378299229133533E-2</v>
      </c>
      <c r="K84">
        <f>IF($G84="s-curve",$E84+($F84-$E84)*$I$2/(1+EXP($I$3*(COUNT($I$9:K$9)+$I$4))),TREND($E84:$F84,$E$9:$F$9,K$9))</f>
        <v>1.5825738202068743E-2</v>
      </c>
      <c r="L84">
        <f>IF($G84="s-curve",$E84+($F84-$E84)*$I$2/(1+EXP($I$3*(COUNT($I$9:L$9)+$I$4))),TREND($E84:$F84,$E$9:$F$9,L$9))</f>
        <v>1.6422469733855565E-2</v>
      </c>
      <c r="M84">
        <f>IF($G84="s-curve",$E84+($F84-$E84)*$I$2/(1+EXP($I$3*(COUNT($I$9:M$9)+$I$4))),TREND($E84:$F84,$E$9:$F$9,M$9))</f>
        <v>1.7215045278070985E-2</v>
      </c>
      <c r="N84">
        <f>IF($G84="s-curve",$E84+($F84-$E84)*$I$2/(1+EXP($I$3*(COUNT($I$9:N$9)+$I$4))),TREND($E84:$F84,$E$9:$F$9,N$9))</f>
        <v>1.8262017381864146E-2</v>
      </c>
      <c r="O84">
        <f>IF($G84="s-curve",$E84+($F84-$E84)*$I$2/(1+EXP($I$3*(COUNT($I$9:O$9)+$I$4))),TREND($E84:$F84,$E$9:$F$9,O$9))</f>
        <v>1.96351270311391E-2</v>
      </c>
      <c r="P84">
        <f>IF($G84="s-curve",$E84+($F84-$E84)*$I$2/(1+EXP($I$3*(COUNT($I$9:P$9)+$I$4))),TREND($E84:$F84,$E$9:$F$9,P$9))</f>
        <v>2.1419075563388585E-2</v>
      </c>
      <c r="Q84">
        <f>IF($G84="s-curve",$E84+($F84-$E84)*$I$2/(1+EXP($I$3*(COUNT($I$9:Q$9)+$I$4))),TREND($E84:$F84,$E$9:$F$9,Q$9))</f>
        <v>2.3708620826306676E-2</v>
      </c>
      <c r="R84">
        <f>IF($G84="s-curve",$E84+($F84-$E84)*$I$2/(1+EXP($I$3*(COUNT($I$9:R$9)+$I$4))),TREND($E84:$F84,$E$9:$F$9,R$9))</f>
        <v>2.6601382853102151E-2</v>
      </c>
      <c r="S84">
        <f>IF($G84="s-curve",$E84+($F84-$E84)*$I$2/(1+EXP($I$3*(COUNT($I$9:S$9)+$I$4))),TREND($E84:$F84,$E$9:$F$9,S$9))</f>
        <v>3.0184804135493147E-2</v>
      </c>
      <c r="T84">
        <f>IF($G84="s-curve",$E84+($F84-$E84)*$I$2/(1+EXP($I$3*(COUNT($I$9:T$9)+$I$4))),TREND($E84:$F84,$E$9:$F$9,T$9))</f>
        <v>3.4516734059794343E-2</v>
      </c>
      <c r="U84">
        <f>IF($G84="s-curve",$E84+($F84-$E84)*$I$2/(1+EXP($I$3*(COUNT($I$9:U$9)+$I$4))),TREND($E84:$F84,$E$9:$F$9,U$9))</f>
        <v>3.9601619783156121E-2</v>
      </c>
      <c r="V84">
        <f>IF($G84="s-curve",$E84+($F84-$E84)*$I$2/(1+EXP($I$3*(COUNT($I$9:V$9)+$I$4))),TREND($E84:$F84,$E$9:$F$9,V$9))</f>
        <v>4.5368129944513266E-2</v>
      </c>
      <c r="W84">
        <f>IF($G84="s-curve",$E84+($F84-$E84)*$I$2/(1+EXP($I$3*(COUNT($I$9:W$9)+$I$4))),TREND($E84:$F84,$E$9:$F$9,W$9))</f>
        <v>5.1657530110720232E-2</v>
      </c>
      <c r="X84">
        <f>IF($G84="s-curve",$E84+($F84-$E84)*$I$2/(1+EXP($I$3*(COUNT($I$9:X$9)+$I$4))),TREND($E84:$F84,$E$9:$F$9,X$9))</f>
        <v>5.8232082335224832E-2</v>
      </c>
      <c r="Y84">
        <f>IF($G84="s-curve",$E84+($F84-$E84)*$I$2/(1+EXP($I$3*(COUNT($I$9:Y$9)+$I$4))),TREND($E84:$F84,$E$9:$F$9,Y$9))</f>
        <v>6.4806634559729431E-2</v>
      </c>
      <c r="Z84">
        <f>IF($G84="s-curve",$E84+($F84-$E84)*$I$2/(1+EXP($I$3*(COUNT($I$9:Z$9)+$I$4))),TREND($E84:$F84,$E$9:$F$9,Z$9))</f>
        <v>7.1096034725936397E-2</v>
      </c>
      <c r="AA84">
        <f>IF($G84="s-curve",$E84+($F84-$E84)*$I$2/(1+EXP($I$3*(COUNT($I$9:AA$9)+$I$4))),TREND($E84:$F84,$E$9:$F$9,AA$9))</f>
        <v>7.6862544887293549E-2</v>
      </c>
      <c r="AB84">
        <f>IF($G84="s-curve",$E84+($F84-$E84)*$I$2/(1+EXP($I$3*(COUNT($I$9:AB$9)+$I$4))),TREND($E84:$F84,$E$9:$F$9,AB$9))</f>
        <v>8.194743061065532E-2</v>
      </c>
      <c r="AC84">
        <f>IF($G84="s-curve",$E84+($F84-$E84)*$I$2/(1+EXP($I$3*(COUNT($I$9:AC$9)+$I$4))),TREND($E84:$F84,$E$9:$F$9,AC$9))</f>
        <v>8.6279360534956523E-2</v>
      </c>
      <c r="AD84">
        <f>IF($G84="s-curve",$E84+($F84-$E84)*$I$2/(1+EXP($I$3*(COUNT($I$9:AD$9)+$I$4))),TREND($E84:$F84,$E$9:$F$9,AD$9))</f>
        <v>8.9862781817347526E-2</v>
      </c>
      <c r="AE84">
        <f>IF($G84="s-curve",$E84+($F84-$E84)*$I$2/(1+EXP($I$3*(COUNT($I$9:AE$9)+$I$4))),TREND($E84:$F84,$E$9:$F$9,AE$9))</f>
        <v>9.2755543844143001E-2</v>
      </c>
      <c r="AF84">
        <f>IF($G84="s-curve",$E84+($F84-$E84)*$I$2/(1+EXP($I$3*(COUNT($I$9:AF$9)+$I$4))),TREND($E84:$F84,$E$9:$F$9,AF$9))</f>
        <v>9.5045089107061081E-2</v>
      </c>
      <c r="AG84">
        <f>IF($G84="s-curve",$E84+($F84-$E84)*$I$2/(1+EXP($I$3*(COUNT($I$9:AG$9)+$I$4))),TREND($E84:$F84,$E$9:$F$9,AG$9))</f>
        <v>9.6829037639310556E-2</v>
      </c>
      <c r="AH84">
        <f>IF($G84="s-curve",$E84+($F84-$E84)*$I$2/(1+EXP($I$3*(COUNT($I$9:AH$9)+$I$4))),TREND($E84:$F84,$E$9:$F$9,AH$9))</f>
        <v>9.8202147288585534E-2</v>
      </c>
      <c r="AI84">
        <f>IF($G84="s-curve",$E84+($F84-$E84)*$I$2/(1+EXP($I$3*(COUNT($I$9:AI$9)+$I$4))),TREND($E84:$F84,$E$9:$F$9,AI$9))</f>
        <v>9.9249119392378682E-2</v>
      </c>
    </row>
    <row r="85" spans="1:35" x14ac:dyDescent="0.25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0.16449392895100001</v>
      </c>
      <c r="C2">
        <f>Data!J10</f>
        <v>0.14828894775500001</v>
      </c>
      <c r="D2">
        <f>Data!K10</f>
        <v>0.18868208810270334</v>
      </c>
      <c r="E2">
        <f>Data!L10</f>
        <v>0.20192405110570355</v>
      </c>
      <c r="F2">
        <f>Data!M10</f>
        <v>0.21912805260389268</v>
      </c>
      <c r="G2">
        <f>Data!N10</f>
        <v>0.2412079161321001</v>
      </c>
      <c r="H2">
        <f>Data!O10</f>
        <v>0.2691050675034683</v>
      </c>
      <c r="I2">
        <f>Data!P10</f>
        <v>0.30366278259245705</v>
      </c>
      <c r="J2">
        <f>Data!Q10</f>
        <v>0.34543894796969088</v>
      </c>
      <c r="K2">
        <f>Data!R10</f>
        <v>0.39447645102619855</v>
      </c>
      <c r="L2">
        <f>Data!S10</f>
        <v>0.45008738803580778</v>
      </c>
      <c r="M2">
        <f>Data!T10</f>
        <v>0.51074095955207577</v>
      </c>
      <c r="N2">
        <f>Data!U10</f>
        <v>0.57414447387750001</v>
      </c>
      <c r="O2">
        <f>Data!V10</f>
        <v>0.63754798820292424</v>
      </c>
      <c r="P2">
        <f>Data!W10</f>
        <v>0.69820155971919218</v>
      </c>
      <c r="Q2">
        <f>Data!X10</f>
        <v>0.75381249672880146</v>
      </c>
      <c r="R2">
        <f>Data!Y10</f>
        <v>0.80284999978530913</v>
      </c>
      <c r="S2">
        <f>Data!Z10</f>
        <v>0.84462616516254285</v>
      </c>
      <c r="T2">
        <f>Data!AA10</f>
        <v>0.87918388025153182</v>
      </c>
      <c r="U2">
        <f>Data!AB10</f>
        <v>0.90708103162289988</v>
      </c>
      <c r="V2">
        <f>Data!AC10</f>
        <v>0.92916089515110734</v>
      </c>
      <c r="W2">
        <f>Data!AD10</f>
        <v>0.94636489664929646</v>
      </c>
      <c r="X2">
        <f>Data!AE10</f>
        <v>0.95960685965229675</v>
      </c>
      <c r="Y2">
        <f>Data!AF10</f>
        <v>0.96970362495499696</v>
      </c>
      <c r="Z2">
        <f>Data!AG10</f>
        <v>0.97734704661409399</v>
      </c>
      <c r="AA2">
        <f>Data!AH10</f>
        <v>0.98310179232636641</v>
      </c>
      <c r="AB2">
        <f>Data!AI10</f>
        <v>0.98741679392062143</v>
      </c>
    </row>
    <row r="3" spans="1:28" x14ac:dyDescent="0.25">
      <c r="A3" t="s">
        <v>38</v>
      </c>
      <c r="B3">
        <f>Data!I11</f>
        <v>1.00970167475E-4</v>
      </c>
      <c r="C3">
        <f>Data!J11</f>
        <v>1.00970167475E-4</v>
      </c>
      <c r="D3">
        <f>Data!K11</f>
        <v>1.00970167475E-4</v>
      </c>
      <c r="E3">
        <f>Data!L11</f>
        <v>1.00970167475E-4</v>
      </c>
      <c r="F3">
        <f>Data!M11</f>
        <v>1.00970167475E-4</v>
      </c>
      <c r="G3">
        <f>Data!N11</f>
        <v>1.00970167475E-4</v>
      </c>
      <c r="H3">
        <f>Data!O11</f>
        <v>1.00970167475E-4</v>
      </c>
      <c r="I3">
        <f>Data!P11</f>
        <v>1.00970167475E-4</v>
      </c>
      <c r="J3">
        <f>Data!Q11</f>
        <v>1.00970167475E-4</v>
      </c>
      <c r="K3">
        <f>Data!R11</f>
        <v>1.00970167475E-4</v>
      </c>
      <c r="L3">
        <f>Data!S11</f>
        <v>1.00970167475E-4</v>
      </c>
      <c r="M3">
        <f>Data!T11</f>
        <v>1.00970167475E-4</v>
      </c>
      <c r="N3">
        <f>Data!U11</f>
        <v>1.00970167475E-4</v>
      </c>
      <c r="O3">
        <f>Data!V11</f>
        <v>1.00970167475E-4</v>
      </c>
      <c r="P3">
        <f>Data!W11</f>
        <v>1.00970167475E-4</v>
      </c>
      <c r="Q3">
        <f>Data!X11</f>
        <v>1.00970167475E-4</v>
      </c>
      <c r="R3">
        <f>Data!Y11</f>
        <v>1.00970167475E-4</v>
      </c>
      <c r="S3">
        <f>Data!Z11</f>
        <v>1.00970167475E-4</v>
      </c>
      <c r="T3">
        <f>Data!AA11</f>
        <v>1.00970167475E-4</v>
      </c>
      <c r="U3">
        <f>Data!AB11</f>
        <v>1.00970167475E-4</v>
      </c>
      <c r="V3">
        <f>Data!AC11</f>
        <v>1.00970167475E-4</v>
      </c>
      <c r="W3">
        <f>Data!AD11</f>
        <v>1.00970167475E-4</v>
      </c>
      <c r="X3">
        <f>Data!AE11</f>
        <v>1.00970167475E-4</v>
      </c>
      <c r="Y3">
        <f>Data!AF11</f>
        <v>1.00970167475E-4</v>
      </c>
      <c r="Z3">
        <f>Data!AG11</f>
        <v>1.00970167475E-4</v>
      </c>
      <c r="AA3">
        <f>Data!AH11</f>
        <v>1.00970167475E-4</v>
      </c>
      <c r="AB3">
        <f>Data!AI11</f>
        <v>1.00970167475E-4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6.7382959534800002E-2</v>
      </c>
      <c r="C5">
        <f>Data!J13</f>
        <v>6.7382959534800002E-2</v>
      </c>
      <c r="D5">
        <f>Data!K13</f>
        <v>6.7382959534800002E-2</v>
      </c>
      <c r="E5">
        <f>Data!L13</f>
        <v>6.7382959534800002E-2</v>
      </c>
      <c r="F5">
        <f>Data!M13</f>
        <v>6.7382959534800002E-2</v>
      </c>
      <c r="G5">
        <f>Data!N13</f>
        <v>6.7382959534800002E-2</v>
      </c>
      <c r="H5">
        <f>Data!O13</f>
        <v>6.7382959534800002E-2</v>
      </c>
      <c r="I5">
        <f>Data!P13</f>
        <v>6.7382959534800002E-2</v>
      </c>
      <c r="J5">
        <f>Data!Q13</f>
        <v>6.7382959534800002E-2</v>
      </c>
      <c r="K5">
        <f>Data!R13</f>
        <v>6.7382959534800002E-2</v>
      </c>
      <c r="L5">
        <f>Data!S13</f>
        <v>6.7382959534800002E-2</v>
      </c>
      <c r="M5">
        <f>Data!T13</f>
        <v>6.7382959534800002E-2</v>
      </c>
      <c r="N5">
        <f>Data!U13</f>
        <v>6.7382959534800002E-2</v>
      </c>
      <c r="O5">
        <f>Data!V13</f>
        <v>6.7382959534800002E-2</v>
      </c>
      <c r="P5">
        <f>Data!W13</f>
        <v>6.7382959534800002E-2</v>
      </c>
      <c r="Q5">
        <f>Data!X13</f>
        <v>6.7382959534800002E-2</v>
      </c>
      <c r="R5">
        <f>Data!Y13</f>
        <v>6.7382959534800002E-2</v>
      </c>
      <c r="S5">
        <f>Data!Z13</f>
        <v>6.7382959534800002E-2</v>
      </c>
      <c r="T5">
        <f>Data!AA13</f>
        <v>6.7382959534800002E-2</v>
      </c>
      <c r="U5">
        <f>Data!AB13</f>
        <v>6.7382959534800002E-2</v>
      </c>
      <c r="V5">
        <f>Data!AC13</f>
        <v>6.7382959534800002E-2</v>
      </c>
      <c r="W5">
        <f>Data!AD13</f>
        <v>6.7382959534800002E-2</v>
      </c>
      <c r="X5">
        <f>Data!AE13</f>
        <v>6.7382959534800002E-2</v>
      </c>
      <c r="Y5">
        <f>Data!AF13</f>
        <v>6.7382959534800002E-2</v>
      </c>
      <c r="Z5">
        <f>Data!AG13</f>
        <v>6.7382959534800002E-2</v>
      </c>
      <c r="AA5">
        <f>Data!AH13</f>
        <v>6.7382959534800002E-2</v>
      </c>
      <c r="AB5">
        <f>Data!AI13</f>
        <v>6.7382959534800002E-2</v>
      </c>
    </row>
    <row r="6" spans="1:28" x14ac:dyDescent="0.25">
      <c r="A6" t="s">
        <v>41</v>
      </c>
      <c r="B6">
        <f>Data!I14</f>
        <v>1.68426429502E-2</v>
      </c>
      <c r="C6">
        <f>Data!J14</f>
        <v>1.4073498597800001E-2</v>
      </c>
      <c r="D6">
        <f>Data!K14</f>
        <v>1.7532504297315375E-2</v>
      </c>
      <c r="E6">
        <f>Data!L14</f>
        <v>1.9136207441018131E-2</v>
      </c>
      <c r="F6">
        <f>Data!M14</f>
        <v>2.1419075563388582E-2</v>
      </c>
      <c r="G6">
        <f>Data!N14</f>
        <v>2.4601163025518801E-2</v>
      </c>
      <c r="H6">
        <f>Data!O14</f>
        <v>2.8909159010622888E-2</v>
      </c>
      <c r="I6">
        <f>Data!P14</f>
        <v>3.4516734059794343E-2</v>
      </c>
      <c r="J6">
        <f>Data!Q14</f>
        <v>4.1454074269529816E-2</v>
      </c>
      <c r="K6">
        <f>Data!R14</f>
        <v>4.9516267729372364E-2</v>
      </c>
      <c r="L6">
        <f>Data!S14</f>
        <v>5.8232082335224832E-2</v>
      </c>
      <c r="M6">
        <f>Data!T14</f>
        <v>6.6947896941077292E-2</v>
      </c>
      <c r="N6">
        <f>Data!U14</f>
        <v>7.5010090400919854E-2</v>
      </c>
      <c r="O6">
        <f>Data!V14</f>
        <v>8.194743061065532E-2</v>
      </c>
      <c r="P6">
        <f>Data!W14</f>
        <v>8.7555005659826768E-2</v>
      </c>
      <c r="Q6">
        <f>Data!X14</f>
        <v>9.1863001644930858E-2</v>
      </c>
      <c r="R6">
        <f>Data!Y14</f>
        <v>9.5045089107061081E-2</v>
      </c>
      <c r="S6">
        <f>Data!Z14</f>
        <v>9.7327957229431522E-2</v>
      </c>
      <c r="T6">
        <f>Data!AA14</f>
        <v>9.8931660373134278E-2</v>
      </c>
      <c r="U6">
        <f>Data!AB14</f>
        <v>0.10004169493659409</v>
      </c>
      <c r="V6">
        <f>Data!AC14</f>
        <v>0.10080217495518981</v>
      </c>
      <c r="W6">
        <f>Data!AD14</f>
        <v>0.10131951704893569</v>
      </c>
      <c r="X6">
        <f>Data!AE14</f>
        <v>0.10166977090909066</v>
      </c>
      <c r="Y6">
        <f>Data!AF14</f>
        <v>0.10190613169392981</v>
      </c>
      <c r="Z6">
        <f>Data!AG14</f>
        <v>0.10206528444043367</v>
      </c>
      <c r="AA6">
        <f>Data!AH14</f>
        <v>0.10217229099922295</v>
      </c>
      <c r="AB6">
        <f>Data!AI14</f>
        <v>0.10224416545984444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0.464269858905</v>
      </c>
      <c r="C2">
        <f>Data!J17</f>
        <v>0.22113248143634012</v>
      </c>
      <c r="D2">
        <f>Data!K17</f>
        <v>0.45842658466210101</v>
      </c>
      <c r="E2">
        <f>Data!L17</f>
        <v>0.45647921740967468</v>
      </c>
      <c r="F2">
        <f>Data!M17</f>
        <v>0.45392523459074285</v>
      </c>
      <c r="G2">
        <f>Data!N17</f>
        <v>0.45060709178719499</v>
      </c>
      <c r="H2">
        <f>Data!O17</f>
        <v>0.44634853948021264</v>
      </c>
      <c r="I2">
        <f>Data!P17</f>
        <v>0.44096800448827289</v>
      </c>
      <c r="J2">
        <f>Data!Q17</f>
        <v>0.43430284384865914</v>
      </c>
      <c r="K2">
        <f>Data!R17</f>
        <v>0.42624545775037931</v>
      </c>
      <c r="L2">
        <f>Data!S17</f>
        <v>0.41678757448478931</v>
      </c>
      <c r="M2">
        <f>Data!T17</f>
        <v>0.40606187032483487</v>
      </c>
      <c r="N2">
        <f>Data!U17</f>
        <v>0.39436359118568431</v>
      </c>
      <c r="O2">
        <f>Data!V17</f>
        <v>0.38213492945249999</v>
      </c>
      <c r="P2">
        <f>Data!W17</f>
        <v>0.36990626771931567</v>
      </c>
      <c r="Q2">
        <f>Data!X17</f>
        <v>0.35820798858016512</v>
      </c>
      <c r="R2">
        <f>Data!Y17</f>
        <v>0.34748228442021067</v>
      </c>
      <c r="S2">
        <f>Data!Z17</f>
        <v>0.33802440115462073</v>
      </c>
      <c r="T2">
        <f>Data!AA17</f>
        <v>0.32996701505634085</v>
      </c>
      <c r="U2">
        <f>Data!AB17</f>
        <v>0.3233018544167271</v>
      </c>
      <c r="V2">
        <f>Data!AC17</f>
        <v>0.3179213194247873</v>
      </c>
      <c r="W2">
        <f>Data!AD17</f>
        <v>0.313662767117805</v>
      </c>
      <c r="X2">
        <f>Data!AE17</f>
        <v>0.31034462431425713</v>
      </c>
      <c r="Y2">
        <f>Data!AF17</f>
        <v>0.30779064149532531</v>
      </c>
      <c r="Z2">
        <f>Data!AG17</f>
        <v>0.30584327424289898</v>
      </c>
      <c r="AA2">
        <f>Data!AH17</f>
        <v>0.30436908438216892</v>
      </c>
      <c r="AB2">
        <f>Data!AI17</f>
        <v>0.30325916422356897</v>
      </c>
    </row>
    <row r="3" spans="1:28" x14ac:dyDescent="0.25">
      <c r="A3" t="s">
        <v>38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25">
      <c r="A4" t="s">
        <v>39</v>
      </c>
      <c r="B4">
        <f>Data!I19</f>
        <v>1</v>
      </c>
      <c r="C4">
        <f>Data!J19</f>
        <v>0.95569574619999997</v>
      </c>
      <c r="D4">
        <f>Data!K19</f>
        <v>0.95569574619999997</v>
      </c>
      <c r="E4">
        <f>Data!L19</f>
        <v>0.95569574619999997</v>
      </c>
      <c r="F4">
        <f>Data!M19</f>
        <v>0.95569574619999997</v>
      </c>
      <c r="G4">
        <f>Data!N19</f>
        <v>0.95569574619999997</v>
      </c>
      <c r="H4">
        <f>Data!O19</f>
        <v>0.95569574619999997</v>
      </c>
      <c r="I4">
        <f>Data!P19</f>
        <v>0.95569574619999997</v>
      </c>
      <c r="J4">
        <f>Data!Q19</f>
        <v>0.95569574619999997</v>
      </c>
      <c r="K4">
        <f>Data!R19</f>
        <v>0.95569574619999997</v>
      </c>
      <c r="L4">
        <f>Data!S19</f>
        <v>0.95569574619999997</v>
      </c>
      <c r="M4">
        <f>Data!T19</f>
        <v>0.95569574619999997</v>
      </c>
      <c r="N4">
        <f>Data!U19</f>
        <v>0.95569574619999997</v>
      </c>
      <c r="O4">
        <f>Data!V19</f>
        <v>0.95569574619999997</v>
      </c>
      <c r="P4">
        <f>Data!W19</f>
        <v>0.95569574619999997</v>
      </c>
      <c r="Q4">
        <f>Data!X19</f>
        <v>0.95569574619999997</v>
      </c>
      <c r="R4">
        <f>Data!Y19</f>
        <v>0.95569574619999997</v>
      </c>
      <c r="S4">
        <f>Data!Z19</f>
        <v>0.95569574619999997</v>
      </c>
      <c r="T4">
        <f>Data!AA19</f>
        <v>0.95569574619999997</v>
      </c>
      <c r="U4">
        <f>Data!AB19</f>
        <v>0.95569574619999997</v>
      </c>
      <c r="V4">
        <f>Data!AC19</f>
        <v>0.95569574619999997</v>
      </c>
      <c r="W4">
        <f>Data!AD19</f>
        <v>0.95569574619999997</v>
      </c>
      <c r="X4">
        <f>Data!AE19</f>
        <v>0.95569574619999997</v>
      </c>
      <c r="Y4">
        <f>Data!AF19</f>
        <v>0.95569574619999997</v>
      </c>
      <c r="Z4">
        <f>Data!AG19</f>
        <v>0.95569574619999997</v>
      </c>
      <c r="AA4">
        <f>Data!AH19</f>
        <v>0.95569574619999997</v>
      </c>
      <c r="AB4">
        <f>Data!AI19</f>
        <v>0.95569574619999997</v>
      </c>
    </row>
    <row r="5" spans="1:28" x14ac:dyDescent="0.25">
      <c r="A5" t="s">
        <v>40</v>
      </c>
      <c r="B5">
        <f>Data!I20</f>
        <v>0.97299803336400004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0</v>
      </c>
      <c r="C6">
        <f>Data!J21</f>
        <v>9.0197447039299999E-4</v>
      </c>
      <c r="D6">
        <f>Data!K21</f>
        <v>9.1384577850523699E-4</v>
      </c>
      <c r="E6">
        <f>Data!L21</f>
        <v>9.1780208719455226E-4</v>
      </c>
      <c r="F6">
        <f>Data!M21</f>
        <v>9.229908077126324E-4</v>
      </c>
      <c r="G6">
        <f>Data!N21</f>
        <v>9.2973201032334131E-4</v>
      </c>
      <c r="H6">
        <f>Data!O21</f>
        <v>9.3838376693218116E-4</v>
      </c>
      <c r="I6">
        <f>Data!P21</f>
        <v>9.4931496509999139E-4</v>
      </c>
      <c r="J6">
        <f>Data!Q21</f>
        <v>9.6285603339172255E-4</v>
      </c>
      <c r="K6">
        <f>Data!R21</f>
        <v>9.7922557364874116E-4</v>
      </c>
      <c r="L6">
        <f>Data!S21</f>
        <v>9.9844039083310217E-4</v>
      </c>
      <c r="M6">
        <f>Data!T21</f>
        <v>1.020230937281997E-3</v>
      </c>
      <c r="N6">
        <f>Data!U21</f>
        <v>1.0439973857269895E-3</v>
      </c>
      <c r="O6">
        <f>Data!V21</f>
        <v>1.0688413696305979E-3</v>
      </c>
      <c r="P6">
        <f>Data!W21</f>
        <v>1.0936853535342065E-3</v>
      </c>
      <c r="Q6">
        <f>Data!X21</f>
        <v>1.117451801979199E-3</v>
      </c>
      <c r="R6">
        <f>Data!Y21</f>
        <v>1.1392423484280938E-3</v>
      </c>
      <c r="S6">
        <f>Data!Z21</f>
        <v>1.1584571656124548E-3</v>
      </c>
      <c r="T6">
        <f>Data!AA21</f>
        <v>1.1748267058694735E-3</v>
      </c>
      <c r="U6">
        <f>Data!AB21</f>
        <v>1.1883677741612046E-3</v>
      </c>
      <c r="V6">
        <f>Data!AC21</f>
        <v>1.1992989723290147E-3</v>
      </c>
      <c r="W6">
        <f>Data!AD21</f>
        <v>1.2079507289378547E-3</v>
      </c>
      <c r="X6">
        <f>Data!AE21</f>
        <v>1.2146919315485635E-3</v>
      </c>
      <c r="Y6">
        <f>Data!AF21</f>
        <v>1.2198806520666437E-3</v>
      </c>
      <c r="Z6">
        <f>Data!AG21</f>
        <v>1.223836960755959E-3</v>
      </c>
      <c r="AA6">
        <f>Data!AH21</f>
        <v>1.2268319531737681E-3</v>
      </c>
      <c r="AB6">
        <f>Data!AI21</f>
        <v>1.2290868882726532E-3</v>
      </c>
    </row>
    <row r="7" spans="1:28" x14ac:dyDescent="0.25">
      <c r="A7" t="s">
        <v>42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25">
      <c r="A8" t="s">
        <v>43</v>
      </c>
      <c r="B8">
        <f>Data!I23</f>
        <v>0</v>
      </c>
      <c r="C8">
        <f>Data!J23</f>
        <v>0.87530894177700003</v>
      </c>
      <c r="D8">
        <f>Data!K23</f>
        <v>0.87530894177700003</v>
      </c>
      <c r="E8">
        <f>Data!L23</f>
        <v>0.87530894177700003</v>
      </c>
      <c r="F8">
        <f>Data!M23</f>
        <v>0.87530894177700003</v>
      </c>
      <c r="G8">
        <f>Data!N23</f>
        <v>0.87530894177700003</v>
      </c>
      <c r="H8">
        <f>Data!O23</f>
        <v>0.87530894177700003</v>
      </c>
      <c r="I8">
        <f>Data!P23</f>
        <v>0.87530894177700003</v>
      </c>
      <c r="J8">
        <f>Data!Q23</f>
        <v>0.87530894177700003</v>
      </c>
      <c r="K8">
        <f>Data!R23</f>
        <v>0.87530894177700003</v>
      </c>
      <c r="L8">
        <f>Data!S23</f>
        <v>0.87530894177700003</v>
      </c>
      <c r="M8">
        <f>Data!T23</f>
        <v>0.87530894177700003</v>
      </c>
      <c r="N8">
        <f>Data!U23</f>
        <v>0.87530894177700003</v>
      </c>
      <c r="O8">
        <f>Data!V23</f>
        <v>0.87530894177700003</v>
      </c>
      <c r="P8">
        <f>Data!W23</f>
        <v>0.87530894177700003</v>
      </c>
      <c r="Q8">
        <f>Data!X23</f>
        <v>0.87530894177700003</v>
      </c>
      <c r="R8">
        <f>Data!Y23</f>
        <v>0.87530894177700003</v>
      </c>
      <c r="S8">
        <f>Data!Z23</f>
        <v>0.87530894177700003</v>
      </c>
      <c r="T8">
        <f>Data!AA23</f>
        <v>0.87530894177700003</v>
      </c>
      <c r="U8">
        <f>Data!AB23</f>
        <v>0.87530894177700003</v>
      </c>
      <c r="V8">
        <f>Data!AC23</f>
        <v>0.87530894177700003</v>
      </c>
      <c r="W8">
        <f>Data!AD23</f>
        <v>0.87530894177700003</v>
      </c>
      <c r="X8">
        <f>Data!AE23</f>
        <v>0.87530894177700003</v>
      </c>
      <c r="Y8">
        <f>Data!AF23</f>
        <v>0.87530894177700003</v>
      </c>
      <c r="Z8">
        <f>Data!AG23</f>
        <v>0.87530894177700003</v>
      </c>
      <c r="AA8">
        <f>Data!AH23</f>
        <v>0.87530894177700003</v>
      </c>
      <c r="AB8">
        <f>Data!AI23</f>
        <v>0.87530894177700003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3.1162890650799999E-2</v>
      </c>
      <c r="C2">
        <f>Data!J24</f>
        <v>3.0635270769200001E-2</v>
      </c>
      <c r="D2">
        <f>Data!K24</f>
        <v>5.6223929708727458E-2</v>
      </c>
      <c r="E2">
        <f>Data!L24</f>
        <v>6.4751771186114582E-2</v>
      </c>
      <c r="F2">
        <f>Data!M24</f>
        <v>7.593608199789606E-2</v>
      </c>
      <c r="G2">
        <f>Data!N24</f>
        <v>9.0466775061945975E-2</v>
      </c>
      <c r="H2">
        <f>Data!O24</f>
        <v>0.10911567600852309</v>
      </c>
      <c r="I2">
        <f>Data!P24</f>
        <v>0.13267792366244005</v>
      </c>
      <c r="J2">
        <f>Data!Q24</f>
        <v>0.16186575830694638</v>
      </c>
      <c r="K2">
        <f>Data!R24</f>
        <v>0.19715037721106998</v>
      </c>
      <c r="L2">
        <f>Data!S24</f>
        <v>0.2385680035473921</v>
      </c>
      <c r="M2">
        <f>Data!T24</f>
        <v>0.2855376260957222</v>
      </c>
      <c r="N2">
        <f>Data!U24</f>
        <v>0.33676631443512162</v>
      </c>
      <c r="O2">
        <f>Data!V24</f>
        <v>0.39031763538459996</v>
      </c>
      <c r="P2">
        <f>Data!W24</f>
        <v>0.4438689563340783</v>
      </c>
      <c r="Q2">
        <f>Data!X24</f>
        <v>0.49509764467347783</v>
      </c>
      <c r="R2">
        <f>Data!Y24</f>
        <v>0.54206726722180787</v>
      </c>
      <c r="S2">
        <f>Data!Z24</f>
        <v>0.58348489355812994</v>
      </c>
      <c r="T2">
        <f>Data!AA24</f>
        <v>0.61876951246225353</v>
      </c>
      <c r="U2">
        <f>Data!AB24</f>
        <v>0.64795734710676001</v>
      </c>
      <c r="V2">
        <f>Data!AC24</f>
        <v>0.67151959476067691</v>
      </c>
      <c r="W2">
        <f>Data!AD24</f>
        <v>0.69016849570725403</v>
      </c>
      <c r="X2">
        <f>Data!AE24</f>
        <v>0.704699188771304</v>
      </c>
      <c r="Y2">
        <f>Data!AF24</f>
        <v>0.7158834995830855</v>
      </c>
      <c r="Z2">
        <f>Data!AG24</f>
        <v>0.72441134106047256</v>
      </c>
      <c r="AA2">
        <f>Data!AH24</f>
        <v>0.73086706091722453</v>
      </c>
      <c r="AB2">
        <f>Data!AI24</f>
        <v>0.73572758383774906</v>
      </c>
    </row>
    <row r="3" spans="1:28" x14ac:dyDescent="0.25">
      <c r="A3" t="s">
        <v>38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25">
      <c r="A4" t="s">
        <v>39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25">
      <c r="A8" t="s">
        <v>43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4.7973229575300003E-3</v>
      </c>
      <c r="C2">
        <f>Data!J31</f>
        <v>6.1405058414400002E-3</v>
      </c>
      <c r="D2">
        <f>Data!K31</f>
        <v>1.4814878064083456E-2</v>
      </c>
      <c r="E2">
        <f>Data!L31</f>
        <v>1.7705755284549454E-2</v>
      </c>
      <c r="F2">
        <f>Data!M31</f>
        <v>2.1497156594966059E-2</v>
      </c>
      <c r="G2">
        <f>Data!N31</f>
        <v>2.6422957536251346E-2</v>
      </c>
      <c r="H2">
        <f>Data!O31</f>
        <v>3.2744801472509036E-2</v>
      </c>
      <c r="I2">
        <f>Data!P31</f>
        <v>4.0732234773926027E-2</v>
      </c>
      <c r="J2">
        <f>Data!Q31</f>
        <v>5.0626701798468406E-2</v>
      </c>
      <c r="K2">
        <f>Data!R31</f>
        <v>6.2587935047612731E-2</v>
      </c>
      <c r="L2">
        <f>Data!S31</f>
        <v>7.6628213917586716E-2</v>
      </c>
      <c r="M2">
        <f>Data!T31</f>
        <v>9.2550579763493207E-2</v>
      </c>
      <c r="N2">
        <f>Data!U31</f>
        <v>0.10991673842713874</v>
      </c>
      <c r="O2">
        <f>Data!V31</f>
        <v>0.12807025292072</v>
      </c>
      <c r="P2">
        <f>Data!W31</f>
        <v>0.14622376741430126</v>
      </c>
      <c r="Q2">
        <f>Data!X31</f>
        <v>0.16358992607794678</v>
      </c>
      <c r="R2">
        <f>Data!Y31</f>
        <v>0.17951229192385326</v>
      </c>
      <c r="S2">
        <f>Data!Z31</f>
        <v>0.19355257079382726</v>
      </c>
      <c r="T2">
        <f>Data!AA31</f>
        <v>0.20551380404297159</v>
      </c>
      <c r="U2">
        <f>Data!AB31</f>
        <v>0.21540827106751401</v>
      </c>
      <c r="V2">
        <f>Data!AC31</f>
        <v>0.22339570436893097</v>
      </c>
      <c r="W2">
        <f>Data!AD31</f>
        <v>0.22971754830518867</v>
      </c>
      <c r="X2">
        <f>Data!AE31</f>
        <v>0.23464334924647395</v>
      </c>
      <c r="Y2">
        <f>Data!AF31</f>
        <v>0.23843475055689056</v>
      </c>
      <c r="Z2">
        <f>Data!AG31</f>
        <v>0.24132562777735656</v>
      </c>
      <c r="AA2">
        <f>Data!AH31</f>
        <v>0.24351407060020699</v>
      </c>
      <c r="AB2">
        <f>Data!AI31</f>
        <v>0.2451617530797367</v>
      </c>
    </row>
    <row r="3" spans="1:28" x14ac:dyDescent="0.25">
      <c r="A3" t="s">
        <v>38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25">
      <c r="A4" t="s">
        <v>39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6.2247642917999998E-4</v>
      </c>
      <c r="C8">
        <f>Data!J37</f>
        <v>3.70282921188E-3</v>
      </c>
      <c r="D8">
        <f>Data!K37</f>
        <v>3.70282921188E-3</v>
      </c>
      <c r="E8">
        <f>Data!L37</f>
        <v>3.70282921188E-3</v>
      </c>
      <c r="F8">
        <f>Data!M37</f>
        <v>3.70282921188E-3</v>
      </c>
      <c r="G8">
        <f>Data!N37</f>
        <v>3.70282921188E-3</v>
      </c>
      <c r="H8">
        <f>Data!O37</f>
        <v>3.70282921188E-3</v>
      </c>
      <c r="I8">
        <f>Data!P37</f>
        <v>3.70282921188E-3</v>
      </c>
      <c r="J8">
        <f>Data!Q37</f>
        <v>3.70282921188E-3</v>
      </c>
      <c r="K8">
        <f>Data!R37</f>
        <v>3.70282921188E-3</v>
      </c>
      <c r="L8">
        <f>Data!S37</f>
        <v>3.70282921188E-3</v>
      </c>
      <c r="M8">
        <f>Data!T37</f>
        <v>3.70282921188E-3</v>
      </c>
      <c r="N8">
        <f>Data!U37</f>
        <v>3.70282921188E-3</v>
      </c>
      <c r="O8">
        <f>Data!V37</f>
        <v>3.70282921188E-3</v>
      </c>
      <c r="P8">
        <f>Data!W37</f>
        <v>3.70282921188E-3</v>
      </c>
      <c r="Q8">
        <f>Data!X37</f>
        <v>3.70282921188E-3</v>
      </c>
      <c r="R8">
        <f>Data!Y37</f>
        <v>3.70282921188E-3</v>
      </c>
      <c r="S8">
        <f>Data!Z37</f>
        <v>3.70282921188E-3</v>
      </c>
      <c r="T8">
        <f>Data!AA37</f>
        <v>3.70282921188E-3</v>
      </c>
      <c r="U8">
        <f>Data!AB37</f>
        <v>3.70282921188E-3</v>
      </c>
      <c r="V8">
        <f>Data!AC37</f>
        <v>3.70282921188E-3</v>
      </c>
      <c r="W8">
        <f>Data!AD37</f>
        <v>3.70282921188E-3</v>
      </c>
      <c r="X8">
        <f>Data!AE37</f>
        <v>3.70282921188E-3</v>
      </c>
      <c r="Y8">
        <f>Data!AF37</f>
        <v>3.70282921188E-3</v>
      </c>
      <c r="Z8">
        <f>Data!AG37</f>
        <v>3.70282921188E-3</v>
      </c>
      <c r="AA8">
        <f>Data!AH37</f>
        <v>3.70282921188E-3</v>
      </c>
      <c r="AB8">
        <f>Data!AI37</f>
        <v>3.70282921188E-3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0.14828894775500001</v>
      </c>
      <c r="C2">
        <f>Data!J80</f>
        <v>0.20192405110570355</v>
      </c>
      <c r="D2">
        <f>Data!K80</f>
        <v>0.21912805260389268</v>
      </c>
      <c r="E2">
        <f>Data!L80</f>
        <v>0.2412079161321001</v>
      </c>
      <c r="F2">
        <f>Data!M80</f>
        <v>0.2691050675034683</v>
      </c>
      <c r="G2">
        <f>Data!N80</f>
        <v>0.30366278259245705</v>
      </c>
      <c r="H2">
        <f>Data!O80</f>
        <v>0.34543894796969088</v>
      </c>
      <c r="I2">
        <f>Data!P80</f>
        <v>0.39447645102619855</v>
      </c>
      <c r="J2">
        <f>Data!Q80</f>
        <v>0.45008738803580778</v>
      </c>
      <c r="K2">
        <f>Data!R80</f>
        <v>0.51074095955207577</v>
      </c>
      <c r="L2">
        <f>Data!S80</f>
        <v>0.57414447387750001</v>
      </c>
      <c r="M2">
        <f>Data!T80</f>
        <v>0.63754798820292424</v>
      </c>
      <c r="N2">
        <f>Data!U80</f>
        <v>0.69820155971919218</v>
      </c>
      <c r="O2">
        <f>Data!V80</f>
        <v>0.75381249672880146</v>
      </c>
      <c r="P2">
        <f>Data!W80</f>
        <v>0.80284999978530913</v>
      </c>
      <c r="Q2">
        <f>Data!X80</f>
        <v>0.84462616516254285</v>
      </c>
      <c r="R2">
        <f>Data!Y80</f>
        <v>0.87918388025153182</v>
      </c>
      <c r="S2">
        <f>Data!Z80</f>
        <v>0.90708103162289988</v>
      </c>
      <c r="T2">
        <f>Data!AA80</f>
        <v>0.92916089515110734</v>
      </c>
      <c r="U2">
        <f>Data!AB80</f>
        <v>0.94636489664929646</v>
      </c>
      <c r="V2">
        <f>Data!AC80</f>
        <v>0.95960685965229675</v>
      </c>
      <c r="W2">
        <f>Data!AD80</f>
        <v>0.96970362495499696</v>
      </c>
      <c r="X2">
        <f>Data!AE80</f>
        <v>0.97734704661409399</v>
      </c>
      <c r="Y2">
        <f>Data!AF80</f>
        <v>0.98310179232636641</v>
      </c>
      <c r="Z2">
        <f>Data!AG80</f>
        <v>0.98741679392062143</v>
      </c>
      <c r="AA2">
        <f>Data!AH80</f>
        <v>0.99064229953114202</v>
      </c>
      <c r="AB2">
        <f>Data!AI80</f>
        <v>0.99304784793411749</v>
      </c>
    </row>
    <row r="3" spans="1:28" x14ac:dyDescent="0.25">
      <c r="A3" t="s">
        <v>38</v>
      </c>
      <c r="B3">
        <f>Data!I81</f>
        <v>1.00970167475E-4</v>
      </c>
      <c r="C3">
        <f>Data!J81</f>
        <v>1.00970167475E-4</v>
      </c>
      <c r="D3">
        <f>Data!K81</f>
        <v>1.00970167475E-4</v>
      </c>
      <c r="E3">
        <f>Data!L81</f>
        <v>1.00970167475E-4</v>
      </c>
      <c r="F3">
        <f>Data!M81</f>
        <v>1.00970167475E-4</v>
      </c>
      <c r="G3">
        <f>Data!N81</f>
        <v>1.00970167475E-4</v>
      </c>
      <c r="H3">
        <f>Data!O81</f>
        <v>1.00970167475E-4</v>
      </c>
      <c r="I3">
        <f>Data!P81</f>
        <v>1.00970167475E-4</v>
      </c>
      <c r="J3">
        <f>Data!Q81</f>
        <v>1.00970167475E-4</v>
      </c>
      <c r="K3">
        <f>Data!R81</f>
        <v>1.00970167475E-4</v>
      </c>
      <c r="L3">
        <f>Data!S81</f>
        <v>1.00970167475E-4</v>
      </c>
      <c r="M3">
        <f>Data!T81</f>
        <v>1.00970167475E-4</v>
      </c>
      <c r="N3">
        <f>Data!U81</f>
        <v>1.00970167475E-4</v>
      </c>
      <c r="O3">
        <f>Data!V81</f>
        <v>1.00970167475E-4</v>
      </c>
      <c r="P3">
        <f>Data!W81</f>
        <v>1.00970167475E-4</v>
      </c>
      <c r="Q3">
        <f>Data!X81</f>
        <v>1.00970167475E-4</v>
      </c>
      <c r="R3">
        <f>Data!Y81</f>
        <v>1.00970167475E-4</v>
      </c>
      <c r="S3">
        <f>Data!Z81</f>
        <v>1.00970167475E-4</v>
      </c>
      <c r="T3">
        <f>Data!AA81</f>
        <v>1.00970167475E-4</v>
      </c>
      <c r="U3">
        <f>Data!AB81</f>
        <v>1.00970167475E-4</v>
      </c>
      <c r="V3">
        <f>Data!AC81</f>
        <v>1.00970167475E-4</v>
      </c>
      <c r="W3">
        <f>Data!AD81</f>
        <v>1.00970167475E-4</v>
      </c>
      <c r="X3">
        <f>Data!AE81</f>
        <v>1.00970167475E-4</v>
      </c>
      <c r="Y3">
        <f>Data!AF81</f>
        <v>1.00970167475E-4</v>
      </c>
      <c r="Z3">
        <f>Data!AG81</f>
        <v>1.00970167475E-4</v>
      </c>
      <c r="AA3">
        <f>Data!AH81</f>
        <v>1.00970167475E-4</v>
      </c>
      <c r="AB3">
        <f>Data!AI81</f>
        <v>1.00970167475E-4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6.7382959534800002E-2</v>
      </c>
      <c r="C5">
        <f>Data!J83</f>
        <v>6.7382959534800002E-2</v>
      </c>
      <c r="D5">
        <f>Data!K83</f>
        <v>6.7382959534800002E-2</v>
      </c>
      <c r="E5">
        <f>Data!L83</f>
        <v>6.7382959534800002E-2</v>
      </c>
      <c r="F5">
        <f>Data!M83</f>
        <v>6.7382959534800002E-2</v>
      </c>
      <c r="G5">
        <f>Data!N83</f>
        <v>6.7382959534800002E-2</v>
      </c>
      <c r="H5">
        <f>Data!O83</f>
        <v>6.7382959534800002E-2</v>
      </c>
      <c r="I5">
        <f>Data!P83</f>
        <v>6.7382959534800002E-2</v>
      </c>
      <c r="J5">
        <f>Data!Q83</f>
        <v>6.7382959534800002E-2</v>
      </c>
      <c r="K5">
        <f>Data!R83</f>
        <v>6.7382959534800002E-2</v>
      </c>
      <c r="L5">
        <f>Data!S83</f>
        <v>6.7382959534800002E-2</v>
      </c>
      <c r="M5">
        <f>Data!T83</f>
        <v>6.7382959534800002E-2</v>
      </c>
      <c r="N5">
        <f>Data!U83</f>
        <v>6.7382959534800002E-2</v>
      </c>
      <c r="O5">
        <f>Data!V83</f>
        <v>6.7382959534800002E-2</v>
      </c>
      <c r="P5">
        <f>Data!W83</f>
        <v>6.7382959534800002E-2</v>
      </c>
      <c r="Q5">
        <f>Data!X83</f>
        <v>6.7382959534800002E-2</v>
      </c>
      <c r="R5">
        <f>Data!Y83</f>
        <v>6.7382959534800002E-2</v>
      </c>
      <c r="S5">
        <f>Data!Z83</f>
        <v>6.7382959534800002E-2</v>
      </c>
      <c r="T5">
        <f>Data!AA83</f>
        <v>6.7382959534800002E-2</v>
      </c>
      <c r="U5">
        <f>Data!AB83</f>
        <v>6.7382959534800002E-2</v>
      </c>
      <c r="V5">
        <f>Data!AC83</f>
        <v>6.7382959534800002E-2</v>
      </c>
      <c r="W5">
        <f>Data!AD83</f>
        <v>6.7382959534800002E-2</v>
      </c>
      <c r="X5">
        <f>Data!AE83</f>
        <v>6.7382959534800002E-2</v>
      </c>
      <c r="Y5">
        <f>Data!AF83</f>
        <v>6.7382959534800002E-2</v>
      </c>
      <c r="Z5">
        <f>Data!AG83</f>
        <v>6.7382959534800002E-2</v>
      </c>
      <c r="AA5">
        <f>Data!AH83</f>
        <v>6.7382959534800002E-2</v>
      </c>
      <c r="AB5">
        <f>Data!AI83</f>
        <v>6.7382959534800002E-2</v>
      </c>
    </row>
    <row r="6" spans="1:28" x14ac:dyDescent="0.25">
      <c r="A6" t="s">
        <v>41</v>
      </c>
      <c r="B6">
        <f>Data!I84</f>
        <v>1.4073498597800001E-2</v>
      </c>
      <c r="C6">
        <f>Data!J84</f>
        <v>1.5378299229133533E-2</v>
      </c>
      <c r="D6">
        <f>Data!K84</f>
        <v>1.5825738202068743E-2</v>
      </c>
      <c r="E6">
        <f>Data!L84</f>
        <v>1.6422469733855565E-2</v>
      </c>
      <c r="F6">
        <f>Data!M84</f>
        <v>1.7215045278070985E-2</v>
      </c>
      <c r="G6">
        <f>Data!N84</f>
        <v>1.8262017381864146E-2</v>
      </c>
      <c r="H6">
        <f>Data!O84</f>
        <v>1.96351270311391E-2</v>
      </c>
      <c r="I6">
        <f>Data!P84</f>
        <v>2.1419075563388585E-2</v>
      </c>
      <c r="J6">
        <f>Data!Q84</f>
        <v>2.3708620826306676E-2</v>
      </c>
      <c r="K6">
        <f>Data!R84</f>
        <v>2.6601382853102151E-2</v>
      </c>
      <c r="L6">
        <f>Data!S84</f>
        <v>3.0184804135493147E-2</v>
      </c>
      <c r="M6">
        <f>Data!T84</f>
        <v>3.4516734059794343E-2</v>
      </c>
      <c r="N6">
        <f>Data!U84</f>
        <v>3.9601619783156121E-2</v>
      </c>
      <c r="O6">
        <f>Data!V84</f>
        <v>4.5368129944513266E-2</v>
      </c>
      <c r="P6">
        <f>Data!W84</f>
        <v>5.1657530110720232E-2</v>
      </c>
      <c r="Q6">
        <f>Data!X84</f>
        <v>5.8232082335224832E-2</v>
      </c>
      <c r="R6">
        <f>Data!Y84</f>
        <v>6.4806634559729431E-2</v>
      </c>
      <c r="S6">
        <f>Data!Z84</f>
        <v>7.1096034725936397E-2</v>
      </c>
      <c r="T6">
        <f>Data!AA84</f>
        <v>7.6862544887293549E-2</v>
      </c>
      <c r="U6">
        <f>Data!AB84</f>
        <v>8.194743061065532E-2</v>
      </c>
      <c r="V6">
        <f>Data!AC84</f>
        <v>8.6279360534956523E-2</v>
      </c>
      <c r="W6">
        <f>Data!AD84</f>
        <v>8.9862781817347526E-2</v>
      </c>
      <c r="X6">
        <f>Data!AE84</f>
        <v>9.2755543844143001E-2</v>
      </c>
      <c r="Y6">
        <f>Data!AF84</f>
        <v>9.5045089107061081E-2</v>
      </c>
      <c r="Z6">
        <f>Data!AG84</f>
        <v>9.6829037639310556E-2</v>
      </c>
      <c r="AA6">
        <f>Data!AH84</f>
        <v>9.8202147288585534E-2</v>
      </c>
      <c r="AB6">
        <f>Data!AI84</f>
        <v>9.9249119392378682E-2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2026-08-25T16:35:43Z</dcterms:modified>
</cp:coreProperties>
</file>